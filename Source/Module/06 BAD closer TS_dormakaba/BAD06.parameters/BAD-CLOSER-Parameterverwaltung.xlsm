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6 BAD closer TS_dormakaba\BAD06.parameters\"/>
    </mc:Choice>
  </mc:AlternateContent>
  <bookViews>
    <workbookView xWindow="-4212" yWindow="-240" windowWidth="14052" windowHeight="7728" tabRatio="834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IMPORT SCHLIESSERDATEN" sheetId="22" r:id="rId8"/>
    <sheet name="UPDATECHECK" sheetId="23" r:id="rId9"/>
    <sheet name="IMPORT AUFBEREITET" sheetId="17" r:id="rId10"/>
    <sheet name="COMPARE" sheetId="16" r:id="rId11"/>
  </sheets>
  <functionGroups builtInGroupCount="18"/>
  <externalReferences>
    <externalReference r:id="rId12"/>
    <externalReference r:id="rId13"/>
    <externalReference r:id="rId14"/>
  </externalReferences>
  <definedNames>
    <definedName name="AktuelleProduktdaten">'[1]S_  Systeme TS-Körper+Gleits. '!$B$5:$DT$199</definedName>
    <definedName name="ARRAY">PARAMETERS!$Z$2:$Z$528</definedName>
    <definedName name="ARRAYval">DEFAULT!$B$5:$CX$182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SETTINGS'!$F$14:$F$28</definedName>
    <definedName name="GDL_Version">'PROJECT SETTINGS'!$B$7</definedName>
    <definedName name="HK">base!$A$3</definedName>
    <definedName name="IMPORT">COMPARE!$A$9:$K$455</definedName>
    <definedName name="ImportTranslation">base!$S$2:$T$56</definedName>
    <definedName name="INDEXNAMEN">'SORT IMPORT'!$C$2:$AV$2</definedName>
    <definedName name="InterfaceLanguage">base!$X$2</definedName>
    <definedName name="makeGUID">base!$Q$9</definedName>
    <definedName name="MLtextDivisions">base!$W$2:$W$5</definedName>
    <definedName name="NK">base!$N$3</definedName>
    <definedName name="OBJEKTNAME">'PROJECT SETTINGS'!$B$1</definedName>
    <definedName name="ParameterClass">base!$J$2:$J$3</definedName>
    <definedName name="ParameterDefault">PARAMETERS!$O$2:$O$529</definedName>
    <definedName name="PARAMETERLISTE">PARAMETERS!$A$2:$Q$529</definedName>
    <definedName name="preIndex">base!$V$2</definedName>
    <definedName name="PriorityValues">base!$H$2:$H$5</definedName>
    <definedName name="prodArrayNames">'SORT IMPORT'!$AW$3:$AW$11</definedName>
    <definedName name="prodIndex">'SORT IMPORT'!$C$2:$AW$11</definedName>
    <definedName name="prodIndexOffset">'SORT IMPORT'!$AY$3:$AY$11</definedName>
    <definedName name="prodRowOffset">'SORT IMPORT'!$AX$3:$AX$11</definedName>
    <definedName name="PRODUKTE">'SORT IMPORT'!$C$13:$AV$408</definedName>
    <definedName name="PRODUKTINDIZES">'SORT IMPORT'!$C$2:$AV$11</definedName>
    <definedName name="read_write">base!$L$2:$L$6</definedName>
    <definedName name="Reimport">'[2]Reimport Parameters'!$B:$D</definedName>
    <definedName name="sdfgdsgf">[3]base!$L$2:$L$6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uesArray">base!$U$4</definedName>
    <definedName name="VALUES">PARAMETERS!$AA$2:$AA$528</definedName>
    <definedName name="VALUES1dim">VALUES!$B$6:$BU$35</definedName>
    <definedName name="VALUESdim">VALUES!$B$1:$BU$1</definedName>
    <definedName name="VALUESLIST">VALUES!$B$5:$BT$96</definedName>
    <definedName name="VALUESnames">VALUES!$B$5:$BV$5</definedName>
    <definedName name="valuesPROP">#REF!</definedName>
    <definedName name="VALUESval">VALUES!$B$6:$BU$96</definedName>
    <definedName name="zeilenindizes">'SORT IMPORT'!$A$13:$B$408</definedName>
  </definedNames>
  <calcPr calcId="162913" concurrentCalc="0"/>
</workbook>
</file>

<file path=xl/calcChain.xml><?xml version="1.0" encoding="utf-8"?>
<calcChain xmlns="http://schemas.openxmlformats.org/spreadsheetml/2006/main">
  <c r="E31" i="15" l="1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5" i="15"/>
  <c r="E6" i="15"/>
  <c r="E7" i="15"/>
  <c r="E8" i="15"/>
  <c r="E9" i="15"/>
  <c r="E10" i="15"/>
  <c r="E11" i="15"/>
  <c r="E12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13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A31" i="15"/>
  <c r="B8" i="1"/>
  <c r="Z266" i="6"/>
  <c r="AA266" i="6"/>
  <c r="AC266" i="6"/>
  <c r="AB266" i="6"/>
  <c r="Z267" i="6"/>
  <c r="AA267" i="6"/>
  <c r="AC267" i="6"/>
  <c r="AB267" i="6"/>
  <c r="G195" i="13"/>
  <c r="G194" i="13"/>
  <c r="G193" i="13"/>
  <c r="G192" i="13"/>
  <c r="G191" i="13"/>
  <c r="G190" i="13"/>
  <c r="G189" i="13"/>
  <c r="G188" i="13"/>
  <c r="G187" i="13"/>
  <c r="G186" i="13"/>
  <c r="G185" i="13"/>
  <c r="G184" i="13"/>
  <c r="G183" i="13"/>
  <c r="G182" i="13"/>
  <c r="G181" i="13"/>
  <c r="G180" i="13"/>
  <c r="G179" i="13"/>
  <c r="G178" i="13"/>
  <c r="G177" i="13"/>
  <c r="G176" i="13"/>
  <c r="G175" i="13"/>
  <c r="G174" i="13"/>
  <c r="G173" i="13"/>
  <c r="G172" i="13"/>
  <c r="G171" i="13"/>
  <c r="G170" i="13"/>
  <c r="G169" i="13"/>
  <c r="G168" i="13"/>
  <c r="G167" i="13"/>
  <c r="G166" i="13"/>
  <c r="G165" i="13"/>
  <c r="G164" i="13"/>
  <c r="G163" i="13"/>
  <c r="G162" i="13"/>
  <c r="G161" i="13"/>
  <c r="G160" i="13"/>
  <c r="G159" i="13"/>
  <c r="G158" i="13"/>
  <c r="G157" i="13"/>
  <c r="G156" i="13"/>
  <c r="G155" i="13"/>
  <c r="G154" i="13"/>
  <c r="G153" i="13"/>
  <c r="G152" i="13"/>
  <c r="G151" i="13"/>
  <c r="G150" i="13"/>
  <c r="G149" i="13"/>
  <c r="G148" i="13"/>
  <c r="G147" i="13"/>
  <c r="G146" i="13"/>
  <c r="G145" i="13"/>
  <c r="G144" i="13"/>
  <c r="G143" i="13"/>
  <c r="G142" i="13"/>
  <c r="G141" i="13"/>
  <c r="G140" i="13"/>
  <c r="G139" i="13"/>
  <c r="G138" i="13"/>
  <c r="G137" i="13"/>
  <c r="G136" i="13"/>
  <c r="G135" i="13"/>
  <c r="G134" i="13"/>
  <c r="G133" i="13"/>
  <c r="G132" i="13"/>
  <c r="G131" i="13"/>
  <c r="G130" i="13"/>
  <c r="G129" i="13"/>
  <c r="G128" i="13"/>
  <c r="G127" i="13"/>
  <c r="G126" i="13"/>
  <c r="G125" i="13"/>
  <c r="G124" i="13"/>
  <c r="G123" i="13"/>
  <c r="G122" i="13"/>
  <c r="G121" i="13"/>
  <c r="G120" i="13"/>
  <c r="G119" i="13"/>
  <c r="G118" i="13"/>
  <c r="G117" i="13"/>
  <c r="G116" i="13"/>
  <c r="G115" i="13"/>
  <c r="G114" i="13"/>
  <c r="G113" i="13"/>
  <c r="G112" i="13"/>
  <c r="G111" i="13"/>
  <c r="G110" i="13"/>
  <c r="G109" i="13"/>
  <c r="G108" i="13"/>
  <c r="G107" i="13"/>
  <c r="G106" i="13"/>
  <c r="G105" i="13"/>
  <c r="G104" i="13"/>
  <c r="G103" i="13"/>
  <c r="G102" i="13"/>
  <c r="G101" i="13"/>
  <c r="G100" i="13"/>
  <c r="G99" i="13"/>
  <c r="G98" i="13"/>
  <c r="G97" i="13"/>
  <c r="G96" i="13"/>
  <c r="G95" i="13"/>
  <c r="G94" i="13"/>
  <c r="G93" i="13"/>
  <c r="G92" i="13"/>
  <c r="G91" i="13"/>
  <c r="G90" i="13"/>
  <c r="G89" i="13"/>
  <c r="G88" i="13"/>
  <c r="G87" i="13"/>
  <c r="G86" i="13"/>
  <c r="G85" i="13"/>
  <c r="G84" i="13"/>
  <c r="G83" i="13"/>
  <c r="G82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8" i="13"/>
  <c r="G57" i="13"/>
  <c r="G56" i="13"/>
  <c r="G55" i="13"/>
  <c r="G54" i="13"/>
  <c r="G53" i="13"/>
  <c r="G52" i="13"/>
  <c r="G51" i="13"/>
  <c r="G50" i="13"/>
  <c r="G49" i="13"/>
  <c r="G48" i="13"/>
  <c r="G47" i="13"/>
  <c r="G46" i="13"/>
  <c r="G45" i="13"/>
  <c r="G44" i="13"/>
  <c r="G43" i="13"/>
  <c r="G42" i="13"/>
  <c r="G41" i="13"/>
  <c r="G40" i="13"/>
  <c r="G39" i="13"/>
  <c r="G38" i="13"/>
  <c r="G37" i="13"/>
  <c r="G36" i="13"/>
  <c r="G35" i="13"/>
  <c r="G34" i="13"/>
  <c r="G33" i="13"/>
  <c r="G32" i="13"/>
  <c r="G31" i="13"/>
  <c r="G30" i="13"/>
  <c r="G29" i="13"/>
  <c r="G28" i="13"/>
  <c r="G27" i="13"/>
  <c r="G26" i="13"/>
  <c r="G25" i="13"/>
  <c r="G24" i="13"/>
  <c r="G23" i="13"/>
  <c r="G22" i="13"/>
  <c r="G21" i="13"/>
  <c r="G20" i="13"/>
  <c r="G19" i="13"/>
  <c r="G18" i="13"/>
  <c r="G17" i="13"/>
  <c r="G16" i="13"/>
  <c r="G15" i="13"/>
  <c r="G14" i="13"/>
  <c r="G13" i="13"/>
  <c r="AB516" i="6"/>
  <c r="AA516" i="6"/>
  <c r="Z516" i="6"/>
  <c r="C516" i="6"/>
  <c r="AB84" i="6"/>
  <c r="AA84" i="6"/>
  <c r="AC84" i="6"/>
  <c r="Z84" i="6"/>
  <c r="Z484" i="6"/>
  <c r="AA484" i="6"/>
  <c r="AC484" i="6"/>
  <c r="AB484" i="6"/>
  <c r="Z485" i="6"/>
  <c r="AA485" i="6"/>
  <c r="AC485" i="6"/>
  <c r="AB485" i="6"/>
  <c r="Z486" i="6"/>
  <c r="AA486" i="6"/>
  <c r="AC486" i="6"/>
  <c r="AB486" i="6"/>
  <c r="Z487" i="6"/>
  <c r="AA487" i="6"/>
  <c r="AC487" i="6"/>
  <c r="AB487" i="6"/>
  <c r="Z488" i="6"/>
  <c r="AA488" i="6"/>
  <c r="AC488" i="6"/>
  <c r="AB488" i="6"/>
  <c r="Z489" i="6"/>
  <c r="AA489" i="6"/>
  <c r="AC489" i="6"/>
  <c r="AB489" i="6"/>
  <c r="Z490" i="6"/>
  <c r="AA490" i="6"/>
  <c r="AC490" i="6"/>
  <c r="AB490" i="6"/>
  <c r="Z491" i="6"/>
  <c r="AA491" i="6"/>
  <c r="AC491" i="6"/>
  <c r="AB491" i="6"/>
  <c r="Z492" i="6"/>
  <c r="AA492" i="6"/>
  <c r="AC492" i="6"/>
  <c r="AB492" i="6"/>
  <c r="Z493" i="6"/>
  <c r="AA493" i="6"/>
  <c r="AC493" i="6"/>
  <c r="AB493" i="6"/>
  <c r="Z494" i="6"/>
  <c r="AA494" i="6"/>
  <c r="AC494" i="6"/>
  <c r="AB494" i="6"/>
  <c r="Z495" i="6"/>
  <c r="AA495" i="6"/>
  <c r="AC495" i="6"/>
  <c r="AB495" i="6"/>
  <c r="Z496" i="6"/>
  <c r="AA496" i="6"/>
  <c r="AC496" i="6"/>
  <c r="AB496" i="6"/>
  <c r="Z497" i="6"/>
  <c r="AA497" i="6"/>
  <c r="AC497" i="6"/>
  <c r="AB497" i="6"/>
  <c r="Z498" i="6"/>
  <c r="AA498" i="6"/>
  <c r="AC498" i="6"/>
  <c r="AB498" i="6"/>
  <c r="Z499" i="6"/>
  <c r="AA499" i="6"/>
  <c r="AC499" i="6"/>
  <c r="AB499" i="6"/>
  <c r="Z500" i="6"/>
  <c r="AA500" i="6"/>
  <c r="AC500" i="6"/>
  <c r="AB500" i="6"/>
  <c r="Z501" i="6"/>
  <c r="AA501" i="6"/>
  <c r="AC501" i="6"/>
  <c r="AB501" i="6"/>
  <c r="Z502" i="6"/>
  <c r="AA502" i="6"/>
  <c r="AC502" i="6"/>
  <c r="AB502" i="6"/>
  <c r="Z503" i="6"/>
  <c r="AA503" i="6"/>
  <c r="AC503" i="6"/>
  <c r="AB503" i="6"/>
  <c r="Z504" i="6"/>
  <c r="AA504" i="6"/>
  <c r="AC504" i="6"/>
  <c r="AB504" i="6"/>
  <c r="Z505" i="6"/>
  <c r="AA505" i="6"/>
  <c r="AC505" i="6"/>
  <c r="AB505" i="6"/>
  <c r="Z506" i="6"/>
  <c r="AA506" i="6"/>
  <c r="AC506" i="6"/>
  <c r="AB506" i="6"/>
  <c r="Z507" i="6"/>
  <c r="AA507" i="6"/>
  <c r="AC507" i="6"/>
  <c r="AB507" i="6"/>
  <c r="Z508" i="6"/>
  <c r="AA508" i="6"/>
  <c r="AC508" i="6"/>
  <c r="AB508" i="6"/>
  <c r="Z509" i="6"/>
  <c r="AA509" i="6"/>
  <c r="AC509" i="6"/>
  <c r="AB509" i="6"/>
  <c r="Z510" i="6"/>
  <c r="AA510" i="6"/>
  <c r="AC510" i="6"/>
  <c r="AB510" i="6"/>
  <c r="Z511" i="6"/>
  <c r="AA511" i="6"/>
  <c r="AC511" i="6"/>
  <c r="AB511" i="6"/>
  <c r="Z512" i="6"/>
  <c r="AA512" i="6"/>
  <c r="AC512" i="6"/>
  <c r="AB512" i="6"/>
  <c r="Z513" i="6"/>
  <c r="AA513" i="6"/>
  <c r="AC513" i="6"/>
  <c r="AB513" i="6"/>
  <c r="Z514" i="6"/>
  <c r="AA514" i="6"/>
  <c r="AB514" i="6"/>
  <c r="Z515" i="6"/>
  <c r="AA515" i="6"/>
  <c r="AC515" i="6"/>
  <c r="AB515" i="6"/>
  <c r="Z517" i="6"/>
  <c r="AA517" i="6"/>
  <c r="AC517" i="6"/>
  <c r="AB517" i="6"/>
  <c r="Z518" i="6"/>
  <c r="AA518" i="6"/>
  <c r="AC518" i="6"/>
  <c r="AB518" i="6"/>
  <c r="Z519" i="6"/>
  <c r="AA519" i="6"/>
  <c r="AC519" i="6"/>
  <c r="AB519" i="6"/>
  <c r="Z520" i="6"/>
  <c r="AA520" i="6"/>
  <c r="AC520" i="6"/>
  <c r="AB520" i="6"/>
  <c r="Z521" i="6"/>
  <c r="AA521" i="6"/>
  <c r="AC521" i="6"/>
  <c r="AB521" i="6"/>
  <c r="Z522" i="6"/>
  <c r="AA522" i="6"/>
  <c r="AC522" i="6"/>
  <c r="AB522" i="6"/>
  <c r="Z523" i="6"/>
  <c r="AA523" i="6"/>
  <c r="AC523" i="6"/>
  <c r="AB523" i="6"/>
  <c r="B517" i="6"/>
  <c r="C517" i="6"/>
  <c r="C518" i="6"/>
  <c r="C73" i="6"/>
  <c r="W73" i="6"/>
  <c r="Z73" i="6"/>
  <c r="AA73" i="6"/>
  <c r="AC73" i="6"/>
  <c r="AB73" i="6"/>
  <c r="B516" i="6"/>
  <c r="AC516" i="6"/>
  <c r="B518" i="6"/>
  <c r="B73" i="6"/>
  <c r="Z257" i="6"/>
  <c r="AA257" i="6"/>
  <c r="AC257" i="6"/>
  <c r="AB257" i="6"/>
  <c r="Z258" i="6"/>
  <c r="AA258" i="6"/>
  <c r="AC258" i="6"/>
  <c r="AB258" i="6"/>
  <c r="U14" i="13"/>
  <c r="V14" i="13"/>
  <c r="W14" i="13"/>
  <c r="U15" i="13"/>
  <c r="V15" i="13"/>
  <c r="W15" i="13"/>
  <c r="U16" i="13"/>
  <c r="V16" i="13"/>
  <c r="W16" i="13"/>
  <c r="U17" i="13"/>
  <c r="V17" i="13"/>
  <c r="W17" i="13"/>
  <c r="U18" i="13"/>
  <c r="V18" i="13"/>
  <c r="W18" i="13"/>
  <c r="U19" i="13"/>
  <c r="V19" i="13"/>
  <c r="W19" i="13"/>
  <c r="U20" i="13"/>
  <c r="V20" i="13"/>
  <c r="W20" i="13"/>
  <c r="U21" i="13"/>
  <c r="V21" i="13"/>
  <c r="W21" i="13"/>
  <c r="U22" i="13"/>
  <c r="V22" i="13"/>
  <c r="W22" i="13"/>
  <c r="U23" i="13"/>
  <c r="V23" i="13"/>
  <c r="W23" i="13"/>
  <c r="U24" i="13"/>
  <c r="V24" i="13"/>
  <c r="W24" i="13"/>
  <c r="U25" i="13"/>
  <c r="V25" i="13"/>
  <c r="W25" i="13"/>
  <c r="U26" i="13"/>
  <c r="V26" i="13"/>
  <c r="W26" i="13"/>
  <c r="U27" i="13"/>
  <c r="V27" i="13"/>
  <c r="W27" i="13"/>
  <c r="U28" i="13"/>
  <c r="V28" i="13"/>
  <c r="W28" i="13"/>
  <c r="U29" i="13"/>
  <c r="V29" i="13"/>
  <c r="W29" i="13"/>
  <c r="U30" i="13"/>
  <c r="V30" i="13"/>
  <c r="W30" i="13"/>
  <c r="U31" i="13"/>
  <c r="V31" i="13"/>
  <c r="W31" i="13"/>
  <c r="U32" i="13"/>
  <c r="V32" i="13"/>
  <c r="W32" i="13"/>
  <c r="U33" i="13"/>
  <c r="V33" i="13"/>
  <c r="W33" i="13"/>
  <c r="U34" i="13"/>
  <c r="V34" i="13"/>
  <c r="W34" i="13"/>
  <c r="U35" i="13"/>
  <c r="V35" i="13"/>
  <c r="W35" i="13"/>
  <c r="U36" i="13"/>
  <c r="V36" i="13"/>
  <c r="W36" i="13"/>
  <c r="U37" i="13"/>
  <c r="V37" i="13"/>
  <c r="W37" i="13"/>
  <c r="U38" i="13"/>
  <c r="V38" i="13"/>
  <c r="W38" i="13"/>
  <c r="U39" i="13"/>
  <c r="V39" i="13"/>
  <c r="W39" i="13"/>
  <c r="U40" i="13"/>
  <c r="V40" i="13"/>
  <c r="W40" i="13"/>
  <c r="U41" i="13"/>
  <c r="V41" i="13"/>
  <c r="W41" i="13"/>
  <c r="U42" i="13"/>
  <c r="V42" i="13"/>
  <c r="W42" i="13"/>
  <c r="U43" i="13"/>
  <c r="V43" i="13"/>
  <c r="W43" i="13"/>
  <c r="U44" i="13"/>
  <c r="V44" i="13"/>
  <c r="W44" i="13"/>
  <c r="U45" i="13"/>
  <c r="V45" i="13"/>
  <c r="W45" i="13"/>
  <c r="U46" i="13"/>
  <c r="V46" i="13"/>
  <c r="W46" i="13"/>
  <c r="U47" i="13"/>
  <c r="V47" i="13"/>
  <c r="W47" i="13"/>
  <c r="U48" i="13"/>
  <c r="V48" i="13"/>
  <c r="W48" i="13"/>
  <c r="U49" i="13"/>
  <c r="V49" i="13"/>
  <c r="W49" i="13"/>
  <c r="U50" i="13"/>
  <c r="V50" i="13"/>
  <c r="W50" i="13"/>
  <c r="U51" i="13"/>
  <c r="V51" i="13"/>
  <c r="W51" i="13"/>
  <c r="U52" i="13"/>
  <c r="V52" i="13"/>
  <c r="W52" i="13"/>
  <c r="U53" i="13"/>
  <c r="V53" i="13"/>
  <c r="W53" i="13"/>
  <c r="U54" i="13"/>
  <c r="V54" i="13"/>
  <c r="W54" i="13"/>
  <c r="U55" i="13"/>
  <c r="V55" i="13"/>
  <c r="W55" i="13"/>
  <c r="U56" i="13"/>
  <c r="V56" i="13"/>
  <c r="W56" i="13"/>
  <c r="U57" i="13"/>
  <c r="V57" i="13"/>
  <c r="W57" i="13"/>
  <c r="U58" i="13"/>
  <c r="V58" i="13"/>
  <c r="W58" i="13"/>
  <c r="U59" i="13"/>
  <c r="V59" i="13"/>
  <c r="W59" i="13"/>
  <c r="U60" i="13"/>
  <c r="V60" i="13"/>
  <c r="W60" i="13"/>
  <c r="U61" i="13"/>
  <c r="V61" i="13"/>
  <c r="W61" i="13"/>
  <c r="U62" i="13"/>
  <c r="V62" i="13"/>
  <c r="W62" i="13"/>
  <c r="U63" i="13"/>
  <c r="V63" i="13"/>
  <c r="W63" i="13"/>
  <c r="U64" i="13"/>
  <c r="V64" i="13"/>
  <c r="W64" i="13"/>
  <c r="U65" i="13"/>
  <c r="V65" i="13"/>
  <c r="W65" i="13"/>
  <c r="U66" i="13"/>
  <c r="V66" i="13"/>
  <c r="W66" i="13"/>
  <c r="U67" i="13"/>
  <c r="V67" i="13"/>
  <c r="W67" i="13"/>
  <c r="U68" i="13"/>
  <c r="V68" i="13"/>
  <c r="W68" i="13"/>
  <c r="U69" i="13"/>
  <c r="V69" i="13"/>
  <c r="W69" i="13"/>
  <c r="U70" i="13"/>
  <c r="V70" i="13"/>
  <c r="W70" i="13"/>
  <c r="U71" i="13"/>
  <c r="V71" i="13"/>
  <c r="W71" i="13"/>
  <c r="U72" i="13"/>
  <c r="V72" i="13"/>
  <c r="W72" i="13"/>
  <c r="U73" i="13"/>
  <c r="V73" i="13"/>
  <c r="W73" i="13"/>
  <c r="U74" i="13"/>
  <c r="V74" i="13"/>
  <c r="W74" i="13"/>
  <c r="U75" i="13"/>
  <c r="V75" i="13"/>
  <c r="W75" i="13"/>
  <c r="U76" i="13"/>
  <c r="V76" i="13"/>
  <c r="W76" i="13"/>
  <c r="U77" i="13"/>
  <c r="V77" i="13"/>
  <c r="W77" i="13"/>
  <c r="U78" i="13"/>
  <c r="V78" i="13"/>
  <c r="W78" i="13"/>
  <c r="U79" i="13"/>
  <c r="V79" i="13"/>
  <c r="W79" i="13"/>
  <c r="U80" i="13"/>
  <c r="V80" i="13"/>
  <c r="W80" i="13"/>
  <c r="U81" i="13"/>
  <c r="V81" i="13"/>
  <c r="W81" i="13"/>
  <c r="U82" i="13"/>
  <c r="V82" i="13"/>
  <c r="W82" i="13"/>
  <c r="U83" i="13"/>
  <c r="V83" i="13"/>
  <c r="W83" i="13"/>
  <c r="U84" i="13"/>
  <c r="V84" i="13"/>
  <c r="W84" i="13"/>
  <c r="U85" i="13"/>
  <c r="V85" i="13"/>
  <c r="W85" i="13"/>
  <c r="U86" i="13"/>
  <c r="V86" i="13"/>
  <c r="W86" i="13"/>
  <c r="U87" i="13"/>
  <c r="V87" i="13"/>
  <c r="W87" i="13"/>
  <c r="U88" i="13"/>
  <c r="V88" i="13"/>
  <c r="W88" i="13"/>
  <c r="U89" i="13"/>
  <c r="V89" i="13"/>
  <c r="W89" i="13"/>
  <c r="U90" i="13"/>
  <c r="V90" i="13"/>
  <c r="W90" i="13"/>
  <c r="U91" i="13"/>
  <c r="V91" i="13"/>
  <c r="W91" i="13"/>
  <c r="U92" i="13"/>
  <c r="V92" i="13"/>
  <c r="W92" i="13"/>
  <c r="U93" i="13"/>
  <c r="V93" i="13"/>
  <c r="W93" i="13"/>
  <c r="U94" i="13"/>
  <c r="V94" i="13"/>
  <c r="W94" i="13"/>
  <c r="U95" i="13"/>
  <c r="V95" i="13"/>
  <c r="W95" i="13"/>
  <c r="U96" i="13"/>
  <c r="V96" i="13"/>
  <c r="W96" i="13"/>
  <c r="U97" i="13"/>
  <c r="V97" i="13"/>
  <c r="W97" i="13"/>
  <c r="U98" i="13"/>
  <c r="V98" i="13"/>
  <c r="W98" i="13"/>
  <c r="U99" i="13"/>
  <c r="V99" i="13"/>
  <c r="W99" i="13"/>
  <c r="U100" i="13"/>
  <c r="V100" i="13"/>
  <c r="W100" i="13"/>
  <c r="U101" i="13"/>
  <c r="V101" i="13"/>
  <c r="W101" i="13"/>
  <c r="U102" i="13"/>
  <c r="V102" i="13"/>
  <c r="W102" i="13"/>
  <c r="U103" i="13"/>
  <c r="V103" i="13"/>
  <c r="W103" i="13"/>
  <c r="U104" i="13"/>
  <c r="V104" i="13"/>
  <c r="W104" i="13"/>
  <c r="U105" i="13"/>
  <c r="V105" i="13"/>
  <c r="W105" i="13"/>
  <c r="U106" i="13"/>
  <c r="V106" i="13"/>
  <c r="W106" i="13"/>
  <c r="U107" i="13"/>
  <c r="V107" i="13"/>
  <c r="W107" i="13"/>
  <c r="U108" i="13"/>
  <c r="V108" i="13"/>
  <c r="W108" i="13"/>
  <c r="U109" i="13"/>
  <c r="V109" i="13"/>
  <c r="W109" i="13"/>
  <c r="U110" i="13"/>
  <c r="V110" i="13"/>
  <c r="W110" i="13"/>
  <c r="U111" i="13"/>
  <c r="V111" i="13"/>
  <c r="W111" i="13"/>
  <c r="U112" i="13"/>
  <c r="V112" i="13"/>
  <c r="W112" i="13"/>
  <c r="U113" i="13"/>
  <c r="V113" i="13"/>
  <c r="W113" i="13"/>
  <c r="U114" i="13"/>
  <c r="V114" i="13"/>
  <c r="W114" i="13"/>
  <c r="U115" i="13"/>
  <c r="V115" i="13"/>
  <c r="W115" i="13"/>
  <c r="U116" i="13"/>
  <c r="V116" i="13"/>
  <c r="W116" i="13"/>
  <c r="U117" i="13"/>
  <c r="V117" i="13"/>
  <c r="W117" i="13"/>
  <c r="U118" i="13"/>
  <c r="V118" i="13"/>
  <c r="W118" i="13"/>
  <c r="U119" i="13"/>
  <c r="V119" i="13"/>
  <c r="W119" i="13"/>
  <c r="U120" i="13"/>
  <c r="V120" i="13"/>
  <c r="W120" i="13"/>
  <c r="U121" i="13"/>
  <c r="V121" i="13"/>
  <c r="W121" i="13"/>
  <c r="U122" i="13"/>
  <c r="V122" i="13"/>
  <c r="W122" i="13"/>
  <c r="U123" i="13"/>
  <c r="V123" i="13"/>
  <c r="W123" i="13"/>
  <c r="U124" i="13"/>
  <c r="V124" i="13"/>
  <c r="W124" i="13"/>
  <c r="U125" i="13"/>
  <c r="V125" i="13"/>
  <c r="W125" i="13"/>
  <c r="U126" i="13"/>
  <c r="V126" i="13"/>
  <c r="W126" i="13"/>
  <c r="U127" i="13"/>
  <c r="V127" i="13"/>
  <c r="W127" i="13"/>
  <c r="U128" i="13"/>
  <c r="V128" i="13"/>
  <c r="W128" i="13"/>
  <c r="U129" i="13"/>
  <c r="V129" i="13"/>
  <c r="W129" i="13"/>
  <c r="U130" i="13"/>
  <c r="V130" i="13"/>
  <c r="W130" i="13"/>
  <c r="U131" i="13"/>
  <c r="V131" i="13"/>
  <c r="W131" i="13"/>
  <c r="U132" i="13"/>
  <c r="V132" i="13"/>
  <c r="W132" i="13"/>
  <c r="U133" i="13"/>
  <c r="V133" i="13"/>
  <c r="W133" i="13"/>
  <c r="U134" i="13"/>
  <c r="V134" i="13"/>
  <c r="W134" i="13"/>
  <c r="U135" i="13"/>
  <c r="V135" i="13"/>
  <c r="W135" i="13"/>
  <c r="U136" i="13"/>
  <c r="V136" i="13"/>
  <c r="W136" i="13"/>
  <c r="U137" i="13"/>
  <c r="V137" i="13"/>
  <c r="W137" i="13"/>
  <c r="U138" i="13"/>
  <c r="V138" i="13"/>
  <c r="W138" i="13"/>
  <c r="U139" i="13"/>
  <c r="V139" i="13"/>
  <c r="W139" i="13"/>
  <c r="U140" i="13"/>
  <c r="V140" i="13"/>
  <c r="W140" i="13"/>
  <c r="U141" i="13"/>
  <c r="V141" i="13"/>
  <c r="W141" i="13"/>
  <c r="U142" i="13"/>
  <c r="V142" i="13"/>
  <c r="W142" i="13"/>
  <c r="U143" i="13"/>
  <c r="V143" i="13"/>
  <c r="W143" i="13"/>
  <c r="U144" i="13"/>
  <c r="V144" i="13"/>
  <c r="W144" i="13"/>
  <c r="U145" i="13"/>
  <c r="V145" i="13"/>
  <c r="W145" i="13"/>
  <c r="U146" i="13"/>
  <c r="V146" i="13"/>
  <c r="W146" i="13"/>
  <c r="U147" i="13"/>
  <c r="V147" i="13"/>
  <c r="W147" i="13"/>
  <c r="U148" i="13"/>
  <c r="V148" i="13"/>
  <c r="W148" i="13"/>
  <c r="U149" i="13"/>
  <c r="V149" i="13"/>
  <c r="W149" i="13"/>
  <c r="U150" i="13"/>
  <c r="V150" i="13"/>
  <c r="W150" i="13"/>
  <c r="U151" i="13"/>
  <c r="V151" i="13"/>
  <c r="W151" i="13"/>
  <c r="U152" i="13"/>
  <c r="V152" i="13"/>
  <c r="W152" i="13"/>
  <c r="U153" i="13"/>
  <c r="V153" i="13"/>
  <c r="W153" i="13"/>
  <c r="U154" i="13"/>
  <c r="V154" i="13"/>
  <c r="W154" i="13"/>
  <c r="U155" i="13"/>
  <c r="V155" i="13"/>
  <c r="W155" i="13"/>
  <c r="U156" i="13"/>
  <c r="V156" i="13"/>
  <c r="W156" i="13"/>
  <c r="U157" i="13"/>
  <c r="V157" i="13"/>
  <c r="W157" i="13"/>
  <c r="U158" i="13"/>
  <c r="V158" i="13"/>
  <c r="W158" i="13"/>
  <c r="U159" i="13"/>
  <c r="V159" i="13"/>
  <c r="W159" i="13"/>
  <c r="U160" i="13"/>
  <c r="V160" i="13"/>
  <c r="W160" i="13"/>
  <c r="U161" i="13"/>
  <c r="V161" i="13"/>
  <c r="W161" i="13"/>
  <c r="U162" i="13"/>
  <c r="V162" i="13"/>
  <c r="W162" i="13"/>
  <c r="U163" i="13"/>
  <c r="V163" i="13"/>
  <c r="W163" i="13"/>
  <c r="U164" i="13"/>
  <c r="V164" i="13"/>
  <c r="W164" i="13"/>
  <c r="U165" i="13"/>
  <c r="V165" i="13"/>
  <c r="W165" i="13"/>
  <c r="U166" i="13"/>
  <c r="V166" i="13"/>
  <c r="W166" i="13"/>
  <c r="U167" i="13"/>
  <c r="V167" i="13"/>
  <c r="W167" i="13"/>
  <c r="U168" i="13"/>
  <c r="V168" i="13"/>
  <c r="W168" i="13"/>
  <c r="U169" i="13"/>
  <c r="V169" i="13"/>
  <c r="W169" i="13"/>
  <c r="U170" i="13"/>
  <c r="V170" i="13"/>
  <c r="W170" i="13"/>
  <c r="U171" i="13"/>
  <c r="V171" i="13"/>
  <c r="W171" i="13"/>
  <c r="U172" i="13"/>
  <c r="V172" i="13"/>
  <c r="W172" i="13"/>
  <c r="U173" i="13"/>
  <c r="V173" i="13"/>
  <c r="W173" i="13"/>
  <c r="U174" i="13"/>
  <c r="V174" i="13"/>
  <c r="W174" i="13"/>
  <c r="U175" i="13"/>
  <c r="V175" i="13"/>
  <c r="W175" i="13"/>
  <c r="U176" i="13"/>
  <c r="V176" i="13"/>
  <c r="W176" i="13"/>
  <c r="U177" i="13"/>
  <c r="V177" i="13"/>
  <c r="W177" i="13"/>
  <c r="U178" i="13"/>
  <c r="V178" i="13"/>
  <c r="W178" i="13"/>
  <c r="U179" i="13"/>
  <c r="V179" i="13"/>
  <c r="W179" i="13"/>
  <c r="U180" i="13"/>
  <c r="V180" i="13"/>
  <c r="W180" i="13"/>
  <c r="U181" i="13"/>
  <c r="V181" i="13"/>
  <c r="W181" i="13"/>
  <c r="U182" i="13"/>
  <c r="V182" i="13"/>
  <c r="W182" i="13"/>
  <c r="U183" i="13"/>
  <c r="V183" i="13"/>
  <c r="W183" i="13"/>
  <c r="U184" i="13"/>
  <c r="V184" i="13"/>
  <c r="W184" i="13"/>
  <c r="U185" i="13"/>
  <c r="V185" i="13"/>
  <c r="W185" i="13"/>
  <c r="U186" i="13"/>
  <c r="V186" i="13"/>
  <c r="W186" i="13"/>
  <c r="U187" i="13"/>
  <c r="V187" i="13"/>
  <c r="W187" i="13"/>
  <c r="U188" i="13"/>
  <c r="V188" i="13"/>
  <c r="W188" i="13"/>
  <c r="U189" i="13"/>
  <c r="V189" i="13"/>
  <c r="W189" i="13"/>
  <c r="U190" i="13"/>
  <c r="V190" i="13"/>
  <c r="W190" i="13"/>
  <c r="U191" i="13"/>
  <c r="V191" i="13"/>
  <c r="W191" i="13"/>
  <c r="U192" i="13"/>
  <c r="V192" i="13"/>
  <c r="W192" i="13"/>
  <c r="U193" i="13"/>
  <c r="V193" i="13"/>
  <c r="W193" i="13"/>
  <c r="U194" i="13"/>
  <c r="V194" i="13"/>
  <c r="W194" i="13"/>
  <c r="U195" i="13"/>
  <c r="V195" i="13"/>
  <c r="W195" i="13"/>
  <c r="U196" i="13"/>
  <c r="V196" i="13"/>
  <c r="W196" i="13"/>
  <c r="U197" i="13"/>
  <c r="V197" i="13"/>
  <c r="W197" i="13"/>
  <c r="U198" i="13"/>
  <c r="V198" i="13"/>
  <c r="W198" i="13"/>
  <c r="U199" i="13"/>
  <c r="V199" i="13"/>
  <c r="W199" i="13"/>
  <c r="V13" i="13"/>
  <c r="W13" i="13"/>
  <c r="U13" i="13"/>
  <c r="C500" i="6"/>
  <c r="C499" i="6"/>
  <c r="C498" i="6"/>
  <c r="B499" i="6"/>
  <c r="B500" i="6"/>
  <c r="B498" i="6"/>
  <c r="AW3" i="7"/>
  <c r="AT4" i="7"/>
  <c r="AU4" i="7"/>
  <c r="AV4" i="7"/>
  <c r="G196" i="13"/>
  <c r="G197" i="13"/>
  <c r="G198" i="13"/>
  <c r="G199" i="13"/>
  <c r="CE3" i="23"/>
  <c r="CF3" i="23"/>
  <c r="CG3" i="23"/>
  <c r="CH3" i="23"/>
  <c r="CI3" i="23"/>
  <c r="CJ3" i="23"/>
  <c r="CK3" i="23"/>
  <c r="CL3" i="23"/>
  <c r="CM3" i="23"/>
  <c r="CN3" i="23"/>
  <c r="CO3" i="23"/>
  <c r="CP3" i="23"/>
  <c r="CQ3" i="23"/>
  <c r="CR3" i="23"/>
  <c r="CS3" i="23"/>
  <c r="CT3" i="23"/>
  <c r="CU3" i="23"/>
  <c r="CV3" i="23"/>
  <c r="CW3" i="23"/>
  <c r="CX3" i="23"/>
  <c r="CY3" i="23"/>
  <c r="CZ3" i="23"/>
  <c r="DA3" i="23"/>
  <c r="DB3" i="23"/>
  <c r="DC3" i="23"/>
  <c r="DD3" i="23"/>
  <c r="DE3" i="23"/>
  <c r="DF3" i="23"/>
  <c r="DG3" i="23"/>
  <c r="DH3" i="23"/>
  <c r="DI3" i="23"/>
  <c r="DJ3" i="23"/>
  <c r="DK3" i="23"/>
  <c r="DL3" i="23"/>
  <c r="DM3" i="23"/>
  <c r="DN3" i="23"/>
  <c r="DO3" i="23"/>
  <c r="DP3" i="23"/>
  <c r="DQ3" i="23"/>
  <c r="DR3" i="23"/>
  <c r="DS3" i="23"/>
  <c r="DT3" i="23"/>
  <c r="CD3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AN199" i="13"/>
  <c r="AN198" i="13"/>
  <c r="AN197" i="13"/>
  <c r="AN196" i="13"/>
  <c r="AN195" i="13"/>
  <c r="AN194" i="13"/>
  <c r="AN193" i="13"/>
  <c r="AN191" i="13"/>
  <c r="AN189" i="13"/>
  <c r="AN188" i="13"/>
  <c r="AN183" i="13"/>
  <c r="AN181" i="13"/>
  <c r="AN180" i="13"/>
  <c r="AN175" i="13"/>
  <c r="AN173" i="13"/>
  <c r="AN172" i="13"/>
  <c r="AN169" i="13"/>
  <c r="AN167" i="13"/>
  <c r="AN165" i="13"/>
  <c r="AN164" i="13"/>
  <c r="AN161" i="13"/>
  <c r="AN159" i="13"/>
  <c r="AN157" i="13"/>
  <c r="AN156" i="13"/>
  <c r="AN153" i="13"/>
  <c r="AN151" i="13"/>
  <c r="AN149" i="13"/>
  <c r="AN148" i="13"/>
  <c r="AN145" i="13"/>
  <c r="AN143" i="13"/>
  <c r="AN141" i="13"/>
  <c r="AN140" i="13"/>
  <c r="AN137" i="13"/>
  <c r="AN133" i="13"/>
  <c r="AN132" i="13"/>
  <c r="AN130" i="13"/>
  <c r="AN129" i="13"/>
  <c r="AN125" i="13"/>
  <c r="AN124" i="13"/>
  <c r="AN122" i="13"/>
  <c r="AN121" i="13"/>
  <c r="AN117" i="13"/>
  <c r="AN116" i="13"/>
  <c r="AN114" i="13"/>
  <c r="AN113" i="13"/>
  <c r="AN109" i="13"/>
  <c r="AN108" i="13"/>
  <c r="AN106" i="13"/>
  <c r="AN105" i="13"/>
  <c r="AN101" i="13"/>
  <c r="AN100" i="13"/>
  <c r="AN98" i="13"/>
  <c r="AN97" i="13"/>
  <c r="AN93" i="13"/>
  <c r="AN92" i="13"/>
  <c r="AN90" i="13"/>
  <c r="AN89" i="13"/>
  <c r="AN85" i="13"/>
  <c r="AN84" i="13"/>
  <c r="AN82" i="13"/>
  <c r="AN81" i="13"/>
  <c r="AN77" i="13"/>
  <c r="AN76" i="13"/>
  <c r="AN74" i="13"/>
  <c r="AN73" i="13"/>
  <c r="AN69" i="13"/>
  <c r="AN68" i="13"/>
  <c r="AN66" i="13"/>
  <c r="AN65" i="13"/>
  <c r="AN61" i="13"/>
  <c r="AN60" i="13"/>
  <c r="AN58" i="13"/>
  <c r="AN57" i="13"/>
  <c r="AN53" i="13"/>
  <c r="AN52" i="13"/>
  <c r="AN50" i="13"/>
  <c r="AN49" i="13"/>
  <c r="AN45" i="13"/>
  <c r="AN44" i="13"/>
  <c r="AN42" i="13"/>
  <c r="AN41" i="13"/>
  <c r="AN37" i="13"/>
  <c r="AN36" i="13"/>
  <c r="AN34" i="13"/>
  <c r="AN33" i="13"/>
  <c r="AN29" i="13"/>
  <c r="AN28" i="13"/>
  <c r="AN26" i="13"/>
  <c r="AN25" i="13"/>
  <c r="AN21" i="13"/>
  <c r="AN20" i="13"/>
  <c r="AN18" i="13"/>
  <c r="AN17" i="13"/>
  <c r="AN13" i="13"/>
  <c r="B23" i="23"/>
  <c r="B9" i="23"/>
  <c r="B124" i="23"/>
  <c r="B116" i="23"/>
  <c r="AN134" i="13"/>
  <c r="AN126" i="13"/>
  <c r="AN118" i="13"/>
  <c r="AN110" i="13"/>
  <c r="AN102" i="13"/>
  <c r="AN94" i="13"/>
  <c r="AN86" i="13"/>
  <c r="AN78" i="13"/>
  <c r="AN70" i="13"/>
  <c r="AN62" i="13"/>
  <c r="AN54" i="13"/>
  <c r="AN46" i="13"/>
  <c r="AN38" i="13"/>
  <c r="AN30" i="13"/>
  <c r="AN22" i="13"/>
  <c r="AN14" i="13"/>
  <c r="AN192" i="13"/>
  <c r="AN184" i="13"/>
  <c r="AN176" i="13"/>
  <c r="AN168" i="13"/>
  <c r="AN160" i="13"/>
  <c r="AN152" i="13"/>
  <c r="AN144" i="13"/>
  <c r="AN136" i="13"/>
  <c r="AN135" i="13"/>
  <c r="AN127" i="13"/>
  <c r="AN119" i="13"/>
  <c r="AN111" i="13"/>
  <c r="AN103" i="13"/>
  <c r="AN95" i="13"/>
  <c r="AN87" i="13"/>
  <c r="AN79" i="13"/>
  <c r="AN71" i="13"/>
  <c r="AN63" i="13"/>
  <c r="AN55" i="13"/>
  <c r="AN47" i="13"/>
  <c r="AN39" i="13"/>
  <c r="AN31" i="13"/>
  <c r="AN23" i="13"/>
  <c r="AN15" i="13"/>
  <c r="AN185" i="13"/>
  <c r="AN177" i="13"/>
  <c r="AN128" i="13"/>
  <c r="AN120" i="13"/>
  <c r="AN112" i="13"/>
  <c r="AN104" i="13"/>
  <c r="AN96" i="13"/>
  <c r="AN88" i="13"/>
  <c r="AN80" i="13"/>
  <c r="AN72" i="13"/>
  <c r="AN64" i="13"/>
  <c r="AN56" i="13"/>
  <c r="AN48" i="13"/>
  <c r="AN40" i="13"/>
  <c r="AN32" i="13"/>
  <c r="AN24" i="13"/>
  <c r="AN16" i="13"/>
  <c r="AN186" i="13"/>
  <c r="AN178" i="13"/>
  <c r="AN170" i="13"/>
  <c r="AN162" i="13"/>
  <c r="AN154" i="13"/>
  <c r="AN146" i="13"/>
  <c r="AN138" i="13"/>
  <c r="AN187" i="13"/>
  <c r="AN179" i="13"/>
  <c r="AN171" i="13"/>
  <c r="AN163" i="13"/>
  <c r="AN155" i="13"/>
  <c r="AN147" i="13"/>
  <c r="AN139" i="13"/>
  <c r="AN131" i="13"/>
  <c r="AN123" i="13"/>
  <c r="AN115" i="13"/>
  <c r="AN107" i="13"/>
  <c r="AN99" i="13"/>
  <c r="AN91" i="13"/>
  <c r="AN83" i="13"/>
  <c r="AN75" i="13"/>
  <c r="AN67" i="13"/>
  <c r="AN59" i="13"/>
  <c r="AN51" i="13"/>
  <c r="AN43" i="13"/>
  <c r="AN35" i="13"/>
  <c r="AN27" i="13"/>
  <c r="AN19" i="13"/>
  <c r="AN190" i="13"/>
  <c r="AN182" i="13"/>
  <c r="AN174" i="13"/>
  <c r="AN166" i="13"/>
  <c r="AN158" i="13"/>
  <c r="AN150" i="13"/>
  <c r="AN142" i="13"/>
  <c r="AB256" i="6"/>
  <c r="AA256" i="6"/>
  <c r="AC256" i="6"/>
  <c r="Z256" i="6"/>
  <c r="C184" i="6"/>
  <c r="C183" i="6"/>
  <c r="C182" i="6"/>
  <c r="C181" i="6"/>
  <c r="C180" i="6"/>
  <c r="C179" i="6"/>
  <c r="AI70" i="13"/>
  <c r="K3" i="7"/>
  <c r="L3" i="7"/>
  <c r="F3" i="7"/>
  <c r="G3" i="7"/>
  <c r="Q3" i="7"/>
  <c r="R3" i="7"/>
  <c r="U3" i="7"/>
  <c r="P4" i="7"/>
  <c r="J67" i="13"/>
  <c r="C67" i="13"/>
  <c r="J68" i="13"/>
  <c r="C68" i="13"/>
  <c r="J69" i="13"/>
  <c r="C69" i="13"/>
  <c r="J70" i="13"/>
  <c r="C70" i="13"/>
  <c r="J71" i="13"/>
  <c r="C71" i="13"/>
  <c r="J72" i="13"/>
  <c r="C72" i="13"/>
  <c r="J73" i="13"/>
  <c r="C73" i="13"/>
  <c r="J74" i="13"/>
  <c r="C74" i="13"/>
  <c r="J75" i="13"/>
  <c r="C75" i="13"/>
  <c r="J76" i="13"/>
  <c r="C76" i="13"/>
  <c r="J77" i="13"/>
  <c r="C77" i="13"/>
  <c r="J78" i="13"/>
  <c r="C78" i="13"/>
  <c r="J79" i="13"/>
  <c r="C79" i="13"/>
  <c r="J80" i="13"/>
  <c r="C80" i="13"/>
  <c r="J81" i="13"/>
  <c r="C81" i="13"/>
  <c r="J82" i="13"/>
  <c r="C82" i="13"/>
  <c r="J83" i="13"/>
  <c r="C83" i="13"/>
  <c r="J84" i="13"/>
  <c r="C84" i="13"/>
  <c r="J85" i="13"/>
  <c r="C85" i="13"/>
  <c r="J86" i="13"/>
  <c r="C86" i="13"/>
  <c r="J87" i="13"/>
  <c r="C87" i="13"/>
  <c r="J88" i="13"/>
  <c r="C88" i="13"/>
  <c r="J89" i="13"/>
  <c r="C89" i="13"/>
  <c r="J90" i="13"/>
  <c r="C90" i="13"/>
  <c r="J91" i="13"/>
  <c r="C91" i="13"/>
  <c r="J92" i="13"/>
  <c r="C92" i="13"/>
  <c r="J93" i="13"/>
  <c r="C93" i="13"/>
  <c r="J94" i="13"/>
  <c r="C94" i="13"/>
  <c r="J95" i="13"/>
  <c r="C95" i="13"/>
  <c r="J96" i="13"/>
  <c r="C96" i="13"/>
  <c r="J97" i="13"/>
  <c r="C97" i="13"/>
  <c r="J98" i="13"/>
  <c r="C98" i="13"/>
  <c r="J99" i="13"/>
  <c r="C99" i="13"/>
  <c r="J100" i="13"/>
  <c r="C100" i="13"/>
  <c r="J101" i="13"/>
  <c r="C101" i="13"/>
  <c r="J102" i="13"/>
  <c r="C102" i="13"/>
  <c r="J103" i="13"/>
  <c r="C103" i="13"/>
  <c r="J104" i="13"/>
  <c r="C104" i="13"/>
  <c r="J105" i="13"/>
  <c r="C105" i="13"/>
  <c r="J106" i="13"/>
  <c r="C106" i="13"/>
  <c r="J107" i="13"/>
  <c r="C107" i="13"/>
  <c r="J108" i="13"/>
  <c r="C108" i="13"/>
  <c r="J109" i="13"/>
  <c r="C109" i="13"/>
  <c r="J110" i="13"/>
  <c r="C110" i="13"/>
  <c r="J111" i="13"/>
  <c r="C111" i="13"/>
  <c r="J112" i="13"/>
  <c r="C112" i="13"/>
  <c r="J113" i="13"/>
  <c r="C113" i="13"/>
  <c r="J114" i="13"/>
  <c r="C114" i="13"/>
  <c r="J115" i="13"/>
  <c r="C115" i="13"/>
  <c r="J116" i="13"/>
  <c r="C116" i="13"/>
  <c r="J117" i="13"/>
  <c r="C117" i="13"/>
  <c r="J118" i="13"/>
  <c r="C118" i="13"/>
  <c r="J119" i="13"/>
  <c r="C119" i="13"/>
  <c r="J120" i="13"/>
  <c r="C120" i="13"/>
  <c r="J121" i="13"/>
  <c r="C121" i="13"/>
  <c r="J122" i="13"/>
  <c r="C122" i="13"/>
  <c r="J123" i="13"/>
  <c r="C123" i="13"/>
  <c r="J124" i="13"/>
  <c r="C124" i="13"/>
  <c r="J125" i="13"/>
  <c r="C125" i="13"/>
  <c r="J126" i="13"/>
  <c r="C126" i="13"/>
  <c r="J127" i="13"/>
  <c r="C127" i="13"/>
  <c r="J128" i="13"/>
  <c r="C128" i="13"/>
  <c r="J129" i="13"/>
  <c r="C129" i="13"/>
  <c r="J130" i="13"/>
  <c r="C130" i="13"/>
  <c r="J131" i="13"/>
  <c r="C131" i="13"/>
  <c r="J132" i="13"/>
  <c r="C132" i="13"/>
  <c r="J133" i="13"/>
  <c r="C133" i="13"/>
  <c r="J134" i="13"/>
  <c r="C134" i="13"/>
  <c r="J135" i="13"/>
  <c r="C135" i="13"/>
  <c r="J136" i="13"/>
  <c r="C136" i="13"/>
  <c r="J137" i="13"/>
  <c r="C137" i="13"/>
  <c r="J138" i="13"/>
  <c r="C138" i="13"/>
  <c r="J139" i="13"/>
  <c r="C139" i="13"/>
  <c r="J140" i="13"/>
  <c r="C140" i="13"/>
  <c r="J141" i="13"/>
  <c r="C141" i="13"/>
  <c r="J142" i="13"/>
  <c r="C142" i="13"/>
  <c r="J143" i="13"/>
  <c r="C143" i="13"/>
  <c r="J144" i="13"/>
  <c r="C144" i="13"/>
  <c r="J145" i="13"/>
  <c r="C145" i="13"/>
  <c r="J146" i="13"/>
  <c r="C146" i="13"/>
  <c r="J147" i="13"/>
  <c r="C147" i="13"/>
  <c r="J148" i="13"/>
  <c r="C148" i="13"/>
  <c r="J149" i="13"/>
  <c r="C149" i="13"/>
  <c r="J150" i="13"/>
  <c r="C150" i="13"/>
  <c r="J151" i="13"/>
  <c r="C151" i="13"/>
  <c r="J152" i="13"/>
  <c r="C152" i="13"/>
  <c r="J153" i="13"/>
  <c r="C153" i="13"/>
  <c r="J154" i="13"/>
  <c r="C154" i="13"/>
  <c r="J155" i="13"/>
  <c r="C155" i="13"/>
  <c r="J156" i="13"/>
  <c r="C156" i="13"/>
  <c r="J157" i="13"/>
  <c r="C157" i="13"/>
  <c r="J158" i="13"/>
  <c r="C158" i="13"/>
  <c r="J159" i="13"/>
  <c r="C159" i="13"/>
  <c r="J160" i="13"/>
  <c r="C160" i="13"/>
  <c r="J161" i="13"/>
  <c r="C161" i="13"/>
  <c r="J162" i="13"/>
  <c r="C162" i="13"/>
  <c r="J163" i="13"/>
  <c r="C163" i="13"/>
  <c r="J164" i="13"/>
  <c r="C164" i="13"/>
  <c r="J165" i="13"/>
  <c r="C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14" i="13"/>
  <c r="C14" i="13"/>
  <c r="J15" i="13"/>
  <c r="C15" i="13"/>
  <c r="J16" i="13"/>
  <c r="C16" i="13"/>
  <c r="J17" i="13"/>
  <c r="C17" i="13"/>
  <c r="J18" i="13"/>
  <c r="C18" i="13"/>
  <c r="J19" i="13"/>
  <c r="C19" i="13"/>
  <c r="J20" i="13"/>
  <c r="C20" i="13"/>
  <c r="J21" i="13"/>
  <c r="C21" i="13"/>
  <c r="J22" i="13"/>
  <c r="C22" i="13"/>
  <c r="J23" i="13"/>
  <c r="C23" i="13"/>
  <c r="J24" i="13"/>
  <c r="C24" i="13"/>
  <c r="J25" i="13"/>
  <c r="C25" i="13"/>
  <c r="J26" i="13"/>
  <c r="C26" i="13"/>
  <c r="J27" i="13"/>
  <c r="C27" i="13"/>
  <c r="J28" i="13"/>
  <c r="C28" i="13"/>
  <c r="J29" i="13"/>
  <c r="C29" i="13"/>
  <c r="J30" i="13"/>
  <c r="C30" i="13"/>
  <c r="J31" i="13"/>
  <c r="C31" i="13"/>
  <c r="J32" i="13"/>
  <c r="C32" i="13"/>
  <c r="J33" i="13"/>
  <c r="C33" i="13"/>
  <c r="J34" i="13"/>
  <c r="C34" i="13"/>
  <c r="J35" i="13"/>
  <c r="C35" i="13"/>
  <c r="J36" i="13"/>
  <c r="C36" i="13"/>
  <c r="J37" i="13"/>
  <c r="C37" i="13"/>
  <c r="J38" i="13"/>
  <c r="C38" i="13"/>
  <c r="J39" i="13"/>
  <c r="C39" i="13"/>
  <c r="J40" i="13"/>
  <c r="C40" i="13"/>
  <c r="J41" i="13"/>
  <c r="C41" i="13"/>
  <c r="J42" i="13"/>
  <c r="C42" i="13"/>
  <c r="J43" i="13"/>
  <c r="C43" i="13"/>
  <c r="J44" i="13"/>
  <c r="C44" i="13"/>
  <c r="J45" i="13"/>
  <c r="C45" i="13"/>
  <c r="J46" i="13"/>
  <c r="C46" i="13"/>
  <c r="J47" i="13"/>
  <c r="C47" i="13"/>
  <c r="J48" i="13"/>
  <c r="C48" i="13"/>
  <c r="J49" i="13"/>
  <c r="C49" i="13"/>
  <c r="J50" i="13"/>
  <c r="C50" i="13"/>
  <c r="J51" i="13"/>
  <c r="C51" i="13"/>
  <c r="J52" i="13"/>
  <c r="C52" i="13"/>
  <c r="J53" i="13"/>
  <c r="C53" i="13"/>
  <c r="J54" i="13"/>
  <c r="C54" i="13"/>
  <c r="J55" i="13"/>
  <c r="C55" i="13"/>
  <c r="J56" i="13"/>
  <c r="C56" i="13"/>
  <c r="J57" i="13"/>
  <c r="C57" i="13"/>
  <c r="J58" i="13"/>
  <c r="C58" i="13"/>
  <c r="J59" i="13"/>
  <c r="C59" i="13"/>
  <c r="J60" i="13"/>
  <c r="C60" i="13"/>
  <c r="J61" i="13"/>
  <c r="C61" i="13"/>
  <c r="J62" i="13"/>
  <c r="C62" i="13"/>
  <c r="J63" i="13"/>
  <c r="C63" i="13"/>
  <c r="J64" i="13"/>
  <c r="C64" i="13"/>
  <c r="J65" i="13"/>
  <c r="C65" i="13"/>
  <c r="J66" i="13"/>
  <c r="C66" i="13"/>
  <c r="J13" i="13"/>
  <c r="C13" i="13"/>
  <c r="A13" i="13"/>
  <c r="Z252" i="6"/>
  <c r="AA252" i="6"/>
  <c r="AC252" i="6"/>
  <c r="AB252" i="6"/>
  <c r="AA10" i="8"/>
  <c r="D13" i="13"/>
  <c r="D14" i="13"/>
  <c r="D15" i="13"/>
  <c r="D16" i="13"/>
  <c r="D17" i="13"/>
  <c r="F17" i="13"/>
  <c r="D18" i="13"/>
  <c r="F18" i="13"/>
  <c r="D19" i="13"/>
  <c r="D20" i="13"/>
  <c r="D21" i="13"/>
  <c r="D22" i="13"/>
  <c r="D23" i="13"/>
  <c r="F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AV39" i="13"/>
  <c r="F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F94" i="13"/>
  <c r="D95" i="13"/>
  <c r="F95" i="13"/>
  <c r="D96" i="13"/>
  <c r="F96" i="13"/>
  <c r="D97" i="13"/>
  <c r="F97" i="13"/>
  <c r="D98" i="13"/>
  <c r="F98" i="13"/>
  <c r="D99" i="13"/>
  <c r="D100" i="13"/>
  <c r="D101" i="13"/>
  <c r="D102" i="13"/>
  <c r="F102" i="13"/>
  <c r="D103" i="13"/>
  <c r="F103" i="13"/>
  <c r="D104" i="13"/>
  <c r="F104" i="13"/>
  <c r="D105" i="13"/>
  <c r="F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AY11" i="13"/>
  <c r="AY10" i="13"/>
  <c r="Z259" i="6"/>
  <c r="AA259" i="6"/>
  <c r="AC259" i="6"/>
  <c r="AB259" i="6"/>
  <c r="Z260" i="6"/>
  <c r="AA260" i="6"/>
  <c r="AC260" i="6"/>
  <c r="AB260" i="6"/>
  <c r="Z261" i="6"/>
  <c r="AA261" i="6"/>
  <c r="AC261" i="6"/>
  <c r="AB261" i="6"/>
  <c r="Z262" i="6"/>
  <c r="AA262" i="6"/>
  <c r="AC262" i="6"/>
  <c r="AB262" i="6"/>
  <c r="Z263" i="6"/>
  <c r="AA263" i="6"/>
  <c r="AC263" i="6"/>
  <c r="AB263" i="6"/>
  <c r="Z264" i="6"/>
  <c r="AA264" i="6"/>
  <c r="AC264" i="6"/>
  <c r="AB264" i="6"/>
  <c r="Z265" i="6"/>
  <c r="AA265" i="6"/>
  <c r="AC265" i="6"/>
  <c r="AB265" i="6"/>
  <c r="Z268" i="6"/>
  <c r="AA268" i="6"/>
  <c r="AC268" i="6"/>
  <c r="AB268" i="6"/>
  <c r="Z269" i="6"/>
  <c r="AA269" i="6"/>
  <c r="B269" i="6"/>
  <c r="AC269" i="6"/>
  <c r="AB269" i="6"/>
  <c r="Z270" i="6"/>
  <c r="AA270" i="6"/>
  <c r="AC270" i="6"/>
  <c r="AB270" i="6"/>
  <c r="Z271" i="6"/>
  <c r="AA271" i="6"/>
  <c r="AC271" i="6"/>
  <c r="AB271" i="6"/>
  <c r="Z272" i="6"/>
  <c r="AA272" i="6"/>
  <c r="AC272" i="6"/>
  <c r="AB272" i="6"/>
  <c r="Z273" i="6"/>
  <c r="AA273" i="6"/>
  <c r="AC273" i="6"/>
  <c r="AB273" i="6"/>
  <c r="Z274" i="6"/>
  <c r="AA274" i="6"/>
  <c r="B274" i="6"/>
  <c r="AC274" i="6"/>
  <c r="AB274" i="6"/>
  <c r="Z275" i="6"/>
  <c r="AA275" i="6"/>
  <c r="AC275" i="6"/>
  <c r="AB275" i="6"/>
  <c r="Z276" i="6"/>
  <c r="AA276" i="6"/>
  <c r="AC276" i="6"/>
  <c r="AB276" i="6"/>
  <c r="Z277" i="6"/>
  <c r="AA277" i="6"/>
  <c r="B277" i="6"/>
  <c r="AC277" i="6"/>
  <c r="AB277" i="6"/>
  <c r="Z278" i="6"/>
  <c r="AA278" i="6"/>
  <c r="AC278" i="6"/>
  <c r="AB278" i="6"/>
  <c r="Z279" i="6"/>
  <c r="AA279" i="6"/>
  <c r="AC279" i="6"/>
  <c r="AB279" i="6"/>
  <c r="Z280" i="6"/>
  <c r="AA280" i="6"/>
  <c r="AC280" i="6"/>
  <c r="AB280" i="6"/>
  <c r="Z281" i="6"/>
  <c r="AA281" i="6"/>
  <c r="AC281" i="6"/>
  <c r="AB281" i="6"/>
  <c r="Z282" i="6"/>
  <c r="AA282" i="6"/>
  <c r="B282" i="6"/>
  <c r="AC282" i="6"/>
  <c r="AB282" i="6"/>
  <c r="Z283" i="6"/>
  <c r="AA283" i="6"/>
  <c r="AC283" i="6"/>
  <c r="AB283" i="6"/>
  <c r="Z284" i="6"/>
  <c r="AA284" i="6"/>
  <c r="AC284" i="6"/>
  <c r="AB284" i="6"/>
  <c r="Z285" i="6"/>
  <c r="AA285" i="6"/>
  <c r="B285" i="6"/>
  <c r="AC285" i="6"/>
  <c r="AB285" i="6"/>
  <c r="Z286" i="6"/>
  <c r="AA286" i="6"/>
  <c r="AC286" i="6"/>
  <c r="AB286" i="6"/>
  <c r="Z287" i="6"/>
  <c r="AA287" i="6"/>
  <c r="AB287" i="6"/>
  <c r="Z288" i="6"/>
  <c r="AA288" i="6"/>
  <c r="AC288" i="6"/>
  <c r="AB288" i="6"/>
  <c r="Z289" i="6"/>
  <c r="AA289" i="6"/>
  <c r="AC289" i="6"/>
  <c r="AB289" i="6"/>
  <c r="Z290" i="6"/>
  <c r="AA290" i="6"/>
  <c r="B290" i="6"/>
  <c r="AC290" i="6"/>
  <c r="AB290" i="6"/>
  <c r="Z291" i="6"/>
  <c r="AA291" i="6"/>
  <c r="AC291" i="6"/>
  <c r="AB291" i="6"/>
  <c r="Z292" i="6"/>
  <c r="AA292" i="6"/>
  <c r="AC292" i="6"/>
  <c r="AB292" i="6"/>
  <c r="Z293" i="6"/>
  <c r="AA293" i="6"/>
  <c r="AC293" i="6"/>
  <c r="AB293" i="6"/>
  <c r="Z294" i="6"/>
  <c r="AA294" i="6"/>
  <c r="AC294" i="6"/>
  <c r="AB294" i="6"/>
  <c r="Z295" i="6"/>
  <c r="AA295" i="6"/>
  <c r="AC295" i="6"/>
  <c r="AB295" i="6"/>
  <c r="Z296" i="6"/>
  <c r="AA296" i="6"/>
  <c r="AC296" i="6"/>
  <c r="AB296" i="6"/>
  <c r="Z297" i="6"/>
  <c r="AA297" i="6"/>
  <c r="AC297" i="6"/>
  <c r="AB297" i="6"/>
  <c r="Z298" i="6"/>
  <c r="AA298" i="6"/>
  <c r="AC298" i="6"/>
  <c r="AB298" i="6"/>
  <c r="Z299" i="6"/>
  <c r="AA299" i="6"/>
  <c r="AC299" i="6"/>
  <c r="AB299" i="6"/>
  <c r="Z300" i="6"/>
  <c r="AA300" i="6"/>
  <c r="AC300" i="6"/>
  <c r="AB300" i="6"/>
  <c r="Z301" i="6"/>
  <c r="AA301" i="6"/>
  <c r="AC301" i="6"/>
  <c r="AB301" i="6"/>
  <c r="Z302" i="6"/>
  <c r="AA302" i="6"/>
  <c r="AC302" i="6"/>
  <c r="AB302" i="6"/>
  <c r="Z303" i="6"/>
  <c r="AA303" i="6"/>
  <c r="AC303" i="6"/>
  <c r="AB303" i="6"/>
  <c r="Z304" i="6"/>
  <c r="AA304" i="6"/>
  <c r="AC304" i="6"/>
  <c r="AB304" i="6"/>
  <c r="Z305" i="6"/>
  <c r="AA305" i="6"/>
  <c r="AC305" i="6"/>
  <c r="AB305" i="6"/>
  <c r="Z306" i="6"/>
  <c r="AA306" i="6"/>
  <c r="AC306" i="6"/>
  <c r="AB306" i="6"/>
  <c r="Z307" i="6"/>
  <c r="AA307" i="6"/>
  <c r="AC307" i="6"/>
  <c r="AB307" i="6"/>
  <c r="Z308" i="6"/>
  <c r="AA308" i="6"/>
  <c r="AC308" i="6"/>
  <c r="AB308" i="6"/>
  <c r="Z309" i="6"/>
  <c r="AA309" i="6"/>
  <c r="AC309" i="6"/>
  <c r="AB309" i="6"/>
  <c r="Z310" i="6"/>
  <c r="AA310" i="6"/>
  <c r="AC310" i="6"/>
  <c r="AB310" i="6"/>
  <c r="Z311" i="6"/>
  <c r="AA311" i="6"/>
  <c r="AC311" i="6"/>
  <c r="AB311" i="6"/>
  <c r="Z312" i="6"/>
  <c r="AA312" i="6"/>
  <c r="AC312" i="6"/>
  <c r="AB312" i="6"/>
  <c r="Z313" i="6"/>
  <c r="AA313" i="6"/>
  <c r="B313" i="6"/>
  <c r="AC313" i="6"/>
  <c r="AB313" i="6"/>
  <c r="Z314" i="6"/>
  <c r="AA314" i="6"/>
  <c r="B314" i="6"/>
  <c r="AC314" i="6"/>
  <c r="AB314" i="6"/>
  <c r="Z315" i="6"/>
  <c r="AA315" i="6"/>
  <c r="AC315" i="6"/>
  <c r="AB315" i="6"/>
  <c r="Z316" i="6"/>
  <c r="AA316" i="6"/>
  <c r="AC316" i="6"/>
  <c r="AB316" i="6"/>
  <c r="Z317" i="6"/>
  <c r="AA317" i="6"/>
  <c r="B317" i="6"/>
  <c r="AC317" i="6"/>
  <c r="AB317" i="6"/>
  <c r="Z318" i="6"/>
  <c r="AA318" i="6"/>
  <c r="AC318" i="6"/>
  <c r="AB318" i="6"/>
  <c r="Z319" i="6"/>
  <c r="AA319" i="6"/>
  <c r="AC319" i="6"/>
  <c r="AB319" i="6"/>
  <c r="Z320" i="6"/>
  <c r="AA320" i="6"/>
  <c r="AC320" i="6"/>
  <c r="AB320" i="6"/>
  <c r="Z321" i="6"/>
  <c r="AA321" i="6"/>
  <c r="B321" i="6"/>
  <c r="AC321" i="6"/>
  <c r="AB321" i="6"/>
  <c r="Z322" i="6"/>
  <c r="AA322" i="6"/>
  <c r="B322" i="6"/>
  <c r="AC322" i="6"/>
  <c r="AB322" i="6"/>
  <c r="Z323" i="6"/>
  <c r="AA323" i="6"/>
  <c r="AC323" i="6"/>
  <c r="AB323" i="6"/>
  <c r="Z324" i="6"/>
  <c r="AA324" i="6"/>
  <c r="AC324" i="6"/>
  <c r="AB324" i="6"/>
  <c r="Z325" i="6"/>
  <c r="AA325" i="6"/>
  <c r="AC325" i="6"/>
  <c r="AB325" i="6"/>
  <c r="Z326" i="6"/>
  <c r="AA326" i="6"/>
  <c r="AC326" i="6"/>
  <c r="AB326" i="6"/>
  <c r="Z327" i="6"/>
  <c r="AA327" i="6"/>
  <c r="AC327" i="6"/>
  <c r="AB327" i="6"/>
  <c r="Z328" i="6"/>
  <c r="AA328" i="6"/>
  <c r="AC328" i="6"/>
  <c r="AB328" i="6"/>
  <c r="Z329" i="6"/>
  <c r="AA329" i="6"/>
  <c r="B329" i="6"/>
  <c r="AC329" i="6"/>
  <c r="AB329" i="6"/>
  <c r="Z330" i="6"/>
  <c r="AA330" i="6"/>
  <c r="B330" i="6"/>
  <c r="AC330" i="6"/>
  <c r="AB330" i="6"/>
  <c r="Z331" i="6"/>
  <c r="AA331" i="6"/>
  <c r="AC331" i="6"/>
  <c r="AB331" i="6"/>
  <c r="Z332" i="6"/>
  <c r="AA332" i="6"/>
  <c r="AC332" i="6"/>
  <c r="AB332" i="6"/>
  <c r="Z333" i="6"/>
  <c r="AA333" i="6"/>
  <c r="AC333" i="6"/>
  <c r="AB333" i="6"/>
  <c r="Z334" i="6"/>
  <c r="AA334" i="6"/>
  <c r="AC334" i="6"/>
  <c r="AB334" i="6"/>
  <c r="Z335" i="6"/>
  <c r="AA335" i="6"/>
  <c r="AC335" i="6"/>
  <c r="AB335" i="6"/>
  <c r="Z336" i="6"/>
  <c r="AA336" i="6"/>
  <c r="AC336" i="6"/>
  <c r="AB336" i="6"/>
  <c r="Z337" i="6"/>
  <c r="AA337" i="6"/>
  <c r="AC337" i="6"/>
  <c r="AB337" i="6"/>
  <c r="Z338" i="6"/>
  <c r="AA338" i="6"/>
  <c r="B338" i="6"/>
  <c r="AC338" i="6"/>
  <c r="AB338" i="6"/>
  <c r="Z339" i="6"/>
  <c r="AA339" i="6"/>
  <c r="AC339" i="6"/>
  <c r="AB339" i="6"/>
  <c r="Z340" i="6"/>
  <c r="AA340" i="6"/>
  <c r="AC340" i="6"/>
  <c r="AB340" i="6"/>
  <c r="Z341" i="6"/>
  <c r="AA341" i="6"/>
  <c r="AC341" i="6"/>
  <c r="AB341" i="6"/>
  <c r="Z342" i="6"/>
  <c r="AA342" i="6"/>
  <c r="AC342" i="6"/>
  <c r="AB342" i="6"/>
  <c r="Z343" i="6"/>
  <c r="AA343" i="6"/>
  <c r="AC343" i="6"/>
  <c r="AB343" i="6"/>
  <c r="Z344" i="6"/>
  <c r="AA344" i="6"/>
  <c r="AC344" i="6"/>
  <c r="AB344" i="6"/>
  <c r="Z345" i="6"/>
  <c r="AA345" i="6"/>
  <c r="B345" i="6"/>
  <c r="AC345" i="6"/>
  <c r="AB345" i="6"/>
  <c r="Z346" i="6"/>
  <c r="AA346" i="6"/>
  <c r="B346" i="6"/>
  <c r="AC346" i="6"/>
  <c r="AB346" i="6"/>
  <c r="Z347" i="6"/>
  <c r="AA347" i="6"/>
  <c r="AC347" i="6"/>
  <c r="AB347" i="6"/>
  <c r="Z348" i="6"/>
  <c r="AA348" i="6"/>
  <c r="AC348" i="6"/>
  <c r="AB348" i="6"/>
  <c r="Z349" i="6"/>
  <c r="AA349" i="6"/>
  <c r="AC349" i="6"/>
  <c r="AB349" i="6"/>
  <c r="Z350" i="6"/>
  <c r="AA350" i="6"/>
  <c r="AC350" i="6"/>
  <c r="AB350" i="6"/>
  <c r="Z351" i="6"/>
  <c r="AA351" i="6"/>
  <c r="AC351" i="6"/>
  <c r="AB351" i="6"/>
  <c r="Z352" i="6"/>
  <c r="AA352" i="6"/>
  <c r="AC352" i="6"/>
  <c r="AB352" i="6"/>
  <c r="Z353" i="6"/>
  <c r="AA353" i="6"/>
  <c r="B353" i="6"/>
  <c r="AC353" i="6"/>
  <c r="AB353" i="6"/>
  <c r="Z354" i="6"/>
  <c r="AA354" i="6"/>
  <c r="B354" i="6"/>
  <c r="AC354" i="6"/>
  <c r="AB354" i="6"/>
  <c r="Z355" i="6"/>
  <c r="AA355" i="6"/>
  <c r="AC355" i="6"/>
  <c r="AB355" i="6"/>
  <c r="Z356" i="6"/>
  <c r="AA356" i="6"/>
  <c r="AC356" i="6"/>
  <c r="AB356" i="6"/>
  <c r="Z357" i="6"/>
  <c r="AA357" i="6"/>
  <c r="AC357" i="6"/>
  <c r="AB357" i="6"/>
  <c r="Z358" i="6"/>
  <c r="AA358" i="6"/>
  <c r="AC358" i="6"/>
  <c r="AB358" i="6"/>
  <c r="Z359" i="6"/>
  <c r="AA359" i="6"/>
  <c r="AC359" i="6"/>
  <c r="AB359" i="6"/>
  <c r="Z360" i="6"/>
  <c r="AA360" i="6"/>
  <c r="AC360" i="6"/>
  <c r="AB360" i="6"/>
  <c r="Z361" i="6"/>
  <c r="AA361" i="6"/>
  <c r="B361" i="6"/>
  <c r="AC361" i="6"/>
  <c r="AB361" i="6"/>
  <c r="Z362" i="6"/>
  <c r="AA362" i="6"/>
  <c r="B362" i="6"/>
  <c r="AC362" i="6"/>
  <c r="AB362" i="6"/>
  <c r="Z363" i="6"/>
  <c r="AA363" i="6"/>
  <c r="AC363" i="6"/>
  <c r="AB363" i="6"/>
  <c r="Z364" i="6"/>
  <c r="AA364" i="6"/>
  <c r="AC364" i="6"/>
  <c r="AB364" i="6"/>
  <c r="Z365" i="6"/>
  <c r="AA365" i="6"/>
  <c r="AC365" i="6"/>
  <c r="AB365" i="6"/>
  <c r="Z366" i="6"/>
  <c r="AA366" i="6"/>
  <c r="AC366" i="6"/>
  <c r="AB366" i="6"/>
  <c r="Z367" i="6"/>
  <c r="AA367" i="6"/>
  <c r="AC367" i="6"/>
  <c r="AB367" i="6"/>
  <c r="Z368" i="6"/>
  <c r="AA368" i="6"/>
  <c r="AC368" i="6"/>
  <c r="AB368" i="6"/>
  <c r="Z369" i="6"/>
  <c r="AA369" i="6"/>
  <c r="B369" i="6"/>
  <c r="AC369" i="6"/>
  <c r="AB369" i="6"/>
  <c r="Z370" i="6"/>
  <c r="AA370" i="6"/>
  <c r="B370" i="6"/>
  <c r="AC370" i="6"/>
  <c r="AB370" i="6"/>
  <c r="Z371" i="6"/>
  <c r="AA371" i="6"/>
  <c r="AC371" i="6"/>
  <c r="AB371" i="6"/>
  <c r="Z372" i="6"/>
  <c r="AA372" i="6"/>
  <c r="AC372" i="6"/>
  <c r="AB372" i="6"/>
  <c r="Z373" i="6"/>
  <c r="AA373" i="6"/>
  <c r="AC373" i="6"/>
  <c r="AB373" i="6"/>
  <c r="Z374" i="6"/>
  <c r="AA374" i="6"/>
  <c r="AC374" i="6"/>
  <c r="AB374" i="6"/>
  <c r="Z375" i="6"/>
  <c r="AA375" i="6"/>
  <c r="AC375" i="6"/>
  <c r="AB375" i="6"/>
  <c r="Z376" i="6"/>
  <c r="AA376" i="6"/>
  <c r="AC376" i="6"/>
  <c r="AB376" i="6"/>
  <c r="Z377" i="6"/>
  <c r="AA377" i="6"/>
  <c r="B377" i="6"/>
  <c r="AC377" i="6"/>
  <c r="AB377" i="6"/>
  <c r="Z378" i="6"/>
  <c r="AA378" i="6"/>
  <c r="B378" i="6"/>
  <c r="AC378" i="6"/>
  <c r="AB378" i="6"/>
  <c r="Z379" i="6"/>
  <c r="AA379" i="6"/>
  <c r="AC379" i="6"/>
  <c r="AB379" i="6"/>
  <c r="Z380" i="6"/>
  <c r="AA380" i="6"/>
  <c r="AC380" i="6"/>
  <c r="AB380" i="6"/>
  <c r="Z381" i="6"/>
  <c r="AA381" i="6"/>
  <c r="AC381" i="6"/>
  <c r="AB381" i="6"/>
  <c r="Z382" i="6"/>
  <c r="AA382" i="6"/>
  <c r="AC382" i="6"/>
  <c r="AB382" i="6"/>
  <c r="Z383" i="6"/>
  <c r="AA383" i="6"/>
  <c r="AC383" i="6"/>
  <c r="AB383" i="6"/>
  <c r="Z384" i="6"/>
  <c r="AA384" i="6"/>
  <c r="AC384" i="6"/>
  <c r="AB384" i="6"/>
  <c r="Z385" i="6"/>
  <c r="AA385" i="6"/>
  <c r="B385" i="6"/>
  <c r="AC385" i="6"/>
  <c r="AB385" i="6"/>
  <c r="Z386" i="6"/>
  <c r="AA386" i="6"/>
  <c r="B386" i="6"/>
  <c r="AC386" i="6"/>
  <c r="AB386" i="6"/>
  <c r="Z387" i="6"/>
  <c r="AA387" i="6"/>
  <c r="AC387" i="6"/>
  <c r="AB387" i="6"/>
  <c r="Z388" i="6"/>
  <c r="AA388" i="6"/>
  <c r="AC388" i="6"/>
  <c r="AB388" i="6"/>
  <c r="Z389" i="6"/>
  <c r="AA389" i="6"/>
  <c r="AC389" i="6"/>
  <c r="AB389" i="6"/>
  <c r="Z390" i="6"/>
  <c r="AA390" i="6"/>
  <c r="AC390" i="6"/>
  <c r="AB390" i="6"/>
  <c r="Z391" i="6"/>
  <c r="AA391" i="6"/>
  <c r="AC391" i="6"/>
  <c r="AB391" i="6"/>
  <c r="Z392" i="6"/>
  <c r="AA392" i="6"/>
  <c r="AC392" i="6"/>
  <c r="AB392" i="6"/>
  <c r="Z393" i="6"/>
  <c r="AA393" i="6"/>
  <c r="AC393" i="6"/>
  <c r="AB393" i="6"/>
  <c r="Z394" i="6"/>
  <c r="AA394" i="6"/>
  <c r="B394" i="6"/>
  <c r="AC394" i="6"/>
  <c r="AB394" i="6"/>
  <c r="Z395" i="6"/>
  <c r="AA395" i="6"/>
  <c r="AC395" i="6"/>
  <c r="AB395" i="6"/>
  <c r="Z396" i="6"/>
  <c r="AA396" i="6"/>
  <c r="AC396" i="6"/>
  <c r="AB396" i="6"/>
  <c r="Z397" i="6"/>
  <c r="AA397" i="6"/>
  <c r="AC397" i="6"/>
  <c r="AB397" i="6"/>
  <c r="Z398" i="6"/>
  <c r="AA398" i="6"/>
  <c r="AC398" i="6"/>
  <c r="AB398" i="6"/>
  <c r="Z399" i="6"/>
  <c r="AA399" i="6"/>
  <c r="AC399" i="6"/>
  <c r="AB399" i="6"/>
  <c r="Z400" i="6"/>
  <c r="AA400" i="6"/>
  <c r="AC400" i="6"/>
  <c r="AB400" i="6"/>
  <c r="Z401" i="6"/>
  <c r="AA401" i="6"/>
  <c r="B401" i="6"/>
  <c r="AC401" i="6"/>
  <c r="AB401" i="6"/>
  <c r="Z402" i="6"/>
  <c r="AA402" i="6"/>
  <c r="B402" i="6"/>
  <c r="AC402" i="6"/>
  <c r="AB402" i="6"/>
  <c r="Z403" i="6"/>
  <c r="AA403" i="6"/>
  <c r="AC403" i="6"/>
  <c r="AB403" i="6"/>
  <c r="Z404" i="6"/>
  <c r="AA404" i="6"/>
  <c r="AC404" i="6"/>
  <c r="AB404" i="6"/>
  <c r="Z405" i="6"/>
  <c r="AA405" i="6"/>
  <c r="AC405" i="6"/>
  <c r="AB405" i="6"/>
  <c r="Z406" i="6"/>
  <c r="AA406" i="6"/>
  <c r="AC406" i="6"/>
  <c r="AB406" i="6"/>
  <c r="Z407" i="6"/>
  <c r="AA407" i="6"/>
  <c r="AC407" i="6"/>
  <c r="AB407" i="6"/>
  <c r="Z408" i="6"/>
  <c r="AA408" i="6"/>
  <c r="AC408" i="6"/>
  <c r="AB408" i="6"/>
  <c r="Z409" i="6"/>
  <c r="AA409" i="6"/>
  <c r="B409" i="6"/>
  <c r="AC409" i="6"/>
  <c r="AB409" i="6"/>
  <c r="Z410" i="6"/>
  <c r="AA410" i="6"/>
  <c r="B410" i="6"/>
  <c r="AC410" i="6"/>
  <c r="AB410" i="6"/>
  <c r="Z411" i="6"/>
  <c r="AA411" i="6"/>
  <c r="AC411" i="6"/>
  <c r="AB411" i="6"/>
  <c r="Z412" i="6"/>
  <c r="AA412" i="6"/>
  <c r="AC412" i="6"/>
  <c r="AB412" i="6"/>
  <c r="Z413" i="6"/>
  <c r="AA413" i="6"/>
  <c r="AC413" i="6"/>
  <c r="AB413" i="6"/>
  <c r="Z414" i="6"/>
  <c r="AA414" i="6"/>
  <c r="AC414" i="6"/>
  <c r="AB414" i="6"/>
  <c r="Z415" i="6"/>
  <c r="AA415" i="6"/>
  <c r="AC415" i="6"/>
  <c r="AB415" i="6"/>
  <c r="Z416" i="6"/>
  <c r="AA416" i="6"/>
  <c r="AC416" i="6"/>
  <c r="AB416" i="6"/>
  <c r="Z417" i="6"/>
  <c r="AA417" i="6"/>
  <c r="B417" i="6"/>
  <c r="AC417" i="6"/>
  <c r="AB417" i="6"/>
  <c r="Z418" i="6"/>
  <c r="AA418" i="6"/>
  <c r="B418" i="6"/>
  <c r="AC418" i="6"/>
  <c r="AB418" i="6"/>
  <c r="Z419" i="6"/>
  <c r="AA419" i="6"/>
  <c r="AC419" i="6"/>
  <c r="AB419" i="6"/>
  <c r="Z420" i="6"/>
  <c r="AA420" i="6"/>
  <c r="AC420" i="6"/>
  <c r="AB420" i="6"/>
  <c r="Z421" i="6"/>
  <c r="AA421" i="6"/>
  <c r="AC421" i="6"/>
  <c r="AB421" i="6"/>
  <c r="Z422" i="6"/>
  <c r="AA422" i="6"/>
  <c r="AC422" i="6"/>
  <c r="AB422" i="6"/>
  <c r="Z423" i="6"/>
  <c r="AA423" i="6"/>
  <c r="AC423" i="6"/>
  <c r="AB423" i="6"/>
  <c r="Z424" i="6"/>
  <c r="AA424" i="6"/>
  <c r="AC424" i="6"/>
  <c r="AB424" i="6"/>
  <c r="Z425" i="6"/>
  <c r="AA425" i="6"/>
  <c r="B425" i="6"/>
  <c r="AC425" i="6"/>
  <c r="AB425" i="6"/>
  <c r="Z426" i="6"/>
  <c r="AA426" i="6"/>
  <c r="B426" i="6"/>
  <c r="AC426" i="6"/>
  <c r="AB426" i="6"/>
  <c r="Z427" i="6"/>
  <c r="AA427" i="6"/>
  <c r="AC427" i="6"/>
  <c r="AB427" i="6"/>
  <c r="Z428" i="6"/>
  <c r="AA428" i="6"/>
  <c r="AC428" i="6"/>
  <c r="AB428" i="6"/>
  <c r="Z429" i="6"/>
  <c r="AA429" i="6"/>
  <c r="AC429" i="6"/>
  <c r="AB429" i="6"/>
  <c r="Z430" i="6"/>
  <c r="AA430" i="6"/>
  <c r="AC430" i="6"/>
  <c r="AB430" i="6"/>
  <c r="Z431" i="6"/>
  <c r="AA431" i="6"/>
  <c r="AC431" i="6"/>
  <c r="AB431" i="6"/>
  <c r="Z432" i="6"/>
  <c r="AA432" i="6"/>
  <c r="AC432" i="6"/>
  <c r="AB432" i="6"/>
  <c r="Z433" i="6"/>
  <c r="AA433" i="6"/>
  <c r="B433" i="6"/>
  <c r="AC433" i="6"/>
  <c r="AB433" i="6"/>
  <c r="Z434" i="6"/>
  <c r="AA434" i="6"/>
  <c r="B434" i="6"/>
  <c r="AC434" i="6"/>
  <c r="AB434" i="6"/>
  <c r="Z435" i="6"/>
  <c r="AA435" i="6"/>
  <c r="AC435" i="6"/>
  <c r="AB435" i="6"/>
  <c r="Z436" i="6"/>
  <c r="AA436" i="6"/>
  <c r="AC436" i="6"/>
  <c r="AB436" i="6"/>
  <c r="Z437" i="6"/>
  <c r="AA437" i="6"/>
  <c r="AC437" i="6"/>
  <c r="AB437" i="6"/>
  <c r="Z438" i="6"/>
  <c r="AA438" i="6"/>
  <c r="AC438" i="6"/>
  <c r="AB438" i="6"/>
  <c r="Z439" i="6"/>
  <c r="AA439" i="6"/>
  <c r="AC439" i="6"/>
  <c r="AB439" i="6"/>
  <c r="Z440" i="6"/>
  <c r="AA440" i="6"/>
  <c r="AC440" i="6"/>
  <c r="AB440" i="6"/>
  <c r="Z441" i="6"/>
  <c r="AA441" i="6"/>
  <c r="AC441" i="6"/>
  <c r="AB441" i="6"/>
  <c r="Z442" i="6"/>
  <c r="AA442" i="6"/>
  <c r="B442" i="6"/>
  <c r="AC442" i="6"/>
  <c r="AB442" i="6"/>
  <c r="Z443" i="6"/>
  <c r="AA443" i="6"/>
  <c r="AC443" i="6"/>
  <c r="AB443" i="6"/>
  <c r="Z444" i="6"/>
  <c r="AA444" i="6"/>
  <c r="AC444" i="6"/>
  <c r="AB444" i="6"/>
  <c r="Z445" i="6"/>
  <c r="AA445" i="6"/>
  <c r="AC445" i="6"/>
  <c r="AB445" i="6"/>
  <c r="Z446" i="6"/>
  <c r="AA446" i="6"/>
  <c r="AC446" i="6"/>
  <c r="AB446" i="6"/>
  <c r="Z447" i="6"/>
  <c r="AA447" i="6"/>
  <c r="AC447" i="6"/>
  <c r="AB447" i="6"/>
  <c r="Z448" i="6"/>
  <c r="AA448" i="6"/>
  <c r="AC448" i="6"/>
  <c r="AB448" i="6"/>
  <c r="Z449" i="6"/>
  <c r="AA449" i="6"/>
  <c r="B449" i="6"/>
  <c r="AC449" i="6"/>
  <c r="AB449" i="6"/>
  <c r="Z450" i="6"/>
  <c r="AA450" i="6"/>
  <c r="B450" i="6"/>
  <c r="AC450" i="6"/>
  <c r="AB450" i="6"/>
  <c r="Z451" i="6"/>
  <c r="AA451" i="6"/>
  <c r="AC451" i="6"/>
  <c r="AB451" i="6"/>
  <c r="Z452" i="6"/>
  <c r="AA452" i="6"/>
  <c r="AC452" i="6"/>
  <c r="AB452" i="6"/>
  <c r="Z453" i="6"/>
  <c r="AA453" i="6"/>
  <c r="AC453" i="6"/>
  <c r="AB453" i="6"/>
  <c r="Z454" i="6"/>
  <c r="AA454" i="6"/>
  <c r="AC454" i="6"/>
  <c r="AB454" i="6"/>
  <c r="Z455" i="6"/>
  <c r="AA455" i="6"/>
  <c r="AC455" i="6"/>
  <c r="AB455" i="6"/>
  <c r="Z456" i="6"/>
  <c r="AA456" i="6"/>
  <c r="AC456" i="6"/>
  <c r="AB456" i="6"/>
  <c r="Z457" i="6"/>
  <c r="AA457" i="6"/>
  <c r="B457" i="6"/>
  <c r="AC457" i="6"/>
  <c r="AB457" i="6"/>
  <c r="Z458" i="6"/>
  <c r="AA458" i="6"/>
  <c r="B458" i="6"/>
  <c r="AC458" i="6"/>
  <c r="AB458" i="6"/>
  <c r="Z459" i="6"/>
  <c r="AA459" i="6"/>
  <c r="AC459" i="6"/>
  <c r="AB459" i="6"/>
  <c r="Z460" i="6"/>
  <c r="AA460" i="6"/>
  <c r="AC460" i="6"/>
  <c r="AB460" i="6"/>
  <c r="Z461" i="6"/>
  <c r="AA461" i="6"/>
  <c r="AC461" i="6"/>
  <c r="AB461" i="6"/>
  <c r="Z462" i="6"/>
  <c r="AA462" i="6"/>
  <c r="AC462" i="6"/>
  <c r="AB462" i="6"/>
  <c r="Z463" i="6"/>
  <c r="AA463" i="6"/>
  <c r="AC463" i="6"/>
  <c r="AB463" i="6"/>
  <c r="Z464" i="6"/>
  <c r="AA464" i="6"/>
  <c r="AC464" i="6"/>
  <c r="AB464" i="6"/>
  <c r="Z465" i="6"/>
  <c r="AA465" i="6"/>
  <c r="B465" i="6"/>
  <c r="AC465" i="6"/>
  <c r="AB465" i="6"/>
  <c r="Z466" i="6"/>
  <c r="AA466" i="6"/>
  <c r="B466" i="6"/>
  <c r="AC466" i="6"/>
  <c r="AB466" i="6"/>
  <c r="Z467" i="6"/>
  <c r="AA467" i="6"/>
  <c r="AC467" i="6"/>
  <c r="AB467" i="6"/>
  <c r="Z468" i="6"/>
  <c r="AA468" i="6"/>
  <c r="AC468" i="6"/>
  <c r="AB468" i="6"/>
  <c r="Z469" i="6"/>
  <c r="AA469" i="6"/>
  <c r="AC469" i="6"/>
  <c r="AB469" i="6"/>
  <c r="Z470" i="6"/>
  <c r="AA470" i="6"/>
  <c r="AC470" i="6"/>
  <c r="AB470" i="6"/>
  <c r="Z471" i="6"/>
  <c r="AA471" i="6"/>
  <c r="AC471" i="6"/>
  <c r="AB471" i="6"/>
  <c r="Z472" i="6"/>
  <c r="AA472" i="6"/>
  <c r="AC472" i="6"/>
  <c r="AB472" i="6"/>
  <c r="Z473" i="6"/>
  <c r="AA473" i="6"/>
  <c r="B473" i="6"/>
  <c r="AC473" i="6"/>
  <c r="AB473" i="6"/>
  <c r="Z474" i="6"/>
  <c r="AA474" i="6"/>
  <c r="B474" i="6"/>
  <c r="AC474" i="6"/>
  <c r="AB474" i="6"/>
  <c r="Z475" i="6"/>
  <c r="AA475" i="6"/>
  <c r="AC475" i="6"/>
  <c r="AB475" i="6"/>
  <c r="Z476" i="6"/>
  <c r="AA476" i="6"/>
  <c r="AC476" i="6"/>
  <c r="AB476" i="6"/>
  <c r="Z477" i="6"/>
  <c r="AA477" i="6"/>
  <c r="AC477" i="6"/>
  <c r="AB477" i="6"/>
  <c r="Z478" i="6"/>
  <c r="AA478" i="6"/>
  <c r="AC478" i="6"/>
  <c r="AB478" i="6"/>
  <c r="Z479" i="6"/>
  <c r="AA479" i="6"/>
  <c r="AC479" i="6"/>
  <c r="AB479" i="6"/>
  <c r="Z480" i="6"/>
  <c r="AA480" i="6"/>
  <c r="AC480" i="6"/>
  <c r="AB480" i="6"/>
  <c r="Z481" i="6"/>
  <c r="AA481" i="6"/>
  <c r="B481" i="6"/>
  <c r="AC481" i="6"/>
  <c r="AB481" i="6"/>
  <c r="Z482" i="6"/>
  <c r="AA482" i="6"/>
  <c r="B482" i="6"/>
  <c r="AC482" i="6"/>
  <c r="AB482" i="6"/>
  <c r="Z483" i="6"/>
  <c r="AA483" i="6"/>
  <c r="AC483" i="6"/>
  <c r="AB483" i="6"/>
  <c r="B486" i="6"/>
  <c r="B487" i="6"/>
  <c r="B489" i="6"/>
  <c r="B495" i="6"/>
  <c r="B497" i="6"/>
  <c r="B505" i="6"/>
  <c r="B506" i="6"/>
  <c r="B508" i="6"/>
  <c r="B513" i="6"/>
  <c r="B514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289" i="6"/>
  <c r="C290" i="6"/>
  <c r="C291" i="6"/>
  <c r="U8" i="8"/>
  <c r="K14" i="13"/>
  <c r="L14" i="13"/>
  <c r="M14" i="13"/>
  <c r="N14" i="13"/>
  <c r="O14" i="13"/>
  <c r="P14" i="13"/>
  <c r="Q14" i="13"/>
  <c r="R14" i="13"/>
  <c r="S14" i="13"/>
  <c r="T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AM14" i="13"/>
  <c r="AO14" i="13"/>
  <c r="K15" i="13"/>
  <c r="L15" i="13"/>
  <c r="M15" i="13"/>
  <c r="N15" i="13"/>
  <c r="O15" i="13"/>
  <c r="P15" i="13"/>
  <c r="Q15" i="13"/>
  <c r="R15" i="13"/>
  <c r="S15" i="13"/>
  <c r="T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AM15" i="13"/>
  <c r="AO15" i="13"/>
  <c r="K16" i="13"/>
  <c r="L16" i="13"/>
  <c r="M16" i="13"/>
  <c r="N16" i="13"/>
  <c r="O16" i="13"/>
  <c r="P16" i="13"/>
  <c r="Q16" i="13"/>
  <c r="R16" i="13"/>
  <c r="S16" i="13"/>
  <c r="T16" i="13"/>
  <c r="X16" i="13"/>
  <c r="Y16" i="13"/>
  <c r="Z16" i="13"/>
  <c r="AA16" i="13"/>
  <c r="AB16" i="13"/>
  <c r="AC16" i="13"/>
  <c r="AD16" i="13"/>
  <c r="AE16" i="13"/>
  <c r="AF16" i="13"/>
  <c r="AG16" i="13"/>
  <c r="AH16" i="13"/>
  <c r="AI16" i="13"/>
  <c r="AJ16" i="13"/>
  <c r="AK16" i="13"/>
  <c r="AL16" i="13"/>
  <c r="AM16" i="13"/>
  <c r="AO16" i="13"/>
  <c r="K17" i="13"/>
  <c r="L17" i="13"/>
  <c r="M17" i="13"/>
  <c r="N17" i="13"/>
  <c r="O17" i="13"/>
  <c r="P17" i="13"/>
  <c r="Q17" i="13"/>
  <c r="R17" i="13"/>
  <c r="S17" i="13"/>
  <c r="T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AM17" i="13"/>
  <c r="AO17" i="13"/>
  <c r="K18" i="13"/>
  <c r="L18" i="13"/>
  <c r="M18" i="13"/>
  <c r="N18" i="13"/>
  <c r="O18" i="13"/>
  <c r="P18" i="13"/>
  <c r="Q18" i="13"/>
  <c r="R18" i="13"/>
  <c r="S18" i="13"/>
  <c r="T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AM18" i="13"/>
  <c r="AO18" i="13"/>
  <c r="K19" i="13"/>
  <c r="L19" i="13"/>
  <c r="M19" i="13"/>
  <c r="N19" i="13"/>
  <c r="O19" i="13"/>
  <c r="P19" i="13"/>
  <c r="Q19" i="13"/>
  <c r="R19" i="13"/>
  <c r="S19" i="13"/>
  <c r="T19" i="13"/>
  <c r="X19" i="13"/>
  <c r="Y19" i="13"/>
  <c r="Z19" i="13"/>
  <c r="AA19" i="13"/>
  <c r="AB19" i="13"/>
  <c r="AC19" i="13"/>
  <c r="AD19" i="13"/>
  <c r="AE19" i="13"/>
  <c r="AF19" i="13"/>
  <c r="AG19" i="13"/>
  <c r="AH19" i="13"/>
  <c r="AI19" i="13"/>
  <c r="AJ19" i="13"/>
  <c r="AK19" i="13"/>
  <c r="AL19" i="13"/>
  <c r="AM19" i="13"/>
  <c r="AO19" i="13"/>
  <c r="K20" i="13"/>
  <c r="L20" i="13"/>
  <c r="M20" i="13"/>
  <c r="N20" i="13"/>
  <c r="O20" i="13"/>
  <c r="P20" i="13"/>
  <c r="Q20" i="13"/>
  <c r="R20" i="13"/>
  <c r="S20" i="13"/>
  <c r="T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AM20" i="13"/>
  <c r="AO20" i="13"/>
  <c r="K21" i="13"/>
  <c r="L21" i="13"/>
  <c r="M21" i="13"/>
  <c r="N21" i="13"/>
  <c r="O21" i="13"/>
  <c r="P21" i="13"/>
  <c r="Q21" i="13"/>
  <c r="R21" i="13"/>
  <c r="S21" i="13"/>
  <c r="T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AM21" i="13"/>
  <c r="AO21" i="13"/>
  <c r="K22" i="13"/>
  <c r="L22" i="13"/>
  <c r="M22" i="13"/>
  <c r="N22" i="13"/>
  <c r="O22" i="13"/>
  <c r="P22" i="13"/>
  <c r="Q22" i="13"/>
  <c r="R22" i="13"/>
  <c r="S22" i="13"/>
  <c r="T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AM22" i="13"/>
  <c r="AO22" i="13"/>
  <c r="K23" i="13"/>
  <c r="L23" i="13"/>
  <c r="M23" i="13"/>
  <c r="N23" i="13"/>
  <c r="O23" i="13"/>
  <c r="P23" i="13"/>
  <c r="Q23" i="13"/>
  <c r="R23" i="13"/>
  <c r="S23" i="13"/>
  <c r="T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AM23" i="13"/>
  <c r="AO23" i="13"/>
  <c r="K24" i="13"/>
  <c r="L24" i="13"/>
  <c r="M24" i="13"/>
  <c r="N24" i="13"/>
  <c r="O24" i="13"/>
  <c r="P24" i="13"/>
  <c r="Q24" i="13"/>
  <c r="R24" i="13"/>
  <c r="S24" i="13"/>
  <c r="T24" i="13"/>
  <c r="X24" i="13"/>
  <c r="Y24" i="13"/>
  <c r="Z24" i="13"/>
  <c r="AA24" i="13"/>
  <c r="AB24" i="13"/>
  <c r="AC24" i="13"/>
  <c r="AD24" i="13"/>
  <c r="AE24" i="13"/>
  <c r="AF24" i="13"/>
  <c r="AG24" i="13"/>
  <c r="AH24" i="13"/>
  <c r="AI24" i="13"/>
  <c r="AJ24" i="13"/>
  <c r="AK24" i="13"/>
  <c r="AL24" i="13"/>
  <c r="AM24" i="13"/>
  <c r="AO24" i="13"/>
  <c r="K25" i="13"/>
  <c r="L25" i="13"/>
  <c r="M25" i="13"/>
  <c r="N25" i="13"/>
  <c r="O25" i="13"/>
  <c r="P25" i="13"/>
  <c r="Q25" i="13"/>
  <c r="R25" i="13"/>
  <c r="S25" i="13"/>
  <c r="T25" i="13"/>
  <c r="X25" i="13"/>
  <c r="Y25" i="13"/>
  <c r="Z25" i="13"/>
  <c r="AA25" i="13"/>
  <c r="AB25" i="13"/>
  <c r="AC25" i="13"/>
  <c r="AD25" i="13"/>
  <c r="AE25" i="13"/>
  <c r="AF25" i="13"/>
  <c r="AG25" i="13"/>
  <c r="AH25" i="13"/>
  <c r="AI25" i="13"/>
  <c r="AJ25" i="13"/>
  <c r="AK25" i="13"/>
  <c r="AL25" i="13"/>
  <c r="AM25" i="13"/>
  <c r="AO25" i="13"/>
  <c r="K26" i="13"/>
  <c r="L26" i="13"/>
  <c r="M26" i="13"/>
  <c r="N26" i="13"/>
  <c r="O26" i="13"/>
  <c r="P26" i="13"/>
  <c r="Q26" i="13"/>
  <c r="R26" i="13"/>
  <c r="S26" i="13"/>
  <c r="T26" i="13"/>
  <c r="X26" i="13"/>
  <c r="Y26" i="13"/>
  <c r="Z26" i="13"/>
  <c r="AA26" i="13"/>
  <c r="AB26" i="13"/>
  <c r="AC26" i="13"/>
  <c r="AD26" i="13"/>
  <c r="AE26" i="13"/>
  <c r="AF26" i="13"/>
  <c r="AG26" i="13"/>
  <c r="AH26" i="13"/>
  <c r="AI26" i="13"/>
  <c r="AJ26" i="13"/>
  <c r="AK26" i="13"/>
  <c r="AL26" i="13"/>
  <c r="AM26" i="13"/>
  <c r="AO26" i="13"/>
  <c r="K27" i="13"/>
  <c r="L27" i="13"/>
  <c r="M27" i="13"/>
  <c r="N27" i="13"/>
  <c r="O27" i="13"/>
  <c r="P27" i="13"/>
  <c r="Q27" i="13"/>
  <c r="R27" i="13"/>
  <c r="S27" i="13"/>
  <c r="T27" i="13"/>
  <c r="X27" i="13"/>
  <c r="Y27" i="13"/>
  <c r="Z27" i="13"/>
  <c r="AA27" i="13"/>
  <c r="AB27" i="13"/>
  <c r="AC27" i="13"/>
  <c r="AD27" i="13"/>
  <c r="AE27" i="13"/>
  <c r="AF27" i="13"/>
  <c r="AG27" i="13"/>
  <c r="AH27" i="13"/>
  <c r="AI27" i="13"/>
  <c r="AJ27" i="13"/>
  <c r="AK27" i="13"/>
  <c r="AL27" i="13"/>
  <c r="AM27" i="13"/>
  <c r="AO27" i="13"/>
  <c r="K28" i="13"/>
  <c r="L28" i="13"/>
  <c r="M28" i="13"/>
  <c r="N28" i="13"/>
  <c r="O28" i="13"/>
  <c r="P28" i="13"/>
  <c r="Q28" i="13"/>
  <c r="R28" i="13"/>
  <c r="S28" i="13"/>
  <c r="T28" i="13"/>
  <c r="X28" i="13"/>
  <c r="Y28" i="13"/>
  <c r="Z28" i="13"/>
  <c r="AA28" i="13"/>
  <c r="AB28" i="13"/>
  <c r="AC28" i="13"/>
  <c r="AD28" i="13"/>
  <c r="AE28" i="13"/>
  <c r="AF28" i="13"/>
  <c r="AG28" i="13"/>
  <c r="AH28" i="13"/>
  <c r="AI28" i="13"/>
  <c r="AJ28" i="13"/>
  <c r="AK28" i="13"/>
  <c r="AL28" i="13"/>
  <c r="AM28" i="13"/>
  <c r="AO28" i="13"/>
  <c r="K29" i="13"/>
  <c r="L29" i="13"/>
  <c r="M29" i="13"/>
  <c r="N29" i="13"/>
  <c r="O29" i="13"/>
  <c r="P29" i="13"/>
  <c r="Q29" i="13"/>
  <c r="R29" i="13"/>
  <c r="S29" i="13"/>
  <c r="T29" i="13"/>
  <c r="X29" i="13"/>
  <c r="Y29" i="13"/>
  <c r="Z29" i="13"/>
  <c r="AA29" i="13"/>
  <c r="AB29" i="13"/>
  <c r="AC29" i="13"/>
  <c r="AD29" i="13"/>
  <c r="AE29" i="13"/>
  <c r="AF29" i="13"/>
  <c r="AG29" i="13"/>
  <c r="AH29" i="13"/>
  <c r="AI29" i="13"/>
  <c r="AJ29" i="13"/>
  <c r="AK29" i="13"/>
  <c r="AL29" i="13"/>
  <c r="AM29" i="13"/>
  <c r="AO29" i="13"/>
  <c r="K30" i="13"/>
  <c r="L30" i="13"/>
  <c r="M30" i="13"/>
  <c r="N30" i="13"/>
  <c r="O30" i="13"/>
  <c r="P30" i="13"/>
  <c r="Q30" i="13"/>
  <c r="R30" i="13"/>
  <c r="S30" i="13"/>
  <c r="T30" i="13"/>
  <c r="X30" i="13"/>
  <c r="Y30" i="13"/>
  <c r="Z30" i="13"/>
  <c r="AA30" i="13"/>
  <c r="AB30" i="13"/>
  <c r="AC30" i="13"/>
  <c r="AD30" i="13"/>
  <c r="AE30" i="13"/>
  <c r="AF30" i="13"/>
  <c r="AG30" i="13"/>
  <c r="AH30" i="13"/>
  <c r="AI30" i="13"/>
  <c r="AJ30" i="13"/>
  <c r="AK30" i="13"/>
  <c r="AL30" i="13"/>
  <c r="AM30" i="13"/>
  <c r="AO30" i="13"/>
  <c r="K31" i="13"/>
  <c r="L31" i="13"/>
  <c r="M31" i="13"/>
  <c r="N31" i="13"/>
  <c r="O31" i="13"/>
  <c r="P31" i="13"/>
  <c r="Q31" i="13"/>
  <c r="R31" i="13"/>
  <c r="S31" i="13"/>
  <c r="T31" i="13"/>
  <c r="X31" i="13"/>
  <c r="Y31" i="13"/>
  <c r="Z31" i="13"/>
  <c r="AA31" i="13"/>
  <c r="AB31" i="13"/>
  <c r="AC31" i="13"/>
  <c r="AD31" i="13"/>
  <c r="AE31" i="13"/>
  <c r="AF31" i="13"/>
  <c r="AG31" i="13"/>
  <c r="AH31" i="13"/>
  <c r="AI31" i="13"/>
  <c r="AJ31" i="13"/>
  <c r="AK31" i="13"/>
  <c r="AL31" i="13"/>
  <c r="AM31" i="13"/>
  <c r="AO31" i="13"/>
  <c r="K32" i="13"/>
  <c r="L32" i="13"/>
  <c r="M32" i="13"/>
  <c r="N32" i="13"/>
  <c r="O32" i="13"/>
  <c r="P32" i="13"/>
  <c r="Q32" i="13"/>
  <c r="R32" i="13"/>
  <c r="S32" i="13"/>
  <c r="T32" i="13"/>
  <c r="X32" i="13"/>
  <c r="Y32" i="13"/>
  <c r="Z32" i="13"/>
  <c r="AA32" i="13"/>
  <c r="AB32" i="13"/>
  <c r="AC32" i="13"/>
  <c r="AD32" i="13"/>
  <c r="AE32" i="13"/>
  <c r="AF32" i="13"/>
  <c r="AG32" i="13"/>
  <c r="AH32" i="13"/>
  <c r="AI32" i="13"/>
  <c r="AJ32" i="13"/>
  <c r="AK32" i="13"/>
  <c r="AL32" i="13"/>
  <c r="AM32" i="13"/>
  <c r="AO32" i="13"/>
  <c r="K33" i="13"/>
  <c r="L33" i="13"/>
  <c r="M33" i="13"/>
  <c r="N33" i="13"/>
  <c r="O33" i="13"/>
  <c r="P33" i="13"/>
  <c r="Q33" i="13"/>
  <c r="R33" i="13"/>
  <c r="S33" i="13"/>
  <c r="T33" i="13"/>
  <c r="X33" i="13"/>
  <c r="Y33" i="13"/>
  <c r="Z33" i="13"/>
  <c r="AA33" i="13"/>
  <c r="AB33" i="13"/>
  <c r="AC33" i="13"/>
  <c r="AD33" i="13"/>
  <c r="AE33" i="13"/>
  <c r="AF33" i="13"/>
  <c r="AG33" i="13"/>
  <c r="AH33" i="13"/>
  <c r="AI33" i="13"/>
  <c r="AJ33" i="13"/>
  <c r="AK33" i="13"/>
  <c r="AL33" i="13"/>
  <c r="AM33" i="13"/>
  <c r="AO33" i="13"/>
  <c r="K34" i="13"/>
  <c r="L34" i="13"/>
  <c r="M34" i="13"/>
  <c r="N34" i="13"/>
  <c r="O34" i="13"/>
  <c r="P34" i="13"/>
  <c r="Q34" i="13"/>
  <c r="R34" i="13"/>
  <c r="S34" i="13"/>
  <c r="T34" i="13"/>
  <c r="X34" i="13"/>
  <c r="Y34" i="13"/>
  <c r="Z34" i="13"/>
  <c r="AA34" i="13"/>
  <c r="AB34" i="13"/>
  <c r="AC34" i="13"/>
  <c r="AD34" i="13"/>
  <c r="AE34" i="13"/>
  <c r="AF34" i="13"/>
  <c r="AG34" i="13"/>
  <c r="AH34" i="13"/>
  <c r="AI34" i="13"/>
  <c r="AJ34" i="13"/>
  <c r="AK34" i="13"/>
  <c r="AL34" i="13"/>
  <c r="AM34" i="13"/>
  <c r="AO34" i="13"/>
  <c r="K35" i="13"/>
  <c r="L35" i="13"/>
  <c r="M35" i="13"/>
  <c r="N35" i="13"/>
  <c r="O35" i="13"/>
  <c r="P35" i="13"/>
  <c r="Q35" i="13"/>
  <c r="R35" i="13"/>
  <c r="S35" i="13"/>
  <c r="T35" i="13"/>
  <c r="X35" i="13"/>
  <c r="Y35" i="13"/>
  <c r="Z35" i="13"/>
  <c r="AA35" i="13"/>
  <c r="AB35" i="13"/>
  <c r="AC35" i="13"/>
  <c r="AD35" i="13"/>
  <c r="AE35" i="13"/>
  <c r="AF35" i="13"/>
  <c r="AG35" i="13"/>
  <c r="AH35" i="13"/>
  <c r="AI35" i="13"/>
  <c r="AJ35" i="13"/>
  <c r="AK35" i="13"/>
  <c r="AL35" i="13"/>
  <c r="AM35" i="13"/>
  <c r="AO35" i="13"/>
  <c r="K36" i="13"/>
  <c r="L36" i="13"/>
  <c r="M36" i="13"/>
  <c r="N36" i="13"/>
  <c r="O36" i="13"/>
  <c r="P36" i="13"/>
  <c r="Q36" i="13"/>
  <c r="R36" i="13"/>
  <c r="S36" i="13"/>
  <c r="T36" i="13"/>
  <c r="X36" i="13"/>
  <c r="Y36" i="13"/>
  <c r="Z36" i="13"/>
  <c r="AA36" i="13"/>
  <c r="AB36" i="13"/>
  <c r="AC36" i="13"/>
  <c r="AD36" i="13"/>
  <c r="AE36" i="13"/>
  <c r="AF36" i="13"/>
  <c r="AG36" i="13"/>
  <c r="AH36" i="13"/>
  <c r="AI36" i="13"/>
  <c r="AJ36" i="13"/>
  <c r="AK36" i="13"/>
  <c r="AL36" i="13"/>
  <c r="AM36" i="13"/>
  <c r="AO36" i="13"/>
  <c r="K37" i="13"/>
  <c r="L37" i="13"/>
  <c r="M37" i="13"/>
  <c r="N37" i="13"/>
  <c r="O37" i="13"/>
  <c r="P37" i="13"/>
  <c r="Q37" i="13"/>
  <c r="R37" i="13"/>
  <c r="S37" i="13"/>
  <c r="T37" i="13"/>
  <c r="X37" i="13"/>
  <c r="Y37" i="13"/>
  <c r="Z37" i="13"/>
  <c r="AA37" i="13"/>
  <c r="AB37" i="13"/>
  <c r="AC37" i="13"/>
  <c r="AD37" i="13"/>
  <c r="AE37" i="13"/>
  <c r="AF37" i="13"/>
  <c r="AG37" i="13"/>
  <c r="AH37" i="13"/>
  <c r="AI37" i="13"/>
  <c r="AJ37" i="13"/>
  <c r="AK37" i="13"/>
  <c r="AL37" i="13"/>
  <c r="AM37" i="13"/>
  <c r="AO37" i="13"/>
  <c r="K38" i="13"/>
  <c r="L38" i="13"/>
  <c r="M38" i="13"/>
  <c r="N38" i="13"/>
  <c r="O38" i="13"/>
  <c r="P38" i="13"/>
  <c r="Q38" i="13"/>
  <c r="R38" i="13"/>
  <c r="S38" i="13"/>
  <c r="T38" i="13"/>
  <c r="X38" i="13"/>
  <c r="Y38" i="13"/>
  <c r="Z38" i="13"/>
  <c r="AA38" i="13"/>
  <c r="AB38" i="13"/>
  <c r="AC38" i="13"/>
  <c r="AD38" i="13"/>
  <c r="AE38" i="13"/>
  <c r="AF38" i="13"/>
  <c r="AG38" i="13"/>
  <c r="AH38" i="13"/>
  <c r="AI38" i="13"/>
  <c r="AJ38" i="13"/>
  <c r="AK38" i="13"/>
  <c r="AL38" i="13"/>
  <c r="AM38" i="13"/>
  <c r="AO38" i="13"/>
  <c r="K39" i="13"/>
  <c r="L39" i="13"/>
  <c r="M39" i="13"/>
  <c r="N39" i="13"/>
  <c r="O39" i="13"/>
  <c r="P39" i="13"/>
  <c r="Q39" i="13"/>
  <c r="R39" i="13"/>
  <c r="S39" i="13"/>
  <c r="T39" i="13"/>
  <c r="X39" i="13"/>
  <c r="Y39" i="13"/>
  <c r="Z39" i="13"/>
  <c r="AA39" i="13"/>
  <c r="AB39" i="13"/>
  <c r="AC39" i="13"/>
  <c r="AD39" i="13"/>
  <c r="AE39" i="13"/>
  <c r="AF39" i="13"/>
  <c r="AG39" i="13"/>
  <c r="AH39" i="13"/>
  <c r="AI39" i="13"/>
  <c r="AJ39" i="13"/>
  <c r="AK39" i="13"/>
  <c r="AL39" i="13"/>
  <c r="AM39" i="13"/>
  <c r="AO39" i="13"/>
  <c r="K40" i="13"/>
  <c r="L40" i="13"/>
  <c r="M40" i="13"/>
  <c r="N40" i="13"/>
  <c r="O40" i="13"/>
  <c r="P40" i="13"/>
  <c r="Q40" i="13"/>
  <c r="R40" i="13"/>
  <c r="S40" i="13"/>
  <c r="T40" i="13"/>
  <c r="X40" i="13"/>
  <c r="Y40" i="13"/>
  <c r="Z40" i="13"/>
  <c r="AA40" i="13"/>
  <c r="AB40" i="13"/>
  <c r="AC40" i="13"/>
  <c r="AD40" i="13"/>
  <c r="AE40" i="13"/>
  <c r="AF40" i="13"/>
  <c r="AG40" i="13"/>
  <c r="AH40" i="13"/>
  <c r="AI40" i="13"/>
  <c r="AJ40" i="13"/>
  <c r="AK40" i="13"/>
  <c r="AL40" i="13"/>
  <c r="AM40" i="13"/>
  <c r="AO40" i="13"/>
  <c r="K41" i="13"/>
  <c r="L41" i="13"/>
  <c r="M41" i="13"/>
  <c r="N41" i="13"/>
  <c r="O41" i="13"/>
  <c r="P41" i="13"/>
  <c r="Q41" i="13"/>
  <c r="R41" i="13"/>
  <c r="S41" i="13"/>
  <c r="T41" i="13"/>
  <c r="X41" i="13"/>
  <c r="Y41" i="13"/>
  <c r="Z41" i="13"/>
  <c r="AA41" i="13"/>
  <c r="AB41" i="13"/>
  <c r="AC41" i="13"/>
  <c r="AD41" i="13"/>
  <c r="AE41" i="13"/>
  <c r="AF41" i="13"/>
  <c r="AG41" i="13"/>
  <c r="AH41" i="13"/>
  <c r="AI41" i="13"/>
  <c r="AJ41" i="13"/>
  <c r="AK41" i="13"/>
  <c r="AL41" i="13"/>
  <c r="AM41" i="13"/>
  <c r="AO41" i="13"/>
  <c r="K42" i="13"/>
  <c r="L42" i="13"/>
  <c r="M42" i="13"/>
  <c r="N42" i="13"/>
  <c r="O42" i="13"/>
  <c r="P42" i="13"/>
  <c r="Q42" i="13"/>
  <c r="R42" i="13"/>
  <c r="S42" i="13"/>
  <c r="T42" i="13"/>
  <c r="X42" i="13"/>
  <c r="Y42" i="13"/>
  <c r="Z42" i="13"/>
  <c r="AA42" i="13"/>
  <c r="AB42" i="13"/>
  <c r="AC42" i="13"/>
  <c r="AD42" i="13"/>
  <c r="AE42" i="13"/>
  <c r="AF42" i="13"/>
  <c r="AG42" i="13"/>
  <c r="AH42" i="13"/>
  <c r="AI42" i="13"/>
  <c r="AJ42" i="13"/>
  <c r="AK42" i="13"/>
  <c r="AL42" i="13"/>
  <c r="AM42" i="13"/>
  <c r="AO42" i="13"/>
  <c r="K43" i="13"/>
  <c r="L43" i="13"/>
  <c r="M43" i="13"/>
  <c r="N43" i="13"/>
  <c r="O43" i="13"/>
  <c r="P43" i="13"/>
  <c r="Q43" i="13"/>
  <c r="R43" i="13"/>
  <c r="S43" i="13"/>
  <c r="T43" i="13"/>
  <c r="X43" i="13"/>
  <c r="Y43" i="13"/>
  <c r="Z43" i="13"/>
  <c r="AA43" i="13"/>
  <c r="AB43" i="13"/>
  <c r="AC43" i="13"/>
  <c r="AD43" i="13"/>
  <c r="AE43" i="13"/>
  <c r="AF43" i="13"/>
  <c r="AG43" i="13"/>
  <c r="AH43" i="13"/>
  <c r="AI43" i="13"/>
  <c r="AJ43" i="13"/>
  <c r="AK43" i="13"/>
  <c r="AL43" i="13"/>
  <c r="AM43" i="13"/>
  <c r="AO43" i="13"/>
  <c r="K44" i="13"/>
  <c r="L44" i="13"/>
  <c r="M44" i="13"/>
  <c r="N44" i="13"/>
  <c r="O44" i="13"/>
  <c r="P44" i="13"/>
  <c r="Q44" i="13"/>
  <c r="R44" i="13"/>
  <c r="S44" i="13"/>
  <c r="T44" i="13"/>
  <c r="X44" i="13"/>
  <c r="Y44" i="13"/>
  <c r="Z44" i="13"/>
  <c r="AA44" i="13"/>
  <c r="AB44" i="13"/>
  <c r="AC44" i="13"/>
  <c r="AD44" i="13"/>
  <c r="AE44" i="13"/>
  <c r="AF44" i="13"/>
  <c r="AG44" i="13"/>
  <c r="AH44" i="13"/>
  <c r="AI44" i="13"/>
  <c r="AJ44" i="13"/>
  <c r="AK44" i="13"/>
  <c r="AL44" i="13"/>
  <c r="AM44" i="13"/>
  <c r="AO44" i="13"/>
  <c r="K45" i="13"/>
  <c r="L45" i="13"/>
  <c r="M45" i="13"/>
  <c r="N45" i="13"/>
  <c r="O45" i="13"/>
  <c r="P45" i="13"/>
  <c r="Q45" i="13"/>
  <c r="R45" i="13"/>
  <c r="S45" i="13"/>
  <c r="T45" i="13"/>
  <c r="X45" i="13"/>
  <c r="Y45" i="13"/>
  <c r="Z45" i="13"/>
  <c r="AA45" i="13"/>
  <c r="AB45" i="13"/>
  <c r="AC45" i="13"/>
  <c r="AD45" i="13"/>
  <c r="AE45" i="13"/>
  <c r="AF45" i="13"/>
  <c r="AG45" i="13"/>
  <c r="AH45" i="13"/>
  <c r="AI45" i="13"/>
  <c r="AJ45" i="13"/>
  <c r="AK45" i="13"/>
  <c r="AL45" i="13"/>
  <c r="AM45" i="13"/>
  <c r="AO45" i="13"/>
  <c r="K46" i="13"/>
  <c r="L46" i="13"/>
  <c r="M46" i="13"/>
  <c r="N46" i="13"/>
  <c r="O46" i="13"/>
  <c r="P46" i="13"/>
  <c r="Q46" i="13"/>
  <c r="R46" i="13"/>
  <c r="S46" i="13"/>
  <c r="T46" i="13"/>
  <c r="X46" i="13"/>
  <c r="Y46" i="13"/>
  <c r="Z46" i="13"/>
  <c r="AA46" i="13"/>
  <c r="AB46" i="13"/>
  <c r="AC46" i="13"/>
  <c r="AD46" i="13"/>
  <c r="AE46" i="13"/>
  <c r="AF46" i="13"/>
  <c r="AG46" i="13"/>
  <c r="AH46" i="13"/>
  <c r="AI46" i="13"/>
  <c r="AJ46" i="13"/>
  <c r="AK46" i="13"/>
  <c r="AL46" i="13"/>
  <c r="AM46" i="13"/>
  <c r="AO46" i="13"/>
  <c r="K47" i="13"/>
  <c r="L47" i="13"/>
  <c r="M47" i="13"/>
  <c r="N47" i="13"/>
  <c r="O47" i="13"/>
  <c r="P47" i="13"/>
  <c r="Q47" i="13"/>
  <c r="R47" i="13"/>
  <c r="S47" i="13"/>
  <c r="T47" i="13"/>
  <c r="X47" i="13"/>
  <c r="Y47" i="13"/>
  <c r="Z47" i="13"/>
  <c r="AA47" i="13"/>
  <c r="AB47" i="13"/>
  <c r="AC47" i="13"/>
  <c r="AD47" i="13"/>
  <c r="AE47" i="13"/>
  <c r="AF47" i="13"/>
  <c r="AG47" i="13"/>
  <c r="AH47" i="13"/>
  <c r="AI47" i="13"/>
  <c r="AJ47" i="13"/>
  <c r="AK47" i="13"/>
  <c r="AL47" i="13"/>
  <c r="AM47" i="13"/>
  <c r="AO47" i="13"/>
  <c r="K48" i="13"/>
  <c r="L48" i="13"/>
  <c r="M48" i="13"/>
  <c r="N48" i="13"/>
  <c r="O48" i="13"/>
  <c r="P48" i="13"/>
  <c r="Q48" i="13"/>
  <c r="R48" i="13"/>
  <c r="S48" i="13"/>
  <c r="T48" i="13"/>
  <c r="X48" i="13"/>
  <c r="Y48" i="13"/>
  <c r="Z48" i="13"/>
  <c r="AA48" i="13"/>
  <c r="AB48" i="13"/>
  <c r="AC48" i="13"/>
  <c r="AD48" i="13"/>
  <c r="AE48" i="13"/>
  <c r="AF48" i="13"/>
  <c r="AG48" i="13"/>
  <c r="AH48" i="13"/>
  <c r="AI48" i="13"/>
  <c r="AJ48" i="13"/>
  <c r="AK48" i="13"/>
  <c r="AL48" i="13"/>
  <c r="AM48" i="13"/>
  <c r="AO48" i="13"/>
  <c r="K49" i="13"/>
  <c r="L49" i="13"/>
  <c r="M49" i="13"/>
  <c r="N49" i="13"/>
  <c r="O49" i="13"/>
  <c r="P49" i="13"/>
  <c r="Q49" i="13"/>
  <c r="R49" i="13"/>
  <c r="S49" i="13"/>
  <c r="T49" i="13"/>
  <c r="X49" i="13"/>
  <c r="Y49" i="13"/>
  <c r="Z49" i="13"/>
  <c r="AA49" i="13"/>
  <c r="AB49" i="13"/>
  <c r="AC49" i="13"/>
  <c r="AD49" i="13"/>
  <c r="AE49" i="13"/>
  <c r="AF49" i="13"/>
  <c r="AG49" i="13"/>
  <c r="AH49" i="13"/>
  <c r="AI49" i="13"/>
  <c r="AJ49" i="13"/>
  <c r="AK49" i="13"/>
  <c r="AL49" i="13"/>
  <c r="AM49" i="13"/>
  <c r="AO49" i="13"/>
  <c r="K50" i="13"/>
  <c r="L50" i="13"/>
  <c r="M50" i="13"/>
  <c r="N50" i="13"/>
  <c r="O50" i="13"/>
  <c r="P50" i="13"/>
  <c r="Q50" i="13"/>
  <c r="R50" i="13"/>
  <c r="S50" i="13"/>
  <c r="T50" i="13"/>
  <c r="X50" i="13"/>
  <c r="Y50" i="13"/>
  <c r="Z50" i="13"/>
  <c r="AA50" i="13"/>
  <c r="AB50" i="13"/>
  <c r="AC50" i="13"/>
  <c r="AD50" i="13"/>
  <c r="AE50" i="13"/>
  <c r="AF50" i="13"/>
  <c r="AG50" i="13"/>
  <c r="AH50" i="13"/>
  <c r="AI50" i="13"/>
  <c r="AJ50" i="13"/>
  <c r="AK50" i="13"/>
  <c r="AL50" i="13"/>
  <c r="AM50" i="13"/>
  <c r="AO50" i="13"/>
  <c r="K51" i="13"/>
  <c r="L51" i="13"/>
  <c r="M51" i="13"/>
  <c r="N51" i="13"/>
  <c r="O51" i="13"/>
  <c r="P51" i="13"/>
  <c r="Q51" i="13"/>
  <c r="R51" i="13"/>
  <c r="S51" i="13"/>
  <c r="T51" i="13"/>
  <c r="X51" i="13"/>
  <c r="Y51" i="13"/>
  <c r="Z51" i="13"/>
  <c r="AA51" i="13"/>
  <c r="AB51" i="13"/>
  <c r="AC51" i="13"/>
  <c r="AD51" i="13"/>
  <c r="AE51" i="13"/>
  <c r="AF51" i="13"/>
  <c r="AG51" i="13"/>
  <c r="AH51" i="13"/>
  <c r="AI51" i="13"/>
  <c r="AJ51" i="13"/>
  <c r="AK51" i="13"/>
  <c r="AL51" i="13"/>
  <c r="AM51" i="13"/>
  <c r="AO51" i="13"/>
  <c r="K52" i="13"/>
  <c r="L52" i="13"/>
  <c r="M52" i="13"/>
  <c r="N52" i="13"/>
  <c r="O52" i="13"/>
  <c r="P52" i="13"/>
  <c r="Q52" i="13"/>
  <c r="R52" i="13"/>
  <c r="S52" i="13"/>
  <c r="T52" i="13"/>
  <c r="X52" i="13"/>
  <c r="Y52" i="13"/>
  <c r="Z52" i="13"/>
  <c r="AA52" i="13"/>
  <c r="AB52" i="13"/>
  <c r="AC52" i="13"/>
  <c r="AD52" i="13"/>
  <c r="AE52" i="13"/>
  <c r="AF52" i="13"/>
  <c r="AG52" i="13"/>
  <c r="AH52" i="13"/>
  <c r="AI52" i="13"/>
  <c r="AJ52" i="13"/>
  <c r="AK52" i="13"/>
  <c r="AL52" i="13"/>
  <c r="AM52" i="13"/>
  <c r="AO52" i="13"/>
  <c r="K53" i="13"/>
  <c r="L53" i="13"/>
  <c r="M53" i="13"/>
  <c r="N53" i="13"/>
  <c r="O53" i="13"/>
  <c r="P53" i="13"/>
  <c r="Q53" i="13"/>
  <c r="R53" i="13"/>
  <c r="S53" i="13"/>
  <c r="T53" i="13"/>
  <c r="X53" i="13"/>
  <c r="Y53" i="13"/>
  <c r="Z53" i="13"/>
  <c r="AA53" i="13"/>
  <c r="AB53" i="13"/>
  <c r="AC53" i="13"/>
  <c r="AD53" i="13"/>
  <c r="AE53" i="13"/>
  <c r="AF53" i="13"/>
  <c r="AG53" i="13"/>
  <c r="AH53" i="13"/>
  <c r="AI53" i="13"/>
  <c r="AJ53" i="13"/>
  <c r="AK53" i="13"/>
  <c r="AL53" i="13"/>
  <c r="AM53" i="13"/>
  <c r="AO53" i="13"/>
  <c r="K54" i="13"/>
  <c r="L54" i="13"/>
  <c r="M54" i="13"/>
  <c r="N54" i="13"/>
  <c r="O54" i="13"/>
  <c r="P54" i="13"/>
  <c r="Q54" i="13"/>
  <c r="R54" i="13"/>
  <c r="S54" i="13"/>
  <c r="T54" i="13"/>
  <c r="X54" i="13"/>
  <c r="Y54" i="13"/>
  <c r="Z54" i="13"/>
  <c r="AA54" i="13"/>
  <c r="AB54" i="13"/>
  <c r="AC54" i="13"/>
  <c r="AD54" i="13"/>
  <c r="AE54" i="13"/>
  <c r="AF54" i="13"/>
  <c r="AG54" i="13"/>
  <c r="AH54" i="13"/>
  <c r="AI54" i="13"/>
  <c r="AJ54" i="13"/>
  <c r="AK54" i="13"/>
  <c r="AL54" i="13"/>
  <c r="AM54" i="13"/>
  <c r="AO54" i="13"/>
  <c r="K55" i="13"/>
  <c r="L55" i="13"/>
  <c r="M55" i="13"/>
  <c r="N55" i="13"/>
  <c r="O55" i="13"/>
  <c r="P55" i="13"/>
  <c r="Q55" i="13"/>
  <c r="R55" i="13"/>
  <c r="S55" i="13"/>
  <c r="T55" i="13"/>
  <c r="X55" i="13"/>
  <c r="Y55" i="13"/>
  <c r="Z55" i="13"/>
  <c r="AA55" i="13"/>
  <c r="AB55" i="13"/>
  <c r="AC55" i="13"/>
  <c r="AD55" i="13"/>
  <c r="AE55" i="13"/>
  <c r="AF55" i="13"/>
  <c r="AG55" i="13"/>
  <c r="AH55" i="13"/>
  <c r="AI55" i="13"/>
  <c r="AJ55" i="13"/>
  <c r="AK55" i="13"/>
  <c r="AL55" i="13"/>
  <c r="AM55" i="13"/>
  <c r="AO55" i="13"/>
  <c r="K56" i="13"/>
  <c r="L56" i="13"/>
  <c r="M56" i="13"/>
  <c r="N56" i="13"/>
  <c r="O56" i="13"/>
  <c r="P56" i="13"/>
  <c r="Q56" i="13"/>
  <c r="R56" i="13"/>
  <c r="S56" i="13"/>
  <c r="T56" i="13"/>
  <c r="X56" i="13"/>
  <c r="Y56" i="13"/>
  <c r="Z56" i="13"/>
  <c r="AA56" i="13"/>
  <c r="AB56" i="13"/>
  <c r="AC56" i="13"/>
  <c r="AD56" i="13"/>
  <c r="AE56" i="13"/>
  <c r="AF56" i="13"/>
  <c r="AG56" i="13"/>
  <c r="AH56" i="13"/>
  <c r="AI56" i="13"/>
  <c r="AJ56" i="13"/>
  <c r="AK56" i="13"/>
  <c r="AL56" i="13"/>
  <c r="AM56" i="13"/>
  <c r="AO56" i="13"/>
  <c r="K57" i="13"/>
  <c r="L57" i="13"/>
  <c r="M57" i="13"/>
  <c r="N57" i="13"/>
  <c r="O57" i="13"/>
  <c r="P57" i="13"/>
  <c r="Q57" i="13"/>
  <c r="R57" i="13"/>
  <c r="S57" i="13"/>
  <c r="T57" i="13"/>
  <c r="X57" i="13"/>
  <c r="Y57" i="13"/>
  <c r="Z57" i="13"/>
  <c r="AA57" i="13"/>
  <c r="AB57" i="13"/>
  <c r="AC57" i="13"/>
  <c r="AD57" i="13"/>
  <c r="AE57" i="13"/>
  <c r="AF57" i="13"/>
  <c r="AG57" i="13"/>
  <c r="AH57" i="13"/>
  <c r="AI57" i="13"/>
  <c r="AJ57" i="13"/>
  <c r="AK57" i="13"/>
  <c r="AL57" i="13"/>
  <c r="AM57" i="13"/>
  <c r="AO57" i="13"/>
  <c r="K58" i="13"/>
  <c r="L58" i="13"/>
  <c r="M58" i="13"/>
  <c r="N58" i="13"/>
  <c r="O58" i="13"/>
  <c r="P58" i="13"/>
  <c r="Q58" i="13"/>
  <c r="R58" i="13"/>
  <c r="S58" i="13"/>
  <c r="T58" i="13"/>
  <c r="X58" i="13"/>
  <c r="Y58" i="13"/>
  <c r="Z58" i="13"/>
  <c r="AA58" i="13"/>
  <c r="AB58" i="13"/>
  <c r="AC58" i="13"/>
  <c r="AD58" i="13"/>
  <c r="AE58" i="13"/>
  <c r="AF58" i="13"/>
  <c r="AG58" i="13"/>
  <c r="AH58" i="13"/>
  <c r="AI58" i="13"/>
  <c r="AJ58" i="13"/>
  <c r="AK58" i="13"/>
  <c r="AL58" i="13"/>
  <c r="AM58" i="13"/>
  <c r="AO58" i="13"/>
  <c r="K59" i="13"/>
  <c r="L59" i="13"/>
  <c r="M59" i="13"/>
  <c r="N59" i="13"/>
  <c r="O59" i="13"/>
  <c r="P59" i="13"/>
  <c r="Q59" i="13"/>
  <c r="R59" i="13"/>
  <c r="S59" i="13"/>
  <c r="T59" i="13"/>
  <c r="X59" i="13"/>
  <c r="Y59" i="13"/>
  <c r="Z59" i="13"/>
  <c r="AA59" i="13"/>
  <c r="AB59" i="13"/>
  <c r="AC59" i="13"/>
  <c r="AD59" i="13"/>
  <c r="AE59" i="13"/>
  <c r="AF59" i="13"/>
  <c r="AG59" i="13"/>
  <c r="AH59" i="13"/>
  <c r="AI59" i="13"/>
  <c r="AJ59" i="13"/>
  <c r="AK59" i="13"/>
  <c r="AL59" i="13"/>
  <c r="AM59" i="13"/>
  <c r="AO59" i="13"/>
  <c r="K60" i="13"/>
  <c r="L60" i="13"/>
  <c r="M60" i="13"/>
  <c r="N60" i="13"/>
  <c r="O60" i="13"/>
  <c r="P60" i="13"/>
  <c r="Q60" i="13"/>
  <c r="R60" i="13"/>
  <c r="S60" i="13"/>
  <c r="T60" i="13"/>
  <c r="X60" i="13"/>
  <c r="Y60" i="13"/>
  <c r="Z60" i="13"/>
  <c r="AA60" i="13"/>
  <c r="AB60" i="13"/>
  <c r="AC60" i="13"/>
  <c r="AD60" i="13"/>
  <c r="AE60" i="13"/>
  <c r="AF60" i="13"/>
  <c r="AG60" i="13"/>
  <c r="AH60" i="13"/>
  <c r="AI60" i="13"/>
  <c r="AJ60" i="13"/>
  <c r="AK60" i="13"/>
  <c r="AL60" i="13"/>
  <c r="AM60" i="13"/>
  <c r="AO60" i="13"/>
  <c r="K61" i="13"/>
  <c r="L61" i="13"/>
  <c r="M61" i="13"/>
  <c r="N61" i="13"/>
  <c r="O61" i="13"/>
  <c r="P61" i="13"/>
  <c r="Q61" i="13"/>
  <c r="R61" i="13"/>
  <c r="S61" i="13"/>
  <c r="T61" i="13"/>
  <c r="X61" i="13"/>
  <c r="Y61" i="13"/>
  <c r="Z61" i="13"/>
  <c r="AA61" i="13"/>
  <c r="AB61" i="13"/>
  <c r="AC61" i="13"/>
  <c r="AD61" i="13"/>
  <c r="AE61" i="13"/>
  <c r="AF61" i="13"/>
  <c r="AG61" i="13"/>
  <c r="AH61" i="13"/>
  <c r="AI61" i="13"/>
  <c r="AJ61" i="13"/>
  <c r="AK61" i="13"/>
  <c r="AL61" i="13"/>
  <c r="AM61" i="13"/>
  <c r="AO61" i="13"/>
  <c r="K62" i="13"/>
  <c r="L62" i="13"/>
  <c r="M62" i="13"/>
  <c r="N62" i="13"/>
  <c r="O62" i="13"/>
  <c r="P62" i="13"/>
  <c r="Q62" i="13"/>
  <c r="R62" i="13"/>
  <c r="S62" i="13"/>
  <c r="T62" i="13"/>
  <c r="X62" i="13"/>
  <c r="Y62" i="13"/>
  <c r="Z62" i="13"/>
  <c r="AA62" i="13"/>
  <c r="AB62" i="13"/>
  <c r="AC62" i="13"/>
  <c r="AD62" i="13"/>
  <c r="AE62" i="13"/>
  <c r="AF62" i="13"/>
  <c r="AG62" i="13"/>
  <c r="AH62" i="13"/>
  <c r="AI62" i="13"/>
  <c r="AJ62" i="13"/>
  <c r="AK62" i="13"/>
  <c r="AL62" i="13"/>
  <c r="AM62" i="13"/>
  <c r="AO62" i="13"/>
  <c r="K63" i="13"/>
  <c r="L63" i="13"/>
  <c r="M63" i="13"/>
  <c r="N63" i="13"/>
  <c r="O63" i="13"/>
  <c r="P63" i="13"/>
  <c r="Q63" i="13"/>
  <c r="R63" i="13"/>
  <c r="S63" i="13"/>
  <c r="T63" i="13"/>
  <c r="X63" i="13"/>
  <c r="Y63" i="13"/>
  <c r="Z63" i="13"/>
  <c r="AA63" i="13"/>
  <c r="AB63" i="13"/>
  <c r="AC63" i="13"/>
  <c r="AD63" i="13"/>
  <c r="AE63" i="13"/>
  <c r="AF63" i="13"/>
  <c r="AG63" i="13"/>
  <c r="AH63" i="13"/>
  <c r="AI63" i="13"/>
  <c r="AJ63" i="13"/>
  <c r="AK63" i="13"/>
  <c r="AL63" i="13"/>
  <c r="AM63" i="13"/>
  <c r="AO63" i="13"/>
  <c r="K64" i="13"/>
  <c r="L64" i="13"/>
  <c r="M64" i="13"/>
  <c r="N64" i="13"/>
  <c r="O64" i="13"/>
  <c r="P64" i="13"/>
  <c r="Q64" i="13"/>
  <c r="R64" i="13"/>
  <c r="S64" i="13"/>
  <c r="T64" i="13"/>
  <c r="X64" i="13"/>
  <c r="Y64" i="13"/>
  <c r="Z64" i="13"/>
  <c r="AA64" i="13"/>
  <c r="AB64" i="13"/>
  <c r="AC64" i="13"/>
  <c r="AD64" i="13"/>
  <c r="AE64" i="13"/>
  <c r="AF64" i="13"/>
  <c r="AG64" i="13"/>
  <c r="AH64" i="13"/>
  <c r="AI64" i="13"/>
  <c r="AJ64" i="13"/>
  <c r="AK64" i="13"/>
  <c r="AL64" i="13"/>
  <c r="AM64" i="13"/>
  <c r="AO64" i="13"/>
  <c r="K65" i="13"/>
  <c r="L65" i="13"/>
  <c r="M65" i="13"/>
  <c r="N65" i="13"/>
  <c r="O65" i="13"/>
  <c r="P65" i="13"/>
  <c r="Q65" i="13"/>
  <c r="R65" i="13"/>
  <c r="S65" i="13"/>
  <c r="T65" i="13"/>
  <c r="X65" i="13"/>
  <c r="Y65" i="13"/>
  <c r="Z65" i="13"/>
  <c r="AA65" i="13"/>
  <c r="AB65" i="13"/>
  <c r="AC65" i="13"/>
  <c r="AD65" i="13"/>
  <c r="AE65" i="13"/>
  <c r="AF65" i="13"/>
  <c r="AG65" i="13"/>
  <c r="AH65" i="13"/>
  <c r="AI65" i="13"/>
  <c r="AJ65" i="13"/>
  <c r="AK65" i="13"/>
  <c r="AL65" i="13"/>
  <c r="AM65" i="13"/>
  <c r="AO65" i="13"/>
  <c r="K66" i="13"/>
  <c r="L66" i="13"/>
  <c r="M66" i="13"/>
  <c r="N66" i="13"/>
  <c r="O66" i="13"/>
  <c r="P66" i="13"/>
  <c r="Q66" i="13"/>
  <c r="R66" i="13"/>
  <c r="S66" i="13"/>
  <c r="T66" i="13"/>
  <c r="X66" i="13"/>
  <c r="Y66" i="13"/>
  <c r="Z66" i="13"/>
  <c r="AA66" i="13"/>
  <c r="AB66" i="13"/>
  <c r="AC66" i="13"/>
  <c r="AD66" i="13"/>
  <c r="AE66" i="13"/>
  <c r="AF66" i="13"/>
  <c r="AG66" i="13"/>
  <c r="AH66" i="13"/>
  <c r="AI66" i="13"/>
  <c r="AJ66" i="13"/>
  <c r="AK66" i="13"/>
  <c r="AL66" i="13"/>
  <c r="AM66" i="13"/>
  <c r="AO66" i="13"/>
  <c r="K67" i="13"/>
  <c r="L67" i="13"/>
  <c r="M67" i="13"/>
  <c r="N67" i="13"/>
  <c r="O67" i="13"/>
  <c r="P67" i="13"/>
  <c r="Q67" i="13"/>
  <c r="R67" i="13"/>
  <c r="S67" i="13"/>
  <c r="T67" i="13"/>
  <c r="X67" i="13"/>
  <c r="Y67" i="13"/>
  <c r="Z67" i="13"/>
  <c r="AA67" i="13"/>
  <c r="AB67" i="13"/>
  <c r="AC67" i="13"/>
  <c r="AD67" i="13"/>
  <c r="AE67" i="13"/>
  <c r="AF67" i="13"/>
  <c r="AG67" i="13"/>
  <c r="AH67" i="13"/>
  <c r="AI67" i="13"/>
  <c r="AJ67" i="13"/>
  <c r="AK67" i="13"/>
  <c r="AL67" i="13"/>
  <c r="AM67" i="13"/>
  <c r="AO67" i="13"/>
  <c r="K68" i="13"/>
  <c r="L68" i="13"/>
  <c r="M68" i="13"/>
  <c r="N68" i="13"/>
  <c r="O68" i="13"/>
  <c r="P68" i="13"/>
  <c r="Q68" i="13"/>
  <c r="R68" i="13"/>
  <c r="S68" i="13"/>
  <c r="T68" i="13"/>
  <c r="X68" i="13"/>
  <c r="Y68" i="13"/>
  <c r="Z68" i="13"/>
  <c r="AA68" i="13"/>
  <c r="AB68" i="13"/>
  <c r="AC68" i="13"/>
  <c r="AD68" i="13"/>
  <c r="AE68" i="13"/>
  <c r="AF68" i="13"/>
  <c r="AG68" i="13"/>
  <c r="AH68" i="13"/>
  <c r="AI68" i="13"/>
  <c r="AJ68" i="13"/>
  <c r="AK68" i="13"/>
  <c r="AL68" i="13"/>
  <c r="AM68" i="13"/>
  <c r="AO68" i="13"/>
  <c r="K69" i="13"/>
  <c r="L69" i="13"/>
  <c r="M69" i="13"/>
  <c r="N69" i="13"/>
  <c r="O69" i="13"/>
  <c r="P69" i="13"/>
  <c r="Q69" i="13"/>
  <c r="R69" i="13"/>
  <c r="S69" i="13"/>
  <c r="T69" i="13"/>
  <c r="X69" i="13"/>
  <c r="Y69" i="13"/>
  <c r="Z69" i="13"/>
  <c r="AA69" i="13"/>
  <c r="AB69" i="13"/>
  <c r="AC69" i="13"/>
  <c r="AD69" i="13"/>
  <c r="AE69" i="13"/>
  <c r="AF69" i="13"/>
  <c r="AG69" i="13"/>
  <c r="AH69" i="13"/>
  <c r="AI69" i="13"/>
  <c r="AJ69" i="13"/>
  <c r="AK69" i="13"/>
  <c r="AL69" i="13"/>
  <c r="AM69" i="13"/>
  <c r="AO69" i="13"/>
  <c r="K70" i="13"/>
  <c r="L70" i="13"/>
  <c r="M70" i="13"/>
  <c r="N70" i="13"/>
  <c r="O70" i="13"/>
  <c r="P70" i="13"/>
  <c r="Q70" i="13"/>
  <c r="R70" i="13"/>
  <c r="S70" i="13"/>
  <c r="T70" i="13"/>
  <c r="X70" i="13"/>
  <c r="Y70" i="13"/>
  <c r="Z70" i="13"/>
  <c r="AA70" i="13"/>
  <c r="AB70" i="13"/>
  <c r="AC70" i="13"/>
  <c r="AD70" i="13"/>
  <c r="AE70" i="13"/>
  <c r="AF70" i="13"/>
  <c r="AG70" i="13"/>
  <c r="AH70" i="13"/>
  <c r="AJ70" i="13"/>
  <c r="AK70" i="13"/>
  <c r="AL70" i="13"/>
  <c r="AM70" i="13"/>
  <c r="AO70" i="13"/>
  <c r="K71" i="13"/>
  <c r="L71" i="13"/>
  <c r="M71" i="13"/>
  <c r="N71" i="13"/>
  <c r="O71" i="13"/>
  <c r="P71" i="13"/>
  <c r="Q71" i="13"/>
  <c r="R71" i="13"/>
  <c r="S71" i="13"/>
  <c r="T71" i="13"/>
  <c r="X71" i="13"/>
  <c r="Y71" i="13"/>
  <c r="Z71" i="13"/>
  <c r="AA71" i="13"/>
  <c r="AB71" i="13"/>
  <c r="AC71" i="13"/>
  <c r="AD71" i="13"/>
  <c r="AE71" i="13"/>
  <c r="AF71" i="13"/>
  <c r="AG71" i="13"/>
  <c r="AH71" i="13"/>
  <c r="AI71" i="13"/>
  <c r="AJ71" i="13"/>
  <c r="AK71" i="13"/>
  <c r="AL71" i="13"/>
  <c r="AM71" i="13"/>
  <c r="AO71" i="13"/>
  <c r="K72" i="13"/>
  <c r="L72" i="13"/>
  <c r="M72" i="13"/>
  <c r="N72" i="13"/>
  <c r="O72" i="13"/>
  <c r="P72" i="13"/>
  <c r="Q72" i="13"/>
  <c r="R72" i="13"/>
  <c r="S72" i="13"/>
  <c r="T72" i="13"/>
  <c r="X72" i="13"/>
  <c r="Y72" i="13"/>
  <c r="Z72" i="13"/>
  <c r="AA72" i="13"/>
  <c r="AB72" i="13"/>
  <c r="AC72" i="13"/>
  <c r="AD72" i="13"/>
  <c r="AE72" i="13"/>
  <c r="AF72" i="13"/>
  <c r="AG72" i="13"/>
  <c r="AH72" i="13"/>
  <c r="AI72" i="13"/>
  <c r="AJ72" i="13"/>
  <c r="AK72" i="13"/>
  <c r="AL72" i="13"/>
  <c r="AM72" i="13"/>
  <c r="AO72" i="13"/>
  <c r="K73" i="13"/>
  <c r="L73" i="13"/>
  <c r="M73" i="13"/>
  <c r="N73" i="13"/>
  <c r="O73" i="13"/>
  <c r="P73" i="13"/>
  <c r="Q73" i="13"/>
  <c r="R73" i="13"/>
  <c r="S73" i="13"/>
  <c r="T73" i="13"/>
  <c r="X73" i="13"/>
  <c r="Y73" i="13"/>
  <c r="Z73" i="13"/>
  <c r="AA73" i="13"/>
  <c r="AB73" i="13"/>
  <c r="AC73" i="13"/>
  <c r="AD73" i="13"/>
  <c r="AE73" i="13"/>
  <c r="AF73" i="13"/>
  <c r="AG73" i="13"/>
  <c r="AH73" i="13"/>
  <c r="AI73" i="13"/>
  <c r="AJ73" i="13"/>
  <c r="AK73" i="13"/>
  <c r="AL73" i="13"/>
  <c r="AM73" i="13"/>
  <c r="AO73" i="13"/>
  <c r="K74" i="13"/>
  <c r="L74" i="13"/>
  <c r="M74" i="13"/>
  <c r="N74" i="13"/>
  <c r="O74" i="13"/>
  <c r="P74" i="13"/>
  <c r="Q74" i="13"/>
  <c r="R74" i="13"/>
  <c r="S74" i="13"/>
  <c r="T74" i="13"/>
  <c r="X74" i="13"/>
  <c r="Y74" i="13"/>
  <c r="Z74" i="13"/>
  <c r="AA74" i="13"/>
  <c r="AB74" i="13"/>
  <c r="AC74" i="13"/>
  <c r="AD74" i="13"/>
  <c r="AE74" i="13"/>
  <c r="AF74" i="13"/>
  <c r="AG74" i="13"/>
  <c r="AH74" i="13"/>
  <c r="AI74" i="13"/>
  <c r="AJ74" i="13"/>
  <c r="AK74" i="13"/>
  <c r="AL74" i="13"/>
  <c r="AM74" i="13"/>
  <c r="AO74" i="13"/>
  <c r="K75" i="13"/>
  <c r="L75" i="13"/>
  <c r="M75" i="13"/>
  <c r="N75" i="13"/>
  <c r="O75" i="13"/>
  <c r="P75" i="13"/>
  <c r="Q75" i="13"/>
  <c r="R75" i="13"/>
  <c r="S75" i="13"/>
  <c r="T75" i="13"/>
  <c r="X75" i="13"/>
  <c r="Y75" i="13"/>
  <c r="Z75" i="13"/>
  <c r="AA75" i="13"/>
  <c r="AB75" i="13"/>
  <c r="AC75" i="13"/>
  <c r="AD75" i="13"/>
  <c r="AE75" i="13"/>
  <c r="AF75" i="13"/>
  <c r="AG75" i="13"/>
  <c r="AH75" i="13"/>
  <c r="AI75" i="13"/>
  <c r="AJ75" i="13"/>
  <c r="AK75" i="13"/>
  <c r="AL75" i="13"/>
  <c r="AM75" i="13"/>
  <c r="AO75" i="13"/>
  <c r="K76" i="13"/>
  <c r="L76" i="13"/>
  <c r="M76" i="13"/>
  <c r="N76" i="13"/>
  <c r="O76" i="13"/>
  <c r="P76" i="13"/>
  <c r="Q76" i="13"/>
  <c r="R76" i="13"/>
  <c r="S76" i="13"/>
  <c r="T76" i="13"/>
  <c r="X76" i="13"/>
  <c r="Y76" i="13"/>
  <c r="Z76" i="13"/>
  <c r="AA76" i="13"/>
  <c r="AB76" i="13"/>
  <c r="AC76" i="13"/>
  <c r="AD76" i="13"/>
  <c r="AE76" i="13"/>
  <c r="AF76" i="13"/>
  <c r="AG76" i="13"/>
  <c r="AH76" i="13"/>
  <c r="AI76" i="13"/>
  <c r="AJ76" i="13"/>
  <c r="AK76" i="13"/>
  <c r="AL76" i="13"/>
  <c r="AM76" i="13"/>
  <c r="AO76" i="13"/>
  <c r="K77" i="13"/>
  <c r="L77" i="13"/>
  <c r="M77" i="13"/>
  <c r="N77" i="13"/>
  <c r="O77" i="13"/>
  <c r="P77" i="13"/>
  <c r="Q77" i="13"/>
  <c r="R77" i="13"/>
  <c r="S77" i="13"/>
  <c r="T77" i="13"/>
  <c r="X77" i="13"/>
  <c r="Y77" i="13"/>
  <c r="Z77" i="13"/>
  <c r="AA77" i="13"/>
  <c r="AB77" i="13"/>
  <c r="AC77" i="13"/>
  <c r="AD77" i="13"/>
  <c r="AE77" i="13"/>
  <c r="AF77" i="13"/>
  <c r="AG77" i="13"/>
  <c r="AH77" i="13"/>
  <c r="AI77" i="13"/>
  <c r="AJ77" i="13"/>
  <c r="AK77" i="13"/>
  <c r="AL77" i="13"/>
  <c r="AM77" i="13"/>
  <c r="AO77" i="13"/>
  <c r="K78" i="13"/>
  <c r="L78" i="13"/>
  <c r="M78" i="13"/>
  <c r="N78" i="13"/>
  <c r="O78" i="13"/>
  <c r="P78" i="13"/>
  <c r="Q78" i="13"/>
  <c r="R78" i="13"/>
  <c r="S78" i="13"/>
  <c r="T78" i="13"/>
  <c r="X78" i="13"/>
  <c r="Y78" i="13"/>
  <c r="Z78" i="13"/>
  <c r="AA78" i="13"/>
  <c r="AB78" i="13"/>
  <c r="AC78" i="13"/>
  <c r="AD78" i="13"/>
  <c r="AE78" i="13"/>
  <c r="AF78" i="13"/>
  <c r="AG78" i="13"/>
  <c r="AH78" i="13"/>
  <c r="AI78" i="13"/>
  <c r="AJ78" i="13"/>
  <c r="AK78" i="13"/>
  <c r="AL78" i="13"/>
  <c r="AM78" i="13"/>
  <c r="AO78" i="13"/>
  <c r="K79" i="13"/>
  <c r="L79" i="13"/>
  <c r="M79" i="13"/>
  <c r="N79" i="13"/>
  <c r="O79" i="13"/>
  <c r="P79" i="13"/>
  <c r="Q79" i="13"/>
  <c r="R79" i="13"/>
  <c r="S79" i="13"/>
  <c r="T79" i="13"/>
  <c r="X79" i="13"/>
  <c r="Y79" i="13"/>
  <c r="Z79" i="13"/>
  <c r="AA79" i="13"/>
  <c r="AB79" i="13"/>
  <c r="AC79" i="13"/>
  <c r="AD79" i="13"/>
  <c r="AE79" i="13"/>
  <c r="AF79" i="13"/>
  <c r="AG79" i="13"/>
  <c r="AH79" i="13"/>
  <c r="AI79" i="13"/>
  <c r="AJ79" i="13"/>
  <c r="AK79" i="13"/>
  <c r="AL79" i="13"/>
  <c r="AM79" i="13"/>
  <c r="AO79" i="13"/>
  <c r="K80" i="13"/>
  <c r="L80" i="13"/>
  <c r="M80" i="13"/>
  <c r="N80" i="13"/>
  <c r="O80" i="13"/>
  <c r="P80" i="13"/>
  <c r="Q80" i="13"/>
  <c r="R80" i="13"/>
  <c r="S80" i="13"/>
  <c r="T80" i="13"/>
  <c r="X80" i="13"/>
  <c r="Y80" i="13"/>
  <c r="Z80" i="13"/>
  <c r="AA80" i="13"/>
  <c r="AB80" i="13"/>
  <c r="AC80" i="13"/>
  <c r="AD80" i="13"/>
  <c r="AE80" i="13"/>
  <c r="AF80" i="13"/>
  <c r="AG80" i="13"/>
  <c r="AH80" i="13"/>
  <c r="AI80" i="13"/>
  <c r="AJ80" i="13"/>
  <c r="AK80" i="13"/>
  <c r="AL80" i="13"/>
  <c r="AM80" i="13"/>
  <c r="AO80" i="13"/>
  <c r="K81" i="13"/>
  <c r="L81" i="13"/>
  <c r="M81" i="13"/>
  <c r="N81" i="13"/>
  <c r="O81" i="13"/>
  <c r="P81" i="13"/>
  <c r="Q81" i="13"/>
  <c r="R81" i="13"/>
  <c r="S81" i="13"/>
  <c r="T81" i="13"/>
  <c r="X81" i="13"/>
  <c r="Y81" i="13"/>
  <c r="Z81" i="13"/>
  <c r="AA81" i="13"/>
  <c r="AB81" i="13"/>
  <c r="AC81" i="13"/>
  <c r="AD81" i="13"/>
  <c r="AE81" i="13"/>
  <c r="AF81" i="13"/>
  <c r="AG81" i="13"/>
  <c r="AH81" i="13"/>
  <c r="AI81" i="13"/>
  <c r="AJ81" i="13"/>
  <c r="AK81" i="13"/>
  <c r="AL81" i="13"/>
  <c r="AM81" i="13"/>
  <c r="AO81" i="13"/>
  <c r="K82" i="13"/>
  <c r="L82" i="13"/>
  <c r="M82" i="13"/>
  <c r="N82" i="13"/>
  <c r="O82" i="13"/>
  <c r="P82" i="13"/>
  <c r="Q82" i="13"/>
  <c r="R82" i="13"/>
  <c r="S82" i="13"/>
  <c r="T82" i="13"/>
  <c r="X82" i="13"/>
  <c r="Y82" i="13"/>
  <c r="Z82" i="13"/>
  <c r="AA82" i="13"/>
  <c r="AB82" i="13"/>
  <c r="AC82" i="13"/>
  <c r="AD82" i="13"/>
  <c r="AE82" i="13"/>
  <c r="AF82" i="13"/>
  <c r="AG82" i="13"/>
  <c r="AH82" i="13"/>
  <c r="AI82" i="13"/>
  <c r="AJ82" i="13"/>
  <c r="AK82" i="13"/>
  <c r="AL82" i="13"/>
  <c r="AM82" i="13"/>
  <c r="AO82" i="13"/>
  <c r="K83" i="13"/>
  <c r="L83" i="13"/>
  <c r="M83" i="13"/>
  <c r="N83" i="13"/>
  <c r="O83" i="13"/>
  <c r="P83" i="13"/>
  <c r="Q83" i="13"/>
  <c r="R83" i="13"/>
  <c r="S83" i="13"/>
  <c r="T83" i="13"/>
  <c r="X83" i="13"/>
  <c r="Y83" i="13"/>
  <c r="Z83" i="13"/>
  <c r="AA83" i="13"/>
  <c r="AB83" i="13"/>
  <c r="AC83" i="13"/>
  <c r="AD83" i="13"/>
  <c r="AE83" i="13"/>
  <c r="AF83" i="13"/>
  <c r="AG83" i="13"/>
  <c r="AH83" i="13"/>
  <c r="AI83" i="13"/>
  <c r="AJ83" i="13"/>
  <c r="AK83" i="13"/>
  <c r="AL83" i="13"/>
  <c r="AM83" i="13"/>
  <c r="AO83" i="13"/>
  <c r="K84" i="13"/>
  <c r="L84" i="13"/>
  <c r="M84" i="13"/>
  <c r="N84" i="13"/>
  <c r="O84" i="13"/>
  <c r="P84" i="13"/>
  <c r="Q84" i="13"/>
  <c r="R84" i="13"/>
  <c r="S84" i="13"/>
  <c r="T84" i="13"/>
  <c r="X84" i="13"/>
  <c r="Y84" i="13"/>
  <c r="Z84" i="13"/>
  <c r="AA84" i="13"/>
  <c r="AB84" i="13"/>
  <c r="AC84" i="13"/>
  <c r="AD84" i="13"/>
  <c r="AE84" i="13"/>
  <c r="AF84" i="13"/>
  <c r="AG84" i="13"/>
  <c r="AH84" i="13"/>
  <c r="AI84" i="13"/>
  <c r="AJ84" i="13"/>
  <c r="AK84" i="13"/>
  <c r="AL84" i="13"/>
  <c r="AM84" i="13"/>
  <c r="AO84" i="13"/>
  <c r="K85" i="13"/>
  <c r="L85" i="13"/>
  <c r="M85" i="13"/>
  <c r="N85" i="13"/>
  <c r="O85" i="13"/>
  <c r="P85" i="13"/>
  <c r="Q85" i="13"/>
  <c r="R85" i="13"/>
  <c r="S85" i="13"/>
  <c r="T85" i="13"/>
  <c r="X85" i="13"/>
  <c r="Y85" i="13"/>
  <c r="Z85" i="13"/>
  <c r="AA85" i="13"/>
  <c r="AB85" i="13"/>
  <c r="AC85" i="13"/>
  <c r="AD85" i="13"/>
  <c r="AE85" i="13"/>
  <c r="AF85" i="13"/>
  <c r="AG85" i="13"/>
  <c r="AH85" i="13"/>
  <c r="AI85" i="13"/>
  <c r="AJ85" i="13"/>
  <c r="AK85" i="13"/>
  <c r="AL85" i="13"/>
  <c r="AM85" i="13"/>
  <c r="AO85" i="13"/>
  <c r="K86" i="13"/>
  <c r="L86" i="13"/>
  <c r="M86" i="13"/>
  <c r="N86" i="13"/>
  <c r="O86" i="13"/>
  <c r="P86" i="13"/>
  <c r="Q86" i="13"/>
  <c r="R86" i="13"/>
  <c r="S86" i="13"/>
  <c r="T86" i="13"/>
  <c r="X86" i="13"/>
  <c r="Y86" i="13"/>
  <c r="Z86" i="13"/>
  <c r="AA86" i="13"/>
  <c r="AB86" i="13"/>
  <c r="AC86" i="13"/>
  <c r="AD86" i="13"/>
  <c r="AE86" i="13"/>
  <c r="AF86" i="13"/>
  <c r="AG86" i="13"/>
  <c r="AH86" i="13"/>
  <c r="AI86" i="13"/>
  <c r="AJ86" i="13"/>
  <c r="AK86" i="13"/>
  <c r="AL86" i="13"/>
  <c r="AM86" i="13"/>
  <c r="AO86" i="13"/>
  <c r="K87" i="13"/>
  <c r="L87" i="13"/>
  <c r="M87" i="13"/>
  <c r="N87" i="13"/>
  <c r="O87" i="13"/>
  <c r="P87" i="13"/>
  <c r="Q87" i="13"/>
  <c r="R87" i="13"/>
  <c r="S87" i="13"/>
  <c r="T87" i="13"/>
  <c r="X87" i="13"/>
  <c r="Y87" i="13"/>
  <c r="Z87" i="13"/>
  <c r="AA87" i="13"/>
  <c r="AB87" i="13"/>
  <c r="AC87" i="13"/>
  <c r="AD87" i="13"/>
  <c r="AE87" i="13"/>
  <c r="AF87" i="13"/>
  <c r="AG87" i="13"/>
  <c r="AH87" i="13"/>
  <c r="AI87" i="13"/>
  <c r="AJ87" i="13"/>
  <c r="AK87" i="13"/>
  <c r="AL87" i="13"/>
  <c r="AM87" i="13"/>
  <c r="AO87" i="13"/>
  <c r="K88" i="13"/>
  <c r="L88" i="13"/>
  <c r="M88" i="13"/>
  <c r="N88" i="13"/>
  <c r="O88" i="13"/>
  <c r="P88" i="13"/>
  <c r="Q88" i="13"/>
  <c r="R88" i="13"/>
  <c r="S88" i="13"/>
  <c r="T88" i="13"/>
  <c r="X88" i="13"/>
  <c r="Y88" i="13"/>
  <c r="Z88" i="13"/>
  <c r="AA88" i="13"/>
  <c r="AB88" i="13"/>
  <c r="AC88" i="13"/>
  <c r="AD88" i="13"/>
  <c r="AE88" i="13"/>
  <c r="AF88" i="13"/>
  <c r="AG88" i="13"/>
  <c r="AH88" i="13"/>
  <c r="AI88" i="13"/>
  <c r="AJ88" i="13"/>
  <c r="AK88" i="13"/>
  <c r="AL88" i="13"/>
  <c r="AM88" i="13"/>
  <c r="AO88" i="13"/>
  <c r="K89" i="13"/>
  <c r="L89" i="13"/>
  <c r="M89" i="13"/>
  <c r="N89" i="13"/>
  <c r="O89" i="13"/>
  <c r="P89" i="13"/>
  <c r="Q89" i="13"/>
  <c r="R89" i="13"/>
  <c r="S89" i="13"/>
  <c r="T89" i="13"/>
  <c r="X89" i="13"/>
  <c r="Y89" i="13"/>
  <c r="Z89" i="13"/>
  <c r="AA89" i="13"/>
  <c r="AB89" i="13"/>
  <c r="AC89" i="13"/>
  <c r="AD89" i="13"/>
  <c r="AE89" i="13"/>
  <c r="AF89" i="13"/>
  <c r="AG89" i="13"/>
  <c r="AH89" i="13"/>
  <c r="AI89" i="13"/>
  <c r="AJ89" i="13"/>
  <c r="AK89" i="13"/>
  <c r="AL89" i="13"/>
  <c r="AM89" i="13"/>
  <c r="AO89" i="13"/>
  <c r="K90" i="13"/>
  <c r="L90" i="13"/>
  <c r="M90" i="13"/>
  <c r="N90" i="13"/>
  <c r="O90" i="13"/>
  <c r="P90" i="13"/>
  <c r="Q90" i="13"/>
  <c r="R90" i="13"/>
  <c r="S90" i="13"/>
  <c r="T90" i="13"/>
  <c r="X90" i="13"/>
  <c r="Y90" i="13"/>
  <c r="Z90" i="13"/>
  <c r="AA90" i="13"/>
  <c r="AB90" i="13"/>
  <c r="AC90" i="13"/>
  <c r="AD90" i="13"/>
  <c r="AE90" i="13"/>
  <c r="AF90" i="13"/>
  <c r="AG90" i="13"/>
  <c r="AH90" i="13"/>
  <c r="AI90" i="13"/>
  <c r="AJ90" i="13"/>
  <c r="AK90" i="13"/>
  <c r="AL90" i="13"/>
  <c r="AM90" i="13"/>
  <c r="AO90" i="13"/>
  <c r="K91" i="13"/>
  <c r="L91" i="13"/>
  <c r="M91" i="13"/>
  <c r="N91" i="13"/>
  <c r="O91" i="13"/>
  <c r="P91" i="13"/>
  <c r="Q91" i="13"/>
  <c r="R91" i="13"/>
  <c r="S91" i="13"/>
  <c r="T91" i="13"/>
  <c r="X91" i="13"/>
  <c r="Y91" i="13"/>
  <c r="Z91" i="13"/>
  <c r="AA91" i="13"/>
  <c r="AB91" i="13"/>
  <c r="AC91" i="13"/>
  <c r="AD91" i="13"/>
  <c r="AE91" i="13"/>
  <c r="AF91" i="13"/>
  <c r="AG91" i="13"/>
  <c r="AH91" i="13"/>
  <c r="AI91" i="13"/>
  <c r="AJ91" i="13"/>
  <c r="AK91" i="13"/>
  <c r="AL91" i="13"/>
  <c r="AM91" i="13"/>
  <c r="AO91" i="13"/>
  <c r="K92" i="13"/>
  <c r="L92" i="13"/>
  <c r="M92" i="13"/>
  <c r="N92" i="13"/>
  <c r="O92" i="13"/>
  <c r="P92" i="13"/>
  <c r="Q92" i="13"/>
  <c r="R92" i="13"/>
  <c r="S92" i="13"/>
  <c r="T92" i="13"/>
  <c r="X92" i="13"/>
  <c r="Y92" i="13"/>
  <c r="Z92" i="13"/>
  <c r="AA92" i="13"/>
  <c r="AB92" i="13"/>
  <c r="AC92" i="13"/>
  <c r="AD92" i="13"/>
  <c r="AE92" i="13"/>
  <c r="AF92" i="13"/>
  <c r="AG92" i="13"/>
  <c r="AH92" i="13"/>
  <c r="AI92" i="13"/>
  <c r="AJ92" i="13"/>
  <c r="AK92" i="13"/>
  <c r="AL92" i="13"/>
  <c r="AM92" i="13"/>
  <c r="AO92" i="13"/>
  <c r="K93" i="13"/>
  <c r="L93" i="13"/>
  <c r="M93" i="13"/>
  <c r="N93" i="13"/>
  <c r="O93" i="13"/>
  <c r="P93" i="13"/>
  <c r="Q93" i="13"/>
  <c r="R93" i="13"/>
  <c r="S93" i="13"/>
  <c r="T93" i="13"/>
  <c r="X93" i="13"/>
  <c r="Y93" i="13"/>
  <c r="Z93" i="13"/>
  <c r="AA93" i="13"/>
  <c r="AB93" i="13"/>
  <c r="AC93" i="13"/>
  <c r="AD93" i="13"/>
  <c r="AE93" i="13"/>
  <c r="AF93" i="13"/>
  <c r="AG93" i="13"/>
  <c r="AH93" i="13"/>
  <c r="AI93" i="13"/>
  <c r="AJ93" i="13"/>
  <c r="AK93" i="13"/>
  <c r="AL93" i="13"/>
  <c r="AM93" i="13"/>
  <c r="AO93" i="13"/>
  <c r="K94" i="13"/>
  <c r="L94" i="13"/>
  <c r="M94" i="13"/>
  <c r="N94" i="13"/>
  <c r="O94" i="13"/>
  <c r="P94" i="13"/>
  <c r="Q94" i="13"/>
  <c r="R94" i="13"/>
  <c r="S94" i="13"/>
  <c r="T94" i="13"/>
  <c r="X94" i="13"/>
  <c r="Y94" i="13"/>
  <c r="Z94" i="13"/>
  <c r="AA94" i="13"/>
  <c r="AB94" i="13"/>
  <c r="AC94" i="13"/>
  <c r="AD94" i="13"/>
  <c r="AE94" i="13"/>
  <c r="AF94" i="13"/>
  <c r="AG94" i="13"/>
  <c r="AH94" i="13"/>
  <c r="AI94" i="13"/>
  <c r="AJ94" i="13"/>
  <c r="AK94" i="13"/>
  <c r="AL94" i="13"/>
  <c r="AM94" i="13"/>
  <c r="AO94" i="13"/>
  <c r="K95" i="13"/>
  <c r="L95" i="13"/>
  <c r="M95" i="13"/>
  <c r="N95" i="13"/>
  <c r="O95" i="13"/>
  <c r="P95" i="13"/>
  <c r="Q95" i="13"/>
  <c r="R95" i="13"/>
  <c r="S95" i="13"/>
  <c r="T95" i="13"/>
  <c r="X95" i="13"/>
  <c r="Y95" i="13"/>
  <c r="Z95" i="13"/>
  <c r="AA95" i="13"/>
  <c r="AB95" i="13"/>
  <c r="AC95" i="13"/>
  <c r="AD95" i="13"/>
  <c r="AE95" i="13"/>
  <c r="AF95" i="13"/>
  <c r="AG95" i="13"/>
  <c r="AH95" i="13"/>
  <c r="AI95" i="13"/>
  <c r="AJ95" i="13"/>
  <c r="AK95" i="13"/>
  <c r="AL95" i="13"/>
  <c r="AM95" i="13"/>
  <c r="AO95" i="13"/>
  <c r="K96" i="13"/>
  <c r="L96" i="13"/>
  <c r="M96" i="13"/>
  <c r="N96" i="13"/>
  <c r="O96" i="13"/>
  <c r="P96" i="13"/>
  <c r="Q96" i="13"/>
  <c r="R96" i="13"/>
  <c r="S96" i="13"/>
  <c r="T96" i="13"/>
  <c r="X96" i="13"/>
  <c r="Y96" i="13"/>
  <c r="Z96" i="13"/>
  <c r="AA96" i="13"/>
  <c r="AB96" i="13"/>
  <c r="AC96" i="13"/>
  <c r="AD96" i="13"/>
  <c r="AE96" i="13"/>
  <c r="AF96" i="13"/>
  <c r="AG96" i="13"/>
  <c r="AH96" i="13"/>
  <c r="AI96" i="13"/>
  <c r="AJ96" i="13"/>
  <c r="AK96" i="13"/>
  <c r="AL96" i="13"/>
  <c r="AM96" i="13"/>
  <c r="AO96" i="13"/>
  <c r="K97" i="13"/>
  <c r="L97" i="13"/>
  <c r="M97" i="13"/>
  <c r="N97" i="13"/>
  <c r="O97" i="13"/>
  <c r="P97" i="13"/>
  <c r="Q97" i="13"/>
  <c r="R97" i="13"/>
  <c r="S97" i="13"/>
  <c r="T97" i="13"/>
  <c r="X97" i="13"/>
  <c r="Y97" i="13"/>
  <c r="Z97" i="13"/>
  <c r="AA97" i="13"/>
  <c r="AB97" i="13"/>
  <c r="AC97" i="13"/>
  <c r="AD97" i="13"/>
  <c r="AE97" i="13"/>
  <c r="AF97" i="13"/>
  <c r="AG97" i="13"/>
  <c r="AH97" i="13"/>
  <c r="AI97" i="13"/>
  <c r="AJ97" i="13"/>
  <c r="AK97" i="13"/>
  <c r="AL97" i="13"/>
  <c r="AM97" i="13"/>
  <c r="AO97" i="13"/>
  <c r="K98" i="13"/>
  <c r="L98" i="13"/>
  <c r="M98" i="13"/>
  <c r="N98" i="13"/>
  <c r="O98" i="13"/>
  <c r="P98" i="13"/>
  <c r="Q98" i="13"/>
  <c r="R98" i="13"/>
  <c r="S98" i="13"/>
  <c r="T98" i="13"/>
  <c r="X98" i="13"/>
  <c r="Y98" i="13"/>
  <c r="Z98" i="13"/>
  <c r="AA98" i="13"/>
  <c r="AB98" i="13"/>
  <c r="AC98" i="13"/>
  <c r="AD98" i="13"/>
  <c r="AE98" i="13"/>
  <c r="AF98" i="13"/>
  <c r="AG98" i="13"/>
  <c r="AH98" i="13"/>
  <c r="AI98" i="13"/>
  <c r="AJ98" i="13"/>
  <c r="AK98" i="13"/>
  <c r="AL98" i="13"/>
  <c r="AM98" i="13"/>
  <c r="AO98" i="13"/>
  <c r="K99" i="13"/>
  <c r="L99" i="13"/>
  <c r="M99" i="13"/>
  <c r="N99" i="13"/>
  <c r="O99" i="13"/>
  <c r="P99" i="13"/>
  <c r="Q99" i="13"/>
  <c r="R99" i="13"/>
  <c r="S99" i="13"/>
  <c r="T99" i="13"/>
  <c r="X99" i="13"/>
  <c r="Y99" i="13"/>
  <c r="Z99" i="13"/>
  <c r="AA99" i="13"/>
  <c r="AB99" i="13"/>
  <c r="AC99" i="13"/>
  <c r="AD99" i="13"/>
  <c r="AE99" i="13"/>
  <c r="AF99" i="13"/>
  <c r="AG99" i="13"/>
  <c r="AH99" i="13"/>
  <c r="AI99" i="13"/>
  <c r="AJ99" i="13"/>
  <c r="AK99" i="13"/>
  <c r="AL99" i="13"/>
  <c r="AM99" i="13"/>
  <c r="AO99" i="13"/>
  <c r="K100" i="13"/>
  <c r="L100" i="13"/>
  <c r="M100" i="13"/>
  <c r="N100" i="13"/>
  <c r="O100" i="13"/>
  <c r="P100" i="13"/>
  <c r="Q100" i="13"/>
  <c r="R100" i="13"/>
  <c r="S100" i="13"/>
  <c r="T100" i="13"/>
  <c r="X100" i="13"/>
  <c r="Y100" i="13"/>
  <c r="Z100" i="13"/>
  <c r="AA100" i="13"/>
  <c r="AB100" i="13"/>
  <c r="AC100" i="13"/>
  <c r="AD100" i="13"/>
  <c r="AE100" i="13"/>
  <c r="AF100" i="13"/>
  <c r="AG100" i="13"/>
  <c r="AH100" i="13"/>
  <c r="AI100" i="13"/>
  <c r="AJ100" i="13"/>
  <c r="AK100" i="13"/>
  <c r="AL100" i="13"/>
  <c r="AM100" i="13"/>
  <c r="AO100" i="13"/>
  <c r="K101" i="13"/>
  <c r="L101" i="13"/>
  <c r="M101" i="13"/>
  <c r="N101" i="13"/>
  <c r="O101" i="13"/>
  <c r="P101" i="13"/>
  <c r="Q101" i="13"/>
  <c r="R101" i="13"/>
  <c r="S101" i="13"/>
  <c r="T101" i="13"/>
  <c r="X101" i="13"/>
  <c r="Y101" i="13"/>
  <c r="Z101" i="13"/>
  <c r="AA101" i="13"/>
  <c r="AB101" i="13"/>
  <c r="AC101" i="13"/>
  <c r="AD101" i="13"/>
  <c r="AE101" i="13"/>
  <c r="AF101" i="13"/>
  <c r="AG101" i="13"/>
  <c r="AH101" i="13"/>
  <c r="AI101" i="13"/>
  <c r="AJ101" i="13"/>
  <c r="AK101" i="13"/>
  <c r="AL101" i="13"/>
  <c r="AM101" i="13"/>
  <c r="AO101" i="13"/>
  <c r="K102" i="13"/>
  <c r="L102" i="13"/>
  <c r="M102" i="13"/>
  <c r="N102" i="13"/>
  <c r="O102" i="13"/>
  <c r="P102" i="13"/>
  <c r="Q102" i="13"/>
  <c r="R102" i="13"/>
  <c r="S102" i="13"/>
  <c r="T102" i="13"/>
  <c r="X102" i="13"/>
  <c r="Y102" i="13"/>
  <c r="Z102" i="13"/>
  <c r="AA102" i="13"/>
  <c r="AB102" i="13"/>
  <c r="AC102" i="13"/>
  <c r="AD102" i="13"/>
  <c r="AE102" i="13"/>
  <c r="AF102" i="13"/>
  <c r="AG102" i="13"/>
  <c r="AH102" i="13"/>
  <c r="AI102" i="13"/>
  <c r="AJ102" i="13"/>
  <c r="AK102" i="13"/>
  <c r="AL102" i="13"/>
  <c r="AM102" i="13"/>
  <c r="AO102" i="13"/>
  <c r="K103" i="13"/>
  <c r="L103" i="13"/>
  <c r="M103" i="13"/>
  <c r="N103" i="13"/>
  <c r="O103" i="13"/>
  <c r="P103" i="13"/>
  <c r="Q103" i="13"/>
  <c r="R103" i="13"/>
  <c r="S103" i="13"/>
  <c r="T103" i="13"/>
  <c r="X103" i="13"/>
  <c r="Y103" i="13"/>
  <c r="Z103" i="13"/>
  <c r="AA103" i="13"/>
  <c r="AB103" i="13"/>
  <c r="AC103" i="13"/>
  <c r="AD103" i="13"/>
  <c r="AE103" i="13"/>
  <c r="AF103" i="13"/>
  <c r="AG103" i="13"/>
  <c r="AH103" i="13"/>
  <c r="AI103" i="13"/>
  <c r="AJ103" i="13"/>
  <c r="AK103" i="13"/>
  <c r="AL103" i="13"/>
  <c r="AM103" i="13"/>
  <c r="AO103" i="13"/>
  <c r="K104" i="13"/>
  <c r="L104" i="13"/>
  <c r="M104" i="13"/>
  <c r="N104" i="13"/>
  <c r="O104" i="13"/>
  <c r="P104" i="13"/>
  <c r="Q104" i="13"/>
  <c r="R104" i="13"/>
  <c r="S104" i="13"/>
  <c r="T104" i="13"/>
  <c r="X104" i="13"/>
  <c r="Y104" i="13"/>
  <c r="Z104" i="13"/>
  <c r="AA104" i="13"/>
  <c r="AB104" i="13"/>
  <c r="AC104" i="13"/>
  <c r="AD104" i="13"/>
  <c r="AE104" i="13"/>
  <c r="AF104" i="13"/>
  <c r="AG104" i="13"/>
  <c r="AH104" i="13"/>
  <c r="AI104" i="13"/>
  <c r="AJ104" i="13"/>
  <c r="AK104" i="13"/>
  <c r="AL104" i="13"/>
  <c r="AM104" i="13"/>
  <c r="AO104" i="13"/>
  <c r="K105" i="13"/>
  <c r="L105" i="13"/>
  <c r="M105" i="13"/>
  <c r="N105" i="13"/>
  <c r="O105" i="13"/>
  <c r="P105" i="13"/>
  <c r="Q105" i="13"/>
  <c r="R105" i="13"/>
  <c r="S105" i="13"/>
  <c r="T105" i="13"/>
  <c r="X105" i="13"/>
  <c r="Y105" i="13"/>
  <c r="Z105" i="13"/>
  <c r="AA105" i="13"/>
  <c r="AB105" i="13"/>
  <c r="AC105" i="13"/>
  <c r="AD105" i="13"/>
  <c r="AE105" i="13"/>
  <c r="AF105" i="13"/>
  <c r="AG105" i="13"/>
  <c r="AH105" i="13"/>
  <c r="AI105" i="13"/>
  <c r="AJ105" i="13"/>
  <c r="AK105" i="13"/>
  <c r="AL105" i="13"/>
  <c r="AM105" i="13"/>
  <c r="AO105" i="13"/>
  <c r="K106" i="13"/>
  <c r="L106" i="13"/>
  <c r="M106" i="13"/>
  <c r="N106" i="13"/>
  <c r="O106" i="13"/>
  <c r="P106" i="13"/>
  <c r="Q106" i="13"/>
  <c r="R106" i="13"/>
  <c r="S106" i="13"/>
  <c r="T106" i="13"/>
  <c r="X106" i="13"/>
  <c r="Y106" i="13"/>
  <c r="Z106" i="13"/>
  <c r="AA106" i="13"/>
  <c r="AB106" i="13"/>
  <c r="AC106" i="13"/>
  <c r="AD106" i="13"/>
  <c r="AE106" i="13"/>
  <c r="AF106" i="13"/>
  <c r="AG106" i="13"/>
  <c r="AH106" i="13"/>
  <c r="AI106" i="13"/>
  <c r="AJ106" i="13"/>
  <c r="AK106" i="13"/>
  <c r="AL106" i="13"/>
  <c r="AM106" i="13"/>
  <c r="AO106" i="13"/>
  <c r="K107" i="13"/>
  <c r="L107" i="13"/>
  <c r="M107" i="13"/>
  <c r="N107" i="13"/>
  <c r="O107" i="13"/>
  <c r="P107" i="13"/>
  <c r="Q107" i="13"/>
  <c r="R107" i="13"/>
  <c r="S107" i="13"/>
  <c r="T107" i="13"/>
  <c r="X107" i="13"/>
  <c r="Y107" i="13"/>
  <c r="Z107" i="13"/>
  <c r="AA107" i="13"/>
  <c r="AB107" i="13"/>
  <c r="AC107" i="13"/>
  <c r="AD107" i="13"/>
  <c r="AE107" i="13"/>
  <c r="AF107" i="13"/>
  <c r="AG107" i="13"/>
  <c r="AH107" i="13"/>
  <c r="AI107" i="13"/>
  <c r="AJ107" i="13"/>
  <c r="AK107" i="13"/>
  <c r="AL107" i="13"/>
  <c r="AM107" i="13"/>
  <c r="AO107" i="13"/>
  <c r="K108" i="13"/>
  <c r="L108" i="13"/>
  <c r="M108" i="13"/>
  <c r="N108" i="13"/>
  <c r="O108" i="13"/>
  <c r="P108" i="13"/>
  <c r="Q108" i="13"/>
  <c r="R108" i="13"/>
  <c r="S108" i="13"/>
  <c r="T108" i="13"/>
  <c r="X108" i="13"/>
  <c r="Y108" i="13"/>
  <c r="Z108" i="13"/>
  <c r="AA108" i="13"/>
  <c r="AB108" i="13"/>
  <c r="AC108" i="13"/>
  <c r="AD108" i="13"/>
  <c r="AE108" i="13"/>
  <c r="AF108" i="13"/>
  <c r="AG108" i="13"/>
  <c r="AH108" i="13"/>
  <c r="AI108" i="13"/>
  <c r="AJ108" i="13"/>
  <c r="AK108" i="13"/>
  <c r="AL108" i="13"/>
  <c r="AM108" i="13"/>
  <c r="AO108" i="13"/>
  <c r="K109" i="13"/>
  <c r="L109" i="13"/>
  <c r="M109" i="13"/>
  <c r="N109" i="13"/>
  <c r="O109" i="13"/>
  <c r="P109" i="13"/>
  <c r="Q109" i="13"/>
  <c r="R109" i="13"/>
  <c r="S109" i="13"/>
  <c r="T109" i="13"/>
  <c r="X109" i="13"/>
  <c r="Y109" i="13"/>
  <c r="Z109" i="13"/>
  <c r="AA109" i="13"/>
  <c r="AB109" i="13"/>
  <c r="AC109" i="13"/>
  <c r="AD109" i="13"/>
  <c r="AE109" i="13"/>
  <c r="AF109" i="13"/>
  <c r="AG109" i="13"/>
  <c r="AH109" i="13"/>
  <c r="AI109" i="13"/>
  <c r="AJ109" i="13"/>
  <c r="AK109" i="13"/>
  <c r="AL109" i="13"/>
  <c r="AM109" i="13"/>
  <c r="AO109" i="13"/>
  <c r="K110" i="13"/>
  <c r="L110" i="13"/>
  <c r="M110" i="13"/>
  <c r="N110" i="13"/>
  <c r="O110" i="13"/>
  <c r="P110" i="13"/>
  <c r="Q110" i="13"/>
  <c r="R110" i="13"/>
  <c r="S110" i="13"/>
  <c r="T110" i="13"/>
  <c r="X110" i="13"/>
  <c r="Y110" i="13"/>
  <c r="Z110" i="13"/>
  <c r="AA110" i="13"/>
  <c r="AB110" i="13"/>
  <c r="AC110" i="13"/>
  <c r="AD110" i="13"/>
  <c r="AE110" i="13"/>
  <c r="AF110" i="13"/>
  <c r="AG110" i="13"/>
  <c r="AH110" i="13"/>
  <c r="AI110" i="13"/>
  <c r="AJ110" i="13"/>
  <c r="AK110" i="13"/>
  <c r="AL110" i="13"/>
  <c r="AM110" i="13"/>
  <c r="AO110" i="13"/>
  <c r="K111" i="13"/>
  <c r="L111" i="13"/>
  <c r="M111" i="13"/>
  <c r="N111" i="13"/>
  <c r="O111" i="13"/>
  <c r="P111" i="13"/>
  <c r="Q111" i="13"/>
  <c r="R111" i="13"/>
  <c r="S111" i="13"/>
  <c r="T111" i="13"/>
  <c r="X111" i="13"/>
  <c r="Y111" i="13"/>
  <c r="Z111" i="13"/>
  <c r="AA111" i="13"/>
  <c r="AB111" i="13"/>
  <c r="AC111" i="13"/>
  <c r="AD111" i="13"/>
  <c r="AE111" i="13"/>
  <c r="AF111" i="13"/>
  <c r="AG111" i="13"/>
  <c r="AH111" i="13"/>
  <c r="AI111" i="13"/>
  <c r="AJ111" i="13"/>
  <c r="AK111" i="13"/>
  <c r="AL111" i="13"/>
  <c r="AM111" i="13"/>
  <c r="AO111" i="13"/>
  <c r="K112" i="13"/>
  <c r="L112" i="13"/>
  <c r="M112" i="13"/>
  <c r="N112" i="13"/>
  <c r="O112" i="13"/>
  <c r="P112" i="13"/>
  <c r="Q112" i="13"/>
  <c r="R112" i="13"/>
  <c r="S112" i="13"/>
  <c r="T112" i="13"/>
  <c r="X112" i="13"/>
  <c r="Y112" i="13"/>
  <c r="Z112" i="13"/>
  <c r="AA112" i="13"/>
  <c r="AB112" i="13"/>
  <c r="AC112" i="13"/>
  <c r="AD112" i="13"/>
  <c r="AE112" i="13"/>
  <c r="AF112" i="13"/>
  <c r="AG112" i="13"/>
  <c r="AH112" i="13"/>
  <c r="AI112" i="13"/>
  <c r="AJ112" i="13"/>
  <c r="AK112" i="13"/>
  <c r="AL112" i="13"/>
  <c r="AM112" i="13"/>
  <c r="AO112" i="13"/>
  <c r="K113" i="13"/>
  <c r="L113" i="13"/>
  <c r="M113" i="13"/>
  <c r="N113" i="13"/>
  <c r="O113" i="13"/>
  <c r="P113" i="13"/>
  <c r="Q113" i="13"/>
  <c r="R113" i="13"/>
  <c r="S113" i="13"/>
  <c r="T113" i="13"/>
  <c r="X113" i="13"/>
  <c r="Y113" i="13"/>
  <c r="Z113" i="13"/>
  <c r="AA113" i="13"/>
  <c r="AB113" i="13"/>
  <c r="AC113" i="13"/>
  <c r="AD113" i="13"/>
  <c r="AE113" i="13"/>
  <c r="AF113" i="13"/>
  <c r="AG113" i="13"/>
  <c r="AH113" i="13"/>
  <c r="AI113" i="13"/>
  <c r="AJ113" i="13"/>
  <c r="AK113" i="13"/>
  <c r="AL113" i="13"/>
  <c r="AM113" i="13"/>
  <c r="AO113" i="13"/>
  <c r="K114" i="13"/>
  <c r="L114" i="13"/>
  <c r="M114" i="13"/>
  <c r="N114" i="13"/>
  <c r="O114" i="13"/>
  <c r="P114" i="13"/>
  <c r="Q114" i="13"/>
  <c r="R114" i="13"/>
  <c r="S114" i="13"/>
  <c r="T114" i="13"/>
  <c r="X114" i="13"/>
  <c r="Y114" i="13"/>
  <c r="Z114" i="13"/>
  <c r="AA114" i="13"/>
  <c r="AB114" i="13"/>
  <c r="AC114" i="13"/>
  <c r="AD114" i="13"/>
  <c r="AE114" i="13"/>
  <c r="AF114" i="13"/>
  <c r="AG114" i="13"/>
  <c r="AH114" i="13"/>
  <c r="AI114" i="13"/>
  <c r="AJ114" i="13"/>
  <c r="AK114" i="13"/>
  <c r="AL114" i="13"/>
  <c r="AM114" i="13"/>
  <c r="AO114" i="13"/>
  <c r="K115" i="13"/>
  <c r="L115" i="13"/>
  <c r="M115" i="13"/>
  <c r="N115" i="13"/>
  <c r="O115" i="13"/>
  <c r="P115" i="13"/>
  <c r="Q115" i="13"/>
  <c r="R115" i="13"/>
  <c r="S115" i="13"/>
  <c r="T115" i="13"/>
  <c r="X115" i="13"/>
  <c r="Y115" i="13"/>
  <c r="Z115" i="13"/>
  <c r="AA115" i="13"/>
  <c r="AB115" i="13"/>
  <c r="AC115" i="13"/>
  <c r="AD115" i="13"/>
  <c r="AE115" i="13"/>
  <c r="AF115" i="13"/>
  <c r="AG115" i="13"/>
  <c r="AH115" i="13"/>
  <c r="AI115" i="13"/>
  <c r="AJ115" i="13"/>
  <c r="AK115" i="13"/>
  <c r="AL115" i="13"/>
  <c r="AM115" i="13"/>
  <c r="AO115" i="13"/>
  <c r="K116" i="13"/>
  <c r="L116" i="13"/>
  <c r="M116" i="13"/>
  <c r="N116" i="13"/>
  <c r="O116" i="13"/>
  <c r="P116" i="13"/>
  <c r="Q116" i="13"/>
  <c r="R116" i="13"/>
  <c r="S116" i="13"/>
  <c r="T116" i="13"/>
  <c r="X116" i="13"/>
  <c r="Y116" i="13"/>
  <c r="Z116" i="13"/>
  <c r="AA116" i="13"/>
  <c r="AB116" i="13"/>
  <c r="AC116" i="13"/>
  <c r="AD116" i="13"/>
  <c r="AE116" i="13"/>
  <c r="AF116" i="13"/>
  <c r="AG116" i="13"/>
  <c r="AH116" i="13"/>
  <c r="AI116" i="13"/>
  <c r="AJ116" i="13"/>
  <c r="AK116" i="13"/>
  <c r="AL116" i="13"/>
  <c r="AM116" i="13"/>
  <c r="AO116" i="13"/>
  <c r="K117" i="13"/>
  <c r="L117" i="13"/>
  <c r="M117" i="13"/>
  <c r="N117" i="13"/>
  <c r="O117" i="13"/>
  <c r="P117" i="13"/>
  <c r="Q117" i="13"/>
  <c r="R117" i="13"/>
  <c r="S117" i="13"/>
  <c r="T117" i="13"/>
  <c r="X117" i="13"/>
  <c r="Y117" i="13"/>
  <c r="Z117" i="13"/>
  <c r="AA117" i="13"/>
  <c r="AB117" i="13"/>
  <c r="AC117" i="13"/>
  <c r="AD117" i="13"/>
  <c r="AE117" i="13"/>
  <c r="AF117" i="13"/>
  <c r="AG117" i="13"/>
  <c r="AH117" i="13"/>
  <c r="AI117" i="13"/>
  <c r="AJ117" i="13"/>
  <c r="AK117" i="13"/>
  <c r="AL117" i="13"/>
  <c r="AM117" i="13"/>
  <c r="AO117" i="13"/>
  <c r="K118" i="13"/>
  <c r="L118" i="13"/>
  <c r="M118" i="13"/>
  <c r="N118" i="13"/>
  <c r="O118" i="13"/>
  <c r="P118" i="13"/>
  <c r="Q118" i="13"/>
  <c r="R118" i="13"/>
  <c r="S118" i="13"/>
  <c r="T118" i="13"/>
  <c r="X118" i="13"/>
  <c r="Y118" i="13"/>
  <c r="Z118" i="13"/>
  <c r="AA118" i="13"/>
  <c r="AB118" i="13"/>
  <c r="AC118" i="13"/>
  <c r="AD118" i="13"/>
  <c r="AE118" i="13"/>
  <c r="AF118" i="13"/>
  <c r="AG118" i="13"/>
  <c r="AH118" i="13"/>
  <c r="AI118" i="13"/>
  <c r="AJ118" i="13"/>
  <c r="AK118" i="13"/>
  <c r="AL118" i="13"/>
  <c r="AM118" i="13"/>
  <c r="AO118" i="13"/>
  <c r="K119" i="13"/>
  <c r="L119" i="13"/>
  <c r="M119" i="13"/>
  <c r="N119" i="13"/>
  <c r="O119" i="13"/>
  <c r="P119" i="13"/>
  <c r="Q119" i="13"/>
  <c r="R119" i="13"/>
  <c r="S119" i="13"/>
  <c r="T119" i="13"/>
  <c r="X119" i="13"/>
  <c r="Y119" i="13"/>
  <c r="Z119" i="13"/>
  <c r="AA119" i="13"/>
  <c r="AB119" i="13"/>
  <c r="AC119" i="13"/>
  <c r="AD119" i="13"/>
  <c r="AE119" i="13"/>
  <c r="AF119" i="13"/>
  <c r="AG119" i="13"/>
  <c r="AH119" i="13"/>
  <c r="AI119" i="13"/>
  <c r="AJ119" i="13"/>
  <c r="AK119" i="13"/>
  <c r="AL119" i="13"/>
  <c r="AM119" i="13"/>
  <c r="AO119" i="13"/>
  <c r="K120" i="13"/>
  <c r="L120" i="13"/>
  <c r="M120" i="13"/>
  <c r="N120" i="13"/>
  <c r="O120" i="13"/>
  <c r="P120" i="13"/>
  <c r="Q120" i="13"/>
  <c r="R120" i="13"/>
  <c r="S120" i="13"/>
  <c r="T120" i="13"/>
  <c r="X120" i="13"/>
  <c r="Y120" i="13"/>
  <c r="Z120" i="13"/>
  <c r="AA120" i="13"/>
  <c r="AB120" i="13"/>
  <c r="AC120" i="13"/>
  <c r="AD120" i="13"/>
  <c r="AE120" i="13"/>
  <c r="AF120" i="13"/>
  <c r="AG120" i="13"/>
  <c r="AH120" i="13"/>
  <c r="AI120" i="13"/>
  <c r="AJ120" i="13"/>
  <c r="AK120" i="13"/>
  <c r="AL120" i="13"/>
  <c r="AM120" i="13"/>
  <c r="AO120" i="13"/>
  <c r="K121" i="13"/>
  <c r="L121" i="13"/>
  <c r="M121" i="13"/>
  <c r="N121" i="13"/>
  <c r="O121" i="13"/>
  <c r="P121" i="13"/>
  <c r="Q121" i="13"/>
  <c r="R121" i="13"/>
  <c r="S121" i="13"/>
  <c r="T121" i="13"/>
  <c r="X121" i="13"/>
  <c r="Y121" i="13"/>
  <c r="Z121" i="13"/>
  <c r="AA121" i="13"/>
  <c r="AB121" i="13"/>
  <c r="AC121" i="13"/>
  <c r="AD121" i="13"/>
  <c r="AE121" i="13"/>
  <c r="AF121" i="13"/>
  <c r="AG121" i="13"/>
  <c r="AH121" i="13"/>
  <c r="AI121" i="13"/>
  <c r="AJ121" i="13"/>
  <c r="AK121" i="13"/>
  <c r="AL121" i="13"/>
  <c r="AM121" i="13"/>
  <c r="AO121" i="13"/>
  <c r="K122" i="13"/>
  <c r="L122" i="13"/>
  <c r="M122" i="13"/>
  <c r="N122" i="13"/>
  <c r="O122" i="13"/>
  <c r="P122" i="13"/>
  <c r="Q122" i="13"/>
  <c r="R122" i="13"/>
  <c r="S122" i="13"/>
  <c r="T122" i="13"/>
  <c r="X122" i="13"/>
  <c r="Y122" i="13"/>
  <c r="Z122" i="13"/>
  <c r="AA122" i="13"/>
  <c r="AB122" i="13"/>
  <c r="AC122" i="13"/>
  <c r="AD122" i="13"/>
  <c r="AE122" i="13"/>
  <c r="AF122" i="13"/>
  <c r="AG122" i="13"/>
  <c r="AH122" i="13"/>
  <c r="AI122" i="13"/>
  <c r="AJ122" i="13"/>
  <c r="AK122" i="13"/>
  <c r="AL122" i="13"/>
  <c r="AM122" i="13"/>
  <c r="AO122" i="13"/>
  <c r="K123" i="13"/>
  <c r="L123" i="13"/>
  <c r="M123" i="13"/>
  <c r="N123" i="13"/>
  <c r="O123" i="13"/>
  <c r="P123" i="13"/>
  <c r="Q123" i="13"/>
  <c r="R123" i="13"/>
  <c r="S123" i="13"/>
  <c r="T123" i="13"/>
  <c r="X123" i="13"/>
  <c r="Y123" i="13"/>
  <c r="Z123" i="13"/>
  <c r="AA123" i="13"/>
  <c r="AB123" i="13"/>
  <c r="AC123" i="13"/>
  <c r="AD123" i="13"/>
  <c r="AE123" i="13"/>
  <c r="AF123" i="13"/>
  <c r="AG123" i="13"/>
  <c r="AH123" i="13"/>
  <c r="AI123" i="13"/>
  <c r="AJ123" i="13"/>
  <c r="AK123" i="13"/>
  <c r="AL123" i="13"/>
  <c r="AM123" i="13"/>
  <c r="AO123" i="13"/>
  <c r="K124" i="13"/>
  <c r="L124" i="13"/>
  <c r="M124" i="13"/>
  <c r="N124" i="13"/>
  <c r="O124" i="13"/>
  <c r="P124" i="13"/>
  <c r="Q124" i="13"/>
  <c r="R124" i="13"/>
  <c r="S124" i="13"/>
  <c r="T124" i="13"/>
  <c r="X124" i="13"/>
  <c r="Y124" i="13"/>
  <c r="Z124" i="13"/>
  <c r="AA124" i="13"/>
  <c r="AB124" i="13"/>
  <c r="AC124" i="13"/>
  <c r="AD124" i="13"/>
  <c r="AE124" i="13"/>
  <c r="AF124" i="13"/>
  <c r="AG124" i="13"/>
  <c r="AH124" i="13"/>
  <c r="AI124" i="13"/>
  <c r="AJ124" i="13"/>
  <c r="AK124" i="13"/>
  <c r="AL124" i="13"/>
  <c r="AM124" i="13"/>
  <c r="AO124" i="13"/>
  <c r="K125" i="13"/>
  <c r="L125" i="13"/>
  <c r="M125" i="13"/>
  <c r="N125" i="13"/>
  <c r="O125" i="13"/>
  <c r="P125" i="13"/>
  <c r="Q125" i="13"/>
  <c r="R125" i="13"/>
  <c r="S125" i="13"/>
  <c r="T125" i="13"/>
  <c r="X125" i="13"/>
  <c r="Y125" i="13"/>
  <c r="Z125" i="13"/>
  <c r="AA125" i="13"/>
  <c r="AB125" i="13"/>
  <c r="AC125" i="13"/>
  <c r="AD125" i="13"/>
  <c r="AE125" i="13"/>
  <c r="AF125" i="13"/>
  <c r="AG125" i="13"/>
  <c r="AH125" i="13"/>
  <c r="AI125" i="13"/>
  <c r="AJ125" i="13"/>
  <c r="AK125" i="13"/>
  <c r="AL125" i="13"/>
  <c r="AM125" i="13"/>
  <c r="AO125" i="13"/>
  <c r="K126" i="13"/>
  <c r="L126" i="13"/>
  <c r="M126" i="13"/>
  <c r="N126" i="13"/>
  <c r="O126" i="13"/>
  <c r="P126" i="13"/>
  <c r="Q126" i="13"/>
  <c r="R126" i="13"/>
  <c r="S126" i="13"/>
  <c r="T126" i="13"/>
  <c r="X126" i="13"/>
  <c r="Y126" i="13"/>
  <c r="Z126" i="13"/>
  <c r="AA126" i="13"/>
  <c r="AB126" i="13"/>
  <c r="AC126" i="13"/>
  <c r="AD126" i="13"/>
  <c r="AE126" i="13"/>
  <c r="AF126" i="13"/>
  <c r="AG126" i="13"/>
  <c r="AH126" i="13"/>
  <c r="AI126" i="13"/>
  <c r="AJ126" i="13"/>
  <c r="AK126" i="13"/>
  <c r="AL126" i="13"/>
  <c r="AM126" i="13"/>
  <c r="AO126" i="13"/>
  <c r="K127" i="13"/>
  <c r="L127" i="13"/>
  <c r="M127" i="13"/>
  <c r="N127" i="13"/>
  <c r="O127" i="13"/>
  <c r="P127" i="13"/>
  <c r="Q127" i="13"/>
  <c r="R127" i="13"/>
  <c r="S127" i="13"/>
  <c r="T127" i="13"/>
  <c r="X127" i="13"/>
  <c r="Y127" i="13"/>
  <c r="Z127" i="13"/>
  <c r="AA127" i="13"/>
  <c r="AB127" i="13"/>
  <c r="AC127" i="13"/>
  <c r="AD127" i="13"/>
  <c r="AE127" i="13"/>
  <c r="AF127" i="13"/>
  <c r="AG127" i="13"/>
  <c r="AH127" i="13"/>
  <c r="AI127" i="13"/>
  <c r="AJ127" i="13"/>
  <c r="AK127" i="13"/>
  <c r="AL127" i="13"/>
  <c r="AM127" i="13"/>
  <c r="AO127" i="13"/>
  <c r="K128" i="13"/>
  <c r="L128" i="13"/>
  <c r="M128" i="13"/>
  <c r="N128" i="13"/>
  <c r="O128" i="13"/>
  <c r="P128" i="13"/>
  <c r="Q128" i="13"/>
  <c r="R128" i="13"/>
  <c r="S128" i="13"/>
  <c r="T128" i="13"/>
  <c r="X128" i="13"/>
  <c r="Y128" i="13"/>
  <c r="Z128" i="13"/>
  <c r="AA128" i="13"/>
  <c r="AB128" i="13"/>
  <c r="AC128" i="13"/>
  <c r="AD128" i="13"/>
  <c r="AE128" i="13"/>
  <c r="AF128" i="13"/>
  <c r="AG128" i="13"/>
  <c r="AH128" i="13"/>
  <c r="AI128" i="13"/>
  <c r="AJ128" i="13"/>
  <c r="AK128" i="13"/>
  <c r="AL128" i="13"/>
  <c r="AM128" i="13"/>
  <c r="AO128" i="13"/>
  <c r="K129" i="13"/>
  <c r="L129" i="13"/>
  <c r="M129" i="13"/>
  <c r="N129" i="13"/>
  <c r="O129" i="13"/>
  <c r="P129" i="13"/>
  <c r="Q129" i="13"/>
  <c r="R129" i="13"/>
  <c r="S129" i="13"/>
  <c r="T129" i="13"/>
  <c r="X129" i="13"/>
  <c r="Y129" i="13"/>
  <c r="Z129" i="13"/>
  <c r="AA129" i="13"/>
  <c r="AB129" i="13"/>
  <c r="AC129" i="13"/>
  <c r="AD129" i="13"/>
  <c r="AE129" i="13"/>
  <c r="AF129" i="13"/>
  <c r="AG129" i="13"/>
  <c r="AH129" i="13"/>
  <c r="AI129" i="13"/>
  <c r="AJ129" i="13"/>
  <c r="AK129" i="13"/>
  <c r="AL129" i="13"/>
  <c r="AM129" i="13"/>
  <c r="AO129" i="13"/>
  <c r="K130" i="13"/>
  <c r="L130" i="13"/>
  <c r="M130" i="13"/>
  <c r="N130" i="13"/>
  <c r="O130" i="13"/>
  <c r="P130" i="13"/>
  <c r="Q130" i="13"/>
  <c r="R130" i="13"/>
  <c r="S130" i="13"/>
  <c r="T130" i="13"/>
  <c r="X130" i="13"/>
  <c r="Y130" i="13"/>
  <c r="Z130" i="13"/>
  <c r="AA130" i="13"/>
  <c r="AB130" i="13"/>
  <c r="AC130" i="13"/>
  <c r="AD130" i="13"/>
  <c r="AE130" i="13"/>
  <c r="AF130" i="13"/>
  <c r="AG130" i="13"/>
  <c r="AH130" i="13"/>
  <c r="AI130" i="13"/>
  <c r="AJ130" i="13"/>
  <c r="AK130" i="13"/>
  <c r="AL130" i="13"/>
  <c r="AM130" i="13"/>
  <c r="AO130" i="13"/>
  <c r="K131" i="13"/>
  <c r="L131" i="13"/>
  <c r="M131" i="13"/>
  <c r="N131" i="13"/>
  <c r="O131" i="13"/>
  <c r="P131" i="13"/>
  <c r="Q131" i="13"/>
  <c r="R131" i="13"/>
  <c r="S131" i="13"/>
  <c r="T131" i="13"/>
  <c r="X131" i="13"/>
  <c r="Y131" i="13"/>
  <c r="Z131" i="13"/>
  <c r="AA131" i="13"/>
  <c r="AB131" i="13"/>
  <c r="AC131" i="13"/>
  <c r="AD131" i="13"/>
  <c r="AE131" i="13"/>
  <c r="AF131" i="13"/>
  <c r="AG131" i="13"/>
  <c r="AH131" i="13"/>
  <c r="AI131" i="13"/>
  <c r="AJ131" i="13"/>
  <c r="AK131" i="13"/>
  <c r="AL131" i="13"/>
  <c r="AM131" i="13"/>
  <c r="AO131" i="13"/>
  <c r="K132" i="13"/>
  <c r="L132" i="13"/>
  <c r="M132" i="13"/>
  <c r="N132" i="13"/>
  <c r="O132" i="13"/>
  <c r="P132" i="13"/>
  <c r="Q132" i="13"/>
  <c r="R132" i="13"/>
  <c r="S132" i="13"/>
  <c r="T132" i="13"/>
  <c r="X132" i="13"/>
  <c r="Y132" i="13"/>
  <c r="Z132" i="13"/>
  <c r="AA132" i="13"/>
  <c r="AB132" i="13"/>
  <c r="AC132" i="13"/>
  <c r="AD132" i="13"/>
  <c r="AE132" i="13"/>
  <c r="AF132" i="13"/>
  <c r="AG132" i="13"/>
  <c r="AH132" i="13"/>
  <c r="AI132" i="13"/>
  <c r="AJ132" i="13"/>
  <c r="AK132" i="13"/>
  <c r="AL132" i="13"/>
  <c r="AM132" i="13"/>
  <c r="AO132" i="13"/>
  <c r="K133" i="13"/>
  <c r="L133" i="13"/>
  <c r="M133" i="13"/>
  <c r="N133" i="13"/>
  <c r="O133" i="13"/>
  <c r="P133" i="13"/>
  <c r="Q133" i="13"/>
  <c r="R133" i="13"/>
  <c r="S133" i="13"/>
  <c r="T133" i="13"/>
  <c r="X133" i="13"/>
  <c r="Y133" i="13"/>
  <c r="Z133" i="13"/>
  <c r="AA133" i="13"/>
  <c r="AB133" i="13"/>
  <c r="AC133" i="13"/>
  <c r="AD133" i="13"/>
  <c r="AE133" i="13"/>
  <c r="AF133" i="13"/>
  <c r="AG133" i="13"/>
  <c r="AH133" i="13"/>
  <c r="AI133" i="13"/>
  <c r="AJ133" i="13"/>
  <c r="AK133" i="13"/>
  <c r="AL133" i="13"/>
  <c r="AM133" i="13"/>
  <c r="AO133" i="13"/>
  <c r="K134" i="13"/>
  <c r="L134" i="13"/>
  <c r="M134" i="13"/>
  <c r="N134" i="13"/>
  <c r="O134" i="13"/>
  <c r="P134" i="13"/>
  <c r="Q134" i="13"/>
  <c r="R134" i="13"/>
  <c r="S134" i="13"/>
  <c r="T134" i="13"/>
  <c r="X134" i="13"/>
  <c r="Y134" i="13"/>
  <c r="Z134" i="13"/>
  <c r="AA134" i="13"/>
  <c r="AB134" i="13"/>
  <c r="AC134" i="13"/>
  <c r="AD134" i="13"/>
  <c r="AE134" i="13"/>
  <c r="AF134" i="13"/>
  <c r="AG134" i="13"/>
  <c r="AH134" i="13"/>
  <c r="AI134" i="13"/>
  <c r="AJ134" i="13"/>
  <c r="AK134" i="13"/>
  <c r="AL134" i="13"/>
  <c r="AM134" i="13"/>
  <c r="AO134" i="13"/>
  <c r="K135" i="13"/>
  <c r="L135" i="13"/>
  <c r="M135" i="13"/>
  <c r="N135" i="13"/>
  <c r="O135" i="13"/>
  <c r="P135" i="13"/>
  <c r="Q135" i="13"/>
  <c r="R135" i="13"/>
  <c r="S135" i="13"/>
  <c r="T135" i="13"/>
  <c r="X135" i="13"/>
  <c r="Y135" i="13"/>
  <c r="Z135" i="13"/>
  <c r="AA135" i="13"/>
  <c r="AB135" i="13"/>
  <c r="AC135" i="13"/>
  <c r="AD135" i="13"/>
  <c r="AE135" i="13"/>
  <c r="AF135" i="13"/>
  <c r="AG135" i="13"/>
  <c r="AH135" i="13"/>
  <c r="AI135" i="13"/>
  <c r="AJ135" i="13"/>
  <c r="AK135" i="13"/>
  <c r="AL135" i="13"/>
  <c r="AM135" i="13"/>
  <c r="AO135" i="13"/>
  <c r="K136" i="13"/>
  <c r="L136" i="13"/>
  <c r="M136" i="13"/>
  <c r="N136" i="13"/>
  <c r="O136" i="13"/>
  <c r="P136" i="13"/>
  <c r="Q136" i="13"/>
  <c r="R136" i="13"/>
  <c r="S136" i="13"/>
  <c r="T136" i="13"/>
  <c r="X136" i="13"/>
  <c r="Y136" i="13"/>
  <c r="Z136" i="13"/>
  <c r="AA136" i="13"/>
  <c r="AB136" i="13"/>
  <c r="AC136" i="13"/>
  <c r="AD136" i="13"/>
  <c r="AE136" i="13"/>
  <c r="AF136" i="13"/>
  <c r="AG136" i="13"/>
  <c r="AH136" i="13"/>
  <c r="AI136" i="13"/>
  <c r="AJ136" i="13"/>
  <c r="AK136" i="13"/>
  <c r="AL136" i="13"/>
  <c r="AM136" i="13"/>
  <c r="AO136" i="13"/>
  <c r="K137" i="13"/>
  <c r="L137" i="13"/>
  <c r="M137" i="13"/>
  <c r="N137" i="13"/>
  <c r="O137" i="13"/>
  <c r="P137" i="13"/>
  <c r="Q137" i="13"/>
  <c r="R137" i="13"/>
  <c r="S137" i="13"/>
  <c r="T137" i="13"/>
  <c r="X137" i="13"/>
  <c r="Y137" i="13"/>
  <c r="Z137" i="13"/>
  <c r="AA137" i="13"/>
  <c r="AB137" i="13"/>
  <c r="AC137" i="13"/>
  <c r="AD137" i="13"/>
  <c r="AE137" i="13"/>
  <c r="AF137" i="13"/>
  <c r="AG137" i="13"/>
  <c r="AH137" i="13"/>
  <c r="AI137" i="13"/>
  <c r="AJ137" i="13"/>
  <c r="AK137" i="13"/>
  <c r="AL137" i="13"/>
  <c r="AM137" i="13"/>
  <c r="AO137" i="13"/>
  <c r="K138" i="13"/>
  <c r="L138" i="13"/>
  <c r="M138" i="13"/>
  <c r="N138" i="13"/>
  <c r="O138" i="13"/>
  <c r="P138" i="13"/>
  <c r="Q138" i="13"/>
  <c r="R138" i="13"/>
  <c r="S138" i="13"/>
  <c r="T138" i="13"/>
  <c r="X138" i="13"/>
  <c r="Y138" i="13"/>
  <c r="Z138" i="13"/>
  <c r="AA138" i="13"/>
  <c r="AB138" i="13"/>
  <c r="AC138" i="13"/>
  <c r="AD138" i="13"/>
  <c r="AE138" i="13"/>
  <c r="AF138" i="13"/>
  <c r="AG138" i="13"/>
  <c r="AH138" i="13"/>
  <c r="AI138" i="13"/>
  <c r="AJ138" i="13"/>
  <c r="AK138" i="13"/>
  <c r="AL138" i="13"/>
  <c r="AM138" i="13"/>
  <c r="AO138" i="13"/>
  <c r="K139" i="13"/>
  <c r="L139" i="13"/>
  <c r="M139" i="13"/>
  <c r="N139" i="13"/>
  <c r="O139" i="13"/>
  <c r="P139" i="13"/>
  <c r="Q139" i="13"/>
  <c r="R139" i="13"/>
  <c r="S139" i="13"/>
  <c r="T139" i="13"/>
  <c r="X139" i="13"/>
  <c r="Y139" i="13"/>
  <c r="Z139" i="13"/>
  <c r="AA139" i="13"/>
  <c r="AB139" i="13"/>
  <c r="AC139" i="13"/>
  <c r="AD139" i="13"/>
  <c r="AE139" i="13"/>
  <c r="AF139" i="13"/>
  <c r="AG139" i="13"/>
  <c r="AH139" i="13"/>
  <c r="AI139" i="13"/>
  <c r="AJ139" i="13"/>
  <c r="AK139" i="13"/>
  <c r="AL139" i="13"/>
  <c r="AM139" i="13"/>
  <c r="AO139" i="13"/>
  <c r="K140" i="13"/>
  <c r="L140" i="13"/>
  <c r="M140" i="13"/>
  <c r="N140" i="13"/>
  <c r="O140" i="13"/>
  <c r="P140" i="13"/>
  <c r="Q140" i="13"/>
  <c r="R140" i="13"/>
  <c r="S140" i="13"/>
  <c r="T140" i="13"/>
  <c r="X140" i="13"/>
  <c r="Y140" i="13"/>
  <c r="Z140" i="13"/>
  <c r="AA140" i="13"/>
  <c r="AB140" i="13"/>
  <c r="AC140" i="13"/>
  <c r="AD140" i="13"/>
  <c r="AE140" i="13"/>
  <c r="AF140" i="13"/>
  <c r="AG140" i="13"/>
  <c r="AH140" i="13"/>
  <c r="AI140" i="13"/>
  <c r="AJ140" i="13"/>
  <c r="AK140" i="13"/>
  <c r="AL140" i="13"/>
  <c r="AM140" i="13"/>
  <c r="AO140" i="13"/>
  <c r="K141" i="13"/>
  <c r="L141" i="13"/>
  <c r="M141" i="13"/>
  <c r="N141" i="13"/>
  <c r="O141" i="13"/>
  <c r="P141" i="13"/>
  <c r="Q141" i="13"/>
  <c r="R141" i="13"/>
  <c r="S141" i="13"/>
  <c r="T141" i="13"/>
  <c r="X141" i="13"/>
  <c r="Y141" i="13"/>
  <c r="Z141" i="13"/>
  <c r="AA141" i="13"/>
  <c r="AB141" i="13"/>
  <c r="AC141" i="13"/>
  <c r="AD141" i="13"/>
  <c r="AE141" i="13"/>
  <c r="AF141" i="13"/>
  <c r="AG141" i="13"/>
  <c r="AH141" i="13"/>
  <c r="AI141" i="13"/>
  <c r="AJ141" i="13"/>
  <c r="AK141" i="13"/>
  <c r="AL141" i="13"/>
  <c r="AM141" i="13"/>
  <c r="AO141" i="13"/>
  <c r="K142" i="13"/>
  <c r="L142" i="13"/>
  <c r="M142" i="13"/>
  <c r="N142" i="13"/>
  <c r="O142" i="13"/>
  <c r="P142" i="13"/>
  <c r="Q142" i="13"/>
  <c r="R142" i="13"/>
  <c r="S142" i="13"/>
  <c r="T142" i="13"/>
  <c r="X142" i="13"/>
  <c r="Y142" i="13"/>
  <c r="Z142" i="13"/>
  <c r="AA142" i="13"/>
  <c r="AB142" i="13"/>
  <c r="AC142" i="13"/>
  <c r="AD142" i="13"/>
  <c r="AE142" i="13"/>
  <c r="AF142" i="13"/>
  <c r="AG142" i="13"/>
  <c r="AH142" i="13"/>
  <c r="AI142" i="13"/>
  <c r="AJ142" i="13"/>
  <c r="AK142" i="13"/>
  <c r="AL142" i="13"/>
  <c r="AM142" i="13"/>
  <c r="AO142" i="13"/>
  <c r="K143" i="13"/>
  <c r="L143" i="13"/>
  <c r="M143" i="13"/>
  <c r="N143" i="13"/>
  <c r="O143" i="13"/>
  <c r="P143" i="13"/>
  <c r="Q143" i="13"/>
  <c r="R143" i="13"/>
  <c r="S143" i="13"/>
  <c r="T143" i="13"/>
  <c r="X143" i="13"/>
  <c r="Y143" i="13"/>
  <c r="Z143" i="13"/>
  <c r="AA143" i="13"/>
  <c r="AB143" i="13"/>
  <c r="AC143" i="13"/>
  <c r="AD143" i="13"/>
  <c r="AE143" i="13"/>
  <c r="AF143" i="13"/>
  <c r="AG143" i="13"/>
  <c r="AH143" i="13"/>
  <c r="AI143" i="13"/>
  <c r="AJ143" i="13"/>
  <c r="AK143" i="13"/>
  <c r="AL143" i="13"/>
  <c r="AM143" i="13"/>
  <c r="AO143" i="13"/>
  <c r="K144" i="13"/>
  <c r="L144" i="13"/>
  <c r="M144" i="13"/>
  <c r="N144" i="13"/>
  <c r="O144" i="13"/>
  <c r="P144" i="13"/>
  <c r="Q144" i="13"/>
  <c r="R144" i="13"/>
  <c r="S144" i="13"/>
  <c r="T144" i="13"/>
  <c r="X144" i="13"/>
  <c r="Y144" i="13"/>
  <c r="Z144" i="13"/>
  <c r="AA144" i="13"/>
  <c r="AB144" i="13"/>
  <c r="AC144" i="13"/>
  <c r="AD144" i="13"/>
  <c r="AE144" i="13"/>
  <c r="AF144" i="13"/>
  <c r="AG144" i="13"/>
  <c r="AH144" i="13"/>
  <c r="AI144" i="13"/>
  <c r="AJ144" i="13"/>
  <c r="AK144" i="13"/>
  <c r="AL144" i="13"/>
  <c r="AM144" i="13"/>
  <c r="AO144" i="13"/>
  <c r="K145" i="13"/>
  <c r="L145" i="13"/>
  <c r="M145" i="13"/>
  <c r="N145" i="13"/>
  <c r="O145" i="13"/>
  <c r="P145" i="13"/>
  <c r="Q145" i="13"/>
  <c r="R145" i="13"/>
  <c r="S145" i="13"/>
  <c r="T145" i="13"/>
  <c r="X145" i="13"/>
  <c r="Y145" i="13"/>
  <c r="Z145" i="13"/>
  <c r="AA145" i="13"/>
  <c r="AB145" i="13"/>
  <c r="AC145" i="13"/>
  <c r="AD145" i="13"/>
  <c r="AE145" i="13"/>
  <c r="AF145" i="13"/>
  <c r="AG145" i="13"/>
  <c r="AH145" i="13"/>
  <c r="AI145" i="13"/>
  <c r="AJ145" i="13"/>
  <c r="AK145" i="13"/>
  <c r="AL145" i="13"/>
  <c r="AM145" i="13"/>
  <c r="AO145" i="13"/>
  <c r="K146" i="13"/>
  <c r="L146" i="13"/>
  <c r="M146" i="13"/>
  <c r="N146" i="13"/>
  <c r="O146" i="13"/>
  <c r="P146" i="13"/>
  <c r="Q146" i="13"/>
  <c r="R146" i="13"/>
  <c r="S146" i="13"/>
  <c r="T146" i="13"/>
  <c r="X146" i="13"/>
  <c r="Y146" i="13"/>
  <c r="Z146" i="13"/>
  <c r="AA146" i="13"/>
  <c r="AB146" i="13"/>
  <c r="AC146" i="13"/>
  <c r="AD146" i="13"/>
  <c r="AE146" i="13"/>
  <c r="AF146" i="13"/>
  <c r="AG146" i="13"/>
  <c r="AH146" i="13"/>
  <c r="AI146" i="13"/>
  <c r="AJ146" i="13"/>
  <c r="AK146" i="13"/>
  <c r="AL146" i="13"/>
  <c r="AM146" i="13"/>
  <c r="AO146" i="13"/>
  <c r="K147" i="13"/>
  <c r="L147" i="13"/>
  <c r="M147" i="13"/>
  <c r="N147" i="13"/>
  <c r="O147" i="13"/>
  <c r="P147" i="13"/>
  <c r="Q147" i="13"/>
  <c r="R147" i="13"/>
  <c r="S147" i="13"/>
  <c r="T147" i="13"/>
  <c r="X147" i="13"/>
  <c r="Y147" i="13"/>
  <c r="Z147" i="13"/>
  <c r="AA147" i="13"/>
  <c r="AB147" i="13"/>
  <c r="AC147" i="13"/>
  <c r="AD147" i="13"/>
  <c r="AE147" i="13"/>
  <c r="AF147" i="13"/>
  <c r="AG147" i="13"/>
  <c r="AH147" i="13"/>
  <c r="AI147" i="13"/>
  <c r="AJ147" i="13"/>
  <c r="AK147" i="13"/>
  <c r="AL147" i="13"/>
  <c r="AM147" i="13"/>
  <c r="AO147" i="13"/>
  <c r="K148" i="13"/>
  <c r="L148" i="13"/>
  <c r="M148" i="13"/>
  <c r="N148" i="13"/>
  <c r="O148" i="13"/>
  <c r="P148" i="13"/>
  <c r="Q148" i="13"/>
  <c r="R148" i="13"/>
  <c r="S148" i="13"/>
  <c r="T148" i="13"/>
  <c r="X148" i="13"/>
  <c r="Y148" i="13"/>
  <c r="Z148" i="13"/>
  <c r="AA148" i="13"/>
  <c r="AB148" i="13"/>
  <c r="AC148" i="13"/>
  <c r="AD148" i="13"/>
  <c r="AE148" i="13"/>
  <c r="AF148" i="13"/>
  <c r="AG148" i="13"/>
  <c r="AH148" i="13"/>
  <c r="AI148" i="13"/>
  <c r="AJ148" i="13"/>
  <c r="AK148" i="13"/>
  <c r="AL148" i="13"/>
  <c r="AM148" i="13"/>
  <c r="AO148" i="13"/>
  <c r="K149" i="13"/>
  <c r="L149" i="13"/>
  <c r="M149" i="13"/>
  <c r="N149" i="13"/>
  <c r="O149" i="13"/>
  <c r="P149" i="13"/>
  <c r="Q149" i="13"/>
  <c r="R149" i="13"/>
  <c r="S149" i="13"/>
  <c r="T149" i="13"/>
  <c r="X149" i="13"/>
  <c r="Y149" i="13"/>
  <c r="Z149" i="13"/>
  <c r="AA149" i="13"/>
  <c r="AB149" i="13"/>
  <c r="AC149" i="13"/>
  <c r="AD149" i="13"/>
  <c r="AE149" i="13"/>
  <c r="AF149" i="13"/>
  <c r="AG149" i="13"/>
  <c r="AH149" i="13"/>
  <c r="AI149" i="13"/>
  <c r="AJ149" i="13"/>
  <c r="AK149" i="13"/>
  <c r="AL149" i="13"/>
  <c r="AM149" i="13"/>
  <c r="AO149" i="13"/>
  <c r="K150" i="13"/>
  <c r="L150" i="13"/>
  <c r="M150" i="13"/>
  <c r="N150" i="13"/>
  <c r="O150" i="13"/>
  <c r="P150" i="13"/>
  <c r="Q150" i="13"/>
  <c r="R150" i="13"/>
  <c r="S150" i="13"/>
  <c r="T150" i="13"/>
  <c r="X150" i="13"/>
  <c r="Y150" i="13"/>
  <c r="Z150" i="13"/>
  <c r="AA150" i="13"/>
  <c r="AB150" i="13"/>
  <c r="AC150" i="13"/>
  <c r="AD150" i="13"/>
  <c r="AE150" i="13"/>
  <c r="AF150" i="13"/>
  <c r="AG150" i="13"/>
  <c r="AH150" i="13"/>
  <c r="AI150" i="13"/>
  <c r="AJ150" i="13"/>
  <c r="AK150" i="13"/>
  <c r="AL150" i="13"/>
  <c r="AM150" i="13"/>
  <c r="AO150" i="13"/>
  <c r="K151" i="13"/>
  <c r="L151" i="13"/>
  <c r="M151" i="13"/>
  <c r="N151" i="13"/>
  <c r="O151" i="13"/>
  <c r="P151" i="13"/>
  <c r="Q151" i="13"/>
  <c r="R151" i="13"/>
  <c r="S151" i="13"/>
  <c r="T151" i="13"/>
  <c r="X151" i="13"/>
  <c r="Y151" i="13"/>
  <c r="Z151" i="13"/>
  <c r="AA151" i="13"/>
  <c r="AB151" i="13"/>
  <c r="AC151" i="13"/>
  <c r="AD151" i="13"/>
  <c r="AE151" i="13"/>
  <c r="AF151" i="13"/>
  <c r="AG151" i="13"/>
  <c r="AH151" i="13"/>
  <c r="AI151" i="13"/>
  <c r="AJ151" i="13"/>
  <c r="AK151" i="13"/>
  <c r="AL151" i="13"/>
  <c r="AM151" i="13"/>
  <c r="AO151" i="13"/>
  <c r="K152" i="13"/>
  <c r="L152" i="13"/>
  <c r="M152" i="13"/>
  <c r="N152" i="13"/>
  <c r="O152" i="13"/>
  <c r="P152" i="13"/>
  <c r="Q152" i="13"/>
  <c r="R152" i="13"/>
  <c r="S152" i="13"/>
  <c r="T152" i="13"/>
  <c r="X152" i="13"/>
  <c r="Y152" i="13"/>
  <c r="Z152" i="13"/>
  <c r="AA152" i="13"/>
  <c r="AB152" i="13"/>
  <c r="AC152" i="13"/>
  <c r="AD152" i="13"/>
  <c r="AE152" i="13"/>
  <c r="AF152" i="13"/>
  <c r="AG152" i="13"/>
  <c r="AH152" i="13"/>
  <c r="AI152" i="13"/>
  <c r="AJ152" i="13"/>
  <c r="AK152" i="13"/>
  <c r="AL152" i="13"/>
  <c r="AM152" i="13"/>
  <c r="AO152" i="13"/>
  <c r="K153" i="13"/>
  <c r="L153" i="13"/>
  <c r="M153" i="13"/>
  <c r="N153" i="13"/>
  <c r="O153" i="13"/>
  <c r="P153" i="13"/>
  <c r="Q153" i="13"/>
  <c r="R153" i="13"/>
  <c r="S153" i="13"/>
  <c r="T153" i="13"/>
  <c r="X153" i="13"/>
  <c r="Y153" i="13"/>
  <c r="Z153" i="13"/>
  <c r="AA153" i="13"/>
  <c r="AB153" i="13"/>
  <c r="AC153" i="13"/>
  <c r="AD153" i="13"/>
  <c r="AE153" i="13"/>
  <c r="AF153" i="13"/>
  <c r="AG153" i="13"/>
  <c r="AH153" i="13"/>
  <c r="AI153" i="13"/>
  <c r="AJ153" i="13"/>
  <c r="AK153" i="13"/>
  <c r="AL153" i="13"/>
  <c r="AM153" i="13"/>
  <c r="AO153" i="13"/>
  <c r="K154" i="13"/>
  <c r="L154" i="13"/>
  <c r="M154" i="13"/>
  <c r="N154" i="13"/>
  <c r="O154" i="13"/>
  <c r="P154" i="13"/>
  <c r="Q154" i="13"/>
  <c r="R154" i="13"/>
  <c r="S154" i="13"/>
  <c r="T154" i="13"/>
  <c r="X154" i="13"/>
  <c r="Y154" i="13"/>
  <c r="Z154" i="13"/>
  <c r="AA154" i="13"/>
  <c r="AB154" i="13"/>
  <c r="AC154" i="13"/>
  <c r="AD154" i="13"/>
  <c r="AE154" i="13"/>
  <c r="AF154" i="13"/>
  <c r="AG154" i="13"/>
  <c r="AH154" i="13"/>
  <c r="AI154" i="13"/>
  <c r="AJ154" i="13"/>
  <c r="AK154" i="13"/>
  <c r="AL154" i="13"/>
  <c r="AM154" i="13"/>
  <c r="AO154" i="13"/>
  <c r="K155" i="13"/>
  <c r="L155" i="13"/>
  <c r="M155" i="13"/>
  <c r="N155" i="13"/>
  <c r="O155" i="13"/>
  <c r="P155" i="13"/>
  <c r="Q155" i="13"/>
  <c r="R155" i="13"/>
  <c r="S155" i="13"/>
  <c r="T155" i="13"/>
  <c r="X155" i="13"/>
  <c r="Y155" i="13"/>
  <c r="Z155" i="13"/>
  <c r="AA155" i="13"/>
  <c r="AB155" i="13"/>
  <c r="AC155" i="13"/>
  <c r="AD155" i="13"/>
  <c r="AE155" i="13"/>
  <c r="AF155" i="13"/>
  <c r="AG155" i="13"/>
  <c r="AH155" i="13"/>
  <c r="AI155" i="13"/>
  <c r="AJ155" i="13"/>
  <c r="AK155" i="13"/>
  <c r="AL155" i="13"/>
  <c r="AM155" i="13"/>
  <c r="AO155" i="13"/>
  <c r="K156" i="13"/>
  <c r="L156" i="13"/>
  <c r="M156" i="13"/>
  <c r="N156" i="13"/>
  <c r="O156" i="13"/>
  <c r="P156" i="13"/>
  <c r="Q156" i="13"/>
  <c r="R156" i="13"/>
  <c r="S156" i="13"/>
  <c r="T156" i="13"/>
  <c r="X156" i="13"/>
  <c r="Y156" i="13"/>
  <c r="Z156" i="13"/>
  <c r="AA156" i="13"/>
  <c r="AB156" i="13"/>
  <c r="AC156" i="13"/>
  <c r="AD156" i="13"/>
  <c r="AE156" i="13"/>
  <c r="AF156" i="13"/>
  <c r="AG156" i="13"/>
  <c r="AH156" i="13"/>
  <c r="AI156" i="13"/>
  <c r="AJ156" i="13"/>
  <c r="AK156" i="13"/>
  <c r="AL156" i="13"/>
  <c r="AM156" i="13"/>
  <c r="AO156" i="13"/>
  <c r="K157" i="13"/>
  <c r="L157" i="13"/>
  <c r="M157" i="13"/>
  <c r="N157" i="13"/>
  <c r="O157" i="13"/>
  <c r="P157" i="13"/>
  <c r="Q157" i="13"/>
  <c r="R157" i="13"/>
  <c r="S157" i="13"/>
  <c r="T157" i="13"/>
  <c r="X157" i="13"/>
  <c r="Y157" i="13"/>
  <c r="Z157" i="13"/>
  <c r="AA157" i="13"/>
  <c r="AB157" i="13"/>
  <c r="AC157" i="13"/>
  <c r="AD157" i="13"/>
  <c r="AE157" i="13"/>
  <c r="AF157" i="13"/>
  <c r="AG157" i="13"/>
  <c r="AH157" i="13"/>
  <c r="AI157" i="13"/>
  <c r="AJ157" i="13"/>
  <c r="AK157" i="13"/>
  <c r="AL157" i="13"/>
  <c r="AM157" i="13"/>
  <c r="AO157" i="13"/>
  <c r="K158" i="13"/>
  <c r="L158" i="13"/>
  <c r="M158" i="13"/>
  <c r="N158" i="13"/>
  <c r="O158" i="13"/>
  <c r="P158" i="13"/>
  <c r="Q158" i="13"/>
  <c r="R158" i="13"/>
  <c r="S158" i="13"/>
  <c r="T158" i="13"/>
  <c r="X158" i="13"/>
  <c r="Y158" i="13"/>
  <c r="Z158" i="13"/>
  <c r="AA158" i="13"/>
  <c r="AB158" i="13"/>
  <c r="AC158" i="13"/>
  <c r="AD158" i="13"/>
  <c r="AE158" i="13"/>
  <c r="AF158" i="13"/>
  <c r="AG158" i="13"/>
  <c r="AH158" i="13"/>
  <c r="AI158" i="13"/>
  <c r="AJ158" i="13"/>
  <c r="AK158" i="13"/>
  <c r="AL158" i="13"/>
  <c r="AM158" i="13"/>
  <c r="AO158" i="13"/>
  <c r="K159" i="13"/>
  <c r="L159" i="13"/>
  <c r="M159" i="13"/>
  <c r="N159" i="13"/>
  <c r="O159" i="13"/>
  <c r="P159" i="13"/>
  <c r="Q159" i="13"/>
  <c r="R159" i="13"/>
  <c r="S159" i="13"/>
  <c r="T159" i="13"/>
  <c r="X159" i="13"/>
  <c r="Y159" i="13"/>
  <c r="Z159" i="13"/>
  <c r="AA159" i="13"/>
  <c r="AB159" i="13"/>
  <c r="AC159" i="13"/>
  <c r="AD159" i="13"/>
  <c r="AE159" i="13"/>
  <c r="AF159" i="13"/>
  <c r="AG159" i="13"/>
  <c r="AH159" i="13"/>
  <c r="AI159" i="13"/>
  <c r="AJ159" i="13"/>
  <c r="AK159" i="13"/>
  <c r="AL159" i="13"/>
  <c r="AM159" i="13"/>
  <c r="AO159" i="13"/>
  <c r="K160" i="13"/>
  <c r="L160" i="13"/>
  <c r="M160" i="13"/>
  <c r="N160" i="13"/>
  <c r="O160" i="13"/>
  <c r="P160" i="13"/>
  <c r="Q160" i="13"/>
  <c r="R160" i="13"/>
  <c r="S160" i="13"/>
  <c r="T160" i="13"/>
  <c r="X160" i="13"/>
  <c r="Y160" i="13"/>
  <c r="Z160" i="13"/>
  <c r="AA160" i="13"/>
  <c r="AB160" i="13"/>
  <c r="AC160" i="13"/>
  <c r="AD160" i="13"/>
  <c r="AE160" i="13"/>
  <c r="AF160" i="13"/>
  <c r="AG160" i="13"/>
  <c r="AH160" i="13"/>
  <c r="AI160" i="13"/>
  <c r="AJ160" i="13"/>
  <c r="AK160" i="13"/>
  <c r="AL160" i="13"/>
  <c r="AM160" i="13"/>
  <c r="AO160" i="13"/>
  <c r="K161" i="13"/>
  <c r="L161" i="13"/>
  <c r="M161" i="13"/>
  <c r="N161" i="13"/>
  <c r="O161" i="13"/>
  <c r="P161" i="13"/>
  <c r="Q161" i="13"/>
  <c r="R161" i="13"/>
  <c r="S161" i="13"/>
  <c r="T161" i="13"/>
  <c r="X161" i="13"/>
  <c r="Y161" i="13"/>
  <c r="Z161" i="13"/>
  <c r="AA161" i="13"/>
  <c r="AB161" i="13"/>
  <c r="AC161" i="13"/>
  <c r="AD161" i="13"/>
  <c r="AE161" i="13"/>
  <c r="AF161" i="13"/>
  <c r="AG161" i="13"/>
  <c r="AH161" i="13"/>
  <c r="AI161" i="13"/>
  <c r="AJ161" i="13"/>
  <c r="AK161" i="13"/>
  <c r="AL161" i="13"/>
  <c r="AM161" i="13"/>
  <c r="AO161" i="13"/>
  <c r="K162" i="13"/>
  <c r="L162" i="13"/>
  <c r="M162" i="13"/>
  <c r="N162" i="13"/>
  <c r="O162" i="13"/>
  <c r="P162" i="13"/>
  <c r="Q162" i="13"/>
  <c r="R162" i="13"/>
  <c r="S162" i="13"/>
  <c r="T162" i="13"/>
  <c r="X162" i="13"/>
  <c r="Y162" i="13"/>
  <c r="Z162" i="13"/>
  <c r="AA162" i="13"/>
  <c r="AB162" i="13"/>
  <c r="AC162" i="13"/>
  <c r="AD162" i="13"/>
  <c r="AE162" i="13"/>
  <c r="AF162" i="13"/>
  <c r="AG162" i="13"/>
  <c r="AH162" i="13"/>
  <c r="AI162" i="13"/>
  <c r="AJ162" i="13"/>
  <c r="AK162" i="13"/>
  <c r="AL162" i="13"/>
  <c r="AM162" i="13"/>
  <c r="AO162" i="13"/>
  <c r="K163" i="13"/>
  <c r="L163" i="13"/>
  <c r="M163" i="13"/>
  <c r="N163" i="13"/>
  <c r="O163" i="13"/>
  <c r="P163" i="13"/>
  <c r="Q163" i="13"/>
  <c r="R163" i="13"/>
  <c r="S163" i="13"/>
  <c r="T163" i="13"/>
  <c r="X163" i="13"/>
  <c r="Y163" i="13"/>
  <c r="Z163" i="13"/>
  <c r="AA163" i="13"/>
  <c r="AB163" i="13"/>
  <c r="AC163" i="13"/>
  <c r="AD163" i="13"/>
  <c r="AE163" i="13"/>
  <c r="AF163" i="13"/>
  <c r="AG163" i="13"/>
  <c r="AH163" i="13"/>
  <c r="AI163" i="13"/>
  <c r="AJ163" i="13"/>
  <c r="AK163" i="13"/>
  <c r="AL163" i="13"/>
  <c r="AM163" i="13"/>
  <c r="AO163" i="13"/>
  <c r="K164" i="13"/>
  <c r="L164" i="13"/>
  <c r="M164" i="13"/>
  <c r="N164" i="13"/>
  <c r="O164" i="13"/>
  <c r="P164" i="13"/>
  <c r="Q164" i="13"/>
  <c r="R164" i="13"/>
  <c r="S164" i="13"/>
  <c r="T164" i="13"/>
  <c r="X164" i="13"/>
  <c r="Y164" i="13"/>
  <c r="Z164" i="13"/>
  <c r="AA164" i="13"/>
  <c r="AB164" i="13"/>
  <c r="AC164" i="13"/>
  <c r="AD164" i="13"/>
  <c r="AE164" i="13"/>
  <c r="AF164" i="13"/>
  <c r="AG164" i="13"/>
  <c r="AH164" i="13"/>
  <c r="AI164" i="13"/>
  <c r="AJ164" i="13"/>
  <c r="AK164" i="13"/>
  <c r="AL164" i="13"/>
  <c r="AM164" i="13"/>
  <c r="AO164" i="13"/>
  <c r="K165" i="13"/>
  <c r="L165" i="13"/>
  <c r="M165" i="13"/>
  <c r="N165" i="13"/>
  <c r="O165" i="13"/>
  <c r="P165" i="13"/>
  <c r="Q165" i="13"/>
  <c r="R165" i="13"/>
  <c r="S165" i="13"/>
  <c r="T165" i="13"/>
  <c r="X165" i="13"/>
  <c r="Y165" i="13"/>
  <c r="Z165" i="13"/>
  <c r="AA165" i="13"/>
  <c r="AB165" i="13"/>
  <c r="AC165" i="13"/>
  <c r="AD165" i="13"/>
  <c r="AE165" i="13"/>
  <c r="AF165" i="13"/>
  <c r="AG165" i="13"/>
  <c r="AH165" i="13"/>
  <c r="AI165" i="13"/>
  <c r="AJ165" i="13"/>
  <c r="AK165" i="13"/>
  <c r="AL165" i="13"/>
  <c r="AM165" i="13"/>
  <c r="AO165" i="13"/>
  <c r="K166" i="13"/>
  <c r="L166" i="13"/>
  <c r="M166" i="13"/>
  <c r="N166" i="13"/>
  <c r="O166" i="13"/>
  <c r="P166" i="13"/>
  <c r="Q166" i="13"/>
  <c r="R166" i="13"/>
  <c r="S166" i="13"/>
  <c r="T166" i="13"/>
  <c r="X166" i="13"/>
  <c r="Y166" i="13"/>
  <c r="Z166" i="13"/>
  <c r="AA166" i="13"/>
  <c r="AB166" i="13"/>
  <c r="AC166" i="13"/>
  <c r="AD166" i="13"/>
  <c r="AE166" i="13"/>
  <c r="AF166" i="13"/>
  <c r="AG166" i="13"/>
  <c r="AH166" i="13"/>
  <c r="AI166" i="13"/>
  <c r="AJ166" i="13"/>
  <c r="AK166" i="13"/>
  <c r="AL166" i="13"/>
  <c r="AM166" i="13"/>
  <c r="AO166" i="13"/>
  <c r="K167" i="13"/>
  <c r="L167" i="13"/>
  <c r="M167" i="13"/>
  <c r="N167" i="13"/>
  <c r="O167" i="13"/>
  <c r="P167" i="13"/>
  <c r="Q167" i="13"/>
  <c r="R167" i="13"/>
  <c r="S167" i="13"/>
  <c r="T167" i="13"/>
  <c r="X167" i="13"/>
  <c r="Y167" i="13"/>
  <c r="Z167" i="13"/>
  <c r="AA167" i="13"/>
  <c r="AB167" i="13"/>
  <c r="AC167" i="13"/>
  <c r="AD167" i="13"/>
  <c r="AE167" i="13"/>
  <c r="AF167" i="13"/>
  <c r="AG167" i="13"/>
  <c r="AH167" i="13"/>
  <c r="AI167" i="13"/>
  <c r="AJ167" i="13"/>
  <c r="AK167" i="13"/>
  <c r="AL167" i="13"/>
  <c r="AM167" i="13"/>
  <c r="AO167" i="13"/>
  <c r="K168" i="13"/>
  <c r="L168" i="13"/>
  <c r="M168" i="13"/>
  <c r="N168" i="13"/>
  <c r="O168" i="13"/>
  <c r="P168" i="13"/>
  <c r="Q168" i="13"/>
  <c r="R168" i="13"/>
  <c r="S168" i="13"/>
  <c r="T168" i="13"/>
  <c r="X168" i="13"/>
  <c r="Y168" i="13"/>
  <c r="Z168" i="13"/>
  <c r="AA168" i="13"/>
  <c r="AB168" i="13"/>
  <c r="AC168" i="13"/>
  <c r="AD168" i="13"/>
  <c r="AE168" i="13"/>
  <c r="AF168" i="13"/>
  <c r="AG168" i="13"/>
  <c r="AH168" i="13"/>
  <c r="AI168" i="13"/>
  <c r="AJ168" i="13"/>
  <c r="AK168" i="13"/>
  <c r="AL168" i="13"/>
  <c r="AM168" i="13"/>
  <c r="AO168" i="13"/>
  <c r="K169" i="13"/>
  <c r="L169" i="13"/>
  <c r="M169" i="13"/>
  <c r="N169" i="13"/>
  <c r="O169" i="13"/>
  <c r="P169" i="13"/>
  <c r="Q169" i="13"/>
  <c r="R169" i="13"/>
  <c r="S169" i="13"/>
  <c r="T169" i="13"/>
  <c r="X169" i="13"/>
  <c r="Y169" i="13"/>
  <c r="Z169" i="13"/>
  <c r="AA169" i="13"/>
  <c r="AB169" i="13"/>
  <c r="AC169" i="13"/>
  <c r="AD169" i="13"/>
  <c r="AE169" i="13"/>
  <c r="AF169" i="13"/>
  <c r="AG169" i="13"/>
  <c r="AH169" i="13"/>
  <c r="AI169" i="13"/>
  <c r="AJ169" i="13"/>
  <c r="AK169" i="13"/>
  <c r="AL169" i="13"/>
  <c r="AM169" i="13"/>
  <c r="AO169" i="13"/>
  <c r="K170" i="13"/>
  <c r="L170" i="13"/>
  <c r="M170" i="13"/>
  <c r="N170" i="13"/>
  <c r="O170" i="13"/>
  <c r="P170" i="13"/>
  <c r="Q170" i="13"/>
  <c r="R170" i="13"/>
  <c r="S170" i="13"/>
  <c r="T170" i="13"/>
  <c r="X170" i="13"/>
  <c r="Y170" i="13"/>
  <c r="Z170" i="13"/>
  <c r="AA170" i="13"/>
  <c r="AB170" i="13"/>
  <c r="AC170" i="13"/>
  <c r="AD170" i="13"/>
  <c r="AE170" i="13"/>
  <c r="AF170" i="13"/>
  <c r="AG170" i="13"/>
  <c r="AH170" i="13"/>
  <c r="AI170" i="13"/>
  <c r="AJ170" i="13"/>
  <c r="AK170" i="13"/>
  <c r="AL170" i="13"/>
  <c r="AM170" i="13"/>
  <c r="AO170" i="13"/>
  <c r="K171" i="13"/>
  <c r="L171" i="13"/>
  <c r="M171" i="13"/>
  <c r="N171" i="13"/>
  <c r="O171" i="13"/>
  <c r="P171" i="13"/>
  <c r="Q171" i="13"/>
  <c r="R171" i="13"/>
  <c r="S171" i="13"/>
  <c r="T171" i="13"/>
  <c r="X171" i="13"/>
  <c r="Y171" i="13"/>
  <c r="Z171" i="13"/>
  <c r="AA171" i="13"/>
  <c r="AB171" i="13"/>
  <c r="AC171" i="13"/>
  <c r="AD171" i="13"/>
  <c r="AE171" i="13"/>
  <c r="AF171" i="13"/>
  <c r="AG171" i="13"/>
  <c r="AH171" i="13"/>
  <c r="AI171" i="13"/>
  <c r="AJ171" i="13"/>
  <c r="AK171" i="13"/>
  <c r="AL171" i="13"/>
  <c r="AM171" i="13"/>
  <c r="AO171" i="13"/>
  <c r="K172" i="13"/>
  <c r="L172" i="13"/>
  <c r="M172" i="13"/>
  <c r="N172" i="13"/>
  <c r="O172" i="13"/>
  <c r="P172" i="13"/>
  <c r="Q172" i="13"/>
  <c r="R172" i="13"/>
  <c r="S172" i="13"/>
  <c r="T172" i="13"/>
  <c r="X172" i="13"/>
  <c r="Y172" i="13"/>
  <c r="Z172" i="13"/>
  <c r="AA172" i="13"/>
  <c r="AB172" i="13"/>
  <c r="AC172" i="13"/>
  <c r="AD172" i="13"/>
  <c r="AE172" i="13"/>
  <c r="AF172" i="13"/>
  <c r="AG172" i="13"/>
  <c r="AH172" i="13"/>
  <c r="AI172" i="13"/>
  <c r="AJ172" i="13"/>
  <c r="AK172" i="13"/>
  <c r="AL172" i="13"/>
  <c r="AM172" i="13"/>
  <c r="AO172" i="13"/>
  <c r="K173" i="13"/>
  <c r="L173" i="13"/>
  <c r="M173" i="13"/>
  <c r="N173" i="13"/>
  <c r="O173" i="13"/>
  <c r="P173" i="13"/>
  <c r="Q173" i="13"/>
  <c r="R173" i="13"/>
  <c r="S173" i="13"/>
  <c r="T173" i="13"/>
  <c r="X173" i="13"/>
  <c r="Y173" i="13"/>
  <c r="Z173" i="13"/>
  <c r="AA173" i="13"/>
  <c r="AB173" i="13"/>
  <c r="AC173" i="13"/>
  <c r="AD173" i="13"/>
  <c r="AE173" i="13"/>
  <c r="AF173" i="13"/>
  <c r="AG173" i="13"/>
  <c r="AH173" i="13"/>
  <c r="AI173" i="13"/>
  <c r="AJ173" i="13"/>
  <c r="AK173" i="13"/>
  <c r="AL173" i="13"/>
  <c r="AM173" i="13"/>
  <c r="AO173" i="13"/>
  <c r="K174" i="13"/>
  <c r="L174" i="13"/>
  <c r="M174" i="13"/>
  <c r="N174" i="13"/>
  <c r="O174" i="13"/>
  <c r="P174" i="13"/>
  <c r="Q174" i="13"/>
  <c r="R174" i="13"/>
  <c r="S174" i="13"/>
  <c r="T174" i="13"/>
  <c r="X174" i="13"/>
  <c r="Y174" i="13"/>
  <c r="Z174" i="13"/>
  <c r="AA174" i="13"/>
  <c r="AB174" i="13"/>
  <c r="AC174" i="13"/>
  <c r="AD174" i="13"/>
  <c r="AE174" i="13"/>
  <c r="AF174" i="13"/>
  <c r="AG174" i="13"/>
  <c r="AH174" i="13"/>
  <c r="AI174" i="13"/>
  <c r="AJ174" i="13"/>
  <c r="AK174" i="13"/>
  <c r="AL174" i="13"/>
  <c r="AM174" i="13"/>
  <c r="AO174" i="13"/>
  <c r="K175" i="13"/>
  <c r="L175" i="13"/>
  <c r="M175" i="13"/>
  <c r="N175" i="13"/>
  <c r="O175" i="13"/>
  <c r="P175" i="13"/>
  <c r="Q175" i="13"/>
  <c r="R175" i="13"/>
  <c r="S175" i="13"/>
  <c r="T175" i="13"/>
  <c r="X175" i="13"/>
  <c r="Y175" i="13"/>
  <c r="Z175" i="13"/>
  <c r="AA175" i="13"/>
  <c r="AB175" i="13"/>
  <c r="AC175" i="13"/>
  <c r="AD175" i="13"/>
  <c r="AE175" i="13"/>
  <c r="AF175" i="13"/>
  <c r="AG175" i="13"/>
  <c r="AH175" i="13"/>
  <c r="AI175" i="13"/>
  <c r="AJ175" i="13"/>
  <c r="AK175" i="13"/>
  <c r="AL175" i="13"/>
  <c r="AM175" i="13"/>
  <c r="AO175" i="13"/>
  <c r="K176" i="13"/>
  <c r="L176" i="13"/>
  <c r="M176" i="13"/>
  <c r="N176" i="13"/>
  <c r="O176" i="13"/>
  <c r="P176" i="13"/>
  <c r="Q176" i="13"/>
  <c r="R176" i="13"/>
  <c r="S176" i="13"/>
  <c r="T176" i="13"/>
  <c r="X176" i="13"/>
  <c r="Y176" i="13"/>
  <c r="Z176" i="13"/>
  <c r="AA176" i="13"/>
  <c r="AB176" i="13"/>
  <c r="AC176" i="13"/>
  <c r="AD176" i="13"/>
  <c r="AE176" i="13"/>
  <c r="AF176" i="13"/>
  <c r="AG176" i="13"/>
  <c r="AH176" i="13"/>
  <c r="AI176" i="13"/>
  <c r="AJ176" i="13"/>
  <c r="AK176" i="13"/>
  <c r="AL176" i="13"/>
  <c r="AM176" i="13"/>
  <c r="AO176" i="13"/>
  <c r="K177" i="13"/>
  <c r="L177" i="13"/>
  <c r="M177" i="13"/>
  <c r="N177" i="13"/>
  <c r="O177" i="13"/>
  <c r="P177" i="13"/>
  <c r="Q177" i="13"/>
  <c r="R177" i="13"/>
  <c r="S177" i="13"/>
  <c r="T177" i="13"/>
  <c r="X177" i="13"/>
  <c r="Y177" i="13"/>
  <c r="Z177" i="13"/>
  <c r="AA177" i="13"/>
  <c r="AB177" i="13"/>
  <c r="AC177" i="13"/>
  <c r="AD177" i="13"/>
  <c r="AE177" i="13"/>
  <c r="AF177" i="13"/>
  <c r="AG177" i="13"/>
  <c r="AH177" i="13"/>
  <c r="AI177" i="13"/>
  <c r="AJ177" i="13"/>
  <c r="AK177" i="13"/>
  <c r="AL177" i="13"/>
  <c r="AM177" i="13"/>
  <c r="AO177" i="13"/>
  <c r="K178" i="13"/>
  <c r="L178" i="13"/>
  <c r="M178" i="13"/>
  <c r="N178" i="13"/>
  <c r="O178" i="13"/>
  <c r="P178" i="13"/>
  <c r="Q178" i="13"/>
  <c r="R178" i="13"/>
  <c r="S178" i="13"/>
  <c r="T178" i="13"/>
  <c r="X178" i="13"/>
  <c r="Y178" i="13"/>
  <c r="Z178" i="13"/>
  <c r="AA178" i="13"/>
  <c r="AB178" i="13"/>
  <c r="AC178" i="13"/>
  <c r="AD178" i="13"/>
  <c r="AE178" i="13"/>
  <c r="AF178" i="13"/>
  <c r="AG178" i="13"/>
  <c r="AH178" i="13"/>
  <c r="AI178" i="13"/>
  <c r="AJ178" i="13"/>
  <c r="AK178" i="13"/>
  <c r="AL178" i="13"/>
  <c r="AM178" i="13"/>
  <c r="AO178" i="13"/>
  <c r="K179" i="13"/>
  <c r="L179" i="13"/>
  <c r="M179" i="13"/>
  <c r="N179" i="13"/>
  <c r="O179" i="13"/>
  <c r="P179" i="13"/>
  <c r="Q179" i="13"/>
  <c r="R179" i="13"/>
  <c r="S179" i="13"/>
  <c r="T179" i="13"/>
  <c r="X179" i="13"/>
  <c r="Y179" i="13"/>
  <c r="Z179" i="13"/>
  <c r="AA179" i="13"/>
  <c r="AB179" i="13"/>
  <c r="AC179" i="13"/>
  <c r="AD179" i="13"/>
  <c r="AE179" i="13"/>
  <c r="AF179" i="13"/>
  <c r="AG179" i="13"/>
  <c r="AH179" i="13"/>
  <c r="AI179" i="13"/>
  <c r="AJ179" i="13"/>
  <c r="AK179" i="13"/>
  <c r="AL179" i="13"/>
  <c r="AM179" i="13"/>
  <c r="AO179" i="13"/>
  <c r="K180" i="13"/>
  <c r="L180" i="13"/>
  <c r="M180" i="13"/>
  <c r="N180" i="13"/>
  <c r="O180" i="13"/>
  <c r="P180" i="13"/>
  <c r="Q180" i="13"/>
  <c r="R180" i="13"/>
  <c r="S180" i="13"/>
  <c r="T180" i="13"/>
  <c r="X180" i="13"/>
  <c r="Y180" i="13"/>
  <c r="Z180" i="13"/>
  <c r="AA180" i="13"/>
  <c r="AB180" i="13"/>
  <c r="AC180" i="13"/>
  <c r="AD180" i="13"/>
  <c r="AE180" i="13"/>
  <c r="AF180" i="13"/>
  <c r="AG180" i="13"/>
  <c r="AH180" i="13"/>
  <c r="AI180" i="13"/>
  <c r="AJ180" i="13"/>
  <c r="AK180" i="13"/>
  <c r="AL180" i="13"/>
  <c r="AM180" i="13"/>
  <c r="AO180" i="13"/>
  <c r="K181" i="13"/>
  <c r="L181" i="13"/>
  <c r="M181" i="13"/>
  <c r="N181" i="13"/>
  <c r="O181" i="13"/>
  <c r="P181" i="13"/>
  <c r="Q181" i="13"/>
  <c r="R181" i="13"/>
  <c r="S181" i="13"/>
  <c r="T181" i="13"/>
  <c r="X181" i="13"/>
  <c r="Y181" i="13"/>
  <c r="Z181" i="13"/>
  <c r="AA181" i="13"/>
  <c r="AB181" i="13"/>
  <c r="AC181" i="13"/>
  <c r="AD181" i="13"/>
  <c r="AE181" i="13"/>
  <c r="AF181" i="13"/>
  <c r="AG181" i="13"/>
  <c r="AH181" i="13"/>
  <c r="AI181" i="13"/>
  <c r="AJ181" i="13"/>
  <c r="AK181" i="13"/>
  <c r="AL181" i="13"/>
  <c r="AM181" i="13"/>
  <c r="AO181" i="13"/>
  <c r="K182" i="13"/>
  <c r="L182" i="13"/>
  <c r="M182" i="13"/>
  <c r="N182" i="13"/>
  <c r="O182" i="13"/>
  <c r="P182" i="13"/>
  <c r="Q182" i="13"/>
  <c r="R182" i="13"/>
  <c r="S182" i="13"/>
  <c r="T182" i="13"/>
  <c r="X182" i="13"/>
  <c r="Y182" i="13"/>
  <c r="Z182" i="13"/>
  <c r="AA182" i="13"/>
  <c r="AB182" i="13"/>
  <c r="AC182" i="13"/>
  <c r="AD182" i="13"/>
  <c r="AE182" i="13"/>
  <c r="AF182" i="13"/>
  <c r="AG182" i="13"/>
  <c r="AH182" i="13"/>
  <c r="AI182" i="13"/>
  <c r="AJ182" i="13"/>
  <c r="AK182" i="13"/>
  <c r="AL182" i="13"/>
  <c r="AM182" i="13"/>
  <c r="AO182" i="13"/>
  <c r="K183" i="13"/>
  <c r="L183" i="13"/>
  <c r="M183" i="13"/>
  <c r="N183" i="13"/>
  <c r="O183" i="13"/>
  <c r="P183" i="13"/>
  <c r="Q183" i="13"/>
  <c r="R183" i="13"/>
  <c r="S183" i="13"/>
  <c r="T183" i="13"/>
  <c r="X183" i="13"/>
  <c r="Y183" i="13"/>
  <c r="Z183" i="13"/>
  <c r="AA183" i="13"/>
  <c r="AB183" i="13"/>
  <c r="AC183" i="13"/>
  <c r="AD183" i="13"/>
  <c r="AE183" i="13"/>
  <c r="AF183" i="13"/>
  <c r="AG183" i="13"/>
  <c r="AH183" i="13"/>
  <c r="AI183" i="13"/>
  <c r="AJ183" i="13"/>
  <c r="AK183" i="13"/>
  <c r="AL183" i="13"/>
  <c r="AM183" i="13"/>
  <c r="AO183" i="13"/>
  <c r="K184" i="13"/>
  <c r="L184" i="13"/>
  <c r="M184" i="13"/>
  <c r="N184" i="13"/>
  <c r="O184" i="13"/>
  <c r="P184" i="13"/>
  <c r="Q184" i="13"/>
  <c r="R184" i="13"/>
  <c r="S184" i="13"/>
  <c r="T184" i="13"/>
  <c r="X184" i="13"/>
  <c r="Y184" i="13"/>
  <c r="Z184" i="13"/>
  <c r="AA184" i="13"/>
  <c r="AB184" i="13"/>
  <c r="AC184" i="13"/>
  <c r="AD184" i="13"/>
  <c r="AE184" i="13"/>
  <c r="AF184" i="13"/>
  <c r="AG184" i="13"/>
  <c r="AH184" i="13"/>
  <c r="AI184" i="13"/>
  <c r="AJ184" i="13"/>
  <c r="AK184" i="13"/>
  <c r="AL184" i="13"/>
  <c r="AM184" i="13"/>
  <c r="AO184" i="13"/>
  <c r="K185" i="13"/>
  <c r="L185" i="13"/>
  <c r="M185" i="13"/>
  <c r="N185" i="13"/>
  <c r="O185" i="13"/>
  <c r="P185" i="13"/>
  <c r="Q185" i="13"/>
  <c r="R185" i="13"/>
  <c r="S185" i="13"/>
  <c r="T185" i="13"/>
  <c r="X185" i="13"/>
  <c r="Y185" i="13"/>
  <c r="Z185" i="13"/>
  <c r="AA185" i="13"/>
  <c r="AB185" i="13"/>
  <c r="AC185" i="13"/>
  <c r="AD185" i="13"/>
  <c r="AE185" i="13"/>
  <c r="AF185" i="13"/>
  <c r="AG185" i="13"/>
  <c r="AH185" i="13"/>
  <c r="AI185" i="13"/>
  <c r="AJ185" i="13"/>
  <c r="AK185" i="13"/>
  <c r="AL185" i="13"/>
  <c r="AM185" i="13"/>
  <c r="AO185" i="13"/>
  <c r="K186" i="13"/>
  <c r="L186" i="13"/>
  <c r="M186" i="13"/>
  <c r="N186" i="13"/>
  <c r="O186" i="13"/>
  <c r="P186" i="13"/>
  <c r="Q186" i="13"/>
  <c r="R186" i="13"/>
  <c r="S186" i="13"/>
  <c r="T186" i="13"/>
  <c r="X186" i="13"/>
  <c r="Y186" i="13"/>
  <c r="Z186" i="13"/>
  <c r="AA186" i="13"/>
  <c r="AB186" i="13"/>
  <c r="AC186" i="13"/>
  <c r="AD186" i="13"/>
  <c r="AE186" i="13"/>
  <c r="AF186" i="13"/>
  <c r="AG186" i="13"/>
  <c r="AH186" i="13"/>
  <c r="AI186" i="13"/>
  <c r="AJ186" i="13"/>
  <c r="AK186" i="13"/>
  <c r="AL186" i="13"/>
  <c r="AM186" i="13"/>
  <c r="AO186" i="13"/>
  <c r="K187" i="13"/>
  <c r="L187" i="13"/>
  <c r="M187" i="13"/>
  <c r="N187" i="13"/>
  <c r="O187" i="13"/>
  <c r="P187" i="13"/>
  <c r="Q187" i="13"/>
  <c r="R187" i="13"/>
  <c r="S187" i="13"/>
  <c r="T187" i="13"/>
  <c r="X187" i="13"/>
  <c r="Y187" i="13"/>
  <c r="Z187" i="13"/>
  <c r="AA187" i="13"/>
  <c r="AB187" i="13"/>
  <c r="AC187" i="13"/>
  <c r="AD187" i="13"/>
  <c r="AE187" i="13"/>
  <c r="AF187" i="13"/>
  <c r="AG187" i="13"/>
  <c r="AH187" i="13"/>
  <c r="AI187" i="13"/>
  <c r="AJ187" i="13"/>
  <c r="AK187" i="13"/>
  <c r="AL187" i="13"/>
  <c r="AM187" i="13"/>
  <c r="AO187" i="13"/>
  <c r="K188" i="13"/>
  <c r="L188" i="13"/>
  <c r="M188" i="13"/>
  <c r="N188" i="13"/>
  <c r="O188" i="13"/>
  <c r="P188" i="13"/>
  <c r="Q188" i="13"/>
  <c r="R188" i="13"/>
  <c r="S188" i="13"/>
  <c r="T188" i="13"/>
  <c r="X188" i="13"/>
  <c r="Y188" i="13"/>
  <c r="Z188" i="13"/>
  <c r="AA188" i="13"/>
  <c r="AB188" i="13"/>
  <c r="AC188" i="13"/>
  <c r="AD188" i="13"/>
  <c r="AE188" i="13"/>
  <c r="AF188" i="13"/>
  <c r="AG188" i="13"/>
  <c r="AH188" i="13"/>
  <c r="AI188" i="13"/>
  <c r="AJ188" i="13"/>
  <c r="AK188" i="13"/>
  <c r="AL188" i="13"/>
  <c r="AM188" i="13"/>
  <c r="AO188" i="13"/>
  <c r="K189" i="13"/>
  <c r="L189" i="13"/>
  <c r="M189" i="13"/>
  <c r="N189" i="13"/>
  <c r="O189" i="13"/>
  <c r="P189" i="13"/>
  <c r="Q189" i="13"/>
  <c r="R189" i="13"/>
  <c r="S189" i="13"/>
  <c r="T189" i="13"/>
  <c r="X189" i="13"/>
  <c r="Y189" i="13"/>
  <c r="Z189" i="13"/>
  <c r="AA189" i="13"/>
  <c r="AB189" i="13"/>
  <c r="AC189" i="13"/>
  <c r="AD189" i="13"/>
  <c r="AE189" i="13"/>
  <c r="AF189" i="13"/>
  <c r="AG189" i="13"/>
  <c r="AH189" i="13"/>
  <c r="AI189" i="13"/>
  <c r="AJ189" i="13"/>
  <c r="AK189" i="13"/>
  <c r="AL189" i="13"/>
  <c r="AM189" i="13"/>
  <c r="AO189" i="13"/>
  <c r="K190" i="13"/>
  <c r="L190" i="13"/>
  <c r="M190" i="13"/>
  <c r="N190" i="13"/>
  <c r="O190" i="13"/>
  <c r="P190" i="13"/>
  <c r="Q190" i="13"/>
  <c r="R190" i="13"/>
  <c r="S190" i="13"/>
  <c r="T190" i="13"/>
  <c r="X190" i="13"/>
  <c r="Y190" i="13"/>
  <c r="Z190" i="13"/>
  <c r="AA190" i="13"/>
  <c r="AB190" i="13"/>
  <c r="AC190" i="13"/>
  <c r="AD190" i="13"/>
  <c r="AE190" i="13"/>
  <c r="AF190" i="13"/>
  <c r="AG190" i="13"/>
  <c r="AH190" i="13"/>
  <c r="AI190" i="13"/>
  <c r="AJ190" i="13"/>
  <c r="AK190" i="13"/>
  <c r="AL190" i="13"/>
  <c r="AM190" i="13"/>
  <c r="AO190" i="13"/>
  <c r="K191" i="13"/>
  <c r="L191" i="13"/>
  <c r="M191" i="13"/>
  <c r="N191" i="13"/>
  <c r="O191" i="13"/>
  <c r="P191" i="13"/>
  <c r="Q191" i="13"/>
  <c r="R191" i="13"/>
  <c r="S191" i="13"/>
  <c r="T191" i="13"/>
  <c r="X191" i="13"/>
  <c r="Y191" i="13"/>
  <c r="Z191" i="13"/>
  <c r="AA191" i="13"/>
  <c r="AB191" i="13"/>
  <c r="AC191" i="13"/>
  <c r="AD191" i="13"/>
  <c r="AE191" i="13"/>
  <c r="AF191" i="13"/>
  <c r="AG191" i="13"/>
  <c r="AH191" i="13"/>
  <c r="AI191" i="13"/>
  <c r="AJ191" i="13"/>
  <c r="AK191" i="13"/>
  <c r="AL191" i="13"/>
  <c r="AM191" i="13"/>
  <c r="AO191" i="13"/>
  <c r="K192" i="13"/>
  <c r="L192" i="13"/>
  <c r="M192" i="13"/>
  <c r="N192" i="13"/>
  <c r="O192" i="13"/>
  <c r="P192" i="13"/>
  <c r="Q192" i="13"/>
  <c r="R192" i="13"/>
  <c r="S192" i="13"/>
  <c r="T192" i="13"/>
  <c r="X192" i="13"/>
  <c r="Y192" i="13"/>
  <c r="Z192" i="13"/>
  <c r="AA192" i="13"/>
  <c r="AB192" i="13"/>
  <c r="AC192" i="13"/>
  <c r="AD192" i="13"/>
  <c r="AE192" i="13"/>
  <c r="AF192" i="13"/>
  <c r="AG192" i="13"/>
  <c r="AH192" i="13"/>
  <c r="AI192" i="13"/>
  <c r="AJ192" i="13"/>
  <c r="AK192" i="13"/>
  <c r="AL192" i="13"/>
  <c r="AM192" i="13"/>
  <c r="AO192" i="13"/>
  <c r="K193" i="13"/>
  <c r="L193" i="13"/>
  <c r="M193" i="13"/>
  <c r="N193" i="13"/>
  <c r="O193" i="13"/>
  <c r="P193" i="13"/>
  <c r="Q193" i="13"/>
  <c r="R193" i="13"/>
  <c r="S193" i="13"/>
  <c r="T193" i="13"/>
  <c r="X193" i="13"/>
  <c r="Y193" i="13"/>
  <c r="Z193" i="13"/>
  <c r="AA193" i="13"/>
  <c r="AB193" i="13"/>
  <c r="AC193" i="13"/>
  <c r="AD193" i="13"/>
  <c r="AE193" i="13"/>
  <c r="AF193" i="13"/>
  <c r="AG193" i="13"/>
  <c r="AH193" i="13"/>
  <c r="AI193" i="13"/>
  <c r="AJ193" i="13"/>
  <c r="AK193" i="13"/>
  <c r="AL193" i="13"/>
  <c r="AM193" i="13"/>
  <c r="AO193" i="13"/>
  <c r="K194" i="13"/>
  <c r="L194" i="13"/>
  <c r="M194" i="13"/>
  <c r="N194" i="13"/>
  <c r="O194" i="13"/>
  <c r="P194" i="13"/>
  <c r="Q194" i="13"/>
  <c r="R194" i="13"/>
  <c r="S194" i="13"/>
  <c r="T194" i="13"/>
  <c r="X194" i="13"/>
  <c r="Y194" i="13"/>
  <c r="Z194" i="13"/>
  <c r="AA194" i="13"/>
  <c r="AB194" i="13"/>
  <c r="AC194" i="13"/>
  <c r="AD194" i="13"/>
  <c r="AE194" i="13"/>
  <c r="AF194" i="13"/>
  <c r="AG194" i="13"/>
  <c r="AH194" i="13"/>
  <c r="AI194" i="13"/>
  <c r="AJ194" i="13"/>
  <c r="AK194" i="13"/>
  <c r="AL194" i="13"/>
  <c r="AM194" i="13"/>
  <c r="AO194" i="13"/>
  <c r="K195" i="13"/>
  <c r="L195" i="13"/>
  <c r="M195" i="13"/>
  <c r="N195" i="13"/>
  <c r="O195" i="13"/>
  <c r="P195" i="13"/>
  <c r="Q195" i="13"/>
  <c r="R195" i="13"/>
  <c r="S195" i="13"/>
  <c r="T195" i="13"/>
  <c r="X195" i="13"/>
  <c r="Y195" i="13"/>
  <c r="Z195" i="13"/>
  <c r="AA195" i="13"/>
  <c r="AB195" i="13"/>
  <c r="AC195" i="13"/>
  <c r="AD195" i="13"/>
  <c r="AE195" i="13"/>
  <c r="AF195" i="13"/>
  <c r="AG195" i="13"/>
  <c r="AH195" i="13"/>
  <c r="AI195" i="13"/>
  <c r="AJ195" i="13"/>
  <c r="AK195" i="13"/>
  <c r="AL195" i="13"/>
  <c r="AM195" i="13"/>
  <c r="AO195" i="13"/>
  <c r="K196" i="13"/>
  <c r="L196" i="13"/>
  <c r="M196" i="13"/>
  <c r="N196" i="13"/>
  <c r="O196" i="13"/>
  <c r="P196" i="13"/>
  <c r="Q196" i="13"/>
  <c r="R196" i="13"/>
  <c r="S196" i="13"/>
  <c r="T196" i="13"/>
  <c r="X196" i="13"/>
  <c r="Y196" i="13"/>
  <c r="Z196" i="13"/>
  <c r="AA196" i="13"/>
  <c r="AB196" i="13"/>
  <c r="AC196" i="13"/>
  <c r="AD196" i="13"/>
  <c r="AE196" i="13"/>
  <c r="AF196" i="13"/>
  <c r="AG196" i="13"/>
  <c r="AH196" i="13"/>
  <c r="AI196" i="13"/>
  <c r="AJ196" i="13"/>
  <c r="AK196" i="13"/>
  <c r="AL196" i="13"/>
  <c r="AM196" i="13"/>
  <c r="AO196" i="13"/>
  <c r="K197" i="13"/>
  <c r="L197" i="13"/>
  <c r="M197" i="13"/>
  <c r="N197" i="13"/>
  <c r="O197" i="13"/>
  <c r="P197" i="13"/>
  <c r="Q197" i="13"/>
  <c r="R197" i="13"/>
  <c r="S197" i="13"/>
  <c r="T197" i="13"/>
  <c r="X197" i="13"/>
  <c r="Y197" i="13"/>
  <c r="Z197" i="13"/>
  <c r="AA197" i="13"/>
  <c r="AB197" i="13"/>
  <c r="AC197" i="13"/>
  <c r="AD197" i="13"/>
  <c r="AE197" i="13"/>
  <c r="AF197" i="13"/>
  <c r="AG197" i="13"/>
  <c r="AH197" i="13"/>
  <c r="AI197" i="13"/>
  <c r="AJ197" i="13"/>
  <c r="AK197" i="13"/>
  <c r="AL197" i="13"/>
  <c r="AM197" i="13"/>
  <c r="AO197" i="13"/>
  <c r="K198" i="13"/>
  <c r="L198" i="13"/>
  <c r="M198" i="13"/>
  <c r="N198" i="13"/>
  <c r="O198" i="13"/>
  <c r="P198" i="13"/>
  <c r="Q198" i="13"/>
  <c r="R198" i="13"/>
  <c r="S198" i="13"/>
  <c r="T198" i="13"/>
  <c r="X198" i="13"/>
  <c r="Y198" i="13"/>
  <c r="Z198" i="13"/>
  <c r="AA198" i="13"/>
  <c r="AB198" i="13"/>
  <c r="AC198" i="13"/>
  <c r="AD198" i="13"/>
  <c r="AE198" i="13"/>
  <c r="AF198" i="13"/>
  <c r="AG198" i="13"/>
  <c r="AH198" i="13"/>
  <c r="AI198" i="13"/>
  <c r="AJ198" i="13"/>
  <c r="AK198" i="13"/>
  <c r="AL198" i="13"/>
  <c r="AM198" i="13"/>
  <c r="AO198" i="13"/>
  <c r="K199" i="13"/>
  <c r="L199" i="13"/>
  <c r="M199" i="13"/>
  <c r="N199" i="13"/>
  <c r="O199" i="13"/>
  <c r="P199" i="13"/>
  <c r="Q199" i="13"/>
  <c r="R199" i="13"/>
  <c r="S199" i="13"/>
  <c r="T199" i="13"/>
  <c r="X199" i="13"/>
  <c r="Y199" i="13"/>
  <c r="Z199" i="13"/>
  <c r="AA199" i="13"/>
  <c r="AB199" i="13"/>
  <c r="AC199" i="13"/>
  <c r="AD199" i="13"/>
  <c r="AE199" i="13"/>
  <c r="AF199" i="13"/>
  <c r="AG199" i="13"/>
  <c r="AH199" i="13"/>
  <c r="AI199" i="13"/>
  <c r="AJ199" i="13"/>
  <c r="AK199" i="13"/>
  <c r="AL199" i="13"/>
  <c r="AM199" i="13"/>
  <c r="AO199" i="13"/>
  <c r="T13" i="13"/>
  <c r="AG13" i="13"/>
  <c r="AH13" i="13"/>
  <c r="AI13" i="13"/>
  <c r="AJ13" i="13"/>
  <c r="AK13" i="13"/>
  <c r="M13" i="13"/>
  <c r="N13" i="13"/>
  <c r="O13" i="13"/>
  <c r="P13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A212" i="13"/>
  <c r="A213" i="13"/>
  <c r="A214" i="13"/>
  <c r="A215" i="13"/>
  <c r="A216" i="13"/>
  <c r="A217" i="13"/>
  <c r="A218" i="13"/>
  <c r="A219" i="13"/>
  <c r="A220" i="13"/>
  <c r="A221" i="13"/>
  <c r="A222" i="13"/>
  <c r="A223" i="13"/>
  <c r="A224" i="13"/>
  <c r="A225" i="13"/>
  <c r="A226" i="13"/>
  <c r="A227" i="13"/>
  <c r="A228" i="13"/>
  <c r="A229" i="13"/>
  <c r="A230" i="13"/>
  <c r="A231" i="13"/>
  <c r="A232" i="13"/>
  <c r="A233" i="13"/>
  <c r="A234" i="13"/>
  <c r="A235" i="13"/>
  <c r="A236" i="13"/>
  <c r="A237" i="13"/>
  <c r="A238" i="13"/>
  <c r="A239" i="13"/>
  <c r="A240" i="13"/>
  <c r="A241" i="13"/>
  <c r="A242" i="13"/>
  <c r="A243" i="13"/>
  <c r="A244" i="13"/>
  <c r="A245" i="13"/>
  <c r="A246" i="13"/>
  <c r="A247" i="13"/>
  <c r="A248" i="13"/>
  <c r="A249" i="13"/>
  <c r="A250" i="13"/>
  <c r="A251" i="13"/>
  <c r="A252" i="13"/>
  <c r="A253" i="13"/>
  <c r="A254" i="13"/>
  <c r="A255" i="13"/>
  <c r="A256" i="13"/>
  <c r="A257" i="13"/>
  <c r="A258" i="13"/>
  <c r="A259" i="13"/>
  <c r="A260" i="13"/>
  <c r="A261" i="13"/>
  <c r="A262" i="13"/>
  <c r="A263" i="13"/>
  <c r="A264" i="13"/>
  <c r="A265" i="13"/>
  <c r="A266" i="13"/>
  <c r="A267" i="13"/>
  <c r="A268" i="13"/>
  <c r="A269" i="13"/>
  <c r="A270" i="13"/>
  <c r="A271" i="13"/>
  <c r="A272" i="13"/>
  <c r="A273" i="13"/>
  <c r="A274" i="13"/>
  <c r="A275" i="13"/>
  <c r="A276" i="13"/>
  <c r="A277" i="13"/>
  <c r="A278" i="13"/>
  <c r="A279" i="13"/>
  <c r="A280" i="13"/>
  <c r="A281" i="13"/>
  <c r="A282" i="13"/>
  <c r="A283" i="13"/>
  <c r="A284" i="13"/>
  <c r="A285" i="13"/>
  <c r="A286" i="13"/>
  <c r="A287" i="13"/>
  <c r="A288" i="13"/>
  <c r="A289" i="13"/>
  <c r="A290" i="13"/>
  <c r="A291" i="13"/>
  <c r="A292" i="13"/>
  <c r="A293" i="13"/>
  <c r="A294" i="13"/>
  <c r="A295" i="13"/>
  <c r="A296" i="13"/>
  <c r="A297" i="13"/>
  <c r="A298" i="13"/>
  <c r="A299" i="13"/>
  <c r="A300" i="13"/>
  <c r="A301" i="13"/>
  <c r="A302" i="13"/>
  <c r="A303" i="13"/>
  <c r="A304" i="13"/>
  <c r="A305" i="13"/>
  <c r="A306" i="13"/>
  <c r="A307" i="13"/>
  <c r="A308" i="13"/>
  <c r="A309" i="13"/>
  <c r="A310" i="13"/>
  <c r="A311" i="13"/>
  <c r="A312" i="13"/>
  <c r="A313" i="13"/>
  <c r="A314" i="13"/>
  <c r="A315" i="13"/>
  <c r="A316" i="13"/>
  <c r="A317" i="13"/>
  <c r="A318" i="13"/>
  <c r="A319" i="13"/>
  <c r="A320" i="13"/>
  <c r="A321" i="13"/>
  <c r="A322" i="13"/>
  <c r="A323" i="13"/>
  <c r="A324" i="13"/>
  <c r="A325" i="13"/>
  <c r="A326" i="13"/>
  <c r="A327" i="13"/>
  <c r="A328" i="13"/>
  <c r="A329" i="13"/>
  <c r="A330" i="13"/>
  <c r="A331" i="13"/>
  <c r="A332" i="13"/>
  <c r="A333" i="13"/>
  <c r="A334" i="13"/>
  <c r="A335" i="13"/>
  <c r="A336" i="13"/>
  <c r="A337" i="13"/>
  <c r="A338" i="13"/>
  <c r="A339" i="13"/>
  <c r="A340" i="13"/>
  <c r="A341" i="13"/>
  <c r="A342" i="13"/>
  <c r="A343" i="13"/>
  <c r="A344" i="13"/>
  <c r="A345" i="13"/>
  <c r="A346" i="13"/>
  <c r="A347" i="13"/>
  <c r="A348" i="13"/>
  <c r="A349" i="13"/>
  <c r="A350" i="13"/>
  <c r="A351" i="13"/>
  <c r="A352" i="13"/>
  <c r="A353" i="13"/>
  <c r="A354" i="13"/>
  <c r="A355" i="13"/>
  <c r="A356" i="13"/>
  <c r="A357" i="13"/>
  <c r="A358" i="13"/>
  <c r="A359" i="13"/>
  <c r="A360" i="13"/>
  <c r="A361" i="13"/>
  <c r="A362" i="13"/>
  <c r="A363" i="13"/>
  <c r="A364" i="13"/>
  <c r="A365" i="13"/>
  <c r="A366" i="13"/>
  <c r="A367" i="13"/>
  <c r="A368" i="13"/>
  <c r="A369" i="13"/>
  <c r="A370" i="13"/>
  <c r="A371" i="13"/>
  <c r="A372" i="13"/>
  <c r="A373" i="13"/>
  <c r="A374" i="13"/>
  <c r="A375" i="13"/>
  <c r="A376" i="13"/>
  <c r="A377" i="13"/>
  <c r="A378" i="13"/>
  <c r="A379" i="13"/>
  <c r="A380" i="13"/>
  <c r="A381" i="13"/>
  <c r="A382" i="13"/>
  <c r="A383" i="13"/>
  <c r="A384" i="13"/>
  <c r="A385" i="13"/>
  <c r="A386" i="13"/>
  <c r="A387" i="13"/>
  <c r="A388" i="13"/>
  <c r="A389" i="13"/>
  <c r="A390" i="13"/>
  <c r="A391" i="13"/>
  <c r="A392" i="13"/>
  <c r="A393" i="13"/>
  <c r="A394" i="13"/>
  <c r="A395" i="13"/>
  <c r="A396" i="13"/>
  <c r="A397" i="13"/>
  <c r="A398" i="13"/>
  <c r="A399" i="13"/>
  <c r="A400" i="13"/>
  <c r="A401" i="13"/>
  <c r="A402" i="13"/>
  <c r="A403" i="13"/>
  <c r="A404" i="13"/>
  <c r="A405" i="13"/>
  <c r="A406" i="13"/>
  <c r="A407" i="13"/>
  <c r="A408" i="13"/>
  <c r="B3" i="7"/>
  <c r="C3" i="7"/>
  <c r="E157" i="13"/>
  <c r="AU157" i="13"/>
  <c r="AV157" i="13"/>
  <c r="F157" i="13"/>
  <c r="H157" i="13"/>
  <c r="I157" i="13"/>
  <c r="AT157" i="13"/>
  <c r="AP157" i="13"/>
  <c r="AQ157" i="13"/>
  <c r="AR157" i="13"/>
  <c r="AS157" i="13"/>
  <c r="AY6" i="13"/>
  <c r="V3" i="7"/>
  <c r="W3" i="7"/>
  <c r="AY7" i="13"/>
  <c r="AE3" i="7"/>
  <c r="AF3" i="7"/>
  <c r="AY8" i="13"/>
  <c r="AO3" i="7"/>
  <c r="AP3" i="7"/>
  <c r="E158" i="13"/>
  <c r="AU158" i="13"/>
  <c r="AV158" i="13"/>
  <c r="H158" i="13"/>
  <c r="I158" i="13"/>
  <c r="AT158" i="13"/>
  <c r="AP158" i="13"/>
  <c r="AQ158" i="13"/>
  <c r="AR158" i="13"/>
  <c r="AS158" i="13"/>
  <c r="E159" i="13"/>
  <c r="AU159" i="13"/>
  <c r="AV159" i="13"/>
  <c r="H159" i="13"/>
  <c r="I159" i="13"/>
  <c r="AT159" i="13"/>
  <c r="AP159" i="13"/>
  <c r="AQ159" i="13"/>
  <c r="AR159" i="13"/>
  <c r="AS159" i="13"/>
  <c r="E160" i="13"/>
  <c r="AU160" i="13"/>
  <c r="AV160" i="13"/>
  <c r="H160" i="13"/>
  <c r="I160" i="13"/>
  <c r="AT160" i="13"/>
  <c r="AP160" i="13"/>
  <c r="AQ160" i="13"/>
  <c r="AR160" i="13"/>
  <c r="AS160" i="13"/>
  <c r="E161" i="13"/>
  <c r="AU161" i="13"/>
  <c r="AV161" i="13"/>
  <c r="H161" i="13"/>
  <c r="I161" i="13"/>
  <c r="AT161" i="13"/>
  <c r="AP161" i="13"/>
  <c r="AQ161" i="13"/>
  <c r="AR161" i="13"/>
  <c r="AS161" i="13"/>
  <c r="E162" i="13"/>
  <c r="AU162" i="13"/>
  <c r="AV162" i="13"/>
  <c r="H162" i="13"/>
  <c r="I162" i="13"/>
  <c r="AT162" i="13"/>
  <c r="AP162" i="13"/>
  <c r="AQ162" i="13"/>
  <c r="AR162" i="13"/>
  <c r="AS162" i="13"/>
  <c r="E163" i="13"/>
  <c r="AU163" i="13"/>
  <c r="AV163" i="13"/>
  <c r="F163" i="13"/>
  <c r="H163" i="13"/>
  <c r="I163" i="13"/>
  <c r="AT163" i="13"/>
  <c r="AP163" i="13"/>
  <c r="AQ163" i="13"/>
  <c r="AR163" i="13"/>
  <c r="AS163" i="13"/>
  <c r="E164" i="13"/>
  <c r="AU164" i="13"/>
  <c r="AV164" i="13"/>
  <c r="F164" i="13"/>
  <c r="H164" i="13"/>
  <c r="I164" i="13"/>
  <c r="AT164" i="13"/>
  <c r="AP164" i="13"/>
  <c r="AQ164" i="13"/>
  <c r="AR164" i="13"/>
  <c r="AS164" i="13"/>
  <c r="E165" i="13"/>
  <c r="AU165" i="13"/>
  <c r="AV165" i="13"/>
  <c r="F165" i="13"/>
  <c r="H165" i="13"/>
  <c r="I165" i="13"/>
  <c r="AT165" i="13"/>
  <c r="AP165" i="13"/>
  <c r="AQ165" i="13"/>
  <c r="AR165" i="13"/>
  <c r="AS165" i="13"/>
  <c r="E166" i="13"/>
  <c r="AU166" i="13"/>
  <c r="AV166" i="13"/>
  <c r="H166" i="13"/>
  <c r="I166" i="13"/>
  <c r="AT166" i="13"/>
  <c r="AP166" i="13"/>
  <c r="AQ166" i="13"/>
  <c r="AR166" i="13"/>
  <c r="AS166" i="13"/>
  <c r="E167" i="13"/>
  <c r="AU167" i="13"/>
  <c r="AV167" i="13"/>
  <c r="H167" i="13"/>
  <c r="I167" i="13"/>
  <c r="AT167" i="13"/>
  <c r="AP167" i="13"/>
  <c r="AQ167" i="13"/>
  <c r="AR167" i="13"/>
  <c r="AS167" i="13"/>
  <c r="E168" i="13"/>
  <c r="AU168" i="13"/>
  <c r="AV168" i="13"/>
  <c r="H168" i="13"/>
  <c r="I168" i="13"/>
  <c r="AT168" i="13"/>
  <c r="AP168" i="13"/>
  <c r="AQ168" i="13"/>
  <c r="AR168" i="13"/>
  <c r="AS168" i="13"/>
  <c r="E169" i="13"/>
  <c r="AU169" i="13"/>
  <c r="AV169" i="13"/>
  <c r="H169" i="13"/>
  <c r="I169" i="13"/>
  <c r="AT169" i="13"/>
  <c r="AP169" i="13"/>
  <c r="AQ169" i="13"/>
  <c r="AR169" i="13"/>
  <c r="AS169" i="13"/>
  <c r="E170" i="13"/>
  <c r="AU170" i="13"/>
  <c r="AV170" i="13"/>
  <c r="H170" i="13"/>
  <c r="I170" i="13"/>
  <c r="AT170" i="13"/>
  <c r="AP170" i="13"/>
  <c r="AQ170" i="13"/>
  <c r="AR170" i="13"/>
  <c r="AS170" i="13"/>
  <c r="E171" i="13"/>
  <c r="AU171" i="13"/>
  <c r="AV171" i="13"/>
  <c r="F171" i="13"/>
  <c r="H171" i="13"/>
  <c r="I171" i="13"/>
  <c r="AT171" i="13"/>
  <c r="AP171" i="13"/>
  <c r="AQ171" i="13"/>
  <c r="AR171" i="13"/>
  <c r="AS171" i="13"/>
  <c r="E172" i="13"/>
  <c r="AU172" i="13"/>
  <c r="AV172" i="13"/>
  <c r="F172" i="13"/>
  <c r="H172" i="13"/>
  <c r="I172" i="13"/>
  <c r="AT172" i="13"/>
  <c r="AP172" i="13"/>
  <c r="AQ172" i="13"/>
  <c r="AR172" i="13"/>
  <c r="AS172" i="13"/>
  <c r="E14" i="13"/>
  <c r="AU14" i="13"/>
  <c r="AV14" i="13"/>
  <c r="AV177" i="13"/>
  <c r="H14" i="13"/>
  <c r="I14" i="13"/>
  <c r="AT14" i="13"/>
  <c r="AP14" i="13"/>
  <c r="AQ14" i="13"/>
  <c r="AR14" i="13"/>
  <c r="AS14" i="13"/>
  <c r="E15" i="13"/>
  <c r="AU15" i="13"/>
  <c r="AV15" i="13"/>
  <c r="AV178" i="13"/>
  <c r="H15" i="13"/>
  <c r="I15" i="13"/>
  <c r="AT15" i="13"/>
  <c r="AP15" i="13"/>
  <c r="AQ15" i="13"/>
  <c r="AR15" i="13"/>
  <c r="AS15" i="13"/>
  <c r="E16" i="13"/>
  <c r="AU16" i="13"/>
  <c r="AV16" i="13"/>
  <c r="AV179" i="13"/>
  <c r="F179" i="13"/>
  <c r="H16" i="13"/>
  <c r="I16" i="13"/>
  <c r="AT16" i="13"/>
  <c r="AP16" i="13"/>
  <c r="AQ16" i="13"/>
  <c r="AR16" i="13"/>
  <c r="AS16" i="13"/>
  <c r="E17" i="13"/>
  <c r="AU17" i="13"/>
  <c r="AV17" i="13"/>
  <c r="AV180" i="13"/>
  <c r="F180" i="13"/>
  <c r="H17" i="13"/>
  <c r="I17" i="13"/>
  <c r="AT17" i="13"/>
  <c r="AP17" i="13"/>
  <c r="AQ17" i="13"/>
  <c r="AR17" i="13"/>
  <c r="AS17" i="13"/>
  <c r="E18" i="13"/>
  <c r="AU18" i="13"/>
  <c r="AV18" i="13"/>
  <c r="AV181" i="13"/>
  <c r="F181" i="13"/>
  <c r="H18" i="13"/>
  <c r="I18" i="13"/>
  <c r="AT18" i="13"/>
  <c r="AP18" i="13"/>
  <c r="AQ18" i="13"/>
  <c r="AR18" i="13"/>
  <c r="AS18" i="13"/>
  <c r="E19" i="13"/>
  <c r="AU19" i="13"/>
  <c r="AV19" i="13"/>
  <c r="F19" i="13"/>
  <c r="AV182" i="13"/>
  <c r="H19" i="13"/>
  <c r="I19" i="13"/>
  <c r="AT19" i="13"/>
  <c r="AP19" i="13"/>
  <c r="AQ19" i="13"/>
  <c r="AR19" i="13"/>
  <c r="AS19" i="13"/>
  <c r="E20" i="13"/>
  <c r="AU20" i="13"/>
  <c r="AV20" i="13"/>
  <c r="AV183" i="13"/>
  <c r="H20" i="13"/>
  <c r="I20" i="13"/>
  <c r="AT20" i="13"/>
  <c r="AP20" i="13"/>
  <c r="AQ20" i="13"/>
  <c r="AR20" i="13"/>
  <c r="AS20" i="13"/>
  <c r="E21" i="13"/>
  <c r="AU21" i="13"/>
  <c r="AV21" i="13"/>
  <c r="AV184" i="13"/>
  <c r="H21" i="13"/>
  <c r="I21" i="13"/>
  <c r="AT21" i="13"/>
  <c r="AP21" i="13"/>
  <c r="AQ21" i="13"/>
  <c r="AR21" i="13"/>
  <c r="AS21" i="13"/>
  <c r="E22" i="13"/>
  <c r="AU22" i="13"/>
  <c r="AV22" i="13"/>
  <c r="F22" i="13"/>
  <c r="AV185" i="13"/>
  <c r="H22" i="13"/>
  <c r="I22" i="13"/>
  <c r="AT22" i="13"/>
  <c r="AP22" i="13"/>
  <c r="AQ22" i="13"/>
  <c r="AR22" i="13"/>
  <c r="AS22" i="13"/>
  <c r="E23" i="13"/>
  <c r="AU23" i="13"/>
  <c r="AV23" i="13"/>
  <c r="AV186" i="13"/>
  <c r="F186" i="13"/>
  <c r="H23" i="13"/>
  <c r="I23" i="13"/>
  <c r="AT23" i="13"/>
  <c r="AP23" i="13"/>
  <c r="AQ23" i="13"/>
  <c r="AR23" i="13"/>
  <c r="AS23" i="13"/>
  <c r="E24" i="13"/>
  <c r="AU24" i="13"/>
  <c r="AV24" i="13"/>
  <c r="AV187" i="13"/>
  <c r="F187" i="13"/>
  <c r="H24" i="13"/>
  <c r="I24" i="13"/>
  <c r="AT24" i="13"/>
  <c r="AP24" i="13"/>
  <c r="AQ24" i="13"/>
  <c r="AR24" i="13"/>
  <c r="AS24" i="13"/>
  <c r="E25" i="13"/>
  <c r="AU25" i="13"/>
  <c r="AV25" i="13"/>
  <c r="AV188" i="13"/>
  <c r="F188" i="13"/>
  <c r="H25" i="13"/>
  <c r="I25" i="13"/>
  <c r="AT25" i="13"/>
  <c r="AP25" i="13"/>
  <c r="AQ25" i="13"/>
  <c r="AR25" i="13"/>
  <c r="AS25" i="13"/>
  <c r="E26" i="13"/>
  <c r="AU26" i="13"/>
  <c r="AV26" i="13"/>
  <c r="F26" i="13"/>
  <c r="AV189" i="13"/>
  <c r="F189" i="13"/>
  <c r="H26" i="13"/>
  <c r="I26" i="13"/>
  <c r="AT26" i="13"/>
  <c r="AP26" i="13"/>
  <c r="AQ26" i="13"/>
  <c r="AR26" i="13"/>
  <c r="AS26" i="13"/>
  <c r="E27" i="13"/>
  <c r="AU27" i="13"/>
  <c r="AV27" i="13"/>
  <c r="F27" i="13"/>
  <c r="AV190" i="13"/>
  <c r="H27" i="13"/>
  <c r="I27" i="13"/>
  <c r="AT27" i="13"/>
  <c r="AP27" i="13"/>
  <c r="AQ27" i="13"/>
  <c r="AR27" i="13"/>
  <c r="AS27" i="13"/>
  <c r="E28" i="13"/>
  <c r="AU28" i="13"/>
  <c r="AV28" i="13"/>
  <c r="F28" i="13"/>
  <c r="AV191" i="13"/>
  <c r="H28" i="13"/>
  <c r="I28" i="13"/>
  <c r="AT28" i="13"/>
  <c r="AP28" i="13"/>
  <c r="AQ28" i="13"/>
  <c r="AR28" i="13"/>
  <c r="AS28" i="13"/>
  <c r="E29" i="13"/>
  <c r="AU29" i="13"/>
  <c r="AV29" i="13"/>
  <c r="F29" i="13"/>
  <c r="AV192" i="13"/>
  <c r="H29" i="13"/>
  <c r="I29" i="13"/>
  <c r="AT29" i="13"/>
  <c r="AP29" i="13"/>
  <c r="AQ29" i="13"/>
  <c r="AR29" i="13"/>
  <c r="AS29" i="13"/>
  <c r="E30" i="13"/>
  <c r="AU30" i="13"/>
  <c r="AV30" i="13"/>
  <c r="AV193" i="13"/>
  <c r="H30" i="13"/>
  <c r="I30" i="13"/>
  <c r="AT30" i="13"/>
  <c r="AP30" i="13"/>
  <c r="AQ30" i="13"/>
  <c r="AR30" i="13"/>
  <c r="AS30" i="13"/>
  <c r="E31" i="13"/>
  <c r="AU31" i="13"/>
  <c r="AV31" i="13"/>
  <c r="AV194" i="13"/>
  <c r="F194" i="13"/>
  <c r="H31" i="13"/>
  <c r="I31" i="13"/>
  <c r="AT31" i="13"/>
  <c r="AP31" i="13"/>
  <c r="AQ31" i="13"/>
  <c r="AR31" i="13"/>
  <c r="AS31" i="13"/>
  <c r="E32" i="13"/>
  <c r="AU32" i="13"/>
  <c r="AV32" i="13"/>
  <c r="AV195" i="13"/>
  <c r="F195" i="13"/>
  <c r="H32" i="13"/>
  <c r="I32" i="13"/>
  <c r="AT32" i="13"/>
  <c r="AP32" i="13"/>
  <c r="AQ32" i="13"/>
  <c r="AR32" i="13"/>
  <c r="AS32" i="13"/>
  <c r="E33" i="13"/>
  <c r="AU33" i="13"/>
  <c r="AV33" i="13"/>
  <c r="AV196" i="13"/>
  <c r="F196" i="13"/>
  <c r="H33" i="13"/>
  <c r="I33" i="13"/>
  <c r="AT33" i="13"/>
  <c r="AP33" i="13"/>
  <c r="AQ33" i="13"/>
  <c r="AR33" i="13"/>
  <c r="AS33" i="13"/>
  <c r="E34" i="13"/>
  <c r="AU34" i="13"/>
  <c r="AV34" i="13"/>
  <c r="F34" i="13"/>
  <c r="AV197" i="13"/>
  <c r="H34" i="13"/>
  <c r="I34" i="13"/>
  <c r="AT34" i="13"/>
  <c r="AP34" i="13"/>
  <c r="AQ34" i="13"/>
  <c r="AR34" i="13"/>
  <c r="AS34" i="13"/>
  <c r="E35" i="13"/>
  <c r="AU35" i="13"/>
  <c r="AV35" i="13"/>
  <c r="F35" i="13"/>
  <c r="AV198" i="13"/>
  <c r="H35" i="13"/>
  <c r="I35" i="13"/>
  <c r="AT35" i="13"/>
  <c r="AP35" i="13"/>
  <c r="AQ35" i="13"/>
  <c r="AR35" i="13"/>
  <c r="AS35" i="13"/>
  <c r="E36" i="13"/>
  <c r="AU36" i="13"/>
  <c r="AV36" i="13"/>
  <c r="F36" i="13"/>
  <c r="AV199" i="13"/>
  <c r="H36" i="13"/>
  <c r="I36" i="13"/>
  <c r="AT36" i="13"/>
  <c r="AP36" i="13"/>
  <c r="AQ36" i="13"/>
  <c r="AR36" i="13"/>
  <c r="AS36" i="13"/>
  <c r="E37" i="13"/>
  <c r="AU37" i="13"/>
  <c r="AV37" i="13"/>
  <c r="F37" i="13"/>
  <c r="H37" i="13"/>
  <c r="I37" i="13"/>
  <c r="AT37" i="13"/>
  <c r="AP37" i="13"/>
  <c r="AQ37" i="13"/>
  <c r="AR37" i="13"/>
  <c r="AS37" i="13"/>
  <c r="E38" i="13"/>
  <c r="AU38" i="13"/>
  <c r="AV38" i="13"/>
  <c r="F38" i="13"/>
  <c r="H38" i="13"/>
  <c r="I38" i="13"/>
  <c r="AT38" i="13"/>
  <c r="AP38" i="13"/>
  <c r="AQ38" i="13"/>
  <c r="AR38" i="13"/>
  <c r="AS38" i="13"/>
  <c r="E39" i="13"/>
  <c r="AU39" i="13"/>
  <c r="H39" i="13"/>
  <c r="I39" i="13"/>
  <c r="AT39" i="13"/>
  <c r="AP39" i="13"/>
  <c r="AQ39" i="13"/>
  <c r="AR39" i="13"/>
  <c r="AS39" i="13"/>
  <c r="E40" i="13"/>
  <c r="AU40" i="13"/>
  <c r="AV40" i="13"/>
  <c r="H40" i="13"/>
  <c r="I40" i="13"/>
  <c r="AT40" i="13"/>
  <c r="AP40" i="13"/>
  <c r="AQ40" i="13"/>
  <c r="AR40" i="13"/>
  <c r="AS40" i="13"/>
  <c r="E41" i="13"/>
  <c r="AU41" i="13"/>
  <c r="AV41" i="13"/>
  <c r="H41" i="13"/>
  <c r="I41" i="13"/>
  <c r="AT41" i="13"/>
  <c r="AP41" i="13"/>
  <c r="AQ41" i="13"/>
  <c r="AR41" i="13"/>
  <c r="AS41" i="13"/>
  <c r="E42" i="13"/>
  <c r="AU42" i="13"/>
  <c r="AV42" i="13"/>
  <c r="H42" i="13"/>
  <c r="I42" i="13"/>
  <c r="AT42" i="13"/>
  <c r="AP42" i="13"/>
  <c r="AQ42" i="13"/>
  <c r="AR42" i="13"/>
  <c r="AS42" i="13"/>
  <c r="E43" i="13"/>
  <c r="AU43" i="13"/>
  <c r="AV43" i="13"/>
  <c r="F43" i="13"/>
  <c r="H43" i="13"/>
  <c r="I43" i="13"/>
  <c r="AT43" i="13"/>
  <c r="AP43" i="13"/>
  <c r="AQ43" i="13"/>
  <c r="AR43" i="13"/>
  <c r="AS43" i="13"/>
  <c r="E44" i="13"/>
  <c r="AU44" i="13"/>
  <c r="AV44" i="13"/>
  <c r="F44" i="13"/>
  <c r="H44" i="13"/>
  <c r="I44" i="13"/>
  <c r="AT44" i="13"/>
  <c r="AP44" i="13"/>
  <c r="AQ44" i="13"/>
  <c r="AR44" i="13"/>
  <c r="AS44" i="13"/>
  <c r="E45" i="13"/>
  <c r="AU45" i="13"/>
  <c r="AV45" i="13"/>
  <c r="F45" i="13"/>
  <c r="H45" i="13"/>
  <c r="I45" i="13"/>
  <c r="AT45" i="13"/>
  <c r="AP45" i="13"/>
  <c r="AQ45" i="13"/>
  <c r="AR45" i="13"/>
  <c r="AS45" i="13"/>
  <c r="E46" i="13"/>
  <c r="AU46" i="13"/>
  <c r="AV46" i="13"/>
  <c r="H46" i="13"/>
  <c r="I46" i="13"/>
  <c r="AT46" i="13"/>
  <c r="AP46" i="13"/>
  <c r="AQ46" i="13"/>
  <c r="AR46" i="13"/>
  <c r="AS46" i="13"/>
  <c r="E47" i="13"/>
  <c r="AU47" i="13"/>
  <c r="AV47" i="13"/>
  <c r="H47" i="13"/>
  <c r="I47" i="13"/>
  <c r="AT47" i="13"/>
  <c r="AP47" i="13"/>
  <c r="AQ47" i="13"/>
  <c r="AR47" i="13"/>
  <c r="AS47" i="13"/>
  <c r="E48" i="13"/>
  <c r="AU48" i="13"/>
  <c r="AV48" i="13"/>
  <c r="H48" i="13"/>
  <c r="I48" i="13"/>
  <c r="AT48" i="13"/>
  <c r="AP48" i="13"/>
  <c r="AQ48" i="13"/>
  <c r="AR48" i="13"/>
  <c r="AS48" i="13"/>
  <c r="E49" i="13"/>
  <c r="AU49" i="13"/>
  <c r="AV49" i="13"/>
  <c r="H49" i="13"/>
  <c r="I49" i="13"/>
  <c r="AT49" i="13"/>
  <c r="AP49" i="13"/>
  <c r="AQ49" i="13"/>
  <c r="AR49" i="13"/>
  <c r="AS49" i="13"/>
  <c r="E50" i="13"/>
  <c r="AU50" i="13"/>
  <c r="AV50" i="13"/>
  <c r="H50" i="13"/>
  <c r="I50" i="13"/>
  <c r="AT50" i="13"/>
  <c r="AP50" i="13"/>
  <c r="AQ50" i="13"/>
  <c r="AR50" i="13"/>
  <c r="AS50" i="13"/>
  <c r="E51" i="13"/>
  <c r="AU51" i="13"/>
  <c r="AV51" i="13"/>
  <c r="F51" i="13"/>
  <c r="H51" i="13"/>
  <c r="I51" i="13"/>
  <c r="AT51" i="13"/>
  <c r="AP51" i="13"/>
  <c r="AQ51" i="13"/>
  <c r="AR51" i="13"/>
  <c r="AS51" i="13"/>
  <c r="E52" i="13"/>
  <c r="AU52" i="13"/>
  <c r="AV52" i="13"/>
  <c r="F52" i="13"/>
  <c r="H52" i="13"/>
  <c r="I52" i="13"/>
  <c r="AT52" i="13"/>
  <c r="AP52" i="13"/>
  <c r="AQ52" i="13"/>
  <c r="AR52" i="13"/>
  <c r="AS52" i="13"/>
  <c r="E53" i="13"/>
  <c r="AU53" i="13"/>
  <c r="AV53" i="13"/>
  <c r="F53" i="13"/>
  <c r="H53" i="13"/>
  <c r="I53" i="13"/>
  <c r="AT53" i="13"/>
  <c r="AP53" i="13"/>
  <c r="AQ53" i="13"/>
  <c r="AR53" i="13"/>
  <c r="AS53" i="13"/>
  <c r="E54" i="13"/>
  <c r="AU54" i="13"/>
  <c r="AV54" i="13"/>
  <c r="H54" i="13"/>
  <c r="I54" i="13"/>
  <c r="AT54" i="13"/>
  <c r="AP54" i="13"/>
  <c r="AQ54" i="13"/>
  <c r="AR54" i="13"/>
  <c r="AS54" i="13"/>
  <c r="E55" i="13"/>
  <c r="AU55" i="13"/>
  <c r="AV55" i="13"/>
  <c r="H55" i="13"/>
  <c r="I55" i="13"/>
  <c r="AT55" i="13"/>
  <c r="AP55" i="13"/>
  <c r="AQ55" i="13"/>
  <c r="AR55" i="13"/>
  <c r="AS55" i="13"/>
  <c r="E56" i="13"/>
  <c r="AU56" i="13"/>
  <c r="AV56" i="13"/>
  <c r="H56" i="13"/>
  <c r="I56" i="13"/>
  <c r="AT56" i="13"/>
  <c r="AP56" i="13"/>
  <c r="AQ56" i="13"/>
  <c r="AR56" i="13"/>
  <c r="AS56" i="13"/>
  <c r="E57" i="13"/>
  <c r="AU57" i="13"/>
  <c r="AV57" i="13"/>
  <c r="H57" i="13"/>
  <c r="I57" i="13"/>
  <c r="AT57" i="13"/>
  <c r="AP57" i="13"/>
  <c r="AQ57" i="13"/>
  <c r="AR57" i="13"/>
  <c r="AS57" i="13"/>
  <c r="E58" i="13"/>
  <c r="AU58" i="13"/>
  <c r="AV58" i="13"/>
  <c r="H58" i="13"/>
  <c r="I58" i="13"/>
  <c r="AT58" i="13"/>
  <c r="AP58" i="13"/>
  <c r="AQ58" i="13"/>
  <c r="AR58" i="13"/>
  <c r="AS58" i="13"/>
  <c r="E59" i="13"/>
  <c r="AU59" i="13"/>
  <c r="AV59" i="13"/>
  <c r="F59" i="13"/>
  <c r="H59" i="13"/>
  <c r="I59" i="13"/>
  <c r="AT59" i="13"/>
  <c r="AP59" i="13"/>
  <c r="AQ59" i="13"/>
  <c r="AR59" i="13"/>
  <c r="AS59" i="13"/>
  <c r="E60" i="13"/>
  <c r="AU60" i="13"/>
  <c r="AV60" i="13"/>
  <c r="F60" i="13"/>
  <c r="H60" i="13"/>
  <c r="I60" i="13"/>
  <c r="AT60" i="13"/>
  <c r="AP60" i="13"/>
  <c r="AQ60" i="13"/>
  <c r="AR60" i="13"/>
  <c r="AS60" i="13"/>
  <c r="E61" i="13"/>
  <c r="AU61" i="13"/>
  <c r="AV61" i="13"/>
  <c r="F61" i="13"/>
  <c r="H61" i="13"/>
  <c r="I61" i="13"/>
  <c r="AT61" i="13"/>
  <c r="AP61" i="13"/>
  <c r="AQ61" i="13"/>
  <c r="AR61" i="13"/>
  <c r="AS61" i="13"/>
  <c r="E62" i="13"/>
  <c r="AU62" i="13"/>
  <c r="AV62" i="13"/>
  <c r="H62" i="13"/>
  <c r="I62" i="13"/>
  <c r="AT62" i="13"/>
  <c r="AP62" i="13"/>
  <c r="AQ62" i="13"/>
  <c r="AR62" i="13"/>
  <c r="AS62" i="13"/>
  <c r="E63" i="13"/>
  <c r="AU63" i="13"/>
  <c r="AV63" i="13"/>
  <c r="H63" i="13"/>
  <c r="I63" i="13"/>
  <c r="AT63" i="13"/>
  <c r="AP63" i="13"/>
  <c r="AQ63" i="13"/>
  <c r="AR63" i="13"/>
  <c r="AS63" i="13"/>
  <c r="E64" i="13"/>
  <c r="AU64" i="13"/>
  <c r="AV64" i="13"/>
  <c r="H64" i="13"/>
  <c r="I64" i="13"/>
  <c r="AT64" i="13"/>
  <c r="AP64" i="13"/>
  <c r="AQ64" i="13"/>
  <c r="AR64" i="13"/>
  <c r="AS64" i="13"/>
  <c r="E65" i="13"/>
  <c r="AU65" i="13"/>
  <c r="AV65" i="13"/>
  <c r="H65" i="13"/>
  <c r="I65" i="13"/>
  <c r="AT65" i="13"/>
  <c r="AP65" i="13"/>
  <c r="AQ65" i="13"/>
  <c r="AR65" i="13"/>
  <c r="AS65" i="13"/>
  <c r="E66" i="13"/>
  <c r="AU66" i="13"/>
  <c r="AV66" i="13"/>
  <c r="H66" i="13"/>
  <c r="I66" i="13"/>
  <c r="AT66" i="13"/>
  <c r="AP66" i="13"/>
  <c r="AQ66" i="13"/>
  <c r="AR66" i="13"/>
  <c r="AS66" i="13"/>
  <c r="E67" i="13"/>
  <c r="AU67" i="13"/>
  <c r="AV67" i="13"/>
  <c r="F67" i="13"/>
  <c r="H67" i="13"/>
  <c r="I67" i="13"/>
  <c r="AT67" i="13"/>
  <c r="AP67" i="13"/>
  <c r="AQ67" i="13"/>
  <c r="AR67" i="13"/>
  <c r="AS67" i="13"/>
  <c r="E68" i="13"/>
  <c r="AU68" i="13"/>
  <c r="AV68" i="13"/>
  <c r="F68" i="13"/>
  <c r="H68" i="13"/>
  <c r="I68" i="13"/>
  <c r="AT68" i="13"/>
  <c r="AP68" i="13"/>
  <c r="AQ68" i="13"/>
  <c r="AR68" i="13"/>
  <c r="AS68" i="13"/>
  <c r="E69" i="13"/>
  <c r="AU69" i="13"/>
  <c r="AV69" i="13"/>
  <c r="F69" i="13"/>
  <c r="H69" i="13"/>
  <c r="I69" i="13"/>
  <c r="AT69" i="13"/>
  <c r="AP69" i="13"/>
  <c r="AQ69" i="13"/>
  <c r="AR69" i="13"/>
  <c r="AS69" i="13"/>
  <c r="E70" i="13"/>
  <c r="AU70" i="13"/>
  <c r="AV70" i="13"/>
  <c r="H70" i="13"/>
  <c r="I70" i="13"/>
  <c r="AT70" i="13"/>
  <c r="AP70" i="13"/>
  <c r="AQ70" i="13"/>
  <c r="AR70" i="13"/>
  <c r="AS70" i="13"/>
  <c r="E71" i="13"/>
  <c r="AU71" i="13"/>
  <c r="AV71" i="13"/>
  <c r="H71" i="13"/>
  <c r="I71" i="13"/>
  <c r="AT71" i="13"/>
  <c r="AP71" i="13"/>
  <c r="AQ71" i="13"/>
  <c r="AR71" i="13"/>
  <c r="AS71" i="13"/>
  <c r="E72" i="13"/>
  <c r="AU72" i="13"/>
  <c r="AV72" i="13"/>
  <c r="H72" i="13"/>
  <c r="I72" i="13"/>
  <c r="AT72" i="13"/>
  <c r="AP72" i="13"/>
  <c r="AQ72" i="13"/>
  <c r="AR72" i="13"/>
  <c r="AS72" i="13"/>
  <c r="E73" i="13"/>
  <c r="AU73" i="13"/>
  <c r="AV73" i="13"/>
  <c r="H73" i="13"/>
  <c r="I73" i="13"/>
  <c r="AT73" i="13"/>
  <c r="AP73" i="13"/>
  <c r="AQ73" i="13"/>
  <c r="AR73" i="13"/>
  <c r="AS73" i="13"/>
  <c r="E74" i="13"/>
  <c r="AU74" i="13"/>
  <c r="AV74" i="13"/>
  <c r="H74" i="13"/>
  <c r="I74" i="13"/>
  <c r="AT74" i="13"/>
  <c r="AP74" i="13"/>
  <c r="AQ74" i="13"/>
  <c r="AR74" i="13"/>
  <c r="AS74" i="13"/>
  <c r="E75" i="13"/>
  <c r="AU75" i="13"/>
  <c r="AV75" i="13"/>
  <c r="F75" i="13"/>
  <c r="H75" i="13"/>
  <c r="I75" i="13"/>
  <c r="AT75" i="13"/>
  <c r="AP75" i="13"/>
  <c r="AQ75" i="13"/>
  <c r="AR75" i="13"/>
  <c r="AS75" i="13"/>
  <c r="E76" i="13"/>
  <c r="AU76" i="13"/>
  <c r="AV76" i="13"/>
  <c r="F76" i="13"/>
  <c r="H76" i="13"/>
  <c r="I76" i="13"/>
  <c r="AT76" i="13"/>
  <c r="AP76" i="13"/>
  <c r="AQ76" i="13"/>
  <c r="AR76" i="13"/>
  <c r="AS76" i="13"/>
  <c r="E77" i="13"/>
  <c r="AU77" i="13"/>
  <c r="AV77" i="13"/>
  <c r="F77" i="13"/>
  <c r="H77" i="13"/>
  <c r="I77" i="13"/>
  <c r="AT77" i="13"/>
  <c r="AP77" i="13"/>
  <c r="AQ77" i="13"/>
  <c r="AR77" i="13"/>
  <c r="AS77" i="13"/>
  <c r="E78" i="13"/>
  <c r="AU78" i="13"/>
  <c r="AV78" i="13"/>
  <c r="H78" i="13"/>
  <c r="I78" i="13"/>
  <c r="AT78" i="13"/>
  <c r="AP78" i="13"/>
  <c r="AQ78" i="13"/>
  <c r="AR78" i="13"/>
  <c r="AS78" i="13"/>
  <c r="E79" i="13"/>
  <c r="AU79" i="13"/>
  <c r="AV79" i="13"/>
  <c r="H79" i="13"/>
  <c r="I79" i="13"/>
  <c r="AT79" i="13"/>
  <c r="AP79" i="13"/>
  <c r="AQ79" i="13"/>
  <c r="AR79" i="13"/>
  <c r="AS79" i="13"/>
  <c r="E80" i="13"/>
  <c r="AU80" i="13"/>
  <c r="AV80" i="13"/>
  <c r="H80" i="13"/>
  <c r="I80" i="13"/>
  <c r="AT80" i="13"/>
  <c r="AP80" i="13"/>
  <c r="AQ80" i="13"/>
  <c r="AR80" i="13"/>
  <c r="AS80" i="13"/>
  <c r="E81" i="13"/>
  <c r="AU81" i="13"/>
  <c r="AV81" i="13"/>
  <c r="H81" i="13"/>
  <c r="I81" i="13"/>
  <c r="AT81" i="13"/>
  <c r="AP81" i="13"/>
  <c r="AQ81" i="13"/>
  <c r="AR81" i="13"/>
  <c r="AS81" i="13"/>
  <c r="E82" i="13"/>
  <c r="AU82" i="13"/>
  <c r="AV82" i="13"/>
  <c r="H82" i="13"/>
  <c r="I82" i="13"/>
  <c r="AT82" i="13"/>
  <c r="AP82" i="13"/>
  <c r="AQ82" i="13"/>
  <c r="AR82" i="13"/>
  <c r="AS82" i="13"/>
  <c r="E83" i="13"/>
  <c r="AU83" i="13"/>
  <c r="AV83" i="13"/>
  <c r="F83" i="13"/>
  <c r="H83" i="13"/>
  <c r="I83" i="13"/>
  <c r="AT83" i="13"/>
  <c r="AP83" i="13"/>
  <c r="AQ83" i="13"/>
  <c r="AR83" i="13"/>
  <c r="AS83" i="13"/>
  <c r="E84" i="13"/>
  <c r="AU84" i="13"/>
  <c r="AV84" i="13"/>
  <c r="F84" i="13"/>
  <c r="H84" i="13"/>
  <c r="I84" i="13"/>
  <c r="AT84" i="13"/>
  <c r="AP84" i="13"/>
  <c r="AQ84" i="13"/>
  <c r="AR84" i="13"/>
  <c r="AS84" i="13"/>
  <c r="E85" i="13"/>
  <c r="AU85" i="13"/>
  <c r="AV85" i="13"/>
  <c r="F85" i="13"/>
  <c r="H85" i="13"/>
  <c r="I85" i="13"/>
  <c r="AT85" i="13"/>
  <c r="AP85" i="13"/>
  <c r="AQ85" i="13"/>
  <c r="AR85" i="13"/>
  <c r="AS85" i="13"/>
  <c r="E86" i="13"/>
  <c r="AU86" i="13"/>
  <c r="AV86" i="13"/>
  <c r="H86" i="13"/>
  <c r="I86" i="13"/>
  <c r="AT86" i="13"/>
  <c r="AP86" i="13"/>
  <c r="AQ86" i="13"/>
  <c r="AR86" i="13"/>
  <c r="AS86" i="13"/>
  <c r="E87" i="13"/>
  <c r="AU87" i="13"/>
  <c r="AV87" i="13"/>
  <c r="H87" i="13"/>
  <c r="I87" i="13"/>
  <c r="AT87" i="13"/>
  <c r="AP87" i="13"/>
  <c r="AQ87" i="13"/>
  <c r="AR87" i="13"/>
  <c r="AS87" i="13"/>
  <c r="E88" i="13"/>
  <c r="AU88" i="13"/>
  <c r="AV88" i="13"/>
  <c r="H88" i="13"/>
  <c r="I88" i="13"/>
  <c r="AT88" i="13"/>
  <c r="AP88" i="13"/>
  <c r="AQ88" i="13"/>
  <c r="AR88" i="13"/>
  <c r="AS88" i="13"/>
  <c r="E89" i="13"/>
  <c r="AU89" i="13"/>
  <c r="AV89" i="13"/>
  <c r="H89" i="13"/>
  <c r="I89" i="13"/>
  <c r="AT89" i="13"/>
  <c r="AP89" i="13"/>
  <c r="AQ89" i="13"/>
  <c r="AR89" i="13"/>
  <c r="AS89" i="13"/>
  <c r="E90" i="13"/>
  <c r="AU90" i="13"/>
  <c r="AV90" i="13"/>
  <c r="H90" i="13"/>
  <c r="I90" i="13"/>
  <c r="AT90" i="13"/>
  <c r="AP90" i="13"/>
  <c r="AQ90" i="13"/>
  <c r="AR90" i="13"/>
  <c r="AS90" i="13"/>
  <c r="E91" i="13"/>
  <c r="AU91" i="13"/>
  <c r="AV91" i="13"/>
  <c r="F91" i="13"/>
  <c r="H91" i="13"/>
  <c r="I91" i="13"/>
  <c r="AT91" i="13"/>
  <c r="AP91" i="13"/>
  <c r="AQ91" i="13"/>
  <c r="AR91" i="13"/>
  <c r="AS91" i="13"/>
  <c r="E92" i="13"/>
  <c r="AU92" i="13"/>
  <c r="AV92" i="13"/>
  <c r="F92" i="13"/>
  <c r="H92" i="13"/>
  <c r="I92" i="13"/>
  <c r="AT92" i="13"/>
  <c r="AP92" i="13"/>
  <c r="AQ92" i="13"/>
  <c r="AR92" i="13"/>
  <c r="AS92" i="13"/>
  <c r="E93" i="13"/>
  <c r="AU93" i="13"/>
  <c r="AV93" i="13"/>
  <c r="F93" i="13"/>
  <c r="H93" i="13"/>
  <c r="I93" i="13"/>
  <c r="AT93" i="13"/>
  <c r="AP93" i="13"/>
  <c r="AQ93" i="13"/>
  <c r="AR93" i="13"/>
  <c r="AS93" i="13"/>
  <c r="E94" i="13"/>
  <c r="AU94" i="13"/>
  <c r="AV94" i="13"/>
  <c r="H94" i="13"/>
  <c r="I94" i="13"/>
  <c r="AT94" i="13"/>
  <c r="AP94" i="13"/>
  <c r="AQ94" i="13"/>
  <c r="AR94" i="13"/>
  <c r="AS94" i="13"/>
  <c r="E95" i="13"/>
  <c r="AU95" i="13"/>
  <c r="AV95" i="13"/>
  <c r="H95" i="13"/>
  <c r="I95" i="13"/>
  <c r="AT95" i="13"/>
  <c r="AP95" i="13"/>
  <c r="AQ95" i="13"/>
  <c r="AR95" i="13"/>
  <c r="AS95" i="13"/>
  <c r="E96" i="13"/>
  <c r="AU96" i="13"/>
  <c r="AV96" i="13"/>
  <c r="H96" i="13"/>
  <c r="I96" i="13"/>
  <c r="AT96" i="13"/>
  <c r="AP96" i="13"/>
  <c r="AQ96" i="13"/>
  <c r="AR96" i="13"/>
  <c r="AS96" i="13"/>
  <c r="E97" i="13"/>
  <c r="AU97" i="13"/>
  <c r="AV97" i="13"/>
  <c r="H97" i="13"/>
  <c r="I97" i="13"/>
  <c r="AT97" i="13"/>
  <c r="AP97" i="13"/>
  <c r="AQ97" i="13"/>
  <c r="AR97" i="13"/>
  <c r="AS97" i="13"/>
  <c r="E98" i="13"/>
  <c r="AU98" i="13"/>
  <c r="AV98" i="13"/>
  <c r="H98" i="13"/>
  <c r="I98" i="13"/>
  <c r="AT98" i="13"/>
  <c r="AP98" i="13"/>
  <c r="AQ98" i="13"/>
  <c r="AR98" i="13"/>
  <c r="AS98" i="13"/>
  <c r="E99" i="13"/>
  <c r="AU99" i="13"/>
  <c r="AV99" i="13"/>
  <c r="F99" i="13"/>
  <c r="H99" i="13"/>
  <c r="I99" i="13"/>
  <c r="AT99" i="13"/>
  <c r="AP99" i="13"/>
  <c r="AQ99" i="13"/>
  <c r="AR99" i="13"/>
  <c r="AS99" i="13"/>
  <c r="E100" i="13"/>
  <c r="AU100" i="13"/>
  <c r="AV100" i="13"/>
  <c r="F100" i="13"/>
  <c r="H100" i="13"/>
  <c r="I100" i="13"/>
  <c r="AT100" i="13"/>
  <c r="AP100" i="13"/>
  <c r="AQ100" i="13"/>
  <c r="AR100" i="13"/>
  <c r="AS100" i="13"/>
  <c r="E101" i="13"/>
  <c r="AU101" i="13"/>
  <c r="AV101" i="13"/>
  <c r="F101" i="13"/>
  <c r="H101" i="13"/>
  <c r="I101" i="13"/>
  <c r="AT101" i="13"/>
  <c r="AP101" i="13"/>
  <c r="AQ101" i="13"/>
  <c r="AR101" i="13"/>
  <c r="AS101" i="13"/>
  <c r="E102" i="13"/>
  <c r="AU102" i="13"/>
  <c r="AV102" i="13"/>
  <c r="H102" i="13"/>
  <c r="I102" i="13"/>
  <c r="AT102" i="13"/>
  <c r="AP102" i="13"/>
  <c r="AQ102" i="13"/>
  <c r="AR102" i="13"/>
  <c r="AS102" i="13"/>
  <c r="E103" i="13"/>
  <c r="AU103" i="13"/>
  <c r="AV103" i="13"/>
  <c r="H103" i="13"/>
  <c r="I103" i="13"/>
  <c r="AT103" i="13"/>
  <c r="AP103" i="13"/>
  <c r="AQ103" i="13"/>
  <c r="AR103" i="13"/>
  <c r="AS103" i="13"/>
  <c r="E104" i="13"/>
  <c r="AU104" i="13"/>
  <c r="AV104" i="13"/>
  <c r="H104" i="13"/>
  <c r="I104" i="13"/>
  <c r="AT104" i="13"/>
  <c r="AP104" i="13"/>
  <c r="AQ104" i="13"/>
  <c r="AR104" i="13"/>
  <c r="AS104" i="13"/>
  <c r="E105" i="13"/>
  <c r="AU105" i="13"/>
  <c r="AV105" i="13"/>
  <c r="H105" i="13"/>
  <c r="I105" i="13"/>
  <c r="AT105" i="13"/>
  <c r="AP105" i="13"/>
  <c r="AQ105" i="13"/>
  <c r="AR105" i="13"/>
  <c r="AS105" i="13"/>
  <c r="E106" i="13"/>
  <c r="AU106" i="13"/>
  <c r="AV106" i="13"/>
  <c r="H106" i="13"/>
  <c r="I106" i="13"/>
  <c r="AT106" i="13"/>
  <c r="AP106" i="13"/>
  <c r="AQ106" i="13"/>
  <c r="AR106" i="13"/>
  <c r="AS106" i="13"/>
  <c r="E107" i="13"/>
  <c r="AU107" i="13"/>
  <c r="AV107" i="13"/>
  <c r="F107" i="13"/>
  <c r="H107" i="13"/>
  <c r="I107" i="13"/>
  <c r="AT107" i="13"/>
  <c r="AP107" i="13"/>
  <c r="AQ107" i="13"/>
  <c r="AR107" i="13"/>
  <c r="AS107" i="13"/>
  <c r="E108" i="13"/>
  <c r="AU108" i="13"/>
  <c r="AV108" i="13"/>
  <c r="F108" i="13"/>
  <c r="H108" i="13"/>
  <c r="I108" i="13"/>
  <c r="AT108" i="13"/>
  <c r="AP108" i="13"/>
  <c r="AQ108" i="13"/>
  <c r="AR108" i="13"/>
  <c r="AS108" i="13"/>
  <c r="E109" i="13"/>
  <c r="AU109" i="13"/>
  <c r="AV109" i="13"/>
  <c r="F109" i="13"/>
  <c r="H109" i="13"/>
  <c r="I109" i="13"/>
  <c r="AT109" i="13"/>
  <c r="AP109" i="13"/>
  <c r="AQ109" i="13"/>
  <c r="AR109" i="13"/>
  <c r="AS109" i="13"/>
  <c r="E110" i="13"/>
  <c r="AU110" i="13"/>
  <c r="AV110" i="13"/>
  <c r="H110" i="13"/>
  <c r="I110" i="13"/>
  <c r="AT110" i="13"/>
  <c r="AP110" i="13"/>
  <c r="AQ110" i="13"/>
  <c r="AR110" i="13"/>
  <c r="AS110" i="13"/>
  <c r="E111" i="13"/>
  <c r="AU111" i="13"/>
  <c r="AV111" i="13"/>
  <c r="H111" i="13"/>
  <c r="I111" i="13"/>
  <c r="AT111" i="13"/>
  <c r="AP111" i="13"/>
  <c r="AQ111" i="13"/>
  <c r="AR111" i="13"/>
  <c r="AS111" i="13"/>
  <c r="E112" i="13"/>
  <c r="AU112" i="13"/>
  <c r="AV112" i="13"/>
  <c r="H112" i="13"/>
  <c r="I112" i="13"/>
  <c r="AT112" i="13"/>
  <c r="AP112" i="13"/>
  <c r="AQ112" i="13"/>
  <c r="AR112" i="13"/>
  <c r="AS112" i="13"/>
  <c r="E113" i="13"/>
  <c r="AU113" i="13"/>
  <c r="AV113" i="13"/>
  <c r="H113" i="13"/>
  <c r="I113" i="13"/>
  <c r="AT113" i="13"/>
  <c r="AP113" i="13"/>
  <c r="AQ113" i="13"/>
  <c r="AR113" i="13"/>
  <c r="AS113" i="13"/>
  <c r="E114" i="13"/>
  <c r="AU114" i="13"/>
  <c r="AV114" i="13"/>
  <c r="H114" i="13"/>
  <c r="I114" i="13"/>
  <c r="AT114" i="13"/>
  <c r="AP114" i="13"/>
  <c r="AQ114" i="13"/>
  <c r="AR114" i="13"/>
  <c r="AS114" i="13"/>
  <c r="E115" i="13"/>
  <c r="AU115" i="13"/>
  <c r="AV115" i="13"/>
  <c r="F115" i="13"/>
  <c r="H115" i="13"/>
  <c r="I115" i="13"/>
  <c r="AT115" i="13"/>
  <c r="AP115" i="13"/>
  <c r="AQ115" i="13"/>
  <c r="AR115" i="13"/>
  <c r="AS115" i="13"/>
  <c r="E116" i="13"/>
  <c r="AU116" i="13"/>
  <c r="AV116" i="13"/>
  <c r="F116" i="13"/>
  <c r="H116" i="13"/>
  <c r="I116" i="13"/>
  <c r="AT116" i="13"/>
  <c r="AP116" i="13"/>
  <c r="AQ116" i="13"/>
  <c r="AR116" i="13"/>
  <c r="AS116" i="13"/>
  <c r="E117" i="13"/>
  <c r="AU117" i="13"/>
  <c r="AV117" i="13"/>
  <c r="F117" i="13"/>
  <c r="H117" i="13"/>
  <c r="I117" i="13"/>
  <c r="AT117" i="13"/>
  <c r="AP117" i="13"/>
  <c r="AQ117" i="13"/>
  <c r="AR117" i="13"/>
  <c r="AS117" i="13"/>
  <c r="E118" i="13"/>
  <c r="AU118" i="13"/>
  <c r="AV118" i="13"/>
  <c r="H118" i="13"/>
  <c r="I118" i="13"/>
  <c r="AT118" i="13"/>
  <c r="AP118" i="13"/>
  <c r="AQ118" i="13"/>
  <c r="AR118" i="13"/>
  <c r="AS118" i="13"/>
  <c r="E119" i="13"/>
  <c r="AU119" i="13"/>
  <c r="AV119" i="13"/>
  <c r="H119" i="13"/>
  <c r="I119" i="13"/>
  <c r="AT119" i="13"/>
  <c r="AP119" i="13"/>
  <c r="AQ119" i="13"/>
  <c r="AR119" i="13"/>
  <c r="AS119" i="13"/>
  <c r="E120" i="13"/>
  <c r="AU120" i="13"/>
  <c r="AV120" i="13"/>
  <c r="H120" i="13"/>
  <c r="I120" i="13"/>
  <c r="AT120" i="13"/>
  <c r="AP120" i="13"/>
  <c r="AQ120" i="13"/>
  <c r="AR120" i="13"/>
  <c r="AS120" i="13"/>
  <c r="E121" i="13"/>
  <c r="AU121" i="13"/>
  <c r="AV121" i="13"/>
  <c r="H121" i="13"/>
  <c r="I121" i="13"/>
  <c r="AT121" i="13"/>
  <c r="AP121" i="13"/>
  <c r="AQ121" i="13"/>
  <c r="AR121" i="13"/>
  <c r="AS121" i="13"/>
  <c r="E122" i="13"/>
  <c r="AU122" i="13"/>
  <c r="AV122" i="13"/>
  <c r="H122" i="13"/>
  <c r="I122" i="13"/>
  <c r="AT122" i="13"/>
  <c r="AP122" i="13"/>
  <c r="AQ122" i="13"/>
  <c r="AR122" i="13"/>
  <c r="AS122" i="13"/>
  <c r="E123" i="13"/>
  <c r="AU123" i="13"/>
  <c r="AV123" i="13"/>
  <c r="F123" i="13"/>
  <c r="H123" i="13"/>
  <c r="I123" i="13"/>
  <c r="AT123" i="13"/>
  <c r="AP123" i="13"/>
  <c r="AQ123" i="13"/>
  <c r="AR123" i="13"/>
  <c r="AS123" i="13"/>
  <c r="E124" i="13"/>
  <c r="AU124" i="13"/>
  <c r="AV124" i="13"/>
  <c r="F124" i="13"/>
  <c r="H124" i="13"/>
  <c r="I124" i="13"/>
  <c r="AT124" i="13"/>
  <c r="AP124" i="13"/>
  <c r="AQ124" i="13"/>
  <c r="AR124" i="13"/>
  <c r="AS124" i="13"/>
  <c r="E125" i="13"/>
  <c r="AU125" i="13"/>
  <c r="AV125" i="13"/>
  <c r="F125" i="13"/>
  <c r="H125" i="13"/>
  <c r="I125" i="13"/>
  <c r="AT125" i="13"/>
  <c r="AP125" i="13"/>
  <c r="AQ125" i="13"/>
  <c r="AR125" i="13"/>
  <c r="AS125" i="13"/>
  <c r="E126" i="13"/>
  <c r="AU126" i="13"/>
  <c r="AV126" i="13"/>
  <c r="H126" i="13"/>
  <c r="I126" i="13"/>
  <c r="AT126" i="13"/>
  <c r="AP126" i="13"/>
  <c r="AQ126" i="13"/>
  <c r="AR126" i="13"/>
  <c r="AS126" i="13"/>
  <c r="E127" i="13"/>
  <c r="AU127" i="13"/>
  <c r="AV127" i="13"/>
  <c r="H127" i="13"/>
  <c r="I127" i="13"/>
  <c r="AT127" i="13"/>
  <c r="AP127" i="13"/>
  <c r="AQ127" i="13"/>
  <c r="AR127" i="13"/>
  <c r="AS127" i="13"/>
  <c r="E128" i="13"/>
  <c r="AU128" i="13"/>
  <c r="AV128" i="13"/>
  <c r="H128" i="13"/>
  <c r="I128" i="13"/>
  <c r="AT128" i="13"/>
  <c r="AP128" i="13"/>
  <c r="AQ128" i="13"/>
  <c r="AR128" i="13"/>
  <c r="AS128" i="13"/>
  <c r="E129" i="13"/>
  <c r="AU129" i="13"/>
  <c r="AV129" i="13"/>
  <c r="H129" i="13"/>
  <c r="I129" i="13"/>
  <c r="AT129" i="13"/>
  <c r="AP129" i="13"/>
  <c r="AQ129" i="13"/>
  <c r="AR129" i="13"/>
  <c r="AS129" i="13"/>
  <c r="E130" i="13"/>
  <c r="AU130" i="13"/>
  <c r="AV130" i="13"/>
  <c r="H130" i="13"/>
  <c r="I130" i="13"/>
  <c r="AT130" i="13"/>
  <c r="AP130" i="13"/>
  <c r="AQ130" i="13"/>
  <c r="AR130" i="13"/>
  <c r="AS130" i="13"/>
  <c r="E131" i="13"/>
  <c r="AU131" i="13"/>
  <c r="AV131" i="13"/>
  <c r="F131" i="13"/>
  <c r="H131" i="13"/>
  <c r="I131" i="13"/>
  <c r="AT131" i="13"/>
  <c r="AP131" i="13"/>
  <c r="AQ131" i="13"/>
  <c r="AR131" i="13"/>
  <c r="AS131" i="13"/>
  <c r="E132" i="13"/>
  <c r="AU132" i="13"/>
  <c r="AV132" i="13"/>
  <c r="F132" i="13"/>
  <c r="H132" i="13"/>
  <c r="I132" i="13"/>
  <c r="AT132" i="13"/>
  <c r="AP132" i="13"/>
  <c r="AQ132" i="13"/>
  <c r="AR132" i="13"/>
  <c r="AS132" i="13"/>
  <c r="E133" i="13"/>
  <c r="AU133" i="13"/>
  <c r="AV133" i="13"/>
  <c r="F133" i="13"/>
  <c r="H133" i="13"/>
  <c r="I133" i="13"/>
  <c r="AT133" i="13"/>
  <c r="AP133" i="13"/>
  <c r="AQ133" i="13"/>
  <c r="AR133" i="13"/>
  <c r="AS133" i="13"/>
  <c r="E134" i="13"/>
  <c r="AU134" i="13"/>
  <c r="AV134" i="13"/>
  <c r="H134" i="13"/>
  <c r="I134" i="13"/>
  <c r="AT134" i="13"/>
  <c r="AP134" i="13"/>
  <c r="AQ134" i="13"/>
  <c r="AR134" i="13"/>
  <c r="AS134" i="13"/>
  <c r="E135" i="13"/>
  <c r="AU135" i="13"/>
  <c r="AV135" i="13"/>
  <c r="H135" i="13"/>
  <c r="I135" i="13"/>
  <c r="AT135" i="13"/>
  <c r="AP135" i="13"/>
  <c r="AQ135" i="13"/>
  <c r="AR135" i="13"/>
  <c r="AS135" i="13"/>
  <c r="E136" i="13"/>
  <c r="AU136" i="13"/>
  <c r="AV136" i="13"/>
  <c r="H136" i="13"/>
  <c r="I136" i="13"/>
  <c r="AT136" i="13"/>
  <c r="AP136" i="13"/>
  <c r="AQ136" i="13"/>
  <c r="AR136" i="13"/>
  <c r="AS136" i="13"/>
  <c r="E137" i="13"/>
  <c r="AU137" i="13"/>
  <c r="AV137" i="13"/>
  <c r="H137" i="13"/>
  <c r="I137" i="13"/>
  <c r="AT137" i="13"/>
  <c r="AP137" i="13"/>
  <c r="AQ137" i="13"/>
  <c r="AR137" i="13"/>
  <c r="AS137" i="13"/>
  <c r="E138" i="13"/>
  <c r="AU138" i="13"/>
  <c r="AV138" i="13"/>
  <c r="H138" i="13"/>
  <c r="I138" i="13"/>
  <c r="AT138" i="13"/>
  <c r="AP138" i="13"/>
  <c r="AQ138" i="13"/>
  <c r="AR138" i="13"/>
  <c r="AS138" i="13"/>
  <c r="E139" i="13"/>
  <c r="AU139" i="13"/>
  <c r="AV139" i="13"/>
  <c r="F139" i="13"/>
  <c r="H139" i="13"/>
  <c r="I139" i="13"/>
  <c r="AT139" i="13"/>
  <c r="AP139" i="13"/>
  <c r="AQ139" i="13"/>
  <c r="AR139" i="13"/>
  <c r="AS139" i="13"/>
  <c r="E140" i="13"/>
  <c r="AU140" i="13"/>
  <c r="AV140" i="13"/>
  <c r="F140" i="13"/>
  <c r="H140" i="13"/>
  <c r="I140" i="13"/>
  <c r="AT140" i="13"/>
  <c r="AP140" i="13"/>
  <c r="AQ140" i="13"/>
  <c r="AR140" i="13"/>
  <c r="AS140" i="13"/>
  <c r="E141" i="13"/>
  <c r="AU141" i="13"/>
  <c r="AV141" i="13"/>
  <c r="F141" i="13"/>
  <c r="H141" i="13"/>
  <c r="I141" i="13"/>
  <c r="AT141" i="13"/>
  <c r="AP141" i="13"/>
  <c r="AQ141" i="13"/>
  <c r="AR141" i="13"/>
  <c r="AS141" i="13"/>
  <c r="E142" i="13"/>
  <c r="AU142" i="13"/>
  <c r="AV142" i="13"/>
  <c r="H142" i="13"/>
  <c r="I142" i="13"/>
  <c r="AT142" i="13"/>
  <c r="AP142" i="13"/>
  <c r="AQ142" i="13"/>
  <c r="AR142" i="13"/>
  <c r="AS142" i="13"/>
  <c r="E143" i="13"/>
  <c r="AU143" i="13"/>
  <c r="AV143" i="13"/>
  <c r="H143" i="13"/>
  <c r="I143" i="13"/>
  <c r="AT143" i="13"/>
  <c r="AP143" i="13"/>
  <c r="AQ143" i="13"/>
  <c r="AR143" i="13"/>
  <c r="AS143" i="13"/>
  <c r="E144" i="13"/>
  <c r="AU144" i="13"/>
  <c r="AV144" i="13"/>
  <c r="H144" i="13"/>
  <c r="I144" i="13"/>
  <c r="AT144" i="13"/>
  <c r="AP144" i="13"/>
  <c r="AQ144" i="13"/>
  <c r="AR144" i="13"/>
  <c r="AS144" i="13"/>
  <c r="E145" i="13"/>
  <c r="AU145" i="13"/>
  <c r="AV145" i="13"/>
  <c r="H145" i="13"/>
  <c r="I145" i="13"/>
  <c r="AT145" i="13"/>
  <c r="AP145" i="13"/>
  <c r="AQ145" i="13"/>
  <c r="AR145" i="13"/>
  <c r="AS145" i="13"/>
  <c r="E146" i="13"/>
  <c r="AU146" i="13"/>
  <c r="AV146" i="13"/>
  <c r="H146" i="13"/>
  <c r="I146" i="13"/>
  <c r="AT146" i="13"/>
  <c r="AP146" i="13"/>
  <c r="AQ146" i="13"/>
  <c r="AR146" i="13"/>
  <c r="AS146" i="13"/>
  <c r="E147" i="13"/>
  <c r="AU147" i="13"/>
  <c r="AV147" i="13"/>
  <c r="F147" i="13"/>
  <c r="H147" i="13"/>
  <c r="I147" i="13"/>
  <c r="AT147" i="13"/>
  <c r="AP147" i="13"/>
  <c r="AQ147" i="13"/>
  <c r="AR147" i="13"/>
  <c r="AS147" i="13"/>
  <c r="E148" i="13"/>
  <c r="AU148" i="13"/>
  <c r="AV148" i="13"/>
  <c r="F148" i="13"/>
  <c r="H148" i="13"/>
  <c r="I148" i="13"/>
  <c r="AT148" i="13"/>
  <c r="AP148" i="13"/>
  <c r="AQ148" i="13"/>
  <c r="AR148" i="13"/>
  <c r="AS148" i="13"/>
  <c r="E149" i="13"/>
  <c r="AU149" i="13"/>
  <c r="AV149" i="13"/>
  <c r="F149" i="13"/>
  <c r="H149" i="13"/>
  <c r="I149" i="13"/>
  <c r="AT149" i="13"/>
  <c r="AP149" i="13"/>
  <c r="AQ149" i="13"/>
  <c r="AR149" i="13"/>
  <c r="AS149" i="13"/>
  <c r="E150" i="13"/>
  <c r="AU150" i="13"/>
  <c r="AV150" i="13"/>
  <c r="H150" i="13"/>
  <c r="I150" i="13"/>
  <c r="AT150" i="13"/>
  <c r="AP150" i="13"/>
  <c r="AQ150" i="13"/>
  <c r="AR150" i="13"/>
  <c r="AS150" i="13"/>
  <c r="E151" i="13"/>
  <c r="AU151" i="13"/>
  <c r="AV151" i="13"/>
  <c r="H151" i="13"/>
  <c r="I151" i="13"/>
  <c r="AT151" i="13"/>
  <c r="AP151" i="13"/>
  <c r="AQ151" i="13"/>
  <c r="AR151" i="13"/>
  <c r="AS151" i="13"/>
  <c r="E152" i="13"/>
  <c r="AU152" i="13"/>
  <c r="AV152" i="13"/>
  <c r="H152" i="13"/>
  <c r="I152" i="13"/>
  <c r="AT152" i="13"/>
  <c r="AP152" i="13"/>
  <c r="AQ152" i="13"/>
  <c r="AR152" i="13"/>
  <c r="AS152" i="13"/>
  <c r="E153" i="13"/>
  <c r="AU153" i="13"/>
  <c r="AV153" i="13"/>
  <c r="H153" i="13"/>
  <c r="I153" i="13"/>
  <c r="AT153" i="13"/>
  <c r="AP153" i="13"/>
  <c r="AQ153" i="13"/>
  <c r="AR153" i="13"/>
  <c r="AS153" i="13"/>
  <c r="E154" i="13"/>
  <c r="AU154" i="13"/>
  <c r="AV154" i="13"/>
  <c r="H154" i="13"/>
  <c r="I154" i="13"/>
  <c r="AT154" i="13"/>
  <c r="AP154" i="13"/>
  <c r="AQ154" i="13"/>
  <c r="AR154" i="13"/>
  <c r="AS154" i="13"/>
  <c r="E155" i="13"/>
  <c r="AU155" i="13"/>
  <c r="AV155" i="13"/>
  <c r="F155" i="13"/>
  <c r="H155" i="13"/>
  <c r="I155" i="13"/>
  <c r="AT155" i="13"/>
  <c r="AP155" i="13"/>
  <c r="AQ155" i="13"/>
  <c r="AR155" i="13"/>
  <c r="AS155" i="13"/>
  <c r="E156" i="13"/>
  <c r="AU156" i="13"/>
  <c r="AV156" i="13"/>
  <c r="F156" i="13"/>
  <c r="H156" i="13"/>
  <c r="I156" i="13"/>
  <c r="AT156" i="13"/>
  <c r="AP156" i="13"/>
  <c r="AQ156" i="13"/>
  <c r="AR156" i="13"/>
  <c r="AS156" i="13"/>
  <c r="B13" i="13"/>
  <c r="AL13" i="13"/>
  <c r="AM13" i="13"/>
  <c r="AO13" i="13"/>
  <c r="AP173" i="13"/>
  <c r="AP174" i="13"/>
  <c r="AP175" i="13"/>
  <c r="AP176" i="13"/>
  <c r="AP177" i="13"/>
  <c r="AP178" i="13"/>
  <c r="AP179" i="13"/>
  <c r="AP180" i="13"/>
  <c r="AP181" i="13"/>
  <c r="AP182" i="13"/>
  <c r="AP183" i="13"/>
  <c r="AP184" i="13"/>
  <c r="AP185" i="13"/>
  <c r="AP186" i="13"/>
  <c r="AP187" i="13"/>
  <c r="AP188" i="13"/>
  <c r="AP189" i="13"/>
  <c r="AP190" i="13"/>
  <c r="AP191" i="13"/>
  <c r="AP192" i="13"/>
  <c r="AP193" i="13"/>
  <c r="AP194" i="13"/>
  <c r="AP195" i="13"/>
  <c r="AP196" i="13"/>
  <c r="AP197" i="13"/>
  <c r="AP198" i="13"/>
  <c r="AP199" i="13"/>
  <c r="AH208" i="13"/>
  <c r="AI208" i="13"/>
  <c r="AJ208" i="13"/>
  <c r="AK208" i="13"/>
  <c r="AL208" i="13"/>
  <c r="AM208" i="13"/>
  <c r="AO208" i="13"/>
  <c r="AH209" i="13"/>
  <c r="AI209" i="13"/>
  <c r="AJ209" i="13"/>
  <c r="AK209" i="13"/>
  <c r="AL209" i="13"/>
  <c r="AM209" i="13"/>
  <c r="AO209" i="13"/>
  <c r="AH210" i="13"/>
  <c r="AI210" i="13"/>
  <c r="AJ210" i="13"/>
  <c r="AK210" i="13"/>
  <c r="AL210" i="13"/>
  <c r="AM210" i="13"/>
  <c r="AO210" i="13"/>
  <c r="AH211" i="13"/>
  <c r="AI211" i="13"/>
  <c r="AJ211" i="13"/>
  <c r="AK211" i="13"/>
  <c r="AL211" i="13"/>
  <c r="AM211" i="13"/>
  <c r="AO211" i="13"/>
  <c r="AH212" i="13"/>
  <c r="AI212" i="13"/>
  <c r="AJ212" i="13"/>
  <c r="AK212" i="13"/>
  <c r="AL212" i="13"/>
  <c r="AM212" i="13"/>
  <c r="AO212" i="13"/>
  <c r="AH213" i="13"/>
  <c r="AI213" i="13"/>
  <c r="AJ213" i="13"/>
  <c r="AK213" i="13"/>
  <c r="AL213" i="13"/>
  <c r="AM213" i="13"/>
  <c r="AO213" i="13"/>
  <c r="AH214" i="13"/>
  <c r="AI214" i="13"/>
  <c r="AJ214" i="13"/>
  <c r="AK214" i="13"/>
  <c r="AL214" i="13"/>
  <c r="AM214" i="13"/>
  <c r="AO214" i="13"/>
  <c r="AH215" i="13"/>
  <c r="AI215" i="13"/>
  <c r="AJ215" i="13"/>
  <c r="AK215" i="13"/>
  <c r="AL215" i="13"/>
  <c r="AM215" i="13"/>
  <c r="AO215" i="13"/>
  <c r="AH216" i="13"/>
  <c r="AI216" i="13"/>
  <c r="AJ216" i="13"/>
  <c r="AK216" i="13"/>
  <c r="AL216" i="13"/>
  <c r="AM216" i="13"/>
  <c r="AO216" i="13"/>
  <c r="AH217" i="13"/>
  <c r="AI217" i="13"/>
  <c r="AJ217" i="13"/>
  <c r="AK217" i="13"/>
  <c r="AL217" i="13"/>
  <c r="AM217" i="13"/>
  <c r="AO217" i="13"/>
  <c r="AH218" i="13"/>
  <c r="AI218" i="13"/>
  <c r="AJ218" i="13"/>
  <c r="AK218" i="13"/>
  <c r="AL218" i="13"/>
  <c r="AM218" i="13"/>
  <c r="AO218" i="13"/>
  <c r="AH219" i="13"/>
  <c r="AI219" i="13"/>
  <c r="AJ219" i="13"/>
  <c r="AK219" i="13"/>
  <c r="AL219" i="13"/>
  <c r="AM219" i="13"/>
  <c r="AO219" i="13"/>
  <c r="AH220" i="13"/>
  <c r="AI220" i="13"/>
  <c r="AJ220" i="13"/>
  <c r="AK220" i="13"/>
  <c r="AL220" i="13"/>
  <c r="AM220" i="13"/>
  <c r="AO220" i="13"/>
  <c r="AH221" i="13"/>
  <c r="AI221" i="13"/>
  <c r="AJ221" i="13"/>
  <c r="AK221" i="13"/>
  <c r="AL221" i="13"/>
  <c r="AM221" i="13"/>
  <c r="AO221" i="13"/>
  <c r="AH222" i="13"/>
  <c r="AI222" i="13"/>
  <c r="AJ222" i="13"/>
  <c r="AK222" i="13"/>
  <c r="AL222" i="13"/>
  <c r="AM222" i="13"/>
  <c r="AO222" i="13"/>
  <c r="AH223" i="13"/>
  <c r="AI223" i="13"/>
  <c r="AJ223" i="13"/>
  <c r="AK223" i="13"/>
  <c r="AL223" i="13"/>
  <c r="AM223" i="13"/>
  <c r="AO223" i="13"/>
  <c r="AH224" i="13"/>
  <c r="AI224" i="13"/>
  <c r="AJ224" i="13"/>
  <c r="AK224" i="13"/>
  <c r="AL224" i="13"/>
  <c r="AM224" i="13"/>
  <c r="AO224" i="13"/>
  <c r="AH225" i="13"/>
  <c r="AI225" i="13"/>
  <c r="AJ225" i="13"/>
  <c r="AK225" i="13"/>
  <c r="AL225" i="13"/>
  <c r="AM225" i="13"/>
  <c r="AO225" i="13"/>
  <c r="AH226" i="13"/>
  <c r="AI226" i="13"/>
  <c r="AJ226" i="13"/>
  <c r="AK226" i="13"/>
  <c r="AL226" i="13"/>
  <c r="AM226" i="13"/>
  <c r="AO226" i="13"/>
  <c r="AH227" i="13"/>
  <c r="AI227" i="13"/>
  <c r="AJ227" i="13"/>
  <c r="AK227" i="13"/>
  <c r="AL227" i="13"/>
  <c r="AM227" i="13"/>
  <c r="AO227" i="13"/>
  <c r="AH228" i="13"/>
  <c r="AI228" i="13"/>
  <c r="AJ228" i="13"/>
  <c r="AK228" i="13"/>
  <c r="AL228" i="13"/>
  <c r="AM228" i="13"/>
  <c r="AO228" i="13"/>
  <c r="AH229" i="13"/>
  <c r="AI229" i="13"/>
  <c r="AJ229" i="13"/>
  <c r="AK229" i="13"/>
  <c r="AL229" i="13"/>
  <c r="AM229" i="13"/>
  <c r="AO229" i="13"/>
  <c r="AH230" i="13"/>
  <c r="AI230" i="13"/>
  <c r="AJ230" i="13"/>
  <c r="AK230" i="13"/>
  <c r="AL230" i="13"/>
  <c r="AM230" i="13"/>
  <c r="AO230" i="13"/>
  <c r="AH231" i="13"/>
  <c r="AI231" i="13"/>
  <c r="AJ231" i="13"/>
  <c r="AK231" i="13"/>
  <c r="AL231" i="13"/>
  <c r="AM231" i="13"/>
  <c r="AO231" i="13"/>
  <c r="AH232" i="13"/>
  <c r="AI232" i="13"/>
  <c r="AJ232" i="13"/>
  <c r="AK232" i="13"/>
  <c r="AL232" i="13"/>
  <c r="AM232" i="13"/>
  <c r="AO232" i="13"/>
  <c r="AH233" i="13"/>
  <c r="AI233" i="13"/>
  <c r="AJ233" i="13"/>
  <c r="AK233" i="13"/>
  <c r="AL233" i="13"/>
  <c r="AM233" i="13"/>
  <c r="AO233" i="13"/>
  <c r="AH234" i="13"/>
  <c r="AI234" i="13"/>
  <c r="AJ234" i="13"/>
  <c r="AK234" i="13"/>
  <c r="AL234" i="13"/>
  <c r="AM234" i="13"/>
  <c r="AO234" i="13"/>
  <c r="AH235" i="13"/>
  <c r="AI235" i="13"/>
  <c r="AJ235" i="13"/>
  <c r="AK235" i="13"/>
  <c r="AL235" i="13"/>
  <c r="AM235" i="13"/>
  <c r="AO235" i="13"/>
  <c r="AH236" i="13"/>
  <c r="AI236" i="13"/>
  <c r="AJ236" i="13"/>
  <c r="AK236" i="13"/>
  <c r="AL236" i="13"/>
  <c r="AM236" i="13"/>
  <c r="AO236" i="13"/>
  <c r="AH237" i="13"/>
  <c r="AI237" i="13"/>
  <c r="AJ237" i="13"/>
  <c r="AK237" i="13"/>
  <c r="AL237" i="13"/>
  <c r="AM237" i="13"/>
  <c r="AO237" i="13"/>
  <c r="AH238" i="13"/>
  <c r="AI238" i="13"/>
  <c r="AJ238" i="13"/>
  <c r="AK238" i="13"/>
  <c r="AL238" i="13"/>
  <c r="AM238" i="13"/>
  <c r="AO238" i="13"/>
  <c r="AH239" i="13"/>
  <c r="AI239" i="13"/>
  <c r="AJ239" i="13"/>
  <c r="AK239" i="13"/>
  <c r="AL239" i="13"/>
  <c r="AM239" i="13"/>
  <c r="AO239" i="13"/>
  <c r="AH240" i="13"/>
  <c r="AI240" i="13"/>
  <c r="AJ240" i="13"/>
  <c r="AK240" i="13"/>
  <c r="AL240" i="13"/>
  <c r="AM240" i="13"/>
  <c r="AO240" i="13"/>
  <c r="AH241" i="13"/>
  <c r="AI241" i="13"/>
  <c r="AJ241" i="13"/>
  <c r="AK241" i="13"/>
  <c r="AL241" i="13"/>
  <c r="AM241" i="13"/>
  <c r="AO241" i="13"/>
  <c r="AH242" i="13"/>
  <c r="AI242" i="13"/>
  <c r="AJ242" i="13"/>
  <c r="AK242" i="13"/>
  <c r="AL242" i="13"/>
  <c r="AM242" i="13"/>
  <c r="AO242" i="13"/>
  <c r="AH243" i="13"/>
  <c r="AI243" i="13"/>
  <c r="AJ243" i="13"/>
  <c r="AK243" i="13"/>
  <c r="AL243" i="13"/>
  <c r="AM243" i="13"/>
  <c r="AO243" i="13"/>
  <c r="AH244" i="13"/>
  <c r="AI244" i="13"/>
  <c r="AJ244" i="13"/>
  <c r="AK244" i="13"/>
  <c r="AL244" i="13"/>
  <c r="AM244" i="13"/>
  <c r="AO244" i="13"/>
  <c r="AH245" i="13"/>
  <c r="AI245" i="13"/>
  <c r="AJ245" i="13"/>
  <c r="AK245" i="13"/>
  <c r="AL245" i="13"/>
  <c r="AM245" i="13"/>
  <c r="AO245" i="13"/>
  <c r="AH246" i="13"/>
  <c r="AI246" i="13"/>
  <c r="AJ246" i="13"/>
  <c r="AK246" i="13"/>
  <c r="AL246" i="13"/>
  <c r="AM246" i="13"/>
  <c r="AO246" i="13"/>
  <c r="AH247" i="13"/>
  <c r="AI247" i="13"/>
  <c r="AJ247" i="13"/>
  <c r="AK247" i="13"/>
  <c r="AL247" i="13"/>
  <c r="AM247" i="13"/>
  <c r="AO247" i="13"/>
  <c r="AH248" i="13"/>
  <c r="AI248" i="13"/>
  <c r="AJ248" i="13"/>
  <c r="AK248" i="13"/>
  <c r="AL248" i="13"/>
  <c r="AM248" i="13"/>
  <c r="AO248" i="13"/>
  <c r="AH249" i="13"/>
  <c r="AI249" i="13"/>
  <c r="AJ249" i="13"/>
  <c r="AK249" i="13"/>
  <c r="AL249" i="13"/>
  <c r="AM249" i="13"/>
  <c r="AO249" i="13"/>
  <c r="AH250" i="13"/>
  <c r="AI250" i="13"/>
  <c r="AJ250" i="13"/>
  <c r="AK250" i="13"/>
  <c r="AL250" i="13"/>
  <c r="AM250" i="13"/>
  <c r="AO250" i="13"/>
  <c r="AH251" i="13"/>
  <c r="AI251" i="13"/>
  <c r="AJ251" i="13"/>
  <c r="AK251" i="13"/>
  <c r="AL251" i="13"/>
  <c r="AM251" i="13"/>
  <c r="AO251" i="13"/>
  <c r="AH252" i="13"/>
  <c r="AI252" i="13"/>
  <c r="AJ252" i="13"/>
  <c r="AK252" i="13"/>
  <c r="AL252" i="13"/>
  <c r="AM252" i="13"/>
  <c r="AO252" i="13"/>
  <c r="AH253" i="13"/>
  <c r="AI253" i="13"/>
  <c r="AJ253" i="13"/>
  <c r="AK253" i="13"/>
  <c r="AL253" i="13"/>
  <c r="AM253" i="13"/>
  <c r="AO253" i="13"/>
  <c r="AH254" i="13"/>
  <c r="AI254" i="13"/>
  <c r="AJ254" i="13"/>
  <c r="AK254" i="13"/>
  <c r="AL254" i="13"/>
  <c r="AM254" i="13"/>
  <c r="AO254" i="13"/>
  <c r="AH255" i="13"/>
  <c r="AI255" i="13"/>
  <c r="AJ255" i="13"/>
  <c r="AK255" i="13"/>
  <c r="AL255" i="13"/>
  <c r="AM255" i="13"/>
  <c r="AO255" i="13"/>
  <c r="AH256" i="13"/>
  <c r="AI256" i="13"/>
  <c r="AJ256" i="13"/>
  <c r="AK256" i="13"/>
  <c r="AL256" i="13"/>
  <c r="AM256" i="13"/>
  <c r="AO256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AY9" i="13"/>
  <c r="AF13" i="13"/>
  <c r="AE13" i="13"/>
  <c r="AD13" i="13"/>
  <c r="AC13" i="13"/>
  <c r="AB13" i="13"/>
  <c r="AA13" i="13"/>
  <c r="Z13" i="13"/>
  <c r="S13" i="13"/>
  <c r="R13" i="13"/>
  <c r="Q13" i="13"/>
  <c r="Y13" i="13"/>
  <c r="X13" i="13"/>
  <c r="L13" i="13"/>
  <c r="K13" i="13"/>
  <c r="AV13" i="13"/>
  <c r="F13" i="13"/>
  <c r="B7" i="23"/>
  <c r="B8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7" i="23"/>
  <c r="B118" i="23"/>
  <c r="B119" i="23"/>
  <c r="B120" i="23"/>
  <c r="B121" i="23"/>
  <c r="B122" i="23"/>
  <c r="B123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6" i="23"/>
  <c r="E3" i="23"/>
  <c r="F3" i="23"/>
  <c r="G3" i="23"/>
  <c r="H3" i="23"/>
  <c r="I3" i="23"/>
  <c r="J3" i="23"/>
  <c r="K3" i="23"/>
  <c r="L3" i="23"/>
  <c r="M3" i="23"/>
  <c r="N3" i="23"/>
  <c r="O3" i="23"/>
  <c r="P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E3" i="23"/>
  <c r="AF3" i="23"/>
  <c r="AG3" i="23"/>
  <c r="AH3" i="23"/>
  <c r="AI3" i="23"/>
  <c r="AJ3" i="23"/>
  <c r="AK3" i="23"/>
  <c r="AL3" i="23"/>
  <c r="AM3" i="23"/>
  <c r="AN3" i="23"/>
  <c r="AO3" i="23"/>
  <c r="AP3" i="23"/>
  <c r="AQ3" i="23"/>
  <c r="AR3" i="23"/>
  <c r="AS3" i="23"/>
  <c r="AT3" i="23"/>
  <c r="AU3" i="23"/>
  <c r="AV3" i="23"/>
  <c r="AW3" i="23"/>
  <c r="AX3" i="23"/>
  <c r="AY3" i="23"/>
  <c r="AZ3" i="23"/>
  <c r="BA3" i="23"/>
  <c r="BB3" i="23"/>
  <c r="BC3" i="23"/>
  <c r="BD3" i="23"/>
  <c r="BE3" i="23"/>
  <c r="BF3" i="23"/>
  <c r="BG3" i="23"/>
  <c r="BH3" i="23"/>
  <c r="BI3" i="23"/>
  <c r="BJ3" i="23"/>
  <c r="BK3" i="23"/>
  <c r="BL3" i="23"/>
  <c r="BM3" i="23"/>
  <c r="BN3" i="23"/>
  <c r="BO3" i="23"/>
  <c r="BP3" i="23"/>
  <c r="BQ3" i="23"/>
  <c r="BR3" i="23"/>
  <c r="BS3" i="23"/>
  <c r="BT3" i="23"/>
  <c r="BU3" i="23"/>
  <c r="BV3" i="23"/>
  <c r="BW3" i="23"/>
  <c r="BX3" i="23"/>
  <c r="BY3" i="23"/>
  <c r="BZ3" i="23"/>
  <c r="CA3" i="23"/>
  <c r="CB3" i="23"/>
  <c r="CC3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D3" i="23"/>
  <c r="D4" i="23"/>
  <c r="B169" i="13"/>
  <c r="B170" i="13"/>
  <c r="B171" i="13"/>
  <c r="B172" i="13"/>
  <c r="B173" i="13"/>
  <c r="E173" i="13"/>
  <c r="AV173" i="13"/>
  <c r="F173" i="13"/>
  <c r="H173" i="13"/>
  <c r="I173" i="13"/>
  <c r="AQ173" i="13"/>
  <c r="AR173" i="13"/>
  <c r="AS173" i="13"/>
  <c r="AT173" i="13"/>
  <c r="AU173" i="13"/>
  <c r="B174" i="13"/>
  <c r="E174" i="13"/>
  <c r="AV174" i="13"/>
  <c r="F174" i="13"/>
  <c r="H174" i="13"/>
  <c r="I174" i="13"/>
  <c r="AQ174" i="13"/>
  <c r="AR174" i="13"/>
  <c r="AS174" i="13"/>
  <c r="AT174" i="13"/>
  <c r="AU174" i="13"/>
  <c r="B175" i="13"/>
  <c r="E175" i="13"/>
  <c r="AV175" i="13"/>
  <c r="F175" i="13"/>
  <c r="H175" i="13"/>
  <c r="I175" i="13"/>
  <c r="AQ175" i="13"/>
  <c r="AR175" i="13"/>
  <c r="AS175" i="13"/>
  <c r="AT175" i="13"/>
  <c r="AU175" i="13"/>
  <c r="B176" i="13"/>
  <c r="E176" i="13"/>
  <c r="AV176" i="13"/>
  <c r="F176" i="13"/>
  <c r="H176" i="13"/>
  <c r="I176" i="13"/>
  <c r="AQ176" i="13"/>
  <c r="AR176" i="13"/>
  <c r="AS176" i="13"/>
  <c r="AT176" i="13"/>
  <c r="AU176" i="13"/>
  <c r="B177" i="13"/>
  <c r="E177" i="13"/>
  <c r="H177" i="13"/>
  <c r="I177" i="13"/>
  <c r="AQ177" i="13"/>
  <c r="AR177" i="13"/>
  <c r="AS177" i="13"/>
  <c r="AT177" i="13"/>
  <c r="AU177" i="13"/>
  <c r="B178" i="13"/>
  <c r="E178" i="13"/>
  <c r="H178" i="13"/>
  <c r="I178" i="13"/>
  <c r="AQ178" i="13"/>
  <c r="AR178" i="13"/>
  <c r="AS178" i="13"/>
  <c r="AT178" i="13"/>
  <c r="AU178" i="13"/>
  <c r="B179" i="13"/>
  <c r="E179" i="13"/>
  <c r="H179" i="13"/>
  <c r="I179" i="13"/>
  <c r="AQ179" i="13"/>
  <c r="AR179" i="13"/>
  <c r="AS179" i="13"/>
  <c r="AT179" i="13"/>
  <c r="AU179" i="13"/>
  <c r="B180" i="13"/>
  <c r="E180" i="13"/>
  <c r="H180" i="13"/>
  <c r="I180" i="13"/>
  <c r="AQ180" i="13"/>
  <c r="AR180" i="13"/>
  <c r="AS180" i="13"/>
  <c r="AT180" i="13"/>
  <c r="AU180" i="13"/>
  <c r="B181" i="13"/>
  <c r="E181" i="13"/>
  <c r="H181" i="13"/>
  <c r="I181" i="13"/>
  <c r="AQ181" i="13"/>
  <c r="AR181" i="13"/>
  <c r="AS181" i="13"/>
  <c r="AT181" i="13"/>
  <c r="AU181" i="13"/>
  <c r="B182" i="13"/>
  <c r="E182" i="13"/>
  <c r="H182" i="13"/>
  <c r="I182" i="13"/>
  <c r="AQ182" i="13"/>
  <c r="AR182" i="13"/>
  <c r="AS182" i="13"/>
  <c r="AT182" i="13"/>
  <c r="AU182" i="13"/>
  <c r="B183" i="13"/>
  <c r="E183" i="13"/>
  <c r="H183" i="13"/>
  <c r="I183" i="13"/>
  <c r="AQ183" i="13"/>
  <c r="AR183" i="13"/>
  <c r="AS183" i="13"/>
  <c r="AT183" i="13"/>
  <c r="AU183" i="13"/>
  <c r="B184" i="13"/>
  <c r="E184" i="13"/>
  <c r="H184" i="13"/>
  <c r="I184" i="13"/>
  <c r="AQ184" i="13"/>
  <c r="AR184" i="13"/>
  <c r="AS184" i="13"/>
  <c r="AT184" i="13"/>
  <c r="AU184" i="13"/>
  <c r="B185" i="13"/>
  <c r="E185" i="13"/>
  <c r="H185" i="13"/>
  <c r="I185" i="13"/>
  <c r="AQ185" i="13"/>
  <c r="AR185" i="13"/>
  <c r="AS185" i="13"/>
  <c r="AT185" i="13"/>
  <c r="AU185" i="13"/>
  <c r="B186" i="13"/>
  <c r="E186" i="13"/>
  <c r="H186" i="13"/>
  <c r="I186" i="13"/>
  <c r="AQ186" i="13"/>
  <c r="AR186" i="13"/>
  <c r="AS186" i="13"/>
  <c r="AT186" i="13"/>
  <c r="AU186" i="13"/>
  <c r="B187" i="13"/>
  <c r="E187" i="13"/>
  <c r="H187" i="13"/>
  <c r="I187" i="13"/>
  <c r="AQ187" i="13"/>
  <c r="AR187" i="13"/>
  <c r="AS187" i="13"/>
  <c r="AT187" i="13"/>
  <c r="AU187" i="13"/>
  <c r="B188" i="13"/>
  <c r="E188" i="13"/>
  <c r="H188" i="13"/>
  <c r="I188" i="13"/>
  <c r="AQ188" i="13"/>
  <c r="AR188" i="13"/>
  <c r="AS188" i="13"/>
  <c r="AT188" i="13"/>
  <c r="AU188" i="13"/>
  <c r="B189" i="13"/>
  <c r="E189" i="13"/>
  <c r="H189" i="13"/>
  <c r="I189" i="13"/>
  <c r="AQ189" i="13"/>
  <c r="AR189" i="13"/>
  <c r="AS189" i="13"/>
  <c r="AT189" i="13"/>
  <c r="AU189" i="13"/>
  <c r="B190" i="13"/>
  <c r="E190" i="13"/>
  <c r="H190" i="13"/>
  <c r="I190" i="13"/>
  <c r="AQ190" i="13"/>
  <c r="AR190" i="13"/>
  <c r="AS190" i="13"/>
  <c r="AT190" i="13"/>
  <c r="AU190" i="13"/>
  <c r="B191" i="13"/>
  <c r="E191" i="13"/>
  <c r="H191" i="13"/>
  <c r="I191" i="13"/>
  <c r="AQ191" i="13"/>
  <c r="AR191" i="13"/>
  <c r="AS191" i="13"/>
  <c r="AT191" i="13"/>
  <c r="AU191" i="13"/>
  <c r="B192" i="13"/>
  <c r="E192" i="13"/>
  <c r="H192" i="13"/>
  <c r="I192" i="13"/>
  <c r="AQ192" i="13"/>
  <c r="AR192" i="13"/>
  <c r="AS192" i="13"/>
  <c r="AT192" i="13"/>
  <c r="AU192" i="13"/>
  <c r="B193" i="13"/>
  <c r="E193" i="13"/>
  <c r="H193" i="13"/>
  <c r="I193" i="13"/>
  <c r="AQ193" i="13"/>
  <c r="AR193" i="13"/>
  <c r="AS193" i="13"/>
  <c r="AT193" i="13"/>
  <c r="AU193" i="13"/>
  <c r="B194" i="13"/>
  <c r="E194" i="13"/>
  <c r="H194" i="13"/>
  <c r="I194" i="13"/>
  <c r="AQ194" i="13"/>
  <c r="AR194" i="13"/>
  <c r="AS194" i="13"/>
  <c r="AT194" i="13"/>
  <c r="AU194" i="13"/>
  <c r="B195" i="13"/>
  <c r="E195" i="13"/>
  <c r="H195" i="13"/>
  <c r="I195" i="13"/>
  <c r="AQ195" i="13"/>
  <c r="AR195" i="13"/>
  <c r="AS195" i="13"/>
  <c r="AT195" i="13"/>
  <c r="AU195" i="13"/>
  <c r="B196" i="13"/>
  <c r="E196" i="13"/>
  <c r="H196" i="13"/>
  <c r="I196" i="13"/>
  <c r="AQ196" i="13"/>
  <c r="AR196" i="13"/>
  <c r="AS196" i="13"/>
  <c r="AT196" i="13"/>
  <c r="AU196" i="13"/>
  <c r="B197" i="13"/>
  <c r="E197" i="13"/>
  <c r="H197" i="13"/>
  <c r="I197" i="13"/>
  <c r="AQ197" i="13"/>
  <c r="AR197" i="13"/>
  <c r="AS197" i="13"/>
  <c r="AT197" i="13"/>
  <c r="AU197" i="13"/>
  <c r="B198" i="13"/>
  <c r="E198" i="13"/>
  <c r="H198" i="13"/>
  <c r="I198" i="13"/>
  <c r="AQ198" i="13"/>
  <c r="AR198" i="13"/>
  <c r="AS198" i="13"/>
  <c r="AT198" i="13"/>
  <c r="AU198" i="13"/>
  <c r="B199" i="13"/>
  <c r="E199" i="13"/>
  <c r="H199" i="13"/>
  <c r="I199" i="13"/>
  <c r="AQ199" i="13"/>
  <c r="AR199" i="13"/>
  <c r="AS199" i="13"/>
  <c r="AT199" i="13"/>
  <c r="AU199" i="13"/>
  <c r="AA186" i="6"/>
  <c r="AC186" i="6"/>
  <c r="AB186" i="6"/>
  <c r="AA187" i="6"/>
  <c r="AC187" i="6"/>
  <c r="AB187" i="6"/>
  <c r="AA188" i="6"/>
  <c r="AC188" i="6"/>
  <c r="AB188" i="6"/>
  <c r="AA189" i="6"/>
  <c r="AC189" i="6"/>
  <c r="AB189" i="6"/>
  <c r="AA190" i="6"/>
  <c r="AC190" i="6"/>
  <c r="AB190" i="6"/>
  <c r="AA191" i="6"/>
  <c r="AC191" i="6"/>
  <c r="AB191" i="6"/>
  <c r="AA192" i="6"/>
  <c r="AC192" i="6"/>
  <c r="AB192" i="6"/>
  <c r="AA193" i="6"/>
  <c r="AC193" i="6"/>
  <c r="AB193" i="6"/>
  <c r="AA194" i="6"/>
  <c r="AC194" i="6"/>
  <c r="AB194" i="6"/>
  <c r="AA195" i="6"/>
  <c r="AC195" i="6"/>
  <c r="AB195" i="6"/>
  <c r="AA196" i="6"/>
  <c r="AC196" i="6"/>
  <c r="AB196" i="6"/>
  <c r="AA197" i="6"/>
  <c r="AC197" i="6"/>
  <c r="AB197" i="6"/>
  <c r="AA198" i="6"/>
  <c r="AB198" i="6"/>
  <c r="AC198" i="6"/>
  <c r="AA199" i="6"/>
  <c r="AC199" i="6"/>
  <c r="AB199" i="6"/>
  <c r="AA200" i="6"/>
  <c r="AC200" i="6"/>
  <c r="AB200" i="6"/>
  <c r="AA201" i="6"/>
  <c r="AC201" i="6"/>
  <c r="AB201" i="6"/>
  <c r="AA202" i="6"/>
  <c r="AC202" i="6"/>
  <c r="AB202" i="6"/>
  <c r="AA203" i="6"/>
  <c r="AC203" i="6"/>
  <c r="AB203" i="6"/>
  <c r="AA204" i="6"/>
  <c r="AC204" i="6"/>
  <c r="AB204" i="6"/>
  <c r="AA205" i="6"/>
  <c r="AC205" i="6"/>
  <c r="AB205" i="6"/>
  <c r="AA206" i="6"/>
  <c r="AC206" i="6"/>
  <c r="AB206" i="6"/>
  <c r="AA207" i="6"/>
  <c r="AB207" i="6"/>
  <c r="AC207" i="6"/>
  <c r="AA208" i="6"/>
  <c r="AC208" i="6"/>
  <c r="AB208" i="6"/>
  <c r="AA209" i="6"/>
  <c r="AC209" i="6"/>
  <c r="AB209" i="6"/>
  <c r="AA210" i="6"/>
  <c r="AC210" i="6"/>
  <c r="AB210" i="6"/>
  <c r="AA211" i="6"/>
  <c r="AC211" i="6"/>
  <c r="AB211" i="6"/>
  <c r="AA212" i="6"/>
  <c r="AC212" i="6"/>
  <c r="AB212" i="6"/>
  <c r="AA213" i="6"/>
  <c r="AC213" i="6"/>
  <c r="AB213" i="6"/>
  <c r="AA214" i="6"/>
  <c r="AB214" i="6"/>
  <c r="AA215" i="6"/>
  <c r="AC215" i="6"/>
  <c r="AB215" i="6"/>
  <c r="AA216" i="6"/>
  <c r="AC216" i="6"/>
  <c r="AB216" i="6"/>
  <c r="AA217" i="6"/>
  <c r="AB217" i="6"/>
  <c r="Z217" i="6"/>
  <c r="AA218" i="6"/>
  <c r="AB218" i="6"/>
  <c r="Z218" i="6"/>
  <c r="AA219" i="6"/>
  <c r="AC219" i="6"/>
  <c r="AB219" i="6"/>
  <c r="AA220" i="6"/>
  <c r="B220" i="6"/>
  <c r="AB220" i="6"/>
  <c r="AA221" i="6"/>
  <c r="AC221" i="6"/>
  <c r="AB221" i="6"/>
  <c r="AA222" i="6"/>
  <c r="AC222" i="6"/>
  <c r="AB222" i="6"/>
  <c r="AA223" i="6"/>
  <c r="AC223" i="6"/>
  <c r="AB223" i="6"/>
  <c r="AA224" i="6"/>
  <c r="AC224" i="6"/>
  <c r="AB224" i="6"/>
  <c r="AA225" i="6"/>
  <c r="B225" i="6"/>
  <c r="AB225" i="6"/>
  <c r="AA226" i="6"/>
  <c r="AC226" i="6"/>
  <c r="AB226" i="6"/>
  <c r="AA227" i="6"/>
  <c r="B227" i="6"/>
  <c r="AB227" i="6"/>
  <c r="AA228" i="6"/>
  <c r="AC228" i="6"/>
  <c r="AB228" i="6"/>
  <c r="AA229" i="6"/>
  <c r="B229" i="6"/>
  <c r="AB229" i="6"/>
  <c r="AA230" i="6"/>
  <c r="B230" i="6"/>
  <c r="AB230" i="6"/>
  <c r="AA231" i="6"/>
  <c r="B231" i="6"/>
  <c r="AB231" i="6"/>
  <c r="AA232" i="6"/>
  <c r="AC232" i="6"/>
  <c r="AB232" i="6"/>
  <c r="AA233" i="6"/>
  <c r="AC233" i="6"/>
  <c r="AB233" i="6"/>
  <c r="AA234" i="6"/>
  <c r="AC234" i="6"/>
  <c r="AB234" i="6"/>
  <c r="AA235" i="6"/>
  <c r="AC235" i="6"/>
  <c r="AB235" i="6"/>
  <c r="AA236" i="6"/>
  <c r="AC236" i="6"/>
  <c r="AB236" i="6"/>
  <c r="AA237" i="6"/>
  <c r="AC237" i="6"/>
  <c r="AB237" i="6"/>
  <c r="AA238" i="6"/>
  <c r="AC238" i="6"/>
  <c r="AB238" i="6"/>
  <c r="AA239" i="6"/>
  <c r="AC239" i="6"/>
  <c r="AB239" i="6"/>
  <c r="AA240" i="6"/>
  <c r="B240" i="6"/>
  <c r="AB240" i="6"/>
  <c r="AA241" i="6"/>
  <c r="B241" i="6"/>
  <c r="AB241" i="6"/>
  <c r="A8" i="5"/>
  <c r="R1" i="8"/>
  <c r="AA242" i="6"/>
  <c r="B242" i="6"/>
  <c r="AB242" i="6"/>
  <c r="AA243" i="6"/>
  <c r="AC243" i="6"/>
  <c r="AB243" i="6"/>
  <c r="AA244" i="6"/>
  <c r="AC244" i="6"/>
  <c r="AB244" i="6"/>
  <c r="AA245" i="6"/>
  <c r="AC245" i="6"/>
  <c r="AB245" i="6"/>
  <c r="AA246" i="6"/>
  <c r="B246" i="6"/>
  <c r="AB246" i="6"/>
  <c r="AA247" i="6"/>
  <c r="AC247" i="6"/>
  <c r="AB247" i="6"/>
  <c r="AA248" i="6"/>
  <c r="B248" i="6"/>
  <c r="AB248" i="6"/>
  <c r="AA249" i="6"/>
  <c r="AC249" i="6"/>
  <c r="AB249" i="6"/>
  <c r="AA250" i="6"/>
  <c r="AC250" i="6"/>
  <c r="AB250" i="6"/>
  <c r="AA251" i="6"/>
  <c r="AC251" i="6"/>
  <c r="AB251" i="6"/>
  <c r="AA253" i="6"/>
  <c r="AC253" i="6"/>
  <c r="AB253" i="6"/>
  <c r="AA254" i="6"/>
  <c r="AC254" i="6"/>
  <c r="AB254" i="6"/>
  <c r="AA255" i="6"/>
  <c r="AC255" i="6"/>
  <c r="AB255" i="6"/>
  <c r="Z189" i="6"/>
  <c r="C189" i="6"/>
  <c r="Z190" i="6"/>
  <c r="C190" i="6"/>
  <c r="Z65" i="6"/>
  <c r="AA65" i="6"/>
  <c r="AC65" i="6"/>
  <c r="AB65" i="6"/>
  <c r="Z66" i="6"/>
  <c r="AA66" i="6"/>
  <c r="B66" i="6"/>
  <c r="AC66" i="6"/>
  <c r="AB66" i="6"/>
  <c r="Z67" i="6"/>
  <c r="AA67" i="6"/>
  <c r="AC67" i="6"/>
  <c r="AB67" i="6"/>
  <c r="Z68" i="6"/>
  <c r="AA68" i="6"/>
  <c r="AC68" i="6"/>
  <c r="AB68" i="6"/>
  <c r="Z69" i="6"/>
  <c r="AA69" i="6"/>
  <c r="AC69" i="6"/>
  <c r="AB69" i="6"/>
  <c r="Z70" i="6"/>
  <c r="AA70" i="6"/>
  <c r="AC70" i="6"/>
  <c r="AB70" i="6"/>
  <c r="Z71" i="6"/>
  <c r="AA71" i="6"/>
  <c r="AC71" i="6"/>
  <c r="AB71" i="6"/>
  <c r="Z72" i="6"/>
  <c r="AA72" i="6"/>
  <c r="AC72" i="6"/>
  <c r="AB72" i="6"/>
  <c r="Z74" i="6"/>
  <c r="AA74" i="6"/>
  <c r="AC74" i="6"/>
  <c r="AB74" i="6"/>
  <c r="Z75" i="6"/>
  <c r="AA75" i="6"/>
  <c r="B75" i="6"/>
  <c r="AC75" i="6"/>
  <c r="AB75" i="6"/>
  <c r="Z76" i="6"/>
  <c r="AA76" i="6"/>
  <c r="AC76" i="6"/>
  <c r="AB76" i="6"/>
  <c r="Z77" i="6"/>
  <c r="AA77" i="6"/>
  <c r="AC77" i="6"/>
  <c r="AB77" i="6"/>
  <c r="Z78" i="6"/>
  <c r="AA78" i="6"/>
  <c r="AC78" i="6"/>
  <c r="AB78" i="6"/>
  <c r="Z79" i="6"/>
  <c r="AA79" i="6"/>
  <c r="B79" i="6"/>
  <c r="AC79" i="6"/>
  <c r="AB79" i="6"/>
  <c r="Z80" i="6"/>
  <c r="AA80" i="6"/>
  <c r="AC80" i="6"/>
  <c r="AB80" i="6"/>
  <c r="Z81" i="6"/>
  <c r="AA81" i="6"/>
  <c r="AC81" i="6"/>
  <c r="AB81" i="6"/>
  <c r="Z82" i="6"/>
  <c r="AA82" i="6"/>
  <c r="AC82" i="6"/>
  <c r="AB82" i="6"/>
  <c r="Z83" i="6"/>
  <c r="AA83" i="6"/>
  <c r="B83" i="6"/>
  <c r="AC83" i="6"/>
  <c r="AB83" i="6"/>
  <c r="Z85" i="6"/>
  <c r="AA85" i="6"/>
  <c r="AC85" i="6"/>
  <c r="AB85" i="6"/>
  <c r="Z86" i="6"/>
  <c r="AA86" i="6"/>
  <c r="AC86" i="6"/>
  <c r="AB86" i="6"/>
  <c r="Z87" i="6"/>
  <c r="AA87" i="6"/>
  <c r="AC87" i="6"/>
  <c r="AB87" i="6"/>
  <c r="Z88" i="6"/>
  <c r="AA88" i="6"/>
  <c r="B88" i="6"/>
  <c r="AC88" i="6"/>
  <c r="AB88" i="6"/>
  <c r="Z89" i="6"/>
  <c r="AA89" i="6"/>
  <c r="AC89" i="6"/>
  <c r="AB89" i="6"/>
  <c r="Z90" i="6"/>
  <c r="AA90" i="6"/>
  <c r="AC90" i="6"/>
  <c r="AB90" i="6"/>
  <c r="Z91" i="6"/>
  <c r="AA91" i="6"/>
  <c r="AC91" i="6"/>
  <c r="AB91" i="6"/>
  <c r="Z92" i="6"/>
  <c r="AA92" i="6"/>
  <c r="B92" i="6"/>
  <c r="AC92" i="6"/>
  <c r="AB92" i="6"/>
  <c r="Z93" i="6"/>
  <c r="AA93" i="6"/>
  <c r="AC93" i="6"/>
  <c r="AB93" i="6"/>
  <c r="Z94" i="6"/>
  <c r="AA94" i="6"/>
  <c r="AC94" i="6"/>
  <c r="AB94" i="6"/>
  <c r="Z95" i="6"/>
  <c r="AA95" i="6"/>
  <c r="AC95" i="6"/>
  <c r="AB95" i="6"/>
  <c r="Z96" i="6"/>
  <c r="AA96" i="6"/>
  <c r="B96" i="6"/>
  <c r="AC96" i="6"/>
  <c r="AB96" i="6"/>
  <c r="Z97" i="6"/>
  <c r="AA97" i="6"/>
  <c r="AC97" i="6"/>
  <c r="AB97" i="6"/>
  <c r="Z98" i="6"/>
  <c r="AA98" i="6"/>
  <c r="AC98" i="6"/>
  <c r="AB98" i="6"/>
  <c r="Z99" i="6"/>
  <c r="AA99" i="6"/>
  <c r="AC99" i="6"/>
  <c r="AB99" i="6"/>
  <c r="Z100" i="6"/>
  <c r="AA100" i="6"/>
  <c r="B100" i="6"/>
  <c r="AC100" i="6"/>
  <c r="AB100" i="6"/>
  <c r="Z101" i="6"/>
  <c r="AA101" i="6"/>
  <c r="AC101" i="6"/>
  <c r="AB101" i="6"/>
  <c r="Z102" i="6"/>
  <c r="AA102" i="6"/>
  <c r="AC102" i="6"/>
  <c r="AB102" i="6"/>
  <c r="Z103" i="6"/>
  <c r="AA103" i="6"/>
  <c r="AC103" i="6"/>
  <c r="AB103" i="6"/>
  <c r="Z104" i="6"/>
  <c r="AA104" i="6"/>
  <c r="B104" i="6"/>
  <c r="AC104" i="6"/>
  <c r="AB104" i="6"/>
  <c r="Z105" i="6"/>
  <c r="AA105" i="6"/>
  <c r="AC105" i="6"/>
  <c r="AB105" i="6"/>
  <c r="Z106" i="6"/>
  <c r="AA106" i="6"/>
  <c r="AC106" i="6"/>
  <c r="AB106" i="6"/>
  <c r="Z107" i="6"/>
  <c r="AA107" i="6"/>
  <c r="AC107" i="6"/>
  <c r="AB107" i="6"/>
  <c r="Z108" i="6"/>
  <c r="AA108" i="6"/>
  <c r="B108" i="6"/>
  <c r="AC108" i="6"/>
  <c r="AB108" i="6"/>
  <c r="Z109" i="6"/>
  <c r="AA109" i="6"/>
  <c r="AC109" i="6"/>
  <c r="AB109" i="6"/>
  <c r="Z110" i="6"/>
  <c r="AA110" i="6"/>
  <c r="B110" i="6"/>
  <c r="AC110" i="6"/>
  <c r="AB110" i="6"/>
  <c r="Z111" i="6"/>
  <c r="AA111" i="6"/>
  <c r="AC111" i="6"/>
  <c r="AB111" i="6"/>
  <c r="Z112" i="6"/>
  <c r="AA112" i="6"/>
  <c r="B112" i="6"/>
  <c r="AC112" i="6"/>
  <c r="AB112" i="6"/>
  <c r="Z113" i="6"/>
  <c r="AA113" i="6"/>
  <c r="AC113" i="6"/>
  <c r="AB113" i="6"/>
  <c r="Z114" i="6"/>
  <c r="AA114" i="6"/>
  <c r="AC114" i="6"/>
  <c r="AB114" i="6"/>
  <c r="Z115" i="6"/>
  <c r="AA115" i="6"/>
  <c r="AC115" i="6"/>
  <c r="AB115" i="6"/>
  <c r="Z116" i="6"/>
  <c r="AA116" i="6"/>
  <c r="B116" i="6"/>
  <c r="AC116" i="6"/>
  <c r="AB116" i="6"/>
  <c r="Z117" i="6"/>
  <c r="AA117" i="6"/>
  <c r="AC117" i="6"/>
  <c r="AB117" i="6"/>
  <c r="Z118" i="6"/>
  <c r="AA118" i="6"/>
  <c r="B118" i="6"/>
  <c r="AC118" i="6"/>
  <c r="AB118" i="6"/>
  <c r="Z119" i="6"/>
  <c r="AA119" i="6"/>
  <c r="AC119" i="6"/>
  <c r="AB119" i="6"/>
  <c r="Z120" i="6"/>
  <c r="AA120" i="6"/>
  <c r="B120" i="6"/>
  <c r="AC120" i="6"/>
  <c r="AB120" i="6"/>
  <c r="Z121" i="6"/>
  <c r="AA121" i="6"/>
  <c r="B121" i="6"/>
  <c r="AC121" i="6"/>
  <c r="AB121" i="6"/>
  <c r="Z122" i="6"/>
  <c r="AA122" i="6"/>
  <c r="AC122" i="6"/>
  <c r="AB122" i="6"/>
  <c r="Z123" i="6"/>
  <c r="AA123" i="6"/>
  <c r="AC123" i="6"/>
  <c r="AB123" i="6"/>
  <c r="Z124" i="6"/>
  <c r="AA124" i="6"/>
  <c r="B124" i="6"/>
  <c r="AC124" i="6"/>
  <c r="AB124" i="6"/>
  <c r="Z125" i="6"/>
  <c r="AA125" i="6"/>
  <c r="AC125" i="6"/>
  <c r="AB125" i="6"/>
  <c r="Z126" i="6"/>
  <c r="AA126" i="6"/>
  <c r="AC126" i="6"/>
  <c r="AB126" i="6"/>
  <c r="Z127" i="6"/>
  <c r="AA127" i="6"/>
  <c r="AC127" i="6"/>
  <c r="AB127" i="6"/>
  <c r="O128" i="6"/>
  <c r="AB128" i="6"/>
  <c r="AA128" i="6"/>
  <c r="AC128" i="6"/>
  <c r="Z129" i="6"/>
  <c r="AA129" i="6"/>
  <c r="AC129" i="6"/>
  <c r="AB129" i="6"/>
  <c r="Z130" i="6"/>
  <c r="AA130" i="6"/>
  <c r="AC130" i="6"/>
  <c r="AB130" i="6"/>
  <c r="Z131" i="6"/>
  <c r="AA131" i="6"/>
  <c r="AC131" i="6"/>
  <c r="AB131" i="6"/>
  <c r="Z132" i="6"/>
  <c r="AA132" i="6"/>
  <c r="AC132" i="6"/>
  <c r="AB132" i="6"/>
  <c r="Z133" i="6"/>
  <c r="AA133" i="6"/>
  <c r="AC133" i="6"/>
  <c r="AB133" i="6"/>
  <c r="Z134" i="6"/>
  <c r="AA134" i="6"/>
  <c r="AC134" i="6"/>
  <c r="AB134" i="6"/>
  <c r="Z135" i="6"/>
  <c r="AA135" i="6"/>
  <c r="B135" i="6"/>
  <c r="AC135" i="6"/>
  <c r="AB135" i="6"/>
  <c r="Z136" i="6"/>
  <c r="AA136" i="6"/>
  <c r="AC136" i="6"/>
  <c r="AB136" i="6"/>
  <c r="Z137" i="6"/>
  <c r="AA137" i="6"/>
  <c r="AC137" i="6"/>
  <c r="AB137" i="6"/>
  <c r="Z138" i="6"/>
  <c r="AA138" i="6"/>
  <c r="AC138" i="6"/>
  <c r="AB138" i="6"/>
  <c r="Z139" i="6"/>
  <c r="AA139" i="6"/>
  <c r="AC139" i="6"/>
  <c r="AB139" i="6"/>
  <c r="Z140" i="6"/>
  <c r="AA140" i="6"/>
  <c r="AC140" i="6"/>
  <c r="AB140" i="6"/>
  <c r="Z141" i="6"/>
  <c r="AA141" i="6"/>
  <c r="AC141" i="6"/>
  <c r="AB141" i="6"/>
  <c r="Z142" i="6"/>
  <c r="AA142" i="6"/>
  <c r="AC142" i="6"/>
  <c r="AB142" i="6"/>
  <c r="Z143" i="6"/>
  <c r="AA143" i="6"/>
  <c r="B143" i="6"/>
  <c r="AC143" i="6"/>
  <c r="AB143" i="6"/>
  <c r="Z144" i="6"/>
  <c r="AA144" i="6"/>
  <c r="AC144" i="6"/>
  <c r="AB144" i="6"/>
  <c r="Z145" i="6"/>
  <c r="AA145" i="6"/>
  <c r="AC145" i="6"/>
  <c r="AB145" i="6"/>
  <c r="Z146" i="6"/>
  <c r="AA146" i="6"/>
  <c r="AC146" i="6"/>
  <c r="AB146" i="6"/>
  <c r="Z147" i="6"/>
  <c r="AA147" i="6"/>
  <c r="AC147" i="6"/>
  <c r="AB147" i="6"/>
  <c r="Z148" i="6"/>
  <c r="AA148" i="6"/>
  <c r="AC148" i="6"/>
  <c r="AB148" i="6"/>
  <c r="Z149" i="6"/>
  <c r="AA149" i="6"/>
  <c r="AC149" i="6"/>
  <c r="AB149" i="6"/>
  <c r="Z150" i="6"/>
  <c r="AA150" i="6"/>
  <c r="AC150" i="6"/>
  <c r="AB150" i="6"/>
  <c r="Z151" i="6"/>
  <c r="AA151" i="6"/>
  <c r="AC151" i="6"/>
  <c r="AB151" i="6"/>
  <c r="Z152" i="6"/>
  <c r="AA152" i="6"/>
  <c r="AC152" i="6"/>
  <c r="AB152" i="6"/>
  <c r="Z153" i="6"/>
  <c r="AA153" i="6"/>
  <c r="AC153" i="6"/>
  <c r="AB153" i="6"/>
  <c r="Z154" i="6"/>
  <c r="AA154" i="6"/>
  <c r="AC154" i="6"/>
  <c r="AB154" i="6"/>
  <c r="Z155" i="6"/>
  <c r="AA155" i="6"/>
  <c r="AC155" i="6"/>
  <c r="AB155" i="6"/>
  <c r="Z156" i="6"/>
  <c r="AA156" i="6"/>
  <c r="AC156" i="6"/>
  <c r="AB156" i="6"/>
  <c r="Z157" i="6"/>
  <c r="AA157" i="6"/>
  <c r="AC157" i="6"/>
  <c r="AB157" i="6"/>
  <c r="Z158" i="6"/>
  <c r="AA158" i="6"/>
  <c r="AC158" i="6"/>
  <c r="AB158" i="6"/>
  <c r="Z159" i="6"/>
  <c r="AA159" i="6"/>
  <c r="AC159" i="6"/>
  <c r="AB159" i="6"/>
  <c r="Z160" i="6"/>
  <c r="AA160" i="6"/>
  <c r="AC160" i="6"/>
  <c r="AB160" i="6"/>
  <c r="Z161" i="6"/>
  <c r="AA161" i="6"/>
  <c r="AC161" i="6"/>
  <c r="AB161" i="6"/>
  <c r="Z162" i="6"/>
  <c r="AA162" i="6"/>
  <c r="AC162" i="6"/>
  <c r="AB162" i="6"/>
  <c r="Z163" i="6"/>
  <c r="AA163" i="6"/>
  <c r="AC163" i="6"/>
  <c r="AB163" i="6"/>
  <c r="Z164" i="6"/>
  <c r="AA164" i="6"/>
  <c r="AC164" i="6"/>
  <c r="AB164" i="6"/>
  <c r="Z165" i="6"/>
  <c r="AA165" i="6"/>
  <c r="AC165" i="6"/>
  <c r="AB165" i="6"/>
  <c r="Z166" i="6"/>
  <c r="AA166" i="6"/>
  <c r="AC166" i="6"/>
  <c r="AB166" i="6"/>
  <c r="Z167" i="6"/>
  <c r="AA167" i="6"/>
  <c r="AC167" i="6"/>
  <c r="AB167" i="6"/>
  <c r="Z168" i="6"/>
  <c r="AA168" i="6"/>
  <c r="AC168" i="6"/>
  <c r="AB168" i="6"/>
  <c r="Z169" i="6"/>
  <c r="AA169" i="6"/>
  <c r="B169" i="6"/>
  <c r="AC169" i="6"/>
  <c r="AB169" i="6"/>
  <c r="Z170" i="6"/>
  <c r="AA170" i="6"/>
  <c r="AC170" i="6"/>
  <c r="AB170" i="6"/>
  <c r="Z171" i="6"/>
  <c r="AA171" i="6"/>
  <c r="AC171" i="6"/>
  <c r="AB171" i="6"/>
  <c r="Z172" i="6"/>
  <c r="AA172" i="6"/>
  <c r="AC172" i="6"/>
  <c r="AB172" i="6"/>
  <c r="Z173" i="6"/>
  <c r="AA173" i="6"/>
  <c r="AC173" i="6"/>
  <c r="AB173" i="6"/>
  <c r="Z174" i="6"/>
  <c r="AA174" i="6"/>
  <c r="AC174" i="6"/>
  <c r="AB174" i="6"/>
  <c r="Z175" i="6"/>
  <c r="AA175" i="6"/>
  <c r="AC175" i="6"/>
  <c r="AB175" i="6"/>
  <c r="Z176" i="6"/>
  <c r="AA176" i="6"/>
  <c r="AC176" i="6"/>
  <c r="AB176" i="6"/>
  <c r="Z177" i="6"/>
  <c r="AA177" i="6"/>
  <c r="AC177" i="6"/>
  <c r="AB177" i="6"/>
  <c r="Z178" i="6"/>
  <c r="AA178" i="6"/>
  <c r="AC178" i="6"/>
  <c r="AB178" i="6"/>
  <c r="Z185" i="6"/>
  <c r="AA185" i="6"/>
  <c r="AC185" i="6"/>
  <c r="AB185" i="6"/>
  <c r="Z186" i="6"/>
  <c r="B186" i="6"/>
  <c r="Z187" i="6"/>
  <c r="Z188" i="6"/>
  <c r="Z191" i="6"/>
  <c r="Z192" i="6"/>
  <c r="Z193" i="6"/>
  <c r="Z194" i="6"/>
  <c r="B194" i="6"/>
  <c r="Z195" i="6"/>
  <c r="Z196" i="6"/>
  <c r="B196" i="6"/>
  <c r="Z197" i="6"/>
  <c r="Z198" i="6"/>
  <c r="B198" i="6"/>
  <c r="Z199" i="6"/>
  <c r="B199" i="6"/>
  <c r="Z200" i="6"/>
  <c r="Z201" i="6"/>
  <c r="Z202" i="6"/>
  <c r="Z203" i="6"/>
  <c r="B203" i="6"/>
  <c r="Z204" i="6"/>
  <c r="Z205" i="6"/>
  <c r="Z206" i="6"/>
  <c r="B206" i="6"/>
  <c r="Z207" i="6"/>
  <c r="B207" i="6"/>
  <c r="Z208" i="6"/>
  <c r="B208" i="6"/>
  <c r="Z209" i="6"/>
  <c r="Z210" i="6"/>
  <c r="Z211" i="6"/>
  <c r="Z212" i="6"/>
  <c r="Z213" i="6"/>
  <c r="Z214" i="6"/>
  <c r="Z215" i="6"/>
  <c r="Z216" i="6"/>
  <c r="Z219" i="6"/>
  <c r="Z220" i="6"/>
  <c r="Z221" i="6"/>
  <c r="Z222" i="6"/>
  <c r="B222" i="6"/>
  <c r="Z223" i="6"/>
  <c r="Z224" i="6"/>
  <c r="Z225" i="6"/>
  <c r="Z226" i="6"/>
  <c r="B226" i="6"/>
  <c r="Z227" i="6"/>
  <c r="Z228" i="6"/>
  <c r="Z229" i="6"/>
  <c r="Z230" i="6"/>
  <c r="Z231" i="6"/>
  <c r="Z232" i="6"/>
  <c r="B232" i="6"/>
  <c r="Z233" i="6"/>
  <c r="Z234" i="6"/>
  <c r="Z235" i="6"/>
  <c r="Z236" i="6"/>
  <c r="Z237" i="6"/>
  <c r="Z238" i="6"/>
  <c r="Z239" i="6"/>
  <c r="Z240" i="6"/>
  <c r="Z241" i="6"/>
  <c r="Z242" i="6"/>
  <c r="Z243" i="6"/>
  <c r="Z244" i="6"/>
  <c r="Z245" i="6"/>
  <c r="Z246" i="6"/>
  <c r="Z247" i="6"/>
  <c r="Z248" i="6"/>
  <c r="Z249" i="6"/>
  <c r="B249" i="6"/>
  <c r="Z250" i="6"/>
  <c r="Z251" i="6"/>
  <c r="Z253" i="6"/>
  <c r="Z254" i="6"/>
  <c r="Z255" i="6"/>
  <c r="CU3" i="7"/>
  <c r="CU2" i="7"/>
  <c r="CV3" i="7"/>
  <c r="CV2" i="7"/>
  <c r="CW3" i="7"/>
  <c r="CW2" i="7"/>
  <c r="CX3" i="7"/>
  <c r="CX2" i="7"/>
  <c r="CV4" i="7"/>
  <c r="CX4" i="7"/>
  <c r="C322" i="6"/>
  <c r="C323" i="6"/>
  <c r="C324" i="6"/>
  <c r="C325" i="6"/>
  <c r="C326" i="6"/>
  <c r="C327" i="6"/>
  <c r="CT3" i="7"/>
  <c r="CT2" i="7"/>
  <c r="CT4" i="7"/>
  <c r="W345" i="6"/>
  <c r="C345" i="6"/>
  <c r="W344" i="6"/>
  <c r="C344" i="6"/>
  <c r="I13" i="13"/>
  <c r="B160" i="13"/>
  <c r="B161" i="13"/>
  <c r="B162" i="13"/>
  <c r="B163" i="13"/>
  <c r="B164" i="13"/>
  <c r="B165" i="13"/>
  <c r="B166" i="13"/>
  <c r="B167" i="13"/>
  <c r="B168" i="13"/>
  <c r="B200" i="13"/>
  <c r="B150" i="13"/>
  <c r="B151" i="13"/>
  <c r="B152" i="13"/>
  <c r="B153" i="13"/>
  <c r="B154" i="13"/>
  <c r="B155" i="13"/>
  <c r="B156" i="13"/>
  <c r="B157" i="13"/>
  <c r="B158" i="13"/>
  <c r="B159" i="13"/>
  <c r="B146" i="13"/>
  <c r="B147" i="13"/>
  <c r="B148" i="13"/>
  <c r="B149" i="13"/>
  <c r="B137" i="13"/>
  <c r="B138" i="13"/>
  <c r="B139" i="13"/>
  <c r="B140" i="13"/>
  <c r="B141" i="13"/>
  <c r="B142" i="13"/>
  <c r="B143" i="13"/>
  <c r="B144" i="13"/>
  <c r="B145" i="13"/>
  <c r="B128" i="13"/>
  <c r="B129" i="13"/>
  <c r="B130" i="13"/>
  <c r="B131" i="13"/>
  <c r="B132" i="13"/>
  <c r="B133" i="13"/>
  <c r="B134" i="13"/>
  <c r="B135" i="13"/>
  <c r="B136" i="13"/>
  <c r="B119" i="13"/>
  <c r="B120" i="13"/>
  <c r="B121" i="13"/>
  <c r="B122" i="13"/>
  <c r="B123" i="13"/>
  <c r="B124" i="13"/>
  <c r="B125" i="13"/>
  <c r="B126" i="13"/>
  <c r="B127" i="13"/>
  <c r="B110" i="13"/>
  <c r="B111" i="13"/>
  <c r="B112" i="13"/>
  <c r="B113" i="13"/>
  <c r="B114" i="13"/>
  <c r="B115" i="13"/>
  <c r="B116" i="13"/>
  <c r="B117" i="13"/>
  <c r="B118" i="13"/>
  <c r="B105" i="13"/>
  <c r="B106" i="13"/>
  <c r="B107" i="13"/>
  <c r="B108" i="13"/>
  <c r="B109" i="13"/>
  <c r="B102" i="13"/>
  <c r="B103" i="13"/>
  <c r="B104" i="13"/>
  <c r="B25" i="13"/>
  <c r="B14" i="13"/>
  <c r="B15" i="13"/>
  <c r="B16" i="13"/>
  <c r="B17" i="13"/>
  <c r="B18" i="13"/>
  <c r="B19" i="13"/>
  <c r="B20" i="13"/>
  <c r="B21" i="13"/>
  <c r="B22" i="13"/>
  <c r="B23" i="13"/>
  <c r="B24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AU13" i="13"/>
  <c r="AT13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64" i="13"/>
  <c r="B365" i="13"/>
  <c r="B366" i="13"/>
  <c r="B367" i="13"/>
  <c r="B368" i="13"/>
  <c r="B369" i="13"/>
  <c r="B370" i="13"/>
  <c r="B371" i="13"/>
  <c r="B372" i="13"/>
  <c r="B373" i="13"/>
  <c r="B374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408" i="13"/>
  <c r="D4" i="7"/>
  <c r="E4" i="7"/>
  <c r="G4" i="7"/>
  <c r="H4" i="7"/>
  <c r="I4" i="7"/>
  <c r="J4" i="7"/>
  <c r="L4" i="7"/>
  <c r="M4" i="7"/>
  <c r="N4" i="7"/>
  <c r="O4" i="7"/>
  <c r="R4" i="7"/>
  <c r="S4" i="7"/>
  <c r="T4" i="7"/>
  <c r="V4" i="7"/>
  <c r="W4" i="7"/>
  <c r="X4" i="7"/>
  <c r="Y4" i="7"/>
  <c r="Z4" i="7"/>
  <c r="AA4" i="7"/>
  <c r="AB4" i="7"/>
  <c r="AC4" i="7"/>
  <c r="AD4" i="7"/>
  <c r="B259" i="13"/>
  <c r="AY4" i="13"/>
  <c r="AY5" i="13"/>
  <c r="AY3" i="13"/>
  <c r="B257" i="13"/>
  <c r="B258" i="13"/>
  <c r="B260" i="13"/>
  <c r="E13" i="13"/>
  <c r="H13" i="13"/>
  <c r="AP13" i="13"/>
  <c r="AQ13" i="13"/>
  <c r="AR13" i="13"/>
  <c r="AS13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C237" i="6"/>
  <c r="P6" i="8"/>
  <c r="O1" i="8"/>
  <c r="Q1" i="8"/>
  <c r="N3" i="8"/>
  <c r="O3" i="8"/>
  <c r="O2" i="8"/>
  <c r="P3" i="8"/>
  <c r="Q3" i="8"/>
  <c r="Q2" i="8"/>
  <c r="R3" i="8"/>
  <c r="R2" i="8"/>
  <c r="N6" i="8"/>
  <c r="C220" i="6"/>
  <c r="W220" i="6"/>
  <c r="C235" i="6"/>
  <c r="C228" i="6"/>
  <c r="X1" i="8"/>
  <c r="C226" i="6"/>
  <c r="W224" i="6"/>
  <c r="C224" i="6"/>
  <c r="W222" i="6"/>
  <c r="C222" i="6"/>
  <c r="W247" i="6"/>
  <c r="C247" i="6"/>
  <c r="W223" i="6"/>
  <c r="C223" i="6"/>
  <c r="C218" i="6"/>
  <c r="C225" i="6"/>
  <c r="C248" i="6"/>
  <c r="W246" i="6"/>
  <c r="C246" i="6"/>
  <c r="W221" i="6"/>
  <c r="C221" i="6"/>
  <c r="W219" i="6"/>
  <c r="C219" i="6"/>
  <c r="C245" i="6"/>
  <c r="C244" i="6"/>
  <c r="C243" i="6"/>
  <c r="C242" i="6"/>
  <c r="C241" i="6"/>
  <c r="C240" i="6"/>
  <c r="C239" i="6"/>
  <c r="C236" i="6"/>
  <c r="C234" i="6"/>
  <c r="C231" i="6"/>
  <c r="C233" i="6"/>
  <c r="C232" i="6"/>
  <c r="C230" i="6"/>
  <c r="C249" i="6"/>
  <c r="C229" i="6"/>
  <c r="C227" i="6"/>
  <c r="C217" i="6"/>
  <c r="C216" i="6"/>
  <c r="C268" i="6"/>
  <c r="W268" i="6"/>
  <c r="C112" i="6"/>
  <c r="C111" i="6"/>
  <c r="W132" i="6"/>
  <c r="C132" i="6"/>
  <c r="C187" i="6"/>
  <c r="C1" i="8"/>
  <c r="E1" i="8"/>
  <c r="B3" i="8"/>
  <c r="C3" i="8"/>
  <c r="C2" i="8"/>
  <c r="D3" i="8"/>
  <c r="E3" i="8"/>
  <c r="E2" i="8"/>
  <c r="L854" i="16"/>
  <c r="L853" i="16"/>
  <c r="L852" i="16"/>
  <c r="L851" i="16"/>
  <c r="L850" i="16"/>
  <c r="L849" i="16"/>
  <c r="L848" i="16"/>
  <c r="L847" i="16"/>
  <c r="L846" i="16"/>
  <c r="L845" i="16"/>
  <c r="L844" i="16"/>
  <c r="L843" i="16"/>
  <c r="L842" i="16"/>
  <c r="L841" i="16"/>
  <c r="L840" i="16"/>
  <c r="L839" i="16"/>
  <c r="L838" i="16"/>
  <c r="L837" i="16"/>
  <c r="L836" i="16"/>
  <c r="L835" i="16"/>
  <c r="L834" i="16"/>
  <c r="L833" i="16"/>
  <c r="L832" i="16"/>
  <c r="L831" i="16"/>
  <c r="L830" i="16"/>
  <c r="L829" i="16"/>
  <c r="L828" i="16"/>
  <c r="L827" i="16"/>
  <c r="L826" i="16"/>
  <c r="L825" i="16"/>
  <c r="L824" i="16"/>
  <c r="L823" i="16"/>
  <c r="L822" i="16"/>
  <c r="L821" i="16"/>
  <c r="L820" i="16"/>
  <c r="L819" i="16"/>
  <c r="L818" i="16"/>
  <c r="L817" i="16"/>
  <c r="L816" i="16"/>
  <c r="L815" i="16"/>
  <c r="L814" i="16"/>
  <c r="L813" i="16"/>
  <c r="L812" i="16"/>
  <c r="L811" i="16"/>
  <c r="L810" i="16"/>
  <c r="L809" i="16"/>
  <c r="L808" i="16"/>
  <c r="L807" i="16"/>
  <c r="L806" i="16"/>
  <c r="L805" i="16"/>
  <c r="L804" i="16"/>
  <c r="L803" i="16"/>
  <c r="L802" i="16"/>
  <c r="L801" i="16"/>
  <c r="L800" i="16"/>
  <c r="L799" i="16"/>
  <c r="L798" i="16"/>
  <c r="L797" i="16"/>
  <c r="L796" i="16"/>
  <c r="L795" i="16"/>
  <c r="L794" i="16"/>
  <c r="L793" i="16"/>
  <c r="L792" i="16"/>
  <c r="L791" i="16"/>
  <c r="L790" i="16"/>
  <c r="L789" i="16"/>
  <c r="L788" i="16"/>
  <c r="L787" i="16"/>
  <c r="L786" i="16"/>
  <c r="L785" i="16"/>
  <c r="L784" i="16"/>
  <c r="L783" i="16"/>
  <c r="L782" i="16"/>
  <c r="L781" i="16"/>
  <c r="L780" i="16"/>
  <c r="L779" i="16"/>
  <c r="L778" i="16"/>
  <c r="L777" i="16"/>
  <c r="L776" i="16"/>
  <c r="L775" i="16"/>
  <c r="L774" i="16"/>
  <c r="L773" i="16"/>
  <c r="L772" i="16"/>
  <c r="L771" i="16"/>
  <c r="L770" i="16"/>
  <c r="L769" i="16"/>
  <c r="L768" i="16"/>
  <c r="L767" i="16"/>
  <c r="L766" i="16"/>
  <c r="L765" i="16"/>
  <c r="L764" i="16"/>
  <c r="L763" i="16"/>
  <c r="L762" i="16"/>
  <c r="L761" i="16"/>
  <c r="L760" i="16"/>
  <c r="L759" i="16"/>
  <c r="L758" i="16"/>
  <c r="L757" i="16"/>
  <c r="L756" i="16"/>
  <c r="L755" i="16"/>
  <c r="L754" i="16"/>
  <c r="L753" i="16"/>
  <c r="L752" i="16"/>
  <c r="L751" i="16"/>
  <c r="L750" i="16"/>
  <c r="L749" i="16"/>
  <c r="L748" i="16"/>
  <c r="L747" i="16"/>
  <c r="L746" i="16"/>
  <c r="L745" i="16"/>
  <c r="L744" i="16"/>
  <c r="L743" i="16"/>
  <c r="L742" i="16"/>
  <c r="L741" i="16"/>
  <c r="L740" i="16"/>
  <c r="L739" i="16"/>
  <c r="L738" i="16"/>
  <c r="L737" i="16"/>
  <c r="L736" i="16"/>
  <c r="L735" i="16"/>
  <c r="L734" i="16"/>
  <c r="L733" i="16"/>
  <c r="L732" i="16"/>
  <c r="L731" i="16"/>
  <c r="L730" i="16"/>
  <c r="L729" i="16"/>
  <c r="L728" i="16"/>
  <c r="L727" i="16"/>
  <c r="L726" i="16"/>
  <c r="L725" i="16"/>
  <c r="L724" i="16"/>
  <c r="L723" i="16"/>
  <c r="L722" i="16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L2" i="16"/>
  <c r="A452" i="17"/>
  <c r="Y452" i="17"/>
  <c r="X452" i="17"/>
  <c r="W452" i="17"/>
  <c r="V452" i="17"/>
  <c r="U452" i="17"/>
  <c r="T452" i="17"/>
  <c r="S452" i="17"/>
  <c r="R452" i="17"/>
  <c r="Q452" i="17"/>
  <c r="P452" i="17"/>
  <c r="O452" i="17"/>
  <c r="N452" i="17"/>
  <c r="M452" i="17"/>
  <c r="L452" i="17"/>
  <c r="K452" i="17"/>
  <c r="J452" i="17"/>
  <c r="I452" i="17"/>
  <c r="H452" i="17"/>
  <c r="G452" i="17"/>
  <c r="F452" i="17"/>
  <c r="E452" i="17"/>
  <c r="D452" i="17"/>
  <c r="C452" i="17"/>
  <c r="B452" i="17"/>
  <c r="A451" i="17"/>
  <c r="Y451" i="17"/>
  <c r="X451" i="17"/>
  <c r="W451" i="17"/>
  <c r="V451" i="17"/>
  <c r="U451" i="17"/>
  <c r="T451" i="17"/>
  <c r="S451" i="17"/>
  <c r="R451" i="17"/>
  <c r="Q451" i="17"/>
  <c r="P451" i="17"/>
  <c r="O451" i="17"/>
  <c r="N451" i="17"/>
  <c r="M451" i="17"/>
  <c r="L451" i="17"/>
  <c r="K451" i="17"/>
  <c r="J451" i="17"/>
  <c r="I451" i="17"/>
  <c r="H451" i="17"/>
  <c r="G451" i="17"/>
  <c r="F451" i="17"/>
  <c r="E451" i="17"/>
  <c r="D451" i="17"/>
  <c r="C451" i="17"/>
  <c r="B451" i="17"/>
  <c r="A450" i="17"/>
  <c r="Y450" i="17"/>
  <c r="X450" i="17"/>
  <c r="W450" i="17"/>
  <c r="V450" i="17"/>
  <c r="U450" i="17"/>
  <c r="T450" i="17"/>
  <c r="S450" i="17"/>
  <c r="R450" i="17"/>
  <c r="Q450" i="17"/>
  <c r="P450" i="17"/>
  <c r="O450" i="17"/>
  <c r="N450" i="17"/>
  <c r="M450" i="17"/>
  <c r="L450" i="17"/>
  <c r="K450" i="17"/>
  <c r="J450" i="17"/>
  <c r="I450" i="17"/>
  <c r="H450" i="17"/>
  <c r="G450" i="17"/>
  <c r="F450" i="17"/>
  <c r="E450" i="17"/>
  <c r="D450" i="17"/>
  <c r="C450" i="17"/>
  <c r="B450" i="17"/>
  <c r="A449" i="17"/>
  <c r="Y449" i="17"/>
  <c r="X449" i="17"/>
  <c r="W449" i="17"/>
  <c r="V449" i="17"/>
  <c r="U449" i="17"/>
  <c r="T449" i="17"/>
  <c r="S449" i="17"/>
  <c r="R449" i="17"/>
  <c r="Q449" i="17"/>
  <c r="P449" i="17"/>
  <c r="O449" i="17"/>
  <c r="N449" i="17"/>
  <c r="M449" i="17"/>
  <c r="L449" i="17"/>
  <c r="K449" i="17"/>
  <c r="J449" i="17"/>
  <c r="I449" i="17"/>
  <c r="H449" i="17"/>
  <c r="G449" i="17"/>
  <c r="F449" i="17"/>
  <c r="E449" i="17"/>
  <c r="D449" i="17"/>
  <c r="C449" i="17"/>
  <c r="B449" i="17"/>
  <c r="A448" i="17"/>
  <c r="Y448" i="17"/>
  <c r="X448" i="17"/>
  <c r="W448" i="17"/>
  <c r="V448" i="17"/>
  <c r="U448" i="17"/>
  <c r="T448" i="17"/>
  <c r="S448" i="17"/>
  <c r="R448" i="17"/>
  <c r="Q448" i="17"/>
  <c r="P448" i="17"/>
  <c r="O448" i="17"/>
  <c r="N448" i="17"/>
  <c r="M448" i="17"/>
  <c r="L448" i="17"/>
  <c r="K448" i="17"/>
  <c r="J448" i="17"/>
  <c r="I448" i="17"/>
  <c r="H448" i="17"/>
  <c r="G448" i="17"/>
  <c r="F448" i="17"/>
  <c r="E448" i="17"/>
  <c r="D448" i="17"/>
  <c r="C448" i="17"/>
  <c r="B448" i="17"/>
  <c r="A447" i="17"/>
  <c r="Y447" i="17"/>
  <c r="X447" i="17"/>
  <c r="W447" i="17"/>
  <c r="V447" i="17"/>
  <c r="U447" i="17"/>
  <c r="T447" i="17"/>
  <c r="S447" i="17"/>
  <c r="R447" i="17"/>
  <c r="Q447" i="17"/>
  <c r="P447" i="17"/>
  <c r="O447" i="17"/>
  <c r="N447" i="17"/>
  <c r="M447" i="17"/>
  <c r="L447" i="17"/>
  <c r="K447" i="17"/>
  <c r="J447" i="17"/>
  <c r="I447" i="17"/>
  <c r="H447" i="17"/>
  <c r="G447" i="17"/>
  <c r="F447" i="17"/>
  <c r="E447" i="17"/>
  <c r="D447" i="17"/>
  <c r="C447" i="17"/>
  <c r="B447" i="17"/>
  <c r="A446" i="17"/>
  <c r="Y446" i="17"/>
  <c r="X446" i="17"/>
  <c r="W446" i="17"/>
  <c r="V446" i="17"/>
  <c r="U446" i="17"/>
  <c r="T446" i="17"/>
  <c r="S446" i="17"/>
  <c r="R446" i="17"/>
  <c r="Q446" i="17"/>
  <c r="P446" i="17"/>
  <c r="O446" i="17"/>
  <c r="N446" i="17"/>
  <c r="M446" i="17"/>
  <c r="L446" i="17"/>
  <c r="K446" i="17"/>
  <c r="J446" i="17"/>
  <c r="I446" i="17"/>
  <c r="H446" i="17"/>
  <c r="G446" i="17"/>
  <c r="F446" i="17"/>
  <c r="E446" i="17"/>
  <c r="D446" i="17"/>
  <c r="C446" i="17"/>
  <c r="B446" i="17"/>
  <c r="A445" i="17"/>
  <c r="Y445" i="17"/>
  <c r="X445" i="17"/>
  <c r="W445" i="17"/>
  <c r="V445" i="17"/>
  <c r="U445" i="17"/>
  <c r="T445" i="17"/>
  <c r="S445" i="17"/>
  <c r="R445" i="17"/>
  <c r="Q445" i="17"/>
  <c r="P445" i="17"/>
  <c r="O445" i="17"/>
  <c r="N445" i="17"/>
  <c r="M445" i="17"/>
  <c r="L445" i="17"/>
  <c r="K445" i="17"/>
  <c r="J445" i="17"/>
  <c r="I445" i="17"/>
  <c r="H445" i="17"/>
  <c r="G445" i="17"/>
  <c r="F445" i="17"/>
  <c r="E445" i="17"/>
  <c r="D445" i="17"/>
  <c r="C445" i="17"/>
  <c r="B445" i="17"/>
  <c r="A444" i="17"/>
  <c r="Y444" i="17"/>
  <c r="X444" i="17"/>
  <c r="W444" i="17"/>
  <c r="V444" i="17"/>
  <c r="U444" i="17"/>
  <c r="T444" i="17"/>
  <c r="S444" i="17"/>
  <c r="R444" i="17"/>
  <c r="Q444" i="17"/>
  <c r="P444" i="17"/>
  <c r="O444" i="17"/>
  <c r="N444" i="17"/>
  <c r="M444" i="17"/>
  <c r="L444" i="17"/>
  <c r="K444" i="17"/>
  <c r="J444" i="17"/>
  <c r="I444" i="17"/>
  <c r="H444" i="17"/>
  <c r="G444" i="17"/>
  <c r="F444" i="17"/>
  <c r="E444" i="17"/>
  <c r="D444" i="17"/>
  <c r="C444" i="17"/>
  <c r="B444" i="17"/>
  <c r="A443" i="17"/>
  <c r="Y443" i="17"/>
  <c r="X443" i="17"/>
  <c r="W443" i="17"/>
  <c r="V443" i="17"/>
  <c r="U443" i="17"/>
  <c r="T443" i="17"/>
  <c r="S443" i="17"/>
  <c r="R443" i="17"/>
  <c r="Q443" i="17"/>
  <c r="P443" i="17"/>
  <c r="O443" i="17"/>
  <c r="N443" i="17"/>
  <c r="M443" i="17"/>
  <c r="L443" i="17"/>
  <c r="K443" i="17"/>
  <c r="J443" i="17"/>
  <c r="I443" i="17"/>
  <c r="H443" i="17"/>
  <c r="G443" i="17"/>
  <c r="F443" i="17"/>
  <c r="E443" i="17"/>
  <c r="D443" i="17"/>
  <c r="C443" i="17"/>
  <c r="B443" i="17"/>
  <c r="A442" i="17"/>
  <c r="Y442" i="17"/>
  <c r="X442" i="17"/>
  <c r="W442" i="17"/>
  <c r="V442" i="17"/>
  <c r="U442" i="17"/>
  <c r="T442" i="17"/>
  <c r="S442" i="17"/>
  <c r="R442" i="17"/>
  <c r="Q442" i="17"/>
  <c r="P442" i="17"/>
  <c r="O442" i="17"/>
  <c r="N442" i="17"/>
  <c r="M442" i="17"/>
  <c r="L442" i="17"/>
  <c r="K442" i="17"/>
  <c r="J442" i="17"/>
  <c r="I442" i="17"/>
  <c r="H442" i="17"/>
  <c r="G442" i="17"/>
  <c r="F442" i="17"/>
  <c r="E442" i="17"/>
  <c r="D442" i="17"/>
  <c r="C442" i="17"/>
  <c r="B442" i="17"/>
  <c r="A441" i="17"/>
  <c r="Y441" i="17"/>
  <c r="X441" i="17"/>
  <c r="W441" i="17"/>
  <c r="V441" i="17"/>
  <c r="U441" i="17"/>
  <c r="T441" i="17"/>
  <c r="S441" i="17"/>
  <c r="R441" i="17"/>
  <c r="Q441" i="17"/>
  <c r="P441" i="17"/>
  <c r="O441" i="17"/>
  <c r="N441" i="17"/>
  <c r="M441" i="17"/>
  <c r="L441" i="17"/>
  <c r="K441" i="17"/>
  <c r="J441" i="17"/>
  <c r="I441" i="17"/>
  <c r="H441" i="17"/>
  <c r="G441" i="17"/>
  <c r="F441" i="17"/>
  <c r="E441" i="17"/>
  <c r="D441" i="17"/>
  <c r="C441" i="17"/>
  <c r="B441" i="17"/>
  <c r="A440" i="17"/>
  <c r="Y440" i="17"/>
  <c r="X440" i="17"/>
  <c r="W440" i="17"/>
  <c r="V440" i="17"/>
  <c r="U440" i="17"/>
  <c r="T440" i="17"/>
  <c r="S440" i="17"/>
  <c r="R440" i="17"/>
  <c r="Q440" i="17"/>
  <c r="P440" i="17"/>
  <c r="O440" i="17"/>
  <c r="N440" i="17"/>
  <c r="M440" i="17"/>
  <c r="L440" i="17"/>
  <c r="K440" i="17"/>
  <c r="J440" i="17"/>
  <c r="I440" i="17"/>
  <c r="H440" i="17"/>
  <c r="G440" i="17"/>
  <c r="F440" i="17"/>
  <c r="E440" i="17"/>
  <c r="D440" i="17"/>
  <c r="C440" i="17"/>
  <c r="B440" i="17"/>
  <c r="A439" i="17"/>
  <c r="Y439" i="17"/>
  <c r="X439" i="17"/>
  <c r="W439" i="17"/>
  <c r="V439" i="17"/>
  <c r="U439" i="17"/>
  <c r="T439" i="17"/>
  <c r="S439" i="17"/>
  <c r="R439" i="17"/>
  <c r="Q439" i="17"/>
  <c r="P439" i="17"/>
  <c r="O439" i="17"/>
  <c r="N439" i="17"/>
  <c r="M439" i="17"/>
  <c r="L439" i="17"/>
  <c r="K439" i="17"/>
  <c r="J439" i="17"/>
  <c r="I439" i="17"/>
  <c r="H439" i="17"/>
  <c r="G439" i="17"/>
  <c r="F439" i="17"/>
  <c r="E439" i="17"/>
  <c r="D439" i="17"/>
  <c r="C439" i="17"/>
  <c r="B439" i="17"/>
  <c r="A438" i="17"/>
  <c r="Y438" i="17"/>
  <c r="X438" i="17"/>
  <c r="W438" i="17"/>
  <c r="V438" i="17"/>
  <c r="U438" i="17"/>
  <c r="T438" i="17"/>
  <c r="S438" i="17"/>
  <c r="R438" i="17"/>
  <c r="Q438" i="17"/>
  <c r="P438" i="17"/>
  <c r="O438" i="17"/>
  <c r="N438" i="17"/>
  <c r="M438" i="17"/>
  <c r="L438" i="17"/>
  <c r="K438" i="17"/>
  <c r="J438" i="17"/>
  <c r="I438" i="17"/>
  <c r="H438" i="17"/>
  <c r="G438" i="17"/>
  <c r="F438" i="17"/>
  <c r="E438" i="17"/>
  <c r="D438" i="17"/>
  <c r="C438" i="17"/>
  <c r="B438" i="17"/>
  <c r="A437" i="17"/>
  <c r="Y437" i="17"/>
  <c r="X437" i="17"/>
  <c r="W437" i="17"/>
  <c r="V437" i="17"/>
  <c r="U437" i="17"/>
  <c r="T437" i="17"/>
  <c r="S437" i="17"/>
  <c r="R437" i="17"/>
  <c r="Q437" i="17"/>
  <c r="P437" i="17"/>
  <c r="O437" i="17"/>
  <c r="N437" i="17"/>
  <c r="M437" i="17"/>
  <c r="L437" i="17"/>
  <c r="K437" i="17"/>
  <c r="J437" i="17"/>
  <c r="I437" i="17"/>
  <c r="H437" i="17"/>
  <c r="G437" i="17"/>
  <c r="F437" i="17"/>
  <c r="E437" i="17"/>
  <c r="D437" i="17"/>
  <c r="C437" i="17"/>
  <c r="B437" i="17"/>
  <c r="A436" i="17"/>
  <c r="Y436" i="17"/>
  <c r="X436" i="17"/>
  <c r="W436" i="17"/>
  <c r="V436" i="17"/>
  <c r="U436" i="17"/>
  <c r="T436" i="17"/>
  <c r="S436" i="17"/>
  <c r="R436" i="17"/>
  <c r="Q436" i="17"/>
  <c r="P436" i="17"/>
  <c r="O436" i="17"/>
  <c r="N436" i="17"/>
  <c r="M436" i="17"/>
  <c r="L436" i="17"/>
  <c r="K436" i="17"/>
  <c r="J436" i="17"/>
  <c r="I436" i="17"/>
  <c r="H436" i="17"/>
  <c r="G436" i="17"/>
  <c r="F436" i="17"/>
  <c r="E436" i="17"/>
  <c r="D436" i="17"/>
  <c r="C436" i="17"/>
  <c r="B436" i="17"/>
  <c r="A435" i="17"/>
  <c r="Y435" i="17"/>
  <c r="X435" i="17"/>
  <c r="W435" i="17"/>
  <c r="V435" i="17"/>
  <c r="U435" i="17"/>
  <c r="T435" i="17"/>
  <c r="S435" i="17"/>
  <c r="R435" i="17"/>
  <c r="Q435" i="17"/>
  <c r="P435" i="17"/>
  <c r="O435" i="17"/>
  <c r="N435" i="17"/>
  <c r="M435" i="17"/>
  <c r="L435" i="17"/>
  <c r="K435" i="17"/>
  <c r="J435" i="17"/>
  <c r="I435" i="17"/>
  <c r="H435" i="17"/>
  <c r="G435" i="17"/>
  <c r="F435" i="17"/>
  <c r="E435" i="17"/>
  <c r="D435" i="17"/>
  <c r="C435" i="17"/>
  <c r="B435" i="17"/>
  <c r="A434" i="17"/>
  <c r="Y434" i="17"/>
  <c r="X434" i="17"/>
  <c r="W434" i="17"/>
  <c r="V434" i="17"/>
  <c r="U434" i="17"/>
  <c r="T434" i="17"/>
  <c r="S434" i="17"/>
  <c r="R434" i="17"/>
  <c r="Q434" i="17"/>
  <c r="P434" i="17"/>
  <c r="O434" i="17"/>
  <c r="N434" i="17"/>
  <c r="M434" i="17"/>
  <c r="L434" i="17"/>
  <c r="K434" i="17"/>
  <c r="J434" i="17"/>
  <c r="I434" i="17"/>
  <c r="H434" i="17"/>
  <c r="G434" i="17"/>
  <c r="F434" i="17"/>
  <c r="E434" i="17"/>
  <c r="D434" i="17"/>
  <c r="C434" i="17"/>
  <c r="B434" i="17"/>
  <c r="A433" i="17"/>
  <c r="Y433" i="17"/>
  <c r="X433" i="17"/>
  <c r="W433" i="17"/>
  <c r="V433" i="17"/>
  <c r="U433" i="17"/>
  <c r="T433" i="17"/>
  <c r="S433" i="17"/>
  <c r="R433" i="17"/>
  <c r="Q433" i="17"/>
  <c r="P433" i="17"/>
  <c r="O433" i="17"/>
  <c r="N433" i="17"/>
  <c r="M433" i="17"/>
  <c r="L433" i="17"/>
  <c r="K433" i="17"/>
  <c r="J433" i="17"/>
  <c r="I433" i="17"/>
  <c r="H433" i="17"/>
  <c r="G433" i="17"/>
  <c r="F433" i="17"/>
  <c r="E433" i="17"/>
  <c r="D433" i="17"/>
  <c r="C433" i="17"/>
  <c r="B433" i="17"/>
  <c r="A432" i="17"/>
  <c r="Y432" i="17"/>
  <c r="X432" i="17"/>
  <c r="W432" i="17"/>
  <c r="V432" i="17"/>
  <c r="U432" i="17"/>
  <c r="T432" i="17"/>
  <c r="S432" i="17"/>
  <c r="R432" i="17"/>
  <c r="Q432" i="17"/>
  <c r="P432" i="17"/>
  <c r="O432" i="17"/>
  <c r="N432" i="17"/>
  <c r="M432" i="17"/>
  <c r="L432" i="17"/>
  <c r="K432" i="17"/>
  <c r="J432" i="17"/>
  <c r="I432" i="17"/>
  <c r="H432" i="17"/>
  <c r="G432" i="17"/>
  <c r="F432" i="17"/>
  <c r="E432" i="17"/>
  <c r="D432" i="17"/>
  <c r="C432" i="17"/>
  <c r="B432" i="17"/>
  <c r="A431" i="17"/>
  <c r="Y431" i="17"/>
  <c r="X431" i="17"/>
  <c r="W431" i="17"/>
  <c r="V431" i="17"/>
  <c r="U431" i="17"/>
  <c r="T431" i="17"/>
  <c r="S431" i="17"/>
  <c r="R431" i="17"/>
  <c r="Q431" i="17"/>
  <c r="P431" i="17"/>
  <c r="O431" i="17"/>
  <c r="N431" i="17"/>
  <c r="M431" i="17"/>
  <c r="L431" i="17"/>
  <c r="K431" i="17"/>
  <c r="J431" i="17"/>
  <c r="I431" i="17"/>
  <c r="H431" i="17"/>
  <c r="G431" i="17"/>
  <c r="F431" i="17"/>
  <c r="E431" i="17"/>
  <c r="D431" i="17"/>
  <c r="C431" i="17"/>
  <c r="B431" i="17"/>
  <c r="A430" i="17"/>
  <c r="Y430" i="17"/>
  <c r="X430" i="17"/>
  <c r="W430" i="17"/>
  <c r="V430" i="17"/>
  <c r="U430" i="17"/>
  <c r="T430" i="17"/>
  <c r="S430" i="17"/>
  <c r="R430" i="17"/>
  <c r="Q430" i="17"/>
  <c r="P430" i="17"/>
  <c r="O430" i="17"/>
  <c r="N430" i="17"/>
  <c r="M430" i="17"/>
  <c r="L430" i="17"/>
  <c r="K430" i="17"/>
  <c r="J430" i="17"/>
  <c r="I430" i="17"/>
  <c r="H430" i="17"/>
  <c r="G430" i="17"/>
  <c r="F430" i="17"/>
  <c r="E430" i="17"/>
  <c r="D430" i="17"/>
  <c r="C430" i="17"/>
  <c r="B430" i="17"/>
  <c r="A429" i="17"/>
  <c r="Y429" i="17"/>
  <c r="X429" i="17"/>
  <c r="W429" i="17"/>
  <c r="V429" i="17"/>
  <c r="U429" i="17"/>
  <c r="T429" i="17"/>
  <c r="S429" i="17"/>
  <c r="R429" i="17"/>
  <c r="Q429" i="17"/>
  <c r="P429" i="17"/>
  <c r="O429" i="17"/>
  <c r="N429" i="17"/>
  <c r="M429" i="17"/>
  <c r="L429" i="17"/>
  <c r="K429" i="17"/>
  <c r="J429" i="17"/>
  <c r="I429" i="17"/>
  <c r="H429" i="17"/>
  <c r="G429" i="17"/>
  <c r="F429" i="17"/>
  <c r="E429" i="17"/>
  <c r="D429" i="17"/>
  <c r="C429" i="17"/>
  <c r="B429" i="17"/>
  <c r="A428" i="17"/>
  <c r="Y428" i="17"/>
  <c r="X428" i="17"/>
  <c r="W428" i="17"/>
  <c r="V428" i="17"/>
  <c r="U428" i="17"/>
  <c r="T428" i="17"/>
  <c r="S428" i="17"/>
  <c r="R428" i="17"/>
  <c r="Q428" i="17"/>
  <c r="P428" i="17"/>
  <c r="O428" i="17"/>
  <c r="N428" i="17"/>
  <c r="M428" i="17"/>
  <c r="L428" i="17"/>
  <c r="K428" i="17"/>
  <c r="J428" i="17"/>
  <c r="I428" i="17"/>
  <c r="H428" i="17"/>
  <c r="G428" i="17"/>
  <c r="F428" i="17"/>
  <c r="E428" i="17"/>
  <c r="D428" i="17"/>
  <c r="C428" i="17"/>
  <c r="B428" i="17"/>
  <c r="A427" i="17"/>
  <c r="Y427" i="17"/>
  <c r="X427" i="17"/>
  <c r="W427" i="17"/>
  <c r="V427" i="17"/>
  <c r="U427" i="17"/>
  <c r="T427" i="17"/>
  <c r="S427" i="17"/>
  <c r="R427" i="17"/>
  <c r="Q427" i="17"/>
  <c r="P427" i="17"/>
  <c r="O427" i="17"/>
  <c r="N427" i="17"/>
  <c r="M427" i="17"/>
  <c r="L427" i="17"/>
  <c r="K427" i="17"/>
  <c r="J427" i="17"/>
  <c r="I427" i="17"/>
  <c r="H427" i="17"/>
  <c r="G427" i="17"/>
  <c r="F427" i="17"/>
  <c r="E427" i="17"/>
  <c r="D427" i="17"/>
  <c r="C427" i="17"/>
  <c r="B427" i="17"/>
  <c r="A426" i="17"/>
  <c r="Y426" i="17"/>
  <c r="X426" i="17"/>
  <c r="W426" i="17"/>
  <c r="V426" i="17"/>
  <c r="U426" i="17"/>
  <c r="T426" i="17"/>
  <c r="S426" i="17"/>
  <c r="R426" i="17"/>
  <c r="Q426" i="17"/>
  <c r="P426" i="17"/>
  <c r="O426" i="17"/>
  <c r="N426" i="17"/>
  <c r="M426" i="17"/>
  <c r="L426" i="17"/>
  <c r="K426" i="17"/>
  <c r="J426" i="17"/>
  <c r="I426" i="17"/>
  <c r="H426" i="17"/>
  <c r="G426" i="17"/>
  <c r="F426" i="17"/>
  <c r="E426" i="17"/>
  <c r="D426" i="17"/>
  <c r="C426" i="17"/>
  <c r="B426" i="17"/>
  <c r="A425" i="17"/>
  <c r="Y425" i="17"/>
  <c r="X425" i="17"/>
  <c r="W425" i="17"/>
  <c r="V425" i="17"/>
  <c r="U425" i="17"/>
  <c r="T425" i="17"/>
  <c r="S425" i="17"/>
  <c r="R425" i="17"/>
  <c r="Q425" i="17"/>
  <c r="P425" i="17"/>
  <c r="O425" i="17"/>
  <c r="N425" i="17"/>
  <c r="M425" i="17"/>
  <c r="L425" i="17"/>
  <c r="K425" i="17"/>
  <c r="J425" i="17"/>
  <c r="I425" i="17"/>
  <c r="H425" i="17"/>
  <c r="G425" i="17"/>
  <c r="F425" i="17"/>
  <c r="E425" i="17"/>
  <c r="D425" i="17"/>
  <c r="C425" i="17"/>
  <c r="B425" i="17"/>
  <c r="A424" i="17"/>
  <c r="Y424" i="17"/>
  <c r="X424" i="17"/>
  <c r="W424" i="17"/>
  <c r="V424" i="17"/>
  <c r="U424" i="17"/>
  <c r="T424" i="17"/>
  <c r="S424" i="17"/>
  <c r="R424" i="17"/>
  <c r="Q424" i="17"/>
  <c r="P424" i="17"/>
  <c r="O424" i="17"/>
  <c r="N424" i="17"/>
  <c r="M424" i="17"/>
  <c r="L424" i="17"/>
  <c r="K424" i="17"/>
  <c r="J424" i="17"/>
  <c r="I424" i="17"/>
  <c r="H424" i="17"/>
  <c r="G424" i="17"/>
  <c r="F424" i="17"/>
  <c r="E424" i="17"/>
  <c r="D424" i="17"/>
  <c r="C424" i="17"/>
  <c r="B424" i="17"/>
  <c r="A423" i="17"/>
  <c r="Y423" i="17"/>
  <c r="X423" i="17"/>
  <c r="W423" i="17"/>
  <c r="V423" i="17"/>
  <c r="U423" i="17"/>
  <c r="T423" i="17"/>
  <c r="S423" i="17"/>
  <c r="R423" i="17"/>
  <c r="Q423" i="17"/>
  <c r="P423" i="17"/>
  <c r="O423" i="17"/>
  <c r="N423" i="17"/>
  <c r="M423" i="17"/>
  <c r="L423" i="17"/>
  <c r="K423" i="17"/>
  <c r="J423" i="17"/>
  <c r="I423" i="17"/>
  <c r="H423" i="17"/>
  <c r="G423" i="17"/>
  <c r="F423" i="17"/>
  <c r="E423" i="17"/>
  <c r="D423" i="17"/>
  <c r="C423" i="17"/>
  <c r="B423" i="17"/>
  <c r="A422" i="17"/>
  <c r="Y422" i="17"/>
  <c r="X422" i="17"/>
  <c r="W422" i="17"/>
  <c r="V422" i="17"/>
  <c r="U422" i="17"/>
  <c r="T422" i="17"/>
  <c r="S422" i="17"/>
  <c r="R422" i="17"/>
  <c r="Q422" i="17"/>
  <c r="P422" i="17"/>
  <c r="O422" i="17"/>
  <c r="N422" i="17"/>
  <c r="M422" i="17"/>
  <c r="L422" i="17"/>
  <c r="K422" i="17"/>
  <c r="J422" i="17"/>
  <c r="I422" i="17"/>
  <c r="H422" i="17"/>
  <c r="G422" i="17"/>
  <c r="F422" i="17"/>
  <c r="E422" i="17"/>
  <c r="D422" i="17"/>
  <c r="C422" i="17"/>
  <c r="B422" i="17"/>
  <c r="A421" i="17"/>
  <c r="Y421" i="17"/>
  <c r="X421" i="17"/>
  <c r="W421" i="17"/>
  <c r="V421" i="17"/>
  <c r="U421" i="17"/>
  <c r="T421" i="17"/>
  <c r="S421" i="17"/>
  <c r="R421" i="17"/>
  <c r="Q421" i="17"/>
  <c r="P421" i="17"/>
  <c r="O421" i="17"/>
  <c r="N421" i="17"/>
  <c r="M421" i="17"/>
  <c r="L421" i="17"/>
  <c r="K421" i="17"/>
  <c r="J421" i="17"/>
  <c r="I421" i="17"/>
  <c r="H421" i="17"/>
  <c r="G421" i="17"/>
  <c r="F421" i="17"/>
  <c r="E421" i="17"/>
  <c r="D421" i="17"/>
  <c r="C421" i="17"/>
  <c r="B421" i="17"/>
  <c r="A420" i="17"/>
  <c r="Y420" i="17"/>
  <c r="X420" i="17"/>
  <c r="W420" i="17"/>
  <c r="V420" i="17"/>
  <c r="U420" i="17"/>
  <c r="T420" i="17"/>
  <c r="S420" i="17"/>
  <c r="R420" i="17"/>
  <c r="Q420" i="17"/>
  <c r="P420" i="17"/>
  <c r="O420" i="17"/>
  <c r="N420" i="17"/>
  <c r="M420" i="17"/>
  <c r="L420" i="17"/>
  <c r="K420" i="17"/>
  <c r="J420" i="17"/>
  <c r="I420" i="17"/>
  <c r="H420" i="17"/>
  <c r="G420" i="17"/>
  <c r="F420" i="17"/>
  <c r="E420" i="17"/>
  <c r="D420" i="17"/>
  <c r="C420" i="17"/>
  <c r="B420" i="17"/>
  <c r="A419" i="17"/>
  <c r="Y419" i="17"/>
  <c r="X419" i="17"/>
  <c r="W419" i="17"/>
  <c r="V419" i="17"/>
  <c r="U419" i="17"/>
  <c r="T419" i="17"/>
  <c r="S419" i="17"/>
  <c r="R419" i="17"/>
  <c r="Q419" i="17"/>
  <c r="P419" i="17"/>
  <c r="O419" i="17"/>
  <c r="N419" i="17"/>
  <c r="M419" i="17"/>
  <c r="L419" i="17"/>
  <c r="K419" i="17"/>
  <c r="J419" i="17"/>
  <c r="I419" i="17"/>
  <c r="H419" i="17"/>
  <c r="G419" i="17"/>
  <c r="F419" i="17"/>
  <c r="E419" i="17"/>
  <c r="D419" i="17"/>
  <c r="C419" i="17"/>
  <c r="B419" i="17"/>
  <c r="A418" i="17"/>
  <c r="Y418" i="17"/>
  <c r="X418" i="17"/>
  <c r="W418" i="17"/>
  <c r="V418" i="17"/>
  <c r="U418" i="17"/>
  <c r="T418" i="17"/>
  <c r="S418" i="17"/>
  <c r="R418" i="17"/>
  <c r="Q418" i="17"/>
  <c r="P418" i="17"/>
  <c r="O418" i="17"/>
  <c r="N418" i="17"/>
  <c r="M418" i="17"/>
  <c r="L418" i="17"/>
  <c r="K418" i="17"/>
  <c r="J418" i="17"/>
  <c r="I418" i="17"/>
  <c r="H418" i="17"/>
  <c r="G418" i="17"/>
  <c r="F418" i="17"/>
  <c r="E418" i="17"/>
  <c r="D418" i="17"/>
  <c r="C418" i="17"/>
  <c r="B418" i="17"/>
  <c r="A417" i="17"/>
  <c r="Y417" i="17"/>
  <c r="X417" i="17"/>
  <c r="W417" i="17"/>
  <c r="V417" i="17"/>
  <c r="U417" i="17"/>
  <c r="T417" i="17"/>
  <c r="S417" i="17"/>
  <c r="R417" i="17"/>
  <c r="Q417" i="17"/>
  <c r="P417" i="17"/>
  <c r="O417" i="17"/>
  <c r="N417" i="17"/>
  <c r="M417" i="17"/>
  <c r="L417" i="17"/>
  <c r="K417" i="17"/>
  <c r="J417" i="17"/>
  <c r="I417" i="17"/>
  <c r="H417" i="17"/>
  <c r="G417" i="17"/>
  <c r="F417" i="17"/>
  <c r="E417" i="17"/>
  <c r="D417" i="17"/>
  <c r="C417" i="17"/>
  <c r="B417" i="17"/>
  <c r="A416" i="17"/>
  <c r="Y416" i="17"/>
  <c r="X416" i="17"/>
  <c r="W416" i="17"/>
  <c r="V416" i="17"/>
  <c r="U416" i="17"/>
  <c r="T416" i="17"/>
  <c r="S416" i="17"/>
  <c r="R416" i="17"/>
  <c r="Q416" i="17"/>
  <c r="P416" i="17"/>
  <c r="O416" i="17"/>
  <c r="N416" i="17"/>
  <c r="M416" i="17"/>
  <c r="L416" i="17"/>
  <c r="K416" i="17"/>
  <c r="J416" i="17"/>
  <c r="I416" i="17"/>
  <c r="H416" i="17"/>
  <c r="G416" i="17"/>
  <c r="F416" i="17"/>
  <c r="E416" i="17"/>
  <c r="D416" i="17"/>
  <c r="C416" i="17"/>
  <c r="B416" i="17"/>
  <c r="A415" i="17"/>
  <c r="Y415" i="17"/>
  <c r="X415" i="17"/>
  <c r="W415" i="17"/>
  <c r="V415" i="17"/>
  <c r="U415" i="17"/>
  <c r="T415" i="17"/>
  <c r="S415" i="17"/>
  <c r="R415" i="17"/>
  <c r="Q415" i="17"/>
  <c r="P415" i="17"/>
  <c r="O415" i="17"/>
  <c r="N415" i="17"/>
  <c r="M415" i="17"/>
  <c r="L415" i="17"/>
  <c r="K415" i="17"/>
  <c r="J415" i="17"/>
  <c r="I415" i="17"/>
  <c r="H415" i="17"/>
  <c r="G415" i="17"/>
  <c r="F415" i="17"/>
  <c r="E415" i="17"/>
  <c r="D415" i="17"/>
  <c r="C415" i="17"/>
  <c r="B415" i="17"/>
  <c r="A414" i="17"/>
  <c r="Y414" i="17"/>
  <c r="X414" i="17"/>
  <c r="W414" i="17"/>
  <c r="V414" i="17"/>
  <c r="U414" i="17"/>
  <c r="T414" i="17"/>
  <c r="S414" i="17"/>
  <c r="R414" i="17"/>
  <c r="Q414" i="17"/>
  <c r="P414" i="17"/>
  <c r="O414" i="17"/>
  <c r="N414" i="17"/>
  <c r="M414" i="17"/>
  <c r="L414" i="17"/>
  <c r="K414" i="17"/>
  <c r="J414" i="17"/>
  <c r="I414" i="17"/>
  <c r="H414" i="17"/>
  <c r="G414" i="17"/>
  <c r="F414" i="17"/>
  <c r="E414" i="17"/>
  <c r="D414" i="17"/>
  <c r="C414" i="17"/>
  <c r="B414" i="17"/>
  <c r="A413" i="17"/>
  <c r="Y413" i="17"/>
  <c r="X413" i="17"/>
  <c r="W413" i="17"/>
  <c r="V413" i="17"/>
  <c r="U413" i="17"/>
  <c r="T413" i="17"/>
  <c r="S413" i="17"/>
  <c r="R413" i="17"/>
  <c r="Q413" i="17"/>
  <c r="P413" i="17"/>
  <c r="O413" i="17"/>
  <c r="N413" i="17"/>
  <c r="M413" i="17"/>
  <c r="L413" i="17"/>
  <c r="K413" i="17"/>
  <c r="J413" i="17"/>
  <c r="I413" i="17"/>
  <c r="H413" i="17"/>
  <c r="G413" i="17"/>
  <c r="F413" i="17"/>
  <c r="E413" i="17"/>
  <c r="D413" i="17"/>
  <c r="C413" i="17"/>
  <c r="B413" i="17"/>
  <c r="A412" i="17"/>
  <c r="Y412" i="17"/>
  <c r="X412" i="17"/>
  <c r="W412" i="17"/>
  <c r="V412" i="17"/>
  <c r="U412" i="17"/>
  <c r="T412" i="17"/>
  <c r="S412" i="17"/>
  <c r="R412" i="17"/>
  <c r="Q412" i="17"/>
  <c r="P412" i="17"/>
  <c r="O412" i="17"/>
  <c r="N412" i="17"/>
  <c r="M412" i="17"/>
  <c r="L412" i="17"/>
  <c r="K412" i="17"/>
  <c r="J412" i="17"/>
  <c r="I412" i="17"/>
  <c r="H412" i="17"/>
  <c r="G412" i="17"/>
  <c r="F412" i="17"/>
  <c r="E412" i="17"/>
  <c r="D412" i="17"/>
  <c r="C412" i="17"/>
  <c r="B412" i="17"/>
  <c r="A411" i="17"/>
  <c r="Y411" i="17"/>
  <c r="X411" i="17"/>
  <c r="W411" i="17"/>
  <c r="V411" i="17"/>
  <c r="U411" i="17"/>
  <c r="T411" i="17"/>
  <c r="S411" i="17"/>
  <c r="R411" i="17"/>
  <c r="Q411" i="17"/>
  <c r="P411" i="17"/>
  <c r="O411" i="17"/>
  <c r="N411" i="17"/>
  <c r="M411" i="17"/>
  <c r="L411" i="17"/>
  <c r="K411" i="17"/>
  <c r="J411" i="17"/>
  <c r="I411" i="17"/>
  <c r="H411" i="17"/>
  <c r="G411" i="17"/>
  <c r="F411" i="17"/>
  <c r="E411" i="17"/>
  <c r="D411" i="17"/>
  <c r="C411" i="17"/>
  <c r="B411" i="17"/>
  <c r="A410" i="17"/>
  <c r="Y410" i="17"/>
  <c r="X410" i="17"/>
  <c r="W410" i="17"/>
  <c r="V410" i="17"/>
  <c r="U410" i="17"/>
  <c r="T410" i="17"/>
  <c r="S410" i="17"/>
  <c r="R410" i="17"/>
  <c r="Q410" i="17"/>
  <c r="P410" i="17"/>
  <c r="O410" i="17"/>
  <c r="N410" i="17"/>
  <c r="M410" i="17"/>
  <c r="L410" i="17"/>
  <c r="K410" i="17"/>
  <c r="J410" i="17"/>
  <c r="I410" i="17"/>
  <c r="H410" i="17"/>
  <c r="G410" i="17"/>
  <c r="F410" i="17"/>
  <c r="E410" i="17"/>
  <c r="D410" i="17"/>
  <c r="C410" i="17"/>
  <c r="B410" i="17"/>
  <c r="A409" i="17"/>
  <c r="Y409" i="17"/>
  <c r="X409" i="17"/>
  <c r="W409" i="17"/>
  <c r="V409" i="17"/>
  <c r="U409" i="17"/>
  <c r="T409" i="17"/>
  <c r="S409" i="17"/>
  <c r="R409" i="17"/>
  <c r="Q409" i="17"/>
  <c r="P409" i="17"/>
  <c r="O409" i="17"/>
  <c r="N409" i="17"/>
  <c r="M409" i="17"/>
  <c r="L409" i="17"/>
  <c r="K409" i="17"/>
  <c r="J409" i="17"/>
  <c r="I409" i="17"/>
  <c r="H409" i="17"/>
  <c r="G409" i="17"/>
  <c r="F409" i="17"/>
  <c r="E409" i="17"/>
  <c r="D409" i="17"/>
  <c r="C409" i="17"/>
  <c r="B409" i="17"/>
  <c r="A408" i="17"/>
  <c r="Y408" i="17"/>
  <c r="X408" i="17"/>
  <c r="W408" i="17"/>
  <c r="V408" i="17"/>
  <c r="U408" i="17"/>
  <c r="T408" i="17"/>
  <c r="S408" i="17"/>
  <c r="R408" i="17"/>
  <c r="Q408" i="17"/>
  <c r="P408" i="17"/>
  <c r="O408" i="17"/>
  <c r="N408" i="17"/>
  <c r="M408" i="17"/>
  <c r="L408" i="17"/>
  <c r="K408" i="17"/>
  <c r="J408" i="17"/>
  <c r="I408" i="17"/>
  <c r="H408" i="17"/>
  <c r="G408" i="17"/>
  <c r="F408" i="17"/>
  <c r="E408" i="17"/>
  <c r="D408" i="17"/>
  <c r="C408" i="17"/>
  <c r="B408" i="17"/>
  <c r="A407" i="17"/>
  <c r="Y407" i="17"/>
  <c r="X407" i="17"/>
  <c r="W407" i="17"/>
  <c r="V407" i="17"/>
  <c r="U407" i="17"/>
  <c r="T407" i="17"/>
  <c r="S407" i="17"/>
  <c r="R407" i="17"/>
  <c r="Q407" i="17"/>
  <c r="P407" i="17"/>
  <c r="O407" i="17"/>
  <c r="N407" i="17"/>
  <c r="M407" i="17"/>
  <c r="L407" i="17"/>
  <c r="K407" i="17"/>
  <c r="J407" i="17"/>
  <c r="I407" i="17"/>
  <c r="H407" i="17"/>
  <c r="G407" i="17"/>
  <c r="F407" i="17"/>
  <c r="E407" i="17"/>
  <c r="D407" i="17"/>
  <c r="C407" i="17"/>
  <c r="B407" i="17"/>
  <c r="A406" i="17"/>
  <c r="Y406" i="17"/>
  <c r="X406" i="17"/>
  <c r="W406" i="17"/>
  <c r="V406" i="17"/>
  <c r="U406" i="17"/>
  <c r="T406" i="17"/>
  <c r="S406" i="17"/>
  <c r="R406" i="17"/>
  <c r="Q406" i="17"/>
  <c r="P406" i="17"/>
  <c r="O406" i="17"/>
  <c r="N406" i="17"/>
  <c r="M406" i="17"/>
  <c r="L406" i="17"/>
  <c r="K406" i="17"/>
  <c r="J406" i="17"/>
  <c r="I406" i="17"/>
  <c r="H406" i="17"/>
  <c r="G406" i="17"/>
  <c r="F406" i="17"/>
  <c r="E406" i="17"/>
  <c r="D406" i="17"/>
  <c r="C406" i="17"/>
  <c r="B406" i="17"/>
  <c r="A405" i="17"/>
  <c r="Y405" i="17"/>
  <c r="X405" i="17"/>
  <c r="W405" i="17"/>
  <c r="V405" i="17"/>
  <c r="U405" i="17"/>
  <c r="T405" i="17"/>
  <c r="S405" i="17"/>
  <c r="R405" i="17"/>
  <c r="Q405" i="17"/>
  <c r="P405" i="17"/>
  <c r="O405" i="17"/>
  <c r="N405" i="17"/>
  <c r="M405" i="17"/>
  <c r="L405" i="17"/>
  <c r="K405" i="17"/>
  <c r="J405" i="17"/>
  <c r="I405" i="17"/>
  <c r="H405" i="17"/>
  <c r="G405" i="17"/>
  <c r="F405" i="17"/>
  <c r="E405" i="17"/>
  <c r="D405" i="17"/>
  <c r="C405" i="17"/>
  <c r="B405" i="17"/>
  <c r="A404" i="17"/>
  <c r="Y404" i="17"/>
  <c r="X404" i="17"/>
  <c r="W404" i="17"/>
  <c r="V404" i="17"/>
  <c r="U404" i="17"/>
  <c r="T404" i="17"/>
  <c r="S404" i="17"/>
  <c r="R404" i="17"/>
  <c r="Q404" i="17"/>
  <c r="P404" i="17"/>
  <c r="O404" i="17"/>
  <c r="N404" i="17"/>
  <c r="M404" i="17"/>
  <c r="L404" i="17"/>
  <c r="K404" i="17"/>
  <c r="J404" i="17"/>
  <c r="I404" i="17"/>
  <c r="H404" i="17"/>
  <c r="G404" i="17"/>
  <c r="F404" i="17"/>
  <c r="E404" i="17"/>
  <c r="D404" i="17"/>
  <c r="C404" i="17"/>
  <c r="B404" i="17"/>
  <c r="A403" i="17"/>
  <c r="Y403" i="17"/>
  <c r="X403" i="17"/>
  <c r="W403" i="17"/>
  <c r="V403" i="17"/>
  <c r="U403" i="17"/>
  <c r="T403" i="17"/>
  <c r="S403" i="17"/>
  <c r="R403" i="17"/>
  <c r="Q403" i="17"/>
  <c r="P403" i="17"/>
  <c r="O403" i="17"/>
  <c r="N403" i="17"/>
  <c r="M403" i="17"/>
  <c r="L403" i="17"/>
  <c r="K403" i="17"/>
  <c r="J403" i="17"/>
  <c r="I403" i="17"/>
  <c r="H403" i="17"/>
  <c r="G403" i="17"/>
  <c r="F403" i="17"/>
  <c r="E403" i="17"/>
  <c r="D403" i="17"/>
  <c r="C403" i="17"/>
  <c r="B403" i="17"/>
  <c r="A402" i="17"/>
  <c r="Y402" i="17"/>
  <c r="X402" i="17"/>
  <c r="W402" i="17"/>
  <c r="V402" i="17"/>
  <c r="U402" i="17"/>
  <c r="T402" i="17"/>
  <c r="S402" i="17"/>
  <c r="R402" i="17"/>
  <c r="Q402" i="17"/>
  <c r="P402" i="17"/>
  <c r="O402" i="17"/>
  <c r="N402" i="17"/>
  <c r="M402" i="17"/>
  <c r="L402" i="17"/>
  <c r="K402" i="17"/>
  <c r="J402" i="17"/>
  <c r="I402" i="17"/>
  <c r="H402" i="17"/>
  <c r="G402" i="17"/>
  <c r="F402" i="17"/>
  <c r="E402" i="17"/>
  <c r="D402" i="17"/>
  <c r="C402" i="17"/>
  <c r="B402" i="17"/>
  <c r="A401" i="17"/>
  <c r="Y401" i="17"/>
  <c r="X401" i="17"/>
  <c r="W401" i="17"/>
  <c r="V401" i="17"/>
  <c r="U401" i="17"/>
  <c r="T401" i="17"/>
  <c r="S401" i="17"/>
  <c r="R401" i="17"/>
  <c r="Q401" i="17"/>
  <c r="P401" i="17"/>
  <c r="O401" i="17"/>
  <c r="N401" i="17"/>
  <c r="M401" i="17"/>
  <c r="L401" i="17"/>
  <c r="K401" i="17"/>
  <c r="J401" i="17"/>
  <c r="I401" i="17"/>
  <c r="H401" i="17"/>
  <c r="G401" i="17"/>
  <c r="F401" i="17"/>
  <c r="E401" i="17"/>
  <c r="D401" i="17"/>
  <c r="C401" i="17"/>
  <c r="B401" i="17"/>
  <c r="A400" i="17"/>
  <c r="Y400" i="17"/>
  <c r="X400" i="17"/>
  <c r="W400" i="17"/>
  <c r="V400" i="17"/>
  <c r="U400" i="17"/>
  <c r="T400" i="17"/>
  <c r="S400" i="17"/>
  <c r="R400" i="17"/>
  <c r="Q400" i="17"/>
  <c r="P400" i="17"/>
  <c r="O400" i="17"/>
  <c r="N400" i="17"/>
  <c r="M400" i="17"/>
  <c r="L400" i="17"/>
  <c r="K400" i="17"/>
  <c r="J400" i="17"/>
  <c r="I400" i="17"/>
  <c r="H400" i="17"/>
  <c r="G400" i="17"/>
  <c r="F400" i="17"/>
  <c r="E400" i="17"/>
  <c r="D400" i="17"/>
  <c r="C400" i="17"/>
  <c r="B400" i="17"/>
  <c r="A399" i="17"/>
  <c r="Y399" i="17"/>
  <c r="X399" i="17"/>
  <c r="W399" i="17"/>
  <c r="V399" i="17"/>
  <c r="U399" i="17"/>
  <c r="T399" i="17"/>
  <c r="S399" i="17"/>
  <c r="R399" i="17"/>
  <c r="Q399" i="17"/>
  <c r="P399" i="17"/>
  <c r="O399" i="17"/>
  <c r="N399" i="17"/>
  <c r="M399" i="17"/>
  <c r="L399" i="17"/>
  <c r="K399" i="17"/>
  <c r="J399" i="17"/>
  <c r="I399" i="17"/>
  <c r="H399" i="17"/>
  <c r="G399" i="17"/>
  <c r="F399" i="17"/>
  <c r="E399" i="17"/>
  <c r="D399" i="17"/>
  <c r="C399" i="17"/>
  <c r="B399" i="17"/>
  <c r="A398" i="17"/>
  <c r="Y398" i="17"/>
  <c r="X398" i="17"/>
  <c r="W398" i="17"/>
  <c r="V398" i="17"/>
  <c r="U398" i="17"/>
  <c r="T398" i="17"/>
  <c r="S398" i="17"/>
  <c r="R398" i="17"/>
  <c r="Q398" i="17"/>
  <c r="P398" i="17"/>
  <c r="O398" i="17"/>
  <c r="N398" i="17"/>
  <c r="M398" i="17"/>
  <c r="L398" i="17"/>
  <c r="K398" i="17"/>
  <c r="J398" i="17"/>
  <c r="I398" i="17"/>
  <c r="H398" i="17"/>
  <c r="G398" i="17"/>
  <c r="F398" i="17"/>
  <c r="E398" i="17"/>
  <c r="D398" i="17"/>
  <c r="C398" i="17"/>
  <c r="B398" i="17"/>
  <c r="A397" i="17"/>
  <c r="Y397" i="17"/>
  <c r="X397" i="17"/>
  <c r="W397" i="17"/>
  <c r="V397" i="17"/>
  <c r="U397" i="17"/>
  <c r="T397" i="17"/>
  <c r="S397" i="17"/>
  <c r="R397" i="17"/>
  <c r="Q397" i="17"/>
  <c r="P397" i="17"/>
  <c r="O397" i="17"/>
  <c r="N397" i="17"/>
  <c r="M397" i="17"/>
  <c r="L397" i="17"/>
  <c r="K397" i="17"/>
  <c r="J397" i="17"/>
  <c r="I397" i="17"/>
  <c r="H397" i="17"/>
  <c r="G397" i="17"/>
  <c r="F397" i="17"/>
  <c r="E397" i="17"/>
  <c r="D397" i="17"/>
  <c r="C397" i="17"/>
  <c r="B397" i="17"/>
  <c r="A396" i="17"/>
  <c r="Y396" i="17"/>
  <c r="X396" i="17"/>
  <c r="W396" i="17"/>
  <c r="V396" i="17"/>
  <c r="U396" i="17"/>
  <c r="T396" i="17"/>
  <c r="S396" i="17"/>
  <c r="R396" i="17"/>
  <c r="Q396" i="17"/>
  <c r="P396" i="17"/>
  <c r="O396" i="17"/>
  <c r="N396" i="17"/>
  <c r="M396" i="17"/>
  <c r="L396" i="17"/>
  <c r="K396" i="17"/>
  <c r="J396" i="17"/>
  <c r="I396" i="17"/>
  <c r="H396" i="17"/>
  <c r="G396" i="17"/>
  <c r="F396" i="17"/>
  <c r="E396" i="17"/>
  <c r="D396" i="17"/>
  <c r="C396" i="17"/>
  <c r="B396" i="17"/>
  <c r="A395" i="17"/>
  <c r="Y395" i="17"/>
  <c r="X395" i="17"/>
  <c r="W395" i="17"/>
  <c r="V395" i="17"/>
  <c r="U395" i="17"/>
  <c r="T395" i="17"/>
  <c r="S395" i="17"/>
  <c r="R395" i="17"/>
  <c r="Q395" i="17"/>
  <c r="P395" i="17"/>
  <c r="O395" i="17"/>
  <c r="N395" i="17"/>
  <c r="M395" i="17"/>
  <c r="L395" i="17"/>
  <c r="K395" i="17"/>
  <c r="J395" i="17"/>
  <c r="I395" i="17"/>
  <c r="H395" i="17"/>
  <c r="G395" i="17"/>
  <c r="F395" i="17"/>
  <c r="E395" i="17"/>
  <c r="D395" i="17"/>
  <c r="C395" i="17"/>
  <c r="B395" i="17"/>
  <c r="A394" i="17"/>
  <c r="Y394" i="17"/>
  <c r="X394" i="17"/>
  <c r="W394" i="17"/>
  <c r="V394" i="17"/>
  <c r="U394" i="17"/>
  <c r="T394" i="17"/>
  <c r="S394" i="17"/>
  <c r="R394" i="17"/>
  <c r="Q394" i="17"/>
  <c r="P394" i="17"/>
  <c r="O394" i="17"/>
  <c r="N394" i="17"/>
  <c r="M394" i="17"/>
  <c r="L394" i="17"/>
  <c r="K394" i="17"/>
  <c r="J394" i="17"/>
  <c r="I394" i="17"/>
  <c r="H394" i="17"/>
  <c r="G394" i="17"/>
  <c r="F394" i="17"/>
  <c r="E394" i="17"/>
  <c r="D394" i="17"/>
  <c r="C394" i="17"/>
  <c r="B394" i="17"/>
  <c r="A393" i="17"/>
  <c r="Y393" i="17"/>
  <c r="X393" i="17"/>
  <c r="W393" i="17"/>
  <c r="V393" i="17"/>
  <c r="U393" i="17"/>
  <c r="T393" i="17"/>
  <c r="S393" i="17"/>
  <c r="R393" i="17"/>
  <c r="Q393" i="17"/>
  <c r="P393" i="17"/>
  <c r="O393" i="17"/>
  <c r="N393" i="17"/>
  <c r="M393" i="17"/>
  <c r="L393" i="17"/>
  <c r="K393" i="17"/>
  <c r="J393" i="17"/>
  <c r="I393" i="17"/>
  <c r="H393" i="17"/>
  <c r="G393" i="17"/>
  <c r="F393" i="17"/>
  <c r="E393" i="17"/>
  <c r="D393" i="17"/>
  <c r="C393" i="17"/>
  <c r="B393" i="17"/>
  <c r="A392" i="17"/>
  <c r="Y392" i="17"/>
  <c r="X392" i="17"/>
  <c r="W392" i="17"/>
  <c r="V392" i="17"/>
  <c r="U392" i="17"/>
  <c r="T392" i="17"/>
  <c r="S392" i="17"/>
  <c r="R392" i="17"/>
  <c r="Q392" i="17"/>
  <c r="P392" i="17"/>
  <c r="O392" i="17"/>
  <c r="N392" i="17"/>
  <c r="M392" i="17"/>
  <c r="L392" i="17"/>
  <c r="K392" i="17"/>
  <c r="J392" i="17"/>
  <c r="I392" i="17"/>
  <c r="H392" i="17"/>
  <c r="G392" i="17"/>
  <c r="F392" i="17"/>
  <c r="E392" i="17"/>
  <c r="D392" i="17"/>
  <c r="C392" i="17"/>
  <c r="B392" i="17"/>
  <c r="A391" i="17"/>
  <c r="Y391" i="17"/>
  <c r="X391" i="17"/>
  <c r="W391" i="17"/>
  <c r="V391" i="17"/>
  <c r="U391" i="17"/>
  <c r="T391" i="17"/>
  <c r="S391" i="17"/>
  <c r="R391" i="17"/>
  <c r="Q391" i="17"/>
  <c r="P391" i="17"/>
  <c r="O391" i="17"/>
  <c r="N391" i="17"/>
  <c r="M391" i="17"/>
  <c r="L391" i="17"/>
  <c r="K391" i="17"/>
  <c r="J391" i="17"/>
  <c r="I391" i="17"/>
  <c r="H391" i="17"/>
  <c r="G391" i="17"/>
  <c r="F391" i="17"/>
  <c r="E391" i="17"/>
  <c r="D391" i="17"/>
  <c r="C391" i="17"/>
  <c r="B391" i="17"/>
  <c r="A390" i="17"/>
  <c r="Y390" i="17"/>
  <c r="X390" i="17"/>
  <c r="W390" i="17"/>
  <c r="V390" i="17"/>
  <c r="U390" i="17"/>
  <c r="T390" i="17"/>
  <c r="S390" i="17"/>
  <c r="R390" i="17"/>
  <c r="Q390" i="17"/>
  <c r="P390" i="17"/>
  <c r="O390" i="17"/>
  <c r="N390" i="17"/>
  <c r="M390" i="17"/>
  <c r="L390" i="17"/>
  <c r="K390" i="17"/>
  <c r="J390" i="17"/>
  <c r="I390" i="17"/>
  <c r="H390" i="17"/>
  <c r="G390" i="17"/>
  <c r="F390" i="17"/>
  <c r="E390" i="17"/>
  <c r="D390" i="17"/>
  <c r="C390" i="17"/>
  <c r="B390" i="17"/>
  <c r="A389" i="17"/>
  <c r="Y389" i="17"/>
  <c r="X389" i="17"/>
  <c r="W389" i="17"/>
  <c r="V389" i="17"/>
  <c r="U389" i="17"/>
  <c r="T389" i="17"/>
  <c r="S389" i="17"/>
  <c r="R389" i="17"/>
  <c r="Q389" i="17"/>
  <c r="P389" i="17"/>
  <c r="O389" i="17"/>
  <c r="N389" i="17"/>
  <c r="M389" i="17"/>
  <c r="L389" i="17"/>
  <c r="K389" i="17"/>
  <c r="J389" i="17"/>
  <c r="I389" i="17"/>
  <c r="H389" i="17"/>
  <c r="G389" i="17"/>
  <c r="F389" i="17"/>
  <c r="E389" i="17"/>
  <c r="D389" i="17"/>
  <c r="C389" i="17"/>
  <c r="B389" i="17"/>
  <c r="A388" i="17"/>
  <c r="Y388" i="17"/>
  <c r="X388" i="17"/>
  <c r="W388" i="17"/>
  <c r="V388" i="17"/>
  <c r="U388" i="17"/>
  <c r="T388" i="17"/>
  <c r="S388" i="17"/>
  <c r="R388" i="17"/>
  <c r="Q388" i="17"/>
  <c r="P388" i="17"/>
  <c r="O388" i="17"/>
  <c r="N388" i="17"/>
  <c r="M388" i="17"/>
  <c r="L388" i="17"/>
  <c r="K388" i="17"/>
  <c r="J388" i="17"/>
  <c r="I388" i="17"/>
  <c r="H388" i="17"/>
  <c r="G388" i="17"/>
  <c r="F388" i="17"/>
  <c r="E388" i="17"/>
  <c r="D388" i="17"/>
  <c r="C388" i="17"/>
  <c r="B388" i="17"/>
  <c r="A387" i="17"/>
  <c r="Y387" i="17"/>
  <c r="X387" i="17"/>
  <c r="W387" i="17"/>
  <c r="V387" i="17"/>
  <c r="U387" i="17"/>
  <c r="T387" i="17"/>
  <c r="S387" i="17"/>
  <c r="R387" i="17"/>
  <c r="Q387" i="17"/>
  <c r="P387" i="17"/>
  <c r="O387" i="17"/>
  <c r="N387" i="17"/>
  <c r="M387" i="17"/>
  <c r="L387" i="17"/>
  <c r="K387" i="17"/>
  <c r="J387" i="17"/>
  <c r="I387" i="17"/>
  <c r="H387" i="17"/>
  <c r="G387" i="17"/>
  <c r="F387" i="17"/>
  <c r="E387" i="17"/>
  <c r="D387" i="17"/>
  <c r="C387" i="17"/>
  <c r="B387" i="17"/>
  <c r="A386" i="17"/>
  <c r="Y386" i="17"/>
  <c r="X386" i="17"/>
  <c r="W386" i="17"/>
  <c r="V386" i="17"/>
  <c r="U386" i="17"/>
  <c r="T386" i="17"/>
  <c r="S386" i="17"/>
  <c r="R386" i="17"/>
  <c r="Q386" i="17"/>
  <c r="P386" i="17"/>
  <c r="O386" i="17"/>
  <c r="N386" i="17"/>
  <c r="M386" i="17"/>
  <c r="L386" i="17"/>
  <c r="K386" i="17"/>
  <c r="J386" i="17"/>
  <c r="I386" i="17"/>
  <c r="H386" i="17"/>
  <c r="G386" i="17"/>
  <c r="F386" i="17"/>
  <c r="E386" i="17"/>
  <c r="D386" i="17"/>
  <c r="C386" i="17"/>
  <c r="B386" i="17"/>
  <c r="A385" i="17"/>
  <c r="Y385" i="17"/>
  <c r="X385" i="17"/>
  <c r="W385" i="17"/>
  <c r="V385" i="17"/>
  <c r="U385" i="17"/>
  <c r="T385" i="17"/>
  <c r="S385" i="17"/>
  <c r="R385" i="17"/>
  <c r="Q385" i="17"/>
  <c r="P385" i="17"/>
  <c r="O385" i="17"/>
  <c r="N385" i="17"/>
  <c r="M385" i="17"/>
  <c r="L385" i="17"/>
  <c r="K385" i="17"/>
  <c r="J385" i="17"/>
  <c r="I385" i="17"/>
  <c r="H385" i="17"/>
  <c r="G385" i="17"/>
  <c r="F385" i="17"/>
  <c r="E385" i="17"/>
  <c r="D385" i="17"/>
  <c r="C385" i="17"/>
  <c r="B385" i="17"/>
  <c r="A384" i="17"/>
  <c r="Y384" i="17"/>
  <c r="X384" i="17"/>
  <c r="W384" i="17"/>
  <c r="V384" i="17"/>
  <c r="U384" i="17"/>
  <c r="T384" i="17"/>
  <c r="S384" i="17"/>
  <c r="R384" i="17"/>
  <c r="Q384" i="17"/>
  <c r="P384" i="17"/>
  <c r="O384" i="17"/>
  <c r="N384" i="17"/>
  <c r="M384" i="17"/>
  <c r="L384" i="17"/>
  <c r="K384" i="17"/>
  <c r="J384" i="17"/>
  <c r="I384" i="17"/>
  <c r="H384" i="17"/>
  <c r="G384" i="17"/>
  <c r="F384" i="17"/>
  <c r="E384" i="17"/>
  <c r="D384" i="17"/>
  <c r="C384" i="17"/>
  <c r="B384" i="17"/>
  <c r="A383" i="17"/>
  <c r="Y383" i="17"/>
  <c r="X383" i="17"/>
  <c r="W383" i="17"/>
  <c r="V383" i="17"/>
  <c r="U383" i="17"/>
  <c r="T383" i="17"/>
  <c r="S383" i="17"/>
  <c r="R383" i="17"/>
  <c r="Q383" i="17"/>
  <c r="P383" i="17"/>
  <c r="O383" i="17"/>
  <c r="N383" i="17"/>
  <c r="M383" i="17"/>
  <c r="L383" i="17"/>
  <c r="K383" i="17"/>
  <c r="J383" i="17"/>
  <c r="I383" i="17"/>
  <c r="H383" i="17"/>
  <c r="G383" i="17"/>
  <c r="F383" i="17"/>
  <c r="E383" i="17"/>
  <c r="D383" i="17"/>
  <c r="C383" i="17"/>
  <c r="B383" i="17"/>
  <c r="A382" i="17"/>
  <c r="Y382" i="17"/>
  <c r="X382" i="17"/>
  <c r="W382" i="17"/>
  <c r="V382" i="17"/>
  <c r="U382" i="17"/>
  <c r="T382" i="17"/>
  <c r="S382" i="17"/>
  <c r="R382" i="17"/>
  <c r="Q382" i="17"/>
  <c r="P382" i="17"/>
  <c r="O382" i="17"/>
  <c r="N382" i="17"/>
  <c r="M382" i="17"/>
  <c r="L382" i="17"/>
  <c r="K382" i="17"/>
  <c r="J382" i="17"/>
  <c r="I382" i="17"/>
  <c r="H382" i="17"/>
  <c r="G382" i="17"/>
  <c r="F382" i="17"/>
  <c r="E382" i="17"/>
  <c r="D382" i="17"/>
  <c r="C382" i="17"/>
  <c r="B382" i="17"/>
  <c r="A381" i="17"/>
  <c r="Y381" i="17"/>
  <c r="X381" i="17"/>
  <c r="W381" i="17"/>
  <c r="V381" i="17"/>
  <c r="U381" i="17"/>
  <c r="T381" i="17"/>
  <c r="S381" i="17"/>
  <c r="R381" i="17"/>
  <c r="Q381" i="17"/>
  <c r="P381" i="17"/>
  <c r="O381" i="17"/>
  <c r="N381" i="17"/>
  <c r="M381" i="17"/>
  <c r="L381" i="17"/>
  <c r="K381" i="17"/>
  <c r="J381" i="17"/>
  <c r="I381" i="17"/>
  <c r="H381" i="17"/>
  <c r="G381" i="17"/>
  <c r="F381" i="17"/>
  <c r="E381" i="17"/>
  <c r="D381" i="17"/>
  <c r="C381" i="17"/>
  <c r="B381" i="17"/>
  <c r="A380" i="17"/>
  <c r="Y380" i="17"/>
  <c r="X380" i="17"/>
  <c r="W380" i="17"/>
  <c r="V380" i="17"/>
  <c r="U380" i="17"/>
  <c r="T380" i="17"/>
  <c r="S380" i="17"/>
  <c r="R380" i="17"/>
  <c r="Q380" i="17"/>
  <c r="P380" i="17"/>
  <c r="O380" i="17"/>
  <c r="N380" i="17"/>
  <c r="M380" i="17"/>
  <c r="L380" i="17"/>
  <c r="K380" i="17"/>
  <c r="J380" i="17"/>
  <c r="I380" i="17"/>
  <c r="H380" i="17"/>
  <c r="G380" i="17"/>
  <c r="F380" i="17"/>
  <c r="E380" i="17"/>
  <c r="D380" i="17"/>
  <c r="C380" i="17"/>
  <c r="B380" i="17"/>
  <c r="A379" i="17"/>
  <c r="Y379" i="17"/>
  <c r="X379" i="17"/>
  <c r="W379" i="17"/>
  <c r="V379" i="17"/>
  <c r="U379" i="17"/>
  <c r="T379" i="17"/>
  <c r="S379" i="17"/>
  <c r="R379" i="17"/>
  <c r="Q379" i="17"/>
  <c r="P379" i="17"/>
  <c r="O379" i="17"/>
  <c r="N379" i="17"/>
  <c r="M379" i="17"/>
  <c r="L379" i="17"/>
  <c r="K379" i="17"/>
  <c r="J379" i="17"/>
  <c r="I379" i="17"/>
  <c r="H379" i="17"/>
  <c r="G379" i="17"/>
  <c r="F379" i="17"/>
  <c r="E379" i="17"/>
  <c r="D379" i="17"/>
  <c r="C379" i="17"/>
  <c r="B379" i="17"/>
  <c r="A378" i="17"/>
  <c r="Y378" i="17"/>
  <c r="X378" i="17"/>
  <c r="W378" i="17"/>
  <c r="V378" i="17"/>
  <c r="U378" i="17"/>
  <c r="T378" i="17"/>
  <c r="S378" i="17"/>
  <c r="R378" i="17"/>
  <c r="Q378" i="17"/>
  <c r="P378" i="17"/>
  <c r="O378" i="17"/>
  <c r="N378" i="17"/>
  <c r="M378" i="17"/>
  <c r="L378" i="17"/>
  <c r="K378" i="17"/>
  <c r="J378" i="17"/>
  <c r="I378" i="17"/>
  <c r="H378" i="17"/>
  <c r="G378" i="17"/>
  <c r="F378" i="17"/>
  <c r="E378" i="17"/>
  <c r="D378" i="17"/>
  <c r="C378" i="17"/>
  <c r="B378" i="17"/>
  <c r="A377" i="17"/>
  <c r="Y377" i="17"/>
  <c r="X377" i="17"/>
  <c r="W377" i="17"/>
  <c r="V377" i="17"/>
  <c r="U377" i="17"/>
  <c r="T377" i="17"/>
  <c r="S377" i="17"/>
  <c r="R377" i="17"/>
  <c r="Q377" i="17"/>
  <c r="P377" i="17"/>
  <c r="O377" i="17"/>
  <c r="N377" i="17"/>
  <c r="M377" i="17"/>
  <c r="L377" i="17"/>
  <c r="K377" i="17"/>
  <c r="J377" i="17"/>
  <c r="I377" i="17"/>
  <c r="H377" i="17"/>
  <c r="G377" i="17"/>
  <c r="F377" i="17"/>
  <c r="E377" i="17"/>
  <c r="D377" i="17"/>
  <c r="C377" i="17"/>
  <c r="B377" i="17"/>
  <c r="A376" i="17"/>
  <c r="Y376" i="17"/>
  <c r="X376" i="17"/>
  <c r="W376" i="17"/>
  <c r="V376" i="17"/>
  <c r="U376" i="17"/>
  <c r="T376" i="17"/>
  <c r="S376" i="17"/>
  <c r="R376" i="17"/>
  <c r="Q376" i="17"/>
  <c r="P376" i="17"/>
  <c r="O376" i="17"/>
  <c r="N376" i="17"/>
  <c r="M376" i="17"/>
  <c r="L376" i="17"/>
  <c r="K376" i="17"/>
  <c r="J376" i="17"/>
  <c r="I376" i="17"/>
  <c r="H376" i="17"/>
  <c r="G376" i="17"/>
  <c r="F376" i="17"/>
  <c r="E376" i="17"/>
  <c r="D376" i="17"/>
  <c r="C376" i="17"/>
  <c r="B376" i="17"/>
  <c r="A375" i="17"/>
  <c r="Y375" i="17"/>
  <c r="X375" i="17"/>
  <c r="W375" i="17"/>
  <c r="V375" i="17"/>
  <c r="U375" i="17"/>
  <c r="T375" i="17"/>
  <c r="S375" i="17"/>
  <c r="R375" i="17"/>
  <c r="Q375" i="17"/>
  <c r="P375" i="17"/>
  <c r="O375" i="17"/>
  <c r="N375" i="17"/>
  <c r="M375" i="17"/>
  <c r="L375" i="17"/>
  <c r="K375" i="17"/>
  <c r="J375" i="17"/>
  <c r="I375" i="17"/>
  <c r="H375" i="17"/>
  <c r="G375" i="17"/>
  <c r="F375" i="17"/>
  <c r="E375" i="17"/>
  <c r="D375" i="17"/>
  <c r="C375" i="17"/>
  <c r="B375" i="17"/>
  <c r="A374" i="17"/>
  <c r="Y374" i="17"/>
  <c r="X374" i="17"/>
  <c r="W374" i="17"/>
  <c r="V374" i="17"/>
  <c r="U374" i="17"/>
  <c r="T374" i="17"/>
  <c r="S374" i="17"/>
  <c r="R374" i="17"/>
  <c r="Q374" i="17"/>
  <c r="P374" i="17"/>
  <c r="O374" i="17"/>
  <c r="N374" i="17"/>
  <c r="M374" i="17"/>
  <c r="L374" i="17"/>
  <c r="K374" i="17"/>
  <c r="J374" i="17"/>
  <c r="I374" i="17"/>
  <c r="H374" i="17"/>
  <c r="G374" i="17"/>
  <c r="F374" i="17"/>
  <c r="E374" i="17"/>
  <c r="D374" i="17"/>
  <c r="C374" i="17"/>
  <c r="B374" i="17"/>
  <c r="A373" i="17"/>
  <c r="Y373" i="17"/>
  <c r="X373" i="17"/>
  <c r="W373" i="17"/>
  <c r="V373" i="17"/>
  <c r="U373" i="17"/>
  <c r="T373" i="17"/>
  <c r="S373" i="17"/>
  <c r="R373" i="17"/>
  <c r="Q373" i="17"/>
  <c r="P373" i="17"/>
  <c r="O373" i="17"/>
  <c r="N373" i="17"/>
  <c r="M373" i="17"/>
  <c r="L373" i="17"/>
  <c r="K373" i="17"/>
  <c r="J373" i="17"/>
  <c r="I373" i="17"/>
  <c r="H373" i="17"/>
  <c r="G373" i="17"/>
  <c r="F373" i="17"/>
  <c r="E373" i="17"/>
  <c r="D373" i="17"/>
  <c r="C373" i="17"/>
  <c r="B373" i="17"/>
  <c r="A372" i="17"/>
  <c r="Y372" i="17"/>
  <c r="X372" i="17"/>
  <c r="W372" i="17"/>
  <c r="V372" i="17"/>
  <c r="U372" i="17"/>
  <c r="T372" i="17"/>
  <c r="S372" i="17"/>
  <c r="R372" i="17"/>
  <c r="Q372" i="17"/>
  <c r="P372" i="17"/>
  <c r="O372" i="17"/>
  <c r="N372" i="17"/>
  <c r="M372" i="17"/>
  <c r="L372" i="17"/>
  <c r="K372" i="17"/>
  <c r="J372" i="17"/>
  <c r="I372" i="17"/>
  <c r="H372" i="17"/>
  <c r="G372" i="17"/>
  <c r="F372" i="17"/>
  <c r="E372" i="17"/>
  <c r="D372" i="17"/>
  <c r="C372" i="17"/>
  <c r="B372" i="17"/>
  <c r="A371" i="17"/>
  <c r="Y371" i="17"/>
  <c r="X371" i="17"/>
  <c r="W371" i="17"/>
  <c r="V371" i="17"/>
  <c r="U371" i="17"/>
  <c r="T371" i="17"/>
  <c r="S371" i="17"/>
  <c r="R371" i="17"/>
  <c r="Q371" i="17"/>
  <c r="P371" i="17"/>
  <c r="O371" i="17"/>
  <c r="N371" i="17"/>
  <c r="M371" i="17"/>
  <c r="L371" i="17"/>
  <c r="K371" i="17"/>
  <c r="J371" i="17"/>
  <c r="I371" i="17"/>
  <c r="H371" i="17"/>
  <c r="G371" i="17"/>
  <c r="F371" i="17"/>
  <c r="E371" i="17"/>
  <c r="D371" i="17"/>
  <c r="C371" i="17"/>
  <c r="B371" i="17"/>
  <c r="A370" i="17"/>
  <c r="Y370" i="17"/>
  <c r="X370" i="17"/>
  <c r="W370" i="17"/>
  <c r="V370" i="17"/>
  <c r="U370" i="17"/>
  <c r="T370" i="17"/>
  <c r="S370" i="17"/>
  <c r="R370" i="17"/>
  <c r="Q370" i="17"/>
  <c r="P370" i="17"/>
  <c r="O370" i="17"/>
  <c r="N370" i="17"/>
  <c r="M370" i="17"/>
  <c r="L370" i="17"/>
  <c r="K370" i="17"/>
  <c r="J370" i="17"/>
  <c r="I370" i="17"/>
  <c r="H370" i="17"/>
  <c r="G370" i="17"/>
  <c r="F370" i="17"/>
  <c r="E370" i="17"/>
  <c r="D370" i="17"/>
  <c r="C370" i="17"/>
  <c r="B370" i="17"/>
  <c r="A369" i="17"/>
  <c r="Y369" i="17"/>
  <c r="X369" i="17"/>
  <c r="W369" i="17"/>
  <c r="V369" i="17"/>
  <c r="U369" i="17"/>
  <c r="T369" i="17"/>
  <c r="S369" i="17"/>
  <c r="R369" i="17"/>
  <c r="Q369" i="17"/>
  <c r="P369" i="17"/>
  <c r="O369" i="17"/>
  <c r="N369" i="17"/>
  <c r="M369" i="17"/>
  <c r="L369" i="17"/>
  <c r="K369" i="17"/>
  <c r="J369" i="17"/>
  <c r="I369" i="17"/>
  <c r="H369" i="17"/>
  <c r="G369" i="17"/>
  <c r="F369" i="17"/>
  <c r="E369" i="17"/>
  <c r="D369" i="17"/>
  <c r="C369" i="17"/>
  <c r="B369" i="17"/>
  <c r="A368" i="17"/>
  <c r="Y368" i="17"/>
  <c r="X368" i="17"/>
  <c r="W368" i="17"/>
  <c r="V368" i="17"/>
  <c r="U368" i="17"/>
  <c r="T368" i="17"/>
  <c r="S368" i="17"/>
  <c r="R368" i="17"/>
  <c r="Q368" i="17"/>
  <c r="P368" i="17"/>
  <c r="O368" i="17"/>
  <c r="N368" i="17"/>
  <c r="M368" i="17"/>
  <c r="L368" i="17"/>
  <c r="K368" i="17"/>
  <c r="J368" i="17"/>
  <c r="I368" i="17"/>
  <c r="H368" i="17"/>
  <c r="G368" i="17"/>
  <c r="F368" i="17"/>
  <c r="E368" i="17"/>
  <c r="D368" i="17"/>
  <c r="C368" i="17"/>
  <c r="B368" i="17"/>
  <c r="A367" i="17"/>
  <c r="Y367" i="17"/>
  <c r="X367" i="17"/>
  <c r="W367" i="17"/>
  <c r="V367" i="17"/>
  <c r="U367" i="17"/>
  <c r="T367" i="17"/>
  <c r="S367" i="17"/>
  <c r="R367" i="17"/>
  <c r="Q367" i="17"/>
  <c r="P367" i="17"/>
  <c r="O367" i="17"/>
  <c r="N367" i="17"/>
  <c r="M367" i="17"/>
  <c r="L367" i="17"/>
  <c r="K367" i="17"/>
  <c r="J367" i="17"/>
  <c r="I367" i="17"/>
  <c r="H367" i="17"/>
  <c r="G367" i="17"/>
  <c r="F367" i="17"/>
  <c r="E367" i="17"/>
  <c r="D367" i="17"/>
  <c r="C367" i="17"/>
  <c r="B367" i="17"/>
  <c r="A366" i="17"/>
  <c r="Y366" i="17"/>
  <c r="X366" i="17"/>
  <c r="W366" i="17"/>
  <c r="V366" i="17"/>
  <c r="U366" i="17"/>
  <c r="T366" i="17"/>
  <c r="S366" i="17"/>
  <c r="R366" i="17"/>
  <c r="Q366" i="17"/>
  <c r="P366" i="17"/>
  <c r="O366" i="17"/>
  <c r="N366" i="17"/>
  <c r="M366" i="17"/>
  <c r="L366" i="17"/>
  <c r="K366" i="17"/>
  <c r="J366" i="17"/>
  <c r="I366" i="17"/>
  <c r="H366" i="17"/>
  <c r="G366" i="17"/>
  <c r="F366" i="17"/>
  <c r="E366" i="17"/>
  <c r="D366" i="17"/>
  <c r="C366" i="17"/>
  <c r="B366" i="17"/>
  <c r="A365" i="17"/>
  <c r="Y365" i="17"/>
  <c r="X365" i="17"/>
  <c r="W365" i="17"/>
  <c r="V365" i="17"/>
  <c r="U365" i="17"/>
  <c r="T365" i="17"/>
  <c r="S365" i="17"/>
  <c r="R365" i="17"/>
  <c r="Q365" i="17"/>
  <c r="P365" i="17"/>
  <c r="O365" i="17"/>
  <c r="N365" i="17"/>
  <c r="M365" i="17"/>
  <c r="L365" i="17"/>
  <c r="K365" i="17"/>
  <c r="J365" i="17"/>
  <c r="I365" i="17"/>
  <c r="H365" i="17"/>
  <c r="G365" i="17"/>
  <c r="F365" i="17"/>
  <c r="E365" i="17"/>
  <c r="D365" i="17"/>
  <c r="C365" i="17"/>
  <c r="B365" i="17"/>
  <c r="A364" i="17"/>
  <c r="Y364" i="17"/>
  <c r="X364" i="17"/>
  <c r="W364" i="17"/>
  <c r="V364" i="17"/>
  <c r="U364" i="17"/>
  <c r="T364" i="17"/>
  <c r="S364" i="17"/>
  <c r="R364" i="17"/>
  <c r="Q364" i="17"/>
  <c r="P364" i="17"/>
  <c r="O364" i="17"/>
  <c r="N364" i="17"/>
  <c r="M364" i="17"/>
  <c r="L364" i="17"/>
  <c r="K364" i="17"/>
  <c r="J364" i="17"/>
  <c r="I364" i="17"/>
  <c r="H364" i="17"/>
  <c r="G364" i="17"/>
  <c r="F364" i="17"/>
  <c r="E364" i="17"/>
  <c r="D364" i="17"/>
  <c r="C364" i="17"/>
  <c r="B364" i="17"/>
  <c r="A363" i="17"/>
  <c r="Y363" i="17"/>
  <c r="X363" i="17"/>
  <c r="W363" i="17"/>
  <c r="V363" i="17"/>
  <c r="U363" i="17"/>
  <c r="T363" i="17"/>
  <c r="S363" i="17"/>
  <c r="R363" i="17"/>
  <c r="Q363" i="17"/>
  <c r="P363" i="17"/>
  <c r="O363" i="17"/>
  <c r="N363" i="17"/>
  <c r="M363" i="17"/>
  <c r="L363" i="17"/>
  <c r="K363" i="17"/>
  <c r="J363" i="17"/>
  <c r="I363" i="17"/>
  <c r="H363" i="17"/>
  <c r="G363" i="17"/>
  <c r="F363" i="17"/>
  <c r="E363" i="17"/>
  <c r="D363" i="17"/>
  <c r="C363" i="17"/>
  <c r="B363" i="17"/>
  <c r="A362" i="17"/>
  <c r="Y362" i="17"/>
  <c r="X362" i="17"/>
  <c r="W362" i="17"/>
  <c r="V362" i="17"/>
  <c r="U362" i="17"/>
  <c r="T362" i="17"/>
  <c r="S362" i="17"/>
  <c r="R362" i="17"/>
  <c r="Q362" i="17"/>
  <c r="P362" i="17"/>
  <c r="O362" i="17"/>
  <c r="N362" i="17"/>
  <c r="M362" i="17"/>
  <c r="L362" i="17"/>
  <c r="K362" i="17"/>
  <c r="J362" i="17"/>
  <c r="I362" i="17"/>
  <c r="H362" i="17"/>
  <c r="G362" i="17"/>
  <c r="F362" i="17"/>
  <c r="E362" i="17"/>
  <c r="D362" i="17"/>
  <c r="C362" i="17"/>
  <c r="B362" i="17"/>
  <c r="A361" i="17"/>
  <c r="Y361" i="17"/>
  <c r="X361" i="17"/>
  <c r="W361" i="17"/>
  <c r="V361" i="17"/>
  <c r="U361" i="17"/>
  <c r="T361" i="17"/>
  <c r="S361" i="17"/>
  <c r="R361" i="17"/>
  <c r="Q361" i="17"/>
  <c r="P361" i="17"/>
  <c r="O361" i="17"/>
  <c r="N361" i="17"/>
  <c r="M361" i="17"/>
  <c r="L361" i="17"/>
  <c r="K361" i="17"/>
  <c r="J361" i="17"/>
  <c r="I361" i="17"/>
  <c r="H361" i="17"/>
  <c r="G361" i="17"/>
  <c r="F361" i="17"/>
  <c r="E361" i="17"/>
  <c r="D361" i="17"/>
  <c r="C361" i="17"/>
  <c r="B361" i="17"/>
  <c r="A360" i="17"/>
  <c r="Y360" i="17"/>
  <c r="X360" i="17"/>
  <c r="W360" i="17"/>
  <c r="V360" i="17"/>
  <c r="U360" i="17"/>
  <c r="T360" i="17"/>
  <c r="S360" i="17"/>
  <c r="R360" i="17"/>
  <c r="Q360" i="17"/>
  <c r="P360" i="17"/>
  <c r="O360" i="17"/>
  <c r="N360" i="17"/>
  <c r="M360" i="17"/>
  <c r="L360" i="17"/>
  <c r="K360" i="17"/>
  <c r="J360" i="17"/>
  <c r="I360" i="17"/>
  <c r="H360" i="17"/>
  <c r="G360" i="17"/>
  <c r="F360" i="17"/>
  <c r="E360" i="17"/>
  <c r="D360" i="17"/>
  <c r="C360" i="17"/>
  <c r="B360" i="17"/>
  <c r="A359" i="17"/>
  <c r="Y359" i="17"/>
  <c r="X359" i="17"/>
  <c r="W359" i="17"/>
  <c r="V359" i="17"/>
  <c r="U359" i="17"/>
  <c r="T359" i="17"/>
  <c r="S359" i="17"/>
  <c r="R359" i="17"/>
  <c r="Q359" i="17"/>
  <c r="P359" i="17"/>
  <c r="O359" i="17"/>
  <c r="N359" i="17"/>
  <c r="M359" i="17"/>
  <c r="L359" i="17"/>
  <c r="K359" i="17"/>
  <c r="J359" i="17"/>
  <c r="I359" i="17"/>
  <c r="H359" i="17"/>
  <c r="G359" i="17"/>
  <c r="F359" i="17"/>
  <c r="E359" i="17"/>
  <c r="D359" i="17"/>
  <c r="C359" i="17"/>
  <c r="B359" i="17"/>
  <c r="A358" i="17"/>
  <c r="Y358" i="17"/>
  <c r="X358" i="17"/>
  <c r="W358" i="17"/>
  <c r="V358" i="17"/>
  <c r="U358" i="17"/>
  <c r="T358" i="17"/>
  <c r="S358" i="17"/>
  <c r="R358" i="17"/>
  <c r="Q358" i="17"/>
  <c r="P358" i="17"/>
  <c r="O358" i="17"/>
  <c r="N358" i="17"/>
  <c r="M358" i="17"/>
  <c r="L358" i="17"/>
  <c r="K358" i="17"/>
  <c r="J358" i="17"/>
  <c r="I358" i="17"/>
  <c r="H358" i="17"/>
  <c r="G358" i="17"/>
  <c r="F358" i="17"/>
  <c r="E358" i="17"/>
  <c r="D358" i="17"/>
  <c r="C358" i="17"/>
  <c r="B358" i="17"/>
  <c r="A357" i="17"/>
  <c r="Y357" i="17"/>
  <c r="X357" i="17"/>
  <c r="W357" i="17"/>
  <c r="V357" i="17"/>
  <c r="U357" i="17"/>
  <c r="T357" i="17"/>
  <c r="S357" i="17"/>
  <c r="R357" i="17"/>
  <c r="Q357" i="17"/>
  <c r="P357" i="17"/>
  <c r="O357" i="17"/>
  <c r="N357" i="17"/>
  <c r="M357" i="17"/>
  <c r="L357" i="17"/>
  <c r="K357" i="17"/>
  <c r="J357" i="17"/>
  <c r="I357" i="17"/>
  <c r="H357" i="17"/>
  <c r="G357" i="17"/>
  <c r="F357" i="17"/>
  <c r="E357" i="17"/>
  <c r="D357" i="17"/>
  <c r="C357" i="17"/>
  <c r="B357" i="17"/>
  <c r="A356" i="17"/>
  <c r="Y356" i="17"/>
  <c r="X356" i="17"/>
  <c r="W356" i="17"/>
  <c r="V356" i="17"/>
  <c r="U356" i="17"/>
  <c r="T356" i="17"/>
  <c r="S356" i="17"/>
  <c r="R356" i="17"/>
  <c r="Q356" i="17"/>
  <c r="P356" i="17"/>
  <c r="O356" i="17"/>
  <c r="N356" i="17"/>
  <c r="M356" i="17"/>
  <c r="L356" i="17"/>
  <c r="K356" i="17"/>
  <c r="J356" i="17"/>
  <c r="I356" i="17"/>
  <c r="H356" i="17"/>
  <c r="G356" i="17"/>
  <c r="F356" i="17"/>
  <c r="E356" i="17"/>
  <c r="D356" i="17"/>
  <c r="C356" i="17"/>
  <c r="B356" i="17"/>
  <c r="A355" i="17"/>
  <c r="Y355" i="17"/>
  <c r="X355" i="17"/>
  <c r="W355" i="17"/>
  <c r="V355" i="17"/>
  <c r="U355" i="17"/>
  <c r="T355" i="17"/>
  <c r="S355" i="17"/>
  <c r="R355" i="17"/>
  <c r="Q355" i="17"/>
  <c r="P355" i="17"/>
  <c r="O355" i="17"/>
  <c r="N355" i="17"/>
  <c r="M355" i="17"/>
  <c r="L355" i="17"/>
  <c r="K355" i="17"/>
  <c r="J355" i="17"/>
  <c r="I355" i="17"/>
  <c r="H355" i="17"/>
  <c r="G355" i="17"/>
  <c r="F355" i="17"/>
  <c r="E355" i="17"/>
  <c r="D355" i="17"/>
  <c r="C355" i="17"/>
  <c r="B355" i="17"/>
  <c r="A354" i="17"/>
  <c r="Y354" i="17"/>
  <c r="X354" i="17"/>
  <c r="W354" i="17"/>
  <c r="V354" i="17"/>
  <c r="U354" i="17"/>
  <c r="T354" i="17"/>
  <c r="S354" i="17"/>
  <c r="R354" i="17"/>
  <c r="Q354" i="17"/>
  <c r="P354" i="17"/>
  <c r="O354" i="17"/>
  <c r="N354" i="17"/>
  <c r="M354" i="17"/>
  <c r="L354" i="17"/>
  <c r="K354" i="17"/>
  <c r="J354" i="17"/>
  <c r="I354" i="17"/>
  <c r="H354" i="17"/>
  <c r="G354" i="17"/>
  <c r="F354" i="17"/>
  <c r="E354" i="17"/>
  <c r="D354" i="17"/>
  <c r="C354" i="17"/>
  <c r="B354" i="17"/>
  <c r="A353" i="17"/>
  <c r="Y353" i="17"/>
  <c r="X353" i="17"/>
  <c r="W353" i="17"/>
  <c r="V353" i="17"/>
  <c r="U353" i="17"/>
  <c r="T353" i="17"/>
  <c r="S353" i="17"/>
  <c r="R353" i="17"/>
  <c r="Q353" i="17"/>
  <c r="P353" i="17"/>
  <c r="O353" i="17"/>
  <c r="N353" i="17"/>
  <c r="M353" i="17"/>
  <c r="L353" i="17"/>
  <c r="K353" i="17"/>
  <c r="J353" i="17"/>
  <c r="I353" i="17"/>
  <c r="H353" i="17"/>
  <c r="G353" i="17"/>
  <c r="F353" i="17"/>
  <c r="E353" i="17"/>
  <c r="D353" i="17"/>
  <c r="C353" i="17"/>
  <c r="B353" i="17"/>
  <c r="A352" i="17"/>
  <c r="Y352" i="17"/>
  <c r="X352" i="17"/>
  <c r="W352" i="17"/>
  <c r="V352" i="17"/>
  <c r="U352" i="17"/>
  <c r="T352" i="17"/>
  <c r="S352" i="17"/>
  <c r="R352" i="17"/>
  <c r="Q352" i="17"/>
  <c r="P352" i="17"/>
  <c r="O352" i="17"/>
  <c r="N352" i="17"/>
  <c r="M352" i="17"/>
  <c r="L352" i="17"/>
  <c r="K352" i="17"/>
  <c r="J352" i="17"/>
  <c r="I352" i="17"/>
  <c r="H352" i="17"/>
  <c r="G352" i="17"/>
  <c r="F352" i="17"/>
  <c r="E352" i="17"/>
  <c r="D352" i="17"/>
  <c r="C352" i="17"/>
  <c r="B352" i="17"/>
  <c r="A351" i="17"/>
  <c r="Y351" i="17"/>
  <c r="X351" i="17"/>
  <c r="W351" i="17"/>
  <c r="V351" i="17"/>
  <c r="U351" i="17"/>
  <c r="T351" i="17"/>
  <c r="S351" i="17"/>
  <c r="R351" i="17"/>
  <c r="Q351" i="17"/>
  <c r="P351" i="17"/>
  <c r="O351" i="17"/>
  <c r="N351" i="17"/>
  <c r="M351" i="17"/>
  <c r="L351" i="17"/>
  <c r="K351" i="17"/>
  <c r="J351" i="17"/>
  <c r="I351" i="17"/>
  <c r="H351" i="17"/>
  <c r="G351" i="17"/>
  <c r="F351" i="17"/>
  <c r="E351" i="17"/>
  <c r="D351" i="17"/>
  <c r="C351" i="17"/>
  <c r="B351" i="17"/>
  <c r="A350" i="17"/>
  <c r="Y350" i="17"/>
  <c r="X350" i="17"/>
  <c r="W350" i="17"/>
  <c r="V350" i="17"/>
  <c r="U350" i="17"/>
  <c r="T350" i="17"/>
  <c r="S350" i="17"/>
  <c r="R350" i="17"/>
  <c r="Q350" i="17"/>
  <c r="P350" i="17"/>
  <c r="O350" i="17"/>
  <c r="N350" i="17"/>
  <c r="M350" i="17"/>
  <c r="L350" i="17"/>
  <c r="K350" i="17"/>
  <c r="J350" i="17"/>
  <c r="I350" i="17"/>
  <c r="H350" i="17"/>
  <c r="G350" i="17"/>
  <c r="F350" i="17"/>
  <c r="E350" i="17"/>
  <c r="D350" i="17"/>
  <c r="C350" i="17"/>
  <c r="B350" i="17"/>
  <c r="A349" i="17"/>
  <c r="Y349" i="17"/>
  <c r="X349" i="17"/>
  <c r="W349" i="17"/>
  <c r="V349" i="17"/>
  <c r="U349" i="17"/>
  <c r="T349" i="17"/>
  <c r="S349" i="17"/>
  <c r="R349" i="17"/>
  <c r="Q349" i="17"/>
  <c r="P349" i="17"/>
  <c r="O349" i="17"/>
  <c r="N349" i="17"/>
  <c r="M349" i="17"/>
  <c r="L349" i="17"/>
  <c r="K349" i="17"/>
  <c r="J349" i="17"/>
  <c r="I349" i="17"/>
  <c r="H349" i="17"/>
  <c r="G349" i="17"/>
  <c r="F349" i="17"/>
  <c r="E349" i="17"/>
  <c r="D349" i="17"/>
  <c r="C349" i="17"/>
  <c r="B349" i="17"/>
  <c r="A348" i="17"/>
  <c r="Y348" i="17"/>
  <c r="X348" i="17"/>
  <c r="W348" i="17"/>
  <c r="V348" i="17"/>
  <c r="U348" i="17"/>
  <c r="T348" i="17"/>
  <c r="S348" i="17"/>
  <c r="R348" i="17"/>
  <c r="Q348" i="17"/>
  <c r="P348" i="17"/>
  <c r="O348" i="17"/>
  <c r="N348" i="17"/>
  <c r="M348" i="17"/>
  <c r="L348" i="17"/>
  <c r="K348" i="17"/>
  <c r="J348" i="17"/>
  <c r="I348" i="17"/>
  <c r="H348" i="17"/>
  <c r="G348" i="17"/>
  <c r="F348" i="17"/>
  <c r="E348" i="17"/>
  <c r="D348" i="17"/>
  <c r="C348" i="17"/>
  <c r="B348" i="17"/>
  <c r="A347" i="17"/>
  <c r="Y347" i="17"/>
  <c r="X347" i="17"/>
  <c r="W347" i="17"/>
  <c r="V347" i="17"/>
  <c r="U347" i="17"/>
  <c r="T347" i="17"/>
  <c r="S347" i="17"/>
  <c r="R347" i="17"/>
  <c r="Q347" i="17"/>
  <c r="P347" i="17"/>
  <c r="O347" i="17"/>
  <c r="N347" i="17"/>
  <c r="M347" i="17"/>
  <c r="L347" i="17"/>
  <c r="K347" i="17"/>
  <c r="J347" i="17"/>
  <c r="I347" i="17"/>
  <c r="H347" i="17"/>
  <c r="G347" i="17"/>
  <c r="F347" i="17"/>
  <c r="E347" i="17"/>
  <c r="D347" i="17"/>
  <c r="C347" i="17"/>
  <c r="B347" i="17"/>
  <c r="A346" i="17"/>
  <c r="Y346" i="17"/>
  <c r="X346" i="17"/>
  <c r="W346" i="17"/>
  <c r="V346" i="17"/>
  <c r="U346" i="17"/>
  <c r="T346" i="17"/>
  <c r="S346" i="17"/>
  <c r="R346" i="17"/>
  <c r="Q346" i="17"/>
  <c r="P346" i="17"/>
  <c r="O346" i="17"/>
  <c r="N346" i="17"/>
  <c r="M346" i="17"/>
  <c r="L346" i="17"/>
  <c r="K346" i="17"/>
  <c r="J346" i="17"/>
  <c r="I346" i="17"/>
  <c r="H346" i="17"/>
  <c r="G346" i="17"/>
  <c r="F346" i="17"/>
  <c r="E346" i="17"/>
  <c r="D346" i="17"/>
  <c r="C346" i="17"/>
  <c r="B346" i="17"/>
  <c r="A345" i="17"/>
  <c r="Y345" i="17"/>
  <c r="X345" i="17"/>
  <c r="W345" i="17"/>
  <c r="V345" i="17"/>
  <c r="U345" i="17"/>
  <c r="T345" i="17"/>
  <c r="S345" i="17"/>
  <c r="R345" i="17"/>
  <c r="Q345" i="17"/>
  <c r="P345" i="17"/>
  <c r="O345" i="17"/>
  <c r="N345" i="17"/>
  <c r="M345" i="17"/>
  <c r="L345" i="17"/>
  <c r="K345" i="17"/>
  <c r="J345" i="17"/>
  <c r="I345" i="17"/>
  <c r="H345" i="17"/>
  <c r="G345" i="17"/>
  <c r="F345" i="17"/>
  <c r="E345" i="17"/>
  <c r="D345" i="17"/>
  <c r="C345" i="17"/>
  <c r="B345" i="17"/>
  <c r="A344" i="17"/>
  <c r="Y344" i="17"/>
  <c r="X344" i="17"/>
  <c r="W344" i="17"/>
  <c r="V344" i="17"/>
  <c r="U344" i="17"/>
  <c r="T344" i="17"/>
  <c r="S344" i="17"/>
  <c r="R344" i="17"/>
  <c r="Q344" i="17"/>
  <c r="P344" i="17"/>
  <c r="O344" i="17"/>
  <c r="N344" i="17"/>
  <c r="M344" i="17"/>
  <c r="L344" i="17"/>
  <c r="K344" i="17"/>
  <c r="J344" i="17"/>
  <c r="I344" i="17"/>
  <c r="H344" i="17"/>
  <c r="G344" i="17"/>
  <c r="F344" i="17"/>
  <c r="E344" i="17"/>
  <c r="D344" i="17"/>
  <c r="C344" i="17"/>
  <c r="B344" i="17"/>
  <c r="A343" i="17"/>
  <c r="Y343" i="17"/>
  <c r="X343" i="17"/>
  <c r="W343" i="17"/>
  <c r="V343" i="17"/>
  <c r="U343" i="17"/>
  <c r="T343" i="17"/>
  <c r="S343" i="17"/>
  <c r="R343" i="17"/>
  <c r="Q343" i="17"/>
  <c r="P343" i="17"/>
  <c r="O343" i="17"/>
  <c r="N343" i="17"/>
  <c r="M343" i="17"/>
  <c r="L343" i="17"/>
  <c r="K343" i="17"/>
  <c r="J343" i="17"/>
  <c r="I343" i="17"/>
  <c r="H343" i="17"/>
  <c r="G343" i="17"/>
  <c r="F343" i="17"/>
  <c r="E343" i="17"/>
  <c r="D343" i="17"/>
  <c r="C343" i="17"/>
  <c r="B343" i="17"/>
  <c r="A342" i="17"/>
  <c r="Y342" i="17"/>
  <c r="X342" i="17"/>
  <c r="W342" i="17"/>
  <c r="V342" i="17"/>
  <c r="U342" i="17"/>
  <c r="T342" i="17"/>
  <c r="S342" i="17"/>
  <c r="R342" i="17"/>
  <c r="Q342" i="17"/>
  <c r="P342" i="17"/>
  <c r="O342" i="17"/>
  <c r="N342" i="17"/>
  <c r="M342" i="17"/>
  <c r="L342" i="17"/>
  <c r="K342" i="17"/>
  <c r="J342" i="17"/>
  <c r="I342" i="17"/>
  <c r="H342" i="17"/>
  <c r="G342" i="17"/>
  <c r="F342" i="17"/>
  <c r="E342" i="17"/>
  <c r="D342" i="17"/>
  <c r="C342" i="17"/>
  <c r="B342" i="17"/>
  <c r="A341" i="17"/>
  <c r="Y341" i="17"/>
  <c r="X341" i="17"/>
  <c r="W341" i="17"/>
  <c r="V341" i="17"/>
  <c r="U341" i="17"/>
  <c r="T341" i="17"/>
  <c r="S341" i="17"/>
  <c r="R341" i="17"/>
  <c r="Q341" i="17"/>
  <c r="P341" i="17"/>
  <c r="O341" i="17"/>
  <c r="N341" i="17"/>
  <c r="M341" i="17"/>
  <c r="L341" i="17"/>
  <c r="K341" i="17"/>
  <c r="J341" i="17"/>
  <c r="I341" i="17"/>
  <c r="H341" i="17"/>
  <c r="G341" i="17"/>
  <c r="F341" i="17"/>
  <c r="E341" i="17"/>
  <c r="D341" i="17"/>
  <c r="C341" i="17"/>
  <c r="B341" i="17"/>
  <c r="A340" i="17"/>
  <c r="Y340" i="17"/>
  <c r="X340" i="17"/>
  <c r="W340" i="17"/>
  <c r="V340" i="17"/>
  <c r="U340" i="17"/>
  <c r="T340" i="17"/>
  <c r="S340" i="17"/>
  <c r="R340" i="17"/>
  <c r="Q340" i="17"/>
  <c r="P340" i="17"/>
  <c r="O340" i="17"/>
  <c r="N340" i="17"/>
  <c r="M340" i="17"/>
  <c r="L340" i="17"/>
  <c r="K340" i="17"/>
  <c r="J340" i="17"/>
  <c r="I340" i="17"/>
  <c r="H340" i="17"/>
  <c r="G340" i="17"/>
  <c r="F340" i="17"/>
  <c r="E340" i="17"/>
  <c r="D340" i="17"/>
  <c r="C340" i="17"/>
  <c r="B340" i="17"/>
  <c r="A339" i="17"/>
  <c r="Y339" i="17"/>
  <c r="X339" i="17"/>
  <c r="W339" i="17"/>
  <c r="V339" i="17"/>
  <c r="U339" i="17"/>
  <c r="T339" i="17"/>
  <c r="S339" i="17"/>
  <c r="R339" i="17"/>
  <c r="Q339" i="17"/>
  <c r="P339" i="17"/>
  <c r="O339" i="17"/>
  <c r="N339" i="17"/>
  <c r="M339" i="17"/>
  <c r="L339" i="17"/>
  <c r="K339" i="17"/>
  <c r="J339" i="17"/>
  <c r="I339" i="17"/>
  <c r="H339" i="17"/>
  <c r="G339" i="17"/>
  <c r="F339" i="17"/>
  <c r="E339" i="17"/>
  <c r="D339" i="17"/>
  <c r="C339" i="17"/>
  <c r="B339" i="17"/>
  <c r="A338" i="17"/>
  <c r="Y338" i="17"/>
  <c r="X338" i="17"/>
  <c r="W338" i="17"/>
  <c r="V338" i="17"/>
  <c r="U338" i="17"/>
  <c r="T338" i="17"/>
  <c r="S338" i="17"/>
  <c r="R338" i="17"/>
  <c r="Q338" i="17"/>
  <c r="P338" i="17"/>
  <c r="O338" i="17"/>
  <c r="N338" i="17"/>
  <c r="M338" i="17"/>
  <c r="L338" i="17"/>
  <c r="K338" i="17"/>
  <c r="J338" i="17"/>
  <c r="I338" i="17"/>
  <c r="H338" i="17"/>
  <c r="G338" i="17"/>
  <c r="F338" i="17"/>
  <c r="E338" i="17"/>
  <c r="D338" i="17"/>
  <c r="C338" i="17"/>
  <c r="B338" i="17"/>
  <c r="A337" i="17"/>
  <c r="Y337" i="17"/>
  <c r="X337" i="17"/>
  <c r="W337" i="17"/>
  <c r="V337" i="17"/>
  <c r="U337" i="17"/>
  <c r="T337" i="17"/>
  <c r="S337" i="17"/>
  <c r="R337" i="17"/>
  <c r="Q337" i="17"/>
  <c r="P337" i="17"/>
  <c r="O337" i="17"/>
  <c r="N337" i="17"/>
  <c r="M337" i="17"/>
  <c r="L337" i="17"/>
  <c r="K337" i="17"/>
  <c r="J337" i="17"/>
  <c r="I337" i="17"/>
  <c r="H337" i="17"/>
  <c r="G337" i="17"/>
  <c r="F337" i="17"/>
  <c r="E337" i="17"/>
  <c r="D337" i="17"/>
  <c r="C337" i="17"/>
  <c r="B337" i="17"/>
  <c r="A336" i="17"/>
  <c r="Y336" i="17"/>
  <c r="X336" i="17"/>
  <c r="W336" i="17"/>
  <c r="V336" i="17"/>
  <c r="U336" i="17"/>
  <c r="T336" i="17"/>
  <c r="S336" i="17"/>
  <c r="R336" i="17"/>
  <c r="Q336" i="17"/>
  <c r="P336" i="17"/>
  <c r="O336" i="17"/>
  <c r="N336" i="17"/>
  <c r="M336" i="17"/>
  <c r="L336" i="17"/>
  <c r="K336" i="17"/>
  <c r="J336" i="17"/>
  <c r="I336" i="17"/>
  <c r="H336" i="17"/>
  <c r="G336" i="17"/>
  <c r="F336" i="17"/>
  <c r="E336" i="17"/>
  <c r="D336" i="17"/>
  <c r="C336" i="17"/>
  <c r="B336" i="17"/>
  <c r="A335" i="17"/>
  <c r="Y335" i="17"/>
  <c r="X335" i="17"/>
  <c r="W335" i="17"/>
  <c r="V335" i="17"/>
  <c r="U335" i="17"/>
  <c r="T335" i="17"/>
  <c r="S335" i="17"/>
  <c r="R335" i="17"/>
  <c r="Q335" i="17"/>
  <c r="P335" i="17"/>
  <c r="O335" i="17"/>
  <c r="N335" i="17"/>
  <c r="M335" i="17"/>
  <c r="L335" i="17"/>
  <c r="K335" i="17"/>
  <c r="J335" i="17"/>
  <c r="I335" i="17"/>
  <c r="H335" i="17"/>
  <c r="G335" i="17"/>
  <c r="F335" i="17"/>
  <c r="E335" i="17"/>
  <c r="D335" i="17"/>
  <c r="C335" i="17"/>
  <c r="B335" i="17"/>
  <c r="A334" i="17"/>
  <c r="Y334" i="17"/>
  <c r="X334" i="17"/>
  <c r="W334" i="17"/>
  <c r="V334" i="17"/>
  <c r="U334" i="17"/>
  <c r="T334" i="17"/>
  <c r="S334" i="17"/>
  <c r="R334" i="17"/>
  <c r="Q334" i="17"/>
  <c r="P334" i="17"/>
  <c r="O334" i="17"/>
  <c r="N334" i="17"/>
  <c r="M334" i="17"/>
  <c r="L334" i="17"/>
  <c r="K334" i="17"/>
  <c r="J334" i="17"/>
  <c r="I334" i="17"/>
  <c r="H334" i="17"/>
  <c r="G334" i="17"/>
  <c r="F334" i="17"/>
  <c r="E334" i="17"/>
  <c r="D334" i="17"/>
  <c r="C334" i="17"/>
  <c r="B334" i="17"/>
  <c r="A333" i="17"/>
  <c r="Y333" i="17"/>
  <c r="X333" i="17"/>
  <c r="W333" i="17"/>
  <c r="V333" i="17"/>
  <c r="U333" i="17"/>
  <c r="T333" i="17"/>
  <c r="S333" i="17"/>
  <c r="R333" i="17"/>
  <c r="Q333" i="17"/>
  <c r="P333" i="17"/>
  <c r="O333" i="17"/>
  <c r="N333" i="17"/>
  <c r="M333" i="17"/>
  <c r="L333" i="17"/>
  <c r="K333" i="17"/>
  <c r="J333" i="17"/>
  <c r="I333" i="17"/>
  <c r="H333" i="17"/>
  <c r="G333" i="17"/>
  <c r="F333" i="17"/>
  <c r="E333" i="17"/>
  <c r="D333" i="17"/>
  <c r="C333" i="17"/>
  <c r="B333" i="17"/>
  <c r="A332" i="17"/>
  <c r="Y332" i="17"/>
  <c r="X332" i="17"/>
  <c r="W332" i="17"/>
  <c r="V332" i="17"/>
  <c r="U332" i="17"/>
  <c r="T332" i="17"/>
  <c r="S332" i="17"/>
  <c r="R332" i="17"/>
  <c r="Q332" i="17"/>
  <c r="P332" i="17"/>
  <c r="O332" i="17"/>
  <c r="N332" i="17"/>
  <c r="M332" i="17"/>
  <c r="L332" i="17"/>
  <c r="K332" i="17"/>
  <c r="J332" i="17"/>
  <c r="I332" i="17"/>
  <c r="H332" i="17"/>
  <c r="G332" i="17"/>
  <c r="F332" i="17"/>
  <c r="E332" i="17"/>
  <c r="D332" i="17"/>
  <c r="C332" i="17"/>
  <c r="B332" i="17"/>
  <c r="A331" i="17"/>
  <c r="Y331" i="17"/>
  <c r="X331" i="17"/>
  <c r="W331" i="17"/>
  <c r="V331" i="17"/>
  <c r="U331" i="17"/>
  <c r="T331" i="17"/>
  <c r="S331" i="17"/>
  <c r="R331" i="17"/>
  <c r="Q331" i="17"/>
  <c r="P331" i="17"/>
  <c r="O331" i="17"/>
  <c r="N331" i="17"/>
  <c r="M331" i="17"/>
  <c r="L331" i="17"/>
  <c r="K331" i="17"/>
  <c r="J331" i="17"/>
  <c r="I331" i="17"/>
  <c r="H331" i="17"/>
  <c r="G331" i="17"/>
  <c r="F331" i="17"/>
  <c r="E331" i="17"/>
  <c r="D331" i="17"/>
  <c r="C331" i="17"/>
  <c r="B331" i="17"/>
  <c r="A330" i="17"/>
  <c r="Y330" i="17"/>
  <c r="X330" i="17"/>
  <c r="W330" i="17"/>
  <c r="V330" i="17"/>
  <c r="U330" i="17"/>
  <c r="T330" i="17"/>
  <c r="S330" i="17"/>
  <c r="R330" i="17"/>
  <c r="Q330" i="17"/>
  <c r="P330" i="17"/>
  <c r="O330" i="17"/>
  <c r="N330" i="17"/>
  <c r="M330" i="17"/>
  <c r="L330" i="17"/>
  <c r="K330" i="17"/>
  <c r="J330" i="17"/>
  <c r="I330" i="17"/>
  <c r="H330" i="17"/>
  <c r="G330" i="17"/>
  <c r="F330" i="17"/>
  <c r="E330" i="17"/>
  <c r="D330" i="17"/>
  <c r="C330" i="17"/>
  <c r="B330" i="17"/>
  <c r="A329" i="17"/>
  <c r="Y329" i="17"/>
  <c r="X329" i="17"/>
  <c r="W329" i="17"/>
  <c r="V329" i="17"/>
  <c r="U329" i="17"/>
  <c r="T329" i="17"/>
  <c r="S329" i="17"/>
  <c r="R329" i="17"/>
  <c r="Q329" i="17"/>
  <c r="P329" i="17"/>
  <c r="O329" i="17"/>
  <c r="N329" i="17"/>
  <c r="M329" i="17"/>
  <c r="L329" i="17"/>
  <c r="K329" i="17"/>
  <c r="J329" i="17"/>
  <c r="I329" i="17"/>
  <c r="H329" i="17"/>
  <c r="G329" i="17"/>
  <c r="F329" i="17"/>
  <c r="E329" i="17"/>
  <c r="D329" i="17"/>
  <c r="C329" i="17"/>
  <c r="B329" i="17"/>
  <c r="A328" i="17"/>
  <c r="Y328" i="17"/>
  <c r="X328" i="17"/>
  <c r="W328" i="17"/>
  <c r="V328" i="17"/>
  <c r="U328" i="17"/>
  <c r="T328" i="17"/>
  <c r="S328" i="17"/>
  <c r="R328" i="17"/>
  <c r="Q328" i="17"/>
  <c r="P328" i="17"/>
  <c r="O328" i="17"/>
  <c r="N328" i="17"/>
  <c r="M328" i="17"/>
  <c r="L328" i="17"/>
  <c r="K328" i="17"/>
  <c r="J328" i="17"/>
  <c r="I328" i="17"/>
  <c r="H328" i="17"/>
  <c r="G328" i="17"/>
  <c r="F328" i="17"/>
  <c r="E328" i="17"/>
  <c r="D328" i="17"/>
  <c r="C328" i="17"/>
  <c r="B328" i="17"/>
  <c r="A327" i="17"/>
  <c r="Y327" i="17"/>
  <c r="X327" i="17"/>
  <c r="W327" i="17"/>
  <c r="V327" i="17"/>
  <c r="U327" i="17"/>
  <c r="T327" i="17"/>
  <c r="S327" i="17"/>
  <c r="R327" i="17"/>
  <c r="Q327" i="17"/>
  <c r="P327" i="17"/>
  <c r="O327" i="17"/>
  <c r="N327" i="17"/>
  <c r="M327" i="17"/>
  <c r="L327" i="17"/>
  <c r="K327" i="17"/>
  <c r="J327" i="17"/>
  <c r="I327" i="17"/>
  <c r="H327" i="17"/>
  <c r="G327" i="17"/>
  <c r="F327" i="17"/>
  <c r="E327" i="17"/>
  <c r="D327" i="17"/>
  <c r="C327" i="17"/>
  <c r="B327" i="17"/>
  <c r="A326" i="17"/>
  <c r="Y326" i="17"/>
  <c r="X326" i="17"/>
  <c r="W326" i="17"/>
  <c r="V326" i="17"/>
  <c r="U326" i="17"/>
  <c r="T326" i="17"/>
  <c r="S326" i="17"/>
  <c r="R326" i="17"/>
  <c r="Q326" i="17"/>
  <c r="P326" i="17"/>
  <c r="O326" i="17"/>
  <c r="N326" i="17"/>
  <c r="M326" i="17"/>
  <c r="L326" i="17"/>
  <c r="K326" i="17"/>
  <c r="J326" i="17"/>
  <c r="I326" i="17"/>
  <c r="H326" i="17"/>
  <c r="G326" i="17"/>
  <c r="F326" i="17"/>
  <c r="E326" i="17"/>
  <c r="D326" i="17"/>
  <c r="C326" i="17"/>
  <c r="B326" i="17"/>
  <c r="A325" i="17"/>
  <c r="Y325" i="17"/>
  <c r="X325" i="17"/>
  <c r="W325" i="17"/>
  <c r="V325" i="17"/>
  <c r="U325" i="17"/>
  <c r="T325" i="17"/>
  <c r="S325" i="17"/>
  <c r="R325" i="17"/>
  <c r="Q325" i="17"/>
  <c r="P325" i="17"/>
  <c r="O325" i="17"/>
  <c r="N325" i="17"/>
  <c r="M325" i="17"/>
  <c r="L325" i="17"/>
  <c r="K325" i="17"/>
  <c r="J325" i="17"/>
  <c r="I325" i="17"/>
  <c r="H325" i="17"/>
  <c r="G325" i="17"/>
  <c r="F325" i="17"/>
  <c r="E325" i="17"/>
  <c r="D325" i="17"/>
  <c r="C325" i="17"/>
  <c r="B325" i="17"/>
  <c r="A324" i="17"/>
  <c r="Y324" i="17"/>
  <c r="X324" i="17"/>
  <c r="W324" i="17"/>
  <c r="V324" i="17"/>
  <c r="U324" i="17"/>
  <c r="T324" i="17"/>
  <c r="S324" i="17"/>
  <c r="R324" i="17"/>
  <c r="Q324" i="17"/>
  <c r="P324" i="17"/>
  <c r="O324" i="17"/>
  <c r="N324" i="17"/>
  <c r="M324" i="17"/>
  <c r="L324" i="17"/>
  <c r="K324" i="17"/>
  <c r="J324" i="17"/>
  <c r="I324" i="17"/>
  <c r="H324" i="17"/>
  <c r="G324" i="17"/>
  <c r="F324" i="17"/>
  <c r="E324" i="17"/>
  <c r="D324" i="17"/>
  <c r="C324" i="17"/>
  <c r="B324" i="17"/>
  <c r="A323" i="17"/>
  <c r="Y323" i="17"/>
  <c r="X323" i="17"/>
  <c r="W323" i="17"/>
  <c r="V323" i="17"/>
  <c r="U323" i="17"/>
  <c r="T323" i="17"/>
  <c r="S323" i="17"/>
  <c r="R323" i="17"/>
  <c r="Q323" i="17"/>
  <c r="P323" i="17"/>
  <c r="O323" i="17"/>
  <c r="N323" i="17"/>
  <c r="M323" i="17"/>
  <c r="L323" i="17"/>
  <c r="K323" i="17"/>
  <c r="J323" i="17"/>
  <c r="I323" i="17"/>
  <c r="H323" i="17"/>
  <c r="G323" i="17"/>
  <c r="F323" i="17"/>
  <c r="E323" i="17"/>
  <c r="D323" i="17"/>
  <c r="C323" i="17"/>
  <c r="B323" i="17"/>
  <c r="A322" i="17"/>
  <c r="Y322" i="17"/>
  <c r="X322" i="17"/>
  <c r="W322" i="17"/>
  <c r="V322" i="17"/>
  <c r="U322" i="17"/>
  <c r="T322" i="17"/>
  <c r="S322" i="17"/>
  <c r="R322" i="17"/>
  <c r="Q322" i="17"/>
  <c r="P322" i="17"/>
  <c r="O322" i="17"/>
  <c r="N322" i="17"/>
  <c r="M322" i="17"/>
  <c r="L322" i="17"/>
  <c r="K322" i="17"/>
  <c r="J322" i="17"/>
  <c r="I322" i="17"/>
  <c r="H322" i="17"/>
  <c r="G322" i="17"/>
  <c r="F322" i="17"/>
  <c r="E322" i="17"/>
  <c r="D322" i="17"/>
  <c r="C322" i="17"/>
  <c r="B322" i="17"/>
  <c r="A321" i="17"/>
  <c r="Y321" i="17"/>
  <c r="X321" i="17"/>
  <c r="W321" i="17"/>
  <c r="V321" i="17"/>
  <c r="U321" i="17"/>
  <c r="T321" i="17"/>
  <c r="S321" i="17"/>
  <c r="R321" i="17"/>
  <c r="Q321" i="17"/>
  <c r="P321" i="17"/>
  <c r="O321" i="17"/>
  <c r="N321" i="17"/>
  <c r="M321" i="17"/>
  <c r="L321" i="17"/>
  <c r="K321" i="17"/>
  <c r="J321" i="17"/>
  <c r="I321" i="17"/>
  <c r="H321" i="17"/>
  <c r="G321" i="17"/>
  <c r="F321" i="17"/>
  <c r="E321" i="17"/>
  <c r="D321" i="17"/>
  <c r="C321" i="17"/>
  <c r="B321" i="17"/>
  <c r="A320" i="17"/>
  <c r="Y320" i="17"/>
  <c r="X320" i="17"/>
  <c r="W320" i="17"/>
  <c r="V320" i="17"/>
  <c r="U320" i="17"/>
  <c r="T320" i="17"/>
  <c r="S320" i="17"/>
  <c r="R320" i="17"/>
  <c r="Q320" i="17"/>
  <c r="P320" i="17"/>
  <c r="O320" i="17"/>
  <c r="N320" i="17"/>
  <c r="M320" i="17"/>
  <c r="L320" i="17"/>
  <c r="K320" i="17"/>
  <c r="J320" i="17"/>
  <c r="I320" i="17"/>
  <c r="H320" i="17"/>
  <c r="G320" i="17"/>
  <c r="F320" i="17"/>
  <c r="E320" i="17"/>
  <c r="D320" i="17"/>
  <c r="C320" i="17"/>
  <c r="B320" i="17"/>
  <c r="A319" i="17"/>
  <c r="Y319" i="17"/>
  <c r="X319" i="17"/>
  <c r="W319" i="17"/>
  <c r="V319" i="17"/>
  <c r="U319" i="17"/>
  <c r="T319" i="17"/>
  <c r="S319" i="17"/>
  <c r="R319" i="17"/>
  <c r="Q319" i="17"/>
  <c r="P319" i="17"/>
  <c r="O319" i="17"/>
  <c r="N319" i="17"/>
  <c r="M319" i="17"/>
  <c r="L319" i="17"/>
  <c r="K319" i="17"/>
  <c r="J319" i="17"/>
  <c r="I319" i="17"/>
  <c r="H319" i="17"/>
  <c r="G319" i="17"/>
  <c r="F319" i="17"/>
  <c r="E319" i="17"/>
  <c r="D319" i="17"/>
  <c r="C319" i="17"/>
  <c r="B319" i="17"/>
  <c r="A318" i="17"/>
  <c r="Y318" i="17"/>
  <c r="X318" i="17"/>
  <c r="W318" i="17"/>
  <c r="V318" i="17"/>
  <c r="U318" i="17"/>
  <c r="T318" i="17"/>
  <c r="S318" i="17"/>
  <c r="R318" i="17"/>
  <c r="Q318" i="17"/>
  <c r="P318" i="17"/>
  <c r="O318" i="17"/>
  <c r="N318" i="17"/>
  <c r="M318" i="17"/>
  <c r="L318" i="17"/>
  <c r="K318" i="17"/>
  <c r="J318" i="17"/>
  <c r="I318" i="17"/>
  <c r="H318" i="17"/>
  <c r="G318" i="17"/>
  <c r="F318" i="17"/>
  <c r="E318" i="17"/>
  <c r="D318" i="17"/>
  <c r="C318" i="17"/>
  <c r="B318" i="17"/>
  <c r="A317" i="17"/>
  <c r="Y317" i="17"/>
  <c r="X317" i="17"/>
  <c r="W317" i="17"/>
  <c r="V317" i="17"/>
  <c r="U317" i="17"/>
  <c r="T317" i="17"/>
  <c r="S317" i="17"/>
  <c r="R317" i="17"/>
  <c r="Q317" i="17"/>
  <c r="P317" i="17"/>
  <c r="O317" i="17"/>
  <c r="N317" i="17"/>
  <c r="M317" i="17"/>
  <c r="L317" i="17"/>
  <c r="K317" i="17"/>
  <c r="J317" i="17"/>
  <c r="I317" i="17"/>
  <c r="H317" i="17"/>
  <c r="G317" i="17"/>
  <c r="F317" i="17"/>
  <c r="E317" i="17"/>
  <c r="D317" i="17"/>
  <c r="C317" i="17"/>
  <c r="B317" i="17"/>
  <c r="A316" i="17"/>
  <c r="Y316" i="17"/>
  <c r="X316" i="17"/>
  <c r="W316" i="17"/>
  <c r="V316" i="17"/>
  <c r="U316" i="17"/>
  <c r="T316" i="17"/>
  <c r="S316" i="17"/>
  <c r="R316" i="17"/>
  <c r="Q316" i="17"/>
  <c r="P316" i="17"/>
  <c r="O316" i="17"/>
  <c r="N316" i="17"/>
  <c r="M316" i="17"/>
  <c r="L316" i="17"/>
  <c r="K316" i="17"/>
  <c r="J316" i="17"/>
  <c r="I316" i="17"/>
  <c r="H316" i="17"/>
  <c r="G316" i="17"/>
  <c r="F316" i="17"/>
  <c r="E316" i="17"/>
  <c r="D316" i="17"/>
  <c r="C316" i="17"/>
  <c r="B316" i="17"/>
  <c r="A315" i="17"/>
  <c r="Y315" i="17"/>
  <c r="X315" i="17"/>
  <c r="W315" i="17"/>
  <c r="V315" i="17"/>
  <c r="U315" i="17"/>
  <c r="T315" i="17"/>
  <c r="S315" i="17"/>
  <c r="R315" i="17"/>
  <c r="Q315" i="17"/>
  <c r="P315" i="17"/>
  <c r="O315" i="17"/>
  <c r="N315" i="17"/>
  <c r="M315" i="17"/>
  <c r="L315" i="17"/>
  <c r="K315" i="17"/>
  <c r="J315" i="17"/>
  <c r="I315" i="17"/>
  <c r="H315" i="17"/>
  <c r="G315" i="17"/>
  <c r="F315" i="17"/>
  <c r="E315" i="17"/>
  <c r="D315" i="17"/>
  <c r="C315" i="17"/>
  <c r="B315" i="17"/>
  <c r="A314" i="17"/>
  <c r="Y314" i="17"/>
  <c r="X314" i="17"/>
  <c r="W314" i="17"/>
  <c r="V314" i="17"/>
  <c r="U314" i="17"/>
  <c r="T314" i="17"/>
  <c r="S314" i="17"/>
  <c r="R314" i="17"/>
  <c r="Q314" i="17"/>
  <c r="P314" i="17"/>
  <c r="O314" i="17"/>
  <c r="N314" i="17"/>
  <c r="M314" i="17"/>
  <c r="L314" i="17"/>
  <c r="K314" i="17"/>
  <c r="J314" i="17"/>
  <c r="I314" i="17"/>
  <c r="H314" i="17"/>
  <c r="G314" i="17"/>
  <c r="F314" i="17"/>
  <c r="E314" i="17"/>
  <c r="D314" i="17"/>
  <c r="C314" i="17"/>
  <c r="B314" i="17"/>
  <c r="A313" i="17"/>
  <c r="Y313" i="17"/>
  <c r="X313" i="17"/>
  <c r="W313" i="17"/>
  <c r="V313" i="17"/>
  <c r="U313" i="17"/>
  <c r="T313" i="17"/>
  <c r="S313" i="17"/>
  <c r="R313" i="17"/>
  <c r="Q313" i="17"/>
  <c r="P313" i="17"/>
  <c r="O313" i="17"/>
  <c r="N313" i="17"/>
  <c r="M313" i="17"/>
  <c r="L313" i="17"/>
  <c r="K313" i="17"/>
  <c r="J313" i="17"/>
  <c r="I313" i="17"/>
  <c r="H313" i="17"/>
  <c r="G313" i="17"/>
  <c r="F313" i="17"/>
  <c r="E313" i="17"/>
  <c r="D313" i="17"/>
  <c r="C313" i="17"/>
  <c r="B313" i="17"/>
  <c r="A312" i="17"/>
  <c r="Y312" i="17"/>
  <c r="X312" i="17"/>
  <c r="W312" i="17"/>
  <c r="V312" i="17"/>
  <c r="U312" i="17"/>
  <c r="T312" i="17"/>
  <c r="S312" i="17"/>
  <c r="R312" i="17"/>
  <c r="Q312" i="17"/>
  <c r="P312" i="17"/>
  <c r="O312" i="17"/>
  <c r="N312" i="17"/>
  <c r="M312" i="17"/>
  <c r="L312" i="17"/>
  <c r="K312" i="17"/>
  <c r="J312" i="17"/>
  <c r="I312" i="17"/>
  <c r="H312" i="17"/>
  <c r="G312" i="17"/>
  <c r="F312" i="17"/>
  <c r="E312" i="17"/>
  <c r="D312" i="17"/>
  <c r="C312" i="17"/>
  <c r="B312" i="17"/>
  <c r="A311" i="17"/>
  <c r="Y311" i="17"/>
  <c r="X311" i="17"/>
  <c r="W311" i="17"/>
  <c r="V311" i="17"/>
  <c r="U311" i="17"/>
  <c r="T311" i="17"/>
  <c r="S311" i="17"/>
  <c r="R311" i="17"/>
  <c r="Q311" i="17"/>
  <c r="P311" i="17"/>
  <c r="O311" i="17"/>
  <c r="N311" i="17"/>
  <c r="M311" i="17"/>
  <c r="L311" i="17"/>
  <c r="K311" i="17"/>
  <c r="J311" i="17"/>
  <c r="I311" i="17"/>
  <c r="H311" i="17"/>
  <c r="G311" i="17"/>
  <c r="F311" i="17"/>
  <c r="E311" i="17"/>
  <c r="D311" i="17"/>
  <c r="C311" i="17"/>
  <c r="B311" i="17"/>
  <c r="A310" i="17"/>
  <c r="Y310" i="17"/>
  <c r="X310" i="17"/>
  <c r="W310" i="17"/>
  <c r="V310" i="17"/>
  <c r="U310" i="17"/>
  <c r="T310" i="17"/>
  <c r="S310" i="17"/>
  <c r="R310" i="17"/>
  <c r="Q310" i="17"/>
  <c r="P310" i="17"/>
  <c r="O310" i="17"/>
  <c r="N310" i="17"/>
  <c r="M310" i="17"/>
  <c r="L310" i="17"/>
  <c r="K310" i="17"/>
  <c r="J310" i="17"/>
  <c r="I310" i="17"/>
  <c r="H310" i="17"/>
  <c r="G310" i="17"/>
  <c r="F310" i="17"/>
  <c r="E310" i="17"/>
  <c r="D310" i="17"/>
  <c r="C310" i="17"/>
  <c r="B310" i="17"/>
  <c r="A309" i="17"/>
  <c r="Y309" i="17"/>
  <c r="X309" i="17"/>
  <c r="W309" i="17"/>
  <c r="V309" i="17"/>
  <c r="U309" i="17"/>
  <c r="T309" i="17"/>
  <c r="S309" i="17"/>
  <c r="R309" i="17"/>
  <c r="Q309" i="17"/>
  <c r="P309" i="17"/>
  <c r="O309" i="17"/>
  <c r="N309" i="17"/>
  <c r="M309" i="17"/>
  <c r="L309" i="17"/>
  <c r="K309" i="17"/>
  <c r="J309" i="17"/>
  <c r="I309" i="17"/>
  <c r="H309" i="17"/>
  <c r="G309" i="17"/>
  <c r="F309" i="17"/>
  <c r="E309" i="17"/>
  <c r="D309" i="17"/>
  <c r="C309" i="17"/>
  <c r="B309" i="17"/>
  <c r="A308" i="17"/>
  <c r="Y308" i="17"/>
  <c r="X308" i="17"/>
  <c r="W308" i="17"/>
  <c r="V308" i="17"/>
  <c r="U308" i="17"/>
  <c r="T308" i="17"/>
  <c r="S308" i="17"/>
  <c r="R308" i="17"/>
  <c r="Q308" i="17"/>
  <c r="P308" i="17"/>
  <c r="O308" i="17"/>
  <c r="N308" i="17"/>
  <c r="M308" i="17"/>
  <c r="L308" i="17"/>
  <c r="K308" i="17"/>
  <c r="J308" i="17"/>
  <c r="I308" i="17"/>
  <c r="H308" i="17"/>
  <c r="G308" i="17"/>
  <c r="F308" i="17"/>
  <c r="E308" i="17"/>
  <c r="D308" i="17"/>
  <c r="C308" i="17"/>
  <c r="B308" i="17"/>
  <c r="A307" i="17"/>
  <c r="Y307" i="17"/>
  <c r="X307" i="17"/>
  <c r="W307" i="17"/>
  <c r="V307" i="17"/>
  <c r="U307" i="17"/>
  <c r="T307" i="17"/>
  <c r="S307" i="17"/>
  <c r="R307" i="17"/>
  <c r="Q307" i="17"/>
  <c r="P307" i="17"/>
  <c r="O307" i="17"/>
  <c r="N307" i="17"/>
  <c r="M307" i="17"/>
  <c r="L307" i="17"/>
  <c r="K307" i="17"/>
  <c r="J307" i="17"/>
  <c r="I307" i="17"/>
  <c r="H307" i="17"/>
  <c r="G307" i="17"/>
  <c r="F307" i="17"/>
  <c r="E307" i="17"/>
  <c r="D307" i="17"/>
  <c r="C307" i="17"/>
  <c r="B307" i="17"/>
  <c r="A306" i="17"/>
  <c r="Y306" i="17"/>
  <c r="X306" i="17"/>
  <c r="W306" i="17"/>
  <c r="V306" i="17"/>
  <c r="U306" i="17"/>
  <c r="T306" i="17"/>
  <c r="S306" i="17"/>
  <c r="R306" i="17"/>
  <c r="Q306" i="17"/>
  <c r="P306" i="17"/>
  <c r="O306" i="17"/>
  <c r="N306" i="17"/>
  <c r="M306" i="17"/>
  <c r="L306" i="17"/>
  <c r="K306" i="17"/>
  <c r="J306" i="17"/>
  <c r="I306" i="17"/>
  <c r="H306" i="17"/>
  <c r="G306" i="17"/>
  <c r="F306" i="17"/>
  <c r="E306" i="17"/>
  <c r="D306" i="17"/>
  <c r="C306" i="17"/>
  <c r="B306" i="17"/>
  <c r="A305" i="17"/>
  <c r="Y305" i="17"/>
  <c r="X305" i="17"/>
  <c r="W305" i="17"/>
  <c r="V305" i="17"/>
  <c r="U305" i="17"/>
  <c r="T305" i="17"/>
  <c r="S305" i="17"/>
  <c r="R305" i="17"/>
  <c r="Q305" i="17"/>
  <c r="P305" i="17"/>
  <c r="O305" i="17"/>
  <c r="N305" i="17"/>
  <c r="M305" i="17"/>
  <c r="L305" i="17"/>
  <c r="K305" i="17"/>
  <c r="J305" i="17"/>
  <c r="I305" i="17"/>
  <c r="H305" i="17"/>
  <c r="G305" i="17"/>
  <c r="F305" i="17"/>
  <c r="E305" i="17"/>
  <c r="D305" i="17"/>
  <c r="C305" i="17"/>
  <c r="B305" i="17"/>
  <c r="A304" i="17"/>
  <c r="Y304" i="17"/>
  <c r="X304" i="17"/>
  <c r="W304" i="17"/>
  <c r="V304" i="17"/>
  <c r="U304" i="17"/>
  <c r="T304" i="17"/>
  <c r="S304" i="17"/>
  <c r="R304" i="17"/>
  <c r="Q304" i="17"/>
  <c r="P304" i="17"/>
  <c r="O304" i="17"/>
  <c r="N304" i="17"/>
  <c r="M304" i="17"/>
  <c r="L304" i="17"/>
  <c r="K304" i="17"/>
  <c r="J304" i="17"/>
  <c r="I304" i="17"/>
  <c r="H304" i="17"/>
  <c r="G304" i="17"/>
  <c r="F304" i="17"/>
  <c r="E304" i="17"/>
  <c r="D304" i="17"/>
  <c r="C304" i="17"/>
  <c r="B304" i="17"/>
  <c r="A303" i="17"/>
  <c r="Y303" i="17"/>
  <c r="X303" i="17"/>
  <c r="W303" i="17"/>
  <c r="V303" i="17"/>
  <c r="U303" i="17"/>
  <c r="T303" i="17"/>
  <c r="S303" i="17"/>
  <c r="R303" i="17"/>
  <c r="Q303" i="17"/>
  <c r="P303" i="17"/>
  <c r="O303" i="17"/>
  <c r="N303" i="17"/>
  <c r="M303" i="17"/>
  <c r="L303" i="17"/>
  <c r="K303" i="17"/>
  <c r="J303" i="17"/>
  <c r="I303" i="17"/>
  <c r="H303" i="17"/>
  <c r="G303" i="17"/>
  <c r="F303" i="17"/>
  <c r="E303" i="17"/>
  <c r="D303" i="17"/>
  <c r="C303" i="17"/>
  <c r="B303" i="17"/>
  <c r="A302" i="17"/>
  <c r="Y302" i="17"/>
  <c r="X302" i="17"/>
  <c r="W302" i="17"/>
  <c r="V302" i="17"/>
  <c r="U302" i="17"/>
  <c r="T302" i="17"/>
  <c r="S302" i="17"/>
  <c r="R302" i="17"/>
  <c r="Q302" i="17"/>
  <c r="P302" i="17"/>
  <c r="O302" i="17"/>
  <c r="N302" i="17"/>
  <c r="M302" i="17"/>
  <c r="L302" i="17"/>
  <c r="K302" i="17"/>
  <c r="J302" i="17"/>
  <c r="I302" i="17"/>
  <c r="H302" i="17"/>
  <c r="G302" i="17"/>
  <c r="F302" i="17"/>
  <c r="E302" i="17"/>
  <c r="D302" i="17"/>
  <c r="C302" i="17"/>
  <c r="B302" i="17"/>
  <c r="A301" i="17"/>
  <c r="Y301" i="17"/>
  <c r="X301" i="17"/>
  <c r="W301" i="17"/>
  <c r="V301" i="17"/>
  <c r="U301" i="17"/>
  <c r="T301" i="17"/>
  <c r="S301" i="17"/>
  <c r="R301" i="17"/>
  <c r="Q301" i="17"/>
  <c r="P301" i="17"/>
  <c r="O301" i="17"/>
  <c r="N301" i="17"/>
  <c r="M301" i="17"/>
  <c r="L301" i="17"/>
  <c r="K301" i="17"/>
  <c r="J301" i="17"/>
  <c r="I301" i="17"/>
  <c r="H301" i="17"/>
  <c r="G301" i="17"/>
  <c r="F301" i="17"/>
  <c r="E301" i="17"/>
  <c r="D301" i="17"/>
  <c r="C301" i="17"/>
  <c r="B301" i="17"/>
  <c r="A300" i="17"/>
  <c r="Y300" i="17"/>
  <c r="X300" i="17"/>
  <c r="W300" i="17"/>
  <c r="V300" i="17"/>
  <c r="U300" i="17"/>
  <c r="T300" i="17"/>
  <c r="S300" i="17"/>
  <c r="R300" i="17"/>
  <c r="Q300" i="17"/>
  <c r="P300" i="17"/>
  <c r="O300" i="17"/>
  <c r="N300" i="17"/>
  <c r="M300" i="17"/>
  <c r="L300" i="17"/>
  <c r="K300" i="17"/>
  <c r="J300" i="17"/>
  <c r="I300" i="17"/>
  <c r="H300" i="17"/>
  <c r="G300" i="17"/>
  <c r="F300" i="17"/>
  <c r="E300" i="17"/>
  <c r="D300" i="17"/>
  <c r="C300" i="17"/>
  <c r="B300" i="17"/>
  <c r="A299" i="17"/>
  <c r="Y299" i="17"/>
  <c r="X299" i="17"/>
  <c r="W299" i="17"/>
  <c r="V299" i="17"/>
  <c r="U299" i="17"/>
  <c r="T299" i="17"/>
  <c r="S299" i="17"/>
  <c r="R299" i="17"/>
  <c r="Q299" i="17"/>
  <c r="P299" i="17"/>
  <c r="O299" i="17"/>
  <c r="N299" i="17"/>
  <c r="M299" i="17"/>
  <c r="L299" i="17"/>
  <c r="K299" i="17"/>
  <c r="J299" i="17"/>
  <c r="I299" i="17"/>
  <c r="H299" i="17"/>
  <c r="G299" i="17"/>
  <c r="F299" i="17"/>
  <c r="E299" i="17"/>
  <c r="D299" i="17"/>
  <c r="C299" i="17"/>
  <c r="B299" i="17"/>
  <c r="A298" i="17"/>
  <c r="Y298" i="17"/>
  <c r="X298" i="17"/>
  <c r="W298" i="17"/>
  <c r="V298" i="17"/>
  <c r="U298" i="17"/>
  <c r="T298" i="17"/>
  <c r="S298" i="17"/>
  <c r="R298" i="17"/>
  <c r="Q298" i="17"/>
  <c r="P298" i="17"/>
  <c r="O298" i="17"/>
  <c r="N298" i="17"/>
  <c r="M298" i="17"/>
  <c r="L298" i="17"/>
  <c r="K298" i="17"/>
  <c r="J298" i="17"/>
  <c r="I298" i="17"/>
  <c r="H298" i="17"/>
  <c r="G298" i="17"/>
  <c r="F298" i="17"/>
  <c r="E298" i="17"/>
  <c r="D298" i="17"/>
  <c r="C298" i="17"/>
  <c r="B298" i="17"/>
  <c r="A297" i="17"/>
  <c r="Y297" i="17"/>
  <c r="X297" i="17"/>
  <c r="W297" i="17"/>
  <c r="V297" i="17"/>
  <c r="U297" i="17"/>
  <c r="T297" i="17"/>
  <c r="S297" i="17"/>
  <c r="R297" i="17"/>
  <c r="Q297" i="17"/>
  <c r="P297" i="17"/>
  <c r="O297" i="17"/>
  <c r="N297" i="17"/>
  <c r="M297" i="17"/>
  <c r="L297" i="17"/>
  <c r="K297" i="17"/>
  <c r="J297" i="17"/>
  <c r="I297" i="17"/>
  <c r="H297" i="17"/>
  <c r="G297" i="17"/>
  <c r="F297" i="17"/>
  <c r="E297" i="17"/>
  <c r="D297" i="17"/>
  <c r="C297" i="17"/>
  <c r="B297" i="17"/>
  <c r="A296" i="17"/>
  <c r="Y296" i="17"/>
  <c r="X296" i="17"/>
  <c r="W296" i="17"/>
  <c r="V296" i="17"/>
  <c r="U296" i="17"/>
  <c r="T296" i="17"/>
  <c r="S296" i="17"/>
  <c r="R296" i="17"/>
  <c r="Q296" i="17"/>
  <c r="P296" i="17"/>
  <c r="O296" i="17"/>
  <c r="N296" i="17"/>
  <c r="M296" i="17"/>
  <c r="L296" i="17"/>
  <c r="K296" i="17"/>
  <c r="J296" i="17"/>
  <c r="I296" i="17"/>
  <c r="H296" i="17"/>
  <c r="G296" i="17"/>
  <c r="F296" i="17"/>
  <c r="E296" i="17"/>
  <c r="D296" i="17"/>
  <c r="C296" i="17"/>
  <c r="B296" i="17"/>
  <c r="A295" i="17"/>
  <c r="Y295" i="17"/>
  <c r="X295" i="17"/>
  <c r="W295" i="17"/>
  <c r="V295" i="17"/>
  <c r="U295" i="17"/>
  <c r="T295" i="17"/>
  <c r="S295" i="17"/>
  <c r="R295" i="17"/>
  <c r="Q295" i="17"/>
  <c r="P295" i="17"/>
  <c r="O295" i="17"/>
  <c r="N295" i="17"/>
  <c r="M295" i="17"/>
  <c r="L295" i="17"/>
  <c r="K295" i="17"/>
  <c r="J295" i="17"/>
  <c r="I295" i="17"/>
  <c r="H295" i="17"/>
  <c r="G295" i="17"/>
  <c r="F295" i="17"/>
  <c r="E295" i="17"/>
  <c r="D295" i="17"/>
  <c r="C295" i="17"/>
  <c r="B295" i="17"/>
  <c r="A294" i="17"/>
  <c r="Y294" i="17"/>
  <c r="X294" i="17"/>
  <c r="W294" i="17"/>
  <c r="V294" i="17"/>
  <c r="U294" i="17"/>
  <c r="T294" i="17"/>
  <c r="S294" i="17"/>
  <c r="R294" i="17"/>
  <c r="Q294" i="17"/>
  <c r="P294" i="17"/>
  <c r="O294" i="17"/>
  <c r="N294" i="17"/>
  <c r="M294" i="17"/>
  <c r="L294" i="17"/>
  <c r="K294" i="17"/>
  <c r="J294" i="17"/>
  <c r="I294" i="17"/>
  <c r="H294" i="17"/>
  <c r="G294" i="17"/>
  <c r="F294" i="17"/>
  <c r="E294" i="17"/>
  <c r="D294" i="17"/>
  <c r="C294" i="17"/>
  <c r="B294" i="17"/>
  <c r="A293" i="17"/>
  <c r="Y293" i="17"/>
  <c r="X293" i="17"/>
  <c r="W293" i="17"/>
  <c r="V293" i="17"/>
  <c r="U293" i="17"/>
  <c r="T293" i="17"/>
  <c r="S293" i="17"/>
  <c r="R293" i="17"/>
  <c r="Q293" i="17"/>
  <c r="P293" i="17"/>
  <c r="O293" i="17"/>
  <c r="N293" i="17"/>
  <c r="M293" i="17"/>
  <c r="L293" i="17"/>
  <c r="K293" i="17"/>
  <c r="J293" i="17"/>
  <c r="I293" i="17"/>
  <c r="H293" i="17"/>
  <c r="G293" i="17"/>
  <c r="F293" i="17"/>
  <c r="E293" i="17"/>
  <c r="D293" i="17"/>
  <c r="C293" i="17"/>
  <c r="B293" i="17"/>
  <c r="A292" i="17"/>
  <c r="Y292" i="17"/>
  <c r="X292" i="17"/>
  <c r="W292" i="17"/>
  <c r="V292" i="17"/>
  <c r="U292" i="17"/>
  <c r="T292" i="17"/>
  <c r="S292" i="17"/>
  <c r="R292" i="17"/>
  <c r="Q292" i="17"/>
  <c r="P292" i="17"/>
  <c r="O292" i="17"/>
  <c r="N292" i="17"/>
  <c r="M292" i="17"/>
  <c r="L292" i="17"/>
  <c r="K292" i="17"/>
  <c r="J292" i="17"/>
  <c r="I292" i="17"/>
  <c r="H292" i="17"/>
  <c r="G292" i="17"/>
  <c r="F292" i="17"/>
  <c r="E292" i="17"/>
  <c r="D292" i="17"/>
  <c r="C292" i="17"/>
  <c r="B292" i="17"/>
  <c r="A291" i="17"/>
  <c r="Y291" i="17"/>
  <c r="X291" i="17"/>
  <c r="W291" i="17"/>
  <c r="V291" i="17"/>
  <c r="U291" i="17"/>
  <c r="T291" i="17"/>
  <c r="S291" i="17"/>
  <c r="R291" i="17"/>
  <c r="Q291" i="17"/>
  <c r="P291" i="17"/>
  <c r="O291" i="17"/>
  <c r="N291" i="17"/>
  <c r="M291" i="17"/>
  <c r="L291" i="17"/>
  <c r="K291" i="17"/>
  <c r="J291" i="17"/>
  <c r="I291" i="17"/>
  <c r="H291" i="17"/>
  <c r="G291" i="17"/>
  <c r="F291" i="17"/>
  <c r="E291" i="17"/>
  <c r="D291" i="17"/>
  <c r="C291" i="17"/>
  <c r="B291" i="17"/>
  <c r="A290" i="17"/>
  <c r="Y290" i="17"/>
  <c r="X290" i="17"/>
  <c r="W290" i="17"/>
  <c r="V290" i="17"/>
  <c r="U290" i="17"/>
  <c r="T290" i="17"/>
  <c r="S290" i="17"/>
  <c r="R290" i="17"/>
  <c r="Q290" i="17"/>
  <c r="P290" i="17"/>
  <c r="O290" i="17"/>
  <c r="N290" i="17"/>
  <c r="M290" i="17"/>
  <c r="L290" i="17"/>
  <c r="K290" i="17"/>
  <c r="J290" i="17"/>
  <c r="I290" i="17"/>
  <c r="H290" i="17"/>
  <c r="G290" i="17"/>
  <c r="F290" i="17"/>
  <c r="E290" i="17"/>
  <c r="D290" i="17"/>
  <c r="C290" i="17"/>
  <c r="B290" i="17"/>
  <c r="A289" i="17"/>
  <c r="Y289" i="17"/>
  <c r="X289" i="17"/>
  <c r="W289" i="17"/>
  <c r="V289" i="17"/>
  <c r="U289" i="17"/>
  <c r="T289" i="17"/>
  <c r="S289" i="17"/>
  <c r="R289" i="17"/>
  <c r="Q289" i="17"/>
  <c r="P289" i="17"/>
  <c r="O289" i="17"/>
  <c r="N289" i="17"/>
  <c r="M289" i="17"/>
  <c r="L289" i="17"/>
  <c r="K289" i="17"/>
  <c r="J289" i="17"/>
  <c r="I289" i="17"/>
  <c r="H289" i="17"/>
  <c r="G289" i="17"/>
  <c r="F289" i="17"/>
  <c r="E289" i="17"/>
  <c r="D289" i="17"/>
  <c r="C289" i="17"/>
  <c r="B289" i="17"/>
  <c r="A288" i="17"/>
  <c r="Y288" i="17"/>
  <c r="X288" i="17"/>
  <c r="W288" i="17"/>
  <c r="V288" i="17"/>
  <c r="U288" i="17"/>
  <c r="T288" i="17"/>
  <c r="S288" i="17"/>
  <c r="R288" i="17"/>
  <c r="Q288" i="17"/>
  <c r="P288" i="17"/>
  <c r="O288" i="17"/>
  <c r="N288" i="17"/>
  <c r="M288" i="17"/>
  <c r="L288" i="17"/>
  <c r="K288" i="17"/>
  <c r="J288" i="17"/>
  <c r="I288" i="17"/>
  <c r="H288" i="17"/>
  <c r="G288" i="17"/>
  <c r="F288" i="17"/>
  <c r="E288" i="17"/>
  <c r="D288" i="17"/>
  <c r="C288" i="17"/>
  <c r="B288" i="17"/>
  <c r="A287" i="17"/>
  <c r="Y287" i="17"/>
  <c r="X287" i="17"/>
  <c r="W287" i="17"/>
  <c r="V287" i="17"/>
  <c r="U287" i="17"/>
  <c r="T287" i="17"/>
  <c r="S287" i="17"/>
  <c r="R287" i="17"/>
  <c r="Q287" i="17"/>
  <c r="P287" i="17"/>
  <c r="O287" i="17"/>
  <c r="N287" i="17"/>
  <c r="M287" i="17"/>
  <c r="L287" i="17"/>
  <c r="K287" i="17"/>
  <c r="J287" i="17"/>
  <c r="I287" i="17"/>
  <c r="H287" i="17"/>
  <c r="G287" i="17"/>
  <c r="F287" i="17"/>
  <c r="E287" i="17"/>
  <c r="D287" i="17"/>
  <c r="C287" i="17"/>
  <c r="B287" i="17"/>
  <c r="A286" i="17"/>
  <c r="Y286" i="17"/>
  <c r="X286" i="17"/>
  <c r="W286" i="17"/>
  <c r="V286" i="17"/>
  <c r="U286" i="17"/>
  <c r="T286" i="17"/>
  <c r="S286" i="17"/>
  <c r="R286" i="17"/>
  <c r="Q286" i="17"/>
  <c r="P286" i="17"/>
  <c r="O286" i="17"/>
  <c r="N286" i="17"/>
  <c r="M286" i="17"/>
  <c r="L286" i="17"/>
  <c r="K286" i="17"/>
  <c r="J286" i="17"/>
  <c r="I286" i="17"/>
  <c r="H286" i="17"/>
  <c r="G286" i="17"/>
  <c r="F286" i="17"/>
  <c r="E286" i="17"/>
  <c r="D286" i="17"/>
  <c r="C286" i="17"/>
  <c r="B286" i="17"/>
  <c r="A285" i="17"/>
  <c r="Y285" i="17"/>
  <c r="X285" i="17"/>
  <c r="W285" i="17"/>
  <c r="V285" i="17"/>
  <c r="U285" i="17"/>
  <c r="T285" i="17"/>
  <c r="S285" i="17"/>
  <c r="R285" i="17"/>
  <c r="Q285" i="17"/>
  <c r="P285" i="17"/>
  <c r="O285" i="17"/>
  <c r="N285" i="17"/>
  <c r="M285" i="17"/>
  <c r="L285" i="17"/>
  <c r="K285" i="17"/>
  <c r="J285" i="17"/>
  <c r="I285" i="17"/>
  <c r="H285" i="17"/>
  <c r="G285" i="17"/>
  <c r="F285" i="17"/>
  <c r="E285" i="17"/>
  <c r="D285" i="17"/>
  <c r="C285" i="17"/>
  <c r="B285" i="17"/>
  <c r="A284" i="17"/>
  <c r="Y284" i="17"/>
  <c r="X284" i="17"/>
  <c r="W284" i="17"/>
  <c r="V284" i="17"/>
  <c r="U284" i="17"/>
  <c r="T284" i="17"/>
  <c r="S284" i="17"/>
  <c r="R284" i="17"/>
  <c r="Q284" i="17"/>
  <c r="P284" i="17"/>
  <c r="O284" i="17"/>
  <c r="N284" i="17"/>
  <c r="M284" i="17"/>
  <c r="L284" i="17"/>
  <c r="K284" i="17"/>
  <c r="J284" i="17"/>
  <c r="I284" i="17"/>
  <c r="H284" i="17"/>
  <c r="G284" i="17"/>
  <c r="F284" i="17"/>
  <c r="E284" i="17"/>
  <c r="D284" i="17"/>
  <c r="C284" i="17"/>
  <c r="B284" i="17"/>
  <c r="A283" i="17"/>
  <c r="Y283" i="17"/>
  <c r="X283" i="17"/>
  <c r="W283" i="17"/>
  <c r="V283" i="17"/>
  <c r="U283" i="17"/>
  <c r="T283" i="17"/>
  <c r="S283" i="17"/>
  <c r="R283" i="17"/>
  <c r="Q283" i="17"/>
  <c r="P283" i="17"/>
  <c r="O283" i="17"/>
  <c r="N283" i="17"/>
  <c r="M283" i="17"/>
  <c r="L283" i="17"/>
  <c r="K283" i="17"/>
  <c r="J283" i="17"/>
  <c r="I283" i="17"/>
  <c r="H283" i="17"/>
  <c r="G283" i="17"/>
  <c r="F283" i="17"/>
  <c r="E283" i="17"/>
  <c r="D283" i="17"/>
  <c r="C283" i="17"/>
  <c r="B283" i="17"/>
  <c r="A282" i="17"/>
  <c r="Y282" i="17"/>
  <c r="X282" i="17"/>
  <c r="W282" i="17"/>
  <c r="V282" i="17"/>
  <c r="U282" i="17"/>
  <c r="T282" i="17"/>
  <c r="S282" i="17"/>
  <c r="R282" i="17"/>
  <c r="Q282" i="17"/>
  <c r="P282" i="17"/>
  <c r="O282" i="17"/>
  <c r="N282" i="17"/>
  <c r="M282" i="17"/>
  <c r="L282" i="17"/>
  <c r="K282" i="17"/>
  <c r="J282" i="17"/>
  <c r="I282" i="17"/>
  <c r="H282" i="17"/>
  <c r="G282" i="17"/>
  <c r="F282" i="17"/>
  <c r="E282" i="17"/>
  <c r="D282" i="17"/>
  <c r="C282" i="17"/>
  <c r="B282" i="17"/>
  <c r="A281" i="17"/>
  <c r="Y281" i="17"/>
  <c r="X281" i="17"/>
  <c r="W281" i="17"/>
  <c r="V281" i="17"/>
  <c r="U281" i="17"/>
  <c r="T281" i="17"/>
  <c r="S281" i="17"/>
  <c r="R281" i="17"/>
  <c r="Q281" i="17"/>
  <c r="P281" i="17"/>
  <c r="O281" i="17"/>
  <c r="N281" i="17"/>
  <c r="M281" i="17"/>
  <c r="L281" i="17"/>
  <c r="K281" i="17"/>
  <c r="J281" i="17"/>
  <c r="I281" i="17"/>
  <c r="H281" i="17"/>
  <c r="G281" i="17"/>
  <c r="F281" i="17"/>
  <c r="E281" i="17"/>
  <c r="D281" i="17"/>
  <c r="C281" i="17"/>
  <c r="B281" i="17"/>
  <c r="A280" i="17"/>
  <c r="Y280" i="17"/>
  <c r="X280" i="17"/>
  <c r="W280" i="17"/>
  <c r="V280" i="17"/>
  <c r="U280" i="17"/>
  <c r="T280" i="17"/>
  <c r="S280" i="17"/>
  <c r="R280" i="17"/>
  <c r="Q280" i="17"/>
  <c r="P280" i="17"/>
  <c r="O280" i="17"/>
  <c r="N280" i="17"/>
  <c r="M280" i="17"/>
  <c r="L280" i="17"/>
  <c r="K280" i="17"/>
  <c r="J280" i="17"/>
  <c r="I280" i="17"/>
  <c r="H280" i="17"/>
  <c r="G280" i="17"/>
  <c r="F280" i="17"/>
  <c r="E280" i="17"/>
  <c r="D280" i="17"/>
  <c r="C280" i="17"/>
  <c r="B280" i="17"/>
  <c r="A279" i="17"/>
  <c r="Y279" i="17"/>
  <c r="X279" i="17"/>
  <c r="W279" i="17"/>
  <c r="V279" i="17"/>
  <c r="U279" i="17"/>
  <c r="T279" i="17"/>
  <c r="S279" i="17"/>
  <c r="R279" i="17"/>
  <c r="Q279" i="17"/>
  <c r="P279" i="17"/>
  <c r="O279" i="17"/>
  <c r="N279" i="17"/>
  <c r="M279" i="17"/>
  <c r="L279" i="17"/>
  <c r="K279" i="17"/>
  <c r="J279" i="17"/>
  <c r="I279" i="17"/>
  <c r="H279" i="17"/>
  <c r="G279" i="17"/>
  <c r="F279" i="17"/>
  <c r="E279" i="17"/>
  <c r="D279" i="17"/>
  <c r="C279" i="17"/>
  <c r="B279" i="17"/>
  <c r="A278" i="17"/>
  <c r="Y278" i="17"/>
  <c r="X278" i="17"/>
  <c r="W278" i="17"/>
  <c r="V278" i="17"/>
  <c r="U278" i="17"/>
  <c r="T278" i="17"/>
  <c r="S278" i="17"/>
  <c r="R278" i="17"/>
  <c r="Q278" i="17"/>
  <c r="P278" i="17"/>
  <c r="O278" i="17"/>
  <c r="N278" i="17"/>
  <c r="M278" i="17"/>
  <c r="L278" i="17"/>
  <c r="K278" i="17"/>
  <c r="J278" i="17"/>
  <c r="I278" i="17"/>
  <c r="H278" i="17"/>
  <c r="G278" i="17"/>
  <c r="F278" i="17"/>
  <c r="E278" i="17"/>
  <c r="D278" i="17"/>
  <c r="C278" i="17"/>
  <c r="B278" i="17"/>
  <c r="A277" i="17"/>
  <c r="Y277" i="17"/>
  <c r="X277" i="17"/>
  <c r="W277" i="17"/>
  <c r="V277" i="17"/>
  <c r="U277" i="17"/>
  <c r="T277" i="17"/>
  <c r="S277" i="17"/>
  <c r="R277" i="17"/>
  <c r="Q277" i="17"/>
  <c r="P277" i="17"/>
  <c r="O277" i="17"/>
  <c r="N277" i="17"/>
  <c r="M277" i="17"/>
  <c r="L277" i="17"/>
  <c r="K277" i="17"/>
  <c r="J277" i="17"/>
  <c r="I277" i="17"/>
  <c r="H277" i="17"/>
  <c r="G277" i="17"/>
  <c r="F277" i="17"/>
  <c r="E277" i="17"/>
  <c r="D277" i="17"/>
  <c r="C277" i="17"/>
  <c r="B277" i="17"/>
  <c r="A276" i="17"/>
  <c r="Y276" i="17"/>
  <c r="X276" i="17"/>
  <c r="W276" i="17"/>
  <c r="V276" i="17"/>
  <c r="U276" i="17"/>
  <c r="T276" i="17"/>
  <c r="S276" i="17"/>
  <c r="R276" i="17"/>
  <c r="Q276" i="17"/>
  <c r="P276" i="17"/>
  <c r="O276" i="17"/>
  <c r="N276" i="17"/>
  <c r="M276" i="17"/>
  <c r="L276" i="17"/>
  <c r="K276" i="17"/>
  <c r="J276" i="17"/>
  <c r="I276" i="17"/>
  <c r="H276" i="17"/>
  <c r="G276" i="17"/>
  <c r="F276" i="17"/>
  <c r="E276" i="17"/>
  <c r="D276" i="17"/>
  <c r="C276" i="17"/>
  <c r="B276" i="17"/>
  <c r="A275" i="17"/>
  <c r="Y275" i="17"/>
  <c r="X275" i="17"/>
  <c r="W275" i="17"/>
  <c r="V275" i="17"/>
  <c r="U275" i="17"/>
  <c r="T275" i="17"/>
  <c r="S275" i="17"/>
  <c r="R275" i="17"/>
  <c r="Q275" i="17"/>
  <c r="P275" i="17"/>
  <c r="O275" i="17"/>
  <c r="N275" i="17"/>
  <c r="M275" i="17"/>
  <c r="L275" i="17"/>
  <c r="K275" i="17"/>
  <c r="J275" i="17"/>
  <c r="I275" i="17"/>
  <c r="H275" i="17"/>
  <c r="G275" i="17"/>
  <c r="F275" i="17"/>
  <c r="E275" i="17"/>
  <c r="D275" i="17"/>
  <c r="C275" i="17"/>
  <c r="B275" i="17"/>
  <c r="A274" i="17"/>
  <c r="Y274" i="17"/>
  <c r="X274" i="17"/>
  <c r="W274" i="17"/>
  <c r="V274" i="17"/>
  <c r="U274" i="17"/>
  <c r="T274" i="17"/>
  <c r="S274" i="17"/>
  <c r="R274" i="17"/>
  <c r="Q274" i="17"/>
  <c r="P274" i="17"/>
  <c r="O274" i="17"/>
  <c r="N274" i="17"/>
  <c r="M274" i="17"/>
  <c r="L274" i="17"/>
  <c r="K274" i="17"/>
  <c r="J274" i="17"/>
  <c r="I274" i="17"/>
  <c r="H274" i="17"/>
  <c r="G274" i="17"/>
  <c r="F274" i="17"/>
  <c r="E274" i="17"/>
  <c r="D274" i="17"/>
  <c r="C274" i="17"/>
  <c r="B274" i="17"/>
  <c r="A273" i="17"/>
  <c r="Y273" i="17"/>
  <c r="X273" i="17"/>
  <c r="W273" i="17"/>
  <c r="V273" i="17"/>
  <c r="U273" i="17"/>
  <c r="T273" i="17"/>
  <c r="S273" i="17"/>
  <c r="R273" i="17"/>
  <c r="Q273" i="17"/>
  <c r="P273" i="17"/>
  <c r="O273" i="17"/>
  <c r="N273" i="17"/>
  <c r="M273" i="17"/>
  <c r="L273" i="17"/>
  <c r="K273" i="17"/>
  <c r="J273" i="17"/>
  <c r="I273" i="17"/>
  <c r="H273" i="17"/>
  <c r="G273" i="17"/>
  <c r="F273" i="17"/>
  <c r="E273" i="17"/>
  <c r="D273" i="17"/>
  <c r="C273" i="17"/>
  <c r="B273" i="17"/>
  <c r="A272" i="17"/>
  <c r="Y272" i="17"/>
  <c r="X272" i="17"/>
  <c r="W272" i="17"/>
  <c r="V272" i="17"/>
  <c r="U272" i="17"/>
  <c r="T272" i="17"/>
  <c r="S272" i="17"/>
  <c r="R272" i="17"/>
  <c r="Q272" i="17"/>
  <c r="P272" i="17"/>
  <c r="O272" i="17"/>
  <c r="N272" i="17"/>
  <c r="M272" i="17"/>
  <c r="L272" i="17"/>
  <c r="K272" i="17"/>
  <c r="J272" i="17"/>
  <c r="I272" i="17"/>
  <c r="H272" i="17"/>
  <c r="G272" i="17"/>
  <c r="F272" i="17"/>
  <c r="E272" i="17"/>
  <c r="D272" i="17"/>
  <c r="C272" i="17"/>
  <c r="B272" i="17"/>
  <c r="A271" i="17"/>
  <c r="Y271" i="17"/>
  <c r="X271" i="17"/>
  <c r="W271" i="17"/>
  <c r="V271" i="17"/>
  <c r="U271" i="17"/>
  <c r="T271" i="17"/>
  <c r="S271" i="17"/>
  <c r="R271" i="17"/>
  <c r="Q271" i="17"/>
  <c r="P271" i="17"/>
  <c r="O271" i="17"/>
  <c r="N271" i="17"/>
  <c r="M271" i="17"/>
  <c r="L271" i="17"/>
  <c r="K271" i="17"/>
  <c r="J271" i="17"/>
  <c r="I271" i="17"/>
  <c r="H271" i="17"/>
  <c r="G271" i="17"/>
  <c r="F271" i="17"/>
  <c r="E271" i="17"/>
  <c r="D271" i="17"/>
  <c r="C271" i="17"/>
  <c r="B271" i="17"/>
  <c r="A270" i="17"/>
  <c r="Y270" i="17"/>
  <c r="X270" i="17"/>
  <c r="W270" i="17"/>
  <c r="V270" i="17"/>
  <c r="U270" i="17"/>
  <c r="T270" i="17"/>
  <c r="S270" i="17"/>
  <c r="R270" i="17"/>
  <c r="Q270" i="17"/>
  <c r="P270" i="17"/>
  <c r="O270" i="17"/>
  <c r="N270" i="17"/>
  <c r="M270" i="17"/>
  <c r="L270" i="17"/>
  <c r="K270" i="17"/>
  <c r="J270" i="17"/>
  <c r="I270" i="17"/>
  <c r="H270" i="17"/>
  <c r="G270" i="17"/>
  <c r="F270" i="17"/>
  <c r="E270" i="17"/>
  <c r="D270" i="17"/>
  <c r="C270" i="17"/>
  <c r="B270" i="17"/>
  <c r="A269" i="17"/>
  <c r="Y269" i="17"/>
  <c r="X269" i="17"/>
  <c r="W269" i="17"/>
  <c r="V269" i="17"/>
  <c r="U269" i="17"/>
  <c r="T269" i="17"/>
  <c r="S269" i="17"/>
  <c r="R269" i="17"/>
  <c r="Q269" i="17"/>
  <c r="P269" i="17"/>
  <c r="O269" i="17"/>
  <c r="N269" i="17"/>
  <c r="M269" i="17"/>
  <c r="L269" i="17"/>
  <c r="K269" i="17"/>
  <c r="J269" i="17"/>
  <c r="I269" i="17"/>
  <c r="H269" i="17"/>
  <c r="G269" i="17"/>
  <c r="F269" i="17"/>
  <c r="E269" i="17"/>
  <c r="D269" i="17"/>
  <c r="C269" i="17"/>
  <c r="B269" i="17"/>
  <c r="A268" i="17"/>
  <c r="Y268" i="17"/>
  <c r="X268" i="17"/>
  <c r="W268" i="17"/>
  <c r="V268" i="17"/>
  <c r="U268" i="17"/>
  <c r="T268" i="17"/>
  <c r="S268" i="17"/>
  <c r="R268" i="17"/>
  <c r="Q268" i="17"/>
  <c r="P268" i="17"/>
  <c r="O268" i="17"/>
  <c r="N268" i="17"/>
  <c r="M268" i="17"/>
  <c r="L268" i="17"/>
  <c r="K268" i="17"/>
  <c r="J268" i="17"/>
  <c r="I268" i="17"/>
  <c r="H268" i="17"/>
  <c r="G268" i="17"/>
  <c r="F268" i="17"/>
  <c r="E268" i="17"/>
  <c r="D268" i="17"/>
  <c r="C268" i="17"/>
  <c r="B268" i="17"/>
  <c r="A267" i="17"/>
  <c r="Y267" i="17"/>
  <c r="X267" i="17"/>
  <c r="W267" i="17"/>
  <c r="V267" i="17"/>
  <c r="U267" i="17"/>
  <c r="T267" i="17"/>
  <c r="S267" i="17"/>
  <c r="R267" i="17"/>
  <c r="Q267" i="17"/>
  <c r="P267" i="17"/>
  <c r="O267" i="17"/>
  <c r="N267" i="17"/>
  <c r="M267" i="17"/>
  <c r="L267" i="17"/>
  <c r="K267" i="17"/>
  <c r="J267" i="17"/>
  <c r="I267" i="17"/>
  <c r="H267" i="17"/>
  <c r="G267" i="17"/>
  <c r="F267" i="17"/>
  <c r="E267" i="17"/>
  <c r="D267" i="17"/>
  <c r="C267" i="17"/>
  <c r="B267" i="17"/>
  <c r="A266" i="17"/>
  <c r="Y266" i="17"/>
  <c r="X266" i="17"/>
  <c r="W266" i="17"/>
  <c r="V266" i="17"/>
  <c r="U266" i="17"/>
  <c r="T266" i="17"/>
  <c r="S266" i="17"/>
  <c r="R266" i="17"/>
  <c r="Q266" i="17"/>
  <c r="P266" i="17"/>
  <c r="O266" i="17"/>
  <c r="N266" i="17"/>
  <c r="M266" i="17"/>
  <c r="L266" i="17"/>
  <c r="K266" i="17"/>
  <c r="J266" i="17"/>
  <c r="I266" i="17"/>
  <c r="H266" i="17"/>
  <c r="G266" i="17"/>
  <c r="F266" i="17"/>
  <c r="E266" i="17"/>
  <c r="D266" i="17"/>
  <c r="C266" i="17"/>
  <c r="B266" i="17"/>
  <c r="A265" i="17"/>
  <c r="Y265" i="17"/>
  <c r="X265" i="17"/>
  <c r="W265" i="17"/>
  <c r="V265" i="17"/>
  <c r="U265" i="17"/>
  <c r="T265" i="17"/>
  <c r="S265" i="17"/>
  <c r="R265" i="17"/>
  <c r="Q265" i="17"/>
  <c r="P265" i="17"/>
  <c r="O265" i="17"/>
  <c r="N265" i="17"/>
  <c r="M265" i="17"/>
  <c r="L265" i="17"/>
  <c r="K265" i="17"/>
  <c r="J265" i="17"/>
  <c r="I265" i="17"/>
  <c r="H265" i="17"/>
  <c r="G265" i="17"/>
  <c r="F265" i="17"/>
  <c r="E265" i="17"/>
  <c r="D265" i="17"/>
  <c r="C265" i="17"/>
  <c r="B265" i="17"/>
  <c r="A264" i="17"/>
  <c r="Y264" i="17"/>
  <c r="X264" i="17"/>
  <c r="W264" i="17"/>
  <c r="V264" i="17"/>
  <c r="U264" i="17"/>
  <c r="T264" i="17"/>
  <c r="S264" i="17"/>
  <c r="R264" i="17"/>
  <c r="Q264" i="17"/>
  <c r="P264" i="17"/>
  <c r="O264" i="17"/>
  <c r="N264" i="17"/>
  <c r="M264" i="17"/>
  <c r="L264" i="17"/>
  <c r="K264" i="17"/>
  <c r="J264" i="17"/>
  <c r="I264" i="17"/>
  <c r="H264" i="17"/>
  <c r="G264" i="17"/>
  <c r="F264" i="17"/>
  <c r="E264" i="17"/>
  <c r="D264" i="17"/>
  <c r="C264" i="17"/>
  <c r="B264" i="17"/>
  <c r="A263" i="17"/>
  <c r="Y263" i="17"/>
  <c r="X263" i="17"/>
  <c r="W263" i="17"/>
  <c r="V263" i="17"/>
  <c r="U263" i="17"/>
  <c r="T263" i="17"/>
  <c r="S263" i="17"/>
  <c r="R263" i="17"/>
  <c r="Q263" i="17"/>
  <c r="P263" i="17"/>
  <c r="O263" i="17"/>
  <c r="N263" i="17"/>
  <c r="M263" i="17"/>
  <c r="L263" i="17"/>
  <c r="K263" i="17"/>
  <c r="J263" i="17"/>
  <c r="I263" i="17"/>
  <c r="H263" i="17"/>
  <c r="G263" i="17"/>
  <c r="F263" i="17"/>
  <c r="E263" i="17"/>
  <c r="D263" i="17"/>
  <c r="C263" i="17"/>
  <c r="B263" i="17"/>
  <c r="A262" i="17"/>
  <c r="Y262" i="17"/>
  <c r="X262" i="17"/>
  <c r="W262" i="17"/>
  <c r="V262" i="17"/>
  <c r="U262" i="17"/>
  <c r="T262" i="17"/>
  <c r="S262" i="17"/>
  <c r="R262" i="17"/>
  <c r="Q262" i="17"/>
  <c r="P262" i="17"/>
  <c r="O262" i="17"/>
  <c r="N262" i="17"/>
  <c r="M262" i="17"/>
  <c r="L262" i="17"/>
  <c r="K262" i="17"/>
  <c r="J262" i="17"/>
  <c r="I262" i="17"/>
  <c r="H262" i="17"/>
  <c r="G262" i="17"/>
  <c r="F262" i="17"/>
  <c r="E262" i="17"/>
  <c r="D262" i="17"/>
  <c r="C262" i="17"/>
  <c r="B262" i="17"/>
  <c r="A261" i="17"/>
  <c r="Y261" i="17"/>
  <c r="X261" i="17"/>
  <c r="W261" i="17"/>
  <c r="V261" i="17"/>
  <c r="U261" i="17"/>
  <c r="T261" i="17"/>
  <c r="S261" i="17"/>
  <c r="R261" i="17"/>
  <c r="Q261" i="17"/>
  <c r="P261" i="17"/>
  <c r="O261" i="17"/>
  <c r="N261" i="17"/>
  <c r="M261" i="17"/>
  <c r="L261" i="17"/>
  <c r="K261" i="17"/>
  <c r="J261" i="17"/>
  <c r="I261" i="17"/>
  <c r="H261" i="17"/>
  <c r="G261" i="17"/>
  <c r="F261" i="17"/>
  <c r="E261" i="17"/>
  <c r="D261" i="17"/>
  <c r="C261" i="17"/>
  <c r="B261" i="17"/>
  <c r="A260" i="17"/>
  <c r="Y260" i="17"/>
  <c r="X260" i="17"/>
  <c r="W260" i="17"/>
  <c r="V260" i="17"/>
  <c r="U260" i="17"/>
  <c r="T260" i="17"/>
  <c r="S260" i="17"/>
  <c r="R260" i="17"/>
  <c r="Q260" i="17"/>
  <c r="P260" i="17"/>
  <c r="O260" i="17"/>
  <c r="N260" i="17"/>
  <c r="M260" i="17"/>
  <c r="L260" i="17"/>
  <c r="K260" i="17"/>
  <c r="J260" i="17"/>
  <c r="I260" i="17"/>
  <c r="H260" i="17"/>
  <c r="G260" i="17"/>
  <c r="F260" i="17"/>
  <c r="E260" i="17"/>
  <c r="D260" i="17"/>
  <c r="C260" i="17"/>
  <c r="B260" i="17"/>
  <c r="A259" i="17"/>
  <c r="Y259" i="17"/>
  <c r="X259" i="17"/>
  <c r="W259" i="17"/>
  <c r="V259" i="17"/>
  <c r="U259" i="17"/>
  <c r="T259" i="17"/>
  <c r="S259" i="17"/>
  <c r="R259" i="17"/>
  <c r="Q259" i="17"/>
  <c r="P259" i="17"/>
  <c r="O259" i="17"/>
  <c r="N259" i="17"/>
  <c r="M259" i="17"/>
  <c r="L259" i="17"/>
  <c r="K259" i="17"/>
  <c r="J259" i="17"/>
  <c r="I259" i="17"/>
  <c r="H259" i="17"/>
  <c r="G259" i="17"/>
  <c r="F259" i="17"/>
  <c r="E259" i="17"/>
  <c r="D259" i="17"/>
  <c r="C259" i="17"/>
  <c r="B259" i="17"/>
  <c r="A258" i="17"/>
  <c r="Y258" i="17"/>
  <c r="X258" i="17"/>
  <c r="W258" i="17"/>
  <c r="V258" i="17"/>
  <c r="U258" i="17"/>
  <c r="T258" i="17"/>
  <c r="S258" i="17"/>
  <c r="R258" i="17"/>
  <c r="Q258" i="17"/>
  <c r="P258" i="17"/>
  <c r="O258" i="17"/>
  <c r="N258" i="17"/>
  <c r="M258" i="17"/>
  <c r="L258" i="17"/>
  <c r="K258" i="17"/>
  <c r="J258" i="17"/>
  <c r="I258" i="17"/>
  <c r="H258" i="17"/>
  <c r="G258" i="17"/>
  <c r="F258" i="17"/>
  <c r="E258" i="17"/>
  <c r="D258" i="17"/>
  <c r="C258" i="17"/>
  <c r="B258" i="17"/>
  <c r="A257" i="17"/>
  <c r="Y257" i="17"/>
  <c r="X257" i="17"/>
  <c r="W257" i="17"/>
  <c r="V257" i="17"/>
  <c r="U257" i="17"/>
  <c r="T257" i="17"/>
  <c r="S257" i="17"/>
  <c r="R257" i="17"/>
  <c r="Q257" i="17"/>
  <c r="P257" i="17"/>
  <c r="O257" i="17"/>
  <c r="N257" i="17"/>
  <c r="M257" i="17"/>
  <c r="L257" i="17"/>
  <c r="K257" i="17"/>
  <c r="J257" i="17"/>
  <c r="I257" i="17"/>
  <c r="H257" i="17"/>
  <c r="G257" i="17"/>
  <c r="F257" i="17"/>
  <c r="E257" i="17"/>
  <c r="D257" i="17"/>
  <c r="C257" i="17"/>
  <c r="B257" i="17"/>
  <c r="A256" i="17"/>
  <c r="Y256" i="17"/>
  <c r="X256" i="17"/>
  <c r="W256" i="17"/>
  <c r="V256" i="17"/>
  <c r="U256" i="17"/>
  <c r="T256" i="17"/>
  <c r="S256" i="17"/>
  <c r="R256" i="17"/>
  <c r="Q256" i="17"/>
  <c r="P256" i="17"/>
  <c r="O256" i="17"/>
  <c r="N256" i="17"/>
  <c r="M256" i="17"/>
  <c r="L256" i="17"/>
  <c r="K256" i="17"/>
  <c r="J256" i="17"/>
  <c r="I256" i="17"/>
  <c r="H256" i="17"/>
  <c r="G256" i="17"/>
  <c r="F256" i="17"/>
  <c r="E256" i="17"/>
  <c r="D256" i="17"/>
  <c r="C256" i="17"/>
  <c r="B256" i="17"/>
  <c r="A255" i="17"/>
  <c r="Y255" i="17"/>
  <c r="X255" i="17"/>
  <c r="W255" i="17"/>
  <c r="V255" i="17"/>
  <c r="U255" i="17"/>
  <c r="T255" i="17"/>
  <c r="S255" i="17"/>
  <c r="R255" i="17"/>
  <c r="Q255" i="17"/>
  <c r="P255" i="17"/>
  <c r="O255" i="17"/>
  <c r="N255" i="17"/>
  <c r="M255" i="17"/>
  <c r="L255" i="17"/>
  <c r="K255" i="17"/>
  <c r="J255" i="17"/>
  <c r="I255" i="17"/>
  <c r="H255" i="17"/>
  <c r="G255" i="17"/>
  <c r="F255" i="17"/>
  <c r="E255" i="17"/>
  <c r="D255" i="17"/>
  <c r="C255" i="17"/>
  <c r="B255" i="17"/>
  <c r="A254" i="17"/>
  <c r="Y254" i="17"/>
  <c r="X254" i="17"/>
  <c r="W254" i="17"/>
  <c r="V254" i="17"/>
  <c r="U254" i="17"/>
  <c r="T254" i="17"/>
  <c r="S254" i="17"/>
  <c r="R254" i="17"/>
  <c r="Q254" i="17"/>
  <c r="P254" i="17"/>
  <c r="O254" i="17"/>
  <c r="N254" i="17"/>
  <c r="M254" i="17"/>
  <c r="L254" i="17"/>
  <c r="K254" i="17"/>
  <c r="J254" i="17"/>
  <c r="I254" i="17"/>
  <c r="H254" i="17"/>
  <c r="G254" i="17"/>
  <c r="F254" i="17"/>
  <c r="E254" i="17"/>
  <c r="D254" i="17"/>
  <c r="C254" i="17"/>
  <c r="B254" i="17"/>
  <c r="A253" i="17"/>
  <c r="Y253" i="17"/>
  <c r="X253" i="17"/>
  <c r="W253" i="17"/>
  <c r="V253" i="17"/>
  <c r="U253" i="17"/>
  <c r="T253" i="17"/>
  <c r="S253" i="17"/>
  <c r="R253" i="17"/>
  <c r="Q253" i="17"/>
  <c r="P253" i="17"/>
  <c r="O253" i="17"/>
  <c r="N253" i="17"/>
  <c r="M253" i="17"/>
  <c r="L253" i="17"/>
  <c r="K253" i="17"/>
  <c r="J253" i="17"/>
  <c r="I253" i="17"/>
  <c r="H253" i="17"/>
  <c r="G253" i="17"/>
  <c r="F253" i="17"/>
  <c r="E253" i="17"/>
  <c r="D253" i="17"/>
  <c r="C253" i="17"/>
  <c r="B253" i="17"/>
  <c r="A252" i="17"/>
  <c r="Y252" i="17"/>
  <c r="X252" i="17"/>
  <c r="W252" i="17"/>
  <c r="V252" i="17"/>
  <c r="U252" i="17"/>
  <c r="T252" i="17"/>
  <c r="S252" i="17"/>
  <c r="R252" i="17"/>
  <c r="Q252" i="17"/>
  <c r="P252" i="17"/>
  <c r="O252" i="17"/>
  <c r="N252" i="17"/>
  <c r="M252" i="17"/>
  <c r="L252" i="17"/>
  <c r="K252" i="17"/>
  <c r="J252" i="17"/>
  <c r="I252" i="17"/>
  <c r="H252" i="17"/>
  <c r="G252" i="17"/>
  <c r="F252" i="17"/>
  <c r="E252" i="17"/>
  <c r="D252" i="17"/>
  <c r="C252" i="17"/>
  <c r="B252" i="17"/>
  <c r="A251" i="17"/>
  <c r="Y251" i="17"/>
  <c r="X251" i="17"/>
  <c r="W251" i="17"/>
  <c r="V251" i="17"/>
  <c r="U251" i="17"/>
  <c r="T251" i="17"/>
  <c r="S251" i="17"/>
  <c r="R251" i="17"/>
  <c r="Q251" i="17"/>
  <c r="P251" i="17"/>
  <c r="O251" i="17"/>
  <c r="N251" i="17"/>
  <c r="M251" i="17"/>
  <c r="L251" i="17"/>
  <c r="K251" i="17"/>
  <c r="J251" i="17"/>
  <c r="I251" i="17"/>
  <c r="H251" i="17"/>
  <c r="G251" i="17"/>
  <c r="F251" i="17"/>
  <c r="E251" i="17"/>
  <c r="D251" i="17"/>
  <c r="C251" i="17"/>
  <c r="B251" i="17"/>
  <c r="A250" i="17"/>
  <c r="Y250" i="17"/>
  <c r="X250" i="17"/>
  <c r="W250" i="17"/>
  <c r="V250" i="17"/>
  <c r="U250" i="17"/>
  <c r="T250" i="17"/>
  <c r="S250" i="17"/>
  <c r="R250" i="17"/>
  <c r="Q250" i="17"/>
  <c r="P250" i="17"/>
  <c r="O250" i="17"/>
  <c r="N250" i="17"/>
  <c r="M250" i="17"/>
  <c r="L250" i="17"/>
  <c r="K250" i="17"/>
  <c r="J250" i="17"/>
  <c r="I250" i="17"/>
  <c r="H250" i="17"/>
  <c r="G250" i="17"/>
  <c r="F250" i="17"/>
  <c r="E250" i="17"/>
  <c r="D250" i="17"/>
  <c r="C250" i="17"/>
  <c r="B250" i="17"/>
  <c r="A249" i="17"/>
  <c r="Y249" i="17"/>
  <c r="X249" i="17"/>
  <c r="W249" i="17"/>
  <c r="V249" i="17"/>
  <c r="U249" i="17"/>
  <c r="T249" i="17"/>
  <c r="S249" i="17"/>
  <c r="R249" i="17"/>
  <c r="Q249" i="17"/>
  <c r="P249" i="17"/>
  <c r="O249" i="17"/>
  <c r="N249" i="17"/>
  <c r="M249" i="17"/>
  <c r="L249" i="17"/>
  <c r="K249" i="17"/>
  <c r="J249" i="17"/>
  <c r="I249" i="17"/>
  <c r="H249" i="17"/>
  <c r="G249" i="17"/>
  <c r="F249" i="17"/>
  <c r="E249" i="17"/>
  <c r="D249" i="17"/>
  <c r="C249" i="17"/>
  <c r="B249" i="17"/>
  <c r="A248" i="17"/>
  <c r="Y248" i="17"/>
  <c r="X248" i="17"/>
  <c r="W248" i="17"/>
  <c r="V248" i="17"/>
  <c r="U248" i="17"/>
  <c r="T248" i="17"/>
  <c r="S248" i="17"/>
  <c r="R248" i="17"/>
  <c r="Q248" i="17"/>
  <c r="P248" i="17"/>
  <c r="O248" i="17"/>
  <c r="N248" i="17"/>
  <c r="M248" i="17"/>
  <c r="L248" i="17"/>
  <c r="K248" i="17"/>
  <c r="J248" i="17"/>
  <c r="I248" i="17"/>
  <c r="H248" i="17"/>
  <c r="G248" i="17"/>
  <c r="F248" i="17"/>
  <c r="E248" i="17"/>
  <c r="D248" i="17"/>
  <c r="C248" i="17"/>
  <c r="B248" i="17"/>
  <c r="A247" i="17"/>
  <c r="Y247" i="17"/>
  <c r="X247" i="17"/>
  <c r="W247" i="17"/>
  <c r="V247" i="17"/>
  <c r="U247" i="17"/>
  <c r="T247" i="17"/>
  <c r="S247" i="17"/>
  <c r="R247" i="17"/>
  <c r="Q247" i="17"/>
  <c r="P247" i="17"/>
  <c r="O247" i="17"/>
  <c r="N247" i="17"/>
  <c r="M247" i="17"/>
  <c r="L247" i="17"/>
  <c r="K247" i="17"/>
  <c r="J247" i="17"/>
  <c r="I247" i="17"/>
  <c r="H247" i="17"/>
  <c r="G247" i="17"/>
  <c r="F247" i="17"/>
  <c r="E247" i="17"/>
  <c r="D247" i="17"/>
  <c r="C247" i="17"/>
  <c r="B247" i="17"/>
  <c r="A246" i="17"/>
  <c r="Y246" i="17"/>
  <c r="X246" i="17"/>
  <c r="W246" i="17"/>
  <c r="V246" i="17"/>
  <c r="U246" i="17"/>
  <c r="T246" i="17"/>
  <c r="S246" i="17"/>
  <c r="R246" i="17"/>
  <c r="Q246" i="17"/>
  <c r="P246" i="17"/>
  <c r="O246" i="17"/>
  <c r="N246" i="17"/>
  <c r="M246" i="17"/>
  <c r="L246" i="17"/>
  <c r="K246" i="17"/>
  <c r="J246" i="17"/>
  <c r="I246" i="17"/>
  <c r="H246" i="17"/>
  <c r="G246" i="17"/>
  <c r="F246" i="17"/>
  <c r="E246" i="17"/>
  <c r="D246" i="17"/>
  <c r="C246" i="17"/>
  <c r="B246" i="17"/>
  <c r="A245" i="17"/>
  <c r="Y245" i="17"/>
  <c r="X245" i="17"/>
  <c r="W245" i="17"/>
  <c r="V245" i="17"/>
  <c r="U245" i="17"/>
  <c r="T245" i="17"/>
  <c r="S245" i="17"/>
  <c r="R245" i="17"/>
  <c r="Q245" i="17"/>
  <c r="P245" i="17"/>
  <c r="O245" i="17"/>
  <c r="N245" i="17"/>
  <c r="M245" i="17"/>
  <c r="L245" i="17"/>
  <c r="K245" i="17"/>
  <c r="J245" i="17"/>
  <c r="I245" i="17"/>
  <c r="H245" i="17"/>
  <c r="G245" i="17"/>
  <c r="F245" i="17"/>
  <c r="E245" i="17"/>
  <c r="D245" i="17"/>
  <c r="C245" i="17"/>
  <c r="B245" i="17"/>
  <c r="A244" i="17"/>
  <c r="Y244" i="17"/>
  <c r="X244" i="17"/>
  <c r="W244" i="17"/>
  <c r="V244" i="17"/>
  <c r="U244" i="17"/>
  <c r="T244" i="17"/>
  <c r="S244" i="17"/>
  <c r="R244" i="17"/>
  <c r="Q244" i="17"/>
  <c r="P244" i="17"/>
  <c r="O244" i="17"/>
  <c r="N244" i="17"/>
  <c r="M244" i="17"/>
  <c r="L244" i="17"/>
  <c r="K244" i="17"/>
  <c r="J244" i="17"/>
  <c r="I244" i="17"/>
  <c r="H244" i="17"/>
  <c r="G244" i="17"/>
  <c r="F244" i="17"/>
  <c r="E244" i="17"/>
  <c r="D244" i="17"/>
  <c r="C244" i="17"/>
  <c r="B244" i="17"/>
  <c r="A243" i="17"/>
  <c r="Y243" i="17"/>
  <c r="X243" i="17"/>
  <c r="W243" i="17"/>
  <c r="V243" i="17"/>
  <c r="U243" i="17"/>
  <c r="T243" i="17"/>
  <c r="S243" i="17"/>
  <c r="R243" i="17"/>
  <c r="Q243" i="17"/>
  <c r="P243" i="17"/>
  <c r="O243" i="17"/>
  <c r="N243" i="17"/>
  <c r="M243" i="17"/>
  <c r="L243" i="17"/>
  <c r="K243" i="17"/>
  <c r="J243" i="17"/>
  <c r="I243" i="17"/>
  <c r="H243" i="17"/>
  <c r="G243" i="17"/>
  <c r="F243" i="17"/>
  <c r="E243" i="17"/>
  <c r="D243" i="17"/>
  <c r="C243" i="17"/>
  <c r="B243" i="17"/>
  <c r="A242" i="17"/>
  <c r="Y242" i="17"/>
  <c r="X242" i="17"/>
  <c r="W242" i="17"/>
  <c r="V242" i="17"/>
  <c r="U242" i="17"/>
  <c r="T242" i="17"/>
  <c r="S242" i="17"/>
  <c r="R242" i="17"/>
  <c r="Q242" i="17"/>
  <c r="P242" i="17"/>
  <c r="O242" i="17"/>
  <c r="N242" i="17"/>
  <c r="M242" i="17"/>
  <c r="L242" i="17"/>
  <c r="K242" i="17"/>
  <c r="J242" i="17"/>
  <c r="I242" i="17"/>
  <c r="H242" i="17"/>
  <c r="G242" i="17"/>
  <c r="F242" i="17"/>
  <c r="E242" i="17"/>
  <c r="D242" i="17"/>
  <c r="C242" i="17"/>
  <c r="B242" i="17"/>
  <c r="A241" i="17"/>
  <c r="Y241" i="17"/>
  <c r="X241" i="17"/>
  <c r="W241" i="17"/>
  <c r="V241" i="17"/>
  <c r="U241" i="17"/>
  <c r="T241" i="17"/>
  <c r="S241" i="17"/>
  <c r="R241" i="17"/>
  <c r="Q241" i="17"/>
  <c r="P241" i="17"/>
  <c r="O241" i="17"/>
  <c r="N241" i="17"/>
  <c r="M241" i="17"/>
  <c r="L241" i="17"/>
  <c r="K241" i="17"/>
  <c r="J241" i="17"/>
  <c r="I241" i="17"/>
  <c r="H241" i="17"/>
  <c r="G241" i="17"/>
  <c r="F241" i="17"/>
  <c r="E241" i="17"/>
  <c r="D241" i="17"/>
  <c r="C241" i="17"/>
  <c r="B241" i="17"/>
  <c r="A240" i="17"/>
  <c r="Y240" i="17"/>
  <c r="X240" i="17"/>
  <c r="W240" i="17"/>
  <c r="V240" i="17"/>
  <c r="U240" i="17"/>
  <c r="T240" i="17"/>
  <c r="S240" i="17"/>
  <c r="R240" i="17"/>
  <c r="Q240" i="17"/>
  <c r="P240" i="17"/>
  <c r="O240" i="17"/>
  <c r="N240" i="17"/>
  <c r="M240" i="17"/>
  <c r="L240" i="17"/>
  <c r="K240" i="17"/>
  <c r="J240" i="17"/>
  <c r="I240" i="17"/>
  <c r="H240" i="17"/>
  <c r="G240" i="17"/>
  <c r="F240" i="17"/>
  <c r="E240" i="17"/>
  <c r="D240" i="17"/>
  <c r="C240" i="17"/>
  <c r="B240" i="17"/>
  <c r="A239" i="17"/>
  <c r="Y239" i="17"/>
  <c r="X239" i="17"/>
  <c r="W239" i="17"/>
  <c r="V239" i="17"/>
  <c r="U239" i="17"/>
  <c r="T239" i="17"/>
  <c r="S239" i="17"/>
  <c r="R239" i="17"/>
  <c r="Q239" i="17"/>
  <c r="P239" i="17"/>
  <c r="O239" i="17"/>
  <c r="N239" i="17"/>
  <c r="M239" i="17"/>
  <c r="L239" i="17"/>
  <c r="K239" i="17"/>
  <c r="J239" i="17"/>
  <c r="I239" i="17"/>
  <c r="H239" i="17"/>
  <c r="G239" i="17"/>
  <c r="F239" i="17"/>
  <c r="E239" i="17"/>
  <c r="D239" i="17"/>
  <c r="C239" i="17"/>
  <c r="B239" i="17"/>
  <c r="A238" i="17"/>
  <c r="Y238" i="17"/>
  <c r="X238" i="17"/>
  <c r="W238" i="17"/>
  <c r="V238" i="17"/>
  <c r="U238" i="17"/>
  <c r="T238" i="17"/>
  <c r="S238" i="17"/>
  <c r="R238" i="17"/>
  <c r="Q238" i="17"/>
  <c r="P238" i="17"/>
  <c r="O238" i="17"/>
  <c r="N238" i="17"/>
  <c r="M238" i="17"/>
  <c r="L238" i="17"/>
  <c r="K238" i="17"/>
  <c r="J238" i="17"/>
  <c r="I238" i="17"/>
  <c r="H238" i="17"/>
  <c r="G238" i="17"/>
  <c r="F238" i="17"/>
  <c r="E238" i="17"/>
  <c r="D238" i="17"/>
  <c r="C238" i="17"/>
  <c r="B238" i="17"/>
  <c r="A237" i="17"/>
  <c r="Y237" i="17"/>
  <c r="X237" i="17"/>
  <c r="W237" i="17"/>
  <c r="V237" i="17"/>
  <c r="U237" i="17"/>
  <c r="T237" i="17"/>
  <c r="S237" i="17"/>
  <c r="R237" i="17"/>
  <c r="Q237" i="17"/>
  <c r="P237" i="17"/>
  <c r="O237" i="17"/>
  <c r="N237" i="17"/>
  <c r="M237" i="17"/>
  <c r="L237" i="17"/>
  <c r="K237" i="17"/>
  <c r="J237" i="17"/>
  <c r="I237" i="17"/>
  <c r="H237" i="17"/>
  <c r="G237" i="17"/>
  <c r="F237" i="17"/>
  <c r="E237" i="17"/>
  <c r="D237" i="17"/>
  <c r="C237" i="17"/>
  <c r="B237" i="17"/>
  <c r="A236" i="17"/>
  <c r="Y236" i="17"/>
  <c r="X236" i="17"/>
  <c r="W236" i="17"/>
  <c r="V236" i="17"/>
  <c r="U236" i="17"/>
  <c r="T236" i="17"/>
  <c r="S236" i="17"/>
  <c r="R236" i="17"/>
  <c r="Q236" i="17"/>
  <c r="P236" i="17"/>
  <c r="O236" i="17"/>
  <c r="N236" i="17"/>
  <c r="M236" i="17"/>
  <c r="L236" i="17"/>
  <c r="K236" i="17"/>
  <c r="J236" i="17"/>
  <c r="I236" i="17"/>
  <c r="H236" i="17"/>
  <c r="G236" i="17"/>
  <c r="F236" i="17"/>
  <c r="E236" i="17"/>
  <c r="D236" i="17"/>
  <c r="C236" i="17"/>
  <c r="B236" i="17"/>
  <c r="A235" i="17"/>
  <c r="Y235" i="17"/>
  <c r="X235" i="17"/>
  <c r="W235" i="17"/>
  <c r="V235" i="17"/>
  <c r="U235" i="17"/>
  <c r="T235" i="17"/>
  <c r="S235" i="17"/>
  <c r="R235" i="17"/>
  <c r="Q235" i="17"/>
  <c r="P235" i="17"/>
  <c r="O235" i="17"/>
  <c r="N235" i="17"/>
  <c r="M235" i="17"/>
  <c r="L235" i="17"/>
  <c r="K235" i="17"/>
  <c r="J235" i="17"/>
  <c r="I235" i="17"/>
  <c r="H235" i="17"/>
  <c r="G235" i="17"/>
  <c r="F235" i="17"/>
  <c r="E235" i="17"/>
  <c r="D235" i="17"/>
  <c r="C235" i="17"/>
  <c r="B235" i="17"/>
  <c r="A234" i="17"/>
  <c r="Y234" i="17"/>
  <c r="X234" i="17"/>
  <c r="W234" i="17"/>
  <c r="V234" i="17"/>
  <c r="U234" i="17"/>
  <c r="T234" i="17"/>
  <c r="S234" i="17"/>
  <c r="R234" i="17"/>
  <c r="Q234" i="17"/>
  <c r="P234" i="17"/>
  <c r="O234" i="17"/>
  <c r="N234" i="17"/>
  <c r="M234" i="17"/>
  <c r="L234" i="17"/>
  <c r="K234" i="17"/>
  <c r="J234" i="17"/>
  <c r="I234" i="17"/>
  <c r="H234" i="17"/>
  <c r="G234" i="17"/>
  <c r="F234" i="17"/>
  <c r="E234" i="17"/>
  <c r="D234" i="17"/>
  <c r="C234" i="17"/>
  <c r="B234" i="17"/>
  <c r="A233" i="17"/>
  <c r="Y233" i="17"/>
  <c r="X233" i="17"/>
  <c r="W233" i="17"/>
  <c r="V233" i="17"/>
  <c r="U233" i="17"/>
  <c r="T233" i="17"/>
  <c r="S233" i="17"/>
  <c r="R233" i="17"/>
  <c r="Q233" i="17"/>
  <c r="P233" i="17"/>
  <c r="O233" i="17"/>
  <c r="N233" i="17"/>
  <c r="M233" i="17"/>
  <c r="L233" i="17"/>
  <c r="K233" i="17"/>
  <c r="J233" i="17"/>
  <c r="I233" i="17"/>
  <c r="H233" i="17"/>
  <c r="G233" i="17"/>
  <c r="F233" i="17"/>
  <c r="E233" i="17"/>
  <c r="D233" i="17"/>
  <c r="C233" i="17"/>
  <c r="B233" i="17"/>
  <c r="A232" i="17"/>
  <c r="Y232" i="17"/>
  <c r="X232" i="17"/>
  <c r="W232" i="17"/>
  <c r="V232" i="17"/>
  <c r="U232" i="17"/>
  <c r="T232" i="17"/>
  <c r="S232" i="17"/>
  <c r="R232" i="17"/>
  <c r="Q232" i="17"/>
  <c r="P232" i="17"/>
  <c r="O232" i="17"/>
  <c r="N232" i="17"/>
  <c r="M232" i="17"/>
  <c r="L232" i="17"/>
  <c r="K232" i="17"/>
  <c r="J232" i="17"/>
  <c r="I232" i="17"/>
  <c r="H232" i="17"/>
  <c r="G232" i="17"/>
  <c r="F232" i="17"/>
  <c r="E232" i="17"/>
  <c r="D232" i="17"/>
  <c r="C232" i="17"/>
  <c r="B232" i="17"/>
  <c r="A231" i="17"/>
  <c r="Y231" i="17"/>
  <c r="X231" i="17"/>
  <c r="W231" i="17"/>
  <c r="V231" i="17"/>
  <c r="U231" i="17"/>
  <c r="T231" i="17"/>
  <c r="S231" i="17"/>
  <c r="R231" i="17"/>
  <c r="Q231" i="17"/>
  <c r="P231" i="17"/>
  <c r="O231" i="17"/>
  <c r="N231" i="17"/>
  <c r="M231" i="17"/>
  <c r="L231" i="17"/>
  <c r="K231" i="17"/>
  <c r="J231" i="17"/>
  <c r="I231" i="17"/>
  <c r="H231" i="17"/>
  <c r="G231" i="17"/>
  <c r="F231" i="17"/>
  <c r="E231" i="17"/>
  <c r="D231" i="17"/>
  <c r="C231" i="17"/>
  <c r="B231" i="17"/>
  <c r="A230" i="17"/>
  <c r="Y230" i="17"/>
  <c r="X230" i="17"/>
  <c r="W230" i="17"/>
  <c r="V230" i="17"/>
  <c r="U230" i="17"/>
  <c r="T230" i="17"/>
  <c r="S230" i="17"/>
  <c r="R230" i="17"/>
  <c r="Q230" i="17"/>
  <c r="P230" i="17"/>
  <c r="O230" i="17"/>
  <c r="N230" i="17"/>
  <c r="M230" i="17"/>
  <c r="L230" i="17"/>
  <c r="K230" i="17"/>
  <c r="J230" i="17"/>
  <c r="I230" i="17"/>
  <c r="H230" i="17"/>
  <c r="G230" i="17"/>
  <c r="F230" i="17"/>
  <c r="E230" i="17"/>
  <c r="D230" i="17"/>
  <c r="C230" i="17"/>
  <c r="B230" i="17"/>
  <c r="A229" i="17"/>
  <c r="Y229" i="17"/>
  <c r="X229" i="17"/>
  <c r="W229" i="17"/>
  <c r="V229" i="17"/>
  <c r="U229" i="17"/>
  <c r="T229" i="17"/>
  <c r="S229" i="17"/>
  <c r="R229" i="17"/>
  <c r="Q229" i="17"/>
  <c r="P229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C229" i="17"/>
  <c r="B229" i="17"/>
  <c r="A228" i="17"/>
  <c r="Y228" i="17"/>
  <c r="X228" i="17"/>
  <c r="W228" i="17"/>
  <c r="V228" i="17"/>
  <c r="U228" i="17"/>
  <c r="T228" i="17"/>
  <c r="S228" i="17"/>
  <c r="R228" i="17"/>
  <c r="Q228" i="17"/>
  <c r="P228" i="17"/>
  <c r="O228" i="17"/>
  <c r="N228" i="17"/>
  <c r="M228" i="17"/>
  <c r="L228" i="17"/>
  <c r="K228" i="17"/>
  <c r="J228" i="17"/>
  <c r="I228" i="17"/>
  <c r="H228" i="17"/>
  <c r="G228" i="17"/>
  <c r="F228" i="17"/>
  <c r="E228" i="17"/>
  <c r="D228" i="17"/>
  <c r="C228" i="17"/>
  <c r="B228" i="17"/>
  <c r="A227" i="17"/>
  <c r="Y227" i="17"/>
  <c r="X227" i="17"/>
  <c r="W227" i="17"/>
  <c r="V227" i="17"/>
  <c r="U227" i="17"/>
  <c r="T227" i="17"/>
  <c r="S227" i="17"/>
  <c r="R227" i="17"/>
  <c r="Q227" i="17"/>
  <c r="P227" i="17"/>
  <c r="O227" i="17"/>
  <c r="N227" i="17"/>
  <c r="M227" i="17"/>
  <c r="L227" i="17"/>
  <c r="K227" i="17"/>
  <c r="J227" i="17"/>
  <c r="I227" i="17"/>
  <c r="H227" i="17"/>
  <c r="G227" i="17"/>
  <c r="F227" i="17"/>
  <c r="E227" i="17"/>
  <c r="D227" i="17"/>
  <c r="C227" i="17"/>
  <c r="B227" i="17"/>
  <c r="A226" i="17"/>
  <c r="Y226" i="17"/>
  <c r="X226" i="17"/>
  <c r="W226" i="17"/>
  <c r="V226" i="17"/>
  <c r="U226" i="17"/>
  <c r="T226" i="17"/>
  <c r="S226" i="17"/>
  <c r="R226" i="17"/>
  <c r="Q226" i="17"/>
  <c r="P226" i="17"/>
  <c r="O226" i="17"/>
  <c r="N226" i="17"/>
  <c r="M226" i="17"/>
  <c r="L226" i="17"/>
  <c r="K226" i="17"/>
  <c r="J226" i="17"/>
  <c r="I226" i="17"/>
  <c r="H226" i="17"/>
  <c r="G226" i="17"/>
  <c r="F226" i="17"/>
  <c r="E226" i="17"/>
  <c r="D226" i="17"/>
  <c r="C226" i="17"/>
  <c r="B226" i="17"/>
  <c r="A225" i="17"/>
  <c r="Y225" i="17"/>
  <c r="X225" i="17"/>
  <c r="W225" i="17"/>
  <c r="V225" i="17"/>
  <c r="U225" i="17"/>
  <c r="T225" i="17"/>
  <c r="S225" i="17"/>
  <c r="R225" i="17"/>
  <c r="Q225" i="17"/>
  <c r="P225" i="17"/>
  <c r="O225" i="17"/>
  <c r="N225" i="17"/>
  <c r="M225" i="17"/>
  <c r="L225" i="17"/>
  <c r="K225" i="17"/>
  <c r="J225" i="17"/>
  <c r="I225" i="17"/>
  <c r="H225" i="17"/>
  <c r="G225" i="17"/>
  <c r="F225" i="17"/>
  <c r="E225" i="17"/>
  <c r="D225" i="17"/>
  <c r="C225" i="17"/>
  <c r="B225" i="17"/>
  <c r="A224" i="17"/>
  <c r="Y224" i="17"/>
  <c r="X224" i="17"/>
  <c r="W224" i="17"/>
  <c r="V224" i="17"/>
  <c r="U224" i="17"/>
  <c r="T224" i="17"/>
  <c r="S224" i="17"/>
  <c r="R224" i="17"/>
  <c r="Q224" i="17"/>
  <c r="P224" i="17"/>
  <c r="O224" i="17"/>
  <c r="N224" i="17"/>
  <c r="M224" i="17"/>
  <c r="L224" i="17"/>
  <c r="K224" i="17"/>
  <c r="J224" i="17"/>
  <c r="I224" i="17"/>
  <c r="H224" i="17"/>
  <c r="G224" i="17"/>
  <c r="F224" i="17"/>
  <c r="E224" i="17"/>
  <c r="D224" i="17"/>
  <c r="C224" i="17"/>
  <c r="B224" i="17"/>
  <c r="A223" i="17"/>
  <c r="Y223" i="17"/>
  <c r="X223" i="17"/>
  <c r="W223" i="17"/>
  <c r="V223" i="17"/>
  <c r="U223" i="17"/>
  <c r="T223" i="17"/>
  <c r="S223" i="17"/>
  <c r="R223" i="17"/>
  <c r="Q223" i="17"/>
  <c r="P223" i="17"/>
  <c r="O223" i="17"/>
  <c r="N223" i="17"/>
  <c r="M223" i="17"/>
  <c r="L223" i="17"/>
  <c r="K223" i="17"/>
  <c r="J223" i="17"/>
  <c r="I223" i="17"/>
  <c r="H223" i="17"/>
  <c r="G223" i="17"/>
  <c r="F223" i="17"/>
  <c r="E223" i="17"/>
  <c r="D223" i="17"/>
  <c r="C223" i="17"/>
  <c r="B223" i="17"/>
  <c r="A222" i="17"/>
  <c r="Y222" i="17"/>
  <c r="X222" i="17"/>
  <c r="W222" i="17"/>
  <c r="V222" i="17"/>
  <c r="U222" i="17"/>
  <c r="T222" i="17"/>
  <c r="S222" i="17"/>
  <c r="R222" i="17"/>
  <c r="Q222" i="17"/>
  <c r="P222" i="17"/>
  <c r="O222" i="17"/>
  <c r="N222" i="17"/>
  <c r="M222" i="17"/>
  <c r="L222" i="17"/>
  <c r="K222" i="17"/>
  <c r="J222" i="17"/>
  <c r="I222" i="17"/>
  <c r="H222" i="17"/>
  <c r="G222" i="17"/>
  <c r="F222" i="17"/>
  <c r="E222" i="17"/>
  <c r="D222" i="17"/>
  <c r="C222" i="17"/>
  <c r="B222" i="17"/>
  <c r="A221" i="17"/>
  <c r="Y221" i="17"/>
  <c r="X221" i="17"/>
  <c r="W221" i="17"/>
  <c r="V221" i="17"/>
  <c r="U221" i="17"/>
  <c r="T221" i="17"/>
  <c r="S221" i="17"/>
  <c r="R221" i="17"/>
  <c r="Q221" i="17"/>
  <c r="P221" i="17"/>
  <c r="O221" i="17"/>
  <c r="N221" i="17"/>
  <c r="M221" i="17"/>
  <c r="L221" i="17"/>
  <c r="K221" i="17"/>
  <c r="J221" i="17"/>
  <c r="I221" i="17"/>
  <c r="H221" i="17"/>
  <c r="G221" i="17"/>
  <c r="F221" i="17"/>
  <c r="E221" i="17"/>
  <c r="D221" i="17"/>
  <c r="C221" i="17"/>
  <c r="B221" i="17"/>
  <c r="A220" i="17"/>
  <c r="Y220" i="17"/>
  <c r="X220" i="17"/>
  <c r="W220" i="17"/>
  <c r="V220" i="17"/>
  <c r="U220" i="17"/>
  <c r="T220" i="17"/>
  <c r="S220" i="17"/>
  <c r="R220" i="17"/>
  <c r="Q220" i="17"/>
  <c r="P220" i="17"/>
  <c r="O220" i="17"/>
  <c r="N220" i="17"/>
  <c r="M220" i="17"/>
  <c r="L220" i="17"/>
  <c r="K220" i="17"/>
  <c r="J220" i="17"/>
  <c r="I220" i="17"/>
  <c r="H220" i="17"/>
  <c r="G220" i="17"/>
  <c r="F220" i="17"/>
  <c r="E220" i="17"/>
  <c r="D220" i="17"/>
  <c r="C220" i="17"/>
  <c r="B220" i="17"/>
  <c r="A219" i="17"/>
  <c r="Y219" i="17"/>
  <c r="X219" i="17"/>
  <c r="W219" i="17"/>
  <c r="V219" i="17"/>
  <c r="U219" i="17"/>
  <c r="T219" i="17"/>
  <c r="S219" i="17"/>
  <c r="R219" i="17"/>
  <c r="Q219" i="17"/>
  <c r="P219" i="17"/>
  <c r="O219" i="17"/>
  <c r="N219" i="17"/>
  <c r="M219" i="17"/>
  <c r="L219" i="17"/>
  <c r="K219" i="17"/>
  <c r="J219" i="17"/>
  <c r="I219" i="17"/>
  <c r="H219" i="17"/>
  <c r="G219" i="17"/>
  <c r="F219" i="17"/>
  <c r="E219" i="17"/>
  <c r="D219" i="17"/>
  <c r="C219" i="17"/>
  <c r="B219" i="17"/>
  <c r="A218" i="17"/>
  <c r="Y218" i="17"/>
  <c r="X218" i="17"/>
  <c r="W218" i="17"/>
  <c r="V218" i="17"/>
  <c r="U218" i="17"/>
  <c r="T218" i="17"/>
  <c r="S218" i="17"/>
  <c r="R218" i="17"/>
  <c r="Q218" i="17"/>
  <c r="P218" i="17"/>
  <c r="O218" i="17"/>
  <c r="N218" i="17"/>
  <c r="M218" i="17"/>
  <c r="L218" i="17"/>
  <c r="K218" i="17"/>
  <c r="J218" i="17"/>
  <c r="I218" i="17"/>
  <c r="H218" i="17"/>
  <c r="G218" i="17"/>
  <c r="F218" i="17"/>
  <c r="E218" i="17"/>
  <c r="D218" i="17"/>
  <c r="C218" i="17"/>
  <c r="B218" i="17"/>
  <c r="A217" i="17"/>
  <c r="Y217" i="17"/>
  <c r="X217" i="17"/>
  <c r="W217" i="17"/>
  <c r="V217" i="17"/>
  <c r="U217" i="17"/>
  <c r="T217" i="17"/>
  <c r="S217" i="17"/>
  <c r="R217" i="17"/>
  <c r="Q217" i="17"/>
  <c r="P217" i="17"/>
  <c r="O217" i="17"/>
  <c r="N217" i="17"/>
  <c r="M217" i="17"/>
  <c r="L217" i="17"/>
  <c r="K217" i="17"/>
  <c r="J217" i="17"/>
  <c r="I217" i="17"/>
  <c r="H217" i="17"/>
  <c r="G217" i="17"/>
  <c r="F217" i="17"/>
  <c r="E217" i="17"/>
  <c r="D217" i="17"/>
  <c r="C217" i="17"/>
  <c r="B217" i="17"/>
  <c r="A216" i="17"/>
  <c r="Y216" i="17"/>
  <c r="X216" i="17"/>
  <c r="W216" i="17"/>
  <c r="V216" i="17"/>
  <c r="U216" i="17"/>
  <c r="T216" i="17"/>
  <c r="S216" i="17"/>
  <c r="R216" i="17"/>
  <c r="Q216" i="17"/>
  <c r="P216" i="17"/>
  <c r="O216" i="17"/>
  <c r="N216" i="17"/>
  <c r="M216" i="17"/>
  <c r="L216" i="17"/>
  <c r="K216" i="17"/>
  <c r="J216" i="17"/>
  <c r="I216" i="17"/>
  <c r="H216" i="17"/>
  <c r="G216" i="17"/>
  <c r="F216" i="17"/>
  <c r="E216" i="17"/>
  <c r="D216" i="17"/>
  <c r="C216" i="17"/>
  <c r="B216" i="17"/>
  <c r="A215" i="17"/>
  <c r="Y215" i="17"/>
  <c r="X215" i="17"/>
  <c r="W215" i="17"/>
  <c r="V215" i="17"/>
  <c r="U215" i="17"/>
  <c r="T215" i="17"/>
  <c r="S215" i="17"/>
  <c r="R215" i="17"/>
  <c r="Q215" i="17"/>
  <c r="P215" i="17"/>
  <c r="O215" i="17"/>
  <c r="N215" i="17"/>
  <c r="M215" i="17"/>
  <c r="L215" i="17"/>
  <c r="K215" i="17"/>
  <c r="J215" i="17"/>
  <c r="I215" i="17"/>
  <c r="H215" i="17"/>
  <c r="G215" i="17"/>
  <c r="F215" i="17"/>
  <c r="E215" i="17"/>
  <c r="D215" i="17"/>
  <c r="C215" i="17"/>
  <c r="B215" i="17"/>
  <c r="A214" i="17"/>
  <c r="Y214" i="17"/>
  <c r="X214" i="17"/>
  <c r="W214" i="17"/>
  <c r="V214" i="17"/>
  <c r="U214" i="17"/>
  <c r="T214" i="17"/>
  <c r="S214" i="17"/>
  <c r="R214" i="17"/>
  <c r="Q214" i="17"/>
  <c r="P214" i="17"/>
  <c r="O214" i="17"/>
  <c r="N214" i="17"/>
  <c r="M214" i="17"/>
  <c r="L214" i="17"/>
  <c r="K214" i="17"/>
  <c r="J214" i="17"/>
  <c r="I214" i="17"/>
  <c r="H214" i="17"/>
  <c r="G214" i="17"/>
  <c r="F214" i="17"/>
  <c r="E214" i="17"/>
  <c r="D214" i="17"/>
  <c r="C214" i="17"/>
  <c r="B214" i="17"/>
  <c r="A213" i="17"/>
  <c r="Y213" i="17"/>
  <c r="X213" i="17"/>
  <c r="W213" i="17"/>
  <c r="V213" i="17"/>
  <c r="U213" i="17"/>
  <c r="T213" i="17"/>
  <c r="S213" i="17"/>
  <c r="R213" i="17"/>
  <c r="Q213" i="17"/>
  <c r="P213" i="17"/>
  <c r="O213" i="17"/>
  <c r="N213" i="17"/>
  <c r="M213" i="17"/>
  <c r="L213" i="17"/>
  <c r="K213" i="17"/>
  <c r="J213" i="17"/>
  <c r="I213" i="17"/>
  <c r="H213" i="17"/>
  <c r="G213" i="17"/>
  <c r="F213" i="17"/>
  <c r="E213" i="17"/>
  <c r="D213" i="17"/>
  <c r="C213" i="17"/>
  <c r="B213" i="17"/>
  <c r="A212" i="17"/>
  <c r="Y212" i="17"/>
  <c r="X212" i="17"/>
  <c r="W212" i="17"/>
  <c r="V212" i="17"/>
  <c r="U212" i="17"/>
  <c r="T212" i="17"/>
  <c r="S212" i="17"/>
  <c r="R212" i="17"/>
  <c r="Q212" i="17"/>
  <c r="P212" i="17"/>
  <c r="O212" i="17"/>
  <c r="N212" i="17"/>
  <c r="M212" i="17"/>
  <c r="L212" i="17"/>
  <c r="K212" i="17"/>
  <c r="J212" i="17"/>
  <c r="I212" i="17"/>
  <c r="H212" i="17"/>
  <c r="G212" i="17"/>
  <c r="F212" i="17"/>
  <c r="E212" i="17"/>
  <c r="D212" i="17"/>
  <c r="C212" i="17"/>
  <c r="B212" i="17"/>
  <c r="A211" i="17"/>
  <c r="Y211" i="17"/>
  <c r="X211" i="17"/>
  <c r="W211" i="17"/>
  <c r="V211" i="17"/>
  <c r="U211" i="17"/>
  <c r="T211" i="17"/>
  <c r="S211" i="17"/>
  <c r="R211" i="17"/>
  <c r="Q211" i="17"/>
  <c r="P211" i="17"/>
  <c r="O211" i="17"/>
  <c r="N211" i="17"/>
  <c r="M211" i="17"/>
  <c r="L211" i="17"/>
  <c r="K211" i="17"/>
  <c r="J211" i="17"/>
  <c r="I211" i="17"/>
  <c r="H211" i="17"/>
  <c r="G211" i="17"/>
  <c r="F211" i="17"/>
  <c r="E211" i="17"/>
  <c r="D211" i="17"/>
  <c r="C211" i="17"/>
  <c r="B211" i="17"/>
  <c r="A210" i="17"/>
  <c r="Y210" i="17"/>
  <c r="X210" i="17"/>
  <c r="W210" i="17"/>
  <c r="V210" i="17"/>
  <c r="U210" i="17"/>
  <c r="T210" i="17"/>
  <c r="S210" i="17"/>
  <c r="R210" i="17"/>
  <c r="Q210" i="17"/>
  <c r="P210" i="17"/>
  <c r="O210" i="17"/>
  <c r="N210" i="17"/>
  <c r="M210" i="17"/>
  <c r="L210" i="17"/>
  <c r="K210" i="17"/>
  <c r="J210" i="17"/>
  <c r="I210" i="17"/>
  <c r="H210" i="17"/>
  <c r="G210" i="17"/>
  <c r="F210" i="17"/>
  <c r="E210" i="17"/>
  <c r="D210" i="17"/>
  <c r="C210" i="17"/>
  <c r="B210" i="17"/>
  <c r="A209" i="17"/>
  <c r="Y209" i="17"/>
  <c r="X209" i="17"/>
  <c r="W209" i="17"/>
  <c r="V209" i="17"/>
  <c r="U209" i="17"/>
  <c r="T209" i="17"/>
  <c r="S209" i="17"/>
  <c r="R209" i="17"/>
  <c r="Q209" i="17"/>
  <c r="P209" i="17"/>
  <c r="O209" i="17"/>
  <c r="N209" i="17"/>
  <c r="M209" i="17"/>
  <c r="L209" i="17"/>
  <c r="K209" i="17"/>
  <c r="J209" i="17"/>
  <c r="I209" i="17"/>
  <c r="H209" i="17"/>
  <c r="G209" i="17"/>
  <c r="F209" i="17"/>
  <c r="E209" i="17"/>
  <c r="D209" i="17"/>
  <c r="C209" i="17"/>
  <c r="B209" i="17"/>
  <c r="A208" i="17"/>
  <c r="Y208" i="17"/>
  <c r="X208" i="17"/>
  <c r="W208" i="17"/>
  <c r="V208" i="17"/>
  <c r="U208" i="17"/>
  <c r="T208" i="17"/>
  <c r="S208" i="17"/>
  <c r="R208" i="17"/>
  <c r="Q208" i="17"/>
  <c r="P208" i="17"/>
  <c r="O208" i="17"/>
  <c r="N208" i="17"/>
  <c r="M208" i="17"/>
  <c r="L208" i="17"/>
  <c r="K208" i="17"/>
  <c r="J208" i="17"/>
  <c r="I208" i="17"/>
  <c r="H208" i="17"/>
  <c r="G208" i="17"/>
  <c r="F208" i="17"/>
  <c r="E208" i="17"/>
  <c r="D208" i="17"/>
  <c r="C208" i="17"/>
  <c r="B208" i="17"/>
  <c r="A207" i="17"/>
  <c r="Y207" i="17"/>
  <c r="X207" i="17"/>
  <c r="W207" i="17"/>
  <c r="V207" i="17"/>
  <c r="U207" i="17"/>
  <c r="T207" i="17"/>
  <c r="S207" i="17"/>
  <c r="R207" i="17"/>
  <c r="Q207" i="17"/>
  <c r="P207" i="17"/>
  <c r="O207" i="17"/>
  <c r="N207" i="17"/>
  <c r="M207" i="17"/>
  <c r="L207" i="17"/>
  <c r="K207" i="17"/>
  <c r="J207" i="17"/>
  <c r="I207" i="17"/>
  <c r="H207" i="17"/>
  <c r="G207" i="17"/>
  <c r="F207" i="17"/>
  <c r="E207" i="17"/>
  <c r="D207" i="17"/>
  <c r="C207" i="17"/>
  <c r="B207" i="17"/>
  <c r="A206" i="17"/>
  <c r="Y206" i="17"/>
  <c r="X206" i="17"/>
  <c r="W206" i="17"/>
  <c r="V206" i="17"/>
  <c r="U206" i="17"/>
  <c r="T206" i="17"/>
  <c r="S206" i="17"/>
  <c r="R206" i="17"/>
  <c r="Q206" i="17"/>
  <c r="P206" i="17"/>
  <c r="O206" i="17"/>
  <c r="N206" i="17"/>
  <c r="M206" i="17"/>
  <c r="L206" i="17"/>
  <c r="K206" i="17"/>
  <c r="J206" i="17"/>
  <c r="I206" i="17"/>
  <c r="H206" i="17"/>
  <c r="G206" i="17"/>
  <c r="F206" i="17"/>
  <c r="E206" i="17"/>
  <c r="D206" i="17"/>
  <c r="C206" i="17"/>
  <c r="B206" i="17"/>
  <c r="A205" i="17"/>
  <c r="Y205" i="17"/>
  <c r="X205" i="17"/>
  <c r="W205" i="17"/>
  <c r="V205" i="17"/>
  <c r="U205" i="17"/>
  <c r="T205" i="17"/>
  <c r="S205" i="17"/>
  <c r="R205" i="17"/>
  <c r="Q205" i="17"/>
  <c r="P205" i="17"/>
  <c r="O205" i="17"/>
  <c r="N205" i="17"/>
  <c r="M205" i="17"/>
  <c r="L205" i="17"/>
  <c r="K205" i="17"/>
  <c r="J205" i="17"/>
  <c r="I205" i="17"/>
  <c r="H205" i="17"/>
  <c r="G205" i="17"/>
  <c r="F205" i="17"/>
  <c r="E205" i="17"/>
  <c r="D205" i="17"/>
  <c r="C205" i="17"/>
  <c r="B205" i="17"/>
  <c r="A204" i="17"/>
  <c r="Y204" i="17"/>
  <c r="X204" i="17"/>
  <c r="W204" i="17"/>
  <c r="V204" i="17"/>
  <c r="U204" i="17"/>
  <c r="T204" i="17"/>
  <c r="S204" i="17"/>
  <c r="R204" i="17"/>
  <c r="Q204" i="17"/>
  <c r="P204" i="17"/>
  <c r="O204" i="17"/>
  <c r="N204" i="17"/>
  <c r="M204" i="17"/>
  <c r="L204" i="17"/>
  <c r="K204" i="17"/>
  <c r="J204" i="17"/>
  <c r="I204" i="17"/>
  <c r="H204" i="17"/>
  <c r="G204" i="17"/>
  <c r="F204" i="17"/>
  <c r="E204" i="17"/>
  <c r="D204" i="17"/>
  <c r="C204" i="17"/>
  <c r="B204" i="17"/>
  <c r="A203" i="17"/>
  <c r="Y203" i="17"/>
  <c r="X203" i="17"/>
  <c r="W203" i="17"/>
  <c r="V203" i="17"/>
  <c r="U203" i="17"/>
  <c r="T203" i="17"/>
  <c r="S203" i="17"/>
  <c r="R203" i="17"/>
  <c r="Q203" i="17"/>
  <c r="P203" i="17"/>
  <c r="O203" i="17"/>
  <c r="N203" i="17"/>
  <c r="M203" i="17"/>
  <c r="L203" i="17"/>
  <c r="K203" i="17"/>
  <c r="J203" i="17"/>
  <c r="I203" i="17"/>
  <c r="H203" i="17"/>
  <c r="G203" i="17"/>
  <c r="F203" i="17"/>
  <c r="E203" i="17"/>
  <c r="D203" i="17"/>
  <c r="C203" i="17"/>
  <c r="B203" i="17"/>
  <c r="A202" i="17"/>
  <c r="Y202" i="17"/>
  <c r="X202" i="17"/>
  <c r="W202" i="17"/>
  <c r="V202" i="17"/>
  <c r="U202" i="17"/>
  <c r="T202" i="17"/>
  <c r="S202" i="17"/>
  <c r="R202" i="17"/>
  <c r="Q202" i="17"/>
  <c r="P202" i="17"/>
  <c r="O202" i="17"/>
  <c r="N202" i="17"/>
  <c r="M202" i="17"/>
  <c r="L202" i="17"/>
  <c r="K202" i="17"/>
  <c r="J202" i="17"/>
  <c r="I202" i="17"/>
  <c r="H202" i="17"/>
  <c r="G202" i="17"/>
  <c r="F202" i="17"/>
  <c r="E202" i="17"/>
  <c r="D202" i="17"/>
  <c r="C202" i="17"/>
  <c r="B202" i="17"/>
  <c r="A201" i="17"/>
  <c r="Y201" i="17"/>
  <c r="X201" i="17"/>
  <c r="W201" i="17"/>
  <c r="V201" i="17"/>
  <c r="U201" i="17"/>
  <c r="T201" i="17"/>
  <c r="S201" i="17"/>
  <c r="R201" i="17"/>
  <c r="Q201" i="17"/>
  <c r="P201" i="17"/>
  <c r="O201" i="17"/>
  <c r="N201" i="17"/>
  <c r="M201" i="17"/>
  <c r="L201" i="17"/>
  <c r="K201" i="17"/>
  <c r="J201" i="17"/>
  <c r="I201" i="17"/>
  <c r="H201" i="17"/>
  <c r="G201" i="17"/>
  <c r="F201" i="17"/>
  <c r="E201" i="17"/>
  <c r="D201" i="17"/>
  <c r="C201" i="17"/>
  <c r="B201" i="17"/>
  <c r="A200" i="17"/>
  <c r="Y200" i="17"/>
  <c r="X200" i="17"/>
  <c r="W200" i="17"/>
  <c r="V200" i="17"/>
  <c r="U200" i="17"/>
  <c r="T200" i="17"/>
  <c r="S200" i="17"/>
  <c r="R200" i="17"/>
  <c r="Q200" i="17"/>
  <c r="P200" i="17"/>
  <c r="O200" i="17"/>
  <c r="N200" i="17"/>
  <c r="M200" i="17"/>
  <c r="L200" i="17"/>
  <c r="K200" i="17"/>
  <c r="J200" i="17"/>
  <c r="I200" i="17"/>
  <c r="H200" i="17"/>
  <c r="G200" i="17"/>
  <c r="F200" i="17"/>
  <c r="E200" i="17"/>
  <c r="D200" i="17"/>
  <c r="C200" i="17"/>
  <c r="B200" i="17"/>
  <c r="A199" i="17"/>
  <c r="Y199" i="17"/>
  <c r="X199" i="17"/>
  <c r="W199" i="17"/>
  <c r="V199" i="17"/>
  <c r="U199" i="17"/>
  <c r="T199" i="17"/>
  <c r="S199" i="17"/>
  <c r="R199" i="17"/>
  <c r="Q199" i="17"/>
  <c r="P199" i="17"/>
  <c r="O199" i="17"/>
  <c r="N199" i="17"/>
  <c r="M199" i="17"/>
  <c r="L199" i="17"/>
  <c r="K199" i="17"/>
  <c r="J199" i="17"/>
  <c r="I199" i="17"/>
  <c r="H199" i="17"/>
  <c r="G199" i="17"/>
  <c r="F199" i="17"/>
  <c r="E199" i="17"/>
  <c r="D199" i="17"/>
  <c r="C199" i="17"/>
  <c r="B199" i="17"/>
  <c r="A198" i="17"/>
  <c r="Y198" i="17"/>
  <c r="X198" i="17"/>
  <c r="W198" i="17"/>
  <c r="V198" i="17"/>
  <c r="U198" i="17"/>
  <c r="T198" i="17"/>
  <c r="S198" i="17"/>
  <c r="R198" i="17"/>
  <c r="Q198" i="17"/>
  <c r="P198" i="17"/>
  <c r="O198" i="17"/>
  <c r="N198" i="17"/>
  <c r="M198" i="17"/>
  <c r="L198" i="17"/>
  <c r="K198" i="17"/>
  <c r="J198" i="17"/>
  <c r="I198" i="17"/>
  <c r="H198" i="17"/>
  <c r="G198" i="17"/>
  <c r="F198" i="17"/>
  <c r="E198" i="17"/>
  <c r="D198" i="17"/>
  <c r="C198" i="17"/>
  <c r="B198" i="17"/>
  <c r="A197" i="17"/>
  <c r="Y197" i="17"/>
  <c r="X197" i="17"/>
  <c r="W197" i="17"/>
  <c r="V197" i="17"/>
  <c r="U197" i="17"/>
  <c r="T197" i="17"/>
  <c r="S197" i="17"/>
  <c r="R197" i="17"/>
  <c r="Q197" i="17"/>
  <c r="P197" i="17"/>
  <c r="O197" i="17"/>
  <c r="N197" i="17"/>
  <c r="M197" i="17"/>
  <c r="L197" i="17"/>
  <c r="K197" i="17"/>
  <c r="J197" i="17"/>
  <c r="I197" i="17"/>
  <c r="H197" i="17"/>
  <c r="G197" i="17"/>
  <c r="F197" i="17"/>
  <c r="E197" i="17"/>
  <c r="D197" i="17"/>
  <c r="C197" i="17"/>
  <c r="B197" i="17"/>
  <c r="A196" i="17"/>
  <c r="Y196" i="17"/>
  <c r="X196" i="17"/>
  <c r="W196" i="17"/>
  <c r="V196" i="17"/>
  <c r="U196" i="17"/>
  <c r="T196" i="17"/>
  <c r="S196" i="17"/>
  <c r="R196" i="17"/>
  <c r="Q196" i="17"/>
  <c r="P196" i="17"/>
  <c r="O196" i="17"/>
  <c r="N196" i="17"/>
  <c r="M196" i="17"/>
  <c r="L196" i="17"/>
  <c r="K196" i="17"/>
  <c r="J196" i="17"/>
  <c r="I196" i="17"/>
  <c r="H196" i="17"/>
  <c r="G196" i="17"/>
  <c r="F196" i="17"/>
  <c r="E196" i="17"/>
  <c r="D196" i="17"/>
  <c r="C196" i="17"/>
  <c r="B196" i="17"/>
  <c r="A195" i="17"/>
  <c r="Y195" i="17"/>
  <c r="X195" i="17"/>
  <c r="W195" i="17"/>
  <c r="V195" i="17"/>
  <c r="U195" i="17"/>
  <c r="T195" i="17"/>
  <c r="S195" i="17"/>
  <c r="R195" i="17"/>
  <c r="Q195" i="17"/>
  <c r="P195" i="17"/>
  <c r="O195" i="17"/>
  <c r="N195" i="17"/>
  <c r="M195" i="17"/>
  <c r="L195" i="17"/>
  <c r="K195" i="17"/>
  <c r="J195" i="17"/>
  <c r="I195" i="17"/>
  <c r="H195" i="17"/>
  <c r="G195" i="17"/>
  <c r="F195" i="17"/>
  <c r="E195" i="17"/>
  <c r="D195" i="17"/>
  <c r="C195" i="17"/>
  <c r="B195" i="17"/>
  <c r="A194" i="17"/>
  <c r="Y194" i="17"/>
  <c r="X194" i="17"/>
  <c r="W194" i="17"/>
  <c r="V194" i="17"/>
  <c r="U194" i="17"/>
  <c r="T194" i="17"/>
  <c r="S194" i="17"/>
  <c r="R194" i="17"/>
  <c r="Q194" i="17"/>
  <c r="P194" i="17"/>
  <c r="O194" i="17"/>
  <c r="N194" i="17"/>
  <c r="M194" i="17"/>
  <c r="L194" i="17"/>
  <c r="K194" i="17"/>
  <c r="J194" i="17"/>
  <c r="I194" i="17"/>
  <c r="H194" i="17"/>
  <c r="G194" i="17"/>
  <c r="F194" i="17"/>
  <c r="E194" i="17"/>
  <c r="D194" i="17"/>
  <c r="C194" i="17"/>
  <c r="B194" i="17"/>
  <c r="A193" i="17"/>
  <c r="Y193" i="17"/>
  <c r="X193" i="17"/>
  <c r="W193" i="17"/>
  <c r="V193" i="17"/>
  <c r="U193" i="17"/>
  <c r="T193" i="17"/>
  <c r="S193" i="17"/>
  <c r="R193" i="17"/>
  <c r="Q193" i="17"/>
  <c r="P193" i="17"/>
  <c r="O193" i="17"/>
  <c r="N193" i="17"/>
  <c r="M193" i="17"/>
  <c r="L193" i="17"/>
  <c r="K193" i="17"/>
  <c r="J193" i="17"/>
  <c r="I193" i="17"/>
  <c r="H193" i="17"/>
  <c r="G193" i="17"/>
  <c r="F193" i="17"/>
  <c r="E193" i="17"/>
  <c r="D193" i="17"/>
  <c r="C193" i="17"/>
  <c r="B193" i="17"/>
  <c r="A192" i="17"/>
  <c r="Y192" i="17"/>
  <c r="X192" i="17"/>
  <c r="W192" i="17"/>
  <c r="V192" i="17"/>
  <c r="U192" i="17"/>
  <c r="T192" i="17"/>
  <c r="S192" i="17"/>
  <c r="R192" i="17"/>
  <c r="Q192" i="17"/>
  <c r="P192" i="17"/>
  <c r="O192" i="17"/>
  <c r="N192" i="17"/>
  <c r="M192" i="17"/>
  <c r="L192" i="17"/>
  <c r="K192" i="17"/>
  <c r="J192" i="17"/>
  <c r="I192" i="17"/>
  <c r="H192" i="17"/>
  <c r="G192" i="17"/>
  <c r="F192" i="17"/>
  <c r="E192" i="17"/>
  <c r="D192" i="17"/>
  <c r="C192" i="17"/>
  <c r="B192" i="17"/>
  <c r="A191" i="17"/>
  <c r="Y191" i="17"/>
  <c r="X191" i="17"/>
  <c r="W191" i="17"/>
  <c r="V191" i="17"/>
  <c r="U191" i="17"/>
  <c r="T191" i="17"/>
  <c r="S191" i="17"/>
  <c r="R191" i="17"/>
  <c r="Q191" i="17"/>
  <c r="P191" i="17"/>
  <c r="O191" i="17"/>
  <c r="N191" i="17"/>
  <c r="M191" i="17"/>
  <c r="L191" i="17"/>
  <c r="K191" i="17"/>
  <c r="J191" i="17"/>
  <c r="I191" i="17"/>
  <c r="H191" i="17"/>
  <c r="G191" i="17"/>
  <c r="F191" i="17"/>
  <c r="E191" i="17"/>
  <c r="D191" i="17"/>
  <c r="C191" i="17"/>
  <c r="B191" i="17"/>
  <c r="A190" i="17"/>
  <c r="Y190" i="17"/>
  <c r="X190" i="17"/>
  <c r="W190" i="17"/>
  <c r="V190" i="17"/>
  <c r="U190" i="17"/>
  <c r="T190" i="17"/>
  <c r="S190" i="17"/>
  <c r="R190" i="17"/>
  <c r="Q190" i="17"/>
  <c r="P190" i="17"/>
  <c r="O190" i="17"/>
  <c r="N190" i="17"/>
  <c r="M190" i="17"/>
  <c r="L190" i="17"/>
  <c r="K190" i="17"/>
  <c r="J190" i="17"/>
  <c r="I190" i="17"/>
  <c r="H190" i="17"/>
  <c r="G190" i="17"/>
  <c r="F190" i="17"/>
  <c r="E190" i="17"/>
  <c r="D190" i="17"/>
  <c r="C190" i="17"/>
  <c r="B190" i="17"/>
  <c r="A189" i="17"/>
  <c r="Y189" i="17"/>
  <c r="X189" i="17"/>
  <c r="W189" i="17"/>
  <c r="V189" i="17"/>
  <c r="U189" i="17"/>
  <c r="T189" i="17"/>
  <c r="S189" i="17"/>
  <c r="R189" i="17"/>
  <c r="Q189" i="17"/>
  <c r="P189" i="17"/>
  <c r="O189" i="17"/>
  <c r="N189" i="17"/>
  <c r="M189" i="17"/>
  <c r="L189" i="17"/>
  <c r="K189" i="17"/>
  <c r="J189" i="17"/>
  <c r="I189" i="17"/>
  <c r="H189" i="17"/>
  <c r="G189" i="17"/>
  <c r="F189" i="17"/>
  <c r="E189" i="17"/>
  <c r="D189" i="17"/>
  <c r="C189" i="17"/>
  <c r="B189" i="17"/>
  <c r="A188" i="17"/>
  <c r="Y188" i="17"/>
  <c r="X188" i="17"/>
  <c r="W188" i="17"/>
  <c r="V188" i="17"/>
  <c r="U188" i="17"/>
  <c r="T188" i="17"/>
  <c r="S188" i="17"/>
  <c r="R188" i="17"/>
  <c r="Q188" i="17"/>
  <c r="P188" i="17"/>
  <c r="O188" i="17"/>
  <c r="N188" i="17"/>
  <c r="M188" i="17"/>
  <c r="L188" i="17"/>
  <c r="K188" i="17"/>
  <c r="J188" i="17"/>
  <c r="I188" i="17"/>
  <c r="H188" i="17"/>
  <c r="G188" i="17"/>
  <c r="F188" i="17"/>
  <c r="E188" i="17"/>
  <c r="D188" i="17"/>
  <c r="C188" i="17"/>
  <c r="B188" i="17"/>
  <c r="A187" i="17"/>
  <c r="Y187" i="17"/>
  <c r="X187" i="17"/>
  <c r="W187" i="17"/>
  <c r="V187" i="17"/>
  <c r="U187" i="17"/>
  <c r="T187" i="17"/>
  <c r="S187" i="17"/>
  <c r="R187" i="17"/>
  <c r="Q187" i="17"/>
  <c r="P187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C187" i="17"/>
  <c r="B187" i="17"/>
  <c r="A186" i="17"/>
  <c r="Y186" i="17"/>
  <c r="X186" i="17"/>
  <c r="W186" i="17"/>
  <c r="V186" i="17"/>
  <c r="U186" i="17"/>
  <c r="T186" i="17"/>
  <c r="S186" i="17"/>
  <c r="R186" i="17"/>
  <c r="Q186" i="17"/>
  <c r="P186" i="17"/>
  <c r="O186" i="17"/>
  <c r="N186" i="17"/>
  <c r="M186" i="17"/>
  <c r="L186" i="17"/>
  <c r="K186" i="17"/>
  <c r="J186" i="17"/>
  <c r="I186" i="17"/>
  <c r="H186" i="17"/>
  <c r="G186" i="17"/>
  <c r="F186" i="17"/>
  <c r="E186" i="17"/>
  <c r="D186" i="17"/>
  <c r="C186" i="17"/>
  <c r="B186" i="17"/>
  <c r="A185" i="17"/>
  <c r="Y185" i="17"/>
  <c r="X185" i="17"/>
  <c r="W185" i="17"/>
  <c r="V185" i="17"/>
  <c r="U185" i="17"/>
  <c r="T185" i="17"/>
  <c r="S185" i="17"/>
  <c r="R185" i="17"/>
  <c r="Q185" i="17"/>
  <c r="P185" i="17"/>
  <c r="O185" i="17"/>
  <c r="N185" i="17"/>
  <c r="M185" i="17"/>
  <c r="L185" i="17"/>
  <c r="K185" i="17"/>
  <c r="J185" i="17"/>
  <c r="I185" i="17"/>
  <c r="H185" i="17"/>
  <c r="G185" i="17"/>
  <c r="F185" i="17"/>
  <c r="E185" i="17"/>
  <c r="D185" i="17"/>
  <c r="C185" i="17"/>
  <c r="B185" i="17"/>
  <c r="A184" i="17"/>
  <c r="Y184" i="17"/>
  <c r="X184" i="17"/>
  <c r="W184" i="17"/>
  <c r="V184" i="17"/>
  <c r="U184" i="17"/>
  <c r="T184" i="17"/>
  <c r="S184" i="17"/>
  <c r="R184" i="17"/>
  <c r="Q184" i="17"/>
  <c r="P184" i="17"/>
  <c r="O184" i="17"/>
  <c r="N184" i="17"/>
  <c r="M184" i="17"/>
  <c r="L184" i="17"/>
  <c r="K184" i="17"/>
  <c r="J184" i="17"/>
  <c r="I184" i="17"/>
  <c r="H184" i="17"/>
  <c r="G184" i="17"/>
  <c r="F184" i="17"/>
  <c r="E184" i="17"/>
  <c r="D184" i="17"/>
  <c r="C184" i="17"/>
  <c r="B184" i="17"/>
  <c r="A183" i="17"/>
  <c r="Y183" i="17"/>
  <c r="X183" i="17"/>
  <c r="W183" i="17"/>
  <c r="V183" i="17"/>
  <c r="U183" i="17"/>
  <c r="T183" i="17"/>
  <c r="S183" i="17"/>
  <c r="R183" i="17"/>
  <c r="Q183" i="17"/>
  <c r="P183" i="17"/>
  <c r="O183" i="17"/>
  <c r="N183" i="17"/>
  <c r="M183" i="17"/>
  <c r="L183" i="17"/>
  <c r="K183" i="17"/>
  <c r="J183" i="17"/>
  <c r="I183" i="17"/>
  <c r="H183" i="17"/>
  <c r="G183" i="17"/>
  <c r="F183" i="17"/>
  <c r="E183" i="17"/>
  <c r="D183" i="17"/>
  <c r="C183" i="17"/>
  <c r="B183" i="17"/>
  <c r="A182" i="17"/>
  <c r="Y182" i="17"/>
  <c r="X182" i="17"/>
  <c r="W182" i="17"/>
  <c r="V182" i="17"/>
  <c r="U182" i="17"/>
  <c r="T182" i="17"/>
  <c r="S182" i="17"/>
  <c r="R182" i="17"/>
  <c r="Q182" i="17"/>
  <c r="P182" i="17"/>
  <c r="O182" i="17"/>
  <c r="N182" i="17"/>
  <c r="M182" i="17"/>
  <c r="L182" i="17"/>
  <c r="K182" i="17"/>
  <c r="J182" i="17"/>
  <c r="I182" i="17"/>
  <c r="H182" i="17"/>
  <c r="G182" i="17"/>
  <c r="F182" i="17"/>
  <c r="E182" i="17"/>
  <c r="D182" i="17"/>
  <c r="C182" i="17"/>
  <c r="B182" i="17"/>
  <c r="A181" i="17"/>
  <c r="Y181" i="17"/>
  <c r="X181" i="17"/>
  <c r="W181" i="17"/>
  <c r="V181" i="17"/>
  <c r="U181" i="17"/>
  <c r="T181" i="17"/>
  <c r="S181" i="17"/>
  <c r="R181" i="17"/>
  <c r="Q181" i="17"/>
  <c r="P181" i="17"/>
  <c r="O181" i="17"/>
  <c r="N181" i="17"/>
  <c r="M181" i="17"/>
  <c r="L181" i="17"/>
  <c r="K181" i="17"/>
  <c r="J181" i="17"/>
  <c r="I181" i="17"/>
  <c r="H181" i="17"/>
  <c r="G181" i="17"/>
  <c r="F181" i="17"/>
  <c r="E181" i="17"/>
  <c r="D181" i="17"/>
  <c r="C181" i="17"/>
  <c r="B181" i="17"/>
  <c r="A180" i="17"/>
  <c r="Y180" i="17"/>
  <c r="X180" i="17"/>
  <c r="W180" i="17"/>
  <c r="V180" i="17"/>
  <c r="U180" i="17"/>
  <c r="T180" i="17"/>
  <c r="S180" i="17"/>
  <c r="R180" i="17"/>
  <c r="Q180" i="17"/>
  <c r="P180" i="17"/>
  <c r="O180" i="17"/>
  <c r="N180" i="17"/>
  <c r="M180" i="17"/>
  <c r="L180" i="17"/>
  <c r="K180" i="17"/>
  <c r="J180" i="17"/>
  <c r="I180" i="17"/>
  <c r="H180" i="17"/>
  <c r="G180" i="17"/>
  <c r="F180" i="17"/>
  <c r="E180" i="17"/>
  <c r="D180" i="17"/>
  <c r="C180" i="17"/>
  <c r="B180" i="17"/>
  <c r="A179" i="17"/>
  <c r="Y179" i="17"/>
  <c r="X179" i="17"/>
  <c r="W179" i="17"/>
  <c r="V179" i="17"/>
  <c r="U179" i="17"/>
  <c r="T179" i="17"/>
  <c r="S179" i="17"/>
  <c r="R179" i="17"/>
  <c r="Q179" i="17"/>
  <c r="P179" i="17"/>
  <c r="O179" i="17"/>
  <c r="N179" i="17"/>
  <c r="M179" i="17"/>
  <c r="L179" i="17"/>
  <c r="K179" i="17"/>
  <c r="J179" i="17"/>
  <c r="I179" i="17"/>
  <c r="H179" i="17"/>
  <c r="G179" i="17"/>
  <c r="F179" i="17"/>
  <c r="E179" i="17"/>
  <c r="D179" i="17"/>
  <c r="C179" i="17"/>
  <c r="B179" i="17"/>
  <c r="A178" i="17"/>
  <c r="Y178" i="17"/>
  <c r="X178" i="17"/>
  <c r="W178" i="17"/>
  <c r="V178" i="17"/>
  <c r="U178" i="17"/>
  <c r="T178" i="17"/>
  <c r="S178" i="17"/>
  <c r="R178" i="17"/>
  <c r="Q178" i="17"/>
  <c r="P178" i="17"/>
  <c r="O178" i="17"/>
  <c r="N178" i="17"/>
  <c r="M178" i="17"/>
  <c r="L178" i="17"/>
  <c r="K178" i="17"/>
  <c r="J178" i="17"/>
  <c r="I178" i="17"/>
  <c r="H178" i="17"/>
  <c r="G178" i="17"/>
  <c r="F178" i="17"/>
  <c r="E178" i="17"/>
  <c r="D178" i="17"/>
  <c r="C178" i="17"/>
  <c r="B178" i="17"/>
  <c r="A177" i="17"/>
  <c r="Y177" i="17"/>
  <c r="X177" i="17"/>
  <c r="W177" i="17"/>
  <c r="V177" i="17"/>
  <c r="U177" i="17"/>
  <c r="T177" i="17"/>
  <c r="S177" i="17"/>
  <c r="R177" i="17"/>
  <c r="Q177" i="17"/>
  <c r="P177" i="17"/>
  <c r="O177" i="17"/>
  <c r="N177" i="17"/>
  <c r="M177" i="17"/>
  <c r="L177" i="17"/>
  <c r="K177" i="17"/>
  <c r="J177" i="17"/>
  <c r="I177" i="17"/>
  <c r="H177" i="17"/>
  <c r="G177" i="17"/>
  <c r="F177" i="17"/>
  <c r="E177" i="17"/>
  <c r="D177" i="17"/>
  <c r="C177" i="17"/>
  <c r="B177" i="17"/>
  <c r="A176" i="17"/>
  <c r="Y176" i="17"/>
  <c r="X176" i="17"/>
  <c r="W176" i="17"/>
  <c r="V176" i="17"/>
  <c r="U176" i="17"/>
  <c r="T176" i="17"/>
  <c r="S176" i="17"/>
  <c r="R176" i="17"/>
  <c r="Q176" i="17"/>
  <c r="P176" i="17"/>
  <c r="O176" i="17"/>
  <c r="N176" i="17"/>
  <c r="M176" i="17"/>
  <c r="L176" i="17"/>
  <c r="K176" i="17"/>
  <c r="J176" i="17"/>
  <c r="I176" i="17"/>
  <c r="H176" i="17"/>
  <c r="G176" i="17"/>
  <c r="F176" i="17"/>
  <c r="E176" i="17"/>
  <c r="D176" i="17"/>
  <c r="C176" i="17"/>
  <c r="B176" i="17"/>
  <c r="A175" i="17"/>
  <c r="Y175" i="17"/>
  <c r="X175" i="17"/>
  <c r="W175" i="17"/>
  <c r="V175" i="17"/>
  <c r="U175" i="17"/>
  <c r="T175" i="17"/>
  <c r="S175" i="17"/>
  <c r="R175" i="17"/>
  <c r="Q175" i="17"/>
  <c r="P175" i="17"/>
  <c r="O175" i="17"/>
  <c r="N175" i="17"/>
  <c r="M175" i="17"/>
  <c r="L175" i="17"/>
  <c r="K175" i="17"/>
  <c r="J175" i="17"/>
  <c r="I175" i="17"/>
  <c r="H175" i="17"/>
  <c r="G175" i="17"/>
  <c r="F175" i="17"/>
  <c r="E175" i="17"/>
  <c r="D175" i="17"/>
  <c r="C175" i="17"/>
  <c r="B175" i="17"/>
  <c r="A174" i="17"/>
  <c r="Y174" i="17"/>
  <c r="X174" i="17"/>
  <c r="W174" i="17"/>
  <c r="V174" i="17"/>
  <c r="U174" i="17"/>
  <c r="T174" i="17"/>
  <c r="S174" i="17"/>
  <c r="R174" i="17"/>
  <c r="Q174" i="17"/>
  <c r="P174" i="17"/>
  <c r="O174" i="17"/>
  <c r="N174" i="17"/>
  <c r="M174" i="17"/>
  <c r="L174" i="17"/>
  <c r="K174" i="17"/>
  <c r="J174" i="17"/>
  <c r="I174" i="17"/>
  <c r="H174" i="17"/>
  <c r="G174" i="17"/>
  <c r="F174" i="17"/>
  <c r="E174" i="17"/>
  <c r="D174" i="17"/>
  <c r="C174" i="17"/>
  <c r="B174" i="17"/>
  <c r="A173" i="17"/>
  <c r="Y173" i="17"/>
  <c r="X173" i="17"/>
  <c r="W173" i="17"/>
  <c r="V173" i="17"/>
  <c r="U173" i="17"/>
  <c r="T173" i="17"/>
  <c r="S173" i="17"/>
  <c r="R173" i="17"/>
  <c r="Q173" i="17"/>
  <c r="P173" i="17"/>
  <c r="O173" i="17"/>
  <c r="N173" i="17"/>
  <c r="M173" i="17"/>
  <c r="L173" i="17"/>
  <c r="K173" i="17"/>
  <c r="J173" i="17"/>
  <c r="I173" i="17"/>
  <c r="H173" i="17"/>
  <c r="G173" i="17"/>
  <c r="F173" i="17"/>
  <c r="E173" i="17"/>
  <c r="D173" i="17"/>
  <c r="C173" i="17"/>
  <c r="B173" i="17"/>
  <c r="A172" i="17"/>
  <c r="Y172" i="17"/>
  <c r="X172" i="17"/>
  <c r="W172" i="17"/>
  <c r="V172" i="17"/>
  <c r="U172" i="17"/>
  <c r="T172" i="17"/>
  <c r="S172" i="17"/>
  <c r="R172" i="17"/>
  <c r="Q172" i="17"/>
  <c r="P172" i="17"/>
  <c r="O172" i="17"/>
  <c r="N172" i="17"/>
  <c r="M172" i="17"/>
  <c r="L172" i="17"/>
  <c r="K172" i="17"/>
  <c r="J172" i="17"/>
  <c r="I172" i="17"/>
  <c r="H172" i="17"/>
  <c r="G172" i="17"/>
  <c r="F172" i="17"/>
  <c r="E172" i="17"/>
  <c r="D172" i="17"/>
  <c r="C172" i="17"/>
  <c r="B172" i="17"/>
  <c r="A171" i="17"/>
  <c r="Y171" i="17"/>
  <c r="X171" i="17"/>
  <c r="W171" i="17"/>
  <c r="V171" i="17"/>
  <c r="U171" i="17"/>
  <c r="T171" i="17"/>
  <c r="S171" i="17"/>
  <c r="R171" i="17"/>
  <c r="Q171" i="17"/>
  <c r="P171" i="17"/>
  <c r="O171" i="17"/>
  <c r="N171" i="17"/>
  <c r="M171" i="17"/>
  <c r="L171" i="17"/>
  <c r="K171" i="17"/>
  <c r="J171" i="17"/>
  <c r="I171" i="17"/>
  <c r="H171" i="17"/>
  <c r="G171" i="17"/>
  <c r="F171" i="17"/>
  <c r="E171" i="17"/>
  <c r="D171" i="17"/>
  <c r="C171" i="17"/>
  <c r="B171" i="17"/>
  <c r="A170" i="17"/>
  <c r="Y170" i="17"/>
  <c r="X170" i="17"/>
  <c r="W170" i="17"/>
  <c r="V170" i="17"/>
  <c r="U170" i="17"/>
  <c r="T170" i="17"/>
  <c r="S170" i="17"/>
  <c r="R170" i="17"/>
  <c r="Q170" i="17"/>
  <c r="P170" i="17"/>
  <c r="O170" i="17"/>
  <c r="N170" i="17"/>
  <c r="M170" i="17"/>
  <c r="L170" i="17"/>
  <c r="K170" i="17"/>
  <c r="J170" i="17"/>
  <c r="I170" i="17"/>
  <c r="H170" i="17"/>
  <c r="G170" i="17"/>
  <c r="F170" i="17"/>
  <c r="E170" i="17"/>
  <c r="D170" i="17"/>
  <c r="C170" i="17"/>
  <c r="B170" i="17"/>
  <c r="A169" i="17"/>
  <c r="Y169" i="17"/>
  <c r="X169" i="17"/>
  <c r="W169" i="17"/>
  <c r="V169" i="17"/>
  <c r="U169" i="17"/>
  <c r="T169" i="17"/>
  <c r="S169" i="17"/>
  <c r="R169" i="17"/>
  <c r="Q169" i="17"/>
  <c r="P169" i="17"/>
  <c r="O169" i="17"/>
  <c r="N169" i="17"/>
  <c r="M169" i="17"/>
  <c r="L169" i="17"/>
  <c r="K169" i="17"/>
  <c r="J169" i="17"/>
  <c r="I169" i="17"/>
  <c r="H169" i="17"/>
  <c r="G169" i="17"/>
  <c r="F169" i="17"/>
  <c r="E169" i="17"/>
  <c r="D169" i="17"/>
  <c r="C169" i="17"/>
  <c r="B169" i="17"/>
  <c r="A168" i="17"/>
  <c r="Y168" i="17"/>
  <c r="X168" i="17"/>
  <c r="W168" i="17"/>
  <c r="V168" i="17"/>
  <c r="U168" i="17"/>
  <c r="T168" i="17"/>
  <c r="S168" i="17"/>
  <c r="R168" i="17"/>
  <c r="Q168" i="17"/>
  <c r="P168" i="17"/>
  <c r="O168" i="17"/>
  <c r="N168" i="17"/>
  <c r="M168" i="17"/>
  <c r="L168" i="17"/>
  <c r="K168" i="17"/>
  <c r="J168" i="17"/>
  <c r="I168" i="17"/>
  <c r="H168" i="17"/>
  <c r="G168" i="17"/>
  <c r="F168" i="17"/>
  <c r="E168" i="17"/>
  <c r="D168" i="17"/>
  <c r="C168" i="17"/>
  <c r="B168" i="17"/>
  <c r="A167" i="17"/>
  <c r="Y167" i="17"/>
  <c r="X167" i="17"/>
  <c r="W167" i="17"/>
  <c r="V167" i="17"/>
  <c r="U167" i="17"/>
  <c r="T167" i="17"/>
  <c r="S167" i="17"/>
  <c r="R167" i="17"/>
  <c r="Q167" i="17"/>
  <c r="P167" i="17"/>
  <c r="O167" i="17"/>
  <c r="N167" i="17"/>
  <c r="M167" i="17"/>
  <c r="L167" i="17"/>
  <c r="K167" i="17"/>
  <c r="J167" i="17"/>
  <c r="I167" i="17"/>
  <c r="H167" i="17"/>
  <c r="G167" i="17"/>
  <c r="F167" i="17"/>
  <c r="E167" i="17"/>
  <c r="D167" i="17"/>
  <c r="C167" i="17"/>
  <c r="B167" i="17"/>
  <c r="A166" i="17"/>
  <c r="Y166" i="17"/>
  <c r="X166" i="17"/>
  <c r="W166" i="17"/>
  <c r="V166" i="17"/>
  <c r="U166" i="17"/>
  <c r="T166" i="17"/>
  <c r="S166" i="17"/>
  <c r="R166" i="17"/>
  <c r="Q166" i="17"/>
  <c r="P166" i="17"/>
  <c r="O166" i="17"/>
  <c r="N166" i="17"/>
  <c r="M166" i="17"/>
  <c r="L166" i="17"/>
  <c r="K166" i="17"/>
  <c r="J166" i="17"/>
  <c r="I166" i="17"/>
  <c r="H166" i="17"/>
  <c r="G166" i="17"/>
  <c r="F166" i="17"/>
  <c r="E166" i="17"/>
  <c r="D166" i="17"/>
  <c r="C166" i="17"/>
  <c r="B166" i="17"/>
  <c r="A165" i="17"/>
  <c r="Y165" i="17"/>
  <c r="X165" i="17"/>
  <c r="W165" i="17"/>
  <c r="V165" i="17"/>
  <c r="U165" i="17"/>
  <c r="T165" i="17"/>
  <c r="S165" i="17"/>
  <c r="R165" i="17"/>
  <c r="Q165" i="17"/>
  <c r="P165" i="17"/>
  <c r="O165" i="17"/>
  <c r="N165" i="17"/>
  <c r="M165" i="17"/>
  <c r="L165" i="17"/>
  <c r="K165" i="17"/>
  <c r="J165" i="17"/>
  <c r="I165" i="17"/>
  <c r="H165" i="17"/>
  <c r="G165" i="17"/>
  <c r="F165" i="17"/>
  <c r="E165" i="17"/>
  <c r="D165" i="17"/>
  <c r="C165" i="17"/>
  <c r="B165" i="17"/>
  <c r="A164" i="17"/>
  <c r="Y164" i="17"/>
  <c r="X164" i="17"/>
  <c r="W164" i="17"/>
  <c r="V164" i="17"/>
  <c r="U164" i="17"/>
  <c r="T164" i="17"/>
  <c r="S164" i="17"/>
  <c r="R164" i="17"/>
  <c r="Q164" i="17"/>
  <c r="P164" i="17"/>
  <c r="O164" i="17"/>
  <c r="N164" i="17"/>
  <c r="M164" i="17"/>
  <c r="L164" i="17"/>
  <c r="K164" i="17"/>
  <c r="J164" i="17"/>
  <c r="I164" i="17"/>
  <c r="H164" i="17"/>
  <c r="G164" i="17"/>
  <c r="F164" i="17"/>
  <c r="E164" i="17"/>
  <c r="D164" i="17"/>
  <c r="C164" i="17"/>
  <c r="B164" i="17"/>
  <c r="A163" i="17"/>
  <c r="Y163" i="17"/>
  <c r="X163" i="17"/>
  <c r="W163" i="17"/>
  <c r="V163" i="17"/>
  <c r="U163" i="17"/>
  <c r="T163" i="17"/>
  <c r="S163" i="17"/>
  <c r="R163" i="17"/>
  <c r="Q163" i="17"/>
  <c r="P163" i="17"/>
  <c r="O163" i="17"/>
  <c r="N163" i="17"/>
  <c r="M163" i="17"/>
  <c r="L163" i="17"/>
  <c r="K163" i="17"/>
  <c r="J163" i="17"/>
  <c r="I163" i="17"/>
  <c r="H163" i="17"/>
  <c r="G163" i="17"/>
  <c r="F163" i="17"/>
  <c r="E163" i="17"/>
  <c r="D163" i="17"/>
  <c r="C163" i="17"/>
  <c r="B163" i="17"/>
  <c r="A162" i="17"/>
  <c r="Y162" i="17"/>
  <c r="X162" i="17"/>
  <c r="W162" i="17"/>
  <c r="V162" i="17"/>
  <c r="U162" i="17"/>
  <c r="T162" i="17"/>
  <c r="S162" i="17"/>
  <c r="R162" i="17"/>
  <c r="Q162" i="17"/>
  <c r="P162" i="17"/>
  <c r="O162" i="17"/>
  <c r="N162" i="17"/>
  <c r="M162" i="17"/>
  <c r="L162" i="17"/>
  <c r="K162" i="17"/>
  <c r="J162" i="17"/>
  <c r="I162" i="17"/>
  <c r="H162" i="17"/>
  <c r="G162" i="17"/>
  <c r="F162" i="17"/>
  <c r="E162" i="17"/>
  <c r="D162" i="17"/>
  <c r="C162" i="17"/>
  <c r="B162" i="17"/>
  <c r="A161" i="17"/>
  <c r="Y161" i="17"/>
  <c r="X161" i="17"/>
  <c r="W161" i="17"/>
  <c r="V161" i="17"/>
  <c r="U161" i="17"/>
  <c r="T161" i="17"/>
  <c r="S161" i="17"/>
  <c r="R161" i="17"/>
  <c r="Q161" i="17"/>
  <c r="P161" i="17"/>
  <c r="O161" i="17"/>
  <c r="N161" i="17"/>
  <c r="M161" i="17"/>
  <c r="L161" i="17"/>
  <c r="K161" i="17"/>
  <c r="J161" i="17"/>
  <c r="I161" i="17"/>
  <c r="H161" i="17"/>
  <c r="G161" i="17"/>
  <c r="F161" i="17"/>
  <c r="E161" i="17"/>
  <c r="D161" i="17"/>
  <c r="C161" i="17"/>
  <c r="B161" i="17"/>
  <c r="A160" i="17"/>
  <c r="Y160" i="17"/>
  <c r="X160" i="17"/>
  <c r="W160" i="17"/>
  <c r="V160" i="17"/>
  <c r="U160" i="17"/>
  <c r="T160" i="17"/>
  <c r="S160" i="17"/>
  <c r="R160" i="17"/>
  <c r="Q160" i="17"/>
  <c r="P160" i="17"/>
  <c r="O160" i="17"/>
  <c r="N160" i="17"/>
  <c r="M160" i="17"/>
  <c r="L160" i="17"/>
  <c r="K160" i="17"/>
  <c r="J160" i="17"/>
  <c r="I160" i="17"/>
  <c r="H160" i="17"/>
  <c r="G160" i="17"/>
  <c r="F160" i="17"/>
  <c r="E160" i="17"/>
  <c r="D160" i="17"/>
  <c r="C160" i="17"/>
  <c r="B160" i="17"/>
  <c r="A159" i="17"/>
  <c r="Y159" i="17"/>
  <c r="X159" i="17"/>
  <c r="W159" i="17"/>
  <c r="V159" i="17"/>
  <c r="U159" i="17"/>
  <c r="T159" i="17"/>
  <c r="S159" i="17"/>
  <c r="R159" i="17"/>
  <c r="Q159" i="17"/>
  <c r="P159" i="17"/>
  <c r="O159" i="17"/>
  <c r="N159" i="17"/>
  <c r="M159" i="17"/>
  <c r="L159" i="17"/>
  <c r="K159" i="17"/>
  <c r="J159" i="17"/>
  <c r="I159" i="17"/>
  <c r="H159" i="17"/>
  <c r="G159" i="17"/>
  <c r="F159" i="17"/>
  <c r="E159" i="17"/>
  <c r="D159" i="17"/>
  <c r="C159" i="17"/>
  <c r="B159" i="17"/>
  <c r="A158" i="17"/>
  <c r="Y158" i="17"/>
  <c r="X158" i="17"/>
  <c r="W158" i="17"/>
  <c r="V158" i="17"/>
  <c r="U158" i="17"/>
  <c r="T158" i="17"/>
  <c r="S158" i="17"/>
  <c r="R158" i="17"/>
  <c r="Q158" i="17"/>
  <c r="P158" i="17"/>
  <c r="O158" i="17"/>
  <c r="N158" i="17"/>
  <c r="M158" i="17"/>
  <c r="L158" i="17"/>
  <c r="K158" i="17"/>
  <c r="J158" i="17"/>
  <c r="I158" i="17"/>
  <c r="H158" i="17"/>
  <c r="G158" i="17"/>
  <c r="F158" i="17"/>
  <c r="E158" i="17"/>
  <c r="D158" i="17"/>
  <c r="C158" i="17"/>
  <c r="B158" i="17"/>
  <c r="A157" i="17"/>
  <c r="Y157" i="17"/>
  <c r="X157" i="17"/>
  <c r="W157" i="17"/>
  <c r="V157" i="17"/>
  <c r="U157" i="17"/>
  <c r="T157" i="17"/>
  <c r="S157" i="17"/>
  <c r="R157" i="17"/>
  <c r="Q157" i="17"/>
  <c r="P157" i="17"/>
  <c r="O157" i="17"/>
  <c r="N157" i="17"/>
  <c r="M157" i="17"/>
  <c r="L157" i="17"/>
  <c r="K157" i="17"/>
  <c r="J157" i="17"/>
  <c r="I157" i="17"/>
  <c r="H157" i="17"/>
  <c r="G157" i="17"/>
  <c r="F157" i="17"/>
  <c r="E157" i="17"/>
  <c r="D157" i="17"/>
  <c r="C157" i="17"/>
  <c r="B157" i="17"/>
  <c r="A156" i="17"/>
  <c r="Y156" i="17"/>
  <c r="X156" i="17"/>
  <c r="W156" i="17"/>
  <c r="V156" i="17"/>
  <c r="U156" i="17"/>
  <c r="T156" i="17"/>
  <c r="S156" i="17"/>
  <c r="R156" i="17"/>
  <c r="Q156" i="17"/>
  <c r="P156" i="17"/>
  <c r="O156" i="17"/>
  <c r="N156" i="17"/>
  <c r="M156" i="17"/>
  <c r="L156" i="17"/>
  <c r="K156" i="17"/>
  <c r="J156" i="17"/>
  <c r="I156" i="17"/>
  <c r="H156" i="17"/>
  <c r="G156" i="17"/>
  <c r="F156" i="17"/>
  <c r="E156" i="17"/>
  <c r="D156" i="17"/>
  <c r="C156" i="17"/>
  <c r="B156" i="17"/>
  <c r="A155" i="17"/>
  <c r="Y155" i="17"/>
  <c r="X155" i="17"/>
  <c r="W155" i="17"/>
  <c r="V155" i="17"/>
  <c r="U155" i="17"/>
  <c r="T155" i="17"/>
  <c r="S155" i="17"/>
  <c r="R155" i="17"/>
  <c r="Q155" i="17"/>
  <c r="P155" i="17"/>
  <c r="O155" i="17"/>
  <c r="N155" i="17"/>
  <c r="M155" i="17"/>
  <c r="L155" i="17"/>
  <c r="K155" i="17"/>
  <c r="J155" i="17"/>
  <c r="I155" i="17"/>
  <c r="H155" i="17"/>
  <c r="G155" i="17"/>
  <c r="F155" i="17"/>
  <c r="E155" i="17"/>
  <c r="D155" i="17"/>
  <c r="C155" i="17"/>
  <c r="B155" i="17"/>
  <c r="A154" i="17"/>
  <c r="Y154" i="17"/>
  <c r="X154" i="17"/>
  <c r="W154" i="17"/>
  <c r="V154" i="17"/>
  <c r="U154" i="17"/>
  <c r="T154" i="17"/>
  <c r="S154" i="17"/>
  <c r="R154" i="17"/>
  <c r="Q154" i="17"/>
  <c r="P154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C154" i="17"/>
  <c r="B154" i="17"/>
  <c r="A153" i="17"/>
  <c r="Y153" i="17"/>
  <c r="X153" i="17"/>
  <c r="W153" i="17"/>
  <c r="V153" i="17"/>
  <c r="U153" i="17"/>
  <c r="T153" i="17"/>
  <c r="S153" i="17"/>
  <c r="R153" i="17"/>
  <c r="Q153" i="17"/>
  <c r="P153" i="17"/>
  <c r="O153" i="17"/>
  <c r="N153" i="17"/>
  <c r="M153" i="17"/>
  <c r="L153" i="17"/>
  <c r="K153" i="17"/>
  <c r="J153" i="17"/>
  <c r="I153" i="17"/>
  <c r="H153" i="17"/>
  <c r="G153" i="17"/>
  <c r="F153" i="17"/>
  <c r="E153" i="17"/>
  <c r="D153" i="17"/>
  <c r="C153" i="17"/>
  <c r="B153" i="17"/>
  <c r="A152" i="17"/>
  <c r="Y152" i="17"/>
  <c r="X152" i="17"/>
  <c r="W152" i="17"/>
  <c r="V152" i="17"/>
  <c r="U152" i="17"/>
  <c r="T152" i="17"/>
  <c r="S152" i="17"/>
  <c r="R152" i="17"/>
  <c r="Q152" i="17"/>
  <c r="P152" i="17"/>
  <c r="O152" i="17"/>
  <c r="N152" i="17"/>
  <c r="M152" i="17"/>
  <c r="L152" i="17"/>
  <c r="K152" i="17"/>
  <c r="J152" i="17"/>
  <c r="I152" i="17"/>
  <c r="H152" i="17"/>
  <c r="G152" i="17"/>
  <c r="F152" i="17"/>
  <c r="E152" i="17"/>
  <c r="D152" i="17"/>
  <c r="C152" i="17"/>
  <c r="B152" i="17"/>
  <c r="A151" i="17"/>
  <c r="Y151" i="17"/>
  <c r="X151" i="17"/>
  <c r="W151" i="17"/>
  <c r="V151" i="17"/>
  <c r="U151" i="17"/>
  <c r="T151" i="17"/>
  <c r="S151" i="17"/>
  <c r="R151" i="17"/>
  <c r="Q151" i="17"/>
  <c r="P151" i="17"/>
  <c r="O151" i="17"/>
  <c r="N151" i="17"/>
  <c r="M151" i="17"/>
  <c r="L151" i="17"/>
  <c r="K151" i="17"/>
  <c r="J151" i="17"/>
  <c r="I151" i="17"/>
  <c r="H151" i="17"/>
  <c r="G151" i="17"/>
  <c r="F151" i="17"/>
  <c r="E151" i="17"/>
  <c r="D151" i="17"/>
  <c r="C151" i="17"/>
  <c r="B151" i="17"/>
  <c r="A150" i="17"/>
  <c r="Y150" i="17"/>
  <c r="X150" i="17"/>
  <c r="W150" i="17"/>
  <c r="V150" i="17"/>
  <c r="U150" i="17"/>
  <c r="T150" i="17"/>
  <c r="S150" i="17"/>
  <c r="R150" i="17"/>
  <c r="Q150" i="17"/>
  <c r="P150" i="17"/>
  <c r="O150" i="17"/>
  <c r="N150" i="17"/>
  <c r="M150" i="17"/>
  <c r="L150" i="17"/>
  <c r="K150" i="17"/>
  <c r="J150" i="17"/>
  <c r="I150" i="17"/>
  <c r="H150" i="17"/>
  <c r="G150" i="17"/>
  <c r="F150" i="17"/>
  <c r="E150" i="17"/>
  <c r="D150" i="17"/>
  <c r="C150" i="17"/>
  <c r="B150" i="17"/>
  <c r="A149" i="17"/>
  <c r="Y149" i="17"/>
  <c r="X149" i="17"/>
  <c r="W149" i="17"/>
  <c r="V149" i="17"/>
  <c r="U149" i="17"/>
  <c r="T149" i="17"/>
  <c r="S149" i="17"/>
  <c r="R149" i="17"/>
  <c r="Q149" i="17"/>
  <c r="P149" i="17"/>
  <c r="O149" i="17"/>
  <c r="N149" i="17"/>
  <c r="M149" i="17"/>
  <c r="L149" i="17"/>
  <c r="K149" i="17"/>
  <c r="J149" i="17"/>
  <c r="I149" i="17"/>
  <c r="H149" i="17"/>
  <c r="G149" i="17"/>
  <c r="F149" i="17"/>
  <c r="E149" i="17"/>
  <c r="D149" i="17"/>
  <c r="C149" i="17"/>
  <c r="B149" i="17"/>
  <c r="A148" i="17"/>
  <c r="Y148" i="17"/>
  <c r="X148" i="17"/>
  <c r="W148" i="17"/>
  <c r="V148" i="17"/>
  <c r="U148" i="17"/>
  <c r="T148" i="17"/>
  <c r="S148" i="17"/>
  <c r="R148" i="17"/>
  <c r="Q148" i="17"/>
  <c r="P148" i="17"/>
  <c r="O148" i="17"/>
  <c r="N148" i="17"/>
  <c r="M148" i="17"/>
  <c r="L148" i="17"/>
  <c r="K148" i="17"/>
  <c r="J148" i="17"/>
  <c r="I148" i="17"/>
  <c r="H148" i="17"/>
  <c r="G148" i="17"/>
  <c r="F148" i="17"/>
  <c r="E148" i="17"/>
  <c r="D148" i="17"/>
  <c r="C148" i="17"/>
  <c r="B148" i="17"/>
  <c r="A147" i="17"/>
  <c r="Y147" i="17"/>
  <c r="X147" i="17"/>
  <c r="W147" i="17"/>
  <c r="V147" i="17"/>
  <c r="U147" i="17"/>
  <c r="T147" i="17"/>
  <c r="S147" i="17"/>
  <c r="R147" i="17"/>
  <c r="Q147" i="17"/>
  <c r="P147" i="17"/>
  <c r="O147" i="17"/>
  <c r="N147" i="17"/>
  <c r="M147" i="17"/>
  <c r="L147" i="17"/>
  <c r="K147" i="17"/>
  <c r="J147" i="17"/>
  <c r="I147" i="17"/>
  <c r="H147" i="17"/>
  <c r="G147" i="17"/>
  <c r="F147" i="17"/>
  <c r="E147" i="17"/>
  <c r="D147" i="17"/>
  <c r="C147" i="17"/>
  <c r="B147" i="17"/>
  <c r="A146" i="17"/>
  <c r="Y146" i="17"/>
  <c r="X146" i="17"/>
  <c r="W146" i="17"/>
  <c r="V146" i="17"/>
  <c r="U146" i="17"/>
  <c r="T146" i="17"/>
  <c r="S146" i="17"/>
  <c r="R146" i="17"/>
  <c r="Q146" i="17"/>
  <c r="P146" i="17"/>
  <c r="O146" i="17"/>
  <c r="N146" i="17"/>
  <c r="M146" i="17"/>
  <c r="L146" i="17"/>
  <c r="K146" i="17"/>
  <c r="J146" i="17"/>
  <c r="I146" i="17"/>
  <c r="H146" i="17"/>
  <c r="G146" i="17"/>
  <c r="F146" i="17"/>
  <c r="E146" i="17"/>
  <c r="D146" i="17"/>
  <c r="C146" i="17"/>
  <c r="B146" i="17"/>
  <c r="A145" i="17"/>
  <c r="Y145" i="17"/>
  <c r="X145" i="17"/>
  <c r="W145" i="17"/>
  <c r="V145" i="17"/>
  <c r="U145" i="17"/>
  <c r="T145" i="17"/>
  <c r="S145" i="17"/>
  <c r="R145" i="17"/>
  <c r="Q145" i="17"/>
  <c r="P145" i="17"/>
  <c r="O145" i="17"/>
  <c r="N145" i="17"/>
  <c r="M145" i="17"/>
  <c r="L145" i="17"/>
  <c r="K145" i="17"/>
  <c r="J145" i="17"/>
  <c r="I145" i="17"/>
  <c r="H145" i="17"/>
  <c r="G145" i="17"/>
  <c r="F145" i="17"/>
  <c r="E145" i="17"/>
  <c r="D145" i="17"/>
  <c r="C145" i="17"/>
  <c r="B145" i="17"/>
  <c r="A144" i="17"/>
  <c r="Y144" i="17"/>
  <c r="X144" i="17"/>
  <c r="W144" i="17"/>
  <c r="V144" i="17"/>
  <c r="U144" i="17"/>
  <c r="T144" i="17"/>
  <c r="S144" i="17"/>
  <c r="R144" i="17"/>
  <c r="Q144" i="17"/>
  <c r="P144" i="17"/>
  <c r="O144" i="17"/>
  <c r="N144" i="17"/>
  <c r="M144" i="17"/>
  <c r="L144" i="17"/>
  <c r="K144" i="17"/>
  <c r="J144" i="17"/>
  <c r="I144" i="17"/>
  <c r="H144" i="17"/>
  <c r="G144" i="17"/>
  <c r="F144" i="17"/>
  <c r="E144" i="17"/>
  <c r="D144" i="17"/>
  <c r="C144" i="17"/>
  <c r="B144" i="17"/>
  <c r="A143" i="17"/>
  <c r="Y143" i="17"/>
  <c r="X143" i="17"/>
  <c r="W143" i="17"/>
  <c r="V143" i="17"/>
  <c r="U143" i="17"/>
  <c r="T143" i="17"/>
  <c r="S143" i="17"/>
  <c r="R143" i="17"/>
  <c r="Q143" i="17"/>
  <c r="P143" i="17"/>
  <c r="O143" i="17"/>
  <c r="N143" i="17"/>
  <c r="M143" i="17"/>
  <c r="L143" i="17"/>
  <c r="K143" i="17"/>
  <c r="J143" i="17"/>
  <c r="I143" i="17"/>
  <c r="H143" i="17"/>
  <c r="G143" i="17"/>
  <c r="F143" i="17"/>
  <c r="E143" i="17"/>
  <c r="D143" i="17"/>
  <c r="C143" i="17"/>
  <c r="B143" i="17"/>
  <c r="A142" i="17"/>
  <c r="Y142" i="17"/>
  <c r="X142" i="17"/>
  <c r="W142" i="17"/>
  <c r="V142" i="17"/>
  <c r="U142" i="17"/>
  <c r="T142" i="17"/>
  <c r="S142" i="17"/>
  <c r="R142" i="17"/>
  <c r="Q142" i="17"/>
  <c r="P142" i="17"/>
  <c r="O142" i="17"/>
  <c r="N142" i="17"/>
  <c r="M142" i="17"/>
  <c r="L142" i="17"/>
  <c r="K142" i="17"/>
  <c r="J142" i="17"/>
  <c r="I142" i="17"/>
  <c r="H142" i="17"/>
  <c r="G142" i="17"/>
  <c r="F142" i="17"/>
  <c r="E142" i="17"/>
  <c r="D142" i="17"/>
  <c r="C142" i="17"/>
  <c r="B142" i="17"/>
  <c r="A141" i="17"/>
  <c r="Y141" i="17"/>
  <c r="X141" i="17"/>
  <c r="W141" i="17"/>
  <c r="V141" i="17"/>
  <c r="U141" i="17"/>
  <c r="T141" i="17"/>
  <c r="S141" i="17"/>
  <c r="R141" i="17"/>
  <c r="Q141" i="17"/>
  <c r="P141" i="17"/>
  <c r="O141" i="17"/>
  <c r="N141" i="17"/>
  <c r="M141" i="17"/>
  <c r="L141" i="17"/>
  <c r="K141" i="17"/>
  <c r="J141" i="17"/>
  <c r="I141" i="17"/>
  <c r="H141" i="17"/>
  <c r="G141" i="17"/>
  <c r="F141" i="17"/>
  <c r="E141" i="17"/>
  <c r="D141" i="17"/>
  <c r="C141" i="17"/>
  <c r="B141" i="17"/>
  <c r="A140" i="17"/>
  <c r="Y140" i="17"/>
  <c r="X140" i="17"/>
  <c r="W140" i="17"/>
  <c r="V140" i="17"/>
  <c r="U140" i="17"/>
  <c r="T140" i="17"/>
  <c r="S140" i="17"/>
  <c r="R140" i="17"/>
  <c r="Q140" i="17"/>
  <c r="P140" i="17"/>
  <c r="O140" i="17"/>
  <c r="N140" i="17"/>
  <c r="M140" i="17"/>
  <c r="L140" i="17"/>
  <c r="K140" i="17"/>
  <c r="J140" i="17"/>
  <c r="I140" i="17"/>
  <c r="H140" i="17"/>
  <c r="G140" i="17"/>
  <c r="F140" i="17"/>
  <c r="E140" i="17"/>
  <c r="D140" i="17"/>
  <c r="C140" i="17"/>
  <c r="B140" i="17"/>
  <c r="A139" i="17"/>
  <c r="Y139" i="17"/>
  <c r="X139" i="17"/>
  <c r="W139" i="17"/>
  <c r="V139" i="17"/>
  <c r="U139" i="17"/>
  <c r="T139" i="17"/>
  <c r="S139" i="17"/>
  <c r="R139" i="17"/>
  <c r="Q139" i="17"/>
  <c r="P139" i="17"/>
  <c r="O139" i="17"/>
  <c r="N139" i="17"/>
  <c r="M139" i="17"/>
  <c r="L139" i="17"/>
  <c r="K139" i="17"/>
  <c r="J139" i="17"/>
  <c r="I139" i="17"/>
  <c r="H139" i="17"/>
  <c r="G139" i="17"/>
  <c r="F139" i="17"/>
  <c r="E139" i="17"/>
  <c r="D139" i="17"/>
  <c r="C139" i="17"/>
  <c r="B139" i="17"/>
  <c r="A138" i="17"/>
  <c r="Y138" i="17"/>
  <c r="X138" i="17"/>
  <c r="W138" i="17"/>
  <c r="V138" i="17"/>
  <c r="U138" i="17"/>
  <c r="T138" i="17"/>
  <c r="S138" i="17"/>
  <c r="R138" i="17"/>
  <c r="Q138" i="17"/>
  <c r="P138" i="17"/>
  <c r="O138" i="17"/>
  <c r="N138" i="17"/>
  <c r="M138" i="17"/>
  <c r="L138" i="17"/>
  <c r="K138" i="17"/>
  <c r="J138" i="17"/>
  <c r="I138" i="17"/>
  <c r="H138" i="17"/>
  <c r="G138" i="17"/>
  <c r="F138" i="17"/>
  <c r="E138" i="17"/>
  <c r="D138" i="17"/>
  <c r="C138" i="17"/>
  <c r="B138" i="17"/>
  <c r="A137" i="17"/>
  <c r="Y137" i="17"/>
  <c r="X137" i="17"/>
  <c r="W137" i="17"/>
  <c r="V137" i="17"/>
  <c r="U137" i="17"/>
  <c r="T137" i="17"/>
  <c r="S137" i="17"/>
  <c r="R137" i="17"/>
  <c r="Q137" i="17"/>
  <c r="P137" i="17"/>
  <c r="O137" i="17"/>
  <c r="N137" i="17"/>
  <c r="M137" i="17"/>
  <c r="L137" i="17"/>
  <c r="K137" i="17"/>
  <c r="J137" i="17"/>
  <c r="I137" i="17"/>
  <c r="H137" i="17"/>
  <c r="G137" i="17"/>
  <c r="F137" i="17"/>
  <c r="E137" i="17"/>
  <c r="D137" i="17"/>
  <c r="C137" i="17"/>
  <c r="B137" i="17"/>
  <c r="A136" i="17"/>
  <c r="Y136" i="17"/>
  <c r="X136" i="17"/>
  <c r="W136" i="17"/>
  <c r="V136" i="17"/>
  <c r="U136" i="17"/>
  <c r="T136" i="17"/>
  <c r="S136" i="17"/>
  <c r="R136" i="17"/>
  <c r="Q136" i="17"/>
  <c r="P136" i="17"/>
  <c r="O136" i="17"/>
  <c r="N136" i="17"/>
  <c r="M136" i="17"/>
  <c r="L136" i="17"/>
  <c r="K136" i="17"/>
  <c r="J136" i="17"/>
  <c r="I136" i="17"/>
  <c r="H136" i="17"/>
  <c r="G136" i="17"/>
  <c r="F136" i="17"/>
  <c r="E136" i="17"/>
  <c r="D136" i="17"/>
  <c r="C136" i="17"/>
  <c r="B136" i="17"/>
  <c r="A135" i="17"/>
  <c r="Y135" i="17"/>
  <c r="X135" i="17"/>
  <c r="W135" i="17"/>
  <c r="V135" i="17"/>
  <c r="U135" i="17"/>
  <c r="T135" i="17"/>
  <c r="S135" i="17"/>
  <c r="R135" i="17"/>
  <c r="Q135" i="17"/>
  <c r="P135" i="17"/>
  <c r="O135" i="17"/>
  <c r="N135" i="17"/>
  <c r="M135" i="17"/>
  <c r="L135" i="17"/>
  <c r="K135" i="17"/>
  <c r="J135" i="17"/>
  <c r="I135" i="17"/>
  <c r="H135" i="17"/>
  <c r="G135" i="17"/>
  <c r="F135" i="17"/>
  <c r="E135" i="17"/>
  <c r="D135" i="17"/>
  <c r="C135" i="17"/>
  <c r="B135" i="17"/>
  <c r="A134" i="17"/>
  <c r="Y134" i="17"/>
  <c r="X134" i="17"/>
  <c r="W134" i="17"/>
  <c r="V134" i="17"/>
  <c r="U134" i="17"/>
  <c r="T134" i="17"/>
  <c r="S134" i="17"/>
  <c r="R134" i="17"/>
  <c r="Q134" i="17"/>
  <c r="P134" i="17"/>
  <c r="O134" i="17"/>
  <c r="N134" i="17"/>
  <c r="M134" i="17"/>
  <c r="L134" i="17"/>
  <c r="K134" i="17"/>
  <c r="J134" i="17"/>
  <c r="I134" i="17"/>
  <c r="H134" i="17"/>
  <c r="G134" i="17"/>
  <c r="F134" i="17"/>
  <c r="E134" i="17"/>
  <c r="D134" i="17"/>
  <c r="C134" i="17"/>
  <c r="B134" i="17"/>
  <c r="A133" i="17"/>
  <c r="Y133" i="17"/>
  <c r="X133" i="17"/>
  <c r="W133" i="17"/>
  <c r="V133" i="17"/>
  <c r="U133" i="17"/>
  <c r="T133" i="17"/>
  <c r="S133" i="17"/>
  <c r="R133" i="17"/>
  <c r="Q133" i="17"/>
  <c r="P133" i="17"/>
  <c r="O133" i="17"/>
  <c r="N133" i="17"/>
  <c r="M133" i="17"/>
  <c r="L133" i="17"/>
  <c r="K133" i="17"/>
  <c r="J133" i="17"/>
  <c r="I133" i="17"/>
  <c r="H133" i="17"/>
  <c r="G133" i="17"/>
  <c r="F133" i="17"/>
  <c r="E133" i="17"/>
  <c r="D133" i="17"/>
  <c r="C133" i="17"/>
  <c r="B133" i="17"/>
  <c r="A132" i="17"/>
  <c r="Y132" i="17"/>
  <c r="X132" i="17"/>
  <c r="W132" i="17"/>
  <c r="V132" i="17"/>
  <c r="U132" i="17"/>
  <c r="T132" i="17"/>
  <c r="S132" i="17"/>
  <c r="R132" i="17"/>
  <c r="Q132" i="17"/>
  <c r="P132" i="17"/>
  <c r="O132" i="17"/>
  <c r="N132" i="17"/>
  <c r="M132" i="17"/>
  <c r="L132" i="17"/>
  <c r="K132" i="17"/>
  <c r="J132" i="17"/>
  <c r="I132" i="17"/>
  <c r="H132" i="17"/>
  <c r="G132" i="17"/>
  <c r="F132" i="17"/>
  <c r="E132" i="17"/>
  <c r="D132" i="17"/>
  <c r="C132" i="17"/>
  <c r="B132" i="17"/>
  <c r="A131" i="17"/>
  <c r="Y131" i="17"/>
  <c r="X131" i="17"/>
  <c r="W131" i="17"/>
  <c r="V131" i="17"/>
  <c r="U131" i="17"/>
  <c r="T131" i="17"/>
  <c r="S131" i="17"/>
  <c r="R131" i="17"/>
  <c r="Q131" i="17"/>
  <c r="P131" i="17"/>
  <c r="O131" i="17"/>
  <c r="N131" i="17"/>
  <c r="M131" i="17"/>
  <c r="L131" i="17"/>
  <c r="K131" i="17"/>
  <c r="J131" i="17"/>
  <c r="I131" i="17"/>
  <c r="H131" i="17"/>
  <c r="G131" i="17"/>
  <c r="F131" i="17"/>
  <c r="E131" i="17"/>
  <c r="D131" i="17"/>
  <c r="C131" i="17"/>
  <c r="B131" i="17"/>
  <c r="A130" i="17"/>
  <c r="Y130" i="17"/>
  <c r="X130" i="17"/>
  <c r="W130" i="17"/>
  <c r="V130" i="17"/>
  <c r="U130" i="17"/>
  <c r="T130" i="17"/>
  <c r="S130" i="17"/>
  <c r="R130" i="17"/>
  <c r="Q130" i="17"/>
  <c r="P130" i="17"/>
  <c r="O130" i="17"/>
  <c r="N130" i="17"/>
  <c r="M130" i="17"/>
  <c r="L130" i="17"/>
  <c r="K130" i="17"/>
  <c r="J130" i="17"/>
  <c r="I130" i="17"/>
  <c r="H130" i="17"/>
  <c r="G130" i="17"/>
  <c r="F130" i="17"/>
  <c r="E130" i="17"/>
  <c r="D130" i="17"/>
  <c r="C130" i="17"/>
  <c r="B130" i="17"/>
  <c r="A129" i="17"/>
  <c r="Y129" i="17"/>
  <c r="X129" i="17"/>
  <c r="W129" i="17"/>
  <c r="V129" i="17"/>
  <c r="U129" i="17"/>
  <c r="T129" i="17"/>
  <c r="S129" i="17"/>
  <c r="R129" i="17"/>
  <c r="Q129" i="17"/>
  <c r="P129" i="17"/>
  <c r="O129" i="17"/>
  <c r="N129" i="17"/>
  <c r="M129" i="17"/>
  <c r="L129" i="17"/>
  <c r="K129" i="17"/>
  <c r="J129" i="17"/>
  <c r="I129" i="17"/>
  <c r="H129" i="17"/>
  <c r="G129" i="17"/>
  <c r="F129" i="17"/>
  <c r="E129" i="17"/>
  <c r="D129" i="17"/>
  <c r="C129" i="17"/>
  <c r="B129" i="17"/>
  <c r="A128" i="17"/>
  <c r="Y128" i="17"/>
  <c r="X128" i="17"/>
  <c r="W128" i="17"/>
  <c r="V128" i="17"/>
  <c r="U128" i="17"/>
  <c r="T128" i="17"/>
  <c r="S128" i="17"/>
  <c r="R128" i="17"/>
  <c r="Q128" i="17"/>
  <c r="P128" i="17"/>
  <c r="O128" i="17"/>
  <c r="N128" i="17"/>
  <c r="M128" i="17"/>
  <c r="L128" i="17"/>
  <c r="K128" i="17"/>
  <c r="J128" i="17"/>
  <c r="I128" i="17"/>
  <c r="H128" i="17"/>
  <c r="G128" i="17"/>
  <c r="F128" i="17"/>
  <c r="E128" i="17"/>
  <c r="D128" i="17"/>
  <c r="C128" i="17"/>
  <c r="B128" i="17"/>
  <c r="A127" i="17"/>
  <c r="Y127" i="17"/>
  <c r="X127" i="17"/>
  <c r="W127" i="17"/>
  <c r="V127" i="17"/>
  <c r="U127" i="17"/>
  <c r="T127" i="17"/>
  <c r="S127" i="17"/>
  <c r="R127" i="17"/>
  <c r="Q127" i="17"/>
  <c r="P127" i="17"/>
  <c r="O127" i="17"/>
  <c r="N127" i="17"/>
  <c r="M127" i="17"/>
  <c r="L127" i="17"/>
  <c r="K127" i="17"/>
  <c r="J127" i="17"/>
  <c r="I127" i="17"/>
  <c r="H127" i="17"/>
  <c r="G127" i="17"/>
  <c r="F127" i="17"/>
  <c r="E127" i="17"/>
  <c r="D127" i="17"/>
  <c r="C127" i="17"/>
  <c r="B127" i="17"/>
  <c r="A126" i="17"/>
  <c r="Y126" i="17"/>
  <c r="X126" i="17"/>
  <c r="W126" i="17"/>
  <c r="V126" i="17"/>
  <c r="U126" i="17"/>
  <c r="T126" i="17"/>
  <c r="S126" i="17"/>
  <c r="R126" i="17"/>
  <c r="Q126" i="17"/>
  <c r="P126" i="17"/>
  <c r="O126" i="17"/>
  <c r="N126" i="17"/>
  <c r="M126" i="17"/>
  <c r="L126" i="17"/>
  <c r="K126" i="17"/>
  <c r="J126" i="17"/>
  <c r="I126" i="17"/>
  <c r="H126" i="17"/>
  <c r="G126" i="17"/>
  <c r="F126" i="17"/>
  <c r="E126" i="17"/>
  <c r="D126" i="17"/>
  <c r="C126" i="17"/>
  <c r="B126" i="17"/>
  <c r="A125" i="17"/>
  <c r="Y125" i="17"/>
  <c r="X125" i="17"/>
  <c r="W125" i="17"/>
  <c r="V125" i="17"/>
  <c r="U125" i="17"/>
  <c r="T125" i="17"/>
  <c r="S125" i="17"/>
  <c r="R125" i="17"/>
  <c r="Q125" i="17"/>
  <c r="P125" i="17"/>
  <c r="O125" i="17"/>
  <c r="N125" i="17"/>
  <c r="M125" i="17"/>
  <c r="L125" i="17"/>
  <c r="K125" i="17"/>
  <c r="J125" i="17"/>
  <c r="I125" i="17"/>
  <c r="H125" i="17"/>
  <c r="G125" i="17"/>
  <c r="F125" i="17"/>
  <c r="E125" i="17"/>
  <c r="D125" i="17"/>
  <c r="C125" i="17"/>
  <c r="B125" i="17"/>
  <c r="A124" i="17"/>
  <c r="Y124" i="17"/>
  <c r="X124" i="17"/>
  <c r="W124" i="17"/>
  <c r="V124" i="17"/>
  <c r="U124" i="17"/>
  <c r="T124" i="17"/>
  <c r="S124" i="17"/>
  <c r="R124" i="17"/>
  <c r="Q124" i="17"/>
  <c r="P124" i="17"/>
  <c r="O124" i="17"/>
  <c r="N124" i="17"/>
  <c r="M124" i="17"/>
  <c r="L124" i="17"/>
  <c r="K124" i="17"/>
  <c r="J124" i="17"/>
  <c r="I124" i="17"/>
  <c r="H124" i="17"/>
  <c r="G124" i="17"/>
  <c r="F124" i="17"/>
  <c r="E124" i="17"/>
  <c r="D124" i="17"/>
  <c r="C124" i="17"/>
  <c r="B124" i="17"/>
  <c r="A123" i="17"/>
  <c r="Y123" i="17"/>
  <c r="X123" i="17"/>
  <c r="W123" i="17"/>
  <c r="V123" i="17"/>
  <c r="U123" i="17"/>
  <c r="T123" i="17"/>
  <c r="S123" i="17"/>
  <c r="R123" i="17"/>
  <c r="Q123" i="17"/>
  <c r="P123" i="17"/>
  <c r="O123" i="17"/>
  <c r="N123" i="17"/>
  <c r="M123" i="17"/>
  <c r="L123" i="17"/>
  <c r="K123" i="17"/>
  <c r="J123" i="17"/>
  <c r="I123" i="17"/>
  <c r="H123" i="17"/>
  <c r="G123" i="17"/>
  <c r="F123" i="17"/>
  <c r="E123" i="17"/>
  <c r="D123" i="17"/>
  <c r="C123" i="17"/>
  <c r="B123" i="17"/>
  <c r="A122" i="17"/>
  <c r="Y122" i="17"/>
  <c r="X122" i="17"/>
  <c r="W122" i="17"/>
  <c r="V122" i="17"/>
  <c r="U122" i="17"/>
  <c r="T122" i="17"/>
  <c r="S122" i="17"/>
  <c r="R122" i="17"/>
  <c r="Q122" i="17"/>
  <c r="P122" i="17"/>
  <c r="O122" i="17"/>
  <c r="N122" i="17"/>
  <c r="M122" i="17"/>
  <c r="L122" i="17"/>
  <c r="K122" i="17"/>
  <c r="J122" i="17"/>
  <c r="I122" i="17"/>
  <c r="H122" i="17"/>
  <c r="G122" i="17"/>
  <c r="F122" i="17"/>
  <c r="E122" i="17"/>
  <c r="D122" i="17"/>
  <c r="C122" i="17"/>
  <c r="B122" i="17"/>
  <c r="A121" i="17"/>
  <c r="Y121" i="17"/>
  <c r="X121" i="17"/>
  <c r="W121" i="17"/>
  <c r="V121" i="17"/>
  <c r="U121" i="17"/>
  <c r="T121" i="17"/>
  <c r="S121" i="17"/>
  <c r="R121" i="17"/>
  <c r="Q121" i="17"/>
  <c r="P121" i="17"/>
  <c r="O121" i="17"/>
  <c r="N121" i="17"/>
  <c r="M121" i="17"/>
  <c r="L121" i="17"/>
  <c r="K121" i="17"/>
  <c r="J121" i="17"/>
  <c r="I121" i="17"/>
  <c r="H121" i="17"/>
  <c r="G121" i="17"/>
  <c r="F121" i="17"/>
  <c r="E121" i="17"/>
  <c r="D121" i="17"/>
  <c r="C121" i="17"/>
  <c r="B121" i="17"/>
  <c r="A120" i="17"/>
  <c r="Y120" i="17"/>
  <c r="X120" i="17"/>
  <c r="W120" i="17"/>
  <c r="V120" i="17"/>
  <c r="U120" i="17"/>
  <c r="T120" i="17"/>
  <c r="S120" i="17"/>
  <c r="R120" i="17"/>
  <c r="Q120" i="17"/>
  <c r="P120" i="17"/>
  <c r="O120" i="17"/>
  <c r="N120" i="17"/>
  <c r="M120" i="17"/>
  <c r="L120" i="17"/>
  <c r="K120" i="17"/>
  <c r="J120" i="17"/>
  <c r="I120" i="17"/>
  <c r="H120" i="17"/>
  <c r="G120" i="17"/>
  <c r="F120" i="17"/>
  <c r="E120" i="17"/>
  <c r="D120" i="17"/>
  <c r="C120" i="17"/>
  <c r="B120" i="17"/>
  <c r="A119" i="17"/>
  <c r="Y119" i="17"/>
  <c r="X119" i="17"/>
  <c r="W119" i="17"/>
  <c r="V119" i="17"/>
  <c r="U119" i="17"/>
  <c r="T119" i="17"/>
  <c r="S119" i="17"/>
  <c r="R119" i="17"/>
  <c r="Q119" i="17"/>
  <c r="P119" i="17"/>
  <c r="O119" i="17"/>
  <c r="N119" i="17"/>
  <c r="M119" i="17"/>
  <c r="L119" i="17"/>
  <c r="K119" i="17"/>
  <c r="J119" i="17"/>
  <c r="I119" i="17"/>
  <c r="H119" i="17"/>
  <c r="G119" i="17"/>
  <c r="F119" i="17"/>
  <c r="E119" i="17"/>
  <c r="D119" i="17"/>
  <c r="C119" i="17"/>
  <c r="B119" i="17"/>
  <c r="A118" i="17"/>
  <c r="Y118" i="17"/>
  <c r="X118" i="17"/>
  <c r="W118" i="17"/>
  <c r="V118" i="17"/>
  <c r="U118" i="17"/>
  <c r="T118" i="17"/>
  <c r="S118" i="17"/>
  <c r="R118" i="17"/>
  <c r="Q118" i="17"/>
  <c r="P118" i="17"/>
  <c r="O118" i="17"/>
  <c r="N118" i="17"/>
  <c r="M118" i="17"/>
  <c r="L118" i="17"/>
  <c r="K118" i="17"/>
  <c r="J118" i="17"/>
  <c r="I118" i="17"/>
  <c r="H118" i="17"/>
  <c r="G118" i="17"/>
  <c r="F118" i="17"/>
  <c r="E118" i="17"/>
  <c r="D118" i="17"/>
  <c r="C118" i="17"/>
  <c r="B118" i="17"/>
  <c r="A117" i="17"/>
  <c r="Y117" i="17"/>
  <c r="X117" i="17"/>
  <c r="W117" i="17"/>
  <c r="V117" i="17"/>
  <c r="U117" i="17"/>
  <c r="T117" i="17"/>
  <c r="S117" i="17"/>
  <c r="R117" i="17"/>
  <c r="Q117" i="17"/>
  <c r="P117" i="17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C117" i="17"/>
  <c r="B117" i="17"/>
  <c r="A116" i="17"/>
  <c r="Y116" i="17"/>
  <c r="X116" i="17"/>
  <c r="W116" i="17"/>
  <c r="V116" i="17"/>
  <c r="U116" i="17"/>
  <c r="T116" i="17"/>
  <c r="S116" i="17"/>
  <c r="R116" i="17"/>
  <c r="Q116" i="17"/>
  <c r="P116" i="17"/>
  <c r="O116" i="17"/>
  <c r="N116" i="17"/>
  <c r="M116" i="17"/>
  <c r="L116" i="17"/>
  <c r="K116" i="17"/>
  <c r="J116" i="17"/>
  <c r="I116" i="17"/>
  <c r="H116" i="17"/>
  <c r="G116" i="17"/>
  <c r="F116" i="17"/>
  <c r="E116" i="17"/>
  <c r="D116" i="17"/>
  <c r="C116" i="17"/>
  <c r="B116" i="17"/>
  <c r="A115" i="17"/>
  <c r="Y115" i="17"/>
  <c r="X115" i="17"/>
  <c r="W115" i="17"/>
  <c r="V115" i="17"/>
  <c r="U115" i="17"/>
  <c r="T115" i="17"/>
  <c r="S115" i="17"/>
  <c r="R115" i="17"/>
  <c r="Q115" i="17"/>
  <c r="P115" i="17"/>
  <c r="O115" i="17"/>
  <c r="N115" i="17"/>
  <c r="M115" i="17"/>
  <c r="L115" i="17"/>
  <c r="K115" i="17"/>
  <c r="J115" i="17"/>
  <c r="I115" i="17"/>
  <c r="H115" i="17"/>
  <c r="G115" i="17"/>
  <c r="F115" i="17"/>
  <c r="E115" i="17"/>
  <c r="D115" i="17"/>
  <c r="C115" i="17"/>
  <c r="B115" i="17"/>
  <c r="A114" i="17"/>
  <c r="Y114" i="17"/>
  <c r="X114" i="17"/>
  <c r="W114" i="17"/>
  <c r="V114" i="17"/>
  <c r="U114" i="17"/>
  <c r="T114" i="17"/>
  <c r="S114" i="17"/>
  <c r="R114" i="17"/>
  <c r="Q114" i="17"/>
  <c r="P114" i="17"/>
  <c r="O114" i="17"/>
  <c r="N114" i="17"/>
  <c r="M114" i="17"/>
  <c r="L114" i="17"/>
  <c r="K114" i="17"/>
  <c r="J114" i="17"/>
  <c r="I114" i="17"/>
  <c r="H114" i="17"/>
  <c r="G114" i="17"/>
  <c r="F114" i="17"/>
  <c r="E114" i="17"/>
  <c r="D114" i="17"/>
  <c r="C114" i="17"/>
  <c r="B114" i="17"/>
  <c r="A113" i="17"/>
  <c r="Y113" i="17"/>
  <c r="X113" i="17"/>
  <c r="W113" i="17"/>
  <c r="V113" i="17"/>
  <c r="U113" i="17"/>
  <c r="T113" i="17"/>
  <c r="S113" i="17"/>
  <c r="R113" i="17"/>
  <c r="Q113" i="17"/>
  <c r="P113" i="17"/>
  <c r="O113" i="17"/>
  <c r="N113" i="17"/>
  <c r="M113" i="17"/>
  <c r="L113" i="17"/>
  <c r="K113" i="17"/>
  <c r="J113" i="17"/>
  <c r="I113" i="17"/>
  <c r="H113" i="17"/>
  <c r="G113" i="17"/>
  <c r="F113" i="17"/>
  <c r="E113" i="17"/>
  <c r="D113" i="17"/>
  <c r="C113" i="17"/>
  <c r="B113" i="17"/>
  <c r="A112" i="17"/>
  <c r="Y112" i="17"/>
  <c r="X112" i="17"/>
  <c r="W112" i="17"/>
  <c r="V112" i="17"/>
  <c r="U112" i="17"/>
  <c r="T112" i="17"/>
  <c r="S112" i="17"/>
  <c r="R112" i="17"/>
  <c r="Q112" i="17"/>
  <c r="P112" i="17"/>
  <c r="O112" i="17"/>
  <c r="N112" i="17"/>
  <c r="M112" i="17"/>
  <c r="L112" i="17"/>
  <c r="K112" i="17"/>
  <c r="J112" i="17"/>
  <c r="I112" i="17"/>
  <c r="H112" i="17"/>
  <c r="G112" i="17"/>
  <c r="F112" i="17"/>
  <c r="E112" i="17"/>
  <c r="D112" i="17"/>
  <c r="C112" i="17"/>
  <c r="B112" i="17"/>
  <c r="A111" i="17"/>
  <c r="Y111" i="17"/>
  <c r="X111" i="17"/>
  <c r="W111" i="17"/>
  <c r="V111" i="17"/>
  <c r="U111" i="17"/>
  <c r="T111" i="17"/>
  <c r="S111" i="17"/>
  <c r="R111" i="17"/>
  <c r="Q111" i="17"/>
  <c r="P111" i="17"/>
  <c r="O111" i="17"/>
  <c r="N111" i="17"/>
  <c r="M111" i="17"/>
  <c r="L111" i="17"/>
  <c r="K111" i="17"/>
  <c r="J111" i="17"/>
  <c r="I111" i="17"/>
  <c r="H111" i="17"/>
  <c r="G111" i="17"/>
  <c r="F111" i="17"/>
  <c r="E111" i="17"/>
  <c r="D111" i="17"/>
  <c r="C111" i="17"/>
  <c r="B111" i="17"/>
  <c r="A110" i="17"/>
  <c r="Y110" i="17"/>
  <c r="X110" i="17"/>
  <c r="W110" i="17"/>
  <c r="V110" i="17"/>
  <c r="U110" i="17"/>
  <c r="T110" i="17"/>
  <c r="S110" i="17"/>
  <c r="R110" i="17"/>
  <c r="Q110" i="17"/>
  <c r="P110" i="17"/>
  <c r="O110" i="17"/>
  <c r="N110" i="17"/>
  <c r="M110" i="17"/>
  <c r="L110" i="17"/>
  <c r="K110" i="17"/>
  <c r="J110" i="17"/>
  <c r="I110" i="17"/>
  <c r="H110" i="17"/>
  <c r="G110" i="17"/>
  <c r="F110" i="17"/>
  <c r="E110" i="17"/>
  <c r="D110" i="17"/>
  <c r="C110" i="17"/>
  <c r="B110" i="17"/>
  <c r="A109" i="17"/>
  <c r="Y109" i="17"/>
  <c r="X109" i="17"/>
  <c r="W109" i="17"/>
  <c r="V109" i="17"/>
  <c r="U109" i="17"/>
  <c r="T109" i="17"/>
  <c r="S109" i="17"/>
  <c r="R109" i="17"/>
  <c r="Q109" i="17"/>
  <c r="P109" i="17"/>
  <c r="O109" i="17"/>
  <c r="N109" i="17"/>
  <c r="M109" i="17"/>
  <c r="L109" i="17"/>
  <c r="K109" i="17"/>
  <c r="J109" i="17"/>
  <c r="I109" i="17"/>
  <c r="H109" i="17"/>
  <c r="G109" i="17"/>
  <c r="F109" i="17"/>
  <c r="E109" i="17"/>
  <c r="D109" i="17"/>
  <c r="C109" i="17"/>
  <c r="B109" i="17"/>
  <c r="A108" i="17"/>
  <c r="Y108" i="17"/>
  <c r="X108" i="17"/>
  <c r="W108" i="17"/>
  <c r="V108" i="17"/>
  <c r="U108" i="17"/>
  <c r="T108" i="17"/>
  <c r="S108" i="17"/>
  <c r="R108" i="17"/>
  <c r="Q108" i="17"/>
  <c r="P108" i="17"/>
  <c r="O108" i="17"/>
  <c r="N108" i="17"/>
  <c r="M108" i="17"/>
  <c r="L108" i="17"/>
  <c r="K108" i="17"/>
  <c r="J108" i="17"/>
  <c r="I108" i="17"/>
  <c r="H108" i="17"/>
  <c r="G108" i="17"/>
  <c r="F108" i="17"/>
  <c r="E108" i="17"/>
  <c r="D108" i="17"/>
  <c r="C108" i="17"/>
  <c r="B108" i="17"/>
  <c r="A107" i="17"/>
  <c r="Y107" i="17"/>
  <c r="X107" i="17"/>
  <c r="W107" i="17"/>
  <c r="V107" i="17"/>
  <c r="U107" i="17"/>
  <c r="T107" i="17"/>
  <c r="S107" i="17"/>
  <c r="R107" i="17"/>
  <c r="Q107" i="17"/>
  <c r="P107" i="17"/>
  <c r="O107" i="17"/>
  <c r="N107" i="17"/>
  <c r="M107" i="17"/>
  <c r="L107" i="17"/>
  <c r="K107" i="17"/>
  <c r="J107" i="17"/>
  <c r="I107" i="17"/>
  <c r="H107" i="17"/>
  <c r="G107" i="17"/>
  <c r="F107" i="17"/>
  <c r="E107" i="17"/>
  <c r="D107" i="17"/>
  <c r="C107" i="17"/>
  <c r="B107" i="17"/>
  <c r="A106" i="17"/>
  <c r="Y106" i="17"/>
  <c r="X106" i="17"/>
  <c r="W106" i="17"/>
  <c r="V106" i="17"/>
  <c r="U106" i="17"/>
  <c r="T106" i="17"/>
  <c r="S106" i="17"/>
  <c r="R106" i="17"/>
  <c r="Q106" i="17"/>
  <c r="P106" i="17"/>
  <c r="O106" i="17"/>
  <c r="N106" i="17"/>
  <c r="M106" i="17"/>
  <c r="L106" i="17"/>
  <c r="K106" i="17"/>
  <c r="J106" i="17"/>
  <c r="I106" i="17"/>
  <c r="H106" i="17"/>
  <c r="G106" i="17"/>
  <c r="F106" i="17"/>
  <c r="E106" i="17"/>
  <c r="D106" i="17"/>
  <c r="C106" i="17"/>
  <c r="B106" i="17"/>
  <c r="A105" i="17"/>
  <c r="Y105" i="17"/>
  <c r="X105" i="17"/>
  <c r="W105" i="17"/>
  <c r="V105" i="17"/>
  <c r="U105" i="17"/>
  <c r="T105" i="17"/>
  <c r="S105" i="17"/>
  <c r="R105" i="17"/>
  <c r="Q105" i="17"/>
  <c r="P105" i="17"/>
  <c r="O105" i="17"/>
  <c r="N105" i="17"/>
  <c r="M105" i="17"/>
  <c r="L105" i="17"/>
  <c r="K105" i="17"/>
  <c r="J105" i="17"/>
  <c r="I105" i="17"/>
  <c r="H105" i="17"/>
  <c r="G105" i="17"/>
  <c r="F105" i="17"/>
  <c r="E105" i="17"/>
  <c r="D105" i="17"/>
  <c r="C105" i="17"/>
  <c r="B105" i="17"/>
  <c r="A104" i="17"/>
  <c r="Y104" i="17"/>
  <c r="X104" i="17"/>
  <c r="W104" i="17"/>
  <c r="V104" i="17"/>
  <c r="U104" i="17"/>
  <c r="T104" i="17"/>
  <c r="S104" i="17"/>
  <c r="R104" i="17"/>
  <c r="Q104" i="17"/>
  <c r="P104" i="17"/>
  <c r="O104" i="17"/>
  <c r="N104" i="17"/>
  <c r="M104" i="17"/>
  <c r="L104" i="17"/>
  <c r="K104" i="17"/>
  <c r="J104" i="17"/>
  <c r="I104" i="17"/>
  <c r="H104" i="17"/>
  <c r="G104" i="17"/>
  <c r="F104" i="17"/>
  <c r="E104" i="17"/>
  <c r="D104" i="17"/>
  <c r="C104" i="17"/>
  <c r="B104" i="17"/>
  <c r="A103" i="17"/>
  <c r="Y103" i="17"/>
  <c r="X103" i="17"/>
  <c r="W103" i="17"/>
  <c r="V103" i="17"/>
  <c r="U103" i="17"/>
  <c r="T103" i="17"/>
  <c r="S103" i="17"/>
  <c r="R103" i="17"/>
  <c r="Q103" i="17"/>
  <c r="P103" i="17"/>
  <c r="O103" i="17"/>
  <c r="N103" i="17"/>
  <c r="M103" i="17"/>
  <c r="L103" i="17"/>
  <c r="K103" i="17"/>
  <c r="J103" i="17"/>
  <c r="I103" i="17"/>
  <c r="H103" i="17"/>
  <c r="G103" i="17"/>
  <c r="F103" i="17"/>
  <c r="E103" i="17"/>
  <c r="D103" i="17"/>
  <c r="C103" i="17"/>
  <c r="B103" i="17"/>
  <c r="A102" i="17"/>
  <c r="Y102" i="17"/>
  <c r="X102" i="17"/>
  <c r="W102" i="17"/>
  <c r="V102" i="17"/>
  <c r="U102" i="17"/>
  <c r="T102" i="17"/>
  <c r="S102" i="17"/>
  <c r="R102" i="17"/>
  <c r="Q102" i="17"/>
  <c r="P102" i="17"/>
  <c r="O102" i="17"/>
  <c r="N102" i="17"/>
  <c r="M102" i="17"/>
  <c r="L102" i="17"/>
  <c r="K102" i="17"/>
  <c r="J102" i="17"/>
  <c r="I102" i="17"/>
  <c r="H102" i="17"/>
  <c r="G102" i="17"/>
  <c r="F102" i="17"/>
  <c r="E102" i="17"/>
  <c r="D102" i="17"/>
  <c r="C102" i="17"/>
  <c r="B102" i="17"/>
  <c r="A101" i="17"/>
  <c r="Y101" i="17"/>
  <c r="X101" i="17"/>
  <c r="W101" i="17"/>
  <c r="V101" i="17"/>
  <c r="U101" i="17"/>
  <c r="T101" i="17"/>
  <c r="S101" i="17"/>
  <c r="R101" i="17"/>
  <c r="Q101" i="17"/>
  <c r="P101" i="17"/>
  <c r="O101" i="17"/>
  <c r="N101" i="17"/>
  <c r="M101" i="17"/>
  <c r="L101" i="17"/>
  <c r="K101" i="17"/>
  <c r="J101" i="17"/>
  <c r="I101" i="17"/>
  <c r="H101" i="17"/>
  <c r="G101" i="17"/>
  <c r="F101" i="17"/>
  <c r="E101" i="17"/>
  <c r="D101" i="17"/>
  <c r="C101" i="17"/>
  <c r="B101" i="17"/>
  <c r="A100" i="17"/>
  <c r="Y100" i="17"/>
  <c r="X100" i="17"/>
  <c r="W100" i="17"/>
  <c r="V100" i="17"/>
  <c r="U100" i="17"/>
  <c r="T100" i="17"/>
  <c r="S100" i="17"/>
  <c r="R100" i="17"/>
  <c r="Q100" i="17"/>
  <c r="P100" i="17"/>
  <c r="O100" i="17"/>
  <c r="N100" i="17"/>
  <c r="M100" i="17"/>
  <c r="L100" i="17"/>
  <c r="K100" i="17"/>
  <c r="J100" i="17"/>
  <c r="I100" i="17"/>
  <c r="H100" i="17"/>
  <c r="G100" i="17"/>
  <c r="F100" i="17"/>
  <c r="E100" i="17"/>
  <c r="D100" i="17"/>
  <c r="C100" i="17"/>
  <c r="B100" i="17"/>
  <c r="A99" i="17"/>
  <c r="Y99" i="17"/>
  <c r="X99" i="17"/>
  <c r="W99" i="17"/>
  <c r="V99" i="17"/>
  <c r="U99" i="17"/>
  <c r="T99" i="17"/>
  <c r="S99" i="17"/>
  <c r="R99" i="17"/>
  <c r="Q99" i="17"/>
  <c r="P99" i="17"/>
  <c r="O99" i="17"/>
  <c r="N99" i="17"/>
  <c r="M99" i="17"/>
  <c r="L99" i="17"/>
  <c r="K99" i="17"/>
  <c r="J99" i="17"/>
  <c r="I99" i="17"/>
  <c r="H99" i="17"/>
  <c r="G99" i="17"/>
  <c r="F99" i="17"/>
  <c r="E99" i="17"/>
  <c r="D99" i="17"/>
  <c r="C99" i="17"/>
  <c r="B99" i="17"/>
  <c r="A98" i="17"/>
  <c r="Y98" i="17"/>
  <c r="X98" i="17"/>
  <c r="W98" i="17"/>
  <c r="V98" i="17"/>
  <c r="U98" i="17"/>
  <c r="T98" i="17"/>
  <c r="S98" i="17"/>
  <c r="R98" i="17"/>
  <c r="Q98" i="17"/>
  <c r="P98" i="17"/>
  <c r="O98" i="17"/>
  <c r="N98" i="17"/>
  <c r="M98" i="17"/>
  <c r="L98" i="17"/>
  <c r="K98" i="17"/>
  <c r="J98" i="17"/>
  <c r="I98" i="17"/>
  <c r="H98" i="17"/>
  <c r="G98" i="17"/>
  <c r="F98" i="17"/>
  <c r="E98" i="17"/>
  <c r="D98" i="17"/>
  <c r="C98" i="17"/>
  <c r="B98" i="17"/>
  <c r="A97" i="17"/>
  <c r="Y97" i="17"/>
  <c r="X97" i="17"/>
  <c r="W97" i="17"/>
  <c r="V97" i="17"/>
  <c r="U97" i="17"/>
  <c r="T97" i="17"/>
  <c r="S97" i="17"/>
  <c r="R97" i="17"/>
  <c r="Q97" i="17"/>
  <c r="P97" i="17"/>
  <c r="O97" i="17"/>
  <c r="N97" i="17"/>
  <c r="M97" i="17"/>
  <c r="L97" i="17"/>
  <c r="K97" i="17"/>
  <c r="J97" i="17"/>
  <c r="I97" i="17"/>
  <c r="H97" i="17"/>
  <c r="G97" i="17"/>
  <c r="F97" i="17"/>
  <c r="E97" i="17"/>
  <c r="D97" i="17"/>
  <c r="C97" i="17"/>
  <c r="B97" i="17"/>
  <c r="A96" i="17"/>
  <c r="Y96" i="17"/>
  <c r="X96" i="17"/>
  <c r="W96" i="17"/>
  <c r="V96" i="17"/>
  <c r="U96" i="17"/>
  <c r="T96" i="17"/>
  <c r="S96" i="17"/>
  <c r="R96" i="17"/>
  <c r="Q96" i="17"/>
  <c r="P96" i="17"/>
  <c r="O96" i="17"/>
  <c r="N96" i="17"/>
  <c r="M96" i="17"/>
  <c r="L96" i="17"/>
  <c r="K96" i="17"/>
  <c r="J96" i="17"/>
  <c r="I96" i="17"/>
  <c r="H96" i="17"/>
  <c r="G96" i="17"/>
  <c r="F96" i="17"/>
  <c r="E96" i="17"/>
  <c r="D96" i="17"/>
  <c r="C96" i="17"/>
  <c r="B96" i="17"/>
  <c r="A95" i="17"/>
  <c r="Y95" i="17"/>
  <c r="X95" i="17"/>
  <c r="W95" i="17"/>
  <c r="V95" i="17"/>
  <c r="U95" i="17"/>
  <c r="T95" i="17"/>
  <c r="S95" i="17"/>
  <c r="R95" i="17"/>
  <c r="Q95" i="17"/>
  <c r="P95" i="17"/>
  <c r="O95" i="17"/>
  <c r="N95" i="17"/>
  <c r="M95" i="17"/>
  <c r="L95" i="17"/>
  <c r="K95" i="17"/>
  <c r="J95" i="17"/>
  <c r="I95" i="17"/>
  <c r="H95" i="17"/>
  <c r="G95" i="17"/>
  <c r="F95" i="17"/>
  <c r="E95" i="17"/>
  <c r="D95" i="17"/>
  <c r="C95" i="17"/>
  <c r="B95" i="17"/>
  <c r="A94" i="17"/>
  <c r="Y94" i="17"/>
  <c r="X94" i="17"/>
  <c r="W94" i="17"/>
  <c r="V94" i="17"/>
  <c r="U94" i="17"/>
  <c r="T94" i="17"/>
  <c r="S94" i="17"/>
  <c r="R94" i="17"/>
  <c r="Q94" i="17"/>
  <c r="P94" i="17"/>
  <c r="O94" i="17"/>
  <c r="N94" i="17"/>
  <c r="M94" i="17"/>
  <c r="L94" i="17"/>
  <c r="K94" i="17"/>
  <c r="J94" i="17"/>
  <c r="I94" i="17"/>
  <c r="H94" i="17"/>
  <c r="G94" i="17"/>
  <c r="F94" i="17"/>
  <c r="E94" i="17"/>
  <c r="D94" i="17"/>
  <c r="C94" i="17"/>
  <c r="B94" i="17"/>
  <c r="A93" i="17"/>
  <c r="Y93" i="17"/>
  <c r="X93" i="17"/>
  <c r="W93" i="17"/>
  <c r="V93" i="17"/>
  <c r="U93" i="17"/>
  <c r="T93" i="17"/>
  <c r="S93" i="17"/>
  <c r="R93" i="17"/>
  <c r="Q93" i="17"/>
  <c r="P93" i="17"/>
  <c r="O93" i="17"/>
  <c r="N93" i="17"/>
  <c r="M93" i="17"/>
  <c r="L93" i="17"/>
  <c r="K93" i="17"/>
  <c r="J93" i="17"/>
  <c r="I93" i="17"/>
  <c r="H93" i="17"/>
  <c r="G93" i="17"/>
  <c r="F93" i="17"/>
  <c r="E93" i="17"/>
  <c r="D93" i="17"/>
  <c r="C93" i="17"/>
  <c r="B93" i="17"/>
  <c r="A92" i="17"/>
  <c r="Y92" i="17"/>
  <c r="X92" i="17"/>
  <c r="W92" i="17"/>
  <c r="V92" i="17"/>
  <c r="U92" i="17"/>
  <c r="T92" i="17"/>
  <c r="S92" i="17"/>
  <c r="R92" i="17"/>
  <c r="Q92" i="17"/>
  <c r="P92" i="17"/>
  <c r="O92" i="17"/>
  <c r="N92" i="17"/>
  <c r="M92" i="17"/>
  <c r="L92" i="17"/>
  <c r="K92" i="17"/>
  <c r="J92" i="17"/>
  <c r="I92" i="17"/>
  <c r="H92" i="17"/>
  <c r="G92" i="17"/>
  <c r="F92" i="17"/>
  <c r="E92" i="17"/>
  <c r="D92" i="17"/>
  <c r="C92" i="17"/>
  <c r="B92" i="17"/>
  <c r="A91" i="17"/>
  <c r="Y91" i="17"/>
  <c r="X91" i="17"/>
  <c r="W91" i="17"/>
  <c r="V91" i="17"/>
  <c r="U91" i="17"/>
  <c r="T91" i="17"/>
  <c r="S91" i="17"/>
  <c r="R91" i="17"/>
  <c r="Q91" i="17"/>
  <c r="P91" i="17"/>
  <c r="O91" i="17"/>
  <c r="N91" i="17"/>
  <c r="M91" i="17"/>
  <c r="L91" i="17"/>
  <c r="K91" i="17"/>
  <c r="J91" i="17"/>
  <c r="I91" i="17"/>
  <c r="H91" i="17"/>
  <c r="G91" i="17"/>
  <c r="F91" i="17"/>
  <c r="E91" i="17"/>
  <c r="D91" i="17"/>
  <c r="C91" i="17"/>
  <c r="B91" i="17"/>
  <c r="A90" i="17"/>
  <c r="Y90" i="17"/>
  <c r="X90" i="17"/>
  <c r="W90" i="17"/>
  <c r="V90" i="17"/>
  <c r="U90" i="17"/>
  <c r="T90" i="17"/>
  <c r="S90" i="17"/>
  <c r="R90" i="17"/>
  <c r="Q90" i="17"/>
  <c r="P90" i="17"/>
  <c r="O90" i="17"/>
  <c r="N90" i="17"/>
  <c r="M90" i="17"/>
  <c r="L90" i="17"/>
  <c r="K90" i="17"/>
  <c r="J90" i="17"/>
  <c r="I90" i="17"/>
  <c r="H90" i="17"/>
  <c r="G90" i="17"/>
  <c r="F90" i="17"/>
  <c r="E90" i="17"/>
  <c r="D90" i="17"/>
  <c r="C90" i="17"/>
  <c r="B90" i="17"/>
  <c r="A89" i="17"/>
  <c r="Y89" i="17"/>
  <c r="X89" i="17"/>
  <c r="W89" i="17"/>
  <c r="V89" i="17"/>
  <c r="U89" i="17"/>
  <c r="T89" i="17"/>
  <c r="S89" i="17"/>
  <c r="R89" i="17"/>
  <c r="Q89" i="17"/>
  <c r="P89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C89" i="17"/>
  <c r="B89" i="17"/>
  <c r="A88" i="17"/>
  <c r="Y88" i="17"/>
  <c r="X88" i="17"/>
  <c r="W88" i="17"/>
  <c r="V88" i="17"/>
  <c r="U88" i="17"/>
  <c r="T88" i="17"/>
  <c r="S88" i="17"/>
  <c r="R88" i="17"/>
  <c r="Q88" i="17"/>
  <c r="P88" i="17"/>
  <c r="O88" i="17"/>
  <c r="N88" i="17"/>
  <c r="M88" i="17"/>
  <c r="L88" i="17"/>
  <c r="K88" i="17"/>
  <c r="J88" i="17"/>
  <c r="I88" i="17"/>
  <c r="H88" i="17"/>
  <c r="G88" i="17"/>
  <c r="F88" i="17"/>
  <c r="E88" i="17"/>
  <c r="D88" i="17"/>
  <c r="C88" i="17"/>
  <c r="B88" i="17"/>
  <c r="A87" i="17"/>
  <c r="Y87" i="17"/>
  <c r="X87" i="17"/>
  <c r="W87" i="17"/>
  <c r="V87" i="17"/>
  <c r="U87" i="17"/>
  <c r="T87" i="17"/>
  <c r="S87" i="17"/>
  <c r="R87" i="17"/>
  <c r="Q87" i="17"/>
  <c r="P87" i="17"/>
  <c r="O87" i="17"/>
  <c r="N87" i="17"/>
  <c r="M87" i="17"/>
  <c r="L87" i="17"/>
  <c r="K87" i="17"/>
  <c r="J87" i="17"/>
  <c r="I87" i="17"/>
  <c r="H87" i="17"/>
  <c r="G87" i="17"/>
  <c r="F87" i="17"/>
  <c r="E87" i="17"/>
  <c r="D87" i="17"/>
  <c r="C87" i="17"/>
  <c r="B87" i="17"/>
  <c r="A86" i="17"/>
  <c r="Y86" i="17"/>
  <c r="X86" i="17"/>
  <c r="W86" i="17"/>
  <c r="V86" i="17"/>
  <c r="U86" i="17"/>
  <c r="T86" i="17"/>
  <c r="S86" i="17"/>
  <c r="R86" i="17"/>
  <c r="Q86" i="17"/>
  <c r="P86" i="17"/>
  <c r="O86" i="17"/>
  <c r="N86" i="17"/>
  <c r="M86" i="17"/>
  <c r="L86" i="17"/>
  <c r="K86" i="17"/>
  <c r="J86" i="17"/>
  <c r="I86" i="17"/>
  <c r="H86" i="17"/>
  <c r="G86" i="17"/>
  <c r="F86" i="17"/>
  <c r="E86" i="17"/>
  <c r="D86" i="17"/>
  <c r="C86" i="17"/>
  <c r="B86" i="17"/>
  <c r="A85" i="17"/>
  <c r="Y85" i="17"/>
  <c r="X85" i="17"/>
  <c r="W85" i="17"/>
  <c r="V85" i="17"/>
  <c r="U85" i="17"/>
  <c r="T85" i="17"/>
  <c r="S85" i="17"/>
  <c r="R85" i="17"/>
  <c r="Q85" i="17"/>
  <c r="P85" i="17"/>
  <c r="O85" i="17"/>
  <c r="N85" i="17"/>
  <c r="M85" i="17"/>
  <c r="L85" i="17"/>
  <c r="K85" i="17"/>
  <c r="J85" i="17"/>
  <c r="I85" i="17"/>
  <c r="H85" i="17"/>
  <c r="G85" i="17"/>
  <c r="F85" i="17"/>
  <c r="E85" i="17"/>
  <c r="D85" i="17"/>
  <c r="C85" i="17"/>
  <c r="B85" i="17"/>
  <c r="A84" i="17"/>
  <c r="Y84" i="17"/>
  <c r="X84" i="17"/>
  <c r="W84" i="17"/>
  <c r="V84" i="17"/>
  <c r="U84" i="17"/>
  <c r="T84" i="17"/>
  <c r="S84" i="17"/>
  <c r="R84" i="17"/>
  <c r="Q84" i="17"/>
  <c r="P84" i="17"/>
  <c r="O84" i="17"/>
  <c r="N84" i="17"/>
  <c r="M84" i="17"/>
  <c r="L84" i="17"/>
  <c r="K84" i="17"/>
  <c r="J84" i="17"/>
  <c r="I84" i="17"/>
  <c r="H84" i="17"/>
  <c r="G84" i="17"/>
  <c r="F84" i="17"/>
  <c r="E84" i="17"/>
  <c r="D84" i="17"/>
  <c r="C84" i="17"/>
  <c r="B84" i="17"/>
  <c r="A83" i="17"/>
  <c r="Y83" i="17"/>
  <c r="X83" i="17"/>
  <c r="W83" i="17"/>
  <c r="V83" i="17"/>
  <c r="U83" i="17"/>
  <c r="T83" i="17"/>
  <c r="S83" i="17"/>
  <c r="R83" i="17"/>
  <c r="Q83" i="17"/>
  <c r="P83" i="17"/>
  <c r="O83" i="17"/>
  <c r="N83" i="17"/>
  <c r="M83" i="17"/>
  <c r="L83" i="17"/>
  <c r="K83" i="17"/>
  <c r="J83" i="17"/>
  <c r="I83" i="17"/>
  <c r="H83" i="17"/>
  <c r="G83" i="17"/>
  <c r="F83" i="17"/>
  <c r="E83" i="17"/>
  <c r="D83" i="17"/>
  <c r="C83" i="17"/>
  <c r="B83" i="17"/>
  <c r="A82" i="17"/>
  <c r="Y82" i="17"/>
  <c r="X82" i="17"/>
  <c r="W82" i="17"/>
  <c r="V82" i="17"/>
  <c r="U82" i="17"/>
  <c r="T82" i="17"/>
  <c r="S82" i="17"/>
  <c r="R82" i="17"/>
  <c r="Q82" i="17"/>
  <c r="P82" i="17"/>
  <c r="O82" i="17"/>
  <c r="N82" i="17"/>
  <c r="M82" i="17"/>
  <c r="L82" i="17"/>
  <c r="K82" i="17"/>
  <c r="J82" i="17"/>
  <c r="I82" i="17"/>
  <c r="H82" i="17"/>
  <c r="G82" i="17"/>
  <c r="F82" i="17"/>
  <c r="E82" i="17"/>
  <c r="D82" i="17"/>
  <c r="C82" i="17"/>
  <c r="B82" i="17"/>
  <c r="A81" i="17"/>
  <c r="Y81" i="17"/>
  <c r="X81" i="17"/>
  <c r="W81" i="17"/>
  <c r="V81" i="17"/>
  <c r="U81" i="17"/>
  <c r="T81" i="17"/>
  <c r="S81" i="17"/>
  <c r="R81" i="17"/>
  <c r="Q81" i="17"/>
  <c r="P81" i="17"/>
  <c r="O81" i="17"/>
  <c r="N81" i="17"/>
  <c r="M81" i="17"/>
  <c r="L81" i="17"/>
  <c r="K81" i="17"/>
  <c r="J81" i="17"/>
  <c r="I81" i="17"/>
  <c r="H81" i="17"/>
  <c r="G81" i="17"/>
  <c r="F81" i="17"/>
  <c r="E81" i="17"/>
  <c r="D81" i="17"/>
  <c r="C81" i="17"/>
  <c r="B81" i="17"/>
  <c r="A80" i="17"/>
  <c r="Y80" i="17"/>
  <c r="X80" i="17"/>
  <c r="W80" i="17"/>
  <c r="V80" i="17"/>
  <c r="U80" i="17"/>
  <c r="T80" i="17"/>
  <c r="S80" i="17"/>
  <c r="R80" i="17"/>
  <c r="Q80" i="17"/>
  <c r="P80" i="17"/>
  <c r="O80" i="17"/>
  <c r="N80" i="17"/>
  <c r="M80" i="17"/>
  <c r="L80" i="17"/>
  <c r="K80" i="17"/>
  <c r="J80" i="17"/>
  <c r="I80" i="17"/>
  <c r="H80" i="17"/>
  <c r="G80" i="17"/>
  <c r="F80" i="17"/>
  <c r="E80" i="17"/>
  <c r="D80" i="17"/>
  <c r="C80" i="17"/>
  <c r="B80" i="17"/>
  <c r="A79" i="17"/>
  <c r="Y79" i="17"/>
  <c r="X79" i="17"/>
  <c r="W79" i="17"/>
  <c r="V79" i="17"/>
  <c r="U79" i="17"/>
  <c r="T79" i="17"/>
  <c r="S79" i="17"/>
  <c r="R79" i="17"/>
  <c r="Q79" i="17"/>
  <c r="P79" i="17"/>
  <c r="O79" i="17"/>
  <c r="N79" i="17"/>
  <c r="M79" i="17"/>
  <c r="L79" i="17"/>
  <c r="K79" i="17"/>
  <c r="J79" i="17"/>
  <c r="I79" i="17"/>
  <c r="H79" i="17"/>
  <c r="G79" i="17"/>
  <c r="F79" i="17"/>
  <c r="E79" i="17"/>
  <c r="D79" i="17"/>
  <c r="C79" i="17"/>
  <c r="B79" i="17"/>
  <c r="A78" i="17"/>
  <c r="Y78" i="17"/>
  <c r="X78" i="17"/>
  <c r="W78" i="17"/>
  <c r="V78" i="17"/>
  <c r="U78" i="17"/>
  <c r="T78" i="17"/>
  <c r="S78" i="17"/>
  <c r="R78" i="17"/>
  <c r="Q78" i="17"/>
  <c r="P78" i="17"/>
  <c r="O78" i="17"/>
  <c r="N78" i="17"/>
  <c r="M78" i="17"/>
  <c r="L78" i="17"/>
  <c r="K78" i="17"/>
  <c r="J78" i="17"/>
  <c r="I78" i="17"/>
  <c r="H78" i="17"/>
  <c r="G78" i="17"/>
  <c r="F78" i="17"/>
  <c r="E78" i="17"/>
  <c r="D78" i="17"/>
  <c r="C78" i="17"/>
  <c r="B78" i="17"/>
  <c r="A77" i="17"/>
  <c r="Y77" i="17"/>
  <c r="X77" i="17"/>
  <c r="W77" i="17"/>
  <c r="V77" i="17"/>
  <c r="U77" i="17"/>
  <c r="T77" i="17"/>
  <c r="S77" i="17"/>
  <c r="R77" i="17"/>
  <c r="Q77" i="17"/>
  <c r="P77" i="17"/>
  <c r="O77" i="17"/>
  <c r="N77" i="17"/>
  <c r="M77" i="17"/>
  <c r="L77" i="17"/>
  <c r="K77" i="17"/>
  <c r="J77" i="17"/>
  <c r="I77" i="17"/>
  <c r="H77" i="17"/>
  <c r="G77" i="17"/>
  <c r="F77" i="17"/>
  <c r="E77" i="17"/>
  <c r="D77" i="17"/>
  <c r="C77" i="17"/>
  <c r="B77" i="17"/>
  <c r="A76" i="17"/>
  <c r="Y76" i="17"/>
  <c r="X76" i="17"/>
  <c r="W76" i="17"/>
  <c r="V76" i="17"/>
  <c r="U76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H76" i="17"/>
  <c r="G76" i="17"/>
  <c r="F76" i="17"/>
  <c r="E76" i="17"/>
  <c r="D76" i="17"/>
  <c r="C76" i="17"/>
  <c r="B76" i="17"/>
  <c r="A75" i="17"/>
  <c r="Y75" i="17"/>
  <c r="X75" i="17"/>
  <c r="W75" i="17"/>
  <c r="V75" i="17"/>
  <c r="U75" i="17"/>
  <c r="T75" i="17"/>
  <c r="S75" i="17"/>
  <c r="R75" i="17"/>
  <c r="Q75" i="17"/>
  <c r="P75" i="17"/>
  <c r="O75" i="17"/>
  <c r="N75" i="17"/>
  <c r="M75" i="17"/>
  <c r="L75" i="17"/>
  <c r="K75" i="17"/>
  <c r="J75" i="17"/>
  <c r="I75" i="17"/>
  <c r="H75" i="17"/>
  <c r="G75" i="17"/>
  <c r="F75" i="17"/>
  <c r="E75" i="17"/>
  <c r="D75" i="17"/>
  <c r="C75" i="17"/>
  <c r="B75" i="17"/>
  <c r="A74" i="17"/>
  <c r="Y74" i="17"/>
  <c r="X74" i="17"/>
  <c r="W74" i="17"/>
  <c r="V74" i="17"/>
  <c r="U74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H74" i="17"/>
  <c r="G74" i="17"/>
  <c r="F74" i="17"/>
  <c r="E74" i="17"/>
  <c r="D74" i="17"/>
  <c r="C74" i="17"/>
  <c r="B74" i="17"/>
  <c r="A73" i="17"/>
  <c r="Y73" i="17"/>
  <c r="X73" i="17"/>
  <c r="W73" i="17"/>
  <c r="V73" i="17"/>
  <c r="U73" i="17"/>
  <c r="T73" i="17"/>
  <c r="S73" i="17"/>
  <c r="R73" i="17"/>
  <c r="Q73" i="17"/>
  <c r="P73" i="17"/>
  <c r="O73" i="17"/>
  <c r="N73" i="17"/>
  <c r="M73" i="17"/>
  <c r="L73" i="17"/>
  <c r="K73" i="17"/>
  <c r="J73" i="17"/>
  <c r="I73" i="17"/>
  <c r="H73" i="17"/>
  <c r="G73" i="17"/>
  <c r="F73" i="17"/>
  <c r="E73" i="17"/>
  <c r="D73" i="17"/>
  <c r="C73" i="17"/>
  <c r="B73" i="17"/>
  <c r="A72" i="17"/>
  <c r="Y72" i="17"/>
  <c r="X72" i="17"/>
  <c r="W72" i="17"/>
  <c r="V72" i="17"/>
  <c r="U72" i="17"/>
  <c r="T72" i="17"/>
  <c r="S72" i="17"/>
  <c r="R72" i="17"/>
  <c r="Q72" i="17"/>
  <c r="P72" i="17"/>
  <c r="O72" i="17"/>
  <c r="N72" i="17"/>
  <c r="M72" i="17"/>
  <c r="L72" i="17"/>
  <c r="K72" i="17"/>
  <c r="J72" i="17"/>
  <c r="I72" i="17"/>
  <c r="H72" i="17"/>
  <c r="G72" i="17"/>
  <c r="F72" i="17"/>
  <c r="E72" i="17"/>
  <c r="D72" i="17"/>
  <c r="C72" i="17"/>
  <c r="B72" i="17"/>
  <c r="A71" i="17"/>
  <c r="Y71" i="17"/>
  <c r="X71" i="17"/>
  <c r="W71" i="17"/>
  <c r="V71" i="17"/>
  <c r="U71" i="17"/>
  <c r="T71" i="17"/>
  <c r="S71" i="17"/>
  <c r="R71" i="17"/>
  <c r="Q71" i="17"/>
  <c r="P71" i="17"/>
  <c r="O71" i="17"/>
  <c r="N71" i="17"/>
  <c r="M71" i="17"/>
  <c r="L71" i="17"/>
  <c r="K71" i="17"/>
  <c r="J71" i="17"/>
  <c r="I71" i="17"/>
  <c r="H71" i="17"/>
  <c r="G71" i="17"/>
  <c r="F71" i="17"/>
  <c r="E71" i="17"/>
  <c r="D71" i="17"/>
  <c r="C71" i="17"/>
  <c r="B71" i="17"/>
  <c r="A70" i="17"/>
  <c r="Y70" i="17"/>
  <c r="X70" i="17"/>
  <c r="W70" i="17"/>
  <c r="V70" i="17"/>
  <c r="U70" i="17"/>
  <c r="T70" i="17"/>
  <c r="S70" i="17"/>
  <c r="R70" i="17"/>
  <c r="Q70" i="17"/>
  <c r="P70" i="17"/>
  <c r="O70" i="17"/>
  <c r="N70" i="17"/>
  <c r="M70" i="17"/>
  <c r="L70" i="17"/>
  <c r="K70" i="17"/>
  <c r="J70" i="17"/>
  <c r="I70" i="17"/>
  <c r="H70" i="17"/>
  <c r="G70" i="17"/>
  <c r="F70" i="17"/>
  <c r="E70" i="17"/>
  <c r="D70" i="17"/>
  <c r="C70" i="17"/>
  <c r="B70" i="17"/>
  <c r="A69" i="17"/>
  <c r="Y69" i="17"/>
  <c r="X69" i="17"/>
  <c r="W69" i="17"/>
  <c r="V69" i="17"/>
  <c r="U69" i="17"/>
  <c r="T69" i="17"/>
  <c r="S69" i="17"/>
  <c r="R69" i="17"/>
  <c r="Q69" i="17"/>
  <c r="P69" i="17"/>
  <c r="O69" i="17"/>
  <c r="N69" i="17"/>
  <c r="M69" i="17"/>
  <c r="L69" i="17"/>
  <c r="K69" i="17"/>
  <c r="J69" i="17"/>
  <c r="I69" i="17"/>
  <c r="H69" i="17"/>
  <c r="G69" i="17"/>
  <c r="F69" i="17"/>
  <c r="E69" i="17"/>
  <c r="D69" i="17"/>
  <c r="C69" i="17"/>
  <c r="B69" i="17"/>
  <c r="A68" i="17"/>
  <c r="Y68" i="17"/>
  <c r="X68" i="17"/>
  <c r="W68" i="17"/>
  <c r="V68" i="17"/>
  <c r="U68" i="17"/>
  <c r="T68" i="17"/>
  <c r="S68" i="17"/>
  <c r="R68" i="17"/>
  <c r="Q68" i="17"/>
  <c r="P68" i="17"/>
  <c r="O68" i="17"/>
  <c r="N68" i="17"/>
  <c r="M68" i="17"/>
  <c r="L68" i="17"/>
  <c r="K68" i="17"/>
  <c r="J68" i="17"/>
  <c r="I68" i="17"/>
  <c r="H68" i="17"/>
  <c r="G68" i="17"/>
  <c r="F68" i="17"/>
  <c r="E68" i="17"/>
  <c r="D68" i="17"/>
  <c r="C68" i="17"/>
  <c r="B68" i="17"/>
  <c r="A67" i="17"/>
  <c r="Y67" i="17"/>
  <c r="X67" i="17"/>
  <c r="W67" i="17"/>
  <c r="V67" i="17"/>
  <c r="U67" i="17"/>
  <c r="T67" i="17"/>
  <c r="S67" i="17"/>
  <c r="R67" i="17"/>
  <c r="Q67" i="17"/>
  <c r="P67" i="17"/>
  <c r="O67" i="17"/>
  <c r="N67" i="17"/>
  <c r="M67" i="17"/>
  <c r="L67" i="17"/>
  <c r="K67" i="17"/>
  <c r="J67" i="17"/>
  <c r="I67" i="17"/>
  <c r="H67" i="17"/>
  <c r="G67" i="17"/>
  <c r="F67" i="17"/>
  <c r="E67" i="17"/>
  <c r="D67" i="17"/>
  <c r="C67" i="17"/>
  <c r="B67" i="17"/>
  <c r="A66" i="17"/>
  <c r="Y66" i="17"/>
  <c r="X66" i="17"/>
  <c r="W66" i="17"/>
  <c r="V66" i="17"/>
  <c r="U66" i="17"/>
  <c r="T66" i="17"/>
  <c r="S66" i="17"/>
  <c r="R66" i="17"/>
  <c r="Q66" i="17"/>
  <c r="P66" i="17"/>
  <c r="O66" i="17"/>
  <c r="N66" i="17"/>
  <c r="M66" i="17"/>
  <c r="L66" i="17"/>
  <c r="K66" i="17"/>
  <c r="J66" i="17"/>
  <c r="I66" i="17"/>
  <c r="H66" i="17"/>
  <c r="G66" i="17"/>
  <c r="F66" i="17"/>
  <c r="E66" i="17"/>
  <c r="D66" i="17"/>
  <c r="C66" i="17"/>
  <c r="B66" i="17"/>
  <c r="A65" i="17"/>
  <c r="Y65" i="17"/>
  <c r="X65" i="17"/>
  <c r="W65" i="17"/>
  <c r="V65" i="17"/>
  <c r="U65" i="17"/>
  <c r="T65" i="17"/>
  <c r="S65" i="17"/>
  <c r="R65" i="17"/>
  <c r="Q65" i="17"/>
  <c r="P65" i="17"/>
  <c r="O65" i="17"/>
  <c r="N65" i="17"/>
  <c r="M65" i="17"/>
  <c r="L65" i="17"/>
  <c r="K65" i="17"/>
  <c r="J65" i="17"/>
  <c r="I65" i="17"/>
  <c r="H65" i="17"/>
  <c r="G65" i="17"/>
  <c r="F65" i="17"/>
  <c r="E65" i="17"/>
  <c r="D65" i="17"/>
  <c r="C65" i="17"/>
  <c r="B65" i="17"/>
  <c r="A64" i="17"/>
  <c r="Y64" i="17"/>
  <c r="X64" i="17"/>
  <c r="W64" i="17"/>
  <c r="V64" i="17"/>
  <c r="U64" i="17"/>
  <c r="T64" i="17"/>
  <c r="S64" i="17"/>
  <c r="R64" i="17"/>
  <c r="Q64" i="17"/>
  <c r="P64" i="17"/>
  <c r="O64" i="17"/>
  <c r="N64" i="17"/>
  <c r="M64" i="17"/>
  <c r="L64" i="17"/>
  <c r="K64" i="17"/>
  <c r="J64" i="17"/>
  <c r="I64" i="17"/>
  <c r="H64" i="17"/>
  <c r="G64" i="17"/>
  <c r="F64" i="17"/>
  <c r="E64" i="17"/>
  <c r="D64" i="17"/>
  <c r="C64" i="17"/>
  <c r="B64" i="17"/>
  <c r="A63" i="17"/>
  <c r="Y63" i="17"/>
  <c r="X63" i="17"/>
  <c r="W63" i="17"/>
  <c r="V63" i="17"/>
  <c r="U63" i="17"/>
  <c r="T63" i="17"/>
  <c r="S63" i="17"/>
  <c r="R63" i="17"/>
  <c r="Q63" i="17"/>
  <c r="P63" i="17"/>
  <c r="O63" i="17"/>
  <c r="N63" i="17"/>
  <c r="M63" i="17"/>
  <c r="L63" i="17"/>
  <c r="K63" i="17"/>
  <c r="J63" i="17"/>
  <c r="I63" i="17"/>
  <c r="H63" i="17"/>
  <c r="G63" i="17"/>
  <c r="F63" i="17"/>
  <c r="E63" i="17"/>
  <c r="D63" i="17"/>
  <c r="C63" i="17"/>
  <c r="B63" i="17"/>
  <c r="A62" i="17"/>
  <c r="Y62" i="17"/>
  <c r="X62" i="17"/>
  <c r="W62" i="17"/>
  <c r="V62" i="17"/>
  <c r="U62" i="17"/>
  <c r="T62" i="17"/>
  <c r="S62" i="17"/>
  <c r="R62" i="17"/>
  <c r="Q62" i="17"/>
  <c r="P62" i="17"/>
  <c r="O62" i="17"/>
  <c r="N62" i="17"/>
  <c r="M62" i="17"/>
  <c r="L62" i="17"/>
  <c r="K62" i="17"/>
  <c r="J62" i="17"/>
  <c r="I62" i="17"/>
  <c r="H62" i="17"/>
  <c r="G62" i="17"/>
  <c r="F62" i="17"/>
  <c r="E62" i="17"/>
  <c r="D62" i="17"/>
  <c r="C62" i="17"/>
  <c r="B62" i="17"/>
  <c r="A61" i="17"/>
  <c r="Y61" i="17"/>
  <c r="X61" i="17"/>
  <c r="W61" i="17"/>
  <c r="V61" i="17"/>
  <c r="U61" i="17"/>
  <c r="T61" i="17"/>
  <c r="S61" i="17"/>
  <c r="R61" i="17"/>
  <c r="Q61" i="17"/>
  <c r="P61" i="17"/>
  <c r="O61" i="17"/>
  <c r="N61" i="17"/>
  <c r="M61" i="17"/>
  <c r="L61" i="17"/>
  <c r="K61" i="17"/>
  <c r="J61" i="17"/>
  <c r="I61" i="17"/>
  <c r="H61" i="17"/>
  <c r="G61" i="17"/>
  <c r="F61" i="17"/>
  <c r="E61" i="17"/>
  <c r="D61" i="17"/>
  <c r="C61" i="17"/>
  <c r="B61" i="17"/>
  <c r="A60" i="17"/>
  <c r="Y60" i="17"/>
  <c r="X60" i="17"/>
  <c r="W60" i="17"/>
  <c r="V60" i="17"/>
  <c r="U60" i="17"/>
  <c r="T60" i="17"/>
  <c r="S60" i="17"/>
  <c r="R60" i="17"/>
  <c r="Q60" i="17"/>
  <c r="P60" i="17"/>
  <c r="O60" i="17"/>
  <c r="N60" i="17"/>
  <c r="M60" i="17"/>
  <c r="L60" i="17"/>
  <c r="K60" i="17"/>
  <c r="J60" i="17"/>
  <c r="I60" i="17"/>
  <c r="H60" i="17"/>
  <c r="G60" i="17"/>
  <c r="F60" i="17"/>
  <c r="E60" i="17"/>
  <c r="D60" i="17"/>
  <c r="C60" i="17"/>
  <c r="B60" i="17"/>
  <c r="A59" i="17"/>
  <c r="Y59" i="17"/>
  <c r="X59" i="17"/>
  <c r="W59" i="17"/>
  <c r="V59" i="17"/>
  <c r="U59" i="17"/>
  <c r="T59" i="17"/>
  <c r="S59" i="17"/>
  <c r="R59" i="17"/>
  <c r="Q59" i="17"/>
  <c r="P59" i="17"/>
  <c r="O59" i="17"/>
  <c r="N59" i="17"/>
  <c r="M59" i="17"/>
  <c r="L59" i="17"/>
  <c r="K59" i="17"/>
  <c r="J59" i="17"/>
  <c r="I59" i="17"/>
  <c r="H59" i="17"/>
  <c r="G59" i="17"/>
  <c r="F59" i="17"/>
  <c r="E59" i="17"/>
  <c r="D59" i="17"/>
  <c r="C59" i="17"/>
  <c r="B59" i="17"/>
  <c r="A58" i="17"/>
  <c r="Y58" i="17"/>
  <c r="X58" i="17"/>
  <c r="W58" i="17"/>
  <c r="V58" i="17"/>
  <c r="U58" i="17"/>
  <c r="T58" i="17"/>
  <c r="S58" i="17"/>
  <c r="R58" i="17"/>
  <c r="Q58" i="17"/>
  <c r="P58" i="17"/>
  <c r="O58" i="17"/>
  <c r="N58" i="17"/>
  <c r="M58" i="17"/>
  <c r="L58" i="17"/>
  <c r="K58" i="17"/>
  <c r="J58" i="17"/>
  <c r="I58" i="17"/>
  <c r="H58" i="17"/>
  <c r="G58" i="17"/>
  <c r="F58" i="17"/>
  <c r="E58" i="17"/>
  <c r="D58" i="17"/>
  <c r="C58" i="17"/>
  <c r="B58" i="17"/>
  <c r="A57" i="17"/>
  <c r="Y57" i="17"/>
  <c r="X57" i="17"/>
  <c r="W57" i="17"/>
  <c r="V57" i="17"/>
  <c r="U57" i="17"/>
  <c r="T57" i="17"/>
  <c r="S57" i="17"/>
  <c r="R57" i="17"/>
  <c r="Q57" i="17"/>
  <c r="P57" i="17"/>
  <c r="O57" i="17"/>
  <c r="N57" i="17"/>
  <c r="M57" i="17"/>
  <c r="L57" i="17"/>
  <c r="K57" i="17"/>
  <c r="J57" i="17"/>
  <c r="I57" i="17"/>
  <c r="H57" i="17"/>
  <c r="G57" i="17"/>
  <c r="F57" i="17"/>
  <c r="E57" i="17"/>
  <c r="D57" i="17"/>
  <c r="C57" i="17"/>
  <c r="B57" i="17"/>
  <c r="A56" i="17"/>
  <c r="Y56" i="17"/>
  <c r="X56" i="17"/>
  <c r="W56" i="17"/>
  <c r="V56" i="17"/>
  <c r="U56" i="17"/>
  <c r="T56" i="17"/>
  <c r="S56" i="17"/>
  <c r="R56" i="17"/>
  <c r="Q56" i="17"/>
  <c r="P56" i="17"/>
  <c r="O56" i="17"/>
  <c r="N56" i="17"/>
  <c r="M56" i="17"/>
  <c r="L56" i="17"/>
  <c r="K56" i="17"/>
  <c r="J56" i="17"/>
  <c r="I56" i="17"/>
  <c r="H56" i="17"/>
  <c r="G56" i="17"/>
  <c r="F56" i="17"/>
  <c r="E56" i="17"/>
  <c r="D56" i="17"/>
  <c r="C56" i="17"/>
  <c r="B56" i="17"/>
  <c r="A55" i="17"/>
  <c r="Y55" i="17"/>
  <c r="X55" i="17"/>
  <c r="W55" i="17"/>
  <c r="V55" i="17"/>
  <c r="U55" i="17"/>
  <c r="T55" i="17"/>
  <c r="S55" i="17"/>
  <c r="R55" i="17"/>
  <c r="Q55" i="17"/>
  <c r="P55" i="17"/>
  <c r="O55" i="17"/>
  <c r="N55" i="17"/>
  <c r="M55" i="17"/>
  <c r="L55" i="17"/>
  <c r="K55" i="17"/>
  <c r="J55" i="17"/>
  <c r="I55" i="17"/>
  <c r="H55" i="17"/>
  <c r="G55" i="17"/>
  <c r="F55" i="17"/>
  <c r="E55" i="17"/>
  <c r="D55" i="17"/>
  <c r="C55" i="17"/>
  <c r="B55" i="17"/>
  <c r="A54" i="17"/>
  <c r="Y54" i="17"/>
  <c r="X54" i="17"/>
  <c r="W54" i="17"/>
  <c r="V54" i="17"/>
  <c r="U54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H54" i="17"/>
  <c r="G54" i="17"/>
  <c r="F54" i="17"/>
  <c r="E54" i="17"/>
  <c r="D54" i="17"/>
  <c r="C54" i="17"/>
  <c r="B54" i="17"/>
  <c r="A53" i="17"/>
  <c r="Y53" i="17"/>
  <c r="X53" i="17"/>
  <c r="W53" i="17"/>
  <c r="V53" i="17"/>
  <c r="U53" i="17"/>
  <c r="T53" i="17"/>
  <c r="S53" i="17"/>
  <c r="R53" i="17"/>
  <c r="Q53" i="17"/>
  <c r="P53" i="17"/>
  <c r="O53" i="17"/>
  <c r="N53" i="17"/>
  <c r="M53" i="17"/>
  <c r="L53" i="17"/>
  <c r="K53" i="17"/>
  <c r="J53" i="17"/>
  <c r="I53" i="17"/>
  <c r="H53" i="17"/>
  <c r="G53" i="17"/>
  <c r="F53" i="17"/>
  <c r="E53" i="17"/>
  <c r="D53" i="17"/>
  <c r="C53" i="17"/>
  <c r="B53" i="17"/>
  <c r="A52" i="17"/>
  <c r="Y52" i="17"/>
  <c r="X52" i="17"/>
  <c r="W52" i="17"/>
  <c r="V52" i="17"/>
  <c r="U52" i="17"/>
  <c r="T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C52" i="17"/>
  <c r="B52" i="17"/>
  <c r="A51" i="17"/>
  <c r="Y51" i="17"/>
  <c r="X51" i="17"/>
  <c r="W51" i="17"/>
  <c r="V51" i="17"/>
  <c r="U51" i="17"/>
  <c r="T51" i="17"/>
  <c r="S51" i="17"/>
  <c r="R51" i="17"/>
  <c r="Q51" i="17"/>
  <c r="P51" i="17"/>
  <c r="O51" i="17"/>
  <c r="N51" i="17"/>
  <c r="M51" i="17"/>
  <c r="L51" i="17"/>
  <c r="K51" i="17"/>
  <c r="J51" i="17"/>
  <c r="I51" i="17"/>
  <c r="H51" i="17"/>
  <c r="G51" i="17"/>
  <c r="F51" i="17"/>
  <c r="E51" i="17"/>
  <c r="D51" i="17"/>
  <c r="C51" i="17"/>
  <c r="B51" i="17"/>
  <c r="A50" i="17"/>
  <c r="Y50" i="17"/>
  <c r="X50" i="17"/>
  <c r="W50" i="17"/>
  <c r="V50" i="17"/>
  <c r="U50" i="17"/>
  <c r="T50" i="17"/>
  <c r="S50" i="17"/>
  <c r="R50" i="17"/>
  <c r="Q50" i="17"/>
  <c r="P50" i="17"/>
  <c r="O50" i="17"/>
  <c r="N50" i="17"/>
  <c r="M50" i="17"/>
  <c r="L50" i="17"/>
  <c r="K50" i="17"/>
  <c r="J50" i="17"/>
  <c r="I50" i="17"/>
  <c r="H50" i="17"/>
  <c r="G50" i="17"/>
  <c r="F50" i="17"/>
  <c r="E50" i="17"/>
  <c r="D50" i="17"/>
  <c r="C50" i="17"/>
  <c r="B50" i="17"/>
  <c r="A49" i="17"/>
  <c r="Y49" i="17"/>
  <c r="X49" i="17"/>
  <c r="W49" i="17"/>
  <c r="V49" i="17"/>
  <c r="U49" i="17"/>
  <c r="T49" i="17"/>
  <c r="S49" i="17"/>
  <c r="R49" i="17"/>
  <c r="Q49" i="17"/>
  <c r="P49" i="17"/>
  <c r="O49" i="17"/>
  <c r="N49" i="17"/>
  <c r="M49" i="17"/>
  <c r="L49" i="17"/>
  <c r="K49" i="17"/>
  <c r="J49" i="17"/>
  <c r="I49" i="17"/>
  <c r="H49" i="17"/>
  <c r="G49" i="17"/>
  <c r="F49" i="17"/>
  <c r="E49" i="17"/>
  <c r="D49" i="17"/>
  <c r="C49" i="17"/>
  <c r="B49" i="17"/>
  <c r="A48" i="17"/>
  <c r="Y48" i="17"/>
  <c r="X48" i="17"/>
  <c r="W48" i="17"/>
  <c r="V48" i="17"/>
  <c r="U48" i="17"/>
  <c r="T48" i="17"/>
  <c r="S48" i="17"/>
  <c r="R48" i="17"/>
  <c r="Q48" i="17"/>
  <c r="P48" i="17"/>
  <c r="O48" i="17"/>
  <c r="N48" i="17"/>
  <c r="M48" i="17"/>
  <c r="L48" i="17"/>
  <c r="K48" i="17"/>
  <c r="J48" i="17"/>
  <c r="I48" i="17"/>
  <c r="H48" i="17"/>
  <c r="G48" i="17"/>
  <c r="F48" i="17"/>
  <c r="E48" i="17"/>
  <c r="D48" i="17"/>
  <c r="C48" i="17"/>
  <c r="B48" i="17"/>
  <c r="A47" i="17"/>
  <c r="Y47" i="17"/>
  <c r="X47" i="17"/>
  <c r="W47" i="17"/>
  <c r="V47" i="17"/>
  <c r="U47" i="17"/>
  <c r="T47" i="17"/>
  <c r="S47" i="17"/>
  <c r="R47" i="17"/>
  <c r="Q47" i="17"/>
  <c r="P47" i="17"/>
  <c r="O47" i="17"/>
  <c r="N47" i="17"/>
  <c r="M47" i="17"/>
  <c r="L47" i="17"/>
  <c r="K47" i="17"/>
  <c r="J47" i="17"/>
  <c r="I47" i="17"/>
  <c r="H47" i="17"/>
  <c r="G47" i="17"/>
  <c r="F47" i="17"/>
  <c r="E47" i="17"/>
  <c r="D47" i="17"/>
  <c r="C47" i="17"/>
  <c r="B47" i="17"/>
  <c r="A46" i="17"/>
  <c r="Y46" i="17"/>
  <c r="X46" i="17"/>
  <c r="W46" i="17"/>
  <c r="V46" i="17"/>
  <c r="U46" i="17"/>
  <c r="T46" i="17"/>
  <c r="S46" i="17"/>
  <c r="R46" i="17"/>
  <c r="Q46" i="17"/>
  <c r="P46" i="17"/>
  <c r="O46" i="17"/>
  <c r="N46" i="17"/>
  <c r="M46" i="17"/>
  <c r="L46" i="17"/>
  <c r="K46" i="17"/>
  <c r="J46" i="17"/>
  <c r="I46" i="17"/>
  <c r="H46" i="17"/>
  <c r="G46" i="17"/>
  <c r="F46" i="17"/>
  <c r="E46" i="17"/>
  <c r="D46" i="17"/>
  <c r="C46" i="17"/>
  <c r="B46" i="17"/>
  <c r="A45" i="17"/>
  <c r="Y45" i="17"/>
  <c r="X45" i="17"/>
  <c r="W45" i="17"/>
  <c r="V45" i="17"/>
  <c r="U45" i="17"/>
  <c r="T45" i="17"/>
  <c r="S45" i="17"/>
  <c r="R45" i="17"/>
  <c r="Q45" i="17"/>
  <c r="P45" i="17"/>
  <c r="O45" i="17"/>
  <c r="N45" i="17"/>
  <c r="M45" i="17"/>
  <c r="L45" i="17"/>
  <c r="K45" i="17"/>
  <c r="J45" i="17"/>
  <c r="I45" i="17"/>
  <c r="H45" i="17"/>
  <c r="G45" i="17"/>
  <c r="F45" i="17"/>
  <c r="E45" i="17"/>
  <c r="D45" i="17"/>
  <c r="C45" i="17"/>
  <c r="B45" i="17"/>
  <c r="A44" i="17"/>
  <c r="Y44" i="17"/>
  <c r="X44" i="17"/>
  <c r="W44" i="17"/>
  <c r="V44" i="17"/>
  <c r="U44" i="17"/>
  <c r="T44" i="17"/>
  <c r="S44" i="17"/>
  <c r="R44" i="17"/>
  <c r="Q44" i="17"/>
  <c r="P44" i="17"/>
  <c r="O44" i="17"/>
  <c r="N44" i="17"/>
  <c r="M44" i="17"/>
  <c r="L44" i="17"/>
  <c r="K44" i="17"/>
  <c r="J44" i="17"/>
  <c r="I44" i="17"/>
  <c r="H44" i="17"/>
  <c r="G44" i="17"/>
  <c r="F44" i="17"/>
  <c r="E44" i="17"/>
  <c r="D44" i="17"/>
  <c r="C44" i="17"/>
  <c r="B44" i="17"/>
  <c r="A43" i="17"/>
  <c r="Y43" i="17"/>
  <c r="X43" i="17"/>
  <c r="W43" i="17"/>
  <c r="V43" i="17"/>
  <c r="U43" i="17"/>
  <c r="T43" i="17"/>
  <c r="S43" i="17"/>
  <c r="R43" i="17"/>
  <c r="Q43" i="17"/>
  <c r="P43" i="17"/>
  <c r="O43" i="17"/>
  <c r="N43" i="17"/>
  <c r="M43" i="17"/>
  <c r="L43" i="17"/>
  <c r="K43" i="17"/>
  <c r="J43" i="17"/>
  <c r="I43" i="17"/>
  <c r="H43" i="17"/>
  <c r="G43" i="17"/>
  <c r="F43" i="17"/>
  <c r="E43" i="17"/>
  <c r="D43" i="17"/>
  <c r="C43" i="17"/>
  <c r="B43" i="17"/>
  <c r="A42" i="17"/>
  <c r="Y42" i="17"/>
  <c r="X42" i="17"/>
  <c r="W42" i="17"/>
  <c r="V42" i="17"/>
  <c r="U42" i="17"/>
  <c r="T42" i="17"/>
  <c r="S42" i="17"/>
  <c r="R42" i="17"/>
  <c r="Q42" i="17"/>
  <c r="P42" i="17"/>
  <c r="O42" i="17"/>
  <c r="N42" i="17"/>
  <c r="M42" i="17"/>
  <c r="L42" i="17"/>
  <c r="K42" i="17"/>
  <c r="J42" i="17"/>
  <c r="I42" i="17"/>
  <c r="H42" i="17"/>
  <c r="G42" i="17"/>
  <c r="F42" i="17"/>
  <c r="E42" i="17"/>
  <c r="D42" i="17"/>
  <c r="C42" i="17"/>
  <c r="B42" i="17"/>
  <c r="A41" i="17"/>
  <c r="Y41" i="17"/>
  <c r="X41" i="17"/>
  <c r="W41" i="17"/>
  <c r="V41" i="17"/>
  <c r="U41" i="17"/>
  <c r="T41" i="17"/>
  <c r="S41" i="17"/>
  <c r="R41" i="17"/>
  <c r="Q41" i="17"/>
  <c r="P41" i="17"/>
  <c r="O41" i="17"/>
  <c r="N41" i="17"/>
  <c r="M41" i="17"/>
  <c r="L41" i="17"/>
  <c r="K41" i="17"/>
  <c r="J41" i="17"/>
  <c r="I41" i="17"/>
  <c r="H41" i="17"/>
  <c r="G41" i="17"/>
  <c r="F41" i="17"/>
  <c r="E41" i="17"/>
  <c r="D41" i="17"/>
  <c r="C41" i="17"/>
  <c r="B41" i="17"/>
  <c r="A40" i="17"/>
  <c r="Y40" i="17"/>
  <c r="X40" i="17"/>
  <c r="W40" i="17"/>
  <c r="V40" i="17"/>
  <c r="U40" i="17"/>
  <c r="T40" i="17"/>
  <c r="S40" i="17"/>
  <c r="R40" i="17"/>
  <c r="Q40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B40" i="17"/>
  <c r="A39" i="17"/>
  <c r="Y39" i="17"/>
  <c r="X39" i="17"/>
  <c r="W39" i="17"/>
  <c r="V39" i="17"/>
  <c r="U39" i="17"/>
  <c r="T39" i="17"/>
  <c r="S39" i="17"/>
  <c r="R39" i="17"/>
  <c r="Q39" i="17"/>
  <c r="P39" i="17"/>
  <c r="O39" i="17"/>
  <c r="N39" i="17"/>
  <c r="M39" i="17"/>
  <c r="L39" i="17"/>
  <c r="K39" i="17"/>
  <c r="J39" i="17"/>
  <c r="I39" i="17"/>
  <c r="H39" i="17"/>
  <c r="G39" i="17"/>
  <c r="F39" i="17"/>
  <c r="E39" i="17"/>
  <c r="D39" i="17"/>
  <c r="C39" i="17"/>
  <c r="B39" i="17"/>
  <c r="A38" i="17"/>
  <c r="Y38" i="17"/>
  <c r="X38" i="17"/>
  <c r="W38" i="17"/>
  <c r="V38" i="17"/>
  <c r="U38" i="17"/>
  <c r="T38" i="17"/>
  <c r="S38" i="17"/>
  <c r="R38" i="17"/>
  <c r="Q38" i="17"/>
  <c r="P38" i="17"/>
  <c r="O38" i="17"/>
  <c r="N38" i="17"/>
  <c r="M38" i="17"/>
  <c r="L38" i="17"/>
  <c r="K38" i="17"/>
  <c r="J38" i="17"/>
  <c r="I38" i="17"/>
  <c r="H38" i="17"/>
  <c r="G38" i="17"/>
  <c r="F38" i="17"/>
  <c r="E38" i="17"/>
  <c r="D38" i="17"/>
  <c r="C38" i="17"/>
  <c r="B38" i="17"/>
  <c r="A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G37" i="17"/>
  <c r="F37" i="17"/>
  <c r="E37" i="17"/>
  <c r="D37" i="17"/>
  <c r="C37" i="17"/>
  <c r="B37" i="17"/>
  <c r="A36" i="17"/>
  <c r="Y36" i="17"/>
  <c r="X36" i="17"/>
  <c r="W36" i="17"/>
  <c r="V36" i="17"/>
  <c r="U36" i="17"/>
  <c r="T36" i="17"/>
  <c r="S36" i="17"/>
  <c r="R36" i="17"/>
  <c r="Q36" i="17"/>
  <c r="P36" i="17"/>
  <c r="O36" i="17"/>
  <c r="N36" i="17"/>
  <c r="M36" i="17"/>
  <c r="L36" i="17"/>
  <c r="K36" i="17"/>
  <c r="J36" i="17"/>
  <c r="I36" i="17"/>
  <c r="H36" i="17"/>
  <c r="G36" i="17"/>
  <c r="F36" i="17"/>
  <c r="E36" i="17"/>
  <c r="D36" i="17"/>
  <c r="C36" i="17"/>
  <c r="B36" i="17"/>
  <c r="A35" i="17"/>
  <c r="Y35" i="17"/>
  <c r="X35" i="17"/>
  <c r="W35" i="17"/>
  <c r="V35" i="17"/>
  <c r="U35" i="17"/>
  <c r="T35" i="17"/>
  <c r="S35" i="17"/>
  <c r="R35" i="17"/>
  <c r="Q35" i="17"/>
  <c r="P35" i="17"/>
  <c r="O35" i="17"/>
  <c r="N35" i="17"/>
  <c r="M35" i="17"/>
  <c r="L35" i="17"/>
  <c r="K35" i="17"/>
  <c r="J35" i="17"/>
  <c r="I35" i="17"/>
  <c r="H35" i="17"/>
  <c r="G35" i="17"/>
  <c r="F35" i="17"/>
  <c r="E35" i="17"/>
  <c r="D35" i="17"/>
  <c r="C35" i="17"/>
  <c r="B35" i="17"/>
  <c r="A34" i="17"/>
  <c r="Y34" i="17"/>
  <c r="X34" i="17"/>
  <c r="W34" i="17"/>
  <c r="V34" i="17"/>
  <c r="U34" i="17"/>
  <c r="T34" i="17"/>
  <c r="S34" i="17"/>
  <c r="R34" i="17"/>
  <c r="Q34" i="17"/>
  <c r="P34" i="17"/>
  <c r="O34" i="17"/>
  <c r="N34" i="17"/>
  <c r="M34" i="17"/>
  <c r="L34" i="17"/>
  <c r="K34" i="17"/>
  <c r="J34" i="17"/>
  <c r="I34" i="17"/>
  <c r="H34" i="17"/>
  <c r="G34" i="17"/>
  <c r="F34" i="17"/>
  <c r="E34" i="17"/>
  <c r="D34" i="17"/>
  <c r="C34" i="17"/>
  <c r="B34" i="17"/>
  <c r="A33" i="17"/>
  <c r="Y33" i="17"/>
  <c r="X33" i="17"/>
  <c r="W33" i="17"/>
  <c r="V33" i="17"/>
  <c r="U33" i="17"/>
  <c r="T33" i="17"/>
  <c r="S33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D33" i="17"/>
  <c r="C33" i="17"/>
  <c r="B33" i="17"/>
  <c r="A32" i="17"/>
  <c r="Y32" i="17"/>
  <c r="X32" i="17"/>
  <c r="W32" i="17"/>
  <c r="V32" i="17"/>
  <c r="U32" i="17"/>
  <c r="T32" i="17"/>
  <c r="S32" i="17"/>
  <c r="R32" i="17"/>
  <c r="Q32" i="17"/>
  <c r="P32" i="17"/>
  <c r="O32" i="17"/>
  <c r="N32" i="17"/>
  <c r="M32" i="17"/>
  <c r="L32" i="17"/>
  <c r="K32" i="17"/>
  <c r="J32" i="17"/>
  <c r="I32" i="17"/>
  <c r="H32" i="17"/>
  <c r="G32" i="17"/>
  <c r="F32" i="17"/>
  <c r="E32" i="17"/>
  <c r="D32" i="17"/>
  <c r="C32" i="17"/>
  <c r="B32" i="17"/>
  <c r="A31" i="17"/>
  <c r="Y31" i="17"/>
  <c r="X31" i="17"/>
  <c r="W31" i="17"/>
  <c r="V31" i="17"/>
  <c r="U31" i="17"/>
  <c r="T31" i="17"/>
  <c r="S31" i="17"/>
  <c r="R31" i="17"/>
  <c r="Q31" i="17"/>
  <c r="P31" i="17"/>
  <c r="O31" i="17"/>
  <c r="N31" i="17"/>
  <c r="M31" i="17"/>
  <c r="L31" i="17"/>
  <c r="K31" i="17"/>
  <c r="J31" i="17"/>
  <c r="I31" i="17"/>
  <c r="H31" i="17"/>
  <c r="G31" i="17"/>
  <c r="F31" i="17"/>
  <c r="E31" i="17"/>
  <c r="D31" i="17"/>
  <c r="C31" i="17"/>
  <c r="B31" i="17"/>
  <c r="A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B30" i="17"/>
  <c r="A29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B29" i="17"/>
  <c r="A28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D28" i="17"/>
  <c r="C28" i="17"/>
  <c r="B28" i="17"/>
  <c r="A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B27" i="17"/>
  <c r="A26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D26" i="17"/>
  <c r="C26" i="17"/>
  <c r="B26" i="17"/>
  <c r="A25" i="17"/>
  <c r="Y25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C25" i="17"/>
  <c r="B25" i="17"/>
  <c r="A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B24" i="17"/>
  <c r="A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B23" i="17"/>
  <c r="A22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D22" i="17"/>
  <c r="C22" i="17"/>
  <c r="B22" i="17"/>
  <c r="A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C21" i="17"/>
  <c r="B21" i="17"/>
  <c r="A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C20" i="17"/>
  <c r="B20" i="17"/>
  <c r="A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C19" i="17"/>
  <c r="B19" i="17"/>
  <c r="A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18" i="17"/>
  <c r="B18" i="17"/>
  <c r="A17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A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A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A14" i="17"/>
  <c r="Y14" i="17"/>
  <c r="X14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C14" i="17"/>
  <c r="B14" i="17"/>
  <c r="A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A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A11" i="17"/>
  <c r="Y11" i="17"/>
  <c r="X11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C11" i="17"/>
  <c r="B11" i="17"/>
  <c r="A10" i="17"/>
  <c r="Y10" i="17"/>
  <c r="X10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A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B9" i="17"/>
  <c r="A8" i="17"/>
  <c r="Y8" i="17"/>
  <c r="X8" i="17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A7" i="17"/>
  <c r="Y7" i="17"/>
  <c r="X7" i="17"/>
  <c r="W7" i="17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A6" i="17"/>
  <c r="Y6" i="17"/>
  <c r="X6" i="17"/>
  <c r="W6" i="17"/>
  <c r="V6" i="17"/>
  <c r="U6" i="17"/>
  <c r="T6" i="17"/>
  <c r="S6" i="17"/>
  <c r="R6" i="17"/>
  <c r="Q6" i="17"/>
  <c r="P6" i="17"/>
  <c r="O6" i="17"/>
  <c r="N6" i="17"/>
  <c r="M6" i="17"/>
  <c r="L6" i="17"/>
  <c r="K6" i="17"/>
  <c r="J6" i="17"/>
  <c r="I6" i="17"/>
  <c r="H6" i="17"/>
  <c r="G6" i="17"/>
  <c r="F6" i="17"/>
  <c r="E6" i="17"/>
  <c r="D6" i="17"/>
  <c r="C6" i="17"/>
  <c r="B6" i="17"/>
  <c r="A5" i="17"/>
  <c r="Y5" i="17"/>
  <c r="X5" i="17"/>
  <c r="W5" i="17"/>
  <c r="V5" i="17"/>
  <c r="U5" i="17"/>
  <c r="T5" i="17"/>
  <c r="S5" i="17"/>
  <c r="R5" i="17"/>
  <c r="Q5" i="17"/>
  <c r="P5" i="17"/>
  <c r="O5" i="17"/>
  <c r="N5" i="17"/>
  <c r="M5" i="17"/>
  <c r="L5" i="17"/>
  <c r="K5" i="17"/>
  <c r="J5" i="17"/>
  <c r="I5" i="17"/>
  <c r="H5" i="17"/>
  <c r="G5" i="17"/>
  <c r="F5" i="17"/>
  <c r="E5" i="17"/>
  <c r="D5" i="17"/>
  <c r="C5" i="17"/>
  <c r="B5" i="17"/>
  <c r="A4" i="17"/>
  <c r="Y4" i="17"/>
  <c r="X4" i="17"/>
  <c r="W4" i="17"/>
  <c r="V4" i="17"/>
  <c r="U4" i="17"/>
  <c r="T4" i="17"/>
  <c r="S4" i="17"/>
  <c r="R4" i="17"/>
  <c r="Q4" i="17"/>
  <c r="P4" i="17"/>
  <c r="O4" i="17"/>
  <c r="N4" i="17"/>
  <c r="M4" i="17"/>
  <c r="L4" i="17"/>
  <c r="K4" i="17"/>
  <c r="J4" i="17"/>
  <c r="I4" i="17"/>
  <c r="H4" i="17"/>
  <c r="G4" i="17"/>
  <c r="F4" i="17"/>
  <c r="E4" i="17"/>
  <c r="D4" i="17"/>
  <c r="C4" i="17"/>
  <c r="B4" i="17"/>
  <c r="A3" i="17"/>
  <c r="Y3" i="17"/>
  <c r="X3" i="17"/>
  <c r="W3" i="17"/>
  <c r="V3" i="17"/>
  <c r="U3" i="17"/>
  <c r="T3" i="17"/>
  <c r="S3" i="17"/>
  <c r="R3" i="17"/>
  <c r="Q3" i="17"/>
  <c r="P3" i="17"/>
  <c r="O3" i="17"/>
  <c r="N3" i="17"/>
  <c r="M3" i="17"/>
  <c r="L3" i="17"/>
  <c r="K3" i="17"/>
  <c r="J3" i="17"/>
  <c r="I3" i="17"/>
  <c r="H3" i="17"/>
  <c r="G3" i="17"/>
  <c r="F3" i="17"/>
  <c r="E3" i="17"/>
  <c r="D3" i="17"/>
  <c r="C3" i="17"/>
  <c r="B3" i="17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A4" i="5"/>
  <c r="A2" i="5"/>
  <c r="R3" i="5"/>
  <c r="C18" i="5"/>
  <c r="C17" i="5"/>
  <c r="C16" i="5"/>
  <c r="C15" i="5"/>
  <c r="C14" i="5"/>
  <c r="T13" i="5"/>
  <c r="C13" i="5"/>
  <c r="C12" i="5"/>
  <c r="C11" i="5"/>
  <c r="Q9" i="5"/>
  <c r="AW4" i="7"/>
  <c r="Q10" i="5"/>
  <c r="C10" i="5"/>
  <c r="C9" i="5"/>
  <c r="C8" i="5"/>
  <c r="AA1" i="8"/>
  <c r="C7" i="5"/>
  <c r="A7" i="5"/>
  <c r="C6" i="5"/>
  <c r="A6" i="5"/>
  <c r="C5" i="5"/>
  <c r="A5" i="5"/>
  <c r="C4" i="5"/>
  <c r="N3" i="5"/>
  <c r="C3" i="5"/>
  <c r="A3" i="5"/>
  <c r="R2" i="5"/>
  <c r="C2" i="5"/>
  <c r="E1" i="5"/>
  <c r="C1" i="5"/>
  <c r="A83" i="15"/>
  <c r="A71" i="15"/>
  <c r="A69" i="15"/>
  <c r="A4" i="15"/>
  <c r="BT3" i="8"/>
  <c r="BT2" i="8"/>
  <c r="BS3" i="8"/>
  <c r="BS2" i="8"/>
  <c r="BR3" i="8"/>
  <c r="BR2" i="8"/>
  <c r="BQ3" i="8"/>
  <c r="BQ2" i="8"/>
  <c r="BP3" i="8"/>
  <c r="BP2" i="8"/>
  <c r="BO3" i="8"/>
  <c r="BN3" i="8"/>
  <c r="BN2" i="8"/>
  <c r="BM3" i="8"/>
  <c r="BM2" i="8"/>
  <c r="BL3" i="8"/>
  <c r="BL2" i="8"/>
  <c r="BK3" i="8"/>
  <c r="BK2" i="8"/>
  <c r="BJ3" i="8"/>
  <c r="BJ2" i="8"/>
  <c r="BI3" i="8"/>
  <c r="BI2" i="8"/>
  <c r="BH3" i="8"/>
  <c r="BH2" i="8"/>
  <c r="BG3" i="8"/>
  <c r="BG2" i="8"/>
  <c r="BF3" i="8"/>
  <c r="BF2" i="8"/>
  <c r="BE3" i="8"/>
  <c r="BE2" i="8"/>
  <c r="BD3" i="8"/>
  <c r="BD2" i="8"/>
  <c r="BC3" i="8"/>
  <c r="BB3" i="8"/>
  <c r="BB2" i="8"/>
  <c r="BA3" i="8"/>
  <c r="BA2" i="8"/>
  <c r="AZ3" i="8"/>
  <c r="AZ2" i="8"/>
  <c r="AY3" i="8"/>
  <c r="AX3" i="8"/>
  <c r="AX2" i="8"/>
  <c r="AW3" i="8"/>
  <c r="AV3" i="8"/>
  <c r="AV2" i="8"/>
  <c r="AU3" i="8"/>
  <c r="AU2" i="8"/>
  <c r="AT3" i="8"/>
  <c r="AT2" i="8"/>
  <c r="AS3" i="8"/>
  <c r="AR3" i="8"/>
  <c r="AR2" i="8"/>
  <c r="AQ3" i="8"/>
  <c r="AQ2" i="8"/>
  <c r="AP3" i="8"/>
  <c r="AP2" i="8"/>
  <c r="AO3" i="8"/>
  <c r="AO2" i="8"/>
  <c r="AN3" i="8"/>
  <c r="AN2" i="8"/>
  <c r="AM3" i="8"/>
  <c r="AM2" i="8"/>
  <c r="AL3" i="8"/>
  <c r="AL2" i="8"/>
  <c r="AK3" i="8"/>
  <c r="AK2" i="8"/>
  <c r="AJ3" i="8"/>
  <c r="AJ2" i="8"/>
  <c r="AI3" i="8"/>
  <c r="AI2" i="8"/>
  <c r="AH3" i="8"/>
  <c r="AH2" i="8"/>
  <c r="AG3" i="8"/>
  <c r="AG2" i="8"/>
  <c r="AF3" i="8"/>
  <c r="AF2" i="8"/>
  <c r="AE3" i="8"/>
  <c r="AD3" i="8"/>
  <c r="J3" i="8"/>
  <c r="AC3" i="8"/>
  <c r="AC2" i="8"/>
  <c r="H3" i="8"/>
  <c r="I3" i="8"/>
  <c r="AA3" i="8"/>
  <c r="Z3" i="8"/>
  <c r="Z2" i="8"/>
  <c r="Y3" i="8"/>
  <c r="Y2" i="8"/>
  <c r="X3" i="8"/>
  <c r="X2" i="8"/>
  <c r="V3" i="8"/>
  <c r="W3" i="8"/>
  <c r="W2" i="8"/>
  <c r="T3" i="8"/>
  <c r="U3" i="8"/>
  <c r="U2" i="8"/>
  <c r="S3" i="8"/>
  <c r="S2" i="8"/>
  <c r="L3" i="8"/>
  <c r="M3" i="8"/>
  <c r="M2" i="8"/>
  <c r="F3" i="8"/>
  <c r="G3" i="8"/>
  <c r="G2" i="8"/>
  <c r="BO2" i="8"/>
  <c r="BC2" i="8"/>
  <c r="AY2" i="8"/>
  <c r="AW2" i="8"/>
  <c r="AS2" i="8"/>
  <c r="AE2" i="8"/>
  <c r="AD2" i="8"/>
  <c r="AA2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W1" i="8"/>
  <c r="U1" i="8"/>
  <c r="S1" i="8"/>
  <c r="M1" i="8"/>
  <c r="K1" i="8"/>
  <c r="I1" i="8"/>
  <c r="G1" i="8"/>
  <c r="CS4" i="7"/>
  <c r="CR4" i="7"/>
  <c r="CQ4" i="7"/>
  <c r="CP4" i="7"/>
  <c r="CO4" i="7"/>
  <c r="CN4" i="7"/>
  <c r="CM4" i="7"/>
  <c r="CL4" i="7"/>
  <c r="CK4" i="7"/>
  <c r="CI4" i="7"/>
  <c r="CH4" i="7"/>
  <c r="CF4" i="7"/>
  <c r="CE4" i="7"/>
  <c r="CD4" i="7"/>
  <c r="CC4" i="7"/>
  <c r="CA4" i="7"/>
  <c r="BZ4" i="7"/>
  <c r="BY4" i="7"/>
  <c r="BW4" i="7"/>
  <c r="BV4" i="7"/>
  <c r="BU4" i="7"/>
  <c r="BS4" i="7"/>
  <c r="BR4" i="7"/>
  <c r="BQ4" i="7"/>
  <c r="BP4" i="7"/>
  <c r="BO4" i="7"/>
  <c r="BN4" i="7"/>
  <c r="BM4" i="7"/>
  <c r="BL4" i="7"/>
  <c r="BK4" i="7"/>
  <c r="BJ4" i="7"/>
  <c r="BI4" i="7"/>
  <c r="BH4" i="7"/>
  <c r="BG4" i="7"/>
  <c r="BF4" i="7"/>
  <c r="BE4" i="7"/>
  <c r="BD4" i="7"/>
  <c r="BC4" i="7"/>
  <c r="BB4" i="7"/>
  <c r="BA4" i="7"/>
  <c r="AZ4" i="7"/>
  <c r="AY4" i="7"/>
  <c r="AX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C4" i="7"/>
  <c r="B4" i="7"/>
  <c r="CS3" i="7"/>
  <c r="CS2" i="7"/>
  <c r="CR3" i="7"/>
  <c r="CQ3" i="7"/>
  <c r="CQ2" i="7"/>
  <c r="CP3" i="7"/>
  <c r="CP2" i="7"/>
  <c r="CO3" i="7"/>
  <c r="CO2" i="7"/>
  <c r="CN3" i="7"/>
  <c r="CN2" i="7"/>
  <c r="CM3" i="7"/>
  <c r="CM2" i="7"/>
  <c r="CL3" i="7"/>
  <c r="CK3" i="7"/>
  <c r="CJ3" i="7"/>
  <c r="CJ2" i="7"/>
  <c r="CI3" i="7"/>
  <c r="CI2" i="7"/>
  <c r="CG3" i="7"/>
  <c r="CH3" i="7"/>
  <c r="CH2" i="7"/>
  <c r="CF3" i="7"/>
  <c r="CF2" i="7"/>
  <c r="CD3" i="7"/>
  <c r="CE3" i="7"/>
  <c r="CE2" i="7"/>
  <c r="CC3" i="7"/>
  <c r="CC2" i="7"/>
  <c r="CB3" i="7"/>
  <c r="CB2" i="7"/>
  <c r="CA3" i="7"/>
  <c r="CA2" i="7"/>
  <c r="BZ3" i="7"/>
  <c r="BZ2" i="7"/>
  <c r="BX3" i="7"/>
  <c r="BY3" i="7"/>
  <c r="BY2" i="7"/>
  <c r="BV3" i="7"/>
  <c r="BW3" i="7"/>
  <c r="BW2" i="7"/>
  <c r="BT3" i="7"/>
  <c r="BU3" i="7"/>
  <c r="BU2" i="7"/>
  <c r="BR3" i="7"/>
  <c r="BS3" i="7"/>
  <c r="BS2" i="7"/>
  <c r="BQ3" i="7"/>
  <c r="BQ2" i="7"/>
  <c r="BP3" i="7"/>
  <c r="BP2" i="7"/>
  <c r="BO3" i="7"/>
  <c r="BO2" i="7"/>
  <c r="BN3" i="7"/>
  <c r="BN2" i="7"/>
  <c r="BM3" i="7"/>
  <c r="BM2" i="7"/>
  <c r="BL3" i="7"/>
  <c r="BL2" i="7"/>
  <c r="BK3" i="7"/>
  <c r="BK2" i="7"/>
  <c r="BJ3" i="7"/>
  <c r="BJ2" i="7"/>
  <c r="BI3" i="7"/>
  <c r="BI2" i="7"/>
  <c r="BH3" i="7"/>
  <c r="BG3" i="7"/>
  <c r="BG2" i="7"/>
  <c r="BF3" i="7"/>
  <c r="BF2" i="7"/>
  <c r="BE3" i="7"/>
  <c r="BE2" i="7"/>
  <c r="BD3" i="7"/>
  <c r="BD2" i="7"/>
  <c r="BC3" i="7"/>
  <c r="BC2" i="7"/>
  <c r="AZ3" i="7"/>
  <c r="AZ2" i="7"/>
  <c r="AX3" i="7"/>
  <c r="AY3" i="7"/>
  <c r="CR2" i="7"/>
  <c r="CL2" i="7"/>
  <c r="CK2" i="7"/>
  <c r="BH2" i="7"/>
  <c r="B2" i="7"/>
  <c r="B530" i="6"/>
  <c r="AA529" i="6"/>
  <c r="AC529" i="6"/>
  <c r="AB529" i="6"/>
  <c r="Z529" i="6"/>
  <c r="C529" i="6"/>
  <c r="AA528" i="6"/>
  <c r="AC528" i="6"/>
  <c r="AB528" i="6"/>
  <c r="Z528" i="6"/>
  <c r="C528" i="6"/>
  <c r="AA527" i="6"/>
  <c r="AC527" i="6"/>
  <c r="AB527" i="6"/>
  <c r="Z527" i="6"/>
  <c r="C527" i="6"/>
  <c r="AA526" i="6"/>
  <c r="AC526" i="6"/>
  <c r="AB526" i="6"/>
  <c r="Z526" i="6"/>
  <c r="C526" i="6"/>
  <c r="AA525" i="6"/>
  <c r="AC525" i="6"/>
  <c r="AB525" i="6"/>
  <c r="Z525" i="6"/>
  <c r="C525" i="6"/>
  <c r="AA524" i="6"/>
  <c r="AC524" i="6"/>
  <c r="AB524" i="6"/>
  <c r="Z524" i="6"/>
  <c r="C524" i="6"/>
  <c r="C523" i="6"/>
  <c r="C522" i="6"/>
  <c r="C521" i="6"/>
  <c r="C520" i="6"/>
  <c r="C519" i="6"/>
  <c r="C515" i="6"/>
  <c r="C514" i="6"/>
  <c r="W513" i="6"/>
  <c r="C513" i="6"/>
  <c r="W512" i="6"/>
  <c r="C512" i="6"/>
  <c r="B512" i="6"/>
  <c r="W511" i="6"/>
  <c r="C511" i="6"/>
  <c r="W510" i="6"/>
  <c r="C510" i="6"/>
  <c r="W509" i="6"/>
  <c r="C509" i="6"/>
  <c r="B509" i="6"/>
  <c r="W508" i="6"/>
  <c r="C508" i="6"/>
  <c r="W507" i="6"/>
  <c r="C507" i="6"/>
  <c r="B507" i="6"/>
  <c r="W506" i="6"/>
  <c r="C506" i="6"/>
  <c r="W505" i="6"/>
  <c r="C505" i="6"/>
  <c r="C504" i="6"/>
  <c r="B504" i="6"/>
  <c r="C503" i="6"/>
  <c r="W502" i="6"/>
  <c r="C502" i="6"/>
  <c r="W501" i="6"/>
  <c r="C501" i="6"/>
  <c r="B501" i="6"/>
  <c r="C497" i="6"/>
  <c r="C496" i="6"/>
  <c r="B496" i="6"/>
  <c r="W495" i="6"/>
  <c r="C495" i="6"/>
  <c r="W494" i="6"/>
  <c r="W493" i="6"/>
  <c r="C493" i="6"/>
  <c r="B493" i="6"/>
  <c r="W492" i="6"/>
  <c r="C492" i="6"/>
  <c r="W491" i="6"/>
  <c r="C491" i="6"/>
  <c r="W490" i="6"/>
  <c r="C490" i="6"/>
  <c r="B490" i="6"/>
  <c r="W489" i="6"/>
  <c r="C489" i="6"/>
  <c r="W488" i="6"/>
  <c r="C488" i="6"/>
  <c r="B488" i="6"/>
  <c r="W487" i="6"/>
  <c r="C487" i="6"/>
  <c r="W486" i="6"/>
  <c r="C486" i="6"/>
  <c r="W485" i="6"/>
  <c r="C485" i="6"/>
  <c r="B485" i="6"/>
  <c r="W484" i="6"/>
  <c r="C484" i="6"/>
  <c r="W483" i="6"/>
  <c r="C483" i="6"/>
  <c r="B483" i="6"/>
  <c r="W482" i="6"/>
  <c r="C482" i="6"/>
  <c r="W481" i="6"/>
  <c r="C481" i="6"/>
  <c r="W480" i="6"/>
  <c r="C480" i="6"/>
  <c r="W479" i="6"/>
  <c r="C479" i="6"/>
  <c r="W478" i="6"/>
  <c r="C478" i="6"/>
  <c r="B478" i="6"/>
  <c r="W477" i="6"/>
  <c r="C477" i="6"/>
  <c r="W476" i="6"/>
  <c r="C476" i="6"/>
  <c r="W475" i="6"/>
  <c r="C475" i="6"/>
  <c r="B475" i="6"/>
  <c r="W474" i="6"/>
  <c r="C474" i="6"/>
  <c r="W473" i="6"/>
  <c r="C473" i="6"/>
  <c r="W472" i="6"/>
  <c r="C472" i="6"/>
  <c r="W471" i="6"/>
  <c r="C471" i="6"/>
  <c r="W470" i="6"/>
  <c r="C470" i="6"/>
  <c r="W469" i="6"/>
  <c r="C469" i="6"/>
  <c r="W468" i="6"/>
  <c r="C468" i="6"/>
  <c r="W467" i="6"/>
  <c r="C467" i="6"/>
  <c r="B467" i="6"/>
  <c r="W466" i="6"/>
  <c r="C466" i="6"/>
  <c r="W465" i="6"/>
  <c r="C465" i="6"/>
  <c r="W464" i="6"/>
  <c r="C464" i="6"/>
  <c r="W463" i="6"/>
  <c r="C463" i="6"/>
  <c r="W462" i="6"/>
  <c r="C462" i="6"/>
  <c r="W461" i="6"/>
  <c r="C461" i="6"/>
  <c r="W460" i="6"/>
  <c r="C460" i="6"/>
  <c r="W459" i="6"/>
  <c r="C459" i="6"/>
  <c r="B459" i="6"/>
  <c r="W458" i="6"/>
  <c r="C458" i="6"/>
  <c r="W457" i="6"/>
  <c r="C457" i="6"/>
  <c r="W456" i="6"/>
  <c r="C456" i="6"/>
  <c r="W455" i="6"/>
  <c r="C455" i="6"/>
  <c r="W454" i="6"/>
  <c r="C454" i="6"/>
  <c r="W453" i="6"/>
  <c r="C453" i="6"/>
  <c r="W452" i="6"/>
  <c r="C452" i="6"/>
  <c r="W451" i="6"/>
  <c r="C451" i="6"/>
  <c r="B451" i="6"/>
  <c r="W450" i="6"/>
  <c r="C450" i="6"/>
  <c r="W449" i="6"/>
  <c r="C449" i="6"/>
  <c r="W448" i="6"/>
  <c r="C448" i="6"/>
  <c r="W447" i="6"/>
  <c r="C447" i="6"/>
  <c r="W446" i="6"/>
  <c r="C446" i="6"/>
  <c r="W445" i="6"/>
  <c r="C445" i="6"/>
  <c r="W444" i="6"/>
  <c r="C444" i="6"/>
  <c r="W443" i="6"/>
  <c r="C443" i="6"/>
  <c r="B443" i="6"/>
  <c r="W442" i="6"/>
  <c r="C442" i="6"/>
  <c r="W441" i="6"/>
  <c r="C441" i="6"/>
  <c r="B441" i="6"/>
  <c r="W440" i="6"/>
  <c r="C440" i="6"/>
  <c r="W439" i="6"/>
  <c r="C439" i="6"/>
  <c r="W438" i="6"/>
  <c r="C438" i="6"/>
  <c r="W437" i="6"/>
  <c r="C437" i="6"/>
  <c r="W436" i="6"/>
  <c r="C436" i="6"/>
  <c r="W435" i="6"/>
  <c r="C435" i="6"/>
  <c r="B435" i="6"/>
  <c r="W434" i="6"/>
  <c r="C434" i="6"/>
  <c r="W433" i="6"/>
  <c r="C433" i="6"/>
  <c r="W432" i="6"/>
  <c r="C432" i="6"/>
  <c r="W431" i="6"/>
  <c r="C431" i="6"/>
  <c r="W430" i="6"/>
  <c r="C430" i="6"/>
  <c r="W429" i="6"/>
  <c r="C429" i="6"/>
  <c r="W428" i="6"/>
  <c r="C428" i="6"/>
  <c r="W427" i="6"/>
  <c r="C427" i="6"/>
  <c r="B427" i="6"/>
  <c r="W426" i="6"/>
  <c r="C426" i="6"/>
  <c r="W425" i="6"/>
  <c r="C425" i="6"/>
  <c r="W424" i="6"/>
  <c r="C424" i="6"/>
  <c r="W423" i="6"/>
  <c r="C423" i="6"/>
  <c r="W422" i="6"/>
  <c r="C422" i="6"/>
  <c r="W421" i="6"/>
  <c r="C421" i="6"/>
  <c r="W420" i="6"/>
  <c r="C420" i="6"/>
  <c r="W419" i="6"/>
  <c r="C419" i="6"/>
  <c r="B419" i="6"/>
  <c r="W418" i="6"/>
  <c r="C418" i="6"/>
  <c r="W417" i="6"/>
  <c r="C417" i="6"/>
  <c r="W416" i="6"/>
  <c r="C416" i="6"/>
  <c r="W415" i="6"/>
  <c r="C415" i="6"/>
  <c r="W414" i="6"/>
  <c r="C414" i="6"/>
  <c r="B414" i="6"/>
  <c r="W413" i="6"/>
  <c r="C413" i="6"/>
  <c r="W412" i="6"/>
  <c r="C412" i="6"/>
  <c r="W411" i="6"/>
  <c r="C411" i="6"/>
  <c r="B411" i="6"/>
  <c r="C410" i="6"/>
  <c r="C409" i="6"/>
  <c r="C408" i="6"/>
  <c r="W407" i="6"/>
  <c r="C407" i="6"/>
  <c r="W406" i="6"/>
  <c r="C406" i="6"/>
  <c r="B406" i="6"/>
  <c r="W405" i="6"/>
  <c r="C405" i="6"/>
  <c r="W404" i="6"/>
  <c r="C404" i="6"/>
  <c r="W403" i="6"/>
  <c r="C403" i="6"/>
  <c r="B403" i="6"/>
  <c r="W402" i="6"/>
  <c r="C402" i="6"/>
  <c r="W401" i="6"/>
  <c r="C401" i="6"/>
  <c r="W400" i="6"/>
  <c r="C400" i="6"/>
  <c r="W399" i="6"/>
  <c r="C399" i="6"/>
  <c r="W398" i="6"/>
  <c r="C398" i="6"/>
  <c r="W397" i="6"/>
  <c r="C397" i="6"/>
  <c r="W396" i="6"/>
  <c r="C396" i="6"/>
  <c r="W395" i="6"/>
  <c r="C395" i="6"/>
  <c r="B395" i="6"/>
  <c r="W394" i="6"/>
  <c r="C394" i="6"/>
  <c r="W393" i="6"/>
  <c r="C393" i="6"/>
  <c r="B393" i="6"/>
  <c r="W392" i="6"/>
  <c r="C392" i="6"/>
  <c r="W391" i="6"/>
  <c r="C391" i="6"/>
  <c r="W390" i="6"/>
  <c r="C390" i="6"/>
  <c r="W389" i="6"/>
  <c r="C389" i="6"/>
  <c r="W388" i="6"/>
  <c r="C388" i="6"/>
  <c r="W387" i="6"/>
  <c r="C387" i="6"/>
  <c r="B387" i="6"/>
  <c r="W386" i="6"/>
  <c r="C386" i="6"/>
  <c r="W385" i="6"/>
  <c r="C385" i="6"/>
  <c r="W384" i="6"/>
  <c r="C384" i="6"/>
  <c r="W383" i="6"/>
  <c r="C383" i="6"/>
  <c r="W382" i="6"/>
  <c r="C382" i="6"/>
  <c r="W381" i="6"/>
  <c r="C381" i="6"/>
  <c r="W380" i="6"/>
  <c r="C380" i="6"/>
  <c r="W379" i="6"/>
  <c r="C379" i="6"/>
  <c r="B379" i="6"/>
  <c r="W378" i="6"/>
  <c r="C378" i="6"/>
  <c r="W377" i="6"/>
  <c r="C377" i="6"/>
  <c r="W376" i="6"/>
  <c r="C376" i="6"/>
  <c r="W375" i="6"/>
  <c r="C375" i="6"/>
  <c r="W374" i="6"/>
  <c r="C374" i="6"/>
  <c r="W373" i="6"/>
  <c r="C373" i="6"/>
  <c r="W372" i="6"/>
  <c r="C372" i="6"/>
  <c r="W371" i="6"/>
  <c r="C371" i="6"/>
  <c r="B371" i="6"/>
  <c r="W370" i="6"/>
  <c r="C370" i="6"/>
  <c r="W369" i="6"/>
  <c r="C369" i="6"/>
  <c r="W368" i="6"/>
  <c r="C368" i="6"/>
  <c r="W367" i="6"/>
  <c r="C367" i="6"/>
  <c r="W366" i="6"/>
  <c r="C366" i="6"/>
  <c r="B366" i="6"/>
  <c r="W365" i="6"/>
  <c r="C365" i="6"/>
  <c r="W364" i="6"/>
  <c r="C364" i="6"/>
  <c r="W363" i="6"/>
  <c r="C363" i="6"/>
  <c r="B363" i="6"/>
  <c r="W362" i="6"/>
  <c r="C362" i="6"/>
  <c r="W361" i="6"/>
  <c r="C361" i="6"/>
  <c r="W360" i="6"/>
  <c r="C360" i="6"/>
  <c r="W359" i="6"/>
  <c r="C359" i="6"/>
  <c r="W358" i="6"/>
  <c r="C358" i="6"/>
  <c r="W357" i="6"/>
  <c r="C357" i="6"/>
  <c r="W356" i="6"/>
  <c r="C356" i="6"/>
  <c r="W355" i="6"/>
  <c r="C355" i="6"/>
  <c r="B355" i="6"/>
  <c r="W354" i="6"/>
  <c r="C354" i="6"/>
  <c r="W353" i="6"/>
  <c r="C353" i="6"/>
  <c r="W352" i="6"/>
  <c r="C352" i="6"/>
  <c r="W351" i="6"/>
  <c r="C351" i="6"/>
  <c r="W350" i="6"/>
  <c r="C350" i="6"/>
  <c r="W349" i="6"/>
  <c r="C349" i="6"/>
  <c r="W348" i="6"/>
  <c r="C348" i="6"/>
  <c r="W347" i="6"/>
  <c r="C347" i="6"/>
  <c r="B347" i="6"/>
  <c r="W346" i="6"/>
  <c r="C346" i="6"/>
  <c r="W343" i="6"/>
  <c r="C343" i="6"/>
  <c r="W342" i="6"/>
  <c r="C342" i="6"/>
  <c r="W341" i="6"/>
  <c r="C341" i="6"/>
  <c r="W340" i="6"/>
  <c r="C340" i="6"/>
  <c r="W339" i="6"/>
  <c r="C339" i="6"/>
  <c r="B339" i="6"/>
  <c r="W338" i="6"/>
  <c r="C338" i="6"/>
  <c r="W337" i="6"/>
  <c r="C337" i="6"/>
  <c r="B337" i="6"/>
  <c r="W336" i="6"/>
  <c r="C336" i="6"/>
  <c r="W335" i="6"/>
  <c r="C335" i="6"/>
  <c r="W334" i="6"/>
  <c r="C334" i="6"/>
  <c r="W333" i="6"/>
  <c r="C333" i="6"/>
  <c r="W332" i="6"/>
  <c r="C332" i="6"/>
  <c r="W331" i="6"/>
  <c r="C331" i="6"/>
  <c r="B331" i="6"/>
  <c r="W330" i="6"/>
  <c r="C330" i="6"/>
  <c r="W329" i="6"/>
  <c r="C329" i="6"/>
  <c r="W328" i="6"/>
  <c r="C328" i="6"/>
  <c r="W327" i="6"/>
  <c r="W326" i="6"/>
  <c r="W325" i="6"/>
  <c r="W324" i="6"/>
  <c r="W323" i="6"/>
  <c r="W322" i="6"/>
  <c r="W321" i="6"/>
  <c r="C321" i="6"/>
  <c r="W320" i="6"/>
  <c r="W319" i="6"/>
  <c r="C319" i="6"/>
  <c r="W318" i="6"/>
  <c r="C318" i="6"/>
  <c r="W317" i="6"/>
  <c r="C317" i="6"/>
  <c r="W316" i="6"/>
  <c r="C316" i="6"/>
  <c r="W315" i="6"/>
  <c r="C315" i="6"/>
  <c r="W314" i="6"/>
  <c r="C314" i="6"/>
  <c r="W313" i="6"/>
  <c r="C313" i="6"/>
  <c r="W312" i="6"/>
  <c r="C312" i="6"/>
  <c r="B312" i="6"/>
  <c r="W311" i="6"/>
  <c r="C311" i="6"/>
  <c r="W310" i="6"/>
  <c r="C310" i="6"/>
  <c r="W307" i="6"/>
  <c r="W306" i="6"/>
  <c r="W305" i="6"/>
  <c r="W304" i="6"/>
  <c r="W303" i="6"/>
  <c r="W302" i="6"/>
  <c r="W301" i="6"/>
  <c r="W300" i="6"/>
  <c r="W299" i="6"/>
  <c r="W298" i="6"/>
  <c r="W297" i="6"/>
  <c r="W296" i="6"/>
  <c r="W295" i="6"/>
  <c r="W294" i="6"/>
  <c r="W293" i="6"/>
  <c r="W292" i="6"/>
  <c r="W291" i="6"/>
  <c r="W290" i="6"/>
  <c r="C288" i="6"/>
  <c r="B288" i="6"/>
  <c r="W287" i="6"/>
  <c r="C287" i="6"/>
  <c r="W286" i="6"/>
  <c r="C286" i="6"/>
  <c r="W285" i="6"/>
  <c r="C285" i="6"/>
  <c r="W284" i="6"/>
  <c r="C284" i="6"/>
  <c r="B283" i="6"/>
  <c r="W283" i="6"/>
  <c r="C283" i="6"/>
  <c r="C282" i="6"/>
  <c r="W281" i="6"/>
  <c r="C281" i="6"/>
  <c r="B280" i="6"/>
  <c r="C280" i="6"/>
  <c r="C279" i="6"/>
  <c r="C278" i="6"/>
  <c r="C277" i="6"/>
  <c r="W276" i="6"/>
  <c r="C276" i="6"/>
  <c r="B275" i="6"/>
  <c r="W275" i="6"/>
  <c r="C275" i="6"/>
  <c r="C274" i="6"/>
  <c r="W273" i="6"/>
  <c r="C273" i="6"/>
  <c r="B272" i="6"/>
  <c r="C272" i="6"/>
  <c r="W271" i="6"/>
  <c r="C271" i="6"/>
  <c r="W270" i="6"/>
  <c r="C270" i="6"/>
  <c r="B270" i="6"/>
  <c r="W269" i="6"/>
  <c r="C269" i="6"/>
  <c r="W215" i="6"/>
  <c r="C215" i="6"/>
  <c r="W214" i="6"/>
  <c r="C214" i="6"/>
  <c r="W213" i="6"/>
  <c r="C213" i="6"/>
  <c r="W212" i="6"/>
  <c r="C212" i="6"/>
  <c r="W211" i="6"/>
  <c r="C211" i="6"/>
  <c r="W210" i="6"/>
  <c r="C210" i="6"/>
  <c r="C209" i="6"/>
  <c r="B209" i="6"/>
  <c r="C208" i="6"/>
  <c r="C207" i="6"/>
  <c r="W206" i="6"/>
  <c r="C206" i="6"/>
  <c r="W205" i="6"/>
  <c r="C205" i="6"/>
  <c r="C204" i="6"/>
  <c r="C203" i="6"/>
  <c r="C202" i="6"/>
  <c r="C201" i="6"/>
  <c r="B201" i="6"/>
  <c r="C200" i="6"/>
  <c r="C199" i="6"/>
  <c r="C198" i="6"/>
  <c r="C197" i="6"/>
  <c r="C196" i="6"/>
  <c r="W195" i="6"/>
  <c r="C195" i="6"/>
  <c r="W194" i="6"/>
  <c r="C194" i="6"/>
  <c r="W193" i="6"/>
  <c r="C193" i="6"/>
  <c r="W192" i="6"/>
  <c r="C192" i="6"/>
  <c r="W191" i="6"/>
  <c r="C191" i="6"/>
  <c r="C188" i="6"/>
  <c r="W186" i="6"/>
  <c r="C186" i="6"/>
  <c r="W185" i="6"/>
  <c r="C185" i="6"/>
  <c r="C177" i="6"/>
  <c r="C176" i="6"/>
  <c r="C175" i="6"/>
  <c r="C174" i="6"/>
  <c r="B174" i="6"/>
  <c r="C173" i="6"/>
  <c r="W172" i="6"/>
  <c r="C172" i="6"/>
  <c r="W171" i="6"/>
  <c r="C171" i="6"/>
  <c r="W170" i="6"/>
  <c r="C170" i="6"/>
  <c r="W169" i="6"/>
  <c r="C169" i="6"/>
  <c r="W168" i="6"/>
  <c r="C168" i="6"/>
  <c r="W167" i="6"/>
  <c r="C167" i="6"/>
  <c r="W166" i="6"/>
  <c r="C166" i="6"/>
  <c r="W165" i="6"/>
  <c r="C165" i="6"/>
  <c r="C164" i="6"/>
  <c r="C163" i="6"/>
  <c r="C162" i="6"/>
  <c r="W161" i="6"/>
  <c r="C161" i="6"/>
  <c r="W160" i="6"/>
  <c r="C160" i="6"/>
  <c r="W159" i="6"/>
  <c r="C159" i="6"/>
  <c r="W158" i="6"/>
  <c r="C158" i="6"/>
  <c r="W157" i="6"/>
  <c r="C157" i="6"/>
  <c r="W156" i="6"/>
  <c r="C156" i="6"/>
  <c r="W155" i="6"/>
  <c r="C155" i="6"/>
  <c r="W154" i="6"/>
  <c r="C154" i="6"/>
  <c r="W153" i="6"/>
  <c r="C153" i="6"/>
  <c r="W152" i="6"/>
  <c r="C152" i="6"/>
  <c r="W151" i="6"/>
  <c r="C151" i="6"/>
  <c r="C150" i="6"/>
  <c r="C149" i="6"/>
  <c r="C148" i="6"/>
  <c r="C147" i="6"/>
  <c r="C146" i="6"/>
  <c r="C145" i="6"/>
  <c r="C144" i="6"/>
  <c r="C143" i="6"/>
  <c r="W142" i="6"/>
  <c r="C142" i="6"/>
  <c r="W141" i="6"/>
  <c r="C141" i="6"/>
  <c r="W140" i="6"/>
  <c r="C140" i="6"/>
  <c r="W139" i="6"/>
  <c r="C139" i="6"/>
  <c r="W138" i="6"/>
  <c r="C138" i="6"/>
  <c r="W137" i="6"/>
  <c r="C137" i="6"/>
  <c r="W136" i="6"/>
  <c r="C136" i="6"/>
  <c r="W135" i="6"/>
  <c r="C135" i="6"/>
  <c r="W134" i="6"/>
  <c r="C134" i="6"/>
  <c r="W133" i="6"/>
  <c r="C133" i="6"/>
  <c r="W131" i="6"/>
  <c r="C131" i="6"/>
  <c r="W130" i="6"/>
  <c r="C130" i="6"/>
  <c r="W129" i="6"/>
  <c r="C129" i="6"/>
  <c r="C128" i="6"/>
  <c r="W127" i="6"/>
  <c r="C127" i="6"/>
  <c r="W126" i="6"/>
  <c r="C126" i="6"/>
  <c r="W125" i="6"/>
  <c r="C125" i="6"/>
  <c r="W124" i="6"/>
  <c r="C124" i="6"/>
  <c r="W123" i="6"/>
  <c r="C123" i="6"/>
  <c r="W122" i="6"/>
  <c r="C122" i="6"/>
  <c r="W121" i="6"/>
  <c r="C121" i="6"/>
  <c r="W120" i="6"/>
  <c r="C120" i="6"/>
  <c r="W119" i="6"/>
  <c r="C119" i="6"/>
  <c r="W118" i="6"/>
  <c r="C118" i="6"/>
  <c r="W117" i="6"/>
  <c r="C117" i="6"/>
  <c r="W116" i="6"/>
  <c r="C116" i="6"/>
  <c r="W115" i="6"/>
  <c r="C115" i="6"/>
  <c r="W114" i="6"/>
  <c r="C114" i="6"/>
  <c r="W113" i="6"/>
  <c r="C113" i="6"/>
  <c r="W110" i="6"/>
  <c r="C110" i="6"/>
  <c r="W109" i="6"/>
  <c r="C109" i="6"/>
  <c r="W108" i="6"/>
  <c r="C108" i="6"/>
  <c r="W107" i="6"/>
  <c r="C107" i="6"/>
  <c r="W106" i="6"/>
  <c r="C106" i="6"/>
  <c r="W105" i="6"/>
  <c r="C105" i="6"/>
  <c r="W104" i="6"/>
  <c r="C104" i="6"/>
  <c r="W103" i="6"/>
  <c r="C103" i="6"/>
  <c r="B103" i="6"/>
  <c r="W102" i="6"/>
  <c r="C102" i="6"/>
  <c r="W101" i="6"/>
  <c r="C101" i="6"/>
  <c r="W100" i="6"/>
  <c r="C100" i="6"/>
  <c r="W99" i="6"/>
  <c r="C99" i="6"/>
  <c r="W98" i="6"/>
  <c r="C98" i="6"/>
  <c r="W97" i="6"/>
  <c r="C97" i="6"/>
  <c r="W96" i="6"/>
  <c r="C96" i="6"/>
  <c r="W95" i="6"/>
  <c r="C95" i="6"/>
  <c r="W94" i="6"/>
  <c r="C94" i="6"/>
  <c r="W93" i="6"/>
  <c r="C93" i="6"/>
  <c r="W92" i="6"/>
  <c r="C92" i="6"/>
  <c r="W91" i="6"/>
  <c r="C91" i="6"/>
  <c r="W90" i="6"/>
  <c r="C90" i="6"/>
  <c r="W89" i="6"/>
  <c r="C89" i="6"/>
  <c r="W88" i="6"/>
  <c r="C88" i="6"/>
  <c r="W87" i="6"/>
  <c r="C87" i="6"/>
  <c r="W86" i="6"/>
  <c r="C86" i="6"/>
  <c r="W85" i="6"/>
  <c r="C85" i="6"/>
  <c r="W83" i="6"/>
  <c r="C83" i="6"/>
  <c r="W82" i="6"/>
  <c r="C82" i="6"/>
  <c r="B82" i="6"/>
  <c r="W81" i="6"/>
  <c r="C81" i="6"/>
  <c r="W80" i="6"/>
  <c r="C80" i="6"/>
  <c r="W79" i="6"/>
  <c r="C79" i="6"/>
  <c r="W78" i="6"/>
  <c r="C78" i="6"/>
  <c r="B78" i="6"/>
  <c r="W77" i="6"/>
  <c r="C77" i="6"/>
  <c r="W76" i="6"/>
  <c r="C76" i="6"/>
  <c r="W75" i="6"/>
  <c r="C75" i="6"/>
  <c r="W74" i="6"/>
  <c r="C74" i="6"/>
  <c r="W72" i="6"/>
  <c r="C72" i="6"/>
  <c r="W71" i="6"/>
  <c r="C71" i="6"/>
  <c r="W70" i="6"/>
  <c r="C70" i="6"/>
  <c r="W69" i="6"/>
  <c r="C69" i="6"/>
  <c r="W68" i="6"/>
  <c r="C68" i="6"/>
  <c r="W67" i="6"/>
  <c r="C67" i="6"/>
  <c r="W66" i="6"/>
  <c r="C66" i="6"/>
  <c r="W65" i="6"/>
  <c r="C65" i="6"/>
  <c r="AA64" i="6"/>
  <c r="AC64" i="6"/>
  <c r="AB64" i="6"/>
  <c r="Z64" i="6"/>
  <c r="W64" i="6"/>
  <c r="C64" i="6"/>
  <c r="AA63" i="6"/>
  <c r="AC63" i="6"/>
  <c r="AB63" i="6"/>
  <c r="Z63" i="6"/>
  <c r="W63" i="6"/>
  <c r="AA62" i="6"/>
  <c r="AC62" i="6"/>
  <c r="AB62" i="6"/>
  <c r="Z62" i="6"/>
  <c r="W62" i="6"/>
  <c r="C62" i="6"/>
  <c r="AA61" i="6"/>
  <c r="AC61" i="6"/>
  <c r="AB61" i="6"/>
  <c r="Z61" i="6"/>
  <c r="W61" i="6"/>
  <c r="C61" i="6"/>
  <c r="AA60" i="6"/>
  <c r="AC60" i="6"/>
  <c r="AB60" i="6"/>
  <c r="Z60" i="6"/>
  <c r="W60" i="6"/>
  <c r="C60" i="6"/>
  <c r="AA59" i="6"/>
  <c r="AC59" i="6"/>
  <c r="AB59" i="6"/>
  <c r="Z59" i="6"/>
  <c r="W59" i="6"/>
  <c r="C59" i="6"/>
  <c r="AA58" i="6"/>
  <c r="AC58" i="6"/>
  <c r="AB58" i="6"/>
  <c r="Z58" i="6"/>
  <c r="W58" i="6"/>
  <c r="C58" i="6"/>
  <c r="AA57" i="6"/>
  <c r="AC57" i="6"/>
  <c r="AB57" i="6"/>
  <c r="Z57" i="6"/>
  <c r="W57" i="6"/>
  <c r="C57" i="6"/>
  <c r="AA56" i="6"/>
  <c r="AC56" i="6"/>
  <c r="AB56" i="6"/>
  <c r="Z56" i="6"/>
  <c r="W56" i="6"/>
  <c r="C56" i="6"/>
  <c r="AA55" i="6"/>
  <c r="AC55" i="6"/>
  <c r="AB55" i="6"/>
  <c r="Z55" i="6"/>
  <c r="W55" i="6"/>
  <c r="C55" i="6"/>
  <c r="AA54" i="6"/>
  <c r="AC54" i="6"/>
  <c r="AB54" i="6"/>
  <c r="Z54" i="6"/>
  <c r="W54" i="6"/>
  <c r="C54" i="6"/>
  <c r="AA53" i="6"/>
  <c r="AC53" i="6"/>
  <c r="AB53" i="6"/>
  <c r="Z53" i="6"/>
  <c r="W53" i="6"/>
  <c r="C53" i="6"/>
  <c r="AA52" i="6"/>
  <c r="AC52" i="6"/>
  <c r="AB52" i="6"/>
  <c r="Z52" i="6"/>
  <c r="W52" i="6"/>
  <c r="C52" i="6"/>
  <c r="AA51" i="6"/>
  <c r="AC51" i="6"/>
  <c r="AB51" i="6"/>
  <c r="Z51" i="6"/>
  <c r="W51" i="6"/>
  <c r="C51" i="6"/>
  <c r="AA50" i="6"/>
  <c r="AC50" i="6"/>
  <c r="AB50" i="6"/>
  <c r="Z50" i="6"/>
  <c r="W50" i="6"/>
  <c r="C50" i="6"/>
  <c r="AA49" i="6"/>
  <c r="AC49" i="6"/>
  <c r="AB49" i="6"/>
  <c r="Z49" i="6"/>
  <c r="W49" i="6"/>
  <c r="C49" i="6"/>
  <c r="AA48" i="6"/>
  <c r="AC48" i="6"/>
  <c r="AB48" i="6"/>
  <c r="Z48" i="6"/>
  <c r="W48" i="6"/>
  <c r="C48" i="6"/>
  <c r="AA47" i="6"/>
  <c r="AC47" i="6"/>
  <c r="AB47" i="6"/>
  <c r="Z47" i="6"/>
  <c r="W47" i="6"/>
  <c r="C47" i="6"/>
  <c r="AA46" i="6"/>
  <c r="AC46" i="6"/>
  <c r="AB46" i="6"/>
  <c r="Z46" i="6"/>
  <c r="W46" i="6"/>
  <c r="C46" i="6"/>
  <c r="AA45" i="6"/>
  <c r="AB45" i="6"/>
  <c r="Z45" i="6"/>
  <c r="W45" i="6"/>
  <c r="C45" i="6"/>
  <c r="AA44" i="6"/>
  <c r="AC44" i="6"/>
  <c r="AB44" i="6"/>
  <c r="Z44" i="6"/>
  <c r="W44" i="6"/>
  <c r="C44" i="6"/>
  <c r="AA43" i="6"/>
  <c r="AC43" i="6"/>
  <c r="AB43" i="6"/>
  <c r="Z43" i="6"/>
  <c r="W43" i="6"/>
  <c r="C43" i="6"/>
  <c r="AA42" i="6"/>
  <c r="AC42" i="6"/>
  <c r="AB42" i="6"/>
  <c r="Z42" i="6"/>
  <c r="W42" i="6"/>
  <c r="C42" i="6"/>
  <c r="AA41" i="6"/>
  <c r="AC41" i="6"/>
  <c r="AB41" i="6"/>
  <c r="Z41" i="6"/>
  <c r="W41" i="6"/>
  <c r="C41" i="6"/>
  <c r="AA40" i="6"/>
  <c r="AC40" i="6"/>
  <c r="AB40" i="6"/>
  <c r="Z40" i="6"/>
  <c r="W40" i="6"/>
  <c r="C40" i="6"/>
  <c r="AA39" i="6"/>
  <c r="AC39" i="6"/>
  <c r="AB39" i="6"/>
  <c r="Z39" i="6"/>
  <c r="W39" i="6"/>
  <c r="C39" i="6"/>
  <c r="AA38" i="6"/>
  <c r="AC38" i="6"/>
  <c r="AB38" i="6"/>
  <c r="Z38" i="6"/>
  <c r="W38" i="6"/>
  <c r="C38" i="6"/>
  <c r="AA37" i="6"/>
  <c r="AC37" i="6"/>
  <c r="AB37" i="6"/>
  <c r="Z37" i="6"/>
  <c r="W37" i="6"/>
  <c r="C37" i="6"/>
  <c r="AA36" i="6"/>
  <c r="AB36" i="6"/>
  <c r="Z36" i="6"/>
  <c r="W36" i="6"/>
  <c r="C36" i="6"/>
  <c r="AA35" i="6"/>
  <c r="AC35" i="6"/>
  <c r="AB35" i="6"/>
  <c r="Z35" i="6"/>
  <c r="W35" i="6"/>
  <c r="C35" i="6"/>
  <c r="AA34" i="6"/>
  <c r="AC34" i="6"/>
  <c r="AB34" i="6"/>
  <c r="Z34" i="6"/>
  <c r="W34" i="6"/>
  <c r="C34" i="6"/>
  <c r="AA33" i="6"/>
  <c r="AC33" i="6"/>
  <c r="AB33" i="6"/>
  <c r="Z33" i="6"/>
  <c r="W33" i="6"/>
  <c r="C33" i="6"/>
  <c r="AA32" i="6"/>
  <c r="AC32" i="6"/>
  <c r="AB32" i="6"/>
  <c r="Z32" i="6"/>
  <c r="W32" i="6"/>
  <c r="C32" i="6"/>
  <c r="AA31" i="6"/>
  <c r="AC31" i="6"/>
  <c r="AB31" i="6"/>
  <c r="Z31" i="6"/>
  <c r="C31" i="6"/>
  <c r="AA30" i="6"/>
  <c r="AC30" i="6"/>
  <c r="AB30" i="6"/>
  <c r="Z30" i="6"/>
  <c r="C30" i="6"/>
  <c r="AA29" i="6"/>
  <c r="AC29" i="6"/>
  <c r="AB29" i="6"/>
  <c r="Z29" i="6"/>
  <c r="W29" i="6"/>
  <c r="C29" i="6"/>
  <c r="AA28" i="6"/>
  <c r="AC28" i="6"/>
  <c r="AB28" i="6"/>
  <c r="Z28" i="6"/>
  <c r="W28" i="6"/>
  <c r="C28" i="6"/>
  <c r="AA27" i="6"/>
  <c r="AC27" i="6"/>
  <c r="AB27" i="6"/>
  <c r="Z27" i="6"/>
  <c r="W27" i="6"/>
  <c r="C27" i="6"/>
  <c r="AA26" i="6"/>
  <c r="AC26" i="6"/>
  <c r="AB26" i="6"/>
  <c r="Z26" i="6"/>
  <c r="W26" i="6"/>
  <c r="C26" i="6"/>
  <c r="AA25" i="6"/>
  <c r="AB25" i="6"/>
  <c r="Z25" i="6"/>
  <c r="W25" i="6"/>
  <c r="C25" i="6"/>
  <c r="AA24" i="6"/>
  <c r="AC24" i="6"/>
  <c r="AB24" i="6"/>
  <c r="Z24" i="6"/>
  <c r="W24" i="6"/>
  <c r="C24" i="6"/>
  <c r="AA23" i="6"/>
  <c r="AC23" i="6"/>
  <c r="AB23" i="6"/>
  <c r="Z23" i="6"/>
  <c r="W23" i="6"/>
  <c r="C23" i="6"/>
  <c r="AA22" i="6"/>
  <c r="AC22" i="6"/>
  <c r="AB22" i="6"/>
  <c r="Z22" i="6"/>
  <c r="W22" i="6"/>
  <c r="C22" i="6"/>
  <c r="AA21" i="6"/>
  <c r="AC21" i="6"/>
  <c r="AB21" i="6"/>
  <c r="Z21" i="6"/>
  <c r="W21" i="6"/>
  <c r="C21" i="6"/>
  <c r="AA20" i="6"/>
  <c r="AC20" i="6"/>
  <c r="AB20" i="6"/>
  <c r="Z20" i="6"/>
  <c r="W20" i="6"/>
  <c r="C20" i="6"/>
  <c r="AA19" i="6"/>
  <c r="AC19" i="6"/>
  <c r="AB19" i="6"/>
  <c r="Z19" i="6"/>
  <c r="W19" i="6"/>
  <c r="C19" i="6"/>
  <c r="AA18" i="6"/>
  <c r="AC18" i="6"/>
  <c r="AB18" i="6"/>
  <c r="Z18" i="6"/>
  <c r="W18" i="6"/>
  <c r="C18" i="6"/>
  <c r="AA17" i="6"/>
  <c r="AC17" i="6"/>
  <c r="AB17" i="6"/>
  <c r="Z17" i="6"/>
  <c r="W17" i="6"/>
  <c r="C17" i="6"/>
  <c r="AA16" i="6"/>
  <c r="AC16" i="6"/>
  <c r="AB16" i="6"/>
  <c r="Z16" i="6"/>
  <c r="W16" i="6"/>
  <c r="C16" i="6"/>
  <c r="AA15" i="6"/>
  <c r="AC15" i="6"/>
  <c r="AB15" i="6"/>
  <c r="Z15" i="6"/>
  <c r="W15" i="6"/>
  <c r="C15" i="6"/>
  <c r="AA14" i="6"/>
  <c r="AC14" i="6"/>
  <c r="AB14" i="6"/>
  <c r="Z14" i="6"/>
  <c r="W14" i="6"/>
  <c r="C14" i="6"/>
  <c r="AA13" i="6"/>
  <c r="AC13" i="6"/>
  <c r="AB13" i="6"/>
  <c r="Z13" i="6"/>
  <c r="W13" i="6"/>
  <c r="C13" i="6"/>
  <c r="AA12" i="6"/>
  <c r="AC12" i="6"/>
  <c r="AB12" i="6"/>
  <c r="Z12" i="6"/>
  <c r="W12" i="6"/>
  <c r="C12" i="6"/>
  <c r="AA11" i="6"/>
  <c r="AC11" i="6"/>
  <c r="AB11" i="6"/>
  <c r="Z11" i="6"/>
  <c r="W11" i="6"/>
  <c r="C11" i="6"/>
  <c r="AA10" i="6"/>
  <c r="AC10" i="6"/>
  <c r="AB10" i="6"/>
  <c r="Z10" i="6"/>
  <c r="W10" i="6"/>
  <c r="C10" i="6"/>
  <c r="AA9" i="6"/>
  <c r="AC9" i="6"/>
  <c r="AB9" i="6"/>
  <c r="Z9" i="6"/>
  <c r="W9" i="6"/>
  <c r="C9" i="6"/>
  <c r="AA8" i="6"/>
  <c r="AC8" i="6"/>
  <c r="AB8" i="6"/>
  <c r="Z8" i="6"/>
  <c r="W8" i="6"/>
  <c r="C8" i="6"/>
  <c r="AA7" i="6"/>
  <c r="AC7" i="6"/>
  <c r="AB7" i="6"/>
  <c r="Z7" i="6"/>
  <c r="W7" i="6"/>
  <c r="C7" i="6"/>
  <c r="AA6" i="6"/>
  <c r="AC6" i="6"/>
  <c r="AB6" i="6"/>
  <c r="Z6" i="6"/>
  <c r="W6" i="6"/>
  <c r="AA5" i="6"/>
  <c r="AC5" i="6"/>
  <c r="AB5" i="6"/>
  <c r="Z5" i="6"/>
  <c r="C5" i="6"/>
  <c r="AA4" i="6"/>
  <c r="AC4" i="6"/>
  <c r="AB4" i="6"/>
  <c r="Z4" i="6"/>
  <c r="C4" i="6"/>
  <c r="AA3" i="6"/>
  <c r="AB3" i="6"/>
  <c r="Z3" i="6"/>
  <c r="C3" i="6"/>
  <c r="AA2" i="6"/>
  <c r="AC2" i="6"/>
  <c r="AB2" i="6"/>
  <c r="Z2" i="6"/>
  <c r="B11" i="1"/>
  <c r="B10" i="1"/>
  <c r="B9" i="1"/>
  <c r="D7" i="1"/>
  <c r="BA3" i="7"/>
  <c r="BA2" i="7"/>
  <c r="Y1" i="8"/>
  <c r="F1" i="8"/>
  <c r="F86" i="13"/>
  <c r="F78" i="13"/>
  <c r="F70" i="13"/>
  <c r="F62" i="13"/>
  <c r="F54" i="13"/>
  <c r="F46" i="13"/>
  <c r="F30" i="13"/>
  <c r="F190" i="13"/>
  <c r="F166" i="13"/>
  <c r="F158" i="13"/>
  <c r="B173" i="6"/>
  <c r="B382" i="6"/>
  <c r="B430" i="6"/>
  <c r="B236" i="6"/>
  <c r="B166" i="6"/>
  <c r="B134" i="6"/>
  <c r="B123" i="6"/>
  <c r="B115" i="6"/>
  <c r="B107" i="6"/>
  <c r="B99" i="6"/>
  <c r="B91" i="6"/>
  <c r="V1" i="8"/>
  <c r="H1" i="8"/>
  <c r="L1" i="8"/>
  <c r="F150" i="13"/>
  <c r="F142" i="13"/>
  <c r="F134" i="13"/>
  <c r="F126" i="13"/>
  <c r="F118" i="13"/>
  <c r="F110" i="13"/>
  <c r="F183" i="13"/>
  <c r="F15" i="13"/>
  <c r="B479" i="6"/>
  <c r="B471" i="6"/>
  <c r="B463" i="6"/>
  <c r="B455" i="6"/>
  <c r="B447" i="6"/>
  <c r="B439" i="6"/>
  <c r="B431" i="6"/>
  <c r="B423" i="6"/>
  <c r="B415" i="6"/>
  <c r="B407" i="6"/>
  <c r="B399" i="6"/>
  <c r="B391" i="6"/>
  <c r="B383" i="6"/>
  <c r="B375" i="6"/>
  <c r="B367" i="6"/>
  <c r="B359" i="6"/>
  <c r="B351" i="6"/>
  <c r="B343" i="6"/>
  <c r="B335" i="6"/>
  <c r="B327" i="6"/>
  <c r="B319" i="6"/>
  <c r="B311" i="6"/>
  <c r="B295" i="6"/>
  <c r="B279" i="6"/>
  <c r="B358" i="6"/>
  <c r="B398" i="6"/>
  <c r="B470" i="6"/>
  <c r="J2" i="8"/>
  <c r="T1" i="8"/>
  <c r="F87" i="13"/>
  <c r="F79" i="13"/>
  <c r="F71" i="13"/>
  <c r="F63" i="13"/>
  <c r="F55" i="13"/>
  <c r="F47" i="13"/>
  <c r="F167" i="13"/>
  <c r="F159" i="13"/>
  <c r="BT1" i="8"/>
  <c r="AC514" i="6"/>
  <c r="B454" i="6"/>
  <c r="B342" i="6"/>
  <c r="B446" i="6"/>
  <c r="BX4" i="7"/>
  <c r="CG4" i="7"/>
  <c r="H2" i="8"/>
  <c r="K4" i="7"/>
  <c r="D1" i="8"/>
  <c r="N1" i="8"/>
  <c r="F151" i="13"/>
  <c r="F143" i="13"/>
  <c r="F135" i="13"/>
  <c r="F127" i="13"/>
  <c r="F119" i="13"/>
  <c r="F111" i="13"/>
  <c r="F199" i="13"/>
  <c r="F31" i="13"/>
  <c r="F191" i="13"/>
  <c r="B374" i="6"/>
  <c r="B422" i="6"/>
  <c r="F2" i="8"/>
  <c r="Z1" i="8"/>
  <c r="B480" i="6"/>
  <c r="B472" i="6"/>
  <c r="B464" i="6"/>
  <c r="B456" i="6"/>
  <c r="B448" i="6"/>
  <c r="B440" i="6"/>
  <c r="B432" i="6"/>
  <c r="B424" i="6"/>
  <c r="B416" i="6"/>
  <c r="B408" i="6"/>
  <c r="B400" i="6"/>
  <c r="B392" i="6"/>
  <c r="B384" i="6"/>
  <c r="B376" i="6"/>
  <c r="B368" i="6"/>
  <c r="B360" i="6"/>
  <c r="B352" i="6"/>
  <c r="B344" i="6"/>
  <c r="B336" i="6"/>
  <c r="B328" i="6"/>
  <c r="B278" i="6"/>
  <c r="B350" i="6"/>
  <c r="B462" i="6"/>
  <c r="B188" i="6"/>
  <c r="B1" i="8"/>
  <c r="B286" i="6"/>
  <c r="B334" i="6"/>
  <c r="B390" i="6"/>
  <c r="B438" i="6"/>
  <c r="B326" i="6"/>
  <c r="B122" i="6"/>
  <c r="B114" i="6"/>
  <c r="B106" i="6"/>
  <c r="B98" i="6"/>
  <c r="B90" i="6"/>
  <c r="B81" i="6"/>
  <c r="P1" i="8"/>
  <c r="J1" i="8"/>
  <c r="F182" i="13"/>
  <c r="F14" i="13"/>
  <c r="F198" i="13"/>
  <c r="F197" i="13"/>
  <c r="F152" i="13"/>
  <c r="F144" i="13"/>
  <c r="F136" i="13"/>
  <c r="F128" i="13"/>
  <c r="F120" i="13"/>
  <c r="F112" i="13"/>
  <c r="F153" i="13"/>
  <c r="F145" i="13"/>
  <c r="F137" i="13"/>
  <c r="F129" i="13"/>
  <c r="F121" i="13"/>
  <c r="F113" i="13"/>
  <c r="F88" i="13"/>
  <c r="F80" i="13"/>
  <c r="F72" i="13"/>
  <c r="F64" i="13"/>
  <c r="F56" i="13"/>
  <c r="F48" i="13"/>
  <c r="F40" i="13"/>
  <c r="F184" i="13"/>
  <c r="F16" i="13"/>
  <c r="F168" i="13"/>
  <c r="F160" i="13"/>
  <c r="F32" i="13"/>
  <c r="F192" i="13"/>
  <c r="F24" i="13"/>
  <c r="F169" i="13"/>
  <c r="F161" i="13"/>
  <c r="B244" i="6"/>
  <c r="B163" i="6"/>
  <c r="B159" i="6"/>
  <c r="B133" i="6"/>
  <c r="B176" i="6"/>
  <c r="B168" i="6"/>
  <c r="B152" i="6"/>
  <c r="B144" i="6"/>
  <c r="B155" i="6"/>
  <c r="B147" i="6"/>
  <c r="B161" i="6"/>
  <c r="B145" i="6"/>
  <c r="F177" i="13"/>
  <c r="B287" i="6"/>
  <c r="B192" i="6"/>
  <c r="F154" i="13"/>
  <c r="F146" i="13"/>
  <c r="F138" i="13"/>
  <c r="F130" i="13"/>
  <c r="F122" i="13"/>
  <c r="F114" i="13"/>
  <c r="F106" i="13"/>
  <c r="F89" i="13"/>
  <c r="F81" i="13"/>
  <c r="F73" i="13"/>
  <c r="F65" i="13"/>
  <c r="F57" i="13"/>
  <c r="F49" i="13"/>
  <c r="F41" i="13"/>
  <c r="F170" i="13"/>
  <c r="F162" i="13"/>
  <c r="B69" i="6"/>
  <c r="B95" i="6"/>
  <c r="B233" i="6"/>
  <c r="U4" i="7"/>
  <c r="CU4" i="7"/>
  <c r="B160" i="6"/>
  <c r="B165" i="6"/>
  <c r="B11" i="6"/>
  <c r="B19" i="6"/>
  <c r="B87" i="6"/>
  <c r="B127" i="6"/>
  <c r="B148" i="6"/>
  <c r="B191" i="6"/>
  <c r="B380" i="6"/>
  <c r="B228" i="6"/>
  <c r="B210" i="6"/>
  <c r="F90" i="13"/>
  <c r="F82" i="13"/>
  <c r="F74" i="13"/>
  <c r="F66" i="13"/>
  <c r="F58" i="13"/>
  <c r="F50" i="13"/>
  <c r="F42" i="13"/>
  <c r="F185" i="13"/>
  <c r="F178" i="13"/>
  <c r="B39" i="6"/>
  <c r="B58" i="6"/>
  <c r="B40" i="6"/>
  <c r="B156" i="6"/>
  <c r="B204" i="6"/>
  <c r="B212" i="6"/>
  <c r="AE4" i="7"/>
  <c r="F4" i="7"/>
  <c r="CW4" i="7"/>
  <c r="B245" i="6"/>
  <c r="B237" i="6"/>
  <c r="B221" i="6"/>
  <c r="B211" i="6"/>
  <c r="B140" i="6"/>
  <c r="B113" i="6"/>
  <c r="B105" i="6"/>
  <c r="B97" i="6"/>
  <c r="B89" i="6"/>
  <c r="F33" i="13"/>
  <c r="F193" i="13"/>
  <c r="F25" i="13"/>
  <c r="B318" i="6"/>
  <c r="B310" i="6"/>
  <c r="B130" i="6"/>
  <c r="B215" i="6"/>
  <c r="B356" i="6"/>
  <c r="B138" i="6"/>
  <c r="V2" i="8"/>
  <c r="B119" i="6"/>
  <c r="B141" i="6"/>
  <c r="B193" i="6"/>
  <c r="B460" i="6"/>
  <c r="BT4" i="7"/>
  <c r="CB4" i="7"/>
  <c r="CJ4" i="7"/>
  <c r="L2" i="8"/>
  <c r="Q4" i="7"/>
  <c r="B247" i="6"/>
  <c r="B213" i="6"/>
  <c r="B205" i="6"/>
  <c r="B197" i="6"/>
  <c r="B187" i="6"/>
  <c r="B70" i="6"/>
  <c r="B74" i="6"/>
  <c r="B65" i="6"/>
  <c r="B80" i="6"/>
  <c r="B71" i="6"/>
  <c r="B72" i="6"/>
  <c r="B214" i="6"/>
  <c r="B316" i="6"/>
  <c r="B404" i="6"/>
  <c r="B420" i="6"/>
  <c r="B68" i="6"/>
  <c r="B94" i="6"/>
  <c r="B137" i="6"/>
  <c r="B271" i="6"/>
  <c r="B332" i="6"/>
  <c r="B444" i="6"/>
  <c r="B510" i="6"/>
  <c r="B111" i="6"/>
  <c r="AC214" i="6"/>
  <c r="AC287" i="6"/>
  <c r="B126" i="6"/>
  <c r="B185" i="6"/>
  <c r="B364" i="6"/>
  <c r="B388" i="6"/>
  <c r="B468" i="6"/>
  <c r="B223" i="6"/>
  <c r="B129" i="6"/>
  <c r="B142" i="6"/>
  <c r="B428" i="6"/>
  <c r="B170" i="6"/>
  <c r="B157" i="6"/>
  <c r="B323" i="6"/>
  <c r="B299" i="6"/>
  <c r="B46" i="6"/>
  <c r="B77" i="6"/>
  <c r="B102" i="6"/>
  <c r="B158" i="6"/>
  <c r="B340" i="6"/>
  <c r="B348" i="6"/>
  <c r="B452" i="6"/>
  <c r="B502" i="6"/>
  <c r="B372" i="6"/>
  <c r="B396" i="6"/>
  <c r="B412" i="6"/>
  <c r="B476" i="6"/>
  <c r="B324" i="6"/>
  <c r="B200" i="6"/>
  <c r="B284" i="6"/>
  <c r="B276" i="6"/>
  <c r="B7" i="6"/>
  <c r="B15" i="6"/>
  <c r="B86" i="6"/>
  <c r="B150" i="6"/>
  <c r="B171" i="6"/>
  <c r="B436" i="6"/>
  <c r="B491" i="6"/>
  <c r="B515" i="6"/>
  <c r="B243" i="6"/>
  <c r="B28" i="6"/>
  <c r="B52" i="6"/>
  <c r="B60" i="6"/>
  <c r="B9" i="6"/>
  <c r="B33" i="6"/>
  <c r="B175" i="6"/>
  <c r="B216" i="6"/>
  <c r="B179" i="6"/>
  <c r="B301" i="6"/>
  <c r="B117" i="6"/>
  <c r="B202" i="6"/>
  <c r="B520" i="6"/>
  <c r="B528" i="6"/>
  <c r="B195" i="6"/>
  <c r="B151" i="6"/>
  <c r="B146" i="6"/>
  <c r="B43" i="6"/>
  <c r="B167" i="6"/>
  <c r="B162" i="6"/>
  <c r="B136" i="6"/>
  <c r="B511" i="6"/>
  <c r="B503" i="6"/>
  <c r="B492" i="6"/>
  <c r="B484" i="6"/>
  <c r="B477" i="6"/>
  <c r="B469" i="6"/>
  <c r="B461" i="6"/>
  <c r="B453" i="6"/>
  <c r="B445" i="6"/>
  <c r="B437" i="6"/>
  <c r="B429" i="6"/>
  <c r="B421" i="6"/>
  <c r="B413" i="6"/>
  <c r="B405" i="6"/>
  <c r="B397" i="6"/>
  <c r="B389" i="6"/>
  <c r="B381" i="6"/>
  <c r="B373" i="6"/>
  <c r="B365" i="6"/>
  <c r="B357" i="6"/>
  <c r="B349" i="6"/>
  <c r="B341" i="6"/>
  <c r="B333" i="6"/>
  <c r="B325" i="6"/>
  <c r="B315" i="6"/>
  <c r="B307" i="6"/>
  <c r="B281" i="6"/>
  <c r="B273" i="6"/>
  <c r="B268" i="6"/>
  <c r="B85" i="6"/>
  <c r="B76" i="6"/>
  <c r="B67" i="6"/>
  <c r="B154" i="6"/>
  <c r="B149" i="6"/>
  <c r="B139" i="6"/>
  <c r="B131" i="6"/>
  <c r="B177" i="6"/>
  <c r="B172" i="6"/>
  <c r="B164" i="6"/>
  <c r="B125" i="6"/>
  <c r="B109" i="6"/>
  <c r="B101" i="6"/>
  <c r="B93" i="6"/>
  <c r="F21" i="13"/>
  <c r="F20" i="13"/>
  <c r="B234" i="6"/>
  <c r="B239" i="6"/>
  <c r="B36" i="6"/>
  <c r="B45" i="6"/>
  <c r="B26" i="6"/>
  <c r="B56" i="6"/>
  <c r="B20" i="6"/>
  <c r="B62" i="6"/>
  <c r="B527" i="6"/>
  <c r="B182" i="6"/>
  <c r="B44" i="6"/>
  <c r="B50" i="6"/>
  <c r="B35" i="6"/>
  <c r="AC36" i="6"/>
  <c r="B48" i="6"/>
  <c r="B54" i="6"/>
  <c r="B23" i="6"/>
  <c r="B24" i="6"/>
  <c r="B25" i="6"/>
  <c r="B293" i="6"/>
  <c r="B13" i="6"/>
  <c r="B16" i="6"/>
  <c r="B31" i="6"/>
  <c r="B64" i="6"/>
  <c r="T2" i="8"/>
  <c r="BX2" i="7"/>
  <c r="CD2" i="7"/>
  <c r="K3" i="8"/>
  <c r="K2" i="8"/>
  <c r="BR2" i="7"/>
  <c r="AC45" i="6"/>
  <c r="B37" i="6"/>
  <c r="AC25" i="6"/>
  <c r="B17" i="6"/>
  <c r="B21" i="6"/>
  <c r="B41" i="6"/>
  <c r="B30" i="6"/>
  <c r="B38" i="6"/>
  <c r="B42" i="6"/>
  <c r="B526" i="6"/>
  <c r="B305" i="6"/>
  <c r="B303" i="6"/>
  <c r="B18" i="6"/>
  <c r="B22" i="6"/>
  <c r="B10" i="6"/>
  <c r="B14" i="6"/>
  <c r="B27" i="6"/>
  <c r="B34" i="6"/>
  <c r="B47" i="6"/>
  <c r="B51" i="6"/>
  <c r="B55" i="6"/>
  <c r="B59" i="6"/>
  <c r="B529" i="6"/>
  <c r="B219" i="6"/>
  <c r="B224" i="6"/>
  <c r="B183" i="6"/>
  <c r="B524" i="6"/>
  <c r="B184" i="6"/>
  <c r="Z128" i="6"/>
  <c r="B128" i="6"/>
  <c r="B235" i="6"/>
  <c r="B8" i="6"/>
  <c r="B12" i="6"/>
  <c r="B29" i="6"/>
  <c r="B32" i="6"/>
  <c r="B49" i="6"/>
  <c r="B53" i="6"/>
  <c r="B57" i="6"/>
  <c r="B61" i="6"/>
  <c r="B525" i="6"/>
  <c r="B309" i="6"/>
  <c r="B297" i="6"/>
  <c r="B521" i="6"/>
  <c r="B519" i="6"/>
  <c r="B523" i="6"/>
  <c r="B522" i="6"/>
  <c r="B308" i="6"/>
  <c r="B306" i="6"/>
  <c r="B304" i="6"/>
  <c r="B302" i="6"/>
  <c r="B300" i="6"/>
  <c r="B298" i="6"/>
  <c r="B296" i="6"/>
  <c r="B294" i="6"/>
  <c r="B292" i="6"/>
  <c r="B291" i="6"/>
  <c r="B289" i="6"/>
  <c r="AC231" i="6"/>
  <c r="B218" i="6"/>
  <c r="AC218" i="6"/>
  <c r="AC230" i="6"/>
  <c r="B217" i="6"/>
  <c r="AC217" i="6"/>
  <c r="B180" i="6"/>
  <c r="B181" i="6"/>
  <c r="B132" i="6"/>
  <c r="B153" i="6"/>
  <c r="BV2" i="7"/>
  <c r="CG2" i="7"/>
  <c r="BT2" i="7"/>
  <c r="B5" i="6"/>
  <c r="B3" i="6"/>
  <c r="AG3" i="7"/>
  <c r="S3" i="7"/>
  <c r="AB3" i="8"/>
  <c r="AB2" i="8"/>
  <c r="I2" i="8"/>
  <c r="AQ3" i="7"/>
  <c r="C2" i="7"/>
  <c r="D3" i="7"/>
  <c r="X3" i="7"/>
  <c r="M3" i="7"/>
  <c r="H3" i="7"/>
  <c r="D2" i="8"/>
  <c r="N2" i="8"/>
  <c r="B2" i="8"/>
  <c r="P2" i="8"/>
  <c r="AC227" i="6"/>
  <c r="A14" i="13"/>
  <c r="A15" i="13"/>
  <c r="AC242" i="6"/>
  <c r="AC240" i="6"/>
  <c r="AC229" i="6"/>
  <c r="AC248" i="6"/>
  <c r="AC241" i="6"/>
  <c r="AC225" i="6"/>
  <c r="AC220" i="6"/>
  <c r="AC246" i="6"/>
  <c r="B189" i="6"/>
  <c r="B190" i="6"/>
  <c r="B4" i="6"/>
  <c r="AC3" i="6"/>
  <c r="BB3" i="7"/>
  <c r="BB2" i="7"/>
  <c r="AH3" i="7"/>
  <c r="E3" i="7"/>
  <c r="D2" i="7"/>
  <c r="T3" i="7"/>
  <c r="Y3" i="7"/>
  <c r="N3" i="7"/>
  <c r="I3" i="7"/>
  <c r="AR3" i="7"/>
  <c r="A16" i="13"/>
  <c r="O3" i="7"/>
  <c r="AI3" i="7"/>
  <c r="AS3" i="7"/>
  <c r="AT3" i="7"/>
  <c r="U2" i="7"/>
  <c r="V2" i="7"/>
  <c r="W2" i="7"/>
  <c r="X2" i="7"/>
  <c r="Y2" i="7"/>
  <c r="F2" i="7"/>
  <c r="G2" i="7"/>
  <c r="H2" i="7"/>
  <c r="I2" i="7"/>
  <c r="E2" i="7"/>
  <c r="Z3" i="7"/>
  <c r="J3" i="7"/>
  <c r="A17" i="13"/>
  <c r="AU3" i="7"/>
  <c r="P3" i="7"/>
  <c r="AA3" i="7"/>
  <c r="Z2" i="7"/>
  <c r="AJ3" i="7"/>
  <c r="J2" i="7"/>
  <c r="K2" i="7"/>
  <c r="L2" i="7"/>
  <c r="M2" i="7"/>
  <c r="N2" i="7"/>
  <c r="O2" i="7"/>
  <c r="A18" i="13"/>
  <c r="AV3" i="7"/>
  <c r="AW2" i="7"/>
  <c r="AX2" i="7"/>
  <c r="AY2" i="7"/>
  <c r="P2" i="7"/>
  <c r="Q2" i="7"/>
  <c r="R2" i="7"/>
  <c r="S2" i="7"/>
  <c r="T2" i="7"/>
  <c r="AB3" i="7"/>
  <c r="AA2" i="7"/>
  <c r="AK3" i="7"/>
  <c r="A19" i="13"/>
  <c r="A20" i="13"/>
  <c r="A21" i="13"/>
  <c r="AC3" i="7"/>
  <c r="AB2" i="7"/>
  <c r="AL3" i="7"/>
  <c r="A22" i="13"/>
  <c r="A23" i="13"/>
  <c r="AD3" i="7"/>
  <c r="AC2" i="7"/>
  <c r="AM3" i="7"/>
  <c r="AE2" i="7"/>
  <c r="AF2" i="7"/>
  <c r="AG2" i="7"/>
  <c r="AH2" i="7"/>
  <c r="AI2" i="7"/>
  <c r="AJ2" i="7"/>
  <c r="AK2" i="7"/>
  <c r="AL2" i="7"/>
  <c r="AM2" i="7"/>
  <c r="AD2" i="7"/>
  <c r="AN3" i="7"/>
  <c r="A24" i="13"/>
  <c r="A25" i="13"/>
  <c r="AN2" i="7"/>
  <c r="AO2" i="7"/>
  <c r="AP2" i="7"/>
  <c r="AQ2" i="7"/>
  <c r="AR2" i="7"/>
  <c r="AS2" i="7"/>
  <c r="AT2" i="7"/>
  <c r="AU2" i="7"/>
  <c r="AV2" i="7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Y9" i="7"/>
  <c r="AX28" i="7"/>
  <c r="AW34" i="7"/>
  <c r="AX64" i="7"/>
  <c r="AW66" i="7"/>
  <c r="AY35" i="7"/>
  <c r="AW67" i="7"/>
  <c r="AX85" i="7"/>
  <c r="AX6" i="7"/>
  <c r="AY149" i="7"/>
  <c r="AX41" i="7"/>
  <c r="AW144" i="7"/>
  <c r="AY121" i="7"/>
  <c r="AW158" i="7"/>
  <c r="AX7" i="7"/>
  <c r="AW140" i="7"/>
  <c r="AX136" i="7"/>
  <c r="AW25" i="7"/>
  <c r="AX46" i="7"/>
  <c r="AX157" i="7"/>
  <c r="AX91" i="7"/>
  <c r="AY95" i="7"/>
  <c r="AW52" i="7"/>
  <c r="AW94" i="7"/>
  <c r="AX37" i="7"/>
  <c r="AX103" i="7"/>
  <c r="AW105" i="7"/>
  <c r="AX109" i="7"/>
  <c r="AW100" i="7"/>
  <c r="AW75" i="7"/>
  <c r="AX119" i="7"/>
  <c r="AX86" i="7"/>
  <c r="AY157" i="7"/>
  <c r="AW95" i="7"/>
  <c r="AY11" i="7"/>
  <c r="AX10" i="7"/>
  <c r="AX113" i="7"/>
  <c r="AX21" i="7"/>
  <c r="AW130" i="7"/>
  <c r="AY133" i="7"/>
  <c r="AW53" i="7"/>
  <c r="AY111" i="7"/>
  <c r="AX132" i="7"/>
  <c r="AX147" i="7"/>
  <c r="AW109" i="7"/>
  <c r="AW9" i="7"/>
  <c r="AW16" i="7"/>
  <c r="AX141" i="7"/>
  <c r="AY86" i="7"/>
  <c r="AY150" i="7"/>
  <c r="AY91" i="7"/>
  <c r="AW69" i="7"/>
  <c r="AX89" i="7"/>
  <c r="AW107" i="7"/>
  <c r="AY108" i="7"/>
  <c r="AX78" i="7"/>
  <c r="AX98" i="7"/>
  <c r="AW15" i="7"/>
  <c r="AY37" i="7"/>
  <c r="AX143" i="7"/>
  <c r="AW22" i="7"/>
  <c r="AW156" i="7"/>
  <c r="AY137" i="7"/>
  <c r="AY131" i="7"/>
  <c r="AY50" i="7"/>
  <c r="AX140" i="7"/>
  <c r="AX14" i="7"/>
  <c r="AY55" i="7"/>
  <c r="AW17" i="7"/>
  <c r="AY66" i="7"/>
  <c r="AX20" i="7"/>
  <c r="AY99" i="7"/>
  <c r="AX42" i="7"/>
  <c r="AW84" i="7"/>
  <c r="AW113" i="7"/>
  <c r="AX90" i="7"/>
  <c r="AY115" i="7"/>
  <c r="AX77" i="7"/>
  <c r="AY46" i="7"/>
  <c r="AW150" i="7"/>
  <c r="AX66" i="7"/>
  <c r="AY79" i="7"/>
  <c r="AY78" i="7"/>
  <c r="AY53" i="7"/>
  <c r="AW98" i="7"/>
  <c r="AX110" i="7"/>
  <c r="AW96" i="7"/>
  <c r="AY154" i="7"/>
  <c r="AX88" i="7"/>
  <c r="AW76" i="7"/>
  <c r="AY40" i="7"/>
  <c r="AW149" i="7"/>
  <c r="AY85" i="7"/>
  <c r="AX87" i="7"/>
  <c r="AW57" i="7"/>
  <c r="AY24" i="7"/>
  <c r="AX117" i="7"/>
  <c r="AY59" i="7"/>
  <c r="AW78" i="7"/>
  <c r="AW101" i="7"/>
  <c r="AY83" i="7"/>
  <c r="AX69" i="7"/>
  <c r="AY65" i="7"/>
  <c r="AW145" i="7"/>
  <c r="AY87" i="7"/>
  <c r="AX129" i="7"/>
  <c r="AX158" i="7"/>
  <c r="AW157" i="7"/>
  <c r="AY8" i="7"/>
  <c r="AY122" i="7"/>
  <c r="AY33" i="7"/>
  <c r="AX139" i="7"/>
  <c r="AX31" i="7"/>
  <c r="AY43" i="7"/>
  <c r="AW62" i="7"/>
  <c r="AX15" i="7"/>
  <c r="AY61" i="7"/>
  <c r="AX106" i="7"/>
  <c r="AX81" i="7"/>
  <c r="AW11" i="7"/>
  <c r="AW10" i="7"/>
  <c r="AW30" i="7"/>
  <c r="AW26" i="7"/>
  <c r="AX137" i="7"/>
  <c r="AX45" i="7"/>
  <c r="AX44" i="7"/>
  <c r="AW38" i="7"/>
  <c r="AX18" i="7"/>
  <c r="AX19" i="7"/>
  <c r="AW29" i="7"/>
  <c r="AY144" i="7"/>
  <c r="AY10" i="7"/>
  <c r="AW7" i="7"/>
  <c r="AX16" i="7"/>
  <c r="AX130" i="7"/>
  <c r="AW111" i="7"/>
  <c r="AX59" i="7"/>
  <c r="AX154" i="7"/>
  <c r="AW33" i="7"/>
  <c r="AX51" i="7"/>
  <c r="AX47" i="7"/>
  <c r="AX11" i="7"/>
  <c r="AW13" i="7"/>
  <c r="AX100" i="7"/>
  <c r="AX32" i="7"/>
  <c r="AY76" i="7"/>
  <c r="AW89" i="7"/>
  <c r="AX107" i="7"/>
  <c r="AY60" i="7"/>
  <c r="AY64" i="7"/>
  <c r="AX12" i="7"/>
  <c r="AY70" i="7"/>
  <c r="AW131" i="7"/>
  <c r="AY132" i="7"/>
  <c r="AX102" i="7"/>
  <c r="AY120" i="7"/>
  <c r="AW138" i="7"/>
  <c r="AX38" i="7"/>
  <c r="AY28" i="7"/>
  <c r="AY94" i="7"/>
  <c r="AY143" i="7"/>
  <c r="AW82" i="7"/>
  <c r="AX131" i="7"/>
  <c r="AW106" i="7"/>
  <c r="AY139" i="7"/>
  <c r="AY146" i="7"/>
  <c r="AY145" i="7"/>
  <c r="AW152" i="7"/>
  <c r="AW90" i="7"/>
  <c r="AW126" i="7"/>
  <c r="AY81" i="7"/>
  <c r="AW54" i="7"/>
  <c r="AX72" i="7"/>
  <c r="AY92" i="7"/>
  <c r="AY56" i="7"/>
  <c r="AX58" i="7"/>
  <c r="AW6" i="7"/>
  <c r="AW99" i="7"/>
  <c r="AX79" i="7"/>
  <c r="AX134" i="7"/>
  <c r="AY152" i="7"/>
  <c r="AX127" i="7"/>
  <c r="AW110" i="7"/>
  <c r="AY47" i="7"/>
  <c r="AW116" i="7"/>
  <c r="AW24" i="7"/>
  <c r="AW23" i="7"/>
  <c r="AY16" i="7"/>
  <c r="AW35" i="7"/>
  <c r="AW44" i="7"/>
  <c r="AX123" i="7"/>
  <c r="AW18" i="7"/>
  <c r="AY109" i="7"/>
  <c r="AX111" i="7"/>
  <c r="AW81" i="7"/>
  <c r="AX112" i="7"/>
  <c r="AW114" i="7"/>
  <c r="AX23" i="7"/>
  <c r="AX128" i="7"/>
  <c r="AX63" i="7"/>
  <c r="AW70" i="7"/>
  <c r="AW151" i="7"/>
  <c r="AW71" i="7"/>
  <c r="AX80" i="7"/>
  <c r="AW31" i="7"/>
  <c r="AY88" i="7"/>
  <c r="AW93" i="7"/>
  <c r="AY75" i="7"/>
  <c r="AW19" i="7"/>
  <c r="AX57" i="7"/>
  <c r="AX13" i="7"/>
  <c r="AY124" i="7"/>
  <c r="AX27" i="7"/>
  <c r="AY45" i="7"/>
  <c r="AW39" i="7"/>
  <c r="AX155" i="7"/>
  <c r="AX114" i="7"/>
  <c r="AW41" i="7"/>
  <c r="AY26" i="7"/>
  <c r="AX68" i="7"/>
  <c r="AX83" i="7"/>
  <c r="AY101" i="7"/>
  <c r="AY49" i="7"/>
  <c r="AW56" i="7"/>
  <c r="AY84" i="7"/>
  <c r="AX118" i="7"/>
  <c r="AX125" i="7"/>
  <c r="AX124" i="7"/>
  <c r="AY96" i="7"/>
  <c r="AW20" i="7"/>
  <c r="AY68" i="7"/>
  <c r="AX26" i="7"/>
  <c r="AY22" i="7"/>
  <c r="AX40" i="7"/>
  <c r="AY20" i="7"/>
  <c r="AX25" i="7"/>
  <c r="AW43" i="7"/>
  <c r="AW133" i="7"/>
  <c r="AX70" i="7"/>
  <c r="AW42" i="7"/>
  <c r="AY140" i="7"/>
  <c r="AY82" i="7"/>
  <c r="AY156" i="7"/>
  <c r="AX17" i="7"/>
  <c r="AW139" i="7"/>
  <c r="AW73" i="7"/>
  <c r="AY71" i="7"/>
  <c r="AW122" i="7"/>
  <c r="AY102" i="7"/>
  <c r="AX153" i="7"/>
  <c r="AY107" i="7"/>
  <c r="AW72" i="7"/>
  <c r="AY113" i="7"/>
  <c r="AY128" i="7"/>
  <c r="AW147" i="7"/>
  <c r="AX52" i="7"/>
  <c r="AW59" i="7"/>
  <c r="AX151" i="7"/>
  <c r="AW121" i="7"/>
  <c r="AY15" i="7"/>
  <c r="AY14" i="7"/>
  <c r="AW142" i="7"/>
  <c r="AW115" i="7"/>
  <c r="AY129" i="7"/>
  <c r="AW32" i="7"/>
  <c r="AW97" i="7"/>
  <c r="AW104" i="7"/>
  <c r="AW103" i="7"/>
  <c r="AX75" i="7"/>
  <c r="AY106" i="7"/>
  <c r="AY44" i="7"/>
  <c r="AX121" i="7"/>
  <c r="AY90" i="7"/>
  <c r="AX108" i="7"/>
  <c r="AW102" i="7"/>
  <c r="AW85" i="7"/>
  <c r="AY126" i="7"/>
  <c r="AY77" i="7"/>
  <c r="AX55" i="7"/>
  <c r="AX150" i="7"/>
  <c r="AW88" i="7"/>
  <c r="AX122" i="7"/>
  <c r="AX135" i="7"/>
  <c r="AX126" i="7"/>
  <c r="AW112" i="7"/>
  <c r="AY127" i="7"/>
  <c r="AX145" i="7"/>
  <c r="AW51" i="7"/>
  <c r="AW50" i="7"/>
  <c r="AX104" i="7"/>
  <c r="AY41" i="7"/>
  <c r="AW14" i="7"/>
  <c r="AW61" i="7"/>
  <c r="AW60" i="7"/>
  <c r="AX56" i="7"/>
  <c r="AW8" i="7"/>
  <c r="AW49" i="7"/>
  <c r="AY98" i="7"/>
  <c r="AW55" i="7"/>
  <c r="AY112" i="7"/>
  <c r="AW117" i="7"/>
  <c r="AX73" i="7"/>
  <c r="AY12" i="7"/>
  <c r="AY105" i="7"/>
  <c r="AX43" i="7"/>
  <c r="AY151" i="7"/>
  <c r="AY27" i="7"/>
  <c r="AY34" i="7"/>
  <c r="AW146" i="7"/>
  <c r="AX30" i="7"/>
  <c r="AX144" i="7"/>
  <c r="AW58" i="7"/>
  <c r="AX9" i="7"/>
  <c r="AW64" i="7"/>
  <c r="AX33" i="7"/>
  <c r="AY29" i="7"/>
  <c r="AW74" i="7"/>
  <c r="AY19" i="7"/>
  <c r="AW155" i="7"/>
  <c r="AW77" i="7"/>
  <c r="AY134" i="7"/>
  <c r="AY147" i="7"/>
  <c r="AY118" i="7"/>
  <c r="AW141" i="7"/>
  <c r="AY136" i="7"/>
  <c r="AY97" i="7"/>
  <c r="AW40" i="7"/>
  <c r="AY21" i="7"/>
  <c r="AX116" i="7"/>
  <c r="AY138" i="7"/>
  <c r="AW153" i="7"/>
  <c r="AW132" i="7"/>
  <c r="AY31" i="7"/>
  <c r="AX61" i="7"/>
  <c r="AX54" i="7"/>
  <c r="AX36" i="7"/>
  <c r="AY58" i="7"/>
  <c r="AY51" i="7"/>
  <c r="AY23" i="7"/>
  <c r="AY67" i="7"/>
  <c r="AY38" i="7"/>
  <c r="AY39" i="7"/>
  <c r="AX48" i="7"/>
  <c r="AX84" i="7"/>
  <c r="AW91" i="7"/>
  <c r="AY72" i="7"/>
  <c r="AY30" i="7"/>
  <c r="AX74" i="7"/>
  <c r="AY42" i="7"/>
  <c r="AY54" i="7"/>
  <c r="AX146" i="7"/>
  <c r="AY130" i="7"/>
  <c r="AX99" i="7"/>
  <c r="AW127" i="7"/>
  <c r="AW128" i="7"/>
  <c r="AY110" i="7"/>
  <c r="AW120" i="7"/>
  <c r="AW108" i="7"/>
  <c r="AX92" i="7"/>
  <c r="AY103" i="7"/>
  <c r="AY141" i="7"/>
  <c r="AY153" i="7"/>
  <c r="AW136" i="7"/>
  <c r="AY117" i="7"/>
  <c r="AY142" i="7"/>
  <c r="AX95" i="7"/>
  <c r="AY114" i="7"/>
  <c r="AX67" i="7"/>
  <c r="AX133" i="7"/>
  <c r="AX22" i="7"/>
  <c r="AX148" i="7"/>
  <c r="AX149" i="7"/>
  <c r="AW27" i="7"/>
  <c r="AW143" i="7"/>
  <c r="AY18" i="7"/>
  <c r="AW119" i="7"/>
  <c r="AX156" i="7"/>
  <c r="AY57" i="7"/>
  <c r="AW80" i="7"/>
  <c r="AW68" i="7"/>
  <c r="AY13" i="7"/>
  <c r="AY25" i="7"/>
  <c r="AY158" i="7"/>
  <c r="AW28" i="7"/>
  <c r="AW83" i="7"/>
  <c r="AX65" i="7"/>
  <c r="AX53" i="7"/>
  <c r="AY62" i="7"/>
  <c r="AW47" i="7"/>
  <c r="AX82" i="7"/>
  <c r="AX35" i="7"/>
  <c r="AW63" i="7"/>
  <c r="AY69" i="7"/>
  <c r="AX60" i="7"/>
  <c r="AW79" i="7"/>
  <c r="AX101" i="7"/>
  <c r="AX94" i="7"/>
  <c r="AX39" i="7"/>
  <c r="AW86" i="7"/>
  <c r="AY36" i="7"/>
  <c r="AX49" i="7"/>
  <c r="AX138" i="7"/>
  <c r="AW134" i="7"/>
  <c r="AX76" i="7"/>
  <c r="AY125" i="7"/>
  <c r="AY73" i="7"/>
  <c r="AW135" i="7"/>
  <c r="AX93" i="7"/>
  <c r="AW129" i="7"/>
  <c r="AY116" i="7"/>
  <c r="AX96" i="7"/>
  <c r="AY123" i="7"/>
  <c r="AW154" i="7"/>
  <c r="AX152" i="7"/>
  <c r="AW92" i="7"/>
  <c r="AY135" i="7"/>
  <c r="AW137" i="7"/>
  <c r="AW118" i="7"/>
  <c r="AW36" i="7"/>
  <c r="AW37" i="7"/>
  <c r="AX142" i="7"/>
  <c r="AY17" i="7"/>
  <c r="AX24" i="7"/>
  <c r="AY148" i="7"/>
  <c r="AY48" i="7"/>
  <c r="AY6" i="7"/>
  <c r="AX50" i="7"/>
  <c r="AW46" i="7"/>
  <c r="AW148" i="7"/>
  <c r="AX29" i="7"/>
  <c r="AW65" i="7"/>
  <c r="AY52" i="7"/>
  <c r="AX8" i="7"/>
  <c r="AW12" i="7"/>
  <c r="AX34" i="7"/>
  <c r="AW21" i="7"/>
  <c r="AY104" i="7"/>
  <c r="AY89" i="7"/>
  <c r="AW48" i="7"/>
  <c r="AX62" i="7"/>
  <c r="AX71" i="7"/>
  <c r="AY32" i="7"/>
  <c r="AY93" i="7"/>
  <c r="AX97" i="7"/>
  <c r="AY119" i="7"/>
  <c r="AX115" i="7"/>
  <c r="AY74" i="7"/>
  <c r="AW123" i="7"/>
  <c r="AX105" i="7"/>
  <c r="AY63" i="7"/>
  <c r="AY80" i="7"/>
  <c r="AW87" i="7"/>
  <c r="AW45" i="7"/>
  <c r="AY7" i="7"/>
  <c r="AY155" i="7"/>
  <c r="AY100" i="7"/>
  <c r="AX120" i="7"/>
  <c r="AW124" i="7"/>
  <c r="AW125" i="7"/>
  <c r="AV119" i="7"/>
  <c r="AV154" i="7"/>
  <c r="AV36" i="7"/>
  <c r="AV71" i="7"/>
  <c r="AV106" i="7"/>
  <c r="AV141" i="7"/>
  <c r="AV23" i="7"/>
  <c r="AV58" i="7"/>
  <c r="AV93" i="7"/>
  <c r="AV128" i="7"/>
  <c r="AV10" i="7"/>
  <c r="AV45" i="7"/>
  <c r="AV80" i="7"/>
  <c r="AV115" i="7"/>
  <c r="AV150" i="7"/>
  <c r="AV32" i="7"/>
  <c r="AV67" i="7"/>
  <c r="AV102" i="7"/>
  <c r="AV137" i="7"/>
  <c r="AV19" i="7"/>
  <c r="AV54" i="7"/>
  <c r="AV89" i="7"/>
  <c r="AV124" i="7"/>
  <c r="AV6" i="7"/>
  <c r="AV41" i="7"/>
  <c r="AV76" i="7"/>
  <c r="AV111" i="7"/>
  <c r="AV146" i="7"/>
  <c r="AV28" i="7"/>
  <c r="AV63" i="7"/>
  <c r="AV98" i="7"/>
  <c r="AV133" i="7"/>
  <c r="AV15" i="7"/>
  <c r="AV50" i="7"/>
  <c r="AV85" i="7"/>
  <c r="AV120" i="7"/>
  <c r="AV155" i="7"/>
  <c r="AV37" i="7"/>
  <c r="AV72" i="7"/>
  <c r="AV107" i="7"/>
  <c r="AV142" i="7"/>
  <c r="AV24" i="7"/>
  <c r="AV59" i="7"/>
  <c r="AV94" i="7"/>
  <c r="AV129" i="7"/>
  <c r="AV11" i="7"/>
  <c r="AV46" i="7"/>
  <c r="AV81" i="7"/>
  <c r="AV116" i="7"/>
  <c r="AV151" i="7"/>
  <c r="AV33" i="7"/>
  <c r="AV68" i="7"/>
  <c r="AV103" i="7"/>
  <c r="AV138" i="7"/>
  <c r="AV20" i="7"/>
  <c r="AV55" i="7"/>
  <c r="AV90" i="7"/>
  <c r="AV125" i="7"/>
  <c r="AV7" i="7"/>
  <c r="AV42" i="7"/>
  <c r="AV77" i="7"/>
  <c r="AV112" i="7"/>
  <c r="AV147" i="7"/>
  <c r="AV29" i="7"/>
  <c r="AV64" i="7"/>
  <c r="AV99" i="7"/>
  <c r="AV134" i="7"/>
  <c r="AV16" i="7"/>
  <c r="AV51" i="7"/>
  <c r="AV86" i="7"/>
  <c r="AV121" i="7"/>
  <c r="AV156" i="7"/>
  <c r="AV38" i="7"/>
  <c r="AV73" i="7"/>
  <c r="AV108" i="7"/>
  <c r="AV143" i="7"/>
  <c r="AV25" i="7"/>
  <c r="AV60" i="7"/>
  <c r="AV95" i="7"/>
  <c r="AV130" i="7"/>
  <c r="AV12" i="7"/>
  <c r="AV47" i="7"/>
  <c r="AV82" i="7"/>
  <c r="AV117" i="7"/>
  <c r="AV152" i="7"/>
  <c r="AV34" i="7"/>
  <c r="AV69" i="7"/>
  <c r="AV104" i="7"/>
  <c r="AV139" i="7"/>
  <c r="AV21" i="7"/>
  <c r="AV56" i="7"/>
  <c r="AV91" i="7"/>
  <c r="AV126" i="7"/>
  <c r="AV8" i="7"/>
  <c r="AV43" i="7"/>
  <c r="AV78" i="7"/>
  <c r="AV113" i="7"/>
  <c r="AV148" i="7"/>
  <c r="AV30" i="7"/>
  <c r="AV65" i="7"/>
  <c r="AV100" i="7"/>
  <c r="AV135" i="7"/>
  <c r="AV17" i="7"/>
  <c r="AV52" i="7"/>
  <c r="AV87" i="7"/>
  <c r="AV122" i="7"/>
  <c r="AV157" i="7"/>
  <c r="AV39" i="7"/>
  <c r="AV74" i="7"/>
  <c r="AV109" i="7"/>
  <c r="AV144" i="7"/>
  <c r="AV26" i="7"/>
  <c r="AV61" i="7"/>
  <c r="AV96" i="7"/>
  <c r="AV131" i="7"/>
  <c r="AV13" i="7"/>
  <c r="AV48" i="7"/>
  <c r="AV83" i="7"/>
  <c r="AV118" i="7"/>
  <c r="AV153" i="7"/>
  <c r="AV35" i="7"/>
  <c r="AV70" i="7"/>
  <c r="AV105" i="7"/>
  <c r="AV140" i="7"/>
  <c r="AV22" i="7"/>
  <c r="AV57" i="7"/>
  <c r="AV92" i="7"/>
  <c r="AV127" i="7"/>
  <c r="AV9" i="7"/>
  <c r="AV44" i="7"/>
  <c r="AV79" i="7"/>
  <c r="AV114" i="7"/>
  <c r="AV149" i="7"/>
  <c r="AV31" i="7"/>
  <c r="AV66" i="7"/>
  <c r="AV101" i="7"/>
  <c r="AV136" i="7"/>
  <c r="AV18" i="7"/>
  <c r="AV53" i="7"/>
  <c r="AV88" i="7"/>
  <c r="AV123" i="7"/>
  <c r="AV158" i="7"/>
  <c r="AV40" i="7"/>
  <c r="AV75" i="7"/>
  <c r="AV110" i="7"/>
  <c r="AV145" i="7"/>
  <c r="AV27" i="7"/>
  <c r="AV62" i="7"/>
  <c r="AV97" i="7"/>
  <c r="AV132" i="7"/>
  <c r="AV14" i="7"/>
  <c r="AV49" i="7"/>
  <c r="AV84" i="7"/>
  <c r="P91" i="7"/>
  <c r="P155" i="7"/>
  <c r="P58" i="7"/>
  <c r="P66" i="7"/>
  <c r="P147" i="7"/>
  <c r="P142" i="7"/>
  <c r="P86" i="7"/>
  <c r="P119" i="7"/>
  <c r="P156" i="7"/>
  <c r="R136" i="7"/>
  <c r="P39" i="7"/>
  <c r="P83" i="7"/>
  <c r="P150" i="7"/>
  <c r="W158" i="7"/>
  <c r="P33" i="7"/>
  <c r="H15" i="7"/>
  <c r="P92" i="7"/>
  <c r="P115" i="7"/>
  <c r="P136" i="7"/>
  <c r="P25" i="7"/>
  <c r="P122" i="7"/>
  <c r="P125" i="7"/>
  <c r="P72" i="7"/>
  <c r="T82" i="7"/>
  <c r="P36" i="7"/>
  <c r="P6" i="7"/>
  <c r="P78" i="7"/>
  <c r="P22" i="7"/>
  <c r="P55" i="7"/>
  <c r="R126" i="7"/>
  <c r="P14" i="7"/>
  <c r="P97" i="7"/>
  <c r="P114" i="7"/>
  <c r="R135" i="7"/>
  <c r="P103" i="7"/>
  <c r="P41" i="7"/>
  <c r="P111" i="7"/>
  <c r="S136" i="7"/>
  <c r="P19" i="7"/>
  <c r="AD89" i="7"/>
  <c r="L156" i="7"/>
  <c r="X98" i="7"/>
  <c r="G18" i="7"/>
  <c r="AP82" i="7"/>
  <c r="AQ134" i="7"/>
  <c r="M53" i="7"/>
  <c r="AD76" i="7"/>
  <c r="R89" i="7"/>
  <c r="AJ7" i="7"/>
  <c r="J104" i="7"/>
  <c r="AK44" i="7"/>
  <c r="AA15" i="7"/>
  <c r="H32" i="7"/>
  <c r="Z109" i="7"/>
  <c r="I77" i="7"/>
  <c r="AB41" i="7"/>
  <c r="H152" i="7"/>
  <c r="AD119" i="7"/>
  <c r="AU102" i="7"/>
  <c r="J102" i="7"/>
  <c r="AD107" i="7"/>
  <c r="AS132" i="7"/>
  <c r="AN87" i="7"/>
  <c r="AT85" i="7"/>
  <c r="AN103" i="7"/>
  <c r="U135" i="7"/>
  <c r="V80" i="7"/>
  <c r="AQ54" i="7"/>
  <c r="AA73" i="7"/>
  <c r="AC100" i="7"/>
  <c r="H25" i="7"/>
  <c r="AR145" i="7"/>
  <c r="AM65" i="7"/>
  <c r="AC73" i="7"/>
  <c r="U124" i="7"/>
  <c r="AT68" i="7"/>
  <c r="AM79" i="7"/>
  <c r="V112" i="7"/>
  <c r="J44" i="7"/>
  <c r="V116" i="7"/>
  <c r="P74" i="7"/>
  <c r="H87" i="7"/>
  <c r="N37" i="7"/>
  <c r="H46" i="7"/>
  <c r="AH156" i="7"/>
  <c r="F23" i="7"/>
  <c r="G8" i="7"/>
  <c r="Y36" i="7"/>
  <c r="P131" i="7"/>
  <c r="P47" i="7"/>
  <c r="P139" i="7"/>
  <c r="P94" i="7"/>
  <c r="S86" i="7"/>
  <c r="AU137" i="7"/>
  <c r="AL100" i="7"/>
  <c r="I90" i="7"/>
  <c r="T106" i="7"/>
  <c r="T94" i="7"/>
  <c r="K103" i="7"/>
  <c r="AP35" i="7"/>
  <c r="V126" i="7"/>
  <c r="O9" i="7"/>
  <c r="T77" i="7"/>
  <c r="K94" i="7"/>
  <c r="AB135" i="7"/>
  <c r="P38" i="7"/>
  <c r="AH90" i="7"/>
  <c r="AS32" i="7"/>
  <c r="AP7" i="7"/>
  <c r="W47" i="7"/>
  <c r="O121" i="7"/>
  <c r="AS21" i="7"/>
  <c r="Q103" i="7"/>
  <c r="Y87" i="7"/>
  <c r="K123" i="7"/>
  <c r="AU151" i="7"/>
  <c r="AH103" i="7"/>
  <c r="P24" i="7"/>
  <c r="AO111" i="7"/>
  <c r="AQ133" i="7"/>
  <c r="R90" i="7"/>
  <c r="I55" i="7"/>
  <c r="M91" i="7"/>
  <c r="X30" i="7"/>
  <c r="T28" i="7"/>
  <c r="I78" i="7"/>
  <c r="W30" i="7"/>
  <c r="AJ151" i="7"/>
  <c r="AL78" i="7"/>
  <c r="W80" i="7"/>
  <c r="AI15" i="7"/>
  <c r="T80" i="7"/>
  <c r="J42" i="7"/>
  <c r="U6" i="7"/>
  <c r="AF97" i="7"/>
  <c r="Z133" i="7"/>
  <c r="AG126" i="7"/>
  <c r="N124" i="7"/>
  <c r="X137" i="7"/>
  <c r="Q99" i="7"/>
  <c r="R77" i="7"/>
  <c r="Z68" i="7"/>
  <c r="AK114" i="7"/>
  <c r="AH100" i="7"/>
  <c r="AT76" i="7"/>
  <c r="M97" i="7"/>
  <c r="R86" i="7"/>
  <c r="AT102" i="7"/>
  <c r="F43" i="7"/>
  <c r="R93" i="7"/>
  <c r="P113" i="7"/>
  <c r="AO148" i="7"/>
  <c r="I99" i="7"/>
  <c r="M88" i="7"/>
  <c r="S54" i="7"/>
  <c r="Z95" i="7"/>
  <c r="AE117" i="7"/>
  <c r="R127" i="7"/>
  <c r="P117" i="7"/>
  <c r="P144" i="7"/>
  <c r="P42" i="7"/>
  <c r="AL7" i="7"/>
  <c r="P46" i="7"/>
  <c r="F44" i="7"/>
  <c r="AQ123" i="7"/>
  <c r="AL37" i="7"/>
  <c r="J58" i="7"/>
  <c r="AR46" i="7"/>
  <c r="O72" i="7"/>
  <c r="T61" i="7"/>
  <c r="K78" i="7"/>
  <c r="O19" i="7"/>
  <c r="W43" i="7"/>
  <c r="J34" i="7"/>
  <c r="Z152" i="7"/>
  <c r="AH150" i="7"/>
  <c r="G42" i="7"/>
  <c r="AU85" i="7"/>
  <c r="AK19" i="7"/>
  <c r="K49" i="7"/>
  <c r="AH65" i="7"/>
  <c r="AR81" i="7"/>
  <c r="K56" i="7"/>
  <c r="W31" i="7"/>
  <c r="AH63" i="7"/>
  <c r="R74" i="7"/>
  <c r="R67" i="7"/>
  <c r="W143" i="7"/>
  <c r="H75" i="7"/>
  <c r="R26" i="7"/>
  <c r="AJ32" i="7"/>
  <c r="N31" i="7"/>
  <c r="AD108" i="7"/>
  <c r="T71" i="7"/>
  <c r="X85" i="7"/>
  <c r="O57" i="7"/>
  <c r="AB92" i="7"/>
  <c r="Z81" i="7"/>
  <c r="AH27" i="7"/>
  <c r="T64" i="7"/>
  <c r="AB73" i="7"/>
  <c r="AD29" i="7"/>
  <c r="AN38" i="7"/>
  <c r="J31" i="7"/>
  <c r="AI157" i="7"/>
  <c r="O51" i="7"/>
  <c r="AP41" i="7"/>
  <c r="AD61" i="7"/>
  <c r="Q75" i="7"/>
  <c r="AA18" i="7"/>
  <c r="K53" i="7"/>
  <c r="AQ105" i="7"/>
  <c r="G59" i="7"/>
  <c r="AB119" i="7"/>
  <c r="AH62" i="7"/>
  <c r="Q57" i="7"/>
  <c r="AJ47" i="7"/>
  <c r="R36" i="7"/>
  <c r="AG151" i="7"/>
  <c r="AN11" i="7"/>
  <c r="M50" i="7"/>
  <c r="K41" i="7"/>
  <c r="Y48" i="7"/>
  <c r="R128" i="7"/>
  <c r="S58" i="7"/>
  <c r="I65" i="7"/>
  <c r="S132" i="7"/>
  <c r="P50" i="7"/>
  <c r="AA146" i="7"/>
  <c r="AR7" i="7"/>
  <c r="P80" i="7"/>
  <c r="P145" i="7"/>
  <c r="U131" i="7"/>
  <c r="AD55" i="7"/>
  <c r="S11" i="7"/>
  <c r="W84" i="7"/>
  <c r="J22" i="7"/>
  <c r="W133" i="7"/>
  <c r="I39" i="7"/>
  <c r="F64" i="7"/>
  <c r="AR146" i="7"/>
  <c r="AC101" i="7"/>
  <c r="R122" i="7"/>
  <c r="V37" i="7"/>
  <c r="U75" i="7"/>
  <c r="Q12" i="7"/>
  <c r="AO26" i="7"/>
  <c r="T37" i="7"/>
  <c r="AT114" i="7"/>
  <c r="AG49" i="7"/>
  <c r="Q87" i="7"/>
  <c r="AU149" i="7"/>
  <c r="Y29" i="7"/>
  <c r="AQ120" i="7"/>
  <c r="S131" i="7"/>
  <c r="AQ41" i="7"/>
  <c r="AK54" i="7"/>
  <c r="AO127" i="7"/>
  <c r="G154" i="7"/>
  <c r="AU78" i="7"/>
  <c r="AO39" i="7"/>
  <c r="N100" i="7"/>
  <c r="P110" i="7"/>
  <c r="AQ157" i="7"/>
  <c r="AH15" i="7"/>
  <c r="W120" i="7"/>
  <c r="Y16" i="7"/>
  <c r="AT147" i="7"/>
  <c r="AD9" i="7"/>
  <c r="G123" i="7"/>
  <c r="G157" i="7"/>
  <c r="W34" i="7"/>
  <c r="T87" i="7"/>
  <c r="AG115" i="7"/>
  <c r="Z77" i="7"/>
  <c r="O73" i="7"/>
  <c r="AD134" i="7"/>
  <c r="O89" i="7"/>
  <c r="AC135" i="7"/>
  <c r="AJ15" i="7"/>
  <c r="W66" i="7"/>
  <c r="AI74" i="7"/>
  <c r="Z119" i="7"/>
  <c r="AG19" i="7"/>
  <c r="Q120" i="7"/>
  <c r="AT51" i="7"/>
  <c r="U112" i="7"/>
  <c r="AE18" i="7"/>
  <c r="U10" i="7"/>
  <c r="AT146" i="7"/>
  <c r="X56" i="7"/>
  <c r="H79" i="7"/>
  <c r="AQ35" i="7"/>
  <c r="AS108" i="7"/>
  <c r="AS138" i="7"/>
  <c r="Z107" i="7"/>
  <c r="Q7" i="7"/>
  <c r="AB142" i="7"/>
  <c r="AI76" i="7"/>
  <c r="AA64" i="7"/>
  <c r="P158" i="7"/>
  <c r="P31" i="7"/>
  <c r="P84" i="7"/>
  <c r="P109" i="7"/>
  <c r="P106" i="7"/>
  <c r="P81" i="7"/>
  <c r="P53" i="7"/>
  <c r="P100" i="7"/>
  <c r="P64" i="7"/>
  <c r="Y130" i="7"/>
  <c r="I81" i="7"/>
  <c r="U55" i="7"/>
  <c r="T86" i="7"/>
  <c r="AL75" i="7"/>
  <c r="O92" i="7"/>
  <c r="G107" i="7"/>
  <c r="AP16" i="7"/>
  <c r="AN99" i="7"/>
  <c r="AO103" i="7"/>
  <c r="T68" i="7"/>
  <c r="AB93" i="7"/>
  <c r="H47" i="7"/>
  <c r="O63" i="7"/>
  <c r="G80" i="7"/>
  <c r="AT61" i="7"/>
  <c r="P116" i="7"/>
  <c r="R92" i="7"/>
  <c r="AS93" i="7"/>
  <c r="AU50" i="7"/>
  <c r="AO81" i="7"/>
  <c r="L89" i="7"/>
  <c r="AR10" i="7"/>
  <c r="Y8" i="7"/>
  <c r="AR151" i="7"/>
  <c r="R20" i="7"/>
  <c r="AR26" i="7"/>
  <c r="AU138" i="7"/>
  <c r="AC92" i="7"/>
  <c r="AS12" i="7"/>
  <c r="AC80" i="7"/>
  <c r="AQ130" i="7"/>
  <c r="AB14" i="7"/>
  <c r="V65" i="7"/>
  <c r="W131" i="7"/>
  <c r="AQ153" i="7"/>
  <c r="Y119" i="7"/>
  <c r="AG31" i="7"/>
  <c r="AH35" i="7"/>
  <c r="AE7" i="7"/>
  <c r="AF89" i="7"/>
  <c r="AU13" i="7"/>
  <c r="K52" i="7"/>
  <c r="AA119" i="7"/>
  <c r="AG109" i="7"/>
  <c r="AK22" i="7"/>
  <c r="Q91" i="7"/>
  <c r="AO73" i="7"/>
  <c r="AJ68" i="7"/>
  <c r="AS103" i="7"/>
  <c r="L85" i="7"/>
  <c r="AR43" i="7"/>
  <c r="H71" i="7"/>
  <c r="AE85" i="7"/>
  <c r="AJ84" i="7"/>
  <c r="AT123" i="7"/>
  <c r="P127" i="7"/>
  <c r="AJ72" i="7"/>
  <c r="M79" i="7"/>
  <c r="AL93" i="7"/>
  <c r="AL92" i="7"/>
  <c r="O101" i="7"/>
  <c r="P95" i="7"/>
  <c r="P89" i="7"/>
  <c r="P16" i="7"/>
  <c r="P69" i="7"/>
  <c r="P108" i="7"/>
  <c r="N40" i="7"/>
  <c r="W88" i="7"/>
  <c r="P60" i="7"/>
  <c r="N19" i="7"/>
  <c r="Z126" i="7"/>
  <c r="G153" i="7"/>
  <c r="F13" i="7"/>
  <c r="X94" i="7"/>
  <c r="T52" i="7"/>
  <c r="AP130" i="7"/>
  <c r="AE87" i="7"/>
  <c r="AC67" i="7"/>
  <c r="AK52" i="7"/>
  <c r="AT69" i="7"/>
  <c r="AG69" i="7"/>
  <c r="AB133" i="7"/>
  <c r="T153" i="7"/>
  <c r="M30" i="7"/>
  <c r="AR82" i="7"/>
  <c r="AF67" i="7"/>
  <c r="P124" i="7"/>
  <c r="AH46" i="7"/>
  <c r="AS8" i="7"/>
  <c r="AF23" i="7"/>
  <c r="W16" i="7"/>
  <c r="K34" i="7"/>
  <c r="AO158" i="7"/>
  <c r="R49" i="7"/>
  <c r="I64" i="7"/>
  <c r="M109" i="7"/>
  <c r="AQ72" i="7"/>
  <c r="R105" i="7"/>
  <c r="AJ157" i="7"/>
  <c r="AG113" i="7"/>
  <c r="Q24" i="7"/>
  <c r="M76" i="7"/>
  <c r="AL96" i="7"/>
  <c r="AS53" i="7"/>
  <c r="I62" i="7"/>
  <c r="I93" i="7"/>
  <c r="AO63" i="7"/>
  <c r="AB29" i="7"/>
  <c r="AI110" i="7"/>
  <c r="AP88" i="7"/>
  <c r="AN95" i="7"/>
  <c r="O150" i="7"/>
  <c r="AA87" i="7"/>
  <c r="AM115" i="7"/>
  <c r="AG36" i="7"/>
  <c r="Q10" i="7"/>
  <c r="AT71" i="7"/>
  <c r="G61" i="7"/>
  <c r="AB107" i="7"/>
  <c r="R18" i="7"/>
  <c r="S10" i="7"/>
  <c r="G29" i="7"/>
  <c r="AU44" i="7"/>
  <c r="AM40" i="7"/>
  <c r="AT75" i="7"/>
  <c r="J8" i="7"/>
  <c r="S130" i="7"/>
  <c r="Y118" i="7"/>
  <c r="AP119" i="7"/>
  <c r="R102" i="7"/>
  <c r="K35" i="7"/>
  <c r="AU15" i="7"/>
  <c r="F14" i="7"/>
  <c r="AA68" i="7"/>
  <c r="S50" i="7"/>
  <c r="AL20" i="7"/>
  <c r="N56" i="7"/>
  <c r="M95" i="7"/>
  <c r="AE13" i="7"/>
  <c r="AL108" i="7"/>
  <c r="H124" i="7"/>
  <c r="U107" i="7"/>
  <c r="AD11" i="7"/>
  <c r="AD43" i="7"/>
  <c r="AH120" i="7"/>
  <c r="O76" i="7"/>
  <c r="P121" i="7"/>
  <c r="AL44" i="7"/>
  <c r="AS52" i="7"/>
  <c r="G22" i="7"/>
  <c r="P138" i="7"/>
  <c r="G105" i="7"/>
  <c r="AS121" i="7"/>
  <c r="AB43" i="7"/>
  <c r="X142" i="7"/>
  <c r="AF101" i="7"/>
  <c r="V33" i="7"/>
  <c r="M17" i="7"/>
  <c r="AQ50" i="7"/>
  <c r="S14" i="7"/>
  <c r="AS83" i="7"/>
  <c r="S124" i="7"/>
  <c r="AQ111" i="7"/>
  <c r="AR132" i="7"/>
  <c r="F66" i="7"/>
  <c r="AI150" i="7"/>
  <c r="L55" i="7"/>
  <c r="O7" i="7"/>
  <c r="AL85" i="7"/>
  <c r="U152" i="7"/>
  <c r="AU129" i="7"/>
  <c r="AG29" i="7"/>
  <c r="I36" i="7"/>
  <c r="AI156" i="7"/>
  <c r="AL101" i="7"/>
  <c r="AA151" i="7"/>
  <c r="AL63" i="7"/>
  <c r="AT84" i="7"/>
  <c r="AM24" i="7"/>
  <c r="T49" i="7"/>
  <c r="AS114" i="7"/>
  <c r="Z154" i="7"/>
  <c r="T65" i="7"/>
  <c r="V6" i="7"/>
  <c r="L36" i="7"/>
  <c r="O66" i="7"/>
  <c r="V36" i="7"/>
  <c r="AR17" i="7"/>
  <c r="AS156" i="7"/>
  <c r="Z66" i="7"/>
  <c r="AQ141" i="7"/>
  <c r="F154" i="7"/>
  <c r="S121" i="7"/>
  <c r="AN128" i="7"/>
  <c r="M106" i="7"/>
  <c r="M105" i="7"/>
  <c r="R64" i="7"/>
  <c r="L59" i="7"/>
  <c r="T90" i="7"/>
  <c r="I108" i="7"/>
  <c r="I107" i="7"/>
  <c r="L122" i="7"/>
  <c r="Q16" i="7"/>
  <c r="X75" i="7"/>
  <c r="P148" i="7"/>
  <c r="P27" i="7"/>
  <c r="P44" i="7"/>
  <c r="P17" i="7"/>
  <c r="P70" i="7"/>
  <c r="S134" i="7"/>
  <c r="P45" i="7"/>
  <c r="P133" i="7"/>
  <c r="AE15" i="7"/>
  <c r="O32" i="7"/>
  <c r="AU99" i="7"/>
  <c r="N72" i="7"/>
  <c r="AB74" i="7"/>
  <c r="AL66" i="7"/>
  <c r="Y47" i="7"/>
  <c r="O80" i="7"/>
  <c r="G89" i="7"/>
  <c r="AQ106" i="7"/>
  <c r="AN59" i="7"/>
  <c r="AS144" i="7"/>
  <c r="AL48" i="7"/>
  <c r="O54" i="7"/>
  <c r="AP96" i="7"/>
  <c r="R76" i="7"/>
  <c r="AC12" i="7"/>
  <c r="V143" i="7"/>
  <c r="P48" i="7"/>
  <c r="AS25" i="7"/>
  <c r="K62" i="7"/>
  <c r="AH81" i="7"/>
  <c r="P29" i="7"/>
  <c r="AE150" i="7"/>
  <c r="M78" i="7"/>
  <c r="V15" i="7"/>
  <c r="Q69" i="7"/>
  <c r="N102" i="7"/>
  <c r="AI21" i="7"/>
  <c r="AI16" i="7"/>
  <c r="Y128" i="7"/>
  <c r="Y151" i="7"/>
  <c r="H57" i="7"/>
  <c r="Y155" i="7"/>
  <c r="AN89" i="7"/>
  <c r="W69" i="7"/>
  <c r="X19" i="7"/>
  <c r="AI28" i="7"/>
  <c r="V69" i="7"/>
  <c r="AB124" i="7"/>
  <c r="P102" i="7"/>
  <c r="F40" i="7"/>
  <c r="AA85" i="7"/>
  <c r="M158" i="7"/>
  <c r="AO23" i="7"/>
  <c r="P126" i="7"/>
  <c r="Z34" i="7"/>
  <c r="N45" i="7"/>
  <c r="AB25" i="7"/>
  <c r="K75" i="7"/>
  <c r="AU40" i="7"/>
  <c r="Q83" i="7"/>
  <c r="G77" i="7"/>
  <c r="AF71" i="7"/>
  <c r="AC119" i="7"/>
  <c r="L77" i="7"/>
  <c r="AC15" i="7"/>
  <c r="AB112" i="7"/>
  <c r="H63" i="7"/>
  <c r="AD8" i="7"/>
  <c r="Q30" i="7"/>
  <c r="Y60" i="7"/>
  <c r="AH34" i="7"/>
  <c r="AH20" i="7"/>
  <c r="AJ64" i="7"/>
  <c r="Y6" i="7"/>
  <c r="S70" i="7"/>
  <c r="P13" i="7"/>
  <c r="AR76" i="7"/>
  <c r="AL84" i="7"/>
  <c r="I74" i="7"/>
  <c r="P56" i="7"/>
  <c r="P153" i="7"/>
  <c r="P11" i="7"/>
  <c r="P105" i="7"/>
  <c r="P134" i="7"/>
  <c r="V114" i="7"/>
  <c r="R48" i="7"/>
  <c r="AG7" i="7"/>
  <c r="AI70" i="7"/>
  <c r="AR99" i="7"/>
  <c r="AM81" i="7"/>
  <c r="AD118" i="7"/>
  <c r="N48" i="7"/>
  <c r="W98" i="7"/>
  <c r="L38" i="7"/>
  <c r="AU23" i="7"/>
  <c r="V82" i="7"/>
  <c r="F42" i="7"/>
  <c r="AP86" i="7"/>
  <c r="AF46" i="7"/>
  <c r="Y77" i="7"/>
  <c r="AN25" i="7"/>
  <c r="AQ33" i="7"/>
  <c r="S8" i="7"/>
  <c r="AC126" i="7"/>
  <c r="Z111" i="7"/>
  <c r="F57" i="7"/>
  <c r="AC89" i="7"/>
  <c r="AM158" i="7"/>
  <c r="AM128" i="7"/>
  <c r="T155" i="7"/>
  <c r="X69" i="7"/>
  <c r="AB33" i="7"/>
  <c r="AB136" i="7"/>
  <c r="N69" i="7"/>
  <c r="W139" i="7"/>
  <c r="M155" i="7"/>
  <c r="AD74" i="7"/>
  <c r="AF61" i="7"/>
  <c r="P71" i="7"/>
  <c r="AM26" i="7"/>
  <c r="AO7" i="7"/>
  <c r="AJ33" i="7"/>
  <c r="T9" i="7"/>
  <c r="AD35" i="7"/>
  <c r="AE41" i="7"/>
  <c r="P37" i="7"/>
  <c r="AP74" i="7"/>
  <c r="AK12" i="7"/>
  <c r="AC93" i="7"/>
  <c r="AG158" i="7"/>
  <c r="S100" i="7"/>
  <c r="AP57" i="7"/>
  <c r="AQ142" i="7"/>
  <c r="P120" i="7"/>
  <c r="P51" i="7"/>
  <c r="X39" i="7"/>
  <c r="AR150" i="7"/>
  <c r="I75" i="7"/>
  <c r="I76" i="7"/>
  <c r="P79" i="7"/>
  <c r="K107" i="7"/>
  <c r="AL76" i="7"/>
  <c r="AL77" i="7"/>
  <c r="G64" i="7"/>
  <c r="AE46" i="7"/>
  <c r="Y124" i="7"/>
  <c r="L19" i="7"/>
  <c r="I21" i="7"/>
  <c r="P146" i="7"/>
  <c r="AA105" i="7"/>
  <c r="AQ62" i="7"/>
  <c r="F17" i="7"/>
  <c r="P87" i="7"/>
  <c r="R88" i="7"/>
  <c r="AN152" i="7"/>
  <c r="AM44" i="7"/>
  <c r="AC146" i="7"/>
  <c r="Z23" i="7"/>
  <c r="AK58" i="7"/>
  <c r="I95" i="7"/>
  <c r="AH43" i="7"/>
  <c r="AN46" i="7"/>
  <c r="M77" i="7"/>
  <c r="AN57" i="7"/>
  <c r="AP154" i="7"/>
  <c r="AC59" i="7"/>
  <c r="AQ42" i="7"/>
  <c r="X105" i="7"/>
  <c r="AQ103" i="7"/>
  <c r="R155" i="7"/>
  <c r="AI38" i="7"/>
  <c r="I60" i="7"/>
  <c r="AQ80" i="7"/>
  <c r="AM27" i="7"/>
  <c r="AF12" i="7"/>
  <c r="I106" i="7"/>
  <c r="AO78" i="7"/>
  <c r="J48" i="7"/>
  <c r="AA125" i="7"/>
  <c r="AJ45" i="7"/>
  <c r="P34" i="7"/>
  <c r="X62" i="7"/>
  <c r="F52" i="7"/>
  <c r="Z74" i="7"/>
  <c r="AM43" i="7"/>
  <c r="AJ20" i="7"/>
  <c r="N14" i="7"/>
  <c r="AP87" i="7"/>
  <c r="AM119" i="7"/>
  <c r="AI125" i="7"/>
  <c r="X138" i="7"/>
  <c r="Y25" i="7"/>
  <c r="AJ30" i="7"/>
  <c r="AD110" i="7"/>
  <c r="W113" i="7"/>
  <c r="AN73" i="7"/>
  <c r="AS75" i="7"/>
  <c r="AP112" i="7"/>
  <c r="AU35" i="7"/>
  <c r="F60" i="7"/>
  <c r="U7" i="7"/>
  <c r="AQ23" i="7"/>
  <c r="AA126" i="7"/>
  <c r="Z37" i="7"/>
  <c r="AK64" i="7"/>
  <c r="AJ28" i="7"/>
  <c r="P107" i="7"/>
  <c r="AO134" i="7"/>
  <c r="G21" i="7"/>
  <c r="F114" i="7"/>
  <c r="J90" i="7"/>
  <c r="AA118" i="7"/>
  <c r="M93" i="7"/>
  <c r="N47" i="7"/>
  <c r="S127" i="7"/>
  <c r="AL62" i="7"/>
  <c r="AC29" i="7"/>
  <c r="J16" i="7"/>
  <c r="AQ10" i="7"/>
  <c r="S44" i="7"/>
  <c r="X48" i="7"/>
  <c r="AJ16" i="7"/>
  <c r="AB156" i="7"/>
  <c r="P151" i="7"/>
  <c r="AD28" i="7"/>
  <c r="AQ85" i="7"/>
  <c r="Q89" i="7"/>
  <c r="AH49" i="7"/>
  <c r="M18" i="7"/>
  <c r="M38" i="7"/>
  <c r="R87" i="7"/>
  <c r="AB108" i="7"/>
  <c r="U136" i="7"/>
  <c r="N61" i="7"/>
  <c r="Y37" i="7"/>
  <c r="T27" i="7"/>
  <c r="R141" i="7"/>
  <c r="AI31" i="7"/>
  <c r="AA26" i="7"/>
  <c r="S7" i="7"/>
  <c r="K112" i="7"/>
  <c r="AJ29" i="7"/>
  <c r="AE155" i="7"/>
  <c r="O6" i="7"/>
  <c r="AU130" i="7"/>
  <c r="K116" i="7"/>
  <c r="AA40" i="7"/>
  <c r="AC41" i="7"/>
  <c r="AB53" i="7"/>
  <c r="AG134" i="7"/>
  <c r="I41" i="7"/>
  <c r="I131" i="7"/>
  <c r="AD33" i="7"/>
  <c r="AU27" i="7"/>
  <c r="U108" i="7"/>
  <c r="W83" i="7"/>
  <c r="R37" i="7"/>
  <c r="Y9" i="7"/>
  <c r="AP131" i="7"/>
  <c r="R84" i="7"/>
  <c r="AS72" i="7"/>
  <c r="O111" i="7"/>
  <c r="AU20" i="7"/>
  <c r="AL16" i="7"/>
  <c r="AO122" i="7"/>
  <c r="G20" i="7"/>
  <c r="AF96" i="7"/>
  <c r="N97" i="7"/>
  <c r="AP9" i="7"/>
  <c r="Z84" i="7"/>
  <c r="AL116" i="7"/>
  <c r="AE147" i="7"/>
  <c r="W115" i="7"/>
  <c r="AS92" i="7"/>
  <c r="T119" i="7"/>
  <c r="AE110" i="7"/>
  <c r="AJ114" i="7"/>
  <c r="H121" i="7"/>
  <c r="AA86" i="7"/>
  <c r="AG60" i="7"/>
  <c r="O110" i="7"/>
  <c r="AT145" i="7"/>
  <c r="AO12" i="7"/>
  <c r="AO146" i="7"/>
  <c r="AH127" i="7"/>
  <c r="AB46" i="7"/>
  <c r="J29" i="7"/>
  <c r="AU45" i="7"/>
  <c r="N126" i="7"/>
  <c r="AR70" i="7"/>
  <c r="AD143" i="7"/>
  <c r="I86" i="7"/>
  <c r="Q133" i="7"/>
  <c r="S103" i="7"/>
  <c r="O13" i="7"/>
  <c r="AF131" i="7"/>
  <c r="L86" i="7"/>
  <c r="F152" i="7"/>
  <c r="V58" i="7"/>
  <c r="AI130" i="7"/>
  <c r="X87" i="7"/>
  <c r="AQ44" i="7"/>
  <c r="I128" i="7"/>
  <c r="I153" i="7"/>
  <c r="AQ87" i="7"/>
  <c r="AT26" i="7"/>
  <c r="H72" i="7"/>
  <c r="AJ83" i="7"/>
  <c r="V108" i="7"/>
  <c r="AH82" i="7"/>
  <c r="K127" i="7"/>
  <c r="AN130" i="7"/>
  <c r="M121" i="7"/>
  <c r="AD51" i="7"/>
  <c r="Z85" i="7"/>
  <c r="AM135" i="7"/>
  <c r="N112" i="7"/>
  <c r="AE31" i="7"/>
  <c r="AQ95" i="7"/>
  <c r="N94" i="7"/>
  <c r="F9" i="7"/>
  <c r="AA116" i="7"/>
  <c r="AD132" i="7"/>
  <c r="AA131" i="7"/>
  <c r="F61" i="7"/>
  <c r="O124" i="7"/>
  <c r="N146" i="7"/>
  <c r="AE57" i="7"/>
  <c r="AB105" i="7"/>
  <c r="AL82" i="7"/>
  <c r="P63" i="7"/>
  <c r="AM61" i="7"/>
  <c r="R106" i="7"/>
  <c r="AQ15" i="7"/>
  <c r="AG12" i="7"/>
  <c r="S154" i="7"/>
  <c r="K51" i="7"/>
  <c r="I24" i="7"/>
  <c r="I158" i="7"/>
  <c r="P85" i="7"/>
  <c r="AS22" i="7"/>
  <c r="AS111" i="7"/>
  <c r="I29" i="7"/>
  <c r="V136" i="7"/>
  <c r="I30" i="7"/>
  <c r="AI114" i="7"/>
  <c r="Z99" i="7"/>
  <c r="M22" i="7"/>
  <c r="W10" i="7"/>
  <c r="M39" i="7"/>
  <c r="AD47" i="7"/>
  <c r="L26" i="7"/>
  <c r="AE119" i="7"/>
  <c r="AT63" i="7"/>
  <c r="AI155" i="7"/>
  <c r="H99" i="7"/>
  <c r="AS122" i="7"/>
  <c r="L93" i="7"/>
  <c r="P130" i="7"/>
  <c r="P128" i="7"/>
  <c r="X148" i="7"/>
  <c r="O52" i="7"/>
  <c r="AU112" i="7"/>
  <c r="AH19" i="7"/>
  <c r="L46" i="7"/>
  <c r="AU65" i="7"/>
  <c r="M89" i="7"/>
  <c r="M90" i="7"/>
  <c r="AS116" i="7"/>
  <c r="AL59" i="7"/>
  <c r="T70" i="7"/>
  <c r="Q35" i="7"/>
  <c r="W145" i="7"/>
  <c r="H83" i="7"/>
  <c r="AQ115" i="7"/>
  <c r="AF105" i="7"/>
  <c r="AH78" i="7"/>
  <c r="AL15" i="7"/>
  <c r="U125" i="7"/>
  <c r="AK110" i="7"/>
  <c r="H156" i="7"/>
  <c r="Z104" i="7"/>
  <c r="AH24" i="7"/>
  <c r="AS91" i="7"/>
  <c r="P12" i="7"/>
  <c r="Q59" i="7"/>
  <c r="AU148" i="7"/>
  <c r="S27" i="7"/>
  <c r="M72" i="7"/>
  <c r="I83" i="7"/>
  <c r="AS15" i="7"/>
  <c r="P101" i="7"/>
  <c r="W41" i="7"/>
  <c r="AH124" i="7"/>
  <c r="U156" i="7"/>
  <c r="Q55" i="7"/>
  <c r="X121" i="7"/>
  <c r="Z67" i="7"/>
  <c r="T66" i="7"/>
  <c r="X145" i="7"/>
  <c r="AB62" i="7"/>
  <c r="O68" i="7"/>
  <c r="R95" i="7"/>
  <c r="AD129" i="7"/>
  <c r="F22" i="7"/>
  <c r="AJ58" i="7"/>
  <c r="P49" i="7"/>
  <c r="AF9" i="7"/>
  <c r="H73" i="7"/>
  <c r="P135" i="7"/>
  <c r="N21" i="7"/>
  <c r="AJ62" i="7"/>
  <c r="AA106" i="7"/>
  <c r="AC74" i="7"/>
  <c r="AF59" i="7"/>
  <c r="S150" i="7"/>
  <c r="Z138" i="7"/>
  <c r="K157" i="7"/>
  <c r="K59" i="7"/>
  <c r="AT20" i="7"/>
  <c r="AQ16" i="7"/>
  <c r="M69" i="7"/>
  <c r="J129" i="7"/>
  <c r="AP11" i="7"/>
  <c r="J17" i="7"/>
  <c r="P140" i="7"/>
  <c r="P20" i="7"/>
  <c r="AL60" i="7"/>
  <c r="AL61" i="7"/>
  <c r="S84" i="7"/>
  <c r="AE79" i="7"/>
  <c r="Z158" i="7"/>
  <c r="AG26" i="7"/>
  <c r="N104" i="7"/>
  <c r="AG39" i="7"/>
  <c r="V62" i="7"/>
  <c r="AC88" i="7"/>
  <c r="AP100" i="7"/>
  <c r="T50" i="7"/>
  <c r="U70" i="7"/>
  <c r="R83" i="7"/>
  <c r="S28" i="7"/>
  <c r="AK27" i="7"/>
  <c r="W75" i="7"/>
  <c r="F50" i="7"/>
  <c r="X131" i="7"/>
  <c r="R156" i="7"/>
  <c r="AJ98" i="7"/>
  <c r="AR12" i="7"/>
  <c r="L91" i="7"/>
  <c r="AD34" i="7"/>
  <c r="O55" i="7"/>
  <c r="AQ26" i="7"/>
  <c r="AI143" i="7"/>
  <c r="AU84" i="7"/>
  <c r="K151" i="7"/>
  <c r="AQ84" i="7"/>
  <c r="L132" i="7"/>
  <c r="F69" i="7"/>
  <c r="AB95" i="7"/>
  <c r="AL130" i="7"/>
  <c r="O109" i="7"/>
  <c r="S97" i="7"/>
  <c r="Q110" i="7"/>
  <c r="AK80" i="7"/>
  <c r="AN84" i="7"/>
  <c r="M117" i="7"/>
  <c r="AN54" i="7"/>
  <c r="N113" i="7"/>
  <c r="X151" i="7"/>
  <c r="AP29" i="7"/>
  <c r="L56" i="7"/>
  <c r="Q149" i="7"/>
  <c r="AP76" i="7"/>
  <c r="S67" i="7"/>
  <c r="AK90" i="7"/>
  <c r="AI59" i="7"/>
  <c r="AR11" i="7"/>
  <c r="G125" i="7"/>
  <c r="V32" i="7"/>
  <c r="F129" i="7"/>
  <c r="AD32" i="7"/>
  <c r="AE135" i="7"/>
  <c r="F24" i="7"/>
  <c r="U154" i="7"/>
  <c r="AO10" i="7"/>
  <c r="AM103" i="7"/>
  <c r="L135" i="7"/>
  <c r="Y20" i="7"/>
  <c r="S145" i="7"/>
  <c r="M41" i="7"/>
  <c r="AB20" i="7"/>
  <c r="AS55" i="7"/>
  <c r="AP144" i="7"/>
  <c r="T136" i="7"/>
  <c r="AI111" i="7"/>
  <c r="AU25" i="7"/>
  <c r="G48" i="7"/>
  <c r="R82" i="7"/>
  <c r="X12" i="7"/>
  <c r="AU42" i="7"/>
  <c r="U114" i="7"/>
  <c r="J113" i="7"/>
  <c r="S69" i="7"/>
  <c r="AT126" i="7"/>
  <c r="AD139" i="7"/>
  <c r="O156" i="7"/>
  <c r="I143" i="7"/>
  <c r="AG91" i="7"/>
  <c r="I32" i="7"/>
  <c r="AB65" i="7"/>
  <c r="T144" i="7"/>
  <c r="AF16" i="7"/>
  <c r="AI134" i="7"/>
  <c r="AF148" i="7"/>
  <c r="AA71" i="7"/>
  <c r="AR34" i="7"/>
  <c r="R146" i="7"/>
  <c r="W144" i="7"/>
  <c r="S108" i="7"/>
  <c r="V39" i="7"/>
  <c r="J61" i="7"/>
  <c r="AG120" i="7"/>
  <c r="O127" i="7"/>
  <c r="AC143" i="7"/>
  <c r="AG70" i="7"/>
  <c r="AD105" i="7"/>
  <c r="AC152" i="7"/>
  <c r="AT32" i="7"/>
  <c r="AJ73" i="7"/>
  <c r="AM136" i="7"/>
  <c r="AF132" i="7"/>
  <c r="AH44" i="7"/>
  <c r="J156" i="7"/>
  <c r="AG89" i="7"/>
  <c r="AD59" i="7"/>
  <c r="H142" i="7"/>
  <c r="O31" i="7"/>
  <c r="AR109" i="7"/>
  <c r="O125" i="7"/>
  <c r="I8" i="7"/>
  <c r="AE25" i="7"/>
  <c r="AN94" i="7"/>
  <c r="AO92" i="7"/>
  <c r="AF154" i="7"/>
  <c r="G14" i="7"/>
  <c r="AC113" i="7"/>
  <c r="P62" i="7"/>
  <c r="AU38" i="7"/>
  <c r="AS7" i="7"/>
  <c r="AP24" i="7"/>
  <c r="K89" i="7"/>
  <c r="W147" i="7"/>
  <c r="AN83" i="7"/>
  <c r="AP84" i="7"/>
  <c r="G91" i="7"/>
  <c r="AP44" i="7"/>
  <c r="R107" i="7"/>
  <c r="M62" i="7"/>
  <c r="S47" i="7"/>
  <c r="P67" i="7"/>
  <c r="F127" i="7"/>
  <c r="AR18" i="7"/>
  <c r="Y69" i="7"/>
  <c r="P82" i="7"/>
  <c r="G32" i="7"/>
  <c r="AF8" i="7"/>
  <c r="AE35" i="7"/>
  <c r="AE22" i="7"/>
  <c r="AO98" i="7"/>
  <c r="Q156" i="7"/>
  <c r="T20" i="7"/>
  <c r="T23" i="7"/>
  <c r="W95" i="7"/>
  <c r="K92" i="7"/>
  <c r="AD46" i="7"/>
  <c r="AT59" i="7"/>
  <c r="L53" i="7"/>
  <c r="AR51" i="7"/>
  <c r="N157" i="7"/>
  <c r="AH36" i="7"/>
  <c r="Z149" i="7"/>
  <c r="X71" i="7"/>
  <c r="R124" i="7"/>
  <c r="AL49" i="7"/>
  <c r="AN47" i="7"/>
  <c r="U80" i="7"/>
  <c r="Z129" i="7"/>
  <c r="W107" i="7"/>
  <c r="U63" i="7"/>
  <c r="AE81" i="7"/>
  <c r="AD112" i="7"/>
  <c r="U151" i="7"/>
  <c r="AH102" i="7"/>
  <c r="AC61" i="7"/>
  <c r="R103" i="7"/>
  <c r="K14" i="7"/>
  <c r="P141" i="7"/>
  <c r="AA41" i="7"/>
  <c r="AO75" i="7"/>
  <c r="AC11" i="7"/>
  <c r="R109" i="7"/>
  <c r="N88" i="7"/>
  <c r="F41" i="7"/>
  <c r="X43" i="7"/>
  <c r="Z54" i="7"/>
  <c r="AS49" i="7"/>
  <c r="G19" i="7"/>
  <c r="W101" i="7"/>
  <c r="Y104" i="7"/>
  <c r="S40" i="7"/>
  <c r="T79" i="7"/>
  <c r="W112" i="7"/>
  <c r="AR56" i="7"/>
  <c r="W42" i="7"/>
  <c r="M92" i="7"/>
  <c r="AP107" i="7"/>
  <c r="AC19" i="7"/>
  <c r="AJ100" i="7"/>
  <c r="AP49" i="7"/>
  <c r="Y90" i="7"/>
  <c r="I79" i="7"/>
  <c r="Y73" i="7"/>
  <c r="F116" i="7"/>
  <c r="AK35" i="7"/>
  <c r="AB132" i="7"/>
  <c r="Q21" i="7"/>
  <c r="AB61" i="7"/>
  <c r="O50" i="7"/>
  <c r="AD150" i="7"/>
  <c r="F125" i="7"/>
  <c r="U146" i="7"/>
  <c r="F26" i="7"/>
  <c r="AS60" i="7"/>
  <c r="L97" i="7"/>
  <c r="Z87" i="7"/>
  <c r="AM38" i="7"/>
  <c r="AR38" i="7"/>
  <c r="AF22" i="7"/>
  <c r="Y10" i="7"/>
  <c r="AL13" i="7"/>
  <c r="AB150" i="7"/>
  <c r="H59" i="7"/>
  <c r="AR144" i="7"/>
  <c r="I155" i="7"/>
  <c r="J88" i="7"/>
  <c r="Z98" i="7"/>
  <c r="V60" i="7"/>
  <c r="AH106" i="7"/>
  <c r="AB129" i="7"/>
  <c r="G93" i="7"/>
  <c r="AH58" i="7"/>
  <c r="K50" i="7"/>
  <c r="H77" i="7"/>
  <c r="AR157" i="7"/>
  <c r="AG55" i="7"/>
  <c r="W103" i="7"/>
  <c r="Y81" i="7"/>
  <c r="AS84" i="7"/>
  <c r="M110" i="7"/>
  <c r="Q135" i="7"/>
  <c r="AH66" i="7"/>
  <c r="L157" i="7"/>
  <c r="AK148" i="7"/>
  <c r="U105" i="7"/>
  <c r="AU41" i="7"/>
  <c r="AC23" i="7"/>
  <c r="I136" i="7"/>
  <c r="I70" i="7"/>
  <c r="U153" i="7"/>
  <c r="T124" i="7"/>
  <c r="AJ101" i="7"/>
  <c r="AG47" i="7"/>
  <c r="I154" i="7"/>
  <c r="AU142" i="7"/>
  <c r="AH132" i="7"/>
  <c r="N144" i="7"/>
  <c r="O144" i="7"/>
  <c r="O27" i="7"/>
  <c r="T149" i="7"/>
  <c r="AM51" i="7"/>
  <c r="AI129" i="7"/>
  <c r="T152" i="7"/>
  <c r="AB103" i="7"/>
  <c r="AG141" i="7"/>
  <c r="AK129" i="7"/>
  <c r="J96" i="7"/>
  <c r="AO104" i="7"/>
  <c r="V145" i="7"/>
  <c r="I157" i="7"/>
  <c r="F29" i="7"/>
  <c r="AO147" i="7"/>
  <c r="W9" i="7"/>
  <c r="AU24" i="7"/>
  <c r="AI62" i="7"/>
  <c r="AA98" i="7"/>
  <c r="AC76" i="7"/>
  <c r="J99" i="7"/>
  <c r="V18" i="7"/>
  <c r="AM123" i="7"/>
  <c r="AK98" i="7"/>
  <c r="Q100" i="7"/>
  <c r="AR16" i="7"/>
  <c r="Y46" i="7"/>
  <c r="J128" i="7"/>
  <c r="AT37" i="7"/>
  <c r="AQ52" i="7"/>
  <c r="L25" i="7"/>
  <c r="AJ38" i="7"/>
  <c r="S59" i="7"/>
  <c r="AO52" i="7"/>
  <c r="AQ53" i="7"/>
  <c r="H126" i="7"/>
  <c r="AG121" i="7"/>
  <c r="AK7" i="7"/>
  <c r="Q70" i="7"/>
  <c r="U141" i="7"/>
  <c r="AC109" i="7"/>
  <c r="AJ119" i="7"/>
  <c r="N7" i="7"/>
  <c r="V155" i="7"/>
  <c r="Q37" i="7"/>
  <c r="L144" i="7"/>
  <c r="AE130" i="7"/>
  <c r="AD71" i="7"/>
  <c r="AI51" i="7"/>
  <c r="AG38" i="7"/>
  <c r="AC116" i="7"/>
  <c r="Q140" i="7"/>
  <c r="V41" i="7"/>
  <c r="AA115" i="7"/>
  <c r="AN60" i="7"/>
  <c r="AO21" i="7"/>
  <c r="AE89" i="7"/>
  <c r="AP81" i="7"/>
  <c r="V141" i="7"/>
  <c r="AS97" i="7"/>
  <c r="AN126" i="7"/>
  <c r="J142" i="7"/>
  <c r="AU67" i="7"/>
  <c r="R27" i="7"/>
  <c r="AI121" i="7"/>
  <c r="X158" i="7"/>
  <c r="AJ41" i="7"/>
  <c r="S146" i="7"/>
  <c r="AS46" i="7"/>
  <c r="AR71" i="7"/>
  <c r="W89" i="7"/>
  <c r="G81" i="7"/>
  <c r="J69" i="7"/>
  <c r="O140" i="7"/>
  <c r="T127" i="7"/>
  <c r="N53" i="7"/>
  <c r="N145" i="7"/>
  <c r="AC77" i="7"/>
  <c r="J56" i="7"/>
  <c r="AQ51" i="7"/>
  <c r="AM47" i="7"/>
  <c r="AU87" i="7"/>
  <c r="I94" i="7"/>
  <c r="AA28" i="7"/>
  <c r="J26" i="7"/>
  <c r="AK56" i="7"/>
  <c r="AP151" i="7"/>
  <c r="AM30" i="7"/>
  <c r="AB158" i="7"/>
  <c r="AP150" i="7"/>
  <c r="AG28" i="7"/>
  <c r="P8" i="7"/>
  <c r="X149" i="7"/>
  <c r="AB51" i="7"/>
  <c r="AD155" i="7"/>
  <c r="T101" i="7"/>
  <c r="AD84" i="7"/>
  <c r="U129" i="7"/>
  <c r="O103" i="7"/>
  <c r="AS65" i="7"/>
  <c r="P99" i="7"/>
  <c r="V150" i="7"/>
  <c r="AH74" i="7"/>
  <c r="AO60" i="7"/>
  <c r="P35" i="7"/>
  <c r="AH107" i="7"/>
  <c r="AH60" i="7"/>
  <c r="AS31" i="7"/>
  <c r="AC106" i="7"/>
  <c r="AG63" i="7"/>
  <c r="T85" i="7"/>
  <c r="AD148" i="7"/>
  <c r="M108" i="7"/>
  <c r="AO67" i="7"/>
  <c r="H55" i="7"/>
  <c r="AI48" i="7"/>
  <c r="AU111" i="7"/>
  <c r="N34" i="7"/>
  <c r="AC47" i="7"/>
  <c r="AR137" i="7"/>
  <c r="K73" i="7"/>
  <c r="AS136" i="7"/>
  <c r="M36" i="7"/>
  <c r="U74" i="7"/>
  <c r="AH97" i="7"/>
  <c r="AI80" i="7"/>
  <c r="V94" i="7"/>
  <c r="S135" i="7"/>
  <c r="V16" i="7"/>
  <c r="AM85" i="7"/>
  <c r="U43" i="7"/>
  <c r="AL38" i="7"/>
  <c r="AJ48" i="7"/>
  <c r="AK125" i="7"/>
  <c r="V88" i="7"/>
  <c r="AL79" i="7"/>
  <c r="F31" i="7"/>
  <c r="AA25" i="7"/>
  <c r="U18" i="7"/>
  <c r="AM73" i="7"/>
  <c r="P23" i="7"/>
  <c r="AQ136" i="7"/>
  <c r="K54" i="7"/>
  <c r="AT64" i="7"/>
  <c r="AH13" i="7"/>
  <c r="AO61" i="7"/>
  <c r="L61" i="7"/>
  <c r="AD57" i="7"/>
  <c r="AA147" i="7"/>
  <c r="H33" i="7"/>
  <c r="AK21" i="7"/>
  <c r="I53" i="7"/>
  <c r="P73" i="7"/>
  <c r="N27" i="7"/>
  <c r="AL30" i="7"/>
  <c r="AB113" i="7"/>
  <c r="AI86" i="7"/>
  <c r="AL154" i="7"/>
  <c r="AL80" i="7"/>
  <c r="AH9" i="7"/>
  <c r="P43" i="7"/>
  <c r="X117" i="7"/>
  <c r="AM53" i="7"/>
  <c r="AU10" i="7"/>
  <c r="AU90" i="7"/>
  <c r="Y125" i="7"/>
  <c r="AP19" i="7"/>
  <c r="N150" i="7"/>
  <c r="O49" i="7"/>
  <c r="S126" i="7"/>
  <c r="AU119" i="7"/>
  <c r="G27" i="7"/>
  <c r="AL98" i="7"/>
  <c r="AR93" i="7"/>
  <c r="AQ99" i="7"/>
  <c r="AU103" i="7"/>
  <c r="V56" i="7"/>
  <c r="F58" i="7"/>
  <c r="X113" i="7"/>
  <c r="AM36" i="7"/>
  <c r="U92" i="7"/>
  <c r="AF151" i="7"/>
  <c r="T121" i="7"/>
  <c r="AH105" i="7"/>
  <c r="R60" i="7"/>
  <c r="G52" i="7"/>
  <c r="Q53" i="7"/>
  <c r="AF120" i="7"/>
  <c r="AM102" i="7"/>
  <c r="Q118" i="7"/>
  <c r="AE148" i="7"/>
  <c r="R68" i="7"/>
  <c r="AG24" i="7"/>
  <c r="F76" i="7"/>
  <c r="G6" i="7"/>
  <c r="AA44" i="7"/>
  <c r="AC84" i="7"/>
  <c r="F96" i="7"/>
  <c r="T31" i="7"/>
  <c r="AM93" i="7"/>
  <c r="AB122" i="7"/>
  <c r="AJ125" i="7"/>
  <c r="O119" i="7"/>
  <c r="S75" i="7"/>
  <c r="Y135" i="7"/>
  <c r="X66" i="7"/>
  <c r="AJ55" i="7"/>
  <c r="H58" i="7"/>
  <c r="AT113" i="7"/>
  <c r="W24" i="7"/>
  <c r="AI115" i="7"/>
  <c r="AC149" i="7"/>
  <c r="AK65" i="7"/>
  <c r="AI136" i="7"/>
  <c r="J144" i="7"/>
  <c r="AC117" i="7"/>
  <c r="AO132" i="7"/>
  <c r="AO64" i="7"/>
  <c r="AP6" i="7"/>
  <c r="K9" i="7"/>
  <c r="L150" i="7"/>
  <c r="AF10" i="7"/>
  <c r="H147" i="7"/>
  <c r="AP46" i="7"/>
  <c r="AS13" i="7"/>
  <c r="AO62" i="7"/>
  <c r="N59" i="7"/>
  <c r="V104" i="7"/>
  <c r="AB143" i="7"/>
  <c r="AI23" i="7"/>
  <c r="AA58" i="7"/>
  <c r="AM116" i="7"/>
  <c r="AO137" i="7"/>
  <c r="AI107" i="7"/>
  <c r="AI69" i="7"/>
  <c r="AD149" i="7"/>
  <c r="AQ36" i="7"/>
  <c r="AO128" i="7"/>
  <c r="AR57" i="7"/>
  <c r="AT40" i="7"/>
  <c r="AE88" i="7"/>
  <c r="AM68" i="7"/>
  <c r="S117" i="7"/>
  <c r="AQ100" i="7"/>
  <c r="AK29" i="7"/>
  <c r="R117" i="7"/>
  <c r="AK57" i="7"/>
  <c r="AP146" i="7"/>
  <c r="F139" i="7"/>
  <c r="W128" i="7"/>
  <c r="AG40" i="7"/>
  <c r="AL6" i="7"/>
  <c r="AB67" i="7"/>
  <c r="AF118" i="7"/>
  <c r="AS102" i="7"/>
  <c r="AS137" i="7"/>
  <c r="AE60" i="7"/>
  <c r="V139" i="7"/>
  <c r="U27" i="7"/>
  <c r="AD36" i="7"/>
  <c r="J148" i="7"/>
  <c r="AP93" i="7"/>
  <c r="AE116" i="7"/>
  <c r="L139" i="7"/>
  <c r="AK104" i="7"/>
  <c r="S73" i="7"/>
  <c r="AT98" i="7"/>
  <c r="W36" i="7"/>
  <c r="R140" i="7"/>
  <c r="AG123" i="7"/>
  <c r="AP68" i="7"/>
  <c r="AF84" i="7"/>
  <c r="X44" i="7"/>
  <c r="AE149" i="7"/>
  <c r="Q82" i="7"/>
  <c r="AG135" i="7"/>
  <c r="AE102" i="7"/>
  <c r="X79" i="7"/>
  <c r="AJ127" i="7"/>
  <c r="AE33" i="7"/>
  <c r="AH138" i="7"/>
  <c r="AQ90" i="7"/>
  <c r="S23" i="7"/>
  <c r="AM16" i="7"/>
  <c r="AC21" i="7"/>
  <c r="G135" i="7"/>
  <c r="V67" i="7"/>
  <c r="O108" i="7"/>
  <c r="AL91" i="7"/>
  <c r="AR8" i="7"/>
  <c r="AB134" i="7"/>
  <c r="K38" i="7"/>
  <c r="T54" i="7"/>
  <c r="AH76" i="7"/>
  <c r="R134" i="7"/>
  <c r="T18" i="7"/>
  <c r="AN41" i="7"/>
  <c r="O56" i="7"/>
  <c r="AU93" i="7"/>
  <c r="AT30" i="7"/>
  <c r="H150" i="7"/>
  <c r="R97" i="7"/>
  <c r="AK11" i="7"/>
  <c r="AJ21" i="7"/>
  <c r="F12" i="7"/>
  <c r="AR31" i="7"/>
  <c r="M67" i="7"/>
  <c r="R131" i="7"/>
  <c r="AM39" i="7"/>
  <c r="Y40" i="7"/>
  <c r="AG53" i="7"/>
  <c r="O43" i="7"/>
  <c r="N129" i="7"/>
  <c r="AO155" i="7"/>
  <c r="AK60" i="7"/>
  <c r="AI68" i="7"/>
  <c r="L101" i="7"/>
  <c r="AO109" i="7"/>
  <c r="AH79" i="7"/>
  <c r="Z100" i="7"/>
  <c r="AE67" i="7"/>
  <c r="AM150" i="7"/>
  <c r="AU75" i="7"/>
  <c r="Q122" i="7"/>
  <c r="AQ63" i="7"/>
  <c r="K87" i="7"/>
  <c r="T78" i="7"/>
  <c r="R7" i="7"/>
  <c r="M120" i="7"/>
  <c r="O67" i="7"/>
  <c r="AK28" i="7"/>
  <c r="AB101" i="7"/>
  <c r="Q46" i="7"/>
  <c r="AB22" i="7"/>
  <c r="AQ107" i="7"/>
  <c r="Q67" i="7"/>
  <c r="AD68" i="7"/>
  <c r="AA113" i="7"/>
  <c r="I91" i="7"/>
  <c r="I92" i="7"/>
  <c r="I7" i="7"/>
  <c r="AT129" i="7"/>
  <c r="AR39" i="7"/>
  <c r="AG37" i="7"/>
  <c r="AN75" i="7"/>
  <c r="P18" i="7"/>
  <c r="Y139" i="7"/>
  <c r="G94" i="7"/>
  <c r="Y92" i="7"/>
  <c r="AT18" i="7"/>
  <c r="U130" i="7"/>
  <c r="AH95" i="7"/>
  <c r="AF81" i="7"/>
  <c r="R104" i="7"/>
  <c r="P137" i="7"/>
  <c r="AS78" i="7"/>
  <c r="AF11" i="7"/>
  <c r="AS104" i="7"/>
  <c r="P30" i="7"/>
  <c r="H158" i="7"/>
  <c r="R30" i="7"/>
  <c r="R62" i="7"/>
  <c r="AJ123" i="7"/>
  <c r="O106" i="7"/>
  <c r="G41" i="7"/>
  <c r="Y131" i="7"/>
  <c r="P96" i="7"/>
  <c r="AN13" i="7"/>
  <c r="AA62" i="7"/>
  <c r="AF73" i="7"/>
  <c r="Z113" i="7"/>
  <c r="AP158" i="7"/>
  <c r="L71" i="7"/>
  <c r="X13" i="7"/>
  <c r="AC102" i="7"/>
  <c r="R33" i="7"/>
  <c r="R130" i="7"/>
  <c r="O87" i="7"/>
  <c r="AC57" i="7"/>
  <c r="M12" i="7"/>
  <c r="R91" i="7"/>
  <c r="S42" i="7"/>
  <c r="AI45" i="7"/>
  <c r="AL24" i="7"/>
  <c r="AG119" i="7"/>
  <c r="J47" i="7"/>
  <c r="AE156" i="7"/>
  <c r="AD136" i="7"/>
  <c r="G78" i="7"/>
  <c r="AA42" i="7"/>
  <c r="O70" i="7"/>
  <c r="V25" i="7"/>
  <c r="U37" i="7"/>
  <c r="Q107" i="7"/>
  <c r="M25" i="7"/>
  <c r="Y7" i="7"/>
  <c r="Y156" i="7"/>
  <c r="O123" i="7"/>
  <c r="AF14" i="7"/>
  <c r="V134" i="7"/>
  <c r="AM110" i="7"/>
  <c r="G139" i="7"/>
  <c r="AS61" i="7"/>
  <c r="F95" i="7"/>
  <c r="H44" i="7"/>
  <c r="M118" i="7"/>
  <c r="AA91" i="7"/>
  <c r="Y42" i="7"/>
  <c r="N107" i="7"/>
  <c r="AF137" i="7"/>
  <c r="L11" i="7"/>
  <c r="Z112" i="7"/>
  <c r="L6" i="7"/>
  <c r="U111" i="7"/>
  <c r="AM66" i="7"/>
  <c r="AS11" i="7"/>
  <c r="L27" i="7"/>
  <c r="AP27" i="7"/>
  <c r="AA132" i="7"/>
  <c r="AJ146" i="7"/>
  <c r="AF119" i="7"/>
  <c r="AD128" i="7"/>
  <c r="M84" i="7"/>
  <c r="N141" i="7"/>
  <c r="L115" i="7"/>
  <c r="AT91" i="7"/>
  <c r="AK141" i="7"/>
  <c r="AU61" i="7"/>
  <c r="AM114" i="7"/>
  <c r="AB45" i="7"/>
  <c r="AL139" i="7"/>
  <c r="AT139" i="7"/>
  <c r="O36" i="7"/>
  <c r="AI37" i="7"/>
  <c r="AD38" i="7"/>
  <c r="AB26" i="7"/>
  <c r="Q11" i="7"/>
  <c r="W154" i="7"/>
  <c r="W150" i="7"/>
  <c r="M70" i="7"/>
  <c r="AD10" i="7"/>
  <c r="AL153" i="7"/>
  <c r="AK6" i="7"/>
  <c r="L102" i="7"/>
  <c r="AE34" i="7"/>
  <c r="AG133" i="7"/>
  <c r="AN132" i="7"/>
  <c r="O99" i="7"/>
  <c r="K60" i="7"/>
  <c r="AO141" i="7"/>
  <c r="AI132" i="7"/>
  <c r="R11" i="7"/>
  <c r="AD73" i="7"/>
  <c r="AE132" i="7"/>
  <c r="AT43" i="7"/>
  <c r="H98" i="7"/>
  <c r="M114" i="7"/>
  <c r="AO27" i="7"/>
  <c r="H37" i="7"/>
  <c r="H39" i="7"/>
  <c r="S30" i="7"/>
  <c r="AK133" i="7"/>
  <c r="AM98" i="7"/>
  <c r="I134" i="7"/>
  <c r="AM139" i="7"/>
  <c r="Q40" i="7"/>
  <c r="AG138" i="7"/>
  <c r="F142" i="7"/>
  <c r="AD94" i="7"/>
  <c r="K95" i="7"/>
  <c r="AI65" i="7"/>
  <c r="AG52" i="7"/>
  <c r="U85" i="7"/>
  <c r="J109" i="7"/>
  <c r="AI137" i="7"/>
  <c r="M54" i="7"/>
  <c r="AM97" i="7"/>
  <c r="G141" i="7"/>
  <c r="AC139" i="7"/>
  <c r="AC96" i="7"/>
  <c r="X83" i="7"/>
  <c r="S81" i="7"/>
  <c r="AF138" i="7"/>
  <c r="AO29" i="7"/>
  <c r="AH141" i="7"/>
  <c r="AD65" i="7"/>
  <c r="AC118" i="7"/>
  <c r="R142" i="7"/>
  <c r="AH111" i="7"/>
  <c r="AO31" i="7"/>
  <c r="AR101" i="7"/>
  <c r="AO130" i="7"/>
  <c r="F144" i="7"/>
  <c r="Y150" i="7"/>
  <c r="AE6" i="7"/>
  <c r="X18" i="7"/>
  <c r="AF42" i="7"/>
  <c r="AO50" i="7"/>
  <c r="AC144" i="7"/>
  <c r="AM75" i="7"/>
  <c r="AN28" i="7"/>
  <c r="AK14" i="7"/>
  <c r="T81" i="7"/>
  <c r="AS87" i="7"/>
  <c r="AN101" i="7"/>
  <c r="AT11" i="7"/>
  <c r="AF103" i="7"/>
  <c r="P65" i="7"/>
  <c r="S22" i="7"/>
  <c r="L73" i="7"/>
  <c r="H61" i="7"/>
  <c r="AN120" i="7"/>
  <c r="AT115" i="7"/>
  <c r="AU34" i="7"/>
  <c r="I67" i="7"/>
  <c r="Z125" i="7"/>
  <c r="AB87" i="7"/>
  <c r="P152" i="7"/>
  <c r="I58" i="7"/>
  <c r="AL68" i="7"/>
  <c r="AT89" i="7"/>
  <c r="AR54" i="7"/>
  <c r="H28" i="7"/>
  <c r="AO84" i="7"/>
  <c r="K150" i="7"/>
  <c r="Y72" i="7"/>
  <c r="P7" i="7"/>
  <c r="AQ118" i="7"/>
  <c r="Y43" i="7"/>
  <c r="I51" i="7"/>
  <c r="AP36" i="7"/>
  <c r="AI72" i="7"/>
  <c r="AG110" i="7"/>
  <c r="AT152" i="7"/>
  <c r="G43" i="7"/>
  <c r="W86" i="7"/>
  <c r="O28" i="7"/>
  <c r="AK158" i="7"/>
  <c r="Z36" i="7"/>
  <c r="N70" i="7"/>
  <c r="R158" i="7"/>
  <c r="X124" i="7"/>
  <c r="P149" i="7"/>
  <c r="AQ66" i="7"/>
  <c r="Z134" i="7"/>
  <c r="AO32" i="7"/>
  <c r="Y158" i="7"/>
  <c r="M83" i="7"/>
  <c r="AE71" i="7"/>
  <c r="AJ13" i="7"/>
  <c r="K58" i="7"/>
  <c r="AR25" i="7"/>
  <c r="X17" i="7"/>
  <c r="U127" i="7"/>
  <c r="Y93" i="7"/>
  <c r="H23" i="7"/>
  <c r="I97" i="7"/>
  <c r="P10" i="7"/>
  <c r="AU32" i="7"/>
  <c r="AB55" i="7"/>
  <c r="K156" i="7"/>
  <c r="AS95" i="7"/>
  <c r="AK13" i="7"/>
  <c r="AO42" i="7"/>
  <c r="V50" i="7"/>
  <c r="AR66" i="7"/>
  <c r="AF122" i="7"/>
  <c r="AT130" i="7"/>
  <c r="AG65" i="7"/>
  <c r="P28" i="7"/>
  <c r="AS27" i="7"/>
  <c r="AF87" i="7"/>
  <c r="AH157" i="7"/>
  <c r="AA50" i="7"/>
  <c r="AD27" i="7"/>
  <c r="K108" i="7"/>
  <c r="AE43" i="7"/>
  <c r="S123" i="7"/>
  <c r="R25" i="7"/>
  <c r="AO59" i="7"/>
  <c r="M152" i="7"/>
  <c r="AH104" i="7"/>
  <c r="R65" i="7"/>
  <c r="AQ143" i="7"/>
  <c r="P61" i="7"/>
  <c r="AG51" i="7"/>
  <c r="S24" i="7"/>
  <c r="AD92" i="7"/>
  <c r="AG11" i="7"/>
  <c r="J151" i="7"/>
  <c r="Z35" i="7"/>
  <c r="N86" i="7"/>
  <c r="AI84" i="7"/>
  <c r="AB127" i="7"/>
  <c r="U95" i="7"/>
  <c r="M124" i="7"/>
  <c r="K11" i="7"/>
  <c r="Y28" i="7"/>
  <c r="AF69" i="7"/>
  <c r="U22" i="7"/>
  <c r="S102" i="7"/>
  <c r="Y133" i="7"/>
  <c r="X120" i="7"/>
  <c r="R79" i="7"/>
  <c r="R52" i="7"/>
  <c r="Z122" i="7"/>
  <c r="AE27" i="7"/>
  <c r="AR111" i="7"/>
  <c r="AJ6" i="7"/>
  <c r="Q115" i="7"/>
  <c r="R137" i="7"/>
  <c r="AU72" i="7"/>
  <c r="AE9" i="7"/>
  <c r="AM89" i="7"/>
  <c r="AK31" i="7"/>
  <c r="Q27" i="7"/>
  <c r="AF19" i="7"/>
  <c r="AN81" i="7"/>
  <c r="AJ130" i="7"/>
  <c r="T112" i="7"/>
  <c r="AK63" i="7"/>
  <c r="G120" i="7"/>
  <c r="U94" i="7"/>
  <c r="H70" i="7"/>
  <c r="AJ95" i="7"/>
  <c r="V152" i="7"/>
  <c r="AM130" i="7"/>
  <c r="AI101" i="7"/>
  <c r="AN22" i="7"/>
  <c r="I56" i="7"/>
  <c r="AP75" i="7"/>
  <c r="R110" i="7"/>
  <c r="AJ23" i="7"/>
  <c r="AO150" i="7"/>
  <c r="AP135" i="7"/>
  <c r="S141" i="7"/>
  <c r="AS88" i="7"/>
  <c r="AK95" i="7"/>
  <c r="M23" i="7"/>
  <c r="V129" i="7"/>
  <c r="AK131" i="7"/>
  <c r="F74" i="7"/>
  <c r="AR52" i="7"/>
  <c r="AG104" i="7"/>
  <c r="L34" i="7"/>
  <c r="M147" i="7"/>
  <c r="Z116" i="7"/>
  <c r="AM148" i="7"/>
  <c r="T128" i="7"/>
  <c r="AR135" i="7"/>
  <c r="G9" i="7"/>
  <c r="Z19" i="7"/>
  <c r="N116" i="7"/>
  <c r="AC78" i="7"/>
  <c r="L154" i="7"/>
  <c r="AA110" i="7"/>
  <c r="T114" i="7"/>
  <c r="H88" i="7"/>
  <c r="X57" i="7"/>
  <c r="O116" i="7"/>
  <c r="X106" i="7"/>
  <c r="Z24" i="7"/>
  <c r="N57" i="7"/>
  <c r="Q86" i="7"/>
  <c r="Z26" i="7"/>
  <c r="AJ27" i="7"/>
  <c r="AD39" i="7"/>
  <c r="F6" i="7"/>
  <c r="AC105" i="7"/>
  <c r="Z127" i="7"/>
  <c r="W14" i="7"/>
  <c r="AG79" i="7"/>
  <c r="G97" i="7"/>
  <c r="J35" i="7"/>
  <c r="Q157" i="7"/>
  <c r="I149" i="7"/>
  <c r="AU144" i="7"/>
  <c r="T130" i="7"/>
  <c r="AC129" i="7"/>
  <c r="AE107" i="7"/>
  <c r="AQ46" i="7"/>
  <c r="AT31" i="7"/>
  <c r="I54" i="7"/>
  <c r="X147" i="7"/>
  <c r="T140" i="7"/>
  <c r="N130" i="7"/>
  <c r="R35" i="7"/>
  <c r="AR75" i="7"/>
  <c r="N83" i="7"/>
  <c r="AT44" i="7"/>
  <c r="AB130" i="7"/>
  <c r="AE64" i="7"/>
  <c r="AN34" i="7"/>
  <c r="Z123" i="7"/>
  <c r="AC142" i="7"/>
  <c r="X52" i="7"/>
  <c r="AB34" i="7"/>
  <c r="AK51" i="7"/>
  <c r="AP18" i="7"/>
  <c r="AQ108" i="7"/>
  <c r="AH134" i="7"/>
  <c r="AP10" i="7"/>
  <c r="AS51" i="7"/>
  <c r="U120" i="7"/>
  <c r="AK113" i="7"/>
  <c r="AH31" i="7"/>
  <c r="I63" i="7"/>
  <c r="X21" i="7"/>
  <c r="J74" i="7"/>
  <c r="N44" i="7"/>
  <c r="Q124" i="7"/>
  <c r="Z88" i="7"/>
  <c r="N17" i="7"/>
  <c r="AC91" i="7"/>
  <c r="O34" i="7"/>
  <c r="AJ39" i="7"/>
  <c r="J154" i="7"/>
  <c r="AB40" i="7"/>
  <c r="AP53" i="7"/>
  <c r="AA81" i="7"/>
  <c r="P59" i="7"/>
  <c r="M104" i="7"/>
  <c r="AF121" i="7"/>
  <c r="F21" i="7"/>
  <c r="AO34" i="7"/>
  <c r="AL54" i="7"/>
  <c r="G121" i="7"/>
  <c r="M13" i="7"/>
  <c r="P98" i="7"/>
  <c r="U144" i="7"/>
  <c r="AH122" i="7"/>
  <c r="Z25" i="7"/>
  <c r="L47" i="7"/>
  <c r="AF85" i="7"/>
  <c r="AT9" i="7"/>
  <c r="T150" i="7"/>
  <c r="W76" i="7"/>
  <c r="AL104" i="7"/>
  <c r="Q73" i="7"/>
  <c r="S45" i="7"/>
  <c r="AC70" i="7"/>
  <c r="T41" i="7"/>
  <c r="P21" i="7"/>
  <c r="Z141" i="7"/>
  <c r="AL95" i="7"/>
  <c r="M81" i="7"/>
  <c r="AO86" i="7"/>
  <c r="AC7" i="7"/>
  <c r="AL50" i="7"/>
  <c r="K66" i="7"/>
  <c r="AN85" i="7"/>
  <c r="X68" i="7"/>
  <c r="V79" i="7"/>
  <c r="AA54" i="7"/>
  <c r="V149" i="7"/>
  <c r="AI66" i="7"/>
  <c r="AR35" i="7"/>
  <c r="Z106" i="7"/>
  <c r="J41" i="7"/>
  <c r="AQ93" i="7"/>
  <c r="P157" i="7"/>
  <c r="AJ56" i="7"/>
  <c r="Q105" i="7"/>
  <c r="AD135" i="7"/>
  <c r="T103" i="7"/>
  <c r="AN8" i="7"/>
  <c r="AL39" i="7"/>
  <c r="AN43" i="7"/>
  <c r="Z15" i="7"/>
  <c r="P9" i="7"/>
  <c r="AE44" i="7"/>
  <c r="AS10" i="7"/>
  <c r="R81" i="7"/>
  <c r="F48" i="7"/>
  <c r="AB141" i="7"/>
  <c r="Q61" i="7"/>
  <c r="L69" i="7"/>
  <c r="W146" i="7"/>
  <c r="L35" i="7"/>
  <c r="AT81" i="7"/>
  <c r="M107" i="7"/>
  <c r="P75" i="7"/>
  <c r="AI127" i="7"/>
  <c r="AR41" i="7"/>
  <c r="K154" i="7"/>
  <c r="I50" i="7"/>
  <c r="Z132" i="7"/>
  <c r="R10" i="7"/>
  <c r="AS158" i="7"/>
  <c r="U137" i="7"/>
  <c r="AP78" i="7"/>
  <c r="L21" i="7"/>
  <c r="W54" i="7"/>
  <c r="AP43" i="7"/>
  <c r="M51" i="7"/>
  <c r="AS58" i="7"/>
  <c r="AO15" i="7"/>
  <c r="X36" i="7"/>
  <c r="AL52" i="7"/>
  <c r="G75" i="7"/>
  <c r="AB83" i="7"/>
  <c r="O90" i="7"/>
  <c r="L57" i="7"/>
  <c r="K19" i="7"/>
  <c r="Y62" i="7"/>
  <c r="AF34" i="7"/>
  <c r="AB155" i="7"/>
  <c r="M75" i="7"/>
  <c r="X73" i="7"/>
  <c r="AG57" i="7"/>
  <c r="AU104" i="7"/>
  <c r="H38" i="7"/>
  <c r="AD93" i="7"/>
  <c r="K8" i="7"/>
  <c r="AT27" i="7"/>
  <c r="Y75" i="7"/>
  <c r="X34" i="7"/>
  <c r="Q71" i="7"/>
  <c r="W19" i="7"/>
  <c r="R78" i="7"/>
  <c r="K32" i="7"/>
  <c r="F8" i="7"/>
  <c r="AL127" i="7"/>
  <c r="AM64" i="7"/>
  <c r="AU126" i="7"/>
  <c r="AQ122" i="7"/>
  <c r="G146" i="7"/>
  <c r="N67" i="7"/>
  <c r="H131" i="7"/>
  <c r="F155" i="7"/>
  <c r="AS115" i="7"/>
  <c r="M43" i="7"/>
  <c r="AC132" i="7"/>
  <c r="F156" i="7"/>
  <c r="N131" i="7"/>
  <c r="AO125" i="7"/>
  <c r="Y59" i="7"/>
  <c r="AH142" i="7"/>
  <c r="AT132" i="7"/>
  <c r="H40" i="7"/>
  <c r="AT21" i="7"/>
  <c r="Y101" i="7"/>
  <c r="M68" i="7"/>
  <c r="AG32" i="7"/>
  <c r="Q111" i="7"/>
  <c r="F93" i="7"/>
  <c r="AO99" i="7"/>
  <c r="AG132" i="7"/>
  <c r="AU7" i="7"/>
  <c r="AJ24" i="7"/>
  <c r="J38" i="7"/>
  <c r="AJ145" i="7"/>
  <c r="AD83" i="7"/>
  <c r="AM145" i="7"/>
  <c r="AP52" i="7"/>
  <c r="I150" i="7"/>
  <c r="Q34" i="7"/>
  <c r="AE108" i="7"/>
  <c r="L8" i="7"/>
  <c r="AP22" i="7"/>
  <c r="AO38" i="7"/>
  <c r="K111" i="7"/>
  <c r="AE74" i="7"/>
  <c r="AL113" i="7"/>
  <c r="Q6" i="7"/>
  <c r="AS125" i="7"/>
  <c r="AQ13" i="7"/>
  <c r="Y95" i="7"/>
  <c r="J117" i="7"/>
  <c r="X7" i="7"/>
  <c r="AK126" i="7"/>
  <c r="K137" i="7"/>
  <c r="AK146" i="7"/>
  <c r="R138" i="7"/>
  <c r="S156" i="7"/>
  <c r="AM22" i="7"/>
  <c r="AS133" i="7"/>
  <c r="AR55" i="7"/>
  <c r="AC108" i="7"/>
  <c r="U98" i="7"/>
  <c r="K125" i="7"/>
  <c r="AA22" i="7"/>
  <c r="AJ144" i="7"/>
  <c r="AG15" i="7"/>
  <c r="J80" i="7"/>
  <c r="S143" i="7"/>
  <c r="R40" i="7"/>
  <c r="AA13" i="7"/>
  <c r="F136" i="7"/>
  <c r="AC72" i="7"/>
  <c r="AI99" i="7"/>
  <c r="U77" i="7"/>
  <c r="I123" i="7"/>
  <c r="AK37" i="7"/>
  <c r="AI148" i="7"/>
  <c r="V76" i="7"/>
  <c r="N117" i="7"/>
  <c r="U53" i="7"/>
  <c r="AQ56" i="7"/>
  <c r="AJ106" i="7"/>
  <c r="AN127" i="7"/>
  <c r="AU55" i="7"/>
  <c r="T13" i="7"/>
  <c r="AF115" i="7"/>
  <c r="AA33" i="7"/>
  <c r="H82" i="7"/>
  <c r="M35" i="7"/>
  <c r="AL55" i="7"/>
  <c r="AA70" i="7"/>
  <c r="AM147" i="7"/>
  <c r="AE48" i="7"/>
  <c r="S92" i="7"/>
  <c r="Z65" i="7"/>
  <c r="U51" i="7"/>
  <c r="F90" i="7"/>
  <c r="H119" i="7"/>
  <c r="AK55" i="7"/>
  <c r="AL138" i="7"/>
  <c r="AG140" i="7"/>
  <c r="F65" i="7"/>
  <c r="AB58" i="7"/>
  <c r="AB47" i="7"/>
  <c r="Y55" i="7"/>
  <c r="P76" i="7"/>
  <c r="AC9" i="7"/>
  <c r="AQ9" i="7"/>
  <c r="I109" i="7"/>
  <c r="H36" i="7"/>
  <c r="T62" i="7"/>
  <c r="T63" i="7"/>
  <c r="G73" i="7"/>
  <c r="O64" i="7"/>
  <c r="O65" i="7"/>
  <c r="AG27" i="7"/>
  <c r="R51" i="7"/>
  <c r="AJ60" i="7"/>
  <c r="W153" i="7"/>
  <c r="Z55" i="7"/>
  <c r="AC150" i="7"/>
  <c r="Z41" i="7"/>
  <c r="AF15" i="7"/>
  <c r="AR103" i="7"/>
  <c r="AI46" i="7"/>
  <c r="AD98" i="7"/>
  <c r="T19" i="7"/>
  <c r="AQ114" i="7"/>
  <c r="AS50" i="7"/>
  <c r="F34" i="7"/>
  <c r="AF75" i="7"/>
  <c r="P88" i="7"/>
  <c r="AR21" i="7"/>
  <c r="N123" i="7"/>
  <c r="I9" i="7"/>
  <c r="X118" i="7"/>
  <c r="W39" i="7"/>
  <c r="AL64" i="7"/>
  <c r="AC49" i="7"/>
  <c r="AA82" i="7"/>
  <c r="O41" i="7"/>
  <c r="AR68" i="7"/>
  <c r="AK36" i="7"/>
  <c r="I12" i="7"/>
  <c r="J98" i="7"/>
  <c r="AB86" i="7"/>
  <c r="K105" i="7"/>
  <c r="P77" i="7"/>
  <c r="AL29" i="7"/>
  <c r="AP123" i="7"/>
  <c r="H35" i="7"/>
  <c r="K91" i="7"/>
  <c r="R132" i="7"/>
  <c r="AD22" i="7"/>
  <c r="AI14" i="7"/>
  <c r="L16" i="7"/>
  <c r="AA9" i="7"/>
  <c r="Q19" i="7"/>
  <c r="AP94" i="7"/>
  <c r="I69" i="7"/>
  <c r="Y142" i="7"/>
  <c r="S21" i="7"/>
  <c r="AR19" i="7"/>
  <c r="P112" i="7"/>
  <c r="W49" i="7"/>
  <c r="L124" i="7"/>
  <c r="AA124" i="7"/>
  <c r="F110" i="7"/>
  <c r="AG59" i="7"/>
  <c r="AR90" i="7"/>
  <c r="AL94" i="7"/>
  <c r="AS145" i="7"/>
  <c r="T84" i="7"/>
  <c r="AS68" i="7"/>
  <c r="AS44" i="7"/>
  <c r="AA94" i="7"/>
  <c r="AD66" i="7"/>
  <c r="AP104" i="7"/>
  <c r="AA16" i="7"/>
  <c r="AO53" i="7"/>
  <c r="AD152" i="7"/>
  <c r="AH92" i="7"/>
  <c r="P32" i="7"/>
  <c r="AT77" i="7"/>
  <c r="V151" i="7"/>
  <c r="AF47" i="7"/>
  <c r="L75" i="7"/>
  <c r="Y58" i="7"/>
  <c r="J72" i="7"/>
  <c r="AB115" i="7"/>
  <c r="I61" i="7"/>
  <c r="AD80" i="7"/>
  <c r="Q36" i="7"/>
  <c r="AP113" i="7"/>
  <c r="AM8" i="7"/>
  <c r="V138" i="7"/>
  <c r="P57" i="7"/>
  <c r="I100" i="7"/>
  <c r="AT6" i="7"/>
  <c r="N8" i="7"/>
  <c r="J100" i="7"/>
  <c r="I122" i="7"/>
  <c r="AP69" i="7"/>
  <c r="AE157" i="7"/>
  <c r="P123" i="7"/>
  <c r="H29" i="7"/>
  <c r="AL157" i="7"/>
  <c r="S31" i="7"/>
  <c r="Z118" i="7"/>
  <c r="AO140" i="7"/>
  <c r="AP66" i="7"/>
  <c r="V125" i="7"/>
  <c r="G96" i="7"/>
  <c r="S128" i="7"/>
  <c r="M74" i="7"/>
  <c r="P93" i="7"/>
  <c r="O105" i="7"/>
  <c r="P52" i="7"/>
  <c r="S68" i="7"/>
  <c r="L10" i="7"/>
  <c r="AC155" i="7"/>
  <c r="M64" i="7"/>
  <c r="AA142" i="7"/>
  <c r="R152" i="7"/>
  <c r="AS35" i="7"/>
  <c r="AQ43" i="7"/>
  <c r="AD16" i="7"/>
  <c r="T7" i="7"/>
  <c r="W59" i="7"/>
  <c r="X82" i="7"/>
  <c r="AR94" i="7"/>
  <c r="G30" i="7"/>
  <c r="AK144" i="7"/>
  <c r="N128" i="7"/>
  <c r="Y65" i="7"/>
  <c r="AU109" i="7"/>
  <c r="F146" i="7"/>
  <c r="H115" i="7"/>
  <c r="AK75" i="7"/>
  <c r="N137" i="7"/>
  <c r="J53" i="7"/>
  <c r="T111" i="7"/>
  <c r="AN147" i="7"/>
  <c r="AF36" i="7"/>
  <c r="AC153" i="7"/>
  <c r="S147" i="7"/>
  <c r="AJ149" i="7"/>
  <c r="Q154" i="7"/>
  <c r="AJ135" i="7"/>
  <c r="G16" i="7"/>
  <c r="AO151" i="7"/>
  <c r="Z147" i="7"/>
  <c r="T33" i="7"/>
  <c r="Q151" i="7"/>
  <c r="AB91" i="7"/>
  <c r="AN117" i="7"/>
  <c r="AC104" i="7"/>
  <c r="H116" i="7"/>
  <c r="AC28" i="7"/>
  <c r="AJ18" i="7"/>
  <c r="AL112" i="7"/>
  <c r="J59" i="7"/>
  <c r="AC85" i="7"/>
  <c r="N148" i="7"/>
  <c r="AG97" i="7"/>
  <c r="X9" i="7"/>
  <c r="AU156" i="7"/>
  <c r="AQ31" i="7"/>
  <c r="AI36" i="7"/>
  <c r="AF149" i="7"/>
  <c r="AB147" i="7"/>
  <c r="L72" i="7"/>
  <c r="AP143" i="7"/>
  <c r="AS118" i="7"/>
  <c r="AT158" i="7"/>
  <c r="Z64" i="7"/>
  <c r="AF112" i="7"/>
  <c r="AU105" i="7"/>
  <c r="M140" i="7"/>
  <c r="AF113" i="7"/>
  <c r="AL133" i="7"/>
  <c r="AG74" i="7"/>
  <c r="AA80" i="7"/>
  <c r="AA148" i="7"/>
  <c r="Z92" i="7"/>
  <c r="M132" i="7"/>
  <c r="Q132" i="7"/>
  <c r="AA19" i="7"/>
  <c r="X139" i="7"/>
  <c r="AU107" i="7"/>
  <c r="AC131" i="7"/>
  <c r="AC82" i="7"/>
  <c r="L96" i="7"/>
  <c r="AF30" i="7"/>
  <c r="AB90" i="7"/>
  <c r="U49" i="7"/>
  <c r="AA57" i="7"/>
  <c r="AK108" i="7"/>
  <c r="F103" i="7"/>
  <c r="O151" i="7"/>
  <c r="J55" i="7"/>
  <c r="AG88" i="7"/>
  <c r="J19" i="7"/>
  <c r="X143" i="7"/>
  <c r="AB82" i="7"/>
  <c r="AU68" i="7"/>
  <c r="AS141" i="7"/>
  <c r="AK100" i="7"/>
  <c r="Z49" i="7"/>
  <c r="AL42" i="7"/>
  <c r="AG20" i="7"/>
  <c r="AE145" i="7"/>
  <c r="AF44" i="7"/>
  <c r="AG111" i="7"/>
  <c r="AN149" i="7"/>
  <c r="T138" i="7"/>
  <c r="AN104" i="7"/>
  <c r="H102" i="7"/>
  <c r="Z8" i="7"/>
  <c r="AA153" i="7"/>
  <c r="AT133" i="7"/>
  <c r="AB31" i="7"/>
  <c r="AI47" i="7"/>
  <c r="T91" i="7"/>
  <c r="AJ142" i="7"/>
  <c r="H112" i="7"/>
  <c r="Q88" i="7"/>
  <c r="X90" i="7"/>
  <c r="Q17" i="7"/>
  <c r="AK134" i="7"/>
  <c r="AG77" i="7"/>
  <c r="AN58" i="7"/>
  <c r="I14" i="7"/>
  <c r="AN136" i="7"/>
  <c r="I129" i="7"/>
  <c r="AP15" i="7"/>
  <c r="AU106" i="7"/>
  <c r="AJ79" i="7"/>
  <c r="AG136" i="7"/>
  <c r="S118" i="7"/>
  <c r="AI35" i="7"/>
  <c r="AK136" i="7"/>
  <c r="G129" i="7"/>
  <c r="U25" i="7"/>
  <c r="AB12" i="7"/>
  <c r="AE111" i="7"/>
  <c r="O21" i="7"/>
  <c r="W141" i="7"/>
  <c r="AE153" i="7"/>
  <c r="AI75" i="7"/>
  <c r="AT107" i="7"/>
  <c r="H138" i="7"/>
  <c r="AS76" i="7"/>
  <c r="AD91" i="7"/>
  <c r="R80" i="7"/>
  <c r="AM11" i="7"/>
  <c r="V66" i="7"/>
  <c r="H92" i="7"/>
  <c r="H141" i="7"/>
  <c r="V102" i="7"/>
  <c r="AF106" i="7"/>
  <c r="Y11" i="7"/>
  <c r="AE131" i="7"/>
  <c r="L83" i="7"/>
  <c r="AB120" i="7"/>
  <c r="M134" i="7"/>
  <c r="I72" i="7"/>
  <c r="AA20" i="7"/>
  <c r="V91" i="7"/>
  <c r="AN50" i="7"/>
  <c r="J40" i="7"/>
  <c r="I19" i="7"/>
  <c r="Z47" i="7"/>
  <c r="AM82" i="7"/>
  <c r="AD77" i="7"/>
  <c r="N16" i="7"/>
  <c r="T92" i="7"/>
  <c r="AH32" i="7"/>
  <c r="AF68" i="7"/>
  <c r="W77" i="7"/>
  <c r="AM101" i="7"/>
  <c r="H134" i="7"/>
  <c r="K20" i="7"/>
  <c r="AK32" i="7"/>
  <c r="AT124" i="7"/>
  <c r="AL73" i="7"/>
  <c r="AR9" i="7"/>
  <c r="X134" i="7"/>
  <c r="AS9" i="7"/>
  <c r="AD67" i="7"/>
  <c r="M21" i="7"/>
  <c r="T104" i="7"/>
  <c r="AP117" i="7"/>
  <c r="F118" i="7"/>
  <c r="F7" i="7"/>
  <c r="AB139" i="7"/>
  <c r="T83" i="7"/>
  <c r="AT73" i="7"/>
  <c r="AC42" i="7"/>
  <c r="P40" i="7"/>
  <c r="AA29" i="7"/>
  <c r="AR85" i="7"/>
  <c r="AL26" i="7"/>
  <c r="K74" i="7"/>
  <c r="AT24" i="7"/>
  <c r="Z145" i="7"/>
  <c r="Z14" i="7"/>
  <c r="AB54" i="7"/>
  <c r="N35" i="7"/>
  <c r="AR61" i="7"/>
  <c r="Q126" i="7"/>
  <c r="F92" i="7"/>
  <c r="G104" i="7"/>
  <c r="Y100" i="7"/>
  <c r="X80" i="7"/>
  <c r="X14" i="7"/>
  <c r="AD19" i="7"/>
  <c r="AP102" i="7"/>
  <c r="T157" i="7"/>
  <c r="Y27" i="7"/>
  <c r="H123" i="7"/>
  <c r="AQ116" i="7"/>
  <c r="AH88" i="7"/>
  <c r="V124" i="7"/>
  <c r="AB68" i="7"/>
  <c r="M151" i="7"/>
  <c r="AO51" i="7"/>
  <c r="G51" i="7"/>
  <c r="AO129" i="7"/>
  <c r="AC112" i="7"/>
  <c r="R56" i="7"/>
  <c r="R55" i="7"/>
  <c r="I34" i="7"/>
  <c r="M137" i="7"/>
  <c r="AO40" i="7"/>
  <c r="AK103" i="7"/>
  <c r="AL117" i="7"/>
  <c r="G56" i="7"/>
  <c r="AK30" i="7"/>
  <c r="W35" i="7"/>
  <c r="Y99" i="7"/>
  <c r="N29" i="7"/>
  <c r="AR147" i="7"/>
  <c r="AC98" i="7"/>
  <c r="AN157" i="7"/>
  <c r="AB110" i="7"/>
  <c r="U81" i="7"/>
  <c r="F115" i="7"/>
  <c r="AJ88" i="7"/>
  <c r="F39" i="7"/>
  <c r="AC24" i="7"/>
  <c r="AH87" i="7"/>
  <c r="AP32" i="7"/>
  <c r="AE59" i="7"/>
  <c r="T69" i="7"/>
  <c r="AP108" i="7"/>
  <c r="I35" i="7"/>
  <c r="Q23" i="7"/>
  <c r="H146" i="7"/>
  <c r="Z121" i="7"/>
  <c r="J83" i="7"/>
  <c r="AD78" i="7"/>
  <c r="U26" i="7"/>
  <c r="AL70" i="7"/>
  <c r="AH86" i="7"/>
  <c r="S106" i="7"/>
  <c r="G74" i="7"/>
  <c r="AL152" i="7"/>
  <c r="AB28" i="7"/>
  <c r="AG45" i="7"/>
  <c r="O38" i="7"/>
  <c r="AH85" i="7"/>
  <c r="H81" i="7"/>
  <c r="O100" i="7"/>
  <c r="AF31" i="7"/>
  <c r="AU73" i="7"/>
  <c r="R70" i="7"/>
  <c r="K29" i="7"/>
  <c r="T47" i="7"/>
  <c r="AS119" i="7"/>
  <c r="Z56" i="7"/>
  <c r="F121" i="7"/>
  <c r="AD85" i="7"/>
  <c r="AR152" i="7"/>
  <c r="AA92" i="7"/>
  <c r="T53" i="7"/>
  <c r="AL107" i="7"/>
  <c r="AJ108" i="7"/>
  <c r="M85" i="7"/>
  <c r="G103" i="7"/>
  <c r="I68" i="7"/>
  <c r="AK119" i="7"/>
  <c r="AE55" i="7"/>
  <c r="AQ126" i="7"/>
  <c r="AB114" i="7"/>
  <c r="AC124" i="7"/>
  <c r="O153" i="7"/>
  <c r="U93" i="7"/>
  <c r="O85" i="7"/>
  <c r="X107" i="7"/>
  <c r="W116" i="7"/>
  <c r="F108" i="7"/>
  <c r="Z50" i="7"/>
  <c r="F98" i="7"/>
  <c r="R98" i="7"/>
  <c r="AD31" i="7"/>
  <c r="AH140" i="7"/>
  <c r="AF7" i="7"/>
  <c r="H18" i="7"/>
  <c r="AF155" i="7"/>
  <c r="AG116" i="7"/>
  <c r="K88" i="7"/>
  <c r="Q29" i="7"/>
  <c r="AR97" i="7"/>
  <c r="AK152" i="7"/>
  <c r="J78" i="7"/>
  <c r="Q33" i="7"/>
  <c r="O24" i="7"/>
  <c r="AS37" i="7"/>
  <c r="Z142" i="7"/>
  <c r="AA117" i="7"/>
  <c r="M49" i="7"/>
  <c r="M28" i="7"/>
  <c r="AM113" i="7"/>
  <c r="X123" i="7"/>
  <c r="K37" i="7"/>
  <c r="H144" i="7"/>
  <c r="AT52" i="7"/>
  <c r="G128" i="7"/>
  <c r="T143" i="7"/>
  <c r="J68" i="7"/>
  <c r="AG67" i="7"/>
  <c r="AN67" i="7"/>
  <c r="M101" i="7"/>
  <c r="W73" i="7"/>
  <c r="AP31" i="7"/>
  <c r="X92" i="7"/>
  <c r="AE53" i="7"/>
  <c r="Q42" i="7"/>
  <c r="Y17" i="7"/>
  <c r="AK118" i="7"/>
  <c r="Z157" i="7"/>
  <c r="U61" i="7"/>
  <c r="Y107" i="7"/>
  <c r="M150" i="7"/>
  <c r="T51" i="7"/>
  <c r="Y132" i="7"/>
  <c r="Y111" i="7"/>
  <c r="V63" i="7"/>
  <c r="AS43" i="7"/>
  <c r="AM133" i="7"/>
  <c r="AO135" i="7"/>
  <c r="AI83" i="7"/>
  <c r="N78" i="7"/>
  <c r="M56" i="7"/>
  <c r="J122" i="7"/>
  <c r="T8" i="7"/>
  <c r="AC136" i="7"/>
  <c r="AT87" i="7"/>
  <c r="G34" i="7"/>
  <c r="V87" i="7"/>
  <c r="W157" i="7"/>
  <c r="L24" i="7"/>
  <c r="AH68" i="7"/>
  <c r="L49" i="7"/>
  <c r="AR24" i="7"/>
  <c r="J21" i="7"/>
  <c r="L9" i="7"/>
  <c r="AS48" i="7"/>
  <c r="J54" i="7"/>
  <c r="S74" i="7"/>
  <c r="AL21" i="7"/>
  <c r="AU143" i="7"/>
  <c r="Z86" i="7"/>
  <c r="AN42" i="7"/>
  <c r="L125" i="7"/>
  <c r="AS130" i="7"/>
  <c r="Z124" i="7"/>
  <c r="AO133" i="7"/>
  <c r="N58" i="7"/>
  <c r="AJ113" i="7"/>
  <c r="AJ31" i="7"/>
  <c r="AQ48" i="7"/>
  <c r="J15" i="7"/>
  <c r="AE77" i="7"/>
  <c r="Y56" i="7"/>
  <c r="Z71" i="7"/>
  <c r="AP40" i="7"/>
  <c r="AH22" i="7"/>
  <c r="V26" i="7"/>
  <c r="AA83" i="7"/>
  <c r="AS64" i="7"/>
  <c r="I146" i="7"/>
  <c r="N132" i="7"/>
  <c r="AL151" i="7"/>
  <c r="X125" i="7"/>
  <c r="AJ109" i="7"/>
  <c r="AK151" i="7"/>
  <c r="F73" i="7"/>
  <c r="AN154" i="7"/>
  <c r="M143" i="7"/>
  <c r="AN140" i="7"/>
  <c r="AA149" i="7"/>
  <c r="AL114" i="7"/>
  <c r="J97" i="7"/>
  <c r="AO6" i="7"/>
  <c r="S114" i="7"/>
  <c r="AF27" i="7"/>
  <c r="I37" i="7"/>
  <c r="L70" i="7"/>
  <c r="AB94" i="7"/>
  <c r="AJ10" i="7"/>
  <c r="K139" i="7"/>
  <c r="AI41" i="7"/>
  <c r="AM127" i="7"/>
  <c r="X155" i="7"/>
  <c r="AJ154" i="7"/>
  <c r="Z93" i="7"/>
  <c r="O78" i="7"/>
  <c r="AS134" i="7"/>
  <c r="U59" i="7"/>
  <c r="AF94" i="7"/>
  <c r="H117" i="7"/>
  <c r="N28" i="7"/>
  <c r="T45" i="7"/>
  <c r="AQ71" i="7"/>
  <c r="L76" i="7"/>
  <c r="X152" i="7"/>
  <c r="J73" i="7"/>
  <c r="H140" i="7"/>
  <c r="AI100" i="7"/>
  <c r="AI81" i="7"/>
  <c r="S32" i="7"/>
  <c r="O120" i="7"/>
  <c r="AK130" i="7"/>
  <c r="W104" i="7"/>
  <c r="F85" i="7"/>
  <c r="AO72" i="7"/>
  <c r="AA102" i="7"/>
  <c r="V123" i="7"/>
  <c r="N46" i="7"/>
  <c r="AA155" i="7"/>
  <c r="T60" i="7"/>
  <c r="K36" i="7"/>
  <c r="AK97" i="7"/>
  <c r="I145" i="7"/>
  <c r="AJ90" i="7"/>
  <c r="AQ82" i="7"/>
  <c r="S46" i="7"/>
  <c r="J46" i="7"/>
  <c r="H85" i="7"/>
  <c r="AN62" i="7"/>
  <c r="AC33" i="7"/>
  <c r="AB18" i="7"/>
  <c r="R42" i="7"/>
  <c r="X114" i="7"/>
  <c r="AH8" i="7"/>
  <c r="K134" i="7"/>
  <c r="AR139" i="7"/>
  <c r="R145" i="7"/>
  <c r="AS62" i="7"/>
  <c r="H129" i="7"/>
  <c r="AK147" i="7"/>
  <c r="AK85" i="7"/>
  <c r="AO89" i="7"/>
  <c r="I43" i="7"/>
  <c r="AB77" i="7"/>
  <c r="AI96" i="7"/>
  <c r="T116" i="7"/>
  <c r="AU36" i="7"/>
  <c r="AF21" i="7"/>
  <c r="M24" i="7"/>
  <c r="AK49" i="7"/>
  <c r="T141" i="7"/>
  <c r="K79" i="7"/>
  <c r="AO97" i="7"/>
  <c r="AR114" i="7"/>
  <c r="K118" i="7"/>
  <c r="L50" i="7"/>
  <c r="AU30" i="7"/>
  <c r="AN100" i="7"/>
  <c r="AL27" i="7"/>
  <c r="AE140" i="7"/>
  <c r="AL126" i="7"/>
  <c r="AU21" i="7"/>
  <c r="S51" i="7"/>
  <c r="AT153" i="7"/>
  <c r="AO71" i="7"/>
  <c r="V137" i="7"/>
  <c r="I6" i="7"/>
  <c r="G119" i="7"/>
  <c r="J145" i="7"/>
  <c r="Q104" i="7"/>
  <c r="S34" i="7"/>
  <c r="AI103" i="7"/>
  <c r="AQ131" i="7"/>
  <c r="I44" i="7"/>
  <c r="V53" i="7"/>
  <c r="AI49" i="7"/>
  <c r="U115" i="7"/>
  <c r="F143" i="7"/>
  <c r="S39" i="7"/>
  <c r="R157" i="7"/>
  <c r="AG41" i="7"/>
  <c r="H20" i="7"/>
  <c r="AC75" i="7"/>
  <c r="Q65" i="7"/>
  <c r="AB116" i="7"/>
  <c r="O118" i="7"/>
  <c r="AA130" i="7"/>
  <c r="H53" i="7"/>
  <c r="AC97" i="7"/>
  <c r="AL156" i="7"/>
  <c r="O148" i="7"/>
  <c r="AG83" i="7"/>
  <c r="AG106" i="7"/>
  <c r="AA34" i="7"/>
  <c r="AL69" i="7"/>
  <c r="K155" i="7"/>
  <c r="AT62" i="7"/>
  <c r="AG73" i="7"/>
  <c r="G148" i="7"/>
  <c r="J155" i="7"/>
  <c r="M135" i="7"/>
  <c r="G24" i="7"/>
  <c r="K117" i="7"/>
  <c r="AM12" i="7"/>
  <c r="M87" i="7"/>
  <c r="AK106" i="7"/>
  <c r="H118" i="7"/>
  <c r="AP152" i="7"/>
  <c r="W60" i="7"/>
  <c r="AL74" i="7"/>
  <c r="AD70" i="7"/>
  <c r="U140" i="7"/>
  <c r="Q52" i="7"/>
  <c r="AN17" i="7"/>
  <c r="AR22" i="7"/>
  <c r="AA90" i="7"/>
  <c r="J110" i="7"/>
  <c r="N12" i="7"/>
  <c r="AJ89" i="7"/>
  <c r="U11" i="7"/>
  <c r="U139" i="7"/>
  <c r="Q60" i="7"/>
  <c r="AT16" i="7"/>
  <c r="M149" i="7"/>
  <c r="AF33" i="7"/>
  <c r="X47" i="7"/>
  <c r="W127" i="7"/>
  <c r="U145" i="7"/>
  <c r="AO24" i="7"/>
  <c r="U97" i="7"/>
  <c r="AE112" i="7"/>
  <c r="AD30" i="7"/>
  <c r="H128" i="7"/>
  <c r="AI40" i="7"/>
  <c r="F128" i="7"/>
  <c r="AI18" i="7"/>
  <c r="AL14" i="7"/>
  <c r="N74" i="7"/>
  <c r="AK142" i="7"/>
  <c r="R133" i="7"/>
  <c r="AM59" i="7"/>
  <c r="U138" i="7"/>
  <c r="AC151" i="7"/>
  <c r="U23" i="7"/>
  <c r="AU95" i="7"/>
  <c r="AG9" i="7"/>
  <c r="H95" i="7"/>
  <c r="K28" i="7"/>
  <c r="AQ119" i="7"/>
  <c r="L105" i="7"/>
  <c r="X50" i="7"/>
  <c r="AB79" i="7"/>
  <c r="L158" i="7"/>
  <c r="R71" i="7"/>
  <c r="M16" i="7"/>
  <c r="I101" i="7"/>
  <c r="AC18" i="7"/>
  <c r="AK117" i="7"/>
  <c r="K67" i="7"/>
  <c r="AG46" i="7"/>
  <c r="F113" i="7"/>
  <c r="V51" i="7"/>
  <c r="L151" i="7"/>
  <c r="AR72" i="7"/>
  <c r="AA128" i="7"/>
  <c r="L41" i="7"/>
  <c r="X141" i="7"/>
  <c r="O83" i="7"/>
  <c r="N84" i="7"/>
  <c r="AT110" i="7"/>
  <c r="Q155" i="7"/>
  <c r="AS154" i="7"/>
  <c r="N62" i="7"/>
  <c r="AO76" i="7"/>
  <c r="AU145" i="7"/>
  <c r="AM154" i="7"/>
  <c r="T67" i="7"/>
  <c r="T40" i="7"/>
  <c r="T88" i="7"/>
  <c r="AR84" i="7"/>
  <c r="G54" i="7"/>
  <c r="AK48" i="7"/>
  <c r="AU147" i="7"/>
  <c r="S99" i="7"/>
  <c r="AR126" i="7"/>
  <c r="J116" i="7"/>
  <c r="J131" i="7"/>
  <c r="AB56" i="7"/>
  <c r="V146" i="7"/>
  <c r="I84" i="7"/>
  <c r="AE113" i="7"/>
  <c r="N98" i="7"/>
  <c r="AJ120" i="7"/>
  <c r="M61" i="7"/>
  <c r="AC22" i="7"/>
  <c r="N68" i="7"/>
  <c r="AQ29" i="7"/>
  <c r="Z17" i="7"/>
  <c r="AL65" i="7"/>
  <c r="U36" i="7"/>
  <c r="AU6" i="7"/>
  <c r="AH101" i="7"/>
  <c r="Q121" i="7"/>
  <c r="L129" i="7"/>
  <c r="J28" i="7"/>
  <c r="U86" i="7"/>
  <c r="U103" i="7"/>
  <c r="F140" i="7"/>
  <c r="P154" i="7"/>
  <c r="AL8" i="7"/>
  <c r="AD54" i="7"/>
  <c r="F37" i="7"/>
  <c r="AD138" i="7"/>
  <c r="V142" i="7"/>
  <c r="N153" i="7"/>
  <c r="V120" i="7"/>
  <c r="AD141" i="7"/>
  <c r="M26" i="7"/>
  <c r="AT60" i="7"/>
  <c r="AS99" i="7"/>
  <c r="K10" i="7"/>
  <c r="AN26" i="7"/>
  <c r="Y141" i="7"/>
  <c r="AE38" i="7"/>
  <c r="K47" i="7"/>
  <c r="K153" i="7"/>
  <c r="G13" i="7"/>
  <c r="AO85" i="7"/>
  <c r="S113" i="7"/>
  <c r="AR115" i="7"/>
  <c r="V113" i="7"/>
  <c r="W102" i="7"/>
  <c r="Y113" i="7"/>
  <c r="AI118" i="7"/>
  <c r="AP115" i="7"/>
  <c r="AM117" i="7"/>
  <c r="H11" i="7"/>
  <c r="S64" i="7"/>
  <c r="R61" i="7"/>
  <c r="X95" i="7"/>
  <c r="AU88" i="7"/>
  <c r="X67" i="7"/>
  <c r="AN69" i="7"/>
  <c r="AA122" i="7"/>
  <c r="P54" i="7"/>
  <c r="AL102" i="7"/>
  <c r="U87" i="7"/>
  <c r="T42" i="7"/>
  <c r="H109" i="7"/>
  <c r="K82" i="7"/>
  <c r="AD79" i="7"/>
  <c r="G72" i="7"/>
  <c r="M123" i="7"/>
  <c r="AP128" i="7"/>
  <c r="N136" i="7"/>
  <c r="H157" i="7"/>
  <c r="T36" i="7"/>
  <c r="L68" i="7"/>
  <c r="AF65" i="7"/>
  <c r="AC130" i="7"/>
  <c r="H67" i="7"/>
  <c r="Z32" i="7"/>
  <c r="AN21" i="7"/>
  <c r="H14" i="7"/>
  <c r="AB78" i="7"/>
  <c r="L12" i="7"/>
  <c r="X23" i="7"/>
  <c r="AP80" i="7"/>
  <c r="AH91" i="7"/>
  <c r="AO14" i="7"/>
  <c r="I80" i="7"/>
  <c r="Z44" i="7"/>
  <c r="AB75" i="7"/>
  <c r="K68" i="7"/>
  <c r="O14" i="7"/>
  <c r="AQ145" i="7"/>
  <c r="AB72" i="7"/>
  <c r="AR79" i="7"/>
  <c r="L39" i="7"/>
  <c r="AU43" i="7"/>
  <c r="AK39" i="7"/>
  <c r="AA137" i="7"/>
  <c r="M146" i="7"/>
  <c r="AC120" i="7"/>
  <c r="AS117" i="7"/>
  <c r="AA49" i="7"/>
  <c r="AE49" i="7"/>
  <c r="T44" i="7"/>
  <c r="O98" i="7"/>
  <c r="M58" i="7"/>
  <c r="AB50" i="7"/>
  <c r="V106" i="7"/>
  <c r="AF107" i="7"/>
  <c r="AD25" i="7"/>
  <c r="AM69" i="7"/>
  <c r="V17" i="7"/>
  <c r="AE125" i="7"/>
  <c r="N39" i="7"/>
  <c r="AN14" i="7"/>
  <c r="O11" i="7"/>
  <c r="V52" i="7"/>
  <c r="I139" i="7"/>
  <c r="AG107" i="7"/>
  <c r="AS139" i="7"/>
  <c r="S57" i="7"/>
  <c r="K119" i="7"/>
  <c r="R23" i="7"/>
  <c r="S48" i="7"/>
  <c r="AG25" i="7"/>
  <c r="AH89" i="7"/>
  <c r="H24" i="7"/>
  <c r="AT120" i="7"/>
  <c r="AH155" i="7"/>
  <c r="Z63" i="7"/>
  <c r="AA93" i="7"/>
  <c r="U143" i="7"/>
  <c r="AA63" i="7"/>
  <c r="AA59" i="7"/>
  <c r="N108" i="7"/>
  <c r="Y153" i="7"/>
  <c r="J32" i="7"/>
  <c r="K86" i="7"/>
  <c r="W155" i="7"/>
  <c r="AS40" i="7"/>
  <c r="AS26" i="7"/>
  <c r="AP139" i="7"/>
  <c r="K110" i="7"/>
  <c r="Z89" i="7"/>
  <c r="AP63" i="7"/>
  <c r="AA120" i="7"/>
  <c r="H154" i="7"/>
  <c r="AM134" i="7"/>
  <c r="AF141" i="7"/>
  <c r="AT41" i="7"/>
  <c r="AM9" i="7"/>
  <c r="I132" i="7"/>
  <c r="F77" i="7"/>
  <c r="V111" i="7"/>
  <c r="AJ140" i="7"/>
  <c r="J147" i="7"/>
  <c r="AQ98" i="7"/>
  <c r="J49" i="7"/>
  <c r="S56" i="7"/>
  <c r="AG142" i="7"/>
  <c r="AM144" i="7"/>
  <c r="AN153" i="7"/>
  <c r="AC134" i="7"/>
  <c r="K96" i="7"/>
  <c r="M128" i="7"/>
  <c r="AG124" i="7"/>
  <c r="U58" i="7"/>
  <c r="AS71" i="7"/>
  <c r="S76" i="7"/>
  <c r="F137" i="7"/>
  <c r="AN29" i="7"/>
  <c r="N134" i="7"/>
  <c r="Y122" i="7"/>
  <c r="AJ139" i="7"/>
  <c r="AF82" i="7"/>
  <c r="AK92" i="7"/>
  <c r="AH118" i="7"/>
  <c r="AF32" i="7"/>
  <c r="AI34" i="7"/>
  <c r="AL142" i="7"/>
  <c r="K132" i="7"/>
  <c r="Z21" i="7"/>
  <c r="Z96" i="7"/>
  <c r="AS80" i="7"/>
  <c r="O143" i="7"/>
  <c r="AJ77" i="7"/>
  <c r="AO120" i="7"/>
  <c r="AA143" i="7"/>
  <c r="AI71" i="7"/>
  <c r="Q148" i="7"/>
  <c r="AH144" i="7"/>
  <c r="AM107" i="7"/>
  <c r="AF79" i="7"/>
  <c r="N51" i="7"/>
  <c r="AE28" i="7"/>
  <c r="AA154" i="7"/>
  <c r="Y21" i="7"/>
  <c r="AS146" i="7"/>
  <c r="O147" i="7"/>
  <c r="H111" i="7"/>
  <c r="J43" i="7"/>
  <c r="V99" i="7"/>
  <c r="W8" i="7"/>
  <c r="AA38" i="7"/>
  <c r="Z110" i="7"/>
  <c r="O48" i="7"/>
  <c r="AU91" i="7"/>
  <c r="AT22" i="7"/>
  <c r="AO93" i="7"/>
  <c r="L18" i="7"/>
  <c r="R125" i="7"/>
  <c r="Y121" i="7"/>
  <c r="AA99" i="7"/>
  <c r="Y136" i="7"/>
  <c r="AR69" i="7"/>
  <c r="V85" i="7"/>
  <c r="AB10" i="7"/>
  <c r="AP65" i="7"/>
  <c r="V131" i="7"/>
  <c r="K43" i="7"/>
  <c r="AO136" i="7"/>
  <c r="T107" i="7"/>
  <c r="AQ74" i="7"/>
  <c r="AN129" i="7"/>
  <c r="S88" i="7"/>
  <c r="U109" i="7"/>
  <c r="AP114" i="7"/>
  <c r="AM18" i="7"/>
  <c r="U83" i="7"/>
  <c r="AM55" i="7"/>
  <c r="AE120" i="7"/>
  <c r="Y44" i="7"/>
  <c r="AP12" i="7"/>
  <c r="AS73" i="7"/>
  <c r="S119" i="7"/>
  <c r="AF80" i="7"/>
  <c r="Z150" i="7"/>
  <c r="W28" i="7"/>
  <c r="AR65" i="7"/>
  <c r="Q96" i="7"/>
  <c r="G95" i="7"/>
  <c r="L148" i="7"/>
  <c r="Q18" i="7"/>
  <c r="AL106" i="7"/>
  <c r="Z16" i="7"/>
  <c r="Z38" i="7"/>
  <c r="AF111" i="7"/>
  <c r="AI89" i="7"/>
  <c r="AN82" i="7"/>
  <c r="AO44" i="7"/>
  <c r="N91" i="7"/>
  <c r="W91" i="7"/>
  <c r="AJ40" i="7"/>
  <c r="AK25" i="7"/>
  <c r="K149" i="7"/>
  <c r="AI22" i="7"/>
  <c r="AU140" i="7"/>
  <c r="J152" i="7"/>
  <c r="AG129" i="7"/>
  <c r="S9" i="7"/>
  <c r="J23" i="7"/>
  <c r="AD13" i="7"/>
  <c r="J95" i="7"/>
  <c r="J115" i="7"/>
  <c r="AT92" i="7"/>
  <c r="AF156" i="7"/>
  <c r="AS120" i="7"/>
  <c r="H62" i="7"/>
  <c r="I17" i="7"/>
  <c r="Y140" i="7"/>
  <c r="AA35" i="7"/>
  <c r="AP79" i="7"/>
  <c r="AT70" i="7"/>
  <c r="R120" i="7"/>
  <c r="U101" i="7"/>
  <c r="AT23" i="7"/>
  <c r="H21" i="7"/>
  <c r="AQ158" i="7"/>
  <c r="F82" i="7"/>
  <c r="H90" i="7"/>
  <c r="J65" i="7"/>
  <c r="AE73" i="7"/>
  <c r="Q47" i="7"/>
  <c r="Z59" i="7"/>
  <c r="J136" i="7"/>
  <c r="AM13" i="7"/>
  <c r="J123" i="7"/>
  <c r="AP103" i="7"/>
  <c r="AF56" i="7"/>
  <c r="AJ63" i="7"/>
  <c r="T75" i="7"/>
  <c r="AE118" i="7"/>
  <c r="AQ8" i="7"/>
  <c r="F71" i="7"/>
  <c r="AO22" i="7"/>
  <c r="S105" i="7"/>
  <c r="N93" i="7"/>
  <c r="AC65" i="7"/>
  <c r="AR20" i="7"/>
  <c r="W109" i="7"/>
  <c r="Q62" i="7"/>
  <c r="L60" i="7"/>
  <c r="AS41" i="7"/>
  <c r="AD14" i="7"/>
  <c r="AA37" i="7"/>
  <c r="AM7" i="7"/>
  <c r="AJ99" i="7"/>
  <c r="AP70" i="7"/>
  <c r="AG98" i="7"/>
  <c r="V19" i="7"/>
  <c r="AE32" i="7"/>
  <c r="AM112" i="7"/>
  <c r="AG103" i="7"/>
  <c r="AR23" i="7"/>
  <c r="AU82" i="7"/>
  <c r="K18" i="7"/>
  <c r="AP138" i="7"/>
  <c r="AJ17" i="7"/>
  <c r="AJ93" i="7"/>
  <c r="I22" i="7"/>
  <c r="AU11" i="7"/>
  <c r="L51" i="7"/>
  <c r="K25" i="7"/>
  <c r="AU58" i="7"/>
  <c r="AB85" i="7"/>
  <c r="AL36" i="7"/>
  <c r="AO20" i="7"/>
  <c r="L114" i="7"/>
  <c r="I103" i="7"/>
  <c r="AC123" i="7"/>
  <c r="M48" i="7"/>
  <c r="L42" i="7"/>
  <c r="V11" i="7"/>
  <c r="I152" i="7"/>
  <c r="M82" i="7"/>
  <c r="AU60" i="7"/>
  <c r="G58" i="7"/>
  <c r="AK38" i="7"/>
  <c r="O82" i="7"/>
  <c r="Y41" i="7"/>
  <c r="AH108" i="7"/>
  <c r="AU57" i="7"/>
  <c r="AI27" i="7"/>
  <c r="AO17" i="7"/>
  <c r="AB157" i="7"/>
  <c r="AA43" i="7"/>
  <c r="K31" i="7"/>
  <c r="R114" i="7"/>
  <c r="AP8" i="7"/>
  <c r="H97" i="7"/>
  <c r="Q41" i="7"/>
  <c r="N120" i="7"/>
  <c r="AP105" i="7"/>
  <c r="AS112" i="7"/>
  <c r="R150" i="7"/>
  <c r="I33" i="7"/>
  <c r="W18" i="7"/>
  <c r="AC137" i="7"/>
  <c r="AR112" i="7"/>
  <c r="Q158" i="7"/>
  <c r="AQ39" i="7"/>
  <c r="G99" i="7"/>
  <c r="AR124" i="7"/>
  <c r="X61" i="7"/>
  <c r="AO68" i="7"/>
  <c r="AJ94" i="7"/>
  <c r="O42" i="7"/>
  <c r="S87" i="7"/>
  <c r="AU56" i="7"/>
  <c r="AF100" i="7"/>
  <c r="F104" i="7"/>
  <c r="Z69" i="7"/>
  <c r="AT33" i="7"/>
  <c r="P15" i="7"/>
  <c r="AA36" i="7"/>
  <c r="AA12" i="7"/>
  <c r="T25" i="7"/>
  <c r="V44" i="7"/>
  <c r="AN49" i="7"/>
  <c r="O154" i="7"/>
  <c r="X81" i="7"/>
  <c r="AK109" i="7"/>
  <c r="J66" i="7"/>
  <c r="AL17" i="7"/>
  <c r="S155" i="7"/>
  <c r="AS110" i="7"/>
  <c r="S37" i="7"/>
  <c r="AN107" i="7"/>
  <c r="AU81" i="7"/>
  <c r="L112" i="7"/>
  <c r="H96" i="7"/>
  <c r="AJ141" i="7"/>
  <c r="AS79" i="7"/>
  <c r="AH149" i="7"/>
  <c r="AP149" i="7"/>
  <c r="G87" i="7"/>
  <c r="AK33" i="7"/>
  <c r="AD81" i="7"/>
  <c r="G37" i="7"/>
  <c r="I59" i="7"/>
  <c r="F111" i="7"/>
  <c r="K72" i="7"/>
  <c r="W21" i="7"/>
  <c r="X31" i="7"/>
  <c r="F153" i="7"/>
  <c r="K98" i="7"/>
  <c r="U99" i="7"/>
  <c r="AP61" i="7"/>
  <c r="X42" i="7"/>
  <c r="X100" i="7"/>
  <c r="Z18" i="7"/>
  <c r="AF24" i="7"/>
  <c r="AL143" i="7"/>
  <c r="L118" i="7"/>
  <c r="AJ71" i="7"/>
  <c r="O112" i="7"/>
  <c r="AU110" i="7"/>
  <c r="P129" i="7"/>
  <c r="Z94" i="7"/>
  <c r="M65" i="7"/>
  <c r="AQ37" i="7"/>
  <c r="AB70" i="7"/>
  <c r="O40" i="7"/>
  <c r="AT42" i="7"/>
  <c r="AT8" i="7"/>
  <c r="S90" i="7"/>
  <c r="R54" i="7"/>
  <c r="AM49" i="7"/>
  <c r="AK156" i="7"/>
  <c r="P143" i="7"/>
  <c r="AC56" i="7"/>
  <c r="AT151" i="7"/>
  <c r="AH61" i="7"/>
  <c r="V47" i="7"/>
  <c r="J153" i="7"/>
  <c r="Y68" i="7"/>
  <c r="Z11" i="7"/>
  <c r="T39" i="7"/>
  <c r="AG143" i="7"/>
  <c r="AK78" i="7"/>
  <c r="K144" i="7"/>
  <c r="W152" i="7"/>
  <c r="AL67" i="7"/>
  <c r="G150" i="7"/>
  <c r="AO25" i="7"/>
  <c r="O86" i="7"/>
  <c r="AO152" i="7"/>
  <c r="AB16" i="7"/>
  <c r="H120" i="7"/>
  <c r="AG117" i="7"/>
  <c r="AQ128" i="7"/>
  <c r="N80" i="7"/>
  <c r="L20" i="7"/>
  <c r="Y67" i="7"/>
  <c r="AR153" i="7"/>
  <c r="AL83" i="7"/>
  <c r="AU121" i="7"/>
  <c r="N24" i="7"/>
  <c r="S52" i="7"/>
  <c r="AU152" i="7"/>
  <c r="AI158" i="7"/>
  <c r="AM78" i="7"/>
  <c r="U65" i="7"/>
  <c r="I140" i="7"/>
  <c r="O131" i="7"/>
  <c r="O102" i="7"/>
  <c r="G57" i="7"/>
  <c r="R99" i="7"/>
  <c r="AT106" i="7"/>
  <c r="AJ36" i="7"/>
  <c r="F54" i="7"/>
  <c r="G100" i="7"/>
  <c r="T58" i="7"/>
  <c r="AD151" i="7"/>
  <c r="AP28" i="7"/>
  <c r="G156" i="7"/>
  <c r="AN150" i="7"/>
  <c r="X150" i="7"/>
  <c r="AO82" i="7"/>
  <c r="V57" i="7"/>
  <c r="AU63" i="7"/>
  <c r="AI140" i="7"/>
  <c r="AH17" i="7"/>
  <c r="AQ132" i="7"/>
  <c r="AU120" i="7"/>
  <c r="AU26" i="7"/>
  <c r="F28" i="7"/>
  <c r="I66" i="7"/>
  <c r="W137" i="7"/>
  <c r="AD88" i="7"/>
  <c r="AT66" i="7"/>
  <c r="X35" i="7"/>
  <c r="O71" i="7"/>
  <c r="U46" i="7"/>
  <c r="H107" i="7"/>
  <c r="L30" i="7"/>
  <c r="Y35" i="7"/>
  <c r="O47" i="7"/>
  <c r="AS126" i="7"/>
  <c r="AK111" i="7"/>
  <c r="T95" i="7"/>
  <c r="L15" i="7"/>
  <c r="Y80" i="7"/>
  <c r="AU48" i="7"/>
  <c r="K101" i="7"/>
  <c r="AL47" i="7"/>
  <c r="J121" i="7"/>
  <c r="Z148" i="7"/>
  <c r="G142" i="7"/>
  <c r="AA14" i="7"/>
  <c r="T110" i="7"/>
  <c r="AB66" i="7"/>
  <c r="N25" i="7"/>
  <c r="AD133" i="7"/>
  <c r="AC140" i="7"/>
  <c r="X146" i="7"/>
  <c r="K135" i="7"/>
  <c r="V14" i="7"/>
  <c r="G131" i="7"/>
  <c r="M55" i="7"/>
  <c r="V147" i="7"/>
  <c r="G31" i="7"/>
  <c r="Y76" i="7"/>
  <c r="AC53" i="7"/>
  <c r="R17" i="7"/>
  <c r="AN115" i="7"/>
  <c r="S149" i="7"/>
  <c r="G127" i="7"/>
  <c r="AK154" i="7"/>
  <c r="U106" i="7"/>
  <c r="AH137" i="7"/>
  <c r="L143" i="7"/>
  <c r="AH30" i="7"/>
  <c r="N77" i="7"/>
  <c r="W25" i="7"/>
  <c r="AF52" i="7"/>
  <c r="AD82" i="7"/>
  <c r="M103" i="7"/>
  <c r="S85" i="7"/>
  <c r="AF92" i="7"/>
  <c r="AB23" i="7"/>
  <c r="AM138" i="7"/>
  <c r="U155" i="7"/>
  <c r="AT15" i="7"/>
  <c r="AU113" i="7"/>
  <c r="AJ134" i="7"/>
  <c r="AU53" i="7"/>
  <c r="AK66" i="7"/>
  <c r="AU37" i="7"/>
  <c r="AO35" i="7"/>
  <c r="Z156" i="7"/>
  <c r="J79" i="7"/>
  <c r="AL121" i="7"/>
  <c r="W26" i="7"/>
  <c r="V148" i="7"/>
  <c r="AT57" i="7"/>
  <c r="AM131" i="7"/>
  <c r="AA31" i="7"/>
  <c r="AG58" i="7"/>
  <c r="AK102" i="7"/>
  <c r="AP14" i="7"/>
  <c r="N151" i="7"/>
  <c r="T126" i="7"/>
  <c r="R66" i="7"/>
  <c r="T17" i="7"/>
  <c r="AD154" i="7"/>
  <c r="L32" i="7"/>
  <c r="AD72" i="7"/>
  <c r="F33" i="7"/>
  <c r="AL25" i="7"/>
  <c r="AA52" i="7"/>
  <c r="K27" i="7"/>
  <c r="AO11" i="7"/>
  <c r="S144" i="7"/>
  <c r="K23" i="7"/>
  <c r="S35" i="7"/>
  <c r="W96" i="7"/>
  <c r="M133" i="7"/>
  <c r="AT142" i="7"/>
  <c r="AS6" i="7"/>
  <c r="AH117" i="7"/>
  <c r="X116" i="7"/>
  <c r="U45" i="7"/>
  <c r="L128" i="7"/>
  <c r="K158" i="7"/>
  <c r="AH153" i="7"/>
  <c r="R101" i="7"/>
  <c r="AU64" i="7"/>
  <c r="N111" i="7"/>
  <c r="Z114" i="7"/>
  <c r="AR15" i="7"/>
  <c r="AU74" i="7"/>
  <c r="H108" i="7"/>
  <c r="Q48" i="7"/>
  <c r="Z13" i="7"/>
  <c r="H7" i="7"/>
  <c r="AP148" i="7"/>
  <c r="Q68" i="7"/>
  <c r="Y91" i="7"/>
  <c r="Z52" i="7"/>
  <c r="F67" i="7"/>
  <c r="M153" i="7"/>
  <c r="AL137" i="7"/>
  <c r="AS123" i="7"/>
  <c r="AI126" i="7"/>
  <c r="AG92" i="7"/>
  <c r="AH125" i="7"/>
  <c r="J36" i="7"/>
  <c r="K39" i="7"/>
  <c r="N147" i="7"/>
  <c r="J105" i="7"/>
  <c r="O75" i="7"/>
  <c r="S157" i="7"/>
  <c r="K136" i="7"/>
  <c r="AR73" i="7"/>
  <c r="AG95" i="7"/>
  <c r="M40" i="7"/>
  <c r="AP59" i="7"/>
  <c r="AH115" i="7"/>
  <c r="AB121" i="7"/>
  <c r="L149" i="7"/>
  <c r="T10" i="7"/>
  <c r="J13" i="7"/>
  <c r="AJ147" i="7"/>
  <c r="X24" i="7"/>
  <c r="AE101" i="7"/>
  <c r="L136" i="7"/>
  <c r="I52" i="7"/>
  <c r="AF74" i="7"/>
  <c r="AT149" i="7"/>
  <c r="J135" i="7"/>
  <c r="Y144" i="7"/>
  <c r="AD62" i="7"/>
  <c r="AH10" i="7"/>
  <c r="AE47" i="7"/>
  <c r="AF114" i="7"/>
  <c r="AM142" i="7"/>
  <c r="H17" i="7"/>
  <c r="F97" i="7"/>
  <c r="AJ70" i="7"/>
  <c r="AT95" i="7"/>
  <c r="S110" i="7"/>
  <c r="X40" i="7"/>
  <c r="N103" i="7"/>
  <c r="F56" i="7"/>
  <c r="AQ148" i="7"/>
  <c r="AP83" i="7"/>
  <c r="AP50" i="7"/>
  <c r="AC103" i="7"/>
  <c r="F151" i="7"/>
  <c r="AS18" i="7"/>
  <c r="F25" i="7"/>
  <c r="AF95" i="7"/>
  <c r="AT144" i="7"/>
  <c r="Z83" i="7"/>
  <c r="J143" i="7"/>
  <c r="AO108" i="7"/>
  <c r="AB8" i="7"/>
  <c r="F84" i="7"/>
  <c r="AJ65" i="7"/>
  <c r="AR158" i="7"/>
  <c r="K130" i="7"/>
  <c r="U19" i="7"/>
  <c r="O146" i="7"/>
  <c r="F36" i="7"/>
  <c r="AD52" i="7"/>
  <c r="AE86" i="7"/>
  <c r="AE90" i="7"/>
  <c r="AQ97" i="7"/>
  <c r="I147" i="7"/>
  <c r="AJ74" i="7"/>
  <c r="X84" i="7"/>
  <c r="AO48" i="7"/>
  <c r="AF62" i="7"/>
  <c r="AF130" i="7"/>
  <c r="AR74" i="7"/>
  <c r="AJ50" i="7"/>
  <c r="T100" i="7"/>
  <c r="AO18" i="7"/>
  <c r="AB13" i="7"/>
  <c r="AU127" i="7"/>
  <c r="AH158" i="7"/>
  <c r="AE63" i="7"/>
  <c r="AL72" i="7"/>
  <c r="AQ58" i="7"/>
  <c r="AJ122" i="7"/>
  <c r="U113" i="7"/>
  <c r="AB80" i="7"/>
  <c r="AI112" i="7"/>
  <c r="G84" i="7"/>
  <c r="AR95" i="7"/>
  <c r="AR30" i="7"/>
  <c r="M99" i="7"/>
  <c r="AT138" i="7"/>
  <c r="N23" i="7"/>
  <c r="F123" i="7"/>
  <c r="AP127" i="7"/>
  <c r="AQ19" i="7"/>
  <c r="AN134" i="7"/>
  <c r="AU96" i="7"/>
  <c r="W99" i="7"/>
  <c r="AQ7" i="7"/>
  <c r="K100" i="7"/>
  <c r="AU31" i="7"/>
  <c r="V74" i="7"/>
  <c r="AM125" i="7"/>
  <c r="AQ113" i="7"/>
  <c r="Q109" i="7"/>
  <c r="Y12" i="7"/>
  <c r="AT127" i="7"/>
  <c r="AT79" i="7"/>
  <c r="AF55" i="7"/>
  <c r="AP97" i="7"/>
  <c r="AN65" i="7"/>
  <c r="AA95" i="7"/>
  <c r="AQ24" i="7"/>
  <c r="AN79" i="7"/>
  <c r="AJ46" i="7"/>
  <c r="V35" i="7"/>
  <c r="AF70" i="7"/>
  <c r="G111" i="7"/>
  <c r="AK107" i="7"/>
  <c r="AO41" i="7"/>
  <c r="H49" i="7"/>
  <c r="Y24" i="7"/>
  <c r="R96" i="7"/>
  <c r="X86" i="7"/>
  <c r="AM63" i="7"/>
  <c r="AF26" i="7"/>
  <c r="W118" i="7"/>
  <c r="AB144" i="7"/>
  <c r="V20" i="7"/>
  <c r="AC34" i="7"/>
  <c r="V118" i="7"/>
  <c r="S66" i="7"/>
  <c r="AP90" i="7"/>
  <c r="AU86" i="7"/>
  <c r="AA11" i="7"/>
  <c r="AD113" i="7"/>
  <c r="AH93" i="7"/>
  <c r="N36" i="7"/>
  <c r="AJ153" i="7"/>
  <c r="J133" i="7"/>
  <c r="F38" i="7"/>
  <c r="AA66" i="7"/>
  <c r="F101" i="7"/>
  <c r="AE128" i="7"/>
  <c r="V92" i="7"/>
  <c r="AS109" i="7"/>
  <c r="AS39" i="7"/>
  <c r="AA88" i="7"/>
  <c r="L65" i="7"/>
  <c r="W62" i="7"/>
  <c r="S13" i="7"/>
  <c r="AH56" i="7"/>
  <c r="AM10" i="7"/>
  <c r="AH77" i="7"/>
  <c r="AT148" i="7"/>
  <c r="AL45" i="7"/>
  <c r="AN121" i="7"/>
  <c r="T98" i="7"/>
  <c r="AR28" i="7"/>
  <c r="K83" i="7"/>
  <c r="AM57" i="7"/>
  <c r="O25" i="7"/>
  <c r="AK149" i="7"/>
  <c r="AS105" i="7"/>
  <c r="AK120" i="7"/>
  <c r="AS90" i="7"/>
  <c r="AO118" i="7"/>
  <c r="AS150" i="7"/>
  <c r="AH54" i="7"/>
  <c r="P132" i="7"/>
  <c r="H155" i="7"/>
  <c r="AL51" i="7"/>
  <c r="AL97" i="7"/>
  <c r="AS152" i="7"/>
  <c r="AD48" i="7"/>
  <c r="T38" i="7"/>
  <c r="AR77" i="7"/>
  <c r="I46" i="7"/>
  <c r="AB69" i="7"/>
  <c r="AQ14" i="7"/>
  <c r="X122" i="7"/>
  <c r="V29" i="7"/>
  <c r="J94" i="7"/>
  <c r="L107" i="7"/>
  <c r="AN123" i="7"/>
  <c r="AD130" i="7"/>
  <c r="K70" i="7"/>
  <c r="K30" i="7"/>
  <c r="AU70" i="7"/>
  <c r="H136" i="7"/>
  <c r="AJ81" i="7"/>
  <c r="R153" i="7"/>
  <c r="G101" i="7"/>
  <c r="G40" i="7"/>
  <c r="M34" i="7"/>
  <c r="Q79" i="7"/>
  <c r="W74" i="7"/>
  <c r="AS45" i="7"/>
  <c r="I156" i="7"/>
  <c r="X130" i="7"/>
  <c r="J70" i="7"/>
  <c r="AR105" i="7"/>
  <c r="F16" i="7"/>
  <c r="AQ17" i="7"/>
  <c r="G102" i="7"/>
  <c r="V107" i="7"/>
  <c r="AR141" i="7"/>
  <c r="S122" i="7"/>
  <c r="J12" i="7"/>
  <c r="AO77" i="7"/>
  <c r="P26" i="7"/>
  <c r="AS29" i="7"/>
  <c r="AI131" i="7"/>
  <c r="AM34" i="7"/>
  <c r="X38" i="7"/>
  <c r="AR86" i="7"/>
  <c r="J10" i="7"/>
  <c r="AH75" i="7"/>
  <c r="X99" i="7"/>
  <c r="U142" i="7"/>
  <c r="AI33" i="7"/>
  <c r="W52" i="7"/>
  <c r="AD157" i="7"/>
  <c r="AN105" i="7"/>
  <c r="AP145" i="7"/>
  <c r="L155" i="7"/>
  <c r="AT112" i="7"/>
  <c r="N64" i="7"/>
  <c r="K17" i="7"/>
  <c r="AT128" i="7"/>
  <c r="L153" i="7"/>
  <c r="N89" i="7"/>
  <c r="AI146" i="7"/>
  <c r="U148" i="7"/>
  <c r="S83" i="7"/>
  <c r="N156" i="7"/>
  <c r="F94" i="7"/>
  <c r="G90" i="7"/>
  <c r="Q32" i="7"/>
  <c r="AN37" i="7"/>
  <c r="W44" i="7"/>
  <c r="I20" i="7"/>
  <c r="G10" i="7"/>
  <c r="G71" i="7"/>
  <c r="W20" i="7"/>
  <c r="AH59" i="7"/>
  <c r="AN155" i="7"/>
  <c r="X58" i="7"/>
  <c r="AC30" i="7"/>
  <c r="AF49" i="7"/>
  <c r="N52" i="7"/>
  <c r="U88" i="7"/>
  <c r="AN10" i="7"/>
  <c r="O84" i="7"/>
  <c r="AM15" i="7"/>
  <c r="G39" i="7"/>
  <c r="F135" i="7"/>
  <c r="AC63" i="7"/>
  <c r="AI43" i="7"/>
  <c r="R15" i="7"/>
  <c r="AN97" i="7"/>
  <c r="AQ152" i="7"/>
  <c r="W38" i="7"/>
  <c r="G149" i="7"/>
  <c r="AL57" i="7"/>
  <c r="AH136" i="7"/>
  <c r="Y123" i="7"/>
  <c r="AI95" i="7"/>
  <c r="AH151" i="7"/>
  <c r="J91" i="7"/>
  <c r="AL125" i="7"/>
  <c r="H26" i="7"/>
  <c r="AE104" i="7"/>
  <c r="V72" i="7"/>
  <c r="F131" i="7"/>
  <c r="AB109" i="7"/>
  <c r="AG100" i="7"/>
  <c r="AR131" i="7"/>
  <c r="AO107" i="7"/>
  <c r="AL87" i="7"/>
  <c r="G63" i="7"/>
  <c r="AP34" i="7"/>
  <c r="N87" i="7"/>
  <c r="L111" i="7"/>
  <c r="AR36" i="7"/>
  <c r="H45" i="7"/>
  <c r="O46" i="7"/>
  <c r="AD111" i="7"/>
  <c r="Z6" i="7"/>
  <c r="I110" i="7"/>
  <c r="AM52" i="7"/>
  <c r="K61" i="7"/>
  <c r="S17" i="7"/>
  <c r="S138" i="7"/>
  <c r="R32" i="7"/>
  <c r="N110" i="7"/>
  <c r="AQ144" i="7"/>
  <c r="G140" i="7"/>
  <c r="AH114" i="7"/>
  <c r="I138" i="7"/>
  <c r="U47" i="7"/>
  <c r="J89" i="7"/>
  <c r="V30" i="7"/>
  <c r="AI124" i="7"/>
  <c r="V96" i="7"/>
  <c r="S77" i="7"/>
  <c r="AB104" i="7"/>
  <c r="AF140" i="7"/>
  <c r="AR83" i="7"/>
  <c r="Y31" i="7"/>
  <c r="AB6" i="7"/>
  <c r="W40" i="7"/>
  <c r="H94" i="7"/>
  <c r="R144" i="7"/>
  <c r="T142" i="7"/>
  <c r="V71" i="7"/>
  <c r="AN76" i="7"/>
  <c r="AE142" i="7"/>
  <c r="AU59" i="7"/>
  <c r="I142" i="7"/>
  <c r="AU98" i="7"/>
  <c r="V77" i="7"/>
  <c r="AT78" i="7"/>
  <c r="AA133" i="7"/>
  <c r="AA157" i="7"/>
  <c r="AO113" i="7"/>
  <c r="AL136" i="7"/>
  <c r="Y102" i="7"/>
  <c r="AT155" i="7"/>
  <c r="G138" i="7"/>
  <c r="S55" i="7"/>
  <c r="AB7" i="7"/>
  <c r="AO153" i="7"/>
  <c r="V100" i="7"/>
  <c r="AE72" i="7"/>
  <c r="K7" i="7"/>
  <c r="H89" i="7"/>
  <c r="AR117" i="7"/>
  <c r="G114" i="7"/>
  <c r="AQ81" i="7"/>
  <c r="AA152" i="7"/>
  <c r="AK157" i="7"/>
  <c r="AJ148" i="7"/>
  <c r="AM71" i="7"/>
  <c r="Q102" i="7"/>
  <c r="AE61" i="7"/>
  <c r="AM121" i="7"/>
  <c r="U134" i="7"/>
  <c r="AU122" i="7"/>
  <c r="O61" i="7"/>
  <c r="AE106" i="7"/>
  <c r="L87" i="7"/>
  <c r="AA121" i="7"/>
  <c r="AB27" i="7"/>
  <c r="AC36" i="7"/>
  <c r="AM95" i="7"/>
  <c r="R50" i="7"/>
  <c r="AG87" i="7"/>
  <c r="G47" i="7"/>
  <c r="AO149" i="7"/>
  <c r="Z103" i="7"/>
  <c r="K15" i="7"/>
  <c r="W64" i="7"/>
  <c r="AP111" i="7"/>
  <c r="S65" i="7"/>
  <c r="Q78" i="7"/>
  <c r="Q131" i="7"/>
  <c r="V158" i="7"/>
  <c r="AB48" i="7"/>
  <c r="AG50" i="7"/>
  <c r="AP125" i="7"/>
  <c r="W51" i="7"/>
  <c r="S115" i="7"/>
  <c r="AF158" i="7"/>
  <c r="M14" i="7"/>
  <c r="AR33" i="7"/>
  <c r="AB125" i="7"/>
  <c r="AK89" i="7"/>
  <c r="X51" i="7"/>
  <c r="AN102" i="7"/>
  <c r="Y30" i="7"/>
  <c r="AR134" i="7"/>
  <c r="O130" i="7"/>
  <c r="AJ110" i="7"/>
  <c r="AS28" i="7"/>
  <c r="AH51" i="7"/>
  <c r="L146" i="7"/>
  <c r="AM118" i="7"/>
  <c r="AJ133" i="7"/>
  <c r="AR156" i="7"/>
  <c r="W37" i="7"/>
  <c r="AA39" i="7"/>
  <c r="AK122" i="7"/>
  <c r="Q13" i="7"/>
  <c r="AA89" i="7"/>
  <c r="AL58" i="7"/>
  <c r="L58" i="7"/>
  <c r="X25" i="7"/>
  <c r="AG61" i="7"/>
  <c r="AE105" i="7"/>
  <c r="AK135" i="7"/>
  <c r="AG101" i="7"/>
  <c r="X55" i="7"/>
  <c r="X127" i="7"/>
  <c r="AE122" i="7"/>
  <c r="K131" i="7"/>
  <c r="AU33" i="7"/>
  <c r="N63" i="7"/>
  <c r="AA7" i="7"/>
  <c r="V81" i="7"/>
  <c r="V128" i="7"/>
  <c r="G134" i="7"/>
  <c r="AF143" i="7"/>
  <c r="Z45" i="7"/>
  <c r="AI154" i="7"/>
  <c r="X26" i="7"/>
  <c r="AD101" i="7"/>
  <c r="V98" i="7"/>
  <c r="V132" i="7"/>
  <c r="N138" i="7"/>
  <c r="G45" i="7"/>
  <c r="AP121" i="7"/>
  <c r="AC141" i="7"/>
  <c r="AC158" i="7"/>
  <c r="AK145" i="7"/>
  <c r="W6" i="7"/>
  <c r="AL10" i="7"/>
  <c r="AE17" i="7"/>
  <c r="Y22" i="7"/>
  <c r="M119" i="7"/>
  <c r="AD153" i="7"/>
  <c r="AT154" i="7"/>
  <c r="AM42" i="7"/>
  <c r="AQ129" i="7"/>
  <c r="AA47" i="7"/>
  <c r="Z7" i="7"/>
  <c r="M11" i="7"/>
  <c r="M8" i="7"/>
  <c r="F100" i="7"/>
  <c r="S15" i="7"/>
  <c r="AK143" i="7"/>
  <c r="AD124" i="7"/>
  <c r="I42" i="7"/>
  <c r="AD156" i="7"/>
  <c r="J82" i="7"/>
  <c r="AS128" i="7"/>
  <c r="AG34" i="7"/>
  <c r="O58" i="7"/>
  <c r="V8" i="7"/>
  <c r="V86" i="7"/>
  <c r="AJ104" i="7"/>
  <c r="G106" i="7"/>
  <c r="AP134" i="7"/>
  <c r="AR29" i="7"/>
  <c r="AP133" i="7"/>
  <c r="U29" i="7"/>
  <c r="R63" i="7"/>
  <c r="U126" i="7"/>
  <c r="J157" i="7"/>
  <c r="AH73" i="7"/>
  <c r="AL12" i="7"/>
  <c r="N42" i="7"/>
  <c r="AD42" i="7"/>
  <c r="AQ151" i="7"/>
  <c r="U91" i="7"/>
  <c r="AH33" i="7"/>
  <c r="J75" i="7"/>
  <c r="AI104" i="7"/>
  <c r="X70" i="7"/>
  <c r="AU150" i="7"/>
  <c r="AH57" i="7"/>
  <c r="AI20" i="7"/>
  <c r="AR64" i="7"/>
  <c r="AI56" i="7"/>
  <c r="O60" i="7"/>
  <c r="M7" i="7"/>
  <c r="U56" i="7"/>
  <c r="F35" i="7"/>
  <c r="W149" i="7"/>
  <c r="O30" i="7"/>
  <c r="G23" i="7"/>
  <c r="AT118" i="7"/>
  <c r="U119" i="7"/>
  <c r="AA21" i="7"/>
  <c r="H93" i="7"/>
  <c r="X136" i="7"/>
  <c r="F59" i="7"/>
  <c r="J114" i="7"/>
  <c r="S71" i="7"/>
  <c r="Z43" i="7"/>
  <c r="AE75" i="7"/>
  <c r="AD120" i="7"/>
  <c r="L109" i="7"/>
  <c r="K106" i="7"/>
  <c r="O95" i="7"/>
  <c r="N54" i="7"/>
  <c r="AN31" i="7"/>
  <c r="K84" i="7"/>
  <c r="K121" i="7"/>
  <c r="AN63" i="7"/>
  <c r="K55" i="7"/>
  <c r="S78" i="7"/>
  <c r="O18" i="7"/>
  <c r="H122" i="7"/>
  <c r="AB151" i="7"/>
  <c r="AQ127" i="7"/>
  <c r="J106" i="7"/>
  <c r="AT93" i="7"/>
  <c r="J137" i="7"/>
  <c r="W17" i="7"/>
  <c r="AE100" i="7"/>
  <c r="N143" i="7"/>
  <c r="AG43" i="7"/>
  <c r="AS54" i="7"/>
  <c r="AN156" i="7"/>
  <c r="M33" i="7"/>
  <c r="T30" i="7"/>
  <c r="T15" i="7"/>
  <c r="AA30" i="7"/>
  <c r="R108" i="7"/>
  <c r="AT10" i="7"/>
  <c r="T96" i="7"/>
  <c r="AE30" i="7"/>
  <c r="F112" i="7"/>
  <c r="AU146" i="7"/>
  <c r="AM156" i="7"/>
  <c r="AP38" i="7"/>
  <c r="H30" i="7"/>
  <c r="N60" i="7"/>
  <c r="K104" i="7"/>
  <c r="Q9" i="7"/>
  <c r="AS34" i="7"/>
  <c r="AJ116" i="7"/>
  <c r="AI90" i="7"/>
  <c r="N73" i="7"/>
  <c r="M138" i="7"/>
  <c r="M98" i="7"/>
  <c r="M46" i="7"/>
  <c r="AL99" i="7"/>
  <c r="AL19" i="7"/>
  <c r="H153" i="7"/>
  <c r="AJ52" i="7"/>
  <c r="AD146" i="7"/>
  <c r="O37" i="7"/>
  <c r="AT72" i="7"/>
  <c r="K57" i="7"/>
  <c r="AP99" i="7"/>
  <c r="G67" i="7"/>
  <c r="AG14" i="7"/>
  <c r="AN15" i="7"/>
  <c r="AO65" i="7"/>
  <c r="M96" i="7"/>
  <c r="G60" i="7"/>
  <c r="AQ112" i="7"/>
  <c r="H65" i="7"/>
  <c r="AB17" i="7"/>
  <c r="AJ97" i="7"/>
  <c r="AM37" i="7"/>
  <c r="AD37" i="7"/>
  <c r="AG96" i="7"/>
  <c r="AL28" i="7"/>
  <c r="AF57" i="7"/>
  <c r="AO88" i="7"/>
  <c r="V13" i="7"/>
  <c r="K22" i="7"/>
  <c r="AJ37" i="7"/>
  <c r="I151" i="7"/>
  <c r="AD17" i="7"/>
  <c r="AS33" i="7"/>
  <c r="AI58" i="7"/>
  <c r="H103" i="7"/>
  <c r="AO90" i="7"/>
  <c r="AJ92" i="7"/>
  <c r="AN32" i="7"/>
  <c r="AB111" i="7"/>
  <c r="P68" i="7"/>
  <c r="AF150" i="7"/>
  <c r="AQ64" i="7"/>
  <c r="AU94" i="7"/>
  <c r="AL86" i="7"/>
  <c r="AQ70" i="7"/>
  <c r="AL155" i="7"/>
  <c r="AK70" i="7"/>
  <c r="AG56" i="7"/>
  <c r="Z12" i="7"/>
  <c r="AB42" i="7"/>
  <c r="AC138" i="7"/>
  <c r="R75" i="7"/>
  <c r="R38" i="7"/>
  <c r="AK112" i="7"/>
  <c r="G92" i="7"/>
  <c r="AB81" i="7"/>
  <c r="AC125" i="7"/>
  <c r="K102" i="7"/>
  <c r="AL56" i="7"/>
  <c r="AA56" i="7"/>
  <c r="AQ101" i="7"/>
  <c r="AE109" i="7"/>
  <c r="AB38" i="7"/>
  <c r="AT38" i="7"/>
  <c r="X157" i="7"/>
  <c r="Q72" i="7"/>
  <c r="AR58" i="7"/>
  <c r="W27" i="7"/>
  <c r="U147" i="7"/>
  <c r="M29" i="7"/>
  <c r="O128" i="7"/>
  <c r="O35" i="7"/>
  <c r="AA141" i="7"/>
  <c r="AI52" i="7"/>
  <c r="AJ82" i="7"/>
  <c r="G44" i="7"/>
  <c r="Z31" i="7"/>
  <c r="X20" i="7"/>
  <c r="Y86" i="7"/>
  <c r="AI60" i="7"/>
  <c r="AC128" i="7"/>
  <c r="O79" i="7"/>
  <c r="AF123" i="7"/>
  <c r="AH16" i="7"/>
  <c r="S60" i="7"/>
  <c r="AN20" i="7"/>
  <c r="AM111" i="7"/>
  <c r="L79" i="7"/>
  <c r="Z30" i="7"/>
  <c r="AO115" i="7"/>
  <c r="G35" i="7"/>
  <c r="AP42" i="7"/>
  <c r="AK96" i="7"/>
  <c r="T133" i="7"/>
  <c r="AE66" i="7"/>
  <c r="F105" i="7"/>
  <c r="AK67" i="7"/>
  <c r="L110" i="7"/>
  <c r="H16" i="7"/>
  <c r="Y109" i="7"/>
  <c r="T137" i="7"/>
  <c r="K122" i="7"/>
  <c r="AO139" i="7"/>
  <c r="L103" i="7"/>
  <c r="J119" i="7"/>
  <c r="H149" i="7"/>
  <c r="L74" i="7"/>
  <c r="H27" i="7"/>
  <c r="AI91" i="7"/>
  <c r="F158" i="7"/>
  <c r="AS59" i="7"/>
  <c r="G136" i="7"/>
  <c r="AF98" i="7"/>
  <c r="AF116" i="7"/>
  <c r="AP132" i="7"/>
  <c r="AM124" i="7"/>
  <c r="G122" i="7"/>
  <c r="Q90" i="7"/>
  <c r="AM141" i="7"/>
  <c r="AN93" i="7"/>
  <c r="AL41" i="7"/>
  <c r="M130" i="7"/>
  <c r="W46" i="7"/>
  <c r="AK73" i="7"/>
  <c r="Q38" i="7"/>
  <c r="J139" i="7"/>
  <c r="AN142" i="7"/>
  <c r="X119" i="7"/>
  <c r="AF88" i="7"/>
  <c r="AO123" i="7"/>
  <c r="AD140" i="7"/>
  <c r="I113" i="7"/>
  <c r="AP26" i="7"/>
  <c r="AT14" i="7"/>
  <c r="AN112" i="7"/>
  <c r="AO106" i="7"/>
  <c r="W33" i="7"/>
  <c r="AH109" i="7"/>
  <c r="Z140" i="7"/>
  <c r="L119" i="7"/>
  <c r="N81" i="7"/>
  <c r="Z153" i="7"/>
  <c r="I116" i="7"/>
  <c r="G66" i="7"/>
  <c r="AK123" i="7"/>
  <c r="AE58" i="7"/>
  <c r="AF17" i="7"/>
  <c r="Q50" i="7"/>
  <c r="L130" i="7"/>
  <c r="K63" i="7"/>
  <c r="X133" i="7"/>
  <c r="M126" i="7"/>
  <c r="H60" i="7"/>
  <c r="Q54" i="7"/>
  <c r="AJ11" i="7"/>
  <c r="Q145" i="7"/>
  <c r="AT74" i="7"/>
  <c r="AU128" i="7"/>
  <c r="Q64" i="7"/>
  <c r="AO124" i="7"/>
  <c r="AS155" i="7"/>
  <c r="Y71" i="7"/>
  <c r="AH116" i="7"/>
  <c r="W55" i="7"/>
  <c r="AD44" i="7"/>
  <c r="K16" i="7"/>
  <c r="AF134" i="7"/>
  <c r="AG94" i="7"/>
  <c r="Y14" i="7"/>
  <c r="AB63" i="7"/>
  <c r="G38" i="7"/>
  <c r="F19" i="7"/>
  <c r="Q45" i="7"/>
  <c r="AF66" i="7"/>
  <c r="I144" i="7"/>
  <c r="I102" i="7"/>
  <c r="AI120" i="7"/>
  <c r="N149" i="7"/>
  <c r="N20" i="7"/>
  <c r="T131" i="7"/>
  <c r="AR44" i="7"/>
  <c r="L54" i="7"/>
  <c r="N85" i="7"/>
  <c r="I117" i="7"/>
  <c r="Y53" i="7"/>
  <c r="Z20" i="7"/>
  <c r="J92" i="7"/>
  <c r="U16" i="7"/>
  <c r="H13" i="7"/>
  <c r="AN72" i="7"/>
  <c r="Z80" i="7"/>
  <c r="AJ44" i="7"/>
  <c r="AN27" i="7"/>
  <c r="H78" i="7"/>
  <c r="AU62" i="7"/>
  <c r="T132" i="7"/>
  <c r="Q119" i="7"/>
  <c r="W92" i="7"/>
  <c r="AR100" i="7"/>
  <c r="S107" i="7"/>
  <c r="I89" i="7"/>
  <c r="N71" i="7"/>
  <c r="Y120" i="7"/>
  <c r="Q141" i="7"/>
  <c r="Y74" i="7"/>
  <c r="S153" i="7"/>
  <c r="Q94" i="7"/>
  <c r="W7" i="7"/>
  <c r="AS16" i="7"/>
  <c r="F81" i="7"/>
  <c r="AI39" i="7"/>
  <c r="J150" i="7"/>
  <c r="T146" i="7"/>
  <c r="AE139" i="7"/>
  <c r="AR32" i="7"/>
  <c r="AC122" i="7"/>
  <c r="AG22" i="7"/>
  <c r="AB21" i="7"/>
  <c r="U21" i="7"/>
  <c r="AH143" i="7"/>
  <c r="AQ6" i="7"/>
  <c r="AD121" i="7"/>
  <c r="AE91" i="7"/>
  <c r="K147" i="7"/>
  <c r="AC16" i="7"/>
  <c r="Y105" i="7"/>
  <c r="AL144" i="7"/>
  <c r="AK84" i="7"/>
  <c r="W100" i="7"/>
  <c r="G46" i="7"/>
  <c r="AG8" i="7"/>
  <c r="V109" i="7"/>
  <c r="AQ38" i="7"/>
  <c r="AP95" i="7"/>
  <c r="K128" i="7"/>
  <c r="AU123" i="7"/>
  <c r="AN135" i="7"/>
  <c r="T123" i="7"/>
  <c r="AM149" i="7"/>
  <c r="AE96" i="7"/>
  <c r="AT137" i="7"/>
  <c r="Z61" i="7"/>
  <c r="F47" i="7"/>
  <c r="AF139" i="7"/>
  <c r="L31" i="7"/>
  <c r="I133" i="7"/>
  <c r="AP122" i="7"/>
  <c r="Y45" i="7"/>
  <c r="H86" i="7"/>
  <c r="AI147" i="7"/>
  <c r="V10" i="7"/>
  <c r="F122" i="7"/>
  <c r="AR102" i="7"/>
  <c r="AE80" i="7"/>
  <c r="AD18" i="7"/>
  <c r="AE16" i="7"/>
  <c r="AD21" i="7"/>
  <c r="L37" i="7"/>
  <c r="Y63" i="7"/>
  <c r="U39" i="7"/>
  <c r="J149" i="7"/>
  <c r="S38" i="7"/>
  <c r="H135" i="7"/>
  <c r="O77" i="7"/>
  <c r="U66" i="7"/>
  <c r="X101" i="7"/>
  <c r="N106" i="7"/>
  <c r="AF86" i="7"/>
  <c r="AI24" i="7"/>
  <c r="AU92" i="7"/>
  <c r="AD7" i="7"/>
  <c r="J25" i="7"/>
  <c r="AK139" i="7"/>
  <c r="Y108" i="7"/>
  <c r="Q117" i="7"/>
  <c r="Y85" i="7"/>
  <c r="AH99" i="7"/>
  <c r="AJ57" i="7"/>
  <c r="J20" i="7"/>
  <c r="W48" i="7"/>
  <c r="Y146" i="7"/>
  <c r="AR62" i="7"/>
  <c r="R58" i="7"/>
  <c r="AO9" i="7"/>
  <c r="S94" i="7"/>
  <c r="I71" i="7"/>
  <c r="U12" i="7"/>
  <c r="R57" i="7"/>
  <c r="O96" i="7"/>
  <c r="X126" i="7"/>
  <c r="F68" i="7"/>
  <c r="AA67" i="7"/>
  <c r="N18" i="7"/>
  <c r="AF125" i="7"/>
  <c r="AS38" i="7"/>
  <c r="AL128" i="7"/>
  <c r="T125" i="7"/>
  <c r="V45" i="7"/>
  <c r="G28" i="7"/>
  <c r="AT67" i="7"/>
  <c r="Y94" i="7"/>
  <c r="AH72" i="7"/>
  <c r="Z75" i="7"/>
  <c r="AE14" i="7"/>
  <c r="AD117" i="7"/>
  <c r="Q123" i="7"/>
  <c r="AH29" i="7"/>
  <c r="AE42" i="7"/>
  <c r="AA134" i="7"/>
  <c r="AA60" i="7"/>
  <c r="AP30" i="7"/>
  <c r="R16" i="7"/>
  <c r="AP137" i="7"/>
  <c r="K40" i="7"/>
  <c r="AB37" i="7"/>
  <c r="AJ121" i="7"/>
  <c r="I82" i="7"/>
  <c r="H42" i="7"/>
  <c r="AL150" i="7"/>
  <c r="R147" i="7"/>
  <c r="AF54" i="7"/>
  <c r="J7" i="7"/>
  <c r="W93" i="7"/>
  <c r="P118" i="7"/>
  <c r="J52" i="7"/>
  <c r="AB36" i="7"/>
  <c r="P90" i="7"/>
  <c r="K99" i="7"/>
  <c r="X63" i="7"/>
  <c r="AN44" i="7"/>
  <c r="O8" i="7"/>
  <c r="AR89" i="7"/>
  <c r="AB154" i="7"/>
  <c r="AQ78" i="7"/>
  <c r="N82" i="7"/>
  <c r="AA10" i="7"/>
  <c r="AE84" i="7"/>
  <c r="T118" i="7"/>
  <c r="Y152" i="7"/>
  <c r="M157" i="7"/>
  <c r="AI149" i="7"/>
  <c r="R6" i="7"/>
  <c r="AP39" i="7"/>
  <c r="U24" i="7"/>
  <c r="AC66" i="7"/>
  <c r="G17" i="7"/>
  <c r="AR133" i="7"/>
  <c r="G83" i="7"/>
  <c r="Q63" i="7"/>
  <c r="AQ55" i="7"/>
  <c r="AE21" i="7"/>
  <c r="AC87" i="7"/>
  <c r="F117" i="7"/>
  <c r="K90" i="7"/>
  <c r="AU22" i="7"/>
  <c r="G88" i="7"/>
  <c r="AF91" i="7"/>
  <c r="AQ67" i="7"/>
  <c r="O81" i="7"/>
  <c r="J50" i="7"/>
  <c r="AE45" i="7"/>
  <c r="AG64" i="7"/>
  <c r="AA75" i="7"/>
  <c r="Q56" i="7"/>
  <c r="H31" i="7"/>
  <c r="AR91" i="7"/>
  <c r="T109" i="7"/>
  <c r="AU100" i="7"/>
  <c r="Q26" i="7"/>
  <c r="AO70" i="7"/>
  <c r="U68" i="7"/>
  <c r="S82" i="7"/>
  <c r="AA114" i="7"/>
  <c r="U31" i="7"/>
  <c r="J120" i="7"/>
  <c r="AU114" i="7"/>
  <c r="AK20" i="7"/>
  <c r="N96" i="7"/>
  <c r="AA139" i="7"/>
  <c r="Z73" i="7"/>
  <c r="AT80" i="7"/>
  <c r="S53" i="7"/>
  <c r="U121" i="7"/>
  <c r="AN110" i="7"/>
  <c r="V103" i="7"/>
  <c r="R34" i="7"/>
  <c r="F18" i="7"/>
  <c r="AS96" i="7"/>
  <c r="K97" i="7"/>
  <c r="AF77" i="7"/>
  <c r="T74" i="7"/>
  <c r="Q153" i="7"/>
  <c r="U67" i="7"/>
  <c r="O104" i="7"/>
  <c r="AO80" i="7"/>
  <c r="O69" i="7"/>
  <c r="AF41" i="7"/>
  <c r="AC38" i="7"/>
  <c r="S36" i="7"/>
  <c r="AB49" i="7"/>
  <c r="AE69" i="7"/>
  <c r="M57" i="7"/>
  <c r="AJ124" i="7"/>
  <c r="Y112" i="7"/>
  <c r="P104" i="7"/>
  <c r="AG16" i="7"/>
  <c r="AI119" i="7"/>
  <c r="AT45" i="7"/>
  <c r="L40" i="7"/>
  <c r="AF93" i="7"/>
  <c r="G53" i="7"/>
  <c r="M31" i="7"/>
  <c r="W119" i="7"/>
  <c r="V28" i="7"/>
  <c r="AP92" i="7"/>
  <c r="AL23" i="7"/>
  <c r="K81" i="7"/>
  <c r="AE65" i="7"/>
  <c r="AF38" i="7"/>
  <c r="AO119" i="7"/>
  <c r="AC69" i="7"/>
  <c r="AP51" i="7"/>
  <c r="AE152" i="7"/>
  <c r="AR136" i="7"/>
  <c r="O53" i="7"/>
  <c r="S62" i="7"/>
  <c r="O74" i="7"/>
  <c r="L120" i="7"/>
  <c r="AK62" i="7"/>
  <c r="R41" i="7"/>
  <c r="M136" i="7"/>
  <c r="AG48" i="7"/>
  <c r="AN40" i="7"/>
  <c r="AN98" i="7"/>
  <c r="G145" i="7"/>
  <c r="AD56" i="7"/>
  <c r="AH53" i="7"/>
  <c r="AR60" i="7"/>
  <c r="V144" i="7"/>
  <c r="AF43" i="7"/>
  <c r="Z131" i="7"/>
  <c r="K69" i="7"/>
  <c r="H41" i="7"/>
  <c r="I96" i="7"/>
  <c r="R21" i="7"/>
  <c r="AU18" i="7"/>
  <c r="AC68" i="7"/>
  <c r="G85" i="7"/>
  <c r="AS124" i="7"/>
  <c r="M63" i="7"/>
  <c r="J158" i="7"/>
  <c r="AM157" i="7"/>
  <c r="AS113" i="7"/>
  <c r="AE29" i="7"/>
  <c r="R121" i="7"/>
  <c r="AQ140" i="7"/>
  <c r="AD69" i="7"/>
  <c r="AH21" i="7"/>
  <c r="X54" i="7"/>
  <c r="AI79" i="7"/>
  <c r="AN143" i="7"/>
  <c r="AU133" i="7"/>
  <c r="Y54" i="7"/>
  <c r="AG62" i="7"/>
  <c r="AK83" i="7"/>
  <c r="AT47" i="7"/>
  <c r="AN6" i="7"/>
  <c r="F10" i="7"/>
  <c r="AL9" i="7"/>
  <c r="AU49" i="7"/>
  <c r="AK105" i="7"/>
  <c r="U73" i="7"/>
  <c r="L104" i="7"/>
  <c r="AF108" i="7"/>
  <c r="X154" i="7"/>
  <c r="AH152" i="7"/>
  <c r="Z151" i="7"/>
  <c r="AC156" i="7"/>
  <c r="M154" i="7"/>
  <c r="AI97" i="7"/>
  <c r="Y106" i="7"/>
  <c r="AT103" i="7"/>
  <c r="AE62" i="7"/>
  <c r="AT35" i="7"/>
  <c r="X97" i="7"/>
  <c r="AF20" i="7"/>
  <c r="V9" i="7"/>
  <c r="AO145" i="7"/>
  <c r="AK132" i="7"/>
  <c r="AT12" i="7"/>
  <c r="AJ102" i="7"/>
  <c r="AF127" i="7"/>
  <c r="AH80" i="7"/>
  <c r="AI142" i="7"/>
  <c r="X89" i="7"/>
  <c r="T12" i="7"/>
  <c r="H151" i="7"/>
  <c r="AM146" i="7"/>
  <c r="X135" i="7"/>
  <c r="AR6" i="7"/>
  <c r="H12" i="7"/>
  <c r="F147" i="7"/>
  <c r="AL111" i="7"/>
  <c r="Q146" i="7"/>
  <c r="AA55" i="7"/>
  <c r="AE138" i="7"/>
  <c r="M142" i="7"/>
  <c r="F87" i="7"/>
  <c r="Y78" i="7"/>
  <c r="F75" i="7"/>
  <c r="L98" i="7"/>
  <c r="U62" i="7"/>
  <c r="R129" i="7"/>
  <c r="S120" i="7"/>
  <c r="Z91" i="7"/>
  <c r="AI94" i="7"/>
  <c r="AE134" i="7"/>
  <c r="AM56" i="7"/>
  <c r="AM67" i="7"/>
  <c r="AL46" i="7"/>
  <c r="AQ28" i="7"/>
  <c r="AJ69" i="7"/>
  <c r="AI12" i="7"/>
  <c r="W129" i="7"/>
  <c r="AL33" i="7"/>
  <c r="AH94" i="7"/>
  <c r="AI109" i="7"/>
  <c r="L28" i="7"/>
  <c r="AF157" i="7"/>
  <c r="I127" i="7"/>
  <c r="N101" i="7"/>
  <c r="AK26" i="7"/>
  <c r="AF76" i="7"/>
  <c r="AM96" i="7"/>
  <c r="K12" i="7"/>
  <c r="V70" i="7"/>
  <c r="Y114" i="7"/>
  <c r="AS70" i="7"/>
  <c r="AE99" i="7"/>
  <c r="AJ9" i="7"/>
  <c r="AG10" i="7"/>
  <c r="S137" i="7"/>
  <c r="AE70" i="7"/>
  <c r="V90" i="7"/>
  <c r="J146" i="7"/>
  <c r="V117" i="7"/>
  <c r="AC111" i="7"/>
  <c r="T129" i="7"/>
  <c r="AM106" i="7"/>
  <c r="AP13" i="7"/>
  <c r="T145" i="7"/>
  <c r="AQ12" i="7"/>
  <c r="AS67" i="7"/>
  <c r="AN52" i="7"/>
  <c r="Y50" i="7"/>
  <c r="S133" i="7"/>
  <c r="AN70" i="7"/>
  <c r="T115" i="7"/>
  <c r="AN7" i="7"/>
  <c r="AR122" i="7"/>
  <c r="AG76" i="7"/>
  <c r="AP23" i="7"/>
  <c r="F120" i="7"/>
  <c r="K124" i="7"/>
  <c r="AD99" i="7"/>
  <c r="G133" i="7"/>
  <c r="I137" i="7"/>
  <c r="G26" i="7"/>
  <c r="AN139" i="7"/>
  <c r="AM155" i="7"/>
  <c r="O113" i="7"/>
  <c r="AM48" i="7"/>
  <c r="AI108" i="7"/>
  <c r="AQ83" i="7"/>
  <c r="T158" i="7"/>
  <c r="Y49" i="7"/>
  <c r="M148" i="7"/>
  <c r="AG146" i="7"/>
  <c r="V78" i="7"/>
  <c r="AK88" i="7"/>
  <c r="R69" i="7"/>
  <c r="U122" i="7"/>
  <c r="AK59" i="7"/>
  <c r="Y88" i="7"/>
  <c r="AR142" i="7"/>
  <c r="Y110" i="7"/>
  <c r="AP25" i="7"/>
  <c r="AM58" i="7"/>
  <c r="AM143" i="7"/>
  <c r="U17" i="7"/>
  <c r="AB59" i="7"/>
  <c r="T156" i="7"/>
  <c r="AJ117" i="7"/>
  <c r="L137" i="7"/>
  <c r="I13" i="7"/>
  <c r="K64" i="7"/>
  <c r="AH14" i="7"/>
  <c r="AC40" i="7"/>
  <c r="U8" i="7"/>
  <c r="R8" i="7"/>
  <c r="H80" i="7"/>
  <c r="AI11" i="7"/>
  <c r="AI10" i="7"/>
  <c r="AO57" i="7"/>
  <c r="AC27" i="7"/>
  <c r="S125" i="7"/>
  <c r="AE144" i="7"/>
  <c r="Y98" i="7"/>
  <c r="AH23" i="7"/>
  <c r="L113" i="7"/>
  <c r="L48" i="7"/>
  <c r="X128" i="7"/>
  <c r="Y149" i="7"/>
  <c r="K48" i="7"/>
  <c r="O93" i="7"/>
  <c r="R111" i="7"/>
  <c r="F80" i="7"/>
  <c r="AM137" i="7"/>
  <c r="AN77" i="7"/>
  <c r="AO54" i="7"/>
  <c r="L29" i="7"/>
  <c r="AU101" i="7"/>
  <c r="AI55" i="7"/>
  <c r="AN96" i="7"/>
  <c r="AH39" i="7"/>
  <c r="Y127" i="7"/>
  <c r="AN18" i="7"/>
  <c r="J9" i="7"/>
  <c r="I23" i="7"/>
  <c r="Q101" i="7"/>
  <c r="AQ32" i="7"/>
  <c r="AS153" i="7"/>
  <c r="AB128" i="7"/>
  <c r="AH18" i="7"/>
  <c r="AT135" i="7"/>
  <c r="I130" i="7"/>
  <c r="AO131" i="7"/>
  <c r="AC95" i="7"/>
  <c r="AN111" i="7"/>
  <c r="AT28" i="7"/>
  <c r="AD137" i="7"/>
  <c r="AJ67" i="7"/>
  <c r="AS17" i="7"/>
  <c r="AN91" i="7"/>
  <c r="AA74" i="7"/>
  <c r="AP47" i="7"/>
  <c r="T56" i="7"/>
  <c r="AA138" i="7"/>
  <c r="AL123" i="7"/>
  <c r="AM45" i="7"/>
  <c r="AQ49" i="7"/>
  <c r="Y134" i="7"/>
  <c r="AM19" i="7"/>
  <c r="I98" i="7"/>
  <c r="G76" i="7"/>
  <c r="AM14" i="7"/>
  <c r="AC79" i="7"/>
  <c r="AA135" i="7"/>
  <c r="AQ59" i="7"/>
  <c r="H9" i="7"/>
  <c r="V93" i="7"/>
  <c r="AK69" i="7"/>
  <c r="AA78" i="7"/>
  <c r="L133" i="7"/>
  <c r="Q8" i="7"/>
  <c r="AP89" i="7"/>
  <c r="AC37" i="7"/>
  <c r="H19" i="7"/>
  <c r="AI153" i="7"/>
  <c r="R72" i="7"/>
  <c r="N92" i="7"/>
  <c r="O29" i="7"/>
  <c r="AS42" i="7"/>
  <c r="X140" i="7"/>
  <c r="V119" i="7"/>
  <c r="AM31" i="7"/>
  <c r="AR48" i="7"/>
  <c r="AH52" i="7"/>
  <c r="R46" i="7"/>
  <c r="AU9" i="7"/>
  <c r="V61" i="7"/>
  <c r="AN71" i="7"/>
  <c r="U96" i="7"/>
  <c r="H145" i="7"/>
  <c r="N6" i="7"/>
  <c r="AS81" i="7"/>
  <c r="AP129" i="7"/>
  <c r="AQ135" i="7"/>
  <c r="S98" i="7"/>
  <c r="AG127" i="7"/>
  <c r="AC62" i="7"/>
  <c r="W140" i="7"/>
  <c r="T93" i="7"/>
  <c r="I15" i="7"/>
  <c r="AI152" i="7"/>
  <c r="AT125" i="7"/>
  <c r="AN55" i="7"/>
  <c r="N76" i="7"/>
  <c r="U100" i="7"/>
  <c r="AQ124" i="7"/>
  <c r="AJ76" i="7"/>
  <c r="AU132" i="7"/>
  <c r="AI64" i="7"/>
  <c r="W15" i="7"/>
  <c r="M20" i="7"/>
  <c r="K152" i="7"/>
  <c r="AO49" i="7"/>
  <c r="AA101" i="7"/>
  <c r="Z90" i="7"/>
  <c r="AH96" i="7"/>
  <c r="AC64" i="7"/>
  <c r="M59" i="7"/>
  <c r="AD15" i="7"/>
  <c r="AP20" i="7"/>
  <c r="Q51" i="7"/>
  <c r="R28" i="7"/>
  <c r="T29" i="7"/>
  <c r="AB100" i="7"/>
  <c r="AH71" i="7"/>
  <c r="G55" i="7"/>
  <c r="Q43" i="7"/>
  <c r="I26" i="7"/>
  <c r="X29" i="7"/>
  <c r="AM35" i="7"/>
  <c r="U35" i="7"/>
  <c r="AR154" i="7"/>
  <c r="F27" i="7"/>
  <c r="Q95" i="7"/>
  <c r="AS147" i="7"/>
  <c r="J57" i="7"/>
  <c r="Q150" i="7"/>
  <c r="AP116" i="7"/>
  <c r="W132" i="7"/>
  <c r="F51" i="7"/>
  <c r="AP155" i="7"/>
  <c r="T97" i="7"/>
  <c r="N32" i="7"/>
  <c r="N66" i="7"/>
  <c r="R154" i="7"/>
  <c r="I87" i="7"/>
  <c r="AA51" i="7"/>
  <c r="AK153" i="7"/>
  <c r="Y82" i="7"/>
  <c r="R31" i="7"/>
  <c r="V97" i="7"/>
  <c r="K65" i="7"/>
  <c r="AD100" i="7"/>
  <c r="Y15" i="7"/>
  <c r="J86" i="7"/>
  <c r="U42" i="7"/>
  <c r="R94" i="7"/>
  <c r="I49" i="7"/>
  <c r="AJ14" i="7"/>
  <c r="L63" i="7"/>
  <c r="AU134" i="7"/>
  <c r="AS69" i="7"/>
  <c r="AE154" i="7"/>
  <c r="AH145" i="7"/>
  <c r="AO74" i="7"/>
  <c r="X6" i="7"/>
  <c r="N22" i="7"/>
  <c r="V89" i="7"/>
  <c r="AN53" i="7"/>
  <c r="AN158" i="7"/>
  <c r="AJ150" i="7"/>
  <c r="X16" i="7"/>
  <c r="M27" i="7"/>
  <c r="Z139" i="7"/>
  <c r="AR87" i="7"/>
  <c r="H91" i="7"/>
  <c r="AT56" i="7"/>
  <c r="AG152" i="7"/>
  <c r="G108" i="7"/>
  <c r="W134" i="7"/>
  <c r="AM151" i="7"/>
  <c r="V48" i="7"/>
  <c r="I85" i="7"/>
  <c r="AR96" i="7"/>
  <c r="O126" i="7"/>
  <c r="AE137" i="7"/>
  <c r="AM60" i="7"/>
  <c r="N155" i="7"/>
  <c r="O44" i="7"/>
  <c r="AL88" i="7"/>
  <c r="W13" i="7"/>
  <c r="AK68" i="7"/>
  <c r="J64" i="7"/>
  <c r="AS47" i="7"/>
  <c r="AJ25" i="7"/>
  <c r="S151" i="7"/>
  <c r="AB19" i="7"/>
  <c r="L121" i="7"/>
  <c r="V42" i="7"/>
  <c r="S29" i="7"/>
  <c r="AH84" i="7"/>
  <c r="H43" i="7"/>
  <c r="X129" i="7"/>
  <c r="X49" i="7"/>
  <c r="AC10" i="7"/>
  <c r="N55" i="7"/>
  <c r="Q31" i="7"/>
  <c r="AP110" i="7"/>
  <c r="AP58" i="7"/>
  <c r="V21" i="7"/>
  <c r="AJ129" i="7"/>
  <c r="L81" i="7"/>
  <c r="W29" i="7"/>
  <c r="Y61" i="7"/>
  <c r="AE37" i="7"/>
  <c r="AU69" i="7"/>
  <c r="X11" i="7"/>
  <c r="AQ121" i="7"/>
  <c r="H51" i="7"/>
  <c r="AT141" i="7"/>
  <c r="AC94" i="7"/>
  <c r="R12" i="7"/>
  <c r="AF153" i="7"/>
  <c r="AM33" i="7"/>
  <c r="J62" i="7"/>
  <c r="Y148" i="7"/>
  <c r="AN51" i="7"/>
  <c r="Q77" i="7"/>
  <c r="R73" i="7"/>
  <c r="AS101" i="7"/>
  <c r="AT140" i="7"/>
  <c r="AJ136" i="7"/>
  <c r="AJ85" i="7"/>
  <c r="Y51" i="7"/>
  <c r="AD63" i="7"/>
  <c r="J124" i="7"/>
  <c r="O152" i="7"/>
  <c r="AI128" i="7"/>
  <c r="V110" i="7"/>
  <c r="Q81" i="7"/>
  <c r="AR45" i="7"/>
  <c r="AN80" i="7"/>
  <c r="AU83" i="7"/>
  <c r="AE83" i="7"/>
  <c r="M66" i="7"/>
  <c r="F78" i="7"/>
  <c r="AJ91" i="7"/>
  <c r="AP140" i="7"/>
  <c r="V31" i="7"/>
  <c r="S49" i="7"/>
  <c r="AE36" i="7"/>
  <c r="AM122" i="7"/>
  <c r="AQ137" i="7"/>
  <c r="AR92" i="7"/>
  <c r="J93" i="7"/>
  <c r="AB88" i="7"/>
  <c r="AK61" i="7"/>
  <c r="AC107" i="7"/>
  <c r="M122" i="7"/>
  <c r="AL110" i="7"/>
  <c r="I48" i="7"/>
  <c r="AR116" i="7"/>
  <c r="AK82" i="7"/>
  <c r="F157" i="7"/>
  <c r="N114" i="7"/>
  <c r="AU136" i="7"/>
  <c r="X15" i="7"/>
  <c r="I88" i="7"/>
  <c r="Z72" i="7"/>
  <c r="L116" i="7"/>
  <c r="G137" i="7"/>
  <c r="AH45" i="7"/>
  <c r="AH154" i="7"/>
  <c r="T24" i="7"/>
  <c r="N9" i="7"/>
  <c r="O15" i="7"/>
  <c r="J134" i="7"/>
  <c r="O26" i="7"/>
  <c r="AF144" i="7"/>
  <c r="AI138" i="7"/>
  <c r="AM99" i="7"/>
  <c r="N105" i="7"/>
  <c r="Q137" i="7"/>
  <c r="F53" i="7"/>
  <c r="AF117" i="7"/>
  <c r="AG108" i="7"/>
  <c r="AN48" i="7"/>
  <c r="F89" i="7"/>
  <c r="AI29" i="7"/>
  <c r="AR140" i="7"/>
  <c r="R148" i="7"/>
  <c r="J87" i="7"/>
  <c r="M52" i="7"/>
  <c r="AM29" i="7"/>
  <c r="O138" i="7"/>
  <c r="AB106" i="7"/>
  <c r="AS107" i="7"/>
  <c r="AF29" i="7"/>
  <c r="AO116" i="7"/>
  <c r="Q58" i="7"/>
  <c r="AL122" i="7"/>
  <c r="I124" i="7"/>
  <c r="X132" i="7"/>
  <c r="AM32" i="7"/>
  <c r="J14" i="7"/>
  <c r="Q28" i="7"/>
  <c r="AN125" i="7"/>
  <c r="AP37" i="7"/>
  <c r="AT111" i="7"/>
  <c r="AG125" i="7"/>
  <c r="L108" i="7"/>
  <c r="AD58" i="7"/>
  <c r="AN108" i="7"/>
  <c r="N135" i="7"/>
  <c r="AM76" i="7"/>
  <c r="AM54" i="7"/>
  <c r="G49" i="7"/>
  <c r="J111" i="7"/>
  <c r="I111" i="7"/>
  <c r="AS148" i="7"/>
  <c r="AJ8" i="7"/>
  <c r="AQ57" i="7"/>
  <c r="G113" i="7"/>
  <c r="O149" i="7"/>
  <c r="AN106" i="7"/>
  <c r="AL134" i="7"/>
  <c r="V38" i="7"/>
  <c r="T55" i="7"/>
  <c r="AC90" i="7"/>
  <c r="AE121" i="7"/>
  <c r="AG78" i="7"/>
  <c r="F138" i="7"/>
  <c r="AD20" i="7"/>
  <c r="AE158" i="7"/>
  <c r="O115" i="7"/>
  <c r="U132" i="7"/>
  <c r="AL131" i="7"/>
  <c r="AA6" i="7"/>
  <c r="AQ96" i="7"/>
  <c r="AR50" i="7"/>
  <c r="K140" i="7"/>
  <c r="I115" i="7"/>
  <c r="I105" i="7"/>
  <c r="AM87" i="7"/>
  <c r="K71" i="7"/>
  <c r="X103" i="7"/>
  <c r="AP141" i="7"/>
  <c r="H8" i="7"/>
  <c r="AB123" i="7"/>
  <c r="AG42" i="7"/>
  <c r="AJ96" i="7"/>
  <c r="AA32" i="7"/>
  <c r="AU16" i="7"/>
  <c r="T11" i="7"/>
  <c r="G62" i="7"/>
  <c r="Z130" i="7"/>
  <c r="G70" i="7"/>
  <c r="N13" i="7"/>
  <c r="AJ66" i="7"/>
  <c r="Y79" i="7"/>
  <c r="M10" i="7"/>
  <c r="G69" i="7"/>
  <c r="G155" i="7"/>
  <c r="F141" i="7"/>
  <c r="R116" i="7"/>
  <c r="M32" i="7"/>
  <c r="AB117" i="7"/>
  <c r="U9" i="7"/>
  <c r="T72" i="7"/>
  <c r="Z108" i="7"/>
  <c r="AT54" i="7"/>
  <c r="K85" i="7"/>
  <c r="AJ12" i="7"/>
  <c r="AT156" i="7"/>
  <c r="W67" i="7"/>
  <c r="W56" i="7"/>
  <c r="AT46" i="7"/>
  <c r="J39" i="7"/>
  <c r="AI26" i="7"/>
  <c r="AL53" i="7"/>
  <c r="K44" i="7"/>
  <c r="V22" i="7"/>
  <c r="AP142" i="7"/>
  <c r="AI32" i="7"/>
  <c r="U38" i="7"/>
  <c r="M80" i="7"/>
  <c r="AM50" i="7"/>
  <c r="W114" i="7"/>
  <c r="M100" i="7"/>
  <c r="AR47" i="7"/>
  <c r="W79" i="7"/>
  <c r="X53" i="7"/>
  <c r="AD86" i="7"/>
  <c r="I25" i="7"/>
  <c r="N50" i="7"/>
  <c r="AP45" i="7"/>
  <c r="AK41" i="7"/>
  <c r="W156" i="7"/>
  <c r="Q152" i="7"/>
  <c r="Q93" i="7"/>
  <c r="M156" i="7"/>
  <c r="X60" i="7"/>
  <c r="AO142" i="7"/>
  <c r="L123" i="7"/>
  <c r="G68" i="7"/>
  <c r="AG118" i="7"/>
  <c r="AN30" i="7"/>
  <c r="AR98" i="7"/>
  <c r="G151" i="7"/>
  <c r="H100" i="7"/>
  <c r="AT108" i="7"/>
  <c r="AG112" i="7"/>
  <c r="AH37" i="7"/>
  <c r="AS129" i="7"/>
  <c r="T14" i="7"/>
  <c r="U50" i="7"/>
  <c r="K76" i="7"/>
  <c r="V75" i="7"/>
  <c r="AO16" i="7"/>
  <c r="AO94" i="7"/>
  <c r="O88" i="7"/>
  <c r="AN24" i="7"/>
  <c r="AU29" i="7"/>
  <c r="M60" i="7"/>
  <c r="AE51" i="7"/>
  <c r="Z76" i="7"/>
  <c r="AF37" i="7"/>
  <c r="AO121" i="7"/>
  <c r="AT88" i="7"/>
  <c r="AI73" i="7"/>
  <c r="AQ34" i="7"/>
  <c r="W63" i="7"/>
  <c r="F11" i="7"/>
  <c r="AC35" i="7"/>
  <c r="M73" i="7"/>
  <c r="F62" i="7"/>
  <c r="Z42" i="7"/>
  <c r="R22" i="7"/>
  <c r="Y13" i="7"/>
  <c r="W125" i="7"/>
  <c r="AJ80" i="7"/>
  <c r="S158" i="7"/>
  <c r="X28" i="7"/>
  <c r="S18" i="7"/>
  <c r="AH70" i="7"/>
  <c r="AH69" i="7"/>
  <c r="AU77" i="7"/>
  <c r="Q25" i="7"/>
  <c r="AE26" i="7"/>
  <c r="AN137" i="7"/>
  <c r="Y26" i="7"/>
  <c r="X22" i="7"/>
  <c r="J6" i="7"/>
  <c r="AT55" i="7"/>
  <c r="Y103" i="7"/>
  <c r="S80" i="7"/>
  <c r="M45" i="7"/>
  <c r="U69" i="7"/>
  <c r="AF25" i="7"/>
  <c r="AF53" i="7"/>
  <c r="AS149" i="7"/>
  <c r="X93" i="7"/>
  <c r="AB149" i="7"/>
  <c r="T102" i="7"/>
  <c r="AJ158" i="7"/>
  <c r="AL81" i="7"/>
  <c r="I38" i="7"/>
  <c r="AO96" i="7"/>
  <c r="AH55" i="7"/>
  <c r="S96" i="7"/>
  <c r="AT48" i="7"/>
  <c r="AR118" i="7"/>
  <c r="R59" i="7"/>
  <c r="Z62" i="7"/>
  <c r="AD24" i="7"/>
  <c r="AK101" i="7"/>
  <c r="AH110" i="7"/>
  <c r="AR37" i="7"/>
  <c r="AG114" i="7"/>
  <c r="U15" i="7"/>
  <c r="AI54" i="7"/>
  <c r="AR138" i="7"/>
  <c r="Z22" i="7"/>
  <c r="T34" i="7"/>
  <c r="V101" i="7"/>
  <c r="AU52" i="7"/>
  <c r="L95" i="7"/>
  <c r="AQ109" i="7"/>
  <c r="AT122" i="7"/>
  <c r="AD23" i="7"/>
  <c r="AA61" i="7"/>
  <c r="T32" i="7"/>
  <c r="AU116" i="7"/>
  <c r="W151" i="7"/>
  <c r="AF51" i="7"/>
  <c r="AB146" i="7"/>
  <c r="AK115" i="7"/>
  <c r="AH148" i="7"/>
  <c r="AC17" i="7"/>
  <c r="S112" i="7"/>
  <c r="AT100" i="7"/>
  <c r="O132" i="7"/>
  <c r="Y147" i="7"/>
  <c r="Z40" i="7"/>
  <c r="AJ78" i="7"/>
  <c r="AQ47" i="7"/>
  <c r="X41" i="7"/>
  <c r="G86" i="7"/>
  <c r="U158" i="7"/>
  <c r="J84" i="7"/>
  <c r="AA127" i="7"/>
  <c r="M94" i="7"/>
  <c r="F45" i="7"/>
  <c r="AB145" i="7"/>
  <c r="O97" i="7"/>
  <c r="T99" i="7"/>
  <c r="AA136" i="7"/>
  <c r="T154" i="7"/>
  <c r="U133" i="7"/>
  <c r="AS66" i="7"/>
  <c r="I31" i="7"/>
  <c r="AN138" i="7"/>
  <c r="AN68" i="7"/>
  <c r="AS36" i="7"/>
  <c r="I148" i="7"/>
  <c r="AM21" i="7"/>
  <c r="AT117" i="7"/>
  <c r="Y89" i="7"/>
  <c r="AG139" i="7"/>
  <c r="AQ139" i="7"/>
  <c r="AR63" i="7"/>
  <c r="AM6" i="7"/>
  <c r="AN90" i="7"/>
  <c r="AD158" i="7"/>
  <c r="AE115" i="7"/>
  <c r="AG86" i="7"/>
  <c r="AU47" i="7"/>
  <c r="I47" i="7"/>
  <c r="AA46" i="7"/>
  <c r="I73" i="7"/>
  <c r="AB126" i="7"/>
  <c r="L64" i="7"/>
  <c r="T46" i="7"/>
  <c r="AF99" i="7"/>
  <c r="U82" i="7"/>
  <c r="AF135" i="7"/>
  <c r="T122" i="7"/>
  <c r="K80" i="7"/>
  <c r="AI145" i="7"/>
  <c r="AN118" i="7"/>
  <c r="AB89" i="7"/>
  <c r="K133" i="7"/>
  <c r="H137" i="7"/>
  <c r="AF83" i="7"/>
  <c r="AE54" i="7"/>
  <c r="N125" i="7"/>
  <c r="AE78" i="7"/>
  <c r="AJ103" i="7"/>
  <c r="AN122" i="7"/>
  <c r="AO105" i="7"/>
  <c r="AI106" i="7"/>
  <c r="AM126" i="7"/>
  <c r="F126" i="7"/>
  <c r="AP33" i="7"/>
  <c r="AN39" i="7"/>
  <c r="W121" i="7"/>
  <c r="R149" i="7"/>
  <c r="W130" i="7"/>
  <c r="AH121" i="7"/>
  <c r="Z115" i="7"/>
  <c r="AH48" i="7"/>
  <c r="AD103" i="7"/>
  <c r="J63" i="7"/>
  <c r="G144" i="7"/>
  <c r="AR49" i="7"/>
  <c r="M102" i="7"/>
  <c r="AC55" i="7"/>
  <c r="X72" i="7"/>
  <c r="AG145" i="7"/>
  <c r="S43" i="7"/>
  <c r="AF13" i="7"/>
  <c r="Q97" i="7"/>
  <c r="AC127" i="7"/>
  <c r="AT96" i="7"/>
  <c r="F70" i="7"/>
  <c r="AO55" i="7"/>
  <c r="I18" i="7"/>
  <c r="AN61" i="7"/>
  <c r="Y38" i="7"/>
  <c r="H66" i="7"/>
  <c r="AM46" i="7"/>
  <c r="AL89" i="7"/>
  <c r="M115" i="7"/>
  <c r="AR27" i="7"/>
  <c r="AS86" i="7"/>
  <c r="AK40" i="7"/>
  <c r="L106" i="7"/>
  <c r="N11" i="7"/>
  <c r="L67" i="7"/>
  <c r="K33" i="7"/>
  <c r="V34" i="7"/>
  <c r="AQ102" i="7"/>
  <c r="Q74" i="7"/>
  <c r="AF128" i="7"/>
  <c r="Q84" i="7"/>
  <c r="S79" i="7"/>
  <c r="T134" i="7"/>
  <c r="AS151" i="7"/>
  <c r="F20" i="7"/>
  <c r="AF126" i="7"/>
  <c r="AN35" i="7"/>
  <c r="AI144" i="7"/>
  <c r="G112" i="7"/>
  <c r="AE94" i="7"/>
  <c r="U54" i="7"/>
  <c r="Q112" i="7"/>
  <c r="AR120" i="7"/>
  <c r="I121" i="7"/>
  <c r="S33" i="7"/>
  <c r="AT131" i="7"/>
  <c r="X78" i="7"/>
  <c r="AS142" i="7"/>
  <c r="AJ26" i="7"/>
  <c r="AT143" i="7"/>
  <c r="AK15" i="7"/>
  <c r="AB32" i="7"/>
  <c r="AQ73" i="7"/>
  <c r="AA17" i="7"/>
  <c r="X77" i="7"/>
  <c r="M47" i="7"/>
  <c r="AL32" i="7"/>
  <c r="U20" i="7"/>
  <c r="T57" i="7"/>
  <c r="I57" i="7"/>
  <c r="AC44" i="7"/>
  <c r="AI135" i="7"/>
  <c r="AG84" i="7"/>
  <c r="H130" i="7"/>
  <c r="AJ105" i="7"/>
  <c r="U30" i="7"/>
  <c r="S93" i="7"/>
  <c r="AI9" i="7"/>
  <c r="AG68" i="7"/>
  <c r="AP156" i="7"/>
  <c r="J18" i="7"/>
  <c r="AR88" i="7"/>
  <c r="N122" i="7"/>
  <c r="W142" i="7"/>
  <c r="I104" i="7"/>
  <c r="L92" i="7"/>
  <c r="T139" i="7"/>
  <c r="AG66" i="7"/>
  <c r="W106" i="7"/>
  <c r="AM91" i="7"/>
  <c r="AC31" i="7"/>
  <c r="L23" i="7"/>
  <c r="AT34" i="7"/>
  <c r="AE39" i="7"/>
  <c r="H148" i="7"/>
  <c r="V83" i="7"/>
  <c r="N33" i="7"/>
  <c r="K129" i="7"/>
  <c r="AU14" i="7"/>
  <c r="AK23" i="7"/>
  <c r="O107" i="7"/>
  <c r="AD145" i="7"/>
  <c r="AT109" i="7"/>
  <c r="G12" i="7"/>
  <c r="AP136" i="7"/>
  <c r="AO156" i="7"/>
  <c r="O17" i="7"/>
  <c r="AC50" i="7"/>
  <c r="L33" i="7"/>
  <c r="Y157" i="7"/>
  <c r="AO83" i="7"/>
  <c r="AK46" i="7"/>
  <c r="AQ77" i="7"/>
  <c r="AF58" i="7"/>
  <c r="H127" i="7"/>
  <c r="AA158" i="7"/>
  <c r="N65" i="7"/>
  <c r="S25" i="7"/>
  <c r="K26" i="7"/>
  <c r="Z79" i="7"/>
  <c r="S148" i="7"/>
  <c r="K13" i="7"/>
  <c r="W11" i="7"/>
  <c r="X96" i="7"/>
  <c r="Y52" i="7"/>
  <c r="AJ143" i="7"/>
  <c r="AN86" i="7"/>
  <c r="AO66" i="7"/>
  <c r="AJ128" i="7"/>
  <c r="L45" i="7"/>
  <c r="W111" i="7"/>
  <c r="G82" i="7"/>
  <c r="I40" i="7"/>
  <c r="U41" i="7"/>
  <c r="G143" i="7"/>
  <c r="X110" i="7"/>
  <c r="AI141" i="7"/>
  <c r="O12" i="7"/>
  <c r="S101" i="7"/>
  <c r="G117" i="7"/>
  <c r="AI151" i="7"/>
  <c r="AQ75" i="7"/>
  <c r="N99" i="7"/>
  <c r="X112" i="7"/>
  <c r="J132" i="7"/>
  <c r="N43" i="7"/>
  <c r="G65" i="7"/>
  <c r="J101" i="7"/>
  <c r="X111" i="7"/>
  <c r="U28" i="7"/>
  <c r="AL145" i="7"/>
  <c r="T26" i="7"/>
  <c r="H139" i="7"/>
  <c r="AD64" i="7"/>
  <c r="O158" i="7"/>
  <c r="I125" i="7"/>
  <c r="AE146" i="7"/>
  <c r="AJ53" i="7"/>
  <c r="AO28" i="7"/>
  <c r="AT105" i="7"/>
  <c r="AD6" i="7"/>
  <c r="AD96" i="7"/>
  <c r="AR53" i="7"/>
  <c r="AF39" i="7"/>
  <c r="AE23" i="7"/>
  <c r="AH128" i="7"/>
  <c r="Q143" i="7"/>
  <c r="J30" i="7"/>
  <c r="Q22" i="7"/>
  <c r="AJ155" i="7"/>
  <c r="AG71" i="7"/>
  <c r="L152" i="7"/>
  <c r="AI42" i="7"/>
  <c r="AQ22" i="7"/>
  <c r="S20" i="7"/>
  <c r="AL148" i="7"/>
  <c r="AH40" i="7"/>
  <c r="S142" i="7"/>
  <c r="L66" i="7"/>
  <c r="AS85" i="7"/>
  <c r="L44" i="7"/>
  <c r="G130" i="7"/>
  <c r="AR129" i="7"/>
  <c r="AO8" i="7"/>
  <c r="AF102" i="7"/>
  <c r="AF145" i="7"/>
  <c r="AO144" i="7"/>
  <c r="I16" i="7"/>
  <c r="AJ126" i="7"/>
  <c r="G110" i="7"/>
  <c r="N41" i="7"/>
  <c r="AU79" i="7"/>
  <c r="Y145" i="7"/>
  <c r="AJ118" i="7"/>
  <c r="Z117" i="7"/>
  <c r="AG147" i="7"/>
  <c r="N90" i="7"/>
  <c r="AA150" i="7"/>
  <c r="AQ11" i="7"/>
  <c r="V105" i="7"/>
  <c r="N154" i="7"/>
  <c r="AH113" i="7"/>
  <c r="AD97" i="7"/>
  <c r="U157" i="7"/>
  <c r="AK24" i="7"/>
  <c r="X10" i="7"/>
  <c r="AB11" i="7"/>
  <c r="AN16" i="7"/>
  <c r="Y33" i="7"/>
  <c r="AB35" i="7"/>
  <c r="AD45" i="7"/>
  <c r="AI19" i="7"/>
  <c r="AQ125" i="7"/>
  <c r="AQ91" i="7"/>
  <c r="Y137" i="7"/>
  <c r="AG18" i="7"/>
  <c r="AD125" i="7"/>
  <c r="X46" i="7"/>
  <c r="AO46" i="7"/>
  <c r="AB84" i="7"/>
  <c r="W136" i="7"/>
  <c r="Z46" i="7"/>
  <c r="X27" i="7"/>
  <c r="Z58" i="7"/>
  <c r="AC54" i="7"/>
  <c r="R13" i="7"/>
  <c r="AR121" i="7"/>
  <c r="AL129" i="7"/>
  <c r="AE133" i="7"/>
  <c r="Q39" i="7"/>
  <c r="AK76" i="7"/>
  <c r="M111" i="7"/>
  <c r="AG54" i="7"/>
  <c r="AO126" i="7"/>
  <c r="X115" i="7"/>
  <c r="AD144" i="7"/>
  <c r="AM108" i="7"/>
  <c r="AU28" i="7"/>
  <c r="R44" i="7"/>
  <c r="Y18" i="7"/>
  <c r="AL120" i="7"/>
  <c r="F83" i="7"/>
  <c r="G109" i="7"/>
  <c r="AD123" i="7"/>
  <c r="AE129" i="7"/>
  <c r="AH64" i="7"/>
  <c r="AT99" i="7"/>
  <c r="F15" i="7"/>
  <c r="Q20" i="7"/>
  <c r="N118" i="7"/>
  <c r="Q136" i="7"/>
  <c r="N152" i="7"/>
  <c r="AG131" i="7"/>
  <c r="L7" i="7"/>
  <c r="G118" i="7"/>
  <c r="AT104" i="7"/>
  <c r="V7" i="7"/>
  <c r="AB131" i="7"/>
  <c r="AC20" i="7"/>
  <c r="AK99" i="7"/>
  <c r="AP101" i="7"/>
  <c r="V49" i="7"/>
  <c r="F133" i="7"/>
  <c r="AI50" i="7"/>
  <c r="AL118" i="7"/>
  <c r="AU118" i="7"/>
  <c r="AR108" i="7"/>
  <c r="AE76" i="7"/>
  <c r="AE24" i="7"/>
  <c r="AH28" i="7"/>
  <c r="L78" i="7"/>
  <c r="J37" i="7"/>
  <c r="Q142" i="7"/>
  <c r="F102" i="7"/>
  <c r="L82" i="7"/>
  <c r="Z27" i="7"/>
  <c r="AG144" i="7"/>
  <c r="AM120" i="7"/>
  <c r="L84" i="7"/>
  <c r="AQ45" i="7"/>
  <c r="Z51" i="7"/>
  <c r="X76" i="7"/>
  <c r="N15" i="7"/>
  <c r="AT134" i="7"/>
  <c r="O59" i="7"/>
  <c r="AB52" i="7"/>
  <c r="AI133" i="7"/>
  <c r="L22" i="7"/>
  <c r="M15" i="7"/>
  <c r="AB60" i="7"/>
  <c r="Q85" i="7"/>
  <c r="U76" i="7"/>
  <c r="AU89" i="7"/>
  <c r="AN66" i="7"/>
  <c r="N127" i="7"/>
  <c r="AA72" i="7"/>
  <c r="S91" i="7"/>
  <c r="AQ86" i="7"/>
  <c r="L13" i="7"/>
  <c r="AP64" i="7"/>
  <c r="AL71" i="7"/>
  <c r="M71" i="7"/>
  <c r="AP56" i="7"/>
  <c r="T16" i="7"/>
  <c r="T73" i="7"/>
  <c r="AP126" i="7"/>
  <c r="AP120" i="7"/>
  <c r="M125" i="7"/>
  <c r="W70" i="7"/>
  <c r="AE114" i="7"/>
  <c r="K6" i="7"/>
  <c r="AI116" i="7"/>
  <c r="Q144" i="7"/>
  <c r="AI122" i="7"/>
  <c r="AA8" i="7"/>
  <c r="AE127" i="7"/>
  <c r="AD50" i="7"/>
  <c r="AD87" i="7"/>
  <c r="V115" i="7"/>
  <c r="AG148" i="7"/>
  <c r="G33" i="7"/>
  <c r="R85" i="7"/>
  <c r="AK94" i="7"/>
  <c r="I119" i="7"/>
  <c r="AC148" i="7"/>
  <c r="W23" i="7"/>
  <c r="AE20" i="7"/>
  <c r="AF40" i="7"/>
  <c r="M86" i="7"/>
  <c r="AB44" i="7"/>
  <c r="H52" i="7"/>
  <c r="AI53" i="7"/>
  <c r="F107" i="7"/>
  <c r="S61" i="7"/>
  <c r="AC147" i="7"/>
  <c r="W68" i="7"/>
  <c r="AG81" i="7"/>
  <c r="K113" i="7"/>
  <c r="AE124" i="7"/>
  <c r="AL146" i="7"/>
  <c r="U44" i="7"/>
  <c r="AJ87" i="7"/>
  <c r="AK138" i="7"/>
  <c r="K114" i="7"/>
  <c r="AH131" i="7"/>
  <c r="AE97" i="7"/>
  <c r="AA79" i="7"/>
  <c r="AG75" i="7"/>
  <c r="AR128" i="7"/>
  <c r="AA145" i="7"/>
  <c r="U13" i="7"/>
  <c r="Y84" i="7"/>
  <c r="AM152" i="7"/>
  <c r="AA96" i="7"/>
  <c r="AI44" i="7"/>
  <c r="AQ147" i="7"/>
  <c r="N38" i="7"/>
  <c r="AF152" i="7"/>
  <c r="L90" i="7"/>
  <c r="V154" i="7"/>
  <c r="AU157" i="7"/>
  <c r="U128" i="7"/>
  <c r="AD122" i="7"/>
  <c r="AT7" i="7"/>
  <c r="AG23" i="7"/>
  <c r="AP147" i="7"/>
  <c r="AQ104" i="7"/>
  <c r="AR78" i="7"/>
  <c r="AQ61" i="7"/>
  <c r="AS127" i="7"/>
  <c r="Z33" i="7"/>
  <c r="AC71" i="7"/>
  <c r="AT19" i="7"/>
  <c r="AB15" i="7"/>
  <c r="U104" i="7"/>
  <c r="AA97" i="7"/>
  <c r="AM153" i="7"/>
  <c r="AK8" i="7"/>
  <c r="AU76" i="7"/>
  <c r="AE8" i="7"/>
  <c r="AP73" i="7"/>
  <c r="AP54" i="7"/>
  <c r="AT36" i="7"/>
  <c r="AE92" i="7"/>
  <c r="L94" i="7"/>
  <c r="Q114" i="7"/>
  <c r="AK79" i="7"/>
  <c r="AS74" i="7"/>
  <c r="X156" i="7"/>
  <c r="W82" i="7"/>
  <c r="Q129" i="7"/>
  <c r="AB152" i="7"/>
  <c r="AG44" i="7"/>
  <c r="AH112" i="7"/>
  <c r="T21" i="7"/>
  <c r="AA24" i="7"/>
  <c r="U150" i="7"/>
  <c r="AM20" i="7"/>
  <c r="AF48" i="7"/>
  <c r="AN45" i="7"/>
  <c r="Z39" i="7"/>
  <c r="V27" i="7"/>
  <c r="AS140" i="7"/>
  <c r="AG130" i="7"/>
  <c r="R123" i="7"/>
  <c r="R115" i="7"/>
  <c r="L52" i="7"/>
  <c r="AK34" i="7"/>
  <c r="K142" i="7"/>
  <c r="AR14" i="7"/>
  <c r="Y39" i="7"/>
  <c r="AK150" i="7"/>
  <c r="U32" i="7"/>
  <c r="AQ27" i="7"/>
  <c r="AO47" i="7"/>
  <c r="AS157" i="7"/>
  <c r="M112" i="7"/>
  <c r="R29" i="7"/>
  <c r="N26" i="7"/>
  <c r="AB102" i="7"/>
  <c r="F46" i="7"/>
  <c r="Y57" i="7"/>
  <c r="AN12" i="7"/>
  <c r="H64" i="7"/>
  <c r="Z143" i="7"/>
  <c r="R100" i="7"/>
  <c r="Q116" i="7"/>
  <c r="AB97" i="7"/>
  <c r="AM83" i="7"/>
  <c r="X74" i="7"/>
  <c r="Z9" i="7"/>
  <c r="AG122" i="7"/>
  <c r="V68" i="7"/>
  <c r="N139" i="7"/>
  <c r="G7" i="7"/>
  <c r="J67" i="7"/>
  <c r="U33" i="7"/>
  <c r="AM84" i="7"/>
  <c r="AB76" i="7"/>
  <c r="AF6" i="7"/>
  <c r="T151" i="7"/>
  <c r="AH135" i="7"/>
  <c r="AT58" i="7"/>
  <c r="Q147" i="7"/>
  <c r="AL132" i="7"/>
  <c r="U110" i="7"/>
  <c r="U78" i="7"/>
  <c r="AR149" i="7"/>
  <c r="S63" i="7"/>
  <c r="W50" i="7"/>
  <c r="M113" i="7"/>
  <c r="I27" i="7"/>
  <c r="Z144" i="7"/>
  <c r="AC6" i="7"/>
  <c r="U149" i="7"/>
  <c r="AN124" i="7"/>
  <c r="Q106" i="7"/>
  <c r="AG105" i="7"/>
  <c r="AK71" i="7"/>
  <c r="AF129" i="7"/>
  <c r="L141" i="7"/>
  <c r="K93" i="7"/>
  <c r="H113" i="7"/>
  <c r="AD106" i="7"/>
  <c r="AB24" i="7"/>
  <c r="AS135" i="7"/>
  <c r="AR104" i="7"/>
  <c r="T147" i="7"/>
  <c r="F91" i="7"/>
  <c r="AD142" i="7"/>
  <c r="Y34" i="7"/>
  <c r="H110" i="7"/>
  <c r="J125" i="7"/>
  <c r="AP91" i="7"/>
  <c r="AS77" i="7"/>
  <c r="AI82" i="7"/>
  <c r="Q44" i="7"/>
  <c r="Z53" i="7"/>
  <c r="AR59" i="7"/>
  <c r="H10" i="7"/>
  <c r="AD104" i="7"/>
  <c r="AS14" i="7"/>
  <c r="S139" i="7"/>
  <c r="AI92" i="7"/>
  <c r="AI113" i="7"/>
  <c r="AJ51" i="7"/>
  <c r="AT90" i="7"/>
  <c r="J138" i="7"/>
  <c r="R143" i="7"/>
  <c r="AC157" i="7"/>
  <c r="R119" i="7"/>
  <c r="AO102" i="7"/>
  <c r="AK86" i="7"/>
  <c r="AE98" i="7"/>
  <c r="AT83" i="7"/>
  <c r="AN144" i="7"/>
  <c r="AT29" i="7"/>
  <c r="O157" i="7"/>
  <c r="U90" i="7"/>
  <c r="AF147" i="7"/>
  <c r="V127" i="7"/>
  <c r="AH83" i="7"/>
  <c r="M129" i="7"/>
  <c r="W85" i="7"/>
  <c r="AE68" i="7"/>
  <c r="X91" i="7"/>
  <c r="AE141" i="7"/>
  <c r="R53" i="7"/>
  <c r="AN88" i="7"/>
  <c r="Y117" i="7"/>
  <c r="G25" i="7"/>
  <c r="F99" i="7"/>
  <c r="AK50" i="7"/>
  <c r="K148" i="7"/>
  <c r="X64" i="7"/>
  <c r="I114" i="7"/>
  <c r="AE40" i="7"/>
  <c r="J107" i="7"/>
  <c r="AA65" i="7"/>
  <c r="W110" i="7"/>
  <c r="AS94" i="7"/>
  <c r="U52" i="7"/>
  <c r="AC58" i="7"/>
  <c r="AA109" i="7"/>
  <c r="AS30" i="7"/>
  <c r="V59" i="7"/>
  <c r="AC13" i="7"/>
  <c r="AU108" i="7"/>
  <c r="X8" i="7"/>
  <c r="V95" i="7"/>
  <c r="AT49" i="7"/>
  <c r="AL31" i="7"/>
  <c r="AO36" i="7"/>
  <c r="AM28" i="7"/>
  <c r="Z97" i="7"/>
  <c r="AO110" i="7"/>
  <c r="U40" i="7"/>
  <c r="AR106" i="7"/>
  <c r="AI8" i="7"/>
  <c r="AT116" i="7"/>
  <c r="W123" i="7"/>
  <c r="AH129" i="7"/>
  <c r="AL105" i="7"/>
  <c r="K24" i="7"/>
  <c r="AH133" i="7"/>
  <c r="AG153" i="7"/>
  <c r="AQ25" i="7"/>
  <c r="AC52" i="7"/>
  <c r="AM140" i="7"/>
  <c r="AP72" i="7"/>
  <c r="AG99" i="7"/>
  <c r="X88" i="7"/>
  <c r="AJ112" i="7"/>
  <c r="AN131" i="7"/>
  <c r="AQ76" i="7"/>
  <c r="AB118" i="7"/>
  <c r="AG93" i="7"/>
  <c r="T6" i="7"/>
  <c r="AA69" i="7"/>
  <c r="AF64" i="7"/>
  <c r="I141" i="7"/>
  <c r="AK53" i="7"/>
  <c r="K145" i="7"/>
  <c r="AM72" i="7"/>
  <c r="AD41" i="7"/>
  <c r="AJ138" i="7"/>
  <c r="Z48" i="7"/>
  <c r="Y138" i="7"/>
  <c r="F124" i="7"/>
  <c r="AH11" i="7"/>
  <c r="AU115" i="7"/>
  <c r="AE123" i="7"/>
  <c r="F134" i="7"/>
  <c r="H22" i="7"/>
  <c r="J127" i="7"/>
  <c r="AT17" i="7"/>
  <c r="K109" i="7"/>
  <c r="Z102" i="7"/>
  <c r="Q130" i="7"/>
  <c r="AJ132" i="7"/>
  <c r="AR110" i="7"/>
  <c r="R45" i="7"/>
  <c r="N142" i="7"/>
  <c r="I112" i="7"/>
  <c r="Z136" i="7"/>
  <c r="Y83" i="7"/>
  <c r="AG21" i="7"/>
  <c r="V73" i="7"/>
  <c r="AU141" i="7"/>
  <c r="T117" i="7"/>
  <c r="M127" i="7"/>
  <c r="S6" i="7"/>
  <c r="AL11" i="7"/>
  <c r="H84" i="7"/>
  <c r="W97" i="7"/>
  <c r="AT119" i="7"/>
  <c r="AU66" i="7"/>
  <c r="AG13" i="7"/>
  <c r="AK93" i="7"/>
  <c r="AK47" i="7"/>
  <c r="S116" i="7"/>
  <c r="AH67" i="7"/>
  <c r="K143" i="7"/>
  <c r="AM25" i="7"/>
  <c r="O39" i="7"/>
  <c r="F32" i="7"/>
  <c r="AC14" i="7"/>
  <c r="Q80" i="7"/>
  <c r="AB64" i="7"/>
  <c r="AI102" i="7"/>
  <c r="O134" i="7"/>
  <c r="W45" i="7"/>
  <c r="M139" i="7"/>
  <c r="AG156" i="7"/>
  <c r="AK74" i="7"/>
  <c r="G79" i="7"/>
  <c r="Q139" i="7"/>
  <c r="R19" i="7"/>
  <c r="AT136" i="7"/>
  <c r="G147" i="7"/>
  <c r="AE143" i="7"/>
  <c r="K141" i="7"/>
  <c r="J60" i="7"/>
  <c r="AB96" i="7"/>
  <c r="AD95" i="7"/>
  <c r="M116" i="7"/>
  <c r="Q127" i="7"/>
  <c r="J118" i="7"/>
  <c r="AO87" i="7"/>
  <c r="AA77" i="7"/>
  <c r="AO19" i="7"/>
  <c r="AQ89" i="7"/>
  <c r="Z10" i="7"/>
  <c r="AE151" i="7"/>
  <c r="AD49" i="7"/>
  <c r="AF124" i="7"/>
  <c r="R113" i="7"/>
  <c r="K115" i="7"/>
  <c r="AH47" i="7"/>
  <c r="AR67" i="7"/>
  <c r="AC32" i="7"/>
  <c r="H132" i="7"/>
  <c r="AA23" i="7"/>
  <c r="U71" i="7"/>
  <c r="H34" i="7"/>
  <c r="R118" i="7"/>
  <c r="AQ138" i="7"/>
  <c r="AF109" i="7"/>
  <c r="AN114" i="7"/>
  <c r="AP67" i="7"/>
  <c r="AL34" i="7"/>
  <c r="Q98" i="7"/>
  <c r="AK116" i="7"/>
  <c r="AI7" i="7"/>
  <c r="U123" i="7"/>
  <c r="AK17" i="7"/>
  <c r="AU139" i="7"/>
  <c r="AB30" i="7"/>
  <c r="G116" i="7"/>
  <c r="AD127" i="7"/>
  <c r="AS56" i="7"/>
  <c r="V121" i="7"/>
  <c r="AN78" i="7"/>
  <c r="AP55" i="7"/>
  <c r="AB57" i="7"/>
  <c r="AN109" i="7"/>
  <c r="AO114" i="7"/>
  <c r="I10" i="7"/>
  <c r="W57" i="7"/>
  <c r="H54" i="7"/>
  <c r="Z60" i="7"/>
  <c r="AH12" i="7"/>
  <c r="AU124" i="7"/>
  <c r="AM90" i="7"/>
  <c r="AE136" i="7"/>
  <c r="AH26" i="7"/>
  <c r="Y70" i="7"/>
  <c r="AI87" i="7"/>
  <c r="AU155" i="7"/>
  <c r="Y97" i="7"/>
  <c r="AT157" i="7"/>
  <c r="AP85" i="7"/>
  <c r="AT101" i="7"/>
  <c r="AE12" i="7"/>
  <c r="AB153" i="7"/>
  <c r="AU71" i="7"/>
  <c r="AI25" i="7"/>
  <c r="Y96" i="7"/>
  <c r="AR123" i="7"/>
  <c r="AB99" i="7"/>
  <c r="Z29" i="7"/>
  <c r="AC115" i="7"/>
  <c r="AS20" i="7"/>
  <c r="W148" i="7"/>
  <c r="Y116" i="7"/>
  <c r="AP118" i="7"/>
  <c r="AU12" i="7"/>
  <c r="AK10" i="7"/>
  <c r="AJ156" i="7"/>
  <c r="AP48" i="7"/>
  <c r="AG33" i="7"/>
  <c r="AC145" i="7"/>
  <c r="R9" i="7"/>
  <c r="N75" i="7"/>
  <c r="AG102" i="7"/>
  <c r="AN9" i="7"/>
  <c r="X108" i="7"/>
  <c r="Q66" i="7"/>
  <c r="AK121" i="7"/>
  <c r="G11" i="7"/>
  <c r="O136" i="7"/>
  <c r="AE19" i="7"/>
  <c r="AH38" i="7"/>
  <c r="AJ22" i="7"/>
  <c r="AQ110" i="7"/>
  <c r="AQ150" i="7"/>
  <c r="AH147" i="7"/>
  <c r="U48" i="7"/>
  <c r="AO138" i="7"/>
  <c r="AI6" i="7"/>
  <c r="AE103" i="7"/>
  <c r="L142" i="7"/>
  <c r="AC43" i="7"/>
  <c r="AD75" i="7"/>
  <c r="AG154" i="7"/>
  <c r="J141" i="7"/>
  <c r="N30" i="7"/>
  <c r="AC114" i="7"/>
  <c r="V157" i="7"/>
  <c r="AF60" i="7"/>
  <c r="AK140" i="7"/>
  <c r="L145" i="7"/>
  <c r="V23" i="7"/>
  <c r="AH139" i="7"/>
  <c r="AL119" i="7"/>
  <c r="AC121" i="7"/>
  <c r="AT86" i="7"/>
  <c r="AU17" i="7"/>
  <c r="AD40" i="7"/>
  <c r="G98" i="7"/>
  <c r="O139" i="7"/>
  <c r="AU39" i="7"/>
  <c r="AO143" i="7"/>
  <c r="Z28" i="7"/>
  <c r="AR130" i="7"/>
  <c r="AJ131" i="7"/>
  <c r="X32" i="7"/>
  <c r="O145" i="7"/>
  <c r="H101" i="7"/>
  <c r="AN74" i="7"/>
  <c r="Z57" i="7"/>
  <c r="F88" i="7"/>
  <c r="AB98" i="7"/>
  <c r="AB148" i="7"/>
  <c r="AU154" i="7"/>
  <c r="Q125" i="7"/>
  <c r="J76" i="7"/>
  <c r="X109" i="7"/>
  <c r="AF18" i="7"/>
  <c r="R112" i="7"/>
  <c r="O137" i="7"/>
  <c r="AA53" i="7"/>
  <c r="J103" i="7"/>
  <c r="L134" i="7"/>
  <c r="H105" i="7"/>
  <c r="AS23" i="7"/>
  <c r="AL140" i="7"/>
  <c r="AO56" i="7"/>
  <c r="AL22" i="7"/>
  <c r="AQ20" i="7"/>
  <c r="U79" i="7"/>
  <c r="F72" i="7"/>
  <c r="AM132" i="7"/>
  <c r="U60" i="7"/>
  <c r="AG155" i="7"/>
  <c r="N119" i="7"/>
  <c r="AI98" i="7"/>
  <c r="AF133" i="7"/>
  <c r="AC99" i="7"/>
  <c r="AA104" i="7"/>
  <c r="T135" i="7"/>
  <c r="AL109" i="7"/>
  <c r="AK43" i="7"/>
  <c r="G124" i="7"/>
  <c r="AK42" i="7"/>
  <c r="H133" i="7"/>
  <c r="Z120" i="7"/>
  <c r="I11" i="7"/>
  <c r="AH146" i="7"/>
  <c r="O94" i="7"/>
  <c r="AJ42" i="7"/>
  <c r="AK137" i="7"/>
  <c r="AH25" i="7"/>
  <c r="G158" i="7"/>
  <c r="AL35" i="7"/>
  <c r="AS19" i="7"/>
  <c r="AE126" i="7"/>
  <c r="AD116" i="7"/>
  <c r="AO43" i="7"/>
  <c r="AN19" i="7"/>
  <c r="AJ19" i="7"/>
  <c r="T148" i="7"/>
  <c r="T113" i="7"/>
  <c r="X144" i="7"/>
  <c r="AO95" i="7"/>
  <c r="V64" i="7"/>
  <c r="AC154" i="7"/>
  <c r="W22" i="7"/>
  <c r="AS98" i="7"/>
  <c r="AU135" i="7"/>
  <c r="V133" i="7"/>
  <c r="AJ152" i="7"/>
  <c r="AQ68" i="7"/>
  <c r="Y115" i="7"/>
  <c r="AP157" i="7"/>
  <c r="AP109" i="7"/>
  <c r="G50" i="7"/>
  <c r="AM80" i="7"/>
  <c r="R47" i="7"/>
  <c r="AR40" i="7"/>
  <c r="AH7" i="7"/>
  <c r="AH123" i="7"/>
  <c r="AE11" i="7"/>
  <c r="Z128" i="7"/>
  <c r="AB71" i="7"/>
  <c r="AK45" i="7"/>
  <c r="O62" i="7"/>
  <c r="L100" i="7"/>
  <c r="T48" i="7"/>
  <c r="AN36" i="7"/>
  <c r="H74" i="7"/>
  <c r="L43" i="7"/>
  <c r="AP71" i="7"/>
  <c r="AL141" i="7"/>
  <c r="AQ155" i="7"/>
  <c r="AJ75" i="7"/>
  <c r="AB137" i="7"/>
  <c r="AI57" i="7"/>
  <c r="Q92" i="7"/>
  <c r="AC86" i="7"/>
  <c r="AA140" i="7"/>
  <c r="AD102" i="7"/>
  <c r="AA112" i="7"/>
  <c r="AT121" i="7"/>
  <c r="Y129" i="7"/>
  <c r="AS82" i="7"/>
  <c r="AD26" i="7"/>
  <c r="AO79" i="7"/>
  <c r="V153" i="7"/>
  <c r="AT25" i="7"/>
  <c r="AR42" i="7"/>
  <c r="Y126" i="7"/>
  <c r="AQ92" i="7"/>
  <c r="AO100" i="7"/>
  <c r="AA129" i="7"/>
  <c r="AA107" i="7"/>
  <c r="AG30" i="7"/>
  <c r="Y64" i="7"/>
  <c r="AP60" i="7"/>
  <c r="AQ40" i="7"/>
  <c r="X65" i="7"/>
  <c r="L127" i="7"/>
  <c r="AK18" i="7"/>
  <c r="AU131" i="7"/>
  <c r="AH126" i="7"/>
  <c r="AC48" i="7"/>
  <c r="AG72" i="7"/>
  <c r="S140" i="7"/>
  <c r="S152" i="7"/>
  <c r="F63" i="7"/>
  <c r="N10" i="7"/>
  <c r="O129" i="7"/>
  <c r="G115" i="7"/>
  <c r="N133" i="7"/>
  <c r="R39" i="7"/>
  <c r="AC25" i="7"/>
  <c r="AF110" i="7"/>
  <c r="V84" i="7"/>
  <c r="AO154" i="7"/>
  <c r="AT39" i="7"/>
  <c r="AE95" i="7"/>
  <c r="AQ117" i="7"/>
  <c r="AR148" i="7"/>
  <c r="V12" i="7"/>
  <c r="I45" i="7"/>
  <c r="Q14" i="7"/>
  <c r="AM100" i="7"/>
  <c r="AI117" i="7"/>
  <c r="M9" i="7"/>
  <c r="T108" i="7"/>
  <c r="AF50" i="7"/>
  <c r="M19" i="7"/>
  <c r="L88" i="7"/>
  <c r="AH42" i="7"/>
  <c r="AK128" i="7"/>
  <c r="AK77" i="7"/>
  <c r="AU117" i="7"/>
  <c r="O114" i="7"/>
  <c r="H6" i="7"/>
  <c r="W32" i="7"/>
  <c r="V135" i="7"/>
  <c r="AK87" i="7"/>
  <c r="V24" i="7"/>
  <c r="AM105" i="7"/>
  <c r="AN23" i="7"/>
  <c r="AJ86" i="7"/>
  <c r="AP77" i="7"/>
  <c r="AU80" i="7"/>
  <c r="AS131" i="7"/>
  <c r="AQ60" i="7"/>
  <c r="AN64" i="7"/>
  <c r="Q138" i="7"/>
  <c r="AN33" i="7"/>
  <c r="AO117" i="7"/>
  <c r="F130" i="7"/>
  <c r="M131" i="7"/>
  <c r="AT50" i="7"/>
  <c r="G15" i="7"/>
  <c r="AI61" i="7"/>
  <c r="F149" i="7"/>
  <c r="S89" i="7"/>
  <c r="T76" i="7"/>
  <c r="S41" i="7"/>
  <c r="AO157" i="7"/>
  <c r="H48" i="7"/>
  <c r="AL158" i="7"/>
  <c r="AH6" i="7"/>
  <c r="AK124" i="7"/>
  <c r="G132" i="7"/>
  <c r="AL115" i="7"/>
  <c r="AC81" i="7"/>
  <c r="AA111" i="7"/>
  <c r="L147" i="7"/>
  <c r="W81" i="7"/>
  <c r="K45" i="7"/>
  <c r="AG149" i="7"/>
  <c r="AE56" i="7"/>
  <c r="AN148" i="7"/>
  <c r="K42" i="7"/>
  <c r="F109" i="7"/>
  <c r="AL149" i="7"/>
  <c r="AI77" i="7"/>
  <c r="AL90" i="7"/>
  <c r="T59" i="7"/>
  <c r="L17" i="7"/>
  <c r="AR13" i="7"/>
  <c r="AH41" i="7"/>
  <c r="S95" i="7"/>
  <c r="AD147" i="7"/>
  <c r="AT97" i="7"/>
  <c r="J24" i="7"/>
  <c r="AF104" i="7"/>
  <c r="AN141" i="7"/>
  <c r="AJ43" i="7"/>
  <c r="Q49" i="7"/>
  <c r="F132" i="7"/>
  <c r="O91" i="7"/>
  <c r="X153" i="7"/>
  <c r="AM104" i="7"/>
  <c r="S19" i="7"/>
  <c r="M42" i="7"/>
  <c r="AR127" i="7"/>
  <c r="X59" i="7"/>
  <c r="O133" i="7"/>
  <c r="M141" i="7"/>
  <c r="X37" i="7"/>
  <c r="AA103" i="7"/>
  <c r="S72" i="7"/>
  <c r="I135" i="7"/>
  <c r="AD131" i="7"/>
  <c r="AU125" i="7"/>
  <c r="V46" i="7"/>
  <c r="K21" i="7"/>
  <c r="H76" i="7"/>
  <c r="AC45" i="7"/>
  <c r="AS100" i="7"/>
  <c r="AD53" i="7"/>
  <c r="O16" i="7"/>
  <c r="I28" i="7"/>
  <c r="Q113" i="7"/>
  <c r="T35" i="7"/>
  <c r="T89" i="7"/>
  <c r="AK127" i="7"/>
  <c r="AK72" i="7"/>
  <c r="J130" i="7"/>
  <c r="AU54" i="7"/>
  <c r="AO30" i="7"/>
  <c r="AG157" i="7"/>
  <c r="O117" i="7"/>
  <c r="AK16" i="7"/>
  <c r="L126" i="7"/>
  <c r="M37" i="7"/>
  <c r="AK9" i="7"/>
  <c r="M144" i="7"/>
  <c r="N95" i="7"/>
  <c r="AG128" i="7"/>
  <c r="V140" i="7"/>
  <c r="AR80" i="7"/>
  <c r="O20" i="7"/>
  <c r="W124" i="7"/>
  <c r="AA123" i="7"/>
  <c r="W78" i="7"/>
  <c r="AQ94" i="7"/>
  <c r="AO58" i="7"/>
  <c r="Y32" i="7"/>
  <c r="AU51" i="7"/>
  <c r="AQ21" i="7"/>
  <c r="AR119" i="7"/>
  <c r="S104" i="7"/>
  <c r="U72" i="7"/>
  <c r="AO33" i="7"/>
  <c r="AG150" i="7"/>
  <c r="AO45" i="7"/>
  <c r="U118" i="7"/>
  <c r="W122" i="7"/>
  <c r="AC83" i="7"/>
  <c r="AO91" i="7"/>
  <c r="AC51" i="7"/>
  <c r="AQ30" i="7"/>
  <c r="AL40" i="7"/>
  <c r="Z78" i="7"/>
  <c r="AF142" i="7"/>
  <c r="AC46" i="7"/>
  <c r="AL135" i="7"/>
  <c r="AH119" i="7"/>
  <c r="AI30" i="7"/>
  <c r="M44" i="7"/>
  <c r="AM17" i="7"/>
  <c r="M6" i="7"/>
  <c r="AM41" i="7"/>
  <c r="N115" i="7"/>
  <c r="O45" i="7"/>
  <c r="Z146" i="7"/>
  <c r="AU153" i="7"/>
  <c r="AK81" i="7"/>
  <c r="AQ65" i="7"/>
  <c r="R43" i="7"/>
  <c r="L99" i="7"/>
  <c r="AI85" i="7"/>
  <c r="U116" i="7"/>
  <c r="H114" i="7"/>
  <c r="AN113" i="7"/>
  <c r="K138" i="7"/>
  <c r="AA27" i="7"/>
  <c r="AL103" i="7"/>
  <c r="F79" i="7"/>
  <c r="AH50" i="7"/>
  <c r="AL124" i="7"/>
  <c r="W138" i="7"/>
  <c r="AT150" i="7"/>
  <c r="AL147" i="7"/>
  <c r="J27" i="7"/>
  <c r="U34" i="7"/>
  <c r="K46" i="7"/>
  <c r="AT65" i="7"/>
  <c r="S129" i="7"/>
  <c r="AN116" i="7"/>
  <c r="AR125" i="7"/>
  <c r="O23" i="7"/>
  <c r="AJ61" i="7"/>
  <c r="AG6" i="7"/>
  <c r="AN146" i="7"/>
  <c r="AC110" i="7"/>
  <c r="AS24" i="7"/>
  <c r="J11" i="7"/>
  <c r="V156" i="7"/>
  <c r="O155" i="7"/>
  <c r="AQ69" i="7"/>
  <c r="S16" i="7"/>
  <c r="AI13" i="7"/>
  <c r="AG17" i="7"/>
  <c r="AD114" i="7"/>
  <c r="AS57" i="7"/>
  <c r="W87" i="7"/>
  <c r="I120" i="7"/>
  <c r="AI123" i="7"/>
  <c r="L62" i="7"/>
  <c r="AD60" i="7"/>
  <c r="G152" i="7"/>
  <c r="Z101" i="7"/>
  <c r="AI93" i="7"/>
  <c r="Q76" i="7"/>
  <c r="AU46" i="7"/>
  <c r="N121" i="7"/>
  <c r="W135" i="7"/>
  <c r="AA108" i="7"/>
  <c r="V130" i="7"/>
  <c r="W117" i="7"/>
  <c r="AA144" i="7"/>
  <c r="AI63" i="7"/>
  <c r="X33" i="7"/>
  <c r="AM23" i="7"/>
  <c r="H106" i="7"/>
  <c r="Q128" i="7"/>
  <c r="Y23" i="7"/>
  <c r="M145" i="7"/>
  <c r="AC60" i="7"/>
  <c r="O10" i="7"/>
  <c r="F145" i="7"/>
  <c r="J71" i="7"/>
  <c r="Z105" i="7"/>
  <c r="AG137" i="7"/>
  <c r="AM129" i="7"/>
  <c r="AU97" i="7"/>
  <c r="AL18" i="7"/>
  <c r="Q108" i="7"/>
  <c r="T120" i="7"/>
  <c r="Q15" i="7"/>
  <c r="AB9" i="7"/>
  <c r="K77" i="7"/>
  <c r="W58" i="7"/>
  <c r="AT53" i="7"/>
  <c r="L14" i="7"/>
  <c r="O142" i="7"/>
  <c r="AU158" i="7"/>
  <c r="J51" i="7"/>
  <c r="AT13" i="7"/>
  <c r="AA156" i="7"/>
  <c r="AM77" i="7"/>
  <c r="AA45" i="7"/>
  <c r="AC26" i="7"/>
  <c r="Z70" i="7"/>
  <c r="Q134" i="7"/>
  <c r="F30" i="7"/>
  <c r="AK155" i="7"/>
  <c r="AT94" i="7"/>
  <c r="AE82" i="7"/>
  <c r="Z137" i="7"/>
  <c r="K126" i="7"/>
  <c r="AP62" i="7"/>
  <c r="W61" i="7"/>
  <c r="AN92" i="7"/>
  <c r="U64" i="7"/>
  <c r="K120" i="7"/>
  <c r="AQ88" i="7"/>
  <c r="Z82" i="7"/>
  <c r="Y19" i="7"/>
  <c r="AM92" i="7"/>
  <c r="W94" i="7"/>
  <c r="R139" i="7"/>
  <c r="N109" i="7"/>
  <c r="I118" i="7"/>
  <c r="W65" i="7"/>
  <c r="AM70" i="7"/>
  <c r="U89" i="7"/>
  <c r="AB138" i="7"/>
  <c r="AP17" i="7"/>
  <c r="J81" i="7"/>
  <c r="AI67" i="7"/>
  <c r="R14" i="7"/>
  <c r="AF28" i="7"/>
  <c r="J33" i="7"/>
  <c r="S111" i="7"/>
  <c r="AM88" i="7"/>
  <c r="AO112" i="7"/>
  <c r="AC39" i="7"/>
  <c r="AB140" i="7"/>
  <c r="W90" i="7"/>
  <c r="AA48" i="7"/>
  <c r="AP106" i="7"/>
  <c r="X45" i="7"/>
  <c r="AS63" i="7"/>
  <c r="W71" i="7"/>
  <c r="AC133" i="7"/>
  <c r="V40" i="7"/>
  <c r="AT82" i="7"/>
  <c r="AP21" i="7"/>
  <c r="AC8" i="7"/>
  <c r="F150" i="7"/>
  <c r="J85" i="7"/>
  <c r="W105" i="7"/>
  <c r="F148" i="7"/>
  <c r="N79" i="7"/>
  <c r="W12" i="7"/>
  <c r="AA76" i="7"/>
  <c r="O122" i="7"/>
  <c r="O141" i="7"/>
  <c r="H125" i="7"/>
  <c r="AM74" i="7"/>
  <c r="I126" i="7"/>
  <c r="AF90" i="7"/>
  <c r="AO13" i="7"/>
  <c r="V43" i="7"/>
  <c r="J140" i="7"/>
  <c r="AM86" i="7"/>
  <c r="AR113" i="7"/>
  <c r="F106" i="7"/>
  <c r="AS89" i="7"/>
  <c r="AQ18" i="7"/>
  <c r="Y154" i="7"/>
  <c r="F49" i="7"/>
  <c r="AJ111" i="7"/>
  <c r="Y143" i="7"/>
  <c r="J45" i="7"/>
  <c r="AI105" i="7"/>
  <c r="AF35" i="7"/>
  <c r="AE50" i="7"/>
  <c r="S12" i="7"/>
  <c r="J77" i="7"/>
  <c r="AG85" i="7"/>
  <c r="T22" i="7"/>
  <c r="J126" i="7"/>
  <c r="U14" i="7"/>
  <c r="AQ154" i="7"/>
  <c r="V54" i="7"/>
  <c r="AF78" i="7"/>
  <c r="AG35" i="7"/>
  <c r="G126" i="7"/>
  <c r="AN56" i="7"/>
  <c r="R151" i="7"/>
  <c r="AM94" i="7"/>
  <c r="AS143" i="7"/>
  <c r="S26" i="7"/>
  <c r="AN151" i="7"/>
  <c r="H143" i="7"/>
  <c r="T105" i="7"/>
  <c r="U57" i="7"/>
  <c r="AG82" i="7"/>
  <c r="L140" i="7"/>
  <c r="AN119" i="7"/>
  <c r="AJ59" i="7"/>
  <c r="V55" i="7"/>
  <c r="AD12" i="7"/>
  <c r="T43" i="7"/>
  <c r="AI88" i="7"/>
  <c r="F119" i="7"/>
  <c r="AS106" i="7"/>
  <c r="X102" i="7"/>
  <c r="AI78" i="7"/>
  <c r="AJ35" i="7"/>
  <c r="K146" i="7"/>
  <c r="U102" i="7"/>
  <c r="AF136" i="7"/>
  <c r="Z155" i="7"/>
  <c r="O22" i="7"/>
  <c r="AQ156" i="7"/>
  <c r="L80" i="7"/>
  <c r="O33" i="7"/>
  <c r="J108" i="7"/>
  <c r="AI139" i="7"/>
  <c r="J112" i="7"/>
  <c r="AO101" i="7"/>
  <c r="U117" i="7"/>
  <c r="AJ54" i="7"/>
  <c r="AG80" i="7"/>
  <c r="AO37" i="7"/>
  <c r="AU8" i="7"/>
  <c r="AR107" i="7"/>
  <c r="AP98" i="7"/>
  <c r="W72" i="7"/>
  <c r="S109" i="7"/>
  <c r="AF45" i="7"/>
  <c r="AD115" i="7"/>
  <c r="H104" i="7"/>
  <c r="AQ149" i="7"/>
  <c r="AN133" i="7"/>
  <c r="L117" i="7"/>
  <c r="R24" i="7"/>
  <c r="AG90" i="7"/>
  <c r="O135" i="7"/>
  <c r="N140" i="7"/>
  <c r="AU19" i="7"/>
  <c r="H68" i="7"/>
  <c r="AH130" i="7"/>
  <c r="H69" i="7"/>
  <c r="AE93" i="7"/>
  <c r="AJ107" i="7"/>
  <c r="H50" i="7"/>
  <c r="AL43" i="7"/>
  <c r="F86" i="7"/>
  <c r="F55" i="7"/>
  <c r="G36" i="7"/>
  <c r="AM109" i="7"/>
  <c r="AE52" i="7"/>
  <c r="AQ79" i="7"/>
  <c r="W108" i="7"/>
  <c r="U84" i="7"/>
  <c r="N158" i="7"/>
  <c r="Y66" i="7"/>
  <c r="N49" i="7"/>
  <c r="W126" i="7"/>
  <c r="AF63" i="7"/>
  <c r="AK91" i="7"/>
  <c r="AJ137" i="7"/>
  <c r="AM62" i="7"/>
  <c r="L131" i="7"/>
  <c r="V122" i="7"/>
  <c r="AJ49" i="7"/>
  <c r="H56" i="7"/>
  <c r="AH98" i="7"/>
  <c r="AF72" i="7"/>
  <c r="AP153" i="7"/>
  <c r="AE10" i="7"/>
  <c r="L138" i="7"/>
  <c r="X104" i="7"/>
  <c r="AD126" i="7"/>
  <c r="AB39" i="7"/>
  <c r="AJ115" i="7"/>
  <c r="AF146" i="7"/>
  <c r="W53" i="7"/>
  <c r="AA100" i="7"/>
  <c r="AN145" i="7"/>
  <c r="AJ34" i="7"/>
  <c r="AO69" i="7"/>
  <c r="AQ146" i="7"/>
  <c r="AA84" i="7"/>
  <c r="AR143" i="7"/>
  <c r="AR155" i="7"/>
  <c r="Z135" i="7"/>
  <c r="AD109" i="7"/>
  <c r="AD90" i="7"/>
  <c r="AI17" i="7"/>
  <c r="AP124" i="7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74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79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8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comments2.xml><?xml version="1.0" encoding="utf-8"?>
<comments xmlns="http://schemas.openxmlformats.org/spreadsheetml/2006/main">
  <authors>
    <author>Roland Baier</author>
  </authors>
  <commentList>
    <comment ref="AP1" authorId="0" shapeId="0">
      <text>
        <r>
          <rPr>
            <b/>
            <sz val="9"/>
            <color indexed="81"/>
            <rFont val="Segoe UI"/>
            <family val="2"/>
          </rPr>
          <t>Roland Baier:</t>
        </r>
        <r>
          <rPr>
            <sz val="9"/>
            <color indexed="81"/>
            <rFont val="Segoe UI"/>
            <family val="2"/>
          </rPr>
          <t xml:space="preserve">
Bis auf die Türblattmontage- Bandseite (default) ist für die Sondermontagen die Eignung des jeweiligen Türfabrikates für die Montagevariante nachzuweisen.</t>
        </r>
      </text>
    </comment>
    <comment ref="AV1" authorId="0" shapeId="0">
      <text>
        <r>
          <rPr>
            <b/>
            <sz val="9"/>
            <color indexed="81"/>
            <rFont val="Segoe UI"/>
            <family val="2"/>
          </rPr>
          <t>Roland Baier:</t>
        </r>
        <r>
          <rPr>
            <sz val="9"/>
            <color indexed="81"/>
            <rFont val="Segoe UI"/>
            <family val="2"/>
          </rPr>
          <t xml:space="preserve">
Bis auf die Türblattmontage- Bandseite (default) ist für die Sondermontagen die Eignung des jeweiligen Türfabrikates für die Montagevariante nachzuweisen.</t>
        </r>
      </text>
    </comment>
  </commentList>
</comments>
</file>

<file path=xl/comments3.xml><?xml version="1.0" encoding="utf-8"?>
<comments xmlns="http://schemas.openxmlformats.org/spreadsheetml/2006/main">
  <authors>
    <author>Roland Baier</author>
  </authors>
  <commentList>
    <comment ref="B137" authorId="0" shapeId="0">
      <text>
        <r>
          <rPr>
            <b/>
            <sz val="9"/>
            <color indexed="81"/>
            <rFont val="Segoe UI"/>
            <family val="2"/>
          </rPr>
          <t>Roland Baier:</t>
        </r>
        <r>
          <rPr>
            <sz val="9"/>
            <color indexed="81"/>
            <rFont val="Segoe UI"/>
            <family val="2"/>
          </rPr>
          <t xml:space="preserve">
neu</t>
        </r>
      </text>
    </comment>
  </commentList>
</comments>
</file>

<file path=xl/comments4.xml><?xml version="1.0" encoding="utf-8"?>
<comments xmlns="http://schemas.openxmlformats.org/spreadsheetml/2006/main">
  <authors>
    <author>Frank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</commentList>
</comments>
</file>

<file path=xl/sharedStrings.xml><?xml version="1.0" encoding="utf-8"?>
<sst xmlns="http://schemas.openxmlformats.org/spreadsheetml/2006/main" count="34094" uniqueCount="1997">
  <si>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</si>
  <si>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</si>
  <si>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</si>
  <si>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</si>
  <si>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</si>
  <si>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</si>
  <si>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</si>
  <si>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</si>
  <si>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</si>
  <si>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</si>
  <si>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</si>
  <si>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</si>
  <si>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</si>
  <si>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</si>
  <si>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</si>
  <si>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</si>
  <si>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</si>
  <si>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</si>
  <si>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</si>
  <si>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</si>
  <si>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</si>
  <si>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</si>
  <si>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</si>
  <si>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</si>
  <si>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</si>
  <si>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</si>
  <si>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</si>
  <si>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</si>
  <si>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</si>
  <si>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</si>
  <si>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</si>
  <si>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</si>
  <si>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</si>
  <si>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</si>
  <si>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</si>
  <si>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</si>
  <si>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</si>
  <si>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</si>
  <si>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</si>
  <si>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</si>
  <si>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</si>
  <si>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</si>
  <si>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</si>
  <si>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</si>
  <si>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</si>
  <si>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</si>
  <si>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</si>
  <si>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</si>
  <si>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</si>
  <si>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</si>
  <si>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</si>
  <si>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</si>
  <si>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</si>
  <si>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</si>
  <si>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</si>
  <si>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</si>
  <si>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</si>
  <si>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</si>
  <si>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</si>
  <si>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</si>
  <si>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</si>
  <si>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</si>
  <si>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</si>
  <si>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</si>
  <si>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</si>
  <si>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</si>
  <si>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</si>
  <si>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</si>
  <si>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</si>
  <si>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</si>
  <si>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</si>
  <si>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</si>
  <si>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</si>
  <si>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</si>
  <si>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</si>
  <si>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</si>
  <si>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</si>
  <si>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</si>
  <si>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</si>
  <si>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</si>
  <si>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</si>
  <si>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</si>
  <si>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</si>
  <si>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</si>
  <si>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</si>
  <si>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</si>
  <si>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</si>
  <si>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</si>
  <si>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</si>
  <si>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</si>
  <si>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</si>
  <si>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</si>
  <si>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</si>
  <si>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</si>
  <si>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</si>
  <si>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</si>
  <si>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</si>
  <si>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</si>
  <si>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</si>
  <si>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</si>
  <si>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</si>
  <si>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</si>
  <si>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</si>
  <si>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</si>
  <si>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</si>
  <si>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</si>
  <si>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</si>
  <si>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</si>
  <si>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</si>
  <si>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</si>
  <si>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</si>
  <si>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</si>
  <si>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</si>
  <si>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</si>
  <si>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</si>
  <si>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</si>
  <si>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</si>
  <si>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</si>
  <si>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</si>
  <si>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</si>
  <si>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</si>
  <si>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</si>
  <si>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</si>
  <si>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</si>
  <si>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</si>
  <si>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</si>
  <si>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</si>
  <si>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</si>
  <si>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</si>
  <si>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</si>
  <si>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</si>
  <si>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</si>
  <si>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</si>
  <si>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</si>
  <si>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</si>
  <si>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</si>
  <si>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</si>
  <si>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</si>
  <si>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</si>
  <si>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</si>
  <si>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</si>
  <si>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</si>
  <si>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</si>
  <si>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</si>
  <si>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</si>
  <si>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</si>
  <si>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</si>
  <si>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</si>
  <si>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</si>
  <si>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</si>
  <si>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</si>
  <si>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</si>
  <si>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</si>
  <si>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</si>
  <si>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</si>
  <si>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</si>
  <si>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</si>
  <si>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</si>
  <si>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</si>
  <si>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</si>
  <si>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</si>
  <si>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</si>
  <si>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[work in progress, not for productive use]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</si>
  <si>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</si>
  <si>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</si>
  <si>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</si>
  <si>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</si>
  <si>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</si>
  <si>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</si>
  <si>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</si>
  <si>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</si>
  <si>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</si>
  <si>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</si>
  <si>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Sprachparameter</t>
  </si>
  <si>
    <t>language</t>
  </si>
  <si>
    <t>Common Text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</si>
  <si>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</si>
  <si>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</si>
  <si>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</si>
  <si>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</si>
  <si>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</si>
  <si>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</si>
  <si>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</si>
  <si>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</si>
  <si>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</si>
  <si>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</si>
  <si>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</si>
  <si>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</si>
  <si>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</si>
  <si>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</si>
  <si>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</si>
  <si>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</si>
  <si>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</si>
  <si>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</si>
  <si>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</si>
  <si>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</si>
  <si>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</si>
  <si>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</si>
  <si>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</si>
  <si>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</si>
  <si>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</si>
  <si>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</si>
  <si>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</si>
  <si>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</si>
  <si>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</si>
  <si>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</si>
  <si>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</si>
  <si>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</si>
  <si>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</si>
  <si>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</si>
  <si>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</si>
  <si>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allgemein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</si>
  <si>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</si>
  <si>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</si>
  <si>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</si>
  <si>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</si>
  <si>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</si>
  <si>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</si>
  <si>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</si>
  <si>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</si>
  <si>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</si>
  <si>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</si>
  <si>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</si>
  <si>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</si>
  <si>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</si>
  <si>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</si>
  <si>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</si>
  <si>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</si>
  <si>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</si>
  <si>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</si>
  <si>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</si>
  <si>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</si>
  <si>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</si>
  <si>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</si>
  <si>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</si>
  <si>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</si>
  <si>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</si>
  <si>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</si>
  <si>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</si>
  <si>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</si>
  <si>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</si>
  <si>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</si>
  <si>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</si>
  <si>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</si>
  <si>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</si>
  <si>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</si>
  <si>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</si>
  <si>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</si>
  <si>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</si>
  <si>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</si>
  <si>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</si>
  <si>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</si>
  <si>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</si>
  <si>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</si>
  <si>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</si>
  <si>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</si>
  <si>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</si>
  <si>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</si>
  <si>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</si>
  <si>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</si>
  <si>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</si>
  <si>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</si>
  <si>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</si>
  <si>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</si>
  <si>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</si>
  <si>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</si>
  <si>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</si>
  <si>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</si>
  <si>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</si>
  <si>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</si>
  <si>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</si>
  <si>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</si>
  <si>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</si>
  <si>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</si>
  <si>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</si>
  <si>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</si>
  <si>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</si>
  <si>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</si>
  <si>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</si>
  <si>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</si>
  <si>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</si>
  <si>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</si>
  <si>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</si>
  <si>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</si>
  <si>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</si>
  <si>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</si>
  <si>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</si>
  <si>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</si>
  <si>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</si>
  <si>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</si>
  <si>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</si>
  <si>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</si>
  <si>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</si>
  <si>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</si>
  <si>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</si>
  <si>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</si>
  <si>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</si>
  <si>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</si>
  <si>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</si>
  <si>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</si>
  <si>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</si>
  <si>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</si>
  <si>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</si>
  <si>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</si>
  <si>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</si>
  <si>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</si>
  <si>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</si>
  <si>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</si>
  <si>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</si>
  <si>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</si>
  <si>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</si>
  <si>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</si>
  <si>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</si>
  <si>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</si>
  <si>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</si>
  <si>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</si>
  <si>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</si>
  <si>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</si>
  <si>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</si>
  <si>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</si>
  <si>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</si>
  <si>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</si>
  <si>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</si>
  <si>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</si>
  <si>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</si>
  <si>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</si>
  <si>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</si>
  <si>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</si>
  <si>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</si>
  <si>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</si>
  <si>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</si>
  <si>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</si>
  <si>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</si>
  <si>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</si>
  <si>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</si>
  <si>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</si>
  <si>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</si>
  <si>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</si>
  <si>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</si>
  <si>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</si>
  <si>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</si>
  <si>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</si>
  <si>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</si>
  <si>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</si>
  <si>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</si>
  <si>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</si>
  <si>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</si>
  <si>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</si>
  <si>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</si>
  <si>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</si>
  <si>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</si>
  <si>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</si>
  <si>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</si>
  <si>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</si>
  <si>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</si>
  <si>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</si>
  <si>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</si>
  <si>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</si>
  <si>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</si>
  <si>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</si>
  <si>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</si>
  <si>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</si>
  <si>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</si>
  <si>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</si>
  <si>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</si>
  <si>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</si>
  <si>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</si>
  <si>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</si>
  <si>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</si>
  <si>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</si>
  <si>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</si>
  <si>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</si>
  <si>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</si>
  <si>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</si>
  <si>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</si>
  <si>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</si>
  <si>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</si>
  <si>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</si>
  <si>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</si>
  <si>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</si>
  <si>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</si>
  <si>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</si>
  <si>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</si>
  <si>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</si>
  <si>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</si>
  <si>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</si>
  <si>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</si>
  <si>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</si>
  <si>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</si>
  <si>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</si>
  <si>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</si>
  <si>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</si>
  <si>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</si>
  <si>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</si>
  <si>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</si>
  <si>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</si>
  <si>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</si>
  <si>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</si>
  <si>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</si>
  <si>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</si>
  <si>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</si>
  <si>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</si>
  <si>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</si>
  <si>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Konstruktionstyp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</si>
  <si>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</si>
  <si>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</si>
  <si>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</si>
  <si>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</si>
  <si>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</si>
  <si>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</si>
  <si>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</si>
  <si>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</si>
  <si>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</si>
  <si>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</si>
  <si>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</si>
  <si>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</si>
  <si>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</si>
  <si>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</si>
  <si>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</si>
  <si>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 / Kämpfer / Riegel</t>
  </si>
  <si>
    <t>Oberlicht</t>
  </si>
  <si>
    <t>Oberlicht Anzahl</t>
  </si>
  <si>
    <r>
      <rPr>
        <strike/>
        <sz val="11"/>
        <color theme="0" tint="-0.34998626667073579"/>
        <rFont val="Arial"/>
        <family val="2"/>
      </rPr>
      <t>Gesamtanzahl der Oberlichter</t>
    </r>
    <r>
      <rPr>
        <strike/>
        <sz val="11"/>
        <color rgb="FFFF0000"/>
        <rFont val="Arial"/>
        <family val="2"/>
      </rPr>
      <t xml:space="preserve"> ??? Überflüssig?</t>
    </r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</si>
  <si>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</si>
  <si>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</si>
  <si>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</si>
  <si>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</si>
  <si>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</si>
  <si>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</si>
  <si>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</si>
  <si>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</si>
  <si>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</si>
  <si>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</si>
  <si>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</si>
  <si>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</si>
  <si>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</si>
  <si>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</si>
  <si>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</si>
  <si>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</si>
  <si>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</si>
  <si>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</si>
  <si>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</si>
  <si>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</si>
  <si>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</si>
  <si>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</si>
  <si>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</si>
  <si>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</si>
  <si>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</si>
  <si>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</si>
  <si>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</si>
  <si>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</si>
  <si>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</si>
  <si>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</si>
  <si>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gs_door_sizes</t>
  </si>
  <si>
    <t>Abmessungen Tür</t>
  </si>
  <si>
    <t>gs_tolerance_left</t>
  </si>
  <si>
    <t>Einbautoleranz links</t>
  </si>
  <si>
    <t>Montagefüge zu Baukörper links</t>
  </si>
  <si>
    <t>gs_tolerance_right</t>
  </si>
  <si>
    <t>Einbautoleranz rechts</t>
  </si>
  <si>
    <t>Montagefüge zu Baukörper rechts</t>
  </si>
  <si>
    <t>gs_tolerance_upper</t>
  </si>
  <si>
    <t>Einbautoleranz oben</t>
  </si>
  <si>
    <t>Montagefüge zu Baukörper oben</t>
  </si>
  <si>
    <t>gs_tolerance_lower</t>
  </si>
  <si>
    <t>Einbautoleranz unten</t>
  </si>
  <si>
    <t>Montagefüge zu Baukörper unten</t>
  </si>
  <si>
    <t>Fugenbreite</t>
  </si>
  <si>
    <t>Montagefuge zwischen Zarge und Baukörper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</si>
  <si>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</si>
  <si>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</si>
  <si>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</si>
  <si>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</si>
  <si>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</si>
  <si>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</si>
  <si>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</si>
  <si>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</si>
  <si>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</si>
  <si>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</si>
  <si>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</si>
  <si>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</si>
  <si>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</si>
  <si>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</si>
  <si>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</si>
  <si>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</si>
  <si>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</si>
  <si>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</si>
  <si>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</si>
  <si>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Die im Rohbau vorhandene tatsächliche Öffnungsbreite</t>
  </si>
  <si>
    <t>ac_wallhole_height</t>
  </si>
  <si>
    <t>Rohbauöffnung Höhe</t>
  </si>
  <si>
    <t>Öffnungshöhe Rohbau</t>
  </si>
  <si>
    <t>Die im Rohbau vorhandene tatsächliche Öffnungshöhe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</si>
  <si>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</si>
  <si>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</si>
  <si>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</si>
  <si>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</si>
  <si>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</si>
  <si>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</si>
  <si>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</si>
  <si>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</si>
  <si>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</si>
  <si>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</si>
  <si>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</si>
  <si>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</si>
  <si>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</si>
  <si>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</si>
  <si>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</si>
  <si>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</si>
  <si>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Durchgangsbreite auf Zarge gemessen</t>
  </si>
  <si>
    <t>ac_egress_height</t>
  </si>
  <si>
    <t>Durchgangslichte Höhe</t>
  </si>
  <si>
    <t>Durchgangshöhe auf Zarge gemessen</t>
  </si>
  <si>
    <t>bs_UsableClearance</t>
  </si>
  <si>
    <t>Effektive Durchgangsbreite</t>
  </si>
  <si>
    <t>Automatisch erzeugter Wert, nicht einstellbar</t>
  </si>
  <si>
    <t>bs_UsableHeight</t>
  </si>
  <si>
    <t>Effektive Durchgangshöhe</t>
  </si>
  <si>
    <t>ac_leaf_width</t>
  </si>
  <si>
    <t>Türblatt Breite (Flügelmaß)</t>
  </si>
  <si>
    <t>Türblatt Breite</t>
  </si>
  <si>
    <t>Angabe zum Türblattaußenmaß in der Breite</t>
  </si>
  <si>
    <t>ac_leaf_height</t>
  </si>
  <si>
    <t>Türblatt Höhe (Flügelmaß)</t>
  </si>
  <si>
    <t>Türblatt Höhe</t>
  </si>
  <si>
    <t>Angabe zum Türblattaußenmaß in der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</si>
  <si>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</si>
  <si>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</si>
  <si>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</si>
  <si>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</si>
  <si>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</si>
  <si>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</si>
  <si>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</si>
  <si>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</si>
  <si>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</si>
  <si>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</si>
  <si>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</si>
  <si>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</si>
  <si>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</si>
  <si>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</si>
  <si>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</si>
  <si>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</si>
  <si>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</si>
  <si>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</si>
  <si>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</si>
  <si>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</si>
  <si>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</si>
  <si>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</si>
  <si>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</si>
  <si>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genaue Beschreibung des Zargentypes</t>
  </si>
  <si>
    <t>iFrameType</t>
  </si>
  <si>
    <t>Zarge4Seitig</t>
  </si>
  <si>
    <t>4 seitig umlaufende Zarge</t>
  </si>
  <si>
    <t>Zargenmaterial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</si>
  <si>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</si>
  <si>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</si>
  <si>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</si>
  <si>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</si>
  <si>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</si>
  <si>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</si>
  <si>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</si>
  <si>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</si>
  <si>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</si>
  <si>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</si>
  <si>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</si>
  <si>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</si>
  <si>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</si>
  <si>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</si>
  <si>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</si>
  <si>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</si>
  <si>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</si>
  <si>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</si>
  <si>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</si>
  <si>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</si>
  <si>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</si>
  <si>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Ansichtsbreite der Zarge</t>
  </si>
  <si>
    <t>Zarge Spiegelbreite BGS</t>
  </si>
  <si>
    <t>Zarge Spiegelbreite BS oben</t>
  </si>
  <si>
    <t>Zarge Spiegelbreite BGS oben</t>
  </si>
  <si>
    <t>Maulweite</t>
  </si>
  <si>
    <t>lichtes Maß zwischen den Putzkanten</t>
  </si>
  <si>
    <t>Bodeneinstand</t>
  </si>
  <si>
    <t>Einstand der Zarge in den Boden unterhalb OKFF</t>
  </si>
  <si>
    <t>Putzkantentiefe</t>
  </si>
  <si>
    <t>Tiefe der Putzkante</t>
  </si>
  <si>
    <t>Schattennut</t>
  </si>
  <si>
    <t>Breite der Schattennut</t>
  </si>
  <si>
    <t>bs_folding_nmbr</t>
  </si>
  <si>
    <t>Falzdichtung Anzahl</t>
  </si>
  <si>
    <t>Anzahl der Dichtungsebenen (max. 3)</t>
  </si>
  <si>
    <t>gs_vb</t>
  </si>
  <si>
    <t>Falzbreite</t>
  </si>
  <si>
    <t xml:space="preserve"> ---&gt; Zarge?</t>
  </si>
  <si>
    <t>gs_vt</t>
  </si>
  <si>
    <t>Falztiefe</t>
  </si>
  <si>
    <t>dk_folding_dimensions</t>
  </si>
  <si>
    <t>Abmessungen Zargenfalze</t>
  </si>
  <si>
    <t>Gegenzarge</t>
  </si>
  <si>
    <t>Ergänzungszarge im Leibungsbereich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</si>
  <si>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</si>
  <si>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</si>
  <si>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</si>
  <si>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</si>
  <si>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</si>
  <si>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</si>
  <si>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</si>
  <si>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</si>
  <si>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</si>
  <si>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</si>
  <si>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</si>
  <si>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</si>
  <si>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</si>
  <si>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</si>
  <si>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sx</t>
  </si>
  <si>
    <t>gs_door_panel</t>
  </si>
  <si>
    <t>Türblatt</t>
  </si>
  <si>
    <t>bs_panel_type</t>
  </si>
  <si>
    <t>Türblatt Typ</t>
  </si>
  <si>
    <t>Typenbezeichnung des Türblattes</t>
  </si>
  <si>
    <t>bUniformPanels1</t>
  </si>
  <si>
    <t>Einheitliche Panele pro Blatt 1</t>
  </si>
  <si>
    <t>bUniformPanels2</t>
  </si>
  <si>
    <t>Einheitliche Panele pro 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</si>
  <si>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</si>
  <si>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</si>
  <si>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</si>
  <si>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</si>
  <si>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</si>
  <si>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</si>
  <si>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</si>
  <si>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Angabe zur Dicke des Türblattes</t>
  </si>
  <si>
    <t>bs_leaf_oversize</t>
  </si>
  <si>
    <t>Spiegelbreite des Falzes</t>
  </si>
  <si>
    <t>gapHeightUnderPanel</t>
  </si>
  <si>
    <t>Spalt unter Türblatt</t>
  </si>
  <si>
    <t>Unterschnitt</t>
  </si>
  <si>
    <t>Höhe des Unterschnittes zur Belüftung</t>
  </si>
  <si>
    <t>bs_ancor_panel_BS</t>
  </si>
  <si>
    <t>Distanz Türblattoberfläche Bandseite</t>
  </si>
  <si>
    <t>Ankerparameter</t>
  </si>
  <si>
    <t>bs_ancor_panel_top</t>
  </si>
  <si>
    <t>OK Türblatt</t>
  </si>
  <si>
    <t>gs_door_panel_filling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</si>
  <si>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</si>
  <si>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</si>
  <si>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</si>
  <si>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</si>
  <si>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</si>
  <si>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</si>
  <si>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</si>
  <si>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</si>
  <si>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Griff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</si>
  <si>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</si>
  <si>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</si>
  <si>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</si>
  <si>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</si>
  <si>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</si>
  <si>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</si>
  <si>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</si>
  <si>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Angabe der Bandverstellung</t>
  </si>
  <si>
    <t>Bandanzahl</t>
  </si>
  <si>
    <t>Gesamtanzahl der Türbänder an der Tür</t>
  </si>
  <si>
    <t>Drehpunkt</t>
  </si>
  <si>
    <t>Angabe besonderer Anforderungen hinsichtlich des Drehpunktes des Türblattes</t>
  </si>
  <si>
    <t>Band 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</si>
  <si>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</si>
  <si>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</si>
  <si>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</si>
  <si>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</si>
  <si>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</si>
  <si>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</si>
  <si>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</si>
  <si>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bs_escape_door</t>
  </si>
  <si>
    <t>Fluchttürsteuerung</t>
  </si>
  <si>
    <t>bs_door_automation</t>
  </si>
  <si>
    <t>Automatisierung</t>
  </si>
  <si>
    <t>bs_automation_type</t>
  </si>
  <si>
    <t>Automatik</t>
  </si>
  <si>
    <t>Automatisierung Produktangabe</t>
  </si>
  <si>
    <t>Drehtürantrieb</t>
  </si>
  <si>
    <t>Art des Drehtürantriebes beim Gangflügel. Produktbezeichnung oder technische Bauart </t>
  </si>
  <si>
    <t>Drehtürantrieb SF</t>
  </si>
  <si>
    <t>Art des Drehtürantriebes beim Standflügel. Produktbezeichnung oder technische Bauart </t>
  </si>
  <si>
    <t>Öffnungsart Türantrieb</t>
  </si>
  <si>
    <t>Die Öffnungsart drückend oder ziehend des Gangflügels</t>
  </si>
  <si>
    <t>Öffnungsart Türantrieb SF</t>
  </si>
  <si>
    <t>Die Öffnungsart drückend oder ziehend des Standflügels</t>
  </si>
  <si>
    <t>Feststellwinkel</t>
  </si>
  <si>
    <t>Winkel mit dem das Türblatt des Gangflügels festgestellt werden kann</t>
  </si>
  <si>
    <t>Feststellwinkel SF</t>
  </si>
  <si>
    <t>Winkel mit dem das Türblatt des Standflügels festgestellt werden kann</t>
  </si>
  <si>
    <t>Schließfunktion Drehtürantrieb</t>
  </si>
  <si>
    <t>Angabe ob der Türantrieb mit einer Schließfunktion ausgestattet ist bzw. eine Benennung der Schließfunktion</t>
  </si>
  <si>
    <t>Oberfläche Drehtürantrieb SF</t>
  </si>
  <si>
    <t>Angabe zur Oberfläche des Antriebes am Standflügel</t>
  </si>
  <si>
    <t>Oberfläche Drehtürantrieb</t>
  </si>
  <si>
    <t>Angabe zur Oberfläche des Antriebes am Gangflügel</t>
  </si>
  <si>
    <t>Energielevel</t>
  </si>
  <si>
    <t>Angaben zum Antrieb nach DIN 18650 / EN 16005</t>
  </si>
  <si>
    <t>Windlastregelung</t>
  </si>
  <si>
    <t>Angaben zur Regelung der Antriebskräfte bei Windlasten</t>
  </si>
  <si>
    <t>Türantrieb Montageart</t>
  </si>
  <si>
    <t>Angaben zur Montageart</t>
  </si>
  <si>
    <t>Türantrieb Ansteuerung</t>
  </si>
  <si>
    <t>Angaben zur Ansteuerung des Türantrieben</t>
  </si>
  <si>
    <t>Absicherung Hauptschließkante</t>
  </si>
  <si>
    <t>Angaben zur Absicherung Kante an der Hauptschließkante</t>
  </si>
  <si>
    <t>Absicherung Nebenschließkante</t>
  </si>
  <si>
    <t>Angaben zur Absicherung Kante an der Nebenschließkante</t>
  </si>
  <si>
    <t>Zusatzfunktion</t>
  </si>
  <si>
    <t>Beschreibung vorhandener Zusatzfunktionen</t>
  </si>
  <si>
    <t>Antrieb Oberfläche</t>
  </si>
  <si>
    <t>Antrieb Ansteuerung Radar</t>
  </si>
  <si>
    <t>bs_additionals</t>
  </si>
  <si>
    <t>Zusätzliche Ausstattung + Eigenschaften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</si>
  <si>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</si>
  <si>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</si>
  <si>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</si>
  <si>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</si>
  <si>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</si>
  <si>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</si>
  <si>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</si>
  <si>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</si>
  <si>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</si>
  <si>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</si>
  <si>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</si>
  <si>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</si>
  <si>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</si>
  <si>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</si>
  <si>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</si>
  <si>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Pfad</t>
  </si>
  <si>
    <t>Schraffurhintergrund-Stift</t>
  </si>
  <si>
    <t>Schraffur-Typ</t>
  </si>
  <si>
    <t>Schraffur-Stift</t>
  </si>
  <si>
    <t>Breite oben</t>
  </si>
  <si>
    <t>Rechteckig</t>
  </si>
  <si>
    <t>+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</si>
  <si>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</si>
  <si>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</si>
  <si>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</si>
  <si>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</si>
  <si>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</si>
  <si>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</si>
  <si>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</si>
  <si>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</si>
  <si>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</si>
  <si>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</si>
  <si>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</si>
  <si>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</si>
  <si>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</si>
  <si>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</si>
  <si>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</si>
  <si>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</si>
  <si>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</si>
  <si>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</si>
  <si>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</si>
  <si>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gs_pen_2D</t>
  </si>
  <si>
    <t>Rahmen-Aufsicht-Stift</t>
  </si>
  <si>
    <t>gs_frame_pen</t>
  </si>
  <si>
    <t>Rahmen-Stift</t>
  </si>
  <si>
    <t>gs_fillFr</t>
  </si>
  <si>
    <t>Rahmen-Schnittschraffur-Typ</t>
  </si>
  <si>
    <t>gs_penFr_fg</t>
  </si>
  <si>
    <t>Rahmen-Schnittschraffur-Stift</t>
  </si>
  <si>
    <t>gs_penFr_bg</t>
  </si>
  <si>
    <t>Rahmen-Schnittschraffurhintergrund-Stift</t>
  </si>
  <si>
    <t>gs_leaf_pen</t>
  </si>
  <si>
    <t>Türblatt-Stift</t>
  </si>
  <si>
    <t>gs_fillLeaf</t>
  </si>
  <si>
    <t>Schraffurtyp geschnitten Türblatt</t>
  </si>
  <si>
    <t>gs_penLeaf_fg</t>
  </si>
  <si>
    <t>Schraffur-Stift geschnitten Türblatt</t>
  </si>
  <si>
    <t>gs_penLeaf_bg</t>
  </si>
  <si>
    <t>Schraffurhintergrund-Stift geschnitten Türblatt</t>
  </si>
  <si>
    <t>gs_glass_pen</t>
  </si>
  <si>
    <t>Glas Linienstift Kontur</t>
  </si>
  <si>
    <t>gs_fillGlass</t>
  </si>
  <si>
    <t>Schraffurtyp Glas</t>
  </si>
  <si>
    <t>gs_penGlass_fg</t>
  </si>
  <si>
    <t>Schraffurstift Glas</t>
  </si>
  <si>
    <t>gs_penGlass_bg</t>
  </si>
  <si>
    <t>Schraffurstift Hintergrund Glas</t>
  </si>
  <si>
    <t>gs_glass_view_pen</t>
  </si>
  <si>
    <t>Linienstift Glas</t>
  </si>
  <si>
    <t>gs_fillShCover</t>
  </si>
  <si>
    <t>Schraffur-Typ Rahmen</t>
  </si>
  <si>
    <t>gs_penShCov_fg</t>
  </si>
  <si>
    <t>Schraffur-Stift Rahmen</t>
  </si>
  <si>
    <t>_trennzeile</t>
  </si>
  <si>
    <t>Verschiedenes</t>
  </si>
  <si>
    <t>penSIASymbolText</t>
  </si>
  <si>
    <t>Stift Text</t>
  </si>
  <si>
    <t>penSIASymbolLine</t>
  </si>
  <si>
    <t>Symbol-Stift</t>
  </si>
  <si>
    <t>SIASymbolFontStyle</t>
  </si>
  <si>
    <t>Marker-Text</t>
  </si>
  <si>
    <t>Arial</t>
  </si>
  <si>
    <t>SIASymbolFontSize</t>
  </si>
  <si>
    <t>Schriftgröße</t>
  </si>
  <si>
    <t>gs_trim_outside</t>
  </si>
  <si>
    <t>Außenverkleidung</t>
  </si>
  <si>
    <t>gs_trimtype_out</t>
  </si>
  <si>
    <t>Türfutter außen</t>
  </si>
  <si>
    <t>gs_trimtype_out_int</t>
  </si>
  <si>
    <t>iCasingHeadTypeOut</t>
  </si>
  <si>
    <t>Gehäuse Kopftyp</t>
  </si>
  <si>
    <t>bArchitraveCapital</t>
  </si>
  <si>
    <t>Querbalken oben</t>
  </si>
  <si>
    <t>iArchitraveCapitalType</t>
  </si>
  <si>
    <t>Querbalken Typ oben</t>
  </si>
  <si>
    <t>architraveCapitalWidth</t>
  </si>
  <si>
    <t>Querbalken oben Breite</t>
  </si>
  <si>
    <t>gs_trim_show_cover_out</t>
  </si>
  <si>
    <t>Verkleidung</t>
  </si>
  <si>
    <t>gs_trim_outside_uniform</t>
  </si>
  <si>
    <t>einheitliche Einfassungsbreiten</t>
  </si>
  <si>
    <t>gs_tw_right_out</t>
  </si>
  <si>
    <t>Breite Seite 1</t>
  </si>
  <si>
    <t>gs_tw_left_out</t>
  </si>
  <si>
    <t>Breite Seite 2</t>
  </si>
  <si>
    <t>gs_tw_top_out</t>
  </si>
  <si>
    <t>gs_trim_thk_out</t>
  </si>
  <si>
    <t>Dicke an Wand</t>
  </si>
  <si>
    <t>gs_trim_width_out</t>
  </si>
  <si>
    <t>Dicke in Wandloch</t>
  </si>
  <si>
    <t>gs_trim_offs_out</t>
  </si>
  <si>
    <t>Versatz</t>
  </si>
  <si>
    <t>gs_trim_jambext_nosing_out</t>
  </si>
  <si>
    <t>Auskragung</t>
  </si>
  <si>
    <t>gs_trimov_top_right_out</t>
  </si>
  <si>
    <t>Oberer Überstand</t>
  </si>
  <si>
    <t>gs_trim_pen_cont</t>
  </si>
  <si>
    <t>Futter Schnittlinienstift auf beiden Seiten</t>
  </si>
  <si>
    <t>gs_trim_fill_out</t>
  </si>
  <si>
    <t>Schraffur Zarge außen</t>
  </si>
  <si>
    <t>gs_trim_pen_fg_out</t>
  </si>
  <si>
    <t>Schraffurstift Zarge assuen</t>
  </si>
  <si>
    <t>gs_trim_pen_bg_out</t>
  </si>
  <si>
    <t>Stift Hintergr.schr. Verkleidung außen</t>
  </si>
  <si>
    <t>gs_trim_inside</t>
  </si>
  <si>
    <t>Innenverkleidung</t>
  </si>
  <si>
    <t>gs_trimtype_in</t>
  </si>
  <si>
    <t>Türfutter innen</t>
  </si>
  <si>
    <t>gs_trimtype_in_int</t>
  </si>
  <si>
    <t>gs_trim_show_cover_in</t>
  </si>
  <si>
    <t>gs_trim_inside_uniform</t>
  </si>
  <si>
    <t>gs_tw_right_in</t>
  </si>
  <si>
    <t>gs_tw_left_in</t>
  </si>
  <si>
    <t>gs_tw_top_in</t>
  </si>
  <si>
    <t>gs_trim_thk_in</t>
  </si>
  <si>
    <t>gs_trim_width_in</t>
  </si>
  <si>
    <t>gs_trim_offs_in</t>
  </si>
  <si>
    <t>gs_trim_jambext_nosing_in</t>
  </si>
  <si>
    <t>gs_trimov_top_right_in</t>
  </si>
  <si>
    <t>gs_trim_fill_in</t>
  </si>
  <si>
    <t>Schraffur Zarge innen</t>
  </si>
  <si>
    <t>gs_trim_pen_fg_in</t>
  </si>
  <si>
    <t>Schraffurstift Zarge innen</t>
  </si>
  <si>
    <t>gs_trim_pen_bg_in</t>
  </si>
  <si>
    <t>Hintergrundstift Zarge innen</t>
  </si>
  <si>
    <t>gs_penShCov_bg</t>
  </si>
  <si>
    <t>Schraffurhintergrund-Stift Rahmen</t>
  </si>
  <si>
    <t>gs_door_offnung</t>
  </si>
  <si>
    <t>Öffnung</t>
  </si>
  <si>
    <t>iDrawSimpleLeafTo</t>
  </si>
  <si>
    <t>Symbol ausrichten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</si>
  <si>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</si>
  <si>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</si>
  <si>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</si>
  <si>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</si>
  <si>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</si>
  <si>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</si>
  <si>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</si>
  <si>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</si>
  <si>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gs_bSameLineTypeForLeaves</t>
  </si>
  <si>
    <t>Gleicher Linientyp für Türblätter</t>
  </si>
  <si>
    <t>bOverride_MVO_2D</t>
  </si>
  <si>
    <t>Modelldarstell. für symbolische 2D-Darstellung überschreiben</t>
  </si>
  <si>
    <t>or_bOplines2D</t>
  </si>
  <si>
    <t>Öffnungslinien in 2D</t>
  </si>
  <si>
    <t>or_swingLineType</t>
  </si>
  <si>
    <t>Öffnungslinien-Typ</t>
  </si>
  <si>
    <t>or_swingLineType2</t>
  </si>
  <si>
    <t>Nebenöffnung Linientyp in 2D</t>
  </si>
  <si>
    <t>or_SwingType</t>
  </si>
  <si>
    <t>Öffnungslinien-Form</t>
  </si>
  <si>
    <t>Gebogen</t>
  </si>
  <si>
    <t>or_iSwingType</t>
  </si>
  <si>
    <t>or_SlidingType</t>
  </si>
  <si>
    <t>Kein</t>
  </si>
  <si>
    <t>or_iSlidingType</t>
  </si>
  <si>
    <t>or_opLinePen</t>
  </si>
  <si>
    <t>2D &amp; 3D Öffnungslinien-Stift</t>
  </si>
  <si>
    <t>or_iOpLinePen</t>
  </si>
  <si>
    <t>bOverride_MVO_3D</t>
  </si>
  <si>
    <t>Modelldarstell. für 3D-Darstellung überschreiben</t>
  </si>
  <si>
    <t>or_bOplines3d</t>
  </si>
  <si>
    <t>Öffnungslinie zeigen</t>
  </si>
  <si>
    <t>or_opLineType3dIn</t>
  </si>
  <si>
    <t>Linientyp Öffnungsseite</t>
  </si>
  <si>
    <t>Vollinie</t>
  </si>
  <si>
    <t>or_iOpLineType3dIn</t>
  </si>
  <si>
    <t>or_opLineType3dOut</t>
  </si>
  <si>
    <t>Linientyp Gegenüberliegende Seite</t>
  </si>
  <si>
    <t>Strichlinie</t>
  </si>
  <si>
    <t>or_iOpLineType3dOut</t>
  </si>
  <si>
    <t>or_opLineType3dSecondary</t>
  </si>
  <si>
    <t>Standflügel Linientyp in 3D</t>
  </si>
  <si>
    <t>or_iOpLineType3dSecondary</t>
  </si>
  <si>
    <t>Standflügel Linientyp</t>
  </si>
  <si>
    <t>or_oplineStyle</t>
  </si>
  <si>
    <t>Linien-Ausrichtung</t>
  </si>
  <si>
    <t>or_iOplineStyle</t>
  </si>
  <si>
    <t>gs_detail_level</t>
  </si>
  <si>
    <t>Detaillierungsgrad</t>
  </si>
  <si>
    <t>iDWDet2D</t>
  </si>
  <si>
    <t>Grundriss</t>
  </si>
  <si>
    <t>iDWDet3D</t>
  </si>
  <si>
    <t>3D</t>
  </si>
  <si>
    <t>iDWDetSE</t>
  </si>
  <si>
    <t>Schnitt / Ansicht</t>
  </si>
  <si>
    <t>iRevealOnSymbol</t>
  </si>
  <si>
    <t>Anschlag im Grundriss zeigen</t>
  </si>
  <si>
    <t>gs_bFills_Wallhole</t>
  </si>
  <si>
    <t>Schraffur Wandöffnung</t>
  </si>
  <si>
    <t>gs_wallhole_fill</t>
  </si>
  <si>
    <t>gs_wallhole_pen_fg</t>
  </si>
  <si>
    <t>gs_wallhole_pen_bg</t>
  </si>
  <si>
    <t>bEtikett</t>
  </si>
  <si>
    <t>Türkoten</t>
  </si>
  <si>
    <t>gs_etikett</t>
  </si>
  <si>
    <t>Sichtbarkeit Türbemaßung</t>
  </si>
  <si>
    <t>Modelldarstellungs-Optionen</t>
  </si>
  <si>
    <t>iEtikett</t>
  </si>
  <si>
    <t>iDWDimRawOpening</t>
  </si>
  <si>
    <t>Öffnung roh</t>
  </si>
  <si>
    <t>gs_mtext</t>
  </si>
  <si>
    <t>Text Öffnung roh</t>
  </si>
  <si>
    <t>gs_me</t>
  </si>
  <si>
    <t>Eigene Kote Öffnung roh</t>
  </si>
  <si>
    <t>iDWDimFinishedLintel</t>
  </si>
  <si>
    <t>Sturz fertig</t>
  </si>
  <si>
    <t>gs_ntext</t>
  </si>
  <si>
    <t>Text Fertig Sturz</t>
  </si>
  <si>
    <t>gs_n</t>
  </si>
  <si>
    <t>Eigene Kote Schwelle fertig</t>
  </si>
  <si>
    <t>iDWDimFinishedParapet</t>
  </si>
  <si>
    <t>OK Schwelle</t>
  </si>
  <si>
    <t>gs_qtext</t>
  </si>
  <si>
    <t>Text Schwelle Fertig</t>
  </si>
  <si>
    <t>gs_q</t>
  </si>
  <si>
    <t>iDWDimRawParapet</t>
  </si>
  <si>
    <t>gs_ptext</t>
  </si>
  <si>
    <t>Text Schwelle</t>
  </si>
  <si>
    <t>gs_P</t>
  </si>
  <si>
    <t>Eigene Kote Schwelle</t>
  </si>
  <si>
    <t>gs_Etikett_scaleValues</t>
  </si>
  <si>
    <t>Texteinstellung</t>
  </si>
  <si>
    <t>Maßstababhängig (Modellgröße)</t>
  </si>
  <si>
    <t>gs_Etikett_scaleValues_m</t>
  </si>
  <si>
    <t>Massstab</t>
  </si>
  <si>
    <t>fontType</t>
  </si>
  <si>
    <t>Schrifttyp</t>
  </si>
  <si>
    <t>gs_lsize</t>
  </si>
  <si>
    <t>Schriftgröße (modell)</t>
  </si>
  <si>
    <t>gs_Etikett_fontSize_mm</t>
  </si>
  <si>
    <t>Schriftgröße (papier)</t>
  </si>
  <si>
    <t>gs_koten_pen</t>
  </si>
  <si>
    <t>Dimension Stift Text</t>
  </si>
  <si>
    <t>gs_etx</t>
  </si>
  <si>
    <t>Position X</t>
  </si>
  <si>
    <t>gs_Etikett_xTextPos_m</t>
  </si>
  <si>
    <t>X Position (m)</t>
  </si>
  <si>
    <t>gs_Etikett_xTextPos_mm</t>
  </si>
  <si>
    <t>Position X (mm)</t>
  </si>
  <si>
    <t>gs_ety</t>
  </si>
  <si>
    <t>Position Y</t>
  </si>
  <si>
    <t>gs_Etikett_yTextPos_m</t>
  </si>
  <si>
    <t>Y Position (m)</t>
  </si>
  <si>
    <t>gs_Etikett_yTextPos_mm</t>
  </si>
  <si>
    <t>Position Y (mm)</t>
  </si>
  <si>
    <t>gs_autheight</t>
  </si>
  <si>
    <t>Automat. Zeilenabstand</t>
  </si>
  <si>
    <t>gs_heightuser</t>
  </si>
  <si>
    <t>Zeilenabstand (modell)</t>
  </si>
  <si>
    <t>gs_Etikett_lineSpace_mm</t>
  </si>
  <si>
    <t>Zeilenabstand (papier)</t>
  </si>
  <si>
    <t>gs_festb</t>
  </si>
  <si>
    <t>Feste breite in mm (0= autom.)</t>
  </si>
  <si>
    <t>angleRotate</t>
  </si>
  <si>
    <t>Drehwinkel</t>
  </si>
  <si>
    <t>bIDTextDisplayMode</t>
  </si>
  <si>
    <t>Zeige die ID im Grundriss</t>
  </si>
  <si>
    <t>gs_IDText_displayMode_m</t>
  </si>
  <si>
    <t>Beschriftung Türtyp</t>
  </si>
  <si>
    <t>gs_IDText_bAutoIDNumber</t>
  </si>
  <si>
    <t>Automatische Tür ID</t>
  </si>
  <si>
    <t>gs_IDText_stCustomText</t>
  </si>
  <si>
    <t>Eigener Text</t>
  </si>
  <si>
    <t>Eigene ID</t>
  </si>
  <si>
    <t>gs_IDText_bFlipMarker</t>
  </si>
  <si>
    <t>Marker spiegeln</t>
  </si>
  <si>
    <t>gs_IDText_bAdditionalValues</t>
  </si>
  <si>
    <t>Zusätzliche Werte zeigen (Öffnungsmass 1.20/1.50)</t>
  </si>
  <si>
    <t>gs_IDText_xTextPos</t>
  </si>
  <si>
    <t>Text Position X</t>
  </si>
  <si>
    <t>gs_IDText_yTextPos</t>
  </si>
  <si>
    <t>Text Position Y</t>
  </si>
  <si>
    <t>gs_IDText_xTextPos_mm</t>
  </si>
  <si>
    <t>Text Position X (mm)</t>
  </si>
  <si>
    <t>gs_IDText_yTextPos_mm</t>
  </si>
  <si>
    <t>Text Position Y (mm)</t>
  </si>
  <si>
    <t>gs_IDText_scaleValues</t>
  </si>
  <si>
    <t>gs_IDText_scaleValues_m</t>
  </si>
  <si>
    <t>gs_IDText_fontSize_mm</t>
  </si>
  <si>
    <t>gs_IDText_fontSize_model</t>
  </si>
  <si>
    <t>gs_IDText_fontType</t>
  </si>
  <si>
    <t>gs_IDText_fontPen</t>
  </si>
  <si>
    <t>Text-Stift</t>
  </si>
  <si>
    <t>gs_head_symbol</t>
  </si>
  <si>
    <t>Sturztiefe im Grundriss zeigen</t>
  </si>
  <si>
    <t>gs_head_symbol_line</t>
  </si>
  <si>
    <t>Sturztiefe Symbol- Linientyp</t>
  </si>
  <si>
    <t>gs_head_symbol_pen</t>
  </si>
  <si>
    <t>Sturztiefe Symbolstift</t>
  </si>
  <si>
    <t>gs_3D_representation</t>
  </si>
  <si>
    <t>ifc_DoorPanel</t>
  </si>
  <si>
    <t>Graphisoft</t>
  </si>
  <si>
    <t>Builing Smart</t>
  </si>
  <si>
    <t>Beister / dormakaba</t>
  </si>
  <si>
    <t>in UI integriert</t>
  </si>
  <si>
    <t>Nur im Macro als Wertespeicher</t>
  </si>
  <si>
    <t>parameter ist</t>
  </si>
  <si>
    <t>parameter von</t>
  </si>
  <si>
    <t>VARIABLE</t>
  </si>
  <si>
    <t>NAME</t>
  </si>
  <si>
    <t>START VALUE</t>
  </si>
  <si>
    <t>Parameter angelegt?</t>
  </si>
  <si>
    <t>DESCRIPTION (NAME)</t>
  </si>
  <si>
    <t>ALTERNATIVE
PARAMETER
NAME (e.g. IFC)</t>
  </si>
  <si>
    <t>TRANSLATION 1
(DESCRIPTION)</t>
  </si>
  <si>
    <t>TRANSLATION 2
(DESCRIPTION)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</si>
  <si>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</si>
  <si>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</si>
  <si>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</si>
  <si>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</si>
  <si>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</si>
  <si>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</si>
  <si>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</si>
  <si>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</si>
  <si>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dka_penF</t>
  </si>
  <si>
    <t>dka_penB</t>
  </si>
  <si>
    <t>dka_fill</t>
  </si>
  <si>
    <t>dka_frame_penF</t>
  </si>
  <si>
    <t>dka_frame_penB</t>
  </si>
  <si>
    <t>dka_frame_fill</t>
  </si>
  <si>
    <t>VB</t>
  </si>
  <si>
    <t>Ausschnittfelder</t>
  </si>
  <si>
    <t>dk_panel_segments</t>
  </si>
  <si>
    <t>dk_panel_division</t>
  </si>
  <si>
    <t>dk_panel_bar</t>
  </si>
  <si>
    <t>dk_panel_filling</t>
  </si>
  <si>
    <t>Türblatt Abmessungen</t>
  </si>
  <si>
    <t>dk_panel_filling_thk</t>
  </si>
  <si>
    <t>dka_handle_penC3</t>
  </si>
  <si>
    <t>dka_frame_penC2</t>
  </si>
  <si>
    <t>dka_side1_penF</t>
  </si>
  <si>
    <t>dka_side1_penB</t>
  </si>
  <si>
    <t>dka_side1_fill</t>
  </si>
  <si>
    <t>dka_frame_mat_BS</t>
  </si>
  <si>
    <t>dka_frame_penC3</t>
  </si>
  <si>
    <t>dka_side2_penF</t>
  </si>
  <si>
    <t>dka_side2_penB</t>
  </si>
  <si>
    <t>dka_side2_fill</t>
  </si>
  <si>
    <t>dka_frame_mat_BGS</t>
  </si>
  <si>
    <t>dka_panel_penC2</t>
  </si>
  <si>
    <t>dka_panel_penF</t>
  </si>
  <si>
    <t>dka_panel_penB</t>
  </si>
  <si>
    <t>dka_panel_fill</t>
  </si>
  <si>
    <t>dka_side1_mat_BS</t>
  </si>
  <si>
    <t>dka_panel_penC3</t>
  </si>
  <si>
    <t>dka_panelfill1_penF</t>
  </si>
  <si>
    <t>dka_panelfill1_penB</t>
  </si>
  <si>
    <t>dka_panelfill1_fill</t>
  </si>
  <si>
    <t>dka_side1_mat_BGS</t>
  </si>
  <si>
    <t>dka_panelfill2_penF</t>
  </si>
  <si>
    <t>dka_panelfill2_penB</t>
  </si>
  <si>
    <t>dka_panelfill2_fill</t>
  </si>
  <si>
    <t>dka_side2_mat_BS</t>
  </si>
  <si>
    <t>dka_panelfill3_penF</t>
  </si>
  <si>
    <t>dka_panelfill3_penB</t>
  </si>
  <si>
    <t>dka_panelfill3_fill</t>
  </si>
  <si>
    <t>dka_side2_mat_BGS</t>
  </si>
  <si>
    <t>dka_fan_mat_BS</t>
  </si>
  <si>
    <t>dka_fan_mat_BGS</t>
  </si>
  <si>
    <t>dka_panel_mat_BS</t>
  </si>
  <si>
    <t>dka_panel_mat_BGS</t>
  </si>
  <si>
    <t>dka_panelfill1_mat_BS</t>
  </si>
  <si>
    <t>dka_panelfill1_mat_BGS</t>
  </si>
  <si>
    <t>dka_panelfill2_mat_BS</t>
  </si>
  <si>
    <t>dka_panelfill2_mat_BGS</t>
  </si>
  <si>
    <t>dka_panelfill3_mat_BS</t>
  </si>
  <si>
    <t>dka_panelfill3_mat_BGS</t>
  </si>
  <si>
    <t>bs_leaf_overhang</t>
  </si>
  <si>
    <t>Überstand Türblatt zu Zarge</t>
  </si>
  <si>
    <t>dki_Falz1</t>
  </si>
  <si>
    <t>dki_Falz2</t>
  </si>
  <si>
    <t>dk_panel_folding_ancor</t>
  </si>
  <si>
    <t>dk_panel_folding_gap</t>
  </si>
  <si>
    <t>Fuge Türblatt zu Zarge</t>
  </si>
  <si>
    <t>Lage Türblatt zu Zarge</t>
  </si>
  <si>
    <t>dk_panel_folding_gap2</t>
  </si>
  <si>
    <t>Fuge Türblatt an Mittelfuge</t>
  </si>
  <si>
    <t>dk_panel_folding_dimensions</t>
  </si>
  <si>
    <t>dki_Mittelfalz1</t>
  </si>
  <si>
    <t>dki_Mittelfalz2</t>
  </si>
  <si>
    <t>dki_Mittelfalz3</t>
  </si>
  <si>
    <t>dk_panel_folding_nmbr</t>
  </si>
  <si>
    <t>Falz an Mittelfuge</t>
  </si>
  <si>
    <t>Abmessungen Mittelfalz Doppelflügel</t>
  </si>
  <si>
    <t>dk_panel_filling2</t>
  </si>
  <si>
    <t>dk_panel_filling_thk2</t>
  </si>
  <si>
    <t>dk_panel_division2</t>
  </si>
  <si>
    <t>dk_panel_bar2</t>
  </si>
  <si>
    <t>dka_panel2fill1_penF</t>
  </si>
  <si>
    <t>dka_panel2fill2_penF</t>
  </si>
  <si>
    <t>dka_panel2fill3_penF</t>
  </si>
  <si>
    <t>dka_panel2fill1_penB</t>
  </si>
  <si>
    <t>dka_panel2fill2_penB</t>
  </si>
  <si>
    <t>dka_panel2fill3_penB</t>
  </si>
  <si>
    <t>dka_panel2fill3_fill</t>
  </si>
  <si>
    <t>dka_panel2fill2_fill</t>
  </si>
  <si>
    <t>dka_panel2fill1_fill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</si>
  <si>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</si>
  <si>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</si>
  <si>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</si>
  <si>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</si>
  <si>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</si>
  <si>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</si>
  <si>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</si>
  <si>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</si>
  <si>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dk_panel_division_bottom</t>
  </si>
  <si>
    <t>Untere Panelteilung</t>
  </si>
  <si>
    <t>dk_panel_division_top</t>
  </si>
  <si>
    <t>Obere Panelteilung</t>
  </si>
  <si>
    <t>dk_opening2D</t>
  </si>
  <si>
    <t>Öffnungslinien Grundriss</t>
  </si>
  <si>
    <t>dorma_call</t>
  </si>
  <si>
    <t>Macro Call Settings</t>
  </si>
  <si>
    <t>macro_runtype</t>
  </si>
  <si>
    <t>Parameter to specify the question</t>
  </si>
  <si>
    <t>UIpage_number</t>
  </si>
  <si>
    <t>Number of pages for output</t>
  </si>
  <si>
    <t>Uipage</t>
  </si>
  <si>
    <t>Page number</t>
  </si>
  <si>
    <t>UIpage_parent</t>
  </si>
  <si>
    <t>Parent page number</t>
  </si>
  <si>
    <t>dk_opening3D</t>
  </si>
  <si>
    <t>Öffnungslinien in 3D</t>
  </si>
  <si>
    <t>dk_openingSA</t>
  </si>
  <si>
    <t>Öffnungslinien in Schnitten+Ansichten</t>
  </si>
  <si>
    <t>Öffnungslinien-Typ Bandseite</t>
  </si>
  <si>
    <t>Öffnungslinien-Typ Bandgegenseite</t>
  </si>
  <si>
    <t>Öffnungslinien-Typ Standflügel</t>
  </si>
  <si>
    <t>dk_openLineType_BS</t>
  </si>
  <si>
    <t>dk_openLineType_BGS</t>
  </si>
  <si>
    <t>dk_openLineType_SF</t>
  </si>
  <si>
    <t>dka_opline2D</t>
  </si>
  <si>
    <t>dka_opline3D</t>
  </si>
  <si>
    <t>dka_oplineSA</t>
  </si>
  <si>
    <t>dk_open_leaf</t>
  </si>
  <si>
    <t>Öffnungswinkel Türblätter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</si>
  <si>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</si>
  <si>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</si>
  <si>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</si>
  <si>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</si>
  <si>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</si>
  <si>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</si>
  <si>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htspt</t>
  </si>
  <si>
    <t>Fangpunktindex</t>
  </si>
  <si>
    <t>dk_panel_fill_offset</t>
  </si>
  <si>
    <t>Ausmitte Füllung</t>
  </si>
  <si>
    <t>dk_fries_ancor</t>
  </si>
  <si>
    <t>Friesbreite # Rahmenbreite (von Falzseite/BGS gemessen)</t>
  </si>
  <si>
    <t>dk_frame_gasket_thk</t>
  </si>
  <si>
    <t>dk_panel_gasket_thk</t>
  </si>
  <si>
    <t>Dicke Dichtung an Zarge</t>
  </si>
  <si>
    <t>Dichtungsstärke Türblatt an Mittelfuge</t>
  </si>
  <si>
    <t>bz_tiefe</t>
  </si>
  <si>
    <t>Zargentiefe</t>
  </si>
  <si>
    <t>bz_typ_einzug</t>
  </si>
  <si>
    <t>Typ Einzug Blockzarge</t>
  </si>
  <si>
    <t>bz_einzug</t>
  </si>
  <si>
    <t>Einzug Blockzarge BS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</si>
  <si>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</si>
  <si>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</si>
  <si>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</si>
  <si>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</si>
  <si>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</si>
  <si>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</si>
  <si>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dk_frame_thk_post</t>
  </si>
  <si>
    <t>Rahmenstärke Pfosten</t>
  </si>
  <si>
    <t>dk_frame_thk_upper</t>
  </si>
  <si>
    <t>Rahmenstärke oben</t>
  </si>
  <si>
    <t>dk_frame_thk_bottom</t>
  </si>
  <si>
    <t>Rahmenstärke unten</t>
  </si>
  <si>
    <t>dk_frame_thk_transom</t>
  </si>
  <si>
    <t>Rahmenstärke Kämpfer</t>
  </si>
  <si>
    <t>dk_frame_thk_EZ</t>
  </si>
  <si>
    <t>Rahmenstärke Eckzarge</t>
  </si>
  <si>
    <t>bs_sidelight_filling_thk1</t>
  </si>
  <si>
    <t>Dicke Seitenfeldfüllung 1</t>
  </si>
  <si>
    <t>bs_sidelight_filling_thk2</t>
  </si>
  <si>
    <t>Dicke Seitenfeldfüllung 2</t>
  </si>
  <si>
    <t>dka_topview_penC2</t>
  </si>
  <si>
    <t>dka_topview_penF</t>
  </si>
  <si>
    <t>dka_topview_penB</t>
  </si>
  <si>
    <t>dka_topview_fill</t>
  </si>
  <si>
    <t>bs_spiegel_br_bs</t>
  </si>
  <si>
    <t>bs_spiegel_br_bgs</t>
  </si>
  <si>
    <t>bs_spiegel_br_ob_bs</t>
  </si>
  <si>
    <t>bs_inner_frame</t>
  </si>
  <si>
    <t>Seiten mit Profil um Türblatt</t>
  </si>
  <si>
    <t>dk_design_folding_depth</t>
  </si>
  <si>
    <t>Tiefe Zierfalz</t>
  </si>
  <si>
    <t>bs_spiegel_br_ob_bgs</t>
  </si>
  <si>
    <t>dk_matSchwarz</t>
  </si>
  <si>
    <t>Schwarzes Material</t>
  </si>
  <si>
    <t>Band Hersteller</t>
  </si>
  <si>
    <t>bs_hinge_manufacturer</t>
  </si>
  <si>
    <t>bs_hinge_model</t>
  </si>
  <si>
    <t>bs_hinge_type</t>
  </si>
  <si>
    <t>Rollendurchmesser</t>
  </si>
  <si>
    <t>bs_hinge_material</t>
  </si>
  <si>
    <t>bs_hinge_adjust</t>
  </si>
  <si>
    <t>bs_hinge_nmbr</t>
  </si>
  <si>
    <t>bs_hinge_reel_diameter</t>
  </si>
  <si>
    <t>bs_hinge_surface</t>
  </si>
  <si>
    <t>bs_hinge_height</t>
  </si>
  <si>
    <t>Gesamthöhe eines Bandes</t>
  </si>
  <si>
    <t>bs_hinge_safety_pin</t>
  </si>
  <si>
    <t>Breite Aufsatz</t>
  </si>
  <si>
    <t>bs_hinge_fixture_width</t>
  </si>
  <si>
    <t>Höhe Aufsatz</t>
  </si>
  <si>
    <t>bs_hinge_fixture_height</t>
  </si>
  <si>
    <t>dka_hinge_mat</t>
  </si>
  <si>
    <t>Stahl</t>
  </si>
  <si>
    <t>V</t>
  </si>
  <si>
    <t>F</t>
  </si>
  <si>
    <t>E</t>
  </si>
  <si>
    <t>Edelstahl</t>
  </si>
  <si>
    <t>Aluminium</t>
  </si>
  <si>
    <t>ST</t>
  </si>
  <si>
    <t>ES</t>
  </si>
  <si>
    <t>AL</t>
  </si>
  <si>
    <t>-</t>
  </si>
  <si>
    <t>unbehandelt</t>
  </si>
  <si>
    <t>L</t>
  </si>
  <si>
    <t>Lackiert</t>
  </si>
  <si>
    <t>Pulverbeschichtet</t>
  </si>
  <si>
    <t>Z</t>
  </si>
  <si>
    <t>Verzinkt</t>
  </si>
  <si>
    <t>Vergoldet</t>
  </si>
  <si>
    <t>Eloxiert</t>
  </si>
  <si>
    <t>Titanisiert</t>
  </si>
  <si>
    <t>Verchromt</t>
  </si>
  <si>
    <t>Vernickelt</t>
  </si>
  <si>
    <t>N</t>
  </si>
  <si>
    <t>2D</t>
  </si>
  <si>
    <t>Bandabstand 3. Band</t>
  </si>
  <si>
    <t>Für aufgesetzte Befestigungslaschen</t>
  </si>
  <si>
    <t>G1</t>
  </si>
  <si>
    <t>PL</t>
  </si>
  <si>
    <t>bs_hinge_pos3</t>
  </si>
  <si>
    <t>bs_hinge_pos4</t>
  </si>
  <si>
    <t>Bandabstand 4. Band</t>
  </si>
  <si>
    <t>bs_hinge_chuck</t>
  </si>
  <si>
    <t>Bandaufnahme Produktangabe</t>
  </si>
  <si>
    <t>XX</t>
  </si>
  <si>
    <t>Sondermaterial</t>
  </si>
  <si>
    <t>X</t>
  </si>
  <si>
    <t>bs_panel_material</t>
  </si>
  <si>
    <t>Türblatt Material</t>
  </si>
  <si>
    <t>H</t>
  </si>
  <si>
    <t>bs_frame_material</t>
  </si>
  <si>
    <t>bs_FrameRebate_width</t>
  </si>
  <si>
    <t>Zargenfalzmaß Breite</t>
  </si>
  <si>
    <t>Breite auf Zargenfalz gemessen</t>
  </si>
  <si>
    <t>bs_FrameRebate_height</t>
  </si>
  <si>
    <t>Zargenfalzmaß Höhe</t>
  </si>
  <si>
    <t>Höhe auf Zargenfalz gemessen</t>
  </si>
  <si>
    <t>bs_door_closer</t>
  </si>
  <si>
    <t>Türschließer / Feststellanlage</t>
  </si>
  <si>
    <t>bs_closer_type</t>
  </si>
  <si>
    <t>Schließer Produktangabe</t>
  </si>
  <si>
    <t>Schliesser Typ GF / SF</t>
  </si>
  <si>
    <t>Beschreibung des Türschließers am Gangflügel</t>
  </si>
  <si>
    <t>Schließer Montageart GF / SF</t>
  </si>
  <si>
    <t>Angabe der Position des Türschließers am Gangflügel</t>
  </si>
  <si>
    <t>Schließkraftstärke EN</t>
  </si>
  <si>
    <t>Angabe der Schließkraftstärke des Türschließers am Gangflügel</t>
  </si>
  <si>
    <t>Schließkraftstärke EN SF</t>
  </si>
  <si>
    <t>Angabe der Schließkraftstärke des Türschließers am Standflügel</t>
  </si>
  <si>
    <t>Türschließer Oberfläche</t>
  </si>
  <si>
    <t>Angabe der Türschließeroberfläche des Türschließers am Gangflügel</t>
  </si>
  <si>
    <t>Türschließer Oberfläche SF</t>
  </si>
  <si>
    <t>Angabe der Türschließeroberfläche des Türschließers am Standflügel</t>
  </si>
  <si>
    <t>Freilauf</t>
  </si>
  <si>
    <t>Angabe ob der Türschließer am Gangflügel mit einer Freilauffunktion ausgestattet ist</t>
  </si>
  <si>
    <t xml:space="preserve">Schließfolgeregelung </t>
  </si>
  <si>
    <t>Angabe ob die Tür mit einer Schließfolgeregelung ausgestattet ist</t>
  </si>
  <si>
    <t>Schließverzögerung</t>
  </si>
  <si>
    <t>Angabe ob die Tür mit einer Schließverzögerung ausgestattet ist</t>
  </si>
  <si>
    <t>Öffnungsbegrenzung</t>
  </si>
  <si>
    <t>Angabe ob die Tür mit einer Öffnungsbegrenzung ausgestattet ist</t>
  </si>
  <si>
    <t>Öffnungsdämpfung</t>
  </si>
  <si>
    <t>Angabe ob die Tür mit einer Öffnungsdämpfung ausgestattet ist</t>
  </si>
  <si>
    <t>Handauslösung</t>
  </si>
  <si>
    <t>Angabe ob die Türschließer per Handauslösung aktiviert werden können</t>
  </si>
  <si>
    <t>Mitnehmerklappe</t>
  </si>
  <si>
    <t>Angabe ob einer Mitnehmerklappe am Gangflügel angebracht ist</t>
  </si>
  <si>
    <t>Feststellanlage</t>
  </si>
  <si>
    <t>Art der Feststellfunktion des Türschließers am Gangflügel</t>
  </si>
  <si>
    <t>Feststellanlage SF</t>
  </si>
  <si>
    <t>Art der Feststellfunktion des Türschließers am Standflügel</t>
  </si>
  <si>
    <t>Zusatzfunktionen</t>
  </si>
  <si>
    <t>Beschreibung zusätzlicher Funktionen oder Ausstattungsmerkmale des Türschließers am Gangflügel</t>
  </si>
  <si>
    <t>Zusatzfunktionen SF</t>
  </si>
  <si>
    <t>Beschreibung zusätzlicher Funktionen oder Ausstattungsmerkmale des Türschließers am Standflügel</t>
  </si>
  <si>
    <t>Schließer Feststellung Auslösung</t>
  </si>
  <si>
    <t>dka_fan_penF</t>
  </si>
  <si>
    <t>dka_fan_penB</t>
  </si>
  <si>
    <t>dka_fan_fill</t>
  </si>
  <si>
    <t>dka_closer_mat</t>
  </si>
  <si>
    <t>bs_closer_manufacturer</t>
  </si>
  <si>
    <t>bs_closer_model</t>
  </si>
  <si>
    <t>Schließer Hersteller</t>
  </si>
  <si>
    <t>OTS</t>
  </si>
  <si>
    <t>BTS</t>
  </si>
  <si>
    <t>Obentürschließer</t>
  </si>
  <si>
    <t>Bodentürschließer</t>
  </si>
  <si>
    <t>bs_closer_material</t>
  </si>
  <si>
    <t>bs_closer_surface</t>
  </si>
  <si>
    <t>bs_closer_position</t>
  </si>
  <si>
    <t>T</t>
  </si>
  <si>
    <t>Sturz / Zarge</t>
  </si>
  <si>
    <t>Schließer Material</t>
  </si>
  <si>
    <t>Schließer Oberfläche</t>
  </si>
  <si>
    <t>Angabe des bestimmenden Materials</t>
  </si>
  <si>
    <t>bs_closer_orientation</t>
  </si>
  <si>
    <t>Bandgegenseite</t>
  </si>
  <si>
    <t>Bandseite</t>
  </si>
  <si>
    <t>Gleitschiene</t>
  </si>
  <si>
    <t>Schere</t>
  </si>
  <si>
    <t>bs_closer_force</t>
  </si>
  <si>
    <t>bs_closer_fix</t>
  </si>
  <si>
    <t>M</t>
  </si>
  <si>
    <t>bs_closer_surface2</t>
  </si>
  <si>
    <t>Angabe der Montageseite des Türschließers am Gangflügel</t>
  </si>
  <si>
    <t>bs_closer_force2</t>
  </si>
  <si>
    <t>Schließertyp</t>
  </si>
  <si>
    <t>Schließsystem</t>
  </si>
  <si>
    <t>Montageseite</t>
  </si>
  <si>
    <t>Montageposition</t>
  </si>
  <si>
    <t>Schließer Oberfläche Standflügel</t>
  </si>
  <si>
    <t>bs_closer_delay</t>
  </si>
  <si>
    <t>Aus</t>
  </si>
  <si>
    <t>Schließverzögerung (Freilauf)</t>
  </si>
  <si>
    <t>Feststellfunktion</t>
  </si>
  <si>
    <t>bs_closer_fix2</t>
  </si>
  <si>
    <t>Feststellfunktion Standflügel</t>
  </si>
  <si>
    <t>bs_slider_system</t>
  </si>
  <si>
    <t>bs_slider_model</t>
  </si>
  <si>
    <t>Gleitschiene Produktangabe</t>
  </si>
  <si>
    <t>bs_closing_order</t>
  </si>
  <si>
    <t>bs_opening_limitation</t>
  </si>
  <si>
    <t>bs_opening_limitation2</t>
  </si>
  <si>
    <t>bs_closer_manual</t>
  </si>
  <si>
    <t>bs_closer_damping</t>
  </si>
  <si>
    <t>Schließkraftstärke Gangflügel EN</t>
  </si>
  <si>
    <t>Schließkraftstärke Standflügel EN</t>
  </si>
  <si>
    <t>T90</t>
  </si>
  <si>
    <t>T91</t>
  </si>
  <si>
    <t>T92</t>
  </si>
  <si>
    <t>T93</t>
  </si>
  <si>
    <t>T98</t>
  </si>
  <si>
    <t>T99</t>
  </si>
  <si>
    <t>G90</t>
  </si>
  <si>
    <t>G91</t>
  </si>
  <si>
    <t>G92</t>
  </si>
  <si>
    <t>G93</t>
  </si>
  <si>
    <t>G98</t>
  </si>
  <si>
    <t>G99</t>
  </si>
  <si>
    <t>bs_closer_material2</t>
  </si>
  <si>
    <t>Schließer Material Standflügel</t>
  </si>
  <si>
    <t>bs_closer_model2</t>
  </si>
  <si>
    <t>bs_slider_model2</t>
  </si>
  <si>
    <t>bs_closer_actuator</t>
  </si>
  <si>
    <t>bs_closer_position2</t>
  </si>
  <si>
    <t>bs_closer_orientation2</t>
  </si>
  <si>
    <t>Öffnungsbegrenzung Standflügel</t>
  </si>
  <si>
    <t>Montageposition Standflügel</t>
  </si>
  <si>
    <t>Montageseite Standflügel</t>
  </si>
  <si>
    <t>Gleitschiene Produktangabe Standflügel</t>
  </si>
  <si>
    <t>Schließer Produktangabe Standflügel</t>
  </si>
  <si>
    <t>DORMA MK 396</t>
  </si>
  <si>
    <t>DORMA MK 397</t>
  </si>
  <si>
    <t>TYP</t>
  </si>
  <si>
    <t>FL</t>
  </si>
  <si>
    <t>FLR</t>
  </si>
  <si>
    <t>FLR-K</t>
  </si>
  <si>
    <t>TS 97 EN 2-4</t>
  </si>
  <si>
    <t>ZEILE</t>
  </si>
  <si>
    <t>Produktbezeichnungen</t>
  </si>
  <si>
    <t>dk_closer</t>
  </si>
  <si>
    <t>Produktspezifikationen Türschließer</t>
  </si>
  <si>
    <t>VERZOEGERUNG</t>
  </si>
  <si>
    <t>BRANDSCHUTZ</t>
  </si>
  <si>
    <t>PRODUKT</t>
  </si>
  <si>
    <t>eigenschaften</t>
  </si>
  <si>
    <t>Montagemöglichkeiten</t>
  </si>
  <si>
    <t>Eigenschaften</t>
  </si>
  <si>
    <t>[bs_closer_model]</t>
  </si>
  <si>
    <t>[bs_slider_model]</t>
  </si>
  <si>
    <t>bs_closer2</t>
  </si>
  <si>
    <t>Schließer auf Bedarfsflügel</t>
  </si>
  <si>
    <t>wie Gangflügel</t>
  </si>
  <si>
    <t>3 (max. 950mm)</t>
  </si>
  <si>
    <t>4 (max.1100mm)</t>
  </si>
  <si>
    <t>5 (max. 1250mm)</t>
  </si>
  <si>
    <t>6 (max. 1400mm)</t>
  </si>
  <si>
    <t>7 (max. 1600mm)</t>
  </si>
  <si>
    <t>4 (max. 1100mm)</t>
  </si>
  <si>
    <t>RF</t>
  </si>
  <si>
    <t>EMF</t>
  </si>
  <si>
    <t>EMR</t>
  </si>
  <si>
    <t>GSR</t>
  </si>
  <si>
    <t>mechanisch</t>
  </si>
  <si>
    <t>FESTSTELLUNG</t>
  </si>
  <si>
    <t>GSR-EMR</t>
  </si>
  <si>
    <t>RAUCHMELDER</t>
  </si>
  <si>
    <t>GSR-EMF</t>
  </si>
  <si>
    <t>bs_closer_damping2</t>
  </si>
  <si>
    <t>Öffnungsdämpfung Standflügel</t>
  </si>
  <si>
    <t>Flügelbreite</t>
  </si>
  <si>
    <t>Sonderoberfläche</t>
  </si>
  <si>
    <t>Schließfolgeregelung</t>
  </si>
  <si>
    <t>Gestänge</t>
  </si>
  <si>
    <t>dormakaba</t>
  </si>
  <si>
    <t>HingePanelGap</t>
  </si>
  <si>
    <t>Abstand Bandachse Türblatt</t>
  </si>
  <si>
    <t>offsetHingePanelSurfaceBS</t>
  </si>
  <si>
    <t>Abstand Türblattoberfläche (BS) zu Bandachse</t>
  </si>
  <si>
    <t>HingeHingeDistance</t>
  </si>
  <si>
    <t>Abstand Bandachsen bei Doppeltür</t>
  </si>
  <si>
    <t>offsetFrameSurfaceBGS</t>
  </si>
  <si>
    <t>facingLintelBGS</t>
  </si>
  <si>
    <t>Abstand Zargenspiegel BS zu Kämpferspiegel BGS</t>
  </si>
  <si>
    <t>Spiegelbreite direkt über Durchgangslichte BGS</t>
  </si>
  <si>
    <t>oberblende</t>
  </si>
  <si>
    <t>Typ des Oberlichtes</t>
  </si>
  <si>
    <t>Montage Körper</t>
  </si>
  <si>
    <t>Anforderungen</t>
  </si>
  <si>
    <t>Gleitschienen</t>
  </si>
  <si>
    <t>1-Flüglig</t>
  </si>
  <si>
    <t>2-Flüglig</t>
  </si>
  <si>
    <t>EN 1</t>
  </si>
  <si>
    <t>EN 2</t>
  </si>
  <si>
    <t>EN 3</t>
  </si>
  <si>
    <t>EN 4</t>
  </si>
  <si>
    <t>EN 5</t>
  </si>
  <si>
    <t>EN 6</t>
  </si>
  <si>
    <t>EN 7</t>
  </si>
  <si>
    <t>Türblattmontage</t>
  </si>
  <si>
    <t>Sturzmontage</t>
  </si>
  <si>
    <t>Brandschutz/Rauchschutz</t>
  </si>
  <si>
    <t>Barrierefrei</t>
  </si>
  <si>
    <t>Rastfeststellung Mechan.</t>
  </si>
  <si>
    <t>Rastfeststellung Elektrisch</t>
  </si>
  <si>
    <t>Integrierte RMZ</t>
  </si>
  <si>
    <t>Anschluss an RMZ erforderlich</t>
  </si>
  <si>
    <t>Gleitschienen-TS</t>
  </si>
  <si>
    <t>Gestänge-TS</t>
  </si>
  <si>
    <t xml:space="preserve"> RF</t>
  </si>
  <si>
    <t>Set-Gleitschiene</t>
  </si>
  <si>
    <t xml:space="preserve"> N</t>
  </si>
  <si>
    <t xml:space="preserve"> VG</t>
  </si>
  <si>
    <t xml:space="preserve"> FG</t>
  </si>
  <si>
    <t xml:space="preserve"> SV</t>
  </si>
  <si>
    <t xml:space="preserve"> SR</t>
  </si>
  <si>
    <t>anschlag</t>
  </si>
  <si>
    <t>pendelnd</t>
  </si>
  <si>
    <t>600-750</t>
  </si>
  <si>
    <t>750-850</t>
  </si>
  <si>
    <t>850-950</t>
  </si>
  <si>
    <t>950-1100</t>
  </si>
  <si>
    <t>1100-1250</t>
  </si>
  <si>
    <t>1250-1400</t>
  </si>
  <si>
    <t>1400-1600</t>
  </si>
  <si>
    <t>BGS</t>
  </si>
  <si>
    <t>Mittig</t>
  </si>
  <si>
    <t>Bodenmontage</t>
  </si>
  <si>
    <t>Integrierter-TS</t>
  </si>
  <si>
    <t>Boden-TS</t>
  </si>
  <si>
    <t>Typ</t>
  </si>
  <si>
    <t>Untertyp</t>
  </si>
  <si>
    <t>EN Stärke</t>
  </si>
  <si>
    <t>Normalgestänge</t>
  </si>
  <si>
    <t>Normalgest. verlängert</t>
  </si>
  <si>
    <t>Flachformgest.</t>
  </si>
  <si>
    <t>Rastfeststellgest.</t>
  </si>
  <si>
    <t xml:space="preserve">Schliefolgeregelung </t>
  </si>
  <si>
    <t>xG</t>
  </si>
  <si>
    <t>yG</t>
  </si>
  <si>
    <t>xT</t>
  </si>
  <si>
    <t>Bezeichnung System komplett</t>
  </si>
  <si>
    <t>1-6</t>
  </si>
  <si>
    <t>TS 98 XEA EN 1-6</t>
  </si>
  <si>
    <t>TS 98 RF XEA EN 1-6</t>
  </si>
  <si>
    <t>TS 98 EMF XEA EN 1-6</t>
  </si>
  <si>
    <t>TS 98 EMR XEA EN 1-6</t>
  </si>
  <si>
    <t>TS 98 UVIBIS XEA EN 1-6</t>
  </si>
  <si>
    <t>2-5</t>
  </si>
  <si>
    <t>TS 99 FL EN 2-5</t>
  </si>
  <si>
    <t>TS 99 FLR EN 2-5</t>
  </si>
  <si>
    <t>TS 99 FLR-K EN 2-5</t>
  </si>
  <si>
    <t>TS 99  FL GSR-EMR 0 EN 2-5</t>
  </si>
  <si>
    <t>TS 93 EN 2-5</t>
  </si>
  <si>
    <t>TS 93 RF EN 2-5</t>
  </si>
  <si>
    <t>TS 93 EMF EN 2-5</t>
  </si>
  <si>
    <t>TS 93 EMR EN 2-5</t>
  </si>
  <si>
    <t>TS 93 GSR EN 2-5</t>
  </si>
  <si>
    <t>TS 93 GSR RF EN 2-5</t>
  </si>
  <si>
    <t>TS 93 GSR-EMF 1 EN 2-5</t>
  </si>
  <si>
    <t>TS 93 GSR-EMF 1G EN 2-5</t>
  </si>
  <si>
    <t>TS 93 GSR-EMF 2 EN 2-5</t>
  </si>
  <si>
    <t>TS 93 GSR-EMR 1 EN 2-5</t>
  </si>
  <si>
    <t>TS 93 GSR-EMR 1G EN 2-5</t>
  </si>
  <si>
    <t>TS 93 GSR-EMR 2 EN 2-5</t>
  </si>
  <si>
    <t>D</t>
  </si>
  <si>
    <t>TS 93 G EN 2-5</t>
  </si>
  <si>
    <t>TS 93 G RF EN 2-5</t>
  </si>
  <si>
    <t>TS 93 G EMF EN 2-5</t>
  </si>
  <si>
    <t>TS 93 G EMR EN 2-5</t>
  </si>
  <si>
    <t>5-7</t>
  </si>
  <si>
    <t>TS 93 EN 5-7</t>
  </si>
  <si>
    <t>TS 93 RF EN 5-7</t>
  </si>
  <si>
    <t>TS 93 EMF EN 5-7</t>
  </si>
  <si>
    <t>TS 93 EMR EN 5-7</t>
  </si>
  <si>
    <t>TS 93 GSR EN 5-7</t>
  </si>
  <si>
    <t>TS 93 GSR RF EN 5-7</t>
  </si>
  <si>
    <t>TS 93 GSR-EMF 1 EN 5-7</t>
  </si>
  <si>
    <t>TS 93 GSR-EMF 1G EN 5-7</t>
  </si>
  <si>
    <t>TS 93 GSR-EMF 2 EN 5-7</t>
  </si>
  <si>
    <t>TS 93 GSR-EMR 1 EN 5-7</t>
  </si>
  <si>
    <t>TS 93 GSR-EMR 1G EN 5-7</t>
  </si>
  <si>
    <t>TS 93 GSR-EMR 2 EN 5-7</t>
  </si>
  <si>
    <t>TS 93 G EN 5-7</t>
  </si>
  <si>
    <t>TS 93 G RF EN 5-7</t>
  </si>
  <si>
    <t>TS 93 G EMF EN 5-7</t>
  </si>
  <si>
    <t>TS 93 G EMR EN 5-7</t>
  </si>
  <si>
    <t>1-4</t>
  </si>
  <si>
    <t>TS 92 XEA EN 1-4</t>
  </si>
  <si>
    <t>TS 92 RF XEA EN 1-4</t>
  </si>
  <si>
    <t>TS 92 EN 1-4</t>
  </si>
  <si>
    <t>TS 92 RF EN 1-4</t>
  </si>
  <si>
    <t>TS 92 GSR EN 1-4</t>
  </si>
  <si>
    <t>TS 92 G XEA EN 1-4</t>
  </si>
  <si>
    <t>TS 92 G RF XEA EN 1-4</t>
  </si>
  <si>
    <t>TS 92 G EN 1-4</t>
  </si>
  <si>
    <t>TS 92 G RF EN 1-4</t>
  </si>
  <si>
    <t>2-4</t>
  </si>
  <si>
    <t>TS 97 RF EN 2-4</t>
  </si>
  <si>
    <t>3</t>
  </si>
  <si>
    <t>TS 91 EN 3</t>
  </si>
  <si>
    <t>TS 91 RF EN 3</t>
  </si>
  <si>
    <t>3/4</t>
  </si>
  <si>
    <t>TS 90 EN 3/4</t>
  </si>
  <si>
    <t>TS 90 RF EN 3/4</t>
  </si>
  <si>
    <t>2-6</t>
  </si>
  <si>
    <t>TS 83 EN 2-6</t>
  </si>
  <si>
    <t>TS 83 EN 2-6 + SR</t>
  </si>
  <si>
    <t>TS 83 RF EN 2-6</t>
  </si>
  <si>
    <t>TS 83 SV EN 2-6</t>
  </si>
  <si>
    <t>TS 83 EN 5-7</t>
  </si>
  <si>
    <t>TS 83 EN 5-7 + SR</t>
  </si>
  <si>
    <t>TS 83 RF EN 5-7</t>
  </si>
  <si>
    <t>TS 83 SV EN 5-7</t>
  </si>
  <si>
    <t>73V</t>
  </si>
  <si>
    <t>TS 73V EN 2-4</t>
  </si>
  <si>
    <t>TS 73V EN 2-4 + SR</t>
  </si>
  <si>
    <t>TS 73V RF EN 2-4</t>
  </si>
  <si>
    <t>4</t>
  </si>
  <si>
    <t>TS 73 EMF EN 4</t>
  </si>
  <si>
    <t>5</t>
  </si>
  <si>
    <t>TS 73 EMF EN 5</t>
  </si>
  <si>
    <t>6</t>
  </si>
  <si>
    <t>TS 73 EMF EN 6</t>
  </si>
  <si>
    <t>TS 73 FL EN 4</t>
  </si>
  <si>
    <t>TS 73 FL EN 5</t>
  </si>
  <si>
    <t>TS 73 FL EN 6</t>
  </si>
  <si>
    <t>TS 72 EN 2-4</t>
  </si>
  <si>
    <t>TS 72 RF EN 2-4</t>
  </si>
  <si>
    <t>TS 71 EN 4</t>
  </si>
  <si>
    <t>TS 71 RF EN 4</t>
  </si>
  <si>
    <t>ITS 96 EN 2-4</t>
  </si>
  <si>
    <t>ITS 96 RF EN 2-4</t>
  </si>
  <si>
    <t>ITS 96 EMF EN 2-4</t>
  </si>
  <si>
    <t>ITS 96 GSR EN 2-4</t>
  </si>
  <si>
    <t>ITS 96 GSR RF EN 2-4</t>
  </si>
  <si>
    <t>ITS 96 GSR-EMF EN 2-4</t>
  </si>
  <si>
    <t>3-6</t>
  </si>
  <si>
    <t>ITS 96 EN 3-6</t>
  </si>
  <si>
    <t>ITS 96 RF EN 3-6</t>
  </si>
  <si>
    <t>ITS 96 EMF EN 3-6</t>
  </si>
  <si>
    <t>ITS 96 GSR EN 3-6</t>
  </si>
  <si>
    <t>ITS 96 GSR RF EN 3-6</t>
  </si>
  <si>
    <t>ITS 96 GSR-EMF EN 3-6</t>
  </si>
  <si>
    <t>75V</t>
  </si>
  <si>
    <t>BTS 75V EN 1-4</t>
  </si>
  <si>
    <t>BTS 80 EN 3</t>
  </si>
  <si>
    <t>BTS 80 EN 4</t>
  </si>
  <si>
    <t>BTS 80 EN 6</t>
  </si>
  <si>
    <t>80 F</t>
  </si>
  <si>
    <t>BTS 80 F EN 4</t>
  </si>
  <si>
    <t>BTS 80 F EN 5</t>
  </si>
  <si>
    <t>BTS 80 F EN 6</t>
  </si>
  <si>
    <t>4 + SR</t>
  </si>
  <si>
    <t>BTS 80 F EN 4 + SR</t>
  </si>
  <si>
    <t>5 + SR</t>
  </si>
  <si>
    <t>BTS 80 F EN 5 + SR</t>
  </si>
  <si>
    <t>6 + SR</t>
  </si>
  <si>
    <t>BTS 80 F EN 6 + SR</t>
  </si>
  <si>
    <t>80 EMB</t>
  </si>
  <si>
    <t>BTS 80 EMB EN 4</t>
  </si>
  <si>
    <t>BTS 80 EMB EN 5</t>
  </si>
  <si>
    <t>BTS 80 EMB EN 6</t>
  </si>
  <si>
    <t>BTS 80 EMB EN 4 + SR</t>
  </si>
  <si>
    <t>BTS 80 EMB EN 5 + SR</t>
  </si>
  <si>
    <t>BTS 80 EMB EN 6 + SR</t>
  </si>
  <si>
    <t>80 FLB</t>
  </si>
  <si>
    <t>BTS 80 FLB EN 4</t>
  </si>
  <si>
    <t>BTS 80 FLB EN 5</t>
  </si>
  <si>
    <t>BTS 80 FLB EN 6</t>
  </si>
  <si>
    <t>2</t>
  </si>
  <si>
    <t>EN</t>
  </si>
  <si>
    <t>BARRIEREFREI</t>
  </si>
  <si>
    <t>FLUEGEL</t>
  </si>
  <si>
    <t>MONTAGE</t>
  </si>
  <si>
    <t>SCHLIESSFOLGE</t>
  </si>
  <si>
    <t>DAEMPFUNG</t>
  </si>
  <si>
    <t>ART</t>
  </si>
  <si>
    <t>TYP2</t>
  </si>
  <si>
    <t>zT</t>
  </si>
  <si>
    <t>dimensionK</t>
  </si>
  <si>
    <t>Position Körper-Montage</t>
  </si>
  <si>
    <t>Komplettsysteme</t>
  </si>
  <si>
    <t>sProdukte</t>
  </si>
  <si>
    <t>iProdukte</t>
  </si>
  <si>
    <t>zG</t>
  </si>
  <si>
    <t>dimensionG</t>
  </si>
  <si>
    <t>GSR RF</t>
  </si>
  <si>
    <t>GSR-EMF 1</t>
  </si>
  <si>
    <t>GSR-EMF 1G</t>
  </si>
  <si>
    <t>GSR-EMF 2</t>
  </si>
  <si>
    <t>GSR-EMR 1</t>
  </si>
  <si>
    <t>GSR-EMR 1G</t>
  </si>
  <si>
    <t>GSR-EMR 2</t>
  </si>
  <si>
    <t>FL GSR-EMR 0</t>
  </si>
  <si>
    <t>N XEA</t>
  </si>
  <si>
    <t>RF XEA</t>
  </si>
  <si>
    <t>EMF XEA</t>
  </si>
  <si>
    <t>EMR XEA</t>
  </si>
  <si>
    <t>UVIBIS XEA</t>
  </si>
  <si>
    <t>GSR XEA</t>
  </si>
  <si>
    <t>GSR-EMF XEA</t>
  </si>
  <si>
    <t>GSR-EMR XEA</t>
  </si>
  <si>
    <t>FL GSR-EMR</t>
  </si>
  <si>
    <t>Position Slider Montage</t>
  </si>
  <si>
    <t>Freilaufgestänge</t>
  </si>
  <si>
    <t>Lauflänge Gleitstück</t>
  </si>
  <si>
    <t>MV_T1  Türblattmontage Bandseite</t>
  </si>
  <si>
    <t>MV_T2  Sturzmontage Bandgegenseite</t>
  </si>
  <si>
    <t>MV_T3  Sturzmontage Bandseite</t>
  </si>
  <si>
    <t>MV_T4  Türblattmontage Bandgegenseite</t>
  </si>
  <si>
    <t>MV_T5  Türblattmontage Bandgegenseite, tiefer Sturz</t>
  </si>
  <si>
    <t>lK  Länge Körper</t>
  </si>
  <si>
    <t>hK   Höhe Körper</t>
  </si>
  <si>
    <t>tK  Tiefe Körper</t>
  </si>
  <si>
    <t>lG  Länge GS / Länge Gest.Spannschloss</t>
  </si>
  <si>
    <t>hG  Höhe Gleitschiene / Gest.</t>
  </si>
  <si>
    <t>tG  Tiefe Gleitschiene  Tiefe Drehpunkt Gest.</t>
  </si>
  <si>
    <t>yL  Lauflinie Gst über Oberfläche Tür/Zarge</t>
  </si>
  <si>
    <t>xH  Hebellänge</t>
  </si>
  <si>
    <t>xD    Drehachse zum Band</t>
  </si>
  <si>
    <t>La SS    =  xH + xD</t>
  </si>
  <si>
    <t>La     = La SS - La BS</t>
  </si>
  <si>
    <t>La BS</t>
  </si>
  <si>
    <t>yT</t>
  </si>
  <si>
    <t>xL    = La BS + xG</t>
  </si>
  <si>
    <t>Abmessungen (mm)</t>
  </si>
  <si>
    <t xml:space="preserve">TS 98 GSR XEA EN 1-6 </t>
  </si>
  <si>
    <t xml:space="preserve">TS 98 GSR-EMF XEA EN 1-6 </t>
  </si>
  <si>
    <t xml:space="preserve">TS 98 GSR-EMR XEA EN 1-6 </t>
  </si>
  <si>
    <t>TS 98 GSR BG XEA EN 1-6 Gangfl.</t>
  </si>
  <si>
    <t>TS 98 GSR-EMF BG XEA EN 1-6 Gangfl.</t>
  </si>
  <si>
    <t>TS 98 GSR-EMR BG XEA EN 1-6 Gangfl.</t>
  </si>
  <si>
    <t>TS 98 GSR BG XEA EN 1-6 Standfl.</t>
  </si>
  <si>
    <t>TS 98 GSR-EMF BG XEA EN 1-6 Standfl.</t>
  </si>
  <si>
    <t>TS 98 GSR-EMR BG XEA EN 1-6 Standfl.</t>
  </si>
  <si>
    <t>TS 99 G FL EN 2-5</t>
  </si>
  <si>
    <t>TS 99  FL GSR-EMR 1 EN 2-5</t>
  </si>
  <si>
    <t>TS 93 G GSR /BG EN 2-5 Gangfl.</t>
  </si>
  <si>
    <t>TS 93 G GSR RF /BG EN 2-5 Gangfl.</t>
  </si>
  <si>
    <t>TS 93 G GSR-EMF 1 /BG EN 2-5 Gangfl.</t>
  </si>
  <si>
    <t>TS 93 G GSR-EMF 1G /BG EN 2-5 Gangfl.</t>
  </si>
  <si>
    <t>TS 93 G GSR-EMF 2 /BG EN 2-5 Gangfl.</t>
  </si>
  <si>
    <t>TS 93 G GSR-EMR 1 /BG EN 2-5 Gangfl.</t>
  </si>
  <si>
    <t>TS 93 G GSR-EMR 1G /BG EN 2-5 Gangfl.</t>
  </si>
  <si>
    <t>TS 93 G GSR-EMR 2 /BG EN 2-5 Gangfl.</t>
  </si>
  <si>
    <t>TS 93 G GSR /BG EN 2-5 Standfl.</t>
  </si>
  <si>
    <t>TS 93 G GSR RF /BG EN 2-5 Standfl.</t>
  </si>
  <si>
    <t>TS 93 G GSR-EMF 1 /BG EN 2-5 Standfl.</t>
  </si>
  <si>
    <t>TS 93 G GSR-EMF 1G /BG EN 2-5 Standfl.</t>
  </si>
  <si>
    <t>TS 93 G GSR-EMF 2 /BG EN 2-5 Standfl.</t>
  </si>
  <si>
    <t>TS 93 G GSR-EMR 1 /BG EN 2-5 Standfl.</t>
  </si>
  <si>
    <t>TS 93 G GSR-EMR 1G /BG EN 2-5 Standfl.</t>
  </si>
  <si>
    <t>TS 93 G GSR-EMR 2 /BG EN 2-5 Standfl.</t>
  </si>
  <si>
    <t>TS 93 G GSR /BG EN 5-7 Gangfl.</t>
  </si>
  <si>
    <t>TS 93 G GSR RF /BG EN 5-7 Gangfl.</t>
  </si>
  <si>
    <t>TS 93 G GSR-EMF 1 /BG EN 5-7 Gangfl.</t>
  </si>
  <si>
    <t>TS 93 G GSR-EMF 1G /BG EN 5-7 Gangfl.</t>
  </si>
  <si>
    <t>TS 93 G GSR-EMF 2 /BG EN 5-7 Gangfl.</t>
  </si>
  <si>
    <t>TS 93 G GSR-EMR 1 /BG EN 5-7 Gangfl.</t>
  </si>
  <si>
    <t>TS 93 G GSR-EMR 1G /BG EN 5-7 Gangfl.</t>
  </si>
  <si>
    <t>TS 93 G GSR-EMR 2 /BG EN 5-7 Gangfl.</t>
  </si>
  <si>
    <t>TS 93 G GSR /BG EN 5-7 Standfl.</t>
  </si>
  <si>
    <t>TS 93 G GSR RF /BG EN 5-7 Standfl.</t>
  </si>
  <si>
    <t>TS 93 G GSR-EMF 1 /BG EN 5-7 Standfl.</t>
  </si>
  <si>
    <t>TS 93 G GSR-EMF 1G /BG EN 5-7 Standfl.</t>
  </si>
  <si>
    <t>TS 93 G GSR-EMF 2 /BG EN 5-7 Standfl.</t>
  </si>
  <si>
    <t>TS 93 G GSR-EMR 1 /BG EN 5-7 Standfl.</t>
  </si>
  <si>
    <t>TS 93 G GSR-EMR 1G /BG EN 5-7 Standfl.</t>
  </si>
  <si>
    <t>TS 93 G GSR-EMR 2 /BG EN 5-7 Standfl.</t>
  </si>
  <si>
    <t>_</t>
  </si>
  <si>
    <t>ITS 96 FL EN 3-6</t>
  </si>
  <si>
    <t>ITS 96 GSR FL EN 3-6</t>
  </si>
  <si>
    <t>dk_linetype_settings</t>
  </si>
  <si>
    <t>dk_linetype</t>
  </si>
  <si>
    <t>Array für Linientypen</t>
  </si>
  <si>
    <t>dka_invisible</t>
  </si>
  <si>
    <t>dk_estimatedWeight</t>
  </si>
  <si>
    <t>Berechnetes, abgeschätztes Gewicht Gangflügel</t>
  </si>
  <si>
    <t>dk_estimatedWeight2</t>
  </si>
  <si>
    <t>Berechnetes, abgeschätztes Gewicht Standflügel</t>
  </si>
  <si>
    <t>Drehflügelantrieb</t>
  </si>
  <si>
    <t>ED Gleitschiene</t>
  </si>
  <si>
    <t>ED Gestänge N 225</t>
  </si>
  <si>
    <t>ED Gestänge VERL 500</t>
  </si>
  <si>
    <t>Daten per c&amp;p aus "Tabelle Produktparameter TS ED v14_6_F.xlsx" übertragen. NUR WERTE, KEINE FORMELN!</t>
  </si>
  <si>
    <t>BTS 75V EN 1-4 Pendeltür</t>
  </si>
  <si>
    <t>BTS 80 EN 3 Pendeltür</t>
  </si>
  <si>
    <t>BTS 80 EN 4 Pendeltür</t>
  </si>
  <si>
    <t>BTS 80 EN 6 Pendeltür</t>
  </si>
  <si>
    <t>BTS 84 EN 2 Pendeltür</t>
  </si>
  <si>
    <t>BTS 84 EN 3 Pendeltür</t>
  </si>
  <si>
    <t>BTS 84 EN 4 Pendeltür</t>
  </si>
  <si>
    <t>RTS 85 EN 3 Pendeltür</t>
  </si>
  <si>
    <t>RTS 85 EN 4 Pendeltür</t>
  </si>
  <si>
    <t>RTS 85 EN 5 Pendeltür</t>
  </si>
  <si>
    <t>ED 100 mit Gleitschiene Gangfl.</t>
  </si>
  <si>
    <t>ED 100 GSR, (1 ED Gangfl. -1 TS am Standfl.)</t>
  </si>
  <si>
    <t>ED 100 zweiflüglig, getrennt Gangfl.</t>
  </si>
  <si>
    <t>ED 100 zweiflüglig, ESR Gangfl.</t>
  </si>
  <si>
    <t>ED 100 mit Gleitschiene Standfl.</t>
  </si>
  <si>
    <t>ED 250 mit Gleitschiene Gangfl.</t>
  </si>
  <si>
    <t>4-6</t>
  </si>
  <si>
    <t>ED 250 GSR, (1 ED Gangfl. -1 TS am Standfl.)</t>
  </si>
  <si>
    <t>ED 250 zweiflüglig, getrennt Gangfl.</t>
  </si>
  <si>
    <t>ED 250 zweiflüglig, ESR Gangfl.</t>
  </si>
  <si>
    <t>ED 250 mit Gleitschiene Standfl.</t>
  </si>
  <si>
    <t>ED 100 mit Gestänge Gangfl.</t>
  </si>
  <si>
    <t>ED 100 mit Gestänge Standfl.</t>
  </si>
  <si>
    <t>ED 250 mit Gestänge Gangfl.</t>
  </si>
  <si>
    <t>ED 250 mit Gestänge Standfl.</t>
  </si>
  <si>
    <t>Zum Abgleich, ob alle Daten hier richtig importiert wurden, bzw. was sich geändert hat.</t>
  </si>
  <si>
    <t>xT_MT1</t>
  </si>
  <si>
    <t>zT_MT1</t>
  </si>
  <si>
    <t>xG_MT1</t>
  </si>
  <si>
    <t>zG_MT1</t>
  </si>
  <si>
    <t>xT_MT2</t>
  </si>
  <si>
    <t>zT_MT2</t>
  </si>
  <si>
    <t>xT_MT3</t>
  </si>
  <si>
    <t>zT_MT3</t>
  </si>
  <si>
    <t>xT_MT4</t>
  </si>
  <si>
    <t>zT_MT4</t>
  </si>
  <si>
    <t>xT_MT5</t>
  </si>
  <si>
    <t>zT_MT5</t>
  </si>
  <si>
    <t>xG_MT2</t>
  </si>
  <si>
    <t>zG_MT2</t>
  </si>
  <si>
    <t>xG_MT3</t>
  </si>
  <si>
    <t>zG_MT3</t>
  </si>
  <si>
    <t>xG_MT4</t>
  </si>
  <si>
    <t>zG_MT4</t>
  </si>
  <si>
    <t>xG_MT5</t>
  </si>
  <si>
    <t>zG_MT5</t>
  </si>
  <si>
    <t>abmessungG</t>
  </si>
  <si>
    <t>sy</t>
  </si>
  <si>
    <t>sz</t>
  </si>
  <si>
    <t>xH</t>
  </si>
  <si>
    <t>LaBS</t>
  </si>
  <si>
    <t>yL</t>
  </si>
  <si>
    <t>Positionierung Schließkörper</t>
  </si>
  <si>
    <t>Positionierung Schienen</t>
  </si>
  <si>
    <t>Abmessung+Achsen Schienen</t>
  </si>
  <si>
    <t>dk_visibleLeaf</t>
  </si>
  <si>
    <t>Panel visible</t>
  </si>
  <si>
    <t>xkD</t>
  </si>
  <si>
    <t>elektromechanisch</t>
  </si>
  <si>
    <t>elekr. (Rauchmelder)</t>
  </si>
  <si>
    <t>elekr. (Rauchmelder/Batterie)</t>
  </si>
  <si>
    <t>dka_closer_penSA</t>
  </si>
  <si>
    <t>dka_penInvisible</t>
  </si>
  <si>
    <t>bs_automation_manufacturer</t>
  </si>
  <si>
    <t>Hersteller Türautomation</t>
  </si>
  <si>
    <t>Dormakaba</t>
  </si>
  <si>
    <t>bs_automation_model</t>
  </si>
  <si>
    <t>Modell Türautomation</t>
  </si>
  <si>
    <t>bs_automation_model2</t>
  </si>
  <si>
    <t>Modell Türautomation Standflügel</t>
  </si>
  <si>
    <t>bs_automation_material</t>
  </si>
  <si>
    <t>Türantrieb Material</t>
  </si>
  <si>
    <t>bs_automation_surface</t>
  </si>
  <si>
    <t>Türantrieb Oberfläche</t>
  </si>
  <si>
    <t>nur Gangflügel</t>
  </si>
  <si>
    <t>nur Standflügel</t>
  </si>
  <si>
    <t>Beidseitig individuell</t>
  </si>
  <si>
    <t>HingeEgressDistance</t>
  </si>
  <si>
    <t>Abstand Bandachse Zargeninnenkante</t>
  </si>
  <si>
    <t>Integrierter Türschließer</t>
  </si>
  <si>
    <t>SEITE</t>
  </si>
  <si>
    <t>gs_sidelight</t>
  </si>
  <si>
    <t>Seitenfeld</t>
  </si>
  <si>
    <t>bDiffSidelightWidth</t>
  </si>
  <si>
    <t>Seitenfeld untersch. Breiten</t>
  </si>
  <si>
    <t>gs_sidelight_width_left</t>
  </si>
  <si>
    <t>Breite Seitenfeld rechts</t>
  </si>
  <si>
    <t>gs_sidelight_width_right</t>
  </si>
  <si>
    <t>Breite Seitenfeld links</t>
  </si>
  <si>
    <t>vormals "asz"</t>
  </si>
  <si>
    <t>dk_sidelight_transom1</t>
  </si>
  <si>
    <t>Teilung Seitenlicht rechts</t>
  </si>
  <si>
    <t>dk_sidelight_transom2</t>
  </si>
  <si>
    <t>Teilung Seitenlicht links</t>
  </si>
  <si>
    <t>facingLintelBS</t>
  </si>
  <si>
    <t>Spiegelbreite direkt über Durchgangslichte BS</t>
  </si>
  <si>
    <t>ITS</t>
  </si>
  <si>
    <t>ykD</t>
  </si>
  <si>
    <t>yD</t>
  </si>
  <si>
    <t>MI</t>
  </si>
  <si>
    <t>Boden</t>
  </si>
  <si>
    <t>dk_extendable_components</t>
  </si>
  <si>
    <t>Erweiterungsbibliotheken</t>
  </si>
  <si>
    <t>hinge_system</t>
  </si>
  <si>
    <t>Verfügbare Türbandsysteme</t>
  </si>
  <si>
    <t>closer_system</t>
  </si>
  <si>
    <t>Verfügbare Türschließersysteme</t>
  </si>
  <si>
    <t>DORMA_TS</t>
  </si>
  <si>
    <t>DORMA_BTS</t>
  </si>
  <si>
    <t>Linientypen</t>
  </si>
  <si>
    <t>abmessungK</t>
  </si>
  <si>
    <t>kx</t>
  </si>
  <si>
    <t>ky</t>
  </si>
  <si>
    <t>kz</t>
  </si>
  <si>
    <t>Abmessung Körper</t>
  </si>
  <si>
    <t>Abstand Zargenspiegel zu Wandoberfläche BS</t>
  </si>
  <si>
    <t>Abstand Zargenspiegel zu Wandoberfläche BGS</t>
  </si>
  <si>
    <t>frame2wallSurfaceBGS</t>
  </si>
  <si>
    <t>frame2wallSurfaceBS</t>
  </si>
  <si>
    <t>gs_door_transom</t>
  </si>
  <si>
    <t>Geteilter Türflügel / Oberlicht</t>
  </si>
  <si>
    <t>dk_isMirrored</t>
  </si>
  <si>
    <t>Koordinatensystem ist gespiegelt</t>
  </si>
  <si>
    <t>dka_closer_penC3</t>
  </si>
  <si>
    <t>dka_automation_penSA</t>
  </si>
  <si>
    <t>dka_automation_penC3</t>
  </si>
  <si>
    <t>dka_automation_mat</t>
  </si>
  <si>
    <t>bs_door_external_button</t>
  </si>
  <si>
    <t>Taster erforderlich</t>
  </si>
  <si>
    <t>dka_panel_bandings_mat</t>
  </si>
  <si>
    <t>dka_panel2_bandings_mat</t>
  </si>
  <si>
    <t>dka_grip_mat_BS1</t>
  </si>
  <si>
    <t>dka_grip_mat_BS2</t>
  </si>
  <si>
    <t>dka_grip_mat_BGS1</t>
  </si>
  <si>
    <t>dka_grip_mat_BGS2</t>
  </si>
  <si>
    <t>dk_frametype</t>
  </si>
  <si>
    <t>Frame type short</t>
  </si>
  <si>
    <t>RR</t>
  </si>
  <si>
    <t>ED100 G N</t>
  </si>
  <si>
    <t>ED250 G N</t>
  </si>
  <si>
    <t>ED100 GST N</t>
  </si>
  <si>
    <t>ED250 GST N</t>
  </si>
  <si>
    <t>maxDistanz</t>
  </si>
  <si>
    <t>Maximaler Abstand Montageoberflächen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</si>
  <si>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</si>
  <si>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</si>
  <si>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</si>
  <si>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</si>
  <si>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</si>
  <si>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</si>
  <si>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t>PARAMETERS:</t>
  </si>
  <si>
    <t>VALUES:</t>
  </si>
  <si>
    <t>TEXT:</t>
  </si>
  <si>
    <t>BITMAPS:</t>
  </si>
  <si>
    <t>OPTIMIZE:</t>
  </si>
  <si>
    <t>uiTXT</t>
  </si>
  <si>
    <t>Englisch</t>
  </si>
  <si>
    <t>context</t>
  </si>
  <si>
    <t>Steel</t>
  </si>
  <si>
    <t>Holz</t>
  </si>
  <si>
    <t>Wood</t>
  </si>
  <si>
    <t>Kunststoff</t>
  </si>
  <si>
    <t>Plastic</t>
  </si>
  <si>
    <t>TÜRSCHLIESSER - Anforderungen</t>
  </si>
  <si>
    <t xml:space="preserve"> ... Standflügel + Darstellung</t>
  </si>
  <si>
    <t xml:space="preserve"> ... Darstellung</t>
  </si>
  <si>
    <t>TÜRSCHLIESSER</t>
  </si>
  <si>
    <t>Gangflügel</t>
  </si>
  <si>
    <t>DOOR CLOSER - demands</t>
  </si>
  <si>
    <t>DOOR CLOSER</t>
  </si>
  <si>
    <t>active door leaf</t>
  </si>
  <si>
    <t xml:space="preserve"> ... representation</t>
  </si>
  <si>
    <t>Standflügel</t>
  </si>
  <si>
    <t>inactive door leaf</t>
  </si>
  <si>
    <t xml:space="preserve"> ... inactive door leaf + representation</t>
  </si>
  <si>
    <t>babel</t>
  </si>
  <si>
    <t>SCHLIESSER:</t>
  </si>
  <si>
    <t>CLOSER:</t>
  </si>
  <si>
    <t>SCHLIESSER GANGFLÜGEL:</t>
  </si>
  <si>
    <t>CLOSER ACTIVE DOOR LEAF:</t>
  </si>
  <si>
    <t xml:space="preserve">Türflügelgewicht: ca. </t>
  </si>
  <si>
    <t>Hersteller:</t>
  </si>
  <si>
    <t>System:</t>
  </si>
  <si>
    <t>Typ:</t>
  </si>
  <si>
    <t>Typ Gangflügel:</t>
  </si>
  <si>
    <t>Typ Standflügel:</t>
  </si>
  <si>
    <t>SYSTEM:</t>
  </si>
  <si>
    <t>SCHLIESSER STANDFLÜGEL:</t>
  </si>
  <si>
    <t>Anforderungen:</t>
  </si>
  <si>
    <t>Eigenschaften:</t>
  </si>
  <si>
    <t>Montage:</t>
  </si>
  <si>
    <t>Darstellung:</t>
  </si>
  <si>
    <t>Darstellung 2D:</t>
  </si>
  <si>
    <t>Darstellung 3D:</t>
  </si>
  <si>
    <t>Feststellung:</t>
  </si>
  <si>
    <t>Material:</t>
  </si>
  <si>
    <t>Material/Oberfläche:</t>
  </si>
  <si>
    <t>Oberfläche:</t>
  </si>
  <si>
    <t>Schließkraftstärke:</t>
  </si>
  <si>
    <t>Schließverzögerung:</t>
  </si>
  <si>
    <t>Schließverzögerung oder Freilauf:</t>
  </si>
  <si>
    <t>Mitnehmerklappe:</t>
  </si>
  <si>
    <t>Besteht eine Brandschutzanforderung und ist eine Türöffnungsautomatik gewählt, dann bedient diese beide Flügel oder es ist ein Türschließer zwingend erforderlich.</t>
  </si>
  <si>
    <t>Ist eine Türöffnungsautomatik ausgewählt,\nist ein Türschließer nicht wählbar.</t>
  </si>
  <si>
    <t>bubble</t>
  </si>
  <si>
    <t>Schließkörper Produktangabe</t>
  </si>
  <si>
    <t>Anordnung Schließer auf Flügeln</t>
  </si>
  <si>
    <t>Brandschutzeignung</t>
  </si>
  <si>
    <t>Eignung Barrierefreiheit</t>
  </si>
  <si>
    <t>Konstruktionsprinzip</t>
  </si>
  <si>
    <t>Konturstift 3D</t>
  </si>
  <si>
    <t>Konturstift Schnitt / Ansicht</t>
  </si>
  <si>
    <t>Oberflächenmaterial  für 3D und Rendering</t>
  </si>
  <si>
    <t>abgeschätztes Gewicht Gangflügel</t>
  </si>
  <si>
    <t>abgeschätztes Gewicht Standflügel</t>
  </si>
  <si>
    <t>Oberflächenmaterial</t>
  </si>
  <si>
    <t>maximale Türblattbreite</t>
  </si>
  <si>
    <t>Schließkraft (min/max)</t>
  </si>
  <si>
    <t>Rauchmelder</t>
  </si>
  <si>
    <t>Homepage Türschließer</t>
  </si>
  <si>
    <t>Manufacturer:</t>
  </si>
  <si>
    <t>Type:</t>
  </si>
  <si>
    <t>Demands:</t>
  </si>
  <si>
    <t>Properties:</t>
  </si>
  <si>
    <t>Mounting:</t>
  </si>
  <si>
    <t>Representation:</t>
  </si>
  <si>
    <t>Representation 2D:</t>
  </si>
  <si>
    <t>Representation 3D:</t>
  </si>
  <si>
    <t>Material/Surface:</t>
  </si>
  <si>
    <t>Surface:</t>
  </si>
  <si>
    <t>prepare for open source</t>
  </si>
  <si>
    <t>1.90</t>
  </si>
  <si>
    <t>D:\Daten (sync)\github\bim-all-doors\Source\Module\06 BAD closer TS_dormakaba\source.DORMAKABA_TS_closer_macro\</t>
  </si>
  <si>
    <t>bim-all-doors.DORMAKABA.closer</t>
  </si>
  <si>
    <t>...</t>
  </si>
  <si>
    <t>!!!</t>
  </si>
  <si>
    <t>D:\Daten (sync)\github\bim-all-doors\Source\Module\06 BAD closer TS_dormakaba\source.DORMAKABA_TS_closer_macro\list of multilingual text.xlsx_x000D_
D:\Daten (sync)\github\bim-all-doors\Source\Module\06 BAD closer TS_dormakaba\source.DORMAKABA_TS_closer_macro\list of multilingual tooltip.xlsx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</si>
</sst>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73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4"/>
      <name val="Arial"/>
      <family val="2"/>
    </font>
    <font>
      <strike/>
      <sz val="11"/>
      <color theme="4"/>
      <name val="Courier New"/>
      <family val="3"/>
    </font>
    <font>
      <b/>
      <strike/>
      <sz val="11"/>
      <color theme="4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theme="0" tint="-0.34998626667073579"/>
      <name val="Courier New"/>
      <family val="3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ourier New"/>
      <family val="3"/>
    </font>
    <font>
      <strike/>
      <sz val="11"/>
      <color indexed="8"/>
      <name val="Courier New"/>
      <family val="3"/>
    </font>
    <font>
      <b/>
      <strike/>
      <sz val="11"/>
      <color indexed="8"/>
      <name val="Arial"/>
      <family val="2"/>
    </font>
    <font>
      <sz val="8"/>
      <color theme="0" tint="-0.34998626667073579"/>
      <name val="Arial"/>
      <family val="2"/>
    </font>
    <font>
      <b/>
      <sz val="11"/>
      <color rgb="FFC00000"/>
      <name val="Courier New"/>
      <family val="3"/>
    </font>
    <font>
      <sz val="11"/>
      <color rgb="FFC00000"/>
      <name val="Courier New"/>
      <family val="3"/>
    </font>
    <font>
      <b/>
      <sz val="11"/>
      <name val="Courier New"/>
      <family val="3"/>
    </font>
    <font>
      <sz val="11"/>
      <color theme="4" tint="-0.499984740745262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theme="0" tint="-0.34998626667073579"/>
      <name val="Calibri"/>
      <family val="2"/>
      <scheme val="minor"/>
    </font>
    <font>
      <i/>
      <sz val="8"/>
      <color theme="0" tint="-0.34998626667073579"/>
      <name val="Arial"/>
      <family val="2"/>
    </font>
    <font>
      <b/>
      <sz val="8"/>
      <color theme="0" tint="-0.34998626667073579"/>
      <name val="Arial"/>
      <family val="2"/>
    </font>
    <font>
      <i/>
      <sz val="9"/>
      <color theme="0" tint="-0.34998626667073579"/>
      <name val="Arial"/>
      <family val="2"/>
    </font>
    <font>
      <sz val="11"/>
      <color theme="0" tint="-0.499984740745262"/>
      <name val="Calibri"/>
      <family val="2"/>
      <scheme val="minor"/>
    </font>
    <font>
      <b/>
      <i/>
      <sz val="11"/>
      <color rgb="FFC00000"/>
      <name val="Arial"/>
      <family val="2"/>
    </font>
    <font>
      <sz val="11"/>
      <name val="Courier New"/>
      <family val="3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auto="1"/>
      </right>
      <top/>
      <bottom style="double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3" xfId="0" applyFont="1" applyBorder="1" applyAlignment="1">
      <alignment horizontal="center"/>
    </xf>
    <xf numFmtId="0" fontId="23" fillId="0" borderId="8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4" fillId="0" borderId="0" xfId="0" applyFont="1"/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9" fillId="0" borderId="2" xfId="0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6" borderId="2" xfId="0" applyFont="1" applyFill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6" fillId="0" borderId="0" xfId="0" applyFont="1" applyAlignment="1"/>
    <xf numFmtId="0" fontId="29" fillId="7" borderId="0" xfId="0" applyFont="1" applyFill="1"/>
    <xf numFmtId="0" fontId="30" fillId="7" borderId="0" xfId="0" applyFont="1" applyFill="1"/>
    <xf numFmtId="0" fontId="26" fillId="0" borderId="0" xfId="0" applyFont="1" applyAlignment="1">
      <alignment horizontal="left"/>
    </xf>
    <xf numFmtId="0" fontId="29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1" fillId="0" borderId="0" xfId="0" applyFont="1" applyFill="1"/>
    <xf numFmtId="0" fontId="31" fillId="0" borderId="0" xfId="0" applyFont="1"/>
    <xf numFmtId="0" fontId="32" fillId="0" borderId="0" xfId="0" applyFont="1"/>
    <xf numFmtId="0" fontId="33" fillId="0" borderId="0" xfId="0" applyFont="1" applyAlignment="1">
      <alignment horizontal="center"/>
    </xf>
    <xf numFmtId="0" fontId="33" fillId="0" borderId="0" xfId="0" applyFont="1"/>
    <xf numFmtId="0" fontId="25" fillId="0" borderId="17" xfId="0" applyFont="1" applyBorder="1" applyAlignment="1">
      <alignment horizont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15" xfId="0" applyFont="1" applyBorder="1" applyAlignment="1">
      <alignment horizontal="right" vertical="center"/>
    </xf>
    <xf numFmtId="0" fontId="29" fillId="0" borderId="0" xfId="0" applyFont="1"/>
    <xf numFmtId="0" fontId="29" fillId="0" borderId="0" xfId="0" applyFont="1" applyAlignment="1">
      <alignment horizontal="center"/>
    </xf>
    <xf numFmtId="0" fontId="29" fillId="0" borderId="0" xfId="0" applyFont="1" applyAlignment="1">
      <alignment horizontal="left"/>
    </xf>
    <xf numFmtId="0" fontId="34" fillId="7" borderId="0" xfId="0" applyFont="1" applyFill="1"/>
    <xf numFmtId="0" fontId="0" fillId="0" borderId="0" xfId="0" applyAlignment="1">
      <alignment horizontal="center"/>
    </xf>
    <xf numFmtId="0" fontId="27" fillId="0" borderId="19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15" fillId="9" borderId="0" xfId="0" applyFont="1" applyFill="1" applyAlignment="1">
      <alignment vertical="center"/>
    </xf>
    <xf numFmtId="0" fontId="38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39" fillId="0" borderId="0" xfId="0" applyFont="1" applyFill="1" applyAlignment="1">
      <alignment horizontal="center"/>
    </xf>
    <xf numFmtId="0" fontId="40" fillId="0" borderId="0" xfId="0" applyFont="1" applyFill="1"/>
    <xf numFmtId="0" fontId="40" fillId="0" borderId="0" xfId="0" applyFont="1" applyFill="1" applyAlignment="1">
      <alignment horizontal="center"/>
    </xf>
    <xf numFmtId="0" fontId="41" fillId="0" borderId="0" xfId="0" applyFont="1" applyFill="1"/>
    <xf numFmtId="0" fontId="41" fillId="0" borderId="0" xfId="0" applyFont="1" applyAlignment="1">
      <alignment horizontal="center" vertical="center"/>
    </xf>
    <xf numFmtId="0" fontId="41" fillId="0" borderId="0" xfId="0" applyFont="1" applyFill="1" applyAlignment="1">
      <alignment horizontal="center"/>
    </xf>
    <xf numFmtId="0" fontId="39" fillId="0" borderId="0" xfId="0" applyFont="1" applyFill="1"/>
    <xf numFmtId="0" fontId="18" fillId="0" borderId="0" xfId="0" applyFont="1" applyFill="1"/>
    <xf numFmtId="0" fontId="41" fillId="0" borderId="0" xfId="0" applyFont="1" applyFill="1" applyAlignment="1"/>
    <xf numFmtId="0" fontId="39" fillId="0" borderId="0" xfId="0" applyFont="1" applyFill="1" applyAlignment="1"/>
    <xf numFmtId="0" fontId="42" fillId="0" borderId="0" xfId="0" applyFont="1" applyFill="1"/>
    <xf numFmtId="0" fontId="42" fillId="0" borderId="0" xfId="0" applyFont="1" applyFill="1" applyAlignment="1">
      <alignment horizontal="center"/>
    </xf>
    <xf numFmtId="0" fontId="39" fillId="0" borderId="0" xfId="0" applyFont="1" applyAlignment="1">
      <alignment horizontal="center" vertical="center"/>
    </xf>
    <xf numFmtId="0" fontId="43" fillId="0" borderId="0" xfId="0" applyFont="1" applyFill="1"/>
    <xf numFmtId="0" fontId="43" fillId="0" borderId="0" xfId="0" applyFont="1" applyFill="1" applyAlignment="1">
      <alignment horizontal="center"/>
    </xf>
    <xf numFmtId="0" fontId="38" fillId="8" borderId="0" xfId="0" applyFont="1" applyFill="1"/>
    <xf numFmtId="0" fontId="15" fillId="0" borderId="0" xfId="0" applyFont="1" applyFill="1" applyAlignment="1">
      <alignment horizontal="center"/>
    </xf>
    <xf numFmtId="0" fontId="37" fillId="0" borderId="0" xfId="0" applyFont="1" applyFill="1"/>
    <xf numFmtId="0" fontId="37" fillId="0" borderId="0" xfId="0" applyFont="1" applyFill="1" applyAlignment="1">
      <alignment horizontal="center"/>
    </xf>
    <xf numFmtId="0" fontId="39" fillId="0" borderId="0" xfId="0" applyFont="1" applyAlignme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38" fillId="0" borderId="0" xfId="0" applyFont="1" applyFill="1" applyAlignment="1">
      <alignment vertical="center"/>
    </xf>
    <xf numFmtId="0" fontId="46" fillId="0" borderId="0" xfId="0" applyFont="1" applyFill="1"/>
    <xf numFmtId="0" fontId="47" fillId="0" borderId="0" xfId="0" applyFont="1" applyFill="1"/>
    <xf numFmtId="0" fontId="46" fillId="0" borderId="0" xfId="0" applyFont="1" applyFill="1" applyAlignment="1">
      <alignment horizontal="center"/>
    </xf>
    <xf numFmtId="0" fontId="48" fillId="0" borderId="0" xfId="0" applyFont="1" applyFill="1"/>
    <xf numFmtId="0" fontId="48" fillId="0" borderId="0" xfId="0" applyFont="1" applyFill="1" applyAlignment="1">
      <alignment horizontal="center"/>
    </xf>
    <xf numFmtId="0" fontId="46" fillId="0" borderId="0" xfId="0" applyFont="1" applyAlignment="1">
      <alignment horizontal="center" vertical="center"/>
    </xf>
    <xf numFmtId="0" fontId="39" fillId="0" borderId="0" xfId="0" applyFont="1"/>
    <xf numFmtId="0" fontId="42" fillId="0" borderId="0" xfId="0" applyFont="1" applyAlignment="1">
      <alignment horizontal="center" vertical="center"/>
    </xf>
    <xf numFmtId="0" fontId="49" fillId="0" borderId="0" xfId="0" applyFont="1" applyAlignment="1">
      <alignment vertical="center"/>
    </xf>
    <xf numFmtId="164" fontId="49" fillId="0" borderId="0" xfId="0" applyNumberFormat="1" applyFont="1" applyAlignment="1">
      <alignment vertical="center"/>
    </xf>
    <xf numFmtId="0" fontId="49" fillId="0" borderId="0" xfId="0" applyFont="1" applyAlignment="1">
      <alignment horizontal="center" vertical="center"/>
    </xf>
    <xf numFmtId="0" fontId="51" fillId="0" borderId="0" xfId="0" applyFont="1" applyFill="1" applyAlignment="1">
      <alignment horizontal="center"/>
    </xf>
    <xf numFmtId="0" fontId="49" fillId="0" borderId="0" xfId="0" applyFont="1" applyFill="1"/>
    <xf numFmtId="0" fontId="50" fillId="0" borderId="0" xfId="0" applyFont="1" applyFill="1"/>
    <xf numFmtId="0" fontId="49" fillId="0" borderId="0" xfId="0" applyFont="1" applyFill="1" applyAlignment="1">
      <alignment horizontal="center"/>
    </xf>
    <xf numFmtId="0" fontId="44" fillId="0" borderId="0" xfId="0" applyFont="1" applyFill="1" applyAlignment="1">
      <alignment horizontal="center"/>
    </xf>
    <xf numFmtId="0" fontId="44" fillId="0" borderId="0" xfId="0" applyFont="1" applyFill="1"/>
    <xf numFmtId="0" fontId="52" fillId="0" borderId="0" xfId="0" applyFont="1" applyAlignment="1">
      <alignment horizontal="center" vertical="center"/>
    </xf>
    <xf numFmtId="0" fontId="46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164" fontId="43" fillId="0" borderId="0" xfId="0" applyNumberFormat="1" applyFont="1" applyAlignment="1">
      <alignment vertical="center"/>
    </xf>
    <xf numFmtId="0" fontId="53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1" fillId="0" borderId="0" xfId="0" applyFont="1" applyAlignment="1">
      <alignment horizontal="center" textRotation="90"/>
    </xf>
    <xf numFmtId="0" fontId="54" fillId="0" borderId="0" xfId="0" applyFont="1"/>
    <xf numFmtId="0" fontId="35" fillId="0" borderId="0" xfId="0" applyFont="1"/>
    <xf numFmtId="0" fontId="55" fillId="0" borderId="0" xfId="0" applyFont="1"/>
    <xf numFmtId="0" fontId="15" fillId="4" borderId="0" xfId="0" applyFont="1" applyFill="1" applyAlignment="1">
      <alignment horizontal="center" vertical="center" wrapText="1"/>
    </xf>
    <xf numFmtId="0" fontId="35" fillId="4" borderId="0" xfId="0" applyFont="1" applyFill="1" applyAlignment="1">
      <alignment horizontal="center" vertical="center"/>
    </xf>
    <xf numFmtId="0" fontId="35" fillId="4" borderId="0" xfId="0" applyFont="1" applyFill="1" applyAlignment="1">
      <alignment horizontal="center"/>
    </xf>
    <xf numFmtId="0" fontId="33" fillId="0" borderId="0" xfId="0" applyFont="1" applyFill="1"/>
    <xf numFmtId="0" fontId="34" fillId="0" borderId="0" xfId="0" applyFont="1" applyFill="1" applyAlignment="1">
      <alignment horizontal="center"/>
    </xf>
    <xf numFmtId="0" fontId="56" fillId="0" borderId="0" xfId="0" applyFont="1" applyFill="1"/>
    <xf numFmtId="0" fontId="4" fillId="10" borderId="0" xfId="0" applyFont="1" applyFill="1" applyAlignment="1">
      <alignment vertical="center"/>
    </xf>
    <xf numFmtId="0" fontId="27" fillId="0" borderId="0" xfId="0" applyFont="1" applyAlignment="1">
      <alignment horizontal="left" vertical="center"/>
    </xf>
    <xf numFmtId="0" fontId="52" fillId="0" borderId="0" xfId="0" applyFont="1" applyAlignment="1">
      <alignment vertical="center"/>
    </xf>
    <xf numFmtId="164" fontId="52" fillId="0" borderId="0" xfId="0" applyNumberFormat="1" applyFont="1" applyAlignment="1">
      <alignment vertical="center"/>
    </xf>
    <xf numFmtId="0" fontId="58" fillId="0" borderId="0" xfId="0" applyFont="1" applyAlignment="1">
      <alignment horizontal="center" vertical="center"/>
    </xf>
    <xf numFmtId="0" fontId="26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7" fillId="0" borderId="0" xfId="0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/>
    </xf>
    <xf numFmtId="0" fontId="26" fillId="7" borderId="0" xfId="0" applyFont="1" applyFill="1" applyAlignment="1">
      <alignment horizontal="center" vertical="center"/>
    </xf>
    <xf numFmtId="0" fontId="27" fillId="7" borderId="0" xfId="0" applyFont="1" applyFill="1" applyAlignment="1">
      <alignment vertical="center"/>
    </xf>
    <xf numFmtId="0" fontId="60" fillId="7" borderId="0" xfId="0" applyFont="1" applyFill="1" applyAlignment="1">
      <alignment vertical="center"/>
    </xf>
    <xf numFmtId="0" fontId="26" fillId="7" borderId="0" xfId="0" applyFont="1" applyFill="1" applyAlignment="1">
      <alignment vertical="center"/>
    </xf>
    <xf numFmtId="164" fontId="27" fillId="7" borderId="0" xfId="0" applyNumberFormat="1" applyFont="1" applyFill="1" applyAlignment="1">
      <alignment vertical="center"/>
    </xf>
    <xf numFmtId="0" fontId="8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61" fillId="7" borderId="0" xfId="0" applyFont="1" applyFill="1" applyAlignment="1">
      <alignment vertical="center"/>
    </xf>
    <xf numFmtId="0" fontId="57" fillId="8" borderId="0" xfId="0" applyFont="1" applyFill="1" applyAlignment="1">
      <alignment vertical="center"/>
    </xf>
    <xf numFmtId="0" fontId="28" fillId="0" borderId="0" xfId="0" applyFont="1" applyFill="1" applyAlignment="1">
      <alignment horizontal="center"/>
    </xf>
    <xf numFmtId="0" fontId="62" fillId="0" borderId="0" xfId="0" applyFont="1" applyFill="1"/>
    <xf numFmtId="0" fontId="36" fillId="0" borderId="0" xfId="0" applyFont="1" applyFill="1" applyAlignment="1">
      <alignment vertical="center"/>
    </xf>
    <xf numFmtId="0" fontId="38" fillId="0" borderId="0" xfId="0" applyFont="1" applyFill="1"/>
    <xf numFmtId="0" fontId="50" fillId="0" borderId="0" xfId="0" applyFont="1" applyFill="1" applyAlignment="1">
      <alignment vertical="center"/>
    </xf>
    <xf numFmtId="0" fontId="62" fillId="8" borderId="0" xfId="0" applyFont="1" applyFill="1"/>
    <xf numFmtId="0" fontId="0" fillId="0" borderId="8" xfId="0" applyBorder="1" applyAlignment="1">
      <alignment horizontal="center"/>
    </xf>
    <xf numFmtId="0" fontId="0" fillId="0" borderId="0" xfId="0" applyBorder="1"/>
    <xf numFmtId="0" fontId="0" fillId="0" borderId="0" xfId="0" applyAlignment="1">
      <alignment horizontal="center" vertical="center" textRotation="90" wrapText="1"/>
    </xf>
    <xf numFmtId="0" fontId="0" fillId="0" borderId="0" xfId="0" applyBorder="1" applyAlignment="1">
      <alignment vertical="center" textRotation="90" wrapText="1"/>
    </xf>
    <xf numFmtId="0" fontId="0" fillId="0" borderId="0" xfId="0" applyBorder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/>
    </xf>
    <xf numFmtId="0" fontId="0" fillId="0" borderId="0" xfId="0" applyAlignment="1">
      <alignment horizontal="left" vertical="center" wrapText="1"/>
    </xf>
    <xf numFmtId="0" fontId="23" fillId="0" borderId="7" xfId="0" applyFont="1" applyBorder="1" applyAlignment="1">
      <alignment horizontal="center" vertical="center"/>
    </xf>
    <xf numFmtId="0" fontId="67" fillId="0" borderId="7" xfId="0" applyFont="1" applyBorder="1" applyAlignment="1">
      <alignment horizontal="center" vertical="center"/>
    </xf>
    <xf numFmtId="0" fontId="68" fillId="0" borderId="17" xfId="0" applyFont="1" applyBorder="1" applyAlignment="1">
      <alignment horizontal="center"/>
    </xf>
    <xf numFmtId="0" fontId="43" fillId="0" borderId="9" xfId="0" applyFont="1" applyBorder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2" xfId="0" applyFont="1" applyBorder="1" applyAlignment="1">
      <alignment horizontal="center"/>
    </xf>
    <xf numFmtId="0" fontId="43" fillId="0" borderId="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0" fillId="0" borderId="0" xfId="0" applyBorder="1" applyAlignment="1">
      <alignment vertical="center" textRotation="90"/>
    </xf>
    <xf numFmtId="0" fontId="14" fillId="0" borderId="9" xfId="0" applyFont="1" applyBorder="1" applyAlignment="1">
      <alignment horizontal="center"/>
    </xf>
    <xf numFmtId="0" fontId="14" fillId="0" borderId="22" xfId="0" applyFont="1" applyBorder="1" applyAlignment="1">
      <alignment horizontal="center"/>
    </xf>
    <xf numFmtId="0" fontId="24" fillId="0" borderId="0" xfId="0" applyFont="1" applyBorder="1"/>
    <xf numFmtId="0" fontId="22" fillId="0" borderId="21" xfId="0" applyFont="1" applyBorder="1"/>
    <xf numFmtId="0" fontId="69" fillId="0" borderId="3" xfId="0" applyFont="1" applyBorder="1"/>
    <xf numFmtId="0" fontId="69" fillId="0" borderId="3" xfId="0" applyFont="1" applyBorder="1" applyAlignment="1">
      <alignment horizontal="center"/>
    </xf>
    <xf numFmtId="0" fontId="69" fillId="0" borderId="0" xfId="0" applyFont="1" applyBorder="1" applyAlignment="1">
      <alignment horizontal="center"/>
    </xf>
    <xf numFmtId="0" fontId="69" fillId="0" borderId="8" xfId="0" applyFont="1" applyBorder="1"/>
    <xf numFmtId="0" fontId="2" fillId="0" borderId="0" xfId="0" applyNumberFormat="1" applyFont="1" applyAlignment="1">
      <alignment horizontal="left" vertical="center"/>
    </xf>
    <xf numFmtId="0" fontId="21" fillId="0" borderId="23" xfId="0" applyFont="1" applyBorder="1" applyAlignment="1">
      <alignment horizontal="center"/>
    </xf>
    <xf numFmtId="0" fontId="21" fillId="0" borderId="24" xfId="0" applyFont="1" applyBorder="1" applyAlignment="1">
      <alignment horizontal="center"/>
    </xf>
    <xf numFmtId="0" fontId="43" fillId="0" borderId="24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3" fillId="0" borderId="2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49" fontId="0" fillId="0" borderId="0" xfId="0" applyNumberFormat="1"/>
    <xf numFmtId="0" fontId="70" fillId="0" borderId="0" xfId="0" applyFont="1" applyAlignment="1">
      <alignment horizontal="center" textRotation="90"/>
    </xf>
    <xf numFmtId="0" fontId="0" fillId="0" borderId="0" xfId="0" applyAlignment="1">
      <alignment horizontal="center" textRotation="90"/>
    </xf>
    <xf numFmtId="0" fontId="0" fillId="0" borderId="0" xfId="0" applyAlignment="1">
      <alignment textRotation="90"/>
    </xf>
    <xf numFmtId="0" fontId="0" fillId="0" borderId="28" xfId="0" applyBorder="1"/>
    <xf numFmtId="0" fontId="0" fillId="0" borderId="28" xfId="0" applyBorder="1" applyAlignment="1">
      <alignment horizontal="center"/>
    </xf>
    <xf numFmtId="0" fontId="0" fillId="0" borderId="28" xfId="0" applyBorder="1" applyAlignment="1">
      <alignment horizontal="left"/>
    </xf>
    <xf numFmtId="49" fontId="0" fillId="0" borderId="28" xfId="0" applyNumberFormat="1" applyBorder="1"/>
    <xf numFmtId="0" fontId="71" fillId="0" borderId="20" xfId="0" applyFont="1" applyBorder="1" applyAlignment="1">
      <alignment horizontal="center" textRotation="90"/>
    </xf>
    <xf numFmtId="0" fontId="71" fillId="0" borderId="14" xfId="0" applyFont="1" applyBorder="1" applyAlignment="1">
      <alignment horizontal="center" textRotation="90"/>
    </xf>
    <xf numFmtId="0" fontId="71" fillId="0" borderId="18" xfId="0" applyFont="1" applyBorder="1" applyAlignment="1">
      <alignment horizontal="center" textRotation="90"/>
    </xf>
    <xf numFmtId="0" fontId="21" fillId="0" borderId="29" xfId="0" applyFont="1" applyBorder="1" applyAlignment="1">
      <alignment horizontal="center"/>
    </xf>
    <xf numFmtId="0" fontId="21" fillId="0" borderId="30" xfId="0" applyFont="1" applyBorder="1" applyAlignment="1">
      <alignment horizontal="center"/>
    </xf>
    <xf numFmtId="0" fontId="63" fillId="6" borderId="0" xfId="0" applyFont="1" applyFill="1" applyBorder="1" applyAlignment="1">
      <alignment horizontal="center"/>
    </xf>
    <xf numFmtId="0" fontId="0" fillId="6" borderId="0" xfId="0" applyFill="1"/>
    <xf numFmtId="0" fontId="66" fillId="0" borderId="0" xfId="0" applyFont="1" applyAlignment="1">
      <alignment horizontal="center" textRotation="90"/>
    </xf>
    <xf numFmtId="0" fontId="66" fillId="0" borderId="0" xfId="0" applyFont="1" applyAlignment="1">
      <alignment horizontal="center"/>
    </xf>
    <xf numFmtId="0" fontId="0" fillId="12" borderId="31" xfId="0" applyFill="1" applyBorder="1" applyAlignment="1">
      <alignment horizontal="center" textRotation="90"/>
    </xf>
    <xf numFmtId="0" fontId="0" fillId="12" borderId="32" xfId="0" applyFill="1" applyBorder="1" applyAlignment="1">
      <alignment horizontal="center" textRotation="90"/>
    </xf>
    <xf numFmtId="0" fontId="0" fillId="12" borderId="33" xfId="0" applyFill="1" applyBorder="1" applyAlignment="1">
      <alignment horizontal="center" textRotation="90"/>
    </xf>
    <xf numFmtId="0" fontId="0" fillId="12" borderId="32" xfId="0" applyFill="1" applyBorder="1" applyAlignment="1">
      <alignment textRotation="90"/>
    </xf>
    <xf numFmtId="0" fontId="0" fillId="12" borderId="40" xfId="0" applyFill="1" applyBorder="1" applyAlignment="1">
      <alignment horizontal="center" textRotation="90"/>
    </xf>
    <xf numFmtId="0" fontId="0" fillId="12" borderId="35" xfId="0" applyFill="1" applyBorder="1" applyAlignment="1">
      <alignment horizontal="center" textRotation="90"/>
    </xf>
    <xf numFmtId="0" fontId="0" fillId="12" borderId="41" xfId="0" applyFill="1" applyBorder="1" applyAlignment="1">
      <alignment horizontal="center" textRotation="90"/>
    </xf>
    <xf numFmtId="0" fontId="0" fillId="12" borderId="37" xfId="0" applyFill="1" applyBorder="1" applyAlignment="1">
      <alignment horizontal="center" textRotation="90"/>
    </xf>
    <xf numFmtId="0" fontId="0" fillId="12" borderId="31" xfId="0" applyFill="1" applyBorder="1" applyAlignment="1">
      <alignment horizontal="left" textRotation="90"/>
    </xf>
    <xf numFmtId="0" fontId="0" fillId="12" borderId="33" xfId="0" applyFill="1" applyBorder="1" applyAlignment="1">
      <alignment textRotation="90"/>
    </xf>
    <xf numFmtId="0" fontId="14" fillId="6" borderId="0" xfId="0" applyFont="1" applyFill="1" applyAlignment="1">
      <alignment horizontal="center"/>
    </xf>
    <xf numFmtId="0" fontId="18" fillId="0" borderId="9" xfId="0" applyFont="1" applyBorder="1" applyAlignment="1">
      <alignment horizontal="center"/>
    </xf>
    <xf numFmtId="0" fontId="71" fillId="0" borderId="1" xfId="0" applyFont="1" applyBorder="1" applyAlignment="1">
      <alignment horizontal="center" textRotation="90"/>
    </xf>
    <xf numFmtId="0" fontId="23" fillId="0" borderId="0" xfId="0" applyFont="1" applyBorder="1" applyAlignment="1">
      <alignment horizontal="center" vertical="center"/>
    </xf>
    <xf numFmtId="0" fontId="25" fillId="0" borderId="42" xfId="0" applyFont="1" applyBorder="1" applyAlignment="1">
      <alignment horizontal="center"/>
    </xf>
    <xf numFmtId="0" fontId="21" fillId="0" borderId="43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0" fillId="0" borderId="0" xfId="0" applyAlignment="1">
      <alignment horizontal="right"/>
    </xf>
    <xf numFmtId="0" fontId="0" fillId="13" borderId="0" xfId="0" applyFill="1" applyBorder="1" applyAlignment="1">
      <alignment horizontal="left"/>
    </xf>
    <xf numFmtId="0" fontId="0" fillId="13" borderId="0" xfId="0" applyFill="1" applyAlignment="1">
      <alignment horizontal="left"/>
    </xf>
    <xf numFmtId="0" fontId="0" fillId="11" borderId="7" xfId="0" applyFill="1" applyBorder="1" applyAlignment="1">
      <alignment horizontal="left"/>
    </xf>
    <xf numFmtId="0" fontId="0" fillId="11" borderId="0" xfId="0" applyFill="1" applyAlignment="1">
      <alignment horizontal="left"/>
    </xf>
    <xf numFmtId="0" fontId="0" fillId="14" borderId="7" xfId="0" applyFill="1" applyBorder="1" applyAlignment="1">
      <alignment horizontal="left"/>
    </xf>
    <xf numFmtId="0" fontId="0" fillId="14" borderId="0" xfId="0" applyFill="1" applyAlignment="1">
      <alignment horizontal="left"/>
    </xf>
    <xf numFmtId="0" fontId="0" fillId="15" borderId="7" xfId="0" applyFill="1" applyBorder="1" applyAlignment="1">
      <alignment horizontal="left"/>
    </xf>
    <xf numFmtId="0" fontId="0" fillId="15" borderId="0" xfId="0" applyFill="1" applyAlignment="1">
      <alignment horizontal="left"/>
    </xf>
    <xf numFmtId="0" fontId="0" fillId="16" borderId="7" xfId="0" applyFill="1" applyBorder="1" applyAlignment="1">
      <alignment horizontal="left"/>
    </xf>
    <xf numFmtId="0" fontId="0" fillId="16" borderId="0" xfId="0" applyFill="1" applyAlignment="1">
      <alignment horizontal="left"/>
    </xf>
    <xf numFmtId="0" fontId="0" fillId="0" borderId="0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0" xfId="0" applyAlignment="1">
      <alignment horizontal="left" textRotation="90"/>
    </xf>
    <xf numFmtId="0" fontId="0" fillId="0" borderId="0" xfId="0" applyFill="1" applyAlignment="1">
      <alignment horizontal="left" textRotation="90"/>
    </xf>
    <xf numFmtId="0" fontId="0" fillId="0" borderId="8" xfId="0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8" xfId="0" applyBorder="1" applyAlignment="1">
      <alignment horizontal="left" textRotation="90"/>
    </xf>
    <xf numFmtId="0" fontId="0" fillId="0" borderId="8" xfId="0" applyBorder="1"/>
    <xf numFmtId="0" fontId="0" fillId="0" borderId="44" xfId="0" applyBorder="1" applyAlignment="1">
      <alignment horizontal="center" textRotation="90"/>
    </xf>
    <xf numFmtId="49" fontId="0" fillId="0" borderId="8" xfId="0" applyNumberFormat="1" applyBorder="1"/>
    <xf numFmtId="49" fontId="0" fillId="0" borderId="8" xfId="0" applyNumberFormat="1" applyBorder="1" applyAlignment="1">
      <alignment horizontal="center" textRotation="90"/>
    </xf>
    <xf numFmtId="0" fontId="0" fillId="0" borderId="44" xfId="0" applyBorder="1" applyAlignment="1">
      <alignment horizontal="center"/>
    </xf>
    <xf numFmtId="0" fontId="0" fillId="0" borderId="8" xfId="0" applyBorder="1" applyAlignment="1">
      <alignment horizontal="center" textRotation="90"/>
    </xf>
    <xf numFmtId="0" fontId="0" fillId="0" borderId="0" xfId="0" applyAlignment="1"/>
    <xf numFmtId="0" fontId="0" fillId="0" borderId="44" xfId="0" applyBorder="1" applyAlignment="1"/>
    <xf numFmtId="0" fontId="0" fillId="0" borderId="44" xfId="0" applyBorder="1"/>
    <xf numFmtId="0" fontId="0" fillId="0" borderId="0" xfId="0" applyFill="1" applyAlignment="1">
      <alignment horizontal="center" textRotation="90"/>
    </xf>
    <xf numFmtId="0" fontId="70" fillId="0" borderId="0" xfId="0" applyFont="1" applyAlignment="1">
      <alignment horizontal="left" textRotation="90"/>
    </xf>
    <xf numFmtId="49" fontId="0" fillId="0" borderId="0" xfId="0" applyNumberFormat="1" applyAlignment="1">
      <alignment horizontal="left" textRotation="90"/>
    </xf>
    <xf numFmtId="0" fontId="0" fillId="0" borderId="0" xfId="0" applyAlignment="1">
      <alignment horizontal="right" textRotation="90"/>
    </xf>
    <xf numFmtId="0" fontId="0" fillId="0" borderId="0" xfId="0" applyBorder="1" applyAlignment="1">
      <alignment horizontal="right" textRotation="90"/>
    </xf>
    <xf numFmtId="0" fontId="0" fillId="0" borderId="7" xfId="0" applyBorder="1" applyAlignment="1">
      <alignment horizontal="right" textRotation="90"/>
    </xf>
    <xf numFmtId="0" fontId="70" fillId="0" borderId="0" xfId="0" applyFont="1" applyAlignment="1">
      <alignment horizontal="center"/>
    </xf>
    <xf numFmtId="0" fontId="35" fillId="0" borderId="0" xfId="0" applyFont="1" applyFill="1" applyAlignment="1">
      <alignment horizontal="right"/>
    </xf>
    <xf numFmtId="0" fontId="0" fillId="0" borderId="29" xfId="0" applyBorder="1"/>
    <xf numFmtId="0" fontId="70" fillId="0" borderId="28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55" fillId="0" borderId="0" xfId="0" applyFont="1" applyAlignment="1">
      <alignment horizontal="left"/>
    </xf>
    <xf numFmtId="0" fontId="63" fillId="0" borderId="0" xfId="0" applyFont="1"/>
    <xf numFmtId="0" fontId="63" fillId="0" borderId="0" xfId="0" applyFont="1" applyAlignment="1">
      <alignment horizontal="right"/>
    </xf>
    <xf numFmtId="0" fontId="63" fillId="0" borderId="0" xfId="0" applyFont="1" applyFill="1" applyAlignment="1">
      <alignment horizontal="right"/>
    </xf>
    <xf numFmtId="0" fontId="63" fillId="0" borderId="0" xfId="0" applyFont="1" applyFill="1" applyBorder="1" applyAlignment="1">
      <alignment horizontal="right"/>
    </xf>
    <xf numFmtId="0" fontId="63" fillId="0" borderId="8" xfId="0" applyFont="1" applyBorder="1" applyAlignment="1">
      <alignment horizontal="right"/>
    </xf>
    <xf numFmtId="0" fontId="63" fillId="0" borderId="0" xfId="0" applyFont="1" applyBorder="1" applyAlignment="1">
      <alignment horizontal="right"/>
    </xf>
    <xf numFmtId="0" fontId="63" fillId="0" borderId="7" xfId="0" applyFont="1" applyFill="1" applyBorder="1" applyAlignment="1">
      <alignment horizontal="right"/>
    </xf>
    <xf numFmtId="0" fontId="63" fillId="0" borderId="0" xfId="0" applyFont="1" applyBorder="1"/>
    <xf numFmtId="0" fontId="0" fillId="0" borderId="0" xfId="0" applyFont="1" applyBorder="1"/>
    <xf numFmtId="0" fontId="63" fillId="4" borderId="7" xfId="0" applyFont="1" applyFill="1" applyBorder="1" applyAlignment="1">
      <alignment horizontal="right"/>
    </xf>
    <xf numFmtId="0" fontId="63" fillId="4" borderId="0" xfId="0" applyFont="1" applyFill="1" applyAlignment="1">
      <alignment horizontal="right"/>
    </xf>
    <xf numFmtId="0" fontId="63" fillId="4" borderId="0" xfId="0" applyFont="1" applyFill="1" applyBorder="1" applyAlignment="1">
      <alignment horizontal="right"/>
    </xf>
    <xf numFmtId="0" fontId="63" fillId="4" borderId="8" xfId="0" applyFont="1" applyFill="1" applyBorder="1" applyAlignment="1">
      <alignment horizontal="right"/>
    </xf>
    <xf numFmtId="0" fontId="0" fillId="17" borderId="7" xfId="0" applyFont="1" applyFill="1" applyBorder="1" applyAlignment="1">
      <alignment horizontal="right"/>
    </xf>
    <xf numFmtId="0" fontId="0" fillId="17" borderId="0" xfId="0" applyFont="1" applyFill="1" applyAlignment="1">
      <alignment horizontal="right"/>
    </xf>
    <xf numFmtId="0" fontId="63" fillId="0" borderId="7" xfId="0" applyFont="1" applyBorder="1" applyAlignment="1">
      <alignment horizontal="right"/>
    </xf>
    <xf numFmtId="0" fontId="63" fillId="0" borderId="29" xfId="0" applyFont="1" applyBorder="1"/>
    <xf numFmtId="0" fontId="0" fillId="0" borderId="29" xfId="0" applyBorder="1" applyAlignment="1">
      <alignment horizontal="center"/>
    </xf>
    <xf numFmtId="0" fontId="70" fillId="0" borderId="29" xfId="0" applyFont="1" applyBorder="1" applyAlignment="1">
      <alignment horizontal="center"/>
    </xf>
    <xf numFmtId="0" fontId="0" fillId="0" borderId="29" xfId="0" applyBorder="1" applyAlignment="1">
      <alignment horizontal="left"/>
    </xf>
    <xf numFmtId="49" fontId="0" fillId="0" borderId="29" xfId="0" applyNumberFormat="1" applyBorder="1"/>
    <xf numFmtId="0" fontId="63" fillId="0" borderId="29" xfId="0" applyFont="1" applyBorder="1" applyAlignment="1">
      <alignment horizontal="right"/>
    </xf>
    <xf numFmtId="0" fontId="63" fillId="0" borderId="29" xfId="0" applyFont="1" applyFill="1" applyBorder="1" applyAlignment="1">
      <alignment horizontal="right"/>
    </xf>
    <xf numFmtId="0" fontId="63" fillId="4" borderId="9" xfId="0" applyFont="1" applyFill="1" applyBorder="1" applyAlignment="1">
      <alignment horizontal="right"/>
    </xf>
    <xf numFmtId="0" fontId="63" fillId="4" borderId="29" xfId="0" applyFont="1" applyFill="1" applyBorder="1" applyAlignment="1">
      <alignment horizontal="right"/>
    </xf>
    <xf numFmtId="0" fontId="0" fillId="0" borderId="29" xfId="0" applyFont="1" applyBorder="1"/>
    <xf numFmtId="0" fontId="70" fillId="0" borderId="0" xfId="0" applyFont="1" applyBorder="1" applyAlignment="1">
      <alignment horizontal="center"/>
    </xf>
    <xf numFmtId="49" fontId="0" fillId="0" borderId="0" xfId="0" applyNumberFormat="1" applyBorder="1"/>
    <xf numFmtId="0" fontId="63" fillId="0" borderId="9" xfId="0" applyFont="1" applyFill="1" applyBorder="1" applyAlignment="1">
      <alignment horizontal="right"/>
    </xf>
    <xf numFmtId="0" fontId="35" fillId="0" borderId="0" xfId="0" applyFont="1" applyFill="1" applyBorder="1" applyAlignment="1">
      <alignment horizontal="right"/>
    </xf>
    <xf numFmtId="0" fontId="35" fillId="4" borderId="0" xfId="0" applyFont="1" applyFill="1" applyAlignment="1">
      <alignment horizontal="right"/>
    </xf>
    <xf numFmtId="0" fontId="35" fillId="0" borderId="29" xfId="0" applyFont="1" applyFill="1" applyBorder="1" applyAlignment="1">
      <alignment horizontal="right"/>
    </xf>
    <xf numFmtId="0" fontId="0" fillId="17" borderId="29" xfId="0" applyFont="1" applyFill="1" applyBorder="1" applyAlignment="1">
      <alignment horizontal="right"/>
    </xf>
    <xf numFmtId="0" fontId="63" fillId="0" borderId="28" xfId="0" applyFont="1" applyBorder="1"/>
    <xf numFmtId="0" fontId="63" fillId="0" borderId="45" xfId="0" applyFont="1" applyBorder="1"/>
    <xf numFmtId="0" fontId="0" fillId="0" borderId="45" xfId="0" applyBorder="1"/>
    <xf numFmtId="0" fontId="0" fillId="0" borderId="45" xfId="0" applyBorder="1" applyAlignment="1">
      <alignment horizontal="center"/>
    </xf>
    <xf numFmtId="0" fontId="70" fillId="0" borderId="45" xfId="0" applyFont="1" applyBorder="1" applyAlignment="1">
      <alignment horizontal="center"/>
    </xf>
    <xf numFmtId="0" fontId="0" fillId="0" borderId="45" xfId="0" applyBorder="1" applyAlignment="1">
      <alignment horizontal="left"/>
    </xf>
    <xf numFmtId="49" fontId="0" fillId="0" borderId="45" xfId="0" applyNumberFormat="1" applyBorder="1"/>
    <xf numFmtId="0" fontId="63" fillId="0" borderId="45" xfId="0" applyFont="1" applyBorder="1" applyAlignment="1">
      <alignment horizontal="right"/>
    </xf>
    <xf numFmtId="0" fontId="0" fillId="17" borderId="45" xfId="0" applyFont="1" applyFill="1" applyBorder="1" applyAlignment="1">
      <alignment horizontal="right"/>
    </xf>
    <xf numFmtId="0" fontId="63" fillId="0" borderId="45" xfId="0" applyFont="1" applyFill="1" applyBorder="1" applyAlignment="1">
      <alignment horizontal="right"/>
    </xf>
    <xf numFmtId="0" fontId="63" fillId="4" borderId="45" xfId="0" applyFont="1" applyFill="1" applyBorder="1" applyAlignment="1">
      <alignment horizontal="right"/>
    </xf>
    <xf numFmtId="0" fontId="63" fillId="4" borderId="46" xfId="0" applyFont="1" applyFill="1" applyBorder="1" applyAlignment="1">
      <alignment horizontal="right"/>
    </xf>
    <xf numFmtId="0" fontId="63" fillId="0" borderId="46" xfId="0" applyFont="1" applyFill="1" applyBorder="1" applyAlignment="1">
      <alignment horizontal="right"/>
    </xf>
    <xf numFmtId="0" fontId="0" fillId="0" borderId="45" xfId="0" applyFont="1" applyBorder="1"/>
    <xf numFmtId="0" fontId="63" fillId="0" borderId="0" xfId="0" applyFont="1" applyFill="1" applyBorder="1"/>
    <xf numFmtId="0" fontId="0" fillId="0" borderId="0" xfId="0" applyFont="1" applyFill="1" applyBorder="1"/>
    <xf numFmtId="0" fontId="63" fillId="0" borderId="29" xfId="0" applyFont="1" applyFill="1" applyBorder="1"/>
    <xf numFmtId="0" fontId="0" fillId="0" borderId="29" xfId="0" applyFont="1" applyFill="1" applyBorder="1"/>
    <xf numFmtId="0" fontId="63" fillId="0" borderId="0" xfId="0" applyFont="1" applyFill="1" applyBorder="1" applyAlignment="1">
      <alignment horizontal="center"/>
    </xf>
    <xf numFmtId="0" fontId="63" fillId="0" borderId="8" xfId="0" applyFont="1" applyFill="1" applyBorder="1" applyAlignment="1">
      <alignment horizontal="center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left" textRotation="90"/>
    </xf>
    <xf numFmtId="0" fontId="0" fillId="6" borderId="0" xfId="0" applyFill="1" applyAlignment="1">
      <alignment horizontal="right" textRotation="90"/>
    </xf>
    <xf numFmtId="0" fontId="63" fillId="6" borderId="0" xfId="0" applyFont="1" applyFill="1" applyBorder="1" applyAlignment="1">
      <alignment horizontal="right"/>
    </xf>
    <xf numFmtId="0" fontId="63" fillId="6" borderId="0" xfId="0" applyFont="1" applyFill="1" applyAlignment="1">
      <alignment horizontal="right"/>
    </xf>
    <xf numFmtId="0" fontId="63" fillId="6" borderId="29" xfId="0" applyFont="1" applyFill="1" applyBorder="1" applyAlignment="1">
      <alignment horizontal="right"/>
    </xf>
    <xf numFmtId="0" fontId="63" fillId="6" borderId="45" xfId="0" applyFont="1" applyFill="1" applyBorder="1" applyAlignment="1">
      <alignment horizontal="right"/>
    </xf>
    <xf numFmtId="0" fontId="0" fillId="6" borderId="0" xfId="0" applyFill="1" applyBorder="1" applyAlignment="1">
      <alignment horizontal="left"/>
    </xf>
    <xf numFmtId="0" fontId="0" fillId="6" borderId="0" xfId="0" applyFill="1" applyBorder="1" applyAlignment="1">
      <alignment horizontal="left" textRotation="90"/>
    </xf>
    <xf numFmtId="0" fontId="0" fillId="6" borderId="0" xfId="0" applyFill="1" applyBorder="1" applyAlignment="1">
      <alignment horizontal="right" textRotation="90"/>
    </xf>
    <xf numFmtId="0" fontId="0" fillId="0" borderId="8" xfId="0" applyBorder="1" applyAlignment="1">
      <alignment horizontal="right" textRotation="90"/>
    </xf>
    <xf numFmtId="0" fontId="63" fillId="4" borderId="12" xfId="0" applyFont="1" applyFill="1" applyBorder="1" applyAlignment="1">
      <alignment horizontal="right"/>
    </xf>
    <xf numFmtId="0" fontId="63" fillId="4" borderId="47" xfId="0" applyFont="1" applyFill="1" applyBorder="1" applyAlignment="1">
      <alignment horizontal="right"/>
    </xf>
    <xf numFmtId="0" fontId="0" fillId="12" borderId="0" xfId="0" applyFill="1" applyBorder="1" applyAlignment="1">
      <alignment horizontal="left" textRotation="90"/>
    </xf>
    <xf numFmtId="0" fontId="0" fillId="12" borderId="7" xfId="0" applyFill="1" applyBorder="1" applyAlignment="1">
      <alignment horizontal="left" textRotation="90"/>
    </xf>
    <xf numFmtId="0" fontId="0" fillId="12" borderId="0" xfId="0" applyFill="1" applyAlignment="1">
      <alignment horizontal="left" textRotation="90"/>
    </xf>
    <xf numFmtId="0" fontId="0" fillId="12" borderId="8" xfId="0" applyFill="1" applyBorder="1" applyAlignment="1">
      <alignment horizontal="left" textRotation="90"/>
    </xf>
    <xf numFmtId="0" fontId="0" fillId="12" borderId="0" xfId="0" applyFill="1" applyAlignment="1">
      <alignment horizontal="left" textRotation="90" wrapText="1"/>
    </xf>
    <xf numFmtId="0" fontId="0" fillId="12" borderId="8" xfId="0" applyFill="1" applyBorder="1" applyAlignment="1">
      <alignment horizontal="left" textRotation="90" wrapText="1"/>
    </xf>
    <xf numFmtId="0" fontId="15" fillId="8" borderId="0" xfId="0" applyFont="1" applyFill="1" applyAlignment="1">
      <alignment vertical="center"/>
    </xf>
    <xf numFmtId="0" fontId="0" fillId="7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18" fillId="0" borderId="0" xfId="0" applyFont="1" applyAlignment="1">
      <alignment horizontal="left" vertical="center"/>
    </xf>
    <xf numFmtId="0" fontId="72" fillId="0" borderId="0" xfId="0" applyFont="1" applyFill="1" applyAlignment="1">
      <alignment vertical="center"/>
    </xf>
    <xf numFmtId="164" fontId="18" fillId="0" borderId="0" xfId="0" applyNumberFormat="1" applyFont="1" applyAlignment="1">
      <alignment vertical="center"/>
    </xf>
    <xf numFmtId="0" fontId="2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26" fillId="0" borderId="0" xfId="0" applyFont="1" applyAlignment="1">
      <alignment horizontal="right" vertical="top" wrapText="1"/>
    </xf>
    <xf numFmtId="0" fontId="26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0" fontId="55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4" fillId="0" borderId="0" xfId="0" applyFont="1" applyBorder="1" applyAlignment="1">
      <alignment horizontal="center" vertical="center" textRotation="90"/>
    </xf>
    <xf numFmtId="0" fontId="14" fillId="0" borderId="8" xfId="0" applyFont="1" applyBorder="1" applyAlignment="1">
      <alignment horizontal="center" vertical="center" textRotation="90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/>
    </xf>
    <xf numFmtId="0" fontId="0" fillId="12" borderId="34" xfId="0" applyFill="1" applyBorder="1" applyAlignment="1">
      <alignment horizontal="center" textRotation="90"/>
    </xf>
    <xf numFmtId="0" fontId="0" fillId="12" borderId="36" xfId="0" applyFill="1" applyBorder="1" applyAlignment="1">
      <alignment horizontal="center" textRotation="90"/>
    </xf>
    <xf numFmtId="0" fontId="0" fillId="12" borderId="35" xfId="0" applyFill="1" applyBorder="1" applyAlignment="1">
      <alignment horizontal="center" textRotation="90"/>
    </xf>
    <xf numFmtId="0" fontId="0" fillId="12" borderId="37" xfId="0" applyFill="1" applyBorder="1" applyAlignment="1">
      <alignment horizontal="center" textRotation="90"/>
    </xf>
    <xf numFmtId="0" fontId="0" fillId="8" borderId="0" xfId="0" applyFill="1" applyAlignment="1">
      <alignment horizontal="center" textRotation="90"/>
    </xf>
    <xf numFmtId="0" fontId="0" fillId="12" borderId="40" xfId="0" applyFill="1" applyBorder="1" applyAlignment="1">
      <alignment horizontal="center" textRotation="90"/>
    </xf>
    <xf numFmtId="0" fontId="0" fillId="12" borderId="41" xfId="0" applyFill="1" applyBorder="1" applyAlignment="1">
      <alignment horizontal="center" textRotation="90"/>
    </xf>
    <xf numFmtId="0" fontId="0" fillId="12" borderId="38" xfId="0" applyFill="1" applyBorder="1" applyAlignment="1">
      <alignment horizontal="center" textRotation="90"/>
    </xf>
    <xf numFmtId="0" fontId="0" fillId="12" borderId="39" xfId="0" applyFill="1" applyBorder="1" applyAlignment="1">
      <alignment horizontal="center" textRotation="90"/>
    </xf>
  </cellXfs>
  <cellStyles count="1">
    <cellStyle name="Standard" xfId="0" builtinId="0"/>
  </cellStyles>
  <dxfs count="8"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13</xdr:row>
          <xdr:rowOff>0</xdr:rowOff>
        </xdr:from>
        <xdr:to>
          <xdr:col>4</xdr:col>
          <xdr:colOff>7620</xdr:colOff>
          <xdr:row>14</xdr:row>
          <xdr:rowOff>0</xdr:rowOff>
        </xdr:to>
        <xdr:sp macro="" textlink="">
          <xdr:nvSpPr>
            <xdr:cNvPr id="11284" name="ExportParameterListButton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85" name="ExportArchicadPropertiesButton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1286" name="CheckButton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17</xdr:row>
          <xdr:rowOff>0</xdr:rowOff>
        </xdr:from>
        <xdr:to>
          <xdr:col>4</xdr:col>
          <xdr:colOff>7620</xdr:colOff>
          <xdr:row>18</xdr:row>
          <xdr:rowOff>0</xdr:rowOff>
        </xdr:to>
        <xdr:sp macro="" textlink="">
          <xdr:nvSpPr>
            <xdr:cNvPr id="11287" name="ExportValuesCommandsButton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88" name="ExportValueListsForUserInterface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7620</xdr:colOff>
          <xdr:row>20</xdr:row>
          <xdr:rowOff>0</xdr:rowOff>
        </xdr:to>
        <xdr:sp macro="" textlink="">
          <xdr:nvSpPr>
            <xdr:cNvPr id="11289" name="ExportArrayIndicesButton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21</xdr:row>
          <xdr:rowOff>7620</xdr:rowOff>
        </xdr:from>
        <xdr:to>
          <xdr:col>4</xdr:col>
          <xdr:colOff>7620</xdr:colOff>
          <xdr:row>22</xdr:row>
          <xdr:rowOff>0</xdr:rowOff>
        </xdr:to>
        <xdr:sp macro="" textlink="">
          <xdr:nvSpPr>
            <xdr:cNvPr id="11290" name="ExportMultilingualTextButton" hidden="1">
              <a:extLst>
                <a:ext uri="{63B3BB69-23CF-44E3-9099-C40C66FF867C}">
                  <a14:compatExt spid="_x0000_s1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7620</xdr:rowOff>
        </xdr:from>
        <xdr:to>
          <xdr:col>4</xdr:col>
          <xdr:colOff>0</xdr:colOff>
          <xdr:row>23</xdr:row>
          <xdr:rowOff>7620</xdr:rowOff>
        </xdr:to>
        <xdr:sp macro="" textlink="">
          <xdr:nvSpPr>
            <xdr:cNvPr id="11291" name="ImportVariableTextButton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7620</xdr:rowOff>
        </xdr:from>
        <xdr:to>
          <xdr:col>4</xdr:col>
          <xdr:colOff>0</xdr:colOff>
          <xdr:row>25</xdr:row>
          <xdr:rowOff>7620</xdr:rowOff>
        </xdr:to>
        <xdr:sp macro="" textlink="">
          <xdr:nvSpPr>
            <xdr:cNvPr id="11292" name="IntegrateBitmapsButton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1293" name="ParseUserInterfaceButton" hidden="1">
              <a:extLst>
                <a:ext uri="{63B3BB69-23CF-44E3-9099-C40C66FF867C}">
                  <a14:compatExt spid="_x0000_s1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+f/Projekte/GDL/Develop/Dorma/ExtendableComponentDoor/closer_XTS_dorma.project/material/Geometrien%20T&#252;rschliesser/Tabelle%20Produktparameter%20TS%20ED%20v18_2_F_VarianteBeisterEDxxx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e+f\Projekte\GDL\Develop\Dorma\ExtendableComponentDoor\ECD.project\parameters.ECD\ECD-MAIN-Parameterverwaltung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e+f\Projekte\GDL\Develop\Dorma\ExtendableComponentDoor\automation_dorma.project\dorma_automation.parameters\ECD-DORMA_AUTO-Parameterverwaltu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ken Deklaration"/>
      <sheetName val="Maßbezüge"/>
      <sheetName val="G_ Gleitsch. Gestänge"/>
      <sheetName val="T_ Türschließerkörper"/>
      <sheetName val="S_  Systeme TS-Körper+Gleits. "/>
      <sheetName val="ED Systemauswahl"/>
      <sheetName val="ED Konfigurationen+Bezeichener"/>
    </sheetNames>
    <sheetDataSet>
      <sheetData sheetId="0"/>
      <sheetData sheetId="1"/>
      <sheetData sheetId="2"/>
      <sheetData sheetId="3"/>
      <sheetData sheetId="4">
        <row r="5">
          <cell r="B5" t="str">
            <v>TS 90 EN 3/4</v>
          </cell>
          <cell r="D5" t="str">
            <v>x</v>
          </cell>
          <cell r="F5" t="str">
            <v>x</v>
          </cell>
          <cell r="J5" t="str">
            <v>x</v>
          </cell>
          <cell r="K5" t="str">
            <v>x</v>
          </cell>
          <cell r="O5" t="str">
            <v>x</v>
          </cell>
          <cell r="P5" t="str">
            <v>x</v>
          </cell>
          <cell r="R5" t="str">
            <v>x</v>
          </cell>
          <cell r="S5" t="str">
            <v>x</v>
          </cell>
          <cell r="AF5" t="str">
            <v>x</v>
          </cell>
          <cell r="AK5">
            <v>90</v>
          </cell>
          <cell r="AM5" t="str">
            <v>3/4</v>
          </cell>
          <cell r="BL5" t="str">
            <v>x</v>
          </cell>
          <cell r="BW5">
            <v>246</v>
          </cell>
          <cell r="BX5">
            <v>46</v>
          </cell>
          <cell r="BY5">
            <v>57</v>
          </cell>
          <cell r="BZ5">
            <v>383</v>
          </cell>
          <cell r="CA5">
            <v>20</v>
          </cell>
          <cell r="CB5">
            <v>25</v>
          </cell>
          <cell r="CC5">
            <v>13</v>
          </cell>
          <cell r="CD5">
            <v>320</v>
          </cell>
          <cell r="CE5">
            <v>24</v>
          </cell>
          <cell r="CF5">
            <v>24</v>
          </cell>
          <cell r="CG5">
            <v>170</v>
          </cell>
          <cell r="CH5">
            <v>86</v>
          </cell>
          <cell r="CI5">
            <v>490</v>
          </cell>
          <cell r="CJ5">
            <v>442</v>
          </cell>
          <cell r="CK5">
            <v>48</v>
          </cell>
          <cell r="CL5">
            <v>84</v>
          </cell>
          <cell r="CM5">
            <v>0</v>
          </cell>
          <cell r="CN5">
            <v>0</v>
          </cell>
          <cell r="CO5">
            <v>153</v>
          </cell>
          <cell r="CP5" t="str">
            <v>V</v>
          </cell>
          <cell r="CQ5">
            <v>11</v>
          </cell>
          <cell r="CR5">
            <v>201</v>
          </cell>
          <cell r="CS5">
            <v>84</v>
          </cell>
          <cell r="CT5" t="str">
            <v>V</v>
          </cell>
          <cell r="CU5">
            <v>0</v>
          </cell>
          <cell r="CV5">
            <v>153</v>
          </cell>
          <cell r="CW5">
            <v>0</v>
          </cell>
          <cell r="CX5">
            <v>11</v>
          </cell>
          <cell r="CY5">
            <v>201</v>
          </cell>
          <cell r="CZ5">
            <v>84</v>
          </cell>
          <cell r="DA5" t="str">
            <v>V</v>
          </cell>
          <cell r="DB5">
            <v>10</v>
          </cell>
          <cell r="DC5">
            <v>153</v>
          </cell>
          <cell r="DD5">
            <v>0</v>
          </cell>
          <cell r="DE5">
            <v>1</v>
          </cell>
          <cell r="DF5">
            <v>201</v>
          </cell>
          <cell r="DG5">
            <v>84</v>
          </cell>
          <cell r="DH5">
            <v>0</v>
          </cell>
          <cell r="DI5">
            <v>11</v>
          </cell>
          <cell r="DJ5">
            <v>181</v>
          </cell>
          <cell r="DK5" t="str">
            <v>V</v>
          </cell>
          <cell r="DL5">
            <v>0</v>
          </cell>
          <cell r="DM5">
            <v>229</v>
          </cell>
          <cell r="DN5">
            <v>84</v>
          </cell>
          <cell r="DO5">
            <v>0</v>
          </cell>
          <cell r="DP5" t="str">
            <v>V</v>
          </cell>
          <cell r="DQ5">
            <v>181</v>
          </cell>
          <cell r="DR5" t="str">
            <v>V</v>
          </cell>
          <cell r="DS5" t="str">
            <v>V</v>
          </cell>
          <cell r="DT5">
            <v>229</v>
          </cell>
        </row>
        <row r="6">
          <cell r="B6" t="str">
            <v>TS 90 RF EN 3/4</v>
          </cell>
          <cell r="D6" t="str">
            <v>x</v>
          </cell>
          <cell r="F6" t="str">
            <v>x</v>
          </cell>
          <cell r="J6" t="str">
            <v>x</v>
          </cell>
          <cell r="K6" t="str">
            <v>x</v>
          </cell>
          <cell r="O6" t="str">
            <v>x</v>
          </cell>
          <cell r="P6" t="str">
            <v>x</v>
          </cell>
          <cell r="R6" t="str">
            <v>x</v>
          </cell>
          <cell r="S6" t="str">
            <v>x</v>
          </cell>
          <cell r="AB6" t="str">
            <v>x</v>
          </cell>
          <cell r="AF6" t="str">
            <v>x</v>
          </cell>
          <cell r="AK6">
            <v>90</v>
          </cell>
          <cell r="AM6" t="str">
            <v>3/4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 t="str">
            <v>x</v>
          </cell>
          <cell r="BM6">
            <v>0</v>
          </cell>
          <cell r="BN6">
            <v>0</v>
          </cell>
          <cell r="BO6">
            <v>0</v>
          </cell>
          <cell r="BP6">
            <v>0</v>
          </cell>
          <cell r="BQ6">
            <v>0</v>
          </cell>
          <cell r="BR6">
            <v>0</v>
          </cell>
          <cell r="BS6">
            <v>0</v>
          </cell>
          <cell r="BT6">
            <v>0</v>
          </cell>
          <cell r="BU6">
            <v>0</v>
          </cell>
          <cell r="BV6">
            <v>0</v>
          </cell>
          <cell r="BW6">
            <v>246</v>
          </cell>
          <cell r="BX6">
            <v>46</v>
          </cell>
          <cell r="BY6">
            <v>57</v>
          </cell>
          <cell r="BZ6">
            <v>383</v>
          </cell>
          <cell r="CA6">
            <v>20</v>
          </cell>
          <cell r="CB6">
            <v>25</v>
          </cell>
          <cell r="CC6">
            <v>13</v>
          </cell>
          <cell r="CD6">
            <v>320</v>
          </cell>
          <cell r="CE6">
            <v>24</v>
          </cell>
          <cell r="CF6">
            <v>24</v>
          </cell>
          <cell r="CG6">
            <v>170</v>
          </cell>
          <cell r="CH6">
            <v>86</v>
          </cell>
          <cell r="CI6">
            <v>490</v>
          </cell>
          <cell r="CJ6">
            <v>442</v>
          </cell>
          <cell r="CK6">
            <v>48</v>
          </cell>
          <cell r="CL6">
            <v>84</v>
          </cell>
          <cell r="CM6">
            <v>0</v>
          </cell>
          <cell r="CN6">
            <v>0</v>
          </cell>
          <cell r="CO6">
            <v>153</v>
          </cell>
          <cell r="CP6" t="str">
            <v>V</v>
          </cell>
          <cell r="CQ6">
            <v>11</v>
          </cell>
          <cell r="CR6">
            <v>201</v>
          </cell>
          <cell r="CS6">
            <v>84</v>
          </cell>
          <cell r="CT6" t="str">
            <v>V</v>
          </cell>
          <cell r="CU6">
            <v>0</v>
          </cell>
          <cell r="CV6">
            <v>153</v>
          </cell>
          <cell r="CW6">
            <v>0</v>
          </cell>
          <cell r="CX6">
            <v>11</v>
          </cell>
          <cell r="CY6">
            <v>201</v>
          </cell>
          <cell r="CZ6">
            <v>84</v>
          </cell>
          <cell r="DA6" t="str">
            <v>V</v>
          </cell>
          <cell r="DB6">
            <v>10</v>
          </cell>
          <cell r="DC6">
            <v>153</v>
          </cell>
          <cell r="DD6">
            <v>0</v>
          </cell>
          <cell r="DE6">
            <v>1</v>
          </cell>
          <cell r="DF6">
            <v>201</v>
          </cell>
          <cell r="DG6">
            <v>84</v>
          </cell>
          <cell r="DH6">
            <v>0</v>
          </cell>
          <cell r="DI6">
            <v>11</v>
          </cell>
          <cell r="DJ6">
            <v>181</v>
          </cell>
          <cell r="DK6" t="str">
            <v>V</v>
          </cell>
          <cell r="DL6">
            <v>0</v>
          </cell>
          <cell r="DM6">
            <v>229</v>
          </cell>
          <cell r="DN6">
            <v>84</v>
          </cell>
          <cell r="DO6">
            <v>0</v>
          </cell>
          <cell r="DP6" t="str">
            <v>V</v>
          </cell>
          <cell r="DQ6">
            <v>181</v>
          </cell>
          <cell r="DR6" t="str">
            <v>V</v>
          </cell>
          <cell r="DS6" t="str">
            <v>V</v>
          </cell>
          <cell r="DT6">
            <v>229</v>
          </cell>
        </row>
        <row r="7">
          <cell r="B7" t="str">
            <v>TS 91 EN 3</v>
          </cell>
          <cell r="D7" t="str">
            <v>x</v>
          </cell>
          <cell r="F7" t="str">
            <v>x</v>
          </cell>
          <cell r="J7" t="str">
            <v>x</v>
          </cell>
          <cell r="O7" t="str">
            <v>A</v>
          </cell>
          <cell r="P7" t="str">
            <v>B</v>
          </cell>
          <cell r="R7" t="str">
            <v>A</v>
          </cell>
          <cell r="S7" t="str">
            <v>B</v>
          </cell>
          <cell r="AF7" t="str">
            <v>x</v>
          </cell>
          <cell r="AK7">
            <v>91</v>
          </cell>
          <cell r="AL7" t="str">
            <v>B</v>
          </cell>
          <cell r="AM7" t="str">
            <v>3</v>
          </cell>
          <cell r="AV7" t="str">
            <v>x</v>
          </cell>
          <cell r="BW7">
            <v>281</v>
          </cell>
          <cell r="BX7">
            <v>47</v>
          </cell>
          <cell r="BY7">
            <v>65</v>
          </cell>
          <cell r="BZ7">
            <v>442</v>
          </cell>
          <cell r="CA7">
            <v>23</v>
          </cell>
          <cell r="CB7">
            <v>31</v>
          </cell>
          <cell r="CC7">
            <v>16</v>
          </cell>
          <cell r="CD7">
            <v>375</v>
          </cell>
          <cell r="CE7">
            <v>25</v>
          </cell>
          <cell r="CF7">
            <v>25</v>
          </cell>
          <cell r="CG7">
            <v>175</v>
          </cell>
          <cell r="CH7">
            <v>86</v>
          </cell>
          <cell r="CI7">
            <v>550</v>
          </cell>
          <cell r="CJ7">
            <v>504</v>
          </cell>
          <cell r="CK7">
            <v>46</v>
          </cell>
          <cell r="CL7">
            <v>86</v>
          </cell>
          <cell r="CM7">
            <v>0</v>
          </cell>
          <cell r="CN7">
            <v>4</v>
          </cell>
          <cell r="CO7">
            <v>143</v>
          </cell>
          <cell r="CP7" t="str">
            <v>V</v>
          </cell>
          <cell r="CQ7">
            <v>16</v>
          </cell>
          <cell r="CR7">
            <v>189</v>
          </cell>
          <cell r="CS7">
            <v>86</v>
          </cell>
          <cell r="CT7" t="str">
            <v>V</v>
          </cell>
          <cell r="CU7">
            <v>4</v>
          </cell>
          <cell r="CV7">
            <v>143</v>
          </cell>
          <cell r="CW7">
            <v>0</v>
          </cell>
          <cell r="CX7">
            <v>16</v>
          </cell>
          <cell r="CY7">
            <v>189</v>
          </cell>
          <cell r="CZ7">
            <v>0</v>
          </cell>
          <cell r="DA7">
            <v>0</v>
          </cell>
          <cell r="DB7">
            <v>0</v>
          </cell>
          <cell r="DC7">
            <v>0</v>
          </cell>
          <cell r="DD7">
            <v>0</v>
          </cell>
          <cell r="DE7">
            <v>0</v>
          </cell>
          <cell r="DF7">
            <v>0</v>
          </cell>
          <cell r="DG7">
            <v>0</v>
          </cell>
          <cell r="DH7">
            <v>0</v>
          </cell>
          <cell r="DI7">
            <v>0</v>
          </cell>
          <cell r="DJ7">
            <v>0</v>
          </cell>
          <cell r="DK7">
            <v>0</v>
          </cell>
          <cell r="DL7">
            <v>0</v>
          </cell>
          <cell r="DM7">
            <v>0</v>
          </cell>
          <cell r="DN7">
            <v>0</v>
          </cell>
          <cell r="DO7">
            <v>0</v>
          </cell>
          <cell r="DP7">
            <v>0</v>
          </cell>
          <cell r="DQ7">
            <v>0</v>
          </cell>
          <cell r="DR7">
            <v>0</v>
          </cell>
          <cell r="DS7">
            <v>0</v>
          </cell>
          <cell r="DT7">
            <v>0</v>
          </cell>
        </row>
        <row r="8">
          <cell r="B8" t="str">
            <v>TS 91 RF EN 3</v>
          </cell>
          <cell r="D8" t="str">
            <v>x</v>
          </cell>
          <cell r="F8" t="str">
            <v>x</v>
          </cell>
          <cell r="J8" t="str">
            <v>x</v>
          </cell>
          <cell r="O8" t="str">
            <v>A</v>
          </cell>
          <cell r="P8" t="str">
            <v>B</v>
          </cell>
          <cell r="R8" t="str">
            <v>A</v>
          </cell>
          <cell r="S8" t="str">
            <v>B</v>
          </cell>
          <cell r="AB8" t="str">
            <v>x</v>
          </cell>
          <cell r="AF8" t="str">
            <v>x</v>
          </cell>
          <cell r="AK8">
            <v>91</v>
          </cell>
          <cell r="AL8" t="str">
            <v>B</v>
          </cell>
          <cell r="AM8" t="str">
            <v>3</v>
          </cell>
          <cell r="AW8" t="str">
            <v>x</v>
          </cell>
          <cell r="BW8">
            <v>281</v>
          </cell>
          <cell r="BX8">
            <v>47</v>
          </cell>
          <cell r="BY8">
            <v>65</v>
          </cell>
          <cell r="BZ8">
            <v>442</v>
          </cell>
          <cell r="CA8">
            <v>23</v>
          </cell>
          <cell r="CB8">
            <v>31</v>
          </cell>
          <cell r="CC8">
            <v>16</v>
          </cell>
          <cell r="CD8">
            <v>375</v>
          </cell>
          <cell r="CE8">
            <v>25</v>
          </cell>
          <cell r="CF8">
            <v>25</v>
          </cell>
          <cell r="CG8">
            <v>175</v>
          </cell>
          <cell r="CH8">
            <v>86</v>
          </cell>
          <cell r="CI8">
            <v>550</v>
          </cell>
          <cell r="CJ8">
            <v>490</v>
          </cell>
          <cell r="CK8">
            <v>60</v>
          </cell>
          <cell r="CL8">
            <v>86</v>
          </cell>
          <cell r="CM8">
            <v>0</v>
          </cell>
          <cell r="CN8">
            <v>4</v>
          </cell>
          <cell r="CO8">
            <v>143</v>
          </cell>
          <cell r="CP8" t="str">
            <v>V</v>
          </cell>
          <cell r="CQ8">
            <v>16</v>
          </cell>
          <cell r="CR8">
            <v>203</v>
          </cell>
          <cell r="CS8">
            <v>86</v>
          </cell>
          <cell r="CT8" t="str">
            <v>V</v>
          </cell>
          <cell r="CU8">
            <v>4</v>
          </cell>
          <cell r="CV8">
            <v>143</v>
          </cell>
          <cell r="CW8">
            <v>0</v>
          </cell>
          <cell r="CX8">
            <v>16</v>
          </cell>
          <cell r="CY8">
            <v>203</v>
          </cell>
          <cell r="CZ8">
            <v>0</v>
          </cell>
          <cell r="DA8">
            <v>0</v>
          </cell>
          <cell r="DB8">
            <v>0</v>
          </cell>
          <cell r="DC8">
            <v>0</v>
          </cell>
          <cell r="DD8">
            <v>0</v>
          </cell>
          <cell r="DE8">
            <v>0</v>
          </cell>
          <cell r="DF8">
            <v>0</v>
          </cell>
          <cell r="DG8">
            <v>0</v>
          </cell>
          <cell r="DH8">
            <v>0</v>
          </cell>
          <cell r="DI8">
            <v>0</v>
          </cell>
          <cell r="DJ8">
            <v>0</v>
          </cell>
          <cell r="DK8">
            <v>0</v>
          </cell>
          <cell r="DL8">
            <v>0</v>
          </cell>
          <cell r="DM8">
            <v>0</v>
          </cell>
          <cell r="DN8">
            <v>0</v>
          </cell>
          <cell r="DO8">
            <v>0</v>
          </cell>
          <cell r="DP8">
            <v>0</v>
          </cell>
          <cell r="DQ8">
            <v>0</v>
          </cell>
          <cell r="DR8">
            <v>0</v>
          </cell>
          <cell r="DS8">
            <v>0</v>
          </cell>
          <cell r="DT8">
            <v>0</v>
          </cell>
        </row>
        <row r="9">
          <cell r="B9" t="str">
            <v>TS 92 XEA EN 1-4</v>
          </cell>
          <cell r="D9" t="str">
            <v>x</v>
          </cell>
          <cell r="F9" t="str">
            <v>x</v>
          </cell>
          <cell r="H9" t="str">
            <v>x</v>
          </cell>
          <cell r="I9" t="str">
            <v>x</v>
          </cell>
          <cell r="J9" t="str">
            <v>x</v>
          </cell>
          <cell r="K9" t="str">
            <v>x</v>
          </cell>
          <cell r="O9" t="str">
            <v>A</v>
          </cell>
          <cell r="P9" t="str">
            <v>B</v>
          </cell>
          <cell r="R9" t="str">
            <v>A</v>
          </cell>
          <cell r="S9" t="str">
            <v>B</v>
          </cell>
          <cell r="U9" t="str">
            <v>x</v>
          </cell>
          <cell r="V9" t="str">
            <v>x</v>
          </cell>
          <cell r="AF9" t="str">
            <v>x</v>
          </cell>
          <cell r="AK9">
            <v>92</v>
          </cell>
          <cell r="AL9" t="str">
            <v>B</v>
          </cell>
          <cell r="AM9" t="str">
            <v>1-4</v>
          </cell>
          <cell r="AN9" t="str">
            <v>x</v>
          </cell>
          <cell r="BW9">
            <v>305</v>
          </cell>
          <cell r="BX9">
            <v>50</v>
          </cell>
          <cell r="BY9">
            <v>65</v>
          </cell>
          <cell r="BZ9">
            <v>518</v>
          </cell>
          <cell r="CA9">
            <v>23</v>
          </cell>
          <cell r="CB9">
            <v>32</v>
          </cell>
          <cell r="CC9">
            <v>16</v>
          </cell>
          <cell r="CD9">
            <v>375</v>
          </cell>
          <cell r="CE9">
            <v>25</v>
          </cell>
          <cell r="CF9">
            <v>25</v>
          </cell>
          <cell r="CG9">
            <v>175</v>
          </cell>
          <cell r="CH9">
            <v>89</v>
          </cell>
          <cell r="CI9">
            <v>550</v>
          </cell>
          <cell r="CJ9">
            <v>505</v>
          </cell>
          <cell r="CK9">
            <v>45</v>
          </cell>
          <cell r="CL9">
            <v>86</v>
          </cell>
          <cell r="CM9">
            <v>0</v>
          </cell>
          <cell r="CN9">
            <v>4</v>
          </cell>
          <cell r="CO9">
            <v>74</v>
          </cell>
          <cell r="CP9" t="str">
            <v>V</v>
          </cell>
          <cell r="CQ9">
            <v>12</v>
          </cell>
          <cell r="CR9">
            <v>119</v>
          </cell>
          <cell r="CS9">
            <v>74</v>
          </cell>
          <cell r="CT9" t="str">
            <v>V</v>
          </cell>
          <cell r="CU9">
            <v>4</v>
          </cell>
          <cell r="CV9">
            <v>74</v>
          </cell>
          <cell r="CW9">
            <v>0</v>
          </cell>
          <cell r="CX9">
            <v>12</v>
          </cell>
          <cell r="CY9">
            <v>119</v>
          </cell>
          <cell r="CZ9">
            <v>0</v>
          </cell>
          <cell r="DA9">
            <v>0</v>
          </cell>
          <cell r="DB9">
            <v>0</v>
          </cell>
          <cell r="DC9">
            <v>0</v>
          </cell>
          <cell r="DD9">
            <v>0</v>
          </cell>
          <cell r="DE9">
            <v>0</v>
          </cell>
          <cell r="DF9">
            <v>0</v>
          </cell>
          <cell r="DG9">
            <v>0</v>
          </cell>
          <cell r="DH9">
            <v>0</v>
          </cell>
          <cell r="DI9">
            <v>0</v>
          </cell>
          <cell r="DJ9">
            <v>0</v>
          </cell>
          <cell r="DK9">
            <v>0</v>
          </cell>
          <cell r="DL9">
            <v>0</v>
          </cell>
          <cell r="DM9">
            <v>0</v>
          </cell>
          <cell r="DN9">
            <v>0</v>
          </cell>
          <cell r="DO9">
            <v>0</v>
          </cell>
          <cell r="DP9">
            <v>0</v>
          </cell>
          <cell r="DQ9">
            <v>0</v>
          </cell>
          <cell r="DR9">
            <v>0</v>
          </cell>
          <cell r="DS9">
            <v>0</v>
          </cell>
          <cell r="DT9">
            <v>0</v>
          </cell>
        </row>
        <row r="10">
          <cell r="B10" t="str">
            <v>TS 92 RF XEA EN 1-4</v>
          </cell>
          <cell r="D10" t="str">
            <v>x</v>
          </cell>
          <cell r="F10" t="str">
            <v>x</v>
          </cell>
          <cell r="H10" t="str">
            <v>x</v>
          </cell>
          <cell r="I10" t="str">
            <v>x</v>
          </cell>
          <cell r="J10" t="str">
            <v>x</v>
          </cell>
          <cell r="K10" t="str">
            <v>x</v>
          </cell>
          <cell r="O10" t="str">
            <v>A</v>
          </cell>
          <cell r="P10" t="str">
            <v>B</v>
          </cell>
          <cell r="R10" t="str">
            <v>A</v>
          </cell>
          <cell r="S10" t="str">
            <v>B</v>
          </cell>
          <cell r="U10" t="str">
            <v>x</v>
          </cell>
          <cell r="V10" t="str">
            <v>x</v>
          </cell>
          <cell r="AB10" t="str">
            <v>x</v>
          </cell>
          <cell r="AF10" t="str">
            <v>x</v>
          </cell>
          <cell r="AK10">
            <v>92</v>
          </cell>
          <cell r="AL10" t="str">
            <v>B</v>
          </cell>
          <cell r="AM10" t="str">
            <v>1-4</v>
          </cell>
          <cell r="AO10" t="str">
            <v>x</v>
          </cell>
          <cell r="BW10">
            <v>305</v>
          </cell>
          <cell r="BX10">
            <v>50</v>
          </cell>
          <cell r="BY10">
            <v>65</v>
          </cell>
          <cell r="BZ10">
            <v>518</v>
          </cell>
          <cell r="CA10">
            <v>23</v>
          </cell>
          <cell r="CB10">
            <v>32</v>
          </cell>
          <cell r="CC10">
            <v>16</v>
          </cell>
          <cell r="CD10">
            <v>375</v>
          </cell>
          <cell r="CE10">
            <v>25</v>
          </cell>
          <cell r="CF10">
            <v>25</v>
          </cell>
          <cell r="CG10">
            <v>175</v>
          </cell>
          <cell r="CH10">
            <v>101</v>
          </cell>
          <cell r="CI10">
            <v>550</v>
          </cell>
          <cell r="CJ10">
            <v>505</v>
          </cell>
          <cell r="CK10">
            <v>45</v>
          </cell>
          <cell r="CL10">
            <v>74</v>
          </cell>
          <cell r="CM10">
            <v>0</v>
          </cell>
          <cell r="CN10">
            <v>4</v>
          </cell>
          <cell r="CO10">
            <v>74</v>
          </cell>
          <cell r="CP10" t="str">
            <v>V</v>
          </cell>
          <cell r="CQ10">
            <v>12</v>
          </cell>
          <cell r="CR10">
            <v>119</v>
          </cell>
          <cell r="CS10">
            <v>74</v>
          </cell>
          <cell r="CT10" t="str">
            <v>V</v>
          </cell>
          <cell r="CU10">
            <v>4</v>
          </cell>
          <cell r="CV10">
            <v>74</v>
          </cell>
          <cell r="CW10">
            <v>0</v>
          </cell>
          <cell r="CX10">
            <v>12</v>
          </cell>
          <cell r="CY10">
            <v>119</v>
          </cell>
          <cell r="CZ10">
            <v>0</v>
          </cell>
          <cell r="DA10">
            <v>0</v>
          </cell>
          <cell r="DB10">
            <v>0</v>
          </cell>
          <cell r="DC10">
            <v>0</v>
          </cell>
          <cell r="DD10">
            <v>0</v>
          </cell>
          <cell r="DE10">
            <v>0</v>
          </cell>
          <cell r="DF10">
            <v>0</v>
          </cell>
          <cell r="DG10">
            <v>0</v>
          </cell>
          <cell r="DH10">
            <v>0</v>
          </cell>
          <cell r="DI10">
            <v>0</v>
          </cell>
          <cell r="DJ10">
            <v>0</v>
          </cell>
          <cell r="DK10">
            <v>0</v>
          </cell>
          <cell r="DL10">
            <v>0</v>
          </cell>
          <cell r="DM10">
            <v>0</v>
          </cell>
          <cell r="DN10">
            <v>0</v>
          </cell>
          <cell r="DO10">
            <v>0</v>
          </cell>
          <cell r="DP10">
            <v>0</v>
          </cell>
          <cell r="DQ10">
            <v>0</v>
          </cell>
          <cell r="DR10">
            <v>0</v>
          </cell>
          <cell r="DS10">
            <v>0</v>
          </cell>
          <cell r="DT10">
            <v>0</v>
          </cell>
        </row>
        <row r="11">
          <cell r="B11" t="str">
            <v>TS 92 EN 1-4</v>
          </cell>
          <cell r="D11" t="str">
            <v>x</v>
          </cell>
          <cell r="F11" t="str">
            <v>x</v>
          </cell>
          <cell r="H11" t="str">
            <v>x</v>
          </cell>
          <cell r="I11" t="str">
            <v>x</v>
          </cell>
          <cell r="J11" t="str">
            <v>x</v>
          </cell>
          <cell r="K11" t="str">
            <v>x</v>
          </cell>
          <cell r="O11" t="str">
            <v>A</v>
          </cell>
          <cell r="P11" t="str">
            <v>B</v>
          </cell>
          <cell r="R11" t="str">
            <v>A</v>
          </cell>
          <cell r="S11" t="str">
            <v>B</v>
          </cell>
          <cell r="U11" t="str">
            <v>x</v>
          </cell>
          <cell r="V11" t="str">
            <v>x</v>
          </cell>
          <cell r="AF11" t="str">
            <v>x</v>
          </cell>
          <cell r="AK11">
            <v>92</v>
          </cell>
          <cell r="AL11" t="str">
            <v>B</v>
          </cell>
          <cell r="AM11" t="str">
            <v>1-4</v>
          </cell>
          <cell r="AV11" t="str">
            <v>x</v>
          </cell>
          <cell r="BW11">
            <v>281</v>
          </cell>
          <cell r="BX11">
            <v>47</v>
          </cell>
          <cell r="BY11">
            <v>65</v>
          </cell>
          <cell r="BZ11">
            <v>442</v>
          </cell>
          <cell r="CA11">
            <v>23</v>
          </cell>
          <cell r="CB11">
            <v>31</v>
          </cell>
          <cell r="CC11">
            <v>16</v>
          </cell>
          <cell r="CD11">
            <v>375</v>
          </cell>
          <cell r="CE11">
            <v>25</v>
          </cell>
          <cell r="CF11">
            <v>25</v>
          </cell>
          <cell r="CG11">
            <v>175</v>
          </cell>
          <cell r="CH11">
            <v>101</v>
          </cell>
          <cell r="CI11">
            <v>550</v>
          </cell>
          <cell r="CJ11">
            <v>504</v>
          </cell>
          <cell r="CK11">
            <v>46</v>
          </cell>
          <cell r="CL11">
            <v>74</v>
          </cell>
          <cell r="CM11">
            <v>0</v>
          </cell>
          <cell r="CN11">
            <v>4</v>
          </cell>
          <cell r="CO11">
            <v>143</v>
          </cell>
          <cell r="CP11" t="str">
            <v>V</v>
          </cell>
          <cell r="CQ11">
            <v>16</v>
          </cell>
          <cell r="CR11">
            <v>189</v>
          </cell>
          <cell r="CS11">
            <v>86</v>
          </cell>
          <cell r="CT11" t="str">
            <v>V</v>
          </cell>
          <cell r="CU11">
            <v>4</v>
          </cell>
          <cell r="CV11">
            <v>143</v>
          </cell>
          <cell r="CW11">
            <v>0</v>
          </cell>
          <cell r="CX11">
            <v>16</v>
          </cell>
          <cell r="CY11">
            <v>189</v>
          </cell>
          <cell r="CZ11">
            <v>0</v>
          </cell>
          <cell r="DA11">
            <v>0</v>
          </cell>
          <cell r="DB11">
            <v>0</v>
          </cell>
          <cell r="DC11">
            <v>0</v>
          </cell>
          <cell r="DD11">
            <v>0</v>
          </cell>
          <cell r="DE11">
            <v>0</v>
          </cell>
          <cell r="DF11">
            <v>0</v>
          </cell>
          <cell r="DG11">
            <v>0</v>
          </cell>
          <cell r="DH11">
            <v>0</v>
          </cell>
          <cell r="DI11">
            <v>0</v>
          </cell>
          <cell r="DJ11">
            <v>0</v>
          </cell>
          <cell r="DK11">
            <v>0</v>
          </cell>
          <cell r="DL11">
            <v>0</v>
          </cell>
          <cell r="DM11">
            <v>0</v>
          </cell>
          <cell r="DN11">
            <v>0</v>
          </cell>
          <cell r="DO11">
            <v>0</v>
          </cell>
          <cell r="DP11">
            <v>0</v>
          </cell>
          <cell r="DQ11">
            <v>0</v>
          </cell>
          <cell r="DR11">
            <v>0</v>
          </cell>
          <cell r="DS11">
            <v>0</v>
          </cell>
          <cell r="DT11">
            <v>0</v>
          </cell>
        </row>
        <row r="12">
          <cell r="B12" t="str">
            <v>TS 92 RF EN 1-4</v>
          </cell>
          <cell r="D12" t="str">
            <v>x</v>
          </cell>
          <cell r="F12" t="str">
            <v>x</v>
          </cell>
          <cell r="H12" t="str">
            <v>x</v>
          </cell>
          <cell r="I12" t="str">
            <v>x</v>
          </cell>
          <cell r="J12" t="str">
            <v>x</v>
          </cell>
          <cell r="K12" t="str">
            <v>x</v>
          </cell>
          <cell r="O12" t="str">
            <v>A</v>
          </cell>
          <cell r="P12" t="str">
            <v>B</v>
          </cell>
          <cell r="R12" t="str">
            <v>A</v>
          </cell>
          <cell r="S12" t="str">
            <v>B</v>
          </cell>
          <cell r="U12" t="str">
            <v>x</v>
          </cell>
          <cell r="V12" t="str">
            <v>x</v>
          </cell>
          <cell r="AB12" t="str">
            <v>x</v>
          </cell>
          <cell r="AF12" t="str">
            <v>x</v>
          </cell>
          <cell r="AK12">
            <v>92</v>
          </cell>
          <cell r="AL12" t="str">
            <v>B</v>
          </cell>
          <cell r="AM12" t="str">
            <v>1-4</v>
          </cell>
          <cell r="AW12" t="str">
            <v>x</v>
          </cell>
          <cell r="BW12">
            <v>281</v>
          </cell>
          <cell r="BX12">
            <v>47</v>
          </cell>
          <cell r="BY12">
            <v>65</v>
          </cell>
          <cell r="BZ12">
            <v>442</v>
          </cell>
          <cell r="CA12">
            <v>23</v>
          </cell>
          <cell r="CB12">
            <v>31</v>
          </cell>
          <cell r="CC12">
            <v>16</v>
          </cell>
          <cell r="CD12">
            <v>375</v>
          </cell>
          <cell r="CE12">
            <v>25</v>
          </cell>
          <cell r="CF12">
            <v>25</v>
          </cell>
          <cell r="CG12">
            <v>175</v>
          </cell>
          <cell r="CH12">
            <v>89</v>
          </cell>
          <cell r="CI12">
            <v>550</v>
          </cell>
          <cell r="CJ12">
            <v>490</v>
          </cell>
          <cell r="CK12">
            <v>60</v>
          </cell>
          <cell r="CL12">
            <v>86</v>
          </cell>
          <cell r="CM12">
            <v>0</v>
          </cell>
          <cell r="CN12">
            <v>4</v>
          </cell>
          <cell r="CO12">
            <v>143</v>
          </cell>
          <cell r="CP12" t="str">
            <v>V</v>
          </cell>
          <cell r="CQ12">
            <v>16</v>
          </cell>
          <cell r="CR12">
            <v>203</v>
          </cell>
          <cell r="CS12">
            <v>86</v>
          </cell>
          <cell r="CT12" t="str">
            <v>V</v>
          </cell>
          <cell r="CU12">
            <v>4</v>
          </cell>
          <cell r="CV12">
            <v>143</v>
          </cell>
          <cell r="CW12">
            <v>0</v>
          </cell>
          <cell r="CX12">
            <v>16</v>
          </cell>
          <cell r="CY12">
            <v>203</v>
          </cell>
          <cell r="CZ12">
            <v>0</v>
          </cell>
          <cell r="DA12">
            <v>0</v>
          </cell>
          <cell r="DB12">
            <v>0</v>
          </cell>
          <cell r="DC12">
            <v>0</v>
          </cell>
          <cell r="DD12">
            <v>0</v>
          </cell>
          <cell r="DE12">
            <v>0</v>
          </cell>
          <cell r="DF12">
            <v>0</v>
          </cell>
          <cell r="DG12">
            <v>0</v>
          </cell>
          <cell r="DH12">
            <v>0</v>
          </cell>
          <cell r="DI12">
            <v>0</v>
          </cell>
          <cell r="DJ12">
            <v>0</v>
          </cell>
          <cell r="DK12">
            <v>0</v>
          </cell>
          <cell r="DL12">
            <v>0</v>
          </cell>
          <cell r="DM12">
            <v>0</v>
          </cell>
          <cell r="DN12">
            <v>0</v>
          </cell>
          <cell r="DO12">
            <v>0</v>
          </cell>
          <cell r="DP12">
            <v>0</v>
          </cell>
          <cell r="DQ12">
            <v>0</v>
          </cell>
          <cell r="DR12">
            <v>0</v>
          </cell>
          <cell r="DS12">
            <v>0</v>
          </cell>
          <cell r="DT12">
            <v>0</v>
          </cell>
        </row>
        <row r="13">
          <cell r="B13" t="str">
            <v>TS 92 GSR EN 1-4</v>
          </cell>
          <cell r="E13" t="str">
            <v>x</v>
          </cell>
          <cell r="F13" t="str">
            <v>x</v>
          </cell>
          <cell r="H13" t="str">
            <v>x</v>
          </cell>
          <cell r="I13" t="str">
            <v>x</v>
          </cell>
          <cell r="J13" t="str">
            <v>x</v>
          </cell>
          <cell r="K13" t="str">
            <v>x</v>
          </cell>
          <cell r="O13" t="str">
            <v>x</v>
          </cell>
          <cell r="R13" t="str">
            <v>x</v>
          </cell>
          <cell r="U13" t="str">
            <v>x</v>
          </cell>
          <cell r="V13" t="str">
            <v>x</v>
          </cell>
          <cell r="X13" t="str">
            <v>x</v>
          </cell>
          <cell r="AF13" t="str">
            <v>x</v>
          </cell>
          <cell r="AK13">
            <v>92</v>
          </cell>
          <cell r="AL13" t="str">
            <v>B</v>
          </cell>
          <cell r="AM13" t="str">
            <v>1-4</v>
          </cell>
          <cell r="AZ13" t="str">
            <v>x</v>
          </cell>
          <cell r="BW13">
            <v>281</v>
          </cell>
          <cell r="BX13">
            <v>47</v>
          </cell>
          <cell r="BY13">
            <v>65</v>
          </cell>
          <cell r="BZ13" t="str">
            <v>V</v>
          </cell>
          <cell r="CA13">
            <v>30</v>
          </cell>
          <cell r="CB13">
            <v>34</v>
          </cell>
          <cell r="CC13">
            <v>17</v>
          </cell>
          <cell r="CD13">
            <v>375</v>
          </cell>
          <cell r="CE13">
            <v>25</v>
          </cell>
          <cell r="CF13">
            <v>25</v>
          </cell>
          <cell r="CG13">
            <v>175</v>
          </cell>
          <cell r="CH13">
            <v>89</v>
          </cell>
          <cell r="CI13">
            <v>550</v>
          </cell>
          <cell r="CJ13">
            <v>499</v>
          </cell>
          <cell r="CK13">
            <v>51</v>
          </cell>
          <cell r="CL13">
            <v>86</v>
          </cell>
          <cell r="CM13">
            <v>0</v>
          </cell>
          <cell r="CN13">
            <v>4</v>
          </cell>
          <cell r="CO13">
            <v>84</v>
          </cell>
          <cell r="CP13" t="str">
            <v>V</v>
          </cell>
          <cell r="CQ13">
            <v>13</v>
          </cell>
          <cell r="CR13">
            <v>135</v>
          </cell>
          <cell r="CS13">
            <v>0</v>
          </cell>
          <cell r="CT13">
            <v>0</v>
          </cell>
          <cell r="CU13">
            <v>0</v>
          </cell>
          <cell r="CV13">
            <v>0</v>
          </cell>
          <cell r="CW13">
            <v>0</v>
          </cell>
          <cell r="CX13">
            <v>0</v>
          </cell>
          <cell r="CY13">
            <v>0</v>
          </cell>
          <cell r="CZ13">
            <v>0</v>
          </cell>
          <cell r="DA13">
            <v>0</v>
          </cell>
          <cell r="DB13">
            <v>0</v>
          </cell>
          <cell r="DC13">
            <v>0</v>
          </cell>
          <cell r="DD13">
            <v>0</v>
          </cell>
          <cell r="DE13">
            <v>0</v>
          </cell>
          <cell r="DF13">
            <v>0</v>
          </cell>
          <cell r="DG13">
            <v>0</v>
          </cell>
          <cell r="DH13">
            <v>0</v>
          </cell>
          <cell r="DI13">
            <v>0</v>
          </cell>
          <cell r="DJ13">
            <v>0</v>
          </cell>
          <cell r="DK13">
            <v>0</v>
          </cell>
          <cell r="DL13">
            <v>0</v>
          </cell>
          <cell r="DM13">
            <v>0</v>
          </cell>
          <cell r="DN13">
            <v>0</v>
          </cell>
          <cell r="DO13">
            <v>0</v>
          </cell>
          <cell r="DP13">
            <v>0</v>
          </cell>
          <cell r="DQ13">
            <v>0</v>
          </cell>
          <cell r="DR13">
            <v>0</v>
          </cell>
          <cell r="DS13">
            <v>0</v>
          </cell>
          <cell r="DT13">
            <v>0</v>
          </cell>
        </row>
        <row r="14">
          <cell r="B14" t="str">
            <v>TS 92 G XEA EN 1-4</v>
          </cell>
          <cell r="D14" t="str">
            <v>x</v>
          </cell>
          <cell r="F14" t="str">
            <v>x</v>
          </cell>
          <cell r="H14" t="str">
            <v>x</v>
          </cell>
          <cell r="I14" t="str">
            <v>x</v>
          </cell>
          <cell r="J14" t="str">
            <v>x</v>
          </cell>
          <cell r="K14" t="str">
            <v>x</v>
          </cell>
          <cell r="O14" t="str">
            <v>D</v>
          </cell>
          <cell r="P14" t="str">
            <v>C</v>
          </cell>
          <cell r="R14" t="str">
            <v>C</v>
          </cell>
          <cell r="S14" t="str">
            <v>D</v>
          </cell>
          <cell r="U14" t="str">
            <v>x</v>
          </cell>
          <cell r="V14" t="str">
            <v>x</v>
          </cell>
          <cell r="AF14" t="str">
            <v>x</v>
          </cell>
          <cell r="AK14">
            <v>92</v>
          </cell>
          <cell r="AL14" t="str">
            <v>G</v>
          </cell>
          <cell r="AM14" t="str">
            <v>1-4</v>
          </cell>
          <cell r="AN14" t="str">
            <v>x</v>
          </cell>
          <cell r="BW14">
            <v>305</v>
          </cell>
          <cell r="BX14">
            <v>50</v>
          </cell>
          <cell r="BY14">
            <v>65</v>
          </cell>
          <cell r="BZ14">
            <v>537</v>
          </cell>
          <cell r="CA14">
            <v>30</v>
          </cell>
          <cell r="CB14">
            <v>39</v>
          </cell>
          <cell r="CC14">
            <v>20</v>
          </cell>
          <cell r="CD14">
            <v>375</v>
          </cell>
          <cell r="CE14">
            <v>25</v>
          </cell>
          <cell r="CF14">
            <v>25</v>
          </cell>
          <cell r="CG14">
            <v>175</v>
          </cell>
          <cell r="CH14">
            <v>101</v>
          </cell>
          <cell r="CI14">
            <v>550</v>
          </cell>
          <cell r="CJ14">
            <v>505</v>
          </cell>
          <cell r="CK14">
            <v>45</v>
          </cell>
          <cell r="CL14">
            <v>0</v>
          </cell>
          <cell r="CM14">
            <v>0</v>
          </cell>
          <cell r="CN14">
            <v>0</v>
          </cell>
          <cell r="CO14">
            <v>0</v>
          </cell>
          <cell r="CP14">
            <v>0</v>
          </cell>
          <cell r="CQ14">
            <v>0</v>
          </cell>
          <cell r="CR14">
            <v>0</v>
          </cell>
          <cell r="CS14">
            <v>0</v>
          </cell>
          <cell r="CT14">
            <v>0</v>
          </cell>
          <cell r="CU14">
            <v>0</v>
          </cell>
          <cell r="CV14">
            <v>0</v>
          </cell>
          <cell r="CW14">
            <v>0</v>
          </cell>
          <cell r="CX14">
            <v>0</v>
          </cell>
          <cell r="CY14">
            <v>0</v>
          </cell>
          <cell r="CZ14">
            <v>74</v>
          </cell>
          <cell r="DA14" t="str">
            <v>V</v>
          </cell>
          <cell r="DB14">
            <v>17</v>
          </cell>
          <cell r="DC14">
            <v>74</v>
          </cell>
          <cell r="DD14">
            <v>0</v>
          </cell>
          <cell r="DE14">
            <v>0</v>
          </cell>
          <cell r="DF14">
            <v>119</v>
          </cell>
          <cell r="DG14">
            <v>74</v>
          </cell>
          <cell r="DH14">
            <v>0</v>
          </cell>
          <cell r="DI14">
            <v>17</v>
          </cell>
          <cell r="DJ14">
            <v>74</v>
          </cell>
          <cell r="DK14" t="str">
            <v>V</v>
          </cell>
          <cell r="DL14">
            <v>0</v>
          </cell>
          <cell r="DM14">
            <v>119</v>
          </cell>
          <cell r="DN14">
            <v>74</v>
          </cell>
          <cell r="DO14">
            <v>0</v>
          </cell>
          <cell r="DP14" t="str">
            <v>V</v>
          </cell>
          <cell r="DQ14">
            <v>74</v>
          </cell>
          <cell r="DR14" t="str">
            <v>V</v>
          </cell>
          <cell r="DS14" t="str">
            <v>V</v>
          </cell>
          <cell r="DT14">
            <v>119</v>
          </cell>
        </row>
        <row r="15">
          <cell r="B15" t="str">
            <v>TS 92 G RF XEA EN 1-4</v>
          </cell>
          <cell r="D15" t="str">
            <v>x</v>
          </cell>
          <cell r="F15" t="str">
            <v>x</v>
          </cell>
          <cell r="H15" t="str">
            <v>x</v>
          </cell>
          <cell r="I15" t="str">
            <v>x</v>
          </cell>
          <cell r="J15" t="str">
            <v>x</v>
          </cell>
          <cell r="K15" t="str">
            <v>x</v>
          </cell>
          <cell r="O15" t="str">
            <v>D</v>
          </cell>
          <cell r="P15" t="str">
            <v>C</v>
          </cell>
          <cell r="R15" t="str">
            <v>C</v>
          </cell>
          <cell r="S15" t="str">
            <v>D</v>
          </cell>
          <cell r="U15" t="str">
            <v>x</v>
          </cell>
          <cell r="V15" t="str">
            <v>x</v>
          </cell>
          <cell r="AB15" t="str">
            <v>x</v>
          </cell>
          <cell r="AF15" t="str">
            <v>x</v>
          </cell>
          <cell r="AK15">
            <v>92</v>
          </cell>
          <cell r="AL15" t="str">
            <v>G</v>
          </cell>
          <cell r="AM15" t="str">
            <v>1-4</v>
          </cell>
          <cell r="AO15" t="str">
            <v>x</v>
          </cell>
          <cell r="BW15">
            <v>305</v>
          </cell>
          <cell r="BX15">
            <v>50</v>
          </cell>
          <cell r="BY15">
            <v>65</v>
          </cell>
          <cell r="BZ15">
            <v>518</v>
          </cell>
          <cell r="CA15">
            <v>23</v>
          </cell>
          <cell r="CB15">
            <v>32</v>
          </cell>
          <cell r="CC15">
            <v>16</v>
          </cell>
          <cell r="CD15">
            <v>375</v>
          </cell>
          <cell r="CE15">
            <v>25</v>
          </cell>
          <cell r="CF15">
            <v>25</v>
          </cell>
          <cell r="CG15">
            <v>175</v>
          </cell>
          <cell r="CH15">
            <v>101</v>
          </cell>
          <cell r="CI15">
            <v>550</v>
          </cell>
          <cell r="CJ15">
            <v>505</v>
          </cell>
          <cell r="CK15">
            <v>45</v>
          </cell>
          <cell r="CL15">
            <v>0</v>
          </cell>
          <cell r="CM15">
            <v>0</v>
          </cell>
          <cell r="CN15">
            <v>0</v>
          </cell>
          <cell r="CO15">
            <v>0</v>
          </cell>
          <cell r="CP15">
            <v>0</v>
          </cell>
          <cell r="CQ15">
            <v>0</v>
          </cell>
          <cell r="CR15">
            <v>0</v>
          </cell>
          <cell r="CS15">
            <v>0</v>
          </cell>
          <cell r="CT15">
            <v>0</v>
          </cell>
          <cell r="CU15">
            <v>0</v>
          </cell>
          <cell r="CV15">
            <v>0</v>
          </cell>
          <cell r="CW15">
            <v>0</v>
          </cell>
          <cell r="CX15">
            <v>0</v>
          </cell>
          <cell r="CY15">
            <v>0</v>
          </cell>
          <cell r="CZ15">
            <v>74</v>
          </cell>
          <cell r="DA15" t="str">
            <v>V</v>
          </cell>
          <cell r="DB15">
            <v>17</v>
          </cell>
          <cell r="DC15">
            <v>74</v>
          </cell>
          <cell r="DD15">
            <v>0</v>
          </cell>
          <cell r="DE15">
            <v>0</v>
          </cell>
          <cell r="DF15">
            <v>119</v>
          </cell>
          <cell r="DG15">
            <v>74</v>
          </cell>
          <cell r="DH15">
            <v>0</v>
          </cell>
          <cell r="DI15">
            <v>17</v>
          </cell>
          <cell r="DJ15">
            <v>74</v>
          </cell>
          <cell r="DK15" t="str">
            <v>V</v>
          </cell>
          <cell r="DL15">
            <v>0</v>
          </cell>
          <cell r="DM15">
            <v>119</v>
          </cell>
          <cell r="DN15">
            <v>74</v>
          </cell>
          <cell r="DO15">
            <v>0</v>
          </cell>
          <cell r="DP15" t="str">
            <v>V</v>
          </cell>
          <cell r="DQ15">
            <v>74</v>
          </cell>
          <cell r="DR15" t="str">
            <v>V</v>
          </cell>
          <cell r="DS15" t="str">
            <v>V</v>
          </cell>
          <cell r="DT15">
            <v>119</v>
          </cell>
        </row>
        <row r="16">
          <cell r="B16" t="str">
            <v>TS 92 G EN 1-4</v>
          </cell>
          <cell r="D16" t="str">
            <v>x</v>
          </cell>
          <cell r="F16" t="str">
            <v>x</v>
          </cell>
          <cell r="H16" t="str">
            <v>x</v>
          </cell>
          <cell r="I16" t="str">
            <v>x</v>
          </cell>
          <cell r="J16" t="str">
            <v>x</v>
          </cell>
          <cell r="K16" t="str">
            <v>x</v>
          </cell>
          <cell r="O16" t="str">
            <v>D</v>
          </cell>
          <cell r="P16" t="str">
            <v>C</v>
          </cell>
          <cell r="R16" t="str">
            <v>C</v>
          </cell>
          <cell r="S16" t="str">
            <v>D</v>
          </cell>
          <cell r="U16" t="str">
            <v>x</v>
          </cell>
          <cell r="V16" t="str">
            <v>x</v>
          </cell>
          <cell r="AF16" t="str">
            <v>x</v>
          </cell>
          <cell r="AK16">
            <v>92</v>
          </cell>
          <cell r="AL16" t="str">
            <v>G</v>
          </cell>
          <cell r="AM16" t="str">
            <v>1-4</v>
          </cell>
          <cell r="AV16" t="str">
            <v>x</v>
          </cell>
          <cell r="BW16">
            <v>281</v>
          </cell>
          <cell r="BX16">
            <v>47</v>
          </cell>
          <cell r="BY16">
            <v>65</v>
          </cell>
          <cell r="BZ16">
            <v>442</v>
          </cell>
          <cell r="CA16">
            <v>23</v>
          </cell>
          <cell r="CB16">
            <v>31</v>
          </cell>
          <cell r="CC16">
            <v>16</v>
          </cell>
          <cell r="CD16">
            <v>375</v>
          </cell>
          <cell r="CE16">
            <v>25</v>
          </cell>
          <cell r="CF16">
            <v>25</v>
          </cell>
          <cell r="CG16">
            <v>140</v>
          </cell>
          <cell r="CH16">
            <v>89</v>
          </cell>
          <cell r="CI16">
            <v>515</v>
          </cell>
          <cell r="CJ16">
            <v>469</v>
          </cell>
          <cell r="CK16">
            <v>46</v>
          </cell>
          <cell r="CL16">
            <v>0</v>
          </cell>
          <cell r="CM16">
            <v>0</v>
          </cell>
          <cell r="CN16">
            <v>0</v>
          </cell>
          <cell r="CO16">
            <v>0</v>
          </cell>
          <cell r="CP16">
            <v>0</v>
          </cell>
          <cell r="CQ16">
            <v>0</v>
          </cell>
          <cell r="CR16">
            <v>0</v>
          </cell>
          <cell r="CS16">
            <v>0</v>
          </cell>
          <cell r="CT16">
            <v>0</v>
          </cell>
          <cell r="CU16">
            <v>0</v>
          </cell>
          <cell r="CV16">
            <v>0</v>
          </cell>
          <cell r="CW16">
            <v>0</v>
          </cell>
          <cell r="CX16">
            <v>0</v>
          </cell>
          <cell r="CY16">
            <v>0</v>
          </cell>
          <cell r="CZ16">
            <v>86</v>
          </cell>
          <cell r="DA16" t="str">
            <v>V</v>
          </cell>
          <cell r="DB16">
            <v>17</v>
          </cell>
          <cell r="DC16">
            <v>143</v>
          </cell>
          <cell r="DD16">
            <v>0</v>
          </cell>
          <cell r="DE16">
            <v>3</v>
          </cell>
          <cell r="DF16">
            <v>189</v>
          </cell>
          <cell r="DG16">
            <v>51</v>
          </cell>
          <cell r="DH16">
            <v>0</v>
          </cell>
          <cell r="DI16">
            <v>17</v>
          </cell>
          <cell r="DJ16">
            <v>143</v>
          </cell>
          <cell r="DK16" t="str">
            <v>V</v>
          </cell>
          <cell r="DL16">
            <v>3</v>
          </cell>
          <cell r="DM16">
            <v>189</v>
          </cell>
          <cell r="DN16">
            <v>51</v>
          </cell>
          <cell r="DO16">
            <v>0</v>
          </cell>
          <cell r="DP16" t="str">
            <v>V</v>
          </cell>
          <cell r="DQ16">
            <v>143</v>
          </cell>
          <cell r="DR16" t="str">
            <v>V</v>
          </cell>
          <cell r="DS16" t="str">
            <v>V</v>
          </cell>
          <cell r="DT16">
            <v>189</v>
          </cell>
        </row>
        <row r="17">
          <cell r="B17" t="str">
            <v>TS 92 G RF EN 1-4</v>
          </cell>
          <cell r="D17" t="str">
            <v>x</v>
          </cell>
          <cell r="F17" t="str">
            <v>x</v>
          </cell>
          <cell r="H17" t="str">
            <v>x</v>
          </cell>
          <cell r="I17" t="str">
            <v>x</v>
          </cell>
          <cell r="J17" t="str">
            <v>x</v>
          </cell>
          <cell r="K17" t="str">
            <v>x</v>
          </cell>
          <cell r="O17" t="str">
            <v>D</v>
          </cell>
          <cell r="P17" t="str">
            <v>C</v>
          </cell>
          <cell r="R17" t="str">
            <v>C</v>
          </cell>
          <cell r="S17" t="str">
            <v>D</v>
          </cell>
          <cell r="U17" t="str">
            <v>x</v>
          </cell>
          <cell r="V17" t="str">
            <v>x</v>
          </cell>
          <cell r="AB17" t="str">
            <v>x</v>
          </cell>
          <cell r="AF17" t="str">
            <v>x</v>
          </cell>
          <cell r="AK17">
            <v>92</v>
          </cell>
          <cell r="AL17" t="str">
            <v>G</v>
          </cell>
          <cell r="AM17" t="str">
            <v>1-4</v>
          </cell>
          <cell r="AW17" t="str">
            <v>x</v>
          </cell>
          <cell r="BW17">
            <v>281</v>
          </cell>
          <cell r="BX17">
            <v>47</v>
          </cell>
          <cell r="BY17">
            <v>65</v>
          </cell>
          <cell r="BZ17">
            <v>442</v>
          </cell>
          <cell r="CA17">
            <v>23</v>
          </cell>
          <cell r="CB17">
            <v>31</v>
          </cell>
          <cell r="CC17">
            <v>16</v>
          </cell>
          <cell r="CD17">
            <v>375</v>
          </cell>
          <cell r="CE17">
            <v>25</v>
          </cell>
          <cell r="CF17">
            <v>25</v>
          </cell>
          <cell r="CG17">
            <v>140</v>
          </cell>
          <cell r="CH17">
            <v>89</v>
          </cell>
          <cell r="CI17">
            <v>515</v>
          </cell>
          <cell r="CJ17">
            <v>455</v>
          </cell>
          <cell r="CK17">
            <v>60</v>
          </cell>
          <cell r="CL17">
            <v>0</v>
          </cell>
          <cell r="CM17">
            <v>0</v>
          </cell>
          <cell r="CN17">
            <v>0</v>
          </cell>
          <cell r="CO17">
            <v>0</v>
          </cell>
          <cell r="CP17">
            <v>0</v>
          </cell>
          <cell r="CQ17">
            <v>0</v>
          </cell>
          <cell r="CR17">
            <v>0</v>
          </cell>
          <cell r="CS17">
            <v>0</v>
          </cell>
          <cell r="CT17">
            <v>0</v>
          </cell>
          <cell r="CU17">
            <v>0</v>
          </cell>
          <cell r="CV17">
            <v>0</v>
          </cell>
          <cell r="CW17">
            <v>0</v>
          </cell>
          <cell r="CX17">
            <v>0</v>
          </cell>
          <cell r="CY17">
            <v>0</v>
          </cell>
          <cell r="CZ17">
            <v>86</v>
          </cell>
          <cell r="DA17" t="str">
            <v>V</v>
          </cell>
          <cell r="DB17">
            <v>17</v>
          </cell>
          <cell r="DC17">
            <v>143</v>
          </cell>
          <cell r="DD17">
            <v>0</v>
          </cell>
          <cell r="DE17">
            <v>3</v>
          </cell>
          <cell r="DF17">
            <v>203</v>
          </cell>
          <cell r="DG17">
            <v>51</v>
          </cell>
          <cell r="DH17">
            <v>0</v>
          </cell>
          <cell r="DI17">
            <v>17</v>
          </cell>
          <cell r="DJ17">
            <v>143</v>
          </cell>
          <cell r="DK17" t="str">
            <v>V</v>
          </cell>
          <cell r="DL17">
            <v>3</v>
          </cell>
          <cell r="DM17">
            <v>203</v>
          </cell>
          <cell r="DN17">
            <v>51</v>
          </cell>
          <cell r="DO17">
            <v>0</v>
          </cell>
          <cell r="DP17" t="str">
            <v>V</v>
          </cell>
          <cell r="DQ17">
            <v>143</v>
          </cell>
          <cell r="DR17" t="str">
            <v>V</v>
          </cell>
          <cell r="DS17" t="str">
            <v>V</v>
          </cell>
          <cell r="DT17">
            <v>203</v>
          </cell>
        </row>
        <row r="18">
          <cell r="B18" t="str">
            <v>TS 93 EN 2-5</v>
          </cell>
          <cell r="D18" t="str">
            <v>x</v>
          </cell>
          <cell r="F18" t="str">
            <v>x</v>
          </cell>
          <cell r="I18" t="str">
            <v>x</v>
          </cell>
          <cell r="J18" t="str">
            <v>x</v>
          </cell>
          <cell r="K18" t="str">
            <v>x</v>
          </cell>
          <cell r="L18" t="str">
            <v>x</v>
          </cell>
          <cell r="O18" t="str">
            <v>A</v>
          </cell>
          <cell r="P18" t="str">
            <v>B</v>
          </cell>
          <cell r="R18" t="str">
            <v>A</v>
          </cell>
          <cell r="S18" t="str">
            <v>B</v>
          </cell>
          <cell r="U18" t="str">
            <v>x</v>
          </cell>
          <cell r="V18" t="str">
            <v>x</v>
          </cell>
          <cell r="X18" t="str">
            <v>x</v>
          </cell>
          <cell r="AA18" t="str">
            <v>x</v>
          </cell>
          <cell r="AF18" t="str">
            <v>x</v>
          </cell>
          <cell r="AK18">
            <v>93</v>
          </cell>
          <cell r="AL18" t="str">
            <v>B</v>
          </cell>
          <cell r="AM18" t="str">
            <v>2-5</v>
          </cell>
          <cell r="AV18" t="str">
            <v>x</v>
          </cell>
          <cell r="BW18">
            <v>275</v>
          </cell>
          <cell r="BX18">
            <v>53</v>
          </cell>
          <cell r="BY18">
            <v>60</v>
          </cell>
          <cell r="BZ18">
            <v>442</v>
          </cell>
          <cell r="CA18">
            <v>23</v>
          </cell>
          <cell r="CB18">
            <v>31</v>
          </cell>
          <cell r="CC18">
            <v>16</v>
          </cell>
          <cell r="CD18">
            <v>375</v>
          </cell>
          <cell r="CE18">
            <v>30</v>
          </cell>
          <cell r="CF18">
            <v>30</v>
          </cell>
          <cell r="CG18">
            <v>175</v>
          </cell>
          <cell r="CH18">
            <v>91</v>
          </cell>
          <cell r="CI18">
            <v>407</v>
          </cell>
          <cell r="CJ18">
            <v>361</v>
          </cell>
          <cell r="CK18">
            <v>46</v>
          </cell>
          <cell r="CL18">
            <v>84</v>
          </cell>
          <cell r="CM18">
            <v>0</v>
          </cell>
          <cell r="CN18">
            <v>4</v>
          </cell>
          <cell r="CO18">
            <v>143</v>
          </cell>
          <cell r="CP18" t="str">
            <v>V</v>
          </cell>
          <cell r="CQ18">
            <v>16</v>
          </cell>
          <cell r="CR18">
            <v>189</v>
          </cell>
          <cell r="CS18">
            <v>84</v>
          </cell>
          <cell r="CT18" t="str">
            <v>V</v>
          </cell>
          <cell r="CU18">
            <v>4</v>
          </cell>
          <cell r="CV18">
            <v>143</v>
          </cell>
          <cell r="CW18">
            <v>0</v>
          </cell>
          <cell r="CX18">
            <v>16</v>
          </cell>
          <cell r="CY18">
            <v>189</v>
          </cell>
          <cell r="CZ18">
            <v>0</v>
          </cell>
          <cell r="DA18">
            <v>0</v>
          </cell>
          <cell r="DB18">
            <v>0</v>
          </cell>
          <cell r="DC18">
            <v>0</v>
          </cell>
          <cell r="DD18">
            <v>0</v>
          </cell>
          <cell r="DE18">
            <v>0</v>
          </cell>
          <cell r="DF18">
            <v>0</v>
          </cell>
          <cell r="DG18">
            <v>0</v>
          </cell>
          <cell r="DH18">
            <v>0</v>
          </cell>
          <cell r="DI18">
            <v>0</v>
          </cell>
          <cell r="DJ18">
            <v>0</v>
          </cell>
          <cell r="DK18">
            <v>0</v>
          </cell>
          <cell r="DL18">
            <v>0</v>
          </cell>
          <cell r="DM18">
            <v>0</v>
          </cell>
          <cell r="DN18">
            <v>0</v>
          </cell>
          <cell r="DO18">
            <v>0</v>
          </cell>
          <cell r="DP18">
            <v>0</v>
          </cell>
          <cell r="DQ18">
            <v>0</v>
          </cell>
          <cell r="DR18">
            <v>0</v>
          </cell>
          <cell r="DS18">
            <v>0</v>
          </cell>
          <cell r="DT18">
            <v>0</v>
          </cell>
        </row>
        <row r="19">
          <cell r="B19" t="str">
            <v>TS 93 RF EN 2-5</v>
          </cell>
          <cell r="D19" t="str">
            <v>x</v>
          </cell>
          <cell r="F19" t="str">
            <v>x</v>
          </cell>
          <cell r="I19" t="str">
            <v>x</v>
          </cell>
          <cell r="J19" t="str">
            <v>x</v>
          </cell>
          <cell r="K19" t="str">
            <v>x</v>
          </cell>
          <cell r="L19" t="str">
            <v>x</v>
          </cell>
          <cell r="O19" t="str">
            <v>A</v>
          </cell>
          <cell r="P19" t="str">
            <v>B</v>
          </cell>
          <cell r="R19" t="str">
            <v>A</v>
          </cell>
          <cell r="S19" t="str">
            <v>B</v>
          </cell>
          <cell r="U19" t="str">
            <v>x</v>
          </cell>
          <cell r="V19" t="str">
            <v>x</v>
          </cell>
          <cell r="X19" t="str">
            <v>x</v>
          </cell>
          <cell r="AA19" t="str">
            <v>x</v>
          </cell>
          <cell r="AB19" t="str">
            <v>x</v>
          </cell>
          <cell r="AF19" t="str">
            <v>x</v>
          </cell>
          <cell r="AK19">
            <v>93</v>
          </cell>
          <cell r="AL19" t="str">
            <v>B</v>
          </cell>
          <cell r="AM19" t="str">
            <v>2-5</v>
          </cell>
          <cell r="AW19" t="str">
            <v>x</v>
          </cell>
          <cell r="BW19">
            <v>275</v>
          </cell>
          <cell r="BX19">
            <v>53</v>
          </cell>
          <cell r="BY19">
            <v>60</v>
          </cell>
          <cell r="BZ19">
            <v>442</v>
          </cell>
          <cell r="CA19">
            <v>23</v>
          </cell>
          <cell r="CB19">
            <v>31</v>
          </cell>
          <cell r="CC19">
            <v>16</v>
          </cell>
          <cell r="CD19">
            <v>375</v>
          </cell>
          <cell r="CE19">
            <v>30</v>
          </cell>
          <cell r="CF19">
            <v>30</v>
          </cell>
          <cell r="CG19">
            <v>175</v>
          </cell>
          <cell r="CH19">
            <v>91</v>
          </cell>
          <cell r="CI19">
            <v>407</v>
          </cell>
          <cell r="CJ19">
            <v>347</v>
          </cell>
          <cell r="CK19">
            <v>60</v>
          </cell>
          <cell r="CL19">
            <v>84</v>
          </cell>
          <cell r="CM19">
            <v>0</v>
          </cell>
          <cell r="CN19">
            <v>4</v>
          </cell>
          <cell r="CO19">
            <v>143</v>
          </cell>
          <cell r="CP19" t="str">
            <v>V</v>
          </cell>
          <cell r="CQ19">
            <v>16</v>
          </cell>
          <cell r="CR19">
            <v>203</v>
          </cell>
          <cell r="CS19">
            <v>84</v>
          </cell>
          <cell r="CT19" t="str">
            <v>V</v>
          </cell>
          <cell r="CU19">
            <v>4</v>
          </cell>
          <cell r="CV19">
            <v>143</v>
          </cell>
          <cell r="CW19">
            <v>0</v>
          </cell>
          <cell r="CX19">
            <v>16</v>
          </cell>
          <cell r="CY19">
            <v>203</v>
          </cell>
          <cell r="CZ19">
            <v>0</v>
          </cell>
          <cell r="DA19">
            <v>0</v>
          </cell>
          <cell r="DB19">
            <v>0</v>
          </cell>
          <cell r="DC19">
            <v>0</v>
          </cell>
          <cell r="DD19">
            <v>0</v>
          </cell>
          <cell r="DE19">
            <v>0</v>
          </cell>
          <cell r="DF19">
            <v>0</v>
          </cell>
          <cell r="DG19">
            <v>0</v>
          </cell>
          <cell r="DH19">
            <v>0</v>
          </cell>
          <cell r="DI19">
            <v>0</v>
          </cell>
          <cell r="DJ19">
            <v>0</v>
          </cell>
          <cell r="DK19">
            <v>0</v>
          </cell>
          <cell r="DL19">
            <v>0</v>
          </cell>
          <cell r="DM19">
            <v>0</v>
          </cell>
          <cell r="DN19">
            <v>0</v>
          </cell>
          <cell r="DO19">
            <v>0</v>
          </cell>
          <cell r="DP19">
            <v>0</v>
          </cell>
          <cell r="DQ19">
            <v>0</v>
          </cell>
          <cell r="DR19">
            <v>0</v>
          </cell>
          <cell r="DS19">
            <v>0</v>
          </cell>
          <cell r="DT19">
            <v>0</v>
          </cell>
        </row>
        <row r="20">
          <cell r="B20" t="str">
            <v>TS 93 EMF EN 2-5</v>
          </cell>
          <cell r="D20" t="str">
            <v>x</v>
          </cell>
          <cell r="F20" t="str">
            <v>x</v>
          </cell>
          <cell r="I20" t="str">
            <v>x</v>
          </cell>
          <cell r="J20" t="str">
            <v>x</v>
          </cell>
          <cell r="K20" t="str">
            <v>x</v>
          </cell>
          <cell r="L20" t="str">
            <v>x</v>
          </cell>
          <cell r="O20" t="str">
            <v>x</v>
          </cell>
          <cell r="R20" t="str">
            <v>x</v>
          </cell>
          <cell r="U20" t="str">
            <v>x</v>
          </cell>
          <cell r="V20" t="str">
            <v>x</v>
          </cell>
          <cell r="X20" t="str">
            <v>x</v>
          </cell>
          <cell r="AA20" t="str">
            <v>x</v>
          </cell>
          <cell r="AC20" t="str">
            <v>x</v>
          </cell>
          <cell r="AE20" t="str">
            <v>x</v>
          </cell>
          <cell r="AF20" t="str">
            <v>x</v>
          </cell>
          <cell r="AK20">
            <v>93</v>
          </cell>
          <cell r="AL20" t="str">
            <v>B</v>
          </cell>
          <cell r="AM20" t="str">
            <v>2-5</v>
          </cell>
          <cell r="AX20" t="str">
            <v>x</v>
          </cell>
          <cell r="BW20">
            <v>275</v>
          </cell>
          <cell r="BX20">
            <v>53</v>
          </cell>
          <cell r="BY20">
            <v>60</v>
          </cell>
          <cell r="BZ20">
            <v>518</v>
          </cell>
          <cell r="CA20">
            <v>30</v>
          </cell>
          <cell r="CB20">
            <v>40</v>
          </cell>
          <cell r="CC20">
            <v>20</v>
          </cell>
          <cell r="CD20">
            <v>375</v>
          </cell>
          <cell r="CE20">
            <v>30</v>
          </cell>
          <cell r="CF20">
            <v>30</v>
          </cell>
          <cell r="CG20">
            <v>175</v>
          </cell>
          <cell r="CH20">
            <v>91</v>
          </cell>
          <cell r="CI20">
            <v>466</v>
          </cell>
          <cell r="CJ20">
            <v>306</v>
          </cell>
          <cell r="CK20">
            <v>160</v>
          </cell>
          <cell r="CL20">
            <v>84</v>
          </cell>
          <cell r="CM20">
            <v>0</v>
          </cell>
          <cell r="CN20">
            <v>4</v>
          </cell>
          <cell r="CO20">
            <v>84</v>
          </cell>
          <cell r="CP20" t="str">
            <v>V</v>
          </cell>
          <cell r="CQ20">
            <v>16</v>
          </cell>
          <cell r="CR20">
            <v>244</v>
          </cell>
          <cell r="CS20">
            <v>0</v>
          </cell>
          <cell r="CT20">
            <v>0</v>
          </cell>
          <cell r="CU20">
            <v>0</v>
          </cell>
          <cell r="CV20">
            <v>0</v>
          </cell>
          <cell r="CW20">
            <v>0</v>
          </cell>
          <cell r="CX20">
            <v>0</v>
          </cell>
          <cell r="CY20">
            <v>0</v>
          </cell>
          <cell r="CZ20">
            <v>0</v>
          </cell>
          <cell r="DA20">
            <v>0</v>
          </cell>
          <cell r="DB20">
            <v>0</v>
          </cell>
          <cell r="DC20">
            <v>0</v>
          </cell>
          <cell r="DD20">
            <v>0</v>
          </cell>
          <cell r="DE20">
            <v>0</v>
          </cell>
          <cell r="DF20">
            <v>0</v>
          </cell>
          <cell r="DG20">
            <v>0</v>
          </cell>
          <cell r="DH20">
            <v>0</v>
          </cell>
          <cell r="DI20">
            <v>0</v>
          </cell>
          <cell r="DJ20">
            <v>0</v>
          </cell>
          <cell r="DK20">
            <v>0</v>
          </cell>
          <cell r="DL20">
            <v>0</v>
          </cell>
          <cell r="DM20">
            <v>0</v>
          </cell>
          <cell r="DN20">
            <v>0</v>
          </cell>
          <cell r="DO20">
            <v>0</v>
          </cell>
          <cell r="DP20">
            <v>0</v>
          </cell>
          <cell r="DQ20">
            <v>0</v>
          </cell>
          <cell r="DR20">
            <v>0</v>
          </cell>
          <cell r="DS20">
            <v>0</v>
          </cell>
          <cell r="DT20">
            <v>0</v>
          </cell>
        </row>
        <row r="21">
          <cell r="B21" t="str">
            <v>TS 93 EMR EN 2-5</v>
          </cell>
          <cell r="D21" t="str">
            <v>x</v>
          </cell>
          <cell r="F21" t="str">
            <v>x</v>
          </cell>
          <cell r="I21" t="str">
            <v>x</v>
          </cell>
          <cell r="J21" t="str">
            <v>x</v>
          </cell>
          <cell r="K21" t="str">
            <v>x</v>
          </cell>
          <cell r="L21" t="str">
            <v>x</v>
          </cell>
          <cell r="O21" t="str">
            <v>x</v>
          </cell>
          <cell r="R21" t="str">
            <v>x</v>
          </cell>
          <cell r="U21" t="str">
            <v>x</v>
          </cell>
          <cell r="V21" t="str">
            <v>x</v>
          </cell>
          <cell r="X21" t="str">
            <v>x</v>
          </cell>
          <cell r="AA21" t="str">
            <v>x</v>
          </cell>
          <cell r="AC21" t="str">
            <v>x</v>
          </cell>
          <cell r="AD21" t="str">
            <v>x</v>
          </cell>
          <cell r="AF21" t="str">
            <v>x</v>
          </cell>
          <cell r="AK21">
            <v>93</v>
          </cell>
          <cell r="AL21" t="str">
            <v>B</v>
          </cell>
          <cell r="AM21" t="str">
            <v>2-5</v>
          </cell>
          <cell r="AY21" t="str">
            <v>x</v>
          </cell>
          <cell r="BW21">
            <v>275</v>
          </cell>
          <cell r="BX21">
            <v>53</v>
          </cell>
          <cell r="BY21">
            <v>60</v>
          </cell>
          <cell r="BZ21">
            <v>864</v>
          </cell>
          <cell r="CA21">
            <v>30</v>
          </cell>
          <cell r="CB21">
            <v>40</v>
          </cell>
          <cell r="CC21">
            <v>20</v>
          </cell>
          <cell r="CD21">
            <v>375</v>
          </cell>
          <cell r="CE21">
            <v>30</v>
          </cell>
          <cell r="CF21">
            <v>30</v>
          </cell>
          <cell r="CG21">
            <v>175</v>
          </cell>
          <cell r="CH21">
            <v>91</v>
          </cell>
          <cell r="CI21">
            <v>466</v>
          </cell>
          <cell r="CJ21">
            <v>260</v>
          </cell>
          <cell r="CK21">
            <v>206</v>
          </cell>
          <cell r="CL21">
            <v>84</v>
          </cell>
          <cell r="CM21">
            <v>0</v>
          </cell>
          <cell r="CN21">
            <v>4</v>
          </cell>
          <cell r="CO21">
            <v>84</v>
          </cell>
          <cell r="CP21" t="str">
            <v>V</v>
          </cell>
          <cell r="CQ21">
            <v>16</v>
          </cell>
          <cell r="CR21">
            <v>290</v>
          </cell>
          <cell r="CS21">
            <v>0</v>
          </cell>
          <cell r="CT21">
            <v>0</v>
          </cell>
          <cell r="CU21">
            <v>0</v>
          </cell>
          <cell r="CV21">
            <v>0</v>
          </cell>
          <cell r="CW21">
            <v>0</v>
          </cell>
          <cell r="CX21">
            <v>0</v>
          </cell>
          <cell r="CY21">
            <v>0</v>
          </cell>
          <cell r="CZ21">
            <v>0</v>
          </cell>
          <cell r="DA21">
            <v>0</v>
          </cell>
          <cell r="DB21">
            <v>0</v>
          </cell>
          <cell r="DC21">
            <v>0</v>
          </cell>
          <cell r="DD21">
            <v>0</v>
          </cell>
          <cell r="DE21">
            <v>0</v>
          </cell>
          <cell r="DF21">
            <v>0</v>
          </cell>
          <cell r="DG21">
            <v>0</v>
          </cell>
          <cell r="DH21">
            <v>0</v>
          </cell>
          <cell r="DI21">
            <v>0</v>
          </cell>
          <cell r="DJ21">
            <v>0</v>
          </cell>
          <cell r="DK21">
            <v>0</v>
          </cell>
          <cell r="DL21">
            <v>0</v>
          </cell>
          <cell r="DM21">
            <v>0</v>
          </cell>
          <cell r="DN21">
            <v>0</v>
          </cell>
          <cell r="DO21">
            <v>0</v>
          </cell>
          <cell r="DP21">
            <v>0</v>
          </cell>
          <cell r="DQ21">
            <v>0</v>
          </cell>
          <cell r="DR21">
            <v>0</v>
          </cell>
          <cell r="DS21">
            <v>0</v>
          </cell>
          <cell r="DT21">
            <v>0</v>
          </cell>
        </row>
        <row r="22">
          <cell r="B22" t="str">
            <v>TS 93 GSR EN 2-5</v>
          </cell>
          <cell r="E22" t="str">
            <v>x</v>
          </cell>
          <cell r="F22" t="str">
            <v>x</v>
          </cell>
          <cell r="I22" t="str">
            <v>x</v>
          </cell>
          <cell r="J22" t="str">
            <v>x</v>
          </cell>
          <cell r="K22" t="str">
            <v>x</v>
          </cell>
          <cell r="L22" t="str">
            <v>x</v>
          </cell>
          <cell r="O22" t="str">
            <v>x</v>
          </cell>
          <cell r="R22" t="str">
            <v>x</v>
          </cell>
          <cell r="U22" t="str">
            <v>x</v>
          </cell>
          <cell r="V22" t="str">
            <v>x</v>
          </cell>
          <cell r="W22" t="str">
            <v>x</v>
          </cell>
          <cell r="X22" t="str">
            <v>x</v>
          </cell>
          <cell r="AA22" t="str">
            <v>x</v>
          </cell>
          <cell r="AF22" t="str">
            <v>x</v>
          </cell>
          <cell r="AK22">
            <v>93</v>
          </cell>
          <cell r="AL22" t="str">
            <v>B</v>
          </cell>
          <cell r="AM22" t="str">
            <v>2-5</v>
          </cell>
          <cell r="AZ22" t="str">
            <v>x</v>
          </cell>
          <cell r="BW22">
            <v>275</v>
          </cell>
          <cell r="BX22">
            <v>53</v>
          </cell>
          <cell r="BY22">
            <v>60</v>
          </cell>
          <cell r="BZ22" t="str">
            <v>V</v>
          </cell>
          <cell r="CA22">
            <v>30</v>
          </cell>
          <cell r="CB22">
            <v>34</v>
          </cell>
          <cell r="CC22">
            <v>17</v>
          </cell>
          <cell r="CD22">
            <v>375</v>
          </cell>
          <cell r="CE22">
            <v>30</v>
          </cell>
          <cell r="CF22">
            <v>30</v>
          </cell>
          <cell r="CG22">
            <v>175</v>
          </cell>
          <cell r="CH22">
            <v>91</v>
          </cell>
          <cell r="CI22">
            <v>466</v>
          </cell>
          <cell r="CJ22">
            <v>415</v>
          </cell>
          <cell r="CK22">
            <v>51</v>
          </cell>
          <cell r="CL22">
            <v>84</v>
          </cell>
          <cell r="CM22">
            <v>0</v>
          </cell>
          <cell r="CN22">
            <v>4</v>
          </cell>
          <cell r="CO22">
            <v>84</v>
          </cell>
          <cell r="CP22" t="str">
            <v>V</v>
          </cell>
          <cell r="CQ22">
            <v>13</v>
          </cell>
          <cell r="CR22">
            <v>135</v>
          </cell>
          <cell r="CS22">
            <v>0</v>
          </cell>
          <cell r="CT22">
            <v>0</v>
          </cell>
          <cell r="CU22">
            <v>0</v>
          </cell>
          <cell r="CV22">
            <v>0</v>
          </cell>
          <cell r="CW22">
            <v>0</v>
          </cell>
          <cell r="CX22">
            <v>0</v>
          </cell>
          <cell r="CY22">
            <v>0</v>
          </cell>
          <cell r="CZ22">
            <v>0</v>
          </cell>
          <cell r="DA22">
            <v>0</v>
          </cell>
          <cell r="DB22">
            <v>0</v>
          </cell>
          <cell r="DC22">
            <v>0</v>
          </cell>
          <cell r="DD22">
            <v>0</v>
          </cell>
          <cell r="DE22">
            <v>0</v>
          </cell>
          <cell r="DF22">
            <v>0</v>
          </cell>
          <cell r="DG22">
            <v>0</v>
          </cell>
          <cell r="DH22">
            <v>0</v>
          </cell>
          <cell r="DI22">
            <v>0</v>
          </cell>
          <cell r="DJ22">
            <v>0</v>
          </cell>
          <cell r="DK22">
            <v>0</v>
          </cell>
          <cell r="DL22">
            <v>0</v>
          </cell>
          <cell r="DM22">
            <v>0</v>
          </cell>
          <cell r="DN22">
            <v>0</v>
          </cell>
          <cell r="DO22">
            <v>0</v>
          </cell>
          <cell r="DP22">
            <v>0</v>
          </cell>
          <cell r="DQ22">
            <v>0</v>
          </cell>
          <cell r="DR22">
            <v>0</v>
          </cell>
          <cell r="DS22">
            <v>0</v>
          </cell>
          <cell r="DT22">
            <v>0</v>
          </cell>
        </row>
        <row r="23">
          <cell r="B23" t="str">
            <v>TS 93 GSR RF EN 2-5</v>
          </cell>
          <cell r="E23" t="str">
            <v>x</v>
          </cell>
          <cell r="F23" t="str">
            <v>x</v>
          </cell>
          <cell r="I23" t="str">
            <v>x</v>
          </cell>
          <cell r="J23" t="str">
            <v>x</v>
          </cell>
          <cell r="K23" t="str">
            <v>x</v>
          </cell>
          <cell r="L23" t="str">
            <v>x</v>
          </cell>
          <cell r="O23" t="str">
            <v>x</v>
          </cell>
          <cell r="R23" t="str">
            <v>x</v>
          </cell>
          <cell r="U23" t="str">
            <v>x</v>
          </cell>
          <cell r="V23" t="str">
            <v>x</v>
          </cell>
          <cell r="W23" t="str">
            <v>x</v>
          </cell>
          <cell r="X23" t="str">
            <v>x</v>
          </cell>
          <cell r="AA23" t="str">
            <v>x</v>
          </cell>
          <cell r="AF23" t="str">
            <v>x</v>
          </cell>
          <cell r="AK23">
            <v>93</v>
          </cell>
          <cell r="AL23" t="str">
            <v>B</v>
          </cell>
          <cell r="AM23" t="str">
            <v>2-5</v>
          </cell>
          <cell r="BA23" t="str">
            <v>x</v>
          </cell>
          <cell r="BW23">
            <v>275</v>
          </cell>
          <cell r="BX23">
            <v>53</v>
          </cell>
          <cell r="BY23">
            <v>60</v>
          </cell>
          <cell r="BZ23" t="str">
            <v>V</v>
          </cell>
          <cell r="CA23">
            <v>30</v>
          </cell>
          <cell r="CB23">
            <v>34</v>
          </cell>
          <cell r="CC23">
            <v>17</v>
          </cell>
          <cell r="CD23">
            <v>375</v>
          </cell>
          <cell r="CE23">
            <v>30</v>
          </cell>
          <cell r="CF23">
            <v>30</v>
          </cell>
          <cell r="CG23">
            <v>175</v>
          </cell>
          <cell r="CH23">
            <v>91</v>
          </cell>
          <cell r="CI23">
            <v>466</v>
          </cell>
          <cell r="CJ23">
            <v>415</v>
          </cell>
          <cell r="CK23">
            <v>51</v>
          </cell>
          <cell r="CL23">
            <v>84</v>
          </cell>
          <cell r="CM23">
            <v>0</v>
          </cell>
          <cell r="CN23">
            <v>4</v>
          </cell>
          <cell r="CO23">
            <v>84</v>
          </cell>
          <cell r="CP23" t="str">
            <v>V</v>
          </cell>
          <cell r="CQ23">
            <v>13</v>
          </cell>
          <cell r="CR23">
            <v>135</v>
          </cell>
          <cell r="CS23">
            <v>0</v>
          </cell>
          <cell r="CT23">
            <v>0</v>
          </cell>
          <cell r="CU23">
            <v>0</v>
          </cell>
          <cell r="CV23">
            <v>0</v>
          </cell>
          <cell r="CW23">
            <v>0</v>
          </cell>
          <cell r="CX23">
            <v>0</v>
          </cell>
          <cell r="CY23">
            <v>0</v>
          </cell>
          <cell r="CZ23">
            <v>0</v>
          </cell>
          <cell r="DA23">
            <v>0</v>
          </cell>
          <cell r="DB23">
            <v>0</v>
          </cell>
          <cell r="DC23">
            <v>0</v>
          </cell>
          <cell r="DD23">
            <v>0</v>
          </cell>
          <cell r="DE23">
            <v>0</v>
          </cell>
          <cell r="DF23">
            <v>0</v>
          </cell>
          <cell r="DG23">
            <v>0</v>
          </cell>
          <cell r="DH23">
            <v>0</v>
          </cell>
          <cell r="DI23">
            <v>0</v>
          </cell>
          <cell r="DJ23">
            <v>0</v>
          </cell>
          <cell r="DK23">
            <v>0</v>
          </cell>
          <cell r="DL23">
            <v>0</v>
          </cell>
          <cell r="DM23">
            <v>0</v>
          </cell>
          <cell r="DN23">
            <v>0</v>
          </cell>
          <cell r="DO23">
            <v>0</v>
          </cell>
          <cell r="DP23">
            <v>0</v>
          </cell>
          <cell r="DQ23">
            <v>0</v>
          </cell>
          <cell r="DR23">
            <v>0</v>
          </cell>
          <cell r="DS23">
            <v>0</v>
          </cell>
          <cell r="DT23">
            <v>0</v>
          </cell>
        </row>
        <row r="24">
          <cell r="B24" t="str">
            <v>TS 93 GSR-EMF 1 EN 2-5</v>
          </cell>
          <cell r="E24" t="str">
            <v>x</v>
          </cell>
          <cell r="F24" t="str">
            <v>x</v>
          </cell>
          <cell r="I24" t="str">
            <v>x</v>
          </cell>
          <cell r="J24" t="str">
            <v>x</v>
          </cell>
          <cell r="K24" t="str">
            <v>x</v>
          </cell>
          <cell r="L24" t="str">
            <v>x</v>
          </cell>
          <cell r="O24" t="str">
            <v>x</v>
          </cell>
          <cell r="R24" t="str">
            <v>x</v>
          </cell>
          <cell r="U24" t="str">
            <v>x</v>
          </cell>
          <cell r="V24" t="str">
            <v>x</v>
          </cell>
          <cell r="W24" t="str">
            <v>x</v>
          </cell>
          <cell r="X24" t="str">
            <v>x</v>
          </cell>
          <cell r="AA24" t="str">
            <v>x</v>
          </cell>
          <cell r="AC24" t="str">
            <v>x</v>
          </cell>
          <cell r="AE24" t="str">
            <v>x</v>
          </cell>
          <cell r="AF24" t="str">
            <v>x</v>
          </cell>
          <cell r="AK24">
            <v>93</v>
          </cell>
          <cell r="AL24" t="str">
            <v>B</v>
          </cell>
          <cell r="AM24" t="str">
            <v>2-5</v>
          </cell>
          <cell r="BB24" t="str">
            <v>x</v>
          </cell>
          <cell r="BW24">
            <v>275</v>
          </cell>
          <cell r="BX24">
            <v>53</v>
          </cell>
          <cell r="BY24">
            <v>60</v>
          </cell>
          <cell r="BZ24" t="str">
            <v>V</v>
          </cell>
          <cell r="CA24">
            <v>30</v>
          </cell>
          <cell r="CB24">
            <v>55</v>
          </cell>
          <cell r="CC24">
            <v>28</v>
          </cell>
          <cell r="CD24">
            <v>375</v>
          </cell>
          <cell r="CE24">
            <v>30</v>
          </cell>
          <cell r="CF24">
            <v>30</v>
          </cell>
          <cell r="CG24">
            <v>175</v>
          </cell>
          <cell r="CH24">
            <v>91</v>
          </cell>
          <cell r="CI24">
            <v>466</v>
          </cell>
          <cell r="CJ24">
            <v>302</v>
          </cell>
          <cell r="CK24">
            <v>164</v>
          </cell>
          <cell r="CL24">
            <v>84</v>
          </cell>
          <cell r="CM24">
            <v>0</v>
          </cell>
          <cell r="CN24">
            <v>4</v>
          </cell>
          <cell r="CO24">
            <v>84</v>
          </cell>
          <cell r="CP24" t="str">
            <v>V</v>
          </cell>
          <cell r="CQ24">
            <v>13</v>
          </cell>
          <cell r="CR24">
            <v>248</v>
          </cell>
          <cell r="CS24">
            <v>0</v>
          </cell>
          <cell r="CT24">
            <v>0</v>
          </cell>
          <cell r="CU24">
            <v>0</v>
          </cell>
          <cell r="CV24">
            <v>0</v>
          </cell>
          <cell r="CW24">
            <v>0</v>
          </cell>
          <cell r="CX24">
            <v>0</v>
          </cell>
          <cell r="CY24">
            <v>0</v>
          </cell>
          <cell r="CZ24">
            <v>0</v>
          </cell>
          <cell r="DA24">
            <v>0</v>
          </cell>
          <cell r="DB24">
            <v>0</v>
          </cell>
          <cell r="DC24">
            <v>0</v>
          </cell>
          <cell r="DD24">
            <v>0</v>
          </cell>
          <cell r="DE24">
            <v>0</v>
          </cell>
          <cell r="DF24">
            <v>0</v>
          </cell>
          <cell r="DG24">
            <v>0</v>
          </cell>
          <cell r="DH24">
            <v>0</v>
          </cell>
          <cell r="DI24">
            <v>0</v>
          </cell>
          <cell r="DJ24">
            <v>0</v>
          </cell>
          <cell r="DK24">
            <v>0</v>
          </cell>
          <cell r="DL24">
            <v>0</v>
          </cell>
          <cell r="DM24">
            <v>0</v>
          </cell>
          <cell r="DN24">
            <v>0</v>
          </cell>
          <cell r="DO24">
            <v>0</v>
          </cell>
          <cell r="DP24">
            <v>0</v>
          </cell>
          <cell r="DQ24">
            <v>0</v>
          </cell>
          <cell r="DR24">
            <v>0</v>
          </cell>
          <cell r="DS24">
            <v>0</v>
          </cell>
          <cell r="DT24">
            <v>0</v>
          </cell>
        </row>
        <row r="25">
          <cell r="B25" t="str">
            <v>TS 93 GSR-EMF 1G EN 2-5</v>
          </cell>
          <cell r="E25" t="str">
            <v>x</v>
          </cell>
          <cell r="F25" t="str">
            <v>x</v>
          </cell>
          <cell r="I25" t="str">
            <v>x</v>
          </cell>
          <cell r="J25" t="str">
            <v>x</v>
          </cell>
          <cell r="K25" t="str">
            <v>x</v>
          </cell>
          <cell r="L25" t="str">
            <v>x</v>
          </cell>
          <cell r="O25" t="str">
            <v>x</v>
          </cell>
          <cell r="R25" t="str">
            <v>x</v>
          </cell>
          <cell r="U25" t="str">
            <v>x</v>
          </cell>
          <cell r="V25" t="str">
            <v>x</v>
          </cell>
          <cell r="W25" t="str">
            <v>x</v>
          </cell>
          <cell r="X25" t="str">
            <v>x</v>
          </cell>
          <cell r="AA25" t="str">
            <v>x</v>
          </cell>
          <cell r="AC25" t="str">
            <v>x</v>
          </cell>
          <cell r="AE25" t="str">
            <v>x</v>
          </cell>
          <cell r="AF25" t="str">
            <v>x</v>
          </cell>
          <cell r="AK25">
            <v>93</v>
          </cell>
          <cell r="AL25" t="str">
            <v>B</v>
          </cell>
          <cell r="AM25" t="str">
            <v>2-5</v>
          </cell>
          <cell r="BC25" t="str">
            <v>x</v>
          </cell>
          <cell r="BW25">
            <v>275</v>
          </cell>
          <cell r="BX25">
            <v>53</v>
          </cell>
          <cell r="BY25">
            <v>60</v>
          </cell>
          <cell r="BZ25" t="str">
            <v>V</v>
          </cell>
          <cell r="CA25">
            <v>30</v>
          </cell>
          <cell r="CB25">
            <v>55</v>
          </cell>
          <cell r="CC25">
            <v>28</v>
          </cell>
          <cell r="CD25">
            <v>375</v>
          </cell>
          <cell r="CE25">
            <v>30</v>
          </cell>
          <cell r="CF25">
            <v>30</v>
          </cell>
          <cell r="CG25">
            <v>175</v>
          </cell>
          <cell r="CH25">
            <v>91</v>
          </cell>
          <cell r="CI25">
            <v>466</v>
          </cell>
          <cell r="CJ25">
            <v>302</v>
          </cell>
          <cell r="CK25">
            <v>164</v>
          </cell>
          <cell r="CL25">
            <v>84</v>
          </cell>
          <cell r="CM25">
            <v>0</v>
          </cell>
          <cell r="CN25">
            <v>4</v>
          </cell>
          <cell r="CO25">
            <v>84</v>
          </cell>
          <cell r="CP25" t="str">
            <v>V</v>
          </cell>
          <cell r="CQ25">
            <v>13</v>
          </cell>
          <cell r="CR25">
            <v>248</v>
          </cell>
          <cell r="CS25">
            <v>0</v>
          </cell>
          <cell r="CT25">
            <v>0</v>
          </cell>
          <cell r="CU25">
            <v>0</v>
          </cell>
          <cell r="CV25">
            <v>0</v>
          </cell>
          <cell r="CW25">
            <v>0</v>
          </cell>
          <cell r="CX25">
            <v>0</v>
          </cell>
          <cell r="CY25">
            <v>0</v>
          </cell>
          <cell r="CZ25">
            <v>0</v>
          </cell>
          <cell r="DA25">
            <v>0</v>
          </cell>
          <cell r="DB25">
            <v>0</v>
          </cell>
          <cell r="DC25">
            <v>0</v>
          </cell>
          <cell r="DD25">
            <v>0</v>
          </cell>
          <cell r="DE25">
            <v>0</v>
          </cell>
          <cell r="DF25">
            <v>0</v>
          </cell>
          <cell r="DG25">
            <v>0</v>
          </cell>
          <cell r="DH25">
            <v>0</v>
          </cell>
          <cell r="DI25">
            <v>0</v>
          </cell>
          <cell r="DJ25">
            <v>0</v>
          </cell>
          <cell r="DK25">
            <v>0</v>
          </cell>
          <cell r="DL25">
            <v>0</v>
          </cell>
          <cell r="DM25">
            <v>0</v>
          </cell>
          <cell r="DN25">
            <v>0</v>
          </cell>
          <cell r="DO25">
            <v>0</v>
          </cell>
          <cell r="DP25">
            <v>0</v>
          </cell>
          <cell r="DQ25">
            <v>0</v>
          </cell>
          <cell r="DR25">
            <v>0</v>
          </cell>
          <cell r="DS25">
            <v>0</v>
          </cell>
          <cell r="DT25">
            <v>0</v>
          </cell>
        </row>
        <row r="26">
          <cell r="B26" t="str">
            <v>TS 93 GSR-EMF 2 EN 2-5</v>
          </cell>
          <cell r="E26" t="str">
            <v>x</v>
          </cell>
          <cell r="F26" t="str">
            <v>x</v>
          </cell>
          <cell r="I26" t="str">
            <v>x</v>
          </cell>
          <cell r="J26" t="str">
            <v>x</v>
          </cell>
          <cell r="K26" t="str">
            <v>x</v>
          </cell>
          <cell r="L26" t="str">
            <v>x</v>
          </cell>
          <cell r="O26" t="str">
            <v>x</v>
          </cell>
          <cell r="R26" t="str">
            <v>x</v>
          </cell>
          <cell r="U26" t="str">
            <v>x</v>
          </cell>
          <cell r="V26" t="str">
            <v>x</v>
          </cell>
          <cell r="W26" t="str">
            <v>x</v>
          </cell>
          <cell r="X26" t="str">
            <v>x</v>
          </cell>
          <cell r="AA26" t="str">
            <v>x</v>
          </cell>
          <cell r="AC26" t="str">
            <v>x</v>
          </cell>
          <cell r="AE26" t="str">
            <v>x</v>
          </cell>
          <cell r="AF26" t="str">
            <v>x</v>
          </cell>
          <cell r="AK26">
            <v>93</v>
          </cell>
          <cell r="AL26" t="str">
            <v>B</v>
          </cell>
          <cell r="AM26" t="str">
            <v>2-5</v>
          </cell>
          <cell r="BD26" t="str">
            <v>x</v>
          </cell>
          <cell r="BW26">
            <v>275</v>
          </cell>
          <cell r="BX26">
            <v>53</v>
          </cell>
          <cell r="BY26">
            <v>60</v>
          </cell>
          <cell r="BZ26" t="str">
            <v>V</v>
          </cell>
          <cell r="CA26">
            <v>30</v>
          </cell>
          <cell r="CB26">
            <v>55</v>
          </cell>
          <cell r="CC26">
            <v>28</v>
          </cell>
          <cell r="CD26">
            <v>375</v>
          </cell>
          <cell r="CE26">
            <v>30</v>
          </cell>
          <cell r="CF26">
            <v>30</v>
          </cell>
          <cell r="CG26">
            <v>175</v>
          </cell>
          <cell r="CH26">
            <v>91</v>
          </cell>
          <cell r="CI26">
            <v>466</v>
          </cell>
          <cell r="CJ26">
            <v>302</v>
          </cell>
          <cell r="CK26">
            <v>164</v>
          </cell>
          <cell r="CL26">
            <v>84</v>
          </cell>
          <cell r="CM26">
            <v>0</v>
          </cell>
          <cell r="CN26">
            <v>4</v>
          </cell>
          <cell r="CO26">
            <v>84</v>
          </cell>
          <cell r="CP26" t="str">
            <v>V</v>
          </cell>
          <cell r="CQ26">
            <v>13</v>
          </cell>
          <cell r="CR26">
            <v>248</v>
          </cell>
          <cell r="CS26">
            <v>0</v>
          </cell>
          <cell r="CT26">
            <v>0</v>
          </cell>
          <cell r="CU26">
            <v>0</v>
          </cell>
          <cell r="CV26">
            <v>0</v>
          </cell>
          <cell r="CW26">
            <v>0</v>
          </cell>
          <cell r="CX26">
            <v>0</v>
          </cell>
          <cell r="CY26">
            <v>0</v>
          </cell>
          <cell r="CZ26">
            <v>0</v>
          </cell>
          <cell r="DA26">
            <v>0</v>
          </cell>
          <cell r="DB26">
            <v>0</v>
          </cell>
          <cell r="DC26">
            <v>0</v>
          </cell>
          <cell r="DD26">
            <v>0</v>
          </cell>
          <cell r="DE26">
            <v>0</v>
          </cell>
          <cell r="DF26">
            <v>0</v>
          </cell>
          <cell r="DG26">
            <v>0</v>
          </cell>
          <cell r="DH26">
            <v>0</v>
          </cell>
          <cell r="DI26">
            <v>0</v>
          </cell>
          <cell r="DJ26">
            <v>0</v>
          </cell>
          <cell r="DK26">
            <v>0</v>
          </cell>
          <cell r="DL26">
            <v>0</v>
          </cell>
          <cell r="DM26">
            <v>0</v>
          </cell>
          <cell r="DN26">
            <v>0</v>
          </cell>
          <cell r="DO26">
            <v>0</v>
          </cell>
          <cell r="DP26">
            <v>0</v>
          </cell>
          <cell r="DQ26">
            <v>0</v>
          </cell>
          <cell r="DR26">
            <v>0</v>
          </cell>
          <cell r="DS26">
            <v>0</v>
          </cell>
          <cell r="DT26">
            <v>0</v>
          </cell>
        </row>
        <row r="27">
          <cell r="B27" t="str">
            <v>TS 93 GSR-EMR 1 EN 2-5</v>
          </cell>
          <cell r="E27" t="str">
            <v>x</v>
          </cell>
          <cell r="F27" t="str">
            <v>x</v>
          </cell>
          <cell r="I27" t="str">
            <v>x</v>
          </cell>
          <cell r="J27" t="str">
            <v>x</v>
          </cell>
          <cell r="K27" t="str">
            <v>x</v>
          </cell>
          <cell r="L27" t="str">
            <v>x</v>
          </cell>
          <cell r="O27" t="str">
            <v>x</v>
          </cell>
          <cell r="R27" t="str">
            <v>x</v>
          </cell>
          <cell r="U27" t="str">
            <v>x</v>
          </cell>
          <cell r="V27" t="str">
            <v>x</v>
          </cell>
          <cell r="W27" t="str">
            <v>x</v>
          </cell>
          <cell r="X27" t="str">
            <v>x</v>
          </cell>
          <cell r="AA27" t="str">
            <v>x</v>
          </cell>
          <cell r="AC27" t="str">
            <v>x</v>
          </cell>
          <cell r="AD27" t="str">
            <v>x</v>
          </cell>
          <cell r="AF27" t="str">
            <v>x</v>
          </cell>
          <cell r="AK27">
            <v>93</v>
          </cell>
          <cell r="AL27" t="str">
            <v>B</v>
          </cell>
          <cell r="AM27" t="str">
            <v>2-5</v>
          </cell>
          <cell r="BE27" t="str">
            <v>x</v>
          </cell>
          <cell r="BW27">
            <v>275</v>
          </cell>
          <cell r="BX27">
            <v>53</v>
          </cell>
          <cell r="BY27">
            <v>60</v>
          </cell>
          <cell r="BZ27" t="str">
            <v>V</v>
          </cell>
          <cell r="CA27">
            <v>30</v>
          </cell>
          <cell r="CB27">
            <v>55</v>
          </cell>
          <cell r="CC27">
            <v>28</v>
          </cell>
          <cell r="CD27">
            <v>375</v>
          </cell>
          <cell r="CE27">
            <v>30</v>
          </cell>
          <cell r="CF27">
            <v>30</v>
          </cell>
          <cell r="CG27">
            <v>175</v>
          </cell>
          <cell r="CH27">
            <v>91</v>
          </cell>
          <cell r="CI27">
            <v>466</v>
          </cell>
          <cell r="CJ27">
            <v>302</v>
          </cell>
          <cell r="CK27">
            <v>164</v>
          </cell>
          <cell r="CL27">
            <v>84</v>
          </cell>
          <cell r="CM27">
            <v>0</v>
          </cell>
          <cell r="CN27">
            <v>4</v>
          </cell>
          <cell r="CO27">
            <v>84</v>
          </cell>
          <cell r="CP27" t="str">
            <v>V</v>
          </cell>
          <cell r="CQ27">
            <v>13</v>
          </cell>
          <cell r="CR27">
            <v>248</v>
          </cell>
          <cell r="CS27">
            <v>0</v>
          </cell>
          <cell r="CT27">
            <v>0</v>
          </cell>
          <cell r="CU27">
            <v>0</v>
          </cell>
          <cell r="CV27">
            <v>0</v>
          </cell>
          <cell r="CW27">
            <v>0</v>
          </cell>
          <cell r="CX27">
            <v>0</v>
          </cell>
          <cell r="CY27">
            <v>0</v>
          </cell>
          <cell r="CZ27">
            <v>0</v>
          </cell>
          <cell r="DA27">
            <v>0</v>
          </cell>
          <cell r="DB27">
            <v>0</v>
          </cell>
          <cell r="DC27">
            <v>0</v>
          </cell>
          <cell r="DD27">
            <v>0</v>
          </cell>
          <cell r="DE27">
            <v>0</v>
          </cell>
          <cell r="DF27">
            <v>0</v>
          </cell>
          <cell r="DG27">
            <v>0</v>
          </cell>
          <cell r="DH27">
            <v>0</v>
          </cell>
          <cell r="DI27">
            <v>0</v>
          </cell>
          <cell r="DJ27">
            <v>0</v>
          </cell>
          <cell r="DK27">
            <v>0</v>
          </cell>
          <cell r="DL27">
            <v>0</v>
          </cell>
          <cell r="DM27">
            <v>0</v>
          </cell>
          <cell r="DN27">
            <v>0</v>
          </cell>
          <cell r="DO27">
            <v>0</v>
          </cell>
          <cell r="DP27">
            <v>0</v>
          </cell>
          <cell r="DQ27">
            <v>0</v>
          </cell>
          <cell r="DR27">
            <v>0</v>
          </cell>
          <cell r="DS27">
            <v>0</v>
          </cell>
          <cell r="DT27">
            <v>0</v>
          </cell>
        </row>
        <row r="28">
          <cell r="B28" t="str">
            <v>TS 93 GSR-EMR 1G EN 2-5</v>
          </cell>
          <cell r="E28" t="str">
            <v>x</v>
          </cell>
          <cell r="F28" t="str">
            <v>x</v>
          </cell>
          <cell r="I28" t="str">
            <v>x</v>
          </cell>
          <cell r="J28" t="str">
            <v>x</v>
          </cell>
          <cell r="K28" t="str">
            <v>x</v>
          </cell>
          <cell r="L28" t="str">
            <v>x</v>
          </cell>
          <cell r="O28" t="str">
            <v>x</v>
          </cell>
          <cell r="R28" t="str">
            <v>x</v>
          </cell>
          <cell r="U28" t="str">
            <v>x</v>
          </cell>
          <cell r="V28" t="str">
            <v>x</v>
          </cell>
          <cell r="W28" t="str">
            <v>x</v>
          </cell>
          <cell r="X28" t="str">
            <v>x</v>
          </cell>
          <cell r="AA28" t="str">
            <v>x</v>
          </cell>
          <cell r="AC28" t="str">
            <v>x</v>
          </cell>
          <cell r="AD28" t="str">
            <v>x</v>
          </cell>
          <cell r="AF28" t="str">
            <v>x</v>
          </cell>
          <cell r="AK28">
            <v>93</v>
          </cell>
          <cell r="AL28" t="str">
            <v>B</v>
          </cell>
          <cell r="AM28" t="str">
            <v>2-5</v>
          </cell>
          <cell r="BF28" t="str">
            <v>x</v>
          </cell>
          <cell r="BW28">
            <v>275</v>
          </cell>
          <cell r="BX28">
            <v>53</v>
          </cell>
          <cell r="BY28">
            <v>60</v>
          </cell>
          <cell r="BZ28" t="str">
            <v>V</v>
          </cell>
          <cell r="CA28">
            <v>30</v>
          </cell>
          <cell r="CB28">
            <v>55</v>
          </cell>
          <cell r="CC28">
            <v>28</v>
          </cell>
          <cell r="CD28">
            <v>375</v>
          </cell>
          <cell r="CE28">
            <v>30</v>
          </cell>
          <cell r="CF28">
            <v>30</v>
          </cell>
          <cell r="CG28">
            <v>175</v>
          </cell>
          <cell r="CH28">
            <v>91</v>
          </cell>
          <cell r="CI28">
            <v>466</v>
          </cell>
          <cell r="CJ28">
            <v>302</v>
          </cell>
          <cell r="CK28">
            <v>164</v>
          </cell>
          <cell r="CL28">
            <v>84</v>
          </cell>
          <cell r="CM28">
            <v>0</v>
          </cell>
          <cell r="CN28">
            <v>4</v>
          </cell>
          <cell r="CO28">
            <v>84</v>
          </cell>
          <cell r="CP28" t="str">
            <v>V</v>
          </cell>
          <cell r="CQ28">
            <v>13</v>
          </cell>
          <cell r="CR28">
            <v>248</v>
          </cell>
          <cell r="CS28">
            <v>0</v>
          </cell>
          <cell r="CT28">
            <v>0</v>
          </cell>
          <cell r="CU28">
            <v>0</v>
          </cell>
          <cell r="CV28">
            <v>0</v>
          </cell>
          <cell r="CW28">
            <v>0</v>
          </cell>
          <cell r="CX28">
            <v>0</v>
          </cell>
          <cell r="CY28">
            <v>0</v>
          </cell>
          <cell r="CZ28">
            <v>0</v>
          </cell>
          <cell r="DA28">
            <v>0</v>
          </cell>
          <cell r="DB28">
            <v>0</v>
          </cell>
          <cell r="DC28">
            <v>0</v>
          </cell>
          <cell r="DD28">
            <v>0</v>
          </cell>
          <cell r="DE28">
            <v>0</v>
          </cell>
          <cell r="DF28">
            <v>0</v>
          </cell>
          <cell r="DG28">
            <v>0</v>
          </cell>
          <cell r="DH28">
            <v>0</v>
          </cell>
          <cell r="DI28">
            <v>0</v>
          </cell>
          <cell r="DJ28">
            <v>0</v>
          </cell>
          <cell r="DK28">
            <v>0</v>
          </cell>
          <cell r="DL28">
            <v>0</v>
          </cell>
          <cell r="DM28">
            <v>0</v>
          </cell>
          <cell r="DN28">
            <v>0</v>
          </cell>
          <cell r="DO28">
            <v>0</v>
          </cell>
          <cell r="DP28">
            <v>0</v>
          </cell>
          <cell r="DQ28">
            <v>0</v>
          </cell>
          <cell r="DR28">
            <v>0</v>
          </cell>
          <cell r="DS28">
            <v>0</v>
          </cell>
          <cell r="DT28">
            <v>0</v>
          </cell>
        </row>
        <row r="29">
          <cell r="B29" t="str">
            <v>TS 93 GSR-EMR 2 EN 2-5</v>
          </cell>
          <cell r="E29" t="str">
            <v>x</v>
          </cell>
          <cell r="F29" t="str">
            <v>x</v>
          </cell>
          <cell r="I29" t="str">
            <v>x</v>
          </cell>
          <cell r="J29" t="str">
            <v>x</v>
          </cell>
          <cell r="K29" t="str">
            <v>x</v>
          </cell>
          <cell r="L29" t="str">
            <v>x</v>
          </cell>
          <cell r="O29" t="str">
            <v>x</v>
          </cell>
          <cell r="R29" t="str">
            <v>x</v>
          </cell>
          <cell r="U29" t="str">
            <v>x</v>
          </cell>
          <cell r="V29" t="str">
            <v>x</v>
          </cell>
          <cell r="W29" t="str">
            <v>x</v>
          </cell>
          <cell r="X29" t="str">
            <v>x</v>
          </cell>
          <cell r="AA29" t="str">
            <v>x</v>
          </cell>
          <cell r="AC29" t="str">
            <v>x</v>
          </cell>
          <cell r="AD29" t="str">
            <v>x</v>
          </cell>
          <cell r="AF29" t="str">
            <v>x</v>
          </cell>
          <cell r="AK29">
            <v>93</v>
          </cell>
          <cell r="AL29" t="str">
            <v>B</v>
          </cell>
          <cell r="AM29" t="str">
            <v>2-5</v>
          </cell>
          <cell r="BG29" t="str">
            <v>x</v>
          </cell>
          <cell r="BW29">
            <v>275</v>
          </cell>
          <cell r="BX29">
            <v>53</v>
          </cell>
          <cell r="BY29">
            <v>60</v>
          </cell>
          <cell r="BZ29" t="str">
            <v>V</v>
          </cell>
          <cell r="CA29">
            <v>30</v>
          </cell>
          <cell r="CB29">
            <v>55</v>
          </cell>
          <cell r="CC29">
            <v>28</v>
          </cell>
          <cell r="CD29">
            <v>375</v>
          </cell>
          <cell r="CE29">
            <v>30</v>
          </cell>
          <cell r="CF29">
            <v>30</v>
          </cell>
          <cell r="CG29">
            <v>175</v>
          </cell>
          <cell r="CH29">
            <v>91</v>
          </cell>
          <cell r="CI29">
            <v>466</v>
          </cell>
          <cell r="CJ29">
            <v>302</v>
          </cell>
          <cell r="CK29">
            <v>164</v>
          </cell>
          <cell r="CL29">
            <v>84</v>
          </cell>
          <cell r="CM29">
            <v>0</v>
          </cell>
          <cell r="CN29">
            <v>4</v>
          </cell>
          <cell r="CO29">
            <v>84</v>
          </cell>
          <cell r="CP29" t="str">
            <v>V</v>
          </cell>
          <cell r="CQ29">
            <v>13</v>
          </cell>
          <cell r="CR29">
            <v>248</v>
          </cell>
          <cell r="CS29">
            <v>0</v>
          </cell>
          <cell r="CT29">
            <v>0</v>
          </cell>
          <cell r="CU29">
            <v>0</v>
          </cell>
          <cell r="CV29">
            <v>0</v>
          </cell>
          <cell r="CW29">
            <v>0</v>
          </cell>
          <cell r="CX29">
            <v>0</v>
          </cell>
          <cell r="CY29">
            <v>0</v>
          </cell>
          <cell r="CZ29">
            <v>0</v>
          </cell>
          <cell r="DA29">
            <v>0</v>
          </cell>
          <cell r="DB29">
            <v>0</v>
          </cell>
          <cell r="DC29">
            <v>0</v>
          </cell>
          <cell r="DD29">
            <v>0</v>
          </cell>
          <cell r="DE29">
            <v>0</v>
          </cell>
          <cell r="DF29">
            <v>0</v>
          </cell>
          <cell r="DG29">
            <v>0</v>
          </cell>
          <cell r="DH29">
            <v>0</v>
          </cell>
          <cell r="DI29">
            <v>0</v>
          </cell>
          <cell r="DJ29">
            <v>0</v>
          </cell>
          <cell r="DK29">
            <v>0</v>
          </cell>
          <cell r="DL29">
            <v>0</v>
          </cell>
          <cell r="DM29">
            <v>0</v>
          </cell>
          <cell r="DN29">
            <v>0</v>
          </cell>
          <cell r="DO29">
            <v>0</v>
          </cell>
          <cell r="DP29">
            <v>0</v>
          </cell>
          <cell r="DQ29">
            <v>0</v>
          </cell>
          <cell r="DR29">
            <v>0</v>
          </cell>
          <cell r="DS29">
            <v>0</v>
          </cell>
          <cell r="DT29">
            <v>0</v>
          </cell>
        </row>
        <row r="30">
          <cell r="B30" t="str">
            <v>TS 93 G EN 2-5</v>
          </cell>
          <cell r="D30" t="str">
            <v>x</v>
          </cell>
          <cell r="F30" t="str">
            <v>x</v>
          </cell>
          <cell r="I30" t="str">
            <v>x</v>
          </cell>
          <cell r="J30" t="str">
            <v>x</v>
          </cell>
          <cell r="K30" t="str">
            <v>x</v>
          </cell>
          <cell r="L30" t="str">
            <v>x</v>
          </cell>
          <cell r="O30" t="str">
            <v>D</v>
          </cell>
          <cell r="P30" t="str">
            <v>C</v>
          </cell>
          <cell r="R30" t="str">
            <v>C</v>
          </cell>
          <cell r="S30" t="str">
            <v>D</v>
          </cell>
          <cell r="U30" t="str">
            <v>x</v>
          </cell>
          <cell r="V30" t="str">
            <v>x</v>
          </cell>
          <cell r="X30" t="str">
            <v>x</v>
          </cell>
          <cell r="AA30" t="str">
            <v>x</v>
          </cell>
          <cell r="AF30" t="str">
            <v>x</v>
          </cell>
          <cell r="AK30">
            <v>93</v>
          </cell>
          <cell r="AL30" t="str">
            <v>G</v>
          </cell>
          <cell r="AM30" t="str">
            <v>2-5</v>
          </cell>
          <cell r="AV30" t="str">
            <v>x</v>
          </cell>
          <cell r="BW30">
            <v>275</v>
          </cell>
          <cell r="BX30">
            <v>53</v>
          </cell>
          <cell r="BY30">
            <v>60</v>
          </cell>
          <cell r="BZ30">
            <v>442</v>
          </cell>
          <cell r="CA30">
            <v>23</v>
          </cell>
          <cell r="CB30">
            <v>31</v>
          </cell>
          <cell r="CC30">
            <v>16</v>
          </cell>
          <cell r="CD30">
            <v>375</v>
          </cell>
          <cell r="CE30">
            <v>30</v>
          </cell>
          <cell r="CF30">
            <v>30</v>
          </cell>
          <cell r="CG30">
            <v>140</v>
          </cell>
          <cell r="CH30">
            <v>91</v>
          </cell>
          <cell r="CI30">
            <v>372</v>
          </cell>
          <cell r="CJ30">
            <v>326</v>
          </cell>
          <cell r="CK30">
            <v>46</v>
          </cell>
          <cell r="CL30">
            <v>0</v>
          </cell>
          <cell r="CM30">
            <v>0</v>
          </cell>
          <cell r="CN30">
            <v>0</v>
          </cell>
          <cell r="CO30">
            <v>0</v>
          </cell>
          <cell r="CP30">
            <v>0</v>
          </cell>
          <cell r="CQ30">
            <v>0</v>
          </cell>
          <cell r="CR30">
            <v>0</v>
          </cell>
          <cell r="CS30">
            <v>0</v>
          </cell>
          <cell r="CT30">
            <v>0</v>
          </cell>
          <cell r="CU30">
            <v>0</v>
          </cell>
          <cell r="CV30">
            <v>0</v>
          </cell>
          <cell r="CW30">
            <v>0</v>
          </cell>
          <cell r="CX30">
            <v>0</v>
          </cell>
          <cell r="CY30">
            <v>0</v>
          </cell>
          <cell r="CZ30">
            <v>84</v>
          </cell>
          <cell r="DA30" t="str">
            <v>V</v>
          </cell>
          <cell r="DB30">
            <v>17</v>
          </cell>
          <cell r="DC30">
            <v>143</v>
          </cell>
          <cell r="DD30">
            <v>0</v>
          </cell>
          <cell r="DE30">
            <v>3</v>
          </cell>
          <cell r="DF30">
            <v>189</v>
          </cell>
          <cell r="DG30">
            <v>49</v>
          </cell>
          <cell r="DH30">
            <v>0</v>
          </cell>
          <cell r="DI30">
            <v>17</v>
          </cell>
          <cell r="DJ30">
            <v>143</v>
          </cell>
          <cell r="DK30" t="str">
            <v>V</v>
          </cell>
          <cell r="DL30">
            <v>3</v>
          </cell>
          <cell r="DM30">
            <v>189</v>
          </cell>
          <cell r="DN30">
            <v>49</v>
          </cell>
          <cell r="DO30">
            <v>0</v>
          </cell>
          <cell r="DP30" t="str">
            <v>V</v>
          </cell>
          <cell r="DQ30">
            <v>143</v>
          </cell>
          <cell r="DR30" t="str">
            <v>V</v>
          </cell>
          <cell r="DS30" t="str">
            <v>V</v>
          </cell>
          <cell r="DT30">
            <v>189</v>
          </cell>
        </row>
        <row r="31">
          <cell r="B31" t="str">
            <v>TS 93 G RF EN 2-5</v>
          </cell>
          <cell r="D31" t="str">
            <v>x</v>
          </cell>
          <cell r="F31" t="str">
            <v>x</v>
          </cell>
          <cell r="I31" t="str">
            <v>x</v>
          </cell>
          <cell r="J31" t="str">
            <v>x</v>
          </cell>
          <cell r="K31" t="str">
            <v>x</v>
          </cell>
          <cell r="L31" t="str">
            <v>x</v>
          </cell>
          <cell r="O31" t="str">
            <v>D</v>
          </cell>
          <cell r="P31" t="str">
            <v>C</v>
          </cell>
          <cell r="R31" t="str">
            <v>C</v>
          </cell>
          <cell r="S31" t="str">
            <v>D</v>
          </cell>
          <cell r="U31" t="str">
            <v>x</v>
          </cell>
          <cell r="V31" t="str">
            <v>x</v>
          </cell>
          <cell r="X31" t="str">
            <v>x</v>
          </cell>
          <cell r="AA31" t="str">
            <v>x</v>
          </cell>
          <cell r="AB31" t="str">
            <v>x</v>
          </cell>
          <cell r="AF31" t="str">
            <v>x</v>
          </cell>
          <cell r="AK31">
            <v>93</v>
          </cell>
          <cell r="AL31" t="str">
            <v>G</v>
          </cell>
          <cell r="AM31" t="str">
            <v>2-5</v>
          </cell>
          <cell r="AW31" t="str">
            <v>x</v>
          </cell>
          <cell r="BW31">
            <v>275</v>
          </cell>
          <cell r="BX31">
            <v>53</v>
          </cell>
          <cell r="BY31">
            <v>60</v>
          </cell>
          <cell r="BZ31">
            <v>442</v>
          </cell>
          <cell r="CA31">
            <v>23</v>
          </cell>
          <cell r="CB31">
            <v>31</v>
          </cell>
          <cell r="CC31">
            <v>16</v>
          </cell>
          <cell r="CD31">
            <v>375</v>
          </cell>
          <cell r="CE31">
            <v>30</v>
          </cell>
          <cell r="CF31">
            <v>30</v>
          </cell>
          <cell r="CG31">
            <v>140</v>
          </cell>
          <cell r="CH31">
            <v>91</v>
          </cell>
          <cell r="CI31">
            <v>372</v>
          </cell>
          <cell r="CJ31">
            <v>312</v>
          </cell>
          <cell r="CK31">
            <v>60</v>
          </cell>
          <cell r="CL31">
            <v>0</v>
          </cell>
          <cell r="CM31">
            <v>0</v>
          </cell>
          <cell r="CN31">
            <v>0</v>
          </cell>
          <cell r="CO31">
            <v>0</v>
          </cell>
          <cell r="CP31">
            <v>0</v>
          </cell>
          <cell r="CQ31">
            <v>0</v>
          </cell>
          <cell r="CR31">
            <v>0</v>
          </cell>
          <cell r="CS31">
            <v>0</v>
          </cell>
          <cell r="CT31">
            <v>0</v>
          </cell>
          <cell r="CU31">
            <v>0</v>
          </cell>
          <cell r="CV31">
            <v>0</v>
          </cell>
          <cell r="CW31">
            <v>0</v>
          </cell>
          <cell r="CX31">
            <v>0</v>
          </cell>
          <cell r="CY31">
            <v>0</v>
          </cell>
          <cell r="CZ31">
            <v>84</v>
          </cell>
          <cell r="DA31" t="str">
            <v>V</v>
          </cell>
          <cell r="DB31">
            <v>17</v>
          </cell>
          <cell r="DC31">
            <v>143</v>
          </cell>
          <cell r="DD31">
            <v>0</v>
          </cell>
          <cell r="DE31">
            <v>3</v>
          </cell>
          <cell r="DF31">
            <v>203</v>
          </cell>
          <cell r="DG31">
            <v>49</v>
          </cell>
          <cell r="DH31">
            <v>0</v>
          </cell>
          <cell r="DI31">
            <v>17</v>
          </cell>
          <cell r="DJ31">
            <v>143</v>
          </cell>
          <cell r="DK31" t="str">
            <v>V</v>
          </cell>
          <cell r="DL31">
            <v>3</v>
          </cell>
          <cell r="DM31">
            <v>203</v>
          </cell>
          <cell r="DN31">
            <v>49</v>
          </cell>
          <cell r="DO31">
            <v>0</v>
          </cell>
          <cell r="DP31" t="str">
            <v>V</v>
          </cell>
          <cell r="DQ31">
            <v>143</v>
          </cell>
          <cell r="DR31" t="str">
            <v>V</v>
          </cell>
          <cell r="DS31" t="str">
            <v>V</v>
          </cell>
          <cell r="DT31">
            <v>203</v>
          </cell>
        </row>
        <row r="32">
          <cell r="B32" t="str">
            <v>TS 93 G EMF EN 2-5</v>
          </cell>
          <cell r="D32" t="str">
            <v>x</v>
          </cell>
          <cell r="F32" t="str">
            <v>x</v>
          </cell>
          <cell r="I32" t="str">
            <v>x</v>
          </cell>
          <cell r="J32" t="str">
            <v>x</v>
          </cell>
          <cell r="K32" t="str">
            <v>x</v>
          </cell>
          <cell r="L32" t="str">
            <v>x</v>
          </cell>
          <cell r="P32" t="str">
            <v>x</v>
          </cell>
          <cell r="R32" t="str">
            <v>x</v>
          </cell>
          <cell r="U32" t="str">
            <v>x</v>
          </cell>
          <cell r="V32" t="str">
            <v>x</v>
          </cell>
          <cell r="X32" t="str">
            <v>x</v>
          </cell>
          <cell r="AA32" t="str">
            <v>x</v>
          </cell>
          <cell r="AC32" t="str">
            <v>x</v>
          </cell>
          <cell r="AE32" t="str">
            <v>x</v>
          </cell>
          <cell r="AF32" t="str">
            <v>x</v>
          </cell>
          <cell r="AK32">
            <v>93</v>
          </cell>
          <cell r="AL32" t="str">
            <v>G</v>
          </cell>
          <cell r="AM32" t="str">
            <v>2-5</v>
          </cell>
          <cell r="AX32" t="str">
            <v>x</v>
          </cell>
          <cell r="BW32">
            <v>275</v>
          </cell>
          <cell r="BX32">
            <v>53</v>
          </cell>
          <cell r="BY32">
            <v>60</v>
          </cell>
          <cell r="BZ32">
            <v>518</v>
          </cell>
          <cell r="CA32">
            <v>30</v>
          </cell>
          <cell r="CB32">
            <v>40</v>
          </cell>
          <cell r="CC32">
            <v>20</v>
          </cell>
          <cell r="CD32">
            <v>375</v>
          </cell>
          <cell r="CE32">
            <v>30</v>
          </cell>
          <cell r="CF32">
            <v>30</v>
          </cell>
          <cell r="CG32">
            <v>140</v>
          </cell>
          <cell r="CH32">
            <v>91</v>
          </cell>
          <cell r="CI32">
            <v>431</v>
          </cell>
          <cell r="CJ32">
            <v>271</v>
          </cell>
          <cell r="CK32">
            <v>160</v>
          </cell>
          <cell r="CL32">
            <v>0</v>
          </cell>
          <cell r="CM32">
            <v>0</v>
          </cell>
          <cell r="CN32">
            <v>0</v>
          </cell>
          <cell r="CO32">
            <v>0</v>
          </cell>
          <cell r="CP32">
            <v>0</v>
          </cell>
          <cell r="CQ32">
            <v>0</v>
          </cell>
          <cell r="CR32">
            <v>0</v>
          </cell>
          <cell r="CS32">
            <v>0</v>
          </cell>
          <cell r="CT32">
            <v>0</v>
          </cell>
          <cell r="CU32">
            <v>0</v>
          </cell>
          <cell r="CV32">
            <v>0</v>
          </cell>
          <cell r="CW32">
            <v>0</v>
          </cell>
          <cell r="CX32">
            <v>0</v>
          </cell>
          <cell r="CY32">
            <v>0</v>
          </cell>
          <cell r="CZ32">
            <v>0</v>
          </cell>
          <cell r="DA32">
            <v>0</v>
          </cell>
          <cell r="DB32">
            <v>0</v>
          </cell>
          <cell r="DC32">
            <v>0</v>
          </cell>
          <cell r="DD32">
            <v>0</v>
          </cell>
          <cell r="DE32">
            <v>0</v>
          </cell>
          <cell r="DF32">
            <v>0</v>
          </cell>
          <cell r="DG32">
            <v>49</v>
          </cell>
          <cell r="DH32">
            <v>0</v>
          </cell>
          <cell r="DI32">
            <v>17</v>
          </cell>
          <cell r="DJ32">
            <v>84</v>
          </cell>
          <cell r="DK32" t="str">
            <v>V</v>
          </cell>
          <cell r="DL32">
            <v>0</v>
          </cell>
          <cell r="DM32">
            <v>244</v>
          </cell>
          <cell r="DN32">
            <v>49</v>
          </cell>
          <cell r="DO32">
            <v>0</v>
          </cell>
          <cell r="DP32" t="str">
            <v>V</v>
          </cell>
          <cell r="DQ32">
            <v>84</v>
          </cell>
          <cell r="DR32" t="str">
            <v>V</v>
          </cell>
          <cell r="DS32" t="str">
            <v>V</v>
          </cell>
          <cell r="DT32">
            <v>244</v>
          </cell>
        </row>
        <row r="33">
          <cell r="B33" t="str">
            <v>TS 93 G EMR EN 2-5</v>
          </cell>
          <cell r="D33" t="str">
            <v>x</v>
          </cell>
          <cell r="F33" t="str">
            <v>x</v>
          </cell>
          <cell r="I33" t="str">
            <v>x</v>
          </cell>
          <cell r="J33" t="str">
            <v>x</v>
          </cell>
          <cell r="K33" t="str">
            <v>x</v>
          </cell>
          <cell r="L33" t="str">
            <v>x</v>
          </cell>
          <cell r="P33" t="str">
            <v>x</v>
          </cell>
          <cell r="R33" t="str">
            <v>x</v>
          </cell>
          <cell r="U33" t="str">
            <v>x</v>
          </cell>
          <cell r="V33" t="str">
            <v>x</v>
          </cell>
          <cell r="X33" t="str">
            <v>x</v>
          </cell>
          <cell r="AA33" t="str">
            <v>x</v>
          </cell>
          <cell r="AC33" t="str">
            <v>x</v>
          </cell>
          <cell r="AD33" t="str">
            <v>x</v>
          </cell>
          <cell r="AF33" t="str">
            <v>x</v>
          </cell>
          <cell r="AK33">
            <v>93</v>
          </cell>
          <cell r="AL33" t="str">
            <v>G</v>
          </cell>
          <cell r="AM33" t="str">
            <v>2-5</v>
          </cell>
          <cell r="AY33" t="str">
            <v>x</v>
          </cell>
          <cell r="BW33">
            <v>275</v>
          </cell>
          <cell r="BX33">
            <v>53</v>
          </cell>
          <cell r="BY33">
            <v>60</v>
          </cell>
          <cell r="BZ33">
            <v>864</v>
          </cell>
          <cell r="CA33">
            <v>30</v>
          </cell>
          <cell r="CB33">
            <v>40</v>
          </cell>
          <cell r="CC33">
            <v>20</v>
          </cell>
          <cell r="CD33">
            <v>375</v>
          </cell>
          <cell r="CE33">
            <v>30</v>
          </cell>
          <cell r="CF33">
            <v>30</v>
          </cell>
          <cell r="CG33">
            <v>140</v>
          </cell>
          <cell r="CH33">
            <v>91</v>
          </cell>
          <cell r="CI33">
            <v>431</v>
          </cell>
          <cell r="CJ33">
            <v>225</v>
          </cell>
          <cell r="CK33">
            <v>206</v>
          </cell>
          <cell r="CL33">
            <v>0</v>
          </cell>
          <cell r="CM33">
            <v>0</v>
          </cell>
          <cell r="CN33">
            <v>0</v>
          </cell>
          <cell r="CO33">
            <v>0</v>
          </cell>
          <cell r="CP33">
            <v>0</v>
          </cell>
          <cell r="CQ33">
            <v>0</v>
          </cell>
          <cell r="CR33">
            <v>0</v>
          </cell>
          <cell r="CS33">
            <v>0</v>
          </cell>
          <cell r="CT33">
            <v>0</v>
          </cell>
          <cell r="CU33">
            <v>0</v>
          </cell>
          <cell r="CV33">
            <v>0</v>
          </cell>
          <cell r="CW33">
            <v>0</v>
          </cell>
          <cell r="CX33">
            <v>0</v>
          </cell>
          <cell r="CY33">
            <v>0</v>
          </cell>
          <cell r="CZ33">
            <v>0</v>
          </cell>
          <cell r="DA33">
            <v>0</v>
          </cell>
          <cell r="DB33">
            <v>0</v>
          </cell>
          <cell r="DC33">
            <v>0</v>
          </cell>
          <cell r="DD33">
            <v>0</v>
          </cell>
          <cell r="DE33">
            <v>0</v>
          </cell>
          <cell r="DF33">
            <v>0</v>
          </cell>
          <cell r="DG33">
            <v>49</v>
          </cell>
          <cell r="DH33">
            <v>0</v>
          </cell>
          <cell r="DI33">
            <v>17</v>
          </cell>
          <cell r="DJ33">
            <v>84</v>
          </cell>
          <cell r="DK33" t="str">
            <v>V</v>
          </cell>
          <cell r="DL33">
            <v>0</v>
          </cell>
          <cell r="DM33">
            <v>290</v>
          </cell>
          <cell r="DN33">
            <v>49</v>
          </cell>
          <cell r="DO33">
            <v>0</v>
          </cell>
          <cell r="DP33" t="str">
            <v>V</v>
          </cell>
          <cell r="DQ33">
            <v>84</v>
          </cell>
          <cell r="DR33" t="str">
            <v>V</v>
          </cell>
          <cell r="DS33">
            <v>44</v>
          </cell>
          <cell r="DT33">
            <v>290</v>
          </cell>
        </row>
        <row r="34">
          <cell r="B34" t="str">
            <v>TS 93 G GSR /BG EN 2-5 Gangfl.</v>
          </cell>
          <cell r="D34">
            <v>0</v>
          </cell>
          <cell r="E34" t="str">
            <v>x</v>
          </cell>
          <cell r="F34" t="str">
            <v>x</v>
          </cell>
          <cell r="G34">
            <v>0</v>
          </cell>
          <cell r="H34">
            <v>0</v>
          </cell>
          <cell r="I34" t="str">
            <v>x</v>
          </cell>
          <cell r="J34" t="str">
            <v>x</v>
          </cell>
          <cell r="K34" t="str">
            <v>x</v>
          </cell>
          <cell r="L34" t="str">
            <v>x</v>
          </cell>
          <cell r="M34">
            <v>0</v>
          </cell>
          <cell r="N34">
            <v>0</v>
          </cell>
          <cell r="O34">
            <v>0</v>
          </cell>
          <cell r="P34" t="str">
            <v>x</v>
          </cell>
          <cell r="Q34">
            <v>0</v>
          </cell>
          <cell r="R34" t="str">
            <v>x</v>
          </cell>
          <cell r="S34">
            <v>0</v>
          </cell>
          <cell r="T34">
            <v>0</v>
          </cell>
          <cell r="U34" t="str">
            <v>x</v>
          </cell>
          <cell r="V34" t="str">
            <v>x</v>
          </cell>
          <cell r="W34" t="str">
            <v>x</v>
          </cell>
          <cell r="X34" t="str">
            <v>x</v>
          </cell>
          <cell r="Y34">
            <v>0</v>
          </cell>
          <cell r="Z34">
            <v>0</v>
          </cell>
          <cell r="AA34" t="str">
            <v>x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 t="str">
            <v>x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93</v>
          </cell>
          <cell r="AL34" t="str">
            <v>G</v>
          </cell>
          <cell r="AM34" t="str">
            <v>2-5</v>
          </cell>
          <cell r="AZ34" t="str">
            <v>x</v>
          </cell>
          <cell r="BW34">
            <v>275</v>
          </cell>
          <cell r="BX34">
            <v>53</v>
          </cell>
          <cell r="BY34">
            <v>60</v>
          </cell>
          <cell r="BZ34" t="str">
            <v>V</v>
          </cell>
          <cell r="CA34">
            <v>30</v>
          </cell>
          <cell r="CB34">
            <v>40</v>
          </cell>
          <cell r="CC34">
            <v>20</v>
          </cell>
          <cell r="CD34">
            <v>375</v>
          </cell>
          <cell r="CE34">
            <v>30</v>
          </cell>
          <cell r="CF34">
            <v>30</v>
          </cell>
          <cell r="CG34">
            <v>209</v>
          </cell>
          <cell r="CH34">
            <v>91</v>
          </cell>
          <cell r="CI34">
            <v>466</v>
          </cell>
          <cell r="CJ34">
            <v>415</v>
          </cell>
          <cell r="CK34">
            <v>51</v>
          </cell>
          <cell r="CL34">
            <v>0</v>
          </cell>
          <cell r="CM34">
            <v>0</v>
          </cell>
          <cell r="CN34">
            <v>0</v>
          </cell>
          <cell r="CO34">
            <v>0</v>
          </cell>
          <cell r="CP34">
            <v>0</v>
          </cell>
          <cell r="CQ34">
            <v>0</v>
          </cell>
          <cell r="CR34">
            <v>0</v>
          </cell>
          <cell r="CS34">
            <v>0</v>
          </cell>
          <cell r="CT34">
            <v>0</v>
          </cell>
          <cell r="CU34">
            <v>0</v>
          </cell>
          <cell r="CV34">
            <v>0</v>
          </cell>
          <cell r="CW34">
            <v>0</v>
          </cell>
          <cell r="CX34">
            <v>0</v>
          </cell>
          <cell r="CY34">
            <v>0</v>
          </cell>
          <cell r="CZ34">
            <v>0</v>
          </cell>
          <cell r="DA34">
            <v>0</v>
          </cell>
          <cell r="DB34">
            <v>0</v>
          </cell>
          <cell r="DC34">
            <v>0</v>
          </cell>
          <cell r="DD34">
            <v>0</v>
          </cell>
          <cell r="DE34">
            <v>0</v>
          </cell>
          <cell r="DF34">
            <v>0</v>
          </cell>
          <cell r="DG34">
            <v>118</v>
          </cell>
          <cell r="DH34">
            <v>0</v>
          </cell>
          <cell r="DI34">
            <v>17</v>
          </cell>
          <cell r="DJ34">
            <v>118</v>
          </cell>
          <cell r="DK34" t="str">
            <v>V</v>
          </cell>
          <cell r="DL34">
            <v>0</v>
          </cell>
          <cell r="DM34">
            <v>169</v>
          </cell>
          <cell r="DN34">
            <v>118</v>
          </cell>
          <cell r="DO34">
            <v>0</v>
          </cell>
          <cell r="DP34" t="str">
            <v>V</v>
          </cell>
          <cell r="DQ34">
            <v>118</v>
          </cell>
          <cell r="DR34" t="str">
            <v>V</v>
          </cell>
          <cell r="DS34">
            <v>34</v>
          </cell>
          <cell r="DT34">
            <v>169</v>
          </cell>
        </row>
        <row r="35">
          <cell r="B35" t="str">
            <v>TS 93 G GSR RF /BG EN 2-5 Gangfl.</v>
          </cell>
          <cell r="D35">
            <v>0</v>
          </cell>
          <cell r="E35" t="str">
            <v>x</v>
          </cell>
          <cell r="F35" t="str">
            <v>x</v>
          </cell>
          <cell r="G35">
            <v>0</v>
          </cell>
          <cell r="H35">
            <v>0</v>
          </cell>
          <cell r="I35" t="str">
            <v>x</v>
          </cell>
          <cell r="J35" t="str">
            <v>x</v>
          </cell>
          <cell r="K35" t="str">
            <v>x</v>
          </cell>
          <cell r="L35" t="str">
            <v>x</v>
          </cell>
          <cell r="M35">
            <v>0</v>
          </cell>
          <cell r="N35">
            <v>0</v>
          </cell>
          <cell r="O35">
            <v>0</v>
          </cell>
          <cell r="P35" t="str">
            <v>x</v>
          </cell>
          <cell r="Q35">
            <v>0</v>
          </cell>
          <cell r="R35" t="str">
            <v>x</v>
          </cell>
          <cell r="S35">
            <v>0</v>
          </cell>
          <cell r="T35">
            <v>0</v>
          </cell>
          <cell r="U35" t="str">
            <v>x</v>
          </cell>
          <cell r="V35" t="str">
            <v>x</v>
          </cell>
          <cell r="W35" t="str">
            <v>x</v>
          </cell>
          <cell r="X35" t="str">
            <v>x</v>
          </cell>
          <cell r="Y35">
            <v>0</v>
          </cell>
          <cell r="Z35">
            <v>0</v>
          </cell>
          <cell r="AA35" t="str">
            <v>x</v>
          </cell>
          <cell r="AB35" t="str">
            <v>x</v>
          </cell>
          <cell r="AC35">
            <v>0</v>
          </cell>
          <cell r="AD35">
            <v>0</v>
          </cell>
          <cell r="AE35">
            <v>0</v>
          </cell>
          <cell r="AF35" t="str">
            <v>x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93</v>
          </cell>
          <cell r="AL35" t="str">
            <v>G</v>
          </cell>
          <cell r="AM35" t="str">
            <v>2-5</v>
          </cell>
          <cell r="BA35" t="str">
            <v>x</v>
          </cell>
          <cell r="BW35">
            <v>275</v>
          </cell>
          <cell r="BX35">
            <v>53</v>
          </cell>
          <cell r="BY35">
            <v>60</v>
          </cell>
          <cell r="BZ35" t="str">
            <v>V</v>
          </cell>
          <cell r="CA35">
            <v>30</v>
          </cell>
          <cell r="CB35">
            <v>40</v>
          </cell>
          <cell r="CC35">
            <v>20</v>
          </cell>
          <cell r="CD35">
            <v>375</v>
          </cell>
          <cell r="CE35">
            <v>30</v>
          </cell>
          <cell r="CF35">
            <v>30</v>
          </cell>
          <cell r="CG35">
            <v>209</v>
          </cell>
          <cell r="CH35">
            <v>91</v>
          </cell>
          <cell r="CI35">
            <v>466</v>
          </cell>
          <cell r="CJ35">
            <v>415</v>
          </cell>
          <cell r="CK35">
            <v>51</v>
          </cell>
          <cell r="CL35">
            <v>0</v>
          </cell>
          <cell r="CM35">
            <v>0</v>
          </cell>
          <cell r="CN35">
            <v>0</v>
          </cell>
          <cell r="CO35">
            <v>0</v>
          </cell>
          <cell r="CP35">
            <v>0</v>
          </cell>
          <cell r="CQ35">
            <v>0</v>
          </cell>
          <cell r="CR35">
            <v>0</v>
          </cell>
          <cell r="CS35">
            <v>0</v>
          </cell>
          <cell r="CT35">
            <v>0</v>
          </cell>
          <cell r="CU35">
            <v>0</v>
          </cell>
          <cell r="CV35">
            <v>0</v>
          </cell>
          <cell r="CW35">
            <v>0</v>
          </cell>
          <cell r="CX35">
            <v>0</v>
          </cell>
          <cell r="CY35">
            <v>0</v>
          </cell>
          <cell r="CZ35">
            <v>0</v>
          </cell>
          <cell r="DA35">
            <v>0</v>
          </cell>
          <cell r="DB35">
            <v>0</v>
          </cell>
          <cell r="DC35">
            <v>0</v>
          </cell>
          <cell r="DD35">
            <v>0</v>
          </cell>
          <cell r="DE35">
            <v>0</v>
          </cell>
          <cell r="DF35">
            <v>0</v>
          </cell>
          <cell r="DG35">
            <v>118</v>
          </cell>
          <cell r="DH35">
            <v>0</v>
          </cell>
          <cell r="DI35">
            <v>17</v>
          </cell>
          <cell r="DJ35">
            <v>118</v>
          </cell>
          <cell r="DK35" t="str">
            <v>V</v>
          </cell>
          <cell r="DL35">
            <v>0</v>
          </cell>
          <cell r="DM35">
            <v>169</v>
          </cell>
          <cell r="DN35">
            <v>118</v>
          </cell>
          <cell r="DO35">
            <v>0</v>
          </cell>
          <cell r="DP35" t="str">
            <v>V</v>
          </cell>
          <cell r="DQ35">
            <v>118</v>
          </cell>
          <cell r="DR35" t="str">
            <v>V</v>
          </cell>
          <cell r="DS35">
            <v>34</v>
          </cell>
          <cell r="DT35">
            <v>169</v>
          </cell>
        </row>
        <row r="36">
          <cell r="B36" t="str">
            <v>TS 93 G GSR-EMF 1 /BG EN 2-5 Gangfl.</v>
          </cell>
          <cell r="D36">
            <v>0</v>
          </cell>
          <cell r="E36" t="str">
            <v>x</v>
          </cell>
          <cell r="F36" t="str">
            <v>x</v>
          </cell>
          <cell r="G36">
            <v>0</v>
          </cell>
          <cell r="H36">
            <v>0</v>
          </cell>
          <cell r="I36" t="str">
            <v>x</v>
          </cell>
          <cell r="J36" t="str">
            <v>x</v>
          </cell>
          <cell r="K36" t="str">
            <v>x</v>
          </cell>
          <cell r="L36" t="str">
            <v>x</v>
          </cell>
          <cell r="M36">
            <v>0</v>
          </cell>
          <cell r="N36">
            <v>0</v>
          </cell>
          <cell r="O36">
            <v>0</v>
          </cell>
          <cell r="P36" t="str">
            <v>x</v>
          </cell>
          <cell r="Q36">
            <v>0</v>
          </cell>
          <cell r="R36" t="str">
            <v>x</v>
          </cell>
          <cell r="S36">
            <v>0</v>
          </cell>
          <cell r="T36">
            <v>0</v>
          </cell>
          <cell r="U36" t="str">
            <v>x</v>
          </cell>
          <cell r="V36" t="str">
            <v>x</v>
          </cell>
          <cell r="W36" t="str">
            <v>x</v>
          </cell>
          <cell r="X36" t="str">
            <v>x</v>
          </cell>
          <cell r="Y36">
            <v>0</v>
          </cell>
          <cell r="Z36">
            <v>0</v>
          </cell>
          <cell r="AA36" t="str">
            <v>x</v>
          </cell>
          <cell r="AB36">
            <v>0</v>
          </cell>
          <cell r="AC36" t="str">
            <v>x</v>
          </cell>
          <cell r="AD36">
            <v>0</v>
          </cell>
          <cell r="AE36" t="str">
            <v>x</v>
          </cell>
          <cell r="AF36" t="str">
            <v>x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93</v>
          </cell>
          <cell r="AL36" t="str">
            <v>G</v>
          </cell>
          <cell r="AM36" t="str">
            <v>2-5</v>
          </cell>
          <cell r="BB36" t="str">
            <v>x</v>
          </cell>
          <cell r="BW36">
            <v>275</v>
          </cell>
          <cell r="BX36">
            <v>53</v>
          </cell>
          <cell r="BY36">
            <v>60</v>
          </cell>
          <cell r="BZ36" t="str">
            <v>V</v>
          </cell>
          <cell r="CA36">
            <v>30</v>
          </cell>
          <cell r="CB36">
            <v>34</v>
          </cell>
          <cell r="CC36">
            <v>17</v>
          </cell>
          <cell r="CD36">
            <v>375</v>
          </cell>
          <cell r="CE36">
            <v>30</v>
          </cell>
          <cell r="CF36">
            <v>30</v>
          </cell>
          <cell r="CG36">
            <v>209</v>
          </cell>
          <cell r="CH36">
            <v>91</v>
          </cell>
          <cell r="CI36">
            <v>466</v>
          </cell>
          <cell r="CJ36">
            <v>302</v>
          </cell>
          <cell r="CK36">
            <v>164</v>
          </cell>
          <cell r="CL36">
            <v>0</v>
          </cell>
          <cell r="CM36">
            <v>0</v>
          </cell>
          <cell r="CN36">
            <v>0</v>
          </cell>
          <cell r="CO36">
            <v>0</v>
          </cell>
          <cell r="CP36">
            <v>0</v>
          </cell>
          <cell r="CQ36">
            <v>0</v>
          </cell>
          <cell r="CR36">
            <v>0</v>
          </cell>
          <cell r="CS36">
            <v>0</v>
          </cell>
          <cell r="CT36">
            <v>0</v>
          </cell>
          <cell r="CU36">
            <v>0</v>
          </cell>
          <cell r="CV36">
            <v>0</v>
          </cell>
          <cell r="CW36">
            <v>0</v>
          </cell>
          <cell r="CX36">
            <v>0</v>
          </cell>
          <cell r="CY36">
            <v>0</v>
          </cell>
          <cell r="CZ36">
            <v>0</v>
          </cell>
          <cell r="DA36">
            <v>0</v>
          </cell>
          <cell r="DB36">
            <v>0</v>
          </cell>
          <cell r="DC36">
            <v>0</v>
          </cell>
          <cell r="DD36">
            <v>0</v>
          </cell>
          <cell r="DE36">
            <v>0</v>
          </cell>
          <cell r="DF36">
            <v>0</v>
          </cell>
          <cell r="DG36">
            <v>118</v>
          </cell>
          <cell r="DH36">
            <v>0</v>
          </cell>
          <cell r="DI36">
            <v>17</v>
          </cell>
          <cell r="DJ36">
            <v>118</v>
          </cell>
          <cell r="DK36" t="str">
            <v>V</v>
          </cell>
          <cell r="DL36">
            <v>0</v>
          </cell>
          <cell r="DM36">
            <v>282</v>
          </cell>
          <cell r="DN36">
            <v>0</v>
          </cell>
          <cell r="DO36">
            <v>0</v>
          </cell>
          <cell r="DP36">
            <v>0</v>
          </cell>
          <cell r="DQ36">
            <v>0</v>
          </cell>
          <cell r="DR36">
            <v>0</v>
          </cell>
          <cell r="DS36">
            <v>0</v>
          </cell>
          <cell r="DT36">
            <v>0</v>
          </cell>
        </row>
        <row r="37">
          <cell r="B37" t="str">
            <v>TS 93 G GSR-EMF 1G /BG EN 2-5 Gangfl.</v>
          </cell>
          <cell r="D37">
            <v>0</v>
          </cell>
          <cell r="E37" t="str">
            <v>x</v>
          </cell>
          <cell r="F37" t="str">
            <v>x</v>
          </cell>
          <cell r="G37">
            <v>0</v>
          </cell>
          <cell r="H37">
            <v>0</v>
          </cell>
          <cell r="I37" t="str">
            <v>x</v>
          </cell>
          <cell r="J37" t="str">
            <v>x</v>
          </cell>
          <cell r="K37" t="str">
            <v>x</v>
          </cell>
          <cell r="L37" t="str">
            <v>x</v>
          </cell>
          <cell r="M37">
            <v>0</v>
          </cell>
          <cell r="N37">
            <v>0</v>
          </cell>
          <cell r="O37">
            <v>0</v>
          </cell>
          <cell r="P37" t="str">
            <v>x</v>
          </cell>
          <cell r="Q37">
            <v>0</v>
          </cell>
          <cell r="R37" t="str">
            <v>x</v>
          </cell>
          <cell r="S37">
            <v>0</v>
          </cell>
          <cell r="T37">
            <v>0</v>
          </cell>
          <cell r="U37" t="str">
            <v>x</v>
          </cell>
          <cell r="V37" t="str">
            <v>x</v>
          </cell>
          <cell r="W37" t="str">
            <v>x</v>
          </cell>
          <cell r="X37" t="str">
            <v>x</v>
          </cell>
          <cell r="Y37">
            <v>0</v>
          </cell>
          <cell r="Z37">
            <v>0</v>
          </cell>
          <cell r="AA37" t="str">
            <v>x</v>
          </cell>
          <cell r="AB37">
            <v>0</v>
          </cell>
          <cell r="AC37" t="str">
            <v>x</v>
          </cell>
          <cell r="AD37">
            <v>0</v>
          </cell>
          <cell r="AE37" t="str">
            <v>x</v>
          </cell>
          <cell r="AF37" t="str">
            <v>x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93</v>
          </cell>
          <cell r="AL37" t="str">
            <v>G</v>
          </cell>
          <cell r="AM37" t="str">
            <v>2-5</v>
          </cell>
          <cell r="BC37" t="str">
            <v>x</v>
          </cell>
          <cell r="BW37">
            <v>275</v>
          </cell>
          <cell r="BX37">
            <v>53</v>
          </cell>
          <cell r="BY37">
            <v>60</v>
          </cell>
          <cell r="BZ37" t="str">
            <v>V</v>
          </cell>
          <cell r="CA37">
            <v>30</v>
          </cell>
          <cell r="CB37">
            <v>34</v>
          </cell>
          <cell r="CC37">
            <v>17</v>
          </cell>
          <cell r="CD37">
            <v>375</v>
          </cell>
          <cell r="CE37">
            <v>30</v>
          </cell>
          <cell r="CF37">
            <v>30</v>
          </cell>
          <cell r="CG37">
            <v>209</v>
          </cell>
          <cell r="CH37">
            <v>91</v>
          </cell>
          <cell r="CI37">
            <v>466</v>
          </cell>
          <cell r="CJ37">
            <v>302</v>
          </cell>
          <cell r="CK37">
            <v>164</v>
          </cell>
          <cell r="CL37">
            <v>0</v>
          </cell>
          <cell r="CM37">
            <v>0</v>
          </cell>
          <cell r="CN37">
            <v>0</v>
          </cell>
          <cell r="CO37">
            <v>0</v>
          </cell>
          <cell r="CP37">
            <v>0</v>
          </cell>
          <cell r="CQ37">
            <v>0</v>
          </cell>
          <cell r="CR37">
            <v>0</v>
          </cell>
          <cell r="CS37">
            <v>0</v>
          </cell>
          <cell r="CT37">
            <v>0</v>
          </cell>
          <cell r="CU37">
            <v>0</v>
          </cell>
          <cell r="CV37">
            <v>0</v>
          </cell>
          <cell r="CW37">
            <v>0</v>
          </cell>
          <cell r="CX37">
            <v>0</v>
          </cell>
          <cell r="CY37">
            <v>0</v>
          </cell>
          <cell r="CZ37">
            <v>0</v>
          </cell>
          <cell r="DA37">
            <v>0</v>
          </cell>
          <cell r="DB37">
            <v>0</v>
          </cell>
          <cell r="DC37">
            <v>0</v>
          </cell>
          <cell r="DD37">
            <v>0</v>
          </cell>
          <cell r="DE37">
            <v>0</v>
          </cell>
          <cell r="DF37">
            <v>0</v>
          </cell>
          <cell r="DG37">
            <v>118</v>
          </cell>
          <cell r="DH37">
            <v>0</v>
          </cell>
          <cell r="DI37">
            <v>17</v>
          </cell>
          <cell r="DJ37">
            <v>118</v>
          </cell>
          <cell r="DK37" t="str">
            <v>V</v>
          </cell>
          <cell r="DL37">
            <v>0</v>
          </cell>
          <cell r="DM37">
            <v>282</v>
          </cell>
          <cell r="DN37">
            <v>0</v>
          </cell>
          <cell r="DO37">
            <v>0</v>
          </cell>
          <cell r="DP37">
            <v>0</v>
          </cell>
          <cell r="DQ37">
            <v>0</v>
          </cell>
          <cell r="DR37">
            <v>0</v>
          </cell>
          <cell r="DS37">
            <v>0</v>
          </cell>
          <cell r="DT37">
            <v>0</v>
          </cell>
        </row>
        <row r="38">
          <cell r="B38" t="str">
            <v>TS 93 G GSR-EMF 2 /BG EN 2-5 Gangfl.</v>
          </cell>
          <cell r="D38">
            <v>0</v>
          </cell>
          <cell r="E38" t="str">
            <v>x</v>
          </cell>
          <cell r="F38" t="str">
            <v>x</v>
          </cell>
          <cell r="G38">
            <v>0</v>
          </cell>
          <cell r="H38">
            <v>0</v>
          </cell>
          <cell r="I38" t="str">
            <v>x</v>
          </cell>
          <cell r="J38" t="str">
            <v>x</v>
          </cell>
          <cell r="K38" t="str">
            <v>x</v>
          </cell>
          <cell r="L38" t="str">
            <v>x</v>
          </cell>
          <cell r="M38">
            <v>0</v>
          </cell>
          <cell r="N38">
            <v>0</v>
          </cell>
          <cell r="O38">
            <v>0</v>
          </cell>
          <cell r="P38" t="str">
            <v>x</v>
          </cell>
          <cell r="Q38">
            <v>0</v>
          </cell>
          <cell r="R38" t="str">
            <v>x</v>
          </cell>
          <cell r="S38">
            <v>0</v>
          </cell>
          <cell r="T38">
            <v>0</v>
          </cell>
          <cell r="U38" t="str">
            <v>x</v>
          </cell>
          <cell r="V38" t="str">
            <v>x</v>
          </cell>
          <cell r="W38" t="str">
            <v>x</v>
          </cell>
          <cell r="X38" t="str">
            <v>x</v>
          </cell>
          <cell r="Y38">
            <v>0</v>
          </cell>
          <cell r="Z38">
            <v>0</v>
          </cell>
          <cell r="AA38" t="str">
            <v>x</v>
          </cell>
          <cell r="AB38">
            <v>0</v>
          </cell>
          <cell r="AC38" t="str">
            <v>x</v>
          </cell>
          <cell r="AD38">
            <v>0</v>
          </cell>
          <cell r="AE38" t="str">
            <v>x</v>
          </cell>
          <cell r="AF38" t="str">
            <v>x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93</v>
          </cell>
          <cell r="AL38" t="str">
            <v>G</v>
          </cell>
          <cell r="AM38" t="str">
            <v>2-5</v>
          </cell>
          <cell r="BD38" t="str">
            <v>x</v>
          </cell>
          <cell r="BW38">
            <v>275</v>
          </cell>
          <cell r="BX38">
            <v>53</v>
          </cell>
          <cell r="BY38">
            <v>60</v>
          </cell>
          <cell r="BZ38" t="str">
            <v>V</v>
          </cell>
          <cell r="CA38">
            <v>30</v>
          </cell>
          <cell r="CB38">
            <v>34</v>
          </cell>
          <cell r="CC38">
            <v>17</v>
          </cell>
          <cell r="CD38">
            <v>375</v>
          </cell>
          <cell r="CE38">
            <v>30</v>
          </cell>
          <cell r="CF38">
            <v>30</v>
          </cell>
          <cell r="CG38">
            <v>209</v>
          </cell>
          <cell r="CH38">
            <v>91</v>
          </cell>
          <cell r="CI38">
            <v>466</v>
          </cell>
          <cell r="CJ38">
            <v>302</v>
          </cell>
          <cell r="CK38">
            <v>164</v>
          </cell>
          <cell r="CL38">
            <v>0</v>
          </cell>
          <cell r="CM38">
            <v>0</v>
          </cell>
          <cell r="CN38">
            <v>0</v>
          </cell>
          <cell r="CO38">
            <v>0</v>
          </cell>
          <cell r="CP38">
            <v>0</v>
          </cell>
          <cell r="CQ38">
            <v>0</v>
          </cell>
          <cell r="CR38">
            <v>0</v>
          </cell>
          <cell r="CS38">
            <v>0</v>
          </cell>
          <cell r="CT38">
            <v>0</v>
          </cell>
          <cell r="CU38">
            <v>0</v>
          </cell>
          <cell r="CV38">
            <v>0</v>
          </cell>
          <cell r="CW38">
            <v>0</v>
          </cell>
          <cell r="CX38">
            <v>0</v>
          </cell>
          <cell r="CY38">
            <v>0</v>
          </cell>
          <cell r="CZ38">
            <v>0</v>
          </cell>
          <cell r="DA38">
            <v>0</v>
          </cell>
          <cell r="DB38">
            <v>0</v>
          </cell>
          <cell r="DC38">
            <v>0</v>
          </cell>
          <cell r="DD38">
            <v>0</v>
          </cell>
          <cell r="DE38">
            <v>0</v>
          </cell>
          <cell r="DF38">
            <v>0</v>
          </cell>
          <cell r="DG38">
            <v>118</v>
          </cell>
          <cell r="DH38">
            <v>0</v>
          </cell>
          <cell r="DI38">
            <v>17</v>
          </cell>
          <cell r="DJ38">
            <v>118</v>
          </cell>
          <cell r="DK38" t="str">
            <v>V</v>
          </cell>
          <cell r="DL38">
            <v>0</v>
          </cell>
          <cell r="DM38">
            <v>282</v>
          </cell>
          <cell r="DN38">
            <v>0</v>
          </cell>
          <cell r="DO38">
            <v>0</v>
          </cell>
          <cell r="DP38">
            <v>0</v>
          </cell>
          <cell r="DQ38">
            <v>0</v>
          </cell>
          <cell r="DR38">
            <v>0</v>
          </cell>
          <cell r="DS38">
            <v>0</v>
          </cell>
          <cell r="DT38">
            <v>0</v>
          </cell>
        </row>
        <row r="39">
          <cell r="B39" t="str">
            <v>TS 93 G GSR-EMR 1 /BG EN 2-5 Gangfl.</v>
          </cell>
          <cell r="D39">
            <v>0</v>
          </cell>
          <cell r="E39" t="str">
            <v>x</v>
          </cell>
          <cell r="F39" t="str">
            <v>x</v>
          </cell>
          <cell r="G39">
            <v>0</v>
          </cell>
          <cell r="H39">
            <v>0</v>
          </cell>
          <cell r="I39" t="str">
            <v>x</v>
          </cell>
          <cell r="J39" t="str">
            <v>x</v>
          </cell>
          <cell r="K39" t="str">
            <v>x</v>
          </cell>
          <cell r="L39" t="str">
            <v>x</v>
          </cell>
          <cell r="M39">
            <v>0</v>
          </cell>
          <cell r="N39">
            <v>0</v>
          </cell>
          <cell r="O39">
            <v>0</v>
          </cell>
          <cell r="P39" t="str">
            <v>x</v>
          </cell>
          <cell r="Q39">
            <v>0</v>
          </cell>
          <cell r="R39" t="str">
            <v>x</v>
          </cell>
          <cell r="S39">
            <v>0</v>
          </cell>
          <cell r="T39">
            <v>0</v>
          </cell>
          <cell r="U39" t="str">
            <v>x</v>
          </cell>
          <cell r="V39" t="str">
            <v>x</v>
          </cell>
          <cell r="W39" t="str">
            <v>x</v>
          </cell>
          <cell r="X39" t="str">
            <v>x</v>
          </cell>
          <cell r="Y39">
            <v>0</v>
          </cell>
          <cell r="Z39">
            <v>0</v>
          </cell>
          <cell r="AA39" t="str">
            <v>x</v>
          </cell>
          <cell r="AB39">
            <v>0</v>
          </cell>
          <cell r="AC39" t="str">
            <v>x</v>
          </cell>
          <cell r="AD39" t="str">
            <v>x</v>
          </cell>
          <cell r="AE39">
            <v>0</v>
          </cell>
          <cell r="AF39" t="str">
            <v>x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93</v>
          </cell>
          <cell r="AL39" t="str">
            <v>G</v>
          </cell>
          <cell r="AM39" t="str">
            <v>2-5</v>
          </cell>
          <cell r="BE39" t="str">
            <v>x</v>
          </cell>
          <cell r="BW39">
            <v>275</v>
          </cell>
          <cell r="BX39">
            <v>53</v>
          </cell>
          <cell r="BY39">
            <v>60</v>
          </cell>
          <cell r="BZ39" t="str">
            <v>V</v>
          </cell>
          <cell r="CA39">
            <v>30</v>
          </cell>
          <cell r="CB39">
            <v>55</v>
          </cell>
          <cell r="CC39">
            <v>28</v>
          </cell>
          <cell r="CD39">
            <v>375</v>
          </cell>
          <cell r="CE39">
            <v>30</v>
          </cell>
          <cell r="CF39">
            <v>30</v>
          </cell>
          <cell r="CG39">
            <v>209</v>
          </cell>
          <cell r="CH39">
            <v>91</v>
          </cell>
          <cell r="CI39">
            <v>466</v>
          </cell>
          <cell r="CJ39">
            <v>302</v>
          </cell>
          <cell r="CK39">
            <v>164</v>
          </cell>
          <cell r="CL39">
            <v>0</v>
          </cell>
          <cell r="CM39">
            <v>0</v>
          </cell>
          <cell r="CN39">
            <v>0</v>
          </cell>
          <cell r="CO39">
            <v>0</v>
          </cell>
          <cell r="CP39">
            <v>0</v>
          </cell>
          <cell r="CQ39">
            <v>0</v>
          </cell>
          <cell r="CR39">
            <v>0</v>
          </cell>
          <cell r="CS39">
            <v>0</v>
          </cell>
          <cell r="CT39">
            <v>0</v>
          </cell>
          <cell r="CU39">
            <v>0</v>
          </cell>
          <cell r="CV39">
            <v>0</v>
          </cell>
          <cell r="CW39">
            <v>0</v>
          </cell>
          <cell r="CX39">
            <v>0</v>
          </cell>
          <cell r="CY39">
            <v>0</v>
          </cell>
          <cell r="CZ39">
            <v>0</v>
          </cell>
          <cell r="DA39">
            <v>0</v>
          </cell>
          <cell r="DB39">
            <v>0</v>
          </cell>
          <cell r="DC39">
            <v>0</v>
          </cell>
          <cell r="DD39">
            <v>0</v>
          </cell>
          <cell r="DE39">
            <v>0</v>
          </cell>
          <cell r="DF39">
            <v>0</v>
          </cell>
          <cell r="DG39">
            <v>118</v>
          </cell>
          <cell r="DH39">
            <v>0</v>
          </cell>
          <cell r="DI39">
            <v>17</v>
          </cell>
          <cell r="DJ39">
            <v>118</v>
          </cell>
          <cell r="DK39" t="str">
            <v>V</v>
          </cell>
          <cell r="DL39">
            <v>0</v>
          </cell>
          <cell r="DM39">
            <v>282</v>
          </cell>
          <cell r="DN39">
            <v>0</v>
          </cell>
          <cell r="DO39">
            <v>0</v>
          </cell>
          <cell r="DP39">
            <v>0</v>
          </cell>
          <cell r="DQ39">
            <v>0</v>
          </cell>
          <cell r="DR39">
            <v>0</v>
          </cell>
          <cell r="DS39">
            <v>0</v>
          </cell>
          <cell r="DT39">
            <v>0</v>
          </cell>
        </row>
        <row r="40">
          <cell r="B40" t="str">
            <v>TS 93 G GSR-EMR 1G /BG EN 2-5 Gangfl.</v>
          </cell>
          <cell r="D40">
            <v>0</v>
          </cell>
          <cell r="E40" t="str">
            <v>x</v>
          </cell>
          <cell r="F40" t="str">
            <v>x</v>
          </cell>
          <cell r="G40">
            <v>0</v>
          </cell>
          <cell r="H40">
            <v>0</v>
          </cell>
          <cell r="I40" t="str">
            <v>x</v>
          </cell>
          <cell r="J40" t="str">
            <v>x</v>
          </cell>
          <cell r="K40" t="str">
            <v>x</v>
          </cell>
          <cell r="L40" t="str">
            <v>x</v>
          </cell>
          <cell r="M40">
            <v>0</v>
          </cell>
          <cell r="N40">
            <v>0</v>
          </cell>
          <cell r="O40">
            <v>0</v>
          </cell>
          <cell r="P40" t="str">
            <v>x</v>
          </cell>
          <cell r="Q40">
            <v>0</v>
          </cell>
          <cell r="R40" t="str">
            <v>x</v>
          </cell>
          <cell r="S40">
            <v>0</v>
          </cell>
          <cell r="T40">
            <v>0</v>
          </cell>
          <cell r="U40" t="str">
            <v>x</v>
          </cell>
          <cell r="V40" t="str">
            <v>x</v>
          </cell>
          <cell r="W40" t="str">
            <v>x</v>
          </cell>
          <cell r="X40" t="str">
            <v>x</v>
          </cell>
          <cell r="Y40">
            <v>0</v>
          </cell>
          <cell r="Z40">
            <v>0</v>
          </cell>
          <cell r="AA40" t="str">
            <v>x</v>
          </cell>
          <cell r="AB40">
            <v>0</v>
          </cell>
          <cell r="AC40" t="str">
            <v>x</v>
          </cell>
          <cell r="AD40" t="str">
            <v>x</v>
          </cell>
          <cell r="AE40">
            <v>0</v>
          </cell>
          <cell r="AF40" t="str">
            <v>x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93</v>
          </cell>
          <cell r="AL40" t="str">
            <v>G</v>
          </cell>
          <cell r="AM40" t="str">
            <v>2-5</v>
          </cell>
          <cell r="BF40" t="str">
            <v>x</v>
          </cell>
          <cell r="BW40">
            <v>275</v>
          </cell>
          <cell r="BX40">
            <v>53</v>
          </cell>
          <cell r="BY40">
            <v>60</v>
          </cell>
          <cell r="BZ40" t="str">
            <v>V</v>
          </cell>
          <cell r="CA40">
            <v>30</v>
          </cell>
          <cell r="CB40">
            <v>55</v>
          </cell>
          <cell r="CC40">
            <v>28</v>
          </cell>
          <cell r="CD40">
            <v>375</v>
          </cell>
          <cell r="CE40">
            <v>30</v>
          </cell>
          <cell r="CF40">
            <v>30</v>
          </cell>
          <cell r="CG40">
            <v>209</v>
          </cell>
          <cell r="CH40">
            <v>91</v>
          </cell>
          <cell r="CI40">
            <v>466</v>
          </cell>
          <cell r="CJ40">
            <v>302</v>
          </cell>
          <cell r="CK40">
            <v>164</v>
          </cell>
          <cell r="CL40">
            <v>0</v>
          </cell>
          <cell r="CM40">
            <v>0</v>
          </cell>
          <cell r="CN40">
            <v>0</v>
          </cell>
          <cell r="CO40">
            <v>0</v>
          </cell>
          <cell r="CP40">
            <v>0</v>
          </cell>
          <cell r="CQ40">
            <v>0</v>
          </cell>
          <cell r="CR40">
            <v>0</v>
          </cell>
          <cell r="CS40">
            <v>0</v>
          </cell>
          <cell r="CT40">
            <v>0</v>
          </cell>
          <cell r="CU40">
            <v>0</v>
          </cell>
          <cell r="CV40">
            <v>0</v>
          </cell>
          <cell r="CW40">
            <v>0</v>
          </cell>
          <cell r="CX40">
            <v>0</v>
          </cell>
          <cell r="CY40">
            <v>0</v>
          </cell>
          <cell r="CZ40">
            <v>0</v>
          </cell>
          <cell r="DA40">
            <v>0</v>
          </cell>
          <cell r="DB40">
            <v>0</v>
          </cell>
          <cell r="DC40">
            <v>0</v>
          </cell>
          <cell r="DD40">
            <v>0</v>
          </cell>
          <cell r="DE40">
            <v>0</v>
          </cell>
          <cell r="DF40">
            <v>0</v>
          </cell>
          <cell r="DG40">
            <v>118</v>
          </cell>
          <cell r="DH40">
            <v>0</v>
          </cell>
          <cell r="DI40">
            <v>17</v>
          </cell>
          <cell r="DJ40">
            <v>118</v>
          </cell>
          <cell r="DK40" t="str">
            <v>V</v>
          </cell>
          <cell r="DL40">
            <v>0</v>
          </cell>
          <cell r="DM40">
            <v>282</v>
          </cell>
          <cell r="DN40">
            <v>0</v>
          </cell>
          <cell r="DO40">
            <v>0</v>
          </cell>
          <cell r="DP40">
            <v>0</v>
          </cell>
          <cell r="DQ40">
            <v>0</v>
          </cell>
          <cell r="DR40">
            <v>0</v>
          </cell>
          <cell r="DS40">
            <v>0</v>
          </cell>
          <cell r="DT40">
            <v>0</v>
          </cell>
        </row>
        <row r="41">
          <cell r="B41" t="str">
            <v>TS 93 G GSR-EMR 2 /BG EN 2-5 Gangfl.</v>
          </cell>
          <cell r="D41">
            <v>0</v>
          </cell>
          <cell r="E41" t="str">
            <v>x</v>
          </cell>
          <cell r="F41" t="str">
            <v>x</v>
          </cell>
          <cell r="G41">
            <v>0</v>
          </cell>
          <cell r="H41">
            <v>0</v>
          </cell>
          <cell r="I41" t="str">
            <v>x</v>
          </cell>
          <cell r="J41" t="str">
            <v>x</v>
          </cell>
          <cell r="K41" t="str">
            <v>x</v>
          </cell>
          <cell r="L41" t="str">
            <v>x</v>
          </cell>
          <cell r="M41">
            <v>0</v>
          </cell>
          <cell r="N41">
            <v>0</v>
          </cell>
          <cell r="O41">
            <v>0</v>
          </cell>
          <cell r="P41" t="str">
            <v>x</v>
          </cell>
          <cell r="Q41">
            <v>0</v>
          </cell>
          <cell r="R41" t="str">
            <v>x</v>
          </cell>
          <cell r="S41">
            <v>0</v>
          </cell>
          <cell r="T41">
            <v>0</v>
          </cell>
          <cell r="U41" t="str">
            <v>x</v>
          </cell>
          <cell r="V41" t="str">
            <v>x</v>
          </cell>
          <cell r="W41" t="str">
            <v>x</v>
          </cell>
          <cell r="X41" t="str">
            <v>x</v>
          </cell>
          <cell r="Y41">
            <v>0</v>
          </cell>
          <cell r="Z41">
            <v>0</v>
          </cell>
          <cell r="AA41" t="str">
            <v>x</v>
          </cell>
          <cell r="AB41">
            <v>0</v>
          </cell>
          <cell r="AC41" t="str">
            <v>x</v>
          </cell>
          <cell r="AD41" t="str">
            <v>x</v>
          </cell>
          <cell r="AE41">
            <v>0</v>
          </cell>
          <cell r="AF41" t="str">
            <v>x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93</v>
          </cell>
          <cell r="AL41" t="str">
            <v>G</v>
          </cell>
          <cell r="AM41" t="str">
            <v>2-5</v>
          </cell>
          <cell r="BG41" t="str">
            <v>x</v>
          </cell>
          <cell r="BW41">
            <v>275</v>
          </cell>
          <cell r="BX41">
            <v>53</v>
          </cell>
          <cell r="BY41">
            <v>60</v>
          </cell>
          <cell r="BZ41" t="str">
            <v>V</v>
          </cell>
          <cell r="CA41">
            <v>30</v>
          </cell>
          <cell r="CB41">
            <v>55</v>
          </cell>
          <cell r="CC41">
            <v>28</v>
          </cell>
          <cell r="CD41">
            <v>375</v>
          </cell>
          <cell r="CE41">
            <v>30</v>
          </cell>
          <cell r="CF41">
            <v>30</v>
          </cell>
          <cell r="CG41">
            <v>209</v>
          </cell>
          <cell r="CH41">
            <v>91</v>
          </cell>
          <cell r="CI41">
            <v>466</v>
          </cell>
          <cell r="CJ41">
            <v>302</v>
          </cell>
          <cell r="CK41">
            <v>164</v>
          </cell>
          <cell r="CL41">
            <v>0</v>
          </cell>
          <cell r="CM41">
            <v>0</v>
          </cell>
          <cell r="CN41">
            <v>0</v>
          </cell>
          <cell r="CO41">
            <v>0</v>
          </cell>
          <cell r="CP41">
            <v>0</v>
          </cell>
          <cell r="CQ41">
            <v>0</v>
          </cell>
          <cell r="CR41">
            <v>0</v>
          </cell>
          <cell r="CS41">
            <v>0</v>
          </cell>
          <cell r="CT41">
            <v>0</v>
          </cell>
          <cell r="CU41">
            <v>0</v>
          </cell>
          <cell r="CV41">
            <v>0</v>
          </cell>
          <cell r="CW41">
            <v>0</v>
          </cell>
          <cell r="CX41">
            <v>0</v>
          </cell>
          <cell r="CY41">
            <v>0</v>
          </cell>
          <cell r="CZ41">
            <v>0</v>
          </cell>
          <cell r="DA41">
            <v>0</v>
          </cell>
          <cell r="DB41">
            <v>0</v>
          </cell>
          <cell r="DC41">
            <v>0</v>
          </cell>
          <cell r="DD41">
            <v>0</v>
          </cell>
          <cell r="DE41">
            <v>0</v>
          </cell>
          <cell r="DF41">
            <v>0</v>
          </cell>
          <cell r="DG41">
            <v>118</v>
          </cell>
          <cell r="DH41">
            <v>0</v>
          </cell>
          <cell r="DI41">
            <v>17</v>
          </cell>
          <cell r="DJ41">
            <v>118</v>
          </cell>
          <cell r="DK41" t="str">
            <v>V</v>
          </cell>
          <cell r="DL41">
            <v>0</v>
          </cell>
          <cell r="DM41">
            <v>282</v>
          </cell>
          <cell r="DN41">
            <v>0</v>
          </cell>
          <cell r="DO41">
            <v>0</v>
          </cell>
          <cell r="DP41">
            <v>0</v>
          </cell>
          <cell r="DQ41">
            <v>0</v>
          </cell>
          <cell r="DR41">
            <v>0</v>
          </cell>
          <cell r="DS41">
            <v>0</v>
          </cell>
          <cell r="DT41">
            <v>0</v>
          </cell>
        </row>
        <row r="42">
          <cell r="B42" t="str">
            <v>TS 93 G GSR /BG EN 2-5 Standfl.</v>
          </cell>
          <cell r="E42" t="str">
            <v>x</v>
          </cell>
          <cell r="F42" t="str">
            <v>x</v>
          </cell>
          <cell r="I42" t="str">
            <v>x</v>
          </cell>
          <cell r="J42" t="str">
            <v>x</v>
          </cell>
          <cell r="K42" t="str">
            <v>x</v>
          </cell>
          <cell r="L42" t="str">
            <v>x</v>
          </cell>
          <cell r="P42" t="str">
            <v>x</v>
          </cell>
          <cell r="R42" t="str">
            <v>x</v>
          </cell>
          <cell r="U42" t="str">
            <v>x</v>
          </cell>
          <cell r="V42" t="str">
            <v>x</v>
          </cell>
          <cell r="W42" t="str">
            <v>x</v>
          </cell>
          <cell r="X42" t="str">
            <v>x</v>
          </cell>
          <cell r="AA42" t="str">
            <v>x</v>
          </cell>
          <cell r="AF42" t="str">
            <v>x</v>
          </cell>
          <cell r="AK42">
            <v>93</v>
          </cell>
          <cell r="AL42" t="str">
            <v>G</v>
          </cell>
          <cell r="AM42" t="str">
            <v>2-5</v>
          </cell>
          <cell r="AZ42" t="str">
            <v>x</v>
          </cell>
          <cell r="BW42">
            <v>275</v>
          </cell>
          <cell r="BX42">
            <v>53</v>
          </cell>
          <cell r="BY42">
            <v>60</v>
          </cell>
          <cell r="BZ42" t="str">
            <v>V</v>
          </cell>
          <cell r="CA42">
            <v>30</v>
          </cell>
          <cell r="CB42">
            <v>34</v>
          </cell>
          <cell r="CC42">
            <v>17</v>
          </cell>
          <cell r="CD42">
            <v>375</v>
          </cell>
          <cell r="CE42">
            <v>30</v>
          </cell>
          <cell r="CF42">
            <v>30</v>
          </cell>
          <cell r="CG42">
            <v>140</v>
          </cell>
          <cell r="CH42">
            <v>91</v>
          </cell>
          <cell r="CI42">
            <v>466</v>
          </cell>
          <cell r="CJ42">
            <v>415</v>
          </cell>
          <cell r="CK42">
            <v>51</v>
          </cell>
          <cell r="CL42">
            <v>0</v>
          </cell>
          <cell r="CM42">
            <v>0</v>
          </cell>
          <cell r="CN42">
            <v>0</v>
          </cell>
          <cell r="CO42">
            <v>0</v>
          </cell>
          <cell r="CP42">
            <v>0</v>
          </cell>
          <cell r="CQ42">
            <v>0</v>
          </cell>
          <cell r="CR42">
            <v>0</v>
          </cell>
          <cell r="CS42">
            <v>0</v>
          </cell>
          <cell r="CT42">
            <v>0</v>
          </cell>
          <cell r="CU42">
            <v>0</v>
          </cell>
          <cell r="CV42">
            <v>0</v>
          </cell>
          <cell r="CW42">
            <v>0</v>
          </cell>
          <cell r="CX42">
            <v>0</v>
          </cell>
          <cell r="CY42">
            <v>0</v>
          </cell>
          <cell r="CZ42">
            <v>0</v>
          </cell>
          <cell r="DA42">
            <v>0</v>
          </cell>
          <cell r="DB42">
            <v>0</v>
          </cell>
          <cell r="DC42">
            <v>0</v>
          </cell>
          <cell r="DD42">
            <v>0</v>
          </cell>
          <cell r="DE42">
            <v>0</v>
          </cell>
          <cell r="DF42">
            <v>0</v>
          </cell>
          <cell r="DG42">
            <v>49</v>
          </cell>
          <cell r="DH42">
            <v>0</v>
          </cell>
          <cell r="DI42">
            <v>17</v>
          </cell>
          <cell r="DJ42">
            <v>49</v>
          </cell>
          <cell r="DK42" t="str">
            <v>V</v>
          </cell>
          <cell r="DL42">
            <v>0</v>
          </cell>
          <cell r="DM42">
            <v>100</v>
          </cell>
          <cell r="DN42">
            <v>49</v>
          </cell>
          <cell r="DO42">
            <v>0</v>
          </cell>
          <cell r="DP42" t="str">
            <v>V</v>
          </cell>
          <cell r="DQ42">
            <v>49</v>
          </cell>
          <cell r="DR42" t="str">
            <v>V</v>
          </cell>
          <cell r="DS42">
            <v>34</v>
          </cell>
          <cell r="DT42">
            <v>100</v>
          </cell>
        </row>
        <row r="43">
          <cell r="B43" t="str">
            <v>TS 93 G GSR RF /BG EN 2-5 Standfl.</v>
          </cell>
          <cell r="E43" t="str">
            <v>x</v>
          </cell>
          <cell r="F43" t="str">
            <v>x</v>
          </cell>
          <cell r="I43" t="str">
            <v>x</v>
          </cell>
          <cell r="J43" t="str">
            <v>x</v>
          </cell>
          <cell r="K43" t="str">
            <v>x</v>
          </cell>
          <cell r="L43" t="str">
            <v>x</v>
          </cell>
          <cell r="P43" t="str">
            <v>x</v>
          </cell>
          <cell r="R43" t="str">
            <v>x</v>
          </cell>
          <cell r="U43" t="str">
            <v>x</v>
          </cell>
          <cell r="V43" t="str">
            <v>x</v>
          </cell>
          <cell r="W43" t="str">
            <v>x</v>
          </cell>
          <cell r="X43" t="str">
            <v>x</v>
          </cell>
          <cell r="AA43" t="str">
            <v>x</v>
          </cell>
          <cell r="AB43" t="str">
            <v>x</v>
          </cell>
          <cell r="AF43" t="str">
            <v>x</v>
          </cell>
          <cell r="AK43">
            <v>93</v>
          </cell>
          <cell r="AL43" t="str">
            <v>G</v>
          </cell>
          <cell r="AM43" t="str">
            <v>2-5</v>
          </cell>
          <cell r="BA43" t="str">
            <v>x</v>
          </cell>
          <cell r="BW43">
            <v>275</v>
          </cell>
          <cell r="BX43">
            <v>53</v>
          </cell>
          <cell r="BY43">
            <v>60</v>
          </cell>
          <cell r="BZ43" t="str">
            <v>V</v>
          </cell>
          <cell r="CA43">
            <v>30</v>
          </cell>
          <cell r="CB43">
            <v>34</v>
          </cell>
          <cell r="CC43">
            <v>17</v>
          </cell>
          <cell r="CD43">
            <v>375</v>
          </cell>
          <cell r="CE43">
            <v>30</v>
          </cell>
          <cell r="CF43">
            <v>30</v>
          </cell>
          <cell r="CG43">
            <v>140</v>
          </cell>
          <cell r="CH43">
            <v>91</v>
          </cell>
          <cell r="CI43">
            <v>466</v>
          </cell>
          <cell r="CJ43">
            <v>415</v>
          </cell>
          <cell r="CK43">
            <v>51</v>
          </cell>
          <cell r="CL43">
            <v>0</v>
          </cell>
          <cell r="CM43">
            <v>0</v>
          </cell>
          <cell r="CN43">
            <v>0</v>
          </cell>
          <cell r="CO43">
            <v>0</v>
          </cell>
          <cell r="CP43">
            <v>0</v>
          </cell>
          <cell r="CQ43">
            <v>0</v>
          </cell>
          <cell r="CR43">
            <v>0</v>
          </cell>
          <cell r="CS43">
            <v>0</v>
          </cell>
          <cell r="CT43">
            <v>0</v>
          </cell>
          <cell r="CU43">
            <v>0</v>
          </cell>
          <cell r="CV43">
            <v>0</v>
          </cell>
          <cell r="CW43">
            <v>0</v>
          </cell>
          <cell r="CX43">
            <v>0</v>
          </cell>
          <cell r="CY43">
            <v>0</v>
          </cell>
          <cell r="CZ43">
            <v>0</v>
          </cell>
          <cell r="DA43">
            <v>0</v>
          </cell>
          <cell r="DB43">
            <v>0</v>
          </cell>
          <cell r="DC43">
            <v>0</v>
          </cell>
          <cell r="DD43">
            <v>0</v>
          </cell>
          <cell r="DE43">
            <v>0</v>
          </cell>
          <cell r="DF43">
            <v>0</v>
          </cell>
          <cell r="DG43">
            <v>49</v>
          </cell>
          <cell r="DH43">
            <v>0</v>
          </cell>
          <cell r="DI43">
            <v>17</v>
          </cell>
          <cell r="DJ43">
            <v>49</v>
          </cell>
          <cell r="DK43" t="str">
            <v>V</v>
          </cell>
          <cell r="DL43">
            <v>0</v>
          </cell>
          <cell r="DM43">
            <v>100</v>
          </cell>
          <cell r="DN43">
            <v>49</v>
          </cell>
          <cell r="DO43">
            <v>0</v>
          </cell>
          <cell r="DP43" t="str">
            <v>V</v>
          </cell>
          <cell r="DQ43">
            <v>49</v>
          </cell>
          <cell r="DR43" t="str">
            <v>V</v>
          </cell>
          <cell r="DS43">
            <v>34</v>
          </cell>
          <cell r="DT43">
            <v>100</v>
          </cell>
        </row>
        <row r="44">
          <cell r="B44" t="str">
            <v>TS 93 G GSR-EMF 1 /BG EN 2-5 Standfl.</v>
          </cell>
          <cell r="E44" t="str">
            <v>x</v>
          </cell>
          <cell r="F44" t="str">
            <v>x</v>
          </cell>
          <cell r="I44" t="str">
            <v>x</v>
          </cell>
          <cell r="J44" t="str">
            <v>x</v>
          </cell>
          <cell r="K44" t="str">
            <v>x</v>
          </cell>
          <cell r="L44" t="str">
            <v>x</v>
          </cell>
          <cell r="P44" t="str">
            <v>x</v>
          </cell>
          <cell r="R44" t="str">
            <v>x</v>
          </cell>
          <cell r="U44" t="str">
            <v>x</v>
          </cell>
          <cell r="V44" t="str">
            <v>x</v>
          </cell>
          <cell r="W44" t="str">
            <v>x</v>
          </cell>
          <cell r="X44" t="str">
            <v>x</v>
          </cell>
          <cell r="AA44" t="str">
            <v>x</v>
          </cell>
          <cell r="AC44" t="str">
            <v>x</v>
          </cell>
          <cell r="AE44" t="str">
            <v>x</v>
          </cell>
          <cell r="AF44" t="str">
            <v>x</v>
          </cell>
          <cell r="AK44">
            <v>93</v>
          </cell>
          <cell r="AL44" t="str">
            <v>G</v>
          </cell>
          <cell r="AM44" t="str">
            <v>2-5</v>
          </cell>
          <cell r="BB44" t="str">
            <v>x</v>
          </cell>
          <cell r="BW44">
            <v>275</v>
          </cell>
          <cell r="BX44">
            <v>53</v>
          </cell>
          <cell r="BY44">
            <v>60</v>
          </cell>
          <cell r="BZ44" t="str">
            <v>V</v>
          </cell>
          <cell r="CA44">
            <v>30</v>
          </cell>
          <cell r="CB44">
            <v>55</v>
          </cell>
          <cell r="CC44">
            <v>28</v>
          </cell>
          <cell r="CD44">
            <v>375</v>
          </cell>
          <cell r="CE44">
            <v>30</v>
          </cell>
          <cell r="CF44">
            <v>30</v>
          </cell>
          <cell r="CG44">
            <v>140</v>
          </cell>
          <cell r="CH44">
            <v>91</v>
          </cell>
          <cell r="CI44">
            <v>466</v>
          </cell>
          <cell r="CJ44">
            <v>302</v>
          </cell>
          <cell r="CK44">
            <v>164</v>
          </cell>
          <cell r="CL44">
            <v>0</v>
          </cell>
          <cell r="CM44">
            <v>0</v>
          </cell>
          <cell r="CN44">
            <v>0</v>
          </cell>
          <cell r="CO44">
            <v>0</v>
          </cell>
          <cell r="CP44">
            <v>0</v>
          </cell>
          <cell r="CQ44">
            <v>0</v>
          </cell>
          <cell r="CR44">
            <v>0</v>
          </cell>
          <cell r="CS44">
            <v>0</v>
          </cell>
          <cell r="CT44">
            <v>0</v>
          </cell>
          <cell r="CU44">
            <v>0</v>
          </cell>
          <cell r="CV44">
            <v>0</v>
          </cell>
          <cell r="CW44">
            <v>0</v>
          </cell>
          <cell r="CX44">
            <v>0</v>
          </cell>
          <cell r="CY44">
            <v>0</v>
          </cell>
          <cell r="CZ44">
            <v>0</v>
          </cell>
          <cell r="DA44">
            <v>0</v>
          </cell>
          <cell r="DB44">
            <v>0</v>
          </cell>
          <cell r="DC44">
            <v>0</v>
          </cell>
          <cell r="DD44">
            <v>0</v>
          </cell>
          <cell r="DE44">
            <v>0</v>
          </cell>
          <cell r="DF44">
            <v>0</v>
          </cell>
          <cell r="DG44">
            <v>49</v>
          </cell>
          <cell r="DH44">
            <v>0</v>
          </cell>
          <cell r="DI44">
            <v>17</v>
          </cell>
          <cell r="DJ44">
            <v>49</v>
          </cell>
          <cell r="DK44" t="str">
            <v>V</v>
          </cell>
          <cell r="DL44">
            <v>0</v>
          </cell>
          <cell r="DM44">
            <v>213</v>
          </cell>
          <cell r="DN44">
            <v>0</v>
          </cell>
          <cell r="DO44">
            <v>0</v>
          </cell>
          <cell r="DP44">
            <v>0</v>
          </cell>
          <cell r="DQ44">
            <v>0</v>
          </cell>
          <cell r="DR44">
            <v>0</v>
          </cell>
          <cell r="DS44">
            <v>0</v>
          </cell>
          <cell r="DT44">
            <v>0</v>
          </cell>
        </row>
        <row r="45">
          <cell r="B45" t="str">
            <v>TS 93 G GSR-EMF 1G /BG EN 2-5 Standfl.</v>
          </cell>
          <cell r="E45" t="str">
            <v>x</v>
          </cell>
          <cell r="F45" t="str">
            <v>x</v>
          </cell>
          <cell r="I45" t="str">
            <v>x</v>
          </cell>
          <cell r="J45" t="str">
            <v>x</v>
          </cell>
          <cell r="K45" t="str">
            <v>x</v>
          </cell>
          <cell r="L45" t="str">
            <v>x</v>
          </cell>
          <cell r="P45" t="str">
            <v>x</v>
          </cell>
          <cell r="R45" t="str">
            <v>x</v>
          </cell>
          <cell r="U45" t="str">
            <v>x</v>
          </cell>
          <cell r="V45" t="str">
            <v>x</v>
          </cell>
          <cell r="W45" t="str">
            <v>x</v>
          </cell>
          <cell r="X45" t="str">
            <v>x</v>
          </cell>
          <cell r="AA45" t="str">
            <v>x</v>
          </cell>
          <cell r="AC45" t="str">
            <v>x</v>
          </cell>
          <cell r="AE45" t="str">
            <v>x</v>
          </cell>
          <cell r="AF45" t="str">
            <v>x</v>
          </cell>
          <cell r="AK45">
            <v>93</v>
          </cell>
          <cell r="AL45" t="str">
            <v>G</v>
          </cell>
          <cell r="AM45" t="str">
            <v>2-5</v>
          </cell>
          <cell r="BC45" t="str">
            <v>x</v>
          </cell>
          <cell r="BW45">
            <v>275</v>
          </cell>
          <cell r="BX45">
            <v>53</v>
          </cell>
          <cell r="BY45">
            <v>60</v>
          </cell>
          <cell r="BZ45" t="str">
            <v>V</v>
          </cell>
          <cell r="CA45">
            <v>30</v>
          </cell>
          <cell r="CB45">
            <v>55</v>
          </cell>
          <cell r="CC45">
            <v>28</v>
          </cell>
          <cell r="CD45">
            <v>375</v>
          </cell>
          <cell r="CE45">
            <v>30</v>
          </cell>
          <cell r="CF45">
            <v>30</v>
          </cell>
          <cell r="CG45">
            <v>140</v>
          </cell>
          <cell r="CH45">
            <v>91</v>
          </cell>
          <cell r="CI45">
            <v>466</v>
          </cell>
          <cell r="CJ45">
            <v>302</v>
          </cell>
          <cell r="CK45">
            <v>164</v>
          </cell>
          <cell r="CL45">
            <v>0</v>
          </cell>
          <cell r="CM45">
            <v>0</v>
          </cell>
          <cell r="CN45">
            <v>0</v>
          </cell>
          <cell r="CO45">
            <v>0</v>
          </cell>
          <cell r="CP45">
            <v>0</v>
          </cell>
          <cell r="CQ45">
            <v>0</v>
          </cell>
          <cell r="CR45">
            <v>0</v>
          </cell>
          <cell r="CS45">
            <v>0</v>
          </cell>
          <cell r="CT45">
            <v>0</v>
          </cell>
          <cell r="CU45">
            <v>0</v>
          </cell>
          <cell r="CV45">
            <v>0</v>
          </cell>
          <cell r="CW45">
            <v>0</v>
          </cell>
          <cell r="CX45">
            <v>0</v>
          </cell>
          <cell r="CY45">
            <v>0</v>
          </cell>
          <cell r="CZ45">
            <v>0</v>
          </cell>
          <cell r="DA45">
            <v>0</v>
          </cell>
          <cell r="DB45">
            <v>0</v>
          </cell>
          <cell r="DC45">
            <v>0</v>
          </cell>
          <cell r="DD45">
            <v>0</v>
          </cell>
          <cell r="DE45">
            <v>0</v>
          </cell>
          <cell r="DF45">
            <v>0</v>
          </cell>
          <cell r="DG45">
            <v>49</v>
          </cell>
          <cell r="DH45">
            <v>0</v>
          </cell>
          <cell r="DI45">
            <v>17</v>
          </cell>
          <cell r="DJ45">
            <v>49</v>
          </cell>
          <cell r="DK45" t="str">
            <v>V</v>
          </cell>
          <cell r="DL45">
            <v>0</v>
          </cell>
          <cell r="DM45">
            <v>213</v>
          </cell>
          <cell r="DN45">
            <v>0</v>
          </cell>
          <cell r="DO45">
            <v>0</v>
          </cell>
          <cell r="DP45">
            <v>0</v>
          </cell>
          <cell r="DQ45">
            <v>0</v>
          </cell>
          <cell r="DR45">
            <v>0</v>
          </cell>
          <cell r="DS45">
            <v>0</v>
          </cell>
          <cell r="DT45">
            <v>0</v>
          </cell>
        </row>
        <row r="46">
          <cell r="B46" t="str">
            <v>TS 93 G GSR-EMF 2 /BG EN 2-5 Standfl.</v>
          </cell>
          <cell r="E46" t="str">
            <v>x</v>
          </cell>
          <cell r="F46" t="str">
            <v>x</v>
          </cell>
          <cell r="I46" t="str">
            <v>x</v>
          </cell>
          <cell r="J46" t="str">
            <v>x</v>
          </cell>
          <cell r="K46" t="str">
            <v>x</v>
          </cell>
          <cell r="L46" t="str">
            <v>x</v>
          </cell>
          <cell r="P46" t="str">
            <v>x</v>
          </cell>
          <cell r="R46" t="str">
            <v>x</v>
          </cell>
          <cell r="U46" t="str">
            <v>x</v>
          </cell>
          <cell r="V46" t="str">
            <v>x</v>
          </cell>
          <cell r="W46" t="str">
            <v>x</v>
          </cell>
          <cell r="X46" t="str">
            <v>x</v>
          </cell>
          <cell r="AA46" t="str">
            <v>x</v>
          </cell>
          <cell r="AC46" t="str">
            <v>x</v>
          </cell>
          <cell r="AE46" t="str">
            <v>x</v>
          </cell>
          <cell r="AF46" t="str">
            <v>x</v>
          </cell>
          <cell r="AK46">
            <v>93</v>
          </cell>
          <cell r="AL46" t="str">
            <v>G</v>
          </cell>
          <cell r="AM46" t="str">
            <v>2-5</v>
          </cell>
          <cell r="BD46" t="str">
            <v>x</v>
          </cell>
          <cell r="BW46">
            <v>275</v>
          </cell>
          <cell r="BX46">
            <v>53</v>
          </cell>
          <cell r="BY46">
            <v>60</v>
          </cell>
          <cell r="BZ46" t="str">
            <v>V</v>
          </cell>
          <cell r="CA46">
            <v>30</v>
          </cell>
          <cell r="CB46">
            <v>55</v>
          </cell>
          <cell r="CC46">
            <v>28</v>
          </cell>
          <cell r="CD46">
            <v>375</v>
          </cell>
          <cell r="CE46">
            <v>30</v>
          </cell>
          <cell r="CF46">
            <v>30</v>
          </cell>
          <cell r="CG46">
            <v>140</v>
          </cell>
          <cell r="CH46">
            <v>91</v>
          </cell>
          <cell r="CI46">
            <v>466</v>
          </cell>
          <cell r="CJ46">
            <v>302</v>
          </cell>
          <cell r="CK46">
            <v>164</v>
          </cell>
          <cell r="CL46">
            <v>0</v>
          </cell>
          <cell r="CM46">
            <v>0</v>
          </cell>
          <cell r="CN46">
            <v>0</v>
          </cell>
          <cell r="CO46">
            <v>0</v>
          </cell>
          <cell r="CP46">
            <v>0</v>
          </cell>
          <cell r="CQ46">
            <v>0</v>
          </cell>
          <cell r="CR46">
            <v>0</v>
          </cell>
          <cell r="CS46">
            <v>0</v>
          </cell>
          <cell r="CT46">
            <v>0</v>
          </cell>
          <cell r="CU46">
            <v>0</v>
          </cell>
          <cell r="CV46">
            <v>0</v>
          </cell>
          <cell r="CW46">
            <v>0</v>
          </cell>
          <cell r="CX46">
            <v>0</v>
          </cell>
          <cell r="CY46">
            <v>0</v>
          </cell>
          <cell r="CZ46">
            <v>0</v>
          </cell>
          <cell r="DA46">
            <v>0</v>
          </cell>
          <cell r="DB46">
            <v>0</v>
          </cell>
          <cell r="DC46">
            <v>0</v>
          </cell>
          <cell r="DD46">
            <v>0</v>
          </cell>
          <cell r="DE46">
            <v>0</v>
          </cell>
          <cell r="DF46">
            <v>0</v>
          </cell>
          <cell r="DG46">
            <v>49</v>
          </cell>
          <cell r="DH46">
            <v>0</v>
          </cell>
          <cell r="DI46">
            <v>17</v>
          </cell>
          <cell r="DJ46">
            <v>49</v>
          </cell>
          <cell r="DK46" t="str">
            <v>V</v>
          </cell>
          <cell r="DL46">
            <v>0</v>
          </cell>
          <cell r="DM46">
            <v>213</v>
          </cell>
          <cell r="DN46">
            <v>0</v>
          </cell>
          <cell r="DO46">
            <v>0</v>
          </cell>
          <cell r="DP46">
            <v>0</v>
          </cell>
          <cell r="DQ46">
            <v>0</v>
          </cell>
          <cell r="DR46">
            <v>0</v>
          </cell>
          <cell r="DS46">
            <v>0</v>
          </cell>
          <cell r="DT46">
            <v>0</v>
          </cell>
        </row>
        <row r="47">
          <cell r="B47" t="str">
            <v>TS 93 G GSR-EMR 1 /BG EN 2-5 Standfl.</v>
          </cell>
          <cell r="E47" t="str">
            <v>x</v>
          </cell>
          <cell r="F47" t="str">
            <v>x</v>
          </cell>
          <cell r="I47" t="str">
            <v>x</v>
          </cell>
          <cell r="J47" t="str">
            <v>x</v>
          </cell>
          <cell r="K47" t="str">
            <v>x</v>
          </cell>
          <cell r="L47" t="str">
            <v>x</v>
          </cell>
          <cell r="P47" t="str">
            <v>x</v>
          </cell>
          <cell r="R47" t="str">
            <v>x</v>
          </cell>
          <cell r="U47" t="str">
            <v>x</v>
          </cell>
          <cell r="V47" t="str">
            <v>x</v>
          </cell>
          <cell r="W47" t="str">
            <v>x</v>
          </cell>
          <cell r="X47" t="str">
            <v>x</v>
          </cell>
          <cell r="AA47" t="str">
            <v>x</v>
          </cell>
          <cell r="AC47" t="str">
            <v>x</v>
          </cell>
          <cell r="AD47" t="str">
            <v>x</v>
          </cell>
          <cell r="AF47" t="str">
            <v>x</v>
          </cell>
          <cell r="AK47">
            <v>93</v>
          </cell>
          <cell r="AL47" t="str">
            <v>G</v>
          </cell>
          <cell r="AM47" t="str">
            <v>2-5</v>
          </cell>
          <cell r="BE47" t="str">
            <v>x</v>
          </cell>
          <cell r="BW47">
            <v>275</v>
          </cell>
          <cell r="BX47">
            <v>53</v>
          </cell>
          <cell r="BY47">
            <v>60</v>
          </cell>
          <cell r="BZ47" t="str">
            <v>V</v>
          </cell>
          <cell r="CA47">
            <v>30</v>
          </cell>
          <cell r="CB47">
            <v>55</v>
          </cell>
          <cell r="CC47">
            <v>28</v>
          </cell>
          <cell r="CD47">
            <v>375</v>
          </cell>
          <cell r="CE47">
            <v>30</v>
          </cell>
          <cell r="CF47">
            <v>30</v>
          </cell>
          <cell r="CG47">
            <v>140</v>
          </cell>
          <cell r="CH47">
            <v>91</v>
          </cell>
          <cell r="CI47">
            <v>466</v>
          </cell>
          <cell r="CJ47">
            <v>302</v>
          </cell>
          <cell r="CK47">
            <v>164</v>
          </cell>
          <cell r="CL47">
            <v>0</v>
          </cell>
          <cell r="CM47">
            <v>0</v>
          </cell>
          <cell r="CN47">
            <v>0</v>
          </cell>
          <cell r="CO47">
            <v>0</v>
          </cell>
          <cell r="CP47">
            <v>0</v>
          </cell>
          <cell r="CQ47">
            <v>0</v>
          </cell>
          <cell r="CR47">
            <v>0</v>
          </cell>
          <cell r="CS47">
            <v>0</v>
          </cell>
          <cell r="CT47">
            <v>0</v>
          </cell>
          <cell r="CU47">
            <v>0</v>
          </cell>
          <cell r="CV47">
            <v>0</v>
          </cell>
          <cell r="CW47">
            <v>0</v>
          </cell>
          <cell r="CX47">
            <v>0</v>
          </cell>
          <cell r="CY47">
            <v>0</v>
          </cell>
          <cell r="CZ47">
            <v>0</v>
          </cell>
          <cell r="DA47">
            <v>0</v>
          </cell>
          <cell r="DB47">
            <v>0</v>
          </cell>
          <cell r="DC47">
            <v>0</v>
          </cell>
          <cell r="DD47">
            <v>0</v>
          </cell>
          <cell r="DE47">
            <v>0</v>
          </cell>
          <cell r="DF47">
            <v>0</v>
          </cell>
          <cell r="DG47">
            <v>49</v>
          </cell>
          <cell r="DH47">
            <v>0</v>
          </cell>
          <cell r="DI47">
            <v>17</v>
          </cell>
          <cell r="DJ47">
            <v>49</v>
          </cell>
          <cell r="DK47" t="str">
            <v>V</v>
          </cell>
          <cell r="DL47">
            <v>0</v>
          </cell>
          <cell r="DM47">
            <v>213</v>
          </cell>
          <cell r="DN47">
            <v>0</v>
          </cell>
          <cell r="DO47">
            <v>0</v>
          </cell>
          <cell r="DP47">
            <v>0</v>
          </cell>
          <cell r="DQ47">
            <v>0</v>
          </cell>
          <cell r="DR47">
            <v>0</v>
          </cell>
          <cell r="DS47">
            <v>0</v>
          </cell>
          <cell r="DT47">
            <v>0</v>
          </cell>
        </row>
        <row r="48">
          <cell r="B48" t="str">
            <v>TS 93 G GSR-EMR 1G /BG EN 2-5 Standfl.</v>
          </cell>
          <cell r="E48" t="str">
            <v>x</v>
          </cell>
          <cell r="F48" t="str">
            <v>x</v>
          </cell>
          <cell r="I48" t="str">
            <v>x</v>
          </cell>
          <cell r="J48" t="str">
            <v>x</v>
          </cell>
          <cell r="K48" t="str">
            <v>x</v>
          </cell>
          <cell r="L48" t="str">
            <v>x</v>
          </cell>
          <cell r="P48" t="str">
            <v>x</v>
          </cell>
          <cell r="R48" t="str">
            <v>x</v>
          </cell>
          <cell r="U48" t="str">
            <v>x</v>
          </cell>
          <cell r="V48" t="str">
            <v>x</v>
          </cell>
          <cell r="W48" t="str">
            <v>x</v>
          </cell>
          <cell r="X48" t="str">
            <v>x</v>
          </cell>
          <cell r="AA48" t="str">
            <v>x</v>
          </cell>
          <cell r="AC48" t="str">
            <v>x</v>
          </cell>
          <cell r="AD48" t="str">
            <v>x</v>
          </cell>
          <cell r="AF48" t="str">
            <v>x</v>
          </cell>
          <cell r="AK48">
            <v>93</v>
          </cell>
          <cell r="AL48" t="str">
            <v>G</v>
          </cell>
          <cell r="AM48" t="str">
            <v>2-5</v>
          </cell>
          <cell r="BF48" t="str">
            <v>x</v>
          </cell>
          <cell r="BW48">
            <v>275</v>
          </cell>
          <cell r="BX48">
            <v>53</v>
          </cell>
          <cell r="BY48">
            <v>60</v>
          </cell>
          <cell r="BZ48" t="str">
            <v>V</v>
          </cell>
          <cell r="CA48">
            <v>30</v>
          </cell>
          <cell r="CB48">
            <v>55</v>
          </cell>
          <cell r="CC48">
            <v>28</v>
          </cell>
          <cell r="CD48">
            <v>375</v>
          </cell>
          <cell r="CE48">
            <v>30</v>
          </cell>
          <cell r="CF48">
            <v>30</v>
          </cell>
          <cell r="CG48">
            <v>140</v>
          </cell>
          <cell r="CH48">
            <v>91</v>
          </cell>
          <cell r="CI48">
            <v>466</v>
          </cell>
          <cell r="CJ48">
            <v>302</v>
          </cell>
          <cell r="CK48">
            <v>164</v>
          </cell>
          <cell r="CL48">
            <v>0</v>
          </cell>
          <cell r="CM48">
            <v>0</v>
          </cell>
          <cell r="CN48">
            <v>0</v>
          </cell>
          <cell r="CO48">
            <v>0</v>
          </cell>
          <cell r="CP48">
            <v>0</v>
          </cell>
          <cell r="CQ48">
            <v>0</v>
          </cell>
          <cell r="CR48">
            <v>0</v>
          </cell>
          <cell r="CS48">
            <v>0</v>
          </cell>
          <cell r="CT48">
            <v>0</v>
          </cell>
          <cell r="CU48">
            <v>0</v>
          </cell>
          <cell r="CV48">
            <v>0</v>
          </cell>
          <cell r="CW48">
            <v>0</v>
          </cell>
          <cell r="CX48">
            <v>0</v>
          </cell>
          <cell r="CY48">
            <v>0</v>
          </cell>
          <cell r="CZ48">
            <v>0</v>
          </cell>
          <cell r="DA48">
            <v>0</v>
          </cell>
          <cell r="DB48">
            <v>0</v>
          </cell>
          <cell r="DC48">
            <v>0</v>
          </cell>
          <cell r="DD48">
            <v>0</v>
          </cell>
          <cell r="DE48">
            <v>0</v>
          </cell>
          <cell r="DF48">
            <v>0</v>
          </cell>
          <cell r="DG48">
            <v>49</v>
          </cell>
          <cell r="DH48">
            <v>0</v>
          </cell>
          <cell r="DI48">
            <v>17</v>
          </cell>
          <cell r="DJ48">
            <v>49</v>
          </cell>
          <cell r="DK48" t="str">
            <v>V</v>
          </cell>
          <cell r="DL48">
            <v>0</v>
          </cell>
          <cell r="DM48">
            <v>213</v>
          </cell>
          <cell r="DN48">
            <v>0</v>
          </cell>
          <cell r="DO48">
            <v>0</v>
          </cell>
          <cell r="DP48">
            <v>0</v>
          </cell>
          <cell r="DQ48">
            <v>0</v>
          </cell>
          <cell r="DR48">
            <v>0</v>
          </cell>
          <cell r="DS48">
            <v>0</v>
          </cell>
          <cell r="DT48">
            <v>0</v>
          </cell>
        </row>
        <row r="49">
          <cell r="B49" t="str">
            <v>TS 93 G GSR-EMR 2 /BG EN 2-5 Standfl.</v>
          </cell>
          <cell r="E49" t="str">
            <v>x</v>
          </cell>
          <cell r="F49" t="str">
            <v>x</v>
          </cell>
          <cell r="I49" t="str">
            <v>x</v>
          </cell>
          <cell r="J49" t="str">
            <v>x</v>
          </cell>
          <cell r="K49" t="str">
            <v>x</v>
          </cell>
          <cell r="L49" t="str">
            <v>x</v>
          </cell>
          <cell r="P49" t="str">
            <v>x</v>
          </cell>
          <cell r="R49" t="str">
            <v>x</v>
          </cell>
          <cell r="U49" t="str">
            <v>x</v>
          </cell>
          <cell r="V49" t="str">
            <v>x</v>
          </cell>
          <cell r="W49" t="str">
            <v>x</v>
          </cell>
          <cell r="X49" t="str">
            <v>x</v>
          </cell>
          <cell r="AA49" t="str">
            <v>x</v>
          </cell>
          <cell r="AC49" t="str">
            <v>x</v>
          </cell>
          <cell r="AD49" t="str">
            <v>x</v>
          </cell>
          <cell r="AF49" t="str">
            <v>x</v>
          </cell>
          <cell r="AK49">
            <v>93</v>
          </cell>
          <cell r="AL49" t="str">
            <v>G</v>
          </cell>
          <cell r="AM49" t="str">
            <v>2-5</v>
          </cell>
          <cell r="BG49" t="str">
            <v>x</v>
          </cell>
          <cell r="BW49">
            <v>275</v>
          </cell>
          <cell r="BX49">
            <v>53</v>
          </cell>
          <cell r="BY49">
            <v>60</v>
          </cell>
          <cell r="BZ49" t="str">
            <v>V</v>
          </cell>
          <cell r="CA49">
            <v>30</v>
          </cell>
          <cell r="CB49">
            <v>55</v>
          </cell>
          <cell r="CC49">
            <v>28</v>
          </cell>
          <cell r="CD49">
            <v>375</v>
          </cell>
          <cell r="CE49">
            <v>30</v>
          </cell>
          <cell r="CF49">
            <v>30</v>
          </cell>
          <cell r="CG49">
            <v>140</v>
          </cell>
          <cell r="CH49">
            <v>91</v>
          </cell>
          <cell r="CI49">
            <v>466</v>
          </cell>
          <cell r="CJ49">
            <v>302</v>
          </cell>
          <cell r="CK49">
            <v>164</v>
          </cell>
          <cell r="CL49">
            <v>0</v>
          </cell>
          <cell r="CM49">
            <v>0</v>
          </cell>
          <cell r="CN49">
            <v>0</v>
          </cell>
          <cell r="CO49">
            <v>0</v>
          </cell>
          <cell r="CP49">
            <v>0</v>
          </cell>
          <cell r="CQ49">
            <v>0</v>
          </cell>
          <cell r="CR49">
            <v>0</v>
          </cell>
          <cell r="CS49">
            <v>0</v>
          </cell>
          <cell r="CT49">
            <v>0</v>
          </cell>
          <cell r="CU49">
            <v>0</v>
          </cell>
          <cell r="CV49">
            <v>0</v>
          </cell>
          <cell r="CW49">
            <v>0</v>
          </cell>
          <cell r="CX49">
            <v>0</v>
          </cell>
          <cell r="CY49">
            <v>0</v>
          </cell>
          <cell r="CZ49">
            <v>0</v>
          </cell>
          <cell r="DA49">
            <v>0</v>
          </cell>
          <cell r="DB49">
            <v>0</v>
          </cell>
          <cell r="DC49">
            <v>0</v>
          </cell>
          <cell r="DD49">
            <v>0</v>
          </cell>
          <cell r="DE49">
            <v>0</v>
          </cell>
          <cell r="DF49">
            <v>0</v>
          </cell>
          <cell r="DG49">
            <v>49</v>
          </cell>
          <cell r="DH49">
            <v>0</v>
          </cell>
          <cell r="DI49">
            <v>17</v>
          </cell>
          <cell r="DJ49">
            <v>49</v>
          </cell>
          <cell r="DK49" t="str">
            <v>V</v>
          </cell>
          <cell r="DL49">
            <v>0</v>
          </cell>
          <cell r="DM49">
            <v>213</v>
          </cell>
          <cell r="DN49">
            <v>0</v>
          </cell>
          <cell r="DO49">
            <v>0</v>
          </cell>
          <cell r="DP49">
            <v>0</v>
          </cell>
          <cell r="DQ49">
            <v>0</v>
          </cell>
          <cell r="DR49">
            <v>0</v>
          </cell>
          <cell r="DS49">
            <v>0</v>
          </cell>
          <cell r="DT49">
            <v>0</v>
          </cell>
        </row>
        <row r="50">
          <cell r="B50" t="str">
            <v>TS 93 EN 5-7</v>
          </cell>
          <cell r="D50" t="str">
            <v>x</v>
          </cell>
          <cell r="F50" t="str">
            <v>x</v>
          </cell>
          <cell r="L50" t="str">
            <v>x</v>
          </cell>
          <cell r="M50" t="str">
            <v>x</v>
          </cell>
          <cell r="N50" t="str">
            <v>x</v>
          </cell>
          <cell r="O50" t="str">
            <v>A</v>
          </cell>
          <cell r="P50" t="str">
            <v>B</v>
          </cell>
          <cell r="R50" t="str">
            <v>A</v>
          </cell>
          <cell r="S50" t="str">
            <v>B</v>
          </cell>
          <cell r="U50" t="str">
            <v>x</v>
          </cell>
          <cell r="X50" t="str">
            <v>x</v>
          </cell>
          <cell r="AA50" t="str">
            <v>x</v>
          </cell>
          <cell r="AF50" t="str">
            <v>x</v>
          </cell>
          <cell r="AK50">
            <v>93</v>
          </cell>
          <cell r="AL50" t="str">
            <v>B</v>
          </cell>
          <cell r="AM50" t="str">
            <v>5-7</v>
          </cell>
          <cell r="AV50" t="str">
            <v>x</v>
          </cell>
          <cell r="BW50">
            <v>285</v>
          </cell>
          <cell r="BX50">
            <v>62</v>
          </cell>
          <cell r="BY50">
            <v>71</v>
          </cell>
          <cell r="BZ50">
            <v>442</v>
          </cell>
          <cell r="CA50">
            <v>23</v>
          </cell>
          <cell r="CB50">
            <v>31</v>
          </cell>
          <cell r="CC50">
            <v>16</v>
          </cell>
          <cell r="CD50">
            <v>375</v>
          </cell>
          <cell r="CE50">
            <v>34</v>
          </cell>
          <cell r="CF50">
            <v>34</v>
          </cell>
          <cell r="CG50">
            <v>175</v>
          </cell>
          <cell r="CH50">
            <v>95</v>
          </cell>
          <cell r="CI50">
            <v>550</v>
          </cell>
          <cell r="CJ50">
            <v>504</v>
          </cell>
          <cell r="CK50">
            <v>46</v>
          </cell>
          <cell r="CL50">
            <v>80</v>
          </cell>
          <cell r="CM50">
            <v>0</v>
          </cell>
          <cell r="CN50">
            <v>4</v>
          </cell>
          <cell r="CO50">
            <v>143</v>
          </cell>
          <cell r="CP50" t="str">
            <v>V</v>
          </cell>
          <cell r="CQ50">
            <v>16</v>
          </cell>
          <cell r="CR50">
            <v>189</v>
          </cell>
          <cell r="CS50">
            <v>80</v>
          </cell>
          <cell r="CT50" t="str">
            <v>V</v>
          </cell>
          <cell r="CU50">
            <v>4</v>
          </cell>
          <cell r="CV50">
            <v>143</v>
          </cell>
          <cell r="CW50">
            <v>0</v>
          </cell>
          <cell r="CX50">
            <v>16</v>
          </cell>
          <cell r="CY50">
            <v>189</v>
          </cell>
          <cell r="CZ50">
            <v>0</v>
          </cell>
          <cell r="DA50">
            <v>0</v>
          </cell>
          <cell r="DB50">
            <v>0</v>
          </cell>
          <cell r="DC50">
            <v>0</v>
          </cell>
          <cell r="DD50">
            <v>0</v>
          </cell>
          <cell r="DE50">
            <v>0</v>
          </cell>
          <cell r="DF50">
            <v>0</v>
          </cell>
          <cell r="DG50">
            <v>0</v>
          </cell>
          <cell r="DH50">
            <v>0</v>
          </cell>
          <cell r="DI50">
            <v>0</v>
          </cell>
          <cell r="DJ50">
            <v>0</v>
          </cell>
          <cell r="DK50">
            <v>0</v>
          </cell>
          <cell r="DL50">
            <v>0</v>
          </cell>
          <cell r="DM50">
            <v>0</v>
          </cell>
          <cell r="DN50">
            <v>0</v>
          </cell>
          <cell r="DO50">
            <v>0</v>
          </cell>
          <cell r="DP50">
            <v>0</v>
          </cell>
          <cell r="DQ50">
            <v>0</v>
          </cell>
          <cell r="DR50">
            <v>0</v>
          </cell>
          <cell r="DS50">
            <v>0</v>
          </cell>
          <cell r="DT50">
            <v>0</v>
          </cell>
        </row>
        <row r="51">
          <cell r="B51" t="str">
            <v>TS 93 RF EN 5-7</v>
          </cell>
          <cell r="D51" t="str">
            <v>x</v>
          </cell>
          <cell r="F51" t="str">
            <v>x</v>
          </cell>
          <cell r="L51" t="str">
            <v>x</v>
          </cell>
          <cell r="M51" t="str">
            <v>x</v>
          </cell>
          <cell r="N51" t="str">
            <v>x</v>
          </cell>
          <cell r="O51" t="str">
            <v>A</v>
          </cell>
          <cell r="P51" t="str">
            <v>B</v>
          </cell>
          <cell r="R51" t="str">
            <v>A</v>
          </cell>
          <cell r="S51" t="str">
            <v>B</v>
          </cell>
          <cell r="U51" t="str">
            <v>x</v>
          </cell>
          <cell r="X51" t="str">
            <v>x</v>
          </cell>
          <cell r="AA51" t="str">
            <v>x</v>
          </cell>
          <cell r="AB51" t="str">
            <v>x</v>
          </cell>
          <cell r="AF51" t="str">
            <v>x</v>
          </cell>
          <cell r="AK51">
            <v>93</v>
          </cell>
          <cell r="AL51" t="str">
            <v>B</v>
          </cell>
          <cell r="AM51" t="str">
            <v>5-7</v>
          </cell>
          <cell r="AW51" t="str">
            <v>x</v>
          </cell>
          <cell r="BW51">
            <v>285</v>
          </cell>
          <cell r="BX51">
            <v>62</v>
          </cell>
          <cell r="BY51">
            <v>71</v>
          </cell>
          <cell r="BZ51">
            <v>442</v>
          </cell>
          <cell r="CA51">
            <v>23</v>
          </cell>
          <cell r="CB51">
            <v>31</v>
          </cell>
          <cell r="CC51">
            <v>16</v>
          </cell>
          <cell r="CD51">
            <v>375</v>
          </cell>
          <cell r="CE51">
            <v>34</v>
          </cell>
          <cell r="CF51">
            <v>34</v>
          </cell>
          <cell r="CG51">
            <v>175</v>
          </cell>
          <cell r="CH51">
            <v>95</v>
          </cell>
          <cell r="CI51">
            <v>550</v>
          </cell>
          <cell r="CJ51">
            <v>490</v>
          </cell>
          <cell r="CK51">
            <v>60</v>
          </cell>
          <cell r="CL51">
            <v>80</v>
          </cell>
          <cell r="CM51">
            <v>0</v>
          </cell>
          <cell r="CN51">
            <v>4</v>
          </cell>
          <cell r="CO51">
            <v>143</v>
          </cell>
          <cell r="CP51" t="str">
            <v>V</v>
          </cell>
          <cell r="CQ51">
            <v>16</v>
          </cell>
          <cell r="CR51">
            <v>203</v>
          </cell>
          <cell r="CS51">
            <v>80</v>
          </cell>
          <cell r="CT51" t="str">
            <v>V</v>
          </cell>
          <cell r="CU51">
            <v>4</v>
          </cell>
          <cell r="CV51">
            <v>143</v>
          </cell>
          <cell r="CW51">
            <v>0</v>
          </cell>
          <cell r="CX51">
            <v>16</v>
          </cell>
          <cell r="CY51">
            <v>203</v>
          </cell>
          <cell r="CZ51">
            <v>0</v>
          </cell>
          <cell r="DA51">
            <v>0</v>
          </cell>
          <cell r="DB51">
            <v>0</v>
          </cell>
          <cell r="DC51">
            <v>0</v>
          </cell>
          <cell r="DD51">
            <v>0</v>
          </cell>
          <cell r="DE51">
            <v>0</v>
          </cell>
          <cell r="DF51">
            <v>0</v>
          </cell>
          <cell r="DG51">
            <v>0</v>
          </cell>
          <cell r="DH51">
            <v>0</v>
          </cell>
          <cell r="DI51">
            <v>0</v>
          </cell>
          <cell r="DJ51">
            <v>0</v>
          </cell>
          <cell r="DK51">
            <v>0</v>
          </cell>
          <cell r="DL51">
            <v>0</v>
          </cell>
          <cell r="DM51">
            <v>0</v>
          </cell>
          <cell r="DN51">
            <v>0</v>
          </cell>
          <cell r="DO51">
            <v>0</v>
          </cell>
          <cell r="DP51">
            <v>0</v>
          </cell>
          <cell r="DQ51">
            <v>0</v>
          </cell>
          <cell r="DR51">
            <v>0</v>
          </cell>
          <cell r="DS51">
            <v>0</v>
          </cell>
          <cell r="DT51">
            <v>0</v>
          </cell>
        </row>
        <row r="52">
          <cell r="B52" t="str">
            <v>TS 93 EMF EN 5-7</v>
          </cell>
          <cell r="D52" t="str">
            <v>x</v>
          </cell>
          <cell r="F52" t="str">
            <v>x</v>
          </cell>
          <cell r="L52" t="str">
            <v>x</v>
          </cell>
          <cell r="M52" t="str">
            <v>x</v>
          </cell>
          <cell r="N52" t="str">
            <v>x</v>
          </cell>
          <cell r="O52" t="str">
            <v>x</v>
          </cell>
          <cell r="R52" t="str">
            <v>x</v>
          </cell>
          <cell r="U52" t="str">
            <v>x</v>
          </cell>
          <cell r="X52" t="str">
            <v>x</v>
          </cell>
          <cell r="AA52" t="str">
            <v>x</v>
          </cell>
          <cell r="AC52" t="str">
            <v>x</v>
          </cell>
          <cell r="AE52" t="str">
            <v>x</v>
          </cell>
          <cell r="AF52" t="str">
            <v>x</v>
          </cell>
          <cell r="AK52">
            <v>93</v>
          </cell>
          <cell r="AL52" t="str">
            <v>B</v>
          </cell>
          <cell r="AM52" t="str">
            <v>5-7</v>
          </cell>
          <cell r="AX52" t="str">
            <v>x</v>
          </cell>
          <cell r="BW52">
            <v>285</v>
          </cell>
          <cell r="BX52">
            <v>62</v>
          </cell>
          <cell r="BY52">
            <v>71</v>
          </cell>
          <cell r="BZ52">
            <v>518</v>
          </cell>
          <cell r="CA52">
            <v>30</v>
          </cell>
          <cell r="CB52">
            <v>40</v>
          </cell>
          <cell r="CC52">
            <v>20</v>
          </cell>
          <cell r="CD52">
            <v>375</v>
          </cell>
          <cell r="CE52">
            <v>34</v>
          </cell>
          <cell r="CF52">
            <v>34</v>
          </cell>
          <cell r="CG52">
            <v>175</v>
          </cell>
          <cell r="CH52">
            <v>95</v>
          </cell>
          <cell r="CI52">
            <v>550</v>
          </cell>
          <cell r="CJ52">
            <v>390</v>
          </cell>
          <cell r="CK52">
            <v>160</v>
          </cell>
          <cell r="CL52">
            <v>80</v>
          </cell>
          <cell r="CM52">
            <v>0</v>
          </cell>
          <cell r="CN52">
            <v>4</v>
          </cell>
          <cell r="CO52">
            <v>84</v>
          </cell>
          <cell r="CP52" t="str">
            <v>V</v>
          </cell>
          <cell r="CQ52">
            <v>16</v>
          </cell>
          <cell r="CR52">
            <v>244</v>
          </cell>
          <cell r="CS52">
            <v>0</v>
          </cell>
          <cell r="CT52">
            <v>0</v>
          </cell>
          <cell r="CU52">
            <v>0</v>
          </cell>
          <cell r="CV52">
            <v>0</v>
          </cell>
          <cell r="CW52">
            <v>0</v>
          </cell>
          <cell r="CX52">
            <v>0</v>
          </cell>
          <cell r="CY52">
            <v>0</v>
          </cell>
          <cell r="CZ52">
            <v>0</v>
          </cell>
          <cell r="DA52">
            <v>0</v>
          </cell>
          <cell r="DB52">
            <v>0</v>
          </cell>
          <cell r="DC52">
            <v>0</v>
          </cell>
          <cell r="DD52">
            <v>0</v>
          </cell>
          <cell r="DE52">
            <v>0</v>
          </cell>
          <cell r="DF52">
            <v>0</v>
          </cell>
          <cell r="DG52">
            <v>0</v>
          </cell>
          <cell r="DH52">
            <v>0</v>
          </cell>
          <cell r="DI52">
            <v>0</v>
          </cell>
          <cell r="DJ52">
            <v>0</v>
          </cell>
          <cell r="DK52">
            <v>0</v>
          </cell>
          <cell r="DL52">
            <v>0</v>
          </cell>
          <cell r="DM52">
            <v>0</v>
          </cell>
          <cell r="DN52">
            <v>0</v>
          </cell>
          <cell r="DO52">
            <v>0</v>
          </cell>
          <cell r="DP52">
            <v>0</v>
          </cell>
          <cell r="DQ52">
            <v>0</v>
          </cell>
          <cell r="DR52">
            <v>0</v>
          </cell>
          <cell r="DS52">
            <v>0</v>
          </cell>
          <cell r="DT52">
            <v>0</v>
          </cell>
        </row>
        <row r="53">
          <cell r="B53" t="str">
            <v>TS 93 EMR EN 5-7</v>
          </cell>
          <cell r="D53" t="str">
            <v>x</v>
          </cell>
          <cell r="F53" t="str">
            <v>x</v>
          </cell>
          <cell r="L53" t="str">
            <v>x</v>
          </cell>
          <cell r="M53" t="str">
            <v>x</v>
          </cell>
          <cell r="N53" t="str">
            <v>x</v>
          </cell>
          <cell r="O53" t="str">
            <v>x</v>
          </cell>
          <cell r="R53" t="str">
            <v>x</v>
          </cell>
          <cell r="U53" t="str">
            <v>x</v>
          </cell>
          <cell r="X53" t="str">
            <v>x</v>
          </cell>
          <cell r="AA53" t="str">
            <v>x</v>
          </cell>
          <cell r="AC53" t="str">
            <v>x</v>
          </cell>
          <cell r="AD53" t="str">
            <v>x</v>
          </cell>
          <cell r="AF53" t="str">
            <v>x</v>
          </cell>
          <cell r="AK53">
            <v>93</v>
          </cell>
          <cell r="AL53" t="str">
            <v>B</v>
          </cell>
          <cell r="AM53" t="str">
            <v>5-7</v>
          </cell>
          <cell r="AY53" t="str">
            <v>x</v>
          </cell>
          <cell r="BW53">
            <v>285</v>
          </cell>
          <cell r="BX53">
            <v>62</v>
          </cell>
          <cell r="BY53">
            <v>71</v>
          </cell>
          <cell r="BZ53">
            <v>864</v>
          </cell>
          <cell r="CA53">
            <v>30</v>
          </cell>
          <cell r="CB53">
            <v>40</v>
          </cell>
          <cell r="CC53">
            <v>20</v>
          </cell>
          <cell r="CD53">
            <v>375</v>
          </cell>
          <cell r="CE53">
            <v>34</v>
          </cell>
          <cell r="CF53">
            <v>34</v>
          </cell>
          <cell r="CG53">
            <v>175</v>
          </cell>
          <cell r="CH53">
            <v>95</v>
          </cell>
          <cell r="CI53">
            <v>550</v>
          </cell>
          <cell r="CJ53">
            <v>344</v>
          </cell>
          <cell r="CK53">
            <v>206</v>
          </cell>
          <cell r="CL53">
            <v>80</v>
          </cell>
          <cell r="CM53">
            <v>0</v>
          </cell>
          <cell r="CN53">
            <v>4</v>
          </cell>
          <cell r="CO53">
            <v>84</v>
          </cell>
          <cell r="CP53" t="str">
            <v>V</v>
          </cell>
          <cell r="CQ53">
            <v>16</v>
          </cell>
          <cell r="CR53">
            <v>290</v>
          </cell>
          <cell r="CS53">
            <v>0</v>
          </cell>
          <cell r="CT53">
            <v>0</v>
          </cell>
          <cell r="CU53">
            <v>0</v>
          </cell>
          <cell r="CV53">
            <v>0</v>
          </cell>
          <cell r="CW53">
            <v>0</v>
          </cell>
          <cell r="CX53">
            <v>0</v>
          </cell>
          <cell r="CY53">
            <v>0</v>
          </cell>
          <cell r="CZ53">
            <v>0</v>
          </cell>
          <cell r="DA53">
            <v>0</v>
          </cell>
          <cell r="DB53">
            <v>0</v>
          </cell>
          <cell r="DC53">
            <v>0</v>
          </cell>
          <cell r="DD53">
            <v>0</v>
          </cell>
          <cell r="DE53">
            <v>0</v>
          </cell>
          <cell r="DF53">
            <v>0</v>
          </cell>
          <cell r="DG53">
            <v>0</v>
          </cell>
          <cell r="DH53">
            <v>0</v>
          </cell>
          <cell r="DI53">
            <v>0</v>
          </cell>
          <cell r="DJ53">
            <v>0</v>
          </cell>
          <cell r="DK53">
            <v>0</v>
          </cell>
          <cell r="DL53">
            <v>0</v>
          </cell>
          <cell r="DM53">
            <v>0</v>
          </cell>
          <cell r="DN53">
            <v>0</v>
          </cell>
          <cell r="DO53">
            <v>0</v>
          </cell>
          <cell r="DP53">
            <v>0</v>
          </cell>
          <cell r="DQ53">
            <v>0</v>
          </cell>
          <cell r="DR53">
            <v>0</v>
          </cell>
          <cell r="DS53">
            <v>0</v>
          </cell>
          <cell r="DT53">
            <v>0</v>
          </cell>
        </row>
        <row r="54">
          <cell r="B54" t="str">
            <v>TS 93 GSR EN 5-7</v>
          </cell>
          <cell r="E54" t="str">
            <v>x</v>
          </cell>
          <cell r="F54" t="str">
            <v>x</v>
          </cell>
          <cell r="L54" t="str">
            <v>x</v>
          </cell>
          <cell r="M54" t="str">
            <v>x</v>
          </cell>
          <cell r="N54" t="str">
            <v>x</v>
          </cell>
          <cell r="O54" t="str">
            <v>x</v>
          </cell>
          <cell r="R54" t="str">
            <v>x</v>
          </cell>
          <cell r="U54" t="str">
            <v>x</v>
          </cell>
          <cell r="W54" t="str">
            <v>x</v>
          </cell>
          <cell r="X54" t="str">
            <v>x</v>
          </cell>
          <cell r="AA54" t="str">
            <v>x</v>
          </cell>
          <cell r="AF54" t="str">
            <v>x</v>
          </cell>
          <cell r="AK54">
            <v>93</v>
          </cell>
          <cell r="AL54" t="str">
            <v>B</v>
          </cell>
          <cell r="AM54" t="str">
            <v>5-7</v>
          </cell>
          <cell r="AZ54" t="str">
            <v>x</v>
          </cell>
          <cell r="BW54">
            <v>285</v>
          </cell>
          <cell r="BX54">
            <v>62</v>
          </cell>
          <cell r="BY54">
            <v>71</v>
          </cell>
          <cell r="BZ54" t="str">
            <v>V</v>
          </cell>
          <cell r="CA54">
            <v>30</v>
          </cell>
          <cell r="CB54">
            <v>34</v>
          </cell>
          <cell r="CC54">
            <v>17</v>
          </cell>
          <cell r="CD54">
            <v>375</v>
          </cell>
          <cell r="CE54">
            <v>34</v>
          </cell>
          <cell r="CF54">
            <v>34</v>
          </cell>
          <cell r="CG54">
            <v>175</v>
          </cell>
          <cell r="CH54">
            <v>95</v>
          </cell>
          <cell r="CI54">
            <v>550</v>
          </cell>
          <cell r="CJ54">
            <v>499</v>
          </cell>
          <cell r="CK54">
            <v>51</v>
          </cell>
          <cell r="CL54">
            <v>80</v>
          </cell>
          <cell r="CM54">
            <v>0</v>
          </cell>
          <cell r="CN54">
            <v>4</v>
          </cell>
          <cell r="CO54">
            <v>84</v>
          </cell>
          <cell r="CP54" t="str">
            <v>V</v>
          </cell>
          <cell r="CQ54">
            <v>13</v>
          </cell>
          <cell r="CR54">
            <v>135</v>
          </cell>
          <cell r="CS54">
            <v>0</v>
          </cell>
          <cell r="CT54">
            <v>0</v>
          </cell>
          <cell r="CU54">
            <v>0</v>
          </cell>
          <cell r="CV54">
            <v>0</v>
          </cell>
          <cell r="CW54">
            <v>0</v>
          </cell>
          <cell r="CX54">
            <v>0</v>
          </cell>
          <cell r="CY54">
            <v>0</v>
          </cell>
          <cell r="CZ54">
            <v>0</v>
          </cell>
          <cell r="DA54">
            <v>0</v>
          </cell>
          <cell r="DB54">
            <v>0</v>
          </cell>
          <cell r="DC54">
            <v>0</v>
          </cell>
          <cell r="DD54">
            <v>0</v>
          </cell>
          <cell r="DE54">
            <v>0</v>
          </cell>
          <cell r="DF54">
            <v>0</v>
          </cell>
          <cell r="DG54">
            <v>0</v>
          </cell>
          <cell r="DH54">
            <v>0</v>
          </cell>
          <cell r="DI54">
            <v>0</v>
          </cell>
          <cell r="DJ54">
            <v>0</v>
          </cell>
          <cell r="DK54">
            <v>0</v>
          </cell>
          <cell r="DL54">
            <v>0</v>
          </cell>
          <cell r="DM54">
            <v>0</v>
          </cell>
          <cell r="DN54">
            <v>0</v>
          </cell>
          <cell r="DO54">
            <v>0</v>
          </cell>
          <cell r="DP54">
            <v>0</v>
          </cell>
          <cell r="DQ54">
            <v>0</v>
          </cell>
          <cell r="DR54">
            <v>0</v>
          </cell>
          <cell r="DS54">
            <v>0</v>
          </cell>
          <cell r="DT54">
            <v>0</v>
          </cell>
        </row>
        <row r="55">
          <cell r="B55" t="str">
            <v>TS 93 GSR RF EN 5-7</v>
          </cell>
          <cell r="E55" t="str">
            <v>x</v>
          </cell>
          <cell r="F55" t="str">
            <v>x</v>
          </cell>
          <cell r="L55" t="str">
            <v>x</v>
          </cell>
          <cell r="M55" t="str">
            <v>x</v>
          </cell>
          <cell r="N55" t="str">
            <v>x</v>
          </cell>
          <cell r="O55" t="str">
            <v>x</v>
          </cell>
          <cell r="R55" t="str">
            <v>x</v>
          </cell>
          <cell r="U55" t="str">
            <v>x</v>
          </cell>
          <cell r="W55" t="str">
            <v>x</v>
          </cell>
          <cell r="X55" t="str">
            <v>x</v>
          </cell>
          <cell r="AA55" t="str">
            <v>x</v>
          </cell>
          <cell r="AF55" t="str">
            <v>x</v>
          </cell>
          <cell r="AK55">
            <v>93</v>
          </cell>
          <cell r="AL55" t="str">
            <v>B</v>
          </cell>
          <cell r="AM55" t="str">
            <v>5-7</v>
          </cell>
          <cell r="BA55" t="str">
            <v>x</v>
          </cell>
          <cell r="BW55">
            <v>285</v>
          </cell>
          <cell r="BX55">
            <v>62</v>
          </cell>
          <cell r="BY55">
            <v>71</v>
          </cell>
          <cell r="BZ55" t="str">
            <v>V</v>
          </cell>
          <cell r="CA55">
            <v>30</v>
          </cell>
          <cell r="CB55">
            <v>34</v>
          </cell>
          <cell r="CC55">
            <v>17</v>
          </cell>
          <cell r="CD55">
            <v>375</v>
          </cell>
          <cell r="CE55">
            <v>34</v>
          </cell>
          <cell r="CF55">
            <v>34</v>
          </cell>
          <cell r="CG55">
            <v>175</v>
          </cell>
          <cell r="CH55">
            <v>95</v>
          </cell>
          <cell r="CI55">
            <v>550</v>
          </cell>
          <cell r="CJ55">
            <v>499</v>
          </cell>
          <cell r="CK55">
            <v>51</v>
          </cell>
          <cell r="CL55">
            <v>80</v>
          </cell>
          <cell r="CM55">
            <v>0</v>
          </cell>
          <cell r="CN55">
            <v>4</v>
          </cell>
          <cell r="CO55">
            <v>84</v>
          </cell>
          <cell r="CP55" t="str">
            <v>V</v>
          </cell>
          <cell r="CQ55">
            <v>13</v>
          </cell>
          <cell r="CR55">
            <v>135</v>
          </cell>
          <cell r="CS55">
            <v>0</v>
          </cell>
          <cell r="CT55">
            <v>0</v>
          </cell>
          <cell r="CU55">
            <v>0</v>
          </cell>
          <cell r="CV55">
            <v>0</v>
          </cell>
          <cell r="CW55">
            <v>0</v>
          </cell>
          <cell r="CX55">
            <v>0</v>
          </cell>
          <cell r="CY55">
            <v>0</v>
          </cell>
          <cell r="CZ55">
            <v>0</v>
          </cell>
          <cell r="DA55">
            <v>0</v>
          </cell>
          <cell r="DB55">
            <v>0</v>
          </cell>
          <cell r="DC55">
            <v>0</v>
          </cell>
          <cell r="DD55">
            <v>0</v>
          </cell>
          <cell r="DE55">
            <v>0</v>
          </cell>
          <cell r="DF55">
            <v>0</v>
          </cell>
          <cell r="DG55">
            <v>0</v>
          </cell>
          <cell r="DH55">
            <v>0</v>
          </cell>
          <cell r="DI55">
            <v>0</v>
          </cell>
          <cell r="DJ55">
            <v>0</v>
          </cell>
          <cell r="DK55">
            <v>0</v>
          </cell>
          <cell r="DL55">
            <v>0</v>
          </cell>
          <cell r="DM55">
            <v>0</v>
          </cell>
          <cell r="DN55">
            <v>0</v>
          </cell>
          <cell r="DO55">
            <v>0</v>
          </cell>
          <cell r="DP55">
            <v>0</v>
          </cell>
          <cell r="DQ55">
            <v>0</v>
          </cell>
          <cell r="DR55">
            <v>0</v>
          </cell>
          <cell r="DS55">
            <v>0</v>
          </cell>
          <cell r="DT55">
            <v>0</v>
          </cell>
        </row>
        <row r="56">
          <cell r="B56" t="str">
            <v>TS 93 GSR-EMF 1 EN 5-7</v>
          </cell>
          <cell r="E56" t="str">
            <v>x</v>
          </cell>
          <cell r="F56" t="str">
            <v>x</v>
          </cell>
          <cell r="L56" t="str">
            <v>x</v>
          </cell>
          <cell r="M56" t="str">
            <v>x</v>
          </cell>
          <cell r="N56" t="str">
            <v>x</v>
          </cell>
          <cell r="O56" t="str">
            <v>x</v>
          </cell>
          <cell r="R56" t="str">
            <v>x</v>
          </cell>
          <cell r="U56" t="str">
            <v>x</v>
          </cell>
          <cell r="W56" t="str">
            <v>x</v>
          </cell>
          <cell r="X56" t="str">
            <v>x</v>
          </cell>
          <cell r="AA56" t="str">
            <v>x</v>
          </cell>
          <cell r="AC56" t="str">
            <v>x</v>
          </cell>
          <cell r="AE56" t="str">
            <v>x</v>
          </cell>
          <cell r="AF56" t="str">
            <v>x</v>
          </cell>
          <cell r="AK56">
            <v>93</v>
          </cell>
          <cell r="AL56" t="str">
            <v>B</v>
          </cell>
          <cell r="AM56" t="str">
            <v>5-7</v>
          </cell>
          <cell r="BB56" t="str">
            <v>x</v>
          </cell>
          <cell r="BW56">
            <v>285</v>
          </cell>
          <cell r="BX56">
            <v>62</v>
          </cell>
          <cell r="BY56">
            <v>71</v>
          </cell>
          <cell r="BZ56" t="str">
            <v>V</v>
          </cell>
          <cell r="CA56">
            <v>30</v>
          </cell>
          <cell r="CB56">
            <v>55</v>
          </cell>
          <cell r="CC56">
            <v>28</v>
          </cell>
          <cell r="CD56">
            <v>375</v>
          </cell>
          <cell r="CE56">
            <v>34</v>
          </cell>
          <cell r="CF56">
            <v>34</v>
          </cell>
          <cell r="CG56">
            <v>175</v>
          </cell>
          <cell r="CH56">
            <v>95</v>
          </cell>
          <cell r="CI56">
            <v>550</v>
          </cell>
          <cell r="CJ56">
            <v>386</v>
          </cell>
          <cell r="CK56">
            <v>164</v>
          </cell>
          <cell r="CL56">
            <v>80</v>
          </cell>
          <cell r="CM56">
            <v>0</v>
          </cell>
          <cell r="CN56">
            <v>4</v>
          </cell>
          <cell r="CO56">
            <v>84</v>
          </cell>
          <cell r="CP56" t="str">
            <v>V</v>
          </cell>
          <cell r="CQ56">
            <v>13</v>
          </cell>
          <cell r="CR56">
            <v>248</v>
          </cell>
          <cell r="CS56">
            <v>0</v>
          </cell>
          <cell r="CT56">
            <v>0</v>
          </cell>
          <cell r="CU56">
            <v>0</v>
          </cell>
          <cell r="CV56">
            <v>0</v>
          </cell>
          <cell r="CW56">
            <v>0</v>
          </cell>
          <cell r="CX56">
            <v>0</v>
          </cell>
          <cell r="CY56">
            <v>0</v>
          </cell>
          <cell r="CZ56">
            <v>0</v>
          </cell>
          <cell r="DA56">
            <v>0</v>
          </cell>
          <cell r="DB56">
            <v>0</v>
          </cell>
          <cell r="DC56">
            <v>0</v>
          </cell>
          <cell r="DD56">
            <v>0</v>
          </cell>
          <cell r="DE56">
            <v>0</v>
          </cell>
          <cell r="DF56">
            <v>0</v>
          </cell>
          <cell r="DG56">
            <v>0</v>
          </cell>
          <cell r="DH56">
            <v>0</v>
          </cell>
          <cell r="DI56">
            <v>0</v>
          </cell>
          <cell r="DJ56">
            <v>0</v>
          </cell>
          <cell r="DK56">
            <v>0</v>
          </cell>
          <cell r="DL56">
            <v>0</v>
          </cell>
          <cell r="DM56">
            <v>0</v>
          </cell>
          <cell r="DN56">
            <v>0</v>
          </cell>
          <cell r="DO56">
            <v>0</v>
          </cell>
          <cell r="DP56">
            <v>0</v>
          </cell>
          <cell r="DQ56">
            <v>0</v>
          </cell>
          <cell r="DR56">
            <v>0</v>
          </cell>
          <cell r="DS56">
            <v>0</v>
          </cell>
          <cell r="DT56">
            <v>0</v>
          </cell>
        </row>
        <row r="57">
          <cell r="B57" t="str">
            <v>TS 93 GSR-EMF 1G EN 5-7</v>
          </cell>
          <cell r="C57">
            <v>0</v>
          </cell>
          <cell r="E57" t="str">
            <v>x</v>
          </cell>
          <cell r="F57" t="str">
            <v>x</v>
          </cell>
          <cell r="L57" t="str">
            <v>x</v>
          </cell>
          <cell r="M57" t="str">
            <v>x</v>
          </cell>
          <cell r="N57" t="str">
            <v>x</v>
          </cell>
          <cell r="O57" t="str">
            <v>x</v>
          </cell>
          <cell r="R57" t="str">
            <v>x</v>
          </cell>
          <cell r="U57" t="str">
            <v>x</v>
          </cell>
          <cell r="W57" t="str">
            <v>x</v>
          </cell>
          <cell r="X57" t="str">
            <v>x</v>
          </cell>
          <cell r="AA57" t="str">
            <v>x</v>
          </cell>
          <cell r="AC57" t="str">
            <v>x</v>
          </cell>
          <cell r="AE57" t="str">
            <v>x</v>
          </cell>
          <cell r="AF57" t="str">
            <v>x</v>
          </cell>
          <cell r="AK57">
            <v>93</v>
          </cell>
          <cell r="AL57" t="str">
            <v>B</v>
          </cell>
          <cell r="AM57" t="str">
            <v>5-7</v>
          </cell>
          <cell r="BC57" t="str">
            <v>x</v>
          </cell>
          <cell r="BW57">
            <v>285</v>
          </cell>
          <cell r="BX57">
            <v>62</v>
          </cell>
          <cell r="BY57">
            <v>71</v>
          </cell>
          <cell r="BZ57" t="str">
            <v>V</v>
          </cell>
          <cell r="CA57">
            <v>30</v>
          </cell>
          <cell r="CB57">
            <v>55</v>
          </cell>
          <cell r="CC57">
            <v>28</v>
          </cell>
          <cell r="CD57">
            <v>375</v>
          </cell>
          <cell r="CE57">
            <v>34</v>
          </cell>
          <cell r="CF57">
            <v>34</v>
          </cell>
          <cell r="CG57">
            <v>175</v>
          </cell>
          <cell r="CH57">
            <v>95</v>
          </cell>
          <cell r="CI57">
            <v>550</v>
          </cell>
          <cell r="CJ57">
            <v>386</v>
          </cell>
          <cell r="CK57">
            <v>164</v>
          </cell>
          <cell r="CL57">
            <v>80</v>
          </cell>
          <cell r="CM57">
            <v>0</v>
          </cell>
          <cell r="CN57">
            <v>4</v>
          </cell>
          <cell r="CO57">
            <v>84</v>
          </cell>
          <cell r="CP57" t="str">
            <v>V</v>
          </cell>
          <cell r="CQ57">
            <v>13</v>
          </cell>
          <cell r="CR57">
            <v>248</v>
          </cell>
          <cell r="CS57">
            <v>0</v>
          </cell>
          <cell r="CT57">
            <v>0</v>
          </cell>
          <cell r="CU57">
            <v>0</v>
          </cell>
          <cell r="CV57">
            <v>0</v>
          </cell>
          <cell r="CW57">
            <v>0</v>
          </cell>
          <cell r="CX57">
            <v>0</v>
          </cell>
          <cell r="CY57">
            <v>0</v>
          </cell>
          <cell r="CZ57">
            <v>0</v>
          </cell>
          <cell r="DA57">
            <v>0</v>
          </cell>
          <cell r="DB57">
            <v>0</v>
          </cell>
          <cell r="DC57">
            <v>0</v>
          </cell>
          <cell r="DD57">
            <v>0</v>
          </cell>
          <cell r="DE57">
            <v>0</v>
          </cell>
          <cell r="DF57">
            <v>0</v>
          </cell>
          <cell r="DG57">
            <v>0</v>
          </cell>
          <cell r="DH57">
            <v>0</v>
          </cell>
          <cell r="DI57">
            <v>0</v>
          </cell>
          <cell r="DJ57">
            <v>0</v>
          </cell>
          <cell r="DK57">
            <v>0</v>
          </cell>
          <cell r="DL57">
            <v>0</v>
          </cell>
          <cell r="DM57">
            <v>0</v>
          </cell>
          <cell r="DN57">
            <v>0</v>
          </cell>
          <cell r="DO57">
            <v>0</v>
          </cell>
          <cell r="DP57">
            <v>0</v>
          </cell>
          <cell r="DQ57">
            <v>0</v>
          </cell>
          <cell r="DR57">
            <v>0</v>
          </cell>
          <cell r="DS57">
            <v>0</v>
          </cell>
          <cell r="DT57">
            <v>0</v>
          </cell>
        </row>
        <row r="58">
          <cell r="B58" t="str">
            <v>TS 93 GSR-EMF 2 EN 5-7</v>
          </cell>
          <cell r="C58">
            <v>0</v>
          </cell>
          <cell r="E58" t="str">
            <v>x</v>
          </cell>
          <cell r="F58" t="str">
            <v>x</v>
          </cell>
          <cell r="L58" t="str">
            <v>x</v>
          </cell>
          <cell r="M58" t="str">
            <v>x</v>
          </cell>
          <cell r="N58" t="str">
            <v>x</v>
          </cell>
          <cell r="O58" t="str">
            <v>x</v>
          </cell>
          <cell r="R58" t="str">
            <v>x</v>
          </cell>
          <cell r="U58" t="str">
            <v>x</v>
          </cell>
          <cell r="W58" t="str">
            <v>x</v>
          </cell>
          <cell r="X58" t="str">
            <v>x</v>
          </cell>
          <cell r="AA58" t="str">
            <v>x</v>
          </cell>
          <cell r="AC58" t="str">
            <v>x</v>
          </cell>
          <cell r="AE58" t="str">
            <v>x</v>
          </cell>
          <cell r="AF58" t="str">
            <v>x</v>
          </cell>
          <cell r="AK58">
            <v>93</v>
          </cell>
          <cell r="AL58" t="str">
            <v>B</v>
          </cell>
          <cell r="AM58" t="str">
            <v>5-7</v>
          </cell>
          <cell r="BD58" t="str">
            <v>x</v>
          </cell>
          <cell r="BW58">
            <v>285</v>
          </cell>
          <cell r="BX58">
            <v>62</v>
          </cell>
          <cell r="BY58">
            <v>71</v>
          </cell>
          <cell r="BZ58" t="str">
            <v>V</v>
          </cell>
          <cell r="CA58">
            <v>30</v>
          </cell>
          <cell r="CB58">
            <v>55</v>
          </cell>
          <cell r="CC58">
            <v>28</v>
          </cell>
          <cell r="CD58">
            <v>375</v>
          </cell>
          <cell r="CE58">
            <v>34</v>
          </cell>
          <cell r="CF58">
            <v>34</v>
          </cell>
          <cell r="CG58">
            <v>175</v>
          </cell>
          <cell r="CH58">
            <v>95</v>
          </cell>
          <cell r="CI58">
            <v>550</v>
          </cell>
          <cell r="CJ58">
            <v>386</v>
          </cell>
          <cell r="CK58">
            <v>164</v>
          </cell>
          <cell r="CL58">
            <v>80</v>
          </cell>
          <cell r="CM58">
            <v>0</v>
          </cell>
          <cell r="CN58">
            <v>4</v>
          </cell>
          <cell r="CO58">
            <v>84</v>
          </cell>
          <cell r="CP58" t="str">
            <v>V</v>
          </cell>
          <cell r="CQ58">
            <v>13</v>
          </cell>
          <cell r="CR58">
            <v>248</v>
          </cell>
          <cell r="CS58">
            <v>0</v>
          </cell>
          <cell r="CT58">
            <v>0</v>
          </cell>
          <cell r="CU58">
            <v>0</v>
          </cell>
          <cell r="CV58">
            <v>0</v>
          </cell>
          <cell r="CW58">
            <v>0</v>
          </cell>
          <cell r="CX58">
            <v>0</v>
          </cell>
          <cell r="CY58">
            <v>0</v>
          </cell>
          <cell r="CZ58">
            <v>0</v>
          </cell>
          <cell r="DA58">
            <v>0</v>
          </cell>
          <cell r="DB58">
            <v>0</v>
          </cell>
          <cell r="DC58">
            <v>0</v>
          </cell>
          <cell r="DD58">
            <v>0</v>
          </cell>
          <cell r="DE58">
            <v>0</v>
          </cell>
          <cell r="DF58">
            <v>0</v>
          </cell>
          <cell r="DG58">
            <v>0</v>
          </cell>
          <cell r="DH58">
            <v>0</v>
          </cell>
          <cell r="DI58">
            <v>0</v>
          </cell>
          <cell r="DJ58">
            <v>0</v>
          </cell>
          <cell r="DK58">
            <v>0</v>
          </cell>
          <cell r="DL58">
            <v>0</v>
          </cell>
          <cell r="DM58">
            <v>0</v>
          </cell>
          <cell r="DN58">
            <v>0</v>
          </cell>
          <cell r="DO58">
            <v>0</v>
          </cell>
          <cell r="DP58">
            <v>0</v>
          </cell>
          <cell r="DQ58">
            <v>0</v>
          </cell>
          <cell r="DR58">
            <v>0</v>
          </cell>
          <cell r="DS58">
            <v>0</v>
          </cell>
          <cell r="DT58">
            <v>0</v>
          </cell>
        </row>
        <row r="59">
          <cell r="B59" t="str">
            <v>TS 93 GSR-EMR 1 EN 5-7</v>
          </cell>
          <cell r="C59">
            <v>0</v>
          </cell>
          <cell r="E59" t="str">
            <v>x</v>
          </cell>
          <cell r="F59" t="str">
            <v>x</v>
          </cell>
          <cell r="L59" t="str">
            <v>x</v>
          </cell>
          <cell r="M59" t="str">
            <v>x</v>
          </cell>
          <cell r="N59" t="str">
            <v>x</v>
          </cell>
          <cell r="O59" t="str">
            <v>x</v>
          </cell>
          <cell r="R59" t="str">
            <v>x</v>
          </cell>
          <cell r="U59" t="str">
            <v>x</v>
          </cell>
          <cell r="W59" t="str">
            <v>x</v>
          </cell>
          <cell r="X59" t="str">
            <v>x</v>
          </cell>
          <cell r="AA59" t="str">
            <v>x</v>
          </cell>
          <cell r="AC59" t="str">
            <v>x</v>
          </cell>
          <cell r="AD59" t="str">
            <v>x</v>
          </cell>
          <cell r="AF59" t="str">
            <v>x</v>
          </cell>
          <cell r="AK59">
            <v>93</v>
          </cell>
          <cell r="AL59" t="str">
            <v>B</v>
          </cell>
          <cell r="AM59" t="str">
            <v>5-7</v>
          </cell>
          <cell r="BE59" t="str">
            <v>x</v>
          </cell>
          <cell r="BW59">
            <v>285</v>
          </cell>
          <cell r="BX59">
            <v>62</v>
          </cell>
          <cell r="BY59">
            <v>71</v>
          </cell>
          <cell r="BZ59" t="str">
            <v>V</v>
          </cell>
          <cell r="CA59">
            <v>30</v>
          </cell>
          <cell r="CB59">
            <v>55</v>
          </cell>
          <cell r="CC59">
            <v>28</v>
          </cell>
          <cell r="CD59">
            <v>375</v>
          </cell>
          <cell r="CE59">
            <v>34</v>
          </cell>
          <cell r="CF59">
            <v>34</v>
          </cell>
          <cell r="CG59">
            <v>175</v>
          </cell>
          <cell r="CH59">
            <v>95</v>
          </cell>
          <cell r="CI59">
            <v>550</v>
          </cell>
          <cell r="CJ59">
            <v>386</v>
          </cell>
          <cell r="CK59">
            <v>164</v>
          </cell>
          <cell r="CL59">
            <v>80</v>
          </cell>
          <cell r="CM59">
            <v>0</v>
          </cell>
          <cell r="CN59">
            <v>4</v>
          </cell>
          <cell r="CO59">
            <v>84</v>
          </cell>
          <cell r="CP59" t="str">
            <v>V</v>
          </cell>
          <cell r="CQ59">
            <v>13</v>
          </cell>
          <cell r="CR59">
            <v>248</v>
          </cell>
          <cell r="CS59">
            <v>0</v>
          </cell>
          <cell r="CT59">
            <v>0</v>
          </cell>
          <cell r="CU59">
            <v>0</v>
          </cell>
          <cell r="CV59">
            <v>0</v>
          </cell>
          <cell r="CW59">
            <v>0</v>
          </cell>
          <cell r="CX59">
            <v>0</v>
          </cell>
          <cell r="CY59">
            <v>0</v>
          </cell>
          <cell r="CZ59">
            <v>0</v>
          </cell>
          <cell r="DA59">
            <v>0</v>
          </cell>
          <cell r="DB59">
            <v>0</v>
          </cell>
          <cell r="DC59">
            <v>0</v>
          </cell>
          <cell r="DD59">
            <v>0</v>
          </cell>
          <cell r="DE59">
            <v>0</v>
          </cell>
          <cell r="DF59">
            <v>0</v>
          </cell>
          <cell r="DG59">
            <v>0</v>
          </cell>
          <cell r="DH59">
            <v>0</v>
          </cell>
          <cell r="DI59">
            <v>0</v>
          </cell>
          <cell r="DJ59">
            <v>0</v>
          </cell>
          <cell r="DK59">
            <v>0</v>
          </cell>
          <cell r="DL59">
            <v>0</v>
          </cell>
          <cell r="DM59">
            <v>0</v>
          </cell>
          <cell r="DN59">
            <v>0</v>
          </cell>
          <cell r="DO59">
            <v>0</v>
          </cell>
          <cell r="DP59">
            <v>0</v>
          </cell>
          <cell r="DQ59">
            <v>0</v>
          </cell>
          <cell r="DR59">
            <v>0</v>
          </cell>
          <cell r="DS59">
            <v>0</v>
          </cell>
          <cell r="DT59">
            <v>0</v>
          </cell>
        </row>
        <row r="60">
          <cell r="B60" t="str">
            <v>TS 93 GSR-EMR 1G EN 5-7</v>
          </cell>
          <cell r="C60">
            <v>0</v>
          </cell>
          <cell r="E60" t="str">
            <v>x</v>
          </cell>
          <cell r="F60" t="str">
            <v>x</v>
          </cell>
          <cell r="L60" t="str">
            <v>x</v>
          </cell>
          <cell r="M60" t="str">
            <v>x</v>
          </cell>
          <cell r="N60" t="str">
            <v>x</v>
          </cell>
          <cell r="O60" t="str">
            <v>x</v>
          </cell>
          <cell r="R60" t="str">
            <v>x</v>
          </cell>
          <cell r="U60" t="str">
            <v>x</v>
          </cell>
          <cell r="W60" t="str">
            <v>x</v>
          </cell>
          <cell r="X60" t="str">
            <v>x</v>
          </cell>
          <cell r="AA60" t="str">
            <v>x</v>
          </cell>
          <cell r="AC60" t="str">
            <v>x</v>
          </cell>
          <cell r="AD60" t="str">
            <v>x</v>
          </cell>
          <cell r="AF60" t="str">
            <v>x</v>
          </cell>
          <cell r="AK60">
            <v>93</v>
          </cell>
          <cell r="AL60" t="str">
            <v>B</v>
          </cell>
          <cell r="AM60" t="str">
            <v>5-7</v>
          </cell>
          <cell r="BF60" t="str">
            <v>x</v>
          </cell>
          <cell r="BW60">
            <v>285</v>
          </cell>
          <cell r="BX60">
            <v>62</v>
          </cell>
          <cell r="BY60">
            <v>71</v>
          </cell>
          <cell r="BZ60" t="str">
            <v>V</v>
          </cell>
          <cell r="CA60">
            <v>30</v>
          </cell>
          <cell r="CB60">
            <v>55</v>
          </cell>
          <cell r="CC60">
            <v>28</v>
          </cell>
          <cell r="CD60">
            <v>375</v>
          </cell>
          <cell r="CE60">
            <v>34</v>
          </cell>
          <cell r="CF60">
            <v>34</v>
          </cell>
          <cell r="CG60">
            <v>175</v>
          </cell>
          <cell r="CH60">
            <v>95</v>
          </cell>
          <cell r="CI60">
            <v>550</v>
          </cell>
          <cell r="CJ60">
            <v>386</v>
          </cell>
          <cell r="CK60">
            <v>164</v>
          </cell>
          <cell r="CL60">
            <v>80</v>
          </cell>
          <cell r="CM60">
            <v>0</v>
          </cell>
          <cell r="CN60">
            <v>4</v>
          </cell>
          <cell r="CO60">
            <v>84</v>
          </cell>
          <cell r="CP60" t="str">
            <v>V</v>
          </cell>
          <cell r="CQ60">
            <v>13</v>
          </cell>
          <cell r="CR60">
            <v>248</v>
          </cell>
          <cell r="CS60">
            <v>0</v>
          </cell>
          <cell r="CT60">
            <v>0</v>
          </cell>
          <cell r="CU60">
            <v>0</v>
          </cell>
          <cell r="CV60">
            <v>0</v>
          </cell>
          <cell r="CW60">
            <v>0</v>
          </cell>
          <cell r="CX60">
            <v>0</v>
          </cell>
          <cell r="CY60">
            <v>0</v>
          </cell>
          <cell r="CZ60">
            <v>0</v>
          </cell>
          <cell r="DA60">
            <v>0</v>
          </cell>
          <cell r="DB60">
            <v>0</v>
          </cell>
          <cell r="DC60">
            <v>0</v>
          </cell>
          <cell r="DD60">
            <v>0</v>
          </cell>
          <cell r="DE60">
            <v>0</v>
          </cell>
          <cell r="DF60">
            <v>0</v>
          </cell>
          <cell r="DG60">
            <v>0</v>
          </cell>
          <cell r="DH60">
            <v>0</v>
          </cell>
          <cell r="DI60">
            <v>0</v>
          </cell>
          <cell r="DJ60">
            <v>0</v>
          </cell>
          <cell r="DK60">
            <v>0</v>
          </cell>
          <cell r="DL60">
            <v>0</v>
          </cell>
          <cell r="DM60">
            <v>0</v>
          </cell>
          <cell r="DN60">
            <v>0</v>
          </cell>
          <cell r="DO60">
            <v>0</v>
          </cell>
          <cell r="DP60">
            <v>0</v>
          </cell>
          <cell r="DQ60">
            <v>0</v>
          </cell>
          <cell r="DR60">
            <v>0</v>
          </cell>
          <cell r="DS60">
            <v>0</v>
          </cell>
          <cell r="DT60">
            <v>0</v>
          </cell>
        </row>
        <row r="61">
          <cell r="B61" t="str">
            <v>TS 93 GSR-EMR 2 EN 5-7</v>
          </cell>
          <cell r="C61">
            <v>0</v>
          </cell>
          <cell r="E61" t="str">
            <v>x</v>
          </cell>
          <cell r="F61" t="str">
            <v>x</v>
          </cell>
          <cell r="L61" t="str">
            <v>x</v>
          </cell>
          <cell r="M61" t="str">
            <v>x</v>
          </cell>
          <cell r="N61" t="str">
            <v>x</v>
          </cell>
          <cell r="O61" t="str">
            <v>x</v>
          </cell>
          <cell r="R61" t="str">
            <v>x</v>
          </cell>
          <cell r="U61" t="str">
            <v>x</v>
          </cell>
          <cell r="W61" t="str">
            <v>x</v>
          </cell>
          <cell r="X61" t="str">
            <v>x</v>
          </cell>
          <cell r="AA61" t="str">
            <v>x</v>
          </cell>
          <cell r="AC61" t="str">
            <v>x</v>
          </cell>
          <cell r="AD61" t="str">
            <v>x</v>
          </cell>
          <cell r="AF61" t="str">
            <v>x</v>
          </cell>
          <cell r="AK61">
            <v>93</v>
          </cell>
          <cell r="AL61" t="str">
            <v>B</v>
          </cell>
          <cell r="AM61" t="str">
            <v>5-7</v>
          </cell>
          <cell r="BG61" t="str">
            <v>x</v>
          </cell>
          <cell r="BW61">
            <v>285</v>
          </cell>
          <cell r="BX61">
            <v>62</v>
          </cell>
          <cell r="BY61">
            <v>71</v>
          </cell>
          <cell r="BZ61" t="str">
            <v>V</v>
          </cell>
          <cell r="CA61">
            <v>30</v>
          </cell>
          <cell r="CB61">
            <v>55</v>
          </cell>
          <cell r="CC61">
            <v>28</v>
          </cell>
          <cell r="CD61">
            <v>375</v>
          </cell>
          <cell r="CE61">
            <v>34</v>
          </cell>
          <cell r="CF61">
            <v>34</v>
          </cell>
          <cell r="CG61">
            <v>175</v>
          </cell>
          <cell r="CH61">
            <v>95</v>
          </cell>
          <cell r="CI61">
            <v>550</v>
          </cell>
          <cell r="CJ61">
            <v>386</v>
          </cell>
          <cell r="CK61">
            <v>164</v>
          </cell>
          <cell r="CL61">
            <v>80</v>
          </cell>
          <cell r="CM61">
            <v>0</v>
          </cell>
          <cell r="CN61">
            <v>4</v>
          </cell>
          <cell r="CO61">
            <v>84</v>
          </cell>
          <cell r="CP61" t="str">
            <v>V</v>
          </cell>
          <cell r="CQ61">
            <v>13</v>
          </cell>
          <cell r="CR61">
            <v>248</v>
          </cell>
          <cell r="CS61">
            <v>0</v>
          </cell>
          <cell r="CT61">
            <v>0</v>
          </cell>
          <cell r="CU61">
            <v>0</v>
          </cell>
          <cell r="CV61">
            <v>0</v>
          </cell>
          <cell r="CW61">
            <v>0</v>
          </cell>
          <cell r="CX61">
            <v>0</v>
          </cell>
          <cell r="CY61">
            <v>0</v>
          </cell>
          <cell r="CZ61">
            <v>0</v>
          </cell>
          <cell r="DA61">
            <v>0</v>
          </cell>
          <cell r="DB61">
            <v>0</v>
          </cell>
          <cell r="DC61">
            <v>0</v>
          </cell>
          <cell r="DD61">
            <v>0</v>
          </cell>
          <cell r="DE61">
            <v>0</v>
          </cell>
          <cell r="DF61">
            <v>0</v>
          </cell>
          <cell r="DG61">
            <v>0</v>
          </cell>
          <cell r="DH61">
            <v>0</v>
          </cell>
          <cell r="DI61">
            <v>0</v>
          </cell>
          <cell r="DJ61">
            <v>0</v>
          </cell>
          <cell r="DK61">
            <v>0</v>
          </cell>
          <cell r="DL61">
            <v>0</v>
          </cell>
          <cell r="DM61">
            <v>0</v>
          </cell>
          <cell r="DN61">
            <v>0</v>
          </cell>
          <cell r="DO61">
            <v>0</v>
          </cell>
          <cell r="DP61">
            <v>0</v>
          </cell>
          <cell r="DQ61">
            <v>0</v>
          </cell>
          <cell r="DR61">
            <v>0</v>
          </cell>
          <cell r="DS61">
            <v>0</v>
          </cell>
          <cell r="DT61">
            <v>0</v>
          </cell>
        </row>
        <row r="62">
          <cell r="B62" t="str">
            <v>TS 93 G EN 5-7</v>
          </cell>
          <cell r="D62" t="str">
            <v>x</v>
          </cell>
          <cell r="F62" t="str">
            <v>x</v>
          </cell>
          <cell r="L62" t="str">
            <v>x</v>
          </cell>
          <cell r="M62" t="str">
            <v>x</v>
          </cell>
          <cell r="N62" t="str">
            <v>x</v>
          </cell>
          <cell r="O62" t="str">
            <v>D</v>
          </cell>
          <cell r="P62" t="str">
            <v>C</v>
          </cell>
          <cell r="R62" t="str">
            <v>C</v>
          </cell>
          <cell r="S62" t="str">
            <v>D</v>
          </cell>
          <cell r="U62" t="str">
            <v>x</v>
          </cell>
          <cell r="X62" t="str">
            <v>x</v>
          </cell>
          <cell r="AA62" t="str">
            <v>x</v>
          </cell>
          <cell r="AF62" t="str">
            <v>x</v>
          </cell>
          <cell r="AK62">
            <v>93</v>
          </cell>
          <cell r="AL62" t="str">
            <v>G</v>
          </cell>
          <cell r="AM62" t="str">
            <v>5-7</v>
          </cell>
          <cell r="AV62" t="str">
            <v>x</v>
          </cell>
          <cell r="BW62">
            <v>285</v>
          </cell>
          <cell r="BX62">
            <v>62</v>
          </cell>
          <cell r="BY62">
            <v>71</v>
          </cell>
          <cell r="BZ62">
            <v>442</v>
          </cell>
          <cell r="CA62">
            <v>23</v>
          </cell>
          <cell r="CB62">
            <v>31</v>
          </cell>
          <cell r="CC62">
            <v>16</v>
          </cell>
          <cell r="CD62">
            <v>375</v>
          </cell>
          <cell r="CE62">
            <v>34</v>
          </cell>
          <cell r="CF62">
            <v>34</v>
          </cell>
          <cell r="CG62">
            <v>140</v>
          </cell>
          <cell r="CH62">
            <v>95</v>
          </cell>
          <cell r="CI62">
            <v>515</v>
          </cell>
          <cell r="CJ62">
            <v>469</v>
          </cell>
          <cell r="CK62">
            <v>46</v>
          </cell>
          <cell r="CL62">
            <v>0</v>
          </cell>
          <cell r="CM62">
            <v>0</v>
          </cell>
          <cell r="CN62">
            <v>0</v>
          </cell>
          <cell r="CO62">
            <v>0</v>
          </cell>
          <cell r="CP62">
            <v>0</v>
          </cell>
          <cell r="CQ62">
            <v>0</v>
          </cell>
          <cell r="CR62">
            <v>0</v>
          </cell>
          <cell r="CS62">
            <v>0</v>
          </cell>
          <cell r="CT62">
            <v>0</v>
          </cell>
          <cell r="CU62">
            <v>0</v>
          </cell>
          <cell r="CV62">
            <v>0</v>
          </cell>
          <cell r="CW62">
            <v>0</v>
          </cell>
          <cell r="CX62">
            <v>0</v>
          </cell>
          <cell r="CY62">
            <v>0</v>
          </cell>
          <cell r="CZ62">
            <v>80</v>
          </cell>
          <cell r="DA62" t="str">
            <v>V</v>
          </cell>
          <cell r="DB62">
            <v>17</v>
          </cell>
          <cell r="DC62">
            <v>143</v>
          </cell>
          <cell r="DD62">
            <v>0</v>
          </cell>
          <cell r="DE62">
            <v>3</v>
          </cell>
          <cell r="DF62">
            <v>189</v>
          </cell>
          <cell r="DG62">
            <v>45</v>
          </cell>
          <cell r="DH62">
            <v>0</v>
          </cell>
          <cell r="DI62">
            <v>17</v>
          </cell>
          <cell r="DJ62">
            <v>143</v>
          </cell>
          <cell r="DK62" t="str">
            <v>V</v>
          </cell>
          <cell r="DL62">
            <v>3</v>
          </cell>
          <cell r="DM62">
            <v>189</v>
          </cell>
          <cell r="DN62">
            <v>45</v>
          </cell>
          <cell r="DO62">
            <v>0</v>
          </cell>
          <cell r="DP62" t="str">
            <v>V</v>
          </cell>
          <cell r="DQ62">
            <v>143</v>
          </cell>
          <cell r="DR62" t="str">
            <v>V</v>
          </cell>
          <cell r="DS62" t="str">
            <v>V</v>
          </cell>
          <cell r="DT62">
            <v>189</v>
          </cell>
        </row>
        <row r="63">
          <cell r="B63" t="str">
            <v>TS 93 G RF EN 5-7</v>
          </cell>
          <cell r="D63" t="str">
            <v>x</v>
          </cell>
          <cell r="F63" t="str">
            <v>x</v>
          </cell>
          <cell r="L63" t="str">
            <v>x</v>
          </cell>
          <cell r="M63" t="str">
            <v>x</v>
          </cell>
          <cell r="N63" t="str">
            <v>x</v>
          </cell>
          <cell r="O63" t="str">
            <v>D</v>
          </cell>
          <cell r="P63" t="str">
            <v>C</v>
          </cell>
          <cell r="R63" t="str">
            <v>C</v>
          </cell>
          <cell r="S63" t="str">
            <v>D</v>
          </cell>
          <cell r="U63" t="str">
            <v>x</v>
          </cell>
          <cell r="X63" t="str">
            <v>x</v>
          </cell>
          <cell r="AA63" t="str">
            <v>x</v>
          </cell>
          <cell r="AB63" t="str">
            <v>x</v>
          </cell>
          <cell r="AF63" t="str">
            <v>x</v>
          </cell>
          <cell r="AK63">
            <v>93</v>
          </cell>
          <cell r="AL63" t="str">
            <v>G</v>
          </cell>
          <cell r="AM63" t="str">
            <v>5-7</v>
          </cell>
          <cell r="AW63" t="str">
            <v>x</v>
          </cell>
          <cell r="BW63">
            <v>285</v>
          </cell>
          <cell r="BX63">
            <v>62</v>
          </cell>
          <cell r="BY63">
            <v>71</v>
          </cell>
          <cell r="BZ63">
            <v>442</v>
          </cell>
          <cell r="CA63">
            <v>23</v>
          </cell>
          <cell r="CB63">
            <v>31</v>
          </cell>
          <cell r="CC63">
            <v>16</v>
          </cell>
          <cell r="CD63">
            <v>375</v>
          </cell>
          <cell r="CE63">
            <v>34</v>
          </cell>
          <cell r="CF63">
            <v>34</v>
          </cell>
          <cell r="CG63">
            <v>140</v>
          </cell>
          <cell r="CH63">
            <v>95</v>
          </cell>
          <cell r="CI63">
            <v>515</v>
          </cell>
          <cell r="CJ63">
            <v>455</v>
          </cell>
          <cell r="CK63">
            <v>60</v>
          </cell>
          <cell r="CL63">
            <v>0</v>
          </cell>
          <cell r="CM63">
            <v>0</v>
          </cell>
          <cell r="CN63">
            <v>0</v>
          </cell>
          <cell r="CO63">
            <v>0</v>
          </cell>
          <cell r="CP63">
            <v>0</v>
          </cell>
          <cell r="CQ63">
            <v>0</v>
          </cell>
          <cell r="CR63">
            <v>0</v>
          </cell>
          <cell r="CS63">
            <v>0</v>
          </cell>
          <cell r="CT63">
            <v>0</v>
          </cell>
          <cell r="CU63">
            <v>0</v>
          </cell>
          <cell r="CV63">
            <v>0</v>
          </cell>
          <cell r="CW63">
            <v>0</v>
          </cell>
          <cell r="CX63">
            <v>0</v>
          </cell>
          <cell r="CY63">
            <v>0</v>
          </cell>
          <cell r="CZ63">
            <v>80</v>
          </cell>
          <cell r="DA63" t="str">
            <v>V</v>
          </cell>
          <cell r="DB63">
            <v>17</v>
          </cell>
          <cell r="DC63">
            <v>143</v>
          </cell>
          <cell r="DD63">
            <v>0</v>
          </cell>
          <cell r="DE63">
            <v>3</v>
          </cell>
          <cell r="DF63">
            <v>203</v>
          </cell>
          <cell r="DG63">
            <v>45</v>
          </cell>
          <cell r="DH63">
            <v>0</v>
          </cell>
          <cell r="DI63">
            <v>17</v>
          </cell>
          <cell r="DJ63">
            <v>143</v>
          </cell>
          <cell r="DK63" t="str">
            <v>V</v>
          </cell>
          <cell r="DL63">
            <v>3</v>
          </cell>
          <cell r="DM63">
            <v>203</v>
          </cell>
          <cell r="DN63">
            <v>45</v>
          </cell>
          <cell r="DO63">
            <v>0</v>
          </cell>
          <cell r="DP63" t="str">
            <v>V</v>
          </cell>
          <cell r="DQ63">
            <v>143</v>
          </cell>
          <cell r="DR63" t="str">
            <v>V</v>
          </cell>
          <cell r="DS63" t="str">
            <v>V</v>
          </cell>
          <cell r="DT63">
            <v>203</v>
          </cell>
        </row>
        <row r="64">
          <cell r="B64" t="str">
            <v>TS 93 G EMF EN 5-7</v>
          </cell>
          <cell r="D64" t="str">
            <v>x</v>
          </cell>
          <cell r="F64" t="str">
            <v>x</v>
          </cell>
          <cell r="L64" t="str">
            <v>x</v>
          </cell>
          <cell r="M64" t="str">
            <v>x</v>
          </cell>
          <cell r="N64" t="str">
            <v>x</v>
          </cell>
          <cell r="P64" t="str">
            <v>x</v>
          </cell>
          <cell r="R64" t="str">
            <v>x</v>
          </cell>
          <cell r="U64" t="str">
            <v>x</v>
          </cell>
          <cell r="X64" t="str">
            <v>x</v>
          </cell>
          <cell r="AA64" t="str">
            <v>x</v>
          </cell>
          <cell r="AC64" t="str">
            <v>x</v>
          </cell>
          <cell r="AE64" t="str">
            <v>x</v>
          </cell>
          <cell r="AF64" t="str">
            <v>x</v>
          </cell>
          <cell r="AK64">
            <v>93</v>
          </cell>
          <cell r="AL64" t="str">
            <v>G</v>
          </cell>
          <cell r="AM64" t="str">
            <v>5-7</v>
          </cell>
          <cell r="AX64" t="str">
            <v>x</v>
          </cell>
          <cell r="BW64">
            <v>285</v>
          </cell>
          <cell r="BX64">
            <v>62</v>
          </cell>
          <cell r="BY64">
            <v>71</v>
          </cell>
          <cell r="BZ64">
            <v>518</v>
          </cell>
          <cell r="CA64">
            <v>30</v>
          </cell>
          <cell r="CB64">
            <v>40</v>
          </cell>
          <cell r="CC64">
            <v>20</v>
          </cell>
          <cell r="CD64">
            <v>375</v>
          </cell>
          <cell r="CE64">
            <v>34</v>
          </cell>
          <cell r="CF64">
            <v>34</v>
          </cell>
          <cell r="CG64">
            <v>140</v>
          </cell>
          <cell r="CH64">
            <v>95</v>
          </cell>
          <cell r="CI64">
            <v>515</v>
          </cell>
          <cell r="CJ64">
            <v>355</v>
          </cell>
          <cell r="CK64">
            <v>160</v>
          </cell>
          <cell r="CL64">
            <v>0</v>
          </cell>
          <cell r="CM64">
            <v>0</v>
          </cell>
          <cell r="CN64">
            <v>0</v>
          </cell>
          <cell r="CO64">
            <v>0</v>
          </cell>
          <cell r="CP64">
            <v>0</v>
          </cell>
          <cell r="CQ64">
            <v>0</v>
          </cell>
          <cell r="CR64">
            <v>0</v>
          </cell>
          <cell r="CS64">
            <v>0</v>
          </cell>
          <cell r="CT64">
            <v>0</v>
          </cell>
          <cell r="CU64">
            <v>0</v>
          </cell>
          <cell r="CV64">
            <v>0</v>
          </cell>
          <cell r="CW64">
            <v>0</v>
          </cell>
          <cell r="CX64">
            <v>0</v>
          </cell>
          <cell r="CY64">
            <v>0</v>
          </cell>
          <cell r="CZ64">
            <v>0</v>
          </cell>
          <cell r="DA64">
            <v>0</v>
          </cell>
          <cell r="DB64">
            <v>0</v>
          </cell>
          <cell r="DC64">
            <v>0</v>
          </cell>
          <cell r="DD64">
            <v>0</v>
          </cell>
          <cell r="DE64">
            <v>0</v>
          </cell>
          <cell r="DF64">
            <v>0</v>
          </cell>
          <cell r="DG64">
            <v>45</v>
          </cell>
          <cell r="DH64">
            <v>0</v>
          </cell>
          <cell r="DI64">
            <v>17</v>
          </cell>
          <cell r="DJ64">
            <v>84</v>
          </cell>
          <cell r="DK64" t="str">
            <v>V</v>
          </cell>
          <cell r="DL64">
            <v>0</v>
          </cell>
          <cell r="DM64">
            <v>244</v>
          </cell>
          <cell r="DN64">
            <v>45</v>
          </cell>
          <cell r="DO64">
            <v>0</v>
          </cell>
          <cell r="DP64" t="str">
            <v>V</v>
          </cell>
          <cell r="DQ64">
            <v>84</v>
          </cell>
          <cell r="DR64" t="str">
            <v>V</v>
          </cell>
          <cell r="DS64" t="str">
            <v>V</v>
          </cell>
          <cell r="DT64">
            <v>244</v>
          </cell>
        </row>
        <row r="65">
          <cell r="B65" t="str">
            <v>TS 93 G EMR EN 5-7</v>
          </cell>
          <cell r="D65" t="str">
            <v>x</v>
          </cell>
          <cell r="F65" t="str">
            <v>x</v>
          </cell>
          <cell r="L65" t="str">
            <v>x</v>
          </cell>
          <cell r="M65" t="str">
            <v>x</v>
          </cell>
          <cell r="N65" t="str">
            <v>x</v>
          </cell>
          <cell r="P65" t="str">
            <v>x</v>
          </cell>
          <cell r="R65" t="str">
            <v>x</v>
          </cell>
          <cell r="U65" t="str">
            <v>x</v>
          </cell>
          <cell r="X65" t="str">
            <v>x</v>
          </cell>
          <cell r="AA65" t="str">
            <v>x</v>
          </cell>
          <cell r="AC65" t="str">
            <v>x</v>
          </cell>
          <cell r="AD65" t="str">
            <v>x</v>
          </cell>
          <cell r="AF65" t="str">
            <v>x</v>
          </cell>
          <cell r="AK65">
            <v>93</v>
          </cell>
          <cell r="AL65" t="str">
            <v>G</v>
          </cell>
          <cell r="AM65" t="str">
            <v>5-7</v>
          </cell>
          <cell r="AY65" t="str">
            <v>x</v>
          </cell>
          <cell r="BW65">
            <v>285</v>
          </cell>
          <cell r="BX65">
            <v>62</v>
          </cell>
          <cell r="BY65">
            <v>71</v>
          </cell>
          <cell r="BZ65">
            <v>864</v>
          </cell>
          <cell r="CA65">
            <v>30</v>
          </cell>
          <cell r="CB65">
            <v>40</v>
          </cell>
          <cell r="CC65">
            <v>20</v>
          </cell>
          <cell r="CD65">
            <v>375</v>
          </cell>
          <cell r="CE65">
            <v>34</v>
          </cell>
          <cell r="CF65">
            <v>34</v>
          </cell>
          <cell r="CG65">
            <v>140</v>
          </cell>
          <cell r="CH65">
            <v>95</v>
          </cell>
          <cell r="CI65">
            <v>515</v>
          </cell>
          <cell r="CJ65">
            <v>309</v>
          </cell>
          <cell r="CK65">
            <v>206</v>
          </cell>
          <cell r="CL65">
            <v>0</v>
          </cell>
          <cell r="CM65">
            <v>0</v>
          </cell>
          <cell r="CN65">
            <v>0</v>
          </cell>
          <cell r="CO65">
            <v>0</v>
          </cell>
          <cell r="CP65">
            <v>0</v>
          </cell>
          <cell r="CQ65">
            <v>0</v>
          </cell>
          <cell r="CR65">
            <v>0</v>
          </cell>
          <cell r="CS65">
            <v>0</v>
          </cell>
          <cell r="CT65">
            <v>0</v>
          </cell>
          <cell r="CU65">
            <v>0</v>
          </cell>
          <cell r="CV65">
            <v>0</v>
          </cell>
          <cell r="CW65">
            <v>0</v>
          </cell>
          <cell r="CX65">
            <v>0</v>
          </cell>
          <cell r="CY65">
            <v>0</v>
          </cell>
          <cell r="CZ65">
            <v>0</v>
          </cell>
          <cell r="DA65">
            <v>0</v>
          </cell>
          <cell r="DB65">
            <v>0</v>
          </cell>
          <cell r="DC65">
            <v>0</v>
          </cell>
          <cell r="DD65">
            <v>0</v>
          </cell>
          <cell r="DE65">
            <v>0</v>
          </cell>
          <cell r="DF65">
            <v>0</v>
          </cell>
          <cell r="DG65">
            <v>45</v>
          </cell>
          <cell r="DH65">
            <v>0</v>
          </cell>
          <cell r="DI65">
            <v>17</v>
          </cell>
          <cell r="DJ65">
            <v>84</v>
          </cell>
          <cell r="DK65" t="str">
            <v>V</v>
          </cell>
          <cell r="DL65">
            <v>0</v>
          </cell>
          <cell r="DM65">
            <v>290</v>
          </cell>
          <cell r="DN65">
            <v>45</v>
          </cell>
          <cell r="DO65">
            <v>0</v>
          </cell>
          <cell r="DP65" t="str">
            <v>V</v>
          </cell>
          <cell r="DQ65">
            <v>84</v>
          </cell>
          <cell r="DR65" t="str">
            <v>V</v>
          </cell>
          <cell r="DS65">
            <v>44</v>
          </cell>
          <cell r="DT65">
            <v>290</v>
          </cell>
        </row>
        <row r="66">
          <cell r="B66" t="str">
            <v>TS 93 G GSR /BG EN 5-7 Gangfl.</v>
          </cell>
          <cell r="D66">
            <v>0</v>
          </cell>
          <cell r="E66" t="str">
            <v>x</v>
          </cell>
          <cell r="F66" t="str">
            <v>x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 t="str">
            <v>x</v>
          </cell>
          <cell r="M66" t="str">
            <v>x</v>
          </cell>
          <cell r="N66" t="str">
            <v>x</v>
          </cell>
          <cell r="O66">
            <v>0</v>
          </cell>
          <cell r="P66" t="str">
            <v>x</v>
          </cell>
          <cell r="Q66">
            <v>0</v>
          </cell>
          <cell r="R66" t="str">
            <v>x</v>
          </cell>
          <cell r="S66">
            <v>0</v>
          </cell>
          <cell r="T66">
            <v>0</v>
          </cell>
          <cell r="U66" t="str">
            <v>x</v>
          </cell>
          <cell r="V66">
            <v>0</v>
          </cell>
          <cell r="W66" t="str">
            <v>x</v>
          </cell>
          <cell r="X66" t="str">
            <v>x</v>
          </cell>
          <cell r="Y66">
            <v>0</v>
          </cell>
          <cell r="Z66">
            <v>0</v>
          </cell>
          <cell r="AA66" t="str">
            <v>x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 t="str">
            <v>x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93</v>
          </cell>
          <cell r="AL66" t="str">
            <v>G</v>
          </cell>
          <cell r="AM66" t="str">
            <v>5-7</v>
          </cell>
          <cell r="AZ66" t="str">
            <v>x</v>
          </cell>
          <cell r="BW66">
            <v>285</v>
          </cell>
          <cell r="BX66">
            <v>62</v>
          </cell>
          <cell r="BY66">
            <v>71</v>
          </cell>
          <cell r="BZ66" t="str">
            <v>V</v>
          </cell>
          <cell r="CA66">
            <v>30</v>
          </cell>
          <cell r="CB66">
            <v>40</v>
          </cell>
          <cell r="CC66">
            <v>20</v>
          </cell>
          <cell r="CD66">
            <v>375</v>
          </cell>
          <cell r="CE66">
            <v>34</v>
          </cell>
          <cell r="CF66">
            <v>34</v>
          </cell>
          <cell r="CG66">
            <v>209</v>
          </cell>
          <cell r="CH66">
            <v>95</v>
          </cell>
          <cell r="CI66">
            <v>584</v>
          </cell>
          <cell r="CJ66">
            <v>533</v>
          </cell>
          <cell r="CK66">
            <v>51</v>
          </cell>
          <cell r="CL66">
            <v>0</v>
          </cell>
          <cell r="CM66">
            <v>0</v>
          </cell>
          <cell r="CN66">
            <v>0</v>
          </cell>
          <cell r="CO66">
            <v>0</v>
          </cell>
          <cell r="CP66">
            <v>0</v>
          </cell>
          <cell r="CQ66">
            <v>0</v>
          </cell>
          <cell r="CR66">
            <v>0</v>
          </cell>
          <cell r="CS66">
            <v>0</v>
          </cell>
          <cell r="CT66">
            <v>0</v>
          </cell>
          <cell r="CU66">
            <v>0</v>
          </cell>
          <cell r="CV66">
            <v>0</v>
          </cell>
          <cell r="CW66">
            <v>0</v>
          </cell>
          <cell r="CX66">
            <v>0</v>
          </cell>
          <cell r="CY66">
            <v>0</v>
          </cell>
          <cell r="CZ66">
            <v>0</v>
          </cell>
          <cell r="DA66">
            <v>0</v>
          </cell>
          <cell r="DB66">
            <v>0</v>
          </cell>
          <cell r="DC66">
            <v>0</v>
          </cell>
          <cell r="DD66">
            <v>0</v>
          </cell>
          <cell r="DE66">
            <v>0</v>
          </cell>
          <cell r="DF66">
            <v>0</v>
          </cell>
          <cell r="DG66">
            <v>114</v>
          </cell>
          <cell r="DH66">
            <v>0</v>
          </cell>
          <cell r="DI66">
            <v>17</v>
          </cell>
          <cell r="DJ66">
            <v>114</v>
          </cell>
          <cell r="DK66" t="str">
            <v>V</v>
          </cell>
          <cell r="DL66">
            <v>11</v>
          </cell>
          <cell r="DM66">
            <v>165</v>
          </cell>
          <cell r="DN66">
            <v>114</v>
          </cell>
          <cell r="DO66">
            <v>0</v>
          </cell>
          <cell r="DP66" t="str">
            <v>V</v>
          </cell>
          <cell r="DQ66">
            <v>114</v>
          </cell>
          <cell r="DR66" t="str">
            <v>V</v>
          </cell>
          <cell r="DS66">
            <v>34</v>
          </cell>
          <cell r="DT66">
            <v>165</v>
          </cell>
        </row>
        <row r="67">
          <cell r="B67" t="str">
            <v>TS 93 G GSR RF /BG EN 5-7 Gangfl.</v>
          </cell>
          <cell r="D67">
            <v>0</v>
          </cell>
          <cell r="E67" t="str">
            <v>x</v>
          </cell>
          <cell r="F67" t="str">
            <v>x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 t="str">
            <v>x</v>
          </cell>
          <cell r="M67" t="str">
            <v>x</v>
          </cell>
          <cell r="N67" t="str">
            <v>x</v>
          </cell>
          <cell r="O67">
            <v>0</v>
          </cell>
          <cell r="P67" t="str">
            <v>x</v>
          </cell>
          <cell r="Q67">
            <v>0</v>
          </cell>
          <cell r="R67" t="str">
            <v>x</v>
          </cell>
          <cell r="S67">
            <v>0</v>
          </cell>
          <cell r="T67">
            <v>0</v>
          </cell>
          <cell r="U67" t="str">
            <v>x</v>
          </cell>
          <cell r="V67">
            <v>0</v>
          </cell>
          <cell r="W67" t="str">
            <v>x</v>
          </cell>
          <cell r="X67" t="str">
            <v>x</v>
          </cell>
          <cell r="Y67">
            <v>0</v>
          </cell>
          <cell r="Z67">
            <v>0</v>
          </cell>
          <cell r="AA67" t="str">
            <v>x</v>
          </cell>
          <cell r="AB67" t="str">
            <v>x</v>
          </cell>
          <cell r="AC67">
            <v>0</v>
          </cell>
          <cell r="AD67">
            <v>0</v>
          </cell>
          <cell r="AE67">
            <v>0</v>
          </cell>
          <cell r="AF67" t="str">
            <v>x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93</v>
          </cell>
          <cell r="AL67" t="str">
            <v>G</v>
          </cell>
          <cell r="AM67" t="str">
            <v>5-7</v>
          </cell>
          <cell r="BA67" t="str">
            <v>x</v>
          </cell>
          <cell r="BW67">
            <v>285</v>
          </cell>
          <cell r="BX67">
            <v>62</v>
          </cell>
          <cell r="BY67">
            <v>71</v>
          </cell>
          <cell r="BZ67" t="str">
            <v>V</v>
          </cell>
          <cell r="CA67">
            <v>30</v>
          </cell>
          <cell r="CB67">
            <v>40</v>
          </cell>
          <cell r="CC67">
            <v>20</v>
          </cell>
          <cell r="CD67">
            <v>375</v>
          </cell>
          <cell r="CE67">
            <v>34</v>
          </cell>
          <cell r="CF67">
            <v>34</v>
          </cell>
          <cell r="CG67">
            <v>209</v>
          </cell>
          <cell r="CH67">
            <v>95</v>
          </cell>
          <cell r="CI67">
            <v>584</v>
          </cell>
          <cell r="CJ67">
            <v>533</v>
          </cell>
          <cell r="CK67">
            <v>51</v>
          </cell>
          <cell r="CL67">
            <v>0</v>
          </cell>
          <cell r="CM67">
            <v>0</v>
          </cell>
          <cell r="CN67">
            <v>0</v>
          </cell>
          <cell r="CO67">
            <v>0</v>
          </cell>
          <cell r="CP67">
            <v>0</v>
          </cell>
          <cell r="CQ67">
            <v>0</v>
          </cell>
          <cell r="CR67">
            <v>0</v>
          </cell>
          <cell r="CS67">
            <v>0</v>
          </cell>
          <cell r="CT67">
            <v>0</v>
          </cell>
          <cell r="CU67">
            <v>0</v>
          </cell>
          <cell r="CV67">
            <v>0</v>
          </cell>
          <cell r="CW67">
            <v>0</v>
          </cell>
          <cell r="CX67">
            <v>0</v>
          </cell>
          <cell r="CY67">
            <v>0</v>
          </cell>
          <cell r="CZ67">
            <v>0</v>
          </cell>
          <cell r="DA67">
            <v>0</v>
          </cell>
          <cell r="DB67">
            <v>0</v>
          </cell>
          <cell r="DC67">
            <v>0</v>
          </cell>
          <cell r="DD67">
            <v>0</v>
          </cell>
          <cell r="DE67">
            <v>0</v>
          </cell>
          <cell r="DF67">
            <v>0</v>
          </cell>
          <cell r="DG67">
            <v>114</v>
          </cell>
          <cell r="DH67">
            <v>0</v>
          </cell>
          <cell r="DI67">
            <v>17</v>
          </cell>
          <cell r="DJ67">
            <v>114</v>
          </cell>
          <cell r="DK67" t="str">
            <v>V</v>
          </cell>
          <cell r="DL67">
            <v>11</v>
          </cell>
          <cell r="DM67">
            <v>165</v>
          </cell>
          <cell r="DN67">
            <v>114</v>
          </cell>
          <cell r="DO67">
            <v>0</v>
          </cell>
          <cell r="DP67" t="str">
            <v>V</v>
          </cell>
          <cell r="DQ67">
            <v>114</v>
          </cell>
          <cell r="DR67" t="str">
            <v>V</v>
          </cell>
          <cell r="DS67">
            <v>34</v>
          </cell>
          <cell r="DT67">
            <v>165</v>
          </cell>
        </row>
        <row r="68">
          <cell r="B68" t="str">
            <v>TS 93 G GSR-EMF 1 /BG EN 5-7 Gangfl.</v>
          </cell>
          <cell r="D68">
            <v>0</v>
          </cell>
          <cell r="E68" t="str">
            <v>x</v>
          </cell>
          <cell r="F68" t="str">
            <v>x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 t="str">
            <v>x</v>
          </cell>
          <cell r="M68" t="str">
            <v>x</v>
          </cell>
          <cell r="N68" t="str">
            <v>x</v>
          </cell>
          <cell r="O68">
            <v>0</v>
          </cell>
          <cell r="P68" t="str">
            <v>x</v>
          </cell>
          <cell r="Q68">
            <v>0</v>
          </cell>
          <cell r="R68" t="str">
            <v>x</v>
          </cell>
          <cell r="S68">
            <v>0</v>
          </cell>
          <cell r="T68">
            <v>0</v>
          </cell>
          <cell r="U68" t="str">
            <v>x</v>
          </cell>
          <cell r="V68">
            <v>0</v>
          </cell>
          <cell r="W68" t="str">
            <v>x</v>
          </cell>
          <cell r="X68" t="str">
            <v>x</v>
          </cell>
          <cell r="Y68">
            <v>0</v>
          </cell>
          <cell r="Z68">
            <v>0</v>
          </cell>
          <cell r="AA68" t="str">
            <v>x</v>
          </cell>
          <cell r="AB68">
            <v>0</v>
          </cell>
          <cell r="AC68" t="str">
            <v>x</v>
          </cell>
          <cell r="AD68">
            <v>0</v>
          </cell>
          <cell r="AE68" t="str">
            <v>x</v>
          </cell>
          <cell r="AF68" t="str">
            <v>x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93</v>
          </cell>
          <cell r="AL68" t="str">
            <v>G</v>
          </cell>
          <cell r="AM68" t="str">
            <v>5-7</v>
          </cell>
          <cell r="BB68" t="str">
            <v>x</v>
          </cell>
          <cell r="BW68">
            <v>285</v>
          </cell>
          <cell r="BX68">
            <v>62</v>
          </cell>
          <cell r="BY68">
            <v>71</v>
          </cell>
          <cell r="BZ68" t="str">
            <v>V</v>
          </cell>
          <cell r="CA68">
            <v>30</v>
          </cell>
          <cell r="CB68">
            <v>34</v>
          </cell>
          <cell r="CC68">
            <v>17</v>
          </cell>
          <cell r="CD68">
            <v>375</v>
          </cell>
          <cell r="CE68">
            <v>34</v>
          </cell>
          <cell r="CF68">
            <v>34</v>
          </cell>
          <cell r="CG68">
            <v>209</v>
          </cell>
          <cell r="CH68">
            <v>95</v>
          </cell>
          <cell r="CI68">
            <v>584</v>
          </cell>
          <cell r="CJ68">
            <v>420</v>
          </cell>
          <cell r="CK68">
            <v>164</v>
          </cell>
          <cell r="CL68">
            <v>0</v>
          </cell>
          <cell r="CM68">
            <v>0</v>
          </cell>
          <cell r="CN68">
            <v>0</v>
          </cell>
          <cell r="CO68">
            <v>0</v>
          </cell>
          <cell r="CP68">
            <v>0</v>
          </cell>
          <cell r="CQ68">
            <v>0</v>
          </cell>
          <cell r="CR68">
            <v>0</v>
          </cell>
          <cell r="CS68">
            <v>0</v>
          </cell>
          <cell r="CT68">
            <v>0</v>
          </cell>
          <cell r="CU68">
            <v>0</v>
          </cell>
          <cell r="CV68">
            <v>0</v>
          </cell>
          <cell r="CW68">
            <v>0</v>
          </cell>
          <cell r="CX68">
            <v>0</v>
          </cell>
          <cell r="CY68">
            <v>0</v>
          </cell>
          <cell r="CZ68">
            <v>0</v>
          </cell>
          <cell r="DA68">
            <v>0</v>
          </cell>
          <cell r="DB68">
            <v>0</v>
          </cell>
          <cell r="DC68">
            <v>0</v>
          </cell>
          <cell r="DD68">
            <v>0</v>
          </cell>
          <cell r="DE68">
            <v>0</v>
          </cell>
          <cell r="DF68">
            <v>0</v>
          </cell>
          <cell r="DG68">
            <v>114</v>
          </cell>
          <cell r="DH68">
            <v>0</v>
          </cell>
          <cell r="DI68">
            <v>17</v>
          </cell>
          <cell r="DJ68">
            <v>114</v>
          </cell>
          <cell r="DK68" t="str">
            <v>V</v>
          </cell>
          <cell r="DL68">
            <v>0</v>
          </cell>
          <cell r="DM68">
            <v>278</v>
          </cell>
          <cell r="DN68">
            <v>0</v>
          </cell>
          <cell r="DO68">
            <v>0</v>
          </cell>
          <cell r="DP68">
            <v>0</v>
          </cell>
          <cell r="DQ68">
            <v>0</v>
          </cell>
          <cell r="DR68">
            <v>0</v>
          </cell>
          <cell r="DS68">
            <v>0</v>
          </cell>
          <cell r="DT68">
            <v>0</v>
          </cell>
        </row>
        <row r="69">
          <cell r="B69" t="str">
            <v>TS 93 G GSR-EMF 1G /BG EN 5-7 Gangfl.</v>
          </cell>
          <cell r="D69">
            <v>0</v>
          </cell>
          <cell r="E69" t="str">
            <v>x</v>
          </cell>
          <cell r="F69" t="str">
            <v>x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 t="str">
            <v>x</v>
          </cell>
          <cell r="M69" t="str">
            <v>x</v>
          </cell>
          <cell r="N69" t="str">
            <v>x</v>
          </cell>
          <cell r="O69">
            <v>0</v>
          </cell>
          <cell r="P69" t="str">
            <v>x</v>
          </cell>
          <cell r="Q69">
            <v>0</v>
          </cell>
          <cell r="R69" t="str">
            <v>x</v>
          </cell>
          <cell r="S69">
            <v>0</v>
          </cell>
          <cell r="T69">
            <v>0</v>
          </cell>
          <cell r="U69" t="str">
            <v>x</v>
          </cell>
          <cell r="V69">
            <v>0</v>
          </cell>
          <cell r="W69" t="str">
            <v>x</v>
          </cell>
          <cell r="X69" t="str">
            <v>x</v>
          </cell>
          <cell r="Y69">
            <v>0</v>
          </cell>
          <cell r="Z69">
            <v>0</v>
          </cell>
          <cell r="AA69" t="str">
            <v>x</v>
          </cell>
          <cell r="AB69">
            <v>0</v>
          </cell>
          <cell r="AC69" t="str">
            <v>x</v>
          </cell>
          <cell r="AD69">
            <v>0</v>
          </cell>
          <cell r="AE69" t="str">
            <v>x</v>
          </cell>
          <cell r="AF69" t="str">
            <v>x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93</v>
          </cell>
          <cell r="AL69" t="str">
            <v>G</v>
          </cell>
          <cell r="AM69" t="str">
            <v>5-7</v>
          </cell>
          <cell r="BC69" t="str">
            <v>x</v>
          </cell>
          <cell r="BW69">
            <v>285</v>
          </cell>
          <cell r="BX69">
            <v>62</v>
          </cell>
          <cell r="BY69">
            <v>71</v>
          </cell>
          <cell r="BZ69" t="str">
            <v>V</v>
          </cell>
          <cell r="CA69">
            <v>30</v>
          </cell>
          <cell r="CB69">
            <v>34</v>
          </cell>
          <cell r="CC69">
            <v>17</v>
          </cell>
          <cell r="CD69">
            <v>375</v>
          </cell>
          <cell r="CE69">
            <v>34</v>
          </cell>
          <cell r="CF69">
            <v>34</v>
          </cell>
          <cell r="CG69">
            <v>209</v>
          </cell>
          <cell r="CH69">
            <v>95</v>
          </cell>
          <cell r="CI69">
            <v>584</v>
          </cell>
          <cell r="CJ69">
            <v>420</v>
          </cell>
          <cell r="CK69">
            <v>164</v>
          </cell>
          <cell r="CL69">
            <v>0</v>
          </cell>
          <cell r="CM69">
            <v>0</v>
          </cell>
          <cell r="CN69">
            <v>0</v>
          </cell>
          <cell r="CO69">
            <v>0</v>
          </cell>
          <cell r="CP69">
            <v>0</v>
          </cell>
          <cell r="CQ69">
            <v>0</v>
          </cell>
          <cell r="CR69">
            <v>0</v>
          </cell>
          <cell r="CS69">
            <v>0</v>
          </cell>
          <cell r="CT69">
            <v>0</v>
          </cell>
          <cell r="CU69">
            <v>0</v>
          </cell>
          <cell r="CV69">
            <v>0</v>
          </cell>
          <cell r="CW69">
            <v>0</v>
          </cell>
          <cell r="CX69">
            <v>0</v>
          </cell>
          <cell r="CY69">
            <v>0</v>
          </cell>
          <cell r="CZ69">
            <v>0</v>
          </cell>
          <cell r="DA69">
            <v>0</v>
          </cell>
          <cell r="DB69">
            <v>0</v>
          </cell>
          <cell r="DC69">
            <v>0</v>
          </cell>
          <cell r="DD69">
            <v>0</v>
          </cell>
          <cell r="DE69">
            <v>0</v>
          </cell>
          <cell r="DF69">
            <v>0</v>
          </cell>
          <cell r="DG69">
            <v>114</v>
          </cell>
          <cell r="DH69">
            <v>0</v>
          </cell>
          <cell r="DI69">
            <v>17</v>
          </cell>
          <cell r="DJ69">
            <v>114</v>
          </cell>
          <cell r="DK69" t="str">
            <v>V</v>
          </cell>
          <cell r="DL69">
            <v>0</v>
          </cell>
          <cell r="DM69">
            <v>278</v>
          </cell>
          <cell r="DN69">
            <v>0</v>
          </cell>
          <cell r="DO69">
            <v>0</v>
          </cell>
          <cell r="DP69">
            <v>0</v>
          </cell>
          <cell r="DQ69">
            <v>0</v>
          </cell>
          <cell r="DR69">
            <v>0</v>
          </cell>
          <cell r="DS69">
            <v>0</v>
          </cell>
          <cell r="DT69">
            <v>0</v>
          </cell>
        </row>
        <row r="70">
          <cell r="B70" t="str">
            <v>TS 93 G GSR-EMF 2 /BG EN 5-7 Gangfl.</v>
          </cell>
          <cell r="D70">
            <v>0</v>
          </cell>
          <cell r="E70" t="str">
            <v>x</v>
          </cell>
          <cell r="F70" t="str">
            <v>x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 t="str">
            <v>x</v>
          </cell>
          <cell r="M70" t="str">
            <v>x</v>
          </cell>
          <cell r="N70" t="str">
            <v>x</v>
          </cell>
          <cell r="O70">
            <v>0</v>
          </cell>
          <cell r="P70" t="str">
            <v>x</v>
          </cell>
          <cell r="Q70">
            <v>0</v>
          </cell>
          <cell r="R70" t="str">
            <v>x</v>
          </cell>
          <cell r="S70">
            <v>0</v>
          </cell>
          <cell r="T70">
            <v>0</v>
          </cell>
          <cell r="U70" t="str">
            <v>x</v>
          </cell>
          <cell r="V70">
            <v>0</v>
          </cell>
          <cell r="W70" t="str">
            <v>x</v>
          </cell>
          <cell r="X70" t="str">
            <v>x</v>
          </cell>
          <cell r="Y70">
            <v>0</v>
          </cell>
          <cell r="Z70">
            <v>0</v>
          </cell>
          <cell r="AA70" t="str">
            <v>x</v>
          </cell>
          <cell r="AB70">
            <v>0</v>
          </cell>
          <cell r="AC70" t="str">
            <v>x</v>
          </cell>
          <cell r="AD70">
            <v>0</v>
          </cell>
          <cell r="AE70" t="str">
            <v>x</v>
          </cell>
          <cell r="AF70" t="str">
            <v>x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93</v>
          </cell>
          <cell r="AL70" t="str">
            <v>G</v>
          </cell>
          <cell r="AM70" t="str">
            <v>5-7</v>
          </cell>
          <cell r="BD70" t="str">
            <v>x</v>
          </cell>
          <cell r="BW70">
            <v>285</v>
          </cell>
          <cell r="BX70">
            <v>62</v>
          </cell>
          <cell r="BY70">
            <v>71</v>
          </cell>
          <cell r="BZ70" t="str">
            <v>V</v>
          </cell>
          <cell r="CA70">
            <v>30</v>
          </cell>
          <cell r="CB70">
            <v>34</v>
          </cell>
          <cell r="CC70">
            <v>17</v>
          </cell>
          <cell r="CD70">
            <v>375</v>
          </cell>
          <cell r="CE70">
            <v>34</v>
          </cell>
          <cell r="CF70">
            <v>34</v>
          </cell>
          <cell r="CG70">
            <v>209</v>
          </cell>
          <cell r="CH70">
            <v>95</v>
          </cell>
          <cell r="CI70">
            <v>584</v>
          </cell>
          <cell r="CJ70">
            <v>420</v>
          </cell>
          <cell r="CK70">
            <v>164</v>
          </cell>
          <cell r="CL70">
            <v>0</v>
          </cell>
          <cell r="CM70">
            <v>0</v>
          </cell>
          <cell r="CN70">
            <v>0</v>
          </cell>
          <cell r="CO70">
            <v>0</v>
          </cell>
          <cell r="CP70">
            <v>0</v>
          </cell>
          <cell r="CQ70">
            <v>0</v>
          </cell>
          <cell r="CR70">
            <v>0</v>
          </cell>
          <cell r="CS70">
            <v>0</v>
          </cell>
          <cell r="CT70">
            <v>0</v>
          </cell>
          <cell r="CU70">
            <v>0</v>
          </cell>
          <cell r="CV70">
            <v>0</v>
          </cell>
          <cell r="CW70">
            <v>0</v>
          </cell>
          <cell r="CX70">
            <v>0</v>
          </cell>
          <cell r="CY70">
            <v>0</v>
          </cell>
          <cell r="CZ70">
            <v>0</v>
          </cell>
          <cell r="DA70">
            <v>0</v>
          </cell>
          <cell r="DB70">
            <v>0</v>
          </cell>
          <cell r="DC70">
            <v>0</v>
          </cell>
          <cell r="DD70">
            <v>0</v>
          </cell>
          <cell r="DE70">
            <v>0</v>
          </cell>
          <cell r="DF70">
            <v>0</v>
          </cell>
          <cell r="DG70">
            <v>114</v>
          </cell>
          <cell r="DH70">
            <v>0</v>
          </cell>
          <cell r="DI70">
            <v>17</v>
          </cell>
          <cell r="DJ70">
            <v>114</v>
          </cell>
          <cell r="DK70" t="str">
            <v>V</v>
          </cell>
          <cell r="DL70">
            <v>0</v>
          </cell>
          <cell r="DM70">
            <v>278</v>
          </cell>
          <cell r="DN70">
            <v>0</v>
          </cell>
          <cell r="DO70">
            <v>0</v>
          </cell>
          <cell r="DP70">
            <v>0</v>
          </cell>
          <cell r="DQ70">
            <v>0</v>
          </cell>
          <cell r="DR70">
            <v>0</v>
          </cell>
          <cell r="DS70">
            <v>0</v>
          </cell>
          <cell r="DT70">
            <v>0</v>
          </cell>
        </row>
        <row r="71">
          <cell r="B71" t="str">
            <v>TS 93 G GSR-EMR 1 /BG EN 5-7 Gangfl.</v>
          </cell>
          <cell r="D71">
            <v>0</v>
          </cell>
          <cell r="E71" t="str">
            <v>x</v>
          </cell>
          <cell r="F71" t="str">
            <v>x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 t="str">
            <v>x</v>
          </cell>
          <cell r="M71" t="str">
            <v>x</v>
          </cell>
          <cell r="N71" t="str">
            <v>x</v>
          </cell>
          <cell r="O71">
            <v>0</v>
          </cell>
          <cell r="P71" t="str">
            <v>x</v>
          </cell>
          <cell r="Q71">
            <v>0</v>
          </cell>
          <cell r="R71" t="str">
            <v>x</v>
          </cell>
          <cell r="S71">
            <v>0</v>
          </cell>
          <cell r="T71">
            <v>0</v>
          </cell>
          <cell r="U71" t="str">
            <v>x</v>
          </cell>
          <cell r="V71">
            <v>0</v>
          </cell>
          <cell r="W71" t="str">
            <v>x</v>
          </cell>
          <cell r="X71" t="str">
            <v>x</v>
          </cell>
          <cell r="Y71">
            <v>0</v>
          </cell>
          <cell r="Z71">
            <v>0</v>
          </cell>
          <cell r="AA71" t="str">
            <v>x</v>
          </cell>
          <cell r="AB71">
            <v>0</v>
          </cell>
          <cell r="AC71" t="str">
            <v>x</v>
          </cell>
          <cell r="AD71" t="str">
            <v>x</v>
          </cell>
          <cell r="AE71">
            <v>0</v>
          </cell>
          <cell r="AF71" t="str">
            <v>x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93</v>
          </cell>
          <cell r="AL71" t="str">
            <v>G</v>
          </cell>
          <cell r="AM71" t="str">
            <v>5-7</v>
          </cell>
          <cell r="BE71" t="str">
            <v>x</v>
          </cell>
          <cell r="BW71">
            <v>285</v>
          </cell>
          <cell r="BX71">
            <v>62</v>
          </cell>
          <cell r="BY71">
            <v>71</v>
          </cell>
          <cell r="BZ71" t="str">
            <v>V</v>
          </cell>
          <cell r="CA71">
            <v>30</v>
          </cell>
          <cell r="CB71">
            <v>55</v>
          </cell>
          <cell r="CC71">
            <v>28</v>
          </cell>
          <cell r="CD71">
            <v>375</v>
          </cell>
          <cell r="CE71">
            <v>34</v>
          </cell>
          <cell r="CF71">
            <v>34</v>
          </cell>
          <cell r="CG71">
            <v>209</v>
          </cell>
          <cell r="CH71">
            <v>95</v>
          </cell>
          <cell r="CI71">
            <v>584</v>
          </cell>
          <cell r="CJ71">
            <v>420</v>
          </cell>
          <cell r="CK71">
            <v>164</v>
          </cell>
          <cell r="CL71">
            <v>0</v>
          </cell>
          <cell r="CM71">
            <v>0</v>
          </cell>
          <cell r="CN71">
            <v>0</v>
          </cell>
          <cell r="CO71">
            <v>0</v>
          </cell>
          <cell r="CP71">
            <v>0</v>
          </cell>
          <cell r="CQ71">
            <v>0</v>
          </cell>
          <cell r="CR71">
            <v>0</v>
          </cell>
          <cell r="CS71">
            <v>0</v>
          </cell>
          <cell r="CT71">
            <v>0</v>
          </cell>
          <cell r="CU71">
            <v>0</v>
          </cell>
          <cell r="CV71">
            <v>0</v>
          </cell>
          <cell r="CW71">
            <v>0</v>
          </cell>
          <cell r="CX71">
            <v>0</v>
          </cell>
          <cell r="CY71">
            <v>0</v>
          </cell>
          <cell r="CZ71">
            <v>0</v>
          </cell>
          <cell r="DA71">
            <v>0</v>
          </cell>
          <cell r="DB71">
            <v>0</v>
          </cell>
          <cell r="DC71">
            <v>0</v>
          </cell>
          <cell r="DD71">
            <v>0</v>
          </cell>
          <cell r="DE71">
            <v>0</v>
          </cell>
          <cell r="DF71">
            <v>0</v>
          </cell>
          <cell r="DG71">
            <v>114</v>
          </cell>
          <cell r="DH71">
            <v>0</v>
          </cell>
          <cell r="DI71">
            <v>17</v>
          </cell>
          <cell r="DJ71">
            <v>114</v>
          </cell>
          <cell r="DK71" t="str">
            <v>V</v>
          </cell>
          <cell r="DL71">
            <v>0</v>
          </cell>
          <cell r="DM71">
            <v>278</v>
          </cell>
          <cell r="DN71">
            <v>0</v>
          </cell>
          <cell r="DO71">
            <v>0</v>
          </cell>
          <cell r="DP71">
            <v>0</v>
          </cell>
          <cell r="DQ71">
            <v>0</v>
          </cell>
          <cell r="DR71">
            <v>0</v>
          </cell>
          <cell r="DS71">
            <v>0</v>
          </cell>
          <cell r="DT71">
            <v>0</v>
          </cell>
        </row>
        <row r="72">
          <cell r="B72" t="str">
            <v>TS 93 G GSR-EMR 1G /BG EN 5-7 Gangfl.</v>
          </cell>
          <cell r="D72">
            <v>0</v>
          </cell>
          <cell r="E72" t="str">
            <v>x</v>
          </cell>
          <cell r="F72" t="str">
            <v>x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 t="str">
            <v>x</v>
          </cell>
          <cell r="M72" t="str">
            <v>x</v>
          </cell>
          <cell r="N72" t="str">
            <v>x</v>
          </cell>
          <cell r="O72">
            <v>0</v>
          </cell>
          <cell r="P72" t="str">
            <v>x</v>
          </cell>
          <cell r="Q72">
            <v>0</v>
          </cell>
          <cell r="R72" t="str">
            <v>x</v>
          </cell>
          <cell r="S72">
            <v>0</v>
          </cell>
          <cell r="T72">
            <v>0</v>
          </cell>
          <cell r="U72" t="str">
            <v>x</v>
          </cell>
          <cell r="V72">
            <v>0</v>
          </cell>
          <cell r="W72" t="str">
            <v>x</v>
          </cell>
          <cell r="X72" t="str">
            <v>x</v>
          </cell>
          <cell r="Y72">
            <v>0</v>
          </cell>
          <cell r="Z72">
            <v>0</v>
          </cell>
          <cell r="AA72" t="str">
            <v>x</v>
          </cell>
          <cell r="AB72">
            <v>0</v>
          </cell>
          <cell r="AC72" t="str">
            <v>x</v>
          </cell>
          <cell r="AD72" t="str">
            <v>x</v>
          </cell>
          <cell r="AE72">
            <v>0</v>
          </cell>
          <cell r="AF72" t="str">
            <v>x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93</v>
          </cell>
          <cell r="AL72" t="str">
            <v>G</v>
          </cell>
          <cell r="AM72" t="str">
            <v>5-7</v>
          </cell>
          <cell r="BF72" t="str">
            <v>x</v>
          </cell>
          <cell r="BW72">
            <v>285</v>
          </cell>
          <cell r="BX72">
            <v>62</v>
          </cell>
          <cell r="BY72">
            <v>71</v>
          </cell>
          <cell r="BZ72" t="str">
            <v>V</v>
          </cell>
          <cell r="CA72">
            <v>30</v>
          </cell>
          <cell r="CB72">
            <v>55</v>
          </cell>
          <cell r="CC72">
            <v>28</v>
          </cell>
          <cell r="CD72">
            <v>375</v>
          </cell>
          <cell r="CE72">
            <v>34</v>
          </cell>
          <cell r="CF72">
            <v>34</v>
          </cell>
          <cell r="CG72">
            <v>209</v>
          </cell>
          <cell r="CH72">
            <v>95</v>
          </cell>
          <cell r="CI72">
            <v>584</v>
          </cell>
          <cell r="CJ72">
            <v>420</v>
          </cell>
          <cell r="CK72">
            <v>164</v>
          </cell>
          <cell r="CL72">
            <v>0</v>
          </cell>
          <cell r="CM72">
            <v>0</v>
          </cell>
          <cell r="CN72">
            <v>0</v>
          </cell>
          <cell r="CO72">
            <v>0</v>
          </cell>
          <cell r="CP72">
            <v>0</v>
          </cell>
          <cell r="CQ72">
            <v>0</v>
          </cell>
          <cell r="CR72">
            <v>0</v>
          </cell>
          <cell r="CS72">
            <v>0</v>
          </cell>
          <cell r="CT72">
            <v>0</v>
          </cell>
          <cell r="CU72">
            <v>0</v>
          </cell>
          <cell r="CV72">
            <v>0</v>
          </cell>
          <cell r="CW72">
            <v>0</v>
          </cell>
          <cell r="CX72">
            <v>0</v>
          </cell>
          <cell r="CY72">
            <v>0</v>
          </cell>
          <cell r="CZ72">
            <v>0</v>
          </cell>
          <cell r="DA72">
            <v>0</v>
          </cell>
          <cell r="DB72">
            <v>0</v>
          </cell>
          <cell r="DC72">
            <v>0</v>
          </cell>
          <cell r="DD72">
            <v>0</v>
          </cell>
          <cell r="DE72">
            <v>0</v>
          </cell>
          <cell r="DF72">
            <v>0</v>
          </cell>
          <cell r="DG72">
            <v>114</v>
          </cell>
          <cell r="DH72">
            <v>0</v>
          </cell>
          <cell r="DI72">
            <v>17</v>
          </cell>
          <cell r="DJ72">
            <v>114</v>
          </cell>
          <cell r="DK72" t="str">
            <v>V</v>
          </cell>
          <cell r="DL72">
            <v>0</v>
          </cell>
          <cell r="DM72">
            <v>278</v>
          </cell>
          <cell r="DN72">
            <v>0</v>
          </cell>
          <cell r="DO72">
            <v>0</v>
          </cell>
          <cell r="DP72">
            <v>0</v>
          </cell>
          <cell r="DQ72">
            <v>0</v>
          </cell>
          <cell r="DR72">
            <v>0</v>
          </cell>
          <cell r="DS72">
            <v>0</v>
          </cell>
          <cell r="DT72">
            <v>0</v>
          </cell>
        </row>
        <row r="73">
          <cell r="B73" t="str">
            <v>TS 93 G GSR-EMR 2 /BG EN 5-7 Gangfl.</v>
          </cell>
          <cell r="D73">
            <v>0</v>
          </cell>
          <cell r="E73" t="str">
            <v>x</v>
          </cell>
          <cell r="F73" t="str">
            <v>x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 t="str">
            <v>x</v>
          </cell>
          <cell r="M73" t="str">
            <v>x</v>
          </cell>
          <cell r="N73" t="str">
            <v>x</v>
          </cell>
          <cell r="O73">
            <v>0</v>
          </cell>
          <cell r="P73" t="str">
            <v>x</v>
          </cell>
          <cell r="Q73">
            <v>0</v>
          </cell>
          <cell r="R73" t="str">
            <v>x</v>
          </cell>
          <cell r="S73">
            <v>0</v>
          </cell>
          <cell r="T73">
            <v>0</v>
          </cell>
          <cell r="U73" t="str">
            <v>x</v>
          </cell>
          <cell r="V73">
            <v>0</v>
          </cell>
          <cell r="W73" t="str">
            <v>x</v>
          </cell>
          <cell r="X73" t="str">
            <v>x</v>
          </cell>
          <cell r="Y73">
            <v>0</v>
          </cell>
          <cell r="Z73">
            <v>0</v>
          </cell>
          <cell r="AA73" t="str">
            <v>x</v>
          </cell>
          <cell r="AB73">
            <v>0</v>
          </cell>
          <cell r="AC73" t="str">
            <v>x</v>
          </cell>
          <cell r="AD73" t="str">
            <v>x</v>
          </cell>
          <cell r="AE73">
            <v>0</v>
          </cell>
          <cell r="AF73" t="str">
            <v>x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93</v>
          </cell>
          <cell r="AL73" t="str">
            <v>G</v>
          </cell>
          <cell r="AM73" t="str">
            <v>5-7</v>
          </cell>
          <cell r="BG73" t="str">
            <v>x</v>
          </cell>
          <cell r="BW73">
            <v>285</v>
          </cell>
          <cell r="BX73">
            <v>62</v>
          </cell>
          <cell r="BY73">
            <v>71</v>
          </cell>
          <cell r="BZ73" t="str">
            <v>V</v>
          </cell>
          <cell r="CA73">
            <v>30</v>
          </cell>
          <cell r="CB73">
            <v>55</v>
          </cell>
          <cell r="CC73">
            <v>28</v>
          </cell>
          <cell r="CD73">
            <v>375</v>
          </cell>
          <cell r="CE73">
            <v>34</v>
          </cell>
          <cell r="CF73">
            <v>34</v>
          </cell>
          <cell r="CG73">
            <v>209</v>
          </cell>
          <cell r="CH73">
            <v>95</v>
          </cell>
          <cell r="CI73">
            <v>584</v>
          </cell>
          <cell r="CJ73">
            <v>420</v>
          </cell>
          <cell r="CK73">
            <v>164</v>
          </cell>
          <cell r="CL73">
            <v>0</v>
          </cell>
          <cell r="CM73">
            <v>0</v>
          </cell>
          <cell r="CN73">
            <v>0</v>
          </cell>
          <cell r="CO73">
            <v>0</v>
          </cell>
          <cell r="CP73">
            <v>0</v>
          </cell>
          <cell r="CQ73">
            <v>0</v>
          </cell>
          <cell r="CR73">
            <v>0</v>
          </cell>
          <cell r="CS73">
            <v>0</v>
          </cell>
          <cell r="CT73">
            <v>0</v>
          </cell>
          <cell r="CU73">
            <v>0</v>
          </cell>
          <cell r="CV73">
            <v>0</v>
          </cell>
          <cell r="CW73">
            <v>0</v>
          </cell>
          <cell r="CX73">
            <v>0</v>
          </cell>
          <cell r="CY73">
            <v>0</v>
          </cell>
          <cell r="CZ73">
            <v>0</v>
          </cell>
          <cell r="DA73">
            <v>0</v>
          </cell>
          <cell r="DB73">
            <v>0</v>
          </cell>
          <cell r="DC73">
            <v>0</v>
          </cell>
          <cell r="DD73">
            <v>0</v>
          </cell>
          <cell r="DE73">
            <v>0</v>
          </cell>
          <cell r="DF73">
            <v>0</v>
          </cell>
          <cell r="DG73">
            <v>114</v>
          </cell>
          <cell r="DH73">
            <v>0</v>
          </cell>
          <cell r="DI73">
            <v>17</v>
          </cell>
          <cell r="DJ73">
            <v>114</v>
          </cell>
          <cell r="DK73" t="str">
            <v>V</v>
          </cell>
          <cell r="DL73">
            <v>0</v>
          </cell>
          <cell r="DM73">
            <v>278</v>
          </cell>
          <cell r="DN73">
            <v>0</v>
          </cell>
          <cell r="DO73">
            <v>0</v>
          </cell>
          <cell r="DP73">
            <v>0</v>
          </cell>
          <cell r="DQ73">
            <v>0</v>
          </cell>
          <cell r="DR73">
            <v>0</v>
          </cell>
          <cell r="DS73">
            <v>0</v>
          </cell>
          <cell r="DT73">
            <v>0</v>
          </cell>
        </row>
        <row r="74">
          <cell r="B74" t="str">
            <v>TS 93 G GSR /BG EN 5-7 Standfl.</v>
          </cell>
          <cell r="E74" t="str">
            <v>x</v>
          </cell>
          <cell r="F74" t="str">
            <v>x</v>
          </cell>
          <cell r="L74" t="str">
            <v>x</v>
          </cell>
          <cell r="M74" t="str">
            <v>x</v>
          </cell>
          <cell r="N74" t="str">
            <v>x</v>
          </cell>
          <cell r="P74" t="str">
            <v>x</v>
          </cell>
          <cell r="R74" t="str">
            <v>x</v>
          </cell>
          <cell r="U74" t="str">
            <v>x</v>
          </cell>
          <cell r="W74" t="str">
            <v>x</v>
          </cell>
          <cell r="X74" t="str">
            <v>x</v>
          </cell>
          <cell r="AA74" t="str">
            <v>x</v>
          </cell>
          <cell r="AF74" t="str">
            <v>x</v>
          </cell>
          <cell r="AK74">
            <v>93</v>
          </cell>
          <cell r="AL74" t="str">
            <v>G</v>
          </cell>
          <cell r="AM74" t="str">
            <v>5-7</v>
          </cell>
          <cell r="AZ74" t="str">
            <v>x</v>
          </cell>
          <cell r="BW74">
            <v>285</v>
          </cell>
          <cell r="BX74">
            <v>62</v>
          </cell>
          <cell r="BY74">
            <v>71</v>
          </cell>
          <cell r="BZ74" t="str">
            <v>V</v>
          </cell>
          <cell r="CA74">
            <v>30</v>
          </cell>
          <cell r="CB74">
            <v>34</v>
          </cell>
          <cell r="CC74">
            <v>17</v>
          </cell>
          <cell r="CD74">
            <v>375</v>
          </cell>
          <cell r="CE74">
            <v>34</v>
          </cell>
          <cell r="CF74">
            <v>34</v>
          </cell>
          <cell r="CG74">
            <v>140</v>
          </cell>
          <cell r="CH74">
            <v>95</v>
          </cell>
          <cell r="CI74">
            <v>515</v>
          </cell>
          <cell r="CJ74">
            <v>464</v>
          </cell>
          <cell r="CK74">
            <v>51</v>
          </cell>
          <cell r="CL74">
            <v>0</v>
          </cell>
          <cell r="CM74">
            <v>0</v>
          </cell>
          <cell r="CN74">
            <v>0</v>
          </cell>
          <cell r="CO74">
            <v>0</v>
          </cell>
          <cell r="CP74">
            <v>0</v>
          </cell>
          <cell r="CQ74">
            <v>0</v>
          </cell>
          <cell r="CR74">
            <v>0</v>
          </cell>
          <cell r="CS74">
            <v>0</v>
          </cell>
          <cell r="CT74">
            <v>0</v>
          </cell>
          <cell r="CU74">
            <v>0</v>
          </cell>
          <cell r="CV74">
            <v>0</v>
          </cell>
          <cell r="CW74">
            <v>0</v>
          </cell>
          <cell r="CX74">
            <v>0</v>
          </cell>
          <cell r="CY74">
            <v>0</v>
          </cell>
          <cell r="CZ74">
            <v>0</v>
          </cell>
          <cell r="DA74">
            <v>0</v>
          </cell>
          <cell r="DB74">
            <v>0</v>
          </cell>
          <cell r="DC74">
            <v>0</v>
          </cell>
          <cell r="DD74">
            <v>0</v>
          </cell>
          <cell r="DE74">
            <v>0</v>
          </cell>
          <cell r="DF74">
            <v>0</v>
          </cell>
          <cell r="DG74">
            <v>45</v>
          </cell>
          <cell r="DH74">
            <v>0</v>
          </cell>
          <cell r="DI74">
            <v>17</v>
          </cell>
          <cell r="DJ74">
            <v>45</v>
          </cell>
          <cell r="DK74" t="str">
            <v>V</v>
          </cell>
          <cell r="DL74">
            <v>0</v>
          </cell>
          <cell r="DM74">
            <v>96</v>
          </cell>
          <cell r="DN74">
            <v>45</v>
          </cell>
          <cell r="DO74">
            <v>0</v>
          </cell>
          <cell r="DP74" t="str">
            <v>V</v>
          </cell>
          <cell r="DQ74">
            <v>45</v>
          </cell>
          <cell r="DR74" t="str">
            <v>V</v>
          </cell>
          <cell r="DS74">
            <v>34</v>
          </cell>
          <cell r="DT74">
            <v>96</v>
          </cell>
        </row>
        <row r="75">
          <cell r="B75" t="str">
            <v>TS 93 G GSR RF /BG EN 5-7 Standfl.</v>
          </cell>
          <cell r="C75">
            <v>0</v>
          </cell>
          <cell r="E75" t="str">
            <v>x</v>
          </cell>
          <cell r="F75" t="str">
            <v>x</v>
          </cell>
          <cell r="L75" t="str">
            <v>x</v>
          </cell>
          <cell r="M75" t="str">
            <v>x</v>
          </cell>
          <cell r="N75" t="str">
            <v>x</v>
          </cell>
          <cell r="P75" t="str">
            <v>x</v>
          </cell>
          <cell r="R75" t="str">
            <v>x</v>
          </cell>
          <cell r="U75" t="str">
            <v>x</v>
          </cell>
          <cell r="W75" t="str">
            <v>x</v>
          </cell>
          <cell r="X75" t="str">
            <v>x</v>
          </cell>
          <cell r="AA75" t="str">
            <v>x</v>
          </cell>
          <cell r="AB75" t="str">
            <v>x</v>
          </cell>
          <cell r="AF75" t="str">
            <v>x</v>
          </cell>
          <cell r="AK75">
            <v>93</v>
          </cell>
          <cell r="AL75" t="str">
            <v>G</v>
          </cell>
          <cell r="AM75" t="str">
            <v>5-7</v>
          </cell>
          <cell r="BA75" t="str">
            <v>x</v>
          </cell>
          <cell r="BW75">
            <v>285</v>
          </cell>
          <cell r="BX75">
            <v>62</v>
          </cell>
          <cell r="BY75">
            <v>71</v>
          </cell>
          <cell r="BZ75" t="str">
            <v>V</v>
          </cell>
          <cell r="CA75">
            <v>30</v>
          </cell>
          <cell r="CB75">
            <v>34</v>
          </cell>
          <cell r="CC75">
            <v>17</v>
          </cell>
          <cell r="CD75">
            <v>375</v>
          </cell>
          <cell r="CE75">
            <v>34</v>
          </cell>
          <cell r="CF75">
            <v>34</v>
          </cell>
          <cell r="CG75">
            <v>140</v>
          </cell>
          <cell r="CH75">
            <v>95</v>
          </cell>
          <cell r="CI75">
            <v>515</v>
          </cell>
          <cell r="CJ75">
            <v>464</v>
          </cell>
          <cell r="CK75">
            <v>51</v>
          </cell>
          <cell r="CL75">
            <v>0</v>
          </cell>
          <cell r="CM75">
            <v>0</v>
          </cell>
          <cell r="CN75">
            <v>0</v>
          </cell>
          <cell r="CO75">
            <v>0</v>
          </cell>
          <cell r="CP75">
            <v>0</v>
          </cell>
          <cell r="CQ75">
            <v>0</v>
          </cell>
          <cell r="CR75">
            <v>0</v>
          </cell>
          <cell r="CS75">
            <v>0</v>
          </cell>
          <cell r="CT75">
            <v>0</v>
          </cell>
          <cell r="CU75">
            <v>0</v>
          </cell>
          <cell r="CV75">
            <v>0</v>
          </cell>
          <cell r="CW75">
            <v>0</v>
          </cell>
          <cell r="CX75">
            <v>0</v>
          </cell>
          <cell r="CY75">
            <v>0</v>
          </cell>
          <cell r="CZ75">
            <v>0</v>
          </cell>
          <cell r="DA75">
            <v>0</v>
          </cell>
          <cell r="DB75">
            <v>0</v>
          </cell>
          <cell r="DC75">
            <v>0</v>
          </cell>
          <cell r="DD75">
            <v>0</v>
          </cell>
          <cell r="DE75">
            <v>0</v>
          </cell>
          <cell r="DF75">
            <v>0</v>
          </cell>
          <cell r="DG75">
            <v>45</v>
          </cell>
          <cell r="DH75">
            <v>0</v>
          </cell>
          <cell r="DI75">
            <v>17</v>
          </cell>
          <cell r="DJ75">
            <v>45</v>
          </cell>
          <cell r="DK75" t="str">
            <v>V</v>
          </cell>
          <cell r="DL75">
            <v>0</v>
          </cell>
          <cell r="DM75">
            <v>96</v>
          </cell>
          <cell r="DN75">
            <v>45</v>
          </cell>
          <cell r="DO75">
            <v>0</v>
          </cell>
          <cell r="DP75" t="str">
            <v>V</v>
          </cell>
          <cell r="DQ75">
            <v>45</v>
          </cell>
          <cell r="DR75" t="str">
            <v>V</v>
          </cell>
          <cell r="DS75">
            <v>34</v>
          </cell>
          <cell r="DT75">
            <v>96</v>
          </cell>
        </row>
        <row r="76">
          <cell r="B76" t="str">
            <v>TS 93 G GSR-EMF 1 /BG EN 5-7 Standfl.</v>
          </cell>
          <cell r="C76">
            <v>0</v>
          </cell>
          <cell r="E76" t="str">
            <v>x</v>
          </cell>
          <cell r="F76" t="str">
            <v>x</v>
          </cell>
          <cell r="L76" t="str">
            <v>x</v>
          </cell>
          <cell r="M76" t="str">
            <v>x</v>
          </cell>
          <cell r="N76" t="str">
            <v>x</v>
          </cell>
          <cell r="P76" t="str">
            <v>x</v>
          </cell>
          <cell r="R76" t="str">
            <v>x</v>
          </cell>
          <cell r="U76" t="str">
            <v>x</v>
          </cell>
          <cell r="W76" t="str">
            <v>x</v>
          </cell>
          <cell r="X76" t="str">
            <v>x</v>
          </cell>
          <cell r="AA76" t="str">
            <v>x</v>
          </cell>
          <cell r="AC76" t="str">
            <v>x</v>
          </cell>
          <cell r="AE76" t="str">
            <v>x</v>
          </cell>
          <cell r="AF76" t="str">
            <v>x</v>
          </cell>
          <cell r="AK76">
            <v>93</v>
          </cell>
          <cell r="AL76" t="str">
            <v>G</v>
          </cell>
          <cell r="AM76" t="str">
            <v>5-7</v>
          </cell>
          <cell r="BB76" t="str">
            <v>x</v>
          </cell>
          <cell r="BW76">
            <v>285</v>
          </cell>
          <cell r="BX76">
            <v>62</v>
          </cell>
          <cell r="BY76">
            <v>71</v>
          </cell>
          <cell r="BZ76" t="str">
            <v>V</v>
          </cell>
          <cell r="CA76">
            <v>30</v>
          </cell>
          <cell r="CB76">
            <v>55</v>
          </cell>
          <cell r="CC76">
            <v>28</v>
          </cell>
          <cell r="CD76">
            <v>375</v>
          </cell>
          <cell r="CE76">
            <v>34</v>
          </cell>
          <cell r="CF76">
            <v>34</v>
          </cell>
          <cell r="CG76">
            <v>140</v>
          </cell>
          <cell r="CH76">
            <v>95</v>
          </cell>
          <cell r="CI76">
            <v>515</v>
          </cell>
          <cell r="CJ76">
            <v>351</v>
          </cell>
          <cell r="CK76">
            <v>164</v>
          </cell>
          <cell r="CL76">
            <v>0</v>
          </cell>
          <cell r="CM76">
            <v>0</v>
          </cell>
          <cell r="CN76">
            <v>0</v>
          </cell>
          <cell r="CO76">
            <v>0</v>
          </cell>
          <cell r="CP76">
            <v>0</v>
          </cell>
          <cell r="CQ76">
            <v>0</v>
          </cell>
          <cell r="CR76">
            <v>0</v>
          </cell>
          <cell r="CS76">
            <v>0</v>
          </cell>
          <cell r="CT76">
            <v>0</v>
          </cell>
          <cell r="CU76">
            <v>0</v>
          </cell>
          <cell r="CV76">
            <v>0</v>
          </cell>
          <cell r="CW76">
            <v>0</v>
          </cell>
          <cell r="CX76">
            <v>0</v>
          </cell>
          <cell r="CY76">
            <v>0</v>
          </cell>
          <cell r="CZ76">
            <v>0</v>
          </cell>
          <cell r="DA76">
            <v>0</v>
          </cell>
          <cell r="DB76">
            <v>0</v>
          </cell>
          <cell r="DC76">
            <v>0</v>
          </cell>
          <cell r="DD76">
            <v>0</v>
          </cell>
          <cell r="DE76">
            <v>0</v>
          </cell>
          <cell r="DF76">
            <v>0</v>
          </cell>
          <cell r="DG76">
            <v>45</v>
          </cell>
          <cell r="DH76">
            <v>0</v>
          </cell>
          <cell r="DI76">
            <v>17</v>
          </cell>
          <cell r="DJ76">
            <v>45</v>
          </cell>
          <cell r="DK76" t="str">
            <v>V</v>
          </cell>
          <cell r="DL76">
            <v>0</v>
          </cell>
          <cell r="DM76">
            <v>209</v>
          </cell>
          <cell r="DN76">
            <v>0</v>
          </cell>
          <cell r="DO76">
            <v>0</v>
          </cell>
          <cell r="DP76">
            <v>0</v>
          </cell>
          <cell r="DQ76">
            <v>0</v>
          </cell>
          <cell r="DR76">
            <v>0</v>
          </cell>
          <cell r="DS76">
            <v>0</v>
          </cell>
          <cell r="DT76">
            <v>0</v>
          </cell>
        </row>
        <row r="77">
          <cell r="B77" t="str">
            <v>TS 93 G GSR-EMF 1G /BG EN 5-7 Standfl.</v>
          </cell>
          <cell r="C77">
            <v>0</v>
          </cell>
          <cell r="E77" t="str">
            <v>x</v>
          </cell>
          <cell r="F77" t="str">
            <v>x</v>
          </cell>
          <cell r="L77" t="str">
            <v>x</v>
          </cell>
          <cell r="M77" t="str">
            <v>x</v>
          </cell>
          <cell r="N77" t="str">
            <v>x</v>
          </cell>
          <cell r="P77" t="str">
            <v>x</v>
          </cell>
          <cell r="R77" t="str">
            <v>x</v>
          </cell>
          <cell r="U77" t="str">
            <v>x</v>
          </cell>
          <cell r="W77" t="str">
            <v>x</v>
          </cell>
          <cell r="X77" t="str">
            <v>x</v>
          </cell>
          <cell r="AA77" t="str">
            <v>x</v>
          </cell>
          <cell r="AC77" t="str">
            <v>x</v>
          </cell>
          <cell r="AE77" t="str">
            <v>x</v>
          </cell>
          <cell r="AF77" t="str">
            <v>x</v>
          </cell>
          <cell r="AK77">
            <v>93</v>
          </cell>
          <cell r="AL77" t="str">
            <v>G</v>
          </cell>
          <cell r="AM77" t="str">
            <v>5-7</v>
          </cell>
          <cell r="BC77" t="str">
            <v>x</v>
          </cell>
          <cell r="BW77">
            <v>285</v>
          </cell>
          <cell r="BX77">
            <v>62</v>
          </cell>
          <cell r="BY77">
            <v>71</v>
          </cell>
          <cell r="BZ77" t="str">
            <v>V</v>
          </cell>
          <cell r="CA77">
            <v>30</v>
          </cell>
          <cell r="CB77">
            <v>55</v>
          </cell>
          <cell r="CC77">
            <v>28</v>
          </cell>
          <cell r="CD77">
            <v>375</v>
          </cell>
          <cell r="CE77">
            <v>34</v>
          </cell>
          <cell r="CF77">
            <v>34</v>
          </cell>
          <cell r="CG77">
            <v>140</v>
          </cell>
          <cell r="CH77">
            <v>95</v>
          </cell>
          <cell r="CI77">
            <v>515</v>
          </cell>
          <cell r="CJ77">
            <v>351</v>
          </cell>
          <cell r="CK77">
            <v>164</v>
          </cell>
          <cell r="CL77">
            <v>0</v>
          </cell>
          <cell r="CM77">
            <v>0</v>
          </cell>
          <cell r="CN77">
            <v>0</v>
          </cell>
          <cell r="CO77">
            <v>0</v>
          </cell>
          <cell r="CP77">
            <v>0</v>
          </cell>
          <cell r="CQ77">
            <v>0</v>
          </cell>
          <cell r="CR77">
            <v>0</v>
          </cell>
          <cell r="CS77">
            <v>0</v>
          </cell>
          <cell r="CT77">
            <v>0</v>
          </cell>
          <cell r="CU77">
            <v>0</v>
          </cell>
          <cell r="CV77">
            <v>0</v>
          </cell>
          <cell r="CW77">
            <v>0</v>
          </cell>
          <cell r="CX77">
            <v>0</v>
          </cell>
          <cell r="CY77">
            <v>0</v>
          </cell>
          <cell r="CZ77">
            <v>0</v>
          </cell>
          <cell r="DA77">
            <v>0</v>
          </cell>
          <cell r="DB77">
            <v>0</v>
          </cell>
          <cell r="DC77">
            <v>0</v>
          </cell>
          <cell r="DD77">
            <v>0</v>
          </cell>
          <cell r="DE77">
            <v>0</v>
          </cell>
          <cell r="DF77">
            <v>0</v>
          </cell>
          <cell r="DG77">
            <v>45</v>
          </cell>
          <cell r="DH77">
            <v>0</v>
          </cell>
          <cell r="DI77">
            <v>17</v>
          </cell>
          <cell r="DJ77">
            <v>45</v>
          </cell>
          <cell r="DK77" t="str">
            <v>V</v>
          </cell>
          <cell r="DL77">
            <v>0</v>
          </cell>
          <cell r="DM77">
            <v>209</v>
          </cell>
          <cell r="DN77">
            <v>0</v>
          </cell>
          <cell r="DO77">
            <v>0</v>
          </cell>
          <cell r="DP77">
            <v>0</v>
          </cell>
          <cell r="DQ77">
            <v>0</v>
          </cell>
          <cell r="DR77">
            <v>0</v>
          </cell>
          <cell r="DS77">
            <v>0</v>
          </cell>
          <cell r="DT77">
            <v>0</v>
          </cell>
        </row>
        <row r="78">
          <cell r="B78" t="str">
            <v>TS 93 G GSR-EMF 2 /BG EN 5-7 Standfl.</v>
          </cell>
          <cell r="C78">
            <v>0</v>
          </cell>
          <cell r="E78" t="str">
            <v>x</v>
          </cell>
          <cell r="F78" t="str">
            <v>x</v>
          </cell>
          <cell r="L78" t="str">
            <v>x</v>
          </cell>
          <cell r="M78" t="str">
            <v>x</v>
          </cell>
          <cell r="N78" t="str">
            <v>x</v>
          </cell>
          <cell r="P78" t="str">
            <v>x</v>
          </cell>
          <cell r="R78" t="str">
            <v>x</v>
          </cell>
          <cell r="U78" t="str">
            <v>x</v>
          </cell>
          <cell r="W78" t="str">
            <v>x</v>
          </cell>
          <cell r="X78" t="str">
            <v>x</v>
          </cell>
          <cell r="AA78" t="str">
            <v>x</v>
          </cell>
          <cell r="AC78" t="str">
            <v>x</v>
          </cell>
          <cell r="AE78" t="str">
            <v>x</v>
          </cell>
          <cell r="AF78" t="str">
            <v>x</v>
          </cell>
          <cell r="AK78">
            <v>93</v>
          </cell>
          <cell r="AL78" t="str">
            <v>G</v>
          </cell>
          <cell r="AM78" t="str">
            <v>5-7</v>
          </cell>
          <cell r="BD78" t="str">
            <v>x</v>
          </cell>
          <cell r="BW78">
            <v>285</v>
          </cell>
          <cell r="BX78">
            <v>62</v>
          </cell>
          <cell r="BY78">
            <v>71</v>
          </cell>
          <cell r="BZ78" t="str">
            <v>V</v>
          </cell>
          <cell r="CA78">
            <v>30</v>
          </cell>
          <cell r="CB78">
            <v>55</v>
          </cell>
          <cell r="CC78">
            <v>28</v>
          </cell>
          <cell r="CD78">
            <v>375</v>
          </cell>
          <cell r="CE78">
            <v>34</v>
          </cell>
          <cell r="CF78">
            <v>34</v>
          </cell>
          <cell r="CG78">
            <v>140</v>
          </cell>
          <cell r="CH78">
            <v>95</v>
          </cell>
          <cell r="CI78">
            <v>515</v>
          </cell>
          <cell r="CJ78">
            <v>351</v>
          </cell>
          <cell r="CK78">
            <v>164</v>
          </cell>
          <cell r="CL78">
            <v>0</v>
          </cell>
          <cell r="CM78">
            <v>0</v>
          </cell>
          <cell r="CN78">
            <v>0</v>
          </cell>
          <cell r="CO78">
            <v>0</v>
          </cell>
          <cell r="CP78">
            <v>0</v>
          </cell>
          <cell r="CQ78">
            <v>0</v>
          </cell>
          <cell r="CR78">
            <v>0</v>
          </cell>
          <cell r="CS78">
            <v>0</v>
          </cell>
          <cell r="CT78">
            <v>0</v>
          </cell>
          <cell r="CU78">
            <v>0</v>
          </cell>
          <cell r="CV78">
            <v>0</v>
          </cell>
          <cell r="CW78">
            <v>0</v>
          </cell>
          <cell r="CX78">
            <v>0</v>
          </cell>
          <cell r="CY78">
            <v>0</v>
          </cell>
          <cell r="CZ78">
            <v>0</v>
          </cell>
          <cell r="DA78">
            <v>0</v>
          </cell>
          <cell r="DB78">
            <v>0</v>
          </cell>
          <cell r="DC78">
            <v>0</v>
          </cell>
          <cell r="DD78">
            <v>0</v>
          </cell>
          <cell r="DE78">
            <v>0</v>
          </cell>
          <cell r="DF78">
            <v>0</v>
          </cell>
          <cell r="DG78">
            <v>45</v>
          </cell>
          <cell r="DH78">
            <v>0</v>
          </cell>
          <cell r="DI78">
            <v>17</v>
          </cell>
          <cell r="DJ78">
            <v>45</v>
          </cell>
          <cell r="DK78" t="str">
            <v>V</v>
          </cell>
          <cell r="DL78">
            <v>0</v>
          </cell>
          <cell r="DM78">
            <v>209</v>
          </cell>
          <cell r="DN78">
            <v>0</v>
          </cell>
          <cell r="DO78">
            <v>0</v>
          </cell>
          <cell r="DP78">
            <v>0</v>
          </cell>
          <cell r="DQ78">
            <v>0</v>
          </cell>
          <cell r="DR78">
            <v>0</v>
          </cell>
          <cell r="DS78">
            <v>0</v>
          </cell>
          <cell r="DT78">
            <v>0</v>
          </cell>
        </row>
        <row r="79">
          <cell r="B79" t="str">
            <v>TS 93 G GSR-EMR 1 /BG EN 5-7 Standfl.</v>
          </cell>
          <cell r="C79">
            <v>0</v>
          </cell>
          <cell r="E79" t="str">
            <v>x</v>
          </cell>
          <cell r="F79" t="str">
            <v>x</v>
          </cell>
          <cell r="L79" t="str">
            <v>x</v>
          </cell>
          <cell r="M79" t="str">
            <v>x</v>
          </cell>
          <cell r="N79" t="str">
            <v>x</v>
          </cell>
          <cell r="P79" t="str">
            <v>x</v>
          </cell>
          <cell r="R79" t="str">
            <v>x</v>
          </cell>
          <cell r="U79" t="str">
            <v>x</v>
          </cell>
          <cell r="W79" t="str">
            <v>x</v>
          </cell>
          <cell r="X79" t="str">
            <v>x</v>
          </cell>
          <cell r="AA79" t="str">
            <v>x</v>
          </cell>
          <cell r="AC79" t="str">
            <v>x</v>
          </cell>
          <cell r="AD79" t="str">
            <v>x</v>
          </cell>
          <cell r="AF79" t="str">
            <v>x</v>
          </cell>
          <cell r="AK79">
            <v>93</v>
          </cell>
          <cell r="AL79" t="str">
            <v>G</v>
          </cell>
          <cell r="AM79" t="str">
            <v>5-7</v>
          </cell>
          <cell r="BE79" t="str">
            <v>x</v>
          </cell>
          <cell r="BW79">
            <v>285</v>
          </cell>
          <cell r="BX79">
            <v>62</v>
          </cell>
          <cell r="BY79">
            <v>71</v>
          </cell>
          <cell r="BZ79" t="str">
            <v>V</v>
          </cell>
          <cell r="CA79">
            <v>30</v>
          </cell>
          <cell r="CB79">
            <v>55</v>
          </cell>
          <cell r="CC79">
            <v>28</v>
          </cell>
          <cell r="CD79">
            <v>375</v>
          </cell>
          <cell r="CE79">
            <v>34</v>
          </cell>
          <cell r="CF79">
            <v>34</v>
          </cell>
          <cell r="CG79">
            <v>140</v>
          </cell>
          <cell r="CH79">
            <v>95</v>
          </cell>
          <cell r="CI79">
            <v>515</v>
          </cell>
          <cell r="CJ79">
            <v>351</v>
          </cell>
          <cell r="CK79">
            <v>164</v>
          </cell>
          <cell r="CL79">
            <v>0</v>
          </cell>
          <cell r="CM79">
            <v>0</v>
          </cell>
          <cell r="CN79">
            <v>0</v>
          </cell>
          <cell r="CO79">
            <v>0</v>
          </cell>
          <cell r="CP79">
            <v>0</v>
          </cell>
          <cell r="CQ79">
            <v>0</v>
          </cell>
          <cell r="CR79">
            <v>0</v>
          </cell>
          <cell r="CS79">
            <v>0</v>
          </cell>
          <cell r="CT79">
            <v>0</v>
          </cell>
          <cell r="CU79">
            <v>0</v>
          </cell>
          <cell r="CV79">
            <v>0</v>
          </cell>
          <cell r="CW79">
            <v>0</v>
          </cell>
          <cell r="CX79">
            <v>0</v>
          </cell>
          <cell r="CY79">
            <v>0</v>
          </cell>
          <cell r="CZ79">
            <v>0</v>
          </cell>
          <cell r="DA79">
            <v>0</v>
          </cell>
          <cell r="DB79">
            <v>0</v>
          </cell>
          <cell r="DC79">
            <v>0</v>
          </cell>
          <cell r="DD79">
            <v>0</v>
          </cell>
          <cell r="DE79">
            <v>0</v>
          </cell>
          <cell r="DF79">
            <v>0</v>
          </cell>
          <cell r="DG79">
            <v>45</v>
          </cell>
          <cell r="DH79">
            <v>0</v>
          </cell>
          <cell r="DI79">
            <v>17</v>
          </cell>
          <cell r="DJ79">
            <v>45</v>
          </cell>
          <cell r="DK79" t="str">
            <v>V</v>
          </cell>
          <cell r="DL79">
            <v>0</v>
          </cell>
          <cell r="DM79">
            <v>209</v>
          </cell>
          <cell r="DN79">
            <v>0</v>
          </cell>
          <cell r="DO79">
            <v>0</v>
          </cell>
          <cell r="DP79">
            <v>0</v>
          </cell>
          <cell r="DQ79">
            <v>0</v>
          </cell>
          <cell r="DR79">
            <v>0</v>
          </cell>
          <cell r="DS79">
            <v>0</v>
          </cell>
          <cell r="DT79">
            <v>0</v>
          </cell>
        </row>
        <row r="80">
          <cell r="B80" t="str">
            <v>TS 93 G GSR-EMR 1G /BG EN 5-7 Standfl.</v>
          </cell>
          <cell r="C80">
            <v>0</v>
          </cell>
          <cell r="E80" t="str">
            <v>x</v>
          </cell>
          <cell r="F80" t="str">
            <v>x</v>
          </cell>
          <cell r="L80" t="str">
            <v>x</v>
          </cell>
          <cell r="M80" t="str">
            <v>x</v>
          </cell>
          <cell r="N80" t="str">
            <v>x</v>
          </cell>
          <cell r="P80" t="str">
            <v>x</v>
          </cell>
          <cell r="R80" t="str">
            <v>x</v>
          </cell>
          <cell r="U80" t="str">
            <v>x</v>
          </cell>
          <cell r="W80" t="str">
            <v>x</v>
          </cell>
          <cell r="X80" t="str">
            <v>x</v>
          </cell>
          <cell r="AA80" t="str">
            <v>x</v>
          </cell>
          <cell r="AC80" t="str">
            <v>x</v>
          </cell>
          <cell r="AD80" t="str">
            <v>x</v>
          </cell>
          <cell r="AF80" t="str">
            <v>x</v>
          </cell>
          <cell r="AK80">
            <v>93</v>
          </cell>
          <cell r="AL80" t="str">
            <v>G</v>
          </cell>
          <cell r="AM80" t="str">
            <v>5-7</v>
          </cell>
          <cell r="BF80" t="str">
            <v>x</v>
          </cell>
          <cell r="BW80">
            <v>285</v>
          </cell>
          <cell r="BX80">
            <v>62</v>
          </cell>
          <cell r="BY80">
            <v>71</v>
          </cell>
          <cell r="BZ80" t="str">
            <v>V</v>
          </cell>
          <cell r="CA80">
            <v>30</v>
          </cell>
          <cell r="CB80">
            <v>55</v>
          </cell>
          <cell r="CC80">
            <v>28</v>
          </cell>
          <cell r="CD80">
            <v>375</v>
          </cell>
          <cell r="CE80">
            <v>34</v>
          </cell>
          <cell r="CF80">
            <v>34</v>
          </cell>
          <cell r="CG80">
            <v>140</v>
          </cell>
          <cell r="CH80">
            <v>95</v>
          </cell>
          <cell r="CI80">
            <v>515</v>
          </cell>
          <cell r="CJ80">
            <v>351</v>
          </cell>
          <cell r="CK80">
            <v>164</v>
          </cell>
          <cell r="CL80">
            <v>0</v>
          </cell>
          <cell r="CM80">
            <v>0</v>
          </cell>
          <cell r="CN80">
            <v>0</v>
          </cell>
          <cell r="CO80">
            <v>0</v>
          </cell>
          <cell r="CP80">
            <v>0</v>
          </cell>
          <cell r="CQ80">
            <v>0</v>
          </cell>
          <cell r="CR80">
            <v>0</v>
          </cell>
          <cell r="CS80">
            <v>0</v>
          </cell>
          <cell r="CT80">
            <v>0</v>
          </cell>
          <cell r="CU80">
            <v>0</v>
          </cell>
          <cell r="CV80">
            <v>0</v>
          </cell>
          <cell r="CW80">
            <v>0</v>
          </cell>
          <cell r="CX80">
            <v>0</v>
          </cell>
          <cell r="CY80">
            <v>0</v>
          </cell>
          <cell r="CZ80">
            <v>0</v>
          </cell>
          <cell r="DA80">
            <v>0</v>
          </cell>
          <cell r="DB80">
            <v>0</v>
          </cell>
          <cell r="DC80">
            <v>0</v>
          </cell>
          <cell r="DD80">
            <v>0</v>
          </cell>
          <cell r="DE80">
            <v>0</v>
          </cell>
          <cell r="DF80">
            <v>0</v>
          </cell>
          <cell r="DG80">
            <v>45</v>
          </cell>
          <cell r="DH80">
            <v>0</v>
          </cell>
          <cell r="DI80">
            <v>17</v>
          </cell>
          <cell r="DJ80">
            <v>45</v>
          </cell>
          <cell r="DK80" t="str">
            <v>V</v>
          </cell>
          <cell r="DL80">
            <v>0</v>
          </cell>
          <cell r="DM80">
            <v>209</v>
          </cell>
          <cell r="DN80">
            <v>0</v>
          </cell>
          <cell r="DO80">
            <v>0</v>
          </cell>
          <cell r="DP80">
            <v>0</v>
          </cell>
          <cell r="DQ80">
            <v>0</v>
          </cell>
          <cell r="DR80">
            <v>0</v>
          </cell>
          <cell r="DS80">
            <v>0</v>
          </cell>
          <cell r="DT80">
            <v>0</v>
          </cell>
        </row>
        <row r="81">
          <cell r="B81" t="str">
            <v>TS 93 G GSR-EMR 2 /BG EN 5-7 Standfl.</v>
          </cell>
          <cell r="C81">
            <v>0</v>
          </cell>
          <cell r="E81" t="str">
            <v>x</v>
          </cell>
          <cell r="F81" t="str">
            <v>x</v>
          </cell>
          <cell r="L81" t="str">
            <v>x</v>
          </cell>
          <cell r="M81" t="str">
            <v>x</v>
          </cell>
          <cell r="N81" t="str">
            <v>x</v>
          </cell>
          <cell r="P81" t="str">
            <v>x</v>
          </cell>
          <cell r="R81" t="str">
            <v>x</v>
          </cell>
          <cell r="U81" t="str">
            <v>x</v>
          </cell>
          <cell r="W81" t="str">
            <v>x</v>
          </cell>
          <cell r="X81" t="str">
            <v>x</v>
          </cell>
          <cell r="AA81" t="str">
            <v>x</v>
          </cell>
          <cell r="AC81" t="str">
            <v>x</v>
          </cell>
          <cell r="AD81" t="str">
            <v>x</v>
          </cell>
          <cell r="AF81" t="str">
            <v>x</v>
          </cell>
          <cell r="AK81">
            <v>93</v>
          </cell>
          <cell r="AL81" t="str">
            <v>G</v>
          </cell>
          <cell r="AM81" t="str">
            <v>5-7</v>
          </cell>
          <cell r="BG81" t="str">
            <v>x</v>
          </cell>
          <cell r="BW81">
            <v>285</v>
          </cell>
          <cell r="BX81">
            <v>62</v>
          </cell>
          <cell r="BY81">
            <v>71</v>
          </cell>
          <cell r="BZ81" t="str">
            <v>V</v>
          </cell>
          <cell r="CA81">
            <v>30</v>
          </cell>
          <cell r="CB81">
            <v>55</v>
          </cell>
          <cell r="CC81">
            <v>28</v>
          </cell>
          <cell r="CD81">
            <v>375</v>
          </cell>
          <cell r="CE81">
            <v>34</v>
          </cell>
          <cell r="CF81">
            <v>34</v>
          </cell>
          <cell r="CG81">
            <v>140</v>
          </cell>
          <cell r="CH81">
            <v>95</v>
          </cell>
          <cell r="CI81">
            <v>515</v>
          </cell>
          <cell r="CJ81">
            <v>351</v>
          </cell>
          <cell r="CK81">
            <v>164</v>
          </cell>
          <cell r="CL81">
            <v>0</v>
          </cell>
          <cell r="CM81">
            <v>0</v>
          </cell>
          <cell r="CN81">
            <v>0</v>
          </cell>
          <cell r="CO81">
            <v>0</v>
          </cell>
          <cell r="CP81">
            <v>0</v>
          </cell>
          <cell r="CQ81">
            <v>0</v>
          </cell>
          <cell r="CR81">
            <v>0</v>
          </cell>
          <cell r="CS81">
            <v>0</v>
          </cell>
          <cell r="CT81">
            <v>0</v>
          </cell>
          <cell r="CU81">
            <v>0</v>
          </cell>
          <cell r="CV81">
            <v>0</v>
          </cell>
          <cell r="CW81">
            <v>0</v>
          </cell>
          <cell r="CX81">
            <v>0</v>
          </cell>
          <cell r="CY81">
            <v>0</v>
          </cell>
          <cell r="CZ81">
            <v>0</v>
          </cell>
          <cell r="DA81">
            <v>0</v>
          </cell>
          <cell r="DB81">
            <v>0</v>
          </cell>
          <cell r="DC81">
            <v>0</v>
          </cell>
          <cell r="DD81">
            <v>0</v>
          </cell>
          <cell r="DE81">
            <v>0</v>
          </cell>
          <cell r="DF81">
            <v>0</v>
          </cell>
          <cell r="DG81">
            <v>45</v>
          </cell>
          <cell r="DH81">
            <v>0</v>
          </cell>
          <cell r="DI81">
            <v>17</v>
          </cell>
          <cell r="DJ81">
            <v>45</v>
          </cell>
          <cell r="DK81" t="str">
            <v>V</v>
          </cell>
          <cell r="DL81">
            <v>0</v>
          </cell>
          <cell r="DM81">
            <v>209</v>
          </cell>
          <cell r="DN81">
            <v>0</v>
          </cell>
          <cell r="DO81">
            <v>0</v>
          </cell>
          <cell r="DP81">
            <v>0</v>
          </cell>
          <cell r="DQ81">
            <v>0</v>
          </cell>
          <cell r="DR81">
            <v>0</v>
          </cell>
          <cell r="DS81">
            <v>0</v>
          </cell>
          <cell r="DT81">
            <v>0</v>
          </cell>
        </row>
        <row r="82">
          <cell r="B82" t="str">
            <v>TS 97 EN 2-4</v>
          </cell>
          <cell r="D82" t="str">
            <v>x</v>
          </cell>
          <cell r="F82" t="str">
            <v>x</v>
          </cell>
          <cell r="I82" t="str">
            <v>x</v>
          </cell>
          <cell r="J82" t="str">
            <v>x</v>
          </cell>
          <cell r="K82" t="str">
            <v>x</v>
          </cell>
          <cell r="O82" t="str">
            <v>x</v>
          </cell>
          <cell r="R82" t="str">
            <v>x</v>
          </cell>
          <cell r="S82" t="str">
            <v>x</v>
          </cell>
          <cell r="AF82" t="str">
            <v>x</v>
          </cell>
          <cell r="AK82">
            <v>97</v>
          </cell>
          <cell r="AL82" t="str">
            <v>B</v>
          </cell>
          <cell r="AM82" t="str">
            <v>2-4</v>
          </cell>
          <cell r="AV82" t="str">
            <v>x</v>
          </cell>
          <cell r="BW82">
            <v>340</v>
          </cell>
          <cell r="BX82">
            <v>37</v>
          </cell>
          <cell r="BY82">
            <v>49</v>
          </cell>
          <cell r="BZ82">
            <v>340</v>
          </cell>
          <cell r="CA82">
            <v>16</v>
          </cell>
          <cell r="CB82">
            <v>24</v>
          </cell>
          <cell r="CC82">
            <v>12</v>
          </cell>
          <cell r="CD82">
            <v>210</v>
          </cell>
          <cell r="CE82">
            <v>20</v>
          </cell>
          <cell r="CF82">
            <v>20</v>
          </cell>
          <cell r="CG82">
            <v>110</v>
          </cell>
          <cell r="CH82">
            <v>84</v>
          </cell>
          <cell r="CI82">
            <v>320</v>
          </cell>
          <cell r="CJ82">
            <v>277</v>
          </cell>
          <cell r="CK82">
            <v>43</v>
          </cell>
          <cell r="CL82">
            <v>26</v>
          </cell>
          <cell r="CM82">
            <v>0</v>
          </cell>
          <cell r="CN82">
            <v>0</v>
          </cell>
          <cell r="CO82">
            <v>26</v>
          </cell>
          <cell r="CP82" t="str">
            <v>V</v>
          </cell>
          <cell r="CQ82">
            <v>11</v>
          </cell>
          <cell r="CR82">
            <v>69</v>
          </cell>
          <cell r="CS82">
            <v>0</v>
          </cell>
          <cell r="CT82">
            <v>0</v>
          </cell>
          <cell r="CU82">
            <v>0</v>
          </cell>
          <cell r="CV82">
            <v>0</v>
          </cell>
          <cell r="CW82">
            <v>0</v>
          </cell>
          <cell r="CX82">
            <v>0</v>
          </cell>
          <cell r="CY82">
            <v>0</v>
          </cell>
          <cell r="CZ82">
            <v>26</v>
          </cell>
          <cell r="DA82" t="str">
            <v>V</v>
          </cell>
          <cell r="DB82">
            <v>11</v>
          </cell>
          <cell r="DC82">
            <v>26</v>
          </cell>
          <cell r="DD82">
            <v>0</v>
          </cell>
          <cell r="DE82">
            <v>1</v>
          </cell>
          <cell r="DF82">
            <v>69</v>
          </cell>
          <cell r="DG82">
            <v>0</v>
          </cell>
          <cell r="DH82">
            <v>0</v>
          </cell>
          <cell r="DI82">
            <v>0</v>
          </cell>
          <cell r="DJ82">
            <v>0</v>
          </cell>
          <cell r="DK82">
            <v>0</v>
          </cell>
          <cell r="DL82">
            <v>0</v>
          </cell>
          <cell r="DM82">
            <v>0</v>
          </cell>
          <cell r="DN82">
            <v>0</v>
          </cell>
          <cell r="DO82">
            <v>0</v>
          </cell>
          <cell r="DP82">
            <v>0</v>
          </cell>
          <cell r="DQ82">
            <v>0</v>
          </cell>
          <cell r="DR82">
            <v>0</v>
          </cell>
          <cell r="DS82">
            <v>0</v>
          </cell>
          <cell r="DT82">
            <v>0</v>
          </cell>
        </row>
        <row r="83">
          <cell r="B83" t="str">
            <v>TS 97 RF EN 2-4</v>
          </cell>
          <cell r="D83" t="str">
            <v>x</v>
          </cell>
          <cell r="F83" t="str">
            <v>x</v>
          </cell>
          <cell r="I83" t="str">
            <v>x</v>
          </cell>
          <cell r="J83" t="str">
            <v>x</v>
          </cell>
          <cell r="K83" t="str">
            <v>x</v>
          </cell>
          <cell r="O83" t="str">
            <v>x</v>
          </cell>
          <cell r="R83" t="str">
            <v>x</v>
          </cell>
          <cell r="S83" t="str">
            <v>x</v>
          </cell>
          <cell r="AB83" t="str">
            <v>x</v>
          </cell>
          <cell r="AF83" t="str">
            <v>x</v>
          </cell>
          <cell r="AK83">
            <v>97</v>
          </cell>
          <cell r="AL83" t="str">
            <v>B</v>
          </cell>
          <cell r="AM83" t="str">
            <v>2-4</v>
          </cell>
          <cell r="AW83" t="str">
            <v>x</v>
          </cell>
          <cell r="BW83">
            <v>340</v>
          </cell>
          <cell r="BX83">
            <v>37</v>
          </cell>
          <cell r="BY83">
            <v>49</v>
          </cell>
          <cell r="BZ83">
            <v>340</v>
          </cell>
          <cell r="CA83">
            <v>16</v>
          </cell>
          <cell r="CB83">
            <v>24</v>
          </cell>
          <cell r="CC83">
            <v>12</v>
          </cell>
          <cell r="CD83">
            <v>210</v>
          </cell>
          <cell r="CE83">
            <v>20</v>
          </cell>
          <cell r="CF83">
            <v>20</v>
          </cell>
          <cell r="CG83">
            <v>110</v>
          </cell>
          <cell r="CH83">
            <v>84</v>
          </cell>
          <cell r="CI83">
            <v>320</v>
          </cell>
          <cell r="CJ83">
            <v>214</v>
          </cell>
          <cell r="CK83">
            <v>106</v>
          </cell>
          <cell r="CL83">
            <v>26</v>
          </cell>
          <cell r="CM83">
            <v>0</v>
          </cell>
          <cell r="CN83">
            <v>0</v>
          </cell>
          <cell r="CO83">
            <v>26</v>
          </cell>
          <cell r="CP83" t="str">
            <v>V</v>
          </cell>
          <cell r="CQ83">
            <v>11</v>
          </cell>
          <cell r="CR83">
            <v>132</v>
          </cell>
          <cell r="CS83">
            <v>0</v>
          </cell>
          <cell r="CT83">
            <v>0</v>
          </cell>
          <cell r="CU83">
            <v>0</v>
          </cell>
          <cell r="CV83">
            <v>0</v>
          </cell>
          <cell r="CW83">
            <v>0</v>
          </cell>
          <cell r="CX83">
            <v>0</v>
          </cell>
          <cell r="CY83">
            <v>0</v>
          </cell>
          <cell r="CZ83">
            <v>26</v>
          </cell>
          <cell r="DA83" t="str">
            <v>V</v>
          </cell>
          <cell r="DB83">
            <v>11</v>
          </cell>
          <cell r="DC83">
            <v>26</v>
          </cell>
          <cell r="DD83">
            <v>0</v>
          </cell>
          <cell r="DE83">
            <v>1</v>
          </cell>
          <cell r="DF83">
            <v>132</v>
          </cell>
          <cell r="DG83">
            <v>0</v>
          </cell>
          <cell r="DH83">
            <v>0</v>
          </cell>
          <cell r="DI83">
            <v>0</v>
          </cell>
          <cell r="DJ83">
            <v>0</v>
          </cell>
          <cell r="DK83">
            <v>0</v>
          </cell>
          <cell r="DL83">
            <v>0</v>
          </cell>
          <cell r="DM83">
            <v>0</v>
          </cell>
          <cell r="DN83">
            <v>0</v>
          </cell>
          <cell r="DO83">
            <v>0</v>
          </cell>
          <cell r="DP83">
            <v>0</v>
          </cell>
          <cell r="DQ83">
            <v>0</v>
          </cell>
          <cell r="DR83">
            <v>0</v>
          </cell>
          <cell r="DS83">
            <v>0</v>
          </cell>
          <cell r="DT83">
            <v>0</v>
          </cell>
        </row>
        <row r="84">
          <cell r="B84" t="str">
            <v>TS 98 XEA EN 1-6</v>
          </cell>
          <cell r="D84" t="str">
            <v>x</v>
          </cell>
          <cell r="F84" t="str">
            <v>x</v>
          </cell>
          <cell r="H84" t="str">
            <v>x</v>
          </cell>
          <cell r="I84" t="str">
            <v>x</v>
          </cell>
          <cell r="J84" t="str">
            <v>x</v>
          </cell>
          <cell r="K84" t="str">
            <v>x</v>
          </cell>
          <cell r="L84" t="str">
            <v>x</v>
          </cell>
          <cell r="M84" t="str">
            <v>x</v>
          </cell>
          <cell r="O84" t="str">
            <v>x</v>
          </cell>
          <cell r="P84" t="str">
            <v>x</v>
          </cell>
          <cell r="R84" t="str">
            <v>x</v>
          </cell>
          <cell r="S84" t="str">
            <v>x</v>
          </cell>
          <cell r="U84" t="str">
            <v>x</v>
          </cell>
          <cell r="V84" t="str">
            <v>x</v>
          </cell>
          <cell r="X84" t="str">
            <v>x</v>
          </cell>
          <cell r="AA84" t="str">
            <v>x</v>
          </cell>
          <cell r="AF84" t="str">
            <v>x</v>
          </cell>
          <cell r="AK84">
            <v>98</v>
          </cell>
          <cell r="AM84" t="str">
            <v>1-6</v>
          </cell>
          <cell r="AN84" t="str">
            <v>x</v>
          </cell>
          <cell r="BW84">
            <v>327</v>
          </cell>
          <cell r="BX84">
            <v>59</v>
          </cell>
          <cell r="BY84">
            <v>60</v>
          </cell>
          <cell r="BZ84">
            <v>518</v>
          </cell>
          <cell r="CA84">
            <v>23</v>
          </cell>
          <cell r="CB84">
            <v>32</v>
          </cell>
          <cell r="CC84">
            <v>16</v>
          </cell>
          <cell r="CD84">
            <v>375</v>
          </cell>
          <cell r="CE84">
            <v>30</v>
          </cell>
          <cell r="CF84">
            <v>30</v>
          </cell>
          <cell r="CG84">
            <v>175</v>
          </cell>
          <cell r="CH84">
            <v>101</v>
          </cell>
          <cell r="CI84">
            <v>476</v>
          </cell>
          <cell r="CJ84">
            <v>431</v>
          </cell>
          <cell r="CK84">
            <v>45</v>
          </cell>
          <cell r="CL84">
            <v>74</v>
          </cell>
          <cell r="CM84">
            <v>0</v>
          </cell>
          <cell r="CN84">
            <v>4</v>
          </cell>
          <cell r="CO84">
            <v>74</v>
          </cell>
          <cell r="CP84" t="str">
            <v>V</v>
          </cell>
          <cell r="CQ84">
            <v>12</v>
          </cell>
          <cell r="CR84">
            <v>119</v>
          </cell>
          <cell r="CS84">
            <v>74</v>
          </cell>
          <cell r="CT84" t="str">
            <v>V</v>
          </cell>
          <cell r="CU84">
            <v>4</v>
          </cell>
          <cell r="CV84">
            <v>74</v>
          </cell>
          <cell r="CW84">
            <v>0</v>
          </cell>
          <cell r="CX84">
            <v>12</v>
          </cell>
          <cell r="CY84">
            <v>119</v>
          </cell>
          <cell r="CZ84">
            <v>74</v>
          </cell>
          <cell r="DA84" t="str">
            <v>V</v>
          </cell>
          <cell r="DB84">
            <v>17</v>
          </cell>
          <cell r="DC84">
            <v>74</v>
          </cell>
          <cell r="DD84">
            <v>0</v>
          </cell>
          <cell r="DE84">
            <v>0</v>
          </cell>
          <cell r="DF84">
            <v>119</v>
          </cell>
          <cell r="DG84">
            <v>74</v>
          </cell>
          <cell r="DH84">
            <v>0</v>
          </cell>
          <cell r="DI84">
            <v>17</v>
          </cell>
          <cell r="DJ84">
            <v>74</v>
          </cell>
          <cell r="DK84" t="str">
            <v>V</v>
          </cell>
          <cell r="DL84">
            <v>0</v>
          </cell>
          <cell r="DM84">
            <v>119</v>
          </cell>
          <cell r="DN84">
            <v>74</v>
          </cell>
          <cell r="DO84">
            <v>0</v>
          </cell>
          <cell r="DP84" t="str">
            <v>V</v>
          </cell>
          <cell r="DQ84">
            <v>74</v>
          </cell>
          <cell r="DR84" t="str">
            <v>V</v>
          </cell>
          <cell r="DS84" t="str">
            <v>V</v>
          </cell>
          <cell r="DT84">
            <v>119</v>
          </cell>
        </row>
        <row r="85">
          <cell r="B85" t="str">
            <v>TS 98 RF XEA EN 1-6</v>
          </cell>
          <cell r="D85" t="str">
            <v>x</v>
          </cell>
          <cell r="F85" t="str">
            <v>x</v>
          </cell>
          <cell r="H85" t="str">
            <v>x</v>
          </cell>
          <cell r="I85" t="str">
            <v>x</v>
          </cell>
          <cell r="J85" t="str">
            <v>x</v>
          </cell>
          <cell r="K85" t="str">
            <v>x</v>
          </cell>
          <cell r="L85" t="str">
            <v>x</v>
          </cell>
          <cell r="M85" t="str">
            <v>x</v>
          </cell>
          <cell r="O85" t="str">
            <v>x</v>
          </cell>
          <cell r="P85" t="str">
            <v>x</v>
          </cell>
          <cell r="R85" t="str">
            <v>x</v>
          </cell>
          <cell r="S85" t="str">
            <v>x</v>
          </cell>
          <cell r="U85" t="str">
            <v>x</v>
          </cell>
          <cell r="V85" t="str">
            <v>x</v>
          </cell>
          <cell r="X85" t="str">
            <v>x</v>
          </cell>
          <cell r="AA85" t="str">
            <v>x</v>
          </cell>
          <cell r="AB85" t="str">
            <v>x</v>
          </cell>
          <cell r="AF85" t="str">
            <v>x</v>
          </cell>
          <cell r="AK85">
            <v>98</v>
          </cell>
          <cell r="AM85" t="str">
            <v>1-6</v>
          </cell>
          <cell r="AO85" t="str">
            <v>x</v>
          </cell>
          <cell r="BW85">
            <v>327</v>
          </cell>
          <cell r="BX85">
            <v>59</v>
          </cell>
          <cell r="BY85">
            <v>60</v>
          </cell>
          <cell r="BZ85">
            <v>518</v>
          </cell>
          <cell r="CA85">
            <v>23</v>
          </cell>
          <cell r="CB85">
            <v>32</v>
          </cell>
          <cell r="CC85">
            <v>16</v>
          </cell>
          <cell r="CD85">
            <v>375</v>
          </cell>
          <cell r="CE85">
            <v>30</v>
          </cell>
          <cell r="CF85">
            <v>30</v>
          </cell>
          <cell r="CG85">
            <v>175</v>
          </cell>
          <cell r="CH85">
            <v>101</v>
          </cell>
          <cell r="CI85">
            <v>476</v>
          </cell>
          <cell r="CJ85">
            <v>431</v>
          </cell>
          <cell r="CK85">
            <v>45</v>
          </cell>
          <cell r="CL85">
            <v>74</v>
          </cell>
          <cell r="CM85">
            <v>0</v>
          </cell>
          <cell r="CN85">
            <v>4</v>
          </cell>
          <cell r="CO85">
            <v>74</v>
          </cell>
          <cell r="CP85" t="str">
            <v>V</v>
          </cell>
          <cell r="CQ85">
            <v>12</v>
          </cell>
          <cell r="CR85">
            <v>119</v>
          </cell>
          <cell r="CS85">
            <v>74</v>
          </cell>
          <cell r="CT85" t="str">
            <v>V</v>
          </cell>
          <cell r="CU85">
            <v>4</v>
          </cell>
          <cell r="CV85">
            <v>74</v>
          </cell>
          <cell r="CW85">
            <v>0</v>
          </cell>
          <cell r="CX85">
            <v>12</v>
          </cell>
          <cell r="CY85">
            <v>119</v>
          </cell>
          <cell r="CZ85">
            <v>74</v>
          </cell>
          <cell r="DA85" t="str">
            <v>V</v>
          </cell>
          <cell r="DB85">
            <v>17</v>
          </cell>
          <cell r="DC85">
            <v>74</v>
          </cell>
          <cell r="DD85">
            <v>0</v>
          </cell>
          <cell r="DE85">
            <v>0</v>
          </cell>
          <cell r="DF85">
            <v>119</v>
          </cell>
          <cell r="DG85">
            <v>74</v>
          </cell>
          <cell r="DH85">
            <v>0</v>
          </cell>
          <cell r="DI85">
            <v>17</v>
          </cell>
          <cell r="DJ85">
            <v>74</v>
          </cell>
          <cell r="DK85" t="str">
            <v>V</v>
          </cell>
          <cell r="DL85">
            <v>0</v>
          </cell>
          <cell r="DM85">
            <v>119</v>
          </cell>
          <cell r="DN85">
            <v>74</v>
          </cell>
          <cell r="DO85">
            <v>0</v>
          </cell>
          <cell r="DP85" t="str">
            <v>V</v>
          </cell>
          <cell r="DQ85">
            <v>74</v>
          </cell>
          <cell r="DR85" t="str">
            <v>V</v>
          </cell>
          <cell r="DS85" t="str">
            <v>V</v>
          </cell>
          <cell r="DT85">
            <v>119</v>
          </cell>
        </row>
        <row r="86">
          <cell r="B86" t="str">
            <v>TS 98 EMF XEA EN 1-6</v>
          </cell>
          <cell r="D86" t="str">
            <v>x</v>
          </cell>
          <cell r="F86" t="str">
            <v>x</v>
          </cell>
          <cell r="H86" t="str">
            <v>x</v>
          </cell>
          <cell r="I86" t="str">
            <v>x</v>
          </cell>
          <cell r="J86" t="str">
            <v>x</v>
          </cell>
          <cell r="K86" t="str">
            <v>x</v>
          </cell>
          <cell r="L86" t="str">
            <v>x</v>
          </cell>
          <cell r="M86" t="str">
            <v>x</v>
          </cell>
          <cell r="O86" t="str">
            <v>x</v>
          </cell>
          <cell r="P86" t="str">
            <v>x</v>
          </cell>
          <cell r="R86" t="str">
            <v>x</v>
          </cell>
          <cell r="U86" t="str">
            <v>x</v>
          </cell>
          <cell r="V86" t="str">
            <v>x</v>
          </cell>
          <cell r="X86" t="str">
            <v>x</v>
          </cell>
          <cell r="AA86" t="str">
            <v>x</v>
          </cell>
          <cell r="AC86" t="str">
            <v>x</v>
          </cell>
          <cell r="AE86" t="str">
            <v>x</v>
          </cell>
          <cell r="AF86" t="str">
            <v>x</v>
          </cell>
          <cell r="AK86">
            <v>98</v>
          </cell>
          <cell r="AM86" t="str">
            <v>1-6</v>
          </cell>
          <cell r="AP86" t="str">
            <v>x</v>
          </cell>
          <cell r="BW86">
            <v>327</v>
          </cell>
          <cell r="BX86">
            <v>59</v>
          </cell>
          <cell r="BY86">
            <v>60</v>
          </cell>
          <cell r="BZ86">
            <v>537</v>
          </cell>
          <cell r="CA86">
            <v>30</v>
          </cell>
          <cell r="CB86">
            <v>39</v>
          </cell>
          <cell r="CC86">
            <v>20</v>
          </cell>
          <cell r="CD86">
            <v>375</v>
          </cell>
          <cell r="CE86">
            <v>30</v>
          </cell>
          <cell r="CF86">
            <v>30</v>
          </cell>
          <cell r="CG86">
            <v>175</v>
          </cell>
          <cell r="CH86">
            <v>101</v>
          </cell>
          <cell r="CI86">
            <v>476</v>
          </cell>
          <cell r="CJ86">
            <v>310</v>
          </cell>
          <cell r="CK86">
            <v>166</v>
          </cell>
          <cell r="CL86">
            <v>74</v>
          </cell>
          <cell r="CM86">
            <v>0</v>
          </cell>
          <cell r="CN86">
            <v>4</v>
          </cell>
          <cell r="CO86">
            <v>74</v>
          </cell>
          <cell r="CP86" t="str">
            <v>V</v>
          </cell>
          <cell r="CQ86">
            <v>12</v>
          </cell>
          <cell r="CR86">
            <v>240</v>
          </cell>
          <cell r="CS86">
            <v>0</v>
          </cell>
          <cell r="CT86">
            <v>0</v>
          </cell>
          <cell r="CU86">
            <v>0</v>
          </cell>
          <cell r="CV86">
            <v>0</v>
          </cell>
          <cell r="CW86">
            <v>0</v>
          </cell>
          <cell r="CX86">
            <v>0</v>
          </cell>
          <cell r="CY86">
            <v>0</v>
          </cell>
          <cell r="CZ86">
            <v>0</v>
          </cell>
          <cell r="DA86">
            <v>0</v>
          </cell>
          <cell r="DB86">
            <v>0</v>
          </cell>
          <cell r="DC86">
            <v>0</v>
          </cell>
          <cell r="DD86">
            <v>0</v>
          </cell>
          <cell r="DE86">
            <v>0</v>
          </cell>
          <cell r="DF86">
            <v>0</v>
          </cell>
          <cell r="DG86">
            <v>74</v>
          </cell>
          <cell r="DH86">
            <v>0</v>
          </cell>
          <cell r="DI86">
            <v>17</v>
          </cell>
          <cell r="DJ86">
            <v>74</v>
          </cell>
          <cell r="DK86" t="str">
            <v>V</v>
          </cell>
          <cell r="DL86">
            <v>0</v>
          </cell>
          <cell r="DM86">
            <v>240</v>
          </cell>
          <cell r="DN86">
            <v>74</v>
          </cell>
          <cell r="DO86">
            <v>0</v>
          </cell>
          <cell r="DP86" t="str">
            <v>V</v>
          </cell>
          <cell r="DQ86">
            <v>74</v>
          </cell>
          <cell r="DR86" t="str">
            <v>V</v>
          </cell>
          <cell r="DS86" t="str">
            <v>V</v>
          </cell>
          <cell r="DT86">
            <v>240</v>
          </cell>
        </row>
        <row r="87">
          <cell r="B87" t="str">
            <v>TS 98 EMR XEA EN 1-6</v>
          </cell>
          <cell r="D87" t="str">
            <v>x</v>
          </cell>
          <cell r="F87" t="str">
            <v>x</v>
          </cell>
          <cell r="H87" t="str">
            <v>x</v>
          </cell>
          <cell r="I87" t="str">
            <v>x</v>
          </cell>
          <cell r="J87" t="str">
            <v>x</v>
          </cell>
          <cell r="K87" t="str">
            <v>x</v>
          </cell>
          <cell r="L87" t="str">
            <v>x</v>
          </cell>
          <cell r="M87" t="str">
            <v>x</v>
          </cell>
          <cell r="O87" t="str">
            <v>x</v>
          </cell>
          <cell r="P87" t="str">
            <v>x</v>
          </cell>
          <cell r="R87" t="str">
            <v>x</v>
          </cell>
          <cell r="U87" t="str">
            <v>x</v>
          </cell>
          <cell r="V87" t="str">
            <v>x</v>
          </cell>
          <cell r="X87" t="str">
            <v>x</v>
          </cell>
          <cell r="AA87" t="str">
            <v>x</v>
          </cell>
          <cell r="AC87" t="str">
            <v>x</v>
          </cell>
          <cell r="AD87" t="str">
            <v>x</v>
          </cell>
          <cell r="AF87" t="str">
            <v>x</v>
          </cell>
          <cell r="AK87">
            <v>98</v>
          </cell>
          <cell r="AM87" t="str">
            <v>1-6</v>
          </cell>
          <cell r="AQ87" t="str">
            <v>x</v>
          </cell>
          <cell r="BW87">
            <v>327</v>
          </cell>
          <cell r="BX87">
            <v>59</v>
          </cell>
          <cell r="BY87">
            <v>60</v>
          </cell>
          <cell r="BZ87">
            <v>883</v>
          </cell>
          <cell r="CA87">
            <v>30</v>
          </cell>
          <cell r="CB87">
            <v>39</v>
          </cell>
          <cell r="CC87">
            <v>20</v>
          </cell>
          <cell r="CD87">
            <v>375</v>
          </cell>
          <cell r="CE87">
            <v>30</v>
          </cell>
          <cell r="CF87">
            <v>30</v>
          </cell>
          <cell r="CG87">
            <v>175</v>
          </cell>
          <cell r="CH87">
            <v>101</v>
          </cell>
          <cell r="CI87">
            <v>476</v>
          </cell>
          <cell r="CJ87">
            <v>310</v>
          </cell>
          <cell r="CK87">
            <v>166</v>
          </cell>
          <cell r="CL87">
            <v>74</v>
          </cell>
          <cell r="CM87">
            <v>0</v>
          </cell>
          <cell r="CN87">
            <v>4</v>
          </cell>
          <cell r="CO87">
            <v>74</v>
          </cell>
          <cell r="CP87" t="str">
            <v>V</v>
          </cell>
          <cell r="CQ87">
            <v>13</v>
          </cell>
          <cell r="CR87">
            <v>240</v>
          </cell>
          <cell r="CS87">
            <v>0</v>
          </cell>
          <cell r="CT87">
            <v>0</v>
          </cell>
          <cell r="CU87">
            <v>0</v>
          </cell>
          <cell r="CV87">
            <v>0</v>
          </cell>
          <cell r="CW87">
            <v>0</v>
          </cell>
          <cell r="CX87">
            <v>0</v>
          </cell>
          <cell r="CY87">
            <v>0</v>
          </cell>
          <cell r="CZ87">
            <v>0</v>
          </cell>
          <cell r="DA87">
            <v>0</v>
          </cell>
          <cell r="DB87">
            <v>0</v>
          </cell>
          <cell r="DC87">
            <v>0</v>
          </cell>
          <cell r="DD87">
            <v>0</v>
          </cell>
          <cell r="DE87">
            <v>0</v>
          </cell>
          <cell r="DF87">
            <v>0</v>
          </cell>
          <cell r="DG87">
            <v>74</v>
          </cell>
          <cell r="DH87">
            <v>0</v>
          </cell>
          <cell r="DI87">
            <v>17</v>
          </cell>
          <cell r="DJ87">
            <v>74</v>
          </cell>
          <cell r="DK87" t="str">
            <v>V</v>
          </cell>
          <cell r="DL87">
            <v>0</v>
          </cell>
          <cell r="DM87">
            <v>240</v>
          </cell>
          <cell r="DN87">
            <v>0</v>
          </cell>
          <cell r="DO87">
            <v>0</v>
          </cell>
          <cell r="DP87">
            <v>0</v>
          </cell>
          <cell r="DQ87">
            <v>0</v>
          </cell>
          <cell r="DR87">
            <v>0</v>
          </cell>
          <cell r="DS87">
            <v>0</v>
          </cell>
          <cell r="DT87">
            <v>0</v>
          </cell>
        </row>
        <row r="88">
          <cell r="B88" t="str">
            <v>TS 98 UVIBIS XEA EN 1-6</v>
          </cell>
          <cell r="D88" t="str">
            <v>x</v>
          </cell>
          <cell r="F88" t="str">
            <v>x</v>
          </cell>
          <cell r="H88" t="str">
            <v>x</v>
          </cell>
          <cell r="I88" t="str">
            <v>x</v>
          </cell>
          <cell r="J88" t="str">
            <v>x</v>
          </cell>
          <cell r="K88" t="str">
            <v>x</v>
          </cell>
          <cell r="L88" t="str">
            <v>x</v>
          </cell>
          <cell r="M88" t="str">
            <v>x</v>
          </cell>
          <cell r="O88" t="str">
            <v>x</v>
          </cell>
          <cell r="P88" t="str">
            <v>x</v>
          </cell>
          <cell r="R88" t="str">
            <v>x</v>
          </cell>
          <cell r="U88" t="str">
            <v>x</v>
          </cell>
          <cell r="V88" t="str">
            <v>x</v>
          </cell>
          <cell r="X88" t="str">
            <v>x</v>
          </cell>
          <cell r="AA88" t="str">
            <v>x</v>
          </cell>
          <cell r="AC88" t="str">
            <v>x</v>
          </cell>
          <cell r="AD88" t="str">
            <v>x</v>
          </cell>
          <cell r="AF88" t="str">
            <v>x</v>
          </cell>
          <cell r="AK88">
            <v>98</v>
          </cell>
          <cell r="AM88" t="str">
            <v>1-6</v>
          </cell>
          <cell r="AR88" t="str">
            <v>x</v>
          </cell>
          <cell r="BW88">
            <v>327</v>
          </cell>
          <cell r="BX88">
            <v>59</v>
          </cell>
          <cell r="BY88">
            <v>60</v>
          </cell>
          <cell r="BZ88">
            <v>890</v>
          </cell>
          <cell r="CA88">
            <v>34</v>
          </cell>
          <cell r="CB88">
            <v>75</v>
          </cell>
          <cell r="CC88">
            <v>15</v>
          </cell>
          <cell r="CD88">
            <v>375</v>
          </cell>
          <cell r="CE88">
            <v>30</v>
          </cell>
          <cell r="CF88">
            <v>30</v>
          </cell>
          <cell r="CG88">
            <v>175</v>
          </cell>
          <cell r="CH88">
            <v>101</v>
          </cell>
          <cell r="CI88">
            <v>476</v>
          </cell>
          <cell r="CJ88">
            <v>306</v>
          </cell>
          <cell r="CK88">
            <v>170</v>
          </cell>
          <cell r="CL88">
            <v>74</v>
          </cell>
          <cell r="CM88">
            <v>0</v>
          </cell>
          <cell r="CN88">
            <v>4</v>
          </cell>
          <cell r="CO88">
            <v>74</v>
          </cell>
          <cell r="CP88" t="str">
            <v>V</v>
          </cell>
          <cell r="CQ88">
            <v>13</v>
          </cell>
          <cell r="CR88">
            <v>244</v>
          </cell>
          <cell r="CS88">
            <v>0</v>
          </cell>
          <cell r="CT88">
            <v>0</v>
          </cell>
          <cell r="CU88">
            <v>0</v>
          </cell>
          <cell r="CV88">
            <v>0</v>
          </cell>
          <cell r="CW88">
            <v>0</v>
          </cell>
          <cell r="CX88">
            <v>0</v>
          </cell>
          <cell r="CY88">
            <v>0</v>
          </cell>
          <cell r="CZ88">
            <v>0</v>
          </cell>
          <cell r="DA88">
            <v>0</v>
          </cell>
          <cell r="DB88">
            <v>0</v>
          </cell>
          <cell r="DC88">
            <v>0</v>
          </cell>
          <cell r="DD88">
            <v>0</v>
          </cell>
          <cell r="DE88">
            <v>0</v>
          </cell>
          <cell r="DF88">
            <v>0</v>
          </cell>
          <cell r="DG88">
            <v>74</v>
          </cell>
          <cell r="DH88">
            <v>0</v>
          </cell>
          <cell r="DI88">
            <v>17</v>
          </cell>
          <cell r="DJ88">
            <v>74</v>
          </cell>
          <cell r="DK88" t="str">
            <v>V</v>
          </cell>
          <cell r="DL88">
            <v>0</v>
          </cell>
          <cell r="DM88">
            <v>244</v>
          </cell>
          <cell r="DN88">
            <v>0</v>
          </cell>
          <cell r="DO88">
            <v>0</v>
          </cell>
          <cell r="DP88">
            <v>0</v>
          </cell>
          <cell r="DQ88">
            <v>0</v>
          </cell>
          <cell r="DR88">
            <v>0</v>
          </cell>
          <cell r="DS88">
            <v>0</v>
          </cell>
          <cell r="DT88">
            <v>0</v>
          </cell>
        </row>
        <row r="89">
          <cell r="B89" t="str">
            <v xml:space="preserve">TS 98 GSR XEA EN 1-6 </v>
          </cell>
          <cell r="D89">
            <v>0</v>
          </cell>
          <cell r="E89" t="str">
            <v>x</v>
          </cell>
          <cell r="F89" t="str">
            <v>x</v>
          </cell>
          <cell r="G89">
            <v>0</v>
          </cell>
          <cell r="H89" t="str">
            <v>x</v>
          </cell>
          <cell r="I89" t="str">
            <v>x</v>
          </cell>
          <cell r="J89" t="str">
            <v>x</v>
          </cell>
          <cell r="K89" t="str">
            <v>x</v>
          </cell>
          <cell r="L89" t="str">
            <v>x</v>
          </cell>
          <cell r="M89" t="str">
            <v>x</v>
          </cell>
          <cell r="N89">
            <v>0</v>
          </cell>
          <cell r="O89" t="str">
            <v>x</v>
          </cell>
          <cell r="P89" t="str">
            <v>x</v>
          </cell>
          <cell r="Q89">
            <v>0</v>
          </cell>
          <cell r="R89" t="str">
            <v>x</v>
          </cell>
          <cell r="S89">
            <v>0</v>
          </cell>
          <cell r="T89">
            <v>0</v>
          </cell>
          <cell r="U89" t="str">
            <v>x</v>
          </cell>
          <cell r="V89" t="str">
            <v>x</v>
          </cell>
          <cell r="W89" t="str">
            <v>x</v>
          </cell>
          <cell r="X89" t="str">
            <v>x</v>
          </cell>
          <cell r="Y89">
            <v>0</v>
          </cell>
          <cell r="Z89">
            <v>0</v>
          </cell>
          <cell r="AA89" t="str">
            <v>x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 t="str">
            <v>x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98</v>
          </cell>
          <cell r="AM89" t="str">
            <v>1-6</v>
          </cell>
          <cell r="AS89" t="str">
            <v>x</v>
          </cell>
          <cell r="BW89">
            <v>327</v>
          </cell>
          <cell r="BX89">
            <v>59</v>
          </cell>
          <cell r="BY89">
            <v>60</v>
          </cell>
          <cell r="BZ89" t="str">
            <v>V</v>
          </cell>
          <cell r="CA89">
            <v>30</v>
          </cell>
          <cell r="CB89">
            <v>35</v>
          </cell>
          <cell r="CC89">
            <v>18</v>
          </cell>
          <cell r="CD89">
            <v>375</v>
          </cell>
          <cell r="CE89">
            <v>30</v>
          </cell>
          <cell r="CF89">
            <v>30</v>
          </cell>
          <cell r="CG89">
            <v>175</v>
          </cell>
          <cell r="CH89">
            <v>101</v>
          </cell>
          <cell r="CI89">
            <v>476</v>
          </cell>
          <cell r="CJ89">
            <v>423</v>
          </cell>
          <cell r="CK89">
            <v>53</v>
          </cell>
          <cell r="CL89">
            <v>74</v>
          </cell>
          <cell r="CM89">
            <v>0</v>
          </cell>
          <cell r="CN89">
            <v>4</v>
          </cell>
          <cell r="CO89">
            <v>74</v>
          </cell>
          <cell r="CP89" t="str">
            <v>V</v>
          </cell>
          <cell r="CQ89">
            <v>13</v>
          </cell>
          <cell r="CR89">
            <v>127</v>
          </cell>
          <cell r="CS89">
            <v>0</v>
          </cell>
          <cell r="CT89">
            <v>0</v>
          </cell>
          <cell r="CU89">
            <v>0</v>
          </cell>
          <cell r="CV89">
            <v>0</v>
          </cell>
          <cell r="CW89">
            <v>0</v>
          </cell>
          <cell r="CX89">
            <v>0</v>
          </cell>
          <cell r="CY89">
            <v>0</v>
          </cell>
          <cell r="CZ89">
            <v>0</v>
          </cell>
          <cell r="DA89">
            <v>0</v>
          </cell>
          <cell r="DB89">
            <v>0</v>
          </cell>
          <cell r="DC89">
            <v>0</v>
          </cell>
          <cell r="DD89">
            <v>0</v>
          </cell>
          <cell r="DE89">
            <v>0</v>
          </cell>
          <cell r="DF89">
            <v>0</v>
          </cell>
          <cell r="DG89">
            <v>0</v>
          </cell>
          <cell r="DH89">
            <v>0</v>
          </cell>
          <cell r="DI89">
            <v>0</v>
          </cell>
          <cell r="DJ89">
            <v>0</v>
          </cell>
          <cell r="DK89">
            <v>0</v>
          </cell>
          <cell r="DL89">
            <v>0</v>
          </cell>
          <cell r="DM89">
            <v>0</v>
          </cell>
          <cell r="DN89">
            <v>0</v>
          </cell>
          <cell r="DO89">
            <v>0</v>
          </cell>
          <cell r="DP89">
            <v>0</v>
          </cell>
          <cell r="DQ89">
            <v>0</v>
          </cell>
          <cell r="DR89">
            <v>0</v>
          </cell>
          <cell r="DS89">
            <v>0</v>
          </cell>
          <cell r="DT89">
            <v>0</v>
          </cell>
        </row>
        <row r="90">
          <cell r="B90" t="str">
            <v xml:space="preserve">TS 98 GSR-EMF XEA EN 1-6 </v>
          </cell>
          <cell r="D90">
            <v>0</v>
          </cell>
          <cell r="E90" t="str">
            <v>x</v>
          </cell>
          <cell r="F90" t="str">
            <v>x</v>
          </cell>
          <cell r="G90">
            <v>0</v>
          </cell>
          <cell r="H90" t="str">
            <v>x</v>
          </cell>
          <cell r="I90" t="str">
            <v>x</v>
          </cell>
          <cell r="J90" t="str">
            <v>x</v>
          </cell>
          <cell r="K90" t="str">
            <v>x</v>
          </cell>
          <cell r="L90" t="str">
            <v>x</v>
          </cell>
          <cell r="M90" t="str">
            <v>x</v>
          </cell>
          <cell r="N90">
            <v>0</v>
          </cell>
          <cell r="O90" t="str">
            <v>x</v>
          </cell>
          <cell r="P90" t="str">
            <v>x</v>
          </cell>
          <cell r="Q90">
            <v>0</v>
          </cell>
          <cell r="R90" t="str">
            <v>x</v>
          </cell>
          <cell r="S90">
            <v>0</v>
          </cell>
          <cell r="T90">
            <v>0</v>
          </cell>
          <cell r="U90" t="str">
            <v>x</v>
          </cell>
          <cell r="V90" t="str">
            <v>x</v>
          </cell>
          <cell r="W90" t="str">
            <v>x</v>
          </cell>
          <cell r="X90" t="str">
            <v>x</v>
          </cell>
          <cell r="Y90">
            <v>0</v>
          </cell>
          <cell r="Z90">
            <v>0</v>
          </cell>
          <cell r="AA90" t="str">
            <v>x</v>
          </cell>
          <cell r="AB90">
            <v>0</v>
          </cell>
          <cell r="AC90" t="str">
            <v>x</v>
          </cell>
          <cell r="AD90">
            <v>0</v>
          </cell>
          <cell r="AE90" t="str">
            <v>x</v>
          </cell>
          <cell r="AF90" t="str">
            <v>x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98</v>
          </cell>
          <cell r="AM90" t="str">
            <v>1-6</v>
          </cell>
          <cell r="AT90" t="str">
            <v>x</v>
          </cell>
          <cell r="BW90">
            <v>327</v>
          </cell>
          <cell r="BX90">
            <v>59</v>
          </cell>
          <cell r="BY90">
            <v>60</v>
          </cell>
          <cell r="BZ90" t="str">
            <v>V</v>
          </cell>
          <cell r="CA90">
            <v>30</v>
          </cell>
          <cell r="CB90">
            <v>35</v>
          </cell>
          <cell r="CC90">
            <v>18</v>
          </cell>
          <cell r="CD90">
            <v>375</v>
          </cell>
          <cell r="CE90">
            <v>30</v>
          </cell>
          <cell r="CF90">
            <v>30</v>
          </cell>
          <cell r="CG90">
            <v>175</v>
          </cell>
          <cell r="CH90">
            <v>101</v>
          </cell>
          <cell r="CI90">
            <v>476</v>
          </cell>
          <cell r="CJ90">
            <v>310</v>
          </cell>
          <cell r="CK90">
            <v>166</v>
          </cell>
          <cell r="CL90">
            <v>74</v>
          </cell>
          <cell r="CM90">
            <v>0</v>
          </cell>
          <cell r="CN90">
            <v>4</v>
          </cell>
          <cell r="CO90">
            <v>74</v>
          </cell>
          <cell r="CP90" t="str">
            <v>V</v>
          </cell>
          <cell r="CQ90">
            <v>13</v>
          </cell>
          <cell r="CR90">
            <v>240</v>
          </cell>
          <cell r="CS90">
            <v>0</v>
          </cell>
          <cell r="CT90">
            <v>0</v>
          </cell>
          <cell r="CU90">
            <v>0</v>
          </cell>
          <cell r="CV90">
            <v>0</v>
          </cell>
          <cell r="CW90">
            <v>0</v>
          </cell>
          <cell r="CX90">
            <v>0</v>
          </cell>
          <cell r="CY90">
            <v>0</v>
          </cell>
          <cell r="CZ90">
            <v>0</v>
          </cell>
          <cell r="DA90">
            <v>0</v>
          </cell>
          <cell r="DB90">
            <v>0</v>
          </cell>
          <cell r="DC90">
            <v>0</v>
          </cell>
          <cell r="DD90">
            <v>0</v>
          </cell>
          <cell r="DE90">
            <v>0</v>
          </cell>
          <cell r="DF90">
            <v>0</v>
          </cell>
          <cell r="DG90">
            <v>0</v>
          </cell>
          <cell r="DH90">
            <v>0</v>
          </cell>
          <cell r="DI90">
            <v>0</v>
          </cell>
          <cell r="DJ90">
            <v>0</v>
          </cell>
          <cell r="DK90">
            <v>0</v>
          </cell>
          <cell r="DL90">
            <v>0</v>
          </cell>
          <cell r="DM90">
            <v>0</v>
          </cell>
          <cell r="DN90">
            <v>0</v>
          </cell>
          <cell r="DO90">
            <v>0</v>
          </cell>
          <cell r="DP90">
            <v>0</v>
          </cell>
          <cell r="DQ90">
            <v>0</v>
          </cell>
          <cell r="DR90">
            <v>0</v>
          </cell>
          <cell r="DS90">
            <v>0</v>
          </cell>
          <cell r="DT90">
            <v>0</v>
          </cell>
        </row>
        <row r="91">
          <cell r="B91" t="str">
            <v xml:space="preserve">TS 98 GSR-EMR XEA EN 1-6 </v>
          </cell>
          <cell r="D91">
            <v>0</v>
          </cell>
          <cell r="E91" t="str">
            <v>x</v>
          </cell>
          <cell r="F91" t="str">
            <v>x</v>
          </cell>
          <cell r="G91">
            <v>0</v>
          </cell>
          <cell r="H91" t="str">
            <v>x</v>
          </cell>
          <cell r="I91" t="str">
            <v>x</v>
          </cell>
          <cell r="J91" t="str">
            <v>x</v>
          </cell>
          <cell r="K91" t="str">
            <v>x</v>
          </cell>
          <cell r="L91" t="str">
            <v>x</v>
          </cell>
          <cell r="M91" t="str">
            <v>x</v>
          </cell>
          <cell r="N91">
            <v>0</v>
          </cell>
          <cell r="O91" t="str">
            <v>x</v>
          </cell>
          <cell r="P91" t="str">
            <v>x</v>
          </cell>
          <cell r="Q91">
            <v>0</v>
          </cell>
          <cell r="R91" t="str">
            <v>x</v>
          </cell>
          <cell r="S91">
            <v>0</v>
          </cell>
          <cell r="T91">
            <v>0</v>
          </cell>
          <cell r="U91" t="str">
            <v>x</v>
          </cell>
          <cell r="V91" t="str">
            <v>x</v>
          </cell>
          <cell r="W91" t="str">
            <v>x</v>
          </cell>
          <cell r="X91" t="str">
            <v>x</v>
          </cell>
          <cell r="Y91">
            <v>0</v>
          </cell>
          <cell r="Z91">
            <v>0</v>
          </cell>
          <cell r="AA91" t="str">
            <v>x</v>
          </cell>
          <cell r="AB91">
            <v>0</v>
          </cell>
          <cell r="AC91" t="str">
            <v>x</v>
          </cell>
          <cell r="AD91" t="str">
            <v>x</v>
          </cell>
          <cell r="AE91">
            <v>0</v>
          </cell>
          <cell r="AF91" t="str">
            <v>x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98</v>
          </cell>
          <cell r="AM91" t="str">
            <v>1-6</v>
          </cell>
          <cell r="AU91" t="str">
            <v>x</v>
          </cell>
          <cell r="BW91">
            <v>327</v>
          </cell>
          <cell r="BX91">
            <v>59</v>
          </cell>
          <cell r="BY91">
            <v>60</v>
          </cell>
          <cell r="BZ91" t="str">
            <v>V</v>
          </cell>
          <cell r="CA91">
            <v>30</v>
          </cell>
          <cell r="CB91">
            <v>55</v>
          </cell>
          <cell r="CC91">
            <v>18</v>
          </cell>
          <cell r="CD91">
            <v>375</v>
          </cell>
          <cell r="CE91">
            <v>30</v>
          </cell>
          <cell r="CF91">
            <v>30</v>
          </cell>
          <cell r="CG91">
            <v>175</v>
          </cell>
          <cell r="CH91">
            <v>101</v>
          </cell>
          <cell r="CI91">
            <v>476</v>
          </cell>
          <cell r="CJ91">
            <v>310</v>
          </cell>
          <cell r="CK91">
            <v>166</v>
          </cell>
          <cell r="CL91">
            <v>74</v>
          </cell>
          <cell r="CM91">
            <v>0</v>
          </cell>
          <cell r="CN91">
            <v>4</v>
          </cell>
          <cell r="CO91">
            <v>74</v>
          </cell>
          <cell r="CP91" t="str">
            <v>V</v>
          </cell>
          <cell r="CQ91">
            <v>13</v>
          </cell>
          <cell r="CR91">
            <v>240</v>
          </cell>
          <cell r="CS91">
            <v>0</v>
          </cell>
          <cell r="CT91">
            <v>0</v>
          </cell>
          <cell r="CU91">
            <v>0</v>
          </cell>
          <cell r="CV91">
            <v>0</v>
          </cell>
          <cell r="CW91">
            <v>0</v>
          </cell>
          <cell r="CX91">
            <v>0</v>
          </cell>
          <cell r="CY91">
            <v>0</v>
          </cell>
          <cell r="CZ91">
            <v>0</v>
          </cell>
          <cell r="DA91">
            <v>0</v>
          </cell>
          <cell r="DB91">
            <v>0</v>
          </cell>
          <cell r="DC91">
            <v>0</v>
          </cell>
          <cell r="DD91">
            <v>0</v>
          </cell>
          <cell r="DE91">
            <v>0</v>
          </cell>
          <cell r="DF91">
            <v>0</v>
          </cell>
          <cell r="DG91">
            <v>0</v>
          </cell>
          <cell r="DH91">
            <v>0</v>
          </cell>
          <cell r="DI91">
            <v>0</v>
          </cell>
          <cell r="DJ91">
            <v>0</v>
          </cell>
          <cell r="DK91">
            <v>0</v>
          </cell>
          <cell r="DL91">
            <v>0</v>
          </cell>
          <cell r="DM91">
            <v>0</v>
          </cell>
          <cell r="DN91">
            <v>0</v>
          </cell>
          <cell r="DO91">
            <v>0</v>
          </cell>
          <cell r="DP91">
            <v>0</v>
          </cell>
          <cell r="DQ91">
            <v>0</v>
          </cell>
          <cell r="DR91">
            <v>0</v>
          </cell>
          <cell r="DS91">
            <v>0</v>
          </cell>
          <cell r="DT91">
            <v>0</v>
          </cell>
        </row>
        <row r="92">
          <cell r="B92" t="str">
            <v>TS 98 GSR BG XEA EN 1-6 Gangfl.</v>
          </cell>
          <cell r="D92">
            <v>0</v>
          </cell>
          <cell r="E92" t="str">
            <v>x</v>
          </cell>
          <cell r="F92" t="str">
            <v>x</v>
          </cell>
          <cell r="G92">
            <v>0</v>
          </cell>
          <cell r="H92" t="str">
            <v>x</v>
          </cell>
          <cell r="I92" t="str">
            <v>x</v>
          </cell>
          <cell r="J92" t="str">
            <v>x</v>
          </cell>
          <cell r="K92" t="str">
            <v>x</v>
          </cell>
          <cell r="L92" t="str">
            <v>x</v>
          </cell>
          <cell r="M92" t="str">
            <v>x</v>
          </cell>
          <cell r="N92">
            <v>0</v>
          </cell>
          <cell r="O92" t="str">
            <v>x</v>
          </cell>
          <cell r="P92" t="str">
            <v>x</v>
          </cell>
          <cell r="Q92">
            <v>0</v>
          </cell>
          <cell r="R92" t="str">
            <v>x</v>
          </cell>
          <cell r="S92">
            <v>0</v>
          </cell>
          <cell r="T92">
            <v>0</v>
          </cell>
          <cell r="U92" t="str">
            <v>x</v>
          </cell>
          <cell r="V92" t="str">
            <v>x</v>
          </cell>
          <cell r="W92" t="str">
            <v>x</v>
          </cell>
          <cell r="X92" t="str">
            <v>x</v>
          </cell>
          <cell r="Y92">
            <v>0</v>
          </cell>
          <cell r="Z92">
            <v>0</v>
          </cell>
          <cell r="AA92" t="str">
            <v>x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 t="str">
            <v>x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98</v>
          </cell>
          <cell r="AM92" t="str">
            <v>1-6</v>
          </cell>
          <cell r="AS92" t="str">
            <v>x</v>
          </cell>
          <cell r="BW92">
            <v>327</v>
          </cell>
          <cell r="BX92">
            <v>59</v>
          </cell>
          <cell r="BY92">
            <v>60</v>
          </cell>
          <cell r="BZ92" t="str">
            <v>V</v>
          </cell>
          <cell r="CA92">
            <v>30</v>
          </cell>
          <cell r="CB92">
            <v>35</v>
          </cell>
          <cell r="CC92">
            <v>18</v>
          </cell>
          <cell r="CD92">
            <v>375</v>
          </cell>
          <cell r="CE92">
            <v>30</v>
          </cell>
          <cell r="CF92">
            <v>30</v>
          </cell>
          <cell r="CG92">
            <v>209</v>
          </cell>
          <cell r="CH92">
            <v>101</v>
          </cell>
          <cell r="CI92">
            <v>476</v>
          </cell>
          <cell r="CJ92">
            <v>423</v>
          </cell>
          <cell r="CK92">
            <v>53</v>
          </cell>
          <cell r="CL92">
            <v>0</v>
          </cell>
          <cell r="CM92">
            <v>0</v>
          </cell>
          <cell r="CN92">
            <v>0</v>
          </cell>
          <cell r="CO92">
            <v>0</v>
          </cell>
          <cell r="CP92">
            <v>0</v>
          </cell>
          <cell r="CQ92">
            <v>0</v>
          </cell>
          <cell r="CR92">
            <v>0</v>
          </cell>
          <cell r="CS92">
            <v>0</v>
          </cell>
          <cell r="CT92">
            <v>0</v>
          </cell>
          <cell r="CU92">
            <v>0</v>
          </cell>
          <cell r="CV92">
            <v>0</v>
          </cell>
          <cell r="CW92">
            <v>0</v>
          </cell>
          <cell r="CX92">
            <v>0</v>
          </cell>
          <cell r="CY92">
            <v>0</v>
          </cell>
          <cell r="CZ92">
            <v>0</v>
          </cell>
          <cell r="DA92">
            <v>0</v>
          </cell>
          <cell r="DB92">
            <v>0</v>
          </cell>
          <cell r="DC92">
            <v>0</v>
          </cell>
          <cell r="DD92">
            <v>0</v>
          </cell>
          <cell r="DE92">
            <v>0</v>
          </cell>
          <cell r="DF92">
            <v>0</v>
          </cell>
          <cell r="DG92">
            <v>108</v>
          </cell>
          <cell r="DH92">
            <v>0</v>
          </cell>
          <cell r="DI92">
            <v>17</v>
          </cell>
          <cell r="DJ92">
            <v>108</v>
          </cell>
          <cell r="DK92" t="str">
            <v>V</v>
          </cell>
          <cell r="DL92">
            <v>0</v>
          </cell>
          <cell r="DM92">
            <v>161</v>
          </cell>
          <cell r="DN92">
            <v>108</v>
          </cell>
          <cell r="DO92">
            <v>0</v>
          </cell>
          <cell r="DP92" t="str">
            <v>V</v>
          </cell>
          <cell r="DQ92">
            <v>108</v>
          </cell>
          <cell r="DR92" t="str">
            <v>V</v>
          </cell>
          <cell r="DS92" t="str">
            <v>V</v>
          </cell>
          <cell r="DT92">
            <v>161</v>
          </cell>
        </row>
        <row r="93">
          <cell r="B93" t="str">
            <v>TS 98 GSR-EMF BG XEA EN 1-6 Gangfl.</v>
          </cell>
          <cell r="D93">
            <v>0</v>
          </cell>
          <cell r="E93" t="str">
            <v>x</v>
          </cell>
          <cell r="F93" t="str">
            <v>x</v>
          </cell>
          <cell r="G93">
            <v>0</v>
          </cell>
          <cell r="H93" t="str">
            <v>x</v>
          </cell>
          <cell r="I93" t="str">
            <v>x</v>
          </cell>
          <cell r="J93" t="str">
            <v>x</v>
          </cell>
          <cell r="K93" t="str">
            <v>x</v>
          </cell>
          <cell r="L93" t="str">
            <v>x</v>
          </cell>
          <cell r="M93" t="str">
            <v>x</v>
          </cell>
          <cell r="N93">
            <v>0</v>
          </cell>
          <cell r="O93" t="str">
            <v>x</v>
          </cell>
          <cell r="P93" t="str">
            <v>x</v>
          </cell>
          <cell r="Q93">
            <v>0</v>
          </cell>
          <cell r="R93" t="str">
            <v>x</v>
          </cell>
          <cell r="S93">
            <v>0</v>
          </cell>
          <cell r="T93">
            <v>0</v>
          </cell>
          <cell r="U93" t="str">
            <v>x</v>
          </cell>
          <cell r="V93" t="str">
            <v>x</v>
          </cell>
          <cell r="W93" t="str">
            <v>x</v>
          </cell>
          <cell r="X93" t="str">
            <v>x</v>
          </cell>
          <cell r="Y93">
            <v>0</v>
          </cell>
          <cell r="Z93">
            <v>0</v>
          </cell>
          <cell r="AA93" t="str">
            <v>x</v>
          </cell>
          <cell r="AB93">
            <v>0</v>
          </cell>
          <cell r="AC93" t="str">
            <v>x</v>
          </cell>
          <cell r="AD93">
            <v>0</v>
          </cell>
          <cell r="AE93" t="str">
            <v>x</v>
          </cell>
          <cell r="AF93" t="str">
            <v>x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98</v>
          </cell>
          <cell r="AM93" t="str">
            <v>1-6</v>
          </cell>
          <cell r="AT93" t="str">
            <v>x</v>
          </cell>
          <cell r="BW93">
            <v>327</v>
          </cell>
          <cell r="BX93">
            <v>59</v>
          </cell>
          <cell r="BY93">
            <v>60</v>
          </cell>
          <cell r="BZ93" t="str">
            <v>V</v>
          </cell>
          <cell r="CA93">
            <v>30</v>
          </cell>
          <cell r="CB93">
            <v>35</v>
          </cell>
          <cell r="CC93">
            <v>18</v>
          </cell>
          <cell r="CD93">
            <v>375</v>
          </cell>
          <cell r="CE93">
            <v>30</v>
          </cell>
          <cell r="CF93">
            <v>30</v>
          </cell>
          <cell r="CG93">
            <v>209</v>
          </cell>
          <cell r="CH93">
            <v>101</v>
          </cell>
          <cell r="CI93">
            <v>476</v>
          </cell>
          <cell r="CJ93">
            <v>310</v>
          </cell>
          <cell r="CK93">
            <v>166</v>
          </cell>
          <cell r="CL93">
            <v>0</v>
          </cell>
          <cell r="CM93">
            <v>0</v>
          </cell>
          <cell r="CN93">
            <v>0</v>
          </cell>
          <cell r="CO93">
            <v>0</v>
          </cell>
          <cell r="CP93">
            <v>0</v>
          </cell>
          <cell r="CQ93">
            <v>0</v>
          </cell>
          <cell r="CR93">
            <v>0</v>
          </cell>
          <cell r="CS93">
            <v>0</v>
          </cell>
          <cell r="CT93">
            <v>0</v>
          </cell>
          <cell r="CU93">
            <v>0</v>
          </cell>
          <cell r="CV93">
            <v>0</v>
          </cell>
          <cell r="CW93">
            <v>0</v>
          </cell>
          <cell r="CX93">
            <v>0</v>
          </cell>
          <cell r="CY93">
            <v>0</v>
          </cell>
          <cell r="CZ93">
            <v>0</v>
          </cell>
          <cell r="DA93">
            <v>0</v>
          </cell>
          <cell r="DB93">
            <v>0</v>
          </cell>
          <cell r="DC93">
            <v>0</v>
          </cell>
          <cell r="DD93">
            <v>0</v>
          </cell>
          <cell r="DE93">
            <v>0</v>
          </cell>
          <cell r="DF93">
            <v>0</v>
          </cell>
          <cell r="DG93">
            <v>108</v>
          </cell>
          <cell r="DH93">
            <v>0</v>
          </cell>
          <cell r="DI93">
            <v>17</v>
          </cell>
          <cell r="DJ93">
            <v>108</v>
          </cell>
          <cell r="DK93" t="str">
            <v>V</v>
          </cell>
          <cell r="DL93">
            <v>0</v>
          </cell>
          <cell r="DM93">
            <v>274</v>
          </cell>
          <cell r="DN93">
            <v>108</v>
          </cell>
          <cell r="DO93">
            <v>0</v>
          </cell>
          <cell r="DP93" t="str">
            <v>V</v>
          </cell>
          <cell r="DQ93">
            <v>108</v>
          </cell>
          <cell r="DR93" t="str">
            <v>V</v>
          </cell>
          <cell r="DS93" t="str">
            <v>V</v>
          </cell>
          <cell r="DT93">
            <v>274</v>
          </cell>
        </row>
        <row r="94">
          <cell r="B94" t="str">
            <v>TS 98 GSR-EMR BG XEA EN 1-6 Gangfl.</v>
          </cell>
          <cell r="D94">
            <v>0</v>
          </cell>
          <cell r="E94" t="str">
            <v>x</v>
          </cell>
          <cell r="F94" t="str">
            <v>x</v>
          </cell>
          <cell r="G94">
            <v>0</v>
          </cell>
          <cell r="H94" t="str">
            <v>x</v>
          </cell>
          <cell r="I94" t="str">
            <v>x</v>
          </cell>
          <cell r="J94" t="str">
            <v>x</v>
          </cell>
          <cell r="K94" t="str">
            <v>x</v>
          </cell>
          <cell r="L94" t="str">
            <v>x</v>
          </cell>
          <cell r="M94" t="str">
            <v>x</v>
          </cell>
          <cell r="N94">
            <v>0</v>
          </cell>
          <cell r="O94" t="str">
            <v>x</v>
          </cell>
          <cell r="P94" t="str">
            <v>x</v>
          </cell>
          <cell r="Q94">
            <v>0</v>
          </cell>
          <cell r="R94" t="str">
            <v>x</v>
          </cell>
          <cell r="S94">
            <v>0</v>
          </cell>
          <cell r="T94">
            <v>0</v>
          </cell>
          <cell r="U94" t="str">
            <v>x</v>
          </cell>
          <cell r="V94" t="str">
            <v>x</v>
          </cell>
          <cell r="W94" t="str">
            <v>x</v>
          </cell>
          <cell r="X94" t="str">
            <v>x</v>
          </cell>
          <cell r="Y94">
            <v>0</v>
          </cell>
          <cell r="Z94">
            <v>0</v>
          </cell>
          <cell r="AA94" t="str">
            <v>x</v>
          </cell>
          <cell r="AB94">
            <v>0</v>
          </cell>
          <cell r="AC94" t="str">
            <v>x</v>
          </cell>
          <cell r="AD94" t="str">
            <v>x</v>
          </cell>
          <cell r="AE94">
            <v>0</v>
          </cell>
          <cell r="AF94" t="str">
            <v>x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98</v>
          </cell>
          <cell r="AM94" t="str">
            <v>1-6</v>
          </cell>
          <cell r="AU94" t="str">
            <v>x</v>
          </cell>
          <cell r="BW94">
            <v>327</v>
          </cell>
          <cell r="BX94">
            <v>59</v>
          </cell>
          <cell r="BY94">
            <v>60</v>
          </cell>
          <cell r="BZ94" t="str">
            <v>V</v>
          </cell>
          <cell r="CA94">
            <v>30</v>
          </cell>
          <cell r="CB94">
            <v>55</v>
          </cell>
          <cell r="CC94">
            <v>18</v>
          </cell>
          <cell r="CD94">
            <v>375</v>
          </cell>
          <cell r="CE94">
            <v>30</v>
          </cell>
          <cell r="CF94">
            <v>30</v>
          </cell>
          <cell r="CG94">
            <v>209</v>
          </cell>
          <cell r="CH94">
            <v>101</v>
          </cell>
          <cell r="CI94">
            <v>476</v>
          </cell>
          <cell r="CJ94">
            <v>310</v>
          </cell>
          <cell r="CK94">
            <v>166</v>
          </cell>
          <cell r="CL94">
            <v>0</v>
          </cell>
          <cell r="CM94">
            <v>0</v>
          </cell>
          <cell r="CN94">
            <v>0</v>
          </cell>
          <cell r="CO94">
            <v>0</v>
          </cell>
          <cell r="CP94">
            <v>0</v>
          </cell>
          <cell r="CQ94">
            <v>0</v>
          </cell>
          <cell r="CR94">
            <v>0</v>
          </cell>
          <cell r="CS94">
            <v>0</v>
          </cell>
          <cell r="CT94">
            <v>0</v>
          </cell>
          <cell r="CU94">
            <v>0</v>
          </cell>
          <cell r="CV94">
            <v>0</v>
          </cell>
          <cell r="CW94">
            <v>0</v>
          </cell>
          <cell r="CX94">
            <v>0</v>
          </cell>
          <cell r="CY94">
            <v>0</v>
          </cell>
          <cell r="CZ94">
            <v>0</v>
          </cell>
          <cell r="DA94">
            <v>0</v>
          </cell>
          <cell r="DB94">
            <v>0</v>
          </cell>
          <cell r="DC94">
            <v>0</v>
          </cell>
          <cell r="DD94">
            <v>0</v>
          </cell>
          <cell r="DE94">
            <v>0</v>
          </cell>
          <cell r="DF94">
            <v>0</v>
          </cell>
          <cell r="DG94">
            <v>108</v>
          </cell>
          <cell r="DH94">
            <v>0</v>
          </cell>
          <cell r="DI94">
            <v>17</v>
          </cell>
          <cell r="DJ94">
            <v>108</v>
          </cell>
          <cell r="DK94" t="str">
            <v>V</v>
          </cell>
          <cell r="DL94">
            <v>0</v>
          </cell>
          <cell r="DM94">
            <v>274</v>
          </cell>
          <cell r="DN94">
            <v>108</v>
          </cell>
          <cell r="DO94">
            <v>0</v>
          </cell>
          <cell r="DP94" t="str">
            <v>V</v>
          </cell>
          <cell r="DQ94">
            <v>108</v>
          </cell>
          <cell r="DR94" t="str">
            <v>V</v>
          </cell>
          <cell r="DS94" t="str">
            <v>V</v>
          </cell>
          <cell r="DT94">
            <v>274</v>
          </cell>
        </row>
        <row r="95">
          <cell r="B95" t="str">
            <v>TS 98 GSR BG XEA EN 1-6 Standfl.</v>
          </cell>
          <cell r="E95" t="str">
            <v>x</v>
          </cell>
          <cell r="F95" t="str">
            <v>x</v>
          </cell>
          <cell r="H95" t="str">
            <v>x</v>
          </cell>
          <cell r="I95" t="str">
            <v>x</v>
          </cell>
          <cell r="J95" t="str">
            <v>x</v>
          </cell>
          <cell r="K95" t="str">
            <v>x</v>
          </cell>
          <cell r="L95" t="str">
            <v>x</v>
          </cell>
          <cell r="M95" t="str">
            <v>x</v>
          </cell>
          <cell r="O95" t="str">
            <v>x</v>
          </cell>
          <cell r="P95" t="str">
            <v>x</v>
          </cell>
          <cell r="R95" t="str">
            <v>x</v>
          </cell>
          <cell r="U95" t="str">
            <v>x</v>
          </cell>
          <cell r="V95" t="str">
            <v>x</v>
          </cell>
          <cell r="W95" t="str">
            <v>x</v>
          </cell>
          <cell r="X95" t="str">
            <v>x</v>
          </cell>
          <cell r="AA95" t="str">
            <v>x</v>
          </cell>
          <cell r="AF95" t="str">
            <v>x</v>
          </cell>
          <cell r="AK95">
            <v>98</v>
          </cell>
          <cell r="AM95" t="str">
            <v>1-6</v>
          </cell>
          <cell r="AS95" t="str">
            <v>x</v>
          </cell>
          <cell r="BW95">
            <v>327</v>
          </cell>
          <cell r="BX95">
            <v>59</v>
          </cell>
          <cell r="BY95">
            <v>60</v>
          </cell>
          <cell r="BZ95" t="str">
            <v>V</v>
          </cell>
          <cell r="CA95">
            <v>30</v>
          </cell>
          <cell r="CB95">
            <v>35</v>
          </cell>
          <cell r="CC95">
            <v>18</v>
          </cell>
          <cell r="CD95">
            <v>375</v>
          </cell>
          <cell r="CE95">
            <v>30</v>
          </cell>
          <cell r="CF95">
            <v>30</v>
          </cell>
          <cell r="CG95">
            <v>141</v>
          </cell>
          <cell r="CH95">
            <v>101</v>
          </cell>
          <cell r="CI95">
            <v>476</v>
          </cell>
          <cell r="CJ95">
            <v>423</v>
          </cell>
          <cell r="CK95">
            <v>53</v>
          </cell>
          <cell r="CL95">
            <v>0</v>
          </cell>
          <cell r="CM95">
            <v>0</v>
          </cell>
          <cell r="CN95">
            <v>0</v>
          </cell>
          <cell r="CO95">
            <v>0</v>
          </cell>
          <cell r="CP95">
            <v>0</v>
          </cell>
          <cell r="CQ95">
            <v>0</v>
          </cell>
          <cell r="CR95">
            <v>0</v>
          </cell>
          <cell r="CS95">
            <v>0</v>
          </cell>
          <cell r="CT95">
            <v>0</v>
          </cell>
          <cell r="CU95">
            <v>0</v>
          </cell>
          <cell r="CV95">
            <v>0</v>
          </cell>
          <cell r="CW95">
            <v>0</v>
          </cell>
          <cell r="CX95">
            <v>0</v>
          </cell>
          <cell r="CY95">
            <v>0</v>
          </cell>
          <cell r="CZ95">
            <v>0</v>
          </cell>
          <cell r="DA95">
            <v>0</v>
          </cell>
          <cell r="DB95">
            <v>0</v>
          </cell>
          <cell r="DC95">
            <v>0</v>
          </cell>
          <cell r="DD95">
            <v>0</v>
          </cell>
          <cell r="DE95">
            <v>0</v>
          </cell>
          <cell r="DF95">
            <v>0</v>
          </cell>
          <cell r="DG95">
            <v>40</v>
          </cell>
          <cell r="DH95">
            <v>0</v>
          </cell>
          <cell r="DI95">
            <v>17</v>
          </cell>
          <cell r="DJ95">
            <v>40</v>
          </cell>
          <cell r="DK95" t="str">
            <v>V</v>
          </cell>
          <cell r="DL95">
            <v>0</v>
          </cell>
          <cell r="DM95">
            <v>93</v>
          </cell>
          <cell r="DN95">
            <v>40</v>
          </cell>
          <cell r="DO95">
            <v>0</v>
          </cell>
          <cell r="DP95" t="str">
            <v>V</v>
          </cell>
          <cell r="DQ95">
            <v>40</v>
          </cell>
          <cell r="DR95" t="str">
            <v>V</v>
          </cell>
          <cell r="DS95" t="str">
            <v>V</v>
          </cell>
          <cell r="DT95">
            <v>93</v>
          </cell>
        </row>
        <row r="96">
          <cell r="B96" t="str">
            <v>TS 98 GSR-EMF BG XEA EN 1-6 Standfl.</v>
          </cell>
          <cell r="E96" t="str">
            <v>x</v>
          </cell>
          <cell r="F96" t="str">
            <v>x</v>
          </cell>
          <cell r="H96" t="str">
            <v>x</v>
          </cell>
          <cell r="I96" t="str">
            <v>x</v>
          </cell>
          <cell r="J96" t="str">
            <v>x</v>
          </cell>
          <cell r="K96" t="str">
            <v>x</v>
          </cell>
          <cell r="L96" t="str">
            <v>x</v>
          </cell>
          <cell r="M96" t="str">
            <v>x</v>
          </cell>
          <cell r="O96" t="str">
            <v>x</v>
          </cell>
          <cell r="P96" t="str">
            <v>x</v>
          </cell>
          <cell r="R96" t="str">
            <v>x</v>
          </cell>
          <cell r="U96" t="str">
            <v>x</v>
          </cell>
          <cell r="V96" t="str">
            <v>x</v>
          </cell>
          <cell r="W96" t="str">
            <v>x</v>
          </cell>
          <cell r="X96" t="str">
            <v>x</v>
          </cell>
          <cell r="AA96" t="str">
            <v>x</v>
          </cell>
          <cell r="AC96" t="str">
            <v>x</v>
          </cell>
          <cell r="AE96" t="str">
            <v>x</v>
          </cell>
          <cell r="AF96" t="str">
            <v>x</v>
          </cell>
          <cell r="AK96">
            <v>98</v>
          </cell>
          <cell r="AM96" t="str">
            <v>1-6</v>
          </cell>
          <cell r="AT96" t="str">
            <v>x</v>
          </cell>
          <cell r="BW96">
            <v>327</v>
          </cell>
          <cell r="BX96">
            <v>59</v>
          </cell>
          <cell r="BY96">
            <v>60</v>
          </cell>
          <cell r="BZ96" t="str">
            <v>V</v>
          </cell>
          <cell r="CA96">
            <v>30</v>
          </cell>
          <cell r="CB96">
            <v>35</v>
          </cell>
          <cell r="CC96">
            <v>18</v>
          </cell>
          <cell r="CD96">
            <v>375</v>
          </cell>
          <cell r="CE96">
            <v>30</v>
          </cell>
          <cell r="CF96">
            <v>30</v>
          </cell>
          <cell r="CG96">
            <v>141</v>
          </cell>
          <cell r="CH96">
            <v>101</v>
          </cell>
          <cell r="CI96">
            <v>476</v>
          </cell>
          <cell r="CJ96">
            <v>310</v>
          </cell>
          <cell r="CK96">
            <v>166</v>
          </cell>
          <cell r="CL96">
            <v>0</v>
          </cell>
          <cell r="CM96">
            <v>0</v>
          </cell>
          <cell r="CN96">
            <v>0</v>
          </cell>
          <cell r="CO96">
            <v>0</v>
          </cell>
          <cell r="CP96">
            <v>0</v>
          </cell>
          <cell r="CQ96">
            <v>0</v>
          </cell>
          <cell r="CR96">
            <v>0</v>
          </cell>
          <cell r="CS96">
            <v>0</v>
          </cell>
          <cell r="CT96">
            <v>0</v>
          </cell>
          <cell r="CU96">
            <v>0</v>
          </cell>
          <cell r="CV96">
            <v>0</v>
          </cell>
          <cell r="CW96">
            <v>0</v>
          </cell>
          <cell r="CX96">
            <v>0</v>
          </cell>
          <cell r="CY96">
            <v>0</v>
          </cell>
          <cell r="CZ96">
            <v>0</v>
          </cell>
          <cell r="DA96">
            <v>0</v>
          </cell>
          <cell r="DB96">
            <v>0</v>
          </cell>
          <cell r="DC96">
            <v>0</v>
          </cell>
          <cell r="DD96">
            <v>0</v>
          </cell>
          <cell r="DE96">
            <v>0</v>
          </cell>
          <cell r="DF96">
            <v>0</v>
          </cell>
          <cell r="DG96">
            <v>40</v>
          </cell>
          <cell r="DH96">
            <v>0</v>
          </cell>
          <cell r="DI96">
            <v>17</v>
          </cell>
          <cell r="DJ96">
            <v>40</v>
          </cell>
          <cell r="DK96" t="str">
            <v>V</v>
          </cell>
          <cell r="DL96">
            <v>0</v>
          </cell>
          <cell r="DM96">
            <v>206</v>
          </cell>
          <cell r="DN96">
            <v>40</v>
          </cell>
          <cell r="DO96">
            <v>0</v>
          </cell>
          <cell r="DP96" t="str">
            <v>V</v>
          </cell>
          <cell r="DQ96">
            <v>40</v>
          </cell>
          <cell r="DR96" t="str">
            <v>V</v>
          </cell>
          <cell r="DS96" t="str">
            <v>V</v>
          </cell>
          <cell r="DT96">
            <v>206</v>
          </cell>
        </row>
        <row r="97">
          <cell r="B97" t="str">
            <v>TS 98 GSR-EMR BG XEA EN 1-6 Standfl.</v>
          </cell>
          <cell r="E97" t="str">
            <v>x</v>
          </cell>
          <cell r="F97" t="str">
            <v>x</v>
          </cell>
          <cell r="H97" t="str">
            <v>x</v>
          </cell>
          <cell r="I97" t="str">
            <v>x</v>
          </cell>
          <cell r="J97" t="str">
            <v>x</v>
          </cell>
          <cell r="K97" t="str">
            <v>x</v>
          </cell>
          <cell r="L97" t="str">
            <v>x</v>
          </cell>
          <cell r="M97" t="str">
            <v>x</v>
          </cell>
          <cell r="O97" t="str">
            <v>x</v>
          </cell>
          <cell r="P97" t="str">
            <v>x</v>
          </cell>
          <cell r="R97" t="str">
            <v>x</v>
          </cell>
          <cell r="U97" t="str">
            <v>x</v>
          </cell>
          <cell r="V97" t="str">
            <v>x</v>
          </cell>
          <cell r="W97" t="str">
            <v>x</v>
          </cell>
          <cell r="X97" t="str">
            <v>x</v>
          </cell>
          <cell r="AA97" t="str">
            <v>x</v>
          </cell>
          <cell r="AC97" t="str">
            <v>x</v>
          </cell>
          <cell r="AD97" t="str">
            <v>x</v>
          </cell>
          <cell r="AF97" t="str">
            <v>x</v>
          </cell>
          <cell r="AK97">
            <v>98</v>
          </cell>
          <cell r="AM97" t="str">
            <v>1-6</v>
          </cell>
          <cell r="AU97" t="str">
            <v>x</v>
          </cell>
          <cell r="BW97">
            <v>327</v>
          </cell>
          <cell r="BX97">
            <v>59</v>
          </cell>
          <cell r="BY97">
            <v>60</v>
          </cell>
          <cell r="BZ97" t="str">
            <v>V</v>
          </cell>
          <cell r="CA97">
            <v>30</v>
          </cell>
          <cell r="CB97">
            <v>55</v>
          </cell>
          <cell r="CC97">
            <v>28</v>
          </cell>
          <cell r="CD97">
            <v>375</v>
          </cell>
          <cell r="CE97">
            <v>30</v>
          </cell>
          <cell r="CF97">
            <v>30</v>
          </cell>
          <cell r="CG97">
            <v>141</v>
          </cell>
          <cell r="CH97">
            <v>101</v>
          </cell>
          <cell r="CI97">
            <v>476</v>
          </cell>
          <cell r="CJ97">
            <v>310</v>
          </cell>
          <cell r="CK97">
            <v>166</v>
          </cell>
          <cell r="CL97">
            <v>0</v>
          </cell>
          <cell r="CM97">
            <v>0</v>
          </cell>
          <cell r="CN97">
            <v>0</v>
          </cell>
          <cell r="CO97">
            <v>0</v>
          </cell>
          <cell r="CP97">
            <v>0</v>
          </cell>
          <cell r="CQ97">
            <v>0</v>
          </cell>
          <cell r="CR97">
            <v>0</v>
          </cell>
          <cell r="CS97">
            <v>0</v>
          </cell>
          <cell r="CT97">
            <v>0</v>
          </cell>
          <cell r="CU97">
            <v>0</v>
          </cell>
          <cell r="CV97">
            <v>0</v>
          </cell>
          <cell r="CW97">
            <v>0</v>
          </cell>
          <cell r="CX97">
            <v>0</v>
          </cell>
          <cell r="CY97">
            <v>0</v>
          </cell>
          <cell r="CZ97">
            <v>0</v>
          </cell>
          <cell r="DA97">
            <v>0</v>
          </cell>
          <cell r="DB97">
            <v>0</v>
          </cell>
          <cell r="DC97">
            <v>0</v>
          </cell>
          <cell r="DD97">
            <v>0</v>
          </cell>
          <cell r="DE97">
            <v>0</v>
          </cell>
          <cell r="DF97">
            <v>0</v>
          </cell>
          <cell r="DG97">
            <v>40</v>
          </cell>
          <cell r="DH97">
            <v>0</v>
          </cell>
          <cell r="DI97">
            <v>17</v>
          </cell>
          <cell r="DJ97">
            <v>40</v>
          </cell>
          <cell r="DK97" t="str">
            <v>V</v>
          </cell>
          <cell r="DL97">
            <v>0</v>
          </cell>
          <cell r="DM97">
            <v>206</v>
          </cell>
          <cell r="DN97">
            <v>40</v>
          </cell>
          <cell r="DO97">
            <v>0</v>
          </cell>
          <cell r="DP97" t="str">
            <v>V</v>
          </cell>
          <cell r="DQ97">
            <v>40</v>
          </cell>
          <cell r="DR97" t="str">
            <v>V</v>
          </cell>
          <cell r="DS97" t="str">
            <v>V</v>
          </cell>
          <cell r="DT97">
            <v>206</v>
          </cell>
        </row>
        <row r="98">
          <cell r="B98" t="str">
            <v>TS 99 FL EN 2-5</v>
          </cell>
          <cell r="D98" t="str">
            <v>x</v>
          </cell>
          <cell r="F98" t="str">
            <v>x</v>
          </cell>
          <cell r="I98" t="str">
            <v>x</v>
          </cell>
          <cell r="J98" t="str">
            <v>x</v>
          </cell>
          <cell r="K98" t="str">
            <v>x</v>
          </cell>
          <cell r="L98" t="str">
            <v>x</v>
          </cell>
          <cell r="O98" t="str">
            <v>x</v>
          </cell>
          <cell r="R98" t="str">
            <v>x</v>
          </cell>
          <cell r="U98" t="str">
            <v>x</v>
          </cell>
          <cell r="V98" t="str">
            <v>x</v>
          </cell>
          <cell r="Y98" t="str">
            <v>x</v>
          </cell>
          <cell r="AE98" t="str">
            <v>x</v>
          </cell>
          <cell r="AF98" t="str">
            <v>x</v>
          </cell>
          <cell r="AK98">
            <v>99</v>
          </cell>
          <cell r="AL98" t="str">
            <v>B</v>
          </cell>
          <cell r="AM98" t="str">
            <v>2-5</v>
          </cell>
          <cell r="BH98" t="str">
            <v>x</v>
          </cell>
          <cell r="BW98">
            <v>413</v>
          </cell>
          <cell r="BX98">
            <v>52</v>
          </cell>
          <cell r="BY98">
            <v>71</v>
          </cell>
          <cell r="BZ98">
            <v>442</v>
          </cell>
          <cell r="CA98">
            <v>23</v>
          </cell>
          <cell r="CB98">
            <v>31</v>
          </cell>
          <cell r="CC98">
            <v>16</v>
          </cell>
          <cell r="CD98">
            <v>375</v>
          </cell>
          <cell r="CE98">
            <v>27</v>
          </cell>
          <cell r="CF98">
            <v>27</v>
          </cell>
          <cell r="CG98">
            <v>175</v>
          </cell>
          <cell r="CH98">
            <v>97</v>
          </cell>
          <cell r="CI98">
            <v>407</v>
          </cell>
          <cell r="CJ98">
            <v>364</v>
          </cell>
          <cell r="CK98">
            <v>43</v>
          </cell>
          <cell r="CL98">
            <v>78</v>
          </cell>
          <cell r="CM98">
            <v>0</v>
          </cell>
          <cell r="CN98">
            <v>1</v>
          </cell>
          <cell r="CO98">
            <v>143</v>
          </cell>
          <cell r="CP98" t="str">
            <v>V</v>
          </cell>
          <cell r="CQ98">
            <v>11</v>
          </cell>
          <cell r="CR98">
            <v>186</v>
          </cell>
          <cell r="CS98">
            <v>0</v>
          </cell>
          <cell r="CT98">
            <v>0</v>
          </cell>
          <cell r="CU98">
            <v>0</v>
          </cell>
          <cell r="CV98">
            <v>0</v>
          </cell>
          <cell r="CW98">
            <v>0</v>
          </cell>
          <cell r="CX98">
            <v>0</v>
          </cell>
          <cell r="CY98">
            <v>0</v>
          </cell>
          <cell r="CZ98">
            <v>0</v>
          </cell>
          <cell r="DA98">
            <v>0</v>
          </cell>
          <cell r="DB98">
            <v>0</v>
          </cell>
          <cell r="DC98">
            <v>0</v>
          </cell>
          <cell r="DD98">
            <v>0</v>
          </cell>
          <cell r="DE98">
            <v>0</v>
          </cell>
          <cell r="DF98">
            <v>0</v>
          </cell>
          <cell r="DG98">
            <v>0</v>
          </cell>
          <cell r="DH98">
            <v>0</v>
          </cell>
          <cell r="DI98">
            <v>0</v>
          </cell>
          <cell r="DJ98">
            <v>0</v>
          </cell>
          <cell r="DK98">
            <v>0</v>
          </cell>
          <cell r="DL98">
            <v>0</v>
          </cell>
          <cell r="DM98">
            <v>0</v>
          </cell>
          <cell r="DN98">
            <v>0</v>
          </cell>
          <cell r="DO98">
            <v>0</v>
          </cell>
          <cell r="DP98">
            <v>0</v>
          </cell>
          <cell r="DQ98">
            <v>0</v>
          </cell>
          <cell r="DR98">
            <v>0</v>
          </cell>
          <cell r="DS98">
            <v>0</v>
          </cell>
          <cell r="DT98">
            <v>0</v>
          </cell>
        </row>
        <row r="99">
          <cell r="B99" t="str">
            <v>TS 99 G FL EN 2-5</v>
          </cell>
          <cell r="D99" t="str">
            <v>x</v>
          </cell>
          <cell r="E99">
            <v>0</v>
          </cell>
          <cell r="F99" t="str">
            <v>x</v>
          </cell>
          <cell r="G99">
            <v>0</v>
          </cell>
          <cell r="H99">
            <v>0</v>
          </cell>
          <cell r="I99" t="str">
            <v>x</v>
          </cell>
          <cell r="J99" t="str">
            <v>x</v>
          </cell>
          <cell r="K99" t="str">
            <v>x</v>
          </cell>
          <cell r="L99" t="str">
            <v>x</v>
          </cell>
          <cell r="M99">
            <v>0</v>
          </cell>
          <cell r="N99">
            <v>0</v>
          </cell>
          <cell r="O99" t="str">
            <v>x</v>
          </cell>
          <cell r="P99">
            <v>0</v>
          </cell>
          <cell r="Q99">
            <v>0</v>
          </cell>
          <cell r="R99">
            <v>0</v>
          </cell>
          <cell r="S99" t="str">
            <v>x</v>
          </cell>
          <cell r="T99">
            <v>0</v>
          </cell>
          <cell r="U99" t="str">
            <v>x</v>
          </cell>
          <cell r="V99" t="str">
            <v>x</v>
          </cell>
          <cell r="W99">
            <v>0</v>
          </cell>
          <cell r="X99">
            <v>0</v>
          </cell>
          <cell r="Y99" t="str">
            <v>x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 t="str">
            <v>x</v>
          </cell>
          <cell r="AF99" t="str">
            <v>x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99</v>
          </cell>
          <cell r="AL99" t="str">
            <v>B</v>
          </cell>
          <cell r="AM99" t="str">
            <v>2-5</v>
          </cell>
          <cell r="BH99" t="str">
            <v>x</v>
          </cell>
          <cell r="BW99">
            <v>413</v>
          </cell>
          <cell r="BX99">
            <v>52</v>
          </cell>
          <cell r="BY99">
            <v>71</v>
          </cell>
          <cell r="BZ99">
            <v>442</v>
          </cell>
          <cell r="CA99">
            <v>23</v>
          </cell>
          <cell r="CB99">
            <v>31</v>
          </cell>
          <cell r="CC99">
            <v>16</v>
          </cell>
          <cell r="CD99">
            <v>375</v>
          </cell>
          <cell r="CE99">
            <v>27</v>
          </cell>
          <cell r="CF99">
            <v>27</v>
          </cell>
          <cell r="CG99">
            <v>175</v>
          </cell>
          <cell r="CH99">
            <v>97</v>
          </cell>
          <cell r="CI99">
            <v>407</v>
          </cell>
          <cell r="CJ99">
            <v>364</v>
          </cell>
          <cell r="CK99">
            <v>43</v>
          </cell>
          <cell r="CL99">
            <v>0</v>
          </cell>
          <cell r="CM99">
            <v>0</v>
          </cell>
          <cell r="CN99">
            <v>0</v>
          </cell>
          <cell r="CO99">
            <v>0</v>
          </cell>
          <cell r="CP99">
            <v>0</v>
          </cell>
          <cell r="CQ99">
            <v>0</v>
          </cell>
          <cell r="CR99">
            <v>0</v>
          </cell>
          <cell r="CS99">
            <v>0</v>
          </cell>
          <cell r="CT99">
            <v>0</v>
          </cell>
          <cell r="CU99">
            <v>0</v>
          </cell>
          <cell r="CV99">
            <v>0</v>
          </cell>
          <cell r="CW99">
            <v>0</v>
          </cell>
          <cell r="CX99">
            <v>0</v>
          </cell>
          <cell r="CY99">
            <v>0</v>
          </cell>
          <cell r="CZ99">
            <v>78</v>
          </cell>
          <cell r="DA99" t="str">
            <v>V</v>
          </cell>
          <cell r="DB99">
            <v>13</v>
          </cell>
          <cell r="DC99">
            <v>143</v>
          </cell>
          <cell r="DD99">
            <v>0</v>
          </cell>
          <cell r="DE99">
            <v>0</v>
          </cell>
          <cell r="DF99">
            <v>186</v>
          </cell>
          <cell r="DG99">
            <v>0</v>
          </cell>
          <cell r="DH99">
            <v>0</v>
          </cell>
          <cell r="DI99">
            <v>0</v>
          </cell>
          <cell r="DJ99">
            <v>0</v>
          </cell>
          <cell r="DK99">
            <v>0</v>
          </cell>
          <cell r="DL99">
            <v>0</v>
          </cell>
          <cell r="DM99">
            <v>0</v>
          </cell>
          <cell r="DN99">
            <v>0</v>
          </cell>
          <cell r="DO99">
            <v>0</v>
          </cell>
          <cell r="DP99">
            <v>0</v>
          </cell>
          <cell r="DQ99">
            <v>0</v>
          </cell>
          <cell r="DR99">
            <v>0</v>
          </cell>
          <cell r="DS99">
            <v>0</v>
          </cell>
          <cell r="DT99">
            <v>0</v>
          </cell>
        </row>
        <row r="100">
          <cell r="B100" t="str">
            <v>TS 99 FLR EN 2-5</v>
          </cell>
          <cell r="D100" t="str">
            <v>x</v>
          </cell>
          <cell r="F100" t="str">
            <v>x</v>
          </cell>
          <cell r="I100" t="str">
            <v>x</v>
          </cell>
          <cell r="J100" t="str">
            <v>x</v>
          </cell>
          <cell r="K100" t="str">
            <v>x</v>
          </cell>
          <cell r="L100" t="str">
            <v>x</v>
          </cell>
          <cell r="O100" t="str">
            <v>x</v>
          </cell>
          <cell r="S100" t="str">
            <v>x</v>
          </cell>
          <cell r="U100" t="str">
            <v>x</v>
          </cell>
          <cell r="V100" t="str">
            <v>x</v>
          </cell>
          <cell r="Y100" t="str">
            <v>x</v>
          </cell>
          <cell r="AD100" t="str">
            <v>x</v>
          </cell>
          <cell r="AF100" t="str">
            <v>x</v>
          </cell>
          <cell r="AK100">
            <v>99</v>
          </cell>
          <cell r="AL100" t="str">
            <v>B</v>
          </cell>
          <cell r="AM100" t="str">
            <v>2-5</v>
          </cell>
          <cell r="BI100" t="str">
            <v>x</v>
          </cell>
          <cell r="BW100">
            <v>785</v>
          </cell>
          <cell r="BX100">
            <v>52</v>
          </cell>
          <cell r="BY100">
            <v>71</v>
          </cell>
          <cell r="BZ100">
            <v>442</v>
          </cell>
          <cell r="CA100">
            <v>23</v>
          </cell>
          <cell r="CB100">
            <v>31</v>
          </cell>
          <cell r="CC100">
            <v>16</v>
          </cell>
          <cell r="CD100">
            <v>375</v>
          </cell>
          <cell r="CE100">
            <v>27</v>
          </cell>
          <cell r="CF100" t="str">
            <v>V</v>
          </cell>
          <cell r="CG100">
            <v>175</v>
          </cell>
          <cell r="CH100">
            <v>97</v>
          </cell>
          <cell r="CI100">
            <v>407</v>
          </cell>
          <cell r="CJ100">
            <v>364</v>
          </cell>
          <cell r="CK100">
            <v>43</v>
          </cell>
          <cell r="CL100">
            <v>0</v>
          </cell>
          <cell r="CM100">
            <v>0</v>
          </cell>
          <cell r="CN100">
            <v>0</v>
          </cell>
          <cell r="CO100">
            <v>0</v>
          </cell>
          <cell r="CP100">
            <v>0</v>
          </cell>
          <cell r="CQ100">
            <v>0</v>
          </cell>
          <cell r="CR100">
            <v>0</v>
          </cell>
          <cell r="CS100">
            <v>0</v>
          </cell>
          <cell r="CT100">
            <v>0</v>
          </cell>
          <cell r="CU100">
            <v>0</v>
          </cell>
          <cell r="CV100">
            <v>0</v>
          </cell>
          <cell r="CW100">
            <v>0</v>
          </cell>
          <cell r="CX100">
            <v>0</v>
          </cell>
          <cell r="CY100">
            <v>0</v>
          </cell>
          <cell r="CZ100">
            <v>78</v>
          </cell>
          <cell r="DA100">
            <v>0</v>
          </cell>
          <cell r="DB100">
            <v>1</v>
          </cell>
          <cell r="DC100">
            <v>143</v>
          </cell>
          <cell r="DD100">
            <v>0</v>
          </cell>
          <cell r="DE100">
            <v>0</v>
          </cell>
          <cell r="DF100">
            <v>186</v>
          </cell>
          <cell r="DG100">
            <v>0</v>
          </cell>
          <cell r="DH100">
            <v>0</v>
          </cell>
          <cell r="DI100">
            <v>0</v>
          </cell>
          <cell r="DJ100">
            <v>0</v>
          </cell>
          <cell r="DK100">
            <v>0</v>
          </cell>
          <cell r="DL100">
            <v>0</v>
          </cell>
          <cell r="DM100">
            <v>0</v>
          </cell>
          <cell r="DN100">
            <v>0</v>
          </cell>
          <cell r="DO100">
            <v>0</v>
          </cell>
          <cell r="DP100">
            <v>0</v>
          </cell>
          <cell r="DQ100">
            <v>0</v>
          </cell>
          <cell r="DR100">
            <v>0</v>
          </cell>
          <cell r="DS100">
            <v>0</v>
          </cell>
          <cell r="DT100">
            <v>0</v>
          </cell>
        </row>
        <row r="101">
          <cell r="B101" t="str">
            <v>TS 99 FLR-K EN 2-5</v>
          </cell>
          <cell r="D101" t="str">
            <v>x</v>
          </cell>
          <cell r="F101" t="str">
            <v>x</v>
          </cell>
          <cell r="I101" t="str">
            <v>x</v>
          </cell>
          <cell r="J101" t="str">
            <v>x</v>
          </cell>
          <cell r="K101" t="str">
            <v>x</v>
          </cell>
          <cell r="L101" t="str">
            <v>x</v>
          </cell>
          <cell r="O101" t="str">
            <v>x</v>
          </cell>
          <cell r="R101" t="str">
            <v>x</v>
          </cell>
          <cell r="U101" t="str">
            <v>x</v>
          </cell>
          <cell r="V101" t="str">
            <v>x</v>
          </cell>
          <cell r="Y101" t="str">
            <v>x</v>
          </cell>
          <cell r="AD101" t="str">
            <v>x</v>
          </cell>
          <cell r="AF101" t="str">
            <v>x</v>
          </cell>
          <cell r="AK101">
            <v>99</v>
          </cell>
          <cell r="AL101" t="str">
            <v>B</v>
          </cell>
          <cell r="AM101" t="str">
            <v>2-5</v>
          </cell>
          <cell r="BJ101" t="str">
            <v>x</v>
          </cell>
          <cell r="BW101">
            <v>413</v>
          </cell>
          <cell r="BX101">
            <v>52</v>
          </cell>
          <cell r="BY101">
            <v>71</v>
          </cell>
          <cell r="BZ101">
            <v>864</v>
          </cell>
          <cell r="CA101">
            <v>30</v>
          </cell>
          <cell r="CB101">
            <v>40</v>
          </cell>
          <cell r="CC101">
            <v>20</v>
          </cell>
          <cell r="CD101">
            <v>375</v>
          </cell>
          <cell r="CE101">
            <v>27</v>
          </cell>
          <cell r="CF101">
            <v>27</v>
          </cell>
          <cell r="CG101">
            <v>175</v>
          </cell>
          <cell r="CH101">
            <v>97</v>
          </cell>
          <cell r="CI101">
            <v>407</v>
          </cell>
          <cell r="CJ101">
            <v>356</v>
          </cell>
          <cell r="CK101">
            <v>51</v>
          </cell>
          <cell r="CL101">
            <v>78</v>
          </cell>
          <cell r="CM101">
            <v>0</v>
          </cell>
          <cell r="CN101">
            <v>1</v>
          </cell>
          <cell r="CO101">
            <v>143</v>
          </cell>
          <cell r="CP101" t="str">
            <v>V</v>
          </cell>
          <cell r="CQ101">
            <v>13</v>
          </cell>
          <cell r="CR101">
            <v>194</v>
          </cell>
          <cell r="CS101">
            <v>0</v>
          </cell>
          <cell r="CT101">
            <v>0</v>
          </cell>
          <cell r="CU101">
            <v>0</v>
          </cell>
          <cell r="CV101">
            <v>0</v>
          </cell>
          <cell r="CW101">
            <v>0</v>
          </cell>
          <cell r="CX101">
            <v>0</v>
          </cell>
          <cell r="CY101">
            <v>0</v>
          </cell>
          <cell r="CZ101">
            <v>0</v>
          </cell>
          <cell r="DA101">
            <v>0</v>
          </cell>
          <cell r="DB101">
            <v>0</v>
          </cell>
          <cell r="DC101">
            <v>0</v>
          </cell>
          <cell r="DD101">
            <v>0</v>
          </cell>
          <cell r="DE101">
            <v>0</v>
          </cell>
          <cell r="DF101">
            <v>0</v>
          </cell>
          <cell r="DG101">
            <v>0</v>
          </cell>
          <cell r="DH101">
            <v>0</v>
          </cell>
          <cell r="DI101">
            <v>0</v>
          </cell>
          <cell r="DJ101">
            <v>0</v>
          </cell>
          <cell r="DK101">
            <v>0</v>
          </cell>
          <cell r="DL101">
            <v>0</v>
          </cell>
          <cell r="DM101">
            <v>0</v>
          </cell>
          <cell r="DN101">
            <v>0</v>
          </cell>
          <cell r="DO101">
            <v>0</v>
          </cell>
          <cell r="DP101">
            <v>0</v>
          </cell>
          <cell r="DQ101">
            <v>0</v>
          </cell>
          <cell r="DR101">
            <v>0</v>
          </cell>
          <cell r="DS101">
            <v>0</v>
          </cell>
          <cell r="DT101">
            <v>0</v>
          </cell>
        </row>
        <row r="102">
          <cell r="B102" t="str">
            <v>TS 99  FL GSR-EMR 0 EN 2-5</v>
          </cell>
          <cell r="E102" t="str">
            <v>x</v>
          </cell>
          <cell r="F102" t="str">
            <v>x</v>
          </cell>
          <cell r="I102" t="str">
            <v>x</v>
          </cell>
          <cell r="J102" t="str">
            <v>x</v>
          </cell>
          <cell r="K102" t="str">
            <v>x</v>
          </cell>
          <cell r="L102" t="str">
            <v>x</v>
          </cell>
          <cell r="O102" t="str">
            <v>x</v>
          </cell>
          <cell r="R102" t="str">
            <v>x</v>
          </cell>
          <cell r="U102" t="str">
            <v>x</v>
          </cell>
          <cell r="V102" t="str">
            <v>x</v>
          </cell>
          <cell r="X102">
            <v>0</v>
          </cell>
          <cell r="Y102" t="str">
            <v>x</v>
          </cell>
          <cell r="AA102" t="str">
            <v>x</v>
          </cell>
          <cell r="AD102" t="str">
            <v>x</v>
          </cell>
          <cell r="AF102" t="str">
            <v>x</v>
          </cell>
          <cell r="AK102">
            <v>99</v>
          </cell>
          <cell r="AL102" t="str">
            <v>B</v>
          </cell>
          <cell r="AM102" t="str">
            <v>2-5</v>
          </cell>
          <cell r="BK102" t="str">
            <v>x</v>
          </cell>
          <cell r="BW102">
            <v>413</v>
          </cell>
          <cell r="BX102">
            <v>52</v>
          </cell>
          <cell r="BY102">
            <v>71</v>
          </cell>
          <cell r="BZ102" t="str">
            <v>V</v>
          </cell>
          <cell r="CA102">
            <v>30</v>
          </cell>
          <cell r="CB102">
            <v>55</v>
          </cell>
          <cell r="CC102">
            <v>28</v>
          </cell>
          <cell r="CD102">
            <v>375</v>
          </cell>
          <cell r="CE102">
            <v>27</v>
          </cell>
          <cell r="CF102">
            <v>27</v>
          </cell>
          <cell r="CG102">
            <v>175</v>
          </cell>
          <cell r="CH102">
            <v>97</v>
          </cell>
          <cell r="CI102">
            <v>466</v>
          </cell>
          <cell r="CJ102">
            <v>415</v>
          </cell>
          <cell r="CK102">
            <v>51</v>
          </cell>
          <cell r="CL102">
            <v>78</v>
          </cell>
          <cell r="CM102">
            <v>0</v>
          </cell>
          <cell r="CN102">
            <v>1</v>
          </cell>
          <cell r="CO102">
            <v>84</v>
          </cell>
          <cell r="CP102" t="str">
            <v>V</v>
          </cell>
          <cell r="CQ102">
            <v>13</v>
          </cell>
          <cell r="CR102">
            <v>135</v>
          </cell>
          <cell r="CS102">
            <v>0</v>
          </cell>
          <cell r="CT102">
            <v>0</v>
          </cell>
          <cell r="CU102">
            <v>0</v>
          </cell>
          <cell r="CV102">
            <v>0</v>
          </cell>
          <cell r="CW102">
            <v>0</v>
          </cell>
          <cell r="CX102">
            <v>0</v>
          </cell>
          <cell r="CY102">
            <v>0</v>
          </cell>
          <cell r="CZ102">
            <v>0</v>
          </cell>
          <cell r="DA102">
            <v>0</v>
          </cell>
          <cell r="DB102">
            <v>0</v>
          </cell>
          <cell r="DC102">
            <v>0</v>
          </cell>
          <cell r="DD102">
            <v>0</v>
          </cell>
          <cell r="DE102">
            <v>0</v>
          </cell>
          <cell r="DF102">
            <v>0</v>
          </cell>
          <cell r="DG102">
            <v>0</v>
          </cell>
          <cell r="DH102">
            <v>0</v>
          </cell>
          <cell r="DI102">
            <v>0</v>
          </cell>
          <cell r="DJ102">
            <v>0</v>
          </cell>
          <cell r="DK102">
            <v>0</v>
          </cell>
          <cell r="DL102">
            <v>0</v>
          </cell>
          <cell r="DM102">
            <v>0</v>
          </cell>
          <cell r="DN102">
            <v>0</v>
          </cell>
          <cell r="DO102">
            <v>0</v>
          </cell>
          <cell r="DP102">
            <v>0</v>
          </cell>
          <cell r="DQ102">
            <v>0</v>
          </cell>
          <cell r="DR102">
            <v>0</v>
          </cell>
          <cell r="DS102">
            <v>0</v>
          </cell>
          <cell r="DT102">
            <v>0</v>
          </cell>
        </row>
        <row r="103">
          <cell r="B103" t="str">
            <v>TS 99  FL GSR-EMR 1 EN 2-5</v>
          </cell>
          <cell r="C103">
            <v>0</v>
          </cell>
          <cell r="D103">
            <v>0</v>
          </cell>
          <cell r="E103" t="str">
            <v>x</v>
          </cell>
          <cell r="F103" t="str">
            <v>x</v>
          </cell>
          <cell r="G103">
            <v>0</v>
          </cell>
          <cell r="H103">
            <v>0</v>
          </cell>
          <cell r="I103" t="str">
            <v>x</v>
          </cell>
          <cell r="J103" t="str">
            <v>x</v>
          </cell>
          <cell r="K103" t="str">
            <v>x</v>
          </cell>
          <cell r="L103" t="str">
            <v>x</v>
          </cell>
          <cell r="M103">
            <v>0</v>
          </cell>
          <cell r="N103">
            <v>0</v>
          </cell>
          <cell r="O103" t="str">
            <v>x</v>
          </cell>
          <cell r="P103">
            <v>0</v>
          </cell>
          <cell r="Q103">
            <v>0</v>
          </cell>
          <cell r="R103" t="str">
            <v>x</v>
          </cell>
          <cell r="S103">
            <v>0</v>
          </cell>
          <cell r="T103">
            <v>0</v>
          </cell>
          <cell r="U103" t="str">
            <v>x</v>
          </cell>
          <cell r="V103" t="str">
            <v>x</v>
          </cell>
          <cell r="W103">
            <v>0</v>
          </cell>
          <cell r="X103">
            <v>0</v>
          </cell>
          <cell r="Y103" t="str">
            <v>x</v>
          </cell>
          <cell r="Z103">
            <v>0</v>
          </cell>
          <cell r="AA103" t="str">
            <v>x</v>
          </cell>
          <cell r="AB103">
            <v>0</v>
          </cell>
          <cell r="AC103" t="str">
            <v>x</v>
          </cell>
          <cell r="AD103" t="str">
            <v>x</v>
          </cell>
          <cell r="AE103">
            <v>0</v>
          </cell>
          <cell r="AF103" t="str">
            <v>x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99</v>
          </cell>
          <cell r="AL103" t="str">
            <v>B</v>
          </cell>
          <cell r="AM103" t="str">
            <v>2-5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0</v>
          </cell>
          <cell r="BH103">
            <v>0</v>
          </cell>
          <cell r="BI103">
            <v>0</v>
          </cell>
          <cell r="BJ103">
            <v>0</v>
          </cell>
          <cell r="BK103" t="str">
            <v>x</v>
          </cell>
          <cell r="BL103">
            <v>0</v>
          </cell>
          <cell r="BM103">
            <v>0</v>
          </cell>
          <cell r="BN103">
            <v>0</v>
          </cell>
          <cell r="BO103">
            <v>0</v>
          </cell>
          <cell r="BP103">
            <v>0</v>
          </cell>
          <cell r="BQ103">
            <v>0</v>
          </cell>
          <cell r="BR103">
            <v>0</v>
          </cell>
          <cell r="BS103">
            <v>0</v>
          </cell>
          <cell r="BT103">
            <v>0</v>
          </cell>
          <cell r="BU103">
            <v>0</v>
          </cell>
          <cell r="BV103">
            <v>0</v>
          </cell>
          <cell r="BW103">
            <v>413</v>
          </cell>
          <cell r="BX103">
            <v>52</v>
          </cell>
          <cell r="BY103">
            <v>71</v>
          </cell>
          <cell r="BZ103" t="str">
            <v>V</v>
          </cell>
          <cell r="CA103">
            <v>30</v>
          </cell>
          <cell r="CB103">
            <v>55</v>
          </cell>
          <cell r="CC103">
            <v>28</v>
          </cell>
          <cell r="CD103">
            <v>375</v>
          </cell>
          <cell r="CE103">
            <v>27</v>
          </cell>
          <cell r="CF103">
            <v>27</v>
          </cell>
          <cell r="CG103">
            <v>175</v>
          </cell>
          <cell r="CH103">
            <v>97</v>
          </cell>
          <cell r="CI103">
            <v>466</v>
          </cell>
          <cell r="CJ103">
            <v>415</v>
          </cell>
          <cell r="CK103">
            <v>51</v>
          </cell>
          <cell r="CL103">
            <v>78</v>
          </cell>
          <cell r="CM103">
            <v>0</v>
          </cell>
          <cell r="CN103">
            <v>1</v>
          </cell>
          <cell r="CO103">
            <v>84</v>
          </cell>
          <cell r="CP103" t="str">
            <v>V</v>
          </cell>
          <cell r="CQ103">
            <v>13</v>
          </cell>
          <cell r="CR103">
            <v>135</v>
          </cell>
          <cell r="CS103">
            <v>0</v>
          </cell>
          <cell r="CT103">
            <v>0</v>
          </cell>
          <cell r="CU103">
            <v>0</v>
          </cell>
          <cell r="CV103">
            <v>0</v>
          </cell>
          <cell r="CW103">
            <v>0</v>
          </cell>
          <cell r="CX103">
            <v>0</v>
          </cell>
          <cell r="CY103">
            <v>0</v>
          </cell>
          <cell r="CZ103">
            <v>0</v>
          </cell>
          <cell r="DA103">
            <v>0</v>
          </cell>
          <cell r="DB103">
            <v>0</v>
          </cell>
          <cell r="DC103">
            <v>0</v>
          </cell>
          <cell r="DD103">
            <v>0</v>
          </cell>
          <cell r="DE103">
            <v>0</v>
          </cell>
          <cell r="DF103">
            <v>0</v>
          </cell>
          <cell r="DG103">
            <v>0</v>
          </cell>
          <cell r="DH103">
            <v>0</v>
          </cell>
          <cell r="DI103">
            <v>0</v>
          </cell>
          <cell r="DJ103">
            <v>0</v>
          </cell>
          <cell r="DK103">
            <v>0</v>
          </cell>
          <cell r="DL103">
            <v>0</v>
          </cell>
          <cell r="DM103">
            <v>0</v>
          </cell>
          <cell r="DN103">
            <v>0</v>
          </cell>
          <cell r="DO103">
            <v>0</v>
          </cell>
          <cell r="DP103">
            <v>0</v>
          </cell>
          <cell r="DQ103">
            <v>0</v>
          </cell>
          <cell r="DR103">
            <v>0</v>
          </cell>
          <cell r="DS103">
            <v>0</v>
          </cell>
          <cell r="DT103">
            <v>0</v>
          </cell>
        </row>
        <row r="104">
          <cell r="B104" t="str">
            <v>TS 71 EN 4</v>
          </cell>
          <cell r="C104">
            <v>0</v>
          </cell>
          <cell r="D104" t="str">
            <v>x</v>
          </cell>
          <cell r="E104">
            <v>0</v>
          </cell>
          <cell r="F104" t="str">
            <v>x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x</v>
          </cell>
          <cell r="L104">
            <v>0</v>
          </cell>
          <cell r="M104">
            <v>0</v>
          </cell>
          <cell r="N104">
            <v>0</v>
          </cell>
          <cell r="O104" t="str">
            <v>A</v>
          </cell>
          <cell r="P104" t="str">
            <v>B</v>
          </cell>
          <cell r="Q104">
            <v>0</v>
          </cell>
          <cell r="R104" t="str">
            <v>A</v>
          </cell>
          <cell r="S104" t="str">
            <v>B</v>
          </cell>
          <cell r="T104">
            <v>0</v>
          </cell>
          <cell r="U104" t="str">
            <v>x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 t="str">
            <v>x</v>
          </cell>
          <cell r="AH104">
            <v>0</v>
          </cell>
          <cell r="AI104">
            <v>0</v>
          </cell>
          <cell r="AJ104">
            <v>0</v>
          </cell>
          <cell r="AK104">
            <v>71</v>
          </cell>
          <cell r="AL104" t="str">
            <v>B</v>
          </cell>
          <cell r="AM104" t="str">
            <v>4</v>
          </cell>
          <cell r="BM104" t="str">
            <v>x</v>
          </cell>
          <cell r="BW104">
            <v>232</v>
          </cell>
          <cell r="BX104">
            <v>45</v>
          </cell>
          <cell r="BY104">
            <v>68</v>
          </cell>
          <cell r="BZ104">
            <v>305</v>
          </cell>
          <cell r="CA104">
            <v>20</v>
          </cell>
          <cell r="CB104">
            <v>20</v>
          </cell>
          <cell r="CC104">
            <v>0</v>
          </cell>
          <cell r="CD104">
            <v>250</v>
          </cell>
          <cell r="CE104">
            <v>22</v>
          </cell>
          <cell r="CF104">
            <v>22</v>
          </cell>
          <cell r="CG104">
            <v>194</v>
          </cell>
          <cell r="CH104">
            <v>117</v>
          </cell>
          <cell r="CI104" t="str">
            <v>_</v>
          </cell>
          <cell r="CJ104" t="str">
            <v>_</v>
          </cell>
          <cell r="CK104" t="str">
            <v>_</v>
          </cell>
          <cell r="CL104">
            <v>77</v>
          </cell>
          <cell r="CM104">
            <v>0</v>
          </cell>
          <cell r="CN104">
            <v>6</v>
          </cell>
          <cell r="CO104">
            <v>245</v>
          </cell>
          <cell r="CP104" t="str">
            <v>V</v>
          </cell>
          <cell r="CQ104">
            <v>22</v>
          </cell>
          <cell r="CR104" t="str">
            <v>_</v>
          </cell>
          <cell r="CS104">
            <v>77</v>
          </cell>
          <cell r="CT104" t="str">
            <v>V</v>
          </cell>
          <cell r="CU104">
            <v>6</v>
          </cell>
          <cell r="CV104">
            <v>245</v>
          </cell>
          <cell r="CW104" t="str">
            <v>V</v>
          </cell>
          <cell r="CX104">
            <v>22</v>
          </cell>
          <cell r="CY104" t="str">
            <v>_</v>
          </cell>
          <cell r="CZ104">
            <v>0</v>
          </cell>
          <cell r="DA104">
            <v>0</v>
          </cell>
          <cell r="DB104">
            <v>0</v>
          </cell>
          <cell r="DC104">
            <v>0</v>
          </cell>
          <cell r="DD104">
            <v>0</v>
          </cell>
          <cell r="DE104">
            <v>0</v>
          </cell>
          <cell r="DF104">
            <v>0</v>
          </cell>
          <cell r="DG104">
            <v>0</v>
          </cell>
          <cell r="DH104">
            <v>0</v>
          </cell>
          <cell r="DI104">
            <v>0</v>
          </cell>
          <cell r="DJ104">
            <v>0</v>
          </cell>
          <cell r="DK104">
            <v>0</v>
          </cell>
          <cell r="DL104">
            <v>0</v>
          </cell>
          <cell r="DM104">
            <v>0</v>
          </cell>
          <cell r="DN104">
            <v>0</v>
          </cell>
          <cell r="DO104">
            <v>0</v>
          </cell>
          <cell r="DP104">
            <v>0</v>
          </cell>
          <cell r="DQ104">
            <v>0</v>
          </cell>
          <cell r="DR104">
            <v>0</v>
          </cell>
          <cell r="DS104">
            <v>0</v>
          </cell>
          <cell r="DT104">
            <v>0</v>
          </cell>
        </row>
        <row r="105">
          <cell r="B105" t="str">
            <v>TS 71 RF EN 4</v>
          </cell>
          <cell r="D105" t="str">
            <v>x</v>
          </cell>
          <cell r="F105" t="str">
            <v>x</v>
          </cell>
          <cell r="K105" t="str">
            <v>x</v>
          </cell>
          <cell r="O105" t="str">
            <v>A</v>
          </cell>
          <cell r="P105" t="str">
            <v>B</v>
          </cell>
          <cell r="R105" t="str">
            <v>A</v>
          </cell>
          <cell r="S105" t="str">
            <v>B</v>
          </cell>
          <cell r="U105" t="str">
            <v>x</v>
          </cell>
          <cell r="AB105" t="str">
            <v>x</v>
          </cell>
          <cell r="AG105" t="str">
            <v>x</v>
          </cell>
          <cell r="AK105">
            <v>71</v>
          </cell>
          <cell r="AL105" t="str">
            <v>B</v>
          </cell>
          <cell r="AM105" t="str">
            <v>4</v>
          </cell>
          <cell r="BP105" t="str">
            <v>x</v>
          </cell>
          <cell r="BS105">
            <v>0</v>
          </cell>
          <cell r="BT105">
            <v>0</v>
          </cell>
          <cell r="BU105">
            <v>0</v>
          </cell>
          <cell r="BV105">
            <v>0</v>
          </cell>
          <cell r="BW105">
            <v>232</v>
          </cell>
          <cell r="BX105">
            <v>45</v>
          </cell>
          <cell r="BY105">
            <v>68</v>
          </cell>
          <cell r="BZ105">
            <v>305</v>
          </cell>
          <cell r="CA105">
            <v>30</v>
          </cell>
          <cell r="CB105">
            <v>20</v>
          </cell>
          <cell r="CC105">
            <v>0</v>
          </cell>
          <cell r="CD105">
            <v>250</v>
          </cell>
          <cell r="CE105">
            <v>22</v>
          </cell>
          <cell r="CF105">
            <v>22</v>
          </cell>
          <cell r="CG105">
            <v>194</v>
          </cell>
          <cell r="CH105">
            <v>117</v>
          </cell>
          <cell r="CI105" t="str">
            <v>_</v>
          </cell>
          <cell r="CJ105" t="str">
            <v>_</v>
          </cell>
          <cell r="CK105" t="str">
            <v>_</v>
          </cell>
          <cell r="CL105">
            <v>77</v>
          </cell>
          <cell r="CM105">
            <v>0</v>
          </cell>
          <cell r="CN105">
            <v>6</v>
          </cell>
          <cell r="CO105">
            <v>245</v>
          </cell>
          <cell r="CP105" t="str">
            <v>V</v>
          </cell>
          <cell r="CQ105">
            <v>22</v>
          </cell>
          <cell r="CR105" t="str">
            <v>_</v>
          </cell>
          <cell r="CS105">
            <v>77</v>
          </cell>
          <cell r="CT105" t="str">
            <v>V</v>
          </cell>
          <cell r="CU105">
            <v>6</v>
          </cell>
          <cell r="CV105">
            <v>245</v>
          </cell>
          <cell r="CW105" t="str">
            <v>V</v>
          </cell>
          <cell r="CX105">
            <v>22</v>
          </cell>
          <cell r="CY105" t="str">
            <v>_</v>
          </cell>
          <cell r="CZ105">
            <v>0</v>
          </cell>
          <cell r="DA105">
            <v>0</v>
          </cell>
          <cell r="DB105">
            <v>0</v>
          </cell>
          <cell r="DC105">
            <v>0</v>
          </cell>
          <cell r="DD105">
            <v>0</v>
          </cell>
          <cell r="DE105">
            <v>0</v>
          </cell>
          <cell r="DF105">
            <v>0</v>
          </cell>
          <cell r="DG105">
            <v>0</v>
          </cell>
          <cell r="DH105">
            <v>0</v>
          </cell>
          <cell r="DI105">
            <v>0</v>
          </cell>
          <cell r="DJ105">
            <v>0</v>
          </cell>
          <cell r="DK105">
            <v>0</v>
          </cell>
          <cell r="DL105">
            <v>0</v>
          </cell>
          <cell r="DM105">
            <v>0</v>
          </cell>
          <cell r="DN105">
            <v>0</v>
          </cell>
          <cell r="DO105">
            <v>0</v>
          </cell>
          <cell r="DP105">
            <v>0</v>
          </cell>
          <cell r="DQ105">
            <v>0</v>
          </cell>
          <cell r="DR105">
            <v>0</v>
          </cell>
          <cell r="DS105">
            <v>0</v>
          </cell>
          <cell r="DT105">
            <v>0</v>
          </cell>
        </row>
        <row r="106">
          <cell r="B106" t="str">
            <v>TS 72 EN 2-4</v>
          </cell>
          <cell r="D106" t="str">
            <v>x</v>
          </cell>
          <cell r="F106" t="str">
            <v>x</v>
          </cell>
          <cell r="I106" t="str">
            <v>x</v>
          </cell>
          <cell r="J106" t="str">
            <v>x</v>
          </cell>
          <cell r="K106" t="str">
            <v>x</v>
          </cell>
          <cell r="O106" t="str">
            <v>A</v>
          </cell>
          <cell r="P106" t="str">
            <v>B</v>
          </cell>
          <cell r="R106" t="str">
            <v>A</v>
          </cell>
          <cell r="S106" t="str">
            <v>B</v>
          </cell>
          <cell r="U106" t="str">
            <v>x</v>
          </cell>
          <cell r="AG106" t="str">
            <v>x</v>
          </cell>
          <cell r="AK106">
            <v>72</v>
          </cell>
          <cell r="AL106" t="str">
            <v>B</v>
          </cell>
          <cell r="AM106" t="str">
            <v>2-4</v>
          </cell>
          <cell r="BM106" t="str">
            <v>x</v>
          </cell>
          <cell r="BW106">
            <v>232</v>
          </cell>
          <cell r="BX106">
            <v>45</v>
          </cell>
          <cell r="BY106">
            <v>68</v>
          </cell>
          <cell r="BZ106">
            <v>305</v>
          </cell>
          <cell r="CA106">
            <v>20</v>
          </cell>
          <cell r="CB106">
            <v>20</v>
          </cell>
          <cell r="CC106">
            <v>0</v>
          </cell>
          <cell r="CD106">
            <v>250</v>
          </cell>
          <cell r="CE106">
            <v>22</v>
          </cell>
          <cell r="CF106">
            <v>22</v>
          </cell>
          <cell r="CG106">
            <v>194</v>
          </cell>
          <cell r="CH106">
            <v>117</v>
          </cell>
          <cell r="CI106" t="str">
            <v>_</v>
          </cell>
          <cell r="CJ106" t="str">
            <v>_</v>
          </cell>
          <cell r="CK106" t="str">
            <v>_</v>
          </cell>
          <cell r="CL106">
            <v>77</v>
          </cell>
          <cell r="CM106">
            <v>0</v>
          </cell>
          <cell r="CN106">
            <v>6</v>
          </cell>
          <cell r="CO106">
            <v>245</v>
          </cell>
          <cell r="CP106" t="str">
            <v>V</v>
          </cell>
          <cell r="CQ106">
            <v>22</v>
          </cell>
          <cell r="CR106" t="str">
            <v>_</v>
          </cell>
          <cell r="CS106">
            <v>77</v>
          </cell>
          <cell r="CT106" t="str">
            <v>V</v>
          </cell>
          <cell r="CU106">
            <v>6</v>
          </cell>
          <cell r="CV106">
            <v>245</v>
          </cell>
          <cell r="CW106" t="str">
            <v>V</v>
          </cell>
          <cell r="CX106">
            <v>22</v>
          </cell>
          <cell r="CY106" t="str">
            <v>_</v>
          </cell>
          <cell r="CZ106">
            <v>0</v>
          </cell>
          <cell r="DA106">
            <v>0</v>
          </cell>
          <cell r="DB106">
            <v>0</v>
          </cell>
          <cell r="DC106">
            <v>0</v>
          </cell>
          <cell r="DD106">
            <v>0</v>
          </cell>
          <cell r="DE106">
            <v>0</v>
          </cell>
          <cell r="DF106">
            <v>0</v>
          </cell>
          <cell r="DG106">
            <v>0</v>
          </cell>
          <cell r="DH106">
            <v>0</v>
          </cell>
          <cell r="DI106">
            <v>0</v>
          </cell>
          <cell r="DJ106">
            <v>0</v>
          </cell>
          <cell r="DK106">
            <v>0</v>
          </cell>
          <cell r="DL106">
            <v>0</v>
          </cell>
          <cell r="DM106">
            <v>0</v>
          </cell>
          <cell r="DN106">
            <v>0</v>
          </cell>
          <cell r="DO106">
            <v>0</v>
          </cell>
          <cell r="DP106">
            <v>0</v>
          </cell>
          <cell r="DQ106">
            <v>0</v>
          </cell>
          <cell r="DR106">
            <v>0</v>
          </cell>
          <cell r="DS106">
            <v>0</v>
          </cell>
          <cell r="DT106">
            <v>0</v>
          </cell>
        </row>
        <row r="107">
          <cell r="B107" t="str">
            <v>TS 72 RF EN 2-4</v>
          </cell>
          <cell r="C107">
            <v>0</v>
          </cell>
          <cell r="D107" t="str">
            <v>x</v>
          </cell>
          <cell r="E107">
            <v>0</v>
          </cell>
          <cell r="F107" t="str">
            <v>x</v>
          </cell>
          <cell r="G107">
            <v>0</v>
          </cell>
          <cell r="H107">
            <v>0</v>
          </cell>
          <cell r="I107" t="str">
            <v>x</v>
          </cell>
          <cell r="J107" t="str">
            <v>x</v>
          </cell>
          <cell r="K107" t="str">
            <v>x</v>
          </cell>
          <cell r="L107">
            <v>0</v>
          </cell>
          <cell r="M107">
            <v>0</v>
          </cell>
          <cell r="N107">
            <v>0</v>
          </cell>
          <cell r="O107" t="str">
            <v>A</v>
          </cell>
          <cell r="P107" t="str">
            <v>B</v>
          </cell>
          <cell r="Q107">
            <v>0</v>
          </cell>
          <cell r="R107" t="str">
            <v>A</v>
          </cell>
          <cell r="S107" t="str">
            <v>B</v>
          </cell>
          <cell r="T107">
            <v>0</v>
          </cell>
          <cell r="U107" t="str">
            <v>x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 t="str">
            <v>x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 t="str">
            <v>x</v>
          </cell>
          <cell r="AH107">
            <v>0</v>
          </cell>
          <cell r="AI107">
            <v>0</v>
          </cell>
          <cell r="AJ107">
            <v>0</v>
          </cell>
          <cell r="AK107">
            <v>72</v>
          </cell>
          <cell r="AL107" t="str">
            <v>B</v>
          </cell>
          <cell r="AM107" t="str">
            <v>2-4</v>
          </cell>
          <cell r="BP107" t="str">
            <v>x</v>
          </cell>
          <cell r="BW107">
            <v>232</v>
          </cell>
          <cell r="BX107">
            <v>45</v>
          </cell>
          <cell r="BY107">
            <v>68</v>
          </cell>
          <cell r="BZ107">
            <v>305</v>
          </cell>
          <cell r="CA107">
            <v>30</v>
          </cell>
          <cell r="CB107">
            <v>20</v>
          </cell>
          <cell r="CC107">
            <v>0</v>
          </cell>
          <cell r="CD107">
            <v>250</v>
          </cell>
          <cell r="CE107">
            <v>22</v>
          </cell>
          <cell r="CF107">
            <v>22</v>
          </cell>
          <cell r="CG107">
            <v>194</v>
          </cell>
          <cell r="CH107">
            <v>117</v>
          </cell>
          <cell r="CI107" t="str">
            <v>_</v>
          </cell>
          <cell r="CJ107" t="str">
            <v>_</v>
          </cell>
          <cell r="CK107" t="str">
            <v>_</v>
          </cell>
          <cell r="CL107">
            <v>77</v>
          </cell>
          <cell r="CM107">
            <v>0</v>
          </cell>
          <cell r="CN107">
            <v>6</v>
          </cell>
          <cell r="CO107">
            <v>245</v>
          </cell>
          <cell r="CP107" t="str">
            <v>V</v>
          </cell>
          <cell r="CQ107">
            <v>22</v>
          </cell>
          <cell r="CR107" t="str">
            <v>_</v>
          </cell>
          <cell r="CS107">
            <v>77</v>
          </cell>
          <cell r="CT107" t="str">
            <v>V</v>
          </cell>
          <cell r="CU107">
            <v>6</v>
          </cell>
          <cell r="CV107">
            <v>245</v>
          </cell>
          <cell r="CW107" t="str">
            <v>V</v>
          </cell>
          <cell r="CX107">
            <v>22</v>
          </cell>
          <cell r="CY107" t="str">
            <v>_</v>
          </cell>
          <cell r="CZ107">
            <v>0</v>
          </cell>
          <cell r="DA107">
            <v>0</v>
          </cell>
          <cell r="DB107">
            <v>0</v>
          </cell>
          <cell r="DC107">
            <v>0</v>
          </cell>
          <cell r="DD107">
            <v>0</v>
          </cell>
          <cell r="DE107">
            <v>0</v>
          </cell>
          <cell r="DF107">
            <v>0</v>
          </cell>
          <cell r="DG107">
            <v>0</v>
          </cell>
          <cell r="DH107">
            <v>0</v>
          </cell>
          <cell r="DI107">
            <v>0</v>
          </cell>
          <cell r="DJ107">
            <v>0</v>
          </cell>
          <cell r="DK107">
            <v>0</v>
          </cell>
          <cell r="DL107">
            <v>0</v>
          </cell>
          <cell r="DM107">
            <v>0</v>
          </cell>
          <cell r="DN107">
            <v>0</v>
          </cell>
          <cell r="DO107">
            <v>0</v>
          </cell>
          <cell r="DP107">
            <v>0</v>
          </cell>
          <cell r="DQ107">
            <v>0</v>
          </cell>
          <cell r="DR107">
            <v>0</v>
          </cell>
          <cell r="DS107">
            <v>0</v>
          </cell>
          <cell r="DT107">
            <v>0</v>
          </cell>
        </row>
        <row r="108">
          <cell r="B108" t="str">
            <v>TS 73V EN 2-4</v>
          </cell>
          <cell r="D108" t="str">
            <v>x</v>
          </cell>
          <cell r="F108" t="str">
            <v>x</v>
          </cell>
          <cell r="I108" t="str">
            <v>x</v>
          </cell>
          <cell r="J108" t="str">
            <v>x</v>
          </cell>
          <cell r="K108" t="str">
            <v>x</v>
          </cell>
          <cell r="O108" t="str">
            <v>A</v>
          </cell>
          <cell r="P108" t="str">
            <v>B</v>
          </cell>
          <cell r="R108" t="str">
            <v>A</v>
          </cell>
          <cell r="S108" t="str">
            <v>B</v>
          </cell>
          <cell r="U108" t="str">
            <v>x</v>
          </cell>
          <cell r="AG108" t="str">
            <v>x</v>
          </cell>
          <cell r="AK108" t="str">
            <v>73V</v>
          </cell>
          <cell r="AL108" t="str">
            <v>B</v>
          </cell>
          <cell r="AM108" t="str">
            <v>2-4</v>
          </cell>
          <cell r="BM108" t="str">
            <v>x</v>
          </cell>
          <cell r="BW108">
            <v>225</v>
          </cell>
          <cell r="BX108">
            <v>40</v>
          </cell>
          <cell r="BY108">
            <v>60</v>
          </cell>
          <cell r="BZ108">
            <v>305</v>
          </cell>
          <cell r="CA108">
            <v>20</v>
          </cell>
          <cell r="CB108">
            <v>20</v>
          </cell>
          <cell r="CC108">
            <v>0</v>
          </cell>
          <cell r="CD108">
            <v>250</v>
          </cell>
          <cell r="CE108">
            <v>20</v>
          </cell>
          <cell r="CF108">
            <v>20</v>
          </cell>
          <cell r="CG108">
            <v>194</v>
          </cell>
          <cell r="CH108">
            <v>74</v>
          </cell>
          <cell r="CI108" t="str">
            <v>_</v>
          </cell>
          <cell r="CJ108" t="str">
            <v>_</v>
          </cell>
          <cell r="CK108" t="str">
            <v>_</v>
          </cell>
          <cell r="CL108">
            <v>120</v>
          </cell>
          <cell r="CM108">
            <v>0</v>
          </cell>
          <cell r="CN108">
            <v>8</v>
          </cell>
          <cell r="CO108">
            <v>245</v>
          </cell>
          <cell r="CP108" t="str">
            <v>V</v>
          </cell>
          <cell r="CQ108">
            <v>22</v>
          </cell>
          <cell r="CR108" t="str">
            <v>_</v>
          </cell>
          <cell r="CS108">
            <v>120</v>
          </cell>
          <cell r="CT108" t="str">
            <v>V</v>
          </cell>
          <cell r="CU108">
            <v>8</v>
          </cell>
          <cell r="CV108">
            <v>245</v>
          </cell>
          <cell r="CW108" t="str">
            <v>V</v>
          </cell>
          <cell r="CX108">
            <v>22</v>
          </cell>
          <cell r="CY108" t="str">
            <v>_</v>
          </cell>
          <cell r="CZ108">
            <v>0</v>
          </cell>
          <cell r="DA108">
            <v>0</v>
          </cell>
          <cell r="DB108">
            <v>0</v>
          </cell>
          <cell r="DC108">
            <v>0</v>
          </cell>
          <cell r="DD108">
            <v>0</v>
          </cell>
          <cell r="DE108">
            <v>0</v>
          </cell>
          <cell r="DF108">
            <v>0</v>
          </cell>
          <cell r="DG108">
            <v>0</v>
          </cell>
          <cell r="DH108">
            <v>0</v>
          </cell>
          <cell r="DI108">
            <v>0</v>
          </cell>
          <cell r="DJ108">
            <v>0</v>
          </cell>
          <cell r="DK108">
            <v>0</v>
          </cell>
          <cell r="DL108">
            <v>0</v>
          </cell>
          <cell r="DM108">
            <v>0</v>
          </cell>
          <cell r="DN108">
            <v>0</v>
          </cell>
          <cell r="DO108">
            <v>0</v>
          </cell>
          <cell r="DP108">
            <v>0</v>
          </cell>
          <cell r="DQ108">
            <v>0</v>
          </cell>
          <cell r="DR108">
            <v>0</v>
          </cell>
          <cell r="DS108">
            <v>0</v>
          </cell>
          <cell r="DT108">
            <v>0</v>
          </cell>
        </row>
        <row r="109">
          <cell r="B109" t="str">
            <v>TS 73V EN 2-4 + SR</v>
          </cell>
          <cell r="E109" t="str">
            <v>x</v>
          </cell>
          <cell r="F109" t="str">
            <v>x</v>
          </cell>
          <cell r="I109" t="str">
            <v>x</v>
          </cell>
          <cell r="J109" t="str">
            <v>x</v>
          </cell>
          <cell r="K109" t="str">
            <v>x</v>
          </cell>
          <cell r="O109" t="str">
            <v>x</v>
          </cell>
          <cell r="R109" t="str">
            <v>x</v>
          </cell>
          <cell r="U109" t="str">
            <v>x</v>
          </cell>
          <cell r="W109" t="str">
            <v>x</v>
          </cell>
          <cell r="AG109" t="str">
            <v>x</v>
          </cell>
          <cell r="AK109" t="str">
            <v>73V</v>
          </cell>
          <cell r="AL109" t="str">
            <v>B</v>
          </cell>
          <cell r="AM109" t="str">
            <v>2-4</v>
          </cell>
          <cell r="BM109" t="str">
            <v>x</v>
          </cell>
          <cell r="BS109" t="str">
            <v>x</v>
          </cell>
          <cell r="BW109">
            <v>225</v>
          </cell>
          <cell r="BX109">
            <v>40</v>
          </cell>
          <cell r="BY109">
            <v>60</v>
          </cell>
          <cell r="BZ109">
            <v>305</v>
          </cell>
          <cell r="CA109">
            <v>20</v>
          </cell>
          <cell r="CB109">
            <v>20</v>
          </cell>
          <cell r="CC109">
            <v>0</v>
          </cell>
          <cell r="CD109">
            <v>250</v>
          </cell>
          <cell r="CE109">
            <v>20</v>
          </cell>
          <cell r="CF109">
            <v>20</v>
          </cell>
          <cell r="CG109">
            <v>194</v>
          </cell>
          <cell r="CH109">
            <v>74</v>
          </cell>
          <cell r="CI109" t="str">
            <v>_</v>
          </cell>
          <cell r="CJ109" t="str">
            <v>_</v>
          </cell>
          <cell r="CK109" t="str">
            <v>_</v>
          </cell>
          <cell r="CL109">
            <v>120</v>
          </cell>
          <cell r="CM109">
            <v>0</v>
          </cell>
          <cell r="CN109">
            <v>8</v>
          </cell>
          <cell r="CO109">
            <v>245</v>
          </cell>
          <cell r="CP109" t="str">
            <v>V</v>
          </cell>
          <cell r="CQ109">
            <v>22</v>
          </cell>
          <cell r="CR109" t="str">
            <v>_</v>
          </cell>
          <cell r="CS109">
            <v>0</v>
          </cell>
          <cell r="CT109">
            <v>0</v>
          </cell>
          <cell r="CU109">
            <v>0</v>
          </cell>
          <cell r="CV109">
            <v>0</v>
          </cell>
          <cell r="CW109">
            <v>0</v>
          </cell>
          <cell r="CX109">
            <v>0</v>
          </cell>
          <cell r="CY109">
            <v>0</v>
          </cell>
          <cell r="CZ109">
            <v>0</v>
          </cell>
          <cell r="DA109">
            <v>0</v>
          </cell>
          <cell r="DB109">
            <v>0</v>
          </cell>
          <cell r="DC109">
            <v>0</v>
          </cell>
          <cell r="DD109">
            <v>0</v>
          </cell>
          <cell r="DE109">
            <v>0</v>
          </cell>
          <cell r="DF109">
            <v>0</v>
          </cell>
          <cell r="DG109">
            <v>0</v>
          </cell>
          <cell r="DH109">
            <v>0</v>
          </cell>
          <cell r="DI109">
            <v>0</v>
          </cell>
          <cell r="DJ109">
            <v>0</v>
          </cell>
          <cell r="DK109">
            <v>0</v>
          </cell>
          <cell r="DL109">
            <v>0</v>
          </cell>
          <cell r="DM109">
            <v>0</v>
          </cell>
          <cell r="DN109">
            <v>0</v>
          </cell>
          <cell r="DO109">
            <v>0</v>
          </cell>
          <cell r="DP109">
            <v>0</v>
          </cell>
          <cell r="DQ109">
            <v>0</v>
          </cell>
          <cell r="DR109">
            <v>0</v>
          </cell>
          <cell r="DS109">
            <v>0</v>
          </cell>
          <cell r="DT109">
            <v>0</v>
          </cell>
        </row>
        <row r="110">
          <cell r="B110" t="str">
            <v>TS 73V RF EN 2-4</v>
          </cell>
          <cell r="D110" t="str">
            <v>x</v>
          </cell>
          <cell r="F110" t="str">
            <v>x</v>
          </cell>
          <cell r="I110" t="str">
            <v>x</v>
          </cell>
          <cell r="J110" t="str">
            <v>x</v>
          </cell>
          <cell r="K110" t="str">
            <v>x</v>
          </cell>
          <cell r="O110" t="str">
            <v>A</v>
          </cell>
          <cell r="P110" t="str">
            <v>B</v>
          </cell>
          <cell r="R110" t="str">
            <v>A</v>
          </cell>
          <cell r="S110" t="str">
            <v>B</v>
          </cell>
          <cell r="U110" t="str">
            <v>x</v>
          </cell>
          <cell r="AB110" t="str">
            <v>x</v>
          </cell>
          <cell r="AG110" t="str">
            <v>x</v>
          </cell>
          <cell r="AK110" t="str">
            <v>73V</v>
          </cell>
          <cell r="AL110" t="str">
            <v>B</v>
          </cell>
          <cell r="AM110" t="str">
            <v>2-4</v>
          </cell>
          <cell r="BP110" t="str">
            <v>x</v>
          </cell>
          <cell r="BW110">
            <v>225</v>
          </cell>
          <cell r="BX110">
            <v>40</v>
          </cell>
          <cell r="BY110">
            <v>60</v>
          </cell>
          <cell r="BZ110">
            <v>305</v>
          </cell>
          <cell r="CA110">
            <v>30</v>
          </cell>
          <cell r="CB110">
            <v>20</v>
          </cell>
          <cell r="CC110">
            <v>0</v>
          </cell>
          <cell r="CD110">
            <v>250</v>
          </cell>
          <cell r="CE110">
            <v>20</v>
          </cell>
          <cell r="CF110">
            <v>20</v>
          </cell>
          <cell r="CG110">
            <v>194</v>
          </cell>
          <cell r="CH110">
            <v>74</v>
          </cell>
          <cell r="CI110" t="str">
            <v>_</v>
          </cell>
          <cell r="CJ110" t="str">
            <v>_</v>
          </cell>
          <cell r="CK110" t="str">
            <v>_</v>
          </cell>
          <cell r="CL110">
            <v>120</v>
          </cell>
          <cell r="CM110">
            <v>0</v>
          </cell>
          <cell r="CN110">
            <v>8</v>
          </cell>
          <cell r="CO110">
            <v>245</v>
          </cell>
          <cell r="CP110" t="str">
            <v>V</v>
          </cell>
          <cell r="CQ110">
            <v>22</v>
          </cell>
          <cell r="CR110" t="str">
            <v>_</v>
          </cell>
          <cell r="CS110">
            <v>120</v>
          </cell>
          <cell r="CT110" t="str">
            <v>V</v>
          </cell>
          <cell r="CU110">
            <v>8</v>
          </cell>
          <cell r="CV110">
            <v>245</v>
          </cell>
          <cell r="CW110" t="str">
            <v>V</v>
          </cell>
          <cell r="CX110">
            <v>22</v>
          </cell>
          <cell r="CY110" t="str">
            <v>_</v>
          </cell>
          <cell r="CZ110">
            <v>0</v>
          </cell>
          <cell r="DA110">
            <v>0</v>
          </cell>
          <cell r="DB110">
            <v>0</v>
          </cell>
          <cell r="DC110">
            <v>0</v>
          </cell>
          <cell r="DD110">
            <v>0</v>
          </cell>
          <cell r="DE110">
            <v>0</v>
          </cell>
          <cell r="DF110">
            <v>0</v>
          </cell>
          <cell r="DG110">
            <v>0</v>
          </cell>
          <cell r="DH110">
            <v>0</v>
          </cell>
          <cell r="DI110">
            <v>0</v>
          </cell>
          <cell r="DJ110">
            <v>0</v>
          </cell>
          <cell r="DK110">
            <v>0</v>
          </cell>
          <cell r="DL110">
            <v>0</v>
          </cell>
          <cell r="DM110">
            <v>0</v>
          </cell>
          <cell r="DN110">
            <v>0</v>
          </cell>
          <cell r="DO110">
            <v>0</v>
          </cell>
          <cell r="DP110">
            <v>0</v>
          </cell>
          <cell r="DQ110">
            <v>0</v>
          </cell>
          <cell r="DR110">
            <v>0</v>
          </cell>
          <cell r="DS110">
            <v>0</v>
          </cell>
          <cell r="DT110">
            <v>0</v>
          </cell>
        </row>
        <row r="111">
          <cell r="B111" t="str">
            <v>TS 73 EMF EN 4</v>
          </cell>
          <cell r="D111" t="str">
            <v>x</v>
          </cell>
          <cell r="F111" t="str">
            <v>x</v>
          </cell>
          <cell r="K111" t="str">
            <v>x</v>
          </cell>
          <cell r="O111" t="str">
            <v>A</v>
          </cell>
          <cell r="P111" t="str">
            <v>B</v>
          </cell>
          <cell r="R111" t="str">
            <v>A</v>
          </cell>
          <cell r="S111" t="str">
            <v>B</v>
          </cell>
          <cell r="U111" t="str">
            <v>x</v>
          </cell>
          <cell r="AC111" t="str">
            <v>x</v>
          </cell>
          <cell r="AE111" t="str">
            <v>x</v>
          </cell>
          <cell r="AG111" t="str">
            <v>x</v>
          </cell>
          <cell r="AK111">
            <v>73</v>
          </cell>
          <cell r="AL111" t="str">
            <v>B</v>
          </cell>
          <cell r="AM111" t="str">
            <v>4</v>
          </cell>
          <cell r="BM111" t="str">
            <v>x</v>
          </cell>
          <cell r="BW111">
            <v>320</v>
          </cell>
          <cell r="BX111">
            <v>46</v>
          </cell>
          <cell r="BY111">
            <v>60</v>
          </cell>
          <cell r="BZ111">
            <v>305</v>
          </cell>
          <cell r="CA111">
            <v>20</v>
          </cell>
          <cell r="CB111">
            <v>20</v>
          </cell>
          <cell r="CC111">
            <v>0</v>
          </cell>
          <cell r="CD111">
            <v>250</v>
          </cell>
          <cell r="CE111">
            <v>22</v>
          </cell>
          <cell r="CF111">
            <v>22</v>
          </cell>
          <cell r="CG111">
            <v>194</v>
          </cell>
          <cell r="CH111">
            <v>84</v>
          </cell>
          <cell r="CI111" t="str">
            <v>_</v>
          </cell>
          <cell r="CJ111" t="str">
            <v>_</v>
          </cell>
          <cell r="CK111" t="str">
            <v>_</v>
          </cell>
          <cell r="CL111">
            <v>110</v>
          </cell>
          <cell r="CM111">
            <v>0</v>
          </cell>
          <cell r="CN111">
            <v>8</v>
          </cell>
          <cell r="CO111">
            <v>245</v>
          </cell>
          <cell r="CP111" t="str">
            <v>V</v>
          </cell>
          <cell r="CQ111">
            <v>22</v>
          </cell>
          <cell r="CR111" t="str">
            <v>_</v>
          </cell>
          <cell r="CS111">
            <v>110</v>
          </cell>
          <cell r="CT111" t="str">
            <v>V</v>
          </cell>
          <cell r="CU111">
            <v>8</v>
          </cell>
          <cell r="CV111">
            <v>245</v>
          </cell>
          <cell r="CW111" t="str">
            <v>V</v>
          </cell>
          <cell r="CX111">
            <v>22</v>
          </cell>
          <cell r="CY111" t="str">
            <v>_</v>
          </cell>
          <cell r="CZ111">
            <v>0</v>
          </cell>
          <cell r="DA111">
            <v>0</v>
          </cell>
          <cell r="DB111">
            <v>0</v>
          </cell>
          <cell r="DC111">
            <v>0</v>
          </cell>
          <cell r="DD111">
            <v>0</v>
          </cell>
          <cell r="DE111">
            <v>0</v>
          </cell>
          <cell r="DF111">
            <v>0</v>
          </cell>
          <cell r="DG111">
            <v>0</v>
          </cell>
          <cell r="DH111">
            <v>0</v>
          </cell>
          <cell r="DI111">
            <v>0</v>
          </cell>
          <cell r="DJ111">
            <v>0</v>
          </cell>
          <cell r="DK111">
            <v>0</v>
          </cell>
          <cell r="DL111">
            <v>0</v>
          </cell>
          <cell r="DM111">
            <v>0</v>
          </cell>
          <cell r="DN111">
            <v>0</v>
          </cell>
          <cell r="DO111">
            <v>0</v>
          </cell>
          <cell r="DP111">
            <v>0</v>
          </cell>
          <cell r="DQ111">
            <v>0</v>
          </cell>
          <cell r="DR111">
            <v>0</v>
          </cell>
          <cell r="DS111">
            <v>0</v>
          </cell>
          <cell r="DT111">
            <v>0</v>
          </cell>
        </row>
        <row r="112">
          <cell r="B112" t="str">
            <v>TS 73 EMF EN 5</v>
          </cell>
          <cell r="D112" t="str">
            <v>x</v>
          </cell>
          <cell r="F112" t="str">
            <v>x</v>
          </cell>
          <cell r="L112" t="str">
            <v>x</v>
          </cell>
          <cell r="O112" t="str">
            <v>A</v>
          </cell>
          <cell r="P112" t="str">
            <v>B</v>
          </cell>
          <cell r="R112" t="str">
            <v>A</v>
          </cell>
          <cell r="S112" t="str">
            <v>B</v>
          </cell>
          <cell r="U112" t="str">
            <v>x</v>
          </cell>
          <cell r="AC112" t="str">
            <v>x</v>
          </cell>
          <cell r="AE112" t="str">
            <v>x</v>
          </cell>
          <cell r="AG112" t="str">
            <v>x</v>
          </cell>
          <cell r="AK112">
            <v>73</v>
          </cell>
          <cell r="AL112" t="str">
            <v>B</v>
          </cell>
          <cell r="AM112" t="str">
            <v>5</v>
          </cell>
          <cell r="BM112" t="str">
            <v>x</v>
          </cell>
          <cell r="BW112">
            <v>320</v>
          </cell>
          <cell r="BX112">
            <v>46</v>
          </cell>
          <cell r="BY112">
            <v>60</v>
          </cell>
          <cell r="BZ112">
            <v>305</v>
          </cell>
          <cell r="CA112">
            <v>20</v>
          </cell>
          <cell r="CB112">
            <v>20</v>
          </cell>
          <cell r="CC112">
            <v>0</v>
          </cell>
          <cell r="CD112">
            <v>250</v>
          </cell>
          <cell r="CE112">
            <v>22</v>
          </cell>
          <cell r="CF112">
            <v>22</v>
          </cell>
          <cell r="CG112">
            <v>194</v>
          </cell>
          <cell r="CH112">
            <v>84</v>
          </cell>
          <cell r="CI112" t="str">
            <v>_</v>
          </cell>
          <cell r="CJ112" t="str">
            <v>_</v>
          </cell>
          <cell r="CK112" t="str">
            <v>_</v>
          </cell>
          <cell r="CL112">
            <v>110</v>
          </cell>
          <cell r="CM112">
            <v>0</v>
          </cell>
          <cell r="CN112">
            <v>8</v>
          </cell>
          <cell r="CO112">
            <v>245</v>
          </cell>
          <cell r="CP112" t="str">
            <v>V</v>
          </cell>
          <cell r="CQ112">
            <v>22</v>
          </cell>
          <cell r="CR112" t="str">
            <v>_</v>
          </cell>
          <cell r="CS112">
            <v>110</v>
          </cell>
          <cell r="CT112" t="str">
            <v>V</v>
          </cell>
          <cell r="CU112">
            <v>8</v>
          </cell>
          <cell r="CV112">
            <v>245</v>
          </cell>
          <cell r="CW112" t="str">
            <v>V</v>
          </cell>
          <cell r="CX112">
            <v>22</v>
          </cell>
          <cell r="CY112" t="str">
            <v>_</v>
          </cell>
          <cell r="CZ112">
            <v>0</v>
          </cell>
          <cell r="DA112">
            <v>0</v>
          </cell>
          <cell r="DB112">
            <v>0</v>
          </cell>
          <cell r="DC112">
            <v>0</v>
          </cell>
          <cell r="DD112">
            <v>0</v>
          </cell>
          <cell r="DE112">
            <v>0</v>
          </cell>
          <cell r="DF112">
            <v>0</v>
          </cell>
          <cell r="DG112">
            <v>0</v>
          </cell>
          <cell r="DH112">
            <v>0</v>
          </cell>
          <cell r="DI112">
            <v>0</v>
          </cell>
          <cell r="DJ112">
            <v>0</v>
          </cell>
          <cell r="DK112">
            <v>0</v>
          </cell>
          <cell r="DL112">
            <v>0</v>
          </cell>
          <cell r="DM112">
            <v>0</v>
          </cell>
          <cell r="DN112">
            <v>0</v>
          </cell>
          <cell r="DO112">
            <v>0</v>
          </cell>
          <cell r="DP112">
            <v>0</v>
          </cell>
          <cell r="DQ112">
            <v>0</v>
          </cell>
          <cell r="DR112">
            <v>0</v>
          </cell>
          <cell r="DS112">
            <v>0</v>
          </cell>
          <cell r="DT112">
            <v>0</v>
          </cell>
        </row>
        <row r="113">
          <cell r="B113" t="str">
            <v>TS 73 EMF EN 6</v>
          </cell>
          <cell r="C113">
            <v>0</v>
          </cell>
          <cell r="D113" t="str">
            <v>x</v>
          </cell>
          <cell r="E113">
            <v>0</v>
          </cell>
          <cell r="F113" t="str">
            <v>x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 t="str">
            <v>x</v>
          </cell>
          <cell r="N113">
            <v>0</v>
          </cell>
          <cell r="O113" t="str">
            <v>A</v>
          </cell>
          <cell r="P113" t="str">
            <v>B</v>
          </cell>
          <cell r="Q113">
            <v>0</v>
          </cell>
          <cell r="R113" t="str">
            <v>A</v>
          </cell>
          <cell r="S113" t="str">
            <v>B</v>
          </cell>
          <cell r="T113">
            <v>0</v>
          </cell>
          <cell r="U113" t="str">
            <v>x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 t="str">
            <v>x</v>
          </cell>
          <cell r="AD113">
            <v>0</v>
          </cell>
          <cell r="AE113" t="str">
            <v>x</v>
          </cell>
          <cell r="AF113">
            <v>0</v>
          </cell>
          <cell r="AG113" t="str">
            <v>x</v>
          </cell>
          <cell r="AH113">
            <v>0</v>
          </cell>
          <cell r="AI113">
            <v>0</v>
          </cell>
          <cell r="AJ113">
            <v>0</v>
          </cell>
          <cell r="AK113">
            <v>73</v>
          </cell>
          <cell r="AL113" t="str">
            <v>B</v>
          </cell>
          <cell r="AM113" t="str">
            <v>6</v>
          </cell>
          <cell r="BM113" t="str">
            <v>x</v>
          </cell>
          <cell r="BW113">
            <v>320</v>
          </cell>
          <cell r="BX113">
            <v>46</v>
          </cell>
          <cell r="BY113">
            <v>60</v>
          </cell>
          <cell r="BZ113">
            <v>305</v>
          </cell>
          <cell r="CA113">
            <v>20</v>
          </cell>
          <cell r="CB113">
            <v>20</v>
          </cell>
          <cell r="CC113">
            <v>0</v>
          </cell>
          <cell r="CD113">
            <v>250</v>
          </cell>
          <cell r="CE113">
            <v>22</v>
          </cell>
          <cell r="CF113">
            <v>22</v>
          </cell>
          <cell r="CG113">
            <v>194</v>
          </cell>
          <cell r="CH113">
            <v>84</v>
          </cell>
          <cell r="CI113" t="str">
            <v>_</v>
          </cell>
          <cell r="CJ113" t="str">
            <v>_</v>
          </cell>
          <cell r="CK113" t="str">
            <v>_</v>
          </cell>
          <cell r="CL113">
            <v>110</v>
          </cell>
          <cell r="CM113">
            <v>0</v>
          </cell>
          <cell r="CN113">
            <v>8</v>
          </cell>
          <cell r="CO113">
            <v>245</v>
          </cell>
          <cell r="CP113" t="str">
            <v>V</v>
          </cell>
          <cell r="CQ113">
            <v>22</v>
          </cell>
          <cell r="CR113" t="str">
            <v>_</v>
          </cell>
          <cell r="CS113">
            <v>110</v>
          </cell>
          <cell r="CT113" t="str">
            <v>V</v>
          </cell>
          <cell r="CU113">
            <v>8</v>
          </cell>
          <cell r="CV113">
            <v>245</v>
          </cell>
          <cell r="CW113" t="str">
            <v>V</v>
          </cell>
          <cell r="CX113">
            <v>22</v>
          </cell>
          <cell r="CY113" t="str">
            <v>_</v>
          </cell>
          <cell r="CZ113">
            <v>0</v>
          </cell>
          <cell r="DA113">
            <v>0</v>
          </cell>
          <cell r="DB113">
            <v>0</v>
          </cell>
          <cell r="DC113">
            <v>0</v>
          </cell>
          <cell r="DD113">
            <v>0</v>
          </cell>
          <cell r="DE113">
            <v>0</v>
          </cell>
          <cell r="DF113">
            <v>0</v>
          </cell>
          <cell r="DG113">
            <v>0</v>
          </cell>
          <cell r="DH113">
            <v>0</v>
          </cell>
          <cell r="DI113">
            <v>0</v>
          </cell>
          <cell r="DJ113">
            <v>0</v>
          </cell>
          <cell r="DK113">
            <v>0</v>
          </cell>
          <cell r="DL113">
            <v>0</v>
          </cell>
          <cell r="DM113">
            <v>0</v>
          </cell>
          <cell r="DN113">
            <v>0</v>
          </cell>
          <cell r="DO113">
            <v>0</v>
          </cell>
          <cell r="DP113">
            <v>0</v>
          </cell>
          <cell r="DQ113">
            <v>0</v>
          </cell>
          <cell r="DR113">
            <v>0</v>
          </cell>
          <cell r="DS113">
            <v>0</v>
          </cell>
          <cell r="DT113">
            <v>0</v>
          </cell>
        </row>
        <row r="114">
          <cell r="B114" t="str">
            <v>TS 73 FL EN 4</v>
          </cell>
          <cell r="D114" t="str">
            <v>x</v>
          </cell>
          <cell r="F114" t="str">
            <v>x</v>
          </cell>
          <cell r="K114" t="str">
            <v>x</v>
          </cell>
          <cell r="O114" t="str">
            <v>A</v>
          </cell>
          <cell r="P114" t="str">
            <v>B</v>
          </cell>
          <cell r="R114" t="str">
            <v>A</v>
          </cell>
          <cell r="S114" t="str">
            <v>B</v>
          </cell>
          <cell r="U114" t="str">
            <v>x</v>
          </cell>
          <cell r="Y114" t="str">
            <v>x</v>
          </cell>
          <cell r="AE114" t="str">
            <v>x</v>
          </cell>
          <cell r="AG114" t="str">
            <v>x</v>
          </cell>
          <cell r="AK114">
            <v>73</v>
          </cell>
          <cell r="AL114" t="str">
            <v>B</v>
          </cell>
          <cell r="AM114" t="str">
            <v>4</v>
          </cell>
          <cell r="BQ114" t="str">
            <v>x</v>
          </cell>
          <cell r="BW114">
            <v>320</v>
          </cell>
          <cell r="BX114">
            <v>46</v>
          </cell>
          <cell r="BY114">
            <v>60</v>
          </cell>
          <cell r="BZ114">
            <v>305</v>
          </cell>
          <cell r="CA114">
            <v>30</v>
          </cell>
          <cell r="CB114">
            <v>20</v>
          </cell>
          <cell r="CC114">
            <v>0</v>
          </cell>
          <cell r="CD114">
            <v>250</v>
          </cell>
          <cell r="CE114">
            <v>22</v>
          </cell>
          <cell r="CF114">
            <v>22</v>
          </cell>
          <cell r="CG114">
            <v>194</v>
          </cell>
          <cell r="CH114">
            <v>84</v>
          </cell>
          <cell r="CI114" t="str">
            <v>_</v>
          </cell>
          <cell r="CJ114" t="str">
            <v>_</v>
          </cell>
          <cell r="CK114" t="str">
            <v>_</v>
          </cell>
          <cell r="CL114">
            <v>110</v>
          </cell>
          <cell r="CM114">
            <v>0</v>
          </cell>
          <cell r="CN114">
            <v>8</v>
          </cell>
          <cell r="CO114">
            <v>245</v>
          </cell>
          <cell r="CP114" t="str">
            <v>V</v>
          </cell>
          <cell r="CQ114">
            <v>22</v>
          </cell>
          <cell r="CR114" t="str">
            <v>_</v>
          </cell>
          <cell r="CS114">
            <v>110</v>
          </cell>
          <cell r="CT114" t="str">
            <v>V</v>
          </cell>
          <cell r="CU114">
            <v>8</v>
          </cell>
          <cell r="CV114">
            <v>245</v>
          </cell>
          <cell r="CW114" t="str">
            <v>V</v>
          </cell>
          <cell r="CX114">
            <v>22</v>
          </cell>
          <cell r="CY114" t="str">
            <v>_</v>
          </cell>
          <cell r="CZ114">
            <v>0</v>
          </cell>
          <cell r="DA114">
            <v>0</v>
          </cell>
          <cell r="DB114">
            <v>0</v>
          </cell>
          <cell r="DC114">
            <v>0</v>
          </cell>
          <cell r="DD114">
            <v>0</v>
          </cell>
          <cell r="DE114">
            <v>0</v>
          </cell>
          <cell r="DF114">
            <v>0</v>
          </cell>
          <cell r="DG114">
            <v>0</v>
          </cell>
          <cell r="DH114">
            <v>0</v>
          </cell>
          <cell r="DI114">
            <v>0</v>
          </cell>
          <cell r="DJ114">
            <v>0</v>
          </cell>
          <cell r="DK114">
            <v>0</v>
          </cell>
          <cell r="DL114">
            <v>0</v>
          </cell>
          <cell r="DM114">
            <v>0</v>
          </cell>
          <cell r="DN114">
            <v>0</v>
          </cell>
          <cell r="DO114">
            <v>0</v>
          </cell>
          <cell r="DP114">
            <v>0</v>
          </cell>
          <cell r="DQ114">
            <v>0</v>
          </cell>
          <cell r="DR114">
            <v>0</v>
          </cell>
          <cell r="DS114">
            <v>0</v>
          </cell>
          <cell r="DT114">
            <v>0</v>
          </cell>
        </row>
        <row r="115">
          <cell r="B115" t="str">
            <v>TS 73 FL EN 5</v>
          </cell>
          <cell r="D115" t="str">
            <v>x</v>
          </cell>
          <cell r="F115" t="str">
            <v>x</v>
          </cell>
          <cell r="L115" t="str">
            <v>x</v>
          </cell>
          <cell r="O115" t="str">
            <v>A</v>
          </cell>
          <cell r="P115" t="str">
            <v>B</v>
          </cell>
          <cell r="R115" t="str">
            <v>A</v>
          </cell>
          <cell r="S115" t="str">
            <v>B</v>
          </cell>
          <cell r="U115" t="str">
            <v>x</v>
          </cell>
          <cell r="Y115" t="str">
            <v>x</v>
          </cell>
          <cell r="AE115" t="str">
            <v>x</v>
          </cell>
          <cell r="AG115" t="str">
            <v>x</v>
          </cell>
          <cell r="AK115">
            <v>73</v>
          </cell>
          <cell r="AL115" t="str">
            <v>B</v>
          </cell>
          <cell r="AM115" t="str">
            <v>5</v>
          </cell>
          <cell r="BQ115" t="str">
            <v>x</v>
          </cell>
          <cell r="BW115">
            <v>320</v>
          </cell>
          <cell r="BX115">
            <v>46</v>
          </cell>
          <cell r="BY115">
            <v>60</v>
          </cell>
          <cell r="BZ115">
            <v>305</v>
          </cell>
          <cell r="CA115">
            <v>30</v>
          </cell>
          <cell r="CB115">
            <v>20</v>
          </cell>
          <cell r="CC115">
            <v>0</v>
          </cell>
          <cell r="CD115">
            <v>250</v>
          </cell>
          <cell r="CE115">
            <v>22</v>
          </cell>
          <cell r="CF115">
            <v>22</v>
          </cell>
          <cell r="CG115">
            <v>194</v>
          </cell>
          <cell r="CH115">
            <v>84</v>
          </cell>
          <cell r="CI115" t="str">
            <v>_</v>
          </cell>
          <cell r="CJ115" t="str">
            <v>_</v>
          </cell>
          <cell r="CK115" t="str">
            <v>_</v>
          </cell>
          <cell r="CL115">
            <v>110</v>
          </cell>
          <cell r="CM115">
            <v>0</v>
          </cell>
          <cell r="CN115">
            <v>8</v>
          </cell>
          <cell r="CO115">
            <v>245</v>
          </cell>
          <cell r="CP115" t="str">
            <v>V</v>
          </cell>
          <cell r="CQ115">
            <v>22</v>
          </cell>
          <cell r="CR115" t="str">
            <v>_</v>
          </cell>
          <cell r="CS115">
            <v>110</v>
          </cell>
          <cell r="CT115" t="str">
            <v>V</v>
          </cell>
          <cell r="CU115">
            <v>8</v>
          </cell>
          <cell r="CV115">
            <v>245</v>
          </cell>
          <cell r="CW115" t="str">
            <v>V</v>
          </cell>
          <cell r="CX115">
            <v>22</v>
          </cell>
          <cell r="CY115" t="str">
            <v>_</v>
          </cell>
          <cell r="CZ115">
            <v>0</v>
          </cell>
          <cell r="DA115">
            <v>0</v>
          </cell>
          <cell r="DB115">
            <v>0</v>
          </cell>
          <cell r="DC115">
            <v>0</v>
          </cell>
          <cell r="DD115">
            <v>0</v>
          </cell>
          <cell r="DE115">
            <v>0</v>
          </cell>
          <cell r="DF115">
            <v>0</v>
          </cell>
          <cell r="DG115">
            <v>0</v>
          </cell>
          <cell r="DH115">
            <v>0</v>
          </cell>
          <cell r="DI115">
            <v>0</v>
          </cell>
          <cell r="DJ115">
            <v>0</v>
          </cell>
          <cell r="DK115">
            <v>0</v>
          </cell>
          <cell r="DL115">
            <v>0</v>
          </cell>
          <cell r="DM115">
            <v>0</v>
          </cell>
          <cell r="DN115">
            <v>0</v>
          </cell>
          <cell r="DO115">
            <v>0</v>
          </cell>
          <cell r="DP115">
            <v>0</v>
          </cell>
          <cell r="DQ115">
            <v>0</v>
          </cell>
          <cell r="DR115">
            <v>0</v>
          </cell>
          <cell r="DS115">
            <v>0</v>
          </cell>
          <cell r="DT115">
            <v>0</v>
          </cell>
        </row>
        <row r="116">
          <cell r="B116" t="str">
            <v>TS 73 FL EN 6</v>
          </cell>
          <cell r="D116" t="str">
            <v>x</v>
          </cell>
          <cell r="F116" t="str">
            <v>x</v>
          </cell>
          <cell r="M116" t="str">
            <v>x</v>
          </cell>
          <cell r="O116" t="str">
            <v>A</v>
          </cell>
          <cell r="P116" t="str">
            <v>B</v>
          </cell>
          <cell r="R116" t="str">
            <v>A</v>
          </cell>
          <cell r="S116" t="str">
            <v>B</v>
          </cell>
          <cell r="U116" t="str">
            <v>x</v>
          </cell>
          <cell r="Y116" t="str">
            <v>x</v>
          </cell>
          <cell r="AE116" t="str">
            <v>x</v>
          </cell>
          <cell r="AG116" t="str">
            <v>x</v>
          </cell>
          <cell r="AK116">
            <v>73</v>
          </cell>
          <cell r="AL116" t="str">
            <v>B</v>
          </cell>
          <cell r="AM116" t="str">
            <v>6</v>
          </cell>
          <cell r="BQ116" t="str">
            <v>x</v>
          </cell>
          <cell r="BW116">
            <v>320</v>
          </cell>
          <cell r="BX116">
            <v>46</v>
          </cell>
          <cell r="BY116">
            <v>60</v>
          </cell>
          <cell r="BZ116">
            <v>305</v>
          </cell>
          <cell r="CA116">
            <v>30</v>
          </cell>
          <cell r="CB116">
            <v>20</v>
          </cell>
          <cell r="CC116">
            <v>0</v>
          </cell>
          <cell r="CD116">
            <v>250</v>
          </cell>
          <cell r="CE116">
            <v>22</v>
          </cell>
          <cell r="CF116">
            <v>22</v>
          </cell>
          <cell r="CG116">
            <v>194</v>
          </cell>
          <cell r="CH116">
            <v>84</v>
          </cell>
          <cell r="CI116" t="str">
            <v>_</v>
          </cell>
          <cell r="CJ116" t="str">
            <v>_</v>
          </cell>
          <cell r="CK116" t="str">
            <v>_</v>
          </cell>
          <cell r="CL116">
            <v>110</v>
          </cell>
          <cell r="CM116">
            <v>0</v>
          </cell>
          <cell r="CN116">
            <v>8</v>
          </cell>
          <cell r="CO116">
            <v>245</v>
          </cell>
          <cell r="CP116" t="str">
            <v>V</v>
          </cell>
          <cell r="CQ116">
            <v>22</v>
          </cell>
          <cell r="CR116" t="str">
            <v>_</v>
          </cell>
          <cell r="CS116">
            <v>110</v>
          </cell>
          <cell r="CT116" t="str">
            <v>V</v>
          </cell>
          <cell r="CU116">
            <v>8</v>
          </cell>
          <cell r="CV116">
            <v>245</v>
          </cell>
          <cell r="CW116" t="str">
            <v>V</v>
          </cell>
          <cell r="CX116">
            <v>22</v>
          </cell>
          <cell r="CY116" t="str">
            <v>_</v>
          </cell>
          <cell r="CZ116">
            <v>0</v>
          </cell>
          <cell r="DA116">
            <v>0</v>
          </cell>
          <cell r="DB116">
            <v>0</v>
          </cell>
          <cell r="DC116">
            <v>0</v>
          </cell>
          <cell r="DD116">
            <v>0</v>
          </cell>
          <cell r="DE116">
            <v>0</v>
          </cell>
          <cell r="DF116">
            <v>0</v>
          </cell>
          <cell r="DG116">
            <v>0</v>
          </cell>
          <cell r="DH116">
            <v>0</v>
          </cell>
          <cell r="DI116">
            <v>0</v>
          </cell>
          <cell r="DJ116">
            <v>0</v>
          </cell>
          <cell r="DK116">
            <v>0</v>
          </cell>
          <cell r="DL116">
            <v>0</v>
          </cell>
          <cell r="DM116">
            <v>0</v>
          </cell>
          <cell r="DN116">
            <v>0</v>
          </cell>
          <cell r="DO116">
            <v>0</v>
          </cell>
          <cell r="DP116">
            <v>0</v>
          </cell>
          <cell r="DQ116">
            <v>0</v>
          </cell>
          <cell r="DR116">
            <v>0</v>
          </cell>
          <cell r="DS116">
            <v>0</v>
          </cell>
          <cell r="DT116">
            <v>0</v>
          </cell>
        </row>
        <row r="117">
          <cell r="B117" t="str">
            <v>TS 83 EN 2-6</v>
          </cell>
          <cell r="C117">
            <v>0</v>
          </cell>
          <cell r="D117" t="str">
            <v>x</v>
          </cell>
          <cell r="E117">
            <v>0</v>
          </cell>
          <cell r="F117" t="str">
            <v>x</v>
          </cell>
          <cell r="G117">
            <v>0</v>
          </cell>
          <cell r="H117">
            <v>0</v>
          </cell>
          <cell r="I117" t="str">
            <v>x</v>
          </cell>
          <cell r="J117" t="str">
            <v>x</v>
          </cell>
          <cell r="K117" t="str">
            <v>x</v>
          </cell>
          <cell r="L117" t="str">
            <v>x</v>
          </cell>
          <cell r="M117" t="str">
            <v>x</v>
          </cell>
          <cell r="N117">
            <v>0</v>
          </cell>
          <cell r="O117" t="str">
            <v>A</v>
          </cell>
          <cell r="P117" t="str">
            <v>B</v>
          </cell>
          <cell r="Q117">
            <v>0</v>
          </cell>
          <cell r="R117" t="str">
            <v>A</v>
          </cell>
          <cell r="S117" t="str">
            <v>B</v>
          </cell>
          <cell r="T117">
            <v>0</v>
          </cell>
          <cell r="U117" t="str">
            <v>x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 t="str">
            <v>x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 t="str">
            <v>x</v>
          </cell>
          <cell r="AH117">
            <v>0</v>
          </cell>
          <cell r="AI117">
            <v>0</v>
          </cell>
          <cell r="AJ117">
            <v>0</v>
          </cell>
          <cell r="AK117">
            <v>83</v>
          </cell>
          <cell r="AL117" t="str">
            <v>B</v>
          </cell>
          <cell r="AM117" t="str">
            <v>2-6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0</v>
          </cell>
          <cell r="BI117">
            <v>0</v>
          </cell>
          <cell r="BJ117">
            <v>0</v>
          </cell>
          <cell r="BK117">
            <v>0</v>
          </cell>
          <cell r="BL117">
            <v>0</v>
          </cell>
          <cell r="BM117" t="str">
            <v>x</v>
          </cell>
          <cell r="BN117">
            <v>0</v>
          </cell>
          <cell r="BO117">
            <v>0</v>
          </cell>
          <cell r="BP117">
            <v>0</v>
          </cell>
          <cell r="BQ117">
            <v>0</v>
          </cell>
          <cell r="BR117">
            <v>0</v>
          </cell>
          <cell r="BS117">
            <v>0</v>
          </cell>
          <cell r="BW117">
            <v>245</v>
          </cell>
          <cell r="BX117">
            <v>46</v>
          </cell>
          <cell r="BY117">
            <v>60</v>
          </cell>
          <cell r="BZ117">
            <v>305</v>
          </cell>
          <cell r="CA117">
            <v>20</v>
          </cell>
          <cell r="CB117">
            <v>20</v>
          </cell>
          <cell r="CC117">
            <v>0</v>
          </cell>
          <cell r="CD117">
            <v>250</v>
          </cell>
          <cell r="CE117">
            <v>25</v>
          </cell>
          <cell r="CF117">
            <v>25</v>
          </cell>
          <cell r="CG117">
            <v>194</v>
          </cell>
          <cell r="CH117">
            <v>87</v>
          </cell>
          <cell r="CI117" t="str">
            <v>_</v>
          </cell>
          <cell r="CJ117" t="str">
            <v>_</v>
          </cell>
          <cell r="CK117" t="str">
            <v>_</v>
          </cell>
          <cell r="CL117">
            <v>107</v>
          </cell>
          <cell r="CM117">
            <v>0</v>
          </cell>
          <cell r="CN117">
            <v>8</v>
          </cell>
          <cell r="CO117">
            <v>245</v>
          </cell>
          <cell r="CP117" t="str">
            <v>V</v>
          </cell>
          <cell r="CQ117">
            <v>22</v>
          </cell>
          <cell r="CR117" t="str">
            <v>_</v>
          </cell>
          <cell r="CS117">
            <v>107</v>
          </cell>
          <cell r="CT117" t="str">
            <v>V</v>
          </cell>
          <cell r="CU117">
            <v>8</v>
          </cell>
          <cell r="CV117">
            <v>245</v>
          </cell>
          <cell r="CW117" t="str">
            <v>V</v>
          </cell>
          <cell r="CX117">
            <v>22</v>
          </cell>
          <cell r="CY117" t="str">
            <v>_</v>
          </cell>
          <cell r="CZ117">
            <v>0</v>
          </cell>
          <cell r="DA117">
            <v>0</v>
          </cell>
          <cell r="DB117">
            <v>0</v>
          </cell>
          <cell r="DC117">
            <v>0</v>
          </cell>
          <cell r="DD117">
            <v>0</v>
          </cell>
          <cell r="DE117">
            <v>0</v>
          </cell>
          <cell r="DF117">
            <v>0</v>
          </cell>
          <cell r="DG117">
            <v>0</v>
          </cell>
          <cell r="DH117">
            <v>0</v>
          </cell>
          <cell r="DI117">
            <v>0</v>
          </cell>
          <cell r="DJ117">
            <v>0</v>
          </cell>
          <cell r="DK117">
            <v>0</v>
          </cell>
          <cell r="DL117">
            <v>0</v>
          </cell>
          <cell r="DM117">
            <v>0</v>
          </cell>
          <cell r="DN117">
            <v>0</v>
          </cell>
          <cell r="DO117">
            <v>0</v>
          </cell>
          <cell r="DP117">
            <v>0</v>
          </cell>
          <cell r="DQ117">
            <v>0</v>
          </cell>
          <cell r="DR117">
            <v>0</v>
          </cell>
          <cell r="DS117">
            <v>0</v>
          </cell>
          <cell r="DT117">
            <v>0</v>
          </cell>
        </row>
        <row r="118">
          <cell r="B118" t="str">
            <v>TS 83 EN 2-6 + SR</v>
          </cell>
          <cell r="E118" t="str">
            <v>x</v>
          </cell>
          <cell r="F118" t="str">
            <v>x</v>
          </cell>
          <cell r="I118" t="str">
            <v>x</v>
          </cell>
          <cell r="J118" t="str">
            <v>x</v>
          </cell>
          <cell r="K118" t="str">
            <v>x</v>
          </cell>
          <cell r="L118" t="str">
            <v>x</v>
          </cell>
          <cell r="M118" t="str">
            <v>x</v>
          </cell>
          <cell r="O118" t="str">
            <v>x</v>
          </cell>
          <cell r="R118" t="str">
            <v>x</v>
          </cell>
          <cell r="U118" t="str">
            <v>x</v>
          </cell>
          <cell r="W118" t="str">
            <v>x</v>
          </cell>
          <cell r="AA118" t="str">
            <v>x</v>
          </cell>
          <cell r="AG118" t="str">
            <v>x</v>
          </cell>
          <cell r="AK118">
            <v>83</v>
          </cell>
          <cell r="AL118" t="str">
            <v>B</v>
          </cell>
          <cell r="AM118" t="str">
            <v>2-6</v>
          </cell>
          <cell r="BM118" t="str">
            <v>x</v>
          </cell>
          <cell r="BS118" t="str">
            <v>x</v>
          </cell>
          <cell r="BW118">
            <v>245</v>
          </cell>
          <cell r="BX118">
            <v>46</v>
          </cell>
          <cell r="BY118">
            <v>60</v>
          </cell>
          <cell r="BZ118">
            <v>305</v>
          </cell>
          <cell r="CA118">
            <v>20</v>
          </cell>
          <cell r="CB118">
            <v>20</v>
          </cell>
          <cell r="CC118">
            <v>0</v>
          </cell>
          <cell r="CD118">
            <v>250</v>
          </cell>
          <cell r="CE118">
            <v>25</v>
          </cell>
          <cell r="CF118">
            <v>25</v>
          </cell>
          <cell r="CG118">
            <v>194</v>
          </cell>
          <cell r="CH118">
            <v>87</v>
          </cell>
          <cell r="CI118" t="str">
            <v>_</v>
          </cell>
          <cell r="CJ118" t="str">
            <v>_</v>
          </cell>
          <cell r="CK118" t="str">
            <v>_</v>
          </cell>
          <cell r="CL118">
            <v>107</v>
          </cell>
          <cell r="CM118">
            <v>0</v>
          </cell>
          <cell r="CN118">
            <v>8</v>
          </cell>
          <cell r="CO118">
            <v>245</v>
          </cell>
          <cell r="CP118" t="str">
            <v>V</v>
          </cell>
          <cell r="CQ118">
            <v>22</v>
          </cell>
          <cell r="CR118" t="str">
            <v>_</v>
          </cell>
          <cell r="CS118">
            <v>0</v>
          </cell>
          <cell r="CT118">
            <v>0</v>
          </cell>
          <cell r="CU118">
            <v>0</v>
          </cell>
          <cell r="CV118">
            <v>0</v>
          </cell>
          <cell r="CW118">
            <v>0</v>
          </cell>
          <cell r="CX118">
            <v>0</v>
          </cell>
          <cell r="CY118">
            <v>0</v>
          </cell>
          <cell r="CZ118">
            <v>0</v>
          </cell>
          <cell r="DA118">
            <v>0</v>
          </cell>
          <cell r="DB118">
            <v>0</v>
          </cell>
          <cell r="DC118">
            <v>0</v>
          </cell>
          <cell r="DD118">
            <v>0</v>
          </cell>
          <cell r="DE118">
            <v>0</v>
          </cell>
          <cell r="DF118">
            <v>0</v>
          </cell>
          <cell r="DG118">
            <v>0</v>
          </cell>
          <cell r="DH118">
            <v>0</v>
          </cell>
          <cell r="DI118">
            <v>0</v>
          </cell>
          <cell r="DJ118">
            <v>0</v>
          </cell>
          <cell r="DK118">
            <v>0</v>
          </cell>
          <cell r="DL118">
            <v>0</v>
          </cell>
          <cell r="DM118">
            <v>0</v>
          </cell>
          <cell r="DN118">
            <v>0</v>
          </cell>
          <cell r="DO118">
            <v>0</v>
          </cell>
          <cell r="DP118">
            <v>0</v>
          </cell>
          <cell r="DQ118">
            <v>0</v>
          </cell>
          <cell r="DR118">
            <v>0</v>
          </cell>
          <cell r="DS118">
            <v>0</v>
          </cell>
          <cell r="DT118">
            <v>0</v>
          </cell>
        </row>
        <row r="119">
          <cell r="B119" t="str">
            <v>TS 83 RF EN 2-6</v>
          </cell>
          <cell r="D119" t="str">
            <v>x</v>
          </cell>
          <cell r="F119" t="str">
            <v>x</v>
          </cell>
          <cell r="I119" t="str">
            <v>x</v>
          </cell>
          <cell r="J119" t="str">
            <v>x</v>
          </cell>
          <cell r="K119" t="str">
            <v>x</v>
          </cell>
          <cell r="L119" t="str">
            <v>x</v>
          </cell>
          <cell r="M119" t="str">
            <v>x</v>
          </cell>
          <cell r="O119" t="str">
            <v>A</v>
          </cell>
          <cell r="P119" t="str">
            <v>B</v>
          </cell>
          <cell r="R119" t="str">
            <v>A</v>
          </cell>
          <cell r="S119" t="str">
            <v>B</v>
          </cell>
          <cell r="U119" t="str">
            <v>x</v>
          </cell>
          <cell r="AA119" t="str">
            <v>x</v>
          </cell>
          <cell r="AB119" t="str">
            <v>x</v>
          </cell>
          <cell r="AG119" t="str">
            <v>x</v>
          </cell>
          <cell r="AK119">
            <v>83</v>
          </cell>
          <cell r="AL119" t="str">
            <v>B</v>
          </cell>
          <cell r="AM119" t="str">
            <v>2-6</v>
          </cell>
          <cell r="BP119" t="str">
            <v>x</v>
          </cell>
          <cell r="BW119">
            <v>245</v>
          </cell>
          <cell r="BX119">
            <v>46</v>
          </cell>
          <cell r="BY119">
            <v>60</v>
          </cell>
          <cell r="BZ119">
            <v>305</v>
          </cell>
          <cell r="CA119">
            <v>30</v>
          </cell>
          <cell r="CB119">
            <v>20</v>
          </cell>
          <cell r="CC119">
            <v>0</v>
          </cell>
          <cell r="CD119">
            <v>250</v>
          </cell>
          <cell r="CE119">
            <v>25</v>
          </cell>
          <cell r="CF119">
            <v>25</v>
          </cell>
          <cell r="CG119">
            <v>194</v>
          </cell>
          <cell r="CH119">
            <v>87</v>
          </cell>
          <cell r="CI119" t="str">
            <v>_</v>
          </cell>
          <cell r="CJ119" t="str">
            <v>_</v>
          </cell>
          <cell r="CK119" t="str">
            <v>_</v>
          </cell>
          <cell r="CL119">
            <v>107</v>
          </cell>
          <cell r="CM119">
            <v>0</v>
          </cell>
          <cell r="CN119">
            <v>8</v>
          </cell>
          <cell r="CO119">
            <v>245</v>
          </cell>
          <cell r="CP119" t="str">
            <v>V</v>
          </cell>
          <cell r="CQ119">
            <v>22</v>
          </cell>
          <cell r="CR119" t="str">
            <v>_</v>
          </cell>
          <cell r="CS119">
            <v>107</v>
          </cell>
          <cell r="CT119" t="str">
            <v>V</v>
          </cell>
          <cell r="CU119">
            <v>8</v>
          </cell>
          <cell r="CV119">
            <v>245</v>
          </cell>
          <cell r="CW119" t="str">
            <v>V</v>
          </cell>
          <cell r="CX119">
            <v>22</v>
          </cell>
          <cell r="CY119" t="str">
            <v>_</v>
          </cell>
          <cell r="CZ119">
            <v>0</v>
          </cell>
          <cell r="DA119">
            <v>0</v>
          </cell>
          <cell r="DB119">
            <v>0</v>
          </cell>
          <cell r="DC119">
            <v>0</v>
          </cell>
          <cell r="DD119">
            <v>0</v>
          </cell>
          <cell r="DE119">
            <v>0</v>
          </cell>
          <cell r="DF119">
            <v>0</v>
          </cell>
          <cell r="DG119">
            <v>0</v>
          </cell>
          <cell r="DH119">
            <v>0</v>
          </cell>
          <cell r="DI119">
            <v>0</v>
          </cell>
          <cell r="DJ119">
            <v>0</v>
          </cell>
          <cell r="DK119">
            <v>0</v>
          </cell>
          <cell r="DL119">
            <v>0</v>
          </cell>
          <cell r="DM119">
            <v>0</v>
          </cell>
          <cell r="DN119">
            <v>0</v>
          </cell>
          <cell r="DO119">
            <v>0</v>
          </cell>
          <cell r="DP119">
            <v>0</v>
          </cell>
          <cell r="DQ119">
            <v>0</v>
          </cell>
          <cell r="DR119">
            <v>0</v>
          </cell>
          <cell r="DS119">
            <v>0</v>
          </cell>
          <cell r="DT119">
            <v>0</v>
          </cell>
        </row>
        <row r="120">
          <cell r="B120" t="str">
            <v>TS 83 SV EN 2-6</v>
          </cell>
          <cell r="C120">
            <v>0</v>
          </cell>
          <cell r="D120" t="str">
            <v>x</v>
          </cell>
          <cell r="E120">
            <v>0</v>
          </cell>
          <cell r="F120" t="str">
            <v>x</v>
          </cell>
          <cell r="G120">
            <v>0</v>
          </cell>
          <cell r="H120">
            <v>0</v>
          </cell>
          <cell r="I120" t="str">
            <v>x</v>
          </cell>
          <cell r="J120" t="str">
            <v>x</v>
          </cell>
          <cell r="K120" t="str">
            <v>x</v>
          </cell>
          <cell r="L120" t="str">
            <v>x</v>
          </cell>
          <cell r="M120" t="str">
            <v>x</v>
          </cell>
          <cell r="N120">
            <v>0</v>
          </cell>
          <cell r="O120" t="str">
            <v>A</v>
          </cell>
          <cell r="P120" t="str">
            <v>B</v>
          </cell>
          <cell r="Q120">
            <v>0</v>
          </cell>
          <cell r="R120" t="str">
            <v>A</v>
          </cell>
          <cell r="S120" t="str">
            <v>B</v>
          </cell>
          <cell r="T120">
            <v>0</v>
          </cell>
          <cell r="U120" t="str">
            <v>x</v>
          </cell>
          <cell r="V120">
            <v>0</v>
          </cell>
          <cell r="W120">
            <v>0</v>
          </cell>
          <cell r="X120" t="str">
            <v>x</v>
          </cell>
          <cell r="Y120">
            <v>0</v>
          </cell>
          <cell r="Z120">
            <v>0</v>
          </cell>
          <cell r="AA120" t="str">
            <v>x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 t="str">
            <v>x</v>
          </cell>
          <cell r="AH120">
            <v>0</v>
          </cell>
          <cell r="AI120">
            <v>0</v>
          </cell>
          <cell r="AJ120">
            <v>0</v>
          </cell>
          <cell r="AK120">
            <v>83</v>
          </cell>
          <cell r="AL120" t="str">
            <v>B</v>
          </cell>
          <cell r="AM120" t="str">
            <v>2-6</v>
          </cell>
          <cell r="BR120" t="str">
            <v>x</v>
          </cell>
          <cell r="BW120">
            <v>245</v>
          </cell>
          <cell r="BX120">
            <v>46</v>
          </cell>
          <cell r="BY120">
            <v>60</v>
          </cell>
          <cell r="BZ120">
            <v>305</v>
          </cell>
          <cell r="CA120">
            <v>20</v>
          </cell>
          <cell r="CB120">
            <v>20</v>
          </cell>
          <cell r="CC120">
            <v>0</v>
          </cell>
          <cell r="CD120">
            <v>250</v>
          </cell>
          <cell r="CE120">
            <v>25</v>
          </cell>
          <cell r="CF120">
            <v>25</v>
          </cell>
          <cell r="CG120">
            <v>194</v>
          </cell>
          <cell r="CH120">
            <v>87</v>
          </cell>
          <cell r="CI120" t="str">
            <v>_</v>
          </cell>
          <cell r="CJ120" t="str">
            <v>_</v>
          </cell>
          <cell r="CK120" t="str">
            <v>_</v>
          </cell>
          <cell r="CL120">
            <v>107</v>
          </cell>
          <cell r="CM120">
            <v>0</v>
          </cell>
          <cell r="CN120">
            <v>8</v>
          </cell>
          <cell r="CO120">
            <v>245</v>
          </cell>
          <cell r="CP120" t="str">
            <v>V</v>
          </cell>
          <cell r="CQ120">
            <v>22</v>
          </cell>
          <cell r="CR120" t="str">
            <v>_</v>
          </cell>
          <cell r="CS120">
            <v>107</v>
          </cell>
          <cell r="CT120" t="str">
            <v>V</v>
          </cell>
          <cell r="CU120">
            <v>8</v>
          </cell>
          <cell r="CV120">
            <v>245</v>
          </cell>
          <cell r="CW120" t="str">
            <v>V</v>
          </cell>
          <cell r="CX120">
            <v>22</v>
          </cell>
          <cell r="CY120" t="str">
            <v>_</v>
          </cell>
          <cell r="CZ120">
            <v>0</v>
          </cell>
          <cell r="DA120">
            <v>0</v>
          </cell>
          <cell r="DB120">
            <v>0</v>
          </cell>
          <cell r="DC120">
            <v>0</v>
          </cell>
          <cell r="DD120">
            <v>0</v>
          </cell>
          <cell r="DE120">
            <v>0</v>
          </cell>
          <cell r="DF120">
            <v>0</v>
          </cell>
          <cell r="DG120">
            <v>0</v>
          </cell>
          <cell r="DH120">
            <v>0</v>
          </cell>
          <cell r="DI120">
            <v>0</v>
          </cell>
          <cell r="DJ120">
            <v>0</v>
          </cell>
          <cell r="DK120">
            <v>0</v>
          </cell>
          <cell r="DL120">
            <v>0</v>
          </cell>
          <cell r="DM120">
            <v>0</v>
          </cell>
          <cell r="DN120">
            <v>0</v>
          </cell>
          <cell r="DO120">
            <v>0</v>
          </cell>
          <cell r="DP120">
            <v>0</v>
          </cell>
          <cell r="DQ120">
            <v>0</v>
          </cell>
          <cell r="DR120">
            <v>0</v>
          </cell>
          <cell r="DS120">
            <v>0</v>
          </cell>
          <cell r="DT120">
            <v>0</v>
          </cell>
        </row>
        <row r="121">
          <cell r="B121" t="str">
            <v>TS 83 EN 5-7</v>
          </cell>
          <cell r="D121" t="str">
            <v>x</v>
          </cell>
          <cell r="F121" t="str">
            <v>x</v>
          </cell>
          <cell r="L121" t="str">
            <v>x</v>
          </cell>
          <cell r="M121" t="str">
            <v>x</v>
          </cell>
          <cell r="N121" t="str">
            <v>x</v>
          </cell>
          <cell r="O121" t="str">
            <v>A</v>
          </cell>
          <cell r="P121" t="str">
            <v>B</v>
          </cell>
          <cell r="R121" t="str">
            <v>A</v>
          </cell>
          <cell r="S121" t="str">
            <v>B</v>
          </cell>
          <cell r="U121" t="str">
            <v>x</v>
          </cell>
          <cell r="AA121" t="str">
            <v>x</v>
          </cell>
          <cell r="AG121" t="str">
            <v>x</v>
          </cell>
          <cell r="AK121">
            <v>83</v>
          </cell>
          <cell r="AL121" t="str">
            <v>B</v>
          </cell>
          <cell r="AM121" t="str">
            <v>5-7</v>
          </cell>
          <cell r="BM121" t="str">
            <v>x</v>
          </cell>
          <cell r="BW121">
            <v>293</v>
          </cell>
          <cell r="BX121">
            <v>48</v>
          </cell>
          <cell r="BY121">
            <v>60</v>
          </cell>
          <cell r="BZ121">
            <v>305</v>
          </cell>
          <cell r="CA121">
            <v>20</v>
          </cell>
          <cell r="CB121">
            <v>20</v>
          </cell>
          <cell r="CC121">
            <v>0</v>
          </cell>
          <cell r="CD121">
            <v>250</v>
          </cell>
          <cell r="CE121">
            <v>25</v>
          </cell>
          <cell r="CF121">
            <v>25</v>
          </cell>
          <cell r="CG121">
            <v>194</v>
          </cell>
          <cell r="CH121">
            <v>92</v>
          </cell>
          <cell r="CI121" t="str">
            <v>_</v>
          </cell>
          <cell r="CJ121" t="str">
            <v>_</v>
          </cell>
          <cell r="CK121" t="str">
            <v>_</v>
          </cell>
          <cell r="CL121">
            <v>102</v>
          </cell>
          <cell r="CM121">
            <v>0</v>
          </cell>
          <cell r="CN121">
            <v>8</v>
          </cell>
          <cell r="CO121">
            <v>245</v>
          </cell>
          <cell r="CP121" t="str">
            <v>V</v>
          </cell>
          <cell r="CQ121">
            <v>22</v>
          </cell>
          <cell r="CR121" t="str">
            <v>_</v>
          </cell>
          <cell r="CS121">
            <v>102</v>
          </cell>
          <cell r="CT121" t="str">
            <v>V</v>
          </cell>
          <cell r="CU121">
            <v>8</v>
          </cell>
          <cell r="CV121">
            <v>245</v>
          </cell>
          <cell r="CW121" t="str">
            <v>V</v>
          </cell>
          <cell r="CX121">
            <v>22</v>
          </cell>
          <cell r="CY121" t="str">
            <v>_</v>
          </cell>
          <cell r="CZ121">
            <v>0</v>
          </cell>
          <cell r="DA121">
            <v>0</v>
          </cell>
          <cell r="DB121">
            <v>0</v>
          </cell>
          <cell r="DC121">
            <v>0</v>
          </cell>
          <cell r="DD121">
            <v>0</v>
          </cell>
          <cell r="DE121">
            <v>0</v>
          </cell>
          <cell r="DF121">
            <v>0</v>
          </cell>
          <cell r="DG121">
            <v>0</v>
          </cell>
          <cell r="DH121">
            <v>0</v>
          </cell>
          <cell r="DI121">
            <v>0</v>
          </cell>
          <cell r="DJ121">
            <v>0</v>
          </cell>
          <cell r="DK121">
            <v>0</v>
          </cell>
          <cell r="DL121">
            <v>0</v>
          </cell>
          <cell r="DM121">
            <v>0</v>
          </cell>
          <cell r="DN121">
            <v>0</v>
          </cell>
          <cell r="DO121">
            <v>0</v>
          </cell>
          <cell r="DP121">
            <v>0</v>
          </cell>
          <cell r="DQ121">
            <v>0</v>
          </cell>
          <cell r="DR121">
            <v>0</v>
          </cell>
          <cell r="DS121">
            <v>0</v>
          </cell>
          <cell r="DT121">
            <v>0</v>
          </cell>
        </row>
        <row r="122">
          <cell r="B122" t="str">
            <v>TS 83 EN 5-7 + SR</v>
          </cell>
          <cell r="E122" t="str">
            <v>x</v>
          </cell>
          <cell r="F122" t="str">
            <v>x</v>
          </cell>
          <cell r="L122" t="str">
            <v>x</v>
          </cell>
          <cell r="M122" t="str">
            <v>x</v>
          </cell>
          <cell r="N122" t="str">
            <v>x</v>
          </cell>
          <cell r="O122" t="str">
            <v>x</v>
          </cell>
          <cell r="P122" t="str">
            <v>x</v>
          </cell>
          <cell r="R122" t="str">
            <v>x</v>
          </cell>
          <cell r="U122" t="str">
            <v>x</v>
          </cell>
          <cell r="W122" t="str">
            <v>x</v>
          </cell>
          <cell r="AA122" t="str">
            <v>x</v>
          </cell>
          <cell r="AG122" t="str">
            <v>x</v>
          </cell>
          <cell r="AK122">
            <v>83</v>
          </cell>
          <cell r="AL122" t="str">
            <v>B</v>
          </cell>
          <cell r="AM122" t="str">
            <v>5-7</v>
          </cell>
          <cell r="BM122" t="str">
            <v>x</v>
          </cell>
          <cell r="BS122" t="str">
            <v>x</v>
          </cell>
          <cell r="BW122">
            <v>293</v>
          </cell>
          <cell r="BX122">
            <v>48</v>
          </cell>
          <cell r="BY122">
            <v>60</v>
          </cell>
          <cell r="BZ122">
            <v>305</v>
          </cell>
          <cell r="CA122">
            <v>20</v>
          </cell>
          <cell r="CB122">
            <v>20</v>
          </cell>
          <cell r="CC122">
            <v>0</v>
          </cell>
          <cell r="CD122">
            <v>250</v>
          </cell>
          <cell r="CE122">
            <v>25</v>
          </cell>
          <cell r="CF122">
            <v>25</v>
          </cell>
          <cell r="CG122">
            <v>194</v>
          </cell>
          <cell r="CH122">
            <v>92</v>
          </cell>
          <cell r="CI122" t="str">
            <v>_</v>
          </cell>
          <cell r="CJ122" t="str">
            <v>_</v>
          </cell>
          <cell r="CK122" t="str">
            <v>_</v>
          </cell>
          <cell r="CL122">
            <v>102</v>
          </cell>
          <cell r="CM122">
            <v>0</v>
          </cell>
          <cell r="CN122">
            <v>8</v>
          </cell>
          <cell r="CO122">
            <v>245</v>
          </cell>
          <cell r="CP122" t="str">
            <v>V</v>
          </cell>
          <cell r="CQ122">
            <v>22</v>
          </cell>
          <cell r="CR122" t="str">
            <v>_</v>
          </cell>
          <cell r="CS122">
            <v>0</v>
          </cell>
          <cell r="CT122">
            <v>0</v>
          </cell>
          <cell r="CU122">
            <v>0</v>
          </cell>
          <cell r="CV122">
            <v>0</v>
          </cell>
          <cell r="CW122">
            <v>0</v>
          </cell>
          <cell r="CX122">
            <v>0</v>
          </cell>
          <cell r="CY122">
            <v>0</v>
          </cell>
          <cell r="CZ122">
            <v>0</v>
          </cell>
          <cell r="DA122">
            <v>0</v>
          </cell>
          <cell r="DB122">
            <v>0</v>
          </cell>
          <cell r="DC122">
            <v>0</v>
          </cell>
          <cell r="DD122">
            <v>0</v>
          </cell>
          <cell r="DE122">
            <v>0</v>
          </cell>
          <cell r="DF122">
            <v>0</v>
          </cell>
          <cell r="DG122">
            <v>0</v>
          </cell>
          <cell r="DH122">
            <v>0</v>
          </cell>
          <cell r="DI122">
            <v>0</v>
          </cell>
          <cell r="DJ122">
            <v>0</v>
          </cell>
          <cell r="DK122">
            <v>0</v>
          </cell>
          <cell r="DL122">
            <v>0</v>
          </cell>
          <cell r="DM122">
            <v>0</v>
          </cell>
          <cell r="DN122">
            <v>0</v>
          </cell>
          <cell r="DO122">
            <v>0</v>
          </cell>
          <cell r="DP122">
            <v>0</v>
          </cell>
          <cell r="DQ122">
            <v>0</v>
          </cell>
          <cell r="DR122">
            <v>0</v>
          </cell>
          <cell r="DS122">
            <v>0</v>
          </cell>
          <cell r="DT122">
            <v>0</v>
          </cell>
        </row>
        <row r="123">
          <cell r="B123" t="str">
            <v>TS 83 RF EN 5-7</v>
          </cell>
          <cell r="C123">
            <v>0</v>
          </cell>
          <cell r="D123" t="str">
            <v>x</v>
          </cell>
          <cell r="E123">
            <v>0</v>
          </cell>
          <cell r="F123" t="str">
            <v>x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 t="str">
            <v>x</v>
          </cell>
          <cell r="M123" t="str">
            <v>x</v>
          </cell>
          <cell r="N123" t="str">
            <v>x</v>
          </cell>
          <cell r="O123" t="str">
            <v>A</v>
          </cell>
          <cell r="P123" t="str">
            <v>B</v>
          </cell>
          <cell r="Q123">
            <v>0</v>
          </cell>
          <cell r="R123" t="str">
            <v>A</v>
          </cell>
          <cell r="S123" t="str">
            <v>B</v>
          </cell>
          <cell r="T123">
            <v>0</v>
          </cell>
          <cell r="U123" t="str">
            <v>x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 t="str">
            <v>x</v>
          </cell>
          <cell r="AB123" t="str">
            <v>x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 t="str">
            <v>x</v>
          </cell>
          <cell r="AH123">
            <v>0</v>
          </cell>
          <cell r="AI123">
            <v>0</v>
          </cell>
          <cell r="AJ123">
            <v>0</v>
          </cell>
          <cell r="AK123">
            <v>83</v>
          </cell>
          <cell r="AL123" t="str">
            <v>B</v>
          </cell>
          <cell r="AM123" t="str">
            <v>5-7</v>
          </cell>
          <cell r="BP123" t="str">
            <v>x</v>
          </cell>
          <cell r="BW123">
            <v>293</v>
          </cell>
          <cell r="BX123">
            <v>48</v>
          </cell>
          <cell r="BY123">
            <v>60</v>
          </cell>
          <cell r="BZ123">
            <v>305</v>
          </cell>
          <cell r="CA123">
            <v>30</v>
          </cell>
          <cell r="CB123">
            <v>20</v>
          </cell>
          <cell r="CC123">
            <v>0</v>
          </cell>
          <cell r="CD123">
            <v>250</v>
          </cell>
          <cell r="CE123">
            <v>25</v>
          </cell>
          <cell r="CF123">
            <v>25</v>
          </cell>
          <cell r="CG123">
            <v>194</v>
          </cell>
          <cell r="CH123">
            <v>92</v>
          </cell>
          <cell r="CI123" t="str">
            <v>_</v>
          </cell>
          <cell r="CJ123" t="str">
            <v>_</v>
          </cell>
          <cell r="CK123" t="str">
            <v>_</v>
          </cell>
          <cell r="CL123">
            <v>102</v>
          </cell>
          <cell r="CM123">
            <v>0</v>
          </cell>
          <cell r="CN123">
            <v>8</v>
          </cell>
          <cell r="CO123">
            <v>245</v>
          </cell>
          <cell r="CP123" t="str">
            <v>V</v>
          </cell>
          <cell r="CQ123">
            <v>22</v>
          </cell>
          <cell r="CR123" t="str">
            <v>_</v>
          </cell>
          <cell r="CS123">
            <v>102</v>
          </cell>
          <cell r="CT123" t="str">
            <v>V</v>
          </cell>
          <cell r="CU123">
            <v>8</v>
          </cell>
          <cell r="CV123">
            <v>245</v>
          </cell>
          <cell r="CW123" t="str">
            <v>V</v>
          </cell>
          <cell r="CX123">
            <v>22</v>
          </cell>
          <cell r="CY123" t="str">
            <v>_</v>
          </cell>
          <cell r="CZ123">
            <v>0</v>
          </cell>
          <cell r="DA123">
            <v>0</v>
          </cell>
          <cell r="DB123">
            <v>0</v>
          </cell>
          <cell r="DC123">
            <v>0</v>
          </cell>
          <cell r="DD123">
            <v>0</v>
          </cell>
          <cell r="DE123">
            <v>0</v>
          </cell>
          <cell r="DF123">
            <v>0</v>
          </cell>
          <cell r="DG123">
            <v>0</v>
          </cell>
          <cell r="DH123">
            <v>0</v>
          </cell>
          <cell r="DI123">
            <v>0</v>
          </cell>
          <cell r="DJ123">
            <v>0</v>
          </cell>
          <cell r="DK123">
            <v>0</v>
          </cell>
          <cell r="DL123">
            <v>0</v>
          </cell>
          <cell r="DM123">
            <v>0</v>
          </cell>
          <cell r="DN123">
            <v>0</v>
          </cell>
          <cell r="DO123">
            <v>0</v>
          </cell>
          <cell r="DP123">
            <v>0</v>
          </cell>
          <cell r="DQ123">
            <v>0</v>
          </cell>
          <cell r="DR123">
            <v>0</v>
          </cell>
          <cell r="DS123">
            <v>0</v>
          </cell>
          <cell r="DT123">
            <v>0</v>
          </cell>
        </row>
        <row r="124">
          <cell r="B124" t="str">
            <v>TS 83 SV EN 5-7</v>
          </cell>
          <cell r="C124">
            <v>0</v>
          </cell>
          <cell r="D124" t="str">
            <v>x</v>
          </cell>
          <cell r="E124">
            <v>0</v>
          </cell>
          <cell r="F124" t="str">
            <v>x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 t="str">
            <v>x</v>
          </cell>
          <cell r="M124" t="str">
            <v>x</v>
          </cell>
          <cell r="N124" t="str">
            <v>x</v>
          </cell>
          <cell r="O124" t="str">
            <v>A</v>
          </cell>
          <cell r="P124" t="str">
            <v>B</v>
          </cell>
          <cell r="Q124">
            <v>0</v>
          </cell>
          <cell r="R124" t="str">
            <v>A</v>
          </cell>
          <cell r="S124" t="str">
            <v>B</v>
          </cell>
          <cell r="T124">
            <v>0</v>
          </cell>
          <cell r="U124" t="str">
            <v>x</v>
          </cell>
          <cell r="V124">
            <v>0</v>
          </cell>
          <cell r="W124">
            <v>0</v>
          </cell>
          <cell r="X124" t="str">
            <v>x</v>
          </cell>
          <cell r="Y124">
            <v>0</v>
          </cell>
          <cell r="Z124">
            <v>0</v>
          </cell>
          <cell r="AA124" t="str">
            <v>x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 t="str">
            <v>x</v>
          </cell>
          <cell r="AH124">
            <v>0</v>
          </cell>
          <cell r="AI124">
            <v>0</v>
          </cell>
          <cell r="AJ124">
            <v>0</v>
          </cell>
          <cell r="AK124">
            <v>83</v>
          </cell>
          <cell r="AL124" t="str">
            <v>B</v>
          </cell>
          <cell r="AM124" t="str">
            <v>5-7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  <cell r="BF124">
            <v>0</v>
          </cell>
          <cell r="BG124">
            <v>0</v>
          </cell>
          <cell r="BH124">
            <v>0</v>
          </cell>
          <cell r="BI124">
            <v>0</v>
          </cell>
          <cell r="BJ124">
            <v>0</v>
          </cell>
          <cell r="BK124">
            <v>0</v>
          </cell>
          <cell r="BL124">
            <v>0</v>
          </cell>
          <cell r="BM124">
            <v>0</v>
          </cell>
          <cell r="BN124">
            <v>0</v>
          </cell>
          <cell r="BO124">
            <v>0</v>
          </cell>
          <cell r="BP124">
            <v>0</v>
          </cell>
          <cell r="BQ124">
            <v>0</v>
          </cell>
          <cell r="BR124" t="str">
            <v>x</v>
          </cell>
          <cell r="BS124">
            <v>0</v>
          </cell>
          <cell r="BT124">
            <v>0</v>
          </cell>
          <cell r="BU124">
            <v>0</v>
          </cell>
          <cell r="BV124">
            <v>0</v>
          </cell>
          <cell r="BW124">
            <v>293</v>
          </cell>
          <cell r="BX124">
            <v>48</v>
          </cell>
          <cell r="BY124">
            <v>60</v>
          </cell>
          <cell r="BZ124">
            <v>305</v>
          </cell>
          <cell r="CA124">
            <v>20</v>
          </cell>
          <cell r="CB124">
            <v>20</v>
          </cell>
          <cell r="CC124">
            <v>0</v>
          </cell>
          <cell r="CD124">
            <v>250</v>
          </cell>
          <cell r="CE124">
            <v>25</v>
          </cell>
          <cell r="CF124">
            <v>25</v>
          </cell>
          <cell r="CG124">
            <v>194</v>
          </cell>
          <cell r="CH124">
            <v>92</v>
          </cell>
          <cell r="CI124" t="str">
            <v>_</v>
          </cell>
          <cell r="CJ124" t="str">
            <v>_</v>
          </cell>
          <cell r="CK124" t="str">
            <v>_</v>
          </cell>
          <cell r="CL124">
            <v>102</v>
          </cell>
          <cell r="CM124">
            <v>0</v>
          </cell>
          <cell r="CN124">
            <v>8</v>
          </cell>
          <cell r="CO124">
            <v>245</v>
          </cell>
          <cell r="CP124" t="str">
            <v>V</v>
          </cell>
          <cell r="CQ124">
            <v>22</v>
          </cell>
          <cell r="CR124" t="str">
            <v>_</v>
          </cell>
          <cell r="CS124">
            <v>102</v>
          </cell>
          <cell r="CT124" t="str">
            <v>V</v>
          </cell>
          <cell r="CU124">
            <v>8</v>
          </cell>
          <cell r="CV124">
            <v>245</v>
          </cell>
          <cell r="CW124" t="str">
            <v>V</v>
          </cell>
          <cell r="CX124">
            <v>22</v>
          </cell>
          <cell r="CY124" t="str">
            <v>_</v>
          </cell>
          <cell r="CZ124">
            <v>0</v>
          </cell>
          <cell r="DA124">
            <v>0</v>
          </cell>
          <cell r="DB124">
            <v>0</v>
          </cell>
          <cell r="DC124">
            <v>0</v>
          </cell>
          <cell r="DD124">
            <v>0</v>
          </cell>
          <cell r="DE124">
            <v>0</v>
          </cell>
          <cell r="DF124">
            <v>0</v>
          </cell>
          <cell r="DG124">
            <v>0</v>
          </cell>
          <cell r="DH124">
            <v>0</v>
          </cell>
          <cell r="DI124">
            <v>0</v>
          </cell>
          <cell r="DJ124">
            <v>0</v>
          </cell>
          <cell r="DK124">
            <v>0</v>
          </cell>
          <cell r="DL124">
            <v>0</v>
          </cell>
          <cell r="DM124">
            <v>0</v>
          </cell>
          <cell r="DN124">
            <v>0</v>
          </cell>
          <cell r="DO124">
            <v>0</v>
          </cell>
          <cell r="DP124">
            <v>0</v>
          </cell>
          <cell r="DQ124">
            <v>0</v>
          </cell>
          <cell r="DR124">
            <v>0</v>
          </cell>
          <cell r="DS124">
            <v>0</v>
          </cell>
          <cell r="DT124">
            <v>0</v>
          </cell>
        </row>
        <row r="125">
          <cell r="B125" t="str">
            <v>ITS 96 EN 2-4</v>
          </cell>
          <cell r="C125">
            <v>0</v>
          </cell>
          <cell r="D125" t="str">
            <v>x</v>
          </cell>
          <cell r="E125">
            <v>0</v>
          </cell>
          <cell r="F125" t="str">
            <v>x</v>
          </cell>
          <cell r="G125">
            <v>0</v>
          </cell>
          <cell r="H125">
            <v>0</v>
          </cell>
          <cell r="I125" t="str">
            <v>x</v>
          </cell>
          <cell r="J125" t="str">
            <v>x</v>
          </cell>
          <cell r="K125" t="str">
            <v>x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 t="str">
            <v>x</v>
          </cell>
          <cell r="R125" t="str">
            <v>x</v>
          </cell>
          <cell r="S125" t="str">
            <v>x</v>
          </cell>
          <cell r="T125">
            <v>0</v>
          </cell>
          <cell r="U125" t="str">
            <v>x</v>
          </cell>
          <cell r="V125" t="str">
            <v>x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 t="str">
            <v>x</v>
          </cell>
          <cell r="AI125">
            <v>0</v>
          </cell>
          <cell r="AJ125">
            <v>0</v>
          </cell>
          <cell r="AK125">
            <v>96</v>
          </cell>
          <cell r="AL125">
            <v>0</v>
          </cell>
          <cell r="AM125" t="str">
            <v>2-4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 t="str">
            <v>x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I125">
            <v>0</v>
          </cell>
          <cell r="BJ125">
            <v>0</v>
          </cell>
          <cell r="BK125">
            <v>0</v>
          </cell>
          <cell r="BL125">
            <v>0</v>
          </cell>
          <cell r="BM125">
            <v>0</v>
          </cell>
          <cell r="BN125">
            <v>0</v>
          </cell>
          <cell r="BO125">
            <v>0</v>
          </cell>
          <cell r="BP125">
            <v>0</v>
          </cell>
          <cell r="BQ125">
            <v>0</v>
          </cell>
          <cell r="BR125">
            <v>0</v>
          </cell>
          <cell r="BS125">
            <v>0</v>
          </cell>
          <cell r="BT125">
            <v>0</v>
          </cell>
          <cell r="BU125">
            <v>0</v>
          </cell>
          <cell r="BV125">
            <v>0</v>
          </cell>
          <cell r="BW125">
            <v>338</v>
          </cell>
          <cell r="BX125">
            <v>32</v>
          </cell>
          <cell r="BY125">
            <v>45</v>
          </cell>
          <cell r="BZ125">
            <v>440</v>
          </cell>
          <cell r="CA125">
            <v>12</v>
          </cell>
          <cell r="CB125">
            <v>20</v>
          </cell>
          <cell r="CC125" t="str">
            <v>V</v>
          </cell>
          <cell r="CD125">
            <v>375</v>
          </cell>
          <cell r="CE125" t="str">
            <v>V</v>
          </cell>
          <cell r="CF125" t="str">
            <v>V</v>
          </cell>
          <cell r="CG125">
            <v>175</v>
          </cell>
          <cell r="CH125">
            <v>102</v>
          </cell>
          <cell r="CI125">
            <v>550</v>
          </cell>
          <cell r="CJ125">
            <v>460</v>
          </cell>
          <cell r="CK125">
            <v>90</v>
          </cell>
          <cell r="CL125">
            <v>73</v>
          </cell>
          <cell r="CM125" t="str">
            <v>V</v>
          </cell>
          <cell r="CN125">
            <v>8.5</v>
          </cell>
          <cell r="CO125">
            <v>145</v>
          </cell>
          <cell r="CP125" t="str">
            <v>V</v>
          </cell>
          <cell r="CQ125">
            <v>0</v>
          </cell>
          <cell r="CR125">
            <v>235</v>
          </cell>
          <cell r="CS125">
            <v>73</v>
          </cell>
          <cell r="CT125" t="str">
            <v>V</v>
          </cell>
          <cell r="CU125">
            <v>3</v>
          </cell>
          <cell r="CV125">
            <v>145</v>
          </cell>
          <cell r="CW125" t="str">
            <v>V</v>
          </cell>
          <cell r="CX125">
            <v>11.5</v>
          </cell>
          <cell r="CY125">
            <v>235</v>
          </cell>
          <cell r="CZ125">
            <v>0</v>
          </cell>
          <cell r="DA125">
            <v>0</v>
          </cell>
          <cell r="DB125">
            <v>0</v>
          </cell>
          <cell r="DC125">
            <v>0</v>
          </cell>
          <cell r="DD125">
            <v>0</v>
          </cell>
          <cell r="DE125">
            <v>0</v>
          </cell>
          <cell r="DF125">
            <v>0</v>
          </cell>
          <cell r="DG125">
            <v>0</v>
          </cell>
          <cell r="DH125">
            <v>0</v>
          </cell>
          <cell r="DI125">
            <v>0</v>
          </cell>
          <cell r="DJ125">
            <v>0</v>
          </cell>
          <cell r="DK125">
            <v>0</v>
          </cell>
          <cell r="DL125">
            <v>0</v>
          </cell>
          <cell r="DM125">
            <v>0</v>
          </cell>
          <cell r="DN125">
            <v>0</v>
          </cell>
          <cell r="DO125">
            <v>0</v>
          </cell>
          <cell r="DP125">
            <v>0</v>
          </cell>
          <cell r="DQ125">
            <v>0</v>
          </cell>
          <cell r="DR125">
            <v>0</v>
          </cell>
          <cell r="DS125">
            <v>0</v>
          </cell>
          <cell r="DT125">
            <v>0</v>
          </cell>
        </row>
        <row r="126">
          <cell r="B126" t="str">
            <v>ITS 96 RF EN 2-4</v>
          </cell>
          <cell r="D126" t="str">
            <v>x</v>
          </cell>
          <cell r="F126" t="str">
            <v>x</v>
          </cell>
          <cell r="I126" t="str">
            <v>x</v>
          </cell>
          <cell r="J126" t="str">
            <v>x</v>
          </cell>
          <cell r="K126" t="str">
            <v>x</v>
          </cell>
          <cell r="Q126" t="str">
            <v>x</v>
          </cell>
          <cell r="R126" t="str">
            <v>x</v>
          </cell>
          <cell r="S126" t="str">
            <v>x</v>
          </cell>
          <cell r="U126" t="str">
            <v>x</v>
          </cell>
          <cell r="V126" t="str">
            <v>x</v>
          </cell>
          <cell r="AB126" t="str">
            <v>x</v>
          </cell>
          <cell r="AH126" t="str">
            <v>x</v>
          </cell>
          <cell r="AK126">
            <v>96</v>
          </cell>
          <cell r="AM126" t="str">
            <v>2-4</v>
          </cell>
          <cell r="AW126" t="str">
            <v>x</v>
          </cell>
          <cell r="BW126">
            <v>338</v>
          </cell>
          <cell r="BX126">
            <v>32</v>
          </cell>
          <cell r="BY126">
            <v>45</v>
          </cell>
          <cell r="BZ126">
            <v>440</v>
          </cell>
          <cell r="CA126">
            <v>12</v>
          </cell>
          <cell r="CB126">
            <v>20</v>
          </cell>
          <cell r="CC126" t="str">
            <v>V</v>
          </cell>
          <cell r="CD126">
            <v>375</v>
          </cell>
          <cell r="CE126" t="str">
            <v>V</v>
          </cell>
          <cell r="CF126" t="str">
            <v>V</v>
          </cell>
          <cell r="CG126">
            <v>175</v>
          </cell>
          <cell r="CH126">
            <v>102</v>
          </cell>
          <cell r="CI126">
            <v>550</v>
          </cell>
          <cell r="CJ126">
            <v>460</v>
          </cell>
          <cell r="CK126">
            <v>90</v>
          </cell>
          <cell r="CL126">
            <v>73</v>
          </cell>
          <cell r="CM126" t="str">
            <v>V</v>
          </cell>
          <cell r="CN126">
            <v>8.5</v>
          </cell>
          <cell r="CO126">
            <v>145</v>
          </cell>
          <cell r="CP126" t="str">
            <v>V</v>
          </cell>
          <cell r="CQ126">
            <v>0</v>
          </cell>
          <cell r="CR126">
            <v>235</v>
          </cell>
          <cell r="CS126">
            <v>73</v>
          </cell>
          <cell r="CT126" t="str">
            <v>V</v>
          </cell>
          <cell r="CU126">
            <v>3</v>
          </cell>
          <cell r="CV126">
            <v>145</v>
          </cell>
          <cell r="CW126" t="str">
            <v>V</v>
          </cell>
          <cell r="CX126">
            <v>11.5</v>
          </cell>
          <cell r="CY126">
            <v>235</v>
          </cell>
          <cell r="CZ126">
            <v>0</v>
          </cell>
          <cell r="DA126">
            <v>0</v>
          </cell>
          <cell r="DB126">
            <v>0</v>
          </cell>
          <cell r="DC126">
            <v>0</v>
          </cell>
          <cell r="DD126">
            <v>0</v>
          </cell>
          <cell r="DE126">
            <v>0</v>
          </cell>
          <cell r="DF126">
            <v>0</v>
          </cell>
          <cell r="DG126">
            <v>0</v>
          </cell>
          <cell r="DH126">
            <v>0</v>
          </cell>
          <cell r="DI126">
            <v>0</v>
          </cell>
          <cell r="DJ126">
            <v>0</v>
          </cell>
          <cell r="DK126">
            <v>0</v>
          </cell>
          <cell r="DL126">
            <v>0</v>
          </cell>
          <cell r="DM126">
            <v>0</v>
          </cell>
          <cell r="DN126">
            <v>0</v>
          </cell>
          <cell r="DO126">
            <v>0</v>
          </cell>
          <cell r="DP126">
            <v>0</v>
          </cell>
          <cell r="DQ126">
            <v>0</v>
          </cell>
          <cell r="DR126">
            <v>0</v>
          </cell>
          <cell r="DS126">
            <v>0</v>
          </cell>
          <cell r="DT126">
            <v>0</v>
          </cell>
        </row>
        <row r="127">
          <cell r="B127" t="str">
            <v>ITS 96 EMF EN 2-4</v>
          </cell>
          <cell r="C127">
            <v>0</v>
          </cell>
          <cell r="D127" t="str">
            <v>x</v>
          </cell>
          <cell r="E127">
            <v>0</v>
          </cell>
          <cell r="F127" t="str">
            <v>x</v>
          </cell>
          <cell r="G127">
            <v>0</v>
          </cell>
          <cell r="H127">
            <v>0</v>
          </cell>
          <cell r="I127" t="str">
            <v>x</v>
          </cell>
          <cell r="J127" t="str">
            <v>x</v>
          </cell>
          <cell r="K127" t="str">
            <v>x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 t="str">
            <v>x</v>
          </cell>
          <cell r="R127" t="str">
            <v>x</v>
          </cell>
          <cell r="S127">
            <v>0</v>
          </cell>
          <cell r="T127">
            <v>0</v>
          </cell>
          <cell r="U127" t="str">
            <v>x</v>
          </cell>
          <cell r="V127" t="str">
            <v>x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 t="str">
            <v>x</v>
          </cell>
          <cell r="AD127">
            <v>0</v>
          </cell>
          <cell r="AE127" t="str">
            <v>x</v>
          </cell>
          <cell r="AF127">
            <v>0</v>
          </cell>
          <cell r="AG127">
            <v>0</v>
          </cell>
          <cell r="AH127" t="str">
            <v>x</v>
          </cell>
          <cell r="AI127">
            <v>0</v>
          </cell>
          <cell r="AJ127">
            <v>0</v>
          </cell>
          <cell r="AK127">
            <v>96</v>
          </cell>
          <cell r="AL127">
            <v>0</v>
          </cell>
          <cell r="AM127" t="str">
            <v>2-4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 t="str">
            <v>x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0</v>
          </cell>
          <cell r="BI127">
            <v>0</v>
          </cell>
          <cell r="BJ127">
            <v>0</v>
          </cell>
          <cell r="BK127">
            <v>0</v>
          </cell>
          <cell r="BL127">
            <v>0</v>
          </cell>
          <cell r="BM127">
            <v>0</v>
          </cell>
          <cell r="BN127">
            <v>0</v>
          </cell>
          <cell r="BO127">
            <v>0</v>
          </cell>
          <cell r="BP127">
            <v>0</v>
          </cell>
          <cell r="BQ127">
            <v>0</v>
          </cell>
          <cell r="BR127">
            <v>0</v>
          </cell>
          <cell r="BS127">
            <v>0</v>
          </cell>
          <cell r="BW127">
            <v>338</v>
          </cell>
          <cell r="BX127">
            <v>32</v>
          </cell>
          <cell r="BY127">
            <v>45</v>
          </cell>
          <cell r="BZ127">
            <v>527</v>
          </cell>
          <cell r="CA127">
            <v>30</v>
          </cell>
          <cell r="CB127">
            <v>31</v>
          </cell>
          <cell r="CC127" t="str">
            <v>V</v>
          </cell>
          <cell r="CD127">
            <v>375</v>
          </cell>
          <cell r="CE127" t="str">
            <v>V</v>
          </cell>
          <cell r="CF127" t="str">
            <v>V</v>
          </cell>
          <cell r="CG127">
            <v>175</v>
          </cell>
          <cell r="CH127">
            <v>102</v>
          </cell>
          <cell r="CI127">
            <v>550</v>
          </cell>
          <cell r="CJ127">
            <v>412</v>
          </cell>
          <cell r="CK127">
            <v>138</v>
          </cell>
          <cell r="CL127">
            <v>73</v>
          </cell>
          <cell r="CM127" t="str">
            <v>V</v>
          </cell>
          <cell r="CN127">
            <v>8.5</v>
          </cell>
          <cell r="CO127">
            <v>90</v>
          </cell>
          <cell r="CP127" t="str">
            <v>V</v>
          </cell>
          <cell r="CQ127">
            <v>0</v>
          </cell>
          <cell r="CR127">
            <v>228</v>
          </cell>
          <cell r="CS127">
            <v>73</v>
          </cell>
          <cell r="CT127" t="str">
            <v>V</v>
          </cell>
          <cell r="CU127">
            <v>3</v>
          </cell>
          <cell r="CV127">
            <v>90</v>
          </cell>
          <cell r="CW127" t="str">
            <v>V</v>
          </cell>
          <cell r="CX127">
            <v>11.5</v>
          </cell>
          <cell r="CY127">
            <v>228</v>
          </cell>
          <cell r="CZ127">
            <v>0</v>
          </cell>
          <cell r="DA127">
            <v>0</v>
          </cell>
          <cell r="DB127">
            <v>0</v>
          </cell>
          <cell r="DC127">
            <v>0</v>
          </cell>
          <cell r="DD127">
            <v>0</v>
          </cell>
          <cell r="DE127">
            <v>0</v>
          </cell>
          <cell r="DF127">
            <v>0</v>
          </cell>
          <cell r="DG127">
            <v>0</v>
          </cell>
          <cell r="DH127">
            <v>0</v>
          </cell>
          <cell r="DI127">
            <v>0</v>
          </cell>
          <cell r="DJ127">
            <v>0</v>
          </cell>
          <cell r="DK127">
            <v>0</v>
          </cell>
          <cell r="DL127">
            <v>0</v>
          </cell>
          <cell r="DM127">
            <v>0</v>
          </cell>
          <cell r="DN127">
            <v>0</v>
          </cell>
          <cell r="DO127">
            <v>0</v>
          </cell>
          <cell r="DP127">
            <v>0</v>
          </cell>
          <cell r="DQ127">
            <v>0</v>
          </cell>
          <cell r="DR127">
            <v>0</v>
          </cell>
          <cell r="DS127">
            <v>0</v>
          </cell>
          <cell r="DT127">
            <v>0</v>
          </cell>
        </row>
        <row r="128">
          <cell r="B128" t="str">
            <v>ITS 96 GSR EN 2-4</v>
          </cell>
          <cell r="E128" t="str">
            <v>x</v>
          </cell>
          <cell r="F128" t="str">
            <v>x</v>
          </cell>
          <cell r="I128" t="str">
            <v>x</v>
          </cell>
          <cell r="J128" t="str">
            <v>x</v>
          </cell>
          <cell r="K128" t="str">
            <v>x</v>
          </cell>
          <cell r="Q128" t="str">
            <v>x</v>
          </cell>
          <cell r="R128" t="str">
            <v>x</v>
          </cell>
          <cell r="U128" t="str">
            <v>x</v>
          </cell>
          <cell r="V128" t="str">
            <v>x</v>
          </cell>
          <cell r="W128" t="str">
            <v>x</v>
          </cell>
          <cell r="AH128" t="str">
            <v>x</v>
          </cell>
          <cell r="AK128">
            <v>96</v>
          </cell>
          <cell r="AM128" t="str">
            <v>2-4</v>
          </cell>
          <cell r="AZ128" t="str">
            <v>x</v>
          </cell>
          <cell r="BW128">
            <v>338</v>
          </cell>
          <cell r="BX128">
            <v>32</v>
          </cell>
          <cell r="BY128">
            <v>45</v>
          </cell>
          <cell r="BZ128" t="str">
            <v>V</v>
          </cell>
          <cell r="CA128">
            <v>30</v>
          </cell>
          <cell r="CB128">
            <v>31</v>
          </cell>
          <cell r="CC128" t="str">
            <v>V</v>
          </cell>
          <cell r="CD128">
            <v>375</v>
          </cell>
          <cell r="CE128" t="str">
            <v>V</v>
          </cell>
          <cell r="CF128" t="str">
            <v>V</v>
          </cell>
          <cell r="CG128">
            <v>175</v>
          </cell>
          <cell r="CH128">
            <v>102</v>
          </cell>
          <cell r="CI128">
            <v>550</v>
          </cell>
          <cell r="CJ128">
            <v>460</v>
          </cell>
          <cell r="CK128">
            <v>90</v>
          </cell>
          <cell r="CL128">
            <v>73</v>
          </cell>
          <cell r="CM128" t="str">
            <v>V</v>
          </cell>
          <cell r="CN128">
            <v>8.5</v>
          </cell>
          <cell r="CO128">
            <v>90</v>
          </cell>
          <cell r="CP128" t="str">
            <v>V</v>
          </cell>
          <cell r="CQ128">
            <v>0</v>
          </cell>
          <cell r="CR128">
            <v>180</v>
          </cell>
          <cell r="CS128">
            <v>73</v>
          </cell>
          <cell r="CT128" t="str">
            <v>V</v>
          </cell>
          <cell r="CU128">
            <v>3</v>
          </cell>
          <cell r="CV128">
            <v>90</v>
          </cell>
          <cell r="CW128" t="str">
            <v>V</v>
          </cell>
          <cell r="CX128">
            <v>0</v>
          </cell>
          <cell r="CY128">
            <v>180</v>
          </cell>
          <cell r="CZ128">
            <v>0</v>
          </cell>
          <cell r="DA128">
            <v>0</v>
          </cell>
          <cell r="DB128">
            <v>0</v>
          </cell>
          <cell r="DC128">
            <v>0</v>
          </cell>
          <cell r="DD128">
            <v>0</v>
          </cell>
          <cell r="DE128">
            <v>0</v>
          </cell>
          <cell r="DF128">
            <v>0</v>
          </cell>
          <cell r="DG128">
            <v>0</v>
          </cell>
          <cell r="DH128">
            <v>0</v>
          </cell>
          <cell r="DI128">
            <v>0</v>
          </cell>
          <cell r="DJ128">
            <v>0</v>
          </cell>
          <cell r="DK128">
            <v>0</v>
          </cell>
          <cell r="DL128">
            <v>0</v>
          </cell>
          <cell r="DM128">
            <v>0</v>
          </cell>
          <cell r="DN128">
            <v>0</v>
          </cell>
          <cell r="DO128">
            <v>0</v>
          </cell>
          <cell r="DP128">
            <v>0</v>
          </cell>
          <cell r="DQ128">
            <v>0</v>
          </cell>
          <cell r="DR128">
            <v>0</v>
          </cell>
          <cell r="DS128">
            <v>0</v>
          </cell>
          <cell r="DT128">
            <v>0</v>
          </cell>
        </row>
        <row r="129">
          <cell r="B129" t="str">
            <v>ITS 96 GSR RF EN 2-4</v>
          </cell>
          <cell r="E129" t="str">
            <v>x</v>
          </cell>
          <cell r="F129" t="str">
            <v>x</v>
          </cell>
          <cell r="I129" t="str">
            <v>x</v>
          </cell>
          <cell r="J129" t="str">
            <v>x</v>
          </cell>
          <cell r="K129" t="str">
            <v>x</v>
          </cell>
          <cell r="Q129" t="str">
            <v>x</v>
          </cell>
          <cell r="R129" t="str">
            <v>x</v>
          </cell>
          <cell r="U129" t="str">
            <v>x</v>
          </cell>
          <cell r="V129" t="str">
            <v>x</v>
          </cell>
          <cell r="W129" t="str">
            <v>x</v>
          </cell>
          <cell r="AB129" t="str">
            <v>x</v>
          </cell>
          <cell r="AH129" t="str">
            <v>x</v>
          </cell>
          <cell r="AK129">
            <v>96</v>
          </cell>
          <cell r="AM129" t="str">
            <v>2-4</v>
          </cell>
          <cell r="BA129" t="str">
            <v>x</v>
          </cell>
          <cell r="BW129">
            <v>338</v>
          </cell>
          <cell r="BX129">
            <v>32</v>
          </cell>
          <cell r="BY129">
            <v>45</v>
          </cell>
          <cell r="BZ129" t="str">
            <v>V</v>
          </cell>
          <cell r="CA129">
            <v>30</v>
          </cell>
          <cell r="CB129">
            <v>31</v>
          </cell>
          <cell r="CC129" t="str">
            <v>V</v>
          </cell>
          <cell r="CD129">
            <v>375</v>
          </cell>
          <cell r="CE129" t="str">
            <v>V</v>
          </cell>
          <cell r="CF129" t="str">
            <v>V</v>
          </cell>
          <cell r="CG129">
            <v>175</v>
          </cell>
          <cell r="CH129">
            <v>102</v>
          </cell>
          <cell r="CI129">
            <v>550</v>
          </cell>
          <cell r="CJ129">
            <v>460</v>
          </cell>
          <cell r="CK129">
            <v>90</v>
          </cell>
          <cell r="CL129">
            <v>73</v>
          </cell>
          <cell r="CM129" t="str">
            <v>V</v>
          </cell>
          <cell r="CN129">
            <v>8.5</v>
          </cell>
          <cell r="CO129">
            <v>90</v>
          </cell>
          <cell r="CP129" t="str">
            <v>V</v>
          </cell>
          <cell r="CQ129">
            <v>0</v>
          </cell>
          <cell r="CR129">
            <v>228</v>
          </cell>
          <cell r="CS129">
            <v>73</v>
          </cell>
          <cell r="CT129" t="str">
            <v>V</v>
          </cell>
          <cell r="CU129">
            <v>3</v>
          </cell>
          <cell r="CV129">
            <v>90</v>
          </cell>
          <cell r="CW129" t="str">
            <v>V</v>
          </cell>
          <cell r="CX129">
            <v>0</v>
          </cell>
          <cell r="CY129">
            <v>228</v>
          </cell>
          <cell r="CZ129">
            <v>0</v>
          </cell>
          <cell r="DA129">
            <v>0</v>
          </cell>
          <cell r="DB129">
            <v>0</v>
          </cell>
          <cell r="DC129">
            <v>0</v>
          </cell>
          <cell r="DD129">
            <v>0</v>
          </cell>
          <cell r="DE129">
            <v>0</v>
          </cell>
          <cell r="DF129">
            <v>0</v>
          </cell>
          <cell r="DG129">
            <v>0</v>
          </cell>
          <cell r="DH129">
            <v>0</v>
          </cell>
          <cell r="DI129">
            <v>0</v>
          </cell>
          <cell r="DJ129">
            <v>0</v>
          </cell>
          <cell r="DK129">
            <v>0</v>
          </cell>
          <cell r="DL129">
            <v>0</v>
          </cell>
          <cell r="DM129">
            <v>0</v>
          </cell>
          <cell r="DN129">
            <v>0</v>
          </cell>
          <cell r="DO129">
            <v>0</v>
          </cell>
          <cell r="DP129">
            <v>0</v>
          </cell>
          <cell r="DQ129">
            <v>0</v>
          </cell>
          <cell r="DR129">
            <v>0</v>
          </cell>
          <cell r="DS129">
            <v>0</v>
          </cell>
          <cell r="DT129">
            <v>0</v>
          </cell>
        </row>
        <row r="130">
          <cell r="B130" t="str">
            <v>ITS 96 GSR-EMF EN 2-4</v>
          </cell>
          <cell r="E130" t="str">
            <v>x</v>
          </cell>
          <cell r="F130" t="str">
            <v>x</v>
          </cell>
          <cell r="I130" t="str">
            <v>x</v>
          </cell>
          <cell r="J130" t="str">
            <v>x</v>
          </cell>
          <cell r="K130" t="str">
            <v>x</v>
          </cell>
          <cell r="Q130" t="str">
            <v>x</v>
          </cell>
          <cell r="R130" t="str">
            <v>x</v>
          </cell>
          <cell r="U130" t="str">
            <v>x</v>
          </cell>
          <cell r="V130" t="str">
            <v>x</v>
          </cell>
          <cell r="W130" t="str">
            <v>x</v>
          </cell>
          <cell r="AC130" t="str">
            <v>x</v>
          </cell>
          <cell r="AE130" t="str">
            <v>x</v>
          </cell>
          <cell r="AH130" t="str">
            <v>x</v>
          </cell>
          <cell r="AK130">
            <v>96</v>
          </cell>
          <cell r="AM130" t="str">
            <v>2-4</v>
          </cell>
          <cell r="BD130" t="str">
            <v>x</v>
          </cell>
          <cell r="BW130">
            <v>338</v>
          </cell>
          <cell r="BX130">
            <v>32</v>
          </cell>
          <cell r="BY130">
            <v>45</v>
          </cell>
          <cell r="BZ130" t="str">
            <v>V</v>
          </cell>
          <cell r="CA130">
            <v>30</v>
          </cell>
          <cell r="CB130">
            <v>31</v>
          </cell>
          <cell r="CC130" t="str">
            <v>V</v>
          </cell>
          <cell r="CD130">
            <v>375</v>
          </cell>
          <cell r="CE130" t="str">
            <v>V</v>
          </cell>
          <cell r="CF130" t="str">
            <v>V</v>
          </cell>
          <cell r="CG130">
            <v>175</v>
          </cell>
          <cell r="CH130">
            <v>102</v>
          </cell>
          <cell r="CI130">
            <v>550</v>
          </cell>
          <cell r="CJ130">
            <v>412</v>
          </cell>
          <cell r="CK130">
            <v>138</v>
          </cell>
          <cell r="CL130">
            <v>73</v>
          </cell>
          <cell r="CM130" t="str">
            <v>V</v>
          </cell>
          <cell r="CN130">
            <v>8.5</v>
          </cell>
          <cell r="CO130">
            <v>90</v>
          </cell>
          <cell r="CP130" t="str">
            <v>V</v>
          </cell>
          <cell r="CQ130">
            <v>0</v>
          </cell>
          <cell r="CR130">
            <v>228</v>
          </cell>
          <cell r="CS130">
            <v>73</v>
          </cell>
          <cell r="CT130" t="str">
            <v>V</v>
          </cell>
          <cell r="CU130">
            <v>3</v>
          </cell>
          <cell r="CV130">
            <v>90</v>
          </cell>
          <cell r="CW130" t="str">
            <v>V</v>
          </cell>
          <cell r="CX130">
            <v>0</v>
          </cell>
          <cell r="CY130">
            <v>228</v>
          </cell>
          <cell r="CZ130">
            <v>0</v>
          </cell>
          <cell r="DA130">
            <v>0</v>
          </cell>
          <cell r="DB130">
            <v>0</v>
          </cell>
          <cell r="DC130">
            <v>0</v>
          </cell>
          <cell r="DD130">
            <v>0</v>
          </cell>
          <cell r="DE130">
            <v>0</v>
          </cell>
          <cell r="DF130">
            <v>0</v>
          </cell>
          <cell r="DG130">
            <v>0</v>
          </cell>
          <cell r="DH130">
            <v>0</v>
          </cell>
          <cell r="DI130">
            <v>0</v>
          </cell>
          <cell r="DJ130">
            <v>0</v>
          </cell>
          <cell r="DK130">
            <v>0</v>
          </cell>
          <cell r="DL130">
            <v>0</v>
          </cell>
          <cell r="DM130">
            <v>0</v>
          </cell>
          <cell r="DN130">
            <v>0</v>
          </cell>
          <cell r="DO130">
            <v>0</v>
          </cell>
          <cell r="DP130">
            <v>0</v>
          </cell>
          <cell r="DQ130">
            <v>0</v>
          </cell>
          <cell r="DR130">
            <v>0</v>
          </cell>
          <cell r="DS130">
            <v>0</v>
          </cell>
          <cell r="DT130">
            <v>0</v>
          </cell>
        </row>
        <row r="131">
          <cell r="B131" t="str">
            <v>ITS 96 EN 3-6</v>
          </cell>
          <cell r="D131" t="str">
            <v>x</v>
          </cell>
          <cell r="F131" t="str">
            <v>x</v>
          </cell>
          <cell r="J131" t="str">
            <v>x</v>
          </cell>
          <cell r="K131" t="str">
            <v>x</v>
          </cell>
          <cell r="L131" t="str">
            <v>x</v>
          </cell>
          <cell r="M131" t="str">
            <v>x</v>
          </cell>
          <cell r="Q131" t="str">
            <v>x</v>
          </cell>
          <cell r="R131" t="str">
            <v>x</v>
          </cell>
          <cell r="S131" t="str">
            <v>x</v>
          </cell>
          <cell r="U131" t="str">
            <v>x</v>
          </cell>
          <cell r="V131" t="str">
            <v>x</v>
          </cell>
          <cell r="AH131" t="str">
            <v>x</v>
          </cell>
          <cell r="AK131">
            <v>96</v>
          </cell>
          <cell r="AM131" t="str">
            <v>3-6</v>
          </cell>
          <cell r="AV131" t="str">
            <v>x</v>
          </cell>
          <cell r="BW131">
            <v>352</v>
          </cell>
          <cell r="BX131">
            <v>40</v>
          </cell>
          <cell r="BY131">
            <v>54</v>
          </cell>
          <cell r="BZ131">
            <v>440</v>
          </cell>
          <cell r="CA131">
            <v>12</v>
          </cell>
          <cell r="CB131">
            <v>20</v>
          </cell>
          <cell r="CC131" t="str">
            <v>V</v>
          </cell>
          <cell r="CD131">
            <v>375</v>
          </cell>
          <cell r="CE131" t="str">
            <v>V</v>
          </cell>
          <cell r="CF131" t="str">
            <v>V</v>
          </cell>
          <cell r="CG131">
            <v>175</v>
          </cell>
          <cell r="CH131">
            <v>105</v>
          </cell>
          <cell r="CI131">
            <v>550</v>
          </cell>
          <cell r="CJ131">
            <v>460</v>
          </cell>
          <cell r="CK131">
            <v>90</v>
          </cell>
          <cell r="CL131">
            <v>70</v>
          </cell>
          <cell r="CM131" t="str">
            <v>V</v>
          </cell>
          <cell r="CN131">
            <v>8.5</v>
          </cell>
          <cell r="CO131">
            <v>145</v>
          </cell>
          <cell r="CP131" t="str">
            <v>V</v>
          </cell>
          <cell r="CQ131">
            <v>0</v>
          </cell>
          <cell r="CR131">
            <v>235</v>
          </cell>
          <cell r="CS131">
            <v>70</v>
          </cell>
          <cell r="CT131" t="str">
            <v>V</v>
          </cell>
          <cell r="CU131">
            <v>3</v>
          </cell>
          <cell r="CV131">
            <v>145</v>
          </cell>
          <cell r="CW131" t="str">
            <v>V</v>
          </cell>
          <cell r="CX131">
            <v>11.5</v>
          </cell>
          <cell r="CY131">
            <v>235</v>
          </cell>
          <cell r="CZ131">
            <v>0</v>
          </cell>
          <cell r="DA131">
            <v>0</v>
          </cell>
          <cell r="DB131">
            <v>0</v>
          </cell>
          <cell r="DC131">
            <v>0</v>
          </cell>
          <cell r="DD131">
            <v>0</v>
          </cell>
          <cell r="DE131">
            <v>0</v>
          </cell>
          <cell r="DF131">
            <v>0</v>
          </cell>
          <cell r="DG131">
            <v>0</v>
          </cell>
          <cell r="DH131">
            <v>0</v>
          </cell>
          <cell r="DI131">
            <v>0</v>
          </cell>
          <cell r="DJ131">
            <v>0</v>
          </cell>
          <cell r="DK131">
            <v>0</v>
          </cell>
          <cell r="DL131">
            <v>0</v>
          </cell>
          <cell r="DM131">
            <v>0</v>
          </cell>
          <cell r="DN131">
            <v>0</v>
          </cell>
          <cell r="DO131">
            <v>0</v>
          </cell>
          <cell r="DP131">
            <v>0</v>
          </cell>
          <cell r="DQ131">
            <v>0</v>
          </cell>
          <cell r="DR131">
            <v>0</v>
          </cell>
          <cell r="DS131">
            <v>0</v>
          </cell>
          <cell r="DT131">
            <v>0</v>
          </cell>
        </row>
        <row r="132">
          <cell r="B132" t="str">
            <v>ITS 96 RF EN 3-6</v>
          </cell>
          <cell r="D132" t="str">
            <v>x</v>
          </cell>
          <cell r="F132" t="str">
            <v>x</v>
          </cell>
          <cell r="J132" t="str">
            <v>x</v>
          </cell>
          <cell r="K132" t="str">
            <v>x</v>
          </cell>
          <cell r="L132" t="str">
            <v>x</v>
          </cell>
          <cell r="M132" t="str">
            <v>x</v>
          </cell>
          <cell r="Q132" t="str">
            <v>x</v>
          </cell>
          <cell r="R132" t="str">
            <v>x</v>
          </cell>
          <cell r="S132" t="str">
            <v>x</v>
          </cell>
          <cell r="U132" t="str">
            <v>x</v>
          </cell>
          <cell r="V132" t="str">
            <v>x</v>
          </cell>
          <cell r="AB132" t="str">
            <v>x</v>
          </cell>
          <cell r="AH132" t="str">
            <v>x</v>
          </cell>
          <cell r="AK132">
            <v>96</v>
          </cell>
          <cell r="AM132" t="str">
            <v>3-6</v>
          </cell>
          <cell r="AW132" t="str">
            <v>x</v>
          </cell>
          <cell r="BW132">
            <v>352</v>
          </cell>
          <cell r="BX132">
            <v>40</v>
          </cell>
          <cell r="BY132">
            <v>54</v>
          </cell>
          <cell r="BZ132">
            <v>440</v>
          </cell>
          <cell r="CA132">
            <v>12</v>
          </cell>
          <cell r="CB132">
            <v>20</v>
          </cell>
          <cell r="CC132" t="str">
            <v>V</v>
          </cell>
          <cell r="CD132">
            <v>375</v>
          </cell>
          <cell r="CE132" t="str">
            <v>V</v>
          </cell>
          <cell r="CF132" t="str">
            <v>V</v>
          </cell>
          <cell r="CG132">
            <v>175</v>
          </cell>
          <cell r="CH132">
            <v>105</v>
          </cell>
          <cell r="CI132">
            <v>550</v>
          </cell>
          <cell r="CJ132">
            <v>460</v>
          </cell>
          <cell r="CK132">
            <v>90</v>
          </cell>
          <cell r="CL132">
            <v>70</v>
          </cell>
          <cell r="CM132" t="str">
            <v>V</v>
          </cell>
          <cell r="CN132">
            <v>8.5</v>
          </cell>
          <cell r="CO132">
            <v>145</v>
          </cell>
          <cell r="CP132" t="str">
            <v>V</v>
          </cell>
          <cell r="CQ132">
            <v>0</v>
          </cell>
          <cell r="CR132">
            <v>235</v>
          </cell>
          <cell r="CS132">
            <v>70</v>
          </cell>
          <cell r="CT132" t="str">
            <v>V</v>
          </cell>
          <cell r="CU132">
            <v>3</v>
          </cell>
          <cell r="CV132">
            <v>145</v>
          </cell>
          <cell r="CW132" t="str">
            <v>V</v>
          </cell>
          <cell r="CX132">
            <v>11.5</v>
          </cell>
          <cell r="CY132">
            <v>235</v>
          </cell>
          <cell r="CZ132">
            <v>0</v>
          </cell>
          <cell r="DA132">
            <v>0</v>
          </cell>
          <cell r="DB132">
            <v>0</v>
          </cell>
          <cell r="DC132">
            <v>0</v>
          </cell>
          <cell r="DD132">
            <v>0</v>
          </cell>
          <cell r="DE132">
            <v>0</v>
          </cell>
          <cell r="DF132">
            <v>0</v>
          </cell>
          <cell r="DG132">
            <v>0</v>
          </cell>
          <cell r="DH132">
            <v>0</v>
          </cell>
          <cell r="DI132">
            <v>0</v>
          </cell>
          <cell r="DJ132">
            <v>0</v>
          </cell>
          <cell r="DK132">
            <v>0</v>
          </cell>
          <cell r="DL132">
            <v>0</v>
          </cell>
          <cell r="DM132">
            <v>0</v>
          </cell>
          <cell r="DN132">
            <v>0</v>
          </cell>
          <cell r="DO132">
            <v>0</v>
          </cell>
          <cell r="DP132">
            <v>0</v>
          </cell>
          <cell r="DQ132">
            <v>0</v>
          </cell>
          <cell r="DR132">
            <v>0</v>
          </cell>
          <cell r="DS132">
            <v>0</v>
          </cell>
          <cell r="DT132">
            <v>0</v>
          </cell>
        </row>
        <row r="133">
          <cell r="B133" t="str">
            <v>ITS 96 EMF EN 3-6</v>
          </cell>
          <cell r="D133" t="str">
            <v>x</v>
          </cell>
          <cell r="F133" t="str">
            <v>x</v>
          </cell>
          <cell r="J133" t="str">
            <v>x</v>
          </cell>
          <cell r="K133" t="str">
            <v>x</v>
          </cell>
          <cell r="L133" t="str">
            <v>x</v>
          </cell>
          <cell r="M133" t="str">
            <v>x</v>
          </cell>
          <cell r="Q133" t="str">
            <v>x</v>
          </cell>
          <cell r="R133" t="str">
            <v>x</v>
          </cell>
          <cell r="U133" t="str">
            <v>x</v>
          </cell>
          <cell r="V133" t="str">
            <v>x</v>
          </cell>
          <cell r="AC133" t="str">
            <v>x</v>
          </cell>
          <cell r="AE133" t="str">
            <v>x</v>
          </cell>
          <cell r="AH133" t="str">
            <v>x</v>
          </cell>
          <cell r="AK133">
            <v>96</v>
          </cell>
          <cell r="AM133" t="str">
            <v>3-6</v>
          </cell>
          <cell r="AX133" t="str">
            <v>x</v>
          </cell>
          <cell r="BW133">
            <v>352</v>
          </cell>
          <cell r="BX133">
            <v>40</v>
          </cell>
          <cell r="BY133">
            <v>54</v>
          </cell>
          <cell r="BZ133">
            <v>527</v>
          </cell>
          <cell r="CA133">
            <v>30</v>
          </cell>
          <cell r="CB133">
            <v>31</v>
          </cell>
          <cell r="CC133" t="str">
            <v>V</v>
          </cell>
          <cell r="CD133">
            <v>375</v>
          </cell>
          <cell r="CE133" t="str">
            <v>V</v>
          </cell>
          <cell r="CF133" t="str">
            <v>V</v>
          </cell>
          <cell r="CG133">
            <v>175</v>
          </cell>
          <cell r="CH133">
            <v>105</v>
          </cell>
          <cell r="CI133">
            <v>550</v>
          </cell>
          <cell r="CJ133">
            <v>412</v>
          </cell>
          <cell r="CK133">
            <v>138</v>
          </cell>
          <cell r="CL133">
            <v>70</v>
          </cell>
          <cell r="CM133" t="str">
            <v>V</v>
          </cell>
          <cell r="CN133">
            <v>8.5</v>
          </cell>
          <cell r="CO133">
            <v>90</v>
          </cell>
          <cell r="CP133" t="str">
            <v>V</v>
          </cell>
          <cell r="CQ133">
            <v>0</v>
          </cell>
          <cell r="CR133">
            <v>228</v>
          </cell>
          <cell r="CS133">
            <v>70</v>
          </cell>
          <cell r="CT133" t="str">
            <v>V</v>
          </cell>
          <cell r="CU133">
            <v>3</v>
          </cell>
          <cell r="CV133">
            <v>90</v>
          </cell>
          <cell r="CW133" t="str">
            <v>V</v>
          </cell>
          <cell r="CX133">
            <v>11.5</v>
          </cell>
          <cell r="CY133">
            <v>228</v>
          </cell>
          <cell r="CZ133">
            <v>0</v>
          </cell>
          <cell r="DA133">
            <v>0</v>
          </cell>
          <cell r="DB133">
            <v>0</v>
          </cell>
          <cell r="DC133">
            <v>0</v>
          </cell>
          <cell r="DD133">
            <v>0</v>
          </cell>
          <cell r="DE133">
            <v>0</v>
          </cell>
          <cell r="DF133">
            <v>0</v>
          </cell>
          <cell r="DG133">
            <v>0</v>
          </cell>
          <cell r="DH133">
            <v>0</v>
          </cell>
          <cell r="DI133">
            <v>0</v>
          </cell>
          <cell r="DJ133">
            <v>0</v>
          </cell>
          <cell r="DK133">
            <v>0</v>
          </cell>
          <cell r="DL133">
            <v>0</v>
          </cell>
          <cell r="DM133">
            <v>0</v>
          </cell>
          <cell r="DN133">
            <v>0</v>
          </cell>
          <cell r="DO133">
            <v>0</v>
          </cell>
          <cell r="DP133">
            <v>0</v>
          </cell>
          <cell r="DQ133">
            <v>0</v>
          </cell>
          <cell r="DR133">
            <v>0</v>
          </cell>
          <cell r="DS133">
            <v>0</v>
          </cell>
          <cell r="DT133">
            <v>0</v>
          </cell>
        </row>
        <row r="134">
          <cell r="B134" t="str">
            <v>ITS 96 GSR EN 3-6</v>
          </cell>
          <cell r="E134" t="str">
            <v>x</v>
          </cell>
          <cell r="F134" t="str">
            <v>x</v>
          </cell>
          <cell r="J134" t="str">
            <v>x</v>
          </cell>
          <cell r="K134" t="str">
            <v>x</v>
          </cell>
          <cell r="L134" t="str">
            <v>x</v>
          </cell>
          <cell r="M134" t="str">
            <v>x</v>
          </cell>
          <cell r="Q134" t="str">
            <v>x</v>
          </cell>
          <cell r="R134" t="str">
            <v>x</v>
          </cell>
          <cell r="U134" t="str">
            <v>x</v>
          </cell>
          <cell r="V134" t="str">
            <v>x</v>
          </cell>
          <cell r="W134" t="str">
            <v>x</v>
          </cell>
          <cell r="AH134" t="str">
            <v>x</v>
          </cell>
          <cell r="AK134">
            <v>96</v>
          </cell>
          <cell r="AM134" t="str">
            <v>3-6</v>
          </cell>
          <cell r="AZ134" t="str">
            <v>x</v>
          </cell>
          <cell r="BW134">
            <v>352</v>
          </cell>
          <cell r="BX134">
            <v>40</v>
          </cell>
          <cell r="BY134">
            <v>54</v>
          </cell>
          <cell r="BZ134" t="str">
            <v>V</v>
          </cell>
          <cell r="CA134">
            <v>30</v>
          </cell>
          <cell r="CB134">
            <v>31</v>
          </cell>
          <cell r="CC134" t="str">
            <v>V</v>
          </cell>
          <cell r="CD134">
            <v>375</v>
          </cell>
          <cell r="CE134" t="str">
            <v>V</v>
          </cell>
          <cell r="CF134" t="str">
            <v>V</v>
          </cell>
          <cell r="CG134">
            <v>175</v>
          </cell>
          <cell r="CH134">
            <v>105</v>
          </cell>
          <cell r="CI134">
            <v>550</v>
          </cell>
          <cell r="CJ134">
            <v>460</v>
          </cell>
          <cell r="CK134">
            <v>90</v>
          </cell>
          <cell r="CL134">
            <v>70</v>
          </cell>
          <cell r="CM134" t="str">
            <v>V</v>
          </cell>
          <cell r="CN134">
            <v>8.5</v>
          </cell>
          <cell r="CO134">
            <v>90</v>
          </cell>
          <cell r="CP134" t="str">
            <v>V</v>
          </cell>
          <cell r="CQ134">
            <v>0</v>
          </cell>
          <cell r="CR134">
            <v>180</v>
          </cell>
          <cell r="CS134">
            <v>0</v>
          </cell>
          <cell r="CT134">
            <v>0</v>
          </cell>
          <cell r="CU134">
            <v>0</v>
          </cell>
          <cell r="CV134">
            <v>0</v>
          </cell>
          <cell r="CW134">
            <v>0</v>
          </cell>
          <cell r="CX134">
            <v>0</v>
          </cell>
          <cell r="CY134">
            <v>0</v>
          </cell>
          <cell r="CZ134">
            <v>0</v>
          </cell>
          <cell r="DA134">
            <v>0</v>
          </cell>
          <cell r="DB134">
            <v>0</v>
          </cell>
          <cell r="DC134">
            <v>0</v>
          </cell>
          <cell r="DD134">
            <v>0</v>
          </cell>
          <cell r="DE134">
            <v>0</v>
          </cell>
          <cell r="DF134">
            <v>0</v>
          </cell>
          <cell r="DG134">
            <v>0</v>
          </cell>
          <cell r="DH134">
            <v>0</v>
          </cell>
          <cell r="DI134">
            <v>0</v>
          </cell>
          <cell r="DJ134">
            <v>0</v>
          </cell>
          <cell r="DK134">
            <v>0</v>
          </cell>
          <cell r="DL134">
            <v>0</v>
          </cell>
          <cell r="DM134">
            <v>0</v>
          </cell>
          <cell r="DN134">
            <v>0</v>
          </cell>
          <cell r="DO134">
            <v>0</v>
          </cell>
          <cell r="DP134">
            <v>0</v>
          </cell>
          <cell r="DQ134">
            <v>0</v>
          </cell>
          <cell r="DR134">
            <v>0</v>
          </cell>
          <cell r="DS134">
            <v>0</v>
          </cell>
          <cell r="DT134">
            <v>0</v>
          </cell>
        </row>
        <row r="135">
          <cell r="B135" t="str">
            <v>ITS 96 GSR RF EN 3-6</v>
          </cell>
          <cell r="E135" t="str">
            <v>x</v>
          </cell>
          <cell r="F135" t="str">
            <v>x</v>
          </cell>
          <cell r="J135" t="str">
            <v>x</v>
          </cell>
          <cell r="K135" t="str">
            <v>x</v>
          </cell>
          <cell r="L135" t="str">
            <v>x</v>
          </cell>
          <cell r="M135" t="str">
            <v>x</v>
          </cell>
          <cell r="Q135" t="str">
            <v>x</v>
          </cell>
          <cell r="R135" t="str">
            <v>x</v>
          </cell>
          <cell r="U135" t="str">
            <v>x</v>
          </cell>
          <cell r="V135" t="str">
            <v>x</v>
          </cell>
          <cell r="W135" t="str">
            <v>x</v>
          </cell>
          <cell r="AB135" t="str">
            <v>x</v>
          </cell>
          <cell r="AH135" t="str">
            <v>x</v>
          </cell>
          <cell r="AK135">
            <v>96</v>
          </cell>
          <cell r="AM135" t="str">
            <v>3-6</v>
          </cell>
          <cell r="BA135" t="str">
            <v>x</v>
          </cell>
          <cell r="BW135">
            <v>352</v>
          </cell>
          <cell r="BX135">
            <v>40</v>
          </cell>
          <cell r="BY135">
            <v>54</v>
          </cell>
          <cell r="BZ135" t="str">
            <v>V</v>
          </cell>
          <cell r="CA135">
            <v>30</v>
          </cell>
          <cell r="CB135">
            <v>31</v>
          </cell>
          <cell r="CC135" t="str">
            <v>V</v>
          </cell>
          <cell r="CD135">
            <v>375</v>
          </cell>
          <cell r="CE135" t="str">
            <v>V</v>
          </cell>
          <cell r="CF135" t="str">
            <v>V</v>
          </cell>
          <cell r="CG135">
            <v>175</v>
          </cell>
          <cell r="CH135">
            <v>105</v>
          </cell>
          <cell r="CI135">
            <v>550</v>
          </cell>
          <cell r="CJ135">
            <v>460</v>
          </cell>
          <cell r="CK135">
            <v>90</v>
          </cell>
          <cell r="CL135">
            <v>70</v>
          </cell>
          <cell r="CM135" t="str">
            <v>V</v>
          </cell>
          <cell r="CN135">
            <v>8.5</v>
          </cell>
          <cell r="CO135">
            <v>90</v>
          </cell>
          <cell r="CP135" t="str">
            <v>V</v>
          </cell>
          <cell r="CQ135">
            <v>0</v>
          </cell>
          <cell r="CR135">
            <v>228</v>
          </cell>
          <cell r="CS135">
            <v>0</v>
          </cell>
          <cell r="CT135">
            <v>0</v>
          </cell>
          <cell r="CU135">
            <v>0</v>
          </cell>
          <cell r="CV135">
            <v>0</v>
          </cell>
          <cell r="CW135">
            <v>0</v>
          </cell>
          <cell r="CX135">
            <v>0</v>
          </cell>
          <cell r="CY135">
            <v>0</v>
          </cell>
          <cell r="CZ135">
            <v>0</v>
          </cell>
          <cell r="DA135">
            <v>0</v>
          </cell>
          <cell r="DB135">
            <v>0</v>
          </cell>
          <cell r="DC135">
            <v>0</v>
          </cell>
          <cell r="DD135">
            <v>0</v>
          </cell>
          <cell r="DE135">
            <v>0</v>
          </cell>
          <cell r="DF135">
            <v>0</v>
          </cell>
          <cell r="DG135">
            <v>0</v>
          </cell>
          <cell r="DH135">
            <v>0</v>
          </cell>
          <cell r="DI135">
            <v>0</v>
          </cell>
          <cell r="DJ135">
            <v>0</v>
          </cell>
          <cell r="DK135">
            <v>0</v>
          </cell>
          <cell r="DL135">
            <v>0</v>
          </cell>
          <cell r="DM135">
            <v>0</v>
          </cell>
          <cell r="DN135">
            <v>0</v>
          </cell>
          <cell r="DO135">
            <v>0</v>
          </cell>
          <cell r="DP135">
            <v>0</v>
          </cell>
          <cell r="DQ135">
            <v>0</v>
          </cell>
          <cell r="DR135">
            <v>0</v>
          </cell>
          <cell r="DS135">
            <v>0</v>
          </cell>
          <cell r="DT135">
            <v>0</v>
          </cell>
        </row>
        <row r="136">
          <cell r="B136" t="str">
            <v>ITS 96 GSR-EMF EN 3-6</v>
          </cell>
          <cell r="E136" t="str">
            <v>x</v>
          </cell>
          <cell r="F136" t="str">
            <v>x</v>
          </cell>
          <cell r="J136" t="str">
            <v>x</v>
          </cell>
          <cell r="K136" t="str">
            <v>x</v>
          </cell>
          <cell r="L136" t="str">
            <v>x</v>
          </cell>
          <cell r="M136" t="str">
            <v>x</v>
          </cell>
          <cell r="Q136" t="str">
            <v>x</v>
          </cell>
          <cell r="R136" t="str">
            <v>x</v>
          </cell>
          <cell r="U136" t="str">
            <v>x</v>
          </cell>
          <cell r="V136" t="str">
            <v>x</v>
          </cell>
          <cell r="W136" t="str">
            <v>x</v>
          </cell>
          <cell r="AC136" t="str">
            <v>x</v>
          </cell>
          <cell r="AE136" t="str">
            <v>x</v>
          </cell>
          <cell r="AH136" t="str">
            <v>x</v>
          </cell>
          <cell r="AK136">
            <v>96</v>
          </cell>
          <cell r="AM136" t="str">
            <v>3-6</v>
          </cell>
          <cell r="BD136" t="str">
            <v>x</v>
          </cell>
          <cell r="BW136">
            <v>352</v>
          </cell>
          <cell r="BX136">
            <v>40</v>
          </cell>
          <cell r="BY136">
            <v>54</v>
          </cell>
          <cell r="BZ136" t="str">
            <v>V</v>
          </cell>
          <cell r="CA136">
            <v>30</v>
          </cell>
          <cell r="CB136">
            <v>31</v>
          </cell>
          <cell r="CC136" t="str">
            <v>V</v>
          </cell>
          <cell r="CD136">
            <v>375</v>
          </cell>
          <cell r="CE136" t="str">
            <v>V</v>
          </cell>
          <cell r="CF136" t="str">
            <v>V</v>
          </cell>
          <cell r="CG136">
            <v>175</v>
          </cell>
          <cell r="CH136">
            <v>105</v>
          </cell>
          <cell r="CI136">
            <v>550</v>
          </cell>
          <cell r="CJ136">
            <v>412</v>
          </cell>
          <cell r="CK136">
            <v>138</v>
          </cell>
          <cell r="CL136">
            <v>70</v>
          </cell>
          <cell r="CM136" t="str">
            <v>V</v>
          </cell>
          <cell r="CN136">
            <v>8.5</v>
          </cell>
          <cell r="CO136">
            <v>90</v>
          </cell>
          <cell r="CP136" t="str">
            <v>V</v>
          </cell>
          <cell r="CQ136">
            <v>0</v>
          </cell>
          <cell r="CR136">
            <v>228</v>
          </cell>
          <cell r="CS136">
            <v>0</v>
          </cell>
          <cell r="CT136">
            <v>0</v>
          </cell>
          <cell r="CU136">
            <v>0</v>
          </cell>
          <cell r="CV136">
            <v>0</v>
          </cell>
          <cell r="CW136">
            <v>0</v>
          </cell>
          <cell r="CX136">
            <v>0</v>
          </cell>
          <cell r="CY136">
            <v>0</v>
          </cell>
          <cell r="CZ136">
            <v>0</v>
          </cell>
          <cell r="DA136">
            <v>0</v>
          </cell>
          <cell r="DB136">
            <v>0</v>
          </cell>
          <cell r="DC136">
            <v>0</v>
          </cell>
          <cell r="DD136">
            <v>0</v>
          </cell>
          <cell r="DE136">
            <v>0</v>
          </cell>
          <cell r="DF136">
            <v>0</v>
          </cell>
          <cell r="DG136">
            <v>0</v>
          </cell>
          <cell r="DH136">
            <v>0</v>
          </cell>
          <cell r="DI136">
            <v>0</v>
          </cell>
          <cell r="DJ136">
            <v>0</v>
          </cell>
          <cell r="DK136">
            <v>0</v>
          </cell>
          <cell r="DL136">
            <v>0</v>
          </cell>
          <cell r="DM136">
            <v>0</v>
          </cell>
          <cell r="DN136">
            <v>0</v>
          </cell>
          <cell r="DO136">
            <v>0</v>
          </cell>
          <cell r="DP136">
            <v>0</v>
          </cell>
          <cell r="DQ136">
            <v>0</v>
          </cell>
          <cell r="DR136">
            <v>0</v>
          </cell>
          <cell r="DS136">
            <v>0</v>
          </cell>
          <cell r="DT136">
            <v>0</v>
          </cell>
        </row>
        <row r="137">
          <cell r="B137" t="str">
            <v>ITS 96 FL EN 3-6</v>
          </cell>
          <cell r="D137" t="str">
            <v>x</v>
          </cell>
          <cell r="E137">
            <v>0</v>
          </cell>
          <cell r="F137" t="str">
            <v>x</v>
          </cell>
          <cell r="G137">
            <v>0</v>
          </cell>
          <cell r="H137">
            <v>0</v>
          </cell>
          <cell r="I137">
            <v>0</v>
          </cell>
          <cell r="J137" t="str">
            <v>x</v>
          </cell>
          <cell r="K137" t="str">
            <v>x</v>
          </cell>
          <cell r="L137" t="str">
            <v>x</v>
          </cell>
          <cell r="M137" t="str">
            <v>x</v>
          </cell>
          <cell r="N137">
            <v>0</v>
          </cell>
          <cell r="O137">
            <v>0</v>
          </cell>
          <cell r="P137">
            <v>0</v>
          </cell>
          <cell r="Q137" t="str">
            <v>x</v>
          </cell>
          <cell r="R137" t="str">
            <v>x</v>
          </cell>
          <cell r="S137">
            <v>0</v>
          </cell>
          <cell r="T137">
            <v>0</v>
          </cell>
          <cell r="U137" t="str">
            <v>x</v>
          </cell>
          <cell r="V137" t="str">
            <v>x</v>
          </cell>
          <cell r="W137">
            <v>0</v>
          </cell>
          <cell r="X137">
            <v>0</v>
          </cell>
          <cell r="Y137" t="str">
            <v>x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 t="str">
            <v>x</v>
          </cell>
          <cell r="AF137">
            <v>0</v>
          </cell>
          <cell r="AG137">
            <v>0</v>
          </cell>
          <cell r="AH137" t="str">
            <v>x</v>
          </cell>
          <cell r="AI137">
            <v>0</v>
          </cell>
          <cell r="AK137">
            <v>96</v>
          </cell>
          <cell r="AM137" t="str">
            <v>3-6</v>
          </cell>
          <cell r="AX137" t="str">
            <v>x</v>
          </cell>
          <cell r="BW137">
            <v>540</v>
          </cell>
          <cell r="BX137">
            <v>40</v>
          </cell>
          <cell r="BY137">
            <v>54</v>
          </cell>
          <cell r="BZ137">
            <v>440</v>
          </cell>
          <cell r="CA137">
            <v>12</v>
          </cell>
          <cell r="CB137">
            <v>20</v>
          </cell>
          <cell r="CC137" t="str">
            <v>V</v>
          </cell>
          <cell r="CD137">
            <v>375</v>
          </cell>
          <cell r="CE137" t="str">
            <v>V</v>
          </cell>
          <cell r="CF137" t="str">
            <v>V</v>
          </cell>
          <cell r="CG137">
            <v>175</v>
          </cell>
          <cell r="CH137">
            <v>105</v>
          </cell>
          <cell r="CI137">
            <v>550</v>
          </cell>
          <cell r="CJ137">
            <v>460</v>
          </cell>
          <cell r="CK137">
            <v>90</v>
          </cell>
          <cell r="CL137">
            <v>70</v>
          </cell>
          <cell r="CM137" t="str">
            <v>V</v>
          </cell>
          <cell r="CN137">
            <v>8.5</v>
          </cell>
          <cell r="CO137">
            <v>145</v>
          </cell>
          <cell r="CP137" t="str">
            <v>V</v>
          </cell>
          <cell r="CQ137">
            <v>0</v>
          </cell>
          <cell r="CR137">
            <v>235</v>
          </cell>
          <cell r="CS137">
            <v>70</v>
          </cell>
          <cell r="CT137" t="str">
            <v>V</v>
          </cell>
          <cell r="CU137">
            <v>3</v>
          </cell>
          <cell r="CV137">
            <v>145</v>
          </cell>
          <cell r="CW137" t="str">
            <v>V</v>
          </cell>
          <cell r="CX137">
            <v>11.5</v>
          </cell>
          <cell r="CY137">
            <v>235</v>
          </cell>
          <cell r="CZ137">
            <v>0</v>
          </cell>
          <cell r="DA137">
            <v>0</v>
          </cell>
          <cell r="DB137">
            <v>0</v>
          </cell>
          <cell r="DC137">
            <v>0</v>
          </cell>
          <cell r="DD137">
            <v>0</v>
          </cell>
          <cell r="DE137">
            <v>0</v>
          </cell>
          <cell r="DF137">
            <v>0</v>
          </cell>
          <cell r="DG137">
            <v>0</v>
          </cell>
          <cell r="DH137">
            <v>0</v>
          </cell>
          <cell r="DI137">
            <v>0</v>
          </cell>
          <cell r="DJ137">
            <v>0</v>
          </cell>
          <cell r="DK137">
            <v>0</v>
          </cell>
          <cell r="DL137">
            <v>0</v>
          </cell>
          <cell r="DM137">
            <v>0</v>
          </cell>
          <cell r="DN137">
            <v>0</v>
          </cell>
          <cell r="DO137">
            <v>0</v>
          </cell>
          <cell r="DP137">
            <v>0</v>
          </cell>
          <cell r="DQ137">
            <v>0</v>
          </cell>
          <cell r="DR137">
            <v>0</v>
          </cell>
          <cell r="DS137">
            <v>0</v>
          </cell>
          <cell r="DT137">
            <v>0</v>
          </cell>
        </row>
        <row r="138">
          <cell r="B138" t="str">
            <v>ITS 96 GSR FL EN 3-6</v>
          </cell>
          <cell r="C138">
            <v>0</v>
          </cell>
          <cell r="D138">
            <v>0</v>
          </cell>
          <cell r="E138" t="str">
            <v>x</v>
          </cell>
          <cell r="F138" t="str">
            <v>x</v>
          </cell>
          <cell r="G138">
            <v>0</v>
          </cell>
          <cell r="H138">
            <v>0</v>
          </cell>
          <cell r="I138">
            <v>0</v>
          </cell>
          <cell r="J138" t="str">
            <v>x</v>
          </cell>
          <cell r="K138" t="str">
            <v>x</v>
          </cell>
          <cell r="L138" t="str">
            <v>x</v>
          </cell>
          <cell r="M138" t="str">
            <v>x</v>
          </cell>
          <cell r="N138">
            <v>0</v>
          </cell>
          <cell r="O138">
            <v>0</v>
          </cell>
          <cell r="P138">
            <v>0</v>
          </cell>
          <cell r="Q138" t="str">
            <v>x</v>
          </cell>
          <cell r="R138" t="str">
            <v>x</v>
          </cell>
          <cell r="S138">
            <v>0</v>
          </cell>
          <cell r="T138">
            <v>0</v>
          </cell>
          <cell r="U138" t="str">
            <v>x</v>
          </cell>
          <cell r="V138" t="str">
            <v>x</v>
          </cell>
          <cell r="W138" t="str">
            <v>x</v>
          </cell>
          <cell r="X138">
            <v>0</v>
          </cell>
          <cell r="Y138" t="str">
            <v>x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 t="str">
            <v>x</v>
          </cell>
          <cell r="AF138">
            <v>0</v>
          </cell>
          <cell r="AG138">
            <v>0</v>
          </cell>
          <cell r="AH138" t="str">
            <v>x</v>
          </cell>
          <cell r="AI138">
            <v>0</v>
          </cell>
          <cell r="AJ138">
            <v>0</v>
          </cell>
          <cell r="AK138">
            <v>96</v>
          </cell>
          <cell r="AL138">
            <v>0</v>
          </cell>
          <cell r="AM138" t="str">
            <v>3-6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 t="str">
            <v>x</v>
          </cell>
          <cell r="BE138">
            <v>0</v>
          </cell>
          <cell r="BF138">
            <v>0</v>
          </cell>
          <cell r="BG138">
            <v>0</v>
          </cell>
          <cell r="BH138">
            <v>0</v>
          </cell>
          <cell r="BI138">
            <v>0</v>
          </cell>
          <cell r="BJ138">
            <v>0</v>
          </cell>
          <cell r="BK138">
            <v>0</v>
          </cell>
          <cell r="BL138">
            <v>0</v>
          </cell>
          <cell r="BM138">
            <v>0</v>
          </cell>
          <cell r="BN138">
            <v>0</v>
          </cell>
          <cell r="BO138">
            <v>0</v>
          </cell>
          <cell r="BP138">
            <v>0</v>
          </cell>
          <cell r="BQ138">
            <v>0</v>
          </cell>
          <cell r="BR138">
            <v>0</v>
          </cell>
          <cell r="BS138">
            <v>0</v>
          </cell>
          <cell r="BT138">
            <v>0</v>
          </cell>
          <cell r="BU138">
            <v>0</v>
          </cell>
          <cell r="BV138">
            <v>0</v>
          </cell>
          <cell r="BW138">
            <v>540</v>
          </cell>
          <cell r="BX138">
            <v>40</v>
          </cell>
          <cell r="BY138">
            <v>54</v>
          </cell>
          <cell r="BZ138" t="str">
            <v>V</v>
          </cell>
          <cell r="CA138">
            <v>30</v>
          </cell>
          <cell r="CB138">
            <v>31</v>
          </cell>
          <cell r="CC138" t="str">
            <v>V</v>
          </cell>
          <cell r="CD138">
            <v>375</v>
          </cell>
          <cell r="CE138" t="str">
            <v>V</v>
          </cell>
          <cell r="CF138" t="str">
            <v>V</v>
          </cell>
          <cell r="CG138">
            <v>175</v>
          </cell>
          <cell r="CH138">
            <v>105</v>
          </cell>
          <cell r="CI138">
            <v>550</v>
          </cell>
          <cell r="CJ138">
            <v>460</v>
          </cell>
          <cell r="CK138">
            <v>90</v>
          </cell>
          <cell r="CL138">
            <v>70</v>
          </cell>
          <cell r="CM138" t="str">
            <v>V</v>
          </cell>
          <cell r="CN138">
            <v>8.5</v>
          </cell>
          <cell r="CO138">
            <v>90</v>
          </cell>
          <cell r="CP138" t="str">
            <v>V</v>
          </cell>
          <cell r="CQ138">
            <v>0</v>
          </cell>
          <cell r="CR138">
            <v>180</v>
          </cell>
          <cell r="CS138">
            <v>0</v>
          </cell>
          <cell r="CT138">
            <v>0</v>
          </cell>
          <cell r="CU138">
            <v>0</v>
          </cell>
          <cell r="CV138">
            <v>0</v>
          </cell>
          <cell r="CW138">
            <v>0</v>
          </cell>
          <cell r="CX138">
            <v>0</v>
          </cell>
          <cell r="CY138">
            <v>0</v>
          </cell>
          <cell r="CZ138">
            <v>0</v>
          </cell>
          <cell r="DA138">
            <v>0</v>
          </cell>
          <cell r="DB138">
            <v>0</v>
          </cell>
          <cell r="DC138">
            <v>0</v>
          </cell>
          <cell r="DD138">
            <v>0</v>
          </cell>
          <cell r="DE138">
            <v>0</v>
          </cell>
          <cell r="DF138">
            <v>0</v>
          </cell>
          <cell r="DG138">
            <v>0</v>
          </cell>
          <cell r="DH138">
            <v>0</v>
          </cell>
          <cell r="DI138">
            <v>0</v>
          </cell>
          <cell r="DJ138">
            <v>0</v>
          </cell>
          <cell r="DK138">
            <v>0</v>
          </cell>
          <cell r="DL138">
            <v>0</v>
          </cell>
          <cell r="DM138">
            <v>0</v>
          </cell>
          <cell r="DN138">
            <v>0</v>
          </cell>
          <cell r="DO138">
            <v>0</v>
          </cell>
          <cell r="DP138">
            <v>0</v>
          </cell>
          <cell r="DQ138">
            <v>0</v>
          </cell>
          <cell r="DR138">
            <v>0</v>
          </cell>
          <cell r="DS138">
            <v>0</v>
          </cell>
          <cell r="DT138">
            <v>0</v>
          </cell>
        </row>
        <row r="139">
          <cell r="B139" t="str">
            <v>BTS 75V EN 1-4</v>
          </cell>
          <cell r="C139">
            <v>0</v>
          </cell>
          <cell r="D139" t="str">
            <v>x</v>
          </cell>
          <cell r="E139" t="str">
            <v>x</v>
          </cell>
          <cell r="F139" t="str">
            <v>x</v>
          </cell>
          <cell r="G139" t="str">
            <v>x</v>
          </cell>
          <cell r="H139" t="str">
            <v>x</v>
          </cell>
          <cell r="I139" t="str">
            <v>x</v>
          </cell>
          <cell r="J139" t="str">
            <v>x</v>
          </cell>
          <cell r="K139" t="str">
            <v>x</v>
          </cell>
          <cell r="L139">
            <v>0</v>
          </cell>
          <cell r="M139">
            <v>0</v>
          </cell>
          <cell r="N139">
            <v>0</v>
          </cell>
          <cell r="O139" t="str">
            <v>x</v>
          </cell>
          <cell r="P139">
            <v>0</v>
          </cell>
          <cell r="Q139" t="str">
            <v>x</v>
          </cell>
          <cell r="R139">
            <v>0</v>
          </cell>
          <cell r="S139">
            <v>0</v>
          </cell>
          <cell r="T139" t="str">
            <v>x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 t="str">
            <v>x</v>
          </cell>
          <cell r="AB139" t="str">
            <v>x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 t="str">
            <v>x</v>
          </cell>
          <cell r="AJ139">
            <v>0</v>
          </cell>
          <cell r="AK139" t="str">
            <v>75V</v>
          </cell>
          <cell r="AL139">
            <v>0</v>
          </cell>
          <cell r="AM139" t="str">
            <v>1-4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  <cell r="BF139">
            <v>0</v>
          </cell>
          <cell r="BG139">
            <v>0</v>
          </cell>
          <cell r="BH139">
            <v>0</v>
          </cell>
          <cell r="BI139">
            <v>0</v>
          </cell>
          <cell r="BJ139">
            <v>0</v>
          </cell>
          <cell r="BK139">
            <v>0</v>
          </cell>
          <cell r="BL139">
            <v>0</v>
          </cell>
          <cell r="BM139">
            <v>0</v>
          </cell>
          <cell r="BN139">
            <v>0</v>
          </cell>
          <cell r="BO139">
            <v>0</v>
          </cell>
          <cell r="BP139">
            <v>0</v>
          </cell>
          <cell r="BQ139">
            <v>0</v>
          </cell>
          <cell r="BR139">
            <v>0</v>
          </cell>
          <cell r="BS139">
            <v>0</v>
          </cell>
          <cell r="BT139">
            <v>0</v>
          </cell>
          <cell r="BU139">
            <v>0</v>
          </cell>
          <cell r="BV139">
            <v>0</v>
          </cell>
          <cell r="BW139">
            <v>285</v>
          </cell>
          <cell r="BX139">
            <v>82</v>
          </cell>
          <cell r="BY139">
            <v>50</v>
          </cell>
          <cell r="BZ139" t="str">
            <v>_</v>
          </cell>
          <cell r="CA139" t="str">
            <v>_</v>
          </cell>
          <cell r="CB139" t="str">
            <v>_</v>
          </cell>
          <cell r="CC139" t="str">
            <v>_</v>
          </cell>
          <cell r="CD139" t="str">
            <v>_</v>
          </cell>
          <cell r="CE139">
            <v>41</v>
          </cell>
          <cell r="CF139">
            <v>36</v>
          </cell>
          <cell r="CG139">
            <v>0</v>
          </cell>
          <cell r="CH139">
            <v>0</v>
          </cell>
          <cell r="CI139" t="str">
            <v>_</v>
          </cell>
          <cell r="CJ139" t="str">
            <v>_</v>
          </cell>
          <cell r="CK139" t="str">
            <v>_</v>
          </cell>
          <cell r="CL139">
            <v>0</v>
          </cell>
          <cell r="CM139">
            <v>0</v>
          </cell>
          <cell r="CN139">
            <v>0</v>
          </cell>
          <cell r="CO139">
            <v>0</v>
          </cell>
          <cell r="CP139">
            <v>0</v>
          </cell>
          <cell r="CQ139">
            <v>0</v>
          </cell>
          <cell r="CR139">
            <v>0</v>
          </cell>
          <cell r="CS139">
            <v>0</v>
          </cell>
          <cell r="CT139">
            <v>0</v>
          </cell>
          <cell r="CU139">
            <v>0</v>
          </cell>
          <cell r="CV139">
            <v>0</v>
          </cell>
          <cell r="CW139">
            <v>0</v>
          </cell>
          <cell r="CX139">
            <v>0</v>
          </cell>
          <cell r="CY139">
            <v>0</v>
          </cell>
          <cell r="CZ139">
            <v>-54</v>
          </cell>
          <cell r="DA139">
            <v>-3</v>
          </cell>
          <cell r="DB139">
            <v>0</v>
          </cell>
          <cell r="DC139">
            <v>0</v>
          </cell>
          <cell r="DD139">
            <v>0</v>
          </cell>
          <cell r="DE139">
            <v>0</v>
          </cell>
          <cell r="DF139">
            <v>0</v>
          </cell>
          <cell r="DG139">
            <v>0</v>
          </cell>
          <cell r="DH139">
            <v>0</v>
          </cell>
          <cell r="DI139">
            <v>0</v>
          </cell>
          <cell r="DJ139">
            <v>0</v>
          </cell>
          <cell r="DK139">
            <v>0</v>
          </cell>
          <cell r="DL139">
            <v>0</v>
          </cell>
          <cell r="DM139">
            <v>0</v>
          </cell>
          <cell r="DN139">
            <v>0</v>
          </cell>
          <cell r="DO139">
            <v>0</v>
          </cell>
          <cell r="DP139">
            <v>0</v>
          </cell>
          <cell r="DQ139">
            <v>0</v>
          </cell>
          <cell r="DR139">
            <v>0</v>
          </cell>
          <cell r="DS139">
            <v>0</v>
          </cell>
          <cell r="DT139">
            <v>0</v>
          </cell>
        </row>
        <row r="140">
          <cell r="B140" t="str">
            <v>BTS 80 EN 3</v>
          </cell>
          <cell r="D140" t="str">
            <v>x</v>
          </cell>
          <cell r="E140" t="str">
            <v>x</v>
          </cell>
          <cell r="F140" t="str">
            <v>x</v>
          </cell>
          <cell r="G140" t="str">
            <v>x</v>
          </cell>
          <cell r="J140" t="str">
            <v>x</v>
          </cell>
          <cell r="O140" t="str">
            <v>x</v>
          </cell>
          <cell r="Q140" t="str">
            <v>x</v>
          </cell>
          <cell r="T140" t="str">
            <v>x</v>
          </cell>
          <cell r="AA140" t="str">
            <v>x</v>
          </cell>
          <cell r="AB140" t="str">
            <v>x</v>
          </cell>
          <cell r="AI140" t="str">
            <v>x</v>
          </cell>
          <cell r="AK140">
            <v>80</v>
          </cell>
          <cell r="AM140" t="str">
            <v>3</v>
          </cell>
          <cell r="BS140">
            <v>0</v>
          </cell>
          <cell r="BW140">
            <v>341</v>
          </cell>
          <cell r="BX140">
            <v>78</v>
          </cell>
          <cell r="BY140">
            <v>60</v>
          </cell>
          <cell r="BZ140" t="str">
            <v>_</v>
          </cell>
          <cell r="CA140" t="str">
            <v>_</v>
          </cell>
          <cell r="CB140" t="str">
            <v>_</v>
          </cell>
          <cell r="CC140" t="str">
            <v>_</v>
          </cell>
          <cell r="CD140" t="str">
            <v>_</v>
          </cell>
          <cell r="CE140">
            <v>39</v>
          </cell>
          <cell r="CF140">
            <v>36</v>
          </cell>
          <cell r="CG140">
            <v>0</v>
          </cell>
          <cell r="CH140">
            <v>0</v>
          </cell>
          <cell r="CI140" t="str">
            <v>_</v>
          </cell>
          <cell r="CJ140" t="str">
            <v>_</v>
          </cell>
          <cell r="CK140" t="str">
            <v>_</v>
          </cell>
          <cell r="CL140">
            <v>0</v>
          </cell>
          <cell r="CM140">
            <v>0</v>
          </cell>
          <cell r="CN140">
            <v>0</v>
          </cell>
          <cell r="CO140">
            <v>0</v>
          </cell>
          <cell r="CP140">
            <v>0</v>
          </cell>
          <cell r="CQ140">
            <v>0</v>
          </cell>
          <cell r="CR140">
            <v>0</v>
          </cell>
          <cell r="CS140">
            <v>0</v>
          </cell>
          <cell r="CT140">
            <v>0</v>
          </cell>
          <cell r="CU140">
            <v>0</v>
          </cell>
          <cell r="CV140">
            <v>0</v>
          </cell>
          <cell r="CW140">
            <v>0</v>
          </cell>
          <cell r="CX140">
            <v>0</v>
          </cell>
          <cell r="CY140">
            <v>0</v>
          </cell>
          <cell r="CZ140">
            <v>-54</v>
          </cell>
          <cell r="DA140">
            <v>-3</v>
          </cell>
          <cell r="DB140">
            <v>0</v>
          </cell>
          <cell r="DC140">
            <v>0</v>
          </cell>
          <cell r="DD140">
            <v>0</v>
          </cell>
          <cell r="DE140">
            <v>0</v>
          </cell>
          <cell r="DF140">
            <v>0</v>
          </cell>
          <cell r="DG140">
            <v>0</v>
          </cell>
          <cell r="DH140">
            <v>0</v>
          </cell>
          <cell r="DI140">
            <v>0</v>
          </cell>
          <cell r="DJ140">
            <v>0</v>
          </cell>
          <cell r="DK140">
            <v>0</v>
          </cell>
          <cell r="DL140">
            <v>0</v>
          </cell>
          <cell r="DM140">
            <v>0</v>
          </cell>
          <cell r="DN140">
            <v>0</v>
          </cell>
          <cell r="DO140">
            <v>0</v>
          </cell>
          <cell r="DP140">
            <v>0</v>
          </cell>
          <cell r="DQ140">
            <v>0</v>
          </cell>
          <cell r="DR140">
            <v>0</v>
          </cell>
          <cell r="DS140">
            <v>0</v>
          </cell>
          <cell r="DT140">
            <v>0</v>
          </cell>
        </row>
        <row r="141">
          <cell r="B141" t="str">
            <v>BTS 80 EN 4</v>
          </cell>
          <cell r="D141" t="str">
            <v>x</v>
          </cell>
          <cell r="E141" t="str">
            <v>x</v>
          </cell>
          <cell r="F141" t="str">
            <v>x</v>
          </cell>
          <cell r="G141" t="str">
            <v>x</v>
          </cell>
          <cell r="K141" t="str">
            <v>x</v>
          </cell>
          <cell r="O141" t="str">
            <v>x</v>
          </cell>
          <cell r="Q141" t="str">
            <v>x</v>
          </cell>
          <cell r="T141" t="str">
            <v>x</v>
          </cell>
          <cell r="AA141" t="str">
            <v>x</v>
          </cell>
          <cell r="AB141" t="str">
            <v>x</v>
          </cell>
          <cell r="AI141" t="str">
            <v>x</v>
          </cell>
          <cell r="AK141">
            <v>80</v>
          </cell>
          <cell r="AM141" t="str">
            <v>4</v>
          </cell>
          <cell r="BW141">
            <v>341</v>
          </cell>
          <cell r="BX141">
            <v>78</v>
          </cell>
          <cell r="BY141">
            <v>60</v>
          </cell>
          <cell r="BZ141" t="str">
            <v>_</v>
          </cell>
          <cell r="CA141" t="str">
            <v>_</v>
          </cell>
          <cell r="CB141" t="str">
            <v>_</v>
          </cell>
          <cell r="CC141" t="str">
            <v>_</v>
          </cell>
          <cell r="CD141" t="str">
            <v>_</v>
          </cell>
          <cell r="CE141">
            <v>39</v>
          </cell>
          <cell r="CF141">
            <v>36</v>
          </cell>
          <cell r="CG141">
            <v>0</v>
          </cell>
          <cell r="CH141">
            <v>0</v>
          </cell>
          <cell r="CI141" t="str">
            <v>_</v>
          </cell>
          <cell r="CJ141" t="str">
            <v>_</v>
          </cell>
          <cell r="CK141" t="str">
            <v>_</v>
          </cell>
          <cell r="CL141">
            <v>0</v>
          </cell>
          <cell r="CM141">
            <v>0</v>
          </cell>
          <cell r="CN141">
            <v>0</v>
          </cell>
          <cell r="CO141">
            <v>0</v>
          </cell>
          <cell r="CP141">
            <v>0</v>
          </cell>
          <cell r="CQ141">
            <v>0</v>
          </cell>
          <cell r="CR141">
            <v>0</v>
          </cell>
          <cell r="CS141">
            <v>0</v>
          </cell>
          <cell r="CT141">
            <v>0</v>
          </cell>
          <cell r="CU141">
            <v>0</v>
          </cell>
          <cell r="CV141">
            <v>0</v>
          </cell>
          <cell r="CW141">
            <v>0</v>
          </cell>
          <cell r="CX141">
            <v>0</v>
          </cell>
          <cell r="CY141">
            <v>0</v>
          </cell>
          <cell r="CZ141">
            <v>-54</v>
          </cell>
          <cell r="DA141">
            <v>-3</v>
          </cell>
          <cell r="DB141">
            <v>0</v>
          </cell>
          <cell r="DC141">
            <v>0</v>
          </cell>
          <cell r="DD141">
            <v>0</v>
          </cell>
          <cell r="DE141">
            <v>0</v>
          </cell>
          <cell r="DF141">
            <v>0</v>
          </cell>
          <cell r="DG141">
            <v>0</v>
          </cell>
          <cell r="DH141">
            <v>0</v>
          </cell>
          <cell r="DI141">
            <v>0</v>
          </cell>
          <cell r="DJ141">
            <v>0</v>
          </cell>
          <cell r="DK141">
            <v>0</v>
          </cell>
          <cell r="DL141">
            <v>0</v>
          </cell>
          <cell r="DM141">
            <v>0</v>
          </cell>
          <cell r="DN141">
            <v>0</v>
          </cell>
          <cell r="DO141">
            <v>0</v>
          </cell>
          <cell r="DP141">
            <v>0</v>
          </cell>
          <cell r="DQ141">
            <v>0</v>
          </cell>
          <cell r="DR141">
            <v>0</v>
          </cell>
          <cell r="DS141">
            <v>0</v>
          </cell>
          <cell r="DT141">
            <v>0</v>
          </cell>
        </row>
        <row r="142">
          <cell r="B142" t="str">
            <v>BTS 80 EN 6</v>
          </cell>
          <cell r="D142" t="str">
            <v>x</v>
          </cell>
          <cell r="E142" t="str">
            <v>x</v>
          </cell>
          <cell r="F142" t="str">
            <v>x</v>
          </cell>
          <cell r="G142" t="str">
            <v>x</v>
          </cell>
          <cell r="M142" t="str">
            <v>x</v>
          </cell>
          <cell r="O142" t="str">
            <v>x</v>
          </cell>
          <cell r="Q142" t="str">
            <v>x</v>
          </cell>
          <cell r="T142" t="str">
            <v>x</v>
          </cell>
          <cell r="AA142" t="str">
            <v>x</v>
          </cell>
          <cell r="AB142" t="str">
            <v>x</v>
          </cell>
          <cell r="AI142" t="str">
            <v>x</v>
          </cell>
          <cell r="AK142">
            <v>80</v>
          </cell>
          <cell r="AM142" t="str">
            <v>6</v>
          </cell>
          <cell r="BW142">
            <v>341</v>
          </cell>
          <cell r="BX142">
            <v>78</v>
          </cell>
          <cell r="BY142">
            <v>60</v>
          </cell>
          <cell r="BZ142" t="str">
            <v>_</v>
          </cell>
          <cell r="CA142" t="str">
            <v>_</v>
          </cell>
          <cell r="CB142" t="str">
            <v>_</v>
          </cell>
          <cell r="CC142" t="str">
            <v>_</v>
          </cell>
          <cell r="CD142" t="str">
            <v>_</v>
          </cell>
          <cell r="CE142">
            <v>39</v>
          </cell>
          <cell r="CF142">
            <v>36</v>
          </cell>
          <cell r="CG142">
            <v>0</v>
          </cell>
          <cell r="CH142">
            <v>0</v>
          </cell>
          <cell r="CI142" t="str">
            <v>_</v>
          </cell>
          <cell r="CJ142" t="str">
            <v>_</v>
          </cell>
          <cell r="CK142" t="str">
            <v>_</v>
          </cell>
          <cell r="CL142">
            <v>0</v>
          </cell>
          <cell r="CM142">
            <v>0</v>
          </cell>
          <cell r="CN142">
            <v>0</v>
          </cell>
          <cell r="CO142">
            <v>0</v>
          </cell>
          <cell r="CP142">
            <v>0</v>
          </cell>
          <cell r="CQ142">
            <v>0</v>
          </cell>
          <cell r="CR142">
            <v>0</v>
          </cell>
          <cell r="CS142">
            <v>0</v>
          </cell>
          <cell r="CT142">
            <v>0</v>
          </cell>
          <cell r="CU142">
            <v>0</v>
          </cell>
          <cell r="CV142">
            <v>0</v>
          </cell>
          <cell r="CW142">
            <v>0</v>
          </cell>
          <cell r="CX142">
            <v>0</v>
          </cell>
          <cell r="CY142">
            <v>0</v>
          </cell>
          <cell r="CZ142">
            <v>-54</v>
          </cell>
          <cell r="DA142">
            <v>-3</v>
          </cell>
          <cell r="DB142">
            <v>0</v>
          </cell>
          <cell r="DC142">
            <v>0</v>
          </cell>
          <cell r="DD142">
            <v>0</v>
          </cell>
          <cell r="DE142">
            <v>0</v>
          </cell>
          <cell r="DF142">
            <v>0</v>
          </cell>
          <cell r="DG142">
            <v>0</v>
          </cell>
          <cell r="DH142">
            <v>0</v>
          </cell>
          <cell r="DI142">
            <v>0</v>
          </cell>
          <cell r="DJ142">
            <v>0</v>
          </cell>
          <cell r="DK142">
            <v>0</v>
          </cell>
          <cell r="DL142">
            <v>0</v>
          </cell>
          <cell r="DM142">
            <v>0</v>
          </cell>
          <cell r="DN142">
            <v>0</v>
          </cell>
          <cell r="DO142">
            <v>0</v>
          </cell>
          <cell r="DP142">
            <v>0</v>
          </cell>
          <cell r="DQ142">
            <v>0</v>
          </cell>
          <cell r="DR142">
            <v>0</v>
          </cell>
          <cell r="DS142">
            <v>0</v>
          </cell>
          <cell r="DT142">
            <v>0</v>
          </cell>
        </row>
        <row r="143">
          <cell r="B143" t="str">
            <v>BTS 80 F EN 4</v>
          </cell>
          <cell r="D143" t="str">
            <v>x</v>
          </cell>
          <cell r="F143" t="str">
            <v>x</v>
          </cell>
          <cell r="K143" t="str">
            <v>x</v>
          </cell>
          <cell r="O143" t="str">
            <v>x</v>
          </cell>
          <cell r="T143" t="str">
            <v>x</v>
          </cell>
          <cell r="U143" t="str">
            <v>x</v>
          </cell>
          <cell r="AA143" t="str">
            <v>x</v>
          </cell>
          <cell r="AI143" t="str">
            <v>x</v>
          </cell>
          <cell r="AK143" t="str">
            <v>80 F</v>
          </cell>
          <cell r="AM143" t="str">
            <v>4</v>
          </cell>
          <cell r="BW143">
            <v>341</v>
          </cell>
          <cell r="BX143">
            <v>78</v>
          </cell>
          <cell r="BY143">
            <v>60</v>
          </cell>
          <cell r="BZ143" t="str">
            <v>_</v>
          </cell>
          <cell r="CA143" t="str">
            <v>_</v>
          </cell>
          <cell r="CB143" t="str">
            <v>_</v>
          </cell>
          <cell r="CC143" t="str">
            <v>_</v>
          </cell>
          <cell r="CD143" t="str">
            <v>_</v>
          </cell>
          <cell r="CE143">
            <v>39</v>
          </cell>
          <cell r="CF143">
            <v>36</v>
          </cell>
          <cell r="CG143">
            <v>0</v>
          </cell>
          <cell r="CH143">
            <v>0</v>
          </cell>
          <cell r="CI143" t="str">
            <v>_</v>
          </cell>
          <cell r="CJ143" t="str">
            <v>_</v>
          </cell>
          <cell r="CK143" t="str">
            <v>_</v>
          </cell>
          <cell r="CL143">
            <v>0</v>
          </cell>
          <cell r="CM143">
            <v>0</v>
          </cell>
          <cell r="CN143">
            <v>0</v>
          </cell>
          <cell r="CO143">
            <v>0</v>
          </cell>
          <cell r="CP143">
            <v>0</v>
          </cell>
          <cell r="CQ143">
            <v>0</v>
          </cell>
          <cell r="CR143">
            <v>0</v>
          </cell>
          <cell r="CS143">
            <v>0</v>
          </cell>
          <cell r="CT143">
            <v>0</v>
          </cell>
          <cell r="CU143">
            <v>0</v>
          </cell>
          <cell r="CV143">
            <v>0</v>
          </cell>
          <cell r="CW143">
            <v>0</v>
          </cell>
          <cell r="CX143">
            <v>0</v>
          </cell>
          <cell r="CY143">
            <v>0</v>
          </cell>
          <cell r="CZ143">
            <v>-54</v>
          </cell>
          <cell r="DA143">
            <v>-3</v>
          </cell>
          <cell r="DB143">
            <v>0</v>
          </cell>
          <cell r="DC143">
            <v>0</v>
          </cell>
          <cell r="DD143">
            <v>0</v>
          </cell>
          <cell r="DE143">
            <v>0</v>
          </cell>
          <cell r="DF143">
            <v>0</v>
          </cell>
          <cell r="DG143">
            <v>0</v>
          </cell>
          <cell r="DH143">
            <v>0</v>
          </cell>
          <cell r="DI143">
            <v>0</v>
          </cell>
          <cell r="DJ143">
            <v>0</v>
          </cell>
          <cell r="DK143">
            <v>0</v>
          </cell>
          <cell r="DL143">
            <v>0</v>
          </cell>
          <cell r="DM143">
            <v>0</v>
          </cell>
          <cell r="DN143">
            <v>0</v>
          </cell>
          <cell r="DO143">
            <v>0</v>
          </cell>
          <cell r="DP143">
            <v>0</v>
          </cell>
          <cell r="DQ143">
            <v>0</v>
          </cell>
          <cell r="DR143">
            <v>0</v>
          </cell>
          <cell r="DS143">
            <v>0</v>
          </cell>
          <cell r="DT143">
            <v>0</v>
          </cell>
        </row>
        <row r="144">
          <cell r="B144" t="str">
            <v>BTS 80 F EN 5</v>
          </cell>
          <cell r="D144" t="str">
            <v>x</v>
          </cell>
          <cell r="F144" t="str">
            <v>x</v>
          </cell>
          <cell r="L144" t="str">
            <v>x</v>
          </cell>
          <cell r="O144" t="str">
            <v>x</v>
          </cell>
          <cell r="T144" t="str">
            <v>x</v>
          </cell>
          <cell r="U144" t="str">
            <v>x</v>
          </cell>
          <cell r="AA144" t="str">
            <v>x</v>
          </cell>
          <cell r="AI144" t="str">
            <v>x</v>
          </cell>
          <cell r="AK144" t="str">
            <v>80 F</v>
          </cell>
          <cell r="AM144" t="str">
            <v>5</v>
          </cell>
          <cell r="BW144">
            <v>341</v>
          </cell>
          <cell r="BX144">
            <v>78</v>
          </cell>
          <cell r="BY144">
            <v>60</v>
          </cell>
          <cell r="BZ144" t="str">
            <v>_</v>
          </cell>
          <cell r="CA144" t="str">
            <v>_</v>
          </cell>
          <cell r="CB144" t="str">
            <v>_</v>
          </cell>
          <cell r="CC144" t="str">
            <v>_</v>
          </cell>
          <cell r="CD144" t="str">
            <v>_</v>
          </cell>
          <cell r="CE144">
            <v>39</v>
          </cell>
          <cell r="CF144">
            <v>36</v>
          </cell>
          <cell r="CG144">
            <v>0</v>
          </cell>
          <cell r="CH144">
            <v>0</v>
          </cell>
          <cell r="CI144" t="str">
            <v>_</v>
          </cell>
          <cell r="CJ144" t="str">
            <v>_</v>
          </cell>
          <cell r="CK144" t="str">
            <v>_</v>
          </cell>
          <cell r="CL144">
            <v>0</v>
          </cell>
          <cell r="CM144">
            <v>0</v>
          </cell>
          <cell r="CN144">
            <v>0</v>
          </cell>
          <cell r="CO144">
            <v>0</v>
          </cell>
          <cell r="CP144">
            <v>0</v>
          </cell>
          <cell r="CQ144">
            <v>0</v>
          </cell>
          <cell r="CR144">
            <v>0</v>
          </cell>
          <cell r="CS144">
            <v>0</v>
          </cell>
          <cell r="CT144">
            <v>0</v>
          </cell>
          <cell r="CU144">
            <v>0</v>
          </cell>
          <cell r="CV144">
            <v>0</v>
          </cell>
          <cell r="CW144">
            <v>0</v>
          </cell>
          <cell r="CX144">
            <v>0</v>
          </cell>
          <cell r="CY144">
            <v>0</v>
          </cell>
          <cell r="CZ144">
            <v>-54</v>
          </cell>
          <cell r="DA144">
            <v>-3</v>
          </cell>
          <cell r="DB144">
            <v>0</v>
          </cell>
          <cell r="DC144">
            <v>0</v>
          </cell>
          <cell r="DD144">
            <v>0</v>
          </cell>
          <cell r="DE144">
            <v>0</v>
          </cell>
          <cell r="DF144">
            <v>0</v>
          </cell>
          <cell r="DG144">
            <v>0</v>
          </cell>
          <cell r="DH144">
            <v>0</v>
          </cell>
          <cell r="DI144">
            <v>0</v>
          </cell>
          <cell r="DJ144">
            <v>0</v>
          </cell>
          <cell r="DK144">
            <v>0</v>
          </cell>
          <cell r="DL144">
            <v>0</v>
          </cell>
          <cell r="DM144">
            <v>0</v>
          </cell>
          <cell r="DN144">
            <v>0</v>
          </cell>
          <cell r="DO144">
            <v>0</v>
          </cell>
          <cell r="DP144">
            <v>0</v>
          </cell>
          <cell r="DQ144">
            <v>0</v>
          </cell>
          <cell r="DR144">
            <v>0</v>
          </cell>
          <cell r="DS144">
            <v>0</v>
          </cell>
          <cell r="DT144">
            <v>0</v>
          </cell>
        </row>
        <row r="145">
          <cell r="B145" t="str">
            <v>BTS 80 F EN 6</v>
          </cell>
          <cell r="D145" t="str">
            <v>x</v>
          </cell>
          <cell r="F145" t="str">
            <v>x</v>
          </cell>
          <cell r="M145" t="str">
            <v>x</v>
          </cell>
          <cell r="O145" t="str">
            <v>x</v>
          </cell>
          <cell r="T145" t="str">
            <v>x</v>
          </cell>
          <cell r="U145" t="str">
            <v>x</v>
          </cell>
          <cell r="AA145" t="str">
            <v>x</v>
          </cell>
          <cell r="AI145" t="str">
            <v>x</v>
          </cell>
          <cell r="AK145" t="str">
            <v>80 F</v>
          </cell>
          <cell r="AM145" t="str">
            <v>6</v>
          </cell>
          <cell r="BW145">
            <v>341</v>
          </cell>
          <cell r="BX145">
            <v>78</v>
          </cell>
          <cell r="BY145">
            <v>60</v>
          </cell>
          <cell r="BZ145" t="str">
            <v>_</v>
          </cell>
          <cell r="CA145" t="str">
            <v>_</v>
          </cell>
          <cell r="CB145" t="str">
            <v>_</v>
          </cell>
          <cell r="CC145" t="str">
            <v>_</v>
          </cell>
          <cell r="CD145" t="str">
            <v>_</v>
          </cell>
          <cell r="CE145">
            <v>39</v>
          </cell>
          <cell r="CF145">
            <v>36</v>
          </cell>
          <cell r="CG145">
            <v>0</v>
          </cell>
          <cell r="CH145">
            <v>0</v>
          </cell>
          <cell r="CI145" t="str">
            <v>_</v>
          </cell>
          <cell r="CJ145" t="str">
            <v>_</v>
          </cell>
          <cell r="CK145" t="str">
            <v>_</v>
          </cell>
          <cell r="CL145">
            <v>0</v>
          </cell>
          <cell r="CM145">
            <v>0</v>
          </cell>
          <cell r="CN145">
            <v>0</v>
          </cell>
          <cell r="CO145">
            <v>0</v>
          </cell>
          <cell r="CP145">
            <v>0</v>
          </cell>
          <cell r="CQ145">
            <v>0</v>
          </cell>
          <cell r="CR145">
            <v>0</v>
          </cell>
          <cell r="CS145">
            <v>0</v>
          </cell>
          <cell r="CT145">
            <v>0</v>
          </cell>
          <cell r="CU145">
            <v>0</v>
          </cell>
          <cell r="CV145">
            <v>0</v>
          </cell>
          <cell r="CW145">
            <v>0</v>
          </cell>
          <cell r="CX145">
            <v>0</v>
          </cell>
          <cell r="CY145">
            <v>0</v>
          </cell>
          <cell r="CZ145">
            <v>-54</v>
          </cell>
          <cell r="DA145">
            <v>-3</v>
          </cell>
          <cell r="DB145">
            <v>0</v>
          </cell>
          <cell r="DC145">
            <v>0</v>
          </cell>
          <cell r="DD145">
            <v>0</v>
          </cell>
          <cell r="DE145">
            <v>0</v>
          </cell>
          <cell r="DF145">
            <v>0</v>
          </cell>
          <cell r="DG145">
            <v>0</v>
          </cell>
          <cell r="DH145">
            <v>0</v>
          </cell>
          <cell r="DI145">
            <v>0</v>
          </cell>
          <cell r="DJ145">
            <v>0</v>
          </cell>
          <cell r="DK145">
            <v>0</v>
          </cell>
          <cell r="DL145">
            <v>0</v>
          </cell>
          <cell r="DM145">
            <v>0</v>
          </cell>
          <cell r="DN145">
            <v>0</v>
          </cell>
          <cell r="DO145">
            <v>0</v>
          </cell>
          <cell r="DP145">
            <v>0</v>
          </cell>
          <cell r="DQ145">
            <v>0</v>
          </cell>
          <cell r="DR145">
            <v>0</v>
          </cell>
          <cell r="DS145">
            <v>0</v>
          </cell>
          <cell r="DT145">
            <v>0</v>
          </cell>
        </row>
        <row r="146">
          <cell r="B146" t="str">
            <v>BTS 80 F EN 4 + SR</v>
          </cell>
          <cell r="E146" t="str">
            <v>x</v>
          </cell>
          <cell r="F146" t="str">
            <v>x</v>
          </cell>
          <cell r="K146" t="str">
            <v>x</v>
          </cell>
          <cell r="O146" t="str">
            <v>x</v>
          </cell>
          <cell r="T146" t="str">
            <v>x</v>
          </cell>
          <cell r="U146" t="str">
            <v>x</v>
          </cell>
          <cell r="AA146" t="str">
            <v>x</v>
          </cell>
          <cell r="AI146" t="str">
            <v>x</v>
          </cell>
          <cell r="AK146" t="str">
            <v>80 F</v>
          </cell>
          <cell r="AM146" t="str">
            <v>4 + SR</v>
          </cell>
          <cell r="BW146">
            <v>341</v>
          </cell>
          <cell r="BX146">
            <v>78</v>
          </cell>
          <cell r="BY146">
            <v>60</v>
          </cell>
          <cell r="BZ146" t="str">
            <v>_</v>
          </cell>
          <cell r="CA146" t="str">
            <v>_</v>
          </cell>
          <cell r="CB146" t="str">
            <v>_</v>
          </cell>
          <cell r="CC146" t="str">
            <v>_</v>
          </cell>
          <cell r="CD146" t="str">
            <v>_</v>
          </cell>
          <cell r="CE146">
            <v>39</v>
          </cell>
          <cell r="CF146">
            <v>36</v>
          </cell>
          <cell r="CG146">
            <v>0</v>
          </cell>
          <cell r="CH146">
            <v>0</v>
          </cell>
          <cell r="CI146" t="str">
            <v>_</v>
          </cell>
          <cell r="CJ146" t="str">
            <v>_</v>
          </cell>
          <cell r="CK146" t="str">
            <v>_</v>
          </cell>
          <cell r="CL146">
            <v>0</v>
          </cell>
          <cell r="CM146">
            <v>0</v>
          </cell>
          <cell r="CN146">
            <v>0</v>
          </cell>
          <cell r="CO146">
            <v>0</v>
          </cell>
          <cell r="CP146">
            <v>0</v>
          </cell>
          <cell r="CQ146">
            <v>0</v>
          </cell>
          <cell r="CR146">
            <v>0</v>
          </cell>
          <cell r="CS146">
            <v>0</v>
          </cell>
          <cell r="CT146">
            <v>0</v>
          </cell>
          <cell r="CU146">
            <v>0</v>
          </cell>
          <cell r="CV146">
            <v>0</v>
          </cell>
          <cell r="CW146">
            <v>0</v>
          </cell>
          <cell r="CX146">
            <v>0</v>
          </cell>
          <cell r="CY146">
            <v>0</v>
          </cell>
          <cell r="CZ146">
            <v>-54</v>
          </cell>
          <cell r="DA146">
            <v>-3</v>
          </cell>
          <cell r="DB146">
            <v>0</v>
          </cell>
          <cell r="DC146">
            <v>0</v>
          </cell>
          <cell r="DD146">
            <v>0</v>
          </cell>
          <cell r="DE146">
            <v>0</v>
          </cell>
          <cell r="DF146">
            <v>0</v>
          </cell>
          <cell r="DG146">
            <v>0</v>
          </cell>
          <cell r="DH146">
            <v>0</v>
          </cell>
          <cell r="DI146">
            <v>0</v>
          </cell>
          <cell r="DJ146">
            <v>0</v>
          </cell>
          <cell r="DK146">
            <v>0</v>
          </cell>
          <cell r="DL146">
            <v>0</v>
          </cell>
          <cell r="DM146">
            <v>0</v>
          </cell>
          <cell r="DN146">
            <v>0</v>
          </cell>
          <cell r="DO146">
            <v>0</v>
          </cell>
          <cell r="DP146">
            <v>0</v>
          </cell>
          <cell r="DQ146">
            <v>0</v>
          </cell>
          <cell r="DR146">
            <v>0</v>
          </cell>
          <cell r="DS146">
            <v>0</v>
          </cell>
          <cell r="DT146">
            <v>0</v>
          </cell>
        </row>
        <row r="147">
          <cell r="B147" t="str">
            <v>BTS 80 F EN 5 + SR</v>
          </cell>
          <cell r="E147" t="str">
            <v>x</v>
          </cell>
          <cell r="F147" t="str">
            <v>x</v>
          </cell>
          <cell r="L147" t="str">
            <v>x</v>
          </cell>
          <cell r="O147" t="str">
            <v>x</v>
          </cell>
          <cell r="T147" t="str">
            <v>x</v>
          </cell>
          <cell r="U147" t="str">
            <v>x</v>
          </cell>
          <cell r="AA147" t="str">
            <v>x</v>
          </cell>
          <cell r="AI147" t="str">
            <v>x</v>
          </cell>
          <cell r="AK147" t="str">
            <v>80 F</v>
          </cell>
          <cell r="AM147" t="str">
            <v>5 + SR</v>
          </cell>
          <cell r="BW147">
            <v>341</v>
          </cell>
          <cell r="BX147">
            <v>78</v>
          </cell>
          <cell r="BY147">
            <v>60</v>
          </cell>
          <cell r="BZ147" t="str">
            <v>_</v>
          </cell>
          <cell r="CA147" t="str">
            <v>_</v>
          </cell>
          <cell r="CB147" t="str">
            <v>_</v>
          </cell>
          <cell r="CC147" t="str">
            <v>_</v>
          </cell>
          <cell r="CD147" t="str">
            <v>_</v>
          </cell>
          <cell r="CE147">
            <v>39</v>
          </cell>
          <cell r="CF147">
            <v>36</v>
          </cell>
          <cell r="CG147">
            <v>0</v>
          </cell>
          <cell r="CH147">
            <v>0</v>
          </cell>
          <cell r="CI147" t="str">
            <v>_</v>
          </cell>
          <cell r="CJ147" t="str">
            <v>_</v>
          </cell>
          <cell r="CK147" t="str">
            <v>_</v>
          </cell>
          <cell r="CL147">
            <v>0</v>
          </cell>
          <cell r="CM147">
            <v>0</v>
          </cell>
          <cell r="CN147">
            <v>0</v>
          </cell>
          <cell r="CO147">
            <v>0</v>
          </cell>
          <cell r="CP147">
            <v>0</v>
          </cell>
          <cell r="CQ147">
            <v>0</v>
          </cell>
          <cell r="CR147">
            <v>0</v>
          </cell>
          <cell r="CS147">
            <v>0</v>
          </cell>
          <cell r="CT147">
            <v>0</v>
          </cell>
          <cell r="CU147">
            <v>0</v>
          </cell>
          <cell r="CV147">
            <v>0</v>
          </cell>
          <cell r="CW147">
            <v>0</v>
          </cell>
          <cell r="CX147">
            <v>0</v>
          </cell>
          <cell r="CY147">
            <v>0</v>
          </cell>
          <cell r="CZ147">
            <v>-54</v>
          </cell>
          <cell r="DA147">
            <v>-3</v>
          </cell>
          <cell r="DB147">
            <v>0</v>
          </cell>
          <cell r="DC147">
            <v>0</v>
          </cell>
          <cell r="DD147">
            <v>0</v>
          </cell>
          <cell r="DE147">
            <v>0</v>
          </cell>
          <cell r="DF147">
            <v>0</v>
          </cell>
          <cell r="DG147">
            <v>0</v>
          </cell>
          <cell r="DH147">
            <v>0</v>
          </cell>
          <cell r="DI147">
            <v>0</v>
          </cell>
          <cell r="DJ147">
            <v>0</v>
          </cell>
          <cell r="DK147">
            <v>0</v>
          </cell>
          <cell r="DL147">
            <v>0</v>
          </cell>
          <cell r="DM147">
            <v>0</v>
          </cell>
          <cell r="DN147">
            <v>0</v>
          </cell>
          <cell r="DO147">
            <v>0</v>
          </cell>
          <cell r="DP147">
            <v>0</v>
          </cell>
          <cell r="DQ147">
            <v>0</v>
          </cell>
          <cell r="DR147">
            <v>0</v>
          </cell>
          <cell r="DS147">
            <v>0</v>
          </cell>
          <cell r="DT147">
            <v>0</v>
          </cell>
        </row>
        <row r="148">
          <cell r="B148" t="str">
            <v>BTS 80 F EN 6 + SR</v>
          </cell>
          <cell r="E148" t="str">
            <v>x</v>
          </cell>
          <cell r="F148" t="str">
            <v>x</v>
          </cell>
          <cell r="M148" t="str">
            <v>x</v>
          </cell>
          <cell r="O148" t="str">
            <v>x</v>
          </cell>
          <cell r="T148" t="str">
            <v>x</v>
          </cell>
          <cell r="U148" t="str">
            <v>x</v>
          </cell>
          <cell r="AA148" t="str">
            <v>x</v>
          </cell>
          <cell r="AI148" t="str">
            <v>x</v>
          </cell>
          <cell r="AK148" t="str">
            <v>80 F</v>
          </cell>
          <cell r="AM148" t="str">
            <v>6 + SR</v>
          </cell>
          <cell r="BW148">
            <v>341</v>
          </cell>
          <cell r="BX148">
            <v>78</v>
          </cell>
          <cell r="BY148">
            <v>60</v>
          </cell>
          <cell r="BZ148" t="str">
            <v>_</v>
          </cell>
          <cell r="CA148" t="str">
            <v>_</v>
          </cell>
          <cell r="CB148" t="str">
            <v>_</v>
          </cell>
          <cell r="CC148" t="str">
            <v>_</v>
          </cell>
          <cell r="CD148" t="str">
            <v>_</v>
          </cell>
          <cell r="CE148">
            <v>39</v>
          </cell>
          <cell r="CF148">
            <v>36</v>
          </cell>
          <cell r="CG148">
            <v>0</v>
          </cell>
          <cell r="CH148">
            <v>0</v>
          </cell>
          <cell r="CI148" t="str">
            <v>_</v>
          </cell>
          <cell r="CJ148" t="str">
            <v>_</v>
          </cell>
          <cell r="CK148" t="str">
            <v>_</v>
          </cell>
          <cell r="CL148">
            <v>0</v>
          </cell>
          <cell r="CM148">
            <v>0</v>
          </cell>
          <cell r="CN148">
            <v>0</v>
          </cell>
          <cell r="CO148">
            <v>0</v>
          </cell>
          <cell r="CP148">
            <v>0</v>
          </cell>
          <cell r="CQ148">
            <v>0</v>
          </cell>
          <cell r="CR148">
            <v>0</v>
          </cell>
          <cell r="CS148">
            <v>0</v>
          </cell>
          <cell r="CT148">
            <v>0</v>
          </cell>
          <cell r="CU148">
            <v>0</v>
          </cell>
          <cell r="CV148">
            <v>0</v>
          </cell>
          <cell r="CW148">
            <v>0</v>
          </cell>
          <cell r="CX148">
            <v>0</v>
          </cell>
          <cell r="CY148">
            <v>0</v>
          </cell>
          <cell r="CZ148">
            <v>-54</v>
          </cell>
          <cell r="DA148">
            <v>-3</v>
          </cell>
          <cell r="DB148">
            <v>0</v>
          </cell>
          <cell r="DC148">
            <v>0</v>
          </cell>
          <cell r="DD148">
            <v>0</v>
          </cell>
          <cell r="DE148">
            <v>0</v>
          </cell>
          <cell r="DF148">
            <v>0</v>
          </cell>
          <cell r="DG148">
            <v>0</v>
          </cell>
          <cell r="DH148">
            <v>0</v>
          </cell>
          <cell r="DI148">
            <v>0</v>
          </cell>
          <cell r="DJ148">
            <v>0</v>
          </cell>
          <cell r="DK148">
            <v>0</v>
          </cell>
          <cell r="DL148">
            <v>0</v>
          </cell>
          <cell r="DM148">
            <v>0</v>
          </cell>
          <cell r="DN148">
            <v>0</v>
          </cell>
          <cell r="DO148">
            <v>0</v>
          </cell>
          <cell r="DP148">
            <v>0</v>
          </cell>
          <cell r="DQ148">
            <v>0</v>
          </cell>
          <cell r="DR148">
            <v>0</v>
          </cell>
          <cell r="DS148">
            <v>0</v>
          </cell>
          <cell r="DT148">
            <v>0</v>
          </cell>
        </row>
        <row r="149">
          <cell r="B149" t="str">
            <v>BTS 80 EMB EN 4</v>
          </cell>
          <cell r="D149" t="str">
            <v>x</v>
          </cell>
          <cell r="F149" t="str">
            <v>x</v>
          </cell>
          <cell r="K149" t="str">
            <v>x</v>
          </cell>
          <cell r="O149" t="str">
            <v>x</v>
          </cell>
          <cell r="T149" t="str">
            <v>x</v>
          </cell>
          <cell r="U149" t="str">
            <v>x</v>
          </cell>
          <cell r="AA149" t="str">
            <v>x</v>
          </cell>
          <cell r="AC149" t="str">
            <v>x</v>
          </cell>
          <cell r="AE149" t="str">
            <v>x</v>
          </cell>
          <cell r="AI149" t="str">
            <v>x</v>
          </cell>
          <cell r="AK149" t="str">
            <v>80 EMB</v>
          </cell>
          <cell r="AM149" t="str">
            <v>4</v>
          </cell>
          <cell r="BW149">
            <v>341</v>
          </cell>
          <cell r="BX149">
            <v>78</v>
          </cell>
          <cell r="BY149">
            <v>60</v>
          </cell>
          <cell r="BZ149" t="str">
            <v>_</v>
          </cell>
          <cell r="CA149" t="str">
            <v>_</v>
          </cell>
          <cell r="CB149" t="str">
            <v>_</v>
          </cell>
          <cell r="CC149" t="str">
            <v>_</v>
          </cell>
          <cell r="CD149" t="str">
            <v>_</v>
          </cell>
          <cell r="CE149">
            <v>39</v>
          </cell>
          <cell r="CF149">
            <v>36</v>
          </cell>
          <cell r="CG149">
            <v>0</v>
          </cell>
          <cell r="CH149">
            <v>0</v>
          </cell>
          <cell r="CI149" t="str">
            <v>_</v>
          </cell>
          <cell r="CJ149" t="str">
            <v>_</v>
          </cell>
          <cell r="CK149" t="str">
            <v>_</v>
          </cell>
          <cell r="CL149">
            <v>0</v>
          </cell>
          <cell r="CM149">
            <v>0</v>
          </cell>
          <cell r="CN149">
            <v>0</v>
          </cell>
          <cell r="CO149">
            <v>0</v>
          </cell>
          <cell r="CP149">
            <v>0</v>
          </cell>
          <cell r="CQ149">
            <v>0</v>
          </cell>
          <cell r="CR149">
            <v>0</v>
          </cell>
          <cell r="CS149">
            <v>0</v>
          </cell>
          <cell r="CT149">
            <v>0</v>
          </cell>
          <cell r="CU149">
            <v>0</v>
          </cell>
          <cell r="CV149">
            <v>0</v>
          </cell>
          <cell r="CW149">
            <v>0</v>
          </cell>
          <cell r="CX149">
            <v>0</v>
          </cell>
          <cell r="CY149">
            <v>0</v>
          </cell>
          <cell r="CZ149">
            <v>-54</v>
          </cell>
          <cell r="DA149">
            <v>-3</v>
          </cell>
          <cell r="DB149">
            <v>0</v>
          </cell>
          <cell r="DC149">
            <v>0</v>
          </cell>
          <cell r="DD149">
            <v>0</v>
          </cell>
          <cell r="DE149">
            <v>0</v>
          </cell>
          <cell r="DF149">
            <v>0</v>
          </cell>
          <cell r="DG149">
            <v>0</v>
          </cell>
          <cell r="DH149">
            <v>0</v>
          </cell>
          <cell r="DI149">
            <v>0</v>
          </cell>
          <cell r="DJ149">
            <v>0</v>
          </cell>
          <cell r="DK149">
            <v>0</v>
          </cell>
          <cell r="DL149">
            <v>0</v>
          </cell>
          <cell r="DM149">
            <v>0</v>
          </cell>
          <cell r="DN149">
            <v>0</v>
          </cell>
          <cell r="DO149">
            <v>0</v>
          </cell>
          <cell r="DP149">
            <v>0</v>
          </cell>
          <cell r="DQ149">
            <v>0</v>
          </cell>
          <cell r="DR149">
            <v>0</v>
          </cell>
          <cell r="DS149">
            <v>0</v>
          </cell>
          <cell r="DT149">
            <v>0</v>
          </cell>
        </row>
        <row r="150">
          <cell r="B150" t="str">
            <v>BTS 80 EMB EN 5</v>
          </cell>
          <cell r="D150" t="str">
            <v>x</v>
          </cell>
          <cell r="F150" t="str">
            <v>x</v>
          </cell>
          <cell r="L150" t="str">
            <v>x</v>
          </cell>
          <cell r="O150" t="str">
            <v>x</v>
          </cell>
          <cell r="T150" t="str">
            <v>x</v>
          </cell>
          <cell r="U150" t="str">
            <v>x</v>
          </cell>
          <cell r="AA150" t="str">
            <v>x</v>
          </cell>
          <cell r="AC150" t="str">
            <v>x</v>
          </cell>
          <cell r="AE150" t="str">
            <v>x</v>
          </cell>
          <cell r="AI150" t="str">
            <v>x</v>
          </cell>
          <cell r="AK150" t="str">
            <v>80 EMB</v>
          </cell>
          <cell r="AM150" t="str">
            <v>5</v>
          </cell>
          <cell r="BW150">
            <v>341</v>
          </cell>
          <cell r="BX150">
            <v>78</v>
          </cell>
          <cell r="BY150">
            <v>60</v>
          </cell>
          <cell r="BZ150" t="str">
            <v>_</v>
          </cell>
          <cell r="CA150" t="str">
            <v>_</v>
          </cell>
          <cell r="CB150" t="str">
            <v>_</v>
          </cell>
          <cell r="CC150" t="str">
            <v>_</v>
          </cell>
          <cell r="CD150" t="str">
            <v>_</v>
          </cell>
          <cell r="CE150">
            <v>39</v>
          </cell>
          <cell r="CF150">
            <v>36</v>
          </cell>
          <cell r="CG150">
            <v>0</v>
          </cell>
          <cell r="CH150">
            <v>0</v>
          </cell>
          <cell r="CI150" t="str">
            <v>_</v>
          </cell>
          <cell r="CJ150" t="str">
            <v>_</v>
          </cell>
          <cell r="CK150" t="str">
            <v>_</v>
          </cell>
          <cell r="CL150">
            <v>0</v>
          </cell>
          <cell r="CM150">
            <v>0</v>
          </cell>
          <cell r="CN150">
            <v>0</v>
          </cell>
          <cell r="CO150">
            <v>0</v>
          </cell>
          <cell r="CP150">
            <v>0</v>
          </cell>
          <cell r="CQ150">
            <v>0</v>
          </cell>
          <cell r="CR150">
            <v>0</v>
          </cell>
          <cell r="CS150">
            <v>0</v>
          </cell>
          <cell r="CT150">
            <v>0</v>
          </cell>
          <cell r="CU150">
            <v>0</v>
          </cell>
          <cell r="CV150">
            <v>0</v>
          </cell>
          <cell r="CW150">
            <v>0</v>
          </cell>
          <cell r="CX150">
            <v>0</v>
          </cell>
          <cell r="CY150">
            <v>0</v>
          </cell>
          <cell r="CZ150">
            <v>-54</v>
          </cell>
          <cell r="DA150">
            <v>-3</v>
          </cell>
          <cell r="DB150">
            <v>0</v>
          </cell>
          <cell r="DC150">
            <v>0</v>
          </cell>
          <cell r="DD150">
            <v>0</v>
          </cell>
          <cell r="DE150">
            <v>0</v>
          </cell>
          <cell r="DF150">
            <v>0</v>
          </cell>
          <cell r="DG150">
            <v>0</v>
          </cell>
          <cell r="DH150">
            <v>0</v>
          </cell>
          <cell r="DI150">
            <v>0</v>
          </cell>
          <cell r="DJ150">
            <v>0</v>
          </cell>
          <cell r="DK150">
            <v>0</v>
          </cell>
          <cell r="DL150">
            <v>0</v>
          </cell>
          <cell r="DM150">
            <v>0</v>
          </cell>
          <cell r="DN150">
            <v>0</v>
          </cell>
          <cell r="DO150">
            <v>0</v>
          </cell>
          <cell r="DP150">
            <v>0</v>
          </cell>
          <cell r="DQ150">
            <v>0</v>
          </cell>
          <cell r="DR150">
            <v>0</v>
          </cell>
          <cell r="DS150">
            <v>0</v>
          </cell>
          <cell r="DT150">
            <v>0</v>
          </cell>
        </row>
        <row r="151">
          <cell r="B151" t="str">
            <v>BTS 80 EMB EN 6</v>
          </cell>
          <cell r="D151" t="str">
            <v>x</v>
          </cell>
          <cell r="F151" t="str">
            <v>x</v>
          </cell>
          <cell r="M151" t="str">
            <v>x</v>
          </cell>
          <cell r="O151" t="str">
            <v>x</v>
          </cell>
          <cell r="T151" t="str">
            <v>x</v>
          </cell>
          <cell r="U151" t="str">
            <v>x</v>
          </cell>
          <cell r="AA151" t="str">
            <v>x</v>
          </cell>
          <cell r="AC151" t="str">
            <v>x</v>
          </cell>
          <cell r="AE151" t="str">
            <v>x</v>
          </cell>
          <cell r="AI151" t="str">
            <v>x</v>
          </cell>
          <cell r="AK151" t="str">
            <v>80 EMB</v>
          </cell>
          <cell r="AM151" t="str">
            <v>6</v>
          </cell>
          <cell r="BW151">
            <v>341</v>
          </cell>
          <cell r="BX151">
            <v>78</v>
          </cell>
          <cell r="BY151">
            <v>60</v>
          </cell>
          <cell r="BZ151" t="str">
            <v>_</v>
          </cell>
          <cell r="CA151" t="str">
            <v>_</v>
          </cell>
          <cell r="CB151" t="str">
            <v>_</v>
          </cell>
          <cell r="CC151" t="str">
            <v>_</v>
          </cell>
          <cell r="CD151" t="str">
            <v>_</v>
          </cell>
          <cell r="CE151">
            <v>39</v>
          </cell>
          <cell r="CF151">
            <v>36</v>
          </cell>
          <cell r="CG151">
            <v>0</v>
          </cell>
          <cell r="CH151">
            <v>0</v>
          </cell>
          <cell r="CI151" t="str">
            <v>_</v>
          </cell>
          <cell r="CJ151" t="str">
            <v>_</v>
          </cell>
          <cell r="CK151" t="str">
            <v>_</v>
          </cell>
          <cell r="CL151">
            <v>0</v>
          </cell>
          <cell r="CM151">
            <v>0</v>
          </cell>
          <cell r="CN151">
            <v>0</v>
          </cell>
          <cell r="CO151">
            <v>0</v>
          </cell>
          <cell r="CP151">
            <v>0</v>
          </cell>
          <cell r="CQ151">
            <v>0</v>
          </cell>
          <cell r="CR151">
            <v>0</v>
          </cell>
          <cell r="CS151">
            <v>0</v>
          </cell>
          <cell r="CT151">
            <v>0</v>
          </cell>
          <cell r="CU151">
            <v>0</v>
          </cell>
          <cell r="CV151">
            <v>0</v>
          </cell>
          <cell r="CW151">
            <v>0</v>
          </cell>
          <cell r="CX151">
            <v>0</v>
          </cell>
          <cell r="CY151">
            <v>0</v>
          </cell>
          <cell r="CZ151">
            <v>-54</v>
          </cell>
          <cell r="DA151">
            <v>-3</v>
          </cell>
          <cell r="DB151">
            <v>0</v>
          </cell>
          <cell r="DC151">
            <v>0</v>
          </cell>
          <cell r="DD151">
            <v>0</v>
          </cell>
          <cell r="DE151">
            <v>0</v>
          </cell>
          <cell r="DF151">
            <v>0</v>
          </cell>
          <cell r="DG151">
            <v>0</v>
          </cell>
          <cell r="DH151">
            <v>0</v>
          </cell>
          <cell r="DI151">
            <v>0</v>
          </cell>
          <cell r="DJ151">
            <v>0</v>
          </cell>
          <cell r="DK151">
            <v>0</v>
          </cell>
          <cell r="DL151">
            <v>0</v>
          </cell>
          <cell r="DM151">
            <v>0</v>
          </cell>
          <cell r="DN151">
            <v>0</v>
          </cell>
          <cell r="DO151">
            <v>0</v>
          </cell>
          <cell r="DP151">
            <v>0</v>
          </cell>
          <cell r="DQ151">
            <v>0</v>
          </cell>
          <cell r="DR151">
            <v>0</v>
          </cell>
          <cell r="DS151">
            <v>0</v>
          </cell>
          <cell r="DT151">
            <v>0</v>
          </cell>
        </row>
        <row r="152">
          <cell r="B152" t="str">
            <v>BTS 80 EMB EN 4 + SR</v>
          </cell>
          <cell r="E152" t="str">
            <v>x</v>
          </cell>
          <cell r="F152" t="str">
            <v>x</v>
          </cell>
          <cell r="K152" t="str">
            <v>x</v>
          </cell>
          <cell r="O152" t="str">
            <v>x</v>
          </cell>
          <cell r="T152" t="str">
            <v>x</v>
          </cell>
          <cell r="U152" t="str">
            <v>x</v>
          </cell>
          <cell r="AA152" t="str">
            <v>x</v>
          </cell>
          <cell r="AC152" t="str">
            <v>x</v>
          </cell>
          <cell r="AE152" t="str">
            <v>x</v>
          </cell>
          <cell r="AI152" t="str">
            <v>x</v>
          </cell>
          <cell r="AK152" t="str">
            <v>80 EMB</v>
          </cell>
          <cell r="AM152" t="str">
            <v>4 + SR</v>
          </cell>
          <cell r="BW152">
            <v>341</v>
          </cell>
          <cell r="BX152">
            <v>78</v>
          </cell>
          <cell r="BY152">
            <v>60</v>
          </cell>
          <cell r="BZ152" t="str">
            <v>_</v>
          </cell>
          <cell r="CA152" t="str">
            <v>_</v>
          </cell>
          <cell r="CB152" t="str">
            <v>_</v>
          </cell>
          <cell r="CC152" t="str">
            <v>_</v>
          </cell>
          <cell r="CD152" t="str">
            <v>_</v>
          </cell>
          <cell r="CE152">
            <v>39</v>
          </cell>
          <cell r="CF152">
            <v>36</v>
          </cell>
          <cell r="CG152">
            <v>0</v>
          </cell>
          <cell r="CH152">
            <v>0</v>
          </cell>
          <cell r="CI152" t="str">
            <v>_</v>
          </cell>
          <cell r="CJ152" t="str">
            <v>_</v>
          </cell>
          <cell r="CK152" t="str">
            <v>_</v>
          </cell>
          <cell r="CL152">
            <v>0</v>
          </cell>
          <cell r="CM152">
            <v>0</v>
          </cell>
          <cell r="CN152">
            <v>0</v>
          </cell>
          <cell r="CO152">
            <v>0</v>
          </cell>
          <cell r="CP152">
            <v>0</v>
          </cell>
          <cell r="CQ152">
            <v>0</v>
          </cell>
          <cell r="CR152">
            <v>0</v>
          </cell>
          <cell r="CS152">
            <v>0</v>
          </cell>
          <cell r="CT152">
            <v>0</v>
          </cell>
          <cell r="CU152">
            <v>0</v>
          </cell>
          <cell r="CV152">
            <v>0</v>
          </cell>
          <cell r="CW152">
            <v>0</v>
          </cell>
          <cell r="CX152">
            <v>0</v>
          </cell>
          <cell r="CY152">
            <v>0</v>
          </cell>
          <cell r="CZ152">
            <v>-54</v>
          </cell>
          <cell r="DA152">
            <v>-3</v>
          </cell>
          <cell r="DB152">
            <v>0</v>
          </cell>
          <cell r="DC152">
            <v>0</v>
          </cell>
          <cell r="DD152">
            <v>0</v>
          </cell>
          <cell r="DE152">
            <v>0</v>
          </cell>
          <cell r="DF152">
            <v>0</v>
          </cell>
          <cell r="DG152">
            <v>0</v>
          </cell>
          <cell r="DH152">
            <v>0</v>
          </cell>
          <cell r="DI152">
            <v>0</v>
          </cell>
          <cell r="DJ152">
            <v>0</v>
          </cell>
          <cell r="DK152">
            <v>0</v>
          </cell>
          <cell r="DL152">
            <v>0</v>
          </cell>
          <cell r="DM152">
            <v>0</v>
          </cell>
          <cell r="DN152">
            <v>0</v>
          </cell>
          <cell r="DO152">
            <v>0</v>
          </cell>
          <cell r="DP152">
            <v>0</v>
          </cell>
          <cell r="DQ152">
            <v>0</v>
          </cell>
          <cell r="DR152">
            <v>0</v>
          </cell>
          <cell r="DS152">
            <v>0</v>
          </cell>
          <cell r="DT152">
            <v>0</v>
          </cell>
        </row>
        <row r="153">
          <cell r="B153" t="str">
            <v>BTS 80 EMB EN 5 + SR</v>
          </cell>
          <cell r="E153" t="str">
            <v>x</v>
          </cell>
          <cell r="F153" t="str">
            <v>x</v>
          </cell>
          <cell r="L153" t="str">
            <v>x</v>
          </cell>
          <cell r="O153" t="str">
            <v>x</v>
          </cell>
          <cell r="T153" t="str">
            <v>x</v>
          </cell>
          <cell r="U153" t="str">
            <v>x</v>
          </cell>
          <cell r="AA153" t="str">
            <v>x</v>
          </cell>
          <cell r="AC153" t="str">
            <v>x</v>
          </cell>
          <cell r="AE153" t="str">
            <v>x</v>
          </cell>
          <cell r="AI153" t="str">
            <v>x</v>
          </cell>
          <cell r="AK153" t="str">
            <v>80 EMB</v>
          </cell>
          <cell r="AM153" t="str">
            <v>5 + SR</v>
          </cell>
          <cell r="BW153">
            <v>341</v>
          </cell>
          <cell r="BX153">
            <v>78</v>
          </cell>
          <cell r="BY153">
            <v>60</v>
          </cell>
          <cell r="BZ153" t="str">
            <v>_</v>
          </cell>
          <cell r="CA153" t="str">
            <v>_</v>
          </cell>
          <cell r="CB153" t="str">
            <v>_</v>
          </cell>
          <cell r="CC153" t="str">
            <v>_</v>
          </cell>
          <cell r="CD153" t="str">
            <v>_</v>
          </cell>
          <cell r="CE153">
            <v>39</v>
          </cell>
          <cell r="CF153">
            <v>36</v>
          </cell>
          <cell r="CG153">
            <v>0</v>
          </cell>
          <cell r="CH153">
            <v>0</v>
          </cell>
          <cell r="CI153" t="str">
            <v>_</v>
          </cell>
          <cell r="CJ153" t="str">
            <v>_</v>
          </cell>
          <cell r="CK153" t="str">
            <v>_</v>
          </cell>
          <cell r="CL153">
            <v>0</v>
          </cell>
          <cell r="CM153">
            <v>0</v>
          </cell>
          <cell r="CN153">
            <v>0</v>
          </cell>
          <cell r="CO153">
            <v>0</v>
          </cell>
          <cell r="CP153">
            <v>0</v>
          </cell>
          <cell r="CQ153">
            <v>0</v>
          </cell>
          <cell r="CR153">
            <v>0</v>
          </cell>
          <cell r="CS153">
            <v>0</v>
          </cell>
          <cell r="CT153">
            <v>0</v>
          </cell>
          <cell r="CU153">
            <v>0</v>
          </cell>
          <cell r="CV153">
            <v>0</v>
          </cell>
          <cell r="CW153">
            <v>0</v>
          </cell>
          <cell r="CX153">
            <v>0</v>
          </cell>
          <cell r="CY153">
            <v>0</v>
          </cell>
          <cell r="CZ153">
            <v>-54</v>
          </cell>
          <cell r="DA153">
            <v>-3</v>
          </cell>
          <cell r="DB153">
            <v>0</v>
          </cell>
          <cell r="DC153">
            <v>0</v>
          </cell>
          <cell r="DD153">
            <v>0</v>
          </cell>
          <cell r="DE153">
            <v>0</v>
          </cell>
          <cell r="DF153">
            <v>0</v>
          </cell>
          <cell r="DG153">
            <v>0</v>
          </cell>
          <cell r="DH153">
            <v>0</v>
          </cell>
          <cell r="DI153">
            <v>0</v>
          </cell>
          <cell r="DJ153">
            <v>0</v>
          </cell>
          <cell r="DK153">
            <v>0</v>
          </cell>
          <cell r="DL153">
            <v>0</v>
          </cell>
          <cell r="DM153">
            <v>0</v>
          </cell>
          <cell r="DN153">
            <v>0</v>
          </cell>
          <cell r="DO153">
            <v>0</v>
          </cell>
          <cell r="DP153">
            <v>0</v>
          </cell>
          <cell r="DQ153">
            <v>0</v>
          </cell>
          <cell r="DR153">
            <v>0</v>
          </cell>
          <cell r="DS153">
            <v>0</v>
          </cell>
          <cell r="DT153">
            <v>0</v>
          </cell>
        </row>
        <row r="154">
          <cell r="B154" t="str">
            <v>BTS 80 EMB EN 6 + SR</v>
          </cell>
          <cell r="E154" t="str">
            <v>x</v>
          </cell>
          <cell r="F154" t="str">
            <v>x</v>
          </cell>
          <cell r="M154" t="str">
            <v>x</v>
          </cell>
          <cell r="O154" t="str">
            <v>x</v>
          </cell>
          <cell r="T154" t="str">
            <v>x</v>
          </cell>
          <cell r="U154" t="str">
            <v>x</v>
          </cell>
          <cell r="AA154" t="str">
            <v>x</v>
          </cell>
          <cell r="AC154" t="str">
            <v>x</v>
          </cell>
          <cell r="AE154" t="str">
            <v>x</v>
          </cell>
          <cell r="AI154" t="str">
            <v>x</v>
          </cell>
          <cell r="AK154" t="str">
            <v>80 EMB</v>
          </cell>
          <cell r="AM154" t="str">
            <v>6 + SR</v>
          </cell>
          <cell r="BW154">
            <v>341</v>
          </cell>
          <cell r="BX154">
            <v>78</v>
          </cell>
          <cell r="BY154">
            <v>60</v>
          </cell>
          <cell r="BZ154" t="str">
            <v>_</v>
          </cell>
          <cell r="CA154" t="str">
            <v>_</v>
          </cell>
          <cell r="CB154" t="str">
            <v>_</v>
          </cell>
          <cell r="CC154" t="str">
            <v>_</v>
          </cell>
          <cell r="CD154" t="str">
            <v>_</v>
          </cell>
          <cell r="CE154">
            <v>39</v>
          </cell>
          <cell r="CF154">
            <v>36</v>
          </cell>
          <cell r="CG154">
            <v>0</v>
          </cell>
          <cell r="CH154">
            <v>0</v>
          </cell>
          <cell r="CI154" t="str">
            <v>_</v>
          </cell>
          <cell r="CJ154" t="str">
            <v>_</v>
          </cell>
          <cell r="CK154" t="str">
            <v>_</v>
          </cell>
          <cell r="CL154">
            <v>0</v>
          </cell>
          <cell r="CM154">
            <v>0</v>
          </cell>
          <cell r="CN154">
            <v>0</v>
          </cell>
          <cell r="CO154">
            <v>0</v>
          </cell>
          <cell r="CP154">
            <v>0</v>
          </cell>
          <cell r="CQ154">
            <v>0</v>
          </cell>
          <cell r="CR154">
            <v>0</v>
          </cell>
          <cell r="CS154">
            <v>0</v>
          </cell>
          <cell r="CT154">
            <v>0</v>
          </cell>
          <cell r="CU154">
            <v>0</v>
          </cell>
          <cell r="CV154">
            <v>0</v>
          </cell>
          <cell r="CW154">
            <v>0</v>
          </cell>
          <cell r="CX154">
            <v>0</v>
          </cell>
          <cell r="CY154">
            <v>0</v>
          </cell>
          <cell r="CZ154">
            <v>-54</v>
          </cell>
          <cell r="DA154">
            <v>-3</v>
          </cell>
          <cell r="DB154">
            <v>0</v>
          </cell>
          <cell r="DC154">
            <v>0</v>
          </cell>
          <cell r="DD154">
            <v>0</v>
          </cell>
          <cell r="DE154">
            <v>0</v>
          </cell>
          <cell r="DF154">
            <v>0</v>
          </cell>
          <cell r="DG154">
            <v>0</v>
          </cell>
          <cell r="DH154">
            <v>0</v>
          </cell>
          <cell r="DI154">
            <v>0</v>
          </cell>
          <cell r="DJ154">
            <v>0</v>
          </cell>
          <cell r="DK154">
            <v>0</v>
          </cell>
          <cell r="DL154">
            <v>0</v>
          </cell>
          <cell r="DM154">
            <v>0</v>
          </cell>
          <cell r="DN154">
            <v>0</v>
          </cell>
          <cell r="DO154">
            <v>0</v>
          </cell>
          <cell r="DP154">
            <v>0</v>
          </cell>
          <cell r="DQ154">
            <v>0</v>
          </cell>
          <cell r="DR154">
            <v>0</v>
          </cell>
          <cell r="DS154">
            <v>0</v>
          </cell>
          <cell r="DT154">
            <v>0</v>
          </cell>
        </row>
        <row r="155">
          <cell r="B155" t="str">
            <v>BTS 80 FLB EN 4</v>
          </cell>
          <cell r="D155" t="str">
            <v>x</v>
          </cell>
          <cell r="F155" t="str">
            <v>x</v>
          </cell>
          <cell r="K155" t="str">
            <v>x</v>
          </cell>
          <cell r="O155" t="str">
            <v>x</v>
          </cell>
          <cell r="T155" t="str">
            <v>x</v>
          </cell>
          <cell r="U155" t="str">
            <v>x</v>
          </cell>
          <cell r="Y155" t="str">
            <v>x</v>
          </cell>
          <cell r="AE155" t="str">
            <v>x</v>
          </cell>
          <cell r="AI155" t="str">
            <v>x</v>
          </cell>
          <cell r="AK155" t="str">
            <v>80 FLB</v>
          </cell>
          <cell r="AM155" t="str">
            <v>4</v>
          </cell>
          <cell r="BW155">
            <v>341</v>
          </cell>
          <cell r="BX155">
            <v>78</v>
          </cell>
          <cell r="BY155">
            <v>60</v>
          </cell>
          <cell r="BZ155" t="str">
            <v>_</v>
          </cell>
          <cell r="CA155" t="str">
            <v>_</v>
          </cell>
          <cell r="CB155" t="str">
            <v>_</v>
          </cell>
          <cell r="CC155" t="str">
            <v>_</v>
          </cell>
          <cell r="CD155" t="str">
            <v>_</v>
          </cell>
          <cell r="CE155">
            <v>39</v>
          </cell>
          <cell r="CF155">
            <v>36</v>
          </cell>
          <cell r="CG155">
            <v>0</v>
          </cell>
          <cell r="CH155">
            <v>0</v>
          </cell>
          <cell r="CI155" t="str">
            <v>_</v>
          </cell>
          <cell r="CJ155" t="str">
            <v>_</v>
          </cell>
          <cell r="CK155" t="str">
            <v>_</v>
          </cell>
          <cell r="CL155">
            <v>0</v>
          </cell>
          <cell r="CM155">
            <v>0</v>
          </cell>
          <cell r="CN155">
            <v>0</v>
          </cell>
          <cell r="CO155">
            <v>0</v>
          </cell>
          <cell r="CP155">
            <v>0</v>
          </cell>
          <cell r="CQ155">
            <v>0</v>
          </cell>
          <cell r="CR155">
            <v>0</v>
          </cell>
          <cell r="CS155">
            <v>0</v>
          </cell>
          <cell r="CT155">
            <v>0</v>
          </cell>
          <cell r="CU155">
            <v>0</v>
          </cell>
          <cell r="CV155">
            <v>0</v>
          </cell>
          <cell r="CW155">
            <v>0</v>
          </cell>
          <cell r="CX155">
            <v>0</v>
          </cell>
          <cell r="CY155">
            <v>0</v>
          </cell>
          <cell r="CZ155">
            <v>-54</v>
          </cell>
          <cell r="DA155">
            <v>-3</v>
          </cell>
          <cell r="DB155">
            <v>0</v>
          </cell>
          <cell r="DC155">
            <v>0</v>
          </cell>
          <cell r="DD155">
            <v>0</v>
          </cell>
          <cell r="DE155">
            <v>0</v>
          </cell>
          <cell r="DF155">
            <v>0</v>
          </cell>
          <cell r="DG155">
            <v>0</v>
          </cell>
          <cell r="DH155">
            <v>0</v>
          </cell>
          <cell r="DI155">
            <v>0</v>
          </cell>
          <cell r="DJ155">
            <v>0</v>
          </cell>
          <cell r="DK155">
            <v>0</v>
          </cell>
          <cell r="DL155">
            <v>0</v>
          </cell>
          <cell r="DM155">
            <v>0</v>
          </cell>
          <cell r="DN155">
            <v>0</v>
          </cell>
          <cell r="DO155">
            <v>0</v>
          </cell>
          <cell r="DP155">
            <v>0</v>
          </cell>
          <cell r="DQ155">
            <v>0</v>
          </cell>
          <cell r="DR155">
            <v>0</v>
          </cell>
          <cell r="DS155">
            <v>0</v>
          </cell>
          <cell r="DT155">
            <v>0</v>
          </cell>
        </row>
        <row r="156">
          <cell r="B156" t="str">
            <v>BTS 80 FLB EN 5</v>
          </cell>
          <cell r="D156" t="str">
            <v>x</v>
          </cell>
          <cell r="F156" t="str">
            <v>x</v>
          </cell>
          <cell r="L156" t="str">
            <v>x</v>
          </cell>
          <cell r="O156" t="str">
            <v>x</v>
          </cell>
          <cell r="T156" t="str">
            <v>x</v>
          </cell>
          <cell r="U156" t="str">
            <v>x</v>
          </cell>
          <cell r="Y156" t="str">
            <v>x</v>
          </cell>
          <cell r="AE156" t="str">
            <v>x</v>
          </cell>
          <cell r="AI156" t="str">
            <v>x</v>
          </cell>
          <cell r="AK156" t="str">
            <v>80 FLB</v>
          </cell>
          <cell r="AM156" t="str">
            <v>5</v>
          </cell>
          <cell r="BW156">
            <v>341</v>
          </cell>
          <cell r="BX156">
            <v>78</v>
          </cell>
          <cell r="BY156">
            <v>60</v>
          </cell>
          <cell r="BZ156" t="str">
            <v>_</v>
          </cell>
          <cell r="CA156" t="str">
            <v>_</v>
          </cell>
          <cell r="CB156" t="str">
            <v>_</v>
          </cell>
          <cell r="CC156" t="str">
            <v>_</v>
          </cell>
          <cell r="CD156" t="str">
            <v>_</v>
          </cell>
          <cell r="CE156">
            <v>39</v>
          </cell>
          <cell r="CF156">
            <v>36</v>
          </cell>
          <cell r="CG156">
            <v>0</v>
          </cell>
          <cell r="CH156">
            <v>0</v>
          </cell>
          <cell r="CI156" t="str">
            <v>_</v>
          </cell>
          <cell r="CJ156" t="str">
            <v>_</v>
          </cell>
          <cell r="CK156" t="str">
            <v>_</v>
          </cell>
          <cell r="CL156">
            <v>0</v>
          </cell>
          <cell r="CM156">
            <v>0</v>
          </cell>
          <cell r="CN156">
            <v>0</v>
          </cell>
          <cell r="CO156">
            <v>0</v>
          </cell>
          <cell r="CP156">
            <v>0</v>
          </cell>
          <cell r="CQ156">
            <v>0</v>
          </cell>
          <cell r="CR156">
            <v>0</v>
          </cell>
          <cell r="CS156">
            <v>0</v>
          </cell>
          <cell r="CT156">
            <v>0</v>
          </cell>
          <cell r="CU156">
            <v>0</v>
          </cell>
          <cell r="CV156">
            <v>0</v>
          </cell>
          <cell r="CW156">
            <v>0</v>
          </cell>
          <cell r="CX156">
            <v>0</v>
          </cell>
          <cell r="CY156">
            <v>0</v>
          </cell>
          <cell r="CZ156">
            <v>-54</v>
          </cell>
          <cell r="DA156">
            <v>-3</v>
          </cell>
          <cell r="DB156">
            <v>0</v>
          </cell>
          <cell r="DC156">
            <v>0</v>
          </cell>
          <cell r="DD156">
            <v>0</v>
          </cell>
          <cell r="DE156">
            <v>0</v>
          </cell>
          <cell r="DF156">
            <v>0</v>
          </cell>
          <cell r="DG156">
            <v>0</v>
          </cell>
          <cell r="DH156">
            <v>0</v>
          </cell>
          <cell r="DI156">
            <v>0</v>
          </cell>
          <cell r="DJ156">
            <v>0</v>
          </cell>
          <cell r="DK156">
            <v>0</v>
          </cell>
          <cell r="DL156">
            <v>0</v>
          </cell>
          <cell r="DM156">
            <v>0</v>
          </cell>
          <cell r="DN156">
            <v>0</v>
          </cell>
          <cell r="DO156">
            <v>0</v>
          </cell>
          <cell r="DP156">
            <v>0</v>
          </cell>
          <cell r="DQ156">
            <v>0</v>
          </cell>
          <cell r="DR156">
            <v>0</v>
          </cell>
          <cell r="DS156">
            <v>0</v>
          </cell>
          <cell r="DT156">
            <v>0</v>
          </cell>
        </row>
        <row r="157">
          <cell r="B157" t="str">
            <v>BTS 80 FLB EN 6</v>
          </cell>
          <cell r="D157" t="str">
            <v>x</v>
          </cell>
          <cell r="F157" t="str">
            <v>x</v>
          </cell>
          <cell r="M157" t="str">
            <v>x</v>
          </cell>
          <cell r="O157" t="str">
            <v>x</v>
          </cell>
          <cell r="T157" t="str">
            <v>x</v>
          </cell>
          <cell r="U157" t="str">
            <v>x</v>
          </cell>
          <cell r="Y157" t="str">
            <v>x</v>
          </cell>
          <cell r="AE157" t="str">
            <v>x</v>
          </cell>
          <cell r="AI157" t="str">
            <v>x</v>
          </cell>
          <cell r="AK157" t="str">
            <v>80 FLB</v>
          </cell>
          <cell r="AM157" t="str">
            <v>6</v>
          </cell>
          <cell r="BS157">
            <v>0</v>
          </cell>
          <cell r="BT157">
            <v>0</v>
          </cell>
          <cell r="BU157">
            <v>0</v>
          </cell>
          <cell r="BV157">
            <v>0</v>
          </cell>
          <cell r="BW157">
            <v>341</v>
          </cell>
          <cell r="BX157">
            <v>78</v>
          </cell>
          <cell r="BY157">
            <v>60</v>
          </cell>
          <cell r="BZ157" t="str">
            <v>_</v>
          </cell>
          <cell r="CA157" t="str">
            <v>_</v>
          </cell>
          <cell r="CB157" t="str">
            <v>_</v>
          </cell>
          <cell r="CC157" t="str">
            <v>_</v>
          </cell>
          <cell r="CD157" t="str">
            <v>_</v>
          </cell>
          <cell r="CE157">
            <v>39</v>
          </cell>
          <cell r="CF157">
            <v>36</v>
          </cell>
          <cell r="CG157">
            <v>0</v>
          </cell>
          <cell r="CH157">
            <v>0</v>
          </cell>
          <cell r="CI157" t="str">
            <v>_</v>
          </cell>
          <cell r="CJ157" t="str">
            <v>_</v>
          </cell>
          <cell r="CK157" t="str">
            <v>_</v>
          </cell>
          <cell r="CL157">
            <v>0</v>
          </cell>
          <cell r="CM157">
            <v>0</v>
          </cell>
          <cell r="CN157">
            <v>0</v>
          </cell>
          <cell r="CO157">
            <v>0</v>
          </cell>
          <cell r="CP157">
            <v>0</v>
          </cell>
          <cell r="CQ157">
            <v>0</v>
          </cell>
          <cell r="CR157">
            <v>0</v>
          </cell>
          <cell r="CS157">
            <v>0</v>
          </cell>
          <cell r="CT157">
            <v>0</v>
          </cell>
          <cell r="CU157">
            <v>0</v>
          </cell>
          <cell r="CV157">
            <v>0</v>
          </cell>
          <cell r="CW157">
            <v>0</v>
          </cell>
          <cell r="CX157">
            <v>0</v>
          </cell>
          <cell r="CY157">
            <v>0</v>
          </cell>
          <cell r="CZ157">
            <v>-54</v>
          </cell>
          <cell r="DA157">
            <v>-3</v>
          </cell>
          <cell r="DB157">
            <v>0</v>
          </cell>
          <cell r="DC157">
            <v>0</v>
          </cell>
          <cell r="DD157">
            <v>0</v>
          </cell>
          <cell r="DE157">
            <v>0</v>
          </cell>
          <cell r="DF157">
            <v>0</v>
          </cell>
          <cell r="DG157">
            <v>0</v>
          </cell>
          <cell r="DH157">
            <v>0</v>
          </cell>
          <cell r="DI157">
            <v>0</v>
          </cell>
          <cell r="DJ157">
            <v>0</v>
          </cell>
          <cell r="DK157">
            <v>0</v>
          </cell>
          <cell r="DL157">
            <v>0</v>
          </cell>
          <cell r="DM157">
            <v>0</v>
          </cell>
          <cell r="DN157">
            <v>0</v>
          </cell>
          <cell r="DO157">
            <v>0</v>
          </cell>
          <cell r="DP157">
            <v>0</v>
          </cell>
          <cell r="DQ157">
            <v>0</v>
          </cell>
          <cell r="DR157">
            <v>0</v>
          </cell>
          <cell r="DS157">
            <v>0</v>
          </cell>
          <cell r="DT157">
            <v>0</v>
          </cell>
        </row>
        <row r="158">
          <cell r="B158" t="str">
            <v>BTS 75V EN 1-4 Pendeltür</v>
          </cell>
          <cell r="C158">
            <v>0</v>
          </cell>
          <cell r="D158" t="str">
            <v>x</v>
          </cell>
          <cell r="E158" t="str">
            <v>x</v>
          </cell>
          <cell r="F158" t="str">
            <v>x</v>
          </cell>
          <cell r="G158" t="str">
            <v>x</v>
          </cell>
          <cell r="H158" t="str">
            <v>x</v>
          </cell>
          <cell r="I158" t="str">
            <v>x</v>
          </cell>
          <cell r="J158" t="str">
            <v>x</v>
          </cell>
          <cell r="K158" t="str">
            <v>x</v>
          </cell>
          <cell r="L158">
            <v>0</v>
          </cell>
          <cell r="M158">
            <v>0</v>
          </cell>
          <cell r="N158">
            <v>0</v>
          </cell>
          <cell r="O158" t="str">
            <v>x</v>
          </cell>
          <cell r="P158">
            <v>0</v>
          </cell>
          <cell r="Q158" t="str">
            <v>x</v>
          </cell>
          <cell r="R158">
            <v>0</v>
          </cell>
          <cell r="S158">
            <v>0</v>
          </cell>
          <cell r="T158" t="str">
            <v>x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 t="str">
            <v>x</v>
          </cell>
          <cell r="AB158" t="str">
            <v>x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 t="str">
            <v>x</v>
          </cell>
          <cell r="AJ158">
            <v>0</v>
          </cell>
          <cell r="AK158" t="str">
            <v>75V</v>
          </cell>
          <cell r="AL158">
            <v>0</v>
          </cell>
          <cell r="AM158" t="str">
            <v>1-4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I158">
            <v>0</v>
          </cell>
          <cell r="BJ158">
            <v>0</v>
          </cell>
          <cell r="BK158">
            <v>0</v>
          </cell>
          <cell r="BL158">
            <v>0</v>
          </cell>
          <cell r="BM158">
            <v>0</v>
          </cell>
          <cell r="BN158">
            <v>0</v>
          </cell>
          <cell r="BO158">
            <v>0</v>
          </cell>
          <cell r="BP158">
            <v>0</v>
          </cell>
          <cell r="BQ158">
            <v>0</v>
          </cell>
          <cell r="BR158">
            <v>0</v>
          </cell>
          <cell r="BS158">
            <v>0</v>
          </cell>
          <cell r="BT158">
            <v>0</v>
          </cell>
          <cell r="BU158">
            <v>0</v>
          </cell>
          <cell r="BV158">
            <v>0</v>
          </cell>
          <cell r="BW158">
            <v>0</v>
          </cell>
          <cell r="BX158">
            <v>0</v>
          </cell>
          <cell r="BY158">
            <v>0</v>
          </cell>
          <cell r="BZ158" t="str">
            <v>_</v>
          </cell>
          <cell r="CA158" t="str">
            <v>_</v>
          </cell>
          <cell r="CB158" t="str">
            <v>_</v>
          </cell>
          <cell r="CC158" t="str">
            <v>_</v>
          </cell>
          <cell r="CD158" t="str">
            <v>_</v>
          </cell>
          <cell r="CE158">
            <v>41</v>
          </cell>
          <cell r="CF158">
            <v>0</v>
          </cell>
          <cell r="CG158">
            <v>0</v>
          </cell>
          <cell r="CH158">
            <v>0</v>
          </cell>
          <cell r="CI158" t="str">
            <v>_</v>
          </cell>
          <cell r="CJ158" t="str">
            <v>_</v>
          </cell>
          <cell r="CK158" t="str">
            <v>_</v>
          </cell>
          <cell r="CL158">
            <v>0</v>
          </cell>
          <cell r="CM158">
            <v>0</v>
          </cell>
          <cell r="CN158">
            <v>0</v>
          </cell>
          <cell r="CO158">
            <v>0</v>
          </cell>
          <cell r="CP158">
            <v>0</v>
          </cell>
          <cell r="CQ158">
            <v>0</v>
          </cell>
          <cell r="CR158">
            <v>0</v>
          </cell>
          <cell r="CS158">
            <v>0</v>
          </cell>
          <cell r="CT158">
            <v>0</v>
          </cell>
          <cell r="CU158">
            <v>0</v>
          </cell>
          <cell r="CV158">
            <v>0</v>
          </cell>
          <cell r="CW158">
            <v>0</v>
          </cell>
          <cell r="CX158">
            <v>0</v>
          </cell>
          <cell r="CY158">
            <v>0</v>
          </cell>
          <cell r="CZ158">
            <v>0</v>
          </cell>
          <cell r="DA158">
            <v>-41</v>
          </cell>
          <cell r="DB158">
            <v>0</v>
          </cell>
          <cell r="DC158">
            <v>0</v>
          </cell>
          <cell r="DD158">
            <v>0</v>
          </cell>
          <cell r="DE158">
            <v>0</v>
          </cell>
          <cell r="DF158">
            <v>0</v>
          </cell>
          <cell r="DG158">
            <v>0</v>
          </cell>
          <cell r="DH158">
            <v>0</v>
          </cell>
          <cell r="DI158">
            <v>0</v>
          </cell>
          <cell r="DJ158">
            <v>0</v>
          </cell>
          <cell r="DK158">
            <v>0</v>
          </cell>
          <cell r="DL158">
            <v>0</v>
          </cell>
          <cell r="DM158">
            <v>0</v>
          </cell>
          <cell r="DN158">
            <v>0</v>
          </cell>
          <cell r="DO158">
            <v>0</v>
          </cell>
          <cell r="DP158">
            <v>0</v>
          </cell>
          <cell r="DQ158">
            <v>0</v>
          </cell>
          <cell r="DR158">
            <v>0</v>
          </cell>
          <cell r="DS158">
            <v>0</v>
          </cell>
          <cell r="DT158">
            <v>0</v>
          </cell>
        </row>
        <row r="159">
          <cell r="B159" t="str">
            <v>BTS 80 EN 3 Pendeltür</v>
          </cell>
          <cell r="D159" t="str">
            <v>x</v>
          </cell>
          <cell r="E159" t="str">
            <v>x</v>
          </cell>
          <cell r="F159" t="str">
            <v>x</v>
          </cell>
          <cell r="G159" t="str">
            <v>x</v>
          </cell>
          <cell r="H159">
            <v>0</v>
          </cell>
          <cell r="I159">
            <v>0</v>
          </cell>
          <cell r="J159" t="str">
            <v>x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 t="str">
            <v>x</v>
          </cell>
          <cell r="P159">
            <v>0</v>
          </cell>
          <cell r="Q159" t="str">
            <v>x</v>
          </cell>
          <cell r="R159">
            <v>0</v>
          </cell>
          <cell r="S159">
            <v>0</v>
          </cell>
          <cell r="T159" t="str">
            <v>x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 t="str">
            <v>x</v>
          </cell>
          <cell r="AB159" t="str">
            <v>x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 t="str">
            <v>x</v>
          </cell>
          <cell r="AJ159">
            <v>0</v>
          </cell>
          <cell r="AK159">
            <v>80</v>
          </cell>
          <cell r="AM159" t="str">
            <v>3</v>
          </cell>
          <cell r="BW159">
            <v>341</v>
          </cell>
          <cell r="BX159">
            <v>78</v>
          </cell>
          <cell r="BY159">
            <v>60</v>
          </cell>
          <cell r="BZ159" t="str">
            <v>_</v>
          </cell>
          <cell r="CA159" t="str">
            <v>_</v>
          </cell>
          <cell r="CB159" t="str">
            <v>_</v>
          </cell>
          <cell r="CC159" t="str">
            <v>_</v>
          </cell>
          <cell r="CD159" t="str">
            <v>_</v>
          </cell>
          <cell r="CE159">
            <v>39</v>
          </cell>
          <cell r="CF159">
            <v>0</v>
          </cell>
          <cell r="CG159">
            <v>0</v>
          </cell>
          <cell r="CH159">
            <v>0</v>
          </cell>
          <cell r="CI159" t="str">
            <v>_</v>
          </cell>
          <cell r="CJ159" t="str">
            <v>_</v>
          </cell>
          <cell r="CK159" t="str">
            <v>_</v>
          </cell>
          <cell r="CL159">
            <v>0</v>
          </cell>
          <cell r="CM159">
            <v>0</v>
          </cell>
          <cell r="CN159">
            <v>0</v>
          </cell>
          <cell r="CO159">
            <v>0</v>
          </cell>
          <cell r="CP159">
            <v>0</v>
          </cell>
          <cell r="CQ159">
            <v>0</v>
          </cell>
          <cell r="CR159">
            <v>0</v>
          </cell>
          <cell r="CS159">
            <v>0</v>
          </cell>
          <cell r="CT159">
            <v>0</v>
          </cell>
          <cell r="CU159">
            <v>0</v>
          </cell>
          <cell r="CV159">
            <v>0</v>
          </cell>
          <cell r="CW159">
            <v>0</v>
          </cell>
          <cell r="CX159">
            <v>0</v>
          </cell>
          <cell r="CY159">
            <v>0</v>
          </cell>
          <cell r="CZ159">
            <v>0</v>
          </cell>
          <cell r="DA159">
            <v>-39</v>
          </cell>
          <cell r="DB159">
            <v>0</v>
          </cell>
          <cell r="DC159">
            <v>0</v>
          </cell>
          <cell r="DD159">
            <v>0</v>
          </cell>
          <cell r="DE159">
            <v>0</v>
          </cell>
          <cell r="DF159">
            <v>0</v>
          </cell>
          <cell r="DG159">
            <v>0</v>
          </cell>
          <cell r="DH159">
            <v>0</v>
          </cell>
          <cell r="DI159">
            <v>0</v>
          </cell>
          <cell r="DJ159">
            <v>0</v>
          </cell>
          <cell r="DK159">
            <v>0</v>
          </cell>
          <cell r="DL159">
            <v>0</v>
          </cell>
          <cell r="DM159">
            <v>0</v>
          </cell>
          <cell r="DN159">
            <v>0</v>
          </cell>
          <cell r="DO159">
            <v>0</v>
          </cell>
          <cell r="DP159">
            <v>0</v>
          </cell>
          <cell r="DQ159">
            <v>0</v>
          </cell>
          <cell r="DR159">
            <v>0</v>
          </cell>
          <cell r="DS159">
            <v>0</v>
          </cell>
          <cell r="DT159">
            <v>0</v>
          </cell>
        </row>
        <row r="160">
          <cell r="B160" t="str">
            <v>BTS 80 EN 4 Pendeltür</v>
          </cell>
          <cell r="D160" t="str">
            <v>x</v>
          </cell>
          <cell r="E160" t="str">
            <v>x</v>
          </cell>
          <cell r="F160" t="str">
            <v>x</v>
          </cell>
          <cell r="G160" t="str">
            <v>x</v>
          </cell>
          <cell r="H160">
            <v>0</v>
          </cell>
          <cell r="I160">
            <v>0</v>
          </cell>
          <cell r="J160">
            <v>0</v>
          </cell>
          <cell r="K160" t="str">
            <v>x</v>
          </cell>
          <cell r="L160">
            <v>0</v>
          </cell>
          <cell r="M160">
            <v>0</v>
          </cell>
          <cell r="N160">
            <v>0</v>
          </cell>
          <cell r="O160" t="str">
            <v>x</v>
          </cell>
          <cell r="P160">
            <v>0</v>
          </cell>
          <cell r="Q160" t="str">
            <v>x</v>
          </cell>
          <cell r="R160">
            <v>0</v>
          </cell>
          <cell r="S160">
            <v>0</v>
          </cell>
          <cell r="T160" t="str">
            <v>x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 t="str">
            <v>x</v>
          </cell>
          <cell r="AB160" t="str">
            <v>x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 t="str">
            <v>x</v>
          </cell>
          <cell r="AJ160">
            <v>0</v>
          </cell>
          <cell r="AK160">
            <v>80</v>
          </cell>
          <cell r="AM160" t="str">
            <v>4</v>
          </cell>
          <cell r="BW160">
            <v>341</v>
          </cell>
          <cell r="BX160">
            <v>78</v>
          </cell>
          <cell r="BY160">
            <v>60</v>
          </cell>
          <cell r="BZ160" t="str">
            <v>_</v>
          </cell>
          <cell r="CA160" t="str">
            <v>_</v>
          </cell>
          <cell r="CB160" t="str">
            <v>_</v>
          </cell>
          <cell r="CC160" t="str">
            <v>_</v>
          </cell>
          <cell r="CD160" t="str">
            <v>_</v>
          </cell>
          <cell r="CE160">
            <v>39</v>
          </cell>
          <cell r="CF160">
            <v>0</v>
          </cell>
          <cell r="CG160">
            <v>0</v>
          </cell>
          <cell r="CH160">
            <v>0</v>
          </cell>
          <cell r="CI160" t="str">
            <v>_</v>
          </cell>
          <cell r="CJ160" t="str">
            <v>_</v>
          </cell>
          <cell r="CK160" t="str">
            <v>_</v>
          </cell>
          <cell r="CL160">
            <v>0</v>
          </cell>
          <cell r="CM160">
            <v>0</v>
          </cell>
          <cell r="CN160">
            <v>0</v>
          </cell>
          <cell r="CO160">
            <v>0</v>
          </cell>
          <cell r="CP160">
            <v>0</v>
          </cell>
          <cell r="CQ160">
            <v>0</v>
          </cell>
          <cell r="CR160">
            <v>0</v>
          </cell>
          <cell r="CS160">
            <v>0</v>
          </cell>
          <cell r="CT160">
            <v>0</v>
          </cell>
          <cell r="CU160">
            <v>0</v>
          </cell>
          <cell r="CV160">
            <v>0</v>
          </cell>
          <cell r="CW160">
            <v>0</v>
          </cell>
          <cell r="CX160">
            <v>0</v>
          </cell>
          <cell r="CY160">
            <v>0</v>
          </cell>
          <cell r="CZ160">
            <v>0</v>
          </cell>
          <cell r="DA160">
            <v>-39</v>
          </cell>
          <cell r="DB160">
            <v>0</v>
          </cell>
          <cell r="DC160">
            <v>0</v>
          </cell>
          <cell r="DD160">
            <v>0</v>
          </cell>
          <cell r="DE160">
            <v>0</v>
          </cell>
          <cell r="DF160">
            <v>0</v>
          </cell>
          <cell r="DG160">
            <v>0</v>
          </cell>
          <cell r="DH160">
            <v>0</v>
          </cell>
          <cell r="DI160">
            <v>0</v>
          </cell>
          <cell r="DJ160">
            <v>0</v>
          </cell>
          <cell r="DK160">
            <v>0</v>
          </cell>
          <cell r="DL160">
            <v>0</v>
          </cell>
          <cell r="DM160">
            <v>0</v>
          </cell>
          <cell r="DN160">
            <v>0</v>
          </cell>
          <cell r="DO160">
            <v>0</v>
          </cell>
          <cell r="DP160">
            <v>0</v>
          </cell>
          <cell r="DQ160">
            <v>0</v>
          </cell>
          <cell r="DR160">
            <v>0</v>
          </cell>
          <cell r="DS160">
            <v>0</v>
          </cell>
          <cell r="DT160">
            <v>0</v>
          </cell>
        </row>
        <row r="161">
          <cell r="B161" t="str">
            <v>BTS 80 EN 6 Pendeltür</v>
          </cell>
          <cell r="D161" t="str">
            <v>x</v>
          </cell>
          <cell r="E161" t="str">
            <v>x</v>
          </cell>
          <cell r="F161" t="str">
            <v>x</v>
          </cell>
          <cell r="G161" t="str">
            <v>x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 t="str">
            <v>x</v>
          </cell>
          <cell r="N161">
            <v>0</v>
          </cell>
          <cell r="O161" t="str">
            <v>x</v>
          </cell>
          <cell r="P161">
            <v>0</v>
          </cell>
          <cell r="Q161" t="str">
            <v>x</v>
          </cell>
          <cell r="R161">
            <v>0</v>
          </cell>
          <cell r="S161">
            <v>0</v>
          </cell>
          <cell r="T161" t="str">
            <v>x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 t="str">
            <v>x</v>
          </cell>
          <cell r="AB161" t="str">
            <v>x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 t="str">
            <v>x</v>
          </cell>
          <cell r="AJ161">
            <v>0</v>
          </cell>
          <cell r="AK161">
            <v>80</v>
          </cell>
          <cell r="AM161" t="str">
            <v>6</v>
          </cell>
          <cell r="BW161">
            <v>341</v>
          </cell>
          <cell r="BX161">
            <v>78</v>
          </cell>
          <cell r="BY161">
            <v>60</v>
          </cell>
          <cell r="BZ161" t="str">
            <v>_</v>
          </cell>
          <cell r="CA161" t="str">
            <v>_</v>
          </cell>
          <cell r="CB161" t="str">
            <v>_</v>
          </cell>
          <cell r="CC161" t="str">
            <v>_</v>
          </cell>
          <cell r="CD161" t="str">
            <v>_</v>
          </cell>
          <cell r="CE161">
            <v>39</v>
          </cell>
          <cell r="CF161">
            <v>0</v>
          </cell>
          <cell r="CG161">
            <v>0</v>
          </cell>
          <cell r="CH161">
            <v>0</v>
          </cell>
          <cell r="CI161" t="str">
            <v>_</v>
          </cell>
          <cell r="CJ161" t="str">
            <v>_</v>
          </cell>
          <cell r="CK161" t="str">
            <v>_</v>
          </cell>
          <cell r="CL161">
            <v>0</v>
          </cell>
          <cell r="CM161">
            <v>0</v>
          </cell>
          <cell r="CN161">
            <v>0</v>
          </cell>
          <cell r="CO161">
            <v>0</v>
          </cell>
          <cell r="CP161">
            <v>0</v>
          </cell>
          <cell r="CQ161">
            <v>0</v>
          </cell>
          <cell r="CR161">
            <v>0</v>
          </cell>
          <cell r="CS161">
            <v>0</v>
          </cell>
          <cell r="CT161">
            <v>0</v>
          </cell>
          <cell r="CU161">
            <v>0</v>
          </cell>
          <cell r="CV161">
            <v>0</v>
          </cell>
          <cell r="CW161">
            <v>0</v>
          </cell>
          <cell r="CX161">
            <v>0</v>
          </cell>
          <cell r="CY161">
            <v>0</v>
          </cell>
          <cell r="CZ161">
            <v>0</v>
          </cell>
          <cell r="DA161">
            <v>-39</v>
          </cell>
          <cell r="DB161">
            <v>0</v>
          </cell>
          <cell r="DC161">
            <v>0</v>
          </cell>
          <cell r="DD161">
            <v>0</v>
          </cell>
          <cell r="DE161">
            <v>0</v>
          </cell>
          <cell r="DF161">
            <v>0</v>
          </cell>
          <cell r="DG161">
            <v>0</v>
          </cell>
          <cell r="DH161">
            <v>0</v>
          </cell>
          <cell r="DI161">
            <v>0</v>
          </cell>
          <cell r="DJ161">
            <v>0</v>
          </cell>
          <cell r="DK161">
            <v>0</v>
          </cell>
          <cell r="DL161">
            <v>0</v>
          </cell>
          <cell r="DM161">
            <v>0</v>
          </cell>
          <cell r="DN161">
            <v>0</v>
          </cell>
          <cell r="DO161">
            <v>0</v>
          </cell>
          <cell r="DP161">
            <v>0</v>
          </cell>
          <cell r="DQ161">
            <v>0</v>
          </cell>
          <cell r="DR161">
            <v>0</v>
          </cell>
          <cell r="DS161">
            <v>0</v>
          </cell>
          <cell r="DT161">
            <v>0</v>
          </cell>
        </row>
        <row r="162">
          <cell r="B162" t="str">
            <v>BTS 84 EN 2 Pendeltür</v>
          </cell>
          <cell r="D162" t="str">
            <v>x</v>
          </cell>
          <cell r="E162" t="str">
            <v>x</v>
          </cell>
          <cell r="F162" t="str">
            <v>x</v>
          </cell>
          <cell r="G162" t="str">
            <v>x</v>
          </cell>
          <cell r="I162" t="str">
            <v>x</v>
          </cell>
          <cell r="O162" t="str">
            <v>x</v>
          </cell>
          <cell r="Q162" t="str">
            <v>x</v>
          </cell>
          <cell r="T162" t="str">
            <v>x</v>
          </cell>
          <cell r="AB162" t="str">
            <v>x</v>
          </cell>
          <cell r="AI162" t="str">
            <v>x</v>
          </cell>
          <cell r="AK162">
            <v>84</v>
          </cell>
          <cell r="AM162" t="str">
            <v>2</v>
          </cell>
          <cell r="BW162">
            <v>306</v>
          </cell>
          <cell r="BX162">
            <v>108</v>
          </cell>
          <cell r="BY162">
            <v>40</v>
          </cell>
          <cell r="BZ162" t="str">
            <v>_</v>
          </cell>
          <cell r="CA162" t="str">
            <v>_</v>
          </cell>
          <cell r="CB162" t="str">
            <v>_</v>
          </cell>
          <cell r="CC162" t="str">
            <v>_</v>
          </cell>
          <cell r="CD162" t="str">
            <v>_</v>
          </cell>
          <cell r="CE162">
            <v>54</v>
          </cell>
          <cell r="CF162">
            <v>0</v>
          </cell>
          <cell r="CG162">
            <v>0</v>
          </cell>
          <cell r="CH162">
            <v>0</v>
          </cell>
          <cell r="CI162" t="str">
            <v>_</v>
          </cell>
          <cell r="CJ162" t="str">
            <v>_</v>
          </cell>
          <cell r="CK162" t="str">
            <v>_</v>
          </cell>
          <cell r="CL162">
            <v>0</v>
          </cell>
          <cell r="CM162">
            <v>0</v>
          </cell>
          <cell r="CN162">
            <v>0</v>
          </cell>
          <cell r="CO162">
            <v>0</v>
          </cell>
          <cell r="CP162">
            <v>0</v>
          </cell>
          <cell r="CQ162">
            <v>0</v>
          </cell>
          <cell r="CR162">
            <v>0</v>
          </cell>
          <cell r="CS162">
            <v>0</v>
          </cell>
          <cell r="CT162">
            <v>0</v>
          </cell>
          <cell r="CU162">
            <v>0</v>
          </cell>
          <cell r="CV162">
            <v>0</v>
          </cell>
          <cell r="CW162">
            <v>0</v>
          </cell>
          <cell r="CX162">
            <v>0</v>
          </cell>
          <cell r="CY162">
            <v>0</v>
          </cell>
          <cell r="CZ162">
            <v>0</v>
          </cell>
          <cell r="DA162">
            <v>-54</v>
          </cell>
          <cell r="DB162">
            <v>0</v>
          </cell>
          <cell r="DC162">
            <v>0</v>
          </cell>
          <cell r="DD162">
            <v>0</v>
          </cell>
          <cell r="DE162">
            <v>0</v>
          </cell>
          <cell r="DF162">
            <v>0</v>
          </cell>
          <cell r="DG162">
            <v>0</v>
          </cell>
          <cell r="DH162">
            <v>0</v>
          </cell>
          <cell r="DI162">
            <v>0</v>
          </cell>
          <cell r="DJ162">
            <v>0</v>
          </cell>
          <cell r="DK162">
            <v>0</v>
          </cell>
          <cell r="DL162">
            <v>0</v>
          </cell>
          <cell r="DM162">
            <v>0</v>
          </cell>
          <cell r="DN162">
            <v>0</v>
          </cell>
          <cell r="DO162">
            <v>0</v>
          </cell>
          <cell r="DP162">
            <v>0</v>
          </cell>
          <cell r="DQ162">
            <v>0</v>
          </cell>
          <cell r="DR162">
            <v>0</v>
          </cell>
          <cell r="DS162">
            <v>0</v>
          </cell>
          <cell r="DT162">
            <v>0</v>
          </cell>
        </row>
        <row r="163">
          <cell r="B163" t="str">
            <v>BTS 84 EN 3 Pendeltür</v>
          </cell>
          <cell r="D163" t="str">
            <v>x</v>
          </cell>
          <cell r="E163" t="str">
            <v>x</v>
          </cell>
          <cell r="F163" t="str">
            <v>x</v>
          </cell>
          <cell r="G163" t="str">
            <v>x</v>
          </cell>
          <cell r="J163" t="str">
            <v>x</v>
          </cell>
          <cell r="O163" t="str">
            <v>x</v>
          </cell>
          <cell r="Q163" t="str">
            <v>x</v>
          </cell>
          <cell r="T163" t="str">
            <v>x</v>
          </cell>
          <cell r="AB163" t="str">
            <v>x</v>
          </cell>
          <cell r="AI163" t="str">
            <v>x</v>
          </cell>
          <cell r="AK163">
            <v>84</v>
          </cell>
          <cell r="AM163" t="str">
            <v>3</v>
          </cell>
          <cell r="BW163">
            <v>306</v>
          </cell>
          <cell r="BX163">
            <v>108</v>
          </cell>
          <cell r="BY163">
            <v>40</v>
          </cell>
          <cell r="BZ163" t="str">
            <v>_</v>
          </cell>
          <cell r="CA163" t="str">
            <v>_</v>
          </cell>
          <cell r="CB163" t="str">
            <v>_</v>
          </cell>
          <cell r="CC163" t="str">
            <v>_</v>
          </cell>
          <cell r="CD163" t="str">
            <v>_</v>
          </cell>
          <cell r="CE163">
            <v>54</v>
          </cell>
          <cell r="CF163">
            <v>0</v>
          </cell>
          <cell r="CG163">
            <v>0</v>
          </cell>
          <cell r="CH163">
            <v>0</v>
          </cell>
          <cell r="CI163" t="str">
            <v>_</v>
          </cell>
          <cell r="CJ163" t="str">
            <v>_</v>
          </cell>
          <cell r="CK163" t="str">
            <v>_</v>
          </cell>
          <cell r="CL163">
            <v>0</v>
          </cell>
          <cell r="CM163">
            <v>0</v>
          </cell>
          <cell r="CN163">
            <v>0</v>
          </cell>
          <cell r="CO163">
            <v>0</v>
          </cell>
          <cell r="CP163">
            <v>0</v>
          </cell>
          <cell r="CQ163">
            <v>0</v>
          </cell>
          <cell r="CR163">
            <v>0</v>
          </cell>
          <cell r="CS163">
            <v>0</v>
          </cell>
          <cell r="CT163">
            <v>0</v>
          </cell>
          <cell r="CU163">
            <v>0</v>
          </cell>
          <cell r="CV163">
            <v>0</v>
          </cell>
          <cell r="CW163">
            <v>0</v>
          </cell>
          <cell r="CX163">
            <v>0</v>
          </cell>
          <cell r="CY163">
            <v>0</v>
          </cell>
          <cell r="CZ163">
            <v>0</v>
          </cell>
          <cell r="DA163">
            <v>-54</v>
          </cell>
          <cell r="DB163">
            <v>0</v>
          </cell>
          <cell r="DC163">
            <v>0</v>
          </cell>
          <cell r="DD163">
            <v>0</v>
          </cell>
          <cell r="DE163">
            <v>0</v>
          </cell>
          <cell r="DF163">
            <v>0</v>
          </cell>
          <cell r="DG163">
            <v>0</v>
          </cell>
          <cell r="DH163">
            <v>0</v>
          </cell>
          <cell r="DI163">
            <v>0</v>
          </cell>
          <cell r="DJ163">
            <v>0</v>
          </cell>
          <cell r="DK163">
            <v>0</v>
          </cell>
          <cell r="DL163">
            <v>0</v>
          </cell>
          <cell r="DM163">
            <v>0</v>
          </cell>
          <cell r="DN163">
            <v>0</v>
          </cell>
          <cell r="DO163">
            <v>0</v>
          </cell>
          <cell r="DP163">
            <v>0</v>
          </cell>
          <cell r="DQ163">
            <v>0</v>
          </cell>
          <cell r="DR163">
            <v>0</v>
          </cell>
          <cell r="DS163">
            <v>0</v>
          </cell>
          <cell r="DT163">
            <v>0</v>
          </cell>
        </row>
        <row r="164">
          <cell r="B164" t="str">
            <v>BTS 84 EN 4 Pendeltür</v>
          </cell>
          <cell r="D164" t="str">
            <v>x</v>
          </cell>
          <cell r="E164" t="str">
            <v>x</v>
          </cell>
          <cell r="F164" t="str">
            <v>x</v>
          </cell>
          <cell r="G164" t="str">
            <v>x</v>
          </cell>
          <cell r="K164" t="str">
            <v>x</v>
          </cell>
          <cell r="O164" t="str">
            <v>x</v>
          </cell>
          <cell r="Q164" t="str">
            <v>x</v>
          </cell>
          <cell r="T164" t="str">
            <v>x</v>
          </cell>
          <cell r="AB164" t="str">
            <v>x</v>
          </cell>
          <cell r="AI164" t="str">
            <v>x</v>
          </cell>
          <cell r="AK164">
            <v>84</v>
          </cell>
          <cell r="AM164" t="str">
            <v>4</v>
          </cell>
          <cell r="BR164">
            <v>0</v>
          </cell>
          <cell r="BS164">
            <v>0</v>
          </cell>
          <cell r="BT164">
            <v>0</v>
          </cell>
          <cell r="BU164">
            <v>0</v>
          </cell>
          <cell r="BV164">
            <v>0</v>
          </cell>
          <cell r="BW164">
            <v>306</v>
          </cell>
          <cell r="BX164">
            <v>108</v>
          </cell>
          <cell r="BY164">
            <v>40</v>
          </cell>
          <cell r="BZ164" t="str">
            <v>_</v>
          </cell>
          <cell r="CA164" t="str">
            <v>_</v>
          </cell>
          <cell r="CB164" t="str">
            <v>_</v>
          </cell>
          <cell r="CC164" t="str">
            <v>_</v>
          </cell>
          <cell r="CD164" t="str">
            <v>_</v>
          </cell>
          <cell r="CE164">
            <v>54</v>
          </cell>
          <cell r="CF164">
            <v>0</v>
          </cell>
          <cell r="CG164">
            <v>0</v>
          </cell>
          <cell r="CH164">
            <v>0</v>
          </cell>
          <cell r="CI164" t="str">
            <v>_</v>
          </cell>
          <cell r="CJ164" t="str">
            <v>_</v>
          </cell>
          <cell r="CK164" t="str">
            <v>_</v>
          </cell>
          <cell r="CL164">
            <v>0</v>
          </cell>
          <cell r="CM164">
            <v>0</v>
          </cell>
          <cell r="CN164">
            <v>0</v>
          </cell>
          <cell r="CO164">
            <v>0</v>
          </cell>
          <cell r="CP164">
            <v>0</v>
          </cell>
          <cell r="CQ164">
            <v>0</v>
          </cell>
          <cell r="CR164">
            <v>0</v>
          </cell>
          <cell r="CS164">
            <v>0</v>
          </cell>
          <cell r="CT164">
            <v>0</v>
          </cell>
          <cell r="CU164">
            <v>0</v>
          </cell>
          <cell r="CV164">
            <v>0</v>
          </cell>
          <cell r="CW164">
            <v>0</v>
          </cell>
          <cell r="CX164">
            <v>0</v>
          </cell>
          <cell r="CY164">
            <v>0</v>
          </cell>
          <cell r="CZ164">
            <v>0</v>
          </cell>
          <cell r="DA164">
            <v>-54</v>
          </cell>
          <cell r="DB164">
            <v>0</v>
          </cell>
          <cell r="DC164">
            <v>0</v>
          </cell>
          <cell r="DD164">
            <v>0</v>
          </cell>
          <cell r="DE164">
            <v>0</v>
          </cell>
          <cell r="DF164">
            <v>0</v>
          </cell>
          <cell r="DG164">
            <v>0</v>
          </cell>
          <cell r="DH164">
            <v>0</v>
          </cell>
          <cell r="DI164">
            <v>0</v>
          </cell>
          <cell r="DJ164">
            <v>0</v>
          </cell>
          <cell r="DK164">
            <v>0</v>
          </cell>
          <cell r="DL164">
            <v>0</v>
          </cell>
          <cell r="DM164">
            <v>0</v>
          </cell>
          <cell r="DN164">
            <v>0</v>
          </cell>
          <cell r="DO164">
            <v>0</v>
          </cell>
          <cell r="DP164">
            <v>0</v>
          </cell>
          <cell r="DQ164">
            <v>0</v>
          </cell>
          <cell r="DR164">
            <v>0</v>
          </cell>
          <cell r="DS164">
            <v>0</v>
          </cell>
          <cell r="DT164">
            <v>0</v>
          </cell>
        </row>
        <row r="165">
          <cell r="B165" t="str">
            <v>RTS 85 EN 3 Pendeltür</v>
          </cell>
          <cell r="C165">
            <v>0</v>
          </cell>
          <cell r="D165" t="str">
            <v>x</v>
          </cell>
          <cell r="E165" t="str">
            <v>x</v>
          </cell>
          <cell r="F165" t="str">
            <v>x</v>
          </cell>
          <cell r="G165" t="str">
            <v>x</v>
          </cell>
          <cell r="H165">
            <v>0</v>
          </cell>
          <cell r="I165">
            <v>0</v>
          </cell>
          <cell r="J165" t="str">
            <v>x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 t="str">
            <v>x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 t="str">
            <v>x</v>
          </cell>
          <cell r="AI165">
            <v>0</v>
          </cell>
          <cell r="AJ165">
            <v>0</v>
          </cell>
          <cell r="AK165">
            <v>85</v>
          </cell>
          <cell r="AL165">
            <v>0</v>
          </cell>
          <cell r="AM165" t="str">
            <v>3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0</v>
          </cell>
          <cell r="BI165">
            <v>0</v>
          </cell>
          <cell r="BJ165">
            <v>0</v>
          </cell>
          <cell r="BK165">
            <v>0</v>
          </cell>
          <cell r="BL165">
            <v>0</v>
          </cell>
          <cell r="BM165">
            <v>0</v>
          </cell>
          <cell r="BN165">
            <v>0</v>
          </cell>
          <cell r="BO165">
            <v>0</v>
          </cell>
          <cell r="BP165">
            <v>0</v>
          </cell>
          <cell r="BQ165">
            <v>0</v>
          </cell>
          <cell r="BR165">
            <v>0</v>
          </cell>
          <cell r="BS165">
            <v>0</v>
          </cell>
          <cell r="BT165">
            <v>0</v>
          </cell>
          <cell r="BU165">
            <v>0</v>
          </cell>
          <cell r="BV165">
            <v>0</v>
          </cell>
          <cell r="BW165">
            <v>329</v>
          </cell>
          <cell r="BX165">
            <v>84</v>
          </cell>
          <cell r="BY165">
            <v>39</v>
          </cell>
          <cell r="BZ165" t="str">
            <v>_</v>
          </cell>
          <cell r="CA165" t="str">
            <v>_</v>
          </cell>
          <cell r="CB165" t="str">
            <v>_</v>
          </cell>
          <cell r="CC165" t="str">
            <v>_</v>
          </cell>
          <cell r="CD165" t="str">
            <v>_</v>
          </cell>
          <cell r="CE165">
            <v>42</v>
          </cell>
          <cell r="CF165">
            <v>0</v>
          </cell>
          <cell r="CG165">
            <v>0</v>
          </cell>
          <cell r="CH165">
            <v>0</v>
          </cell>
          <cell r="CI165" t="str">
            <v>_</v>
          </cell>
          <cell r="CJ165" t="str">
            <v>_</v>
          </cell>
          <cell r="CK165" t="str">
            <v>_</v>
          </cell>
          <cell r="CL165">
            <v>0</v>
          </cell>
          <cell r="CM165">
            <v>0</v>
          </cell>
          <cell r="CN165">
            <v>0</v>
          </cell>
          <cell r="CO165">
            <v>0</v>
          </cell>
          <cell r="CP165">
            <v>0</v>
          </cell>
          <cell r="CQ165">
            <v>0</v>
          </cell>
          <cell r="CR165">
            <v>0</v>
          </cell>
          <cell r="CS165">
            <v>0</v>
          </cell>
          <cell r="CT165">
            <v>0</v>
          </cell>
          <cell r="CU165">
            <v>0</v>
          </cell>
          <cell r="CV165">
            <v>0</v>
          </cell>
          <cell r="CW165">
            <v>0</v>
          </cell>
          <cell r="CX165">
            <v>0</v>
          </cell>
          <cell r="CY165">
            <v>0</v>
          </cell>
          <cell r="CZ165">
            <v>0</v>
          </cell>
          <cell r="DA165">
            <v>-42</v>
          </cell>
          <cell r="DB165">
            <v>0</v>
          </cell>
          <cell r="DC165">
            <v>0</v>
          </cell>
          <cell r="DD165">
            <v>0</v>
          </cell>
          <cell r="DE165">
            <v>0</v>
          </cell>
          <cell r="DF165">
            <v>0</v>
          </cell>
          <cell r="DG165">
            <v>0</v>
          </cell>
          <cell r="DH165">
            <v>0</v>
          </cell>
          <cell r="DI165">
            <v>0</v>
          </cell>
          <cell r="DJ165">
            <v>0</v>
          </cell>
          <cell r="DK165">
            <v>0</v>
          </cell>
          <cell r="DL165">
            <v>0</v>
          </cell>
          <cell r="DM165">
            <v>0</v>
          </cell>
          <cell r="DN165">
            <v>0</v>
          </cell>
          <cell r="DO165">
            <v>0</v>
          </cell>
          <cell r="DP165">
            <v>0</v>
          </cell>
          <cell r="DQ165">
            <v>0</v>
          </cell>
          <cell r="DR165">
            <v>0</v>
          </cell>
          <cell r="DS165">
            <v>0</v>
          </cell>
          <cell r="DT165">
            <v>0</v>
          </cell>
        </row>
        <row r="166">
          <cell r="B166" t="str">
            <v>RTS 85 EN 4 Pendeltür</v>
          </cell>
          <cell r="D166" t="str">
            <v>x</v>
          </cell>
          <cell r="E166" t="str">
            <v>x</v>
          </cell>
          <cell r="F166" t="str">
            <v>x</v>
          </cell>
          <cell r="G166" t="str">
            <v>x</v>
          </cell>
          <cell r="K166" t="str">
            <v>x</v>
          </cell>
          <cell r="S166" t="str">
            <v>x</v>
          </cell>
          <cell r="AH166" t="str">
            <v>x</v>
          </cell>
          <cell r="AK166">
            <v>85</v>
          </cell>
          <cell r="AM166" t="str">
            <v>4</v>
          </cell>
          <cell r="BW166">
            <v>329</v>
          </cell>
          <cell r="BX166">
            <v>84</v>
          </cell>
          <cell r="BY166">
            <v>39</v>
          </cell>
          <cell r="BZ166" t="str">
            <v>_</v>
          </cell>
          <cell r="CA166" t="str">
            <v>_</v>
          </cell>
          <cell r="CB166" t="str">
            <v>_</v>
          </cell>
          <cell r="CC166" t="str">
            <v>_</v>
          </cell>
          <cell r="CD166" t="str">
            <v>_</v>
          </cell>
          <cell r="CE166">
            <v>42</v>
          </cell>
          <cell r="CF166">
            <v>0</v>
          </cell>
          <cell r="CG166">
            <v>0</v>
          </cell>
          <cell r="CH166">
            <v>0</v>
          </cell>
          <cell r="CI166" t="str">
            <v>_</v>
          </cell>
          <cell r="CJ166" t="str">
            <v>_</v>
          </cell>
          <cell r="CK166" t="str">
            <v>_</v>
          </cell>
          <cell r="CL166">
            <v>0</v>
          </cell>
          <cell r="CM166">
            <v>0</v>
          </cell>
          <cell r="CN166">
            <v>0</v>
          </cell>
          <cell r="CO166">
            <v>0</v>
          </cell>
          <cell r="CP166">
            <v>0</v>
          </cell>
          <cell r="CQ166">
            <v>0</v>
          </cell>
          <cell r="CR166">
            <v>0</v>
          </cell>
          <cell r="CS166">
            <v>0</v>
          </cell>
          <cell r="CT166">
            <v>0</v>
          </cell>
          <cell r="CU166">
            <v>0</v>
          </cell>
          <cell r="CV166">
            <v>0</v>
          </cell>
          <cell r="CW166">
            <v>0</v>
          </cell>
          <cell r="CX166">
            <v>0</v>
          </cell>
          <cell r="CY166">
            <v>0</v>
          </cell>
          <cell r="CZ166">
            <v>0</v>
          </cell>
          <cell r="DA166">
            <v>-42</v>
          </cell>
          <cell r="DB166">
            <v>0</v>
          </cell>
          <cell r="DC166">
            <v>0</v>
          </cell>
          <cell r="DD166">
            <v>0</v>
          </cell>
          <cell r="DE166">
            <v>0</v>
          </cell>
          <cell r="DF166">
            <v>0</v>
          </cell>
          <cell r="DG166">
            <v>0</v>
          </cell>
          <cell r="DH166">
            <v>0</v>
          </cell>
          <cell r="DI166">
            <v>0</v>
          </cell>
          <cell r="DJ166">
            <v>0</v>
          </cell>
          <cell r="DK166">
            <v>0</v>
          </cell>
          <cell r="DL166">
            <v>0</v>
          </cell>
          <cell r="DM166">
            <v>0</v>
          </cell>
          <cell r="DN166">
            <v>0</v>
          </cell>
          <cell r="DO166">
            <v>0</v>
          </cell>
          <cell r="DP166">
            <v>0</v>
          </cell>
          <cell r="DQ166">
            <v>0</v>
          </cell>
          <cell r="DR166">
            <v>0</v>
          </cell>
          <cell r="DS166">
            <v>0</v>
          </cell>
          <cell r="DT166">
            <v>0</v>
          </cell>
        </row>
        <row r="167">
          <cell r="B167" t="str">
            <v>RTS 85 EN 5 Pendeltür</v>
          </cell>
          <cell r="D167" t="str">
            <v>x</v>
          </cell>
          <cell r="E167" t="str">
            <v>x</v>
          </cell>
          <cell r="F167" t="str">
            <v>x</v>
          </cell>
          <cell r="G167" t="str">
            <v>x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 t="str">
            <v>x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 t="str">
            <v>x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 t="str">
            <v>x</v>
          </cell>
          <cell r="AI167">
            <v>0</v>
          </cell>
          <cell r="AJ167">
            <v>0</v>
          </cell>
          <cell r="AK167">
            <v>85</v>
          </cell>
          <cell r="AM167" t="str">
            <v>5</v>
          </cell>
          <cell r="BW167">
            <v>329</v>
          </cell>
          <cell r="BX167">
            <v>84</v>
          </cell>
          <cell r="BY167">
            <v>39</v>
          </cell>
          <cell r="BZ167" t="str">
            <v>_</v>
          </cell>
          <cell r="CA167" t="str">
            <v>_</v>
          </cell>
          <cell r="CB167" t="str">
            <v>_</v>
          </cell>
          <cell r="CC167" t="str">
            <v>_</v>
          </cell>
          <cell r="CD167" t="str">
            <v>_</v>
          </cell>
          <cell r="CE167">
            <v>42</v>
          </cell>
          <cell r="CF167">
            <v>0</v>
          </cell>
          <cell r="CG167">
            <v>0</v>
          </cell>
          <cell r="CH167">
            <v>0</v>
          </cell>
          <cell r="CI167" t="str">
            <v>_</v>
          </cell>
          <cell r="CJ167" t="str">
            <v>_</v>
          </cell>
          <cell r="CK167" t="str">
            <v>_</v>
          </cell>
          <cell r="CL167">
            <v>0</v>
          </cell>
          <cell r="CM167">
            <v>0</v>
          </cell>
          <cell r="CN167">
            <v>0</v>
          </cell>
          <cell r="CO167">
            <v>0</v>
          </cell>
          <cell r="CP167">
            <v>0</v>
          </cell>
          <cell r="CQ167">
            <v>0</v>
          </cell>
          <cell r="CR167">
            <v>0</v>
          </cell>
          <cell r="CS167">
            <v>0</v>
          </cell>
          <cell r="CT167">
            <v>0</v>
          </cell>
          <cell r="CU167">
            <v>0</v>
          </cell>
          <cell r="CV167">
            <v>0</v>
          </cell>
          <cell r="CW167">
            <v>0</v>
          </cell>
          <cell r="CX167">
            <v>0</v>
          </cell>
          <cell r="CY167">
            <v>0</v>
          </cell>
          <cell r="CZ167">
            <v>0</v>
          </cell>
          <cell r="DA167">
            <v>-42</v>
          </cell>
          <cell r="DB167">
            <v>0</v>
          </cell>
          <cell r="DC167">
            <v>0</v>
          </cell>
          <cell r="DD167">
            <v>0</v>
          </cell>
          <cell r="DE167">
            <v>0</v>
          </cell>
          <cell r="DF167">
            <v>0</v>
          </cell>
          <cell r="DG167">
            <v>0</v>
          </cell>
          <cell r="DH167">
            <v>0</v>
          </cell>
          <cell r="DI167">
            <v>0</v>
          </cell>
          <cell r="DJ167">
            <v>0</v>
          </cell>
          <cell r="DK167">
            <v>0</v>
          </cell>
          <cell r="DL167">
            <v>0</v>
          </cell>
          <cell r="DM167">
            <v>0</v>
          </cell>
          <cell r="DN167">
            <v>0</v>
          </cell>
          <cell r="DO167">
            <v>0</v>
          </cell>
          <cell r="DP167">
            <v>0</v>
          </cell>
          <cell r="DQ167">
            <v>0</v>
          </cell>
          <cell r="DR167">
            <v>0</v>
          </cell>
          <cell r="DS167">
            <v>0</v>
          </cell>
          <cell r="DT167">
            <v>0</v>
          </cell>
        </row>
        <row r="168">
          <cell r="B168" t="str">
            <v>ED100 G N</v>
          </cell>
          <cell r="D168" t="str">
            <v>x</v>
          </cell>
          <cell r="I168" t="str">
            <v>x</v>
          </cell>
          <cell r="J168" t="str">
            <v>x</v>
          </cell>
          <cell r="K168" t="str">
            <v>x</v>
          </cell>
          <cell r="O168" t="str">
            <v>x</v>
          </cell>
          <cell r="P168" t="str">
            <v>x</v>
          </cell>
          <cell r="S168" t="str">
            <v>x</v>
          </cell>
          <cell r="T168">
            <v>0</v>
          </cell>
          <cell r="U168" t="str">
            <v>x</v>
          </cell>
          <cell r="V168" t="str">
            <v>x</v>
          </cell>
          <cell r="Z168" t="str">
            <v>x</v>
          </cell>
          <cell r="AA168" t="str">
            <v>x</v>
          </cell>
          <cell r="AC168" t="str">
            <v>x</v>
          </cell>
          <cell r="AE168" t="str">
            <v>x</v>
          </cell>
          <cell r="AJ168" t="str">
            <v>x</v>
          </cell>
          <cell r="AK168">
            <v>100</v>
          </cell>
          <cell r="AL168">
            <v>1</v>
          </cell>
          <cell r="AM168" t="str">
            <v>2-4</v>
          </cell>
          <cell r="BT168" t="str">
            <v>x</v>
          </cell>
          <cell r="BU168" t="str">
            <v>x</v>
          </cell>
          <cell r="BV168" t="str">
            <v>x</v>
          </cell>
          <cell r="BW168">
            <v>685</v>
          </cell>
          <cell r="BX168">
            <v>130</v>
          </cell>
          <cell r="BY168">
            <v>70</v>
          </cell>
          <cell r="BZ168">
            <v>640</v>
          </cell>
          <cell r="CA168">
            <v>23</v>
          </cell>
          <cell r="CB168">
            <v>35</v>
          </cell>
          <cell r="CC168">
            <v>18</v>
          </cell>
          <cell r="CD168">
            <v>400</v>
          </cell>
          <cell r="CE168">
            <v>61</v>
          </cell>
          <cell r="CF168" t="str">
            <v>V</v>
          </cell>
          <cell r="CG168">
            <v>150</v>
          </cell>
          <cell r="CH168">
            <v>135</v>
          </cell>
          <cell r="CI168">
            <v>550</v>
          </cell>
          <cell r="CJ168">
            <v>504</v>
          </cell>
          <cell r="CK168">
            <v>46</v>
          </cell>
          <cell r="CL168">
            <v>0</v>
          </cell>
          <cell r="CM168">
            <v>0</v>
          </cell>
          <cell r="CN168">
            <v>0</v>
          </cell>
          <cell r="CO168">
            <v>0</v>
          </cell>
          <cell r="CP168">
            <v>0</v>
          </cell>
          <cell r="CQ168">
            <v>0</v>
          </cell>
          <cell r="CR168">
            <v>0</v>
          </cell>
          <cell r="CS168">
            <v>15</v>
          </cell>
          <cell r="CT168" t="str">
            <v>V</v>
          </cell>
          <cell r="CU168">
            <v>6</v>
          </cell>
          <cell r="CV168">
            <v>60</v>
          </cell>
          <cell r="CW168">
            <v>0</v>
          </cell>
          <cell r="CX168">
            <v>20</v>
          </cell>
          <cell r="CY168">
            <v>106</v>
          </cell>
          <cell r="CZ168">
            <v>15</v>
          </cell>
          <cell r="DA168" t="str">
            <v>V</v>
          </cell>
          <cell r="DB168">
            <v>14</v>
          </cell>
          <cell r="DC168">
            <v>60</v>
          </cell>
          <cell r="DD168">
            <v>0</v>
          </cell>
          <cell r="DE168">
            <v>26</v>
          </cell>
          <cell r="DF168">
            <v>106</v>
          </cell>
          <cell r="DG168">
            <v>0</v>
          </cell>
          <cell r="DH168">
            <v>0</v>
          </cell>
          <cell r="DI168">
            <v>0</v>
          </cell>
          <cell r="DJ168">
            <v>0</v>
          </cell>
          <cell r="DK168">
            <v>0</v>
          </cell>
          <cell r="DL168">
            <v>0</v>
          </cell>
          <cell r="DM168">
            <v>0</v>
          </cell>
          <cell r="DN168">
            <v>0</v>
          </cell>
          <cell r="DO168">
            <v>0</v>
          </cell>
          <cell r="DP168">
            <v>0</v>
          </cell>
          <cell r="DQ168">
            <v>0</v>
          </cell>
          <cell r="DR168">
            <v>0</v>
          </cell>
          <cell r="DS168">
            <v>0</v>
          </cell>
          <cell r="DT168">
            <v>0</v>
          </cell>
        </row>
        <row r="169">
          <cell r="B169" t="str">
            <v>ED 100 GSR, (1 ED Gangfl. -1 TS am Standfl.)</v>
          </cell>
          <cell r="E169" t="str">
            <v>x</v>
          </cell>
          <cell r="I169" t="str">
            <v>x</v>
          </cell>
          <cell r="J169" t="str">
            <v>x</v>
          </cell>
          <cell r="K169" t="str">
            <v>x</v>
          </cell>
          <cell r="O169">
            <v>0</v>
          </cell>
          <cell r="P169" t="str">
            <v>x</v>
          </cell>
          <cell r="S169" t="str">
            <v>x</v>
          </cell>
          <cell r="T169">
            <v>0</v>
          </cell>
          <cell r="U169" t="str">
            <v>x</v>
          </cell>
          <cell r="V169" t="str">
            <v>x</v>
          </cell>
          <cell r="W169" t="str">
            <v>x</v>
          </cell>
          <cell r="Z169" t="str">
            <v>x</v>
          </cell>
          <cell r="AA169" t="str">
            <v>x</v>
          </cell>
          <cell r="AC169" t="str">
            <v>x</v>
          </cell>
          <cell r="AE169" t="str">
            <v>x</v>
          </cell>
          <cell r="AJ169" t="str">
            <v>x</v>
          </cell>
          <cell r="AK169">
            <v>100</v>
          </cell>
          <cell r="AL169">
            <v>2</v>
          </cell>
          <cell r="AM169" t="str">
            <v>2-4</v>
          </cell>
          <cell r="AZ169" t="str">
            <v>x</v>
          </cell>
          <cell r="BN169" t="str">
            <v>x</v>
          </cell>
          <cell r="BT169" t="str">
            <v>x</v>
          </cell>
          <cell r="BU169" t="str">
            <v>x</v>
          </cell>
          <cell r="BV169" t="str">
            <v>x</v>
          </cell>
          <cell r="BW169">
            <v>685</v>
          </cell>
          <cell r="BX169">
            <v>130</v>
          </cell>
          <cell r="BY169">
            <v>70</v>
          </cell>
          <cell r="BZ169">
            <v>640</v>
          </cell>
          <cell r="CA169">
            <v>23</v>
          </cell>
          <cell r="CB169">
            <v>35</v>
          </cell>
          <cell r="CC169">
            <v>18</v>
          </cell>
          <cell r="CD169">
            <v>400</v>
          </cell>
          <cell r="CE169">
            <v>61</v>
          </cell>
          <cell r="CF169" t="str">
            <v>V</v>
          </cell>
          <cell r="CG169">
            <v>150</v>
          </cell>
          <cell r="CH169">
            <v>135</v>
          </cell>
          <cell r="CI169">
            <v>550</v>
          </cell>
          <cell r="CJ169">
            <v>504</v>
          </cell>
          <cell r="CK169">
            <v>46</v>
          </cell>
          <cell r="CL169">
            <v>0</v>
          </cell>
          <cell r="CM169">
            <v>0</v>
          </cell>
          <cell r="CN169">
            <v>0</v>
          </cell>
          <cell r="CO169">
            <v>0</v>
          </cell>
          <cell r="CP169">
            <v>0</v>
          </cell>
          <cell r="CQ169">
            <v>0</v>
          </cell>
          <cell r="CR169">
            <v>0</v>
          </cell>
          <cell r="CS169">
            <v>15</v>
          </cell>
          <cell r="CT169" t="str">
            <v>V</v>
          </cell>
          <cell r="CU169">
            <v>6</v>
          </cell>
          <cell r="CV169">
            <v>60</v>
          </cell>
          <cell r="CW169">
            <v>0</v>
          </cell>
          <cell r="CX169">
            <v>20</v>
          </cell>
          <cell r="CY169">
            <v>106</v>
          </cell>
          <cell r="CZ169">
            <v>15</v>
          </cell>
          <cell r="DA169" t="str">
            <v>V</v>
          </cell>
          <cell r="DB169">
            <v>14</v>
          </cell>
          <cell r="DC169">
            <v>60</v>
          </cell>
          <cell r="DD169">
            <v>0</v>
          </cell>
          <cell r="DE169">
            <v>26</v>
          </cell>
          <cell r="DF169">
            <v>106</v>
          </cell>
          <cell r="DG169">
            <v>0</v>
          </cell>
          <cell r="DH169">
            <v>0</v>
          </cell>
          <cell r="DI169">
            <v>0</v>
          </cell>
          <cell r="DJ169">
            <v>0</v>
          </cell>
          <cell r="DK169">
            <v>0</v>
          </cell>
          <cell r="DL169">
            <v>0</v>
          </cell>
          <cell r="DM169">
            <v>0</v>
          </cell>
          <cell r="DN169">
            <v>0</v>
          </cell>
          <cell r="DO169">
            <v>0</v>
          </cell>
          <cell r="DP169">
            <v>0</v>
          </cell>
          <cell r="DQ169">
            <v>0</v>
          </cell>
          <cell r="DR169">
            <v>0</v>
          </cell>
          <cell r="DS169">
            <v>0</v>
          </cell>
          <cell r="DT169">
            <v>0</v>
          </cell>
        </row>
        <row r="170">
          <cell r="B170" t="str">
            <v>ED 100 zweiflüglig, getrennt Gangfl.</v>
          </cell>
          <cell r="E170" t="str">
            <v>x</v>
          </cell>
          <cell r="I170" t="str">
            <v>x</v>
          </cell>
          <cell r="J170" t="str">
            <v>x</v>
          </cell>
          <cell r="K170" t="str">
            <v>x</v>
          </cell>
          <cell r="O170" t="str">
            <v>x</v>
          </cell>
          <cell r="P170" t="str">
            <v>x</v>
          </cell>
          <cell r="S170" t="str">
            <v>x</v>
          </cell>
          <cell r="T170">
            <v>0</v>
          </cell>
          <cell r="V170" t="str">
            <v>x</v>
          </cell>
          <cell r="W170" t="str">
            <v>x</v>
          </cell>
          <cell r="Z170" t="str">
            <v>x</v>
          </cell>
          <cell r="AA170" t="str">
            <v>x</v>
          </cell>
          <cell r="AC170" t="str">
            <v>x</v>
          </cell>
          <cell r="AE170" t="str">
            <v>x</v>
          </cell>
          <cell r="AJ170" t="str">
            <v>x</v>
          </cell>
          <cell r="AK170">
            <v>100</v>
          </cell>
          <cell r="AL170">
            <v>5</v>
          </cell>
          <cell r="AM170" t="str">
            <v>2-4</v>
          </cell>
          <cell r="BT170" t="str">
            <v>x</v>
          </cell>
          <cell r="BU170" t="str">
            <v>x</v>
          </cell>
          <cell r="BV170" t="str">
            <v>x</v>
          </cell>
          <cell r="BW170">
            <v>685</v>
          </cell>
          <cell r="BX170">
            <v>130</v>
          </cell>
          <cell r="BY170">
            <v>70</v>
          </cell>
          <cell r="BZ170">
            <v>640</v>
          </cell>
          <cell r="CA170">
            <v>23</v>
          </cell>
          <cell r="CB170">
            <v>35</v>
          </cell>
          <cell r="CC170">
            <v>18</v>
          </cell>
          <cell r="CD170">
            <v>400</v>
          </cell>
          <cell r="CE170">
            <v>61</v>
          </cell>
          <cell r="CF170" t="str">
            <v>V</v>
          </cell>
          <cell r="CG170">
            <v>150</v>
          </cell>
          <cell r="CH170">
            <v>135</v>
          </cell>
          <cell r="CI170">
            <v>550</v>
          </cell>
          <cell r="CJ170">
            <v>504</v>
          </cell>
          <cell r="CK170">
            <v>46</v>
          </cell>
          <cell r="CL170">
            <v>0</v>
          </cell>
          <cell r="CM170">
            <v>0</v>
          </cell>
          <cell r="CN170">
            <v>0</v>
          </cell>
          <cell r="CO170">
            <v>0</v>
          </cell>
          <cell r="CP170">
            <v>0</v>
          </cell>
          <cell r="CQ170">
            <v>0</v>
          </cell>
          <cell r="CR170">
            <v>0</v>
          </cell>
          <cell r="CS170">
            <v>15</v>
          </cell>
          <cell r="CT170" t="str">
            <v>V</v>
          </cell>
          <cell r="CU170">
            <v>6</v>
          </cell>
          <cell r="CV170">
            <v>60</v>
          </cell>
          <cell r="CW170">
            <v>0</v>
          </cell>
          <cell r="CX170">
            <v>20</v>
          </cell>
          <cell r="CY170">
            <v>106</v>
          </cell>
          <cell r="CZ170">
            <v>15</v>
          </cell>
          <cell r="DA170" t="str">
            <v>V</v>
          </cell>
          <cell r="DB170">
            <v>14</v>
          </cell>
          <cell r="DC170">
            <v>60</v>
          </cell>
          <cell r="DD170">
            <v>0</v>
          </cell>
          <cell r="DE170">
            <v>26</v>
          </cell>
          <cell r="DF170">
            <v>106</v>
          </cell>
          <cell r="DG170">
            <v>0</v>
          </cell>
          <cell r="DH170">
            <v>0</v>
          </cell>
          <cell r="DI170">
            <v>0</v>
          </cell>
          <cell r="DJ170">
            <v>0</v>
          </cell>
          <cell r="DK170">
            <v>0</v>
          </cell>
          <cell r="DL170">
            <v>0</v>
          </cell>
          <cell r="DM170">
            <v>0</v>
          </cell>
          <cell r="DN170">
            <v>0</v>
          </cell>
          <cell r="DO170">
            <v>0</v>
          </cell>
          <cell r="DP170">
            <v>0</v>
          </cell>
          <cell r="DQ170">
            <v>0</v>
          </cell>
          <cell r="DR170">
            <v>0</v>
          </cell>
          <cell r="DS170">
            <v>0</v>
          </cell>
          <cell r="DT170">
            <v>0</v>
          </cell>
        </row>
        <row r="171">
          <cell r="B171" t="str">
            <v>ED 100 zweiflüglig, ESR Gangfl.</v>
          </cell>
          <cell r="D171">
            <v>0</v>
          </cell>
          <cell r="E171" t="str">
            <v>x</v>
          </cell>
          <cell r="F171">
            <v>0</v>
          </cell>
          <cell r="G171">
            <v>0</v>
          </cell>
          <cell r="H171">
            <v>0</v>
          </cell>
          <cell r="I171" t="str">
            <v>x</v>
          </cell>
          <cell r="J171" t="str">
            <v>x</v>
          </cell>
          <cell r="K171" t="str">
            <v>x</v>
          </cell>
          <cell r="L171">
            <v>0</v>
          </cell>
          <cell r="M171">
            <v>0</v>
          </cell>
          <cell r="N171">
            <v>0</v>
          </cell>
          <cell r="O171" t="str">
            <v>x</v>
          </cell>
          <cell r="P171" t="str">
            <v>x</v>
          </cell>
          <cell r="Q171">
            <v>0</v>
          </cell>
          <cell r="R171">
            <v>0</v>
          </cell>
          <cell r="S171" t="str">
            <v>x</v>
          </cell>
          <cell r="T171">
            <v>0</v>
          </cell>
          <cell r="U171" t="str">
            <v>x</v>
          </cell>
          <cell r="V171" t="str">
            <v>x</v>
          </cell>
          <cell r="W171" t="str">
            <v>x</v>
          </cell>
          <cell r="X171">
            <v>0</v>
          </cell>
          <cell r="Y171">
            <v>0</v>
          </cell>
          <cell r="Z171" t="str">
            <v>x</v>
          </cell>
          <cell r="AA171" t="str">
            <v>x</v>
          </cell>
          <cell r="AB171">
            <v>0</v>
          </cell>
          <cell r="AC171" t="str">
            <v>x</v>
          </cell>
          <cell r="AD171">
            <v>0</v>
          </cell>
          <cell r="AE171" t="str">
            <v>x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 t="str">
            <v>x</v>
          </cell>
          <cell r="AK171">
            <v>100</v>
          </cell>
          <cell r="AL171">
            <v>3</v>
          </cell>
          <cell r="AM171" t="str">
            <v>2-4</v>
          </cell>
          <cell r="BT171" t="str">
            <v>x</v>
          </cell>
          <cell r="BU171" t="str">
            <v>x</v>
          </cell>
          <cell r="BV171" t="str">
            <v>x</v>
          </cell>
          <cell r="BW171">
            <v>685</v>
          </cell>
          <cell r="BX171">
            <v>130</v>
          </cell>
          <cell r="BY171">
            <v>70</v>
          </cell>
          <cell r="BZ171">
            <v>640</v>
          </cell>
          <cell r="CA171">
            <v>23</v>
          </cell>
          <cell r="CB171">
            <v>35</v>
          </cell>
          <cell r="CC171">
            <v>18</v>
          </cell>
          <cell r="CD171">
            <v>400</v>
          </cell>
          <cell r="CE171">
            <v>61</v>
          </cell>
          <cell r="CF171" t="str">
            <v>V</v>
          </cell>
          <cell r="CG171">
            <v>150</v>
          </cell>
          <cell r="CH171">
            <v>135</v>
          </cell>
          <cell r="CI171">
            <v>550</v>
          </cell>
          <cell r="CJ171">
            <v>504</v>
          </cell>
          <cell r="CK171">
            <v>46</v>
          </cell>
          <cell r="CL171">
            <v>0</v>
          </cell>
          <cell r="CM171">
            <v>0</v>
          </cell>
          <cell r="CN171">
            <v>0</v>
          </cell>
          <cell r="CO171">
            <v>0</v>
          </cell>
          <cell r="CP171">
            <v>0</v>
          </cell>
          <cell r="CQ171">
            <v>0</v>
          </cell>
          <cell r="CR171">
            <v>0</v>
          </cell>
          <cell r="CS171">
            <v>15</v>
          </cell>
          <cell r="CT171" t="str">
            <v>V</v>
          </cell>
          <cell r="CU171">
            <v>6</v>
          </cell>
          <cell r="CV171">
            <v>60</v>
          </cell>
          <cell r="CW171">
            <v>0</v>
          </cell>
          <cell r="CX171">
            <v>20</v>
          </cell>
          <cell r="CY171">
            <v>106</v>
          </cell>
          <cell r="CZ171">
            <v>15</v>
          </cell>
          <cell r="DA171" t="str">
            <v>V</v>
          </cell>
          <cell r="DB171">
            <v>14</v>
          </cell>
          <cell r="DC171">
            <v>60</v>
          </cell>
          <cell r="DD171">
            <v>0</v>
          </cell>
          <cell r="DE171">
            <v>26</v>
          </cell>
          <cell r="DF171">
            <v>106</v>
          </cell>
          <cell r="DG171">
            <v>0</v>
          </cell>
          <cell r="DH171">
            <v>0</v>
          </cell>
          <cell r="DI171">
            <v>0</v>
          </cell>
          <cell r="DJ171">
            <v>0</v>
          </cell>
          <cell r="DK171">
            <v>0</v>
          </cell>
          <cell r="DL171">
            <v>0</v>
          </cell>
          <cell r="DM171">
            <v>0</v>
          </cell>
          <cell r="DN171">
            <v>0</v>
          </cell>
          <cell r="DO171">
            <v>0</v>
          </cell>
          <cell r="DP171">
            <v>0</v>
          </cell>
          <cell r="DQ171">
            <v>0</v>
          </cell>
          <cell r="DR171">
            <v>0</v>
          </cell>
          <cell r="DS171">
            <v>0</v>
          </cell>
          <cell r="DT171">
            <v>0</v>
          </cell>
        </row>
        <row r="172">
          <cell r="B172" t="str">
            <v>ED 100 mit Gleitschiene Standfl.</v>
          </cell>
          <cell r="D172">
            <v>0</v>
          </cell>
          <cell r="E172" t="str">
            <v>x</v>
          </cell>
          <cell r="F172">
            <v>0</v>
          </cell>
          <cell r="G172">
            <v>0</v>
          </cell>
          <cell r="H172">
            <v>0</v>
          </cell>
          <cell r="I172" t="str">
            <v>x</v>
          </cell>
          <cell r="J172" t="str">
            <v>x</v>
          </cell>
          <cell r="K172" t="str">
            <v>x</v>
          </cell>
          <cell r="L172">
            <v>0</v>
          </cell>
          <cell r="M172">
            <v>0</v>
          </cell>
          <cell r="N172">
            <v>0</v>
          </cell>
          <cell r="O172" t="str">
            <v>x</v>
          </cell>
          <cell r="P172" t="str">
            <v>x</v>
          </cell>
          <cell r="Q172">
            <v>0</v>
          </cell>
          <cell r="R172">
            <v>0</v>
          </cell>
          <cell r="S172" t="str">
            <v>x</v>
          </cell>
          <cell r="T172">
            <v>0</v>
          </cell>
          <cell r="U172" t="str">
            <v>x</v>
          </cell>
          <cell r="V172" t="str">
            <v>x</v>
          </cell>
          <cell r="W172">
            <v>0</v>
          </cell>
          <cell r="X172">
            <v>0</v>
          </cell>
          <cell r="Y172">
            <v>0</v>
          </cell>
          <cell r="Z172" t="str">
            <v>x</v>
          </cell>
          <cell r="AA172" t="str">
            <v>x</v>
          </cell>
          <cell r="AB172">
            <v>0</v>
          </cell>
          <cell r="AC172" t="str">
            <v>x</v>
          </cell>
          <cell r="AD172">
            <v>0</v>
          </cell>
          <cell r="AE172" t="str">
            <v>x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 t="str">
            <v>x</v>
          </cell>
          <cell r="AK172">
            <v>100</v>
          </cell>
          <cell r="AL172">
            <v>4</v>
          </cell>
          <cell r="AM172" t="str">
            <v>2-4</v>
          </cell>
          <cell r="BT172" t="str">
            <v>x</v>
          </cell>
          <cell r="BU172" t="str">
            <v>x</v>
          </cell>
          <cell r="BV172" t="str">
            <v>x</v>
          </cell>
          <cell r="BW172">
            <v>685</v>
          </cell>
          <cell r="BX172">
            <v>130</v>
          </cell>
          <cell r="BY172">
            <v>70</v>
          </cell>
          <cell r="BZ172">
            <v>640</v>
          </cell>
          <cell r="CA172">
            <v>23</v>
          </cell>
          <cell r="CB172">
            <v>35</v>
          </cell>
          <cell r="CC172">
            <v>18</v>
          </cell>
          <cell r="CD172">
            <v>400</v>
          </cell>
          <cell r="CE172">
            <v>61</v>
          </cell>
          <cell r="CF172" t="str">
            <v>V</v>
          </cell>
          <cell r="CG172">
            <v>150</v>
          </cell>
          <cell r="CH172">
            <v>135</v>
          </cell>
          <cell r="CI172">
            <v>550</v>
          </cell>
          <cell r="CJ172">
            <v>504</v>
          </cell>
          <cell r="CK172">
            <v>46</v>
          </cell>
          <cell r="CL172">
            <v>0</v>
          </cell>
          <cell r="CM172">
            <v>0</v>
          </cell>
          <cell r="CN172">
            <v>0</v>
          </cell>
          <cell r="CO172">
            <v>0</v>
          </cell>
          <cell r="CP172">
            <v>0</v>
          </cell>
          <cell r="CQ172">
            <v>0</v>
          </cell>
          <cell r="CR172">
            <v>0</v>
          </cell>
          <cell r="CS172">
            <v>15</v>
          </cell>
          <cell r="CT172" t="str">
            <v>V</v>
          </cell>
          <cell r="CU172">
            <v>6</v>
          </cell>
          <cell r="CV172">
            <v>60</v>
          </cell>
          <cell r="CW172">
            <v>0</v>
          </cell>
          <cell r="CX172">
            <v>20</v>
          </cell>
          <cell r="CY172">
            <v>106</v>
          </cell>
          <cell r="CZ172">
            <v>15</v>
          </cell>
          <cell r="DA172" t="str">
            <v>V</v>
          </cell>
          <cell r="DB172">
            <v>14</v>
          </cell>
          <cell r="DC172">
            <v>60</v>
          </cell>
          <cell r="DD172">
            <v>0</v>
          </cell>
          <cell r="DE172">
            <v>26</v>
          </cell>
          <cell r="DF172">
            <v>106</v>
          </cell>
          <cell r="DG172">
            <v>0</v>
          </cell>
          <cell r="DH172">
            <v>0</v>
          </cell>
          <cell r="DI172">
            <v>0</v>
          </cell>
          <cell r="DJ172">
            <v>0</v>
          </cell>
          <cell r="DK172">
            <v>0</v>
          </cell>
          <cell r="DL172">
            <v>0</v>
          </cell>
          <cell r="DM172">
            <v>0</v>
          </cell>
          <cell r="DN172">
            <v>0</v>
          </cell>
          <cell r="DO172">
            <v>0</v>
          </cell>
          <cell r="DP172">
            <v>0</v>
          </cell>
          <cell r="DQ172">
            <v>0</v>
          </cell>
          <cell r="DR172">
            <v>0</v>
          </cell>
          <cell r="DS172">
            <v>0</v>
          </cell>
          <cell r="DT172">
            <v>0</v>
          </cell>
        </row>
        <row r="173">
          <cell r="B173" t="str">
            <v>ED250 G N</v>
          </cell>
          <cell r="C173">
            <v>0</v>
          </cell>
          <cell r="D173" t="str">
            <v>x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 t="str">
            <v>x</v>
          </cell>
          <cell r="L173" t="str">
            <v>x</v>
          </cell>
          <cell r="M173" t="str">
            <v>x</v>
          </cell>
          <cell r="N173" t="str">
            <v>x</v>
          </cell>
          <cell r="O173" t="str">
            <v>x</v>
          </cell>
          <cell r="P173" t="str">
            <v>x</v>
          </cell>
          <cell r="Q173">
            <v>0</v>
          </cell>
          <cell r="R173">
            <v>0</v>
          </cell>
          <cell r="S173" t="str">
            <v>x</v>
          </cell>
          <cell r="T173">
            <v>0</v>
          </cell>
          <cell r="U173" t="str">
            <v>x</v>
          </cell>
          <cell r="V173" t="str">
            <v>x</v>
          </cell>
          <cell r="W173">
            <v>0</v>
          </cell>
          <cell r="X173">
            <v>0</v>
          </cell>
          <cell r="Y173">
            <v>0</v>
          </cell>
          <cell r="Z173" t="str">
            <v>x</v>
          </cell>
          <cell r="AA173" t="str">
            <v>x</v>
          </cell>
          <cell r="AB173">
            <v>0</v>
          </cell>
          <cell r="AC173" t="str">
            <v>x</v>
          </cell>
          <cell r="AD173">
            <v>0</v>
          </cell>
          <cell r="AE173" t="str">
            <v>x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 t="str">
            <v>x</v>
          </cell>
          <cell r="AK173">
            <v>250</v>
          </cell>
          <cell r="AL173">
            <v>1</v>
          </cell>
          <cell r="AM173" t="str">
            <v>4-6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  <cell r="BF173">
            <v>0</v>
          </cell>
          <cell r="BG173">
            <v>0</v>
          </cell>
          <cell r="BH173">
            <v>0</v>
          </cell>
          <cell r="BI173">
            <v>0</v>
          </cell>
          <cell r="BJ173">
            <v>0</v>
          </cell>
          <cell r="BK173">
            <v>0</v>
          </cell>
          <cell r="BL173">
            <v>0</v>
          </cell>
          <cell r="BM173">
            <v>0</v>
          </cell>
          <cell r="BN173">
            <v>0</v>
          </cell>
          <cell r="BO173">
            <v>0</v>
          </cell>
          <cell r="BP173">
            <v>0</v>
          </cell>
          <cell r="BQ173">
            <v>0</v>
          </cell>
          <cell r="BR173">
            <v>0</v>
          </cell>
          <cell r="BS173">
            <v>0</v>
          </cell>
          <cell r="BT173" t="str">
            <v>x</v>
          </cell>
          <cell r="BU173" t="str">
            <v>x</v>
          </cell>
          <cell r="BV173" t="str">
            <v>x</v>
          </cell>
          <cell r="BW173">
            <v>685</v>
          </cell>
          <cell r="BX173">
            <v>130</v>
          </cell>
          <cell r="BY173">
            <v>70</v>
          </cell>
          <cell r="BZ173">
            <v>640</v>
          </cell>
          <cell r="CA173">
            <v>23</v>
          </cell>
          <cell r="CB173">
            <v>35</v>
          </cell>
          <cell r="CC173">
            <v>18</v>
          </cell>
          <cell r="CD173">
            <v>400</v>
          </cell>
          <cell r="CE173">
            <v>61</v>
          </cell>
          <cell r="CF173" t="str">
            <v>V</v>
          </cell>
          <cell r="CG173">
            <v>150</v>
          </cell>
          <cell r="CH173">
            <v>135</v>
          </cell>
          <cell r="CI173">
            <v>550</v>
          </cell>
          <cell r="CJ173">
            <v>504</v>
          </cell>
          <cell r="CK173">
            <v>46</v>
          </cell>
          <cell r="CL173">
            <v>0</v>
          </cell>
          <cell r="CM173">
            <v>0</v>
          </cell>
          <cell r="CN173">
            <v>0</v>
          </cell>
          <cell r="CO173">
            <v>0</v>
          </cell>
          <cell r="CP173">
            <v>0</v>
          </cell>
          <cell r="CQ173">
            <v>0</v>
          </cell>
          <cell r="CR173">
            <v>0</v>
          </cell>
          <cell r="CS173">
            <v>15</v>
          </cell>
          <cell r="CT173" t="str">
            <v>V</v>
          </cell>
          <cell r="CU173">
            <v>6</v>
          </cell>
          <cell r="CV173">
            <v>60</v>
          </cell>
          <cell r="CW173">
            <v>0</v>
          </cell>
          <cell r="CX173">
            <v>20</v>
          </cell>
          <cell r="CY173">
            <v>106</v>
          </cell>
          <cell r="CZ173">
            <v>15</v>
          </cell>
          <cell r="DA173" t="str">
            <v>V</v>
          </cell>
          <cell r="DB173">
            <v>14</v>
          </cell>
          <cell r="DC173">
            <v>60</v>
          </cell>
          <cell r="DD173">
            <v>0</v>
          </cell>
          <cell r="DE173">
            <v>26</v>
          </cell>
          <cell r="DF173">
            <v>106</v>
          </cell>
          <cell r="DG173">
            <v>0</v>
          </cell>
          <cell r="DH173">
            <v>0</v>
          </cell>
          <cell r="DI173">
            <v>0</v>
          </cell>
          <cell r="DJ173">
            <v>0</v>
          </cell>
          <cell r="DK173">
            <v>0</v>
          </cell>
          <cell r="DL173">
            <v>0</v>
          </cell>
          <cell r="DM173">
            <v>0</v>
          </cell>
          <cell r="DN173">
            <v>0</v>
          </cell>
          <cell r="DO173">
            <v>0</v>
          </cell>
          <cell r="DP173">
            <v>0</v>
          </cell>
          <cell r="DQ173">
            <v>0</v>
          </cell>
          <cell r="DR173">
            <v>0</v>
          </cell>
          <cell r="DS173">
            <v>0</v>
          </cell>
          <cell r="DT173">
            <v>0</v>
          </cell>
        </row>
        <row r="174">
          <cell r="B174" t="str">
            <v>ED 250 GSR, (1 ED Gangfl. -1 TS am Standfl.)</v>
          </cell>
          <cell r="E174" t="str">
            <v>x</v>
          </cell>
          <cell r="K174" t="str">
            <v>x</v>
          </cell>
          <cell r="L174" t="str">
            <v>x</v>
          </cell>
          <cell r="M174" t="str">
            <v>x</v>
          </cell>
          <cell r="N174" t="str">
            <v>x</v>
          </cell>
          <cell r="O174">
            <v>0</v>
          </cell>
          <cell r="P174" t="str">
            <v>x</v>
          </cell>
          <cell r="S174" t="str">
            <v>x</v>
          </cell>
          <cell r="T174">
            <v>0</v>
          </cell>
          <cell r="U174" t="str">
            <v>x</v>
          </cell>
          <cell r="V174" t="str">
            <v>x</v>
          </cell>
          <cell r="W174" t="str">
            <v>x</v>
          </cell>
          <cell r="Z174" t="str">
            <v>x</v>
          </cell>
          <cell r="AA174" t="str">
            <v>x</v>
          </cell>
          <cell r="AC174" t="str">
            <v>x</v>
          </cell>
          <cell r="AE174" t="str">
            <v>x</v>
          </cell>
          <cell r="AJ174" t="str">
            <v>x</v>
          </cell>
          <cell r="AK174">
            <v>250</v>
          </cell>
          <cell r="AL174">
            <v>2</v>
          </cell>
          <cell r="AM174" t="str">
            <v>4-6</v>
          </cell>
          <cell r="AZ174" t="str">
            <v>x</v>
          </cell>
          <cell r="BN174" t="str">
            <v>x</v>
          </cell>
          <cell r="BT174" t="str">
            <v>x</v>
          </cell>
          <cell r="BU174" t="str">
            <v>x</v>
          </cell>
          <cell r="BV174" t="str">
            <v>x</v>
          </cell>
          <cell r="BW174">
            <v>685</v>
          </cell>
          <cell r="BX174">
            <v>130</v>
          </cell>
          <cell r="BY174">
            <v>70</v>
          </cell>
          <cell r="BZ174">
            <v>640</v>
          </cell>
          <cell r="CA174">
            <v>23</v>
          </cell>
          <cell r="CB174">
            <v>35</v>
          </cell>
          <cell r="CC174">
            <v>18</v>
          </cell>
          <cell r="CD174">
            <v>400</v>
          </cell>
          <cell r="CE174">
            <v>61</v>
          </cell>
          <cell r="CF174" t="str">
            <v>V</v>
          </cell>
          <cell r="CG174">
            <v>150</v>
          </cell>
          <cell r="CH174">
            <v>135</v>
          </cell>
          <cell r="CI174">
            <v>550</v>
          </cell>
          <cell r="CJ174">
            <v>504</v>
          </cell>
          <cell r="CK174">
            <v>46</v>
          </cell>
          <cell r="CL174">
            <v>0</v>
          </cell>
          <cell r="CM174">
            <v>0</v>
          </cell>
          <cell r="CN174">
            <v>0</v>
          </cell>
          <cell r="CO174">
            <v>0</v>
          </cell>
          <cell r="CP174">
            <v>0</v>
          </cell>
          <cell r="CQ174">
            <v>0</v>
          </cell>
          <cell r="CR174">
            <v>0</v>
          </cell>
          <cell r="CS174">
            <v>15</v>
          </cell>
          <cell r="CT174" t="str">
            <v>V</v>
          </cell>
          <cell r="CU174">
            <v>6</v>
          </cell>
          <cell r="CV174">
            <v>60</v>
          </cell>
          <cell r="CW174">
            <v>0</v>
          </cell>
          <cell r="CX174">
            <v>20</v>
          </cell>
          <cell r="CY174">
            <v>106</v>
          </cell>
          <cell r="CZ174">
            <v>15</v>
          </cell>
          <cell r="DA174" t="str">
            <v>V</v>
          </cell>
          <cell r="DB174">
            <v>14</v>
          </cell>
          <cell r="DC174">
            <v>60</v>
          </cell>
          <cell r="DD174">
            <v>0</v>
          </cell>
          <cell r="DE174">
            <v>26</v>
          </cell>
          <cell r="DF174">
            <v>106</v>
          </cell>
          <cell r="DG174">
            <v>0</v>
          </cell>
          <cell r="DH174">
            <v>0</v>
          </cell>
          <cell r="DI174">
            <v>0</v>
          </cell>
          <cell r="DJ174">
            <v>0</v>
          </cell>
          <cell r="DK174">
            <v>0</v>
          </cell>
          <cell r="DL174">
            <v>0</v>
          </cell>
          <cell r="DM174">
            <v>0</v>
          </cell>
          <cell r="DN174">
            <v>0</v>
          </cell>
          <cell r="DO174">
            <v>0</v>
          </cell>
          <cell r="DP174">
            <v>0</v>
          </cell>
          <cell r="DQ174">
            <v>0</v>
          </cell>
          <cell r="DR174">
            <v>0</v>
          </cell>
          <cell r="DS174">
            <v>0</v>
          </cell>
          <cell r="DT174">
            <v>0</v>
          </cell>
        </row>
        <row r="175">
          <cell r="B175" t="str">
            <v>ED 250 zweiflüglig, getrennt Gangfl.</v>
          </cell>
          <cell r="E175" t="str">
            <v>x</v>
          </cell>
          <cell r="K175" t="str">
            <v>x</v>
          </cell>
          <cell r="L175" t="str">
            <v>x</v>
          </cell>
          <cell r="M175" t="str">
            <v>x</v>
          </cell>
          <cell r="N175" t="str">
            <v>x</v>
          </cell>
          <cell r="O175" t="str">
            <v>x</v>
          </cell>
          <cell r="P175" t="str">
            <v>x</v>
          </cell>
          <cell r="S175" t="str">
            <v>x</v>
          </cell>
          <cell r="T175">
            <v>0</v>
          </cell>
          <cell r="U175">
            <v>0</v>
          </cell>
          <cell r="V175" t="str">
            <v>x</v>
          </cell>
          <cell r="W175" t="str">
            <v>x</v>
          </cell>
          <cell r="Z175" t="str">
            <v>x</v>
          </cell>
          <cell r="AA175" t="str">
            <v>x</v>
          </cell>
          <cell r="AC175" t="str">
            <v>x</v>
          </cell>
          <cell r="AE175" t="str">
            <v>x</v>
          </cell>
          <cell r="AJ175" t="str">
            <v>x</v>
          </cell>
          <cell r="AK175">
            <v>250</v>
          </cell>
          <cell r="AL175">
            <v>5</v>
          </cell>
          <cell r="AM175" t="str">
            <v>4-6</v>
          </cell>
          <cell r="BT175" t="str">
            <v>x</v>
          </cell>
          <cell r="BU175" t="str">
            <v>x</v>
          </cell>
          <cell r="BV175" t="str">
            <v>x</v>
          </cell>
          <cell r="BW175">
            <v>685</v>
          </cell>
          <cell r="BX175">
            <v>130</v>
          </cell>
          <cell r="BY175">
            <v>70</v>
          </cell>
          <cell r="BZ175">
            <v>640</v>
          </cell>
          <cell r="CA175">
            <v>23</v>
          </cell>
          <cell r="CB175">
            <v>35</v>
          </cell>
          <cell r="CC175">
            <v>18</v>
          </cell>
          <cell r="CD175">
            <v>400</v>
          </cell>
          <cell r="CE175">
            <v>61</v>
          </cell>
          <cell r="CF175" t="str">
            <v>V</v>
          </cell>
          <cell r="CG175">
            <v>150</v>
          </cell>
          <cell r="CH175">
            <v>135</v>
          </cell>
          <cell r="CI175">
            <v>550</v>
          </cell>
          <cell r="CJ175">
            <v>504</v>
          </cell>
          <cell r="CK175">
            <v>46</v>
          </cell>
          <cell r="CL175">
            <v>0</v>
          </cell>
          <cell r="CM175">
            <v>0</v>
          </cell>
          <cell r="CN175">
            <v>0</v>
          </cell>
          <cell r="CO175">
            <v>0</v>
          </cell>
          <cell r="CP175">
            <v>0</v>
          </cell>
          <cell r="CQ175">
            <v>0</v>
          </cell>
          <cell r="CR175">
            <v>0</v>
          </cell>
          <cell r="CS175">
            <v>15</v>
          </cell>
          <cell r="CT175" t="str">
            <v>V</v>
          </cell>
          <cell r="CU175">
            <v>6</v>
          </cell>
          <cell r="CV175">
            <v>60</v>
          </cell>
          <cell r="CW175">
            <v>0</v>
          </cell>
          <cell r="CX175">
            <v>20</v>
          </cell>
          <cell r="CY175">
            <v>106</v>
          </cell>
          <cell r="CZ175">
            <v>15</v>
          </cell>
          <cell r="DA175" t="str">
            <v>V</v>
          </cell>
          <cell r="DB175">
            <v>14</v>
          </cell>
          <cell r="DC175">
            <v>60</v>
          </cell>
          <cell r="DD175">
            <v>0</v>
          </cell>
          <cell r="DE175">
            <v>26</v>
          </cell>
          <cell r="DF175">
            <v>106</v>
          </cell>
          <cell r="DG175">
            <v>0</v>
          </cell>
          <cell r="DH175">
            <v>0</v>
          </cell>
          <cell r="DI175">
            <v>0</v>
          </cell>
          <cell r="DJ175">
            <v>0</v>
          </cell>
          <cell r="DK175">
            <v>0</v>
          </cell>
          <cell r="DL175">
            <v>0</v>
          </cell>
          <cell r="DM175">
            <v>0</v>
          </cell>
          <cell r="DN175">
            <v>0</v>
          </cell>
          <cell r="DO175">
            <v>0</v>
          </cell>
          <cell r="DP175">
            <v>0</v>
          </cell>
          <cell r="DQ175">
            <v>0</v>
          </cell>
          <cell r="DR175">
            <v>0</v>
          </cell>
          <cell r="DS175">
            <v>0</v>
          </cell>
          <cell r="DT175">
            <v>0</v>
          </cell>
        </row>
        <row r="176">
          <cell r="B176" t="str">
            <v>ED 250 zweiflüglig, ESR Gangfl.</v>
          </cell>
          <cell r="E176" t="str">
            <v>x</v>
          </cell>
          <cell r="K176" t="str">
            <v>x</v>
          </cell>
          <cell r="L176" t="str">
            <v>x</v>
          </cell>
          <cell r="M176" t="str">
            <v>x</v>
          </cell>
          <cell r="N176" t="str">
            <v>x</v>
          </cell>
          <cell r="O176" t="str">
            <v>x</v>
          </cell>
          <cell r="P176" t="str">
            <v>x</v>
          </cell>
          <cell r="S176" t="str">
            <v>x</v>
          </cell>
          <cell r="U176" t="str">
            <v>x</v>
          </cell>
          <cell r="V176" t="str">
            <v>x</v>
          </cell>
          <cell r="W176" t="str">
            <v>x</v>
          </cell>
          <cell r="Z176" t="str">
            <v>x</v>
          </cell>
          <cell r="AA176" t="str">
            <v>x</v>
          </cell>
          <cell r="AC176" t="str">
            <v>x</v>
          </cell>
          <cell r="AE176" t="str">
            <v>x</v>
          </cell>
          <cell r="AJ176" t="str">
            <v>x</v>
          </cell>
          <cell r="AK176">
            <v>250</v>
          </cell>
          <cell r="AL176">
            <v>3</v>
          </cell>
          <cell r="AM176" t="str">
            <v>4-6</v>
          </cell>
          <cell r="BT176" t="str">
            <v>x</v>
          </cell>
          <cell r="BU176" t="str">
            <v>x</v>
          </cell>
          <cell r="BV176" t="str">
            <v>x</v>
          </cell>
          <cell r="BW176">
            <v>685</v>
          </cell>
          <cell r="BX176">
            <v>130</v>
          </cell>
          <cell r="BY176">
            <v>70</v>
          </cell>
          <cell r="BZ176">
            <v>640</v>
          </cell>
          <cell r="CA176">
            <v>23</v>
          </cell>
          <cell r="CB176">
            <v>35</v>
          </cell>
          <cell r="CC176">
            <v>18</v>
          </cell>
          <cell r="CD176">
            <v>400</v>
          </cell>
          <cell r="CE176">
            <v>61</v>
          </cell>
          <cell r="CF176" t="str">
            <v>V</v>
          </cell>
          <cell r="CG176">
            <v>150</v>
          </cell>
          <cell r="CH176">
            <v>135</v>
          </cell>
          <cell r="CI176">
            <v>550</v>
          </cell>
          <cell r="CJ176">
            <v>504</v>
          </cell>
          <cell r="CK176">
            <v>46</v>
          </cell>
          <cell r="CL176">
            <v>0</v>
          </cell>
          <cell r="CM176">
            <v>0</v>
          </cell>
          <cell r="CN176">
            <v>0</v>
          </cell>
          <cell r="CO176">
            <v>0</v>
          </cell>
          <cell r="CP176">
            <v>0</v>
          </cell>
          <cell r="CQ176">
            <v>0</v>
          </cell>
          <cell r="CR176">
            <v>0</v>
          </cell>
          <cell r="CS176">
            <v>15</v>
          </cell>
          <cell r="CT176" t="str">
            <v>V</v>
          </cell>
          <cell r="CU176">
            <v>6</v>
          </cell>
          <cell r="CV176">
            <v>60</v>
          </cell>
          <cell r="CW176">
            <v>0</v>
          </cell>
          <cell r="CX176">
            <v>20</v>
          </cell>
          <cell r="CY176">
            <v>106</v>
          </cell>
          <cell r="CZ176">
            <v>15</v>
          </cell>
          <cell r="DA176" t="str">
            <v>V</v>
          </cell>
          <cell r="DB176">
            <v>14</v>
          </cell>
          <cell r="DC176">
            <v>60</v>
          </cell>
          <cell r="DD176">
            <v>0</v>
          </cell>
          <cell r="DE176">
            <v>26</v>
          </cell>
          <cell r="DF176">
            <v>106</v>
          </cell>
          <cell r="DG176">
            <v>0</v>
          </cell>
          <cell r="DH176">
            <v>0</v>
          </cell>
          <cell r="DI176">
            <v>0</v>
          </cell>
          <cell r="DJ176">
            <v>0</v>
          </cell>
          <cell r="DK176">
            <v>0</v>
          </cell>
          <cell r="DL176">
            <v>0</v>
          </cell>
          <cell r="DM176">
            <v>0</v>
          </cell>
          <cell r="DN176">
            <v>0</v>
          </cell>
          <cell r="DO176">
            <v>0</v>
          </cell>
          <cell r="DP176">
            <v>0</v>
          </cell>
          <cell r="DQ176">
            <v>0</v>
          </cell>
          <cell r="DR176">
            <v>0</v>
          </cell>
          <cell r="DS176">
            <v>0</v>
          </cell>
          <cell r="DT176">
            <v>0</v>
          </cell>
        </row>
        <row r="177">
          <cell r="B177" t="str">
            <v>ED 250 mit Gleitschiene Standfl.</v>
          </cell>
          <cell r="D177">
            <v>0</v>
          </cell>
          <cell r="E177" t="str">
            <v>x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 t="str">
            <v>x</v>
          </cell>
          <cell r="L177" t="str">
            <v>x</v>
          </cell>
          <cell r="M177" t="str">
            <v>x</v>
          </cell>
          <cell r="N177" t="str">
            <v>x</v>
          </cell>
          <cell r="O177" t="str">
            <v>x</v>
          </cell>
          <cell r="P177" t="str">
            <v>x</v>
          </cell>
          <cell r="Q177">
            <v>0</v>
          </cell>
          <cell r="R177">
            <v>0</v>
          </cell>
          <cell r="S177" t="str">
            <v>x</v>
          </cell>
          <cell r="T177">
            <v>0</v>
          </cell>
          <cell r="U177" t="str">
            <v>x</v>
          </cell>
          <cell r="V177" t="str">
            <v>x</v>
          </cell>
          <cell r="W177">
            <v>0</v>
          </cell>
          <cell r="X177">
            <v>0</v>
          </cell>
          <cell r="Y177">
            <v>0</v>
          </cell>
          <cell r="Z177" t="str">
            <v>x</v>
          </cell>
          <cell r="AA177" t="str">
            <v>x</v>
          </cell>
          <cell r="AB177">
            <v>0</v>
          </cell>
          <cell r="AC177" t="str">
            <v>x</v>
          </cell>
          <cell r="AD177">
            <v>0</v>
          </cell>
          <cell r="AE177" t="str">
            <v>x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 t="str">
            <v>x</v>
          </cell>
          <cell r="AK177">
            <v>250</v>
          </cell>
          <cell r="AL177">
            <v>4</v>
          </cell>
          <cell r="AM177" t="str">
            <v>4-6</v>
          </cell>
          <cell r="BT177" t="str">
            <v>x</v>
          </cell>
          <cell r="BU177" t="str">
            <v>x</v>
          </cell>
          <cell r="BV177" t="str">
            <v>x</v>
          </cell>
          <cell r="BW177">
            <v>685</v>
          </cell>
          <cell r="BX177">
            <v>130</v>
          </cell>
          <cell r="BY177">
            <v>70</v>
          </cell>
          <cell r="BZ177">
            <v>640</v>
          </cell>
          <cell r="CA177">
            <v>23</v>
          </cell>
          <cell r="CB177">
            <v>35</v>
          </cell>
          <cell r="CC177">
            <v>18</v>
          </cell>
          <cell r="CD177">
            <v>400</v>
          </cell>
          <cell r="CE177">
            <v>61</v>
          </cell>
          <cell r="CF177" t="str">
            <v>V</v>
          </cell>
          <cell r="CG177">
            <v>150</v>
          </cell>
          <cell r="CH177">
            <v>135</v>
          </cell>
          <cell r="CI177">
            <v>550</v>
          </cell>
          <cell r="CJ177">
            <v>504</v>
          </cell>
          <cell r="CK177">
            <v>46</v>
          </cell>
          <cell r="CL177">
            <v>0</v>
          </cell>
          <cell r="CM177">
            <v>0</v>
          </cell>
          <cell r="CN177">
            <v>0</v>
          </cell>
          <cell r="CO177">
            <v>0</v>
          </cell>
          <cell r="CP177">
            <v>0</v>
          </cell>
          <cell r="CQ177">
            <v>0</v>
          </cell>
          <cell r="CR177">
            <v>0</v>
          </cell>
          <cell r="CS177">
            <v>15</v>
          </cell>
          <cell r="CT177" t="str">
            <v>V</v>
          </cell>
          <cell r="CU177">
            <v>6</v>
          </cell>
          <cell r="CV177">
            <v>60</v>
          </cell>
          <cell r="CW177">
            <v>0</v>
          </cell>
          <cell r="CX177">
            <v>20</v>
          </cell>
          <cell r="CY177">
            <v>106</v>
          </cell>
          <cell r="CZ177">
            <v>15</v>
          </cell>
          <cell r="DA177" t="str">
            <v>V</v>
          </cell>
          <cell r="DB177">
            <v>14</v>
          </cell>
          <cell r="DC177">
            <v>60</v>
          </cell>
          <cell r="DD177">
            <v>0</v>
          </cell>
          <cell r="DE177">
            <v>26</v>
          </cell>
          <cell r="DF177">
            <v>106</v>
          </cell>
          <cell r="DG177">
            <v>0</v>
          </cell>
          <cell r="DH177">
            <v>0</v>
          </cell>
          <cell r="DI177">
            <v>0</v>
          </cell>
          <cell r="DJ177">
            <v>0</v>
          </cell>
          <cell r="DK177">
            <v>0</v>
          </cell>
          <cell r="DL177">
            <v>0</v>
          </cell>
          <cell r="DM177">
            <v>0</v>
          </cell>
          <cell r="DN177">
            <v>0</v>
          </cell>
          <cell r="DO177">
            <v>0</v>
          </cell>
          <cell r="DP177">
            <v>0</v>
          </cell>
          <cell r="DQ177">
            <v>0</v>
          </cell>
          <cell r="DR177">
            <v>0</v>
          </cell>
          <cell r="DS177">
            <v>0</v>
          </cell>
          <cell r="DT177">
            <v>0</v>
          </cell>
        </row>
        <row r="178">
          <cell r="B178" t="str">
            <v>ED100 GST N</v>
          </cell>
          <cell r="C178">
            <v>0</v>
          </cell>
          <cell r="D178" t="str">
            <v>x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 t="str">
            <v>x</v>
          </cell>
          <cell r="J178" t="str">
            <v>x</v>
          </cell>
          <cell r="K178" t="str">
            <v>x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 t="str">
            <v>x</v>
          </cell>
          <cell r="Q178">
            <v>0</v>
          </cell>
          <cell r="R178">
            <v>0</v>
          </cell>
          <cell r="S178" t="str">
            <v>x</v>
          </cell>
          <cell r="T178">
            <v>0</v>
          </cell>
          <cell r="U178" t="str">
            <v>x</v>
          </cell>
          <cell r="V178" t="str">
            <v>x</v>
          </cell>
          <cell r="W178">
            <v>0</v>
          </cell>
          <cell r="X178">
            <v>0</v>
          </cell>
          <cell r="Y178">
            <v>0</v>
          </cell>
          <cell r="Z178" t="str">
            <v>x</v>
          </cell>
          <cell r="AA178" t="str">
            <v>x</v>
          </cell>
          <cell r="AB178">
            <v>0</v>
          </cell>
          <cell r="AC178" t="str">
            <v>x</v>
          </cell>
          <cell r="AD178">
            <v>0</v>
          </cell>
          <cell r="AE178" t="str">
            <v>x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 t="str">
            <v>x</v>
          </cell>
          <cell r="AK178">
            <v>100</v>
          </cell>
          <cell r="AL178">
            <v>1</v>
          </cell>
          <cell r="AM178" t="str">
            <v>2-4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0</v>
          </cell>
          <cell r="BI178">
            <v>0</v>
          </cell>
          <cell r="BJ178">
            <v>0</v>
          </cell>
          <cell r="BK178">
            <v>0</v>
          </cell>
          <cell r="BL178">
            <v>0</v>
          </cell>
          <cell r="BM178">
            <v>0</v>
          </cell>
          <cell r="BN178">
            <v>0</v>
          </cell>
          <cell r="BO178">
            <v>0</v>
          </cell>
          <cell r="BP178">
            <v>0</v>
          </cell>
          <cell r="BQ178">
            <v>0</v>
          </cell>
          <cell r="BR178">
            <v>0</v>
          </cell>
          <cell r="BS178">
            <v>0</v>
          </cell>
          <cell r="BT178" t="str">
            <v>x</v>
          </cell>
          <cell r="BU178" t="str">
            <v>x</v>
          </cell>
          <cell r="BV178" t="str">
            <v>x</v>
          </cell>
          <cell r="BW178">
            <v>685</v>
          </cell>
          <cell r="BX178">
            <v>130</v>
          </cell>
          <cell r="BY178">
            <v>70</v>
          </cell>
          <cell r="BZ178">
            <v>355</v>
          </cell>
          <cell r="CA178">
            <v>25</v>
          </cell>
          <cell r="CB178">
            <v>30</v>
          </cell>
          <cell r="CC178">
            <v>30</v>
          </cell>
          <cell r="CD178">
            <v>400</v>
          </cell>
          <cell r="CE178">
            <v>61</v>
          </cell>
          <cell r="CF178" t="str">
            <v>V</v>
          </cell>
          <cell r="CG178">
            <v>150</v>
          </cell>
          <cell r="CH178">
            <v>135</v>
          </cell>
          <cell r="CI178" t="str">
            <v>_</v>
          </cell>
          <cell r="CJ178" t="str">
            <v>_</v>
          </cell>
          <cell r="CK178" t="str">
            <v>_</v>
          </cell>
          <cell r="CL178">
            <v>0</v>
          </cell>
          <cell r="CM178">
            <v>0</v>
          </cell>
          <cell r="CN178">
            <v>0</v>
          </cell>
          <cell r="CO178">
            <v>0</v>
          </cell>
          <cell r="CP178">
            <v>0</v>
          </cell>
          <cell r="CQ178">
            <v>0</v>
          </cell>
          <cell r="CR178">
            <v>0</v>
          </cell>
          <cell r="CS178">
            <v>15</v>
          </cell>
          <cell r="CT178" t="str">
            <v>V</v>
          </cell>
          <cell r="CU178">
            <v>6</v>
          </cell>
          <cell r="CV178">
            <v>270</v>
          </cell>
          <cell r="CW178">
            <v>0</v>
          </cell>
          <cell r="CX178">
            <v>20</v>
          </cell>
          <cell r="CY178" t="str">
            <v>_</v>
          </cell>
          <cell r="CZ178">
            <v>0</v>
          </cell>
          <cell r="DA178">
            <v>0</v>
          </cell>
          <cell r="DB178">
            <v>0</v>
          </cell>
          <cell r="DC178">
            <v>0</v>
          </cell>
          <cell r="DD178">
            <v>0</v>
          </cell>
          <cell r="DE178">
            <v>0</v>
          </cell>
          <cell r="DF178">
            <v>0</v>
          </cell>
          <cell r="DG178">
            <v>0</v>
          </cell>
          <cell r="DH178">
            <v>0</v>
          </cell>
          <cell r="DI178">
            <v>0</v>
          </cell>
          <cell r="DJ178">
            <v>0</v>
          </cell>
          <cell r="DK178">
            <v>0</v>
          </cell>
          <cell r="DL178">
            <v>0</v>
          </cell>
          <cell r="DM178">
            <v>0</v>
          </cell>
          <cell r="DN178">
            <v>0</v>
          </cell>
          <cell r="DO178">
            <v>0</v>
          </cell>
          <cell r="DP178">
            <v>0</v>
          </cell>
          <cell r="DQ178">
            <v>0</v>
          </cell>
          <cell r="DR178">
            <v>0</v>
          </cell>
          <cell r="DS178">
            <v>0</v>
          </cell>
          <cell r="DT178">
            <v>0</v>
          </cell>
        </row>
        <row r="179">
          <cell r="B179" t="str">
            <v>ED 100 GSR, (1 ED Gangfl. -1 TS am Standfl.)</v>
          </cell>
          <cell r="D179">
            <v>0</v>
          </cell>
          <cell r="E179" t="str">
            <v>x</v>
          </cell>
          <cell r="F179">
            <v>0</v>
          </cell>
          <cell r="G179">
            <v>0</v>
          </cell>
          <cell r="H179">
            <v>0</v>
          </cell>
          <cell r="I179" t="str">
            <v>x</v>
          </cell>
          <cell r="J179" t="str">
            <v>x</v>
          </cell>
          <cell r="K179" t="str">
            <v>x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 t="str">
            <v>x</v>
          </cell>
          <cell r="Q179">
            <v>0</v>
          </cell>
          <cell r="R179">
            <v>0</v>
          </cell>
          <cell r="S179" t="str">
            <v>x</v>
          </cell>
          <cell r="T179">
            <v>0</v>
          </cell>
          <cell r="U179" t="str">
            <v>x</v>
          </cell>
          <cell r="V179" t="str">
            <v>x</v>
          </cell>
          <cell r="W179" t="str">
            <v>x</v>
          </cell>
          <cell r="X179">
            <v>0</v>
          </cell>
          <cell r="Y179">
            <v>0</v>
          </cell>
          <cell r="Z179" t="str">
            <v>x</v>
          </cell>
          <cell r="AA179" t="str">
            <v>x</v>
          </cell>
          <cell r="AB179">
            <v>0</v>
          </cell>
          <cell r="AC179" t="str">
            <v>x</v>
          </cell>
          <cell r="AD179">
            <v>0</v>
          </cell>
          <cell r="AE179" t="str">
            <v>x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 t="str">
            <v>x</v>
          </cell>
          <cell r="AK179">
            <v>100</v>
          </cell>
          <cell r="AL179">
            <v>2</v>
          </cell>
          <cell r="AM179" t="str">
            <v>2-4</v>
          </cell>
          <cell r="AZ179" t="str">
            <v>x</v>
          </cell>
          <cell r="BN179" t="str">
            <v>x</v>
          </cell>
          <cell r="BT179" t="str">
            <v>x</v>
          </cell>
          <cell r="BU179" t="str">
            <v>x</v>
          </cell>
          <cell r="BV179" t="str">
            <v>x</v>
          </cell>
          <cell r="BW179">
            <v>685</v>
          </cell>
          <cell r="BX179">
            <v>130</v>
          </cell>
          <cell r="BY179">
            <v>70</v>
          </cell>
          <cell r="BZ179">
            <v>355</v>
          </cell>
          <cell r="CA179">
            <v>25</v>
          </cell>
          <cell r="CB179">
            <v>30</v>
          </cell>
          <cell r="CC179">
            <v>30</v>
          </cell>
          <cell r="CD179">
            <v>400</v>
          </cell>
          <cell r="CE179">
            <v>61</v>
          </cell>
          <cell r="CF179" t="str">
            <v>V</v>
          </cell>
          <cell r="CG179">
            <v>150</v>
          </cell>
          <cell r="CH179">
            <v>135</v>
          </cell>
          <cell r="CI179" t="str">
            <v>_</v>
          </cell>
          <cell r="CJ179" t="str">
            <v>_</v>
          </cell>
          <cell r="CK179" t="str">
            <v>_</v>
          </cell>
          <cell r="CL179">
            <v>0</v>
          </cell>
          <cell r="CM179">
            <v>0</v>
          </cell>
          <cell r="CN179">
            <v>0</v>
          </cell>
          <cell r="CO179">
            <v>0</v>
          </cell>
          <cell r="CP179">
            <v>0</v>
          </cell>
          <cell r="CQ179">
            <v>0</v>
          </cell>
          <cell r="CR179">
            <v>0</v>
          </cell>
          <cell r="CS179">
            <v>15</v>
          </cell>
          <cell r="CT179" t="str">
            <v>V</v>
          </cell>
          <cell r="CU179">
            <v>6</v>
          </cell>
          <cell r="CV179">
            <v>270</v>
          </cell>
          <cell r="CW179">
            <v>0</v>
          </cell>
          <cell r="CX179">
            <v>20</v>
          </cell>
          <cell r="CY179" t="str">
            <v>_</v>
          </cell>
          <cell r="CZ179">
            <v>0</v>
          </cell>
          <cell r="DA179">
            <v>0</v>
          </cell>
          <cell r="DB179">
            <v>0</v>
          </cell>
          <cell r="DC179">
            <v>0</v>
          </cell>
          <cell r="DD179">
            <v>0</v>
          </cell>
          <cell r="DE179">
            <v>0</v>
          </cell>
          <cell r="DF179">
            <v>0</v>
          </cell>
          <cell r="DG179">
            <v>0</v>
          </cell>
          <cell r="DH179">
            <v>0</v>
          </cell>
          <cell r="DI179">
            <v>0</v>
          </cell>
          <cell r="DJ179">
            <v>0</v>
          </cell>
          <cell r="DK179">
            <v>0</v>
          </cell>
          <cell r="DL179">
            <v>0</v>
          </cell>
          <cell r="DM179">
            <v>0</v>
          </cell>
          <cell r="DN179">
            <v>0</v>
          </cell>
          <cell r="DO179">
            <v>0</v>
          </cell>
          <cell r="DP179">
            <v>0</v>
          </cell>
          <cell r="DQ179">
            <v>0</v>
          </cell>
          <cell r="DR179">
            <v>0</v>
          </cell>
          <cell r="DS179">
            <v>0</v>
          </cell>
          <cell r="DT179">
            <v>0</v>
          </cell>
        </row>
        <row r="180">
          <cell r="B180" t="str">
            <v>ED 100 zweiflüglig, getrennt Gangfl.</v>
          </cell>
          <cell r="D180">
            <v>0</v>
          </cell>
          <cell r="E180" t="str">
            <v>x</v>
          </cell>
          <cell r="F180">
            <v>0</v>
          </cell>
          <cell r="G180">
            <v>0</v>
          </cell>
          <cell r="H180">
            <v>0</v>
          </cell>
          <cell r="I180" t="str">
            <v>x</v>
          </cell>
          <cell r="J180" t="str">
            <v>x</v>
          </cell>
          <cell r="K180" t="str">
            <v>x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 t="str">
            <v>x</v>
          </cell>
          <cell r="Q180">
            <v>0</v>
          </cell>
          <cell r="R180">
            <v>0</v>
          </cell>
          <cell r="S180" t="str">
            <v>x</v>
          </cell>
          <cell r="T180">
            <v>0</v>
          </cell>
          <cell r="U180">
            <v>0</v>
          </cell>
          <cell r="V180" t="str">
            <v>x</v>
          </cell>
          <cell r="W180" t="str">
            <v>x</v>
          </cell>
          <cell r="X180">
            <v>0</v>
          </cell>
          <cell r="Y180">
            <v>0</v>
          </cell>
          <cell r="Z180" t="str">
            <v>x</v>
          </cell>
          <cell r="AA180" t="str">
            <v>x</v>
          </cell>
          <cell r="AB180">
            <v>0</v>
          </cell>
          <cell r="AC180" t="str">
            <v>x</v>
          </cell>
          <cell r="AD180">
            <v>0</v>
          </cell>
          <cell r="AE180" t="str">
            <v>x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 t="str">
            <v>x</v>
          </cell>
          <cell r="AK180">
            <v>100</v>
          </cell>
          <cell r="AL180">
            <v>5</v>
          </cell>
          <cell r="AM180" t="str">
            <v>2-4</v>
          </cell>
          <cell r="BT180" t="str">
            <v>x</v>
          </cell>
          <cell r="BU180" t="str">
            <v>x</v>
          </cell>
          <cell r="BV180" t="str">
            <v>x</v>
          </cell>
          <cell r="BW180">
            <v>685</v>
          </cell>
          <cell r="BX180">
            <v>130</v>
          </cell>
          <cell r="BY180">
            <v>70</v>
          </cell>
          <cell r="BZ180">
            <v>355</v>
          </cell>
          <cell r="CA180">
            <v>25</v>
          </cell>
          <cell r="CB180">
            <v>30</v>
          </cell>
          <cell r="CC180">
            <v>30</v>
          </cell>
          <cell r="CD180">
            <v>400</v>
          </cell>
          <cell r="CE180">
            <v>61</v>
          </cell>
          <cell r="CF180" t="str">
            <v>V</v>
          </cell>
          <cell r="CG180">
            <v>150</v>
          </cell>
          <cell r="CH180">
            <v>135</v>
          </cell>
          <cell r="CI180" t="str">
            <v>_</v>
          </cell>
          <cell r="CJ180" t="str">
            <v>_</v>
          </cell>
          <cell r="CK180" t="str">
            <v>_</v>
          </cell>
          <cell r="CL180">
            <v>0</v>
          </cell>
          <cell r="CM180">
            <v>0</v>
          </cell>
          <cell r="CN180">
            <v>0</v>
          </cell>
          <cell r="CO180">
            <v>0</v>
          </cell>
          <cell r="CP180">
            <v>0</v>
          </cell>
          <cell r="CQ180">
            <v>0</v>
          </cell>
          <cell r="CR180">
            <v>0</v>
          </cell>
          <cell r="CS180">
            <v>15</v>
          </cell>
          <cell r="CT180" t="str">
            <v>V</v>
          </cell>
          <cell r="CU180">
            <v>6</v>
          </cell>
          <cell r="CV180">
            <v>270</v>
          </cell>
          <cell r="CW180">
            <v>0</v>
          </cell>
          <cell r="CX180">
            <v>20</v>
          </cell>
          <cell r="CY180" t="str">
            <v>_</v>
          </cell>
          <cell r="CZ180">
            <v>0</v>
          </cell>
          <cell r="DA180">
            <v>0</v>
          </cell>
          <cell r="DB180">
            <v>0</v>
          </cell>
          <cell r="DC180">
            <v>0</v>
          </cell>
          <cell r="DD180">
            <v>0</v>
          </cell>
          <cell r="DE180">
            <v>0</v>
          </cell>
          <cell r="DF180">
            <v>0</v>
          </cell>
          <cell r="DG180">
            <v>0</v>
          </cell>
          <cell r="DH180">
            <v>0</v>
          </cell>
          <cell r="DI180">
            <v>0</v>
          </cell>
          <cell r="DJ180">
            <v>0</v>
          </cell>
          <cell r="DK180">
            <v>0</v>
          </cell>
          <cell r="DL180">
            <v>0</v>
          </cell>
          <cell r="DM180">
            <v>0</v>
          </cell>
          <cell r="DN180">
            <v>0</v>
          </cell>
          <cell r="DO180">
            <v>0</v>
          </cell>
          <cell r="DP180">
            <v>0</v>
          </cell>
          <cell r="DQ180">
            <v>0</v>
          </cell>
          <cell r="DR180">
            <v>0</v>
          </cell>
          <cell r="DS180">
            <v>0</v>
          </cell>
          <cell r="DT180">
            <v>0</v>
          </cell>
        </row>
        <row r="181">
          <cell r="B181" t="str">
            <v>ED 100 zweiflüglig, ESR Gangfl.</v>
          </cell>
          <cell r="D181">
            <v>0</v>
          </cell>
          <cell r="E181" t="str">
            <v>x</v>
          </cell>
          <cell r="F181">
            <v>0</v>
          </cell>
          <cell r="G181">
            <v>0</v>
          </cell>
          <cell r="H181">
            <v>0</v>
          </cell>
          <cell r="I181" t="str">
            <v>x</v>
          </cell>
          <cell r="J181" t="str">
            <v>x</v>
          </cell>
          <cell r="K181" t="str">
            <v>x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 t="str">
            <v>x</v>
          </cell>
          <cell r="Q181">
            <v>0</v>
          </cell>
          <cell r="R181">
            <v>0</v>
          </cell>
          <cell r="S181" t="str">
            <v>x</v>
          </cell>
          <cell r="T181">
            <v>0</v>
          </cell>
          <cell r="U181" t="str">
            <v>x</v>
          </cell>
          <cell r="V181" t="str">
            <v>x</v>
          </cell>
          <cell r="W181" t="str">
            <v>x</v>
          </cell>
          <cell r="X181">
            <v>0</v>
          </cell>
          <cell r="Y181">
            <v>0</v>
          </cell>
          <cell r="Z181" t="str">
            <v>x</v>
          </cell>
          <cell r="AA181" t="str">
            <v>x</v>
          </cell>
          <cell r="AB181">
            <v>0</v>
          </cell>
          <cell r="AC181" t="str">
            <v>x</v>
          </cell>
          <cell r="AD181">
            <v>0</v>
          </cell>
          <cell r="AE181" t="str">
            <v>x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 t="str">
            <v>x</v>
          </cell>
          <cell r="AK181">
            <v>100</v>
          </cell>
          <cell r="AL181">
            <v>3</v>
          </cell>
          <cell r="AM181" t="str">
            <v>2-4</v>
          </cell>
          <cell r="BT181" t="str">
            <v>x</v>
          </cell>
          <cell r="BU181" t="str">
            <v>x</v>
          </cell>
          <cell r="BV181" t="str">
            <v>x</v>
          </cell>
          <cell r="BW181">
            <v>685</v>
          </cell>
          <cell r="BX181">
            <v>130</v>
          </cell>
          <cell r="BY181">
            <v>70</v>
          </cell>
          <cell r="BZ181">
            <v>355</v>
          </cell>
          <cell r="CA181">
            <v>25</v>
          </cell>
          <cell r="CB181">
            <v>30</v>
          </cell>
          <cell r="CC181">
            <v>30</v>
          </cell>
          <cell r="CD181">
            <v>400</v>
          </cell>
          <cell r="CE181">
            <v>61</v>
          </cell>
          <cell r="CF181" t="str">
            <v>V</v>
          </cell>
          <cell r="CG181">
            <v>150</v>
          </cell>
          <cell r="CH181">
            <v>135</v>
          </cell>
          <cell r="CI181" t="str">
            <v>_</v>
          </cell>
          <cell r="CJ181" t="str">
            <v>_</v>
          </cell>
          <cell r="CK181" t="str">
            <v>_</v>
          </cell>
          <cell r="CL181">
            <v>0</v>
          </cell>
          <cell r="CM181">
            <v>0</v>
          </cell>
          <cell r="CN181">
            <v>0</v>
          </cell>
          <cell r="CO181">
            <v>0</v>
          </cell>
          <cell r="CP181">
            <v>0</v>
          </cell>
          <cell r="CQ181">
            <v>0</v>
          </cell>
          <cell r="CR181">
            <v>0</v>
          </cell>
          <cell r="CS181">
            <v>15</v>
          </cell>
          <cell r="CT181" t="str">
            <v>V</v>
          </cell>
          <cell r="CU181">
            <v>6</v>
          </cell>
          <cell r="CV181">
            <v>270</v>
          </cell>
          <cell r="CW181">
            <v>0</v>
          </cell>
          <cell r="CX181">
            <v>20</v>
          </cell>
          <cell r="CY181" t="str">
            <v>_</v>
          </cell>
          <cell r="CZ181">
            <v>0</v>
          </cell>
          <cell r="DA181">
            <v>0</v>
          </cell>
          <cell r="DB181">
            <v>0</v>
          </cell>
          <cell r="DC181">
            <v>0</v>
          </cell>
          <cell r="DD181">
            <v>0</v>
          </cell>
          <cell r="DE181">
            <v>0</v>
          </cell>
          <cell r="DF181">
            <v>0</v>
          </cell>
          <cell r="DG181">
            <v>0</v>
          </cell>
          <cell r="DH181">
            <v>0</v>
          </cell>
          <cell r="DI181">
            <v>0</v>
          </cell>
          <cell r="DJ181">
            <v>0</v>
          </cell>
          <cell r="DK181">
            <v>0</v>
          </cell>
          <cell r="DL181">
            <v>0</v>
          </cell>
          <cell r="DM181">
            <v>0</v>
          </cell>
          <cell r="DN181">
            <v>0</v>
          </cell>
          <cell r="DO181">
            <v>0</v>
          </cell>
          <cell r="DP181">
            <v>0</v>
          </cell>
          <cell r="DQ181">
            <v>0</v>
          </cell>
          <cell r="DR181">
            <v>0</v>
          </cell>
          <cell r="DS181">
            <v>0</v>
          </cell>
          <cell r="DT181">
            <v>0</v>
          </cell>
        </row>
        <row r="182">
          <cell r="B182" t="str">
            <v>ED 100 mit Gestänge Standfl.</v>
          </cell>
          <cell r="D182">
            <v>0</v>
          </cell>
          <cell r="E182" t="str">
            <v>x</v>
          </cell>
          <cell r="F182">
            <v>0</v>
          </cell>
          <cell r="G182">
            <v>0</v>
          </cell>
          <cell r="H182">
            <v>0</v>
          </cell>
          <cell r="I182" t="str">
            <v>x</v>
          </cell>
          <cell r="J182" t="str">
            <v>x</v>
          </cell>
          <cell r="K182" t="str">
            <v>x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 t="str">
            <v>x</v>
          </cell>
          <cell r="Q182">
            <v>0</v>
          </cell>
          <cell r="R182">
            <v>0</v>
          </cell>
          <cell r="S182" t="str">
            <v>x</v>
          </cell>
          <cell r="T182">
            <v>0</v>
          </cell>
          <cell r="U182" t="str">
            <v>x</v>
          </cell>
          <cell r="V182" t="str">
            <v>x</v>
          </cell>
          <cell r="W182">
            <v>0</v>
          </cell>
          <cell r="X182">
            <v>0</v>
          </cell>
          <cell r="Y182">
            <v>0</v>
          </cell>
          <cell r="Z182" t="str">
            <v>x</v>
          </cell>
          <cell r="AA182" t="str">
            <v>x</v>
          </cell>
          <cell r="AB182">
            <v>0</v>
          </cell>
          <cell r="AC182" t="str">
            <v>x</v>
          </cell>
          <cell r="AD182">
            <v>0</v>
          </cell>
          <cell r="AE182" t="str">
            <v>x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 t="str">
            <v>x</v>
          </cell>
          <cell r="AK182">
            <v>100</v>
          </cell>
          <cell r="AL182">
            <v>4</v>
          </cell>
          <cell r="AM182" t="str">
            <v>2-4</v>
          </cell>
          <cell r="BT182" t="str">
            <v>x</v>
          </cell>
          <cell r="BU182" t="str">
            <v>x</v>
          </cell>
          <cell r="BV182" t="str">
            <v>x</v>
          </cell>
          <cell r="BW182">
            <v>685</v>
          </cell>
          <cell r="BX182">
            <v>130</v>
          </cell>
          <cell r="BY182">
            <v>70</v>
          </cell>
          <cell r="BZ182">
            <v>355</v>
          </cell>
          <cell r="CA182">
            <v>25</v>
          </cell>
          <cell r="CB182">
            <v>30</v>
          </cell>
          <cell r="CC182">
            <v>30</v>
          </cell>
          <cell r="CD182">
            <v>400</v>
          </cell>
          <cell r="CE182">
            <v>61</v>
          </cell>
          <cell r="CF182" t="str">
            <v>V</v>
          </cell>
          <cell r="CG182">
            <v>150</v>
          </cell>
          <cell r="CH182">
            <v>135</v>
          </cell>
          <cell r="CI182" t="str">
            <v>_</v>
          </cell>
          <cell r="CJ182" t="str">
            <v>_</v>
          </cell>
          <cell r="CK182" t="str">
            <v>_</v>
          </cell>
          <cell r="CL182">
            <v>0</v>
          </cell>
          <cell r="CM182">
            <v>0</v>
          </cell>
          <cell r="CN182">
            <v>0</v>
          </cell>
          <cell r="CO182">
            <v>0</v>
          </cell>
          <cell r="CP182">
            <v>0</v>
          </cell>
          <cell r="CQ182">
            <v>0</v>
          </cell>
          <cell r="CR182">
            <v>0</v>
          </cell>
          <cell r="CS182">
            <v>15</v>
          </cell>
          <cell r="CT182" t="str">
            <v>V</v>
          </cell>
          <cell r="CU182">
            <v>6</v>
          </cell>
          <cell r="CV182">
            <v>270</v>
          </cell>
          <cell r="CW182">
            <v>0</v>
          </cell>
          <cell r="CX182">
            <v>20</v>
          </cell>
          <cell r="CY182" t="str">
            <v>_</v>
          </cell>
          <cell r="CZ182">
            <v>0</v>
          </cell>
          <cell r="DA182">
            <v>0</v>
          </cell>
          <cell r="DB182">
            <v>0</v>
          </cell>
          <cell r="DC182">
            <v>0</v>
          </cell>
          <cell r="DD182">
            <v>0</v>
          </cell>
          <cell r="DE182">
            <v>0</v>
          </cell>
          <cell r="DF182">
            <v>0</v>
          </cell>
          <cell r="DG182">
            <v>0</v>
          </cell>
          <cell r="DH182">
            <v>0</v>
          </cell>
          <cell r="DI182">
            <v>0</v>
          </cell>
          <cell r="DJ182">
            <v>0</v>
          </cell>
          <cell r="DK182">
            <v>0</v>
          </cell>
          <cell r="DL182">
            <v>0</v>
          </cell>
          <cell r="DM182">
            <v>0</v>
          </cell>
          <cell r="DN182">
            <v>0</v>
          </cell>
          <cell r="DO182">
            <v>0</v>
          </cell>
          <cell r="DP182">
            <v>0</v>
          </cell>
          <cell r="DQ182">
            <v>0</v>
          </cell>
          <cell r="DR182">
            <v>0</v>
          </cell>
          <cell r="DS182">
            <v>0</v>
          </cell>
          <cell r="DT182">
            <v>0</v>
          </cell>
        </row>
        <row r="183">
          <cell r="B183" t="str">
            <v>ED250 GST N</v>
          </cell>
          <cell r="C183">
            <v>0</v>
          </cell>
          <cell r="D183" t="str">
            <v>x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 t="str">
            <v>x</v>
          </cell>
          <cell r="L183" t="str">
            <v>x</v>
          </cell>
          <cell r="M183" t="str">
            <v>x</v>
          </cell>
          <cell r="N183" t="str">
            <v>x</v>
          </cell>
          <cell r="O183">
            <v>0</v>
          </cell>
          <cell r="P183" t="str">
            <v>x</v>
          </cell>
          <cell r="Q183">
            <v>0</v>
          </cell>
          <cell r="R183">
            <v>0</v>
          </cell>
          <cell r="S183" t="str">
            <v>x</v>
          </cell>
          <cell r="T183">
            <v>0</v>
          </cell>
          <cell r="U183" t="str">
            <v>x</v>
          </cell>
          <cell r="V183" t="str">
            <v>x</v>
          </cell>
          <cell r="W183">
            <v>0</v>
          </cell>
          <cell r="X183">
            <v>0</v>
          </cell>
          <cell r="Y183">
            <v>0</v>
          </cell>
          <cell r="Z183" t="str">
            <v>x</v>
          </cell>
          <cell r="AA183" t="str">
            <v>x</v>
          </cell>
          <cell r="AB183">
            <v>0</v>
          </cell>
          <cell r="AC183" t="str">
            <v>x</v>
          </cell>
          <cell r="AD183">
            <v>0</v>
          </cell>
          <cell r="AE183" t="str">
            <v>x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 t="str">
            <v>x</v>
          </cell>
          <cell r="AK183">
            <v>250</v>
          </cell>
          <cell r="AL183">
            <v>1</v>
          </cell>
          <cell r="AM183" t="str">
            <v>4-6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  <cell r="BF183">
            <v>0</v>
          </cell>
          <cell r="BG183">
            <v>0</v>
          </cell>
          <cell r="BH183">
            <v>0</v>
          </cell>
          <cell r="BI183">
            <v>0</v>
          </cell>
          <cell r="BJ183">
            <v>0</v>
          </cell>
          <cell r="BK183">
            <v>0</v>
          </cell>
          <cell r="BL183">
            <v>0</v>
          </cell>
          <cell r="BM183">
            <v>0</v>
          </cell>
          <cell r="BN183">
            <v>0</v>
          </cell>
          <cell r="BO183">
            <v>0</v>
          </cell>
          <cell r="BP183">
            <v>0</v>
          </cell>
          <cell r="BQ183">
            <v>0</v>
          </cell>
          <cell r="BR183">
            <v>0</v>
          </cell>
          <cell r="BS183">
            <v>0</v>
          </cell>
          <cell r="BT183" t="str">
            <v>x</v>
          </cell>
          <cell r="BU183" t="str">
            <v>x</v>
          </cell>
          <cell r="BV183" t="str">
            <v>x</v>
          </cell>
          <cell r="BW183">
            <v>685</v>
          </cell>
          <cell r="BX183">
            <v>130</v>
          </cell>
          <cell r="BY183">
            <v>70</v>
          </cell>
          <cell r="BZ183">
            <v>355</v>
          </cell>
          <cell r="CA183">
            <v>25</v>
          </cell>
          <cell r="CB183">
            <v>30</v>
          </cell>
          <cell r="CC183">
            <v>30</v>
          </cell>
          <cell r="CD183">
            <v>400</v>
          </cell>
          <cell r="CE183">
            <v>61</v>
          </cell>
          <cell r="CF183" t="str">
            <v>V</v>
          </cell>
          <cell r="CG183">
            <v>150</v>
          </cell>
          <cell r="CH183">
            <v>135</v>
          </cell>
          <cell r="CI183" t="str">
            <v>_</v>
          </cell>
          <cell r="CJ183" t="str">
            <v>_</v>
          </cell>
          <cell r="CK183" t="str">
            <v>_</v>
          </cell>
          <cell r="CL183">
            <v>0</v>
          </cell>
          <cell r="CM183">
            <v>0</v>
          </cell>
          <cell r="CN183">
            <v>0</v>
          </cell>
          <cell r="CO183">
            <v>0</v>
          </cell>
          <cell r="CP183">
            <v>0</v>
          </cell>
          <cell r="CQ183">
            <v>0</v>
          </cell>
          <cell r="CR183">
            <v>0</v>
          </cell>
          <cell r="CS183">
            <v>15</v>
          </cell>
          <cell r="CT183" t="str">
            <v>V</v>
          </cell>
          <cell r="CU183">
            <v>6</v>
          </cell>
          <cell r="CV183">
            <v>270</v>
          </cell>
          <cell r="CW183">
            <v>0</v>
          </cell>
          <cell r="CX183">
            <v>20</v>
          </cell>
          <cell r="CY183" t="str">
            <v>_</v>
          </cell>
          <cell r="CZ183">
            <v>0</v>
          </cell>
          <cell r="DA183">
            <v>0</v>
          </cell>
          <cell r="DB183">
            <v>0</v>
          </cell>
          <cell r="DC183">
            <v>0</v>
          </cell>
          <cell r="DD183">
            <v>0</v>
          </cell>
          <cell r="DE183">
            <v>0</v>
          </cell>
          <cell r="DF183">
            <v>0</v>
          </cell>
          <cell r="DG183">
            <v>0</v>
          </cell>
          <cell r="DH183">
            <v>0</v>
          </cell>
          <cell r="DI183">
            <v>0</v>
          </cell>
          <cell r="DJ183">
            <v>0</v>
          </cell>
          <cell r="DK183">
            <v>0</v>
          </cell>
          <cell r="DL183">
            <v>0</v>
          </cell>
          <cell r="DM183">
            <v>0</v>
          </cell>
          <cell r="DN183">
            <v>0</v>
          </cell>
          <cell r="DO183">
            <v>0</v>
          </cell>
          <cell r="DP183">
            <v>0</v>
          </cell>
          <cell r="DQ183">
            <v>0</v>
          </cell>
          <cell r="DR183">
            <v>0</v>
          </cell>
          <cell r="DS183">
            <v>0</v>
          </cell>
          <cell r="DT183">
            <v>0</v>
          </cell>
        </row>
        <row r="184">
          <cell r="B184" t="str">
            <v>ED 250 GSR, (1 ED Gangfl. -1 TS am Standfl.)</v>
          </cell>
          <cell r="D184">
            <v>0</v>
          </cell>
          <cell r="E184" t="str">
            <v>x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 t="str">
            <v>x</v>
          </cell>
          <cell r="L184" t="str">
            <v>x</v>
          </cell>
          <cell r="M184" t="str">
            <v>x</v>
          </cell>
          <cell r="N184" t="str">
            <v>x</v>
          </cell>
          <cell r="O184">
            <v>0</v>
          </cell>
          <cell r="P184" t="str">
            <v>x</v>
          </cell>
          <cell r="Q184">
            <v>0</v>
          </cell>
          <cell r="R184">
            <v>0</v>
          </cell>
          <cell r="S184" t="str">
            <v>x</v>
          </cell>
          <cell r="T184">
            <v>0</v>
          </cell>
          <cell r="U184" t="str">
            <v>x</v>
          </cell>
          <cell r="V184" t="str">
            <v>x</v>
          </cell>
          <cell r="W184" t="str">
            <v>x</v>
          </cell>
          <cell r="X184">
            <v>0</v>
          </cell>
          <cell r="Y184">
            <v>0</v>
          </cell>
          <cell r="Z184" t="str">
            <v>x</v>
          </cell>
          <cell r="AA184" t="str">
            <v>x</v>
          </cell>
          <cell r="AB184">
            <v>0</v>
          </cell>
          <cell r="AC184" t="str">
            <v>x</v>
          </cell>
          <cell r="AD184">
            <v>0</v>
          </cell>
          <cell r="AE184" t="str">
            <v>x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 t="str">
            <v>x</v>
          </cell>
          <cell r="AK184">
            <v>250</v>
          </cell>
          <cell r="AL184">
            <v>2</v>
          </cell>
          <cell r="AM184" t="str">
            <v>4-6</v>
          </cell>
          <cell r="AZ184" t="str">
            <v>x</v>
          </cell>
          <cell r="BN184" t="str">
            <v>x</v>
          </cell>
          <cell r="BT184" t="str">
            <v>x</v>
          </cell>
          <cell r="BU184" t="str">
            <v>x</v>
          </cell>
          <cell r="BV184" t="str">
            <v>x</v>
          </cell>
          <cell r="BW184">
            <v>685</v>
          </cell>
          <cell r="BX184">
            <v>130</v>
          </cell>
          <cell r="BY184">
            <v>70</v>
          </cell>
          <cell r="BZ184">
            <v>355</v>
          </cell>
          <cell r="CA184">
            <v>25</v>
          </cell>
          <cell r="CB184">
            <v>30</v>
          </cell>
          <cell r="CC184">
            <v>30</v>
          </cell>
          <cell r="CD184">
            <v>400</v>
          </cell>
          <cell r="CE184">
            <v>61</v>
          </cell>
          <cell r="CF184" t="str">
            <v>V</v>
          </cell>
          <cell r="CG184">
            <v>150</v>
          </cell>
          <cell r="CH184">
            <v>135</v>
          </cell>
          <cell r="CI184" t="str">
            <v>_</v>
          </cell>
          <cell r="CJ184" t="str">
            <v>_</v>
          </cell>
          <cell r="CK184" t="str">
            <v>_</v>
          </cell>
          <cell r="CL184">
            <v>0</v>
          </cell>
          <cell r="CM184">
            <v>0</v>
          </cell>
          <cell r="CN184">
            <v>0</v>
          </cell>
          <cell r="CO184">
            <v>0</v>
          </cell>
          <cell r="CP184">
            <v>0</v>
          </cell>
          <cell r="CQ184">
            <v>0</v>
          </cell>
          <cell r="CR184">
            <v>0</v>
          </cell>
          <cell r="CS184">
            <v>15</v>
          </cell>
          <cell r="CT184" t="str">
            <v>V</v>
          </cell>
          <cell r="CU184">
            <v>6</v>
          </cell>
          <cell r="CV184">
            <v>270</v>
          </cell>
          <cell r="CW184">
            <v>0</v>
          </cell>
          <cell r="CX184">
            <v>20</v>
          </cell>
          <cell r="CY184" t="str">
            <v>_</v>
          </cell>
          <cell r="CZ184">
            <v>0</v>
          </cell>
          <cell r="DA184">
            <v>0</v>
          </cell>
          <cell r="DB184">
            <v>0</v>
          </cell>
          <cell r="DC184">
            <v>0</v>
          </cell>
          <cell r="DD184">
            <v>0</v>
          </cell>
          <cell r="DE184">
            <v>0</v>
          </cell>
          <cell r="DF184">
            <v>0</v>
          </cell>
          <cell r="DG184">
            <v>0</v>
          </cell>
          <cell r="DH184">
            <v>0</v>
          </cell>
          <cell r="DI184">
            <v>0</v>
          </cell>
          <cell r="DJ184">
            <v>0</v>
          </cell>
          <cell r="DK184">
            <v>0</v>
          </cell>
          <cell r="DL184">
            <v>0</v>
          </cell>
          <cell r="DM184">
            <v>0</v>
          </cell>
          <cell r="DN184">
            <v>0</v>
          </cell>
          <cell r="DO184">
            <v>0</v>
          </cell>
          <cell r="DP184">
            <v>0</v>
          </cell>
          <cell r="DQ184">
            <v>0</v>
          </cell>
          <cell r="DR184">
            <v>0</v>
          </cell>
          <cell r="DS184">
            <v>0</v>
          </cell>
          <cell r="DT184">
            <v>0</v>
          </cell>
        </row>
        <row r="185">
          <cell r="B185" t="str">
            <v>ED 250 zweiflüglig, getrennt Gangfl.</v>
          </cell>
          <cell r="D185">
            <v>0</v>
          </cell>
          <cell r="E185" t="str">
            <v>x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x</v>
          </cell>
          <cell r="L185" t="str">
            <v>x</v>
          </cell>
          <cell r="M185" t="str">
            <v>x</v>
          </cell>
          <cell r="N185" t="str">
            <v>x</v>
          </cell>
          <cell r="O185">
            <v>0</v>
          </cell>
          <cell r="P185" t="str">
            <v>x</v>
          </cell>
          <cell r="Q185">
            <v>0</v>
          </cell>
          <cell r="R185">
            <v>0</v>
          </cell>
          <cell r="S185" t="str">
            <v>x</v>
          </cell>
          <cell r="T185">
            <v>0</v>
          </cell>
          <cell r="U185">
            <v>0</v>
          </cell>
          <cell r="V185" t="str">
            <v>x</v>
          </cell>
          <cell r="W185" t="str">
            <v>x</v>
          </cell>
          <cell r="X185">
            <v>0</v>
          </cell>
          <cell r="Y185">
            <v>0</v>
          </cell>
          <cell r="Z185" t="str">
            <v>x</v>
          </cell>
          <cell r="AA185" t="str">
            <v>x</v>
          </cell>
          <cell r="AB185">
            <v>0</v>
          </cell>
          <cell r="AC185" t="str">
            <v>x</v>
          </cell>
          <cell r="AD185">
            <v>0</v>
          </cell>
          <cell r="AE185" t="str">
            <v>x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 t="str">
            <v>x</v>
          </cell>
          <cell r="AK185">
            <v>250</v>
          </cell>
          <cell r="AL185">
            <v>5</v>
          </cell>
          <cell r="AM185" t="str">
            <v>4-6</v>
          </cell>
          <cell r="BT185" t="str">
            <v>x</v>
          </cell>
          <cell r="BU185" t="str">
            <v>x</v>
          </cell>
          <cell r="BV185" t="str">
            <v>x</v>
          </cell>
          <cell r="BW185">
            <v>685</v>
          </cell>
          <cell r="BX185">
            <v>130</v>
          </cell>
          <cell r="BY185">
            <v>70</v>
          </cell>
          <cell r="BZ185">
            <v>355</v>
          </cell>
          <cell r="CA185">
            <v>25</v>
          </cell>
          <cell r="CB185">
            <v>30</v>
          </cell>
          <cell r="CC185">
            <v>30</v>
          </cell>
          <cell r="CD185">
            <v>400</v>
          </cell>
          <cell r="CE185">
            <v>61</v>
          </cell>
          <cell r="CF185" t="str">
            <v>V</v>
          </cell>
          <cell r="CG185">
            <v>150</v>
          </cell>
          <cell r="CH185">
            <v>135</v>
          </cell>
          <cell r="CI185" t="str">
            <v>_</v>
          </cell>
          <cell r="CJ185" t="str">
            <v>_</v>
          </cell>
          <cell r="CK185" t="str">
            <v>_</v>
          </cell>
          <cell r="CL185">
            <v>0</v>
          </cell>
          <cell r="CM185">
            <v>0</v>
          </cell>
          <cell r="CN185">
            <v>0</v>
          </cell>
          <cell r="CO185">
            <v>0</v>
          </cell>
          <cell r="CP185">
            <v>0</v>
          </cell>
          <cell r="CQ185">
            <v>0</v>
          </cell>
          <cell r="CR185">
            <v>0</v>
          </cell>
          <cell r="CS185">
            <v>15</v>
          </cell>
          <cell r="CT185" t="str">
            <v>V</v>
          </cell>
          <cell r="CU185">
            <v>6</v>
          </cell>
          <cell r="CV185">
            <v>270</v>
          </cell>
          <cell r="CW185">
            <v>0</v>
          </cell>
          <cell r="CX185">
            <v>20</v>
          </cell>
          <cell r="CY185" t="str">
            <v>_</v>
          </cell>
          <cell r="CZ185">
            <v>0</v>
          </cell>
          <cell r="DA185">
            <v>0</v>
          </cell>
          <cell r="DB185">
            <v>0</v>
          </cell>
          <cell r="DC185">
            <v>0</v>
          </cell>
          <cell r="DD185">
            <v>0</v>
          </cell>
          <cell r="DE185">
            <v>0</v>
          </cell>
          <cell r="DF185">
            <v>0</v>
          </cell>
          <cell r="DG185">
            <v>0</v>
          </cell>
          <cell r="DH185">
            <v>0</v>
          </cell>
          <cell r="DI185">
            <v>0</v>
          </cell>
          <cell r="DJ185">
            <v>0</v>
          </cell>
          <cell r="DK185">
            <v>0</v>
          </cell>
          <cell r="DL185">
            <v>0</v>
          </cell>
          <cell r="DM185">
            <v>0</v>
          </cell>
          <cell r="DN185">
            <v>0</v>
          </cell>
          <cell r="DO185">
            <v>0</v>
          </cell>
          <cell r="DP185">
            <v>0</v>
          </cell>
          <cell r="DQ185">
            <v>0</v>
          </cell>
          <cell r="DR185">
            <v>0</v>
          </cell>
          <cell r="DS185">
            <v>0</v>
          </cell>
          <cell r="DT185">
            <v>0</v>
          </cell>
        </row>
        <row r="186">
          <cell r="B186" t="str">
            <v>ED 250 zweiflüglig, ESR Gangfl.</v>
          </cell>
          <cell r="D186">
            <v>0</v>
          </cell>
          <cell r="E186" t="str">
            <v>x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 t="str">
            <v>x</v>
          </cell>
          <cell r="L186" t="str">
            <v>x</v>
          </cell>
          <cell r="M186" t="str">
            <v>x</v>
          </cell>
          <cell r="N186" t="str">
            <v>x</v>
          </cell>
          <cell r="O186">
            <v>0</v>
          </cell>
          <cell r="P186" t="str">
            <v>x</v>
          </cell>
          <cell r="Q186">
            <v>0</v>
          </cell>
          <cell r="R186">
            <v>0</v>
          </cell>
          <cell r="S186" t="str">
            <v>x</v>
          </cell>
          <cell r="T186">
            <v>0</v>
          </cell>
          <cell r="U186" t="str">
            <v>x</v>
          </cell>
          <cell r="V186" t="str">
            <v>x</v>
          </cell>
          <cell r="W186" t="str">
            <v>x</v>
          </cell>
          <cell r="X186">
            <v>0</v>
          </cell>
          <cell r="Y186">
            <v>0</v>
          </cell>
          <cell r="Z186" t="str">
            <v>x</v>
          </cell>
          <cell r="AA186" t="str">
            <v>x</v>
          </cell>
          <cell r="AB186">
            <v>0</v>
          </cell>
          <cell r="AC186" t="str">
            <v>x</v>
          </cell>
          <cell r="AD186">
            <v>0</v>
          </cell>
          <cell r="AE186" t="str">
            <v>x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 t="str">
            <v>x</v>
          </cell>
          <cell r="AK186">
            <v>250</v>
          </cell>
          <cell r="AL186">
            <v>3</v>
          </cell>
          <cell r="AM186" t="str">
            <v>4-6</v>
          </cell>
          <cell r="BT186" t="str">
            <v>x</v>
          </cell>
          <cell r="BU186" t="str">
            <v>x</v>
          </cell>
          <cell r="BV186" t="str">
            <v>x</v>
          </cell>
          <cell r="BW186">
            <v>685</v>
          </cell>
          <cell r="BX186">
            <v>130</v>
          </cell>
          <cell r="BY186">
            <v>70</v>
          </cell>
          <cell r="BZ186">
            <v>355</v>
          </cell>
          <cell r="CA186">
            <v>25</v>
          </cell>
          <cell r="CB186">
            <v>30</v>
          </cell>
          <cell r="CC186">
            <v>30</v>
          </cell>
          <cell r="CD186">
            <v>400</v>
          </cell>
          <cell r="CE186">
            <v>61</v>
          </cell>
          <cell r="CF186" t="str">
            <v>V</v>
          </cell>
          <cell r="CG186">
            <v>150</v>
          </cell>
          <cell r="CH186">
            <v>135</v>
          </cell>
          <cell r="CI186" t="str">
            <v>_</v>
          </cell>
          <cell r="CJ186" t="str">
            <v>_</v>
          </cell>
          <cell r="CK186" t="str">
            <v>_</v>
          </cell>
          <cell r="CL186">
            <v>0</v>
          </cell>
          <cell r="CM186">
            <v>0</v>
          </cell>
          <cell r="CN186">
            <v>0</v>
          </cell>
          <cell r="CO186">
            <v>0</v>
          </cell>
          <cell r="CP186">
            <v>0</v>
          </cell>
          <cell r="CQ186">
            <v>0</v>
          </cell>
          <cell r="CR186">
            <v>0</v>
          </cell>
          <cell r="CS186">
            <v>15</v>
          </cell>
          <cell r="CT186" t="str">
            <v>V</v>
          </cell>
          <cell r="CU186">
            <v>6</v>
          </cell>
          <cell r="CV186">
            <v>270</v>
          </cell>
          <cell r="CW186">
            <v>0</v>
          </cell>
          <cell r="CX186">
            <v>20</v>
          </cell>
          <cell r="CY186" t="str">
            <v>_</v>
          </cell>
          <cell r="CZ186">
            <v>0</v>
          </cell>
          <cell r="DA186">
            <v>0</v>
          </cell>
          <cell r="DB186">
            <v>0</v>
          </cell>
          <cell r="DC186">
            <v>0</v>
          </cell>
          <cell r="DD186">
            <v>0</v>
          </cell>
          <cell r="DE186">
            <v>0</v>
          </cell>
          <cell r="DF186">
            <v>0</v>
          </cell>
          <cell r="DG186">
            <v>0</v>
          </cell>
          <cell r="DH186">
            <v>0</v>
          </cell>
          <cell r="DI186">
            <v>0</v>
          </cell>
          <cell r="DJ186">
            <v>0</v>
          </cell>
          <cell r="DK186">
            <v>0</v>
          </cell>
          <cell r="DL186">
            <v>0</v>
          </cell>
          <cell r="DM186">
            <v>0</v>
          </cell>
          <cell r="DN186">
            <v>0</v>
          </cell>
          <cell r="DO186">
            <v>0</v>
          </cell>
          <cell r="DP186">
            <v>0</v>
          </cell>
          <cell r="DQ186">
            <v>0</v>
          </cell>
          <cell r="DR186">
            <v>0</v>
          </cell>
          <cell r="DS186">
            <v>0</v>
          </cell>
          <cell r="DT186">
            <v>0</v>
          </cell>
        </row>
        <row r="187">
          <cell r="B187" t="str">
            <v>ED 250 mit Gestänge Standfl.</v>
          </cell>
          <cell r="D187">
            <v>0</v>
          </cell>
          <cell r="E187" t="str">
            <v>x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 t="str">
            <v>x</v>
          </cell>
          <cell r="L187" t="str">
            <v>x</v>
          </cell>
          <cell r="M187" t="str">
            <v>x</v>
          </cell>
          <cell r="N187" t="str">
            <v>x</v>
          </cell>
          <cell r="O187">
            <v>0</v>
          </cell>
          <cell r="P187" t="str">
            <v>x</v>
          </cell>
          <cell r="Q187">
            <v>0</v>
          </cell>
          <cell r="R187">
            <v>0</v>
          </cell>
          <cell r="S187" t="str">
            <v>x</v>
          </cell>
          <cell r="T187">
            <v>0</v>
          </cell>
          <cell r="U187" t="str">
            <v>x</v>
          </cell>
          <cell r="V187" t="str">
            <v>x</v>
          </cell>
          <cell r="W187">
            <v>0</v>
          </cell>
          <cell r="X187">
            <v>0</v>
          </cell>
          <cell r="Y187">
            <v>0</v>
          </cell>
          <cell r="Z187" t="str">
            <v>x</v>
          </cell>
          <cell r="AA187" t="str">
            <v>x</v>
          </cell>
          <cell r="AB187">
            <v>0</v>
          </cell>
          <cell r="AC187" t="str">
            <v>x</v>
          </cell>
          <cell r="AD187">
            <v>0</v>
          </cell>
          <cell r="AE187" t="str">
            <v>x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 t="str">
            <v>x</v>
          </cell>
          <cell r="AK187">
            <v>250</v>
          </cell>
          <cell r="AL187">
            <v>4</v>
          </cell>
          <cell r="AM187" t="str">
            <v>4-6</v>
          </cell>
          <cell r="BT187" t="str">
            <v>x</v>
          </cell>
          <cell r="BU187" t="str">
            <v>x</v>
          </cell>
          <cell r="BV187" t="str">
            <v>x</v>
          </cell>
          <cell r="BW187">
            <v>685</v>
          </cell>
          <cell r="BX187">
            <v>130</v>
          </cell>
          <cell r="BY187">
            <v>70</v>
          </cell>
          <cell r="BZ187">
            <v>355</v>
          </cell>
          <cell r="CA187">
            <v>25</v>
          </cell>
          <cell r="CB187">
            <v>30</v>
          </cell>
          <cell r="CC187">
            <v>30</v>
          </cell>
          <cell r="CD187">
            <v>400</v>
          </cell>
          <cell r="CE187">
            <v>61</v>
          </cell>
          <cell r="CF187" t="str">
            <v>V</v>
          </cell>
          <cell r="CG187">
            <v>150</v>
          </cell>
          <cell r="CH187">
            <v>135</v>
          </cell>
          <cell r="CI187" t="str">
            <v>_</v>
          </cell>
          <cell r="CJ187" t="str">
            <v>_</v>
          </cell>
          <cell r="CK187" t="str">
            <v>_</v>
          </cell>
          <cell r="CL187">
            <v>0</v>
          </cell>
          <cell r="CM187">
            <v>0</v>
          </cell>
          <cell r="CN187">
            <v>0</v>
          </cell>
          <cell r="CO187">
            <v>0</v>
          </cell>
          <cell r="CP187">
            <v>0</v>
          </cell>
          <cell r="CQ187">
            <v>0</v>
          </cell>
          <cell r="CR187">
            <v>0</v>
          </cell>
          <cell r="CS187">
            <v>15</v>
          </cell>
          <cell r="CT187" t="str">
            <v>V</v>
          </cell>
          <cell r="CU187">
            <v>6</v>
          </cell>
          <cell r="CV187">
            <v>270</v>
          </cell>
          <cell r="CW187">
            <v>0</v>
          </cell>
          <cell r="CX187">
            <v>20</v>
          </cell>
          <cell r="CY187" t="str">
            <v>_</v>
          </cell>
          <cell r="CZ187">
            <v>0</v>
          </cell>
          <cell r="DA187">
            <v>0</v>
          </cell>
          <cell r="DB187">
            <v>0</v>
          </cell>
          <cell r="DC187">
            <v>0</v>
          </cell>
          <cell r="DD187">
            <v>0</v>
          </cell>
          <cell r="DE187">
            <v>0</v>
          </cell>
          <cell r="DF187">
            <v>0</v>
          </cell>
          <cell r="DG187">
            <v>0</v>
          </cell>
          <cell r="DH187">
            <v>0</v>
          </cell>
          <cell r="DI187">
            <v>0</v>
          </cell>
          <cell r="DJ187">
            <v>0</v>
          </cell>
          <cell r="DK187">
            <v>0</v>
          </cell>
          <cell r="DL187">
            <v>0</v>
          </cell>
          <cell r="DM187">
            <v>0</v>
          </cell>
          <cell r="DN187">
            <v>0</v>
          </cell>
          <cell r="DO187">
            <v>0</v>
          </cell>
          <cell r="DP187">
            <v>0</v>
          </cell>
          <cell r="DQ187">
            <v>0</v>
          </cell>
          <cell r="DR187">
            <v>0</v>
          </cell>
          <cell r="DS187">
            <v>0</v>
          </cell>
          <cell r="DT187">
            <v>0</v>
          </cell>
        </row>
        <row r="189"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L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0</v>
          </cell>
          <cell r="BG189">
            <v>0</v>
          </cell>
          <cell r="BH189">
            <v>0</v>
          </cell>
          <cell r="BI189">
            <v>0</v>
          </cell>
          <cell r="BJ189">
            <v>0</v>
          </cell>
          <cell r="BK189">
            <v>0</v>
          </cell>
          <cell r="BL189">
            <v>0</v>
          </cell>
          <cell r="BM189">
            <v>0</v>
          </cell>
          <cell r="BN189">
            <v>0</v>
          </cell>
          <cell r="BO189">
            <v>0</v>
          </cell>
          <cell r="BP189">
            <v>0</v>
          </cell>
          <cell r="BQ189">
            <v>0</v>
          </cell>
          <cell r="BR189">
            <v>0</v>
          </cell>
          <cell r="BS189">
            <v>0</v>
          </cell>
          <cell r="BW189">
            <v>0</v>
          </cell>
          <cell r="BX189">
            <v>0</v>
          </cell>
          <cell r="BY189">
            <v>0</v>
          </cell>
          <cell r="CA189">
            <v>0</v>
          </cell>
          <cell r="CB189">
            <v>0</v>
          </cell>
        </row>
        <row r="190"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L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  <cell r="BF190">
            <v>0</v>
          </cell>
          <cell r="BG190">
            <v>0</v>
          </cell>
          <cell r="BH190">
            <v>0</v>
          </cell>
          <cell r="BI190">
            <v>0</v>
          </cell>
          <cell r="BJ190">
            <v>0</v>
          </cell>
          <cell r="BK190">
            <v>0</v>
          </cell>
          <cell r="BL190">
            <v>0</v>
          </cell>
          <cell r="BM190">
            <v>0</v>
          </cell>
          <cell r="BN190">
            <v>0</v>
          </cell>
          <cell r="BO190">
            <v>0</v>
          </cell>
          <cell r="BP190">
            <v>0</v>
          </cell>
          <cell r="BQ190">
            <v>0</v>
          </cell>
          <cell r="BR190">
            <v>0</v>
          </cell>
          <cell r="BS190">
            <v>0</v>
          </cell>
          <cell r="BW190">
            <v>0</v>
          </cell>
          <cell r="BX190">
            <v>0</v>
          </cell>
          <cell r="BY190">
            <v>0</v>
          </cell>
          <cell r="CA190">
            <v>0</v>
          </cell>
          <cell r="CB190">
            <v>0</v>
          </cell>
        </row>
        <row r="191"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L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0</v>
          </cell>
          <cell r="BH191">
            <v>0</v>
          </cell>
          <cell r="BI191">
            <v>0</v>
          </cell>
          <cell r="BJ191">
            <v>0</v>
          </cell>
          <cell r="BK191">
            <v>0</v>
          </cell>
          <cell r="BL191">
            <v>0</v>
          </cell>
          <cell r="BM191">
            <v>0</v>
          </cell>
          <cell r="BN191">
            <v>0</v>
          </cell>
          <cell r="BO191">
            <v>0</v>
          </cell>
          <cell r="BP191">
            <v>0</v>
          </cell>
          <cell r="BQ191">
            <v>0</v>
          </cell>
          <cell r="BR191">
            <v>0</v>
          </cell>
          <cell r="BS191">
            <v>0</v>
          </cell>
          <cell r="BW191">
            <v>0</v>
          </cell>
          <cell r="BX191">
            <v>0</v>
          </cell>
          <cell r="BY191">
            <v>0</v>
          </cell>
          <cell r="CA191">
            <v>0</v>
          </cell>
          <cell r="CB191">
            <v>0</v>
          </cell>
        </row>
        <row r="192"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L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0</v>
          </cell>
          <cell r="BI192">
            <v>0</v>
          </cell>
          <cell r="BJ192">
            <v>0</v>
          </cell>
          <cell r="BK192">
            <v>0</v>
          </cell>
          <cell r="BL192">
            <v>0</v>
          </cell>
          <cell r="BM192">
            <v>0</v>
          </cell>
          <cell r="BN192">
            <v>0</v>
          </cell>
          <cell r="BO192">
            <v>0</v>
          </cell>
          <cell r="BP192">
            <v>0</v>
          </cell>
          <cell r="BQ192">
            <v>0</v>
          </cell>
          <cell r="BR192">
            <v>0</v>
          </cell>
          <cell r="BS192">
            <v>0</v>
          </cell>
          <cell r="BW192">
            <v>0</v>
          </cell>
          <cell r="BX192">
            <v>0</v>
          </cell>
          <cell r="BY192">
            <v>0</v>
          </cell>
          <cell r="CA192">
            <v>0</v>
          </cell>
          <cell r="CB192">
            <v>0</v>
          </cell>
        </row>
        <row r="193">
          <cell r="C193">
            <v>0</v>
          </cell>
          <cell r="D193">
            <v>0</v>
          </cell>
          <cell r="E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L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0</v>
          </cell>
          <cell r="BH193">
            <v>0</v>
          </cell>
          <cell r="BI193">
            <v>0</v>
          </cell>
          <cell r="BJ193">
            <v>0</v>
          </cell>
          <cell r="BK193">
            <v>0</v>
          </cell>
          <cell r="BL193">
            <v>0</v>
          </cell>
          <cell r="BM193">
            <v>0</v>
          </cell>
          <cell r="BN193">
            <v>0</v>
          </cell>
          <cell r="BO193">
            <v>0</v>
          </cell>
          <cell r="BP193">
            <v>0</v>
          </cell>
          <cell r="BQ193">
            <v>0</v>
          </cell>
          <cell r="BR193">
            <v>0</v>
          </cell>
          <cell r="BS193">
            <v>0</v>
          </cell>
          <cell r="BW193">
            <v>0</v>
          </cell>
          <cell r="BX193">
            <v>0</v>
          </cell>
          <cell r="BY193">
            <v>0</v>
          </cell>
          <cell r="CA193">
            <v>0</v>
          </cell>
          <cell r="CB193">
            <v>0</v>
          </cell>
        </row>
        <row r="194">
          <cell r="C194">
            <v>0</v>
          </cell>
          <cell r="D194">
            <v>0</v>
          </cell>
          <cell r="E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L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  <cell r="BF194">
            <v>0</v>
          </cell>
          <cell r="BG194">
            <v>0</v>
          </cell>
          <cell r="BH194">
            <v>0</v>
          </cell>
          <cell r="BI194">
            <v>0</v>
          </cell>
          <cell r="BJ194">
            <v>0</v>
          </cell>
          <cell r="BK194">
            <v>0</v>
          </cell>
          <cell r="BL194">
            <v>0</v>
          </cell>
          <cell r="BM194">
            <v>0</v>
          </cell>
          <cell r="BN194">
            <v>0</v>
          </cell>
          <cell r="BO194">
            <v>0</v>
          </cell>
          <cell r="BP194">
            <v>0</v>
          </cell>
          <cell r="BQ194">
            <v>0</v>
          </cell>
          <cell r="BR194">
            <v>0</v>
          </cell>
          <cell r="BS194">
            <v>0</v>
          </cell>
          <cell r="BW194">
            <v>0</v>
          </cell>
          <cell r="BX194">
            <v>0</v>
          </cell>
          <cell r="BY194">
            <v>0</v>
          </cell>
          <cell r="CA194">
            <v>0</v>
          </cell>
          <cell r="CB194">
            <v>0</v>
          </cell>
        </row>
        <row r="195">
          <cell r="C195">
            <v>0</v>
          </cell>
          <cell r="D195">
            <v>0</v>
          </cell>
          <cell r="E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L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0</v>
          </cell>
          <cell r="BI195">
            <v>0</v>
          </cell>
          <cell r="BJ195">
            <v>0</v>
          </cell>
          <cell r="BK195">
            <v>0</v>
          </cell>
          <cell r="BL195">
            <v>0</v>
          </cell>
          <cell r="BM195">
            <v>0</v>
          </cell>
          <cell r="BN195">
            <v>0</v>
          </cell>
          <cell r="BO195">
            <v>0</v>
          </cell>
          <cell r="BP195">
            <v>0</v>
          </cell>
          <cell r="BQ195">
            <v>0</v>
          </cell>
          <cell r="BR195">
            <v>0</v>
          </cell>
          <cell r="BS195">
            <v>0</v>
          </cell>
          <cell r="BW195">
            <v>0</v>
          </cell>
          <cell r="BX195">
            <v>0</v>
          </cell>
          <cell r="BY195">
            <v>0</v>
          </cell>
          <cell r="CA195">
            <v>0</v>
          </cell>
          <cell r="CB195">
            <v>0</v>
          </cell>
        </row>
        <row r="196">
          <cell r="C196">
            <v>0</v>
          </cell>
          <cell r="D196">
            <v>0</v>
          </cell>
          <cell r="E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L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0</v>
          </cell>
          <cell r="BI196">
            <v>0</v>
          </cell>
          <cell r="BJ196">
            <v>0</v>
          </cell>
          <cell r="BK196">
            <v>0</v>
          </cell>
          <cell r="BL196">
            <v>0</v>
          </cell>
          <cell r="BM196">
            <v>0</v>
          </cell>
          <cell r="BN196">
            <v>0</v>
          </cell>
          <cell r="BO196">
            <v>0</v>
          </cell>
          <cell r="BP196">
            <v>0</v>
          </cell>
          <cell r="BQ196">
            <v>0</v>
          </cell>
          <cell r="BR196">
            <v>0</v>
          </cell>
          <cell r="BS196">
            <v>0</v>
          </cell>
          <cell r="BW196">
            <v>0</v>
          </cell>
          <cell r="BX196">
            <v>0</v>
          </cell>
          <cell r="BY196">
            <v>0</v>
          </cell>
          <cell r="CA196">
            <v>0</v>
          </cell>
          <cell r="CB196">
            <v>0</v>
          </cell>
        </row>
        <row r="197">
          <cell r="C197">
            <v>0</v>
          </cell>
          <cell r="D197">
            <v>0</v>
          </cell>
          <cell r="E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L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0</v>
          </cell>
          <cell r="BI197">
            <v>0</v>
          </cell>
          <cell r="BJ197">
            <v>0</v>
          </cell>
          <cell r="BK197">
            <v>0</v>
          </cell>
          <cell r="BL197">
            <v>0</v>
          </cell>
          <cell r="BM197">
            <v>0</v>
          </cell>
          <cell r="BN197">
            <v>0</v>
          </cell>
          <cell r="BO197">
            <v>0</v>
          </cell>
          <cell r="BP197">
            <v>0</v>
          </cell>
          <cell r="BQ197">
            <v>0</v>
          </cell>
          <cell r="BR197">
            <v>0</v>
          </cell>
          <cell r="BS197">
            <v>0</v>
          </cell>
          <cell r="BW197">
            <v>0</v>
          </cell>
          <cell r="BX197">
            <v>0</v>
          </cell>
          <cell r="BY197">
            <v>0</v>
          </cell>
          <cell r="CA197">
            <v>0</v>
          </cell>
          <cell r="CB197">
            <v>0</v>
          </cell>
        </row>
        <row r="198">
          <cell r="C198">
            <v>0</v>
          </cell>
          <cell r="D198">
            <v>0</v>
          </cell>
          <cell r="E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L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I198">
            <v>0</v>
          </cell>
          <cell r="BJ198">
            <v>0</v>
          </cell>
          <cell r="BK198">
            <v>0</v>
          </cell>
          <cell r="BL198">
            <v>0</v>
          </cell>
          <cell r="BM198">
            <v>0</v>
          </cell>
          <cell r="BN198">
            <v>0</v>
          </cell>
          <cell r="BO198">
            <v>0</v>
          </cell>
          <cell r="BP198">
            <v>0</v>
          </cell>
          <cell r="BQ198">
            <v>0</v>
          </cell>
          <cell r="BR198">
            <v>0</v>
          </cell>
          <cell r="BS198">
            <v>0</v>
          </cell>
          <cell r="BW198">
            <v>0</v>
          </cell>
          <cell r="BX198">
            <v>0</v>
          </cell>
          <cell r="BY198">
            <v>0</v>
          </cell>
          <cell r="CA198">
            <v>0</v>
          </cell>
          <cell r="CB198">
            <v>0</v>
          </cell>
        </row>
        <row r="199">
          <cell r="C199">
            <v>0</v>
          </cell>
          <cell r="D199">
            <v>0</v>
          </cell>
          <cell r="E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L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I199">
            <v>0</v>
          </cell>
          <cell r="BJ199">
            <v>0</v>
          </cell>
          <cell r="BK199">
            <v>0</v>
          </cell>
          <cell r="BL199">
            <v>0</v>
          </cell>
          <cell r="BM199">
            <v>0</v>
          </cell>
          <cell r="BN199">
            <v>0</v>
          </cell>
          <cell r="BO199">
            <v>0</v>
          </cell>
          <cell r="BP199">
            <v>0</v>
          </cell>
          <cell r="BQ199">
            <v>0</v>
          </cell>
          <cell r="BR199">
            <v>0</v>
          </cell>
          <cell r="BS199">
            <v>0</v>
          </cell>
          <cell r="BW199">
            <v>0</v>
          </cell>
          <cell r="BX199">
            <v>0</v>
          </cell>
          <cell r="BY199">
            <v>0</v>
          </cell>
          <cell r="CA199">
            <v>0</v>
          </cell>
          <cell r="CB199">
            <v>0</v>
          </cell>
        </row>
      </sheetData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SETTINGS"/>
      <sheetName val="PARAMETERS"/>
      <sheetName val="DEFAULT"/>
      <sheetName val="VALUES"/>
      <sheetName val="TEXT"/>
      <sheetName val="XX_Properties.xml"/>
      <sheetName val="prePROP"/>
      <sheetName val="base"/>
      <sheetName val="SORT IMPORT"/>
      <sheetName val="RAW IMPORT"/>
      <sheetName val="IMPORT AUFBEREITET"/>
      <sheetName val="IMPORT GS-Tür OL FL 2S2 20"/>
      <sheetName val="Reimport Parameters"/>
    </sheetNames>
    <sheetDataSet>
      <sheetData sheetId="0"/>
      <sheetData sheetId="1">
        <row r="106">
          <cell r="M106" t="str">
            <v>gs_masonry_arch_proj</v>
          </cell>
        </row>
      </sheetData>
      <sheetData sheetId="2">
        <row r="5">
          <cell r="B5" t="str">
            <v>AC_WindowInWallContour</v>
          </cell>
        </row>
      </sheetData>
      <sheetData sheetId="3">
        <row r="1">
          <cell r="B1" t="str">
            <v>1 | 4</v>
          </cell>
        </row>
      </sheetData>
      <sheetData sheetId="4"/>
      <sheetData sheetId="5"/>
      <sheetData sheetId="6">
        <row r="2">
          <cell r="CJ2" t="str">
            <v/>
          </cell>
        </row>
      </sheetData>
      <sheetData sheetId="7">
        <row r="2">
          <cell r="B2" t="str">
            <v>String</v>
          </cell>
        </row>
      </sheetData>
      <sheetData sheetId="8"/>
      <sheetData sheetId="9"/>
      <sheetData sheetId="10"/>
      <sheetData sheetId="11">
        <row r="2">
          <cell r="H2" t="str">
            <v>A</v>
          </cell>
        </row>
      </sheetData>
      <sheetData sheetId="12">
        <row r="2">
          <cell r="B2" t="str">
            <v>A</v>
          </cell>
          <cell r="C2">
            <v>0.76</v>
          </cell>
          <cell r="D2" t="str">
            <v>Length</v>
          </cell>
        </row>
        <row r="3">
          <cell r="B3" t="str">
            <v>B</v>
          </cell>
          <cell r="C3">
            <v>2.1349999999999998</v>
          </cell>
          <cell r="D3" t="str">
            <v>Length</v>
          </cell>
        </row>
        <row r="4">
          <cell r="B4" t="str">
            <v>ZZYZX</v>
          </cell>
          <cell r="C4">
            <v>1</v>
          </cell>
          <cell r="D4" t="str">
            <v>Length</v>
          </cell>
        </row>
        <row r="5">
          <cell r="B5" t="str">
            <v>bs_identification</v>
          </cell>
          <cell r="D5" t="str">
            <v>Title</v>
          </cell>
        </row>
        <row r="6">
          <cell r="B6" t="str">
            <v>bs_location</v>
          </cell>
          <cell r="D6" t="str">
            <v>Title</v>
          </cell>
        </row>
        <row r="7">
          <cell r="B7" t="str">
            <v>gs_list_location</v>
          </cell>
          <cell r="D7" t="str">
            <v>String</v>
          </cell>
        </row>
        <row r="8">
          <cell r="B8" t="str">
            <v>gs_bOpeningToZone</v>
          </cell>
          <cell r="C8">
            <v>1</v>
          </cell>
          <cell r="D8" t="str">
            <v>Boolean</v>
          </cell>
        </row>
        <row r="9">
          <cell r="B9" t="str">
            <v>dk_environment</v>
          </cell>
          <cell r="D9" t="str">
            <v>Title</v>
          </cell>
        </row>
        <row r="10">
          <cell r="B10" t="str">
            <v>AC_WallContours</v>
          </cell>
          <cell r="C10">
            <v>0</v>
          </cell>
          <cell r="D10" t="str">
            <v>Integer</v>
          </cell>
        </row>
        <row r="11">
          <cell r="B11" t="str">
            <v>AC_Hole_Hotspot_Control</v>
          </cell>
          <cell r="C11">
            <v>3</v>
          </cell>
          <cell r="D11" t="str">
            <v>Integer</v>
          </cell>
        </row>
        <row r="12">
          <cell r="B12" t="str">
            <v>AC_show2DHotspotsIn3D</v>
          </cell>
          <cell r="C12">
            <v>0</v>
          </cell>
          <cell r="D12" t="str">
            <v>Boolean</v>
          </cell>
        </row>
        <row r="13">
          <cell r="B13" t="str">
            <v>ac_bottomlevel</v>
          </cell>
          <cell r="C13">
            <v>1</v>
          </cell>
          <cell r="D13" t="str">
            <v>Length</v>
          </cell>
        </row>
        <row r="14">
          <cell r="B14" t="str">
            <v>ac_toplevel</v>
          </cell>
          <cell r="C14">
            <v>0</v>
          </cell>
          <cell r="D14" t="str">
            <v>Length</v>
          </cell>
        </row>
        <row r="15">
          <cell r="B15" t="str">
            <v>AC_Hole_Display_Option</v>
          </cell>
          <cell r="C15">
            <v>3</v>
          </cell>
          <cell r="D15" t="str">
            <v>Integer</v>
          </cell>
        </row>
        <row r="16">
          <cell r="B16" t="str">
            <v>AC_Hole_Position_Angle</v>
          </cell>
          <cell r="C16">
            <v>0</v>
          </cell>
          <cell r="D16" t="str">
            <v>Angle</v>
          </cell>
        </row>
        <row r="17">
          <cell r="B17" t="str">
            <v>AC_HoleSideMaterial</v>
          </cell>
          <cell r="C17">
            <v>1</v>
          </cell>
          <cell r="D17" t="str">
            <v>Boolean</v>
          </cell>
        </row>
        <row r="18">
          <cell r="B18" t="str">
            <v>AC_HoleMaterialCurved</v>
          </cell>
          <cell r="C18">
            <v>0</v>
          </cell>
          <cell r="D18" t="str">
            <v>Boolean</v>
          </cell>
        </row>
        <row r="19">
          <cell r="B19" t="str">
            <v>AC_WallType</v>
          </cell>
          <cell r="C19">
            <v>1</v>
          </cell>
          <cell r="D19" t="str">
            <v>Integer</v>
          </cell>
        </row>
        <row r="20">
          <cell r="B20" t="str">
            <v>AC_WindowInWallContour</v>
          </cell>
          <cell r="C20" t="str">
            <v>{array}</v>
          </cell>
          <cell r="D20" t="str">
            <v>Integer</v>
          </cell>
        </row>
        <row r="21">
          <cell r="B21" t="str">
            <v>AC_WallContourPolygon</v>
          </cell>
          <cell r="C21" t="str">
            <v>{array}</v>
          </cell>
          <cell r="D21" t="str">
            <v>Length</v>
          </cell>
        </row>
        <row r="22">
          <cell r="B22" t="str">
            <v>AC_Wall_Direction_Type</v>
          </cell>
          <cell r="C22">
            <v>0</v>
          </cell>
          <cell r="D22" t="str">
            <v>Integer</v>
          </cell>
        </row>
        <row r="23">
          <cell r="B23" t="str">
            <v>ac_revealAnchorPos</v>
          </cell>
          <cell r="C23">
            <v>1</v>
          </cell>
          <cell r="D23" t="str">
            <v>Integer</v>
          </cell>
        </row>
        <row r="24">
          <cell r="B24" t="str">
            <v>ac_vertAnchorPos</v>
          </cell>
          <cell r="C24">
            <v>1</v>
          </cell>
          <cell r="D24" t="str">
            <v>Integer</v>
          </cell>
        </row>
        <row r="25">
          <cell r="B25" t="str">
            <v>ac_revealToWallCore</v>
          </cell>
          <cell r="C25">
            <v>0</v>
          </cell>
          <cell r="D25" t="str">
            <v>Length</v>
          </cell>
        </row>
        <row r="26">
          <cell r="B26" t="str">
            <v>AC_Wall_CrossSection_Type</v>
          </cell>
          <cell r="C26">
            <v>1</v>
          </cell>
          <cell r="D26" t="str">
            <v>Integer</v>
          </cell>
        </row>
        <row r="27">
          <cell r="B27" t="str">
            <v>ac_wido_hide_options</v>
          </cell>
          <cell r="C27">
            <v>2</v>
          </cell>
          <cell r="D27" t="str">
            <v>Integer</v>
          </cell>
        </row>
        <row r="28">
          <cell r="B28" t="str">
            <v>ac_zone_on_reveal_side</v>
          </cell>
          <cell r="C28">
            <v>0</v>
          </cell>
          <cell r="D28" t="str">
            <v>Integer</v>
          </cell>
        </row>
        <row r="29">
          <cell r="B29" t="str">
            <v>ac_wido_flip_once</v>
          </cell>
          <cell r="C29">
            <v>0</v>
          </cell>
          <cell r="D29" t="str">
            <v>Boolean</v>
          </cell>
        </row>
        <row r="30">
          <cell r="B30" t="str">
            <v>bs_walltype</v>
          </cell>
          <cell r="C30" t="str">
            <v>undefiniert</v>
          </cell>
          <cell r="D30" t="str">
            <v>String</v>
          </cell>
        </row>
        <row r="31">
          <cell r="B31" t="str">
            <v>bs_load_bearing_material</v>
          </cell>
          <cell r="C31" t="str">
            <v>undefiniert</v>
          </cell>
          <cell r="D31" t="str">
            <v>String</v>
          </cell>
        </row>
        <row r="32">
          <cell r="B32" t="str">
            <v>bs_wall_thk_covering1</v>
          </cell>
          <cell r="C32">
            <v>0</v>
          </cell>
          <cell r="D32" t="str">
            <v>Length</v>
          </cell>
        </row>
        <row r="33">
          <cell r="B33" t="str">
            <v>bs_wall_thk_covering2</v>
          </cell>
          <cell r="C33">
            <v>0</v>
          </cell>
          <cell r="D33" t="str">
            <v>Length</v>
          </cell>
        </row>
        <row r="34">
          <cell r="B34" t="str">
            <v>bs_wall_thk_load_bearing</v>
          </cell>
          <cell r="C34">
            <v>0</v>
          </cell>
          <cell r="D34" t="str">
            <v>Length</v>
          </cell>
        </row>
        <row r="35">
          <cell r="B35" t="str">
            <v>bs_mixed_materials</v>
          </cell>
          <cell r="C35">
            <v>0</v>
          </cell>
          <cell r="D35" t="str">
            <v>Boolean</v>
          </cell>
        </row>
        <row r="36">
          <cell r="B36" t="str">
            <v>bs_parapet</v>
          </cell>
          <cell r="D36" t="str">
            <v>Title</v>
          </cell>
        </row>
        <row r="37">
          <cell r="B37" t="str">
            <v>pwi</v>
          </cell>
          <cell r="C37">
            <v>3</v>
          </cell>
          <cell r="D37" t="str">
            <v>Integer</v>
          </cell>
        </row>
        <row r="38">
          <cell r="B38" t="str">
            <v>AC_Sill_To_Curr_Story</v>
          </cell>
          <cell r="C38">
            <v>0</v>
          </cell>
          <cell r="D38" t="str">
            <v>Length</v>
          </cell>
        </row>
        <row r="39">
          <cell r="B39" t="str">
            <v>gs_masonry_arch</v>
          </cell>
          <cell r="D39" t="str">
            <v>Title</v>
          </cell>
        </row>
        <row r="40">
          <cell r="B40" t="str">
            <v>bMasonryArch</v>
          </cell>
          <cell r="C40">
            <v>0</v>
          </cell>
          <cell r="D40" t="str">
            <v>Boolean</v>
          </cell>
        </row>
        <row r="41">
          <cell r="B41" t="str">
            <v>gs_masonry_arch_int</v>
          </cell>
          <cell r="C41">
            <v>2</v>
          </cell>
          <cell r="D41" t="str">
            <v>Integer</v>
          </cell>
        </row>
        <row r="42">
          <cell r="B42" t="str">
            <v>gs_masonry_arch_structure</v>
          </cell>
          <cell r="C42" t="str">
            <v>Verputzt</v>
          </cell>
          <cell r="D42" t="str">
            <v>String</v>
          </cell>
        </row>
        <row r="43">
          <cell r="B43" t="str">
            <v>gs_masonry_arch_structure_int</v>
          </cell>
          <cell r="C43">
            <v>1</v>
          </cell>
          <cell r="D43" t="str">
            <v>Integer</v>
          </cell>
        </row>
        <row r="44">
          <cell r="B44" t="str">
            <v>gs_AutomaticArchHeight</v>
          </cell>
          <cell r="C44">
            <v>1</v>
          </cell>
          <cell r="D44" t="str">
            <v>Boolean</v>
          </cell>
        </row>
        <row r="45">
          <cell r="B45" t="str">
            <v>gs_MasonryArch_height</v>
          </cell>
          <cell r="C45">
            <v>0</v>
          </cell>
          <cell r="D45" t="str">
            <v>Length</v>
          </cell>
        </row>
        <row r="46">
          <cell r="B46" t="str">
            <v>gs_NicheBelowArch</v>
          </cell>
          <cell r="C46">
            <v>1</v>
          </cell>
          <cell r="D46" t="str">
            <v>Boolean</v>
          </cell>
        </row>
        <row r="47">
          <cell r="B47" t="str">
            <v>gs_masonry_arch_ovhg_left</v>
          </cell>
          <cell r="C47">
            <v>0</v>
          </cell>
          <cell r="D47" t="str">
            <v>Length</v>
          </cell>
        </row>
        <row r="48">
          <cell r="B48" t="str">
            <v>gs_masonry_arch_ovhg_right</v>
          </cell>
          <cell r="C48">
            <v>0</v>
          </cell>
          <cell r="D48" t="str">
            <v>Length</v>
          </cell>
        </row>
        <row r="49">
          <cell r="B49" t="str">
            <v>gs_masonry_arch_rise</v>
          </cell>
          <cell r="C49">
            <v>0.03</v>
          </cell>
          <cell r="D49" t="str">
            <v>Length</v>
          </cell>
        </row>
        <row r="50">
          <cell r="B50" t="str">
            <v>gs_masonry_arch_skewback_angle</v>
          </cell>
          <cell r="C50">
            <v>75</v>
          </cell>
          <cell r="D50" t="str">
            <v>Angle</v>
          </cell>
        </row>
        <row r="51">
          <cell r="B51" t="str">
            <v>gs_masonry_arch_proj</v>
          </cell>
          <cell r="C51">
            <v>0</v>
          </cell>
          <cell r="D51" t="str">
            <v>Length</v>
          </cell>
        </row>
        <row r="52">
          <cell r="B52" t="str">
            <v>gs_masonry_arch_height</v>
          </cell>
          <cell r="C52">
            <v>0.24</v>
          </cell>
          <cell r="D52" t="str">
            <v>Length</v>
          </cell>
        </row>
        <row r="53">
          <cell r="B53" t="str">
            <v>gs_masonry_arch_depth</v>
          </cell>
          <cell r="C53">
            <v>0.115</v>
          </cell>
          <cell r="D53" t="str">
            <v>Length</v>
          </cell>
        </row>
        <row r="54">
          <cell r="B54" t="str">
            <v>gs_masonry_arch_rearHoleDepth</v>
          </cell>
          <cell r="C54">
            <v>0</v>
          </cell>
          <cell r="D54" t="str">
            <v>Length</v>
          </cell>
        </row>
        <row r="55">
          <cell r="B55" t="str">
            <v>gs_masonry_arch_brick_thk</v>
          </cell>
          <cell r="C55">
            <v>5.1999999999999998E-2</v>
          </cell>
          <cell r="D55" t="str">
            <v>Length</v>
          </cell>
        </row>
        <row r="56">
          <cell r="B56" t="str">
            <v>gs_masonry_arch_mort_thk</v>
          </cell>
          <cell r="C56">
            <v>0.01</v>
          </cell>
          <cell r="D56" t="str">
            <v>Length</v>
          </cell>
        </row>
        <row r="57">
          <cell r="B57" t="str">
            <v>gs_masonry_arch_keystone_width</v>
          </cell>
          <cell r="C57">
            <v>0.1</v>
          </cell>
          <cell r="D57" t="str">
            <v>Length</v>
          </cell>
        </row>
        <row r="58">
          <cell r="B58" t="str">
            <v>gs_masonry_arch_keystone_osize</v>
          </cell>
          <cell r="C58">
            <v>0</v>
          </cell>
          <cell r="D58" t="str">
            <v>Length</v>
          </cell>
        </row>
        <row r="59">
          <cell r="B59" t="str">
            <v>gs_masonry_arch_keystone_proj</v>
          </cell>
          <cell r="C59">
            <v>0.01</v>
          </cell>
          <cell r="D59" t="str">
            <v>Length</v>
          </cell>
        </row>
        <row r="60">
          <cell r="B60" t="str">
            <v>bCustomMatNicheTop</v>
          </cell>
          <cell r="C60">
            <v>0</v>
          </cell>
          <cell r="D60" t="str">
            <v>Boolean</v>
          </cell>
        </row>
        <row r="61">
          <cell r="B61" t="str">
            <v>gs_masonry_arch_fill</v>
          </cell>
          <cell r="C61">
            <v>7</v>
          </cell>
          <cell r="D61" t="str">
            <v>FillPattern</v>
          </cell>
        </row>
        <row r="62">
          <cell r="B62" t="str">
            <v>gs_masonry_arch_pen_fg</v>
          </cell>
          <cell r="C62">
            <v>3</v>
          </cell>
          <cell r="D62" t="str">
            <v>PenColor</v>
          </cell>
        </row>
        <row r="63">
          <cell r="B63" t="str">
            <v>gs_masonry_arch_pen_bg</v>
          </cell>
          <cell r="C63">
            <v>91</v>
          </cell>
          <cell r="D63" t="str">
            <v>PenColor</v>
          </cell>
        </row>
        <row r="64">
          <cell r="B64" t="str">
            <v>gs_masonry_arch_pen</v>
          </cell>
          <cell r="C64">
            <v>10</v>
          </cell>
          <cell r="D64" t="str">
            <v>PenColor</v>
          </cell>
        </row>
        <row r="65">
          <cell r="B65" t="str">
            <v>gs_masonry_arch_brick_mat</v>
          </cell>
          <cell r="C65">
            <v>35</v>
          </cell>
          <cell r="D65" t="str">
            <v>Material</v>
          </cell>
        </row>
        <row r="66">
          <cell r="B66" t="str">
            <v>gs_masonry_arch_mort_mat</v>
          </cell>
          <cell r="C66">
            <v>48</v>
          </cell>
          <cell r="D66" t="str">
            <v>Material</v>
          </cell>
        </row>
        <row r="67">
          <cell r="B67" t="str">
            <v>gs_masonry_arch_keystone_mat</v>
          </cell>
          <cell r="C67">
            <v>5</v>
          </cell>
          <cell r="D67" t="str">
            <v>Material</v>
          </cell>
        </row>
        <row r="68">
          <cell r="B68" t="str">
            <v>matNicheTop</v>
          </cell>
          <cell r="C68">
            <v>122</v>
          </cell>
          <cell r="D68" t="str">
            <v>Material</v>
          </cell>
        </row>
        <row r="69">
          <cell r="B69" t="str">
            <v>dk_lintel</v>
          </cell>
          <cell r="D69" t="str">
            <v>Title</v>
          </cell>
        </row>
        <row r="70">
          <cell r="B70" t="str">
            <v>gs_sturz</v>
          </cell>
          <cell r="C70">
            <v>0</v>
          </cell>
          <cell r="D70" t="str">
            <v>Boolean</v>
          </cell>
        </row>
        <row r="71">
          <cell r="B71" t="str">
            <v>gs_reveal</v>
          </cell>
          <cell r="D71" t="str">
            <v>Title</v>
          </cell>
        </row>
        <row r="72">
          <cell r="B72" t="str">
            <v>gs_reveal_type_new</v>
          </cell>
          <cell r="C72" t="str">
            <v>Anschlag</v>
          </cell>
          <cell r="D72" t="str">
            <v>String</v>
          </cell>
        </row>
        <row r="73">
          <cell r="B73" t="str">
            <v>gs_reveal_type_int</v>
          </cell>
          <cell r="C73">
            <v>3</v>
          </cell>
          <cell r="D73" t="str">
            <v>Integer</v>
          </cell>
        </row>
        <row r="74">
          <cell r="B74" t="str">
            <v>gs_reveal_type_bottom</v>
          </cell>
          <cell r="C74" t="str">
            <v>ohne Anschlag</v>
          </cell>
          <cell r="D74" t="str">
            <v>String</v>
          </cell>
        </row>
        <row r="75">
          <cell r="B75" t="str">
            <v>gs_reveal_type_bottom_int</v>
          </cell>
          <cell r="C75">
            <v>2</v>
          </cell>
          <cell r="D75" t="str">
            <v>Integer</v>
          </cell>
        </row>
        <row r="76">
          <cell r="B76" t="str">
            <v>gs_wido_sill</v>
          </cell>
          <cell r="C76">
            <v>0</v>
          </cell>
          <cell r="D76" t="str">
            <v>Length</v>
          </cell>
        </row>
        <row r="77">
          <cell r="B77" t="str">
            <v>AC_wido_sill</v>
          </cell>
          <cell r="C77">
            <v>0</v>
          </cell>
          <cell r="D77" t="str">
            <v>Length</v>
          </cell>
        </row>
        <row r="78">
          <cell r="B78" t="str">
            <v>gs_reveal_type</v>
          </cell>
          <cell r="C78" t="str">
            <v>Anschlag</v>
          </cell>
          <cell r="D78" t="str">
            <v>String</v>
          </cell>
        </row>
        <row r="79">
          <cell r="B79" t="str">
            <v>gs_reveal_doubleOuterTypeInt</v>
          </cell>
          <cell r="C79">
            <v>3</v>
          </cell>
          <cell r="D79" t="str">
            <v>Integer</v>
          </cell>
        </row>
        <row r="80">
          <cell r="B80" t="str">
            <v>gs_reveal_double_innerType</v>
          </cell>
          <cell r="C80" t="str">
            <v>Anschlag</v>
          </cell>
          <cell r="D80" t="str">
            <v>String</v>
          </cell>
        </row>
        <row r="81">
          <cell r="B81" t="str">
            <v>gs_reveal_doubleInnerTypeInt</v>
          </cell>
          <cell r="C81">
            <v>3</v>
          </cell>
          <cell r="D81" t="str">
            <v>Integer</v>
          </cell>
        </row>
        <row r="82">
          <cell r="B82" t="str">
            <v>gs_reveal_uniform</v>
          </cell>
          <cell r="C82">
            <v>0</v>
          </cell>
          <cell r="D82" t="str">
            <v>Boolean</v>
          </cell>
        </row>
        <row r="83">
          <cell r="B83" t="str">
            <v>gs_reveal_left</v>
          </cell>
          <cell r="C83">
            <v>5.5E-2</v>
          </cell>
          <cell r="D83" t="str">
            <v>Length</v>
          </cell>
        </row>
        <row r="84">
          <cell r="B84" t="str">
            <v>gs_reveal_right</v>
          </cell>
          <cell r="C84">
            <v>5.5E-2</v>
          </cell>
          <cell r="D84" t="str">
            <v>Length</v>
          </cell>
        </row>
        <row r="85">
          <cell r="B85" t="str">
            <v>gs_reveal_splayed_innerLeft</v>
          </cell>
          <cell r="C85">
            <v>0.06</v>
          </cell>
          <cell r="D85" t="str">
            <v>Length</v>
          </cell>
        </row>
        <row r="86">
          <cell r="B86" t="str">
            <v>gs_reveal_splayed_innerRight</v>
          </cell>
          <cell r="C86">
            <v>0.06</v>
          </cell>
          <cell r="D86" t="str">
            <v>Length</v>
          </cell>
        </row>
        <row r="87">
          <cell r="B87" t="str">
            <v>gs_reveal_double_innerLeft</v>
          </cell>
          <cell r="C87">
            <v>5.5E-2</v>
          </cell>
          <cell r="D87" t="str">
            <v>Length</v>
          </cell>
        </row>
        <row r="88">
          <cell r="B88" t="str">
            <v>gs_reveal_double_innerRight</v>
          </cell>
          <cell r="C88">
            <v>5.5E-2</v>
          </cell>
          <cell r="D88" t="str">
            <v>Length</v>
          </cell>
        </row>
        <row r="89">
          <cell r="B89" t="str">
            <v>gs_reveal_top</v>
          </cell>
          <cell r="C89">
            <v>5.5E-2</v>
          </cell>
          <cell r="D89" t="str">
            <v>Length</v>
          </cell>
        </row>
        <row r="90">
          <cell r="B90" t="str">
            <v>gs_reveal_bottom</v>
          </cell>
          <cell r="C90">
            <v>5.5E-2</v>
          </cell>
          <cell r="D90" t="str">
            <v>Length</v>
          </cell>
        </row>
        <row r="91">
          <cell r="B91" t="str">
            <v>gs_reveal_splayed_innerTop</v>
          </cell>
          <cell r="C91">
            <v>0.06</v>
          </cell>
          <cell r="D91" t="str">
            <v>Length</v>
          </cell>
        </row>
        <row r="92">
          <cell r="B92" t="str">
            <v>gs_reveal_splayed_innerBottom</v>
          </cell>
          <cell r="C92">
            <v>0</v>
          </cell>
          <cell r="D92" t="str">
            <v>Length</v>
          </cell>
        </row>
        <row r="93">
          <cell r="B93" t="str">
            <v>gs_reveal_double_innerTop</v>
          </cell>
          <cell r="C93">
            <v>5.5E-2</v>
          </cell>
          <cell r="D93" t="str">
            <v>Length</v>
          </cell>
        </row>
        <row r="94">
          <cell r="B94" t="str">
            <v>gs_reveal_double_innerBottom</v>
          </cell>
          <cell r="C94">
            <v>5.5E-2</v>
          </cell>
          <cell r="D94" t="str">
            <v>Length</v>
          </cell>
        </row>
        <row r="95">
          <cell r="B95" t="str">
            <v>gs_reveal_outer_jamb_depth</v>
          </cell>
          <cell r="C95">
            <v>0.05</v>
          </cell>
          <cell r="D95" t="str">
            <v>Length</v>
          </cell>
        </row>
        <row r="96">
          <cell r="B96" t="str">
            <v>gs_reveal_angle_edit_by</v>
          </cell>
          <cell r="C96" t="str">
            <v>Winkel und Tiefe</v>
          </cell>
          <cell r="D96" t="str">
            <v>String</v>
          </cell>
        </row>
        <row r="97">
          <cell r="B97" t="str">
            <v>gs_reveal_angle_edit_by_int</v>
          </cell>
          <cell r="C97">
            <v>1</v>
          </cell>
          <cell r="D97" t="str">
            <v>Integer</v>
          </cell>
        </row>
        <row r="98">
          <cell r="B98" t="str">
            <v>gs_reveal_left_angle</v>
          </cell>
          <cell r="C98">
            <v>20</v>
          </cell>
          <cell r="D98" t="str">
            <v>Angle</v>
          </cell>
        </row>
        <row r="99">
          <cell r="B99" t="str">
            <v>gs_reveal_right_angle</v>
          </cell>
          <cell r="C99">
            <v>20</v>
          </cell>
          <cell r="D99" t="str">
            <v>Angle</v>
          </cell>
        </row>
        <row r="100">
          <cell r="B100" t="str">
            <v>gs_reveal_top_angle</v>
          </cell>
          <cell r="C100">
            <v>20</v>
          </cell>
          <cell r="D100" t="str">
            <v>Angle</v>
          </cell>
        </row>
        <row r="101">
          <cell r="B101" t="str">
            <v>gs_reveal_bottom_angle</v>
          </cell>
          <cell r="C101">
            <v>0</v>
          </cell>
          <cell r="D101" t="str">
            <v>Angle</v>
          </cell>
        </row>
        <row r="102">
          <cell r="B102" t="str">
            <v>gs_reveal_innerLeft_width</v>
          </cell>
          <cell r="C102">
            <v>-1</v>
          </cell>
          <cell r="D102" t="str">
            <v>Length</v>
          </cell>
        </row>
        <row r="103">
          <cell r="B103" t="str">
            <v>gs_reveal_innerRight_width</v>
          </cell>
          <cell r="C103">
            <v>-1</v>
          </cell>
          <cell r="D103" t="str">
            <v>Length</v>
          </cell>
        </row>
        <row r="104">
          <cell r="B104" t="str">
            <v>gs_reveal_innerTop_width</v>
          </cell>
          <cell r="C104">
            <v>-1</v>
          </cell>
          <cell r="D104" t="str">
            <v>Length</v>
          </cell>
        </row>
        <row r="105">
          <cell r="B105" t="str">
            <v>gs_reveal_innerBottom_width</v>
          </cell>
          <cell r="C105">
            <v>-1</v>
          </cell>
          <cell r="D105" t="str">
            <v>Length</v>
          </cell>
        </row>
        <row r="106">
          <cell r="B106" t="str">
            <v>gs_reveal_outerLeft_angle</v>
          </cell>
          <cell r="C106">
            <v>20</v>
          </cell>
          <cell r="D106" t="str">
            <v>Angle</v>
          </cell>
        </row>
        <row r="107">
          <cell r="B107" t="str">
            <v>gs_reveal_outerRight_angle</v>
          </cell>
          <cell r="C107">
            <v>20</v>
          </cell>
          <cell r="D107" t="str">
            <v>Angle</v>
          </cell>
        </row>
        <row r="108">
          <cell r="B108" t="str">
            <v>gs_reveal_outerTop_angle</v>
          </cell>
          <cell r="C108">
            <v>20</v>
          </cell>
          <cell r="D108" t="str">
            <v>Angle</v>
          </cell>
        </row>
        <row r="109">
          <cell r="B109" t="str">
            <v>gs_reveal_outerBottom_angle</v>
          </cell>
          <cell r="C109">
            <v>0</v>
          </cell>
          <cell r="D109" t="str">
            <v>Angle</v>
          </cell>
        </row>
        <row r="110">
          <cell r="B110" t="str">
            <v>gs_reveal_auto_changed_by_cc</v>
          </cell>
          <cell r="C110">
            <v>0</v>
          </cell>
          <cell r="D110" t="str">
            <v>Boolean</v>
          </cell>
        </row>
        <row r="111">
          <cell r="B111" t="str">
            <v>gs_reveal_outerLeft_width</v>
          </cell>
          <cell r="C111">
            <v>-1</v>
          </cell>
          <cell r="D111" t="str">
            <v>Length</v>
          </cell>
        </row>
        <row r="112">
          <cell r="B112" t="str">
            <v>gs_reveal_outerRight_width</v>
          </cell>
          <cell r="C112">
            <v>-1</v>
          </cell>
          <cell r="D112" t="str">
            <v>Length</v>
          </cell>
        </row>
        <row r="113">
          <cell r="B113" t="str">
            <v>gs_reveal_outerTop_width</v>
          </cell>
          <cell r="C113">
            <v>-1</v>
          </cell>
          <cell r="D113" t="str">
            <v>Length</v>
          </cell>
        </row>
        <row r="114">
          <cell r="B114" t="str">
            <v>gs_reveal_outerBottom_width</v>
          </cell>
          <cell r="C114">
            <v>-1</v>
          </cell>
          <cell r="D114" t="str">
            <v>Length</v>
          </cell>
        </row>
        <row r="115">
          <cell r="B115" t="str">
            <v>gs_turn_plaster</v>
          </cell>
          <cell r="D115" t="str">
            <v>Title</v>
          </cell>
        </row>
        <row r="116">
          <cell r="B116" t="str">
            <v>gs_useWallFinishSkin</v>
          </cell>
          <cell r="C116">
            <v>0</v>
          </cell>
          <cell r="D116" t="str">
            <v>Boolean</v>
          </cell>
        </row>
        <row r="117">
          <cell r="B117" t="str">
            <v>gs_maxPlasterThk</v>
          </cell>
          <cell r="C117">
            <v>0.04</v>
          </cell>
          <cell r="D117" t="str">
            <v>Length</v>
          </cell>
        </row>
        <row r="118">
          <cell r="B118" t="str">
            <v>gs_bAutoTurnOut</v>
          </cell>
          <cell r="C118">
            <v>0</v>
          </cell>
          <cell r="D118" t="str">
            <v>Boolean</v>
          </cell>
        </row>
        <row r="119">
          <cell r="B119" t="str">
            <v>gs_bOverOut</v>
          </cell>
          <cell r="C119">
            <v>0</v>
          </cell>
          <cell r="D119" t="str">
            <v>Integer</v>
          </cell>
        </row>
        <row r="120">
          <cell r="B120" t="str">
            <v>gs_bAutoTurnIn</v>
          </cell>
          <cell r="C120">
            <v>0</v>
          </cell>
          <cell r="D120" t="str">
            <v>Boolean</v>
          </cell>
        </row>
        <row r="121">
          <cell r="B121" t="str">
            <v>gs_bOverIn</v>
          </cell>
          <cell r="C121">
            <v>0</v>
          </cell>
          <cell r="D121" t="str">
            <v>Integer</v>
          </cell>
        </row>
        <row r="122">
          <cell r="B122" t="str">
            <v>gs_turn_plaster_dim_2D</v>
          </cell>
          <cell r="C122">
            <v>0</v>
          </cell>
          <cell r="D122" t="str">
            <v>Boolean</v>
          </cell>
        </row>
        <row r="123">
          <cell r="B123" t="str">
            <v>gs_turn_plaster_show_3D</v>
          </cell>
          <cell r="C123">
            <v>0</v>
          </cell>
          <cell r="D123" t="str">
            <v>Boolean</v>
          </cell>
        </row>
        <row r="124">
          <cell r="B124" t="str">
            <v>gs_closure_type</v>
          </cell>
          <cell r="C124" t="str">
            <v>Kein Schichteinzug</v>
          </cell>
          <cell r="D124" t="str">
            <v>String</v>
          </cell>
        </row>
        <row r="125">
          <cell r="B125" t="str">
            <v>gs_closure_type_int</v>
          </cell>
          <cell r="C125">
            <v>1</v>
          </cell>
          <cell r="D125" t="str">
            <v>Integer</v>
          </cell>
        </row>
        <row r="126">
          <cell r="B126" t="str">
            <v>gs_cavity_side</v>
          </cell>
          <cell r="C126" t="str">
            <v>Beide</v>
          </cell>
          <cell r="D126" t="str">
            <v>String</v>
          </cell>
        </row>
        <row r="127">
          <cell r="B127" t="str">
            <v>iCavityClosureSide</v>
          </cell>
          <cell r="C127">
            <v>1</v>
          </cell>
          <cell r="D127" t="str">
            <v>Integer</v>
          </cell>
        </row>
        <row r="128">
          <cell r="B128" t="str">
            <v>gs_nTurn</v>
          </cell>
          <cell r="C128">
            <v>1</v>
          </cell>
          <cell r="D128" t="str">
            <v>Integer</v>
          </cell>
        </row>
        <row r="129">
          <cell r="B129" t="str">
            <v>gs_nTurnDir</v>
          </cell>
          <cell r="C129" t="str">
            <v>Außenseite</v>
          </cell>
          <cell r="D129" t="str">
            <v>String</v>
          </cell>
        </row>
        <row r="130">
          <cell r="B130" t="str">
            <v>iCavityClosureTurnDir</v>
          </cell>
          <cell r="C130">
            <v>1</v>
          </cell>
          <cell r="D130" t="str">
            <v>Integer</v>
          </cell>
        </row>
        <row r="131">
          <cell r="B131" t="str">
            <v>gs_cc_dutch_ShowLeft</v>
          </cell>
          <cell r="C131">
            <v>1</v>
          </cell>
          <cell r="D131" t="str">
            <v>Boolean</v>
          </cell>
        </row>
        <row r="132">
          <cell r="B132" t="str">
            <v>gs_cc_dutch_ShowRight</v>
          </cell>
          <cell r="C132">
            <v>1</v>
          </cell>
          <cell r="D132" t="str">
            <v>Boolean</v>
          </cell>
        </row>
        <row r="133">
          <cell r="B133" t="str">
            <v>gs_cc_dutch_ShowTop</v>
          </cell>
          <cell r="C133">
            <v>0</v>
          </cell>
          <cell r="D133" t="str">
            <v>Boolean</v>
          </cell>
        </row>
        <row r="134">
          <cell r="B134" t="str">
            <v>gs_cc_dutch_ShowBottom</v>
          </cell>
          <cell r="C134">
            <v>0</v>
          </cell>
          <cell r="D134" t="str">
            <v>Boolean</v>
          </cell>
        </row>
        <row r="135">
          <cell r="B135" t="str">
            <v>gs_cc_dutch_ClosureToSkin</v>
          </cell>
          <cell r="C135">
            <v>1</v>
          </cell>
          <cell r="D135" t="str">
            <v>Integer</v>
          </cell>
        </row>
        <row r="136">
          <cell r="B136" t="str">
            <v>gs_cc_dutch_ClosureToSide_str</v>
          </cell>
          <cell r="D136" t="str">
            <v>String</v>
          </cell>
        </row>
        <row r="137">
          <cell r="B137" t="str">
            <v>gs_cc_dutch_ClosureToSide</v>
          </cell>
          <cell r="C137">
            <v>1</v>
          </cell>
          <cell r="D137" t="str">
            <v>Integer</v>
          </cell>
        </row>
        <row r="138">
          <cell r="B138" t="str">
            <v>gs_cc_dutch_TurnToClosure</v>
          </cell>
          <cell r="C138">
            <v>0</v>
          </cell>
          <cell r="D138" t="str">
            <v>Boolean</v>
          </cell>
        </row>
        <row r="139">
          <cell r="B139" t="str">
            <v>gs_cc_dutch_TurnToClosureOffs</v>
          </cell>
          <cell r="C139">
            <v>0</v>
          </cell>
          <cell r="D139" t="str">
            <v>Length</v>
          </cell>
        </row>
        <row r="140">
          <cell r="B140" t="str">
            <v>gs_cc_dutch_widthJoint</v>
          </cell>
          <cell r="C140">
            <v>3.7999999999999999E-2</v>
          </cell>
          <cell r="D140" t="str">
            <v>Length</v>
          </cell>
        </row>
        <row r="141">
          <cell r="B141" t="str">
            <v>gs_cc_dutch_thkJoint</v>
          </cell>
          <cell r="C141">
            <v>0.1</v>
          </cell>
          <cell r="D141" t="str">
            <v>Length</v>
          </cell>
        </row>
        <row r="142">
          <cell r="B142" t="str">
            <v>gs_bJoint</v>
          </cell>
          <cell r="C142">
            <v>1</v>
          </cell>
          <cell r="D142" t="str">
            <v>Boolean</v>
          </cell>
        </row>
        <row r="143">
          <cell r="B143" t="str">
            <v>gs_showJoint</v>
          </cell>
          <cell r="C143">
            <v>1</v>
          </cell>
          <cell r="D143" t="str">
            <v>Boolean</v>
          </cell>
        </row>
        <row r="144">
          <cell r="B144" t="str">
            <v>gs_thkJoint</v>
          </cell>
          <cell r="C144">
            <v>2.5000000000000001E-2</v>
          </cell>
          <cell r="D144" t="str">
            <v>Length</v>
          </cell>
        </row>
        <row r="145">
          <cell r="B145" t="str">
            <v>gs_penJoint</v>
          </cell>
          <cell r="C145">
            <v>100</v>
          </cell>
          <cell r="D145" t="str">
            <v>PenColor</v>
          </cell>
        </row>
        <row r="146">
          <cell r="B146" t="str">
            <v>gs_ltJoint</v>
          </cell>
          <cell r="C146">
            <v>1</v>
          </cell>
          <cell r="D146" t="str">
            <v>LineType</v>
          </cell>
        </row>
        <row r="147">
          <cell r="B147" t="str">
            <v>gs_fillJoint</v>
          </cell>
          <cell r="C147">
            <v>65</v>
          </cell>
          <cell r="D147" t="str">
            <v>FillPattern</v>
          </cell>
        </row>
        <row r="148">
          <cell r="B148" t="str">
            <v>gs_penJointFg</v>
          </cell>
          <cell r="C148">
            <v>1</v>
          </cell>
          <cell r="D148" t="str">
            <v>PenColor</v>
          </cell>
        </row>
        <row r="149">
          <cell r="B149" t="str">
            <v>gs_penJointBg</v>
          </cell>
          <cell r="C149">
            <v>93</v>
          </cell>
          <cell r="D149" t="str">
            <v>PenColor</v>
          </cell>
        </row>
        <row r="150">
          <cell r="B150" t="str">
            <v>gs_cc_dutch_matJointCustom</v>
          </cell>
          <cell r="C150">
            <v>0</v>
          </cell>
          <cell r="D150" t="str">
            <v>Boolean</v>
          </cell>
        </row>
        <row r="151">
          <cell r="B151" t="str">
            <v>gs_cc_dutch_matJoint</v>
          </cell>
          <cell r="C151">
            <v>15</v>
          </cell>
          <cell r="D151" t="str">
            <v>Material</v>
          </cell>
        </row>
        <row r="152">
          <cell r="B152" t="str">
            <v>gs_widthPlug</v>
          </cell>
          <cell r="C152">
            <v>0.15</v>
          </cell>
          <cell r="D152" t="str">
            <v>Length</v>
          </cell>
        </row>
        <row r="153">
          <cell r="B153" t="str">
            <v>gs_penPlug</v>
          </cell>
          <cell r="C153">
            <v>100</v>
          </cell>
          <cell r="D153" t="str">
            <v>PenColor</v>
          </cell>
        </row>
        <row r="154">
          <cell r="B154" t="str">
            <v>gs_ltPlug</v>
          </cell>
          <cell r="C154">
            <v>1</v>
          </cell>
          <cell r="D154" t="str">
            <v>LineType</v>
          </cell>
        </row>
        <row r="155">
          <cell r="B155" t="str">
            <v>gs_fillPlug</v>
          </cell>
          <cell r="C155">
            <v>65</v>
          </cell>
          <cell r="D155" t="str">
            <v>FillPattern</v>
          </cell>
        </row>
        <row r="156">
          <cell r="B156" t="str">
            <v>gs_penPlugFg</v>
          </cell>
          <cell r="C156">
            <v>1</v>
          </cell>
          <cell r="D156" t="str">
            <v>PenColor</v>
          </cell>
        </row>
        <row r="157">
          <cell r="B157" t="str">
            <v>gs_penPlugBg</v>
          </cell>
          <cell r="C157">
            <v>93</v>
          </cell>
          <cell r="D157" t="str">
            <v>PenColor</v>
          </cell>
        </row>
        <row r="158">
          <cell r="B158" t="str">
            <v>gs_custom_cc_array_left</v>
          </cell>
          <cell r="C158" t="str">
            <v>{array}</v>
          </cell>
          <cell r="D158" t="str">
            <v>Length</v>
          </cell>
        </row>
        <row r="159">
          <cell r="B159" t="str">
            <v>gs_custom_cc_array_right</v>
          </cell>
          <cell r="C159" t="str">
            <v>{array}</v>
          </cell>
          <cell r="D159" t="str">
            <v>Length</v>
          </cell>
        </row>
        <row r="160">
          <cell r="B160" t="str">
            <v>iCustomCCEditJambSide</v>
          </cell>
          <cell r="C160">
            <v>1</v>
          </cell>
          <cell r="D160" t="str">
            <v>Integer</v>
          </cell>
        </row>
        <row r="161">
          <cell r="B161" t="str">
            <v>iCustomCCEditWallSide</v>
          </cell>
          <cell r="C161">
            <v>1</v>
          </cell>
          <cell r="D161" t="str">
            <v>Integer</v>
          </cell>
        </row>
        <row r="162">
          <cell r="B162" t="str">
            <v>iCustomCCEditSkin</v>
          </cell>
          <cell r="C162">
            <v>1</v>
          </cell>
          <cell r="D162" t="str">
            <v>Integer</v>
          </cell>
        </row>
        <row r="163">
          <cell r="B163" t="str">
            <v>gs_custom_cc_turn_in</v>
          </cell>
          <cell r="C163">
            <v>1</v>
          </cell>
          <cell r="D163" t="str">
            <v>Boolean</v>
          </cell>
        </row>
        <row r="164">
          <cell r="B164" t="str">
            <v>gs_custom_cc_plaster</v>
          </cell>
          <cell r="C164">
            <v>1</v>
          </cell>
          <cell r="D164" t="str">
            <v>Boolean</v>
          </cell>
        </row>
        <row r="165">
          <cell r="B165" t="str">
            <v>iCustomCCThicknessType</v>
          </cell>
          <cell r="C165">
            <v>1</v>
          </cell>
          <cell r="D165" t="str">
            <v>Integer</v>
          </cell>
        </row>
        <row r="166">
          <cell r="B166" t="str">
            <v>gs_custom_cc_thickness</v>
          </cell>
          <cell r="C166">
            <v>1.4999999999999999E-2</v>
          </cell>
          <cell r="D166" t="str">
            <v>Length</v>
          </cell>
        </row>
        <row r="167">
          <cell r="B167" t="str">
            <v>iCustomCCOrientation</v>
          </cell>
          <cell r="C167">
            <v>1</v>
          </cell>
          <cell r="D167" t="str">
            <v>Integer</v>
          </cell>
        </row>
        <row r="168">
          <cell r="B168" t="str">
            <v>gs_custom_cc_separator</v>
          </cell>
          <cell r="C168">
            <v>0</v>
          </cell>
          <cell r="D168" t="str">
            <v>Boolean</v>
          </cell>
        </row>
        <row r="169">
          <cell r="B169" t="str">
            <v>gs_custom_cc_separator_pen</v>
          </cell>
          <cell r="C169">
            <v>1</v>
          </cell>
          <cell r="D169" t="str">
            <v>PenColor</v>
          </cell>
        </row>
        <row r="170">
          <cell r="B170" t="str">
            <v>gs_custom_cc_overhang</v>
          </cell>
          <cell r="C170">
            <v>0</v>
          </cell>
          <cell r="D170" t="str">
            <v>Length</v>
          </cell>
        </row>
        <row r="171">
          <cell r="B171" t="str">
            <v>gs_custom_cc_last_sel_side</v>
          </cell>
          <cell r="C171">
            <v>0</v>
          </cell>
          <cell r="D171" t="str">
            <v>Boolean</v>
          </cell>
        </row>
        <row r="172">
          <cell r="B172" t="str">
            <v>gs_closure_auto_changed</v>
          </cell>
          <cell r="C172">
            <v>0</v>
          </cell>
          <cell r="D172" t="str">
            <v>Boolean</v>
          </cell>
        </row>
        <row r="173">
          <cell r="B173" t="str">
            <v>gs_door_stack</v>
          </cell>
          <cell r="D173" t="str">
            <v>Title</v>
          </cell>
        </row>
        <row r="174">
          <cell r="B174" t="str">
            <v>gs_stack_left</v>
          </cell>
          <cell r="C174">
            <v>0</v>
          </cell>
          <cell r="D174" t="str">
            <v>Boolean</v>
          </cell>
        </row>
        <row r="175">
          <cell r="B175" t="str">
            <v>gs_stack_right</v>
          </cell>
          <cell r="C175">
            <v>0</v>
          </cell>
          <cell r="D175" t="str">
            <v>Boolean</v>
          </cell>
        </row>
        <row r="176">
          <cell r="B176" t="str">
            <v>gs_stack_top</v>
          </cell>
          <cell r="C176">
            <v>0</v>
          </cell>
          <cell r="D176" t="str">
            <v>Boolean</v>
          </cell>
        </row>
        <row r="177">
          <cell r="B177" t="str">
            <v>dk_lintelboard</v>
          </cell>
          <cell r="D177" t="str">
            <v>Title</v>
          </cell>
        </row>
        <row r="178">
          <cell r="B178" t="str">
            <v>gs_lintelboard_inside</v>
          </cell>
          <cell r="C178">
            <v>0</v>
          </cell>
          <cell r="D178" t="str">
            <v>Boolean</v>
          </cell>
        </row>
        <row r="179">
          <cell r="B179" t="str">
            <v>dk_door_mounting</v>
          </cell>
          <cell r="D179" t="str">
            <v>Title</v>
          </cell>
        </row>
        <row r="180">
          <cell r="B180" t="str">
            <v>bWinMounting</v>
          </cell>
          <cell r="C180">
            <v>0</v>
          </cell>
          <cell r="D180" t="str">
            <v>Boolean</v>
          </cell>
        </row>
        <row r="181">
          <cell r="B181" t="str">
            <v>bShowMounting2D</v>
          </cell>
          <cell r="C181">
            <v>1</v>
          </cell>
          <cell r="D181" t="str">
            <v>Boolean</v>
          </cell>
        </row>
        <row r="182">
          <cell r="B182" t="str">
            <v>iTypeWindowMounting</v>
          </cell>
          <cell r="C182">
            <v>2</v>
          </cell>
          <cell r="D182" t="str">
            <v>Integer</v>
          </cell>
        </row>
        <row r="183">
          <cell r="B183" t="str">
            <v>falz</v>
          </cell>
          <cell r="C183">
            <v>0</v>
          </cell>
          <cell r="D183" t="str">
            <v>Boolean</v>
          </cell>
        </row>
        <row r="184">
          <cell r="B184" t="str">
            <v>mgew</v>
          </cell>
          <cell r="C184">
            <v>0</v>
          </cell>
          <cell r="D184" t="str">
            <v>Boolean</v>
          </cell>
        </row>
        <row r="185">
          <cell r="B185" t="str">
            <v>efs</v>
          </cell>
          <cell r="C185">
            <v>7.0000000000000007E-2</v>
          </cell>
          <cell r="D185" t="str">
            <v>Length</v>
          </cell>
        </row>
        <row r="186">
          <cell r="B186" t="str">
            <v>efb_t1</v>
          </cell>
          <cell r="C186">
            <v>0.3</v>
          </cell>
          <cell r="D186" t="str">
            <v>Length</v>
          </cell>
        </row>
        <row r="187">
          <cell r="B187" t="str">
            <v>efb_ts11</v>
          </cell>
          <cell r="C187">
            <v>0.06</v>
          </cell>
          <cell r="D187" t="str">
            <v>Length</v>
          </cell>
        </row>
        <row r="188">
          <cell r="B188" t="str">
            <v>efb_bet</v>
          </cell>
          <cell r="C188">
            <v>0.06</v>
          </cell>
          <cell r="D188" t="str">
            <v>Length</v>
          </cell>
        </row>
        <row r="189">
          <cell r="B189" t="str">
            <v>efsu</v>
          </cell>
          <cell r="C189">
            <v>7.0000000000000007E-2</v>
          </cell>
          <cell r="D189" t="str">
            <v>Length</v>
          </cell>
        </row>
        <row r="190">
          <cell r="B190" t="str">
            <v>efsu_3</v>
          </cell>
          <cell r="C190">
            <v>7.0000000000000007E-2</v>
          </cell>
          <cell r="D190" t="str">
            <v>Length</v>
          </cell>
        </row>
        <row r="191">
          <cell r="B191" t="str">
            <v>efb_k</v>
          </cell>
          <cell r="C191">
            <v>2.5000000000000001E-2</v>
          </cell>
          <cell r="D191" t="str">
            <v>Length</v>
          </cell>
        </row>
        <row r="192">
          <cell r="B192" t="str">
            <v>efb_s</v>
          </cell>
          <cell r="C192">
            <v>0.05</v>
          </cell>
          <cell r="D192" t="str">
            <v>Length</v>
          </cell>
        </row>
        <row r="193">
          <cell r="B193" t="str">
            <v>mat_ef</v>
          </cell>
          <cell r="C193">
            <v>133</v>
          </cell>
          <cell r="D193" t="str">
            <v>Material</v>
          </cell>
        </row>
        <row r="194">
          <cell r="B194" t="str">
            <v>gs_pen_k</v>
          </cell>
          <cell r="C194">
            <v>1</v>
          </cell>
          <cell r="D194" t="str">
            <v>PenColor</v>
          </cell>
        </row>
        <row r="195">
          <cell r="B195" t="str">
            <v>gs_pen_kv</v>
          </cell>
          <cell r="C195">
            <v>1</v>
          </cell>
          <cell r="D195" t="str">
            <v>PenColor</v>
          </cell>
        </row>
        <row r="196">
          <cell r="B196" t="str">
            <v>gs_pen_kh</v>
          </cell>
          <cell r="C196">
            <v>1</v>
          </cell>
          <cell r="D196" t="str">
            <v>PenColor</v>
          </cell>
        </row>
        <row r="197">
          <cell r="B197" t="str">
            <v>gs_pen_sc</v>
          </cell>
          <cell r="C197">
            <v>1</v>
          </cell>
          <cell r="D197" t="str">
            <v>PenColor</v>
          </cell>
        </row>
        <row r="198">
          <cell r="B198" t="str">
            <v>gs_pen_h</v>
          </cell>
          <cell r="C198">
            <v>1</v>
          </cell>
          <cell r="D198" t="str">
            <v>PenColor</v>
          </cell>
        </row>
        <row r="199">
          <cell r="B199" t="str">
            <v>efsc</v>
          </cell>
          <cell r="C199">
            <v>64</v>
          </cell>
          <cell r="D199" t="str">
            <v>FillPattern</v>
          </cell>
        </row>
        <row r="200">
          <cell r="B200" t="str">
            <v>efsc1</v>
          </cell>
          <cell r="C200">
            <v>65</v>
          </cell>
          <cell r="D200" t="str">
            <v>FillPattern</v>
          </cell>
        </row>
        <row r="201">
          <cell r="B201" t="str">
            <v>efsc2</v>
          </cell>
          <cell r="C201">
            <v>16</v>
          </cell>
          <cell r="D201" t="str">
            <v>FillPattern</v>
          </cell>
        </row>
        <row r="202">
          <cell r="B202" t="str">
            <v>efsc_v</v>
          </cell>
          <cell r="C202">
            <v>65</v>
          </cell>
          <cell r="D202" t="str">
            <v>FillPattern</v>
          </cell>
        </row>
        <row r="203">
          <cell r="B203" t="str">
            <v>efsc_d</v>
          </cell>
          <cell r="C203">
            <v>65</v>
          </cell>
          <cell r="D203" t="str">
            <v>FillPattern</v>
          </cell>
        </row>
        <row r="204">
          <cell r="B204" t="str">
            <v>efsc_h</v>
          </cell>
          <cell r="C204">
            <v>65</v>
          </cell>
          <cell r="D204" t="str">
            <v>FillPattern</v>
          </cell>
        </row>
        <row r="205">
          <cell r="B205" t="str">
            <v>ltypef</v>
          </cell>
          <cell r="C205">
            <v>1</v>
          </cell>
          <cell r="D205" t="str">
            <v>LineType</v>
          </cell>
        </row>
        <row r="206">
          <cell r="B206" t="str">
            <v>dk_sunshade</v>
          </cell>
          <cell r="D206" t="str">
            <v>Title</v>
          </cell>
        </row>
        <row r="207">
          <cell r="B207" t="str">
            <v>bSunshade</v>
          </cell>
          <cell r="C207">
            <v>0</v>
          </cell>
          <cell r="D207" t="str">
            <v>Boolean</v>
          </cell>
        </row>
        <row r="208">
          <cell r="B208" t="str">
            <v>gs_sunShade_iType</v>
          </cell>
          <cell r="C208">
            <v>1</v>
          </cell>
          <cell r="D208" t="str">
            <v>Integer</v>
          </cell>
        </row>
        <row r="209">
          <cell r="B209" t="str">
            <v>gs_sunShade_typeEnable</v>
          </cell>
          <cell r="C209">
            <v>254</v>
          </cell>
          <cell r="D209" t="str">
            <v>Integer</v>
          </cell>
        </row>
        <row r="210">
          <cell r="B210" t="str">
            <v>bs_demand_FireResistance</v>
          </cell>
          <cell r="C210">
            <v>0</v>
          </cell>
          <cell r="D210" t="str">
            <v>Integer</v>
          </cell>
        </row>
        <row r="211">
          <cell r="B211" t="str">
            <v>bs_demand_SmokeResistance</v>
          </cell>
          <cell r="C211">
            <v>0</v>
          </cell>
          <cell r="D211" t="str">
            <v>Integer</v>
          </cell>
        </row>
        <row r="212">
          <cell r="B212" t="str">
            <v>bs_demand_NoiseInsulaion</v>
          </cell>
          <cell r="C212">
            <v>0</v>
          </cell>
          <cell r="D212" t="str">
            <v>Integer</v>
          </cell>
        </row>
        <row r="213">
          <cell r="B213" t="str">
            <v>bs_demand_Accessibility</v>
          </cell>
          <cell r="C213">
            <v>0</v>
          </cell>
          <cell r="D213" t="str">
            <v>Integer</v>
          </cell>
        </row>
        <row r="214">
          <cell r="B214" t="str">
            <v>bs_demand_AdmissionControl</v>
          </cell>
          <cell r="C214">
            <v>0</v>
          </cell>
          <cell r="D214" t="str">
            <v>Integer</v>
          </cell>
        </row>
        <row r="215">
          <cell r="B215" t="str">
            <v>bs_demand_MoistureProofing</v>
          </cell>
          <cell r="C215">
            <v>0</v>
          </cell>
          <cell r="D215" t="str">
            <v>Integer</v>
          </cell>
        </row>
        <row r="216">
          <cell r="B216" t="str">
            <v>bs_demand_EscapeRoute</v>
          </cell>
          <cell r="C216">
            <v>0</v>
          </cell>
          <cell r="D216" t="str">
            <v>Integer</v>
          </cell>
        </row>
        <row r="217">
          <cell r="B217" t="str">
            <v>bs_quality_FireResistanceRating</v>
          </cell>
          <cell r="C217" t="str">
            <v>undefiniert</v>
          </cell>
          <cell r="D217" t="str">
            <v>String</v>
          </cell>
        </row>
        <row r="218">
          <cell r="B218" t="str">
            <v>bs_quality_SmokeResistance</v>
          </cell>
          <cell r="C218" t="str">
            <v>undefiniert</v>
          </cell>
          <cell r="D218" t="str">
            <v>String</v>
          </cell>
        </row>
        <row r="219">
          <cell r="B219" t="str">
            <v>bs_quality_NoiseInsulaion</v>
          </cell>
          <cell r="C219" t="str">
            <v>undefiniert</v>
          </cell>
          <cell r="D219" t="str">
            <v>String</v>
          </cell>
        </row>
        <row r="220">
          <cell r="B220" t="str">
            <v>bs_quality_ThermalInsulaion</v>
          </cell>
          <cell r="C220" t="str">
            <v>undefiniert</v>
          </cell>
          <cell r="D220" t="str">
            <v>String</v>
          </cell>
        </row>
        <row r="221">
          <cell r="B221" t="str">
            <v>bs_quality_BurglaryProtection</v>
          </cell>
          <cell r="C221" t="str">
            <v>undefiniert</v>
          </cell>
          <cell r="D221" t="str">
            <v>String</v>
          </cell>
        </row>
        <row r="222">
          <cell r="B222" t="str">
            <v>bs_quality_StrafingProtection</v>
          </cell>
          <cell r="C222" t="str">
            <v>undefiniert</v>
          </cell>
          <cell r="D222" t="str">
            <v>String</v>
          </cell>
        </row>
        <row r="223">
          <cell r="B223" t="str">
            <v>bs_quality_DetonationProtection</v>
          </cell>
          <cell r="C223" t="str">
            <v>undefiniert</v>
          </cell>
          <cell r="D223" t="str">
            <v>String</v>
          </cell>
        </row>
        <row r="224">
          <cell r="B224" t="str">
            <v>bs_quality_RadiationProtection</v>
          </cell>
          <cell r="C224" t="str">
            <v>undefiniert</v>
          </cell>
          <cell r="D224" t="str">
            <v>String</v>
          </cell>
        </row>
        <row r="225">
          <cell r="B225" t="str">
            <v>bs_quality_LaserProtection</v>
          </cell>
          <cell r="C225" t="str">
            <v>undefiniert</v>
          </cell>
          <cell r="D225" t="str">
            <v>String</v>
          </cell>
        </row>
        <row r="226">
          <cell r="B226" t="str">
            <v>bs_quality_FloodProtection</v>
          </cell>
          <cell r="C226" t="str">
            <v>undefiniert</v>
          </cell>
          <cell r="D226" t="str">
            <v>String</v>
          </cell>
        </row>
        <row r="227">
          <cell r="B227" t="str">
            <v>bs_quality_VandalismProtection</v>
          </cell>
          <cell r="C227" t="str">
            <v>undefiniert</v>
          </cell>
          <cell r="D227" t="str">
            <v>String</v>
          </cell>
        </row>
        <row r="228">
          <cell r="B228" t="str">
            <v>bs_quality_GasDefense</v>
          </cell>
          <cell r="C228" t="str">
            <v>undefiniert</v>
          </cell>
          <cell r="D228" t="str">
            <v>String</v>
          </cell>
        </row>
        <row r="229">
          <cell r="B229" t="str">
            <v>bs_quality_EscapeRoute</v>
          </cell>
          <cell r="C229" t="str">
            <v>undefiniert</v>
          </cell>
          <cell r="D229" t="str">
            <v>String</v>
          </cell>
        </row>
        <row r="230">
          <cell r="B230" t="str">
            <v>bs_quality_UsableClearance</v>
          </cell>
          <cell r="C230">
            <v>0.8</v>
          </cell>
          <cell r="D230" t="str">
            <v>Length</v>
          </cell>
        </row>
        <row r="231">
          <cell r="B231" t="str">
            <v>bs_quality_UsableHeight</v>
          </cell>
          <cell r="C231">
            <v>2</v>
          </cell>
          <cell r="D231" t="str">
            <v>Length</v>
          </cell>
        </row>
        <row r="232">
          <cell r="B232" t="str">
            <v>bs_quality_OpeningAngle</v>
          </cell>
          <cell r="C232">
            <v>90</v>
          </cell>
          <cell r="D232" t="str">
            <v>Angle</v>
          </cell>
        </row>
        <row r="233">
          <cell r="B233" t="str">
            <v>bs_quality_GuardrailHeight</v>
          </cell>
          <cell r="C233">
            <v>0</v>
          </cell>
          <cell r="D233" t="str">
            <v>Length</v>
          </cell>
        </row>
        <row r="234">
          <cell r="B234" t="str">
            <v>bs_quality_SHE</v>
          </cell>
          <cell r="C234" t="str">
            <v>undefiniert</v>
          </cell>
          <cell r="D234" t="str">
            <v>String</v>
          </cell>
        </row>
        <row r="235">
          <cell r="B235" t="str">
            <v>bs_quality_SelfClosing</v>
          </cell>
          <cell r="C235" t="str">
            <v>undefiniert</v>
          </cell>
          <cell r="D235" t="str">
            <v>String</v>
          </cell>
        </row>
        <row r="236">
          <cell r="B236" t="str">
            <v>bs_quality_Automation</v>
          </cell>
          <cell r="C236" t="str">
            <v>undefiniert</v>
          </cell>
          <cell r="D236" t="str">
            <v>String</v>
          </cell>
        </row>
        <row r="237">
          <cell r="B237" t="str">
            <v>bs_quality_AntiTrapProtection</v>
          </cell>
          <cell r="C237" t="str">
            <v>undefiniert</v>
          </cell>
          <cell r="D237" t="str">
            <v>String</v>
          </cell>
        </row>
        <row r="238">
          <cell r="B238" t="str">
            <v>bs_quality_ClimateClass</v>
          </cell>
          <cell r="C238" t="str">
            <v>undefiniert</v>
          </cell>
          <cell r="D238" t="str">
            <v>String</v>
          </cell>
        </row>
        <row r="239">
          <cell r="B239" t="str">
            <v>bs_quality_WetRoom</v>
          </cell>
          <cell r="C239" t="str">
            <v>undefiniert</v>
          </cell>
          <cell r="D239" t="str">
            <v>String</v>
          </cell>
        </row>
        <row r="240">
          <cell r="B240" t="str">
            <v>bs_quality_DampArea</v>
          </cell>
          <cell r="C240" t="str">
            <v>undefiniert</v>
          </cell>
          <cell r="D240" t="str">
            <v>String</v>
          </cell>
        </row>
        <row r="241">
          <cell r="B241" t="str">
            <v>bs_quality_Tightness</v>
          </cell>
          <cell r="C241" t="str">
            <v>undefiniert</v>
          </cell>
          <cell r="D241" t="str">
            <v>String</v>
          </cell>
        </row>
        <row r="242">
          <cell r="B242" t="str">
            <v>bs_quality_Hygiene</v>
          </cell>
          <cell r="C242" t="str">
            <v>undefiniert</v>
          </cell>
          <cell r="D242" t="str">
            <v>String</v>
          </cell>
        </row>
        <row r="243">
          <cell r="B243" t="str">
            <v>bs_quality_Sustainability</v>
          </cell>
          <cell r="C243" t="str">
            <v>undefiniert</v>
          </cell>
          <cell r="D243" t="str">
            <v>String</v>
          </cell>
        </row>
        <row r="244">
          <cell r="B244" t="str">
            <v>bs_quality_ExplosionSafety</v>
          </cell>
          <cell r="C244" t="str">
            <v>undefiniert</v>
          </cell>
          <cell r="D244" t="str">
            <v>String</v>
          </cell>
        </row>
        <row r="245">
          <cell r="B245" t="str">
            <v>bs_quality_MechanicalLoad</v>
          </cell>
          <cell r="C245" t="str">
            <v>undefiniert</v>
          </cell>
          <cell r="D245" t="str">
            <v>String</v>
          </cell>
        </row>
        <row r="246">
          <cell r="B246" t="str">
            <v>bs_quality_CorrosionPrevention</v>
          </cell>
          <cell r="C246" t="str">
            <v>undefiniert</v>
          </cell>
          <cell r="D246" t="str">
            <v>String</v>
          </cell>
        </row>
        <row r="247">
          <cell r="B247" t="str">
            <v>bs_quality_UsefulLife</v>
          </cell>
          <cell r="C247" t="str">
            <v>undefiniert</v>
          </cell>
          <cell r="D247" t="str">
            <v>String</v>
          </cell>
        </row>
        <row r="248">
          <cell r="B248" t="str">
            <v>bs_quality_IntensityOfUse</v>
          </cell>
          <cell r="C248" t="str">
            <v>undefiniert</v>
          </cell>
          <cell r="D248" t="str">
            <v>String</v>
          </cell>
        </row>
        <row r="249">
          <cell r="B249" t="str">
            <v>bs_quality_EMShielding</v>
          </cell>
          <cell r="C249" t="str">
            <v>undefiniert</v>
          </cell>
          <cell r="D249" t="str">
            <v>String</v>
          </cell>
        </row>
        <row r="250">
          <cell r="B250" t="str">
            <v>bs_quality_BurglaryAlarmSystem</v>
          </cell>
          <cell r="C250" t="str">
            <v>undefiniert</v>
          </cell>
          <cell r="D250" t="str">
            <v>String</v>
          </cell>
        </row>
        <row r="251">
          <cell r="B251" t="str">
            <v>bs_quality_AccidentPrevention</v>
          </cell>
          <cell r="C251" t="str">
            <v>undefiniert</v>
          </cell>
          <cell r="D251" t="str">
            <v>String</v>
          </cell>
        </row>
        <row r="252">
          <cell r="B252" t="str">
            <v>bs_quality_Accessibility</v>
          </cell>
          <cell r="C252" t="str">
            <v>undefiniert</v>
          </cell>
          <cell r="D252" t="str">
            <v>String</v>
          </cell>
        </row>
        <row r="253">
          <cell r="B253" t="str">
            <v>bs_quality_ActuatingForce</v>
          </cell>
          <cell r="C253" t="str">
            <v>undefiniert</v>
          </cell>
          <cell r="D253" t="str">
            <v>String</v>
          </cell>
        </row>
        <row r="254">
          <cell r="B254" t="str">
            <v>bs_ac_identify1</v>
          </cell>
          <cell r="C254" t="str">
            <v>[-]</v>
          </cell>
          <cell r="D254" t="str">
            <v>String</v>
          </cell>
        </row>
        <row r="255">
          <cell r="B255" t="str">
            <v>bs_ac_identify2</v>
          </cell>
          <cell r="C255" t="str">
            <v>[-]</v>
          </cell>
          <cell r="D255" t="str">
            <v>String</v>
          </cell>
        </row>
        <row r="256">
          <cell r="B256" t="str">
            <v>bs_ac_opening1</v>
          </cell>
          <cell r="C256" t="str">
            <v>[-]</v>
          </cell>
          <cell r="D256" t="str">
            <v>String</v>
          </cell>
        </row>
        <row r="257">
          <cell r="B257" t="str">
            <v>bs_ac_opening2</v>
          </cell>
          <cell r="C257" t="str">
            <v>[-]</v>
          </cell>
          <cell r="D257" t="str">
            <v>String</v>
          </cell>
        </row>
        <row r="258">
          <cell r="B258" t="str">
            <v>bs_ac_closing</v>
          </cell>
          <cell r="C258" t="str">
            <v>[-]</v>
          </cell>
          <cell r="D258" t="str">
            <v>String</v>
          </cell>
        </row>
        <row r="259">
          <cell r="B259" t="str">
            <v>bs_ac_status</v>
          </cell>
          <cell r="C259" t="str">
            <v>[-]</v>
          </cell>
          <cell r="D259" t="str">
            <v>String</v>
          </cell>
        </row>
        <row r="260">
          <cell r="B260" t="str">
            <v>bs_ac_control</v>
          </cell>
          <cell r="C260" t="str">
            <v>undefiniert</v>
          </cell>
          <cell r="D260" t="str">
            <v>String</v>
          </cell>
        </row>
        <row r="261">
          <cell r="B261" t="str">
            <v>dk_basic_features</v>
          </cell>
          <cell r="D261" t="str">
            <v>Title</v>
          </cell>
        </row>
        <row r="262">
          <cell r="B262" t="str">
            <v>bs_door_OpeningType</v>
          </cell>
          <cell r="C262" t="str">
            <v>Drehflügeltür Anschlagtür</v>
          </cell>
          <cell r="D262" t="str">
            <v>String</v>
          </cell>
        </row>
        <row r="263">
          <cell r="B263" t="str">
            <v>bs_door_ConstructionType</v>
          </cell>
          <cell r="C263" t="str">
            <v>Vollblatttür</v>
          </cell>
          <cell r="D263" t="str">
            <v>String</v>
          </cell>
        </row>
        <row r="264">
          <cell r="B264" t="str">
            <v>gs_mountingFrame</v>
          </cell>
          <cell r="C264">
            <v>0</v>
          </cell>
          <cell r="D264" t="str">
            <v>Boolean</v>
          </cell>
        </row>
        <row r="265">
          <cell r="B265" t="str">
            <v>bs_door_leafs</v>
          </cell>
          <cell r="C265">
            <v>1</v>
          </cell>
          <cell r="D265" t="str">
            <v>Integer</v>
          </cell>
        </row>
        <row r="266">
          <cell r="B266" t="str">
            <v>gs_door_transom</v>
          </cell>
          <cell r="C266">
            <v>0</v>
          </cell>
          <cell r="D266" t="str">
            <v>Boolean</v>
          </cell>
        </row>
        <row r="267">
          <cell r="B267" t="str">
            <v>bs_door_sidelight</v>
          </cell>
          <cell r="C267" t="str">
            <v>-</v>
          </cell>
          <cell r="D267" t="str">
            <v>String</v>
          </cell>
        </row>
        <row r="268">
          <cell r="B268" t="str">
            <v>gs_list_orientationDef_m</v>
          </cell>
          <cell r="C268">
            <v>0</v>
          </cell>
          <cell r="D268" t="str">
            <v>Integer</v>
          </cell>
        </row>
        <row r="269">
          <cell r="B269" t="str">
            <v>ac_OpeningSide</v>
          </cell>
          <cell r="C269" t="str">
            <v>R</v>
          </cell>
          <cell r="D269" t="str">
            <v>String</v>
          </cell>
        </row>
        <row r="270">
          <cell r="B270" t="str">
            <v>bs_door_electrified</v>
          </cell>
          <cell r="C270">
            <v>0</v>
          </cell>
          <cell r="D270" t="str">
            <v>Boolean</v>
          </cell>
        </row>
        <row r="271">
          <cell r="B271" t="str">
            <v>bThreshold</v>
          </cell>
          <cell r="C271">
            <v>0</v>
          </cell>
          <cell r="D271" t="str">
            <v>Boolean</v>
          </cell>
        </row>
        <row r="272">
          <cell r="B272" t="str">
            <v>gs_sill_outside</v>
          </cell>
          <cell r="C272">
            <v>0</v>
          </cell>
          <cell r="D272" t="str">
            <v>Boolean</v>
          </cell>
        </row>
        <row r="273">
          <cell r="B273" t="str">
            <v>gs_door_sizes</v>
          </cell>
          <cell r="D273" t="str">
            <v>Title</v>
          </cell>
        </row>
        <row r="274">
          <cell r="B274" t="str">
            <v>gs_tolerance_left</v>
          </cell>
          <cell r="C274">
            <v>5.0000000000000001E-3</v>
          </cell>
          <cell r="D274" t="str">
            <v>Length</v>
          </cell>
        </row>
        <row r="275">
          <cell r="B275" t="str">
            <v>gs_tolerance_right</v>
          </cell>
          <cell r="C275">
            <v>5.0000000000000001E-3</v>
          </cell>
          <cell r="D275" t="str">
            <v>Length</v>
          </cell>
        </row>
        <row r="276">
          <cell r="B276" t="str">
            <v>gs_tolerance_upper</v>
          </cell>
          <cell r="C276">
            <v>0.01</v>
          </cell>
          <cell r="D276" t="str">
            <v>Length</v>
          </cell>
        </row>
        <row r="277">
          <cell r="B277" t="str">
            <v>gs_tolerance_lower</v>
          </cell>
          <cell r="C277">
            <v>0</v>
          </cell>
          <cell r="D277" t="str">
            <v>Length</v>
          </cell>
        </row>
        <row r="278">
          <cell r="B278" t="str">
            <v>dk_tolerance</v>
          </cell>
          <cell r="C278">
            <v>1</v>
          </cell>
          <cell r="D278" t="str">
            <v>Integer</v>
          </cell>
        </row>
        <row r="279">
          <cell r="B279" t="str">
            <v>ac_wallhole_width</v>
          </cell>
          <cell r="C279">
            <v>0.76</v>
          </cell>
          <cell r="D279" t="str">
            <v>Length</v>
          </cell>
        </row>
        <row r="280">
          <cell r="B280" t="str">
            <v>ac_wallhole_height</v>
          </cell>
          <cell r="C280">
            <v>2.1349999999999998</v>
          </cell>
          <cell r="D280" t="str">
            <v>Length</v>
          </cell>
        </row>
        <row r="281">
          <cell r="B281" t="str">
            <v>ac_wallhole_height_original</v>
          </cell>
          <cell r="C281">
            <v>2.1349999999999998</v>
          </cell>
          <cell r="D281" t="str">
            <v>Length</v>
          </cell>
        </row>
        <row r="282">
          <cell r="B282" t="str">
            <v>ac_reveal_width</v>
          </cell>
          <cell r="C282">
            <v>0.76</v>
          </cell>
          <cell r="D282" t="str">
            <v>Length</v>
          </cell>
        </row>
        <row r="283">
          <cell r="B283" t="str">
            <v>ac_reveal_height</v>
          </cell>
          <cell r="C283">
            <v>2.1349999999999998</v>
          </cell>
          <cell r="D283" t="str">
            <v>Length</v>
          </cell>
        </row>
        <row r="284">
          <cell r="B284" t="str">
            <v>ac_reveal_height_original</v>
          </cell>
          <cell r="C284">
            <v>2.1349999999999998</v>
          </cell>
          <cell r="D284" t="str">
            <v>Length</v>
          </cell>
        </row>
        <row r="285">
          <cell r="B285" t="str">
            <v>ac_unit_width</v>
          </cell>
          <cell r="C285">
            <v>0.75</v>
          </cell>
          <cell r="D285" t="str">
            <v>Length</v>
          </cell>
        </row>
        <row r="286">
          <cell r="B286" t="str">
            <v>ac_unit_height</v>
          </cell>
          <cell r="C286">
            <v>2.125</v>
          </cell>
          <cell r="D286" t="str">
            <v>Length</v>
          </cell>
        </row>
        <row r="287">
          <cell r="B287" t="str">
            <v>ac_baurichtmass_width</v>
          </cell>
          <cell r="C287">
            <v>0.75</v>
          </cell>
          <cell r="D287" t="str">
            <v>Length</v>
          </cell>
        </row>
        <row r="288">
          <cell r="B288" t="str">
            <v>ac_baurichtmass_height</v>
          </cell>
          <cell r="C288">
            <v>2.125</v>
          </cell>
          <cell r="D288" t="str">
            <v>Length</v>
          </cell>
        </row>
        <row r="289">
          <cell r="B289" t="str">
            <v>bs_FrameRebate_width</v>
          </cell>
          <cell r="C289">
            <v>0.72</v>
          </cell>
          <cell r="D289" t="str">
            <v>Length</v>
          </cell>
        </row>
        <row r="290">
          <cell r="B290" t="str">
            <v>bs_FrameRebate_height</v>
          </cell>
          <cell r="C290">
            <v>2.11</v>
          </cell>
          <cell r="D290" t="str">
            <v>Length</v>
          </cell>
        </row>
        <row r="291">
          <cell r="B291" t="str">
            <v>ac_egress_width</v>
          </cell>
          <cell r="C291">
            <v>0.69</v>
          </cell>
          <cell r="D291" t="str">
            <v>Length</v>
          </cell>
        </row>
        <row r="292">
          <cell r="B292" t="str">
            <v>ac_egress_height</v>
          </cell>
          <cell r="C292">
            <v>2.0950000000000002</v>
          </cell>
          <cell r="D292" t="str">
            <v>Length</v>
          </cell>
        </row>
        <row r="293">
          <cell r="B293" t="str">
            <v>bs_UsableClearance</v>
          </cell>
          <cell r="C293">
            <v>0.8</v>
          </cell>
          <cell r="D293" t="str">
            <v>Length</v>
          </cell>
        </row>
        <row r="294">
          <cell r="B294" t="str">
            <v>bs_UsableHeight</v>
          </cell>
          <cell r="C294">
            <v>2.0499999999999998</v>
          </cell>
          <cell r="D294" t="str">
            <v>Length</v>
          </cell>
        </row>
        <row r="295">
          <cell r="B295" t="str">
            <v>ac_leaf_width</v>
          </cell>
          <cell r="C295">
            <v>0.746</v>
          </cell>
          <cell r="D295" t="str">
            <v>Length</v>
          </cell>
        </row>
        <row r="296">
          <cell r="B296" t="str">
            <v>ac_leaf_height</v>
          </cell>
          <cell r="C296">
            <v>2.1179999999999999</v>
          </cell>
          <cell r="D296" t="str">
            <v>Length</v>
          </cell>
        </row>
        <row r="297">
          <cell r="B297" t="str">
            <v>gs_nominal_size</v>
          </cell>
          <cell r="C297">
            <v>1</v>
          </cell>
          <cell r="D297" t="str">
            <v>Integer</v>
          </cell>
        </row>
        <row r="298">
          <cell r="B298" t="str">
            <v>gs_wallhole_nominal</v>
          </cell>
          <cell r="C298">
            <v>0</v>
          </cell>
          <cell r="D298" t="str">
            <v>Boolean</v>
          </cell>
        </row>
        <row r="299">
          <cell r="B299" t="str">
            <v>gs_reveal_nominal</v>
          </cell>
          <cell r="C299">
            <v>1</v>
          </cell>
          <cell r="D299" t="str">
            <v>Boolean</v>
          </cell>
        </row>
        <row r="300">
          <cell r="B300" t="str">
            <v>gs_unit_nominal</v>
          </cell>
          <cell r="C300">
            <v>0</v>
          </cell>
          <cell r="D300" t="str">
            <v>Boolean</v>
          </cell>
        </row>
        <row r="301">
          <cell r="B301" t="str">
            <v>gs_baurichtmass_nominal</v>
          </cell>
          <cell r="C301">
            <v>0</v>
          </cell>
          <cell r="D301" t="str">
            <v>Boolean</v>
          </cell>
        </row>
        <row r="302">
          <cell r="B302" t="str">
            <v>gs_egress_nominal</v>
          </cell>
          <cell r="C302">
            <v>0</v>
          </cell>
          <cell r="D302" t="str">
            <v>Boolean</v>
          </cell>
        </row>
        <row r="303">
          <cell r="B303" t="str">
            <v>gs_leaf_nominal</v>
          </cell>
          <cell r="C303">
            <v>0</v>
          </cell>
          <cell r="D303" t="str">
            <v>Boolean</v>
          </cell>
        </row>
        <row r="304">
          <cell r="B304" t="str">
            <v>dk_FrameRebate_nominal</v>
          </cell>
          <cell r="C304">
            <v>1</v>
          </cell>
          <cell r="D304" t="str">
            <v>Boolean</v>
          </cell>
        </row>
        <row r="305">
          <cell r="B305" t="str">
            <v>gs_retain_nominal_sizes</v>
          </cell>
          <cell r="C305">
            <v>1</v>
          </cell>
          <cell r="D305" t="str">
            <v>Boolean</v>
          </cell>
        </row>
        <row r="306">
          <cell r="B306" t="str">
            <v>dk_frame_indention1</v>
          </cell>
          <cell r="C306">
            <v>-0.01</v>
          </cell>
          <cell r="D306" t="str">
            <v>Length</v>
          </cell>
        </row>
        <row r="307">
          <cell r="B307" t="str">
            <v>dk_frame_indention2</v>
          </cell>
          <cell r="C307">
            <v>0.14499999999999999</v>
          </cell>
          <cell r="D307" t="str">
            <v>Length</v>
          </cell>
        </row>
        <row r="308">
          <cell r="B308" t="str">
            <v>gs_threshhold</v>
          </cell>
          <cell r="D308" t="str">
            <v>Title</v>
          </cell>
        </row>
        <row r="309">
          <cell r="B309" t="str">
            <v>thresholdType</v>
          </cell>
          <cell r="C309" t="str">
            <v>Bis Türblatt</v>
          </cell>
          <cell r="D309" t="str">
            <v>String</v>
          </cell>
        </row>
        <row r="310">
          <cell r="B310" t="str">
            <v>iThresholdType</v>
          </cell>
          <cell r="C310">
            <v>2</v>
          </cell>
          <cell r="D310" t="str">
            <v>Integer</v>
          </cell>
        </row>
        <row r="311">
          <cell r="B311" t="str">
            <v>iNormalThresholdType</v>
          </cell>
          <cell r="C311">
            <v>1</v>
          </cell>
          <cell r="D311" t="str">
            <v>Integer</v>
          </cell>
        </row>
        <row r="312">
          <cell r="B312" t="str">
            <v>bBlindThreshold</v>
          </cell>
          <cell r="C312">
            <v>0</v>
          </cell>
          <cell r="D312" t="str">
            <v>Boolean</v>
          </cell>
        </row>
        <row r="313">
          <cell r="B313" t="str">
            <v>thresholdHeight3D</v>
          </cell>
          <cell r="C313">
            <v>0.02</v>
          </cell>
          <cell r="D313" t="str">
            <v>Length</v>
          </cell>
        </row>
        <row r="314">
          <cell r="B314" t="str">
            <v>thresholdHeight1</v>
          </cell>
          <cell r="C314">
            <v>0.02</v>
          </cell>
          <cell r="D314" t="str">
            <v>Length</v>
          </cell>
        </row>
        <row r="315">
          <cell r="B315" t="str">
            <v>thresholdHeight2</v>
          </cell>
          <cell r="C315">
            <v>0.02</v>
          </cell>
          <cell r="D315" t="str">
            <v>Length</v>
          </cell>
        </row>
        <row r="316">
          <cell r="B316" t="str">
            <v>thresholdHeight3</v>
          </cell>
          <cell r="C316">
            <v>0.02</v>
          </cell>
          <cell r="D316" t="str">
            <v>Length</v>
          </cell>
        </row>
        <row r="317">
          <cell r="B317" t="str">
            <v>bShowThreshold2D</v>
          </cell>
          <cell r="C317">
            <v>1</v>
          </cell>
          <cell r="D317" t="str">
            <v>Boolean</v>
          </cell>
        </row>
        <row r="318">
          <cell r="B318" t="str">
            <v>penThreshold</v>
          </cell>
          <cell r="C318">
            <v>1</v>
          </cell>
          <cell r="D318" t="str">
            <v>PenColor</v>
          </cell>
        </row>
        <row r="319">
          <cell r="B319" t="str">
            <v>ltThreshold</v>
          </cell>
          <cell r="C319">
            <v>1</v>
          </cell>
          <cell r="D319" t="str">
            <v>LineType</v>
          </cell>
        </row>
        <row r="320">
          <cell r="B320" t="str">
            <v>holeUnderThreshold</v>
          </cell>
          <cell r="C320" t="str">
            <v>Wandöffnung zum aktuellen Geschoss</v>
          </cell>
          <cell r="D320" t="str">
            <v>String</v>
          </cell>
        </row>
        <row r="321">
          <cell r="B321" t="str">
            <v>iHoleUnderThreshold</v>
          </cell>
          <cell r="C321">
            <v>1</v>
          </cell>
          <cell r="D321" t="str">
            <v>Integer</v>
          </cell>
        </row>
        <row r="322">
          <cell r="B322" t="str">
            <v>thresholdBottomOversize</v>
          </cell>
          <cell r="C322">
            <v>0.05</v>
          </cell>
          <cell r="D322" t="str">
            <v>Length</v>
          </cell>
        </row>
        <row r="323">
          <cell r="B323" t="str">
            <v>showSIASymbol</v>
          </cell>
          <cell r="C323" t="str">
            <v>Maßstababhängig</v>
          </cell>
          <cell r="D323" t="str">
            <v>String</v>
          </cell>
        </row>
        <row r="324">
          <cell r="B324" t="str">
            <v>iShowSIASymbol</v>
          </cell>
          <cell r="C324">
            <v>0</v>
          </cell>
          <cell r="D324" t="str">
            <v>Integer</v>
          </cell>
        </row>
        <row r="325">
          <cell r="B325" t="str">
            <v>bEditableSIASymbol</v>
          </cell>
          <cell r="C325">
            <v>0</v>
          </cell>
          <cell r="D325" t="str">
            <v>Boolean</v>
          </cell>
        </row>
        <row r="326">
          <cell r="B326" t="str">
            <v>thresholdPos1</v>
          </cell>
          <cell r="C326">
            <v>0</v>
          </cell>
          <cell r="D326" t="str">
            <v>Length</v>
          </cell>
        </row>
        <row r="327">
          <cell r="B327" t="str">
            <v>thresholdPos2</v>
          </cell>
          <cell r="C327">
            <v>0</v>
          </cell>
          <cell r="D327" t="str">
            <v>Length</v>
          </cell>
        </row>
        <row r="328">
          <cell r="B328" t="str">
            <v>thresholdPos3</v>
          </cell>
          <cell r="C328">
            <v>0</v>
          </cell>
          <cell r="D328" t="str">
            <v>Length</v>
          </cell>
        </row>
        <row r="329">
          <cell r="B329" t="str">
            <v>SIASymbolType</v>
          </cell>
          <cell r="C329" t="str">
            <v>Typ 1</v>
          </cell>
          <cell r="D329" t="str">
            <v>String</v>
          </cell>
        </row>
        <row r="330">
          <cell r="B330" t="str">
            <v>iSIASymbolType</v>
          </cell>
          <cell r="C330">
            <v>1</v>
          </cell>
          <cell r="D330" t="str">
            <v>Integer</v>
          </cell>
        </row>
        <row r="331">
          <cell r="B331" t="str">
            <v>SIASymbolSide</v>
          </cell>
          <cell r="C331" t="str">
            <v>Rechts</v>
          </cell>
          <cell r="D331" t="str">
            <v>String</v>
          </cell>
        </row>
        <row r="332">
          <cell r="B332" t="str">
            <v>iSIASymbolSide</v>
          </cell>
          <cell r="C332">
            <v>1</v>
          </cell>
          <cell r="D332" t="str">
            <v>Integer</v>
          </cell>
        </row>
        <row r="333">
          <cell r="B333" t="str">
            <v>matThreshold</v>
          </cell>
          <cell r="C333">
            <v>15</v>
          </cell>
          <cell r="D333" t="str">
            <v>Material</v>
          </cell>
        </row>
        <row r="334">
          <cell r="B334" t="str">
            <v>matThresholdMet</v>
          </cell>
          <cell r="C334">
            <v>45</v>
          </cell>
          <cell r="D334" t="str">
            <v>Material</v>
          </cell>
        </row>
        <row r="335">
          <cell r="B335" t="str">
            <v>matBlindThreshold</v>
          </cell>
          <cell r="C335">
            <v>15</v>
          </cell>
          <cell r="D335" t="str">
            <v>Material</v>
          </cell>
        </row>
        <row r="336">
          <cell r="B336" t="str">
            <v>gs_sill</v>
          </cell>
          <cell r="D336" t="str">
            <v>Title</v>
          </cell>
        </row>
        <row r="337">
          <cell r="B337" t="str">
            <v>gs_sill_oversize</v>
          </cell>
          <cell r="C337">
            <v>1</v>
          </cell>
          <cell r="D337" t="str">
            <v>Boolean</v>
          </cell>
        </row>
        <row r="338">
          <cell r="B338" t="str">
            <v>iSillType</v>
          </cell>
          <cell r="C338">
            <v>11</v>
          </cell>
          <cell r="D338" t="str">
            <v>Integer</v>
          </cell>
        </row>
        <row r="339">
          <cell r="B339" t="str">
            <v>gs_sill_width</v>
          </cell>
          <cell r="C339">
            <v>0.14499999999999999</v>
          </cell>
          <cell r="D339" t="str">
            <v>Length</v>
          </cell>
        </row>
        <row r="340">
          <cell r="B340" t="str">
            <v>gs_sill_topWidth</v>
          </cell>
          <cell r="C340">
            <v>0.01</v>
          </cell>
          <cell r="D340" t="str">
            <v>Length</v>
          </cell>
        </row>
        <row r="341">
          <cell r="B341" t="str">
            <v>gs_sill_topHeight</v>
          </cell>
          <cell r="C341">
            <v>0.01</v>
          </cell>
          <cell r="D341" t="str">
            <v>Length</v>
          </cell>
        </row>
        <row r="342">
          <cell r="B342" t="str">
            <v>gs_sill_thk</v>
          </cell>
          <cell r="C342">
            <v>0.05</v>
          </cell>
          <cell r="D342" t="str">
            <v>Length</v>
          </cell>
        </row>
        <row r="343">
          <cell r="B343" t="str">
            <v>gs_sill_endthk</v>
          </cell>
          <cell r="C343">
            <v>0.03</v>
          </cell>
          <cell r="D343" t="str">
            <v>Length</v>
          </cell>
        </row>
        <row r="344">
          <cell r="B344" t="str">
            <v>gs_sill_elev</v>
          </cell>
          <cell r="C344">
            <v>5.0000000000000001E-3</v>
          </cell>
          <cell r="D344" t="str">
            <v>Length</v>
          </cell>
        </row>
        <row r="345">
          <cell r="B345" t="str">
            <v>gs_sill_dripnos</v>
          </cell>
          <cell r="C345">
            <v>0.02</v>
          </cell>
          <cell r="D345" t="str">
            <v>Length</v>
          </cell>
        </row>
        <row r="346">
          <cell r="B346" t="str">
            <v>gs_sill_dripwidth</v>
          </cell>
          <cell r="C346">
            <v>0.03</v>
          </cell>
          <cell r="D346" t="str">
            <v>Length</v>
          </cell>
        </row>
        <row r="347">
          <cell r="B347" t="str">
            <v>gs_sill_nosing</v>
          </cell>
          <cell r="C347">
            <v>0.03</v>
          </cell>
          <cell r="D347" t="str">
            <v>Length</v>
          </cell>
        </row>
        <row r="348">
          <cell r="B348" t="str">
            <v>gs_sill_angle</v>
          </cell>
          <cell r="C348">
            <v>3</v>
          </cell>
          <cell r="D348" t="str">
            <v>Angle</v>
          </cell>
        </row>
        <row r="349">
          <cell r="B349" t="str">
            <v>gs_sill_ovhg_left</v>
          </cell>
          <cell r="C349">
            <v>0</v>
          </cell>
          <cell r="D349" t="str">
            <v>Length</v>
          </cell>
        </row>
        <row r="350">
          <cell r="B350" t="str">
            <v>gs_sill_ovhg_right</v>
          </cell>
          <cell r="C350">
            <v>0</v>
          </cell>
          <cell r="D350" t="str">
            <v>Length</v>
          </cell>
        </row>
        <row r="351">
          <cell r="B351" t="str">
            <v>gs_sill_slip_in</v>
          </cell>
          <cell r="C351">
            <v>0</v>
          </cell>
          <cell r="D351" t="str">
            <v>Length</v>
          </cell>
        </row>
        <row r="352">
          <cell r="B352" t="str">
            <v>gs_sill_slip_wall</v>
          </cell>
          <cell r="C352">
            <v>0</v>
          </cell>
          <cell r="D352" t="str">
            <v>Length</v>
          </cell>
        </row>
        <row r="353">
          <cell r="B353" t="str">
            <v>gs_sill_holeDepthBehind</v>
          </cell>
          <cell r="C353">
            <v>0</v>
          </cell>
          <cell r="D353" t="str">
            <v>Length</v>
          </cell>
        </row>
        <row r="354">
          <cell r="B354" t="str">
            <v>gs_sill_curved</v>
          </cell>
          <cell r="C354">
            <v>1</v>
          </cell>
          <cell r="D354" t="str">
            <v>Boolean</v>
          </cell>
        </row>
        <row r="355">
          <cell r="B355" t="str">
            <v>gs_sill_ins_below</v>
          </cell>
          <cell r="C355">
            <v>1</v>
          </cell>
          <cell r="D355" t="str">
            <v>Boolean</v>
          </cell>
        </row>
        <row r="356">
          <cell r="B356" t="str">
            <v>gs_sill_ins_use_wall_skin</v>
          </cell>
          <cell r="C356">
            <v>0</v>
          </cell>
          <cell r="D356" t="str">
            <v>Boolean</v>
          </cell>
        </row>
        <row r="357">
          <cell r="B357" t="str">
            <v>iBrickSilldetlevel</v>
          </cell>
          <cell r="C357">
            <v>1</v>
          </cell>
          <cell r="D357" t="str">
            <v>Integer</v>
          </cell>
        </row>
        <row r="358">
          <cell r="B358" t="str">
            <v>gs_brick_sill_br_thk</v>
          </cell>
          <cell r="C358">
            <v>6.5000000000000002E-2</v>
          </cell>
          <cell r="D358" t="str">
            <v>Length</v>
          </cell>
        </row>
        <row r="359">
          <cell r="B359" t="str">
            <v>gs_brick_sill_mort_thk</v>
          </cell>
          <cell r="C359">
            <v>1.4999999999999999E-2</v>
          </cell>
          <cell r="D359" t="str">
            <v>Length</v>
          </cell>
        </row>
        <row r="360">
          <cell r="B360" t="str">
            <v>gs_sill_pen_3D</v>
          </cell>
          <cell r="C360">
            <v>1</v>
          </cell>
          <cell r="D360" t="str">
            <v>PenColor</v>
          </cell>
        </row>
        <row r="361">
          <cell r="B361" t="str">
            <v>gs_sill_pen_sectcont</v>
          </cell>
          <cell r="C361">
            <v>1</v>
          </cell>
          <cell r="D361" t="str">
            <v>PenColor</v>
          </cell>
        </row>
        <row r="362">
          <cell r="B362" t="str">
            <v>gs_sill_fill</v>
          </cell>
          <cell r="C362">
            <v>65</v>
          </cell>
          <cell r="D362" t="str">
            <v>FillPattern</v>
          </cell>
        </row>
        <row r="363">
          <cell r="B363" t="str">
            <v>gs_sill_pen_fg</v>
          </cell>
          <cell r="C363">
            <v>19</v>
          </cell>
          <cell r="D363" t="str">
            <v>PenColor</v>
          </cell>
        </row>
        <row r="364">
          <cell r="B364" t="str">
            <v>gs_sill_pen_bg</v>
          </cell>
          <cell r="C364">
            <v>19</v>
          </cell>
          <cell r="D364" t="str">
            <v>PenColor</v>
          </cell>
        </row>
        <row r="365">
          <cell r="B365" t="str">
            <v>gs_sill_pen_ins_sectcont</v>
          </cell>
          <cell r="C365">
            <v>1</v>
          </cell>
          <cell r="D365" t="str">
            <v>PenColor</v>
          </cell>
        </row>
        <row r="366">
          <cell r="B366" t="str">
            <v>gs_sill_fill_ins_fg</v>
          </cell>
          <cell r="C366">
            <v>17</v>
          </cell>
          <cell r="D366" t="str">
            <v>FillPattern</v>
          </cell>
        </row>
        <row r="367">
          <cell r="B367" t="str">
            <v>gs_sill_pen_ins_fg</v>
          </cell>
          <cell r="C367">
            <v>1</v>
          </cell>
          <cell r="D367" t="str">
            <v>PenColor</v>
          </cell>
        </row>
        <row r="368">
          <cell r="B368" t="str">
            <v>gs_sill_pen_ins_bg</v>
          </cell>
          <cell r="C368">
            <v>19</v>
          </cell>
          <cell r="D368" t="str">
            <v>PenColor</v>
          </cell>
        </row>
        <row r="369">
          <cell r="B369" t="str">
            <v>gs_sill_mat</v>
          </cell>
          <cell r="C369">
            <v>1</v>
          </cell>
          <cell r="D369" t="str">
            <v>Material</v>
          </cell>
        </row>
        <row r="370">
          <cell r="B370" t="str">
            <v>gs_brick_sill_mort_mat</v>
          </cell>
          <cell r="C370">
            <v>2</v>
          </cell>
          <cell r="D370" t="str">
            <v>Material</v>
          </cell>
        </row>
        <row r="371">
          <cell r="B371" t="str">
            <v>dk_mounting_frame</v>
          </cell>
          <cell r="D371" t="str">
            <v>Title</v>
          </cell>
        </row>
        <row r="372">
          <cell r="B372" t="str">
            <v>gs_mountingFrame_depth</v>
          </cell>
          <cell r="C372">
            <v>0.05</v>
          </cell>
          <cell r="D372" t="str">
            <v>Length</v>
          </cell>
        </row>
        <row r="373">
          <cell r="B373" t="str">
            <v>gs_mountingFrame_width_left</v>
          </cell>
          <cell r="C373">
            <v>0.06</v>
          </cell>
          <cell r="D373" t="str">
            <v>Length</v>
          </cell>
        </row>
        <row r="374">
          <cell r="B374" t="str">
            <v>gs_mountingFrame_width_right</v>
          </cell>
          <cell r="C374">
            <v>0.06</v>
          </cell>
          <cell r="D374" t="str">
            <v>Length</v>
          </cell>
        </row>
        <row r="375">
          <cell r="B375" t="str">
            <v>gs_mountingFrame_width_top</v>
          </cell>
          <cell r="C375">
            <v>0.06</v>
          </cell>
          <cell r="D375" t="str">
            <v>Length</v>
          </cell>
        </row>
        <row r="376">
          <cell r="B376" t="str">
            <v>gs_mountingFrame_width_bottom</v>
          </cell>
          <cell r="C376">
            <v>0.06</v>
          </cell>
          <cell r="D376" t="str">
            <v>Length</v>
          </cell>
        </row>
        <row r="377">
          <cell r="B377" t="str">
            <v>gs_mountingFrame_pen_view</v>
          </cell>
          <cell r="C377">
            <v>1</v>
          </cell>
          <cell r="D377" t="str">
            <v>PenColor</v>
          </cell>
        </row>
        <row r="378">
          <cell r="B378" t="str">
            <v>gs_mountingFrame_pen_cont</v>
          </cell>
          <cell r="C378">
            <v>1</v>
          </cell>
          <cell r="D378" t="str">
            <v>PenColor</v>
          </cell>
        </row>
        <row r="379">
          <cell r="B379" t="str">
            <v>gs_mountingFrame_fill</v>
          </cell>
          <cell r="C379">
            <v>65</v>
          </cell>
          <cell r="D379" t="str">
            <v>FillPattern</v>
          </cell>
        </row>
        <row r="380">
          <cell r="B380" t="str">
            <v>gs_mountingFrame_pen_fg</v>
          </cell>
          <cell r="C380">
            <v>19</v>
          </cell>
          <cell r="D380" t="str">
            <v>PenColor</v>
          </cell>
        </row>
        <row r="381">
          <cell r="B381" t="str">
            <v>gs_mountingFrame_pen_bg</v>
          </cell>
          <cell r="C381">
            <v>19</v>
          </cell>
          <cell r="D381" t="str">
            <v>PenColor</v>
          </cell>
        </row>
        <row r="382">
          <cell r="B382" t="str">
            <v>gs_mountingFrame_mat</v>
          </cell>
          <cell r="C382">
            <v>15</v>
          </cell>
          <cell r="D382" t="str">
            <v>Material</v>
          </cell>
        </row>
        <row r="383">
          <cell r="B383" t="str">
            <v>gs_door_frame</v>
          </cell>
          <cell r="D383" t="str">
            <v>Title</v>
          </cell>
        </row>
        <row r="384">
          <cell r="B384" t="str">
            <v>gs_frame_type</v>
          </cell>
          <cell r="C384" t="str">
            <v>UZ</v>
          </cell>
          <cell r="D384" t="str">
            <v>String</v>
          </cell>
        </row>
        <row r="385">
          <cell r="B385" t="str">
            <v>iFrameType</v>
          </cell>
          <cell r="C385">
            <v>1</v>
          </cell>
          <cell r="D385" t="str">
            <v>Integer</v>
          </cell>
        </row>
        <row r="386">
          <cell r="B386" t="str">
            <v>bs_frame_manufacturer</v>
          </cell>
          <cell r="D386" t="str">
            <v>String</v>
          </cell>
        </row>
        <row r="387">
          <cell r="B387" t="str">
            <v>bs_frame_model</v>
          </cell>
          <cell r="C387" t="str">
            <v>individuell</v>
          </cell>
          <cell r="D387" t="str">
            <v>String</v>
          </cell>
        </row>
        <row r="388">
          <cell r="B388" t="str">
            <v>bs_inner_frame</v>
          </cell>
          <cell r="C388">
            <v>3</v>
          </cell>
          <cell r="D388" t="str">
            <v>Integer</v>
          </cell>
        </row>
        <row r="389">
          <cell r="B389" t="str">
            <v>bs_frame_material</v>
          </cell>
          <cell r="C389" t="str">
            <v>HZ</v>
          </cell>
          <cell r="D389" t="str">
            <v>String</v>
          </cell>
        </row>
        <row r="390">
          <cell r="B390" t="str">
            <v>gs_different_framewidth</v>
          </cell>
          <cell r="C390">
            <v>1</v>
          </cell>
          <cell r="D390" t="str">
            <v>Boolean</v>
          </cell>
        </row>
        <row r="391">
          <cell r="B391" t="str">
            <v>gs_frame_width</v>
          </cell>
          <cell r="C391">
            <v>0.03</v>
          </cell>
          <cell r="D391" t="str">
            <v>Length</v>
          </cell>
        </row>
        <row r="392">
          <cell r="B392" t="str">
            <v>gs_frame_width_right</v>
          </cell>
          <cell r="C392">
            <v>0.03</v>
          </cell>
          <cell r="D392" t="str">
            <v>Length</v>
          </cell>
        </row>
        <row r="393">
          <cell r="B393" t="str">
            <v>gs_frame_width_left</v>
          </cell>
          <cell r="C393">
            <v>0.03</v>
          </cell>
          <cell r="D393" t="str">
            <v>Length</v>
          </cell>
        </row>
        <row r="394">
          <cell r="B394" t="str">
            <v>gs_frame_width_right_2</v>
          </cell>
          <cell r="C394">
            <v>0.06</v>
          </cell>
          <cell r="D394" t="str">
            <v>Length</v>
          </cell>
        </row>
        <row r="395">
          <cell r="B395" t="str">
            <v>gs_frame_width_left_2</v>
          </cell>
          <cell r="C395">
            <v>0.06</v>
          </cell>
          <cell r="D395" t="str">
            <v>Length</v>
          </cell>
        </row>
        <row r="396">
          <cell r="B396" t="str">
            <v>gs_frame_width_upper</v>
          </cell>
          <cell r="C396">
            <v>0.03</v>
          </cell>
          <cell r="D396" t="str">
            <v>Length</v>
          </cell>
        </row>
        <row r="397">
          <cell r="B397" t="str">
            <v>gs_frame_width_transom</v>
          </cell>
          <cell r="C397">
            <v>0.06</v>
          </cell>
          <cell r="D397" t="str">
            <v>Length</v>
          </cell>
        </row>
        <row r="398">
          <cell r="B398" t="str">
            <v>gs_frame_width_bottom_sl</v>
          </cell>
          <cell r="C398">
            <v>0.06</v>
          </cell>
          <cell r="D398" t="str">
            <v>Length</v>
          </cell>
        </row>
        <row r="399">
          <cell r="B399" t="str">
            <v>gs_frame_thk</v>
          </cell>
          <cell r="C399">
            <v>0.155</v>
          </cell>
          <cell r="D399" t="str">
            <v>Length</v>
          </cell>
        </row>
        <row r="400">
          <cell r="B400" t="str">
            <v>dk_different_frame_thk</v>
          </cell>
          <cell r="C400">
            <v>1</v>
          </cell>
          <cell r="D400" t="str">
            <v>Boolean</v>
          </cell>
        </row>
        <row r="401">
          <cell r="B401" t="str">
            <v>dk_frame_thk_post</v>
          </cell>
          <cell r="C401">
            <v>7.0000000000000007E-2</v>
          </cell>
          <cell r="D401" t="str">
            <v>Length</v>
          </cell>
        </row>
        <row r="402">
          <cell r="B402" t="str">
            <v>dk_frame_thk_upper</v>
          </cell>
          <cell r="C402">
            <v>0.155</v>
          </cell>
          <cell r="D402" t="str">
            <v>Length</v>
          </cell>
        </row>
        <row r="403">
          <cell r="B403" t="str">
            <v>dk_frame_thk_bottom</v>
          </cell>
          <cell r="C403">
            <v>7.0000000000000007E-2</v>
          </cell>
          <cell r="D403" t="str">
            <v>Length</v>
          </cell>
        </row>
        <row r="404">
          <cell r="B404" t="str">
            <v>dk_frame_thk_transom</v>
          </cell>
          <cell r="C404">
            <v>7.0000000000000007E-2</v>
          </cell>
          <cell r="D404" t="str">
            <v>Length</v>
          </cell>
        </row>
        <row r="405">
          <cell r="B405" t="str">
            <v>dk_frame_thk_EZ</v>
          </cell>
          <cell r="C405">
            <v>0.155</v>
          </cell>
          <cell r="D405" t="str">
            <v>Length</v>
          </cell>
        </row>
        <row r="406">
          <cell r="B406" t="str">
            <v>bs_spiegel_br_bs</v>
          </cell>
          <cell r="C406">
            <v>4.4999999999999998E-2</v>
          </cell>
          <cell r="D406" t="str">
            <v>Length</v>
          </cell>
        </row>
        <row r="407">
          <cell r="B407" t="str">
            <v>bs_spiegel_br_bgs</v>
          </cell>
          <cell r="C407">
            <v>0.06</v>
          </cell>
          <cell r="D407" t="str">
            <v>Length</v>
          </cell>
        </row>
        <row r="408">
          <cell r="B408" t="str">
            <v>bs_spiegel_br_ob_bs</v>
          </cell>
          <cell r="C408">
            <v>4.4999999999999998E-2</v>
          </cell>
          <cell r="D408" t="str">
            <v>Length</v>
          </cell>
        </row>
        <row r="409">
          <cell r="B409" t="str">
            <v>bs_spiegel_br_ob_bgs</v>
          </cell>
          <cell r="C409">
            <v>8.5000000000000006E-2</v>
          </cell>
          <cell r="D409" t="str">
            <v>Length</v>
          </cell>
        </row>
        <row r="410">
          <cell r="B410" t="str">
            <v>dk_post_width_upper</v>
          </cell>
          <cell r="C410">
            <v>1.0349999999999999</v>
          </cell>
          <cell r="D410" t="str">
            <v>Length</v>
          </cell>
        </row>
        <row r="411">
          <cell r="B411" t="str">
            <v>dk_post_thk_upper</v>
          </cell>
          <cell r="C411">
            <v>2.0350000000000001</v>
          </cell>
          <cell r="D411" t="str">
            <v>Length</v>
          </cell>
        </row>
        <row r="412">
          <cell r="B412" t="str">
            <v>bs_folding_nmbr</v>
          </cell>
          <cell r="C412">
            <v>2</v>
          </cell>
          <cell r="D412" t="str">
            <v>Integer</v>
          </cell>
        </row>
        <row r="413">
          <cell r="B413" t="str">
            <v>gs_vb</v>
          </cell>
          <cell r="C413">
            <v>1.4999999999999999E-2</v>
          </cell>
          <cell r="D413" t="str">
            <v>Length</v>
          </cell>
        </row>
        <row r="414">
          <cell r="B414" t="str">
            <v>gs_vt</v>
          </cell>
          <cell r="C414">
            <v>0.04</v>
          </cell>
          <cell r="D414" t="str">
            <v>Length</v>
          </cell>
        </row>
        <row r="415">
          <cell r="B415" t="str">
            <v>dk_design_folding_depth</v>
          </cell>
          <cell r="C415">
            <v>0</v>
          </cell>
          <cell r="D415" t="str">
            <v>Length</v>
          </cell>
        </row>
        <row r="416">
          <cell r="B416" t="str">
            <v>dk_folding_dimensions</v>
          </cell>
          <cell r="C416" t="str">
            <v>{array}</v>
          </cell>
          <cell r="D416" t="str">
            <v>Length</v>
          </cell>
        </row>
        <row r="417">
          <cell r="B417" t="str">
            <v>gs_rev</v>
          </cell>
          <cell r="C417">
            <v>1</v>
          </cell>
          <cell r="D417" t="str">
            <v>Boolean</v>
          </cell>
        </row>
        <row r="418">
          <cell r="B418" t="str">
            <v>gs_bl_thk</v>
          </cell>
          <cell r="C418">
            <v>0.05</v>
          </cell>
          <cell r="D418" t="str">
            <v>Length</v>
          </cell>
        </row>
        <row r="419">
          <cell r="B419" t="str">
            <v>gs_bl_width</v>
          </cell>
          <cell r="C419">
            <v>0.06</v>
          </cell>
          <cell r="D419" t="str">
            <v>Length</v>
          </cell>
        </row>
        <row r="420">
          <cell r="B420" t="str">
            <v>gs_fuge</v>
          </cell>
          <cell r="C420">
            <v>0.01</v>
          </cell>
          <cell r="D420" t="str">
            <v>Length</v>
          </cell>
        </row>
        <row r="421">
          <cell r="B421" t="str">
            <v>gs_ub_st1</v>
          </cell>
          <cell r="C421">
            <v>0.01</v>
          </cell>
          <cell r="D421" t="str">
            <v>Length</v>
          </cell>
        </row>
        <row r="422">
          <cell r="B422" t="str">
            <v>gs_ub_st2</v>
          </cell>
          <cell r="C422">
            <v>0.01</v>
          </cell>
          <cell r="D422" t="str">
            <v>Length</v>
          </cell>
        </row>
        <row r="423">
          <cell r="B423" t="str">
            <v>gs_frame_mat</v>
          </cell>
          <cell r="C423">
            <v>133</v>
          </cell>
          <cell r="D423" t="str">
            <v>Material</v>
          </cell>
        </row>
        <row r="424">
          <cell r="B424" t="str">
            <v>bs_frame_surface_BS</v>
          </cell>
          <cell r="C424" t="str">
            <v>Anstrich</v>
          </cell>
          <cell r="D424" t="str">
            <v>String</v>
          </cell>
        </row>
        <row r="425">
          <cell r="B425" t="str">
            <v>bs_frame_surface_BGS</v>
          </cell>
          <cell r="C425" t="str">
            <v>Anstrich</v>
          </cell>
          <cell r="D425" t="str">
            <v>String</v>
          </cell>
        </row>
        <row r="426">
          <cell r="B426" t="str">
            <v>bs_frame_colour_BS</v>
          </cell>
          <cell r="C426" t="str">
            <v>weiß</v>
          </cell>
          <cell r="D426" t="str">
            <v>String</v>
          </cell>
        </row>
        <row r="427">
          <cell r="B427" t="str">
            <v>bs_frame_colour_BGS</v>
          </cell>
          <cell r="C427" t="str">
            <v>weiß</v>
          </cell>
          <cell r="D427" t="str">
            <v>String</v>
          </cell>
        </row>
        <row r="428">
          <cell r="B428" t="str">
            <v>bz_tiefe</v>
          </cell>
          <cell r="C428">
            <v>0.15</v>
          </cell>
          <cell r="D428" t="str">
            <v>Length</v>
          </cell>
        </row>
        <row r="429">
          <cell r="B429" t="str">
            <v>bz_typ_einzug</v>
          </cell>
          <cell r="C429">
            <v>1</v>
          </cell>
          <cell r="D429" t="str">
            <v>Integer</v>
          </cell>
        </row>
        <row r="430">
          <cell r="B430" t="str">
            <v>bz_einzug</v>
          </cell>
          <cell r="C430">
            <v>0.02</v>
          </cell>
          <cell r="D430" t="str">
            <v>Length</v>
          </cell>
        </row>
        <row r="431">
          <cell r="B431" t="str">
            <v>wall_shell_thk_1</v>
          </cell>
          <cell r="C431">
            <v>0</v>
          </cell>
          <cell r="D431" t="str">
            <v>Length</v>
          </cell>
        </row>
        <row r="432">
          <cell r="B432" t="str">
            <v>wall_shell_thk_2</v>
          </cell>
          <cell r="C432">
            <v>0</v>
          </cell>
          <cell r="D432" t="str">
            <v>Length</v>
          </cell>
        </row>
        <row r="433">
          <cell r="B433" t="str">
            <v>gs_sidelight</v>
          </cell>
          <cell r="D433" t="str">
            <v>Title</v>
          </cell>
        </row>
        <row r="434">
          <cell r="B434" t="str">
            <v>bDiffSidelightWidth</v>
          </cell>
          <cell r="C434">
            <v>0</v>
          </cell>
          <cell r="D434" t="str">
            <v>Boolean</v>
          </cell>
        </row>
        <row r="435">
          <cell r="B435" t="str">
            <v>gs_sidelight_width_left</v>
          </cell>
          <cell r="C435">
            <v>1.1499999999999999</v>
          </cell>
          <cell r="D435" t="str">
            <v>Length</v>
          </cell>
        </row>
        <row r="436">
          <cell r="B436" t="str">
            <v>gs_sidelight_width_right</v>
          </cell>
          <cell r="C436">
            <v>0.59</v>
          </cell>
          <cell r="D436" t="str">
            <v>Length</v>
          </cell>
        </row>
        <row r="437">
          <cell r="B437" t="str">
            <v>glazingWidthLeft</v>
          </cell>
          <cell r="C437">
            <v>0.63500000000000001</v>
          </cell>
          <cell r="D437" t="str">
            <v>Length</v>
          </cell>
        </row>
        <row r="438">
          <cell r="B438" t="str">
            <v>glazingWidthRight</v>
          </cell>
          <cell r="C438">
            <v>0.63500000000000001</v>
          </cell>
          <cell r="D438" t="str">
            <v>Length</v>
          </cell>
        </row>
        <row r="439">
          <cell r="B439" t="str">
            <v>glazingHeight</v>
          </cell>
          <cell r="C439">
            <v>2.395</v>
          </cell>
          <cell r="D439" t="str">
            <v>Length</v>
          </cell>
        </row>
        <row r="440">
          <cell r="B440" t="str">
            <v>glazingHeight2</v>
          </cell>
          <cell r="C440">
            <v>2.0950000000000002</v>
          </cell>
          <cell r="D440" t="str">
            <v>Length</v>
          </cell>
        </row>
        <row r="441">
          <cell r="B441" t="str">
            <v>dk_sidelight_transom1</v>
          </cell>
          <cell r="C441">
            <v>0</v>
          </cell>
          <cell r="D441" t="str">
            <v>Integer</v>
          </cell>
        </row>
        <row r="442">
          <cell r="B442" t="str">
            <v>dk_sidelight_transom2</v>
          </cell>
          <cell r="C442">
            <v>0</v>
          </cell>
          <cell r="D442" t="str">
            <v>Integer</v>
          </cell>
        </row>
        <row r="443">
          <cell r="B443" t="str">
            <v>gs_frame_width_transom_sl</v>
          </cell>
          <cell r="C443">
            <v>0.06</v>
          </cell>
          <cell r="D443" t="str">
            <v>Length</v>
          </cell>
        </row>
        <row r="444">
          <cell r="B444" t="str">
            <v>gs_frame_width_upper_sl</v>
          </cell>
          <cell r="C444">
            <v>0.1</v>
          </cell>
          <cell r="D444" t="str">
            <v>Length</v>
          </cell>
        </row>
        <row r="445">
          <cell r="B445" t="str">
            <v>bs_sidelight_filling_thk1</v>
          </cell>
          <cell r="C445">
            <v>8.0000000000000002E-3</v>
          </cell>
          <cell r="D445" t="str">
            <v>Length</v>
          </cell>
        </row>
        <row r="446">
          <cell r="B446" t="str">
            <v>bs_sidelight_filling_thk2</v>
          </cell>
          <cell r="C446">
            <v>8.0000000000000002E-3</v>
          </cell>
          <cell r="D446" t="str">
            <v>Length</v>
          </cell>
        </row>
        <row r="447">
          <cell r="B447" t="str">
            <v>dk_sidelight_filling</v>
          </cell>
          <cell r="C447" t="str">
            <v>{array}</v>
          </cell>
          <cell r="D447" t="str">
            <v>String</v>
          </cell>
        </row>
        <row r="448">
          <cell r="B448" t="str">
            <v>gs_fanlight</v>
          </cell>
          <cell r="D448" t="str">
            <v>Title</v>
          </cell>
        </row>
        <row r="449">
          <cell r="B449" t="str">
            <v>gs_transom_height</v>
          </cell>
          <cell r="C449">
            <v>0.4</v>
          </cell>
          <cell r="D449" t="str">
            <v>Length</v>
          </cell>
        </row>
        <row r="450">
          <cell r="B450" t="str">
            <v>bs_fanlight_division</v>
          </cell>
          <cell r="C450">
            <v>0</v>
          </cell>
          <cell r="D450" t="str">
            <v>Integer</v>
          </cell>
        </row>
        <row r="451">
          <cell r="B451" t="str">
            <v>bs_fanlight_filling_thk</v>
          </cell>
          <cell r="C451">
            <v>8.0000000000000002E-3</v>
          </cell>
          <cell r="D451" t="str">
            <v>Length</v>
          </cell>
        </row>
        <row r="452">
          <cell r="B452" t="str">
            <v>gs_door_panel</v>
          </cell>
          <cell r="D452" t="str">
            <v>Title</v>
          </cell>
        </row>
        <row r="453">
          <cell r="B453" t="str">
            <v>bs_panel_type</v>
          </cell>
          <cell r="C453" t="str">
            <v>VB</v>
          </cell>
          <cell r="D453" t="str">
            <v>String</v>
          </cell>
        </row>
        <row r="454">
          <cell r="B454" t="str">
            <v>iDoorPanelType</v>
          </cell>
          <cell r="C454">
            <v>27</v>
          </cell>
          <cell r="D454" t="str">
            <v>Integer</v>
          </cell>
        </row>
        <row r="455">
          <cell r="B455" t="str">
            <v>iDoorPanelType2</v>
          </cell>
          <cell r="C455">
            <v>1</v>
          </cell>
          <cell r="D455" t="str">
            <v>Integer</v>
          </cell>
        </row>
        <row r="456">
          <cell r="B456" t="str">
            <v>bs_panel_material</v>
          </cell>
          <cell r="C456" t="str">
            <v>H</v>
          </cell>
          <cell r="D456" t="str">
            <v>String</v>
          </cell>
        </row>
        <row r="457">
          <cell r="B457" t="str">
            <v>bs_panel_manufacturer</v>
          </cell>
          <cell r="D457" t="str">
            <v>String</v>
          </cell>
        </row>
        <row r="458">
          <cell r="B458" t="str">
            <v>gs_cust_panel</v>
          </cell>
          <cell r="D458" t="str">
            <v>String</v>
          </cell>
        </row>
        <row r="459">
          <cell r="B459" t="str">
            <v>gs_cust_panel2</v>
          </cell>
          <cell r="D459" t="str">
            <v>String</v>
          </cell>
        </row>
        <row r="460">
          <cell r="B460" t="str">
            <v>bs_panel_model</v>
          </cell>
          <cell r="C460" t="str">
            <v>individuell</v>
          </cell>
          <cell r="D460" t="str">
            <v>String</v>
          </cell>
        </row>
        <row r="461">
          <cell r="B461" t="str">
            <v>dk_panel_segments</v>
          </cell>
          <cell r="C461">
            <v>3</v>
          </cell>
          <cell r="D461" t="str">
            <v>Integer</v>
          </cell>
        </row>
        <row r="462">
          <cell r="B462" t="str">
            <v>dk_mainpanel_design</v>
          </cell>
          <cell r="C462">
            <v>0</v>
          </cell>
          <cell r="D462" t="str">
            <v>Integer</v>
          </cell>
        </row>
        <row r="463">
          <cell r="B463" t="str">
            <v>dk_panel_division</v>
          </cell>
          <cell r="C463" t="str">
            <v>{array}</v>
          </cell>
          <cell r="D463" t="str">
            <v>Integer</v>
          </cell>
        </row>
        <row r="464">
          <cell r="B464" t="str">
            <v>dk_panel_bar</v>
          </cell>
          <cell r="C464" t="str">
            <v>{array}</v>
          </cell>
          <cell r="D464" t="str">
            <v>Integer</v>
          </cell>
        </row>
        <row r="465">
          <cell r="B465" t="str">
            <v>dk_panel_filling</v>
          </cell>
          <cell r="C465" t="str">
            <v>{array}</v>
          </cell>
          <cell r="D465" t="str">
            <v>String</v>
          </cell>
        </row>
        <row r="466">
          <cell r="B466" t="str">
            <v>dk_panel_strips</v>
          </cell>
          <cell r="C466">
            <v>0</v>
          </cell>
          <cell r="D466" t="str">
            <v>Integer</v>
          </cell>
        </row>
        <row r="467">
          <cell r="B467" t="str">
            <v>bs_panel_surface_BS</v>
          </cell>
          <cell r="C467" t="str">
            <v>Funier</v>
          </cell>
          <cell r="D467" t="str">
            <v>String</v>
          </cell>
        </row>
        <row r="468">
          <cell r="B468" t="str">
            <v>bs_panel_surface_BGS</v>
          </cell>
          <cell r="C468" t="str">
            <v>Anstrich</v>
          </cell>
          <cell r="D468" t="str">
            <v>String</v>
          </cell>
        </row>
        <row r="469">
          <cell r="B469" t="str">
            <v>bs_panel_colour_BS</v>
          </cell>
          <cell r="C469" t="str">
            <v>Lärche</v>
          </cell>
          <cell r="D469" t="str">
            <v>String</v>
          </cell>
        </row>
        <row r="470">
          <cell r="B470" t="str">
            <v>bs_panel_colour_BGS</v>
          </cell>
          <cell r="C470" t="str">
            <v>weiß</v>
          </cell>
          <cell r="D470" t="str">
            <v>String</v>
          </cell>
        </row>
        <row r="471">
          <cell r="B471" t="str">
            <v>dk_panel_segments2</v>
          </cell>
          <cell r="C471">
            <v>3</v>
          </cell>
          <cell r="D471" t="str">
            <v>Integer</v>
          </cell>
        </row>
        <row r="472">
          <cell r="B472" t="str">
            <v>dk_mainpanel_design2</v>
          </cell>
          <cell r="C472">
            <v>0</v>
          </cell>
          <cell r="D472" t="str">
            <v>Integer</v>
          </cell>
        </row>
        <row r="473">
          <cell r="B473" t="str">
            <v>dk_panel_division2</v>
          </cell>
          <cell r="C473" t="str">
            <v>{array}</v>
          </cell>
          <cell r="D473" t="str">
            <v>Integer</v>
          </cell>
        </row>
        <row r="474">
          <cell r="B474" t="str">
            <v>dk_panel_bar2</v>
          </cell>
          <cell r="C474" t="str">
            <v>{array}</v>
          </cell>
          <cell r="D474" t="str">
            <v>Integer</v>
          </cell>
        </row>
        <row r="475">
          <cell r="B475" t="str">
            <v>dk_panel_filling2</v>
          </cell>
          <cell r="C475" t="str">
            <v>{array}</v>
          </cell>
          <cell r="D475" t="str">
            <v>String</v>
          </cell>
        </row>
        <row r="476">
          <cell r="B476" t="str">
            <v>dk_panel_strips2</v>
          </cell>
          <cell r="C476">
            <v>0</v>
          </cell>
          <cell r="D476" t="str">
            <v>Integer</v>
          </cell>
        </row>
        <row r="477">
          <cell r="B477" t="str">
            <v>bs_panel_surface2_BS</v>
          </cell>
          <cell r="C477" t="str">
            <v>Funier</v>
          </cell>
          <cell r="D477" t="str">
            <v>String</v>
          </cell>
        </row>
        <row r="478">
          <cell r="B478" t="str">
            <v>bs_panel_surface2_BGS</v>
          </cell>
          <cell r="C478" t="str">
            <v>Anstrich</v>
          </cell>
          <cell r="D478" t="str">
            <v>String</v>
          </cell>
        </row>
        <row r="479">
          <cell r="B479" t="str">
            <v>bs_panel_colour2_BS</v>
          </cell>
          <cell r="C479" t="str">
            <v>Lärche</v>
          </cell>
          <cell r="D479" t="str">
            <v>String</v>
          </cell>
        </row>
        <row r="480">
          <cell r="B480" t="str">
            <v>bs_panel_colour2_BGS</v>
          </cell>
          <cell r="C480" t="str">
            <v>weiß</v>
          </cell>
          <cell r="D480" t="str">
            <v>String</v>
          </cell>
        </row>
        <row r="481">
          <cell r="B481" t="str">
            <v>gs_door_panel_filling</v>
          </cell>
          <cell r="D481" t="str">
            <v>Title</v>
          </cell>
        </row>
        <row r="482">
          <cell r="B482" t="str">
            <v>bUniformPanels1</v>
          </cell>
          <cell r="C482">
            <v>0</v>
          </cell>
          <cell r="D482" t="str">
            <v>Boolean</v>
          </cell>
        </row>
        <row r="483">
          <cell r="B483" t="str">
            <v>bUniformPanels2</v>
          </cell>
          <cell r="C483">
            <v>0</v>
          </cell>
          <cell r="D483" t="str">
            <v>Boolean</v>
          </cell>
        </row>
        <row r="484">
          <cell r="B484" t="str">
            <v>symm</v>
          </cell>
          <cell r="C484">
            <v>0</v>
          </cell>
          <cell r="D484" t="str">
            <v>Boolean</v>
          </cell>
        </row>
        <row r="485">
          <cell r="B485" t="str">
            <v>gs_SecondLeaf_w</v>
          </cell>
          <cell r="C485">
            <v>0</v>
          </cell>
          <cell r="D485" t="str">
            <v>Length</v>
          </cell>
        </row>
        <row r="486">
          <cell r="B486" t="str">
            <v>dk_panel_division_bottom</v>
          </cell>
          <cell r="C486">
            <v>0.85</v>
          </cell>
          <cell r="D486" t="str">
            <v>Length</v>
          </cell>
        </row>
        <row r="487">
          <cell r="B487" t="str">
            <v>dk_panel_division_top</v>
          </cell>
          <cell r="C487">
            <v>1.3</v>
          </cell>
          <cell r="D487" t="str">
            <v>Length</v>
          </cell>
        </row>
        <row r="488">
          <cell r="B488" t="str">
            <v>dk_panel_folding_ancor</v>
          </cell>
          <cell r="C488">
            <v>1</v>
          </cell>
          <cell r="D488" t="str">
            <v>Integer</v>
          </cell>
        </row>
        <row r="489">
          <cell r="B489" t="str">
            <v>dk_panel_folding_nmbr</v>
          </cell>
          <cell r="C489">
            <v>1</v>
          </cell>
          <cell r="D489" t="str">
            <v>Integer</v>
          </cell>
        </row>
        <row r="490">
          <cell r="B490" t="str">
            <v>gapHeightUnderPanel</v>
          </cell>
          <cell r="C490">
            <v>5.0000000000000001E-3</v>
          </cell>
          <cell r="D490" t="str">
            <v>Length</v>
          </cell>
        </row>
        <row r="491">
          <cell r="B491" t="str">
            <v>gs_leaf_thk</v>
          </cell>
          <cell r="C491">
            <v>5.8000000000000003E-2</v>
          </cell>
          <cell r="D491" t="str">
            <v>Length</v>
          </cell>
        </row>
        <row r="492">
          <cell r="B492" t="str">
            <v>dk_panel_folding_dimensions</v>
          </cell>
          <cell r="C492" t="str">
            <v>{array}</v>
          </cell>
          <cell r="D492" t="str">
            <v>Length</v>
          </cell>
        </row>
        <row r="493">
          <cell r="B493" t="str">
            <v>leafBottomExtra</v>
          </cell>
          <cell r="C493">
            <v>0</v>
          </cell>
          <cell r="D493" t="str">
            <v>Length</v>
          </cell>
        </row>
        <row r="494">
          <cell r="B494" t="str">
            <v>bs_leaf_oversize</v>
          </cell>
          <cell r="C494">
            <v>1.2999999999999999E-2</v>
          </cell>
          <cell r="D494" t="str">
            <v>Length</v>
          </cell>
        </row>
        <row r="495">
          <cell r="B495" t="str">
            <v>bs_leaf_overhang</v>
          </cell>
          <cell r="C495">
            <v>1.7999999999999999E-2</v>
          </cell>
          <cell r="D495" t="str">
            <v>Length</v>
          </cell>
        </row>
        <row r="496">
          <cell r="B496" t="str">
            <v>bs_ancor_panel_BS</v>
          </cell>
          <cell r="C496">
            <v>0</v>
          </cell>
          <cell r="D496" t="str">
            <v>Length</v>
          </cell>
        </row>
        <row r="497">
          <cell r="B497" t="str">
            <v>bs_ancor_panel_top</v>
          </cell>
          <cell r="C497">
            <v>0</v>
          </cell>
          <cell r="D497" t="str">
            <v>Length</v>
          </cell>
        </row>
        <row r="498">
          <cell r="B498" t="str">
            <v>thkDoorFilling</v>
          </cell>
          <cell r="C498">
            <v>0.02</v>
          </cell>
          <cell r="D498" t="str">
            <v>Length</v>
          </cell>
        </row>
        <row r="499">
          <cell r="B499" t="str">
            <v>dk_panel_filling_thk</v>
          </cell>
          <cell r="C499" t="str">
            <v>{array}</v>
          </cell>
          <cell r="D499" t="str">
            <v>Length</v>
          </cell>
        </row>
        <row r="500">
          <cell r="B500" t="str">
            <v>leafFrWidthLeft</v>
          </cell>
          <cell r="C500">
            <v>0.16</v>
          </cell>
          <cell r="D500" t="str">
            <v>Length</v>
          </cell>
        </row>
        <row r="501">
          <cell r="B501" t="str">
            <v>leafFrWidthRight</v>
          </cell>
          <cell r="C501">
            <v>0.16</v>
          </cell>
          <cell r="D501" t="str">
            <v>Length</v>
          </cell>
        </row>
        <row r="502">
          <cell r="B502" t="str">
            <v>leafFrWidthBottom</v>
          </cell>
          <cell r="C502">
            <v>0.22</v>
          </cell>
          <cell r="D502" t="str">
            <v>Length</v>
          </cell>
        </row>
        <row r="503">
          <cell r="B503" t="str">
            <v>leafFrWidthTop</v>
          </cell>
          <cell r="C503">
            <v>0.16</v>
          </cell>
          <cell r="D503" t="str">
            <v>Length</v>
          </cell>
        </row>
        <row r="504">
          <cell r="B504" t="str">
            <v>nMullHorizontal</v>
          </cell>
          <cell r="C504">
            <v>3</v>
          </cell>
          <cell r="D504" t="str">
            <v>Integer</v>
          </cell>
        </row>
        <row r="505">
          <cell r="B505" t="str">
            <v>nMullVertical</v>
          </cell>
          <cell r="C505">
            <v>2</v>
          </cell>
          <cell r="D505" t="str">
            <v>Integer</v>
          </cell>
        </row>
        <row r="506">
          <cell r="B506" t="str">
            <v>mullWidth</v>
          </cell>
          <cell r="C506">
            <v>2.1999999999999999E-2</v>
          </cell>
          <cell r="D506" t="str">
            <v>Length</v>
          </cell>
        </row>
        <row r="507">
          <cell r="B507" t="str">
            <v>mullThickness</v>
          </cell>
          <cell r="C507">
            <v>1.2500000000000001E-2</v>
          </cell>
          <cell r="D507" t="str">
            <v>Length</v>
          </cell>
        </row>
        <row r="508">
          <cell r="B508" t="str">
            <v>radDoorFilling</v>
          </cell>
          <cell r="C508">
            <v>0.2</v>
          </cell>
          <cell r="D508" t="str">
            <v>Length</v>
          </cell>
        </row>
        <row r="509">
          <cell r="B509" t="str">
            <v>centerOffsetLeft</v>
          </cell>
          <cell r="C509">
            <v>0.35</v>
          </cell>
          <cell r="D509" t="str">
            <v>Length</v>
          </cell>
        </row>
        <row r="510">
          <cell r="B510" t="str">
            <v>centerOffsetRight</v>
          </cell>
          <cell r="C510">
            <v>0.315</v>
          </cell>
          <cell r="D510" t="str">
            <v>Length</v>
          </cell>
        </row>
        <row r="511">
          <cell r="B511" t="str">
            <v>centerOffsetBottom</v>
          </cell>
          <cell r="C511">
            <v>1.4</v>
          </cell>
          <cell r="D511" t="str">
            <v>Length</v>
          </cell>
        </row>
        <row r="512">
          <cell r="B512" t="str">
            <v>centerOffsetTop</v>
          </cell>
          <cell r="C512">
            <v>0.51500000000000001</v>
          </cell>
          <cell r="D512" t="str">
            <v>Length</v>
          </cell>
        </row>
        <row r="513">
          <cell r="B513" t="str">
            <v>dk_leafFrWidthHorizontal</v>
          </cell>
          <cell r="C513">
            <v>0.16</v>
          </cell>
          <cell r="D513" t="str">
            <v>Length</v>
          </cell>
        </row>
        <row r="514">
          <cell r="B514" t="str">
            <v>dk_leafFrWidthVertical</v>
          </cell>
          <cell r="C514">
            <v>0.16</v>
          </cell>
          <cell r="D514" t="str">
            <v>Length</v>
          </cell>
        </row>
        <row r="515">
          <cell r="B515" t="str">
            <v>dk_arch_height</v>
          </cell>
          <cell r="C515">
            <v>0</v>
          </cell>
          <cell r="D515" t="str">
            <v>Length</v>
          </cell>
        </row>
        <row r="516">
          <cell r="B516" t="str">
            <v>bs_panel_folding_nmbr</v>
          </cell>
          <cell r="C516">
            <v>1</v>
          </cell>
          <cell r="D516" t="str">
            <v>Integer</v>
          </cell>
        </row>
        <row r="517">
          <cell r="B517" t="str">
            <v>dk_panel_folding_gap</v>
          </cell>
          <cell r="C517">
            <v>4.0000000000000001E-3</v>
          </cell>
          <cell r="D517" t="str">
            <v>Length</v>
          </cell>
        </row>
        <row r="518">
          <cell r="B518" t="str">
            <v>dk_panel_folding_gap2</v>
          </cell>
          <cell r="C518">
            <v>6.0000000000000001E-3</v>
          </cell>
          <cell r="D518" t="str">
            <v>Length</v>
          </cell>
        </row>
        <row r="519">
          <cell r="B519" t="str">
            <v>gs_mat_h</v>
          </cell>
          <cell r="C519">
            <v>54</v>
          </cell>
          <cell r="D519" t="str">
            <v>Material</v>
          </cell>
        </row>
        <row r="520">
          <cell r="B520" t="str">
            <v>dk_panel_division_bottom2</v>
          </cell>
          <cell r="C520">
            <v>0.85</v>
          </cell>
          <cell r="D520" t="str">
            <v>Length</v>
          </cell>
        </row>
        <row r="521">
          <cell r="B521" t="str">
            <v>dk_panel_division_top2</v>
          </cell>
          <cell r="C521">
            <v>1.3</v>
          </cell>
          <cell r="D521" t="str">
            <v>Length</v>
          </cell>
        </row>
        <row r="522">
          <cell r="B522" t="str">
            <v>thkDoorFilling2</v>
          </cell>
          <cell r="C522">
            <v>0.02</v>
          </cell>
          <cell r="D522" t="str">
            <v>Length</v>
          </cell>
        </row>
        <row r="523">
          <cell r="B523" t="str">
            <v>dk_panel_filling_thk2</v>
          </cell>
          <cell r="C523" t="str">
            <v>{array}</v>
          </cell>
          <cell r="D523" t="str">
            <v>Length</v>
          </cell>
        </row>
        <row r="524">
          <cell r="B524" t="str">
            <v>leafFrWidthLeft2</v>
          </cell>
          <cell r="C524">
            <v>0.16</v>
          </cell>
          <cell r="D524" t="str">
            <v>Length</v>
          </cell>
        </row>
        <row r="525">
          <cell r="B525" t="str">
            <v>leafFrWidthRight2</v>
          </cell>
          <cell r="C525">
            <v>0.16</v>
          </cell>
          <cell r="D525" t="str">
            <v>Length</v>
          </cell>
        </row>
        <row r="526">
          <cell r="B526" t="str">
            <v>leafFrWidthBottom2</v>
          </cell>
          <cell r="C526">
            <v>0.16</v>
          </cell>
          <cell r="D526" t="str">
            <v>Length</v>
          </cell>
        </row>
        <row r="527">
          <cell r="B527" t="str">
            <v>leafFrWidthTop2</v>
          </cell>
          <cell r="C527">
            <v>0.16</v>
          </cell>
          <cell r="D527" t="str">
            <v>Length</v>
          </cell>
        </row>
        <row r="528">
          <cell r="B528" t="str">
            <v>nMullHorizontal2</v>
          </cell>
          <cell r="C528">
            <v>3</v>
          </cell>
          <cell r="D528" t="str">
            <v>Integer</v>
          </cell>
        </row>
        <row r="529">
          <cell r="B529" t="str">
            <v>nMullVertical2</v>
          </cell>
          <cell r="C529">
            <v>2</v>
          </cell>
          <cell r="D529" t="str">
            <v>Integer</v>
          </cell>
        </row>
        <row r="530">
          <cell r="B530" t="str">
            <v>mullWidth2</v>
          </cell>
          <cell r="C530">
            <v>2.5000000000000001E-2</v>
          </cell>
          <cell r="D530" t="str">
            <v>Length</v>
          </cell>
        </row>
        <row r="531">
          <cell r="B531" t="str">
            <v>mullThickness2</v>
          </cell>
          <cell r="C531">
            <v>2.5000000000000001E-2</v>
          </cell>
          <cell r="D531" t="str">
            <v>Length</v>
          </cell>
        </row>
        <row r="532">
          <cell r="B532" t="str">
            <v>radDoorFilling2</v>
          </cell>
          <cell r="C532">
            <v>0.2</v>
          </cell>
          <cell r="D532" t="str">
            <v>Length</v>
          </cell>
        </row>
        <row r="533">
          <cell r="B533" t="str">
            <v>centerOffsetLeft2</v>
          </cell>
          <cell r="C533">
            <v>0.35</v>
          </cell>
          <cell r="D533" t="str">
            <v>Length</v>
          </cell>
        </row>
        <row r="534">
          <cell r="B534" t="str">
            <v>centerOffsetRight2</v>
          </cell>
          <cell r="C534">
            <v>0.315</v>
          </cell>
          <cell r="D534" t="str">
            <v>Length</v>
          </cell>
        </row>
        <row r="535">
          <cell r="B535" t="str">
            <v>centerOffsetBottom2</v>
          </cell>
          <cell r="C535">
            <v>1.4</v>
          </cell>
          <cell r="D535" t="str">
            <v>Length</v>
          </cell>
        </row>
        <row r="536">
          <cell r="B536" t="str">
            <v>centerOffsetTop2</v>
          </cell>
          <cell r="C536">
            <v>0.51500000000000001</v>
          </cell>
          <cell r="D536" t="str">
            <v>Length</v>
          </cell>
        </row>
        <row r="537">
          <cell r="B537" t="str">
            <v>dk_leafFrWidthHorizontal2</v>
          </cell>
          <cell r="C537">
            <v>0.16</v>
          </cell>
          <cell r="D537" t="str">
            <v>Length</v>
          </cell>
        </row>
        <row r="538">
          <cell r="B538" t="str">
            <v>dk_leafFrWidthVertical2</v>
          </cell>
          <cell r="C538">
            <v>0.16</v>
          </cell>
          <cell r="D538" t="str">
            <v>Length</v>
          </cell>
        </row>
        <row r="539">
          <cell r="B539" t="str">
            <v>dk_arch_height2</v>
          </cell>
          <cell r="C539">
            <v>0.1</v>
          </cell>
          <cell r="D539" t="str">
            <v>Length</v>
          </cell>
        </row>
        <row r="540">
          <cell r="B540" t="str">
            <v>gs_door_frame_panel</v>
          </cell>
          <cell r="D540" t="str">
            <v>Title</v>
          </cell>
        </row>
        <row r="541">
          <cell r="B541" t="str">
            <v>bs_locking_system</v>
          </cell>
          <cell r="D541" t="str">
            <v>Title</v>
          </cell>
        </row>
        <row r="542">
          <cell r="B542" t="str">
            <v>bs_access_control_type</v>
          </cell>
          <cell r="C542" t="str">
            <v>generic</v>
          </cell>
          <cell r="D542" t="str">
            <v>String</v>
          </cell>
        </row>
        <row r="543">
          <cell r="B543" t="str">
            <v>bs_fittings</v>
          </cell>
          <cell r="D543" t="str">
            <v>Title</v>
          </cell>
        </row>
        <row r="544">
          <cell r="B544" t="str">
            <v>gs_door_handle</v>
          </cell>
          <cell r="D544" t="str">
            <v>Title</v>
          </cell>
        </row>
        <row r="545">
          <cell r="B545" t="str">
            <v>bs_handle_product_line</v>
          </cell>
          <cell r="C545" t="str">
            <v>OGRO</v>
          </cell>
          <cell r="D545" t="str">
            <v>String</v>
          </cell>
        </row>
        <row r="546">
          <cell r="B546" t="str">
            <v>gs_handle_type</v>
          </cell>
          <cell r="C546" t="str">
            <v>DR</v>
          </cell>
          <cell r="D546" t="str">
            <v>String</v>
          </cell>
        </row>
        <row r="547">
          <cell r="B547" t="str">
            <v>bs_handle_model</v>
          </cell>
          <cell r="C547">
            <v>8100</v>
          </cell>
          <cell r="D547" t="str">
            <v>String</v>
          </cell>
        </row>
        <row r="548">
          <cell r="B548" t="str">
            <v>gs_cust_handle</v>
          </cell>
          <cell r="D548" t="str">
            <v>String</v>
          </cell>
        </row>
        <row r="549">
          <cell r="B549" t="str">
            <v>bs_handle_orientation</v>
          </cell>
          <cell r="C549" t="str">
            <v>W</v>
          </cell>
          <cell r="D549" t="str">
            <v>String</v>
          </cell>
        </row>
        <row r="550">
          <cell r="B550" t="str">
            <v>bs_handle_braille</v>
          </cell>
          <cell r="D550" t="str">
            <v>String</v>
          </cell>
        </row>
        <row r="551">
          <cell r="B551" t="str">
            <v>bs_handle_material</v>
          </cell>
          <cell r="C551" t="str">
            <v>ES</v>
          </cell>
          <cell r="D551" t="str">
            <v>String</v>
          </cell>
        </row>
        <row r="552">
          <cell r="B552" t="str">
            <v>bs_handle_surface</v>
          </cell>
          <cell r="C552" t="str">
            <v xml:space="preserve"> </v>
          </cell>
          <cell r="D552" t="str">
            <v>String</v>
          </cell>
        </row>
        <row r="553">
          <cell r="B553" t="str">
            <v>gs_handle_type2</v>
          </cell>
          <cell r="C553" t="str">
            <v>DR</v>
          </cell>
          <cell r="D553" t="str">
            <v>String</v>
          </cell>
        </row>
        <row r="554">
          <cell r="B554" t="str">
            <v>bs_handle_model2</v>
          </cell>
          <cell r="C554">
            <v>8100</v>
          </cell>
          <cell r="D554" t="str">
            <v>String</v>
          </cell>
        </row>
        <row r="555">
          <cell r="B555" t="str">
            <v>gs_cust_handle2</v>
          </cell>
          <cell r="D555" t="str">
            <v>String</v>
          </cell>
        </row>
        <row r="556">
          <cell r="B556" t="str">
            <v>bs_handle_orientation2</v>
          </cell>
          <cell r="C556" t="str">
            <v>W</v>
          </cell>
          <cell r="D556" t="str">
            <v>String</v>
          </cell>
        </row>
        <row r="557">
          <cell r="B557" t="str">
            <v>bs_handle_braille2</v>
          </cell>
          <cell r="D557" t="str">
            <v>String</v>
          </cell>
        </row>
        <row r="558">
          <cell r="B558" t="str">
            <v>bs_handle_material2</v>
          </cell>
          <cell r="C558" t="str">
            <v>ES</v>
          </cell>
          <cell r="D558" t="str">
            <v>String</v>
          </cell>
        </row>
        <row r="559">
          <cell r="B559" t="str">
            <v>bs_handle_surface2</v>
          </cell>
          <cell r="C559" t="str">
            <v xml:space="preserve"> </v>
          </cell>
          <cell r="D559" t="str">
            <v>String</v>
          </cell>
        </row>
        <row r="560">
          <cell r="B560" t="str">
            <v>gs_handle_type3</v>
          </cell>
          <cell r="C560" t="str">
            <v>DR</v>
          </cell>
          <cell r="D560" t="str">
            <v>String</v>
          </cell>
        </row>
        <row r="561">
          <cell r="B561" t="str">
            <v>bs_handle_model3</v>
          </cell>
          <cell r="C561">
            <v>8100</v>
          </cell>
          <cell r="D561" t="str">
            <v>String</v>
          </cell>
        </row>
        <row r="562">
          <cell r="B562" t="str">
            <v>gs_cust_handle3</v>
          </cell>
          <cell r="D562" t="str">
            <v>String</v>
          </cell>
        </row>
        <row r="563">
          <cell r="B563" t="str">
            <v>gs_handle_side3</v>
          </cell>
          <cell r="C563">
            <v>1</v>
          </cell>
          <cell r="D563" t="str">
            <v>Integer</v>
          </cell>
        </row>
        <row r="564">
          <cell r="B564" t="str">
            <v>bs_handle_orientation3</v>
          </cell>
          <cell r="C564" t="str">
            <v>W</v>
          </cell>
          <cell r="D564" t="str">
            <v>String</v>
          </cell>
        </row>
        <row r="565">
          <cell r="B565" t="str">
            <v>bs_handle_material3</v>
          </cell>
          <cell r="C565" t="str">
            <v>ES</v>
          </cell>
          <cell r="D565" t="str">
            <v>String</v>
          </cell>
        </row>
        <row r="566">
          <cell r="B566" t="str">
            <v>bs_handle_surface3</v>
          </cell>
          <cell r="C566" t="str">
            <v>S</v>
          </cell>
          <cell r="D566" t="str">
            <v>String</v>
          </cell>
        </row>
        <row r="567">
          <cell r="B567" t="str">
            <v>gs_han_height</v>
          </cell>
          <cell r="C567">
            <v>1.05</v>
          </cell>
          <cell r="D567" t="str">
            <v>Length</v>
          </cell>
        </row>
        <row r="568">
          <cell r="B568" t="str">
            <v>gs_han_height2</v>
          </cell>
          <cell r="C568">
            <v>1.05</v>
          </cell>
          <cell r="D568" t="str">
            <v>Length</v>
          </cell>
        </row>
        <row r="569">
          <cell r="B569" t="str">
            <v>dk_handle_pen</v>
          </cell>
          <cell r="C569">
            <v>1</v>
          </cell>
          <cell r="D569" t="str">
            <v>PenColor</v>
          </cell>
        </row>
        <row r="570">
          <cell r="B570" t="str">
            <v>dk_handle_fill_pen</v>
          </cell>
          <cell r="C570">
            <v>20</v>
          </cell>
          <cell r="D570" t="str">
            <v>PenColor</v>
          </cell>
        </row>
        <row r="571">
          <cell r="B571" t="str">
            <v>gs_handle_mat</v>
          </cell>
          <cell r="C571">
            <v>40</v>
          </cell>
          <cell r="D571" t="str">
            <v>Material</v>
          </cell>
        </row>
        <row r="572">
          <cell r="B572" t="str">
            <v>gs_doorplate</v>
          </cell>
          <cell r="D572" t="str">
            <v>Title</v>
          </cell>
        </row>
        <row r="573">
          <cell r="B573" t="str">
            <v>bs_doorplate_product_line</v>
          </cell>
          <cell r="D573" t="str">
            <v>String</v>
          </cell>
        </row>
        <row r="574">
          <cell r="B574" t="str">
            <v>bs_doorplate1</v>
          </cell>
          <cell r="C574" t="str">
            <v>650x + 6612</v>
          </cell>
          <cell r="D574" t="str">
            <v>String</v>
          </cell>
        </row>
        <row r="575">
          <cell r="B575" t="str">
            <v>bs_doorplate_model1</v>
          </cell>
          <cell r="C575" t="str">
            <v>Aus</v>
          </cell>
          <cell r="D575" t="str">
            <v>String</v>
          </cell>
        </row>
        <row r="576">
          <cell r="B576" t="str">
            <v>bs_closure1</v>
          </cell>
          <cell r="C576" t="str">
            <v>PZ</v>
          </cell>
          <cell r="D576" t="str">
            <v>String</v>
          </cell>
        </row>
        <row r="577">
          <cell r="B577" t="str">
            <v>bs_doorplate_material1</v>
          </cell>
          <cell r="C577" t="str">
            <v xml:space="preserve"> </v>
          </cell>
          <cell r="D577" t="str">
            <v>String</v>
          </cell>
        </row>
        <row r="578">
          <cell r="B578" t="str">
            <v>bs_doorplate_surface1</v>
          </cell>
          <cell r="C578" t="str">
            <v xml:space="preserve"> </v>
          </cell>
          <cell r="D578" t="str">
            <v>String</v>
          </cell>
        </row>
        <row r="579">
          <cell r="B579" t="str">
            <v>bs_doorplate2</v>
          </cell>
          <cell r="C579" t="str">
            <v>650x + 6612</v>
          </cell>
          <cell r="D579" t="str">
            <v>String</v>
          </cell>
        </row>
        <row r="580">
          <cell r="B580" t="str">
            <v>bs_doorplate_model2</v>
          </cell>
          <cell r="C580" t="str">
            <v>Aus</v>
          </cell>
          <cell r="D580" t="str">
            <v>String</v>
          </cell>
        </row>
        <row r="581">
          <cell r="B581" t="str">
            <v>bs_closure2</v>
          </cell>
          <cell r="C581" t="str">
            <v>PZ</v>
          </cell>
          <cell r="D581" t="str">
            <v>String</v>
          </cell>
        </row>
        <row r="582">
          <cell r="B582" t="str">
            <v>bs_doorplate_material2</v>
          </cell>
          <cell r="C582" t="str">
            <v xml:space="preserve"> </v>
          </cell>
          <cell r="D582" t="str">
            <v>String</v>
          </cell>
        </row>
        <row r="583">
          <cell r="B583" t="str">
            <v>bs_doorplate_surface2</v>
          </cell>
          <cell r="C583" t="str">
            <v xml:space="preserve"> </v>
          </cell>
          <cell r="D583" t="str">
            <v>String</v>
          </cell>
        </row>
        <row r="584">
          <cell r="B584" t="str">
            <v>bs_doorplate3</v>
          </cell>
          <cell r="C584" t="str">
            <v>650x</v>
          </cell>
          <cell r="D584" t="str">
            <v>String</v>
          </cell>
        </row>
        <row r="585">
          <cell r="B585" t="str">
            <v>bs_doorplate_model3</v>
          </cell>
          <cell r="C585" t="str">
            <v>Aus</v>
          </cell>
          <cell r="D585" t="str">
            <v>String</v>
          </cell>
        </row>
        <row r="586">
          <cell r="B586" t="str">
            <v>bs_closure3</v>
          </cell>
          <cell r="C586" t="str">
            <v>-</v>
          </cell>
          <cell r="D586" t="str">
            <v>String</v>
          </cell>
        </row>
        <row r="587">
          <cell r="B587" t="str">
            <v>bs_doorplate_material3</v>
          </cell>
          <cell r="C587" t="str">
            <v xml:space="preserve"> </v>
          </cell>
          <cell r="D587" t="str">
            <v>String</v>
          </cell>
        </row>
        <row r="588">
          <cell r="B588" t="str">
            <v>bs_doorplate_surface3</v>
          </cell>
          <cell r="C588" t="str">
            <v xml:space="preserve"> </v>
          </cell>
          <cell r="D588" t="str">
            <v>String</v>
          </cell>
        </row>
        <row r="589">
          <cell r="B589" t="str">
            <v>gs_handle_ac_mat</v>
          </cell>
          <cell r="C589">
            <v>40</v>
          </cell>
          <cell r="D589" t="str">
            <v>Material</v>
          </cell>
        </row>
        <row r="590">
          <cell r="B590" t="str">
            <v>bs_door_case</v>
          </cell>
          <cell r="D590" t="str">
            <v>Title</v>
          </cell>
        </row>
        <row r="591">
          <cell r="B591" t="str">
            <v>gs_han_pos</v>
          </cell>
          <cell r="C591">
            <v>0.06</v>
          </cell>
          <cell r="D591" t="str">
            <v>Length</v>
          </cell>
        </row>
        <row r="592">
          <cell r="B592" t="str">
            <v>bs_case_hole</v>
          </cell>
          <cell r="C592">
            <v>8.0000000000000002E-3</v>
          </cell>
          <cell r="D592" t="str">
            <v>Length</v>
          </cell>
        </row>
        <row r="593">
          <cell r="B593" t="str">
            <v>bs_case_distance</v>
          </cell>
          <cell r="C593">
            <v>7.1999999999999995E-2</v>
          </cell>
          <cell r="D593" t="str">
            <v>Length</v>
          </cell>
        </row>
        <row r="594">
          <cell r="B594" t="str">
            <v>gs_han_pos2</v>
          </cell>
          <cell r="C594">
            <v>0.06</v>
          </cell>
          <cell r="D594" t="str">
            <v>Length</v>
          </cell>
        </row>
        <row r="595">
          <cell r="B595" t="str">
            <v>bs_case_hole2</v>
          </cell>
          <cell r="C595">
            <v>8.0000000000000002E-3</v>
          </cell>
          <cell r="D595" t="str">
            <v>Length</v>
          </cell>
        </row>
        <row r="596">
          <cell r="B596" t="str">
            <v>bs_case_distance2</v>
          </cell>
          <cell r="C596">
            <v>7.1999999999999995E-2</v>
          </cell>
          <cell r="D596" t="str">
            <v>Length</v>
          </cell>
        </row>
        <row r="597">
          <cell r="B597" t="str">
            <v>bs_door_pushbar</v>
          </cell>
          <cell r="D597" t="str">
            <v>Title</v>
          </cell>
        </row>
        <row r="598">
          <cell r="B598" t="str">
            <v>bs_door_closer</v>
          </cell>
          <cell r="D598" t="str">
            <v>Title</v>
          </cell>
        </row>
        <row r="599">
          <cell r="B599" t="str">
            <v>bs_closer_type</v>
          </cell>
          <cell r="C599" t="str">
            <v>OTS</v>
          </cell>
          <cell r="D599" t="str">
            <v>String</v>
          </cell>
        </row>
        <row r="600">
          <cell r="B600" t="str">
            <v>bs_slider_system</v>
          </cell>
          <cell r="C600" t="str">
            <v>G</v>
          </cell>
          <cell r="D600" t="str">
            <v>String</v>
          </cell>
        </row>
        <row r="601">
          <cell r="B601" t="str">
            <v>bs_closer_manufacturer</v>
          </cell>
          <cell r="C601" t="str">
            <v>Dormakaba</v>
          </cell>
          <cell r="D601" t="str">
            <v>String</v>
          </cell>
        </row>
        <row r="602">
          <cell r="B602" t="str">
            <v>bs_closer2</v>
          </cell>
          <cell r="C602">
            <v>1</v>
          </cell>
          <cell r="D602" t="str">
            <v>Integer</v>
          </cell>
        </row>
        <row r="603">
          <cell r="B603" t="str">
            <v>bs_closer_model</v>
          </cell>
          <cell r="C603" t="str">
            <v>TS 93 G EN 2-5</v>
          </cell>
          <cell r="D603" t="str">
            <v>String</v>
          </cell>
        </row>
        <row r="604">
          <cell r="B604" t="str">
            <v>bs_closer_model2</v>
          </cell>
          <cell r="C604" t="str">
            <v>TS 93 G EN 2-5</v>
          </cell>
          <cell r="D604" t="str">
            <v>String</v>
          </cell>
        </row>
        <row r="605">
          <cell r="B605" t="str">
            <v>bs_slider_model</v>
          </cell>
          <cell r="C605" t="str">
            <v>N</v>
          </cell>
          <cell r="D605" t="str">
            <v>String</v>
          </cell>
        </row>
        <row r="606">
          <cell r="B606" t="str">
            <v>bs_slider_model2</v>
          </cell>
          <cell r="D606" t="str">
            <v>String</v>
          </cell>
        </row>
        <row r="607">
          <cell r="B607" t="str">
            <v>bs_closer_orientation</v>
          </cell>
          <cell r="C607" t="str">
            <v>BS</v>
          </cell>
          <cell r="D607" t="str">
            <v>String</v>
          </cell>
        </row>
        <row r="608">
          <cell r="B608" t="str">
            <v>bs_closer_orientation2</v>
          </cell>
          <cell r="C608" t="str">
            <v>BS</v>
          </cell>
          <cell r="D608" t="str">
            <v>String</v>
          </cell>
        </row>
        <row r="609">
          <cell r="B609" t="str">
            <v>bs_closer_position</v>
          </cell>
          <cell r="C609" t="str">
            <v>S</v>
          </cell>
          <cell r="D609" t="str">
            <v>String</v>
          </cell>
        </row>
        <row r="610">
          <cell r="B610" t="str">
            <v>bs_closer_position2</v>
          </cell>
          <cell r="C610" t="str">
            <v>S</v>
          </cell>
          <cell r="D610" t="str">
            <v>String</v>
          </cell>
        </row>
        <row r="611">
          <cell r="B611" t="str">
            <v>bs_closer_force</v>
          </cell>
          <cell r="C611">
            <v>4</v>
          </cell>
          <cell r="D611" t="str">
            <v>Integer</v>
          </cell>
        </row>
        <row r="612">
          <cell r="B612" t="str">
            <v>bs_closer_force2</v>
          </cell>
          <cell r="C612">
            <v>4</v>
          </cell>
          <cell r="D612" t="str">
            <v>Integer</v>
          </cell>
        </row>
        <row r="613">
          <cell r="B613" t="str">
            <v>bs_closer_delay</v>
          </cell>
          <cell r="C613" t="str">
            <v>-</v>
          </cell>
          <cell r="D613" t="str">
            <v>String</v>
          </cell>
        </row>
        <row r="614">
          <cell r="B614" t="str">
            <v>bs_closing_order</v>
          </cell>
          <cell r="C614">
            <v>0</v>
          </cell>
          <cell r="D614" t="str">
            <v>Boolean</v>
          </cell>
        </row>
        <row r="615">
          <cell r="B615" t="str">
            <v>bs_opening_limitation</v>
          </cell>
          <cell r="C615">
            <v>0</v>
          </cell>
          <cell r="D615" t="str">
            <v>Boolean</v>
          </cell>
        </row>
        <row r="616">
          <cell r="B616" t="str">
            <v>bs_opening_limitation2</v>
          </cell>
          <cell r="C616">
            <v>0</v>
          </cell>
          <cell r="D616" t="str">
            <v>Boolean</v>
          </cell>
        </row>
        <row r="617">
          <cell r="B617" t="str">
            <v>bs_closer_damping</v>
          </cell>
          <cell r="C617">
            <v>1</v>
          </cell>
          <cell r="D617" t="str">
            <v>Boolean</v>
          </cell>
        </row>
        <row r="618">
          <cell r="B618" t="str">
            <v>bs_closer_damping2</v>
          </cell>
          <cell r="C618">
            <v>1</v>
          </cell>
          <cell r="D618" t="str">
            <v>Boolean</v>
          </cell>
        </row>
        <row r="619">
          <cell r="B619" t="str">
            <v>bs_closer_manual</v>
          </cell>
          <cell r="C619">
            <v>0</v>
          </cell>
          <cell r="D619" t="str">
            <v>Boolean</v>
          </cell>
        </row>
        <row r="620">
          <cell r="B620" t="str">
            <v>bs_closer_actuator</v>
          </cell>
          <cell r="D620" t="str">
            <v>String</v>
          </cell>
        </row>
        <row r="621">
          <cell r="B621" t="str">
            <v>bs_closer_fix</v>
          </cell>
          <cell r="C621" t="str">
            <v>-</v>
          </cell>
          <cell r="D621" t="str">
            <v>String</v>
          </cell>
        </row>
        <row r="622">
          <cell r="B622" t="str">
            <v>bs_closer_fix2</v>
          </cell>
          <cell r="C622" t="str">
            <v>-</v>
          </cell>
          <cell r="D622" t="str">
            <v>String</v>
          </cell>
        </row>
        <row r="623">
          <cell r="B623" t="str">
            <v>bs_closer_material</v>
          </cell>
          <cell r="C623" t="str">
            <v>ES</v>
          </cell>
          <cell r="D623" t="str">
            <v>String</v>
          </cell>
        </row>
        <row r="624">
          <cell r="B624" t="str">
            <v>bs_closer_material2</v>
          </cell>
          <cell r="C624" t="str">
            <v>ES</v>
          </cell>
          <cell r="D624" t="str">
            <v>String</v>
          </cell>
        </row>
        <row r="625">
          <cell r="B625" t="str">
            <v>bs_closer_surface</v>
          </cell>
          <cell r="C625" t="str">
            <v>N</v>
          </cell>
          <cell r="D625" t="str">
            <v>String</v>
          </cell>
        </row>
        <row r="626">
          <cell r="B626" t="str">
            <v>bs_closer_surface2</v>
          </cell>
          <cell r="D626" t="str">
            <v>String</v>
          </cell>
        </row>
        <row r="627">
          <cell r="B627" t="str">
            <v>bs_door_hinge</v>
          </cell>
          <cell r="D627" t="str">
            <v>Title</v>
          </cell>
        </row>
        <row r="628">
          <cell r="B628" t="str">
            <v>bs_hinge_type</v>
          </cell>
          <cell r="C628" t="str">
            <v>O2</v>
          </cell>
          <cell r="D628" t="str">
            <v>String</v>
          </cell>
        </row>
        <row r="629">
          <cell r="B629" t="str">
            <v>bs_hinge_manufacturer</v>
          </cell>
          <cell r="D629" t="str">
            <v>String</v>
          </cell>
        </row>
        <row r="630">
          <cell r="B630" t="str">
            <v>bs_hinge_model</v>
          </cell>
          <cell r="D630" t="str">
            <v>String</v>
          </cell>
        </row>
        <row r="631">
          <cell r="B631" t="str">
            <v>bs_hinge_chuck</v>
          </cell>
          <cell r="D631" t="str">
            <v>String</v>
          </cell>
        </row>
        <row r="632">
          <cell r="B632" t="str">
            <v>bs_hinge_material</v>
          </cell>
          <cell r="C632" t="str">
            <v>Stahl</v>
          </cell>
          <cell r="D632" t="str">
            <v>String</v>
          </cell>
        </row>
        <row r="633">
          <cell r="B633" t="str">
            <v>bs_hinge_surface</v>
          </cell>
          <cell r="D633" t="str">
            <v>String</v>
          </cell>
        </row>
        <row r="634">
          <cell r="B634" t="str">
            <v>bs_hinge_adjust</v>
          </cell>
          <cell r="C634" t="str">
            <v>-</v>
          </cell>
          <cell r="D634" t="str">
            <v>String</v>
          </cell>
        </row>
        <row r="635">
          <cell r="B635" t="str">
            <v>bs_hinge_nmbr</v>
          </cell>
          <cell r="C635">
            <v>2</v>
          </cell>
          <cell r="D635" t="str">
            <v>Integer</v>
          </cell>
        </row>
        <row r="636">
          <cell r="B636" t="str">
            <v>bs_hinge_reel_diameter</v>
          </cell>
          <cell r="C636">
            <v>0.02</v>
          </cell>
          <cell r="D636" t="str">
            <v>Length</v>
          </cell>
        </row>
        <row r="637">
          <cell r="B637" t="str">
            <v>bs_hinge_pos3</v>
          </cell>
          <cell r="C637">
            <v>0.35</v>
          </cell>
          <cell r="D637" t="str">
            <v>Length</v>
          </cell>
        </row>
        <row r="638">
          <cell r="B638" t="str">
            <v>bs_hinge_pos4</v>
          </cell>
          <cell r="C638">
            <v>0.35</v>
          </cell>
          <cell r="D638" t="str">
            <v>Length</v>
          </cell>
        </row>
        <row r="639">
          <cell r="B639" t="str">
            <v>bs_hinge_height</v>
          </cell>
          <cell r="C639">
            <v>0.04</v>
          </cell>
          <cell r="D639" t="str">
            <v>Length</v>
          </cell>
        </row>
        <row r="640">
          <cell r="B640" t="str">
            <v>bs_hinge_safety_pin</v>
          </cell>
          <cell r="C640">
            <v>0</v>
          </cell>
          <cell r="D640" t="str">
            <v>Integer</v>
          </cell>
        </row>
        <row r="641">
          <cell r="B641" t="str">
            <v>bs_hinge_fixture_width</v>
          </cell>
          <cell r="C641">
            <v>0.05</v>
          </cell>
          <cell r="D641" t="str">
            <v>Length</v>
          </cell>
        </row>
        <row r="642">
          <cell r="B642" t="str">
            <v>bs_hinge_fixture_height</v>
          </cell>
          <cell r="C642">
            <v>0.03</v>
          </cell>
          <cell r="D642" t="str">
            <v>Length</v>
          </cell>
        </row>
        <row r="643">
          <cell r="B643" t="str">
            <v>bs_ancor_hinge_X</v>
          </cell>
          <cell r="C643">
            <v>3.9064269999999998E-2</v>
          </cell>
          <cell r="D643" t="str">
            <v>Length</v>
          </cell>
        </row>
        <row r="644">
          <cell r="B644" t="str">
            <v>bs_ancor_hinge_Y</v>
          </cell>
          <cell r="C644">
            <v>1.121955E-2</v>
          </cell>
          <cell r="D644" t="str">
            <v>Length</v>
          </cell>
        </row>
        <row r="645">
          <cell r="B645" t="str">
            <v>bs_escape_door</v>
          </cell>
          <cell r="D645" t="str">
            <v>Title</v>
          </cell>
        </row>
        <row r="646">
          <cell r="B646" t="str">
            <v>bs_door_automation</v>
          </cell>
          <cell r="D646" t="str">
            <v>Title</v>
          </cell>
        </row>
        <row r="647">
          <cell r="B647" t="str">
            <v>bs_automation_type</v>
          </cell>
          <cell r="C647" t="str">
            <v>generic</v>
          </cell>
          <cell r="D647" t="str">
            <v>String</v>
          </cell>
        </row>
        <row r="648">
          <cell r="B648" t="str">
            <v>bs_electrical_fixtures</v>
          </cell>
          <cell r="D648" t="str">
            <v>Title</v>
          </cell>
        </row>
        <row r="649">
          <cell r="B649" t="str">
            <v>bs_additionals</v>
          </cell>
          <cell r="D649" t="str">
            <v>Title</v>
          </cell>
        </row>
        <row r="650">
          <cell r="B650" t="str">
            <v>gs_list_accessories</v>
          </cell>
          <cell r="D650" t="str">
            <v>String</v>
          </cell>
        </row>
        <row r="651">
          <cell r="B651" t="str">
            <v>gs_list_nameplate</v>
          </cell>
          <cell r="D651" t="str">
            <v>String</v>
          </cell>
        </row>
        <row r="652">
          <cell r="B652" t="str">
            <v>gs_2D_representation</v>
          </cell>
          <cell r="D652" t="str">
            <v>Title</v>
          </cell>
        </row>
        <row r="653">
          <cell r="B653" t="str">
            <v>dk_fill_settings</v>
          </cell>
          <cell r="D653" t="str">
            <v>Title</v>
          </cell>
        </row>
        <row r="654">
          <cell r="B654" t="str">
            <v>dk_fills</v>
          </cell>
          <cell r="C654" t="str">
            <v>{array}</v>
          </cell>
          <cell r="D654" t="str">
            <v>FillPattern</v>
          </cell>
        </row>
        <row r="655">
          <cell r="B655" t="str">
            <v>gs_pen_settings</v>
          </cell>
          <cell r="D655" t="str">
            <v>Title</v>
          </cell>
        </row>
        <row r="656">
          <cell r="B656" t="str">
            <v>dk_cont_pens</v>
          </cell>
          <cell r="C656" t="str">
            <v>{array}</v>
          </cell>
          <cell r="D656" t="str">
            <v>PenColor</v>
          </cell>
        </row>
        <row r="657">
          <cell r="B657" t="str">
            <v>dk_fill_pens</v>
          </cell>
          <cell r="C657" t="str">
            <v>{array}</v>
          </cell>
          <cell r="D657" t="str">
            <v>PenColor</v>
          </cell>
        </row>
        <row r="658">
          <cell r="B658" t="str">
            <v>dk_bkg_pens</v>
          </cell>
          <cell r="C658" t="str">
            <v>{array}</v>
          </cell>
          <cell r="D658" t="str">
            <v>PenColor</v>
          </cell>
        </row>
        <row r="659">
          <cell r="B659" t="str">
            <v>gs_pen_2D</v>
          </cell>
          <cell r="C659">
            <v>2</v>
          </cell>
          <cell r="D659" t="str">
            <v>PenColor</v>
          </cell>
        </row>
        <row r="660">
          <cell r="B660" t="str">
            <v>gs_frame_pen</v>
          </cell>
          <cell r="C660">
            <v>2</v>
          </cell>
          <cell r="D660" t="str">
            <v>PenColor</v>
          </cell>
        </row>
        <row r="661">
          <cell r="B661" t="str">
            <v>gs_fillFr</v>
          </cell>
          <cell r="C661">
            <v>65</v>
          </cell>
          <cell r="D661" t="str">
            <v>FillPattern</v>
          </cell>
        </row>
        <row r="662">
          <cell r="B662" t="str">
            <v>gs_penFr_fg</v>
          </cell>
          <cell r="C662">
            <v>19</v>
          </cell>
          <cell r="D662" t="str">
            <v>PenColor</v>
          </cell>
        </row>
        <row r="663">
          <cell r="B663" t="str">
            <v>gs_penFr_bg</v>
          </cell>
          <cell r="C663">
            <v>19</v>
          </cell>
          <cell r="D663" t="str">
            <v>PenColor</v>
          </cell>
        </row>
        <row r="664">
          <cell r="B664" t="str">
            <v>gs_leaf_pen</v>
          </cell>
          <cell r="C664">
            <v>2</v>
          </cell>
          <cell r="D664" t="str">
            <v>PenColor</v>
          </cell>
        </row>
        <row r="665">
          <cell r="B665" t="str">
            <v>gs_door_material</v>
          </cell>
          <cell r="D665" t="str">
            <v>Title</v>
          </cell>
        </row>
        <row r="666">
          <cell r="B666" t="str">
            <v>gs_fillLeaf</v>
          </cell>
          <cell r="C666">
            <v>16</v>
          </cell>
          <cell r="D666" t="str">
            <v>FillPattern</v>
          </cell>
        </row>
        <row r="667">
          <cell r="B667" t="str">
            <v>gs_penLeaf_fg</v>
          </cell>
          <cell r="C667">
            <v>19</v>
          </cell>
          <cell r="D667" t="str">
            <v>PenColor</v>
          </cell>
        </row>
        <row r="668">
          <cell r="B668" t="str">
            <v>gs_penLeaf_bg</v>
          </cell>
          <cell r="C668">
            <v>19</v>
          </cell>
          <cell r="D668" t="str">
            <v>PenColor</v>
          </cell>
        </row>
        <row r="669">
          <cell r="B669" t="str">
            <v>gs_glass_pen</v>
          </cell>
          <cell r="C669">
            <v>2</v>
          </cell>
          <cell r="D669" t="str">
            <v>PenColor</v>
          </cell>
        </row>
        <row r="670">
          <cell r="B670" t="str">
            <v>gs_fillGlass</v>
          </cell>
          <cell r="C670">
            <v>65</v>
          </cell>
          <cell r="D670" t="str">
            <v>FillPattern</v>
          </cell>
        </row>
        <row r="671">
          <cell r="B671" t="str">
            <v>gs_penGlass_fg</v>
          </cell>
          <cell r="C671">
            <v>19</v>
          </cell>
          <cell r="D671" t="str">
            <v>PenColor</v>
          </cell>
        </row>
        <row r="672">
          <cell r="B672" t="str">
            <v>gs_penGlass_bg</v>
          </cell>
          <cell r="C672">
            <v>19</v>
          </cell>
          <cell r="D672" t="str">
            <v>PenColor</v>
          </cell>
        </row>
        <row r="673">
          <cell r="B673" t="str">
            <v>gs_glass_view_pen</v>
          </cell>
          <cell r="C673">
            <v>2</v>
          </cell>
          <cell r="D673" t="str">
            <v>PenColor</v>
          </cell>
        </row>
        <row r="674">
          <cell r="B674" t="str">
            <v>gs_fillShCover</v>
          </cell>
          <cell r="C674">
            <v>65</v>
          </cell>
          <cell r="D674" t="str">
            <v>FillPattern</v>
          </cell>
        </row>
        <row r="675">
          <cell r="B675" t="str">
            <v>gs_penShCov_fg</v>
          </cell>
          <cell r="C675">
            <v>19</v>
          </cell>
          <cell r="D675" t="str">
            <v>PenColor</v>
          </cell>
        </row>
        <row r="676">
          <cell r="B676" t="str">
            <v>_trennzeile</v>
          </cell>
          <cell r="D676" t="str">
            <v>Title</v>
          </cell>
        </row>
        <row r="677">
          <cell r="B677" t="str">
            <v>penSIASymbolText</v>
          </cell>
          <cell r="C677">
            <v>1</v>
          </cell>
          <cell r="D677" t="str">
            <v>PenColor</v>
          </cell>
        </row>
        <row r="678">
          <cell r="B678" t="str">
            <v>penSIASymbolLine</v>
          </cell>
          <cell r="C678">
            <v>1</v>
          </cell>
          <cell r="D678" t="str">
            <v>PenColor</v>
          </cell>
        </row>
        <row r="679">
          <cell r="B679" t="str">
            <v>SIASymbolFontStyle</v>
          </cell>
          <cell r="C679" t="str">
            <v>Arial</v>
          </cell>
          <cell r="D679" t="str">
            <v>String</v>
          </cell>
        </row>
        <row r="680">
          <cell r="B680" t="str">
            <v>SIASymbolFontSize</v>
          </cell>
          <cell r="C680">
            <v>1</v>
          </cell>
          <cell r="D680" t="str">
            <v>RealNum</v>
          </cell>
        </row>
        <row r="681">
          <cell r="B681" t="str">
            <v>gs_trim_outside</v>
          </cell>
          <cell r="C681">
            <v>0</v>
          </cell>
          <cell r="D681" t="str">
            <v>Boolean</v>
          </cell>
        </row>
        <row r="682">
          <cell r="B682" t="str">
            <v>gs_trimtype_out</v>
          </cell>
          <cell r="C682" t="str">
            <v>Rechteckig</v>
          </cell>
          <cell r="D682" t="str">
            <v>String</v>
          </cell>
        </row>
        <row r="683">
          <cell r="B683" t="str">
            <v>gs_trimtype_out_int</v>
          </cell>
          <cell r="C683">
            <v>1</v>
          </cell>
          <cell r="D683" t="str">
            <v>Integer</v>
          </cell>
        </row>
        <row r="684">
          <cell r="B684" t="str">
            <v>iCasingHeadTypeOut</v>
          </cell>
          <cell r="C684">
            <v>1</v>
          </cell>
          <cell r="D684" t="str">
            <v>Integer</v>
          </cell>
        </row>
        <row r="685">
          <cell r="B685" t="str">
            <v>bArchitraveCapital</v>
          </cell>
          <cell r="C685">
            <v>1</v>
          </cell>
          <cell r="D685" t="str">
            <v>Boolean</v>
          </cell>
        </row>
        <row r="686">
          <cell r="B686" t="str">
            <v>iArchitraveCapitalType</v>
          </cell>
          <cell r="C686">
            <v>1</v>
          </cell>
          <cell r="D686" t="str">
            <v>Integer</v>
          </cell>
        </row>
        <row r="687">
          <cell r="B687" t="str">
            <v>architraveCapitalWidth</v>
          </cell>
          <cell r="C687">
            <v>0.02</v>
          </cell>
          <cell r="D687" t="str">
            <v>Length</v>
          </cell>
        </row>
        <row r="688">
          <cell r="B688" t="str">
            <v>gs_trim_show_cover_out</v>
          </cell>
          <cell r="C688">
            <v>1</v>
          </cell>
          <cell r="D688" t="str">
            <v>Boolean</v>
          </cell>
        </row>
        <row r="689">
          <cell r="B689" t="str">
            <v>gs_trim_outside_uniform</v>
          </cell>
          <cell r="C689">
            <v>1</v>
          </cell>
          <cell r="D689" t="str">
            <v>Boolean</v>
          </cell>
        </row>
        <row r="690">
          <cell r="B690" t="str">
            <v>gs_tw_right_out</v>
          </cell>
          <cell r="C690">
            <v>0.05</v>
          </cell>
          <cell r="D690" t="str">
            <v>Length</v>
          </cell>
        </row>
        <row r="691">
          <cell r="B691" t="str">
            <v>gs_tw_left_out</v>
          </cell>
          <cell r="C691">
            <v>0.05</v>
          </cell>
          <cell r="D691" t="str">
            <v>Length</v>
          </cell>
        </row>
        <row r="692">
          <cell r="B692" t="str">
            <v>gs_tw_top_out</v>
          </cell>
          <cell r="C692">
            <v>0.05</v>
          </cell>
          <cell r="D692" t="str">
            <v>Length</v>
          </cell>
        </row>
        <row r="693">
          <cell r="B693" t="str">
            <v>gs_trim_thk_out</v>
          </cell>
          <cell r="C693">
            <v>1.9E-2</v>
          </cell>
          <cell r="D693" t="str">
            <v>Length</v>
          </cell>
        </row>
        <row r="694">
          <cell r="B694" t="str">
            <v>gs_trim_width_out</v>
          </cell>
          <cell r="C694">
            <v>2.5000000000000001E-2</v>
          </cell>
          <cell r="D694" t="str">
            <v>Length</v>
          </cell>
        </row>
        <row r="695">
          <cell r="B695" t="str">
            <v>gs_trim_offs_out</v>
          </cell>
          <cell r="C695">
            <v>0</v>
          </cell>
          <cell r="D695" t="str">
            <v>Length</v>
          </cell>
        </row>
        <row r="696">
          <cell r="B696" t="str">
            <v>gs_trim_jambext_nosing_out</v>
          </cell>
          <cell r="C696">
            <v>0.05</v>
          </cell>
          <cell r="D696" t="str">
            <v>Length</v>
          </cell>
        </row>
        <row r="697">
          <cell r="B697" t="str">
            <v>gs_trimov_top_right_out</v>
          </cell>
          <cell r="C697">
            <v>0.1</v>
          </cell>
          <cell r="D697" t="str">
            <v>Length</v>
          </cell>
        </row>
        <row r="698">
          <cell r="B698" t="str">
            <v>gs_trim_pen_cont</v>
          </cell>
          <cell r="C698">
            <v>1</v>
          </cell>
          <cell r="D698" t="str">
            <v>PenColor</v>
          </cell>
        </row>
        <row r="699">
          <cell r="B699" t="str">
            <v>gs_trim_fill_out</v>
          </cell>
          <cell r="C699">
            <v>65</v>
          </cell>
          <cell r="D699" t="str">
            <v>FillPattern</v>
          </cell>
        </row>
        <row r="700">
          <cell r="B700" t="str">
            <v>gs_trim_pen_fg_out</v>
          </cell>
          <cell r="C700">
            <v>19</v>
          </cell>
          <cell r="D700" t="str">
            <v>PenColor</v>
          </cell>
        </row>
        <row r="701">
          <cell r="B701" t="str">
            <v>gs_trim_pen_bg_out</v>
          </cell>
          <cell r="C701">
            <v>19</v>
          </cell>
          <cell r="D701" t="str">
            <v>PenColor</v>
          </cell>
        </row>
        <row r="702">
          <cell r="B702" t="str">
            <v>gs_trim_inside</v>
          </cell>
          <cell r="C702">
            <v>0</v>
          </cell>
          <cell r="D702" t="str">
            <v>Boolean</v>
          </cell>
        </row>
        <row r="703">
          <cell r="B703" t="str">
            <v>gs_trimtype_in</v>
          </cell>
          <cell r="C703" t="str">
            <v>Rechteckig</v>
          </cell>
          <cell r="D703" t="str">
            <v>String</v>
          </cell>
        </row>
        <row r="704">
          <cell r="B704" t="str">
            <v>gs_trimtype_in_int</v>
          </cell>
          <cell r="C704">
            <v>1</v>
          </cell>
          <cell r="D704" t="str">
            <v>Integer</v>
          </cell>
        </row>
        <row r="705">
          <cell r="B705" t="str">
            <v>gs_trim_show_cover_in</v>
          </cell>
          <cell r="C705">
            <v>1</v>
          </cell>
          <cell r="D705" t="str">
            <v>Boolean</v>
          </cell>
        </row>
        <row r="706">
          <cell r="B706" t="str">
            <v>gs_trim_inside_uniform</v>
          </cell>
          <cell r="C706">
            <v>1</v>
          </cell>
          <cell r="D706" t="str">
            <v>Boolean</v>
          </cell>
        </row>
        <row r="707">
          <cell r="B707" t="str">
            <v>gs_tw_right_in</v>
          </cell>
          <cell r="C707">
            <v>0.05</v>
          </cell>
          <cell r="D707" t="str">
            <v>Length</v>
          </cell>
        </row>
        <row r="708">
          <cell r="B708" t="str">
            <v>gs_tw_left_in</v>
          </cell>
          <cell r="C708">
            <v>0.05</v>
          </cell>
          <cell r="D708" t="str">
            <v>Length</v>
          </cell>
        </row>
        <row r="709">
          <cell r="B709" t="str">
            <v>gs_tw_top_in</v>
          </cell>
          <cell r="C709">
            <v>0.05</v>
          </cell>
          <cell r="D709" t="str">
            <v>Length</v>
          </cell>
        </row>
        <row r="710">
          <cell r="B710" t="str">
            <v>gs_trim_thk_in</v>
          </cell>
          <cell r="C710">
            <v>1.9E-2</v>
          </cell>
          <cell r="D710" t="str">
            <v>Length</v>
          </cell>
        </row>
        <row r="711">
          <cell r="B711" t="str">
            <v>gs_trim_width_in</v>
          </cell>
          <cell r="C711">
            <v>2.5000000000000001E-2</v>
          </cell>
          <cell r="D711" t="str">
            <v>Length</v>
          </cell>
        </row>
        <row r="712">
          <cell r="B712" t="str">
            <v>gs_trim_offs_in</v>
          </cell>
          <cell r="C712">
            <v>0</v>
          </cell>
          <cell r="D712" t="str">
            <v>Length</v>
          </cell>
        </row>
        <row r="713">
          <cell r="B713" t="str">
            <v>gs_trim_jambext_nosing_in</v>
          </cell>
          <cell r="C713">
            <v>0.03</v>
          </cell>
          <cell r="D713" t="str">
            <v>Length</v>
          </cell>
        </row>
        <row r="714">
          <cell r="B714" t="str">
            <v>gs_trimov_top_right_in</v>
          </cell>
          <cell r="C714">
            <v>0.1</v>
          </cell>
          <cell r="D714" t="str">
            <v>Length</v>
          </cell>
        </row>
        <row r="715">
          <cell r="B715" t="str">
            <v>gs_trim_fill_in</v>
          </cell>
          <cell r="C715">
            <v>65</v>
          </cell>
          <cell r="D715" t="str">
            <v>FillPattern</v>
          </cell>
        </row>
        <row r="716">
          <cell r="B716" t="str">
            <v>gs_trim_pen_fg_in</v>
          </cell>
          <cell r="C716">
            <v>19</v>
          </cell>
          <cell r="D716" t="str">
            <v>PenColor</v>
          </cell>
        </row>
        <row r="717">
          <cell r="B717" t="str">
            <v>gs_trim_pen_bg_in</v>
          </cell>
          <cell r="C717">
            <v>19</v>
          </cell>
          <cell r="D717" t="str">
            <v>PenColor</v>
          </cell>
        </row>
        <row r="718">
          <cell r="B718" t="str">
            <v>gs_penShCov_bg</v>
          </cell>
          <cell r="C718">
            <v>19</v>
          </cell>
          <cell r="D718" t="str">
            <v>PenColor</v>
          </cell>
        </row>
        <row r="719">
          <cell r="B719" t="str">
            <v>gs_door_offnung</v>
          </cell>
          <cell r="D719" t="str">
            <v>Title</v>
          </cell>
        </row>
        <row r="720">
          <cell r="B720" t="str">
            <v>dk_opening2D</v>
          </cell>
          <cell r="C720">
            <v>1</v>
          </cell>
          <cell r="D720" t="str">
            <v>Integer</v>
          </cell>
        </row>
        <row r="721">
          <cell r="B721" t="str">
            <v>dk_openingSA</v>
          </cell>
          <cell r="C721">
            <v>1</v>
          </cell>
          <cell r="D721" t="str">
            <v>Integer</v>
          </cell>
        </row>
        <row r="722">
          <cell r="B722" t="str">
            <v>dk_opening3D</v>
          </cell>
          <cell r="C722">
            <v>1</v>
          </cell>
          <cell r="D722" t="str">
            <v>Integer</v>
          </cell>
        </row>
        <row r="723">
          <cell r="B723" t="str">
            <v>iDrawSimpleLeafTo</v>
          </cell>
          <cell r="C723">
            <v>2</v>
          </cell>
          <cell r="D723" t="str">
            <v>Integer</v>
          </cell>
        </row>
        <row r="724">
          <cell r="B724" t="str">
            <v>gs_open_2D</v>
          </cell>
          <cell r="C724">
            <v>90</v>
          </cell>
          <cell r="D724" t="str">
            <v>Angle</v>
          </cell>
        </row>
        <row r="725">
          <cell r="B725" t="str">
            <v>gs_open_2D_s</v>
          </cell>
          <cell r="C725">
            <v>90</v>
          </cell>
          <cell r="D725" t="str">
            <v>Angle</v>
          </cell>
        </row>
        <row r="726">
          <cell r="B726" t="str">
            <v>gs_open_3D</v>
          </cell>
          <cell r="C726">
            <v>0</v>
          </cell>
          <cell r="D726" t="str">
            <v>Angle</v>
          </cell>
        </row>
        <row r="727">
          <cell r="B727" t="str">
            <v>gs_open_3D_s</v>
          </cell>
          <cell r="C727">
            <v>0</v>
          </cell>
          <cell r="D727" t="str">
            <v>Angle</v>
          </cell>
        </row>
        <row r="728">
          <cell r="B728" t="str">
            <v>dk_open_leaf</v>
          </cell>
          <cell r="C728" t="str">
            <v>{array}</v>
          </cell>
          <cell r="D728" t="str">
            <v>Angle</v>
          </cell>
        </row>
        <row r="729">
          <cell r="B729" t="str">
            <v>gs_bSameLineTypeForLeaves</v>
          </cell>
          <cell r="C729">
            <v>1</v>
          </cell>
          <cell r="D729" t="str">
            <v>Boolean</v>
          </cell>
        </row>
        <row r="730">
          <cell r="B730" t="str">
            <v>bOverride_MVO_2D</v>
          </cell>
          <cell r="C730">
            <v>0</v>
          </cell>
          <cell r="D730" t="str">
            <v>Boolean</v>
          </cell>
        </row>
        <row r="731">
          <cell r="B731" t="str">
            <v>or_bOplines2D</v>
          </cell>
          <cell r="C731">
            <v>1</v>
          </cell>
          <cell r="D731" t="str">
            <v>Boolean</v>
          </cell>
        </row>
        <row r="732">
          <cell r="B732" t="str">
            <v>or_swingLineType</v>
          </cell>
          <cell r="C732">
            <v>1</v>
          </cell>
          <cell r="D732" t="str">
            <v>LineType</v>
          </cell>
        </row>
        <row r="733">
          <cell r="B733" t="str">
            <v>or_swingLineType2</v>
          </cell>
          <cell r="C733">
            <v>4</v>
          </cell>
          <cell r="D733" t="str">
            <v>LineType</v>
          </cell>
        </row>
        <row r="734">
          <cell r="B734" t="str">
            <v>or_SwingType</v>
          </cell>
          <cell r="C734" t="str">
            <v>Gebogen</v>
          </cell>
          <cell r="D734" t="str">
            <v>String</v>
          </cell>
        </row>
        <row r="735">
          <cell r="B735" t="str">
            <v>or_iSwingType</v>
          </cell>
          <cell r="C735">
            <v>1</v>
          </cell>
          <cell r="D735" t="str">
            <v>Integer</v>
          </cell>
        </row>
        <row r="736">
          <cell r="B736" t="str">
            <v>or_SlidingType</v>
          </cell>
          <cell r="C736" t="str">
            <v>Kein</v>
          </cell>
          <cell r="D736" t="str">
            <v>String</v>
          </cell>
        </row>
        <row r="737">
          <cell r="B737" t="str">
            <v>or_iSlidingType</v>
          </cell>
          <cell r="C737">
            <v>0</v>
          </cell>
          <cell r="D737" t="str">
            <v>Integer</v>
          </cell>
        </row>
        <row r="738">
          <cell r="B738" t="str">
            <v>dk_openLineType_BS</v>
          </cell>
          <cell r="C738">
            <v>1</v>
          </cell>
          <cell r="D738" t="str">
            <v>Integer</v>
          </cell>
        </row>
        <row r="739">
          <cell r="B739" t="str">
            <v>dk_openLineType_BGS</v>
          </cell>
          <cell r="C739">
            <v>1</v>
          </cell>
          <cell r="D739" t="str">
            <v>Integer</v>
          </cell>
        </row>
        <row r="740">
          <cell r="B740" t="str">
            <v>dk_openLineType_SF</v>
          </cell>
          <cell r="C740">
            <v>2</v>
          </cell>
          <cell r="D740" t="str">
            <v>Integer</v>
          </cell>
        </row>
        <row r="741">
          <cell r="B741" t="str">
            <v>or_opLinePen</v>
          </cell>
          <cell r="C741">
            <v>1</v>
          </cell>
          <cell r="D741" t="str">
            <v>PenColor</v>
          </cell>
        </row>
        <row r="742">
          <cell r="B742" t="str">
            <v>or_iOpLinePen</v>
          </cell>
          <cell r="C742">
            <v>1</v>
          </cell>
          <cell r="D742" t="str">
            <v>Integer</v>
          </cell>
        </row>
        <row r="743">
          <cell r="B743" t="str">
            <v>bOverride_MVO_3D</v>
          </cell>
          <cell r="C743">
            <v>1</v>
          </cell>
          <cell r="D743" t="str">
            <v>Boolean</v>
          </cell>
        </row>
        <row r="744">
          <cell r="B744" t="str">
            <v>or_bOplines3d</v>
          </cell>
          <cell r="C744">
            <v>1</v>
          </cell>
          <cell r="D744" t="str">
            <v>Boolean</v>
          </cell>
        </row>
        <row r="745">
          <cell r="B745" t="str">
            <v>or_opLineType3dIn</v>
          </cell>
          <cell r="C745" t="str">
            <v>Vollinie</v>
          </cell>
          <cell r="D745" t="str">
            <v>String</v>
          </cell>
        </row>
        <row r="746">
          <cell r="B746" t="str">
            <v>or_iOpLineType3dIn</v>
          </cell>
          <cell r="C746">
            <v>0</v>
          </cell>
          <cell r="D746" t="str">
            <v>Integer</v>
          </cell>
        </row>
        <row r="747">
          <cell r="B747" t="str">
            <v>or_opLineType3dOut</v>
          </cell>
          <cell r="C747" t="str">
            <v>Strichlinie</v>
          </cell>
          <cell r="D747" t="str">
            <v>String</v>
          </cell>
        </row>
        <row r="748">
          <cell r="B748" t="str">
            <v>or_iOpLineType3dOut</v>
          </cell>
          <cell r="C748">
            <v>1</v>
          </cell>
          <cell r="D748" t="str">
            <v>Integer</v>
          </cell>
        </row>
        <row r="749">
          <cell r="B749" t="str">
            <v>or_opLineType3dSecondary</v>
          </cell>
          <cell r="C749" t="str">
            <v>Strichlinie</v>
          </cell>
          <cell r="D749" t="str">
            <v>String</v>
          </cell>
        </row>
        <row r="750">
          <cell r="B750" t="str">
            <v>or_iOpLineType3dSecondary</v>
          </cell>
          <cell r="C750">
            <v>1</v>
          </cell>
          <cell r="D750" t="str">
            <v>Integer</v>
          </cell>
        </row>
        <row r="751">
          <cell r="B751" t="str">
            <v>or_oplineStyle</v>
          </cell>
          <cell r="C751" t="str">
            <v>Griff</v>
          </cell>
          <cell r="D751" t="str">
            <v>String</v>
          </cell>
        </row>
        <row r="752">
          <cell r="B752" t="str">
            <v>or_iOplineStyle</v>
          </cell>
          <cell r="C752">
            <v>1</v>
          </cell>
          <cell r="D752" t="str">
            <v>Integer</v>
          </cell>
        </row>
        <row r="753">
          <cell r="B753" t="str">
            <v>gs_detail_level</v>
          </cell>
          <cell r="D753" t="str">
            <v>Title</v>
          </cell>
        </row>
        <row r="754">
          <cell r="B754" t="str">
            <v>iDWDet2D</v>
          </cell>
          <cell r="C754">
            <v>1</v>
          </cell>
          <cell r="D754" t="str">
            <v>Integer</v>
          </cell>
        </row>
        <row r="755">
          <cell r="B755" t="str">
            <v>iDWDet3D</v>
          </cell>
          <cell r="C755">
            <v>2</v>
          </cell>
          <cell r="D755" t="str">
            <v>Integer</v>
          </cell>
        </row>
        <row r="756">
          <cell r="B756" t="str">
            <v>iDWDetSE</v>
          </cell>
          <cell r="C756">
            <v>1</v>
          </cell>
          <cell r="D756" t="str">
            <v>Integer</v>
          </cell>
        </row>
        <row r="757">
          <cell r="B757" t="str">
            <v>iRevealOnSymbol</v>
          </cell>
          <cell r="C757">
            <v>1</v>
          </cell>
          <cell r="D757" t="str">
            <v>Integer</v>
          </cell>
        </row>
        <row r="758">
          <cell r="B758" t="str">
            <v>gs_bFills_Wallhole</v>
          </cell>
          <cell r="C758">
            <v>0</v>
          </cell>
          <cell r="D758" t="str">
            <v>Boolean</v>
          </cell>
        </row>
        <row r="759">
          <cell r="B759" t="str">
            <v>gs_wallhole_fill</v>
          </cell>
          <cell r="C759">
            <v>65</v>
          </cell>
          <cell r="D759" t="str">
            <v>FillPattern</v>
          </cell>
        </row>
        <row r="760">
          <cell r="B760" t="str">
            <v>gs_wallhole_pen_fg</v>
          </cell>
          <cell r="C760">
            <v>1</v>
          </cell>
          <cell r="D760" t="str">
            <v>PenColor</v>
          </cell>
        </row>
        <row r="761">
          <cell r="B761" t="str">
            <v>gs_wallhole_pen_bg</v>
          </cell>
          <cell r="C761">
            <v>91</v>
          </cell>
          <cell r="D761" t="str">
            <v>PenColor</v>
          </cell>
        </row>
        <row r="762">
          <cell r="B762" t="str">
            <v>bEtikett</v>
          </cell>
          <cell r="C762">
            <v>0</v>
          </cell>
          <cell r="D762" t="str">
            <v>Boolean</v>
          </cell>
        </row>
        <row r="763">
          <cell r="B763" t="str">
            <v>gs_etikett</v>
          </cell>
          <cell r="C763" t="str">
            <v>Modelldarstellungs-Optionen</v>
          </cell>
          <cell r="D763" t="str">
            <v>String</v>
          </cell>
        </row>
        <row r="764">
          <cell r="B764" t="str">
            <v>iEtikett</v>
          </cell>
          <cell r="C764">
            <v>3</v>
          </cell>
          <cell r="D764" t="str">
            <v>Integer</v>
          </cell>
        </row>
        <row r="765">
          <cell r="B765" t="str">
            <v>iDWDimRawOpening</v>
          </cell>
          <cell r="C765">
            <v>1</v>
          </cell>
          <cell r="D765" t="str">
            <v>Integer</v>
          </cell>
        </row>
        <row r="766">
          <cell r="B766" t="str">
            <v>gs_mtext</v>
          </cell>
          <cell r="C766" t="str">
            <v>Öffnung roh</v>
          </cell>
          <cell r="D766" t="str">
            <v>String</v>
          </cell>
        </row>
        <row r="767">
          <cell r="B767" t="str">
            <v>gs_me</v>
          </cell>
          <cell r="C767">
            <v>0</v>
          </cell>
          <cell r="D767" t="str">
            <v>Length</v>
          </cell>
        </row>
        <row r="768">
          <cell r="B768" t="str">
            <v>iDWDimFinishedLintel</v>
          </cell>
          <cell r="C768">
            <v>1</v>
          </cell>
          <cell r="D768" t="str">
            <v>Integer</v>
          </cell>
        </row>
        <row r="769">
          <cell r="B769" t="str">
            <v>gs_ntext</v>
          </cell>
          <cell r="C769" t="str">
            <v>Sturz fertig</v>
          </cell>
          <cell r="D769" t="str">
            <v>String</v>
          </cell>
        </row>
        <row r="770">
          <cell r="B770" t="str">
            <v>gs_n</v>
          </cell>
          <cell r="C770">
            <v>0</v>
          </cell>
          <cell r="D770" t="str">
            <v>Length</v>
          </cell>
        </row>
        <row r="771">
          <cell r="B771" t="str">
            <v>iDWDimFinishedParapet</v>
          </cell>
          <cell r="C771">
            <v>1</v>
          </cell>
          <cell r="D771" t="str">
            <v>Integer</v>
          </cell>
        </row>
        <row r="772">
          <cell r="B772" t="str">
            <v>gs_qtext</v>
          </cell>
          <cell r="C772" t="str">
            <v>OK Schwelle</v>
          </cell>
          <cell r="D772" t="str">
            <v>String</v>
          </cell>
        </row>
        <row r="773">
          <cell r="B773" t="str">
            <v>gs_q</v>
          </cell>
          <cell r="C773">
            <v>0</v>
          </cell>
          <cell r="D773" t="str">
            <v>Length</v>
          </cell>
        </row>
        <row r="774">
          <cell r="B774" t="str">
            <v>iDWDimRawParapet</v>
          </cell>
          <cell r="C774">
            <v>1</v>
          </cell>
          <cell r="D774" t="str">
            <v>Integer</v>
          </cell>
        </row>
        <row r="775">
          <cell r="B775" t="str">
            <v>gs_ptext</v>
          </cell>
          <cell r="C775" t="str">
            <v>Schwelle</v>
          </cell>
          <cell r="D775" t="str">
            <v>String</v>
          </cell>
        </row>
        <row r="776">
          <cell r="B776" t="str">
            <v>gs_P</v>
          </cell>
          <cell r="C776">
            <v>0</v>
          </cell>
          <cell r="D776" t="str">
            <v>Length</v>
          </cell>
        </row>
        <row r="777">
          <cell r="B777" t="str">
            <v>gs_Etikett_scaleValues</v>
          </cell>
          <cell r="C777" t="str">
            <v>Maßstababhängig (Modellgröße)</v>
          </cell>
          <cell r="D777" t="str">
            <v>String</v>
          </cell>
        </row>
        <row r="778">
          <cell r="B778" t="str">
            <v>gs_Etikett_scaleValues_m</v>
          </cell>
          <cell r="C778">
            <v>2</v>
          </cell>
          <cell r="D778" t="str">
            <v>Integer</v>
          </cell>
        </row>
        <row r="779">
          <cell r="B779" t="str">
            <v>fontType</v>
          </cell>
          <cell r="C779" t="str">
            <v>Arial</v>
          </cell>
          <cell r="D779" t="str">
            <v>String</v>
          </cell>
        </row>
        <row r="780">
          <cell r="B780" t="str">
            <v>gs_lsize</v>
          </cell>
          <cell r="C780">
            <v>7.4999999999999997E-2</v>
          </cell>
          <cell r="D780" t="str">
            <v>Length</v>
          </cell>
        </row>
        <row r="781">
          <cell r="B781" t="str">
            <v>gs_Etikett_fontSize_mm</v>
          </cell>
          <cell r="C781">
            <v>1.5</v>
          </cell>
          <cell r="D781" t="str">
            <v>RealNum</v>
          </cell>
        </row>
        <row r="782">
          <cell r="B782" t="str">
            <v>gs_koten_pen</v>
          </cell>
          <cell r="C782">
            <v>1</v>
          </cell>
          <cell r="D782" t="str">
            <v>PenColor</v>
          </cell>
        </row>
        <row r="783">
          <cell r="B783" t="str">
            <v>gs_etx</v>
          </cell>
          <cell r="C783">
            <v>0</v>
          </cell>
          <cell r="D783" t="str">
            <v>Length</v>
          </cell>
        </row>
        <row r="784">
          <cell r="B784" t="str">
            <v>gs_Etikett_xTextPos_m</v>
          </cell>
          <cell r="C784">
            <v>0</v>
          </cell>
          <cell r="D784" t="str">
            <v>RealNum</v>
          </cell>
        </row>
        <row r="785">
          <cell r="B785" t="str">
            <v>gs_Etikett_xTextPos_mm</v>
          </cell>
          <cell r="C785">
            <v>0</v>
          </cell>
          <cell r="D785" t="str">
            <v>RealNum</v>
          </cell>
        </row>
        <row r="786">
          <cell r="B786" t="str">
            <v>gs_ety</v>
          </cell>
          <cell r="C786">
            <v>0.4</v>
          </cell>
          <cell r="D786" t="str">
            <v>Length</v>
          </cell>
        </row>
        <row r="787">
          <cell r="B787" t="str">
            <v>gs_Etikett_yTextPos_m</v>
          </cell>
          <cell r="C787">
            <v>0</v>
          </cell>
          <cell r="D787" t="str">
            <v>RealNum</v>
          </cell>
        </row>
        <row r="788">
          <cell r="B788" t="str">
            <v>gs_Etikett_yTextPos_mm</v>
          </cell>
          <cell r="C788">
            <v>2</v>
          </cell>
          <cell r="D788" t="str">
            <v>RealNum</v>
          </cell>
        </row>
        <row r="789">
          <cell r="B789" t="str">
            <v>gs_autheight</v>
          </cell>
          <cell r="C789">
            <v>0</v>
          </cell>
          <cell r="D789" t="str">
            <v>Boolean</v>
          </cell>
        </row>
        <row r="790">
          <cell r="B790" t="str">
            <v>gs_heightuser</v>
          </cell>
          <cell r="C790">
            <v>0.05</v>
          </cell>
          <cell r="D790" t="str">
            <v>Length</v>
          </cell>
        </row>
        <row r="791">
          <cell r="B791" t="str">
            <v>gs_Etikett_lineSpace_mm</v>
          </cell>
          <cell r="C791">
            <v>1</v>
          </cell>
          <cell r="D791" t="str">
            <v>RealNum</v>
          </cell>
        </row>
        <row r="792">
          <cell r="B792" t="str">
            <v>gs_festb</v>
          </cell>
          <cell r="C792">
            <v>0</v>
          </cell>
          <cell r="D792" t="str">
            <v>Length</v>
          </cell>
        </row>
        <row r="793">
          <cell r="B793" t="str">
            <v>angleRotate</v>
          </cell>
          <cell r="C793">
            <v>0</v>
          </cell>
          <cell r="D793" t="str">
            <v>Angle</v>
          </cell>
        </row>
        <row r="794">
          <cell r="B794" t="str">
            <v>bIDTextDisplayMode</v>
          </cell>
          <cell r="C794">
            <v>0</v>
          </cell>
          <cell r="D794" t="str">
            <v>Boolean</v>
          </cell>
        </row>
        <row r="795">
          <cell r="B795" t="str">
            <v>gs_IDText_displayMode_m</v>
          </cell>
          <cell r="C795">
            <v>1</v>
          </cell>
          <cell r="D795" t="str">
            <v>Integer</v>
          </cell>
        </row>
        <row r="796">
          <cell r="B796" t="str">
            <v>gs_IDText_bAutoIDNumber</v>
          </cell>
          <cell r="C796">
            <v>1</v>
          </cell>
          <cell r="D796" t="str">
            <v>Boolean</v>
          </cell>
        </row>
        <row r="797">
          <cell r="B797" t="str">
            <v>gs_IDText_stCustomText</v>
          </cell>
          <cell r="C797" t="str">
            <v>Eigene ID</v>
          </cell>
          <cell r="D797" t="str">
            <v>String</v>
          </cell>
        </row>
        <row r="798">
          <cell r="B798" t="str">
            <v>gs_IDText_bFlipMarker</v>
          </cell>
          <cell r="C798">
            <v>1</v>
          </cell>
          <cell r="D798" t="str">
            <v>Boolean</v>
          </cell>
        </row>
        <row r="799">
          <cell r="B799" t="str">
            <v>gs_IDText_bAdditionalValues</v>
          </cell>
          <cell r="C799">
            <v>1</v>
          </cell>
          <cell r="D799" t="str">
            <v>Boolean</v>
          </cell>
        </row>
        <row r="800">
          <cell r="B800" t="str">
            <v>gs_IDText_xTextPos</v>
          </cell>
          <cell r="C800">
            <v>0</v>
          </cell>
          <cell r="D800" t="str">
            <v>Length</v>
          </cell>
        </row>
        <row r="801">
          <cell r="B801" t="str">
            <v>gs_IDText_yTextPos</v>
          </cell>
          <cell r="C801">
            <v>0.4</v>
          </cell>
          <cell r="D801" t="str">
            <v>Length</v>
          </cell>
        </row>
        <row r="802">
          <cell r="B802" t="str">
            <v>gs_IDText_xTextPos_mm</v>
          </cell>
          <cell r="C802">
            <v>0</v>
          </cell>
          <cell r="D802" t="str">
            <v>RealNum</v>
          </cell>
        </row>
        <row r="803">
          <cell r="B803" t="str">
            <v>gs_IDText_yTextPos_mm</v>
          </cell>
          <cell r="C803">
            <v>8</v>
          </cell>
          <cell r="D803" t="str">
            <v>RealNum</v>
          </cell>
        </row>
        <row r="804">
          <cell r="B804" t="str">
            <v>gs_IDText_scaleValues</v>
          </cell>
          <cell r="C804" t="str">
            <v>Maßstababhängig (Modellgröße)</v>
          </cell>
          <cell r="D804" t="str">
            <v>String</v>
          </cell>
        </row>
        <row r="805">
          <cell r="B805" t="str">
            <v>gs_IDText_scaleValues_m</v>
          </cell>
          <cell r="C805">
            <v>2</v>
          </cell>
          <cell r="D805" t="str">
            <v>Integer</v>
          </cell>
        </row>
        <row r="806">
          <cell r="B806" t="str">
            <v>gs_IDText_fontSize_mm</v>
          </cell>
          <cell r="C806">
            <v>2</v>
          </cell>
          <cell r="D806" t="str">
            <v>RealNum</v>
          </cell>
        </row>
        <row r="807">
          <cell r="B807" t="str">
            <v>gs_IDText_fontSize_model</v>
          </cell>
          <cell r="C807">
            <v>0.1</v>
          </cell>
          <cell r="D807" t="str">
            <v>Length</v>
          </cell>
        </row>
        <row r="808">
          <cell r="B808" t="str">
            <v>gs_IDText_fontType</v>
          </cell>
          <cell r="C808" t="str">
            <v>Arial</v>
          </cell>
          <cell r="D808" t="str">
            <v>String</v>
          </cell>
        </row>
        <row r="809">
          <cell r="B809" t="str">
            <v>gs_IDText_fontPen</v>
          </cell>
          <cell r="C809">
            <v>1</v>
          </cell>
          <cell r="D809" t="str">
            <v>PenColor</v>
          </cell>
        </row>
        <row r="810">
          <cell r="B810" t="str">
            <v>gs_head_symbol</v>
          </cell>
          <cell r="C810">
            <v>1</v>
          </cell>
          <cell r="D810" t="str">
            <v>Boolean</v>
          </cell>
        </row>
        <row r="811">
          <cell r="B811" t="str">
            <v>gs_head_symbol_line</v>
          </cell>
          <cell r="C811">
            <v>21</v>
          </cell>
          <cell r="D811" t="str">
            <v>LineType</v>
          </cell>
        </row>
        <row r="812">
          <cell r="B812" t="str">
            <v>gs_head_symbol_pen</v>
          </cell>
          <cell r="C812">
            <v>6</v>
          </cell>
          <cell r="D812" t="str">
            <v>PenColor</v>
          </cell>
        </row>
        <row r="813">
          <cell r="B813" t="str">
            <v>gs_min_space</v>
          </cell>
          <cell r="D813" t="str">
            <v>Title</v>
          </cell>
        </row>
        <row r="814">
          <cell r="B814" t="str">
            <v>msOpeningSideWidth1</v>
          </cell>
          <cell r="C814">
            <v>0.1</v>
          </cell>
          <cell r="D814" t="str">
            <v>Length</v>
          </cell>
        </row>
        <row r="815">
          <cell r="B815" t="str">
            <v>msOpeningSideWidth2</v>
          </cell>
          <cell r="C815">
            <v>0.1</v>
          </cell>
          <cell r="D815" t="str">
            <v>Length</v>
          </cell>
        </row>
        <row r="816">
          <cell r="B816" t="str">
            <v>ms_openingSDepth</v>
          </cell>
          <cell r="C816">
            <v>1.8</v>
          </cell>
          <cell r="D816" t="str">
            <v>Length</v>
          </cell>
        </row>
        <row r="817">
          <cell r="B817" t="str">
            <v>msOppositeSideWidth1</v>
          </cell>
          <cell r="C817">
            <v>0.1</v>
          </cell>
          <cell r="D817" t="str">
            <v>Length</v>
          </cell>
        </row>
        <row r="818">
          <cell r="B818" t="str">
            <v>msOppositeSideWidth2</v>
          </cell>
          <cell r="C818">
            <v>0.1</v>
          </cell>
          <cell r="D818" t="str">
            <v>Length</v>
          </cell>
        </row>
        <row r="819">
          <cell r="B819" t="str">
            <v>ms_oppositeSDepth</v>
          </cell>
          <cell r="C819">
            <v>1.2</v>
          </cell>
          <cell r="D819" t="str">
            <v>Length</v>
          </cell>
        </row>
        <row r="820">
          <cell r="B820" t="str">
            <v>ms_frameWidthRight</v>
          </cell>
          <cell r="C820">
            <v>0</v>
          </cell>
          <cell r="D820" t="str">
            <v>Length</v>
          </cell>
        </row>
        <row r="821">
          <cell r="B821" t="str">
            <v>ms_frameWidthLeft</v>
          </cell>
          <cell r="C821">
            <v>0</v>
          </cell>
          <cell r="D821" t="str">
            <v>Length</v>
          </cell>
        </row>
        <row r="822">
          <cell r="B822" t="str">
            <v>gs_leaf_optype_m</v>
          </cell>
          <cell r="C822">
            <v>0</v>
          </cell>
          <cell r="D822" t="str">
            <v>Integer</v>
          </cell>
        </row>
        <row r="823">
          <cell r="B823" t="str">
            <v>gs_3D_representation</v>
          </cell>
          <cell r="D823" t="str">
            <v>Title</v>
          </cell>
        </row>
        <row r="824">
          <cell r="B824" t="str">
            <v>dk_materials</v>
          </cell>
          <cell r="C824" t="str">
            <v>{array}</v>
          </cell>
          <cell r="D824" t="str">
            <v>Material</v>
          </cell>
        </row>
        <row r="825">
          <cell r="B825" t="str">
            <v>gs_leaf_mat</v>
          </cell>
          <cell r="C825">
            <v>133</v>
          </cell>
          <cell r="D825" t="str">
            <v>Material</v>
          </cell>
        </row>
        <row r="826">
          <cell r="B826" t="str">
            <v>gs_glass_mat</v>
          </cell>
          <cell r="C826">
            <v>24</v>
          </cell>
          <cell r="D826" t="str">
            <v>Material</v>
          </cell>
        </row>
        <row r="827">
          <cell r="B827" t="str">
            <v>gs_metal_mat</v>
          </cell>
          <cell r="C827">
            <v>40</v>
          </cell>
          <cell r="D827" t="str">
            <v>Material</v>
          </cell>
        </row>
        <row r="828">
          <cell r="B828" t="str">
            <v>gs_mat_spr</v>
          </cell>
          <cell r="C828">
            <v>133</v>
          </cell>
          <cell r="D828" t="str">
            <v>Material</v>
          </cell>
        </row>
        <row r="829">
          <cell r="B829" t="str">
            <v>bLinkCasingSurfaces</v>
          </cell>
          <cell r="C829">
            <v>1</v>
          </cell>
          <cell r="D829" t="str">
            <v>Boolean</v>
          </cell>
        </row>
        <row r="830">
          <cell r="B830" t="str">
            <v>stored_material</v>
          </cell>
          <cell r="C830" t="str">
            <v>{array}</v>
          </cell>
          <cell r="D830" t="str">
            <v>Integer</v>
          </cell>
        </row>
        <row r="831">
          <cell r="B831" t="str">
            <v>gs_trim_in_mat</v>
          </cell>
          <cell r="C831">
            <v>133</v>
          </cell>
          <cell r="D831" t="str">
            <v>Material</v>
          </cell>
        </row>
        <row r="832">
          <cell r="B832" t="str">
            <v>gs_trim_out_mat</v>
          </cell>
          <cell r="C832">
            <v>133</v>
          </cell>
          <cell r="D832" t="str">
            <v>Material</v>
          </cell>
        </row>
        <row r="833">
          <cell r="B833" t="str">
            <v>gs_wall_contour_lines</v>
          </cell>
          <cell r="D833" t="str">
            <v>Title</v>
          </cell>
        </row>
        <row r="834">
          <cell r="B834" t="str">
            <v>gs_wallcontour</v>
          </cell>
          <cell r="C834" t="str">
            <v>Beide</v>
          </cell>
          <cell r="D834" t="str">
            <v>String</v>
          </cell>
        </row>
        <row r="835">
          <cell r="B835" t="str">
            <v>gs_wallcontour_id</v>
          </cell>
          <cell r="C835">
            <v>1</v>
          </cell>
          <cell r="D835" t="str">
            <v>Integer</v>
          </cell>
        </row>
        <row r="836">
          <cell r="B836" t="str">
            <v>gs_wcont_line</v>
          </cell>
          <cell r="C836" t="str">
            <v>beide Seiten</v>
          </cell>
          <cell r="D836" t="str">
            <v>String</v>
          </cell>
        </row>
        <row r="837">
          <cell r="B837" t="str">
            <v>iWallContourLine</v>
          </cell>
          <cell r="C837">
            <v>4</v>
          </cell>
          <cell r="D837" t="str">
            <v>Integer</v>
          </cell>
        </row>
        <row r="838">
          <cell r="B838" t="str">
            <v>gs_wcont_line_automatic</v>
          </cell>
          <cell r="C838">
            <v>0</v>
          </cell>
          <cell r="D838" t="str">
            <v>Boolean</v>
          </cell>
        </row>
        <row r="839">
          <cell r="B839" t="str">
            <v>gs_wcont_line_inside</v>
          </cell>
          <cell r="C839">
            <v>1</v>
          </cell>
          <cell r="D839" t="str">
            <v>Boolean</v>
          </cell>
        </row>
        <row r="840">
          <cell r="B840" t="str">
            <v>gs_wcont_line_inside2</v>
          </cell>
          <cell r="C840">
            <v>1</v>
          </cell>
          <cell r="D840" t="str">
            <v>Boolean</v>
          </cell>
        </row>
        <row r="841">
          <cell r="B841" t="str">
            <v>gs_wcont_line_in</v>
          </cell>
          <cell r="C841">
            <v>1</v>
          </cell>
          <cell r="D841" t="str">
            <v>LineType</v>
          </cell>
        </row>
        <row r="842">
          <cell r="B842" t="str">
            <v>gs_wcont_line_in2</v>
          </cell>
          <cell r="C842">
            <v>1</v>
          </cell>
          <cell r="D842" t="str">
            <v>LineType</v>
          </cell>
        </row>
        <row r="843">
          <cell r="B843" t="str">
            <v>gs_wcont_line_outside</v>
          </cell>
          <cell r="C843">
            <v>1</v>
          </cell>
          <cell r="D843" t="str">
            <v>Boolean</v>
          </cell>
        </row>
        <row r="844">
          <cell r="B844" t="str">
            <v>gs_wcont_line_outside2</v>
          </cell>
          <cell r="C844">
            <v>1</v>
          </cell>
          <cell r="D844" t="str">
            <v>Boolean</v>
          </cell>
        </row>
        <row r="845">
          <cell r="B845" t="str">
            <v>gs_wcont_line_out</v>
          </cell>
          <cell r="C845">
            <v>1</v>
          </cell>
          <cell r="D845" t="str">
            <v>LineType</v>
          </cell>
        </row>
        <row r="846">
          <cell r="B846" t="str">
            <v>gs_wcont_line_out2</v>
          </cell>
          <cell r="C846">
            <v>1</v>
          </cell>
          <cell r="D846" t="str">
            <v>LineType</v>
          </cell>
        </row>
        <row r="847">
          <cell r="B847" t="str">
            <v>gs_wcont_line_pen</v>
          </cell>
          <cell r="C847">
            <v>1</v>
          </cell>
          <cell r="D847" t="str">
            <v>PenColor</v>
          </cell>
        </row>
        <row r="848">
          <cell r="B848" t="str">
            <v>gs_wcont_line_pen2</v>
          </cell>
          <cell r="C848">
            <v>1</v>
          </cell>
          <cell r="D848" t="str">
            <v>PenColor</v>
          </cell>
        </row>
        <row r="849">
          <cell r="B849" t="str">
            <v>gs_mounting_frame_gap</v>
          </cell>
          <cell r="D849" t="str">
            <v>Title</v>
          </cell>
        </row>
        <row r="850">
          <cell r="B850" t="str">
            <v>iBlindstockTypeLeft</v>
          </cell>
          <cell r="C850">
            <v>0</v>
          </cell>
          <cell r="D850" t="str">
            <v>Integer</v>
          </cell>
        </row>
        <row r="851">
          <cell r="B851" t="str">
            <v>iBlindstockTypeRight</v>
          </cell>
          <cell r="C851">
            <v>0</v>
          </cell>
          <cell r="D851" t="str">
            <v>Integer</v>
          </cell>
        </row>
        <row r="852">
          <cell r="B852" t="str">
            <v>gs_TolerNBF_automatic</v>
          </cell>
          <cell r="C852">
            <v>0</v>
          </cell>
          <cell r="D852" t="str">
            <v>Boolean</v>
          </cell>
        </row>
        <row r="853">
          <cell r="B853" t="str">
            <v>gs_TolerNBF_dist_left</v>
          </cell>
          <cell r="C853">
            <v>0</v>
          </cell>
          <cell r="D853" t="str">
            <v>Length</v>
          </cell>
        </row>
        <row r="854">
          <cell r="B854" t="str">
            <v>gs_TolerNBF_dist_right</v>
          </cell>
          <cell r="C854">
            <v>0</v>
          </cell>
          <cell r="D854" t="str">
            <v>Length</v>
          </cell>
        </row>
        <row r="855">
          <cell r="B855" t="str">
            <v>gs_TolerNBF_width_left</v>
          </cell>
          <cell r="C855">
            <v>0.04</v>
          </cell>
          <cell r="D855" t="str">
            <v>Length</v>
          </cell>
        </row>
        <row r="856">
          <cell r="B856" t="str">
            <v>gs_TolerNBF_width_right</v>
          </cell>
          <cell r="C856">
            <v>0.05</v>
          </cell>
          <cell r="D856" t="str">
            <v>Length</v>
          </cell>
        </row>
        <row r="857">
          <cell r="B857" t="str">
            <v>gs_TolerNBF_depth_left</v>
          </cell>
          <cell r="C857">
            <v>0.01</v>
          </cell>
          <cell r="D857" t="str">
            <v>Length</v>
          </cell>
        </row>
        <row r="858">
          <cell r="B858" t="str">
            <v>gs_TolerNBF_depth_right</v>
          </cell>
          <cell r="C858">
            <v>0.01</v>
          </cell>
          <cell r="D858" t="str">
            <v>Length</v>
          </cell>
        </row>
        <row r="859">
          <cell r="B859" t="str">
            <v>gs_TolerBlin_contour_pen</v>
          </cell>
          <cell r="C859">
            <v>1</v>
          </cell>
          <cell r="D859" t="str">
            <v>PenColor</v>
          </cell>
        </row>
        <row r="860">
          <cell r="B860" t="str">
            <v>gs_TolerBlin_contour_line_type</v>
          </cell>
          <cell r="C860">
            <v>1</v>
          </cell>
          <cell r="D860" t="str">
            <v>LineType</v>
          </cell>
        </row>
        <row r="861">
          <cell r="B861" t="str">
            <v>gs_TolerBlin_fill_type</v>
          </cell>
          <cell r="C861">
            <v>65</v>
          </cell>
          <cell r="D861" t="str">
            <v>FillPattern</v>
          </cell>
        </row>
        <row r="862">
          <cell r="B862" t="str">
            <v>gs_TolerBlin_fg_pen</v>
          </cell>
          <cell r="C862">
            <v>2</v>
          </cell>
          <cell r="D862" t="str">
            <v>PenColor</v>
          </cell>
        </row>
        <row r="863">
          <cell r="B863" t="str">
            <v>gs_TolerBlin_bg_pen</v>
          </cell>
          <cell r="C863">
            <v>19</v>
          </cell>
          <cell r="D863" t="str">
            <v>PenColor</v>
          </cell>
        </row>
        <row r="864">
          <cell r="B864" t="str">
            <v>gs_TolerFill_contour_pen</v>
          </cell>
          <cell r="C864">
            <v>1</v>
          </cell>
          <cell r="D864" t="str">
            <v>PenColor</v>
          </cell>
        </row>
        <row r="865">
          <cell r="B865" t="str">
            <v>gs_TolerFill_contour_line_type</v>
          </cell>
          <cell r="C865">
            <v>1</v>
          </cell>
          <cell r="D865" t="str">
            <v>LineType</v>
          </cell>
        </row>
        <row r="866">
          <cell r="B866" t="str">
            <v>gs_TolerFill_fill_type</v>
          </cell>
          <cell r="C866">
            <v>64</v>
          </cell>
          <cell r="D866" t="str">
            <v>FillPattern</v>
          </cell>
        </row>
        <row r="867">
          <cell r="B867" t="str">
            <v>gs_TolerFill_fg_pen</v>
          </cell>
          <cell r="C867">
            <v>2</v>
          </cell>
          <cell r="D867" t="str">
            <v>PenColor</v>
          </cell>
        </row>
        <row r="868">
          <cell r="B868" t="str">
            <v>gs_TolerFill_bg_pen</v>
          </cell>
          <cell r="C868">
            <v>19</v>
          </cell>
          <cell r="D868" t="str">
            <v>PenColor</v>
          </cell>
        </row>
        <row r="869">
          <cell r="B869" t="str">
            <v>bs_planning</v>
          </cell>
          <cell r="D869" t="str">
            <v>Title</v>
          </cell>
        </row>
        <row r="870">
          <cell r="B870" t="str">
            <v>ifc_parameter_transfer</v>
          </cell>
          <cell r="D870" t="str">
            <v>Title</v>
          </cell>
        </row>
        <row r="871">
          <cell r="B871" t="str">
            <v>ifc_optypestr</v>
          </cell>
          <cell r="C871" t="str">
            <v>Zweiflügeltür - Öffnungsflügel</v>
          </cell>
          <cell r="D871" t="str">
            <v>String</v>
          </cell>
        </row>
        <row r="872">
          <cell r="B872" t="str">
            <v>ifc_optype</v>
          </cell>
          <cell r="C872">
            <v>2</v>
          </cell>
          <cell r="D872" t="str">
            <v>Integer</v>
          </cell>
        </row>
        <row r="873">
          <cell r="B873" t="str">
            <v>ifc_LiningDepth</v>
          </cell>
          <cell r="C873">
            <v>0</v>
          </cell>
          <cell r="D873" t="str">
            <v>Length</v>
          </cell>
        </row>
        <row r="874">
          <cell r="B874" t="str">
            <v>ifc_LiningThickness</v>
          </cell>
          <cell r="C874">
            <v>0</v>
          </cell>
          <cell r="D874" t="str">
            <v>Length</v>
          </cell>
        </row>
        <row r="875">
          <cell r="B875" t="str">
            <v>ifc_LiningOffset</v>
          </cell>
          <cell r="C875">
            <v>0</v>
          </cell>
          <cell r="D875" t="str">
            <v>Length</v>
          </cell>
        </row>
        <row r="876">
          <cell r="B876" t="str">
            <v>ifc_CasingDepth</v>
          </cell>
          <cell r="C876">
            <v>0</v>
          </cell>
          <cell r="D876" t="str">
            <v>Length</v>
          </cell>
        </row>
        <row r="877">
          <cell r="B877" t="str">
            <v>ifc_CasingThickness</v>
          </cell>
          <cell r="C877">
            <v>0</v>
          </cell>
          <cell r="D877" t="str">
            <v>Length</v>
          </cell>
        </row>
        <row r="878">
          <cell r="B878" t="str">
            <v>ifc_ThresholdDepth</v>
          </cell>
          <cell r="C878">
            <v>0</v>
          </cell>
          <cell r="D878" t="str">
            <v>Length</v>
          </cell>
        </row>
        <row r="879">
          <cell r="B879" t="str">
            <v>ifc_ThresholdThickness</v>
          </cell>
          <cell r="C879">
            <v>0</v>
          </cell>
          <cell r="D879" t="str">
            <v>Length</v>
          </cell>
        </row>
        <row r="880">
          <cell r="B880" t="str">
            <v>ifc_ThresholdOffset</v>
          </cell>
          <cell r="C880">
            <v>0</v>
          </cell>
          <cell r="D880" t="str">
            <v>Length</v>
          </cell>
        </row>
        <row r="881">
          <cell r="B881" t="str">
            <v>ifc_TransomOffset</v>
          </cell>
          <cell r="C881">
            <v>0</v>
          </cell>
          <cell r="D881" t="str">
            <v>Length</v>
          </cell>
        </row>
        <row r="882">
          <cell r="B882" t="str">
            <v>ifc_TransomThickness</v>
          </cell>
          <cell r="C882">
            <v>0</v>
          </cell>
          <cell r="D882" t="str">
            <v>Length</v>
          </cell>
        </row>
        <row r="883">
          <cell r="B883" t="str">
            <v>ifc_DoorPanel</v>
          </cell>
          <cell r="C883" t="str">
            <v>{array}</v>
          </cell>
          <cell r="D883" t="str">
            <v>Length</v>
          </cell>
        </row>
        <row r="884">
          <cell r="B884" t="str">
            <v>dk_bim</v>
          </cell>
          <cell r="D884" t="str">
            <v>Title</v>
          </cell>
        </row>
        <row r="885">
          <cell r="B885" t="str">
            <v>dk_LOI</v>
          </cell>
          <cell r="C885">
            <v>6</v>
          </cell>
          <cell r="D885" t="str">
            <v>Integer</v>
          </cell>
        </row>
        <row r="886">
          <cell r="B886" t="str">
            <v>dk_LOD</v>
          </cell>
          <cell r="C886" t="str">
            <v>{array}</v>
          </cell>
          <cell r="D886" t="str">
            <v>Integer</v>
          </cell>
        </row>
        <row r="887">
          <cell r="B887" t="str">
            <v>dk_extendable_components</v>
          </cell>
          <cell r="D887" t="str">
            <v>Title</v>
          </cell>
        </row>
        <row r="888">
          <cell r="B888" t="str">
            <v>frame_system</v>
          </cell>
          <cell r="C888" t="str">
            <v>Umfassungszarge</v>
          </cell>
          <cell r="D888" t="str">
            <v>String</v>
          </cell>
        </row>
        <row r="889">
          <cell r="B889" t="str">
            <v>panel_system</v>
          </cell>
          <cell r="C889" t="str">
            <v>allgemein</v>
          </cell>
          <cell r="D889" t="str">
            <v>String</v>
          </cell>
        </row>
        <row r="890">
          <cell r="B890" t="str">
            <v>hinge_system</v>
          </cell>
          <cell r="C890" t="str">
            <v>allgemein</v>
          </cell>
          <cell r="D890" t="str">
            <v>String</v>
          </cell>
        </row>
        <row r="891">
          <cell r="B891" t="str">
            <v>closer_system</v>
          </cell>
          <cell r="C891" t="str">
            <v>DORMA_OTS</v>
          </cell>
          <cell r="D891" t="str">
            <v>String</v>
          </cell>
        </row>
        <row r="892">
          <cell r="B892" t="str">
            <v>automation_system</v>
          </cell>
          <cell r="C892" t="str">
            <v>DORMA</v>
          </cell>
          <cell r="D892" t="str">
            <v>String</v>
          </cell>
        </row>
        <row r="893">
          <cell r="B893" t="str">
            <v>case_system</v>
          </cell>
          <cell r="C893" t="str">
            <v>allgemein</v>
          </cell>
          <cell r="D893" t="str">
            <v>String</v>
          </cell>
        </row>
        <row r="894">
          <cell r="B894" t="str">
            <v>handle_system</v>
          </cell>
          <cell r="C894" t="str">
            <v>DORMA_OGRO</v>
          </cell>
          <cell r="D894" t="str">
            <v>String</v>
          </cell>
        </row>
        <row r="895">
          <cell r="B895" t="str">
            <v>access_control_system</v>
          </cell>
          <cell r="C895" t="str">
            <v>allgemein</v>
          </cell>
          <cell r="D895" t="str">
            <v>String</v>
          </cell>
        </row>
        <row r="896">
          <cell r="B896" t="str">
            <v>grip_system</v>
          </cell>
          <cell r="C896" t="str">
            <v>allgemein</v>
          </cell>
          <cell r="D896" t="str">
            <v>String</v>
          </cell>
        </row>
        <row r="897">
          <cell r="B897" t="str">
            <v>accessory_system</v>
          </cell>
          <cell r="C897" t="str">
            <v>allgemein</v>
          </cell>
          <cell r="D897" t="str">
            <v>String</v>
          </cell>
        </row>
        <row r="898">
          <cell r="B898" t="str">
            <v>ac_library</v>
          </cell>
          <cell r="D898" t="str">
            <v>Title</v>
          </cell>
        </row>
        <row r="899">
          <cell r="B899" t="str">
            <v>LibraryLangCode</v>
          </cell>
          <cell r="C899" t="str">
            <v>GER</v>
          </cell>
          <cell r="D899" t="str">
            <v>String</v>
          </cell>
        </row>
        <row r="900">
          <cell r="B900" t="str">
            <v>language</v>
          </cell>
          <cell r="C900">
            <v>1</v>
          </cell>
          <cell r="D900" t="str">
            <v>Integer</v>
          </cell>
        </row>
        <row r="901">
          <cell r="B901" t="str">
            <v>dk_dlg_subset</v>
          </cell>
          <cell r="C901">
            <v>1</v>
          </cell>
          <cell r="D901" t="str">
            <v>Integer</v>
          </cell>
        </row>
        <row r="902">
          <cell r="B902" t="str">
            <v>gs_ui_current_page</v>
          </cell>
          <cell r="C902">
            <v>1</v>
          </cell>
          <cell r="D902" t="str">
            <v>Integer</v>
          </cell>
        </row>
        <row r="903">
          <cell r="B903" t="str">
            <v>gs_ui_sub_tabpage</v>
          </cell>
          <cell r="C903">
            <v>1</v>
          </cell>
          <cell r="D903" t="str">
            <v>Integer</v>
          </cell>
        </row>
        <row r="904">
          <cell r="B904" t="str">
            <v>gs_ui_sub_tabpage_closure</v>
          </cell>
          <cell r="C904">
            <v>1</v>
          </cell>
          <cell r="D904" t="str">
            <v>Integer</v>
          </cell>
        </row>
        <row r="905">
          <cell r="B905" t="str">
            <v>gs_RevealTypeEnable</v>
          </cell>
          <cell r="C905">
            <v>0</v>
          </cell>
          <cell r="D905" t="str">
            <v>Integer</v>
          </cell>
        </row>
        <row r="906">
          <cell r="B906" t="str">
            <v>gs_subHandle</v>
          </cell>
          <cell r="C906">
            <v>1</v>
          </cell>
          <cell r="D906" t="str">
            <v>Integer</v>
          </cell>
        </row>
        <row r="907">
          <cell r="B907" t="str">
            <v>gs_GLOB_MODPAR_NAME</v>
          </cell>
          <cell r="D907" t="str">
            <v>String</v>
          </cell>
        </row>
        <row r="908">
          <cell r="B908" t="str">
            <v>iUIPictIndex</v>
          </cell>
          <cell r="C908">
            <v>2</v>
          </cell>
          <cell r="D908" t="str">
            <v>Integer</v>
          </cell>
        </row>
        <row r="909">
          <cell r="B909" t="str">
            <v>gs_full_edit</v>
          </cell>
          <cell r="C909">
            <v>1</v>
          </cell>
          <cell r="D909" t="str">
            <v>Boolean</v>
          </cell>
        </row>
        <row r="910">
          <cell r="B910" t="str">
            <v>develop</v>
          </cell>
          <cell r="C910">
            <v>0</v>
          </cell>
          <cell r="D910" t="str">
            <v>Integer</v>
          </cell>
        </row>
        <row r="911">
          <cell r="B911" t="str">
            <v>ac_details</v>
          </cell>
          <cell r="D911" t="str">
            <v>Title</v>
          </cell>
        </row>
        <row r="912">
          <cell r="B912" t="str">
            <v>ac_left_oversize</v>
          </cell>
          <cell r="C912">
            <v>0</v>
          </cell>
          <cell r="D912" t="str">
            <v>Length</v>
          </cell>
        </row>
        <row r="913">
          <cell r="B913" t="str">
            <v>ac_right_oversize</v>
          </cell>
          <cell r="C913">
            <v>0</v>
          </cell>
          <cell r="D913" t="str">
            <v>Length</v>
          </cell>
        </row>
        <row r="914">
          <cell r="B914" t="str">
            <v>ac_upper_oversize</v>
          </cell>
          <cell r="C914">
            <v>0</v>
          </cell>
          <cell r="D914" t="str">
            <v>Length</v>
          </cell>
        </row>
        <row r="915">
          <cell r="B915" t="str">
            <v>ac_lower_oversize</v>
          </cell>
          <cell r="C915">
            <v>0</v>
          </cell>
          <cell r="D915" t="str">
            <v>Length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SETTINGS"/>
      <sheetName val="PARAMETERS"/>
      <sheetName val="DEFAULT"/>
      <sheetName val="VALUES"/>
      <sheetName val="TEXT"/>
      <sheetName val="XX_Properties.xml"/>
      <sheetName val="prePROP"/>
      <sheetName val="base"/>
      <sheetName val="SORT IMPORT"/>
      <sheetName val="IMPORT SCHLIESSERDATEN"/>
      <sheetName val="UPDATECHECK"/>
      <sheetName val="IMPORT AUFBEREITET"/>
      <sheetName val="COMPAR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2">
          <cell r="L2" t="str">
            <v>all</v>
          </cell>
        </row>
        <row r="3">
          <cell r="L3" t="str">
            <v>FM</v>
          </cell>
        </row>
        <row r="4">
          <cell r="L4" t="str">
            <v>FPE</v>
          </cell>
        </row>
        <row r="5">
          <cell r="L5" t="str">
            <v>Planner</v>
          </cell>
        </row>
        <row r="6">
          <cell r="L6" t="str">
            <v>Manuf.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G28"/>
  <sheetViews>
    <sheetView tabSelected="1" topLeftCell="A10" zoomScaleNormal="100" workbookViewId="0">
      <selection activeCell="F23" sqref="F23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59.44140625" style="3" customWidth="1"/>
    <col min="4" max="4" width="27.109375" style="3" customWidth="1"/>
    <col min="5" max="5" width="3.6640625" style="3" customWidth="1"/>
    <col min="6" max="6" width="37.44140625" style="3" customWidth="1"/>
    <col min="7" max="16384" width="11.44140625" style="3"/>
  </cols>
  <sheetData>
    <row r="1" spans="1:7" ht="24.75" customHeight="1" x14ac:dyDescent="0.3">
      <c r="A1" s="1" t="s">
        <v>0</v>
      </c>
      <c r="B1" s="401" t="s">
        <v>1993</v>
      </c>
      <c r="C1" s="401"/>
      <c r="D1" s="4"/>
    </row>
    <row r="2" spans="1:7" ht="36.75" customHeight="1" x14ac:dyDescent="0.3">
      <c r="A2" s="1"/>
      <c r="B2" s="394"/>
      <c r="C2" s="65" t="s">
        <v>730</v>
      </c>
      <c r="D2" s="4"/>
      <c r="E2" s="4"/>
      <c r="F2" s="4"/>
    </row>
    <row r="3" spans="1:7" ht="35.25" customHeight="1" x14ac:dyDescent="0.3">
      <c r="A3" s="1" t="s">
        <v>156</v>
      </c>
      <c r="B3" s="86" t="s">
        <v>1992</v>
      </c>
      <c r="C3" s="86"/>
      <c r="D3" s="86"/>
      <c r="E3" s="6"/>
      <c r="F3" s="6"/>
    </row>
    <row r="4" spans="1:7" ht="35.25" customHeight="1" x14ac:dyDescent="0.3">
      <c r="A4" s="1" t="s">
        <v>1</v>
      </c>
      <c r="B4" s="402" t="s">
        <v>1990</v>
      </c>
      <c r="C4" s="402"/>
      <c r="D4" s="4"/>
    </row>
    <row r="5" spans="1:7" ht="35.25" customHeight="1" x14ac:dyDescent="0.3">
      <c r="A5" s="1" t="s">
        <v>96</v>
      </c>
      <c r="B5" s="403" t="s">
        <v>1991</v>
      </c>
      <c r="C5" s="403"/>
      <c r="D5" s="4"/>
    </row>
    <row r="6" spans="1:7" ht="35.25" customHeight="1" x14ac:dyDescent="0.3">
      <c r="A6" s="1" t="s">
        <v>2</v>
      </c>
      <c r="B6" s="404">
        <v>45923</v>
      </c>
      <c r="C6" s="404"/>
      <c r="D6" s="4"/>
    </row>
    <row r="7" spans="1:7" ht="35.25" customHeight="1" x14ac:dyDescent="0.3">
      <c r="A7" s="1" t="s">
        <v>3</v>
      </c>
      <c r="B7" s="402">
        <v>28</v>
      </c>
      <c r="C7" s="402"/>
      <c r="D7" s="55" t="str">
        <f>IFERROR(IF(B$1="","",DEC2HEX(CODE(B$1)+2^6*CODE(MID(B$1,2,1))+2^8*CODE(MID(B$1,3,1))+2^10*CODE(MID(B$1,4,1))+2^12*CODE(MID(B$1,5,1))+2^14*CODE(MID(B$1,6,1))+2^16*CODE(MID(B$1,7,1))+2^18*CODE(MID(B$1,8,1))+2^20*CODE(MID(B$1,9,1))+2^22*CODE(MID(B$1,10,1))+2^24*CODE(MID(B$1,11,1)))),"object name to short for basic GUID parameter generation")</f>
        <v>92424BA2</v>
      </c>
    </row>
    <row r="8" spans="1:7" ht="35.25" customHeight="1" x14ac:dyDescent="0.3">
      <c r="A8" s="1" t="s">
        <v>4</v>
      </c>
      <c r="B8" s="402" t="str">
        <f>"max. "&amp;TEXT(ROWS(PARAMETERS!$A$2:$A$529),"0")&amp;" / "&amp;TEXT(ROWS(PARAMETERLISTE),"0")&amp;" (input/output GDL)"</f>
        <v>max. 528 / 528 (input/output GDL)</v>
      </c>
      <c r="C8" s="402"/>
      <c r="D8" s="4" t="s">
        <v>5</v>
      </c>
    </row>
    <row r="9" spans="1:7" ht="35.25" customHeight="1" x14ac:dyDescent="0.3">
      <c r="A9" s="1"/>
      <c r="B9" s="402" t="str">
        <f>TEXT(COUNTIF(PARAMETERS!$A$2:$A$529,"G"),"0")&amp;" (GDL) /  "&amp;TEXT(COUNTIF(PARAMETERS!$A$2:$A$529,"P"),"0")&amp;" (Properties)"</f>
        <v>453 (GDL) /  0 (Properties)</v>
      </c>
      <c r="C9" s="402"/>
      <c r="D9" s="4"/>
    </row>
    <row r="10" spans="1:7" ht="35.25" customHeight="1" x14ac:dyDescent="0.3">
      <c r="A10" s="1" t="s">
        <v>7</v>
      </c>
      <c r="B10" s="402" t="str">
        <f>"for max. "&amp;TEXT(ROWS(VALUESLIST),"0")&amp;" parameters"</f>
        <v>for max. 92 parameters</v>
      </c>
      <c r="C10" s="402"/>
      <c r="D10" s="4" t="s">
        <v>6</v>
      </c>
    </row>
    <row r="11" spans="1:7" ht="35.25" customHeight="1" x14ac:dyDescent="0.3">
      <c r="A11" s="1" t="s">
        <v>8</v>
      </c>
      <c r="B11" s="402" t="str">
        <f>"max. "&amp;TEXT(ROWS(VALUESval),"0")&amp;" items for value list (per parameter)"</f>
        <v>max. 91 items for value list (per parameter)</v>
      </c>
      <c r="C11" s="402"/>
      <c r="D11" s="4" t="s">
        <v>5</v>
      </c>
    </row>
    <row r="12" spans="1:7" ht="36" customHeight="1" x14ac:dyDescent="0.3">
      <c r="A12" s="1"/>
    </row>
    <row r="13" spans="1:7" ht="16.5" customHeight="1" x14ac:dyDescent="0.3">
      <c r="A13" s="1"/>
      <c r="B13" s="395"/>
      <c r="C13" s="65" t="s">
        <v>151</v>
      </c>
      <c r="D13" s="65" t="s">
        <v>155</v>
      </c>
      <c r="F13" s="65" t="s">
        <v>150</v>
      </c>
      <c r="G13" s="65"/>
    </row>
    <row r="14" spans="1:7" ht="24" customHeight="1" x14ac:dyDescent="0.25">
      <c r="A14" s="7" t="s">
        <v>1910</v>
      </c>
      <c r="B14" s="14" t="s">
        <v>1904</v>
      </c>
      <c r="C14" s="14"/>
      <c r="D14" s="14"/>
      <c r="F14" s="78" t="s">
        <v>149</v>
      </c>
      <c r="G14" s="89"/>
    </row>
    <row r="15" spans="1:7" ht="24" customHeight="1" x14ac:dyDescent="0.25">
      <c r="A15" s="7"/>
      <c r="B15" s="14" t="s">
        <v>1905</v>
      </c>
      <c r="C15" s="14"/>
      <c r="D15" s="14"/>
      <c r="F15" s="78" t="s">
        <v>140</v>
      </c>
      <c r="G15" s="3" t="s">
        <v>162</v>
      </c>
    </row>
    <row r="16" spans="1:7" ht="24" customHeight="1" x14ac:dyDescent="0.25">
      <c r="A16" s="7"/>
      <c r="B16" s="17" t="s">
        <v>1906</v>
      </c>
      <c r="C16" s="14"/>
      <c r="F16" s="397"/>
      <c r="G16" s="395"/>
    </row>
    <row r="17" spans="1:7" ht="24" customHeight="1" x14ac:dyDescent="0.25">
      <c r="A17" s="7"/>
      <c r="B17" s="14"/>
      <c r="C17" s="14"/>
      <c r="D17" s="14"/>
      <c r="F17" s="78"/>
      <c r="G17" s="89"/>
    </row>
    <row r="18" spans="1:7" ht="24" customHeight="1" x14ac:dyDescent="0.25">
      <c r="A18" s="7" t="s">
        <v>1911</v>
      </c>
      <c r="B18" s="14" t="s">
        <v>154</v>
      </c>
      <c r="C18" s="14"/>
      <c r="F18" s="78" t="s">
        <v>163</v>
      </c>
      <c r="G18" s="89"/>
    </row>
    <row r="19" spans="1:7" ht="24" customHeight="1" x14ac:dyDescent="0.25">
      <c r="A19" s="7"/>
      <c r="B19" s="14" t="s">
        <v>153</v>
      </c>
      <c r="C19" s="14"/>
      <c r="F19" s="78" t="s">
        <v>181</v>
      </c>
      <c r="G19" s="89"/>
    </row>
    <row r="20" spans="1:7" ht="24" customHeight="1" x14ac:dyDescent="0.25">
      <c r="A20" s="7"/>
      <c r="B20" s="14" t="s">
        <v>152</v>
      </c>
      <c r="C20" s="14"/>
      <c r="F20" s="78" t="s">
        <v>164</v>
      </c>
      <c r="G20" s="89"/>
    </row>
    <row r="21" spans="1:7" ht="24" customHeight="1" x14ac:dyDescent="0.25">
      <c r="A21" s="7"/>
      <c r="B21" s="3"/>
      <c r="C21" s="14"/>
    </row>
    <row r="22" spans="1:7" ht="24" customHeight="1" x14ac:dyDescent="0.25">
      <c r="A22" s="7" t="s">
        <v>1912</v>
      </c>
      <c r="B22" s="14" t="s">
        <v>1907</v>
      </c>
      <c r="C22" s="14"/>
      <c r="F22" s="78" t="s">
        <v>165</v>
      </c>
      <c r="G22" s="395"/>
    </row>
    <row r="23" spans="1:7" ht="24" customHeight="1" x14ac:dyDescent="0.25">
      <c r="A23" s="7"/>
      <c r="B23" s="14" t="s">
        <v>1908</v>
      </c>
      <c r="C23" s="14"/>
      <c r="D23" s="5" t="s">
        <v>121</v>
      </c>
      <c r="F23" s="398" t="s">
        <v>1996</v>
      </c>
      <c r="G23" s="3" t="s">
        <v>162</v>
      </c>
    </row>
    <row r="24" spans="1:7" ht="24" customHeight="1" x14ac:dyDescent="0.25">
      <c r="A24" s="7"/>
      <c r="B24" s="17"/>
      <c r="C24" s="14"/>
      <c r="D24" s="5" t="s">
        <v>121</v>
      </c>
      <c r="F24" s="78"/>
      <c r="G24" s="89"/>
    </row>
    <row r="25" spans="1:7" ht="24" customHeight="1" x14ac:dyDescent="0.25">
      <c r="A25" s="7" t="s">
        <v>1913</v>
      </c>
      <c r="B25" s="17" t="s">
        <v>159</v>
      </c>
      <c r="C25" s="14"/>
      <c r="D25" s="5"/>
      <c r="F25" s="78" t="s">
        <v>160</v>
      </c>
      <c r="G25" s="89"/>
    </row>
    <row r="26" spans="1:7" ht="24" customHeight="1" x14ac:dyDescent="0.25">
      <c r="A26" s="7"/>
      <c r="B26" s="17"/>
      <c r="C26" s="14"/>
      <c r="D26" s="5"/>
      <c r="F26" s="78" t="s">
        <v>161</v>
      </c>
      <c r="G26" s="89"/>
    </row>
    <row r="27" spans="1:7" ht="24" customHeight="1" x14ac:dyDescent="0.25">
      <c r="A27" s="7"/>
      <c r="B27" s="17"/>
      <c r="C27" s="14"/>
      <c r="D27" s="5"/>
      <c r="F27" s="78"/>
      <c r="G27" s="89"/>
    </row>
    <row r="28" spans="1:7" ht="24" customHeight="1" x14ac:dyDescent="0.25">
      <c r="A28" s="7" t="s">
        <v>1914</v>
      </c>
      <c r="B28" s="17" t="s">
        <v>1909</v>
      </c>
      <c r="C28" s="14"/>
      <c r="D28" s="5" t="s">
        <v>121</v>
      </c>
      <c r="F28" s="78" t="s">
        <v>182</v>
      </c>
      <c r="G28" s="89"/>
    </row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93" r:id="rId4" name="ParseUserInterfaceButton">
          <controlPr print="0" autoLine="0" r:id="rId5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293" r:id="rId4" name="ParseUserInterfaceButton"/>
      </mc:Fallback>
    </mc:AlternateContent>
    <mc:AlternateContent xmlns:mc="http://schemas.openxmlformats.org/markup-compatibility/2006">
      <mc:Choice Requires="x14">
        <control shapeId="11292" r:id="rId6" name="IntegrateBitmapsButton">
          <controlPr print="0" autoLine="0" r:id="rId7">
            <anchor moveWithCells="1" sizeWithCells="1">
              <from>
                <xdr:col>3</xdr:col>
                <xdr:colOff>0</xdr:colOff>
                <xdr:row>24</xdr:row>
                <xdr:rowOff>7620</xdr:rowOff>
              </from>
              <to>
                <xdr:col>4</xdr:col>
                <xdr:colOff>0</xdr:colOff>
                <xdr:row>25</xdr:row>
                <xdr:rowOff>7620</xdr:rowOff>
              </to>
            </anchor>
          </controlPr>
        </control>
      </mc:Choice>
      <mc:Fallback>
        <control shapeId="11292" r:id="rId6" name="IntegrateBitmapsButton"/>
      </mc:Fallback>
    </mc:AlternateContent>
    <mc:AlternateContent xmlns:mc="http://schemas.openxmlformats.org/markup-compatibility/2006">
      <mc:Choice Requires="x14">
        <control shapeId="11291" r:id="rId8" name="ImportVariableTextButton">
          <controlPr print="0" autoLine="0" r:id="rId9">
            <anchor moveWithCells="1" sizeWithCells="1">
              <from>
                <xdr:col>3</xdr:col>
                <xdr:colOff>0</xdr:colOff>
                <xdr:row>22</xdr:row>
                <xdr:rowOff>7620</xdr:rowOff>
              </from>
              <to>
                <xdr:col>4</xdr:col>
                <xdr:colOff>0</xdr:colOff>
                <xdr:row>23</xdr:row>
                <xdr:rowOff>7620</xdr:rowOff>
              </to>
            </anchor>
          </controlPr>
        </control>
      </mc:Choice>
      <mc:Fallback>
        <control shapeId="11291" r:id="rId8" name="ImportVariableTextButton"/>
      </mc:Fallback>
    </mc:AlternateContent>
    <mc:AlternateContent xmlns:mc="http://schemas.openxmlformats.org/markup-compatibility/2006">
      <mc:Choice Requires="x14">
        <control shapeId="11290" r:id="rId10" name="ExportMultilingualTextButton">
          <controlPr defaultSize="0" autoLine="0" r:id="rId11">
            <anchor moveWithCells="1" sizeWithCells="1">
              <from>
                <xdr:col>3</xdr:col>
                <xdr:colOff>7620</xdr:colOff>
                <xdr:row>21</xdr:row>
                <xdr:rowOff>7620</xdr:rowOff>
              </from>
              <to>
                <xdr:col>4</xdr:col>
                <xdr:colOff>7620</xdr:colOff>
                <xdr:row>22</xdr:row>
                <xdr:rowOff>0</xdr:rowOff>
              </to>
            </anchor>
          </controlPr>
        </control>
      </mc:Choice>
      <mc:Fallback>
        <control shapeId="11290" r:id="rId10" name="ExportMultilingualTextButton"/>
      </mc:Fallback>
    </mc:AlternateContent>
    <mc:AlternateContent xmlns:mc="http://schemas.openxmlformats.org/markup-compatibility/2006">
      <mc:Choice Requires="x14">
        <control shapeId="11289" r:id="rId12" name="ExportArrayIndicesButton">
          <controlPr defaultSize="0" autoLine="0" r:id="rId13">
            <anchor moveWithCells="1" sizeWithCells="1">
              <from>
                <xdr:col>3</xdr:col>
                <xdr:colOff>0</xdr:colOff>
                <xdr:row>19</xdr:row>
                <xdr:rowOff>0</xdr:rowOff>
              </from>
              <to>
                <xdr:col>4</xdr:col>
                <xdr:colOff>7620</xdr:colOff>
                <xdr:row>20</xdr:row>
                <xdr:rowOff>0</xdr:rowOff>
              </to>
            </anchor>
          </controlPr>
        </control>
      </mc:Choice>
      <mc:Fallback>
        <control shapeId="11289" r:id="rId12" name="ExportArrayIndicesButton"/>
      </mc:Fallback>
    </mc:AlternateContent>
    <mc:AlternateContent xmlns:mc="http://schemas.openxmlformats.org/markup-compatibility/2006">
      <mc:Choice Requires="x14">
        <control shapeId="11288" r:id="rId14" name="ExportValueListsForUserInterface">
          <controlPr defaultSize="0" autoLine="0" r:id="rId15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88" r:id="rId14" name="ExportValueListsForUserInterface"/>
      </mc:Fallback>
    </mc:AlternateContent>
    <mc:AlternateContent xmlns:mc="http://schemas.openxmlformats.org/markup-compatibility/2006">
      <mc:Choice Requires="x14">
        <control shapeId="11287" r:id="rId16" name="ExportValuesCommandsButton">
          <controlPr defaultSize="0" autoLine="0" r:id="rId17">
            <anchor moveWithCells="1" sizeWithCells="1">
              <from>
                <xdr:col>3</xdr:col>
                <xdr:colOff>7620</xdr:colOff>
                <xdr:row>17</xdr:row>
                <xdr:rowOff>0</xdr:rowOff>
              </from>
              <to>
                <xdr:col>4</xdr:col>
                <xdr:colOff>7620</xdr:colOff>
                <xdr:row>18</xdr:row>
                <xdr:rowOff>0</xdr:rowOff>
              </to>
            </anchor>
          </controlPr>
        </control>
      </mc:Choice>
      <mc:Fallback>
        <control shapeId="11287" r:id="rId16" name="ExportValuesCommandsButton"/>
      </mc:Fallback>
    </mc:AlternateContent>
    <mc:AlternateContent xmlns:mc="http://schemas.openxmlformats.org/markup-compatibility/2006">
      <mc:Choice Requires="x14">
        <control shapeId="11286" r:id="rId18" name="CheckButton">
          <controlPr print="0" autoLine="0" r:id="rId19">
            <anchor moveWithCells="1" sizeWithCells="1">
              <from>
                <xdr:col>3</xdr:col>
                <xdr:colOff>7620</xdr:colOff>
                <xdr:row>15</xdr:row>
                <xdr:rowOff>0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286" r:id="rId18" name="CheckButton"/>
      </mc:Fallback>
    </mc:AlternateContent>
    <mc:AlternateContent xmlns:mc="http://schemas.openxmlformats.org/markup-compatibility/2006">
      <mc:Choice Requires="x14">
        <control shapeId="11285" r:id="rId20" name="ExportArchicadPropertiesButton">
          <controlPr defaultSize="0" autoLine="0" r:id="rId21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85" r:id="rId20" name="ExportArchicadPropertiesButton"/>
      </mc:Fallback>
    </mc:AlternateContent>
    <mc:AlternateContent xmlns:mc="http://schemas.openxmlformats.org/markup-compatibility/2006">
      <mc:Choice Requires="x14">
        <control shapeId="11284" r:id="rId22" name="ExportParameterListButton">
          <controlPr print="0" autoLine="0" r:id="rId23">
            <anchor moveWithCells="1" sizeWithCells="1">
              <from>
                <xdr:col>3</xdr:col>
                <xdr:colOff>7620</xdr:colOff>
                <xdr:row>13</xdr:row>
                <xdr:rowOff>0</xdr:rowOff>
              </from>
              <to>
                <xdr:col>4</xdr:col>
                <xdr:colOff>7620</xdr:colOff>
                <xdr:row>14</xdr:row>
                <xdr:rowOff>0</xdr:rowOff>
              </to>
            </anchor>
          </controlPr>
        </control>
      </mc:Choice>
      <mc:Fallback>
        <control shapeId="11284" r:id="rId22" name="ExportParameterLis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D535"/>
  <sheetViews>
    <sheetView zoomScaleNormal="100" workbookViewId="0">
      <pane ySplit="2148" activePane="bottomLeft"/>
      <selection activeCell="L177" sqref="L177"/>
      <selection pane="bottomLeft"/>
    </sheetView>
  </sheetViews>
  <sheetFormatPr baseColWidth="10" defaultColWidth="11.44140625" defaultRowHeight="17.399999999999999" outlineLevelRow="1" x14ac:dyDescent="0.3"/>
  <cols>
    <col min="1" max="1" width="2.44140625" style="17" customWidth="1"/>
    <col min="2" max="2" width="3" style="14" customWidth="1"/>
    <col min="3" max="3" width="4.6640625" style="14" customWidth="1"/>
    <col min="4" max="10" width="2.5546875" style="41" customWidth="1"/>
    <col min="11" max="11" width="9.44140625" style="14" customWidth="1"/>
    <col min="12" max="12" width="11.44140625" style="14"/>
    <col min="13" max="13" width="40.44140625" style="20" bestFit="1" customWidth="1"/>
    <col min="14" max="14" width="44.5546875" style="14" customWidth="1"/>
    <col min="15" max="15" width="15.5546875" style="43" customWidth="1"/>
    <col min="16" max="16" width="4.88671875" style="14" customWidth="1"/>
    <col min="17" max="17" width="2.88671875" style="38" customWidth="1"/>
    <col min="18" max="18" width="5.44140625" style="41" customWidth="1"/>
    <col min="19" max="20" width="8.88671875" style="41" customWidth="1"/>
    <col min="21" max="21" width="11.33203125" style="14" customWidth="1"/>
    <col min="22" max="22" width="33.5546875" style="14" customWidth="1"/>
    <col min="23" max="23" width="6" style="14" customWidth="1"/>
    <col min="24" max="24" width="6" style="15" customWidth="1"/>
    <col min="25" max="25" width="67.33203125" style="14" customWidth="1"/>
    <col min="26" max="26" width="10.44140625" style="59" customWidth="1"/>
    <col min="27" max="27" width="9.109375" style="56" customWidth="1"/>
    <col min="28" max="28" width="13.44140625" style="63" customWidth="1"/>
    <col min="29" max="29" width="36.33203125" style="14" customWidth="1"/>
    <col min="30" max="16384" width="11.44140625" style="14"/>
  </cols>
  <sheetData>
    <row r="1" spans="1:30" s="21" customFormat="1" ht="92.25" customHeight="1" x14ac:dyDescent="0.3">
      <c r="A1" s="37" t="s">
        <v>81</v>
      </c>
      <c r="B1" s="30" t="s">
        <v>64</v>
      </c>
      <c r="C1" s="31" t="s">
        <v>65</v>
      </c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131</v>
      </c>
      <c r="O1" s="40" t="s">
        <v>74</v>
      </c>
      <c r="P1" s="30" t="s">
        <v>75</v>
      </c>
      <c r="Q1" s="37" t="s">
        <v>76</v>
      </c>
      <c r="R1" s="30" t="s">
        <v>105</v>
      </c>
      <c r="S1" s="37" t="s">
        <v>108</v>
      </c>
      <c r="T1" s="37" t="s">
        <v>109</v>
      </c>
      <c r="U1" s="37" t="s">
        <v>77</v>
      </c>
      <c r="V1" s="32" t="s">
        <v>132</v>
      </c>
      <c r="W1" s="31"/>
      <c r="X1" s="31"/>
      <c r="Y1" s="32" t="s">
        <v>78</v>
      </c>
      <c r="Z1" s="57" t="s">
        <v>79</v>
      </c>
      <c r="AA1" s="58" t="s">
        <v>80</v>
      </c>
      <c r="AB1" s="58" t="s">
        <v>139</v>
      </c>
      <c r="AC1" s="21" t="s">
        <v>134</v>
      </c>
    </row>
    <row r="2" spans="1:30" x14ac:dyDescent="0.3">
      <c r="A2" s="22" t="s">
        <v>106</v>
      </c>
      <c r="B2" s="41"/>
      <c r="C2" s="42"/>
      <c r="D2" s="38"/>
      <c r="E2" s="38"/>
      <c r="F2" s="38"/>
      <c r="G2" s="38"/>
      <c r="H2" s="38"/>
      <c r="I2" s="38"/>
      <c r="J2" s="38"/>
      <c r="R2" s="38"/>
      <c r="S2" s="38"/>
      <c r="T2" s="38"/>
      <c r="Z2" s="59" t="str">
        <f>IF(OR($M2="",NOT($O2="{array}")),"",IFERROR(MATCH(PARAMETERS!$M2,DEFAULT!$B$5:$CX$5,0),""))</f>
        <v/>
      </c>
      <c r="AA2" s="56" t="str">
        <f>IF($M2="","",IFERROR(MATCH($M2,VALUESnames,0),""))</f>
        <v/>
      </c>
      <c r="AB2" s="63" t="str">
        <f>IF(AND(OR($A2="G",$A2="P"),NOT($O2="{array}")),IF(VLOOKUP($K2,base!$B$2:$D$20,3,0)="S",IF(OR($O2="",ISTEXT($O2)),"","STRING!"),IF(VLOOKUP($K2,base!$B$2:$D$20,3,0)="","",IF(ISTEXT($O2),"NUMERIC!",""))),"")</f>
        <v/>
      </c>
      <c r="AC2" s="14" t="str">
        <f>IF($AA2="","",IF($B2="I",VLOOKUP($AA2,#REF!,53,0),VLOOKUP($AA2,#REF!,7,0)))</f>
        <v/>
      </c>
    </row>
    <row r="3" spans="1:30" hidden="1" outlineLevel="1" x14ac:dyDescent="0.3">
      <c r="A3" s="22" t="s">
        <v>84</v>
      </c>
      <c r="B3" s="41" t="str">
        <f>IF($A3="P",IF(NOT($Z3=""),"A",IF(NOT($AA3=""),"I","")),IF(NOT($AA3=""),IF($A3="G","V","X"),IF(NOT($Z3=""),"A","")))</f>
        <v/>
      </c>
      <c r="C3" s="42">
        <f>(ROW()-1)</f>
        <v>2</v>
      </c>
      <c r="D3" s="38"/>
      <c r="E3" s="38"/>
      <c r="F3" s="38" t="s">
        <v>9</v>
      </c>
      <c r="G3" s="38"/>
      <c r="H3" s="38"/>
      <c r="I3" s="38"/>
      <c r="J3" s="38"/>
      <c r="K3" s="14" t="s">
        <v>24</v>
      </c>
      <c r="L3" s="14" t="s">
        <v>27</v>
      </c>
      <c r="M3" s="20" t="s">
        <v>86</v>
      </c>
      <c r="N3" s="14" t="s">
        <v>92</v>
      </c>
      <c r="O3" s="43">
        <v>0.88500000000000001</v>
      </c>
      <c r="Q3" s="38" t="s">
        <v>9</v>
      </c>
      <c r="R3" s="38"/>
      <c r="S3" s="38" t="s">
        <v>111</v>
      </c>
      <c r="T3" s="38"/>
      <c r="W3" s="15"/>
      <c r="Z3" s="59" t="str">
        <f>IF(OR($M3="",NOT($O3="{array}")),"",IFERROR(MATCH(PARAMETERS!$M3,DEFAULT!$B$5:$CX$5,0),""))</f>
        <v/>
      </c>
      <c r="AA3" s="56" t="str">
        <f>IF($M3="","",IFERROR(MATCH($M3,VALUESnames,0),""))</f>
        <v/>
      </c>
      <c r="AB3" s="63" t="str">
        <f>IF(AND(OR($A3="G",$A3="P"),NOT($O3="{array}")),IF(VLOOKUP($K3,base!$B$2:$D$20,3,0)="S",IF(OR($O3="",ISTEXT($O3)),"","STRING!"),IF(VLOOKUP($K3,base!$B$2:$D$20,3,0)="","",IF(ISTEXT($O3),"NUMERIC!",""))),"")</f>
        <v/>
      </c>
      <c r="AC3" s="17" t="str">
        <f>IF($AA3="","",IF($B3="I",VLOOKUP($AA3,#REF!,53,0),INDEX(VALUES!$B$1:$BT$1,1,$AA3)))</f>
        <v/>
      </c>
    </row>
    <row r="4" spans="1:30" hidden="1" outlineLevel="1" x14ac:dyDescent="0.3">
      <c r="A4" s="22" t="s">
        <v>84</v>
      </c>
      <c r="B4" s="41" t="str">
        <f>IF($A4="P",IF(NOT($Z4=""),"A",IF(NOT($AA4=""),"I","")),IF(NOT($AA4=""),IF($A4="G","V","X"),IF(NOT($Z4=""),"A","")))</f>
        <v/>
      </c>
      <c r="C4" s="42">
        <f>(ROW()-1)</f>
        <v>3</v>
      </c>
      <c r="D4" s="38"/>
      <c r="E4" s="38"/>
      <c r="F4" s="38" t="s">
        <v>9</v>
      </c>
      <c r="G4" s="38"/>
      <c r="H4" s="38"/>
      <c r="I4" s="38"/>
      <c r="J4" s="38"/>
      <c r="K4" s="14" t="s">
        <v>24</v>
      </c>
      <c r="L4" s="14" t="s">
        <v>27</v>
      </c>
      <c r="M4" s="20" t="s">
        <v>48</v>
      </c>
      <c r="N4" s="14" t="s">
        <v>93</v>
      </c>
      <c r="O4" s="43">
        <v>2.1349999999999998</v>
      </c>
      <c r="Q4" s="38" t="s">
        <v>9</v>
      </c>
      <c r="R4" s="38"/>
      <c r="S4" s="38" t="s">
        <v>111</v>
      </c>
      <c r="T4" s="38"/>
      <c r="W4" s="15"/>
      <c r="Z4" s="59" t="str">
        <f>IF(OR($M4="",NOT($O4="{array}")),"",IFERROR(MATCH(PARAMETERS!$M4,DEFAULT!$B$5:$CX$5,0),""))</f>
        <v/>
      </c>
      <c r="AA4" s="56" t="str">
        <f>IF($M4="","",IFERROR(MATCH($M4,VALUESnames,0),""))</f>
        <v/>
      </c>
      <c r="AB4" s="63" t="str">
        <f>IF(AND(OR($A4="G",$A4="P"),NOT($O4="{array}")),IF(VLOOKUP($K4,base!$B$2:$D$20,3,0)="S",IF(OR($O4="",ISTEXT($O4)),"","STRING!"),IF(VLOOKUP($K4,base!$B$2:$D$20,3,0)="","",IF(ISTEXT($O4),"NUMERIC!",""))),"")</f>
        <v/>
      </c>
      <c r="AC4" s="17" t="str">
        <f>IF($AA4="","",IF($B4="I",VLOOKUP($AA4,#REF!,53,0),INDEX(VALUES!$B$1:$BT$1,1,$AA4)))</f>
        <v/>
      </c>
      <c r="AD4" s="63"/>
    </row>
    <row r="5" spans="1:30" hidden="1" outlineLevel="1" x14ac:dyDescent="0.3">
      <c r="A5" s="22" t="s">
        <v>84</v>
      </c>
      <c r="B5" s="41" t="str">
        <f>IF($A5="P",IF(NOT($Z5=""),"A",IF(NOT($AA5=""),"I","")),IF(NOT($AA5=""),IF($A5="G","V","X"),IF(NOT($Z5=""),"A","")))</f>
        <v/>
      </c>
      <c r="C5" s="42">
        <f>(ROW()-1)</f>
        <v>4</v>
      </c>
      <c r="D5" s="38"/>
      <c r="E5" s="38"/>
      <c r="F5" s="38" t="s">
        <v>9</v>
      </c>
      <c r="G5" s="38" t="s">
        <v>9</v>
      </c>
      <c r="H5" s="38"/>
      <c r="I5" s="38"/>
      <c r="J5" s="38"/>
      <c r="K5" s="14" t="s">
        <v>24</v>
      </c>
      <c r="L5" s="14" t="s">
        <v>27</v>
      </c>
      <c r="M5" s="20" t="s">
        <v>90</v>
      </c>
      <c r="N5" s="14" t="s">
        <v>94</v>
      </c>
      <c r="O5" s="43">
        <v>1</v>
      </c>
      <c r="Q5" s="38" t="s">
        <v>9</v>
      </c>
      <c r="R5" s="38" t="s">
        <v>103</v>
      </c>
      <c r="S5" s="38"/>
      <c r="T5" s="38"/>
      <c r="W5" s="15"/>
      <c r="Z5" s="59" t="str">
        <f>IF(OR($M5="",NOT($O5="{array}")),"",IFERROR(MATCH(PARAMETERS!$M5,DEFAULT!$B$5:$CX$5,0),""))</f>
        <v/>
      </c>
      <c r="AA5" s="56" t="str">
        <f>IF($M5="","",IFERROR(MATCH($M5,VALUESnames,0),""))</f>
        <v/>
      </c>
      <c r="AB5" s="63" t="str">
        <f>IF(AND(OR($A5="G",$A5="P"),NOT($O5="{array}")),IF(VLOOKUP($K5,base!$B$2:$D$20,3,0)="S",IF(OR($O5="",ISTEXT($O5)),"","STRING!"),IF(VLOOKUP($K5,base!$B$2:$D$20,3,0)="","",IF(ISTEXT($O5),"NUMERIC!",""))),"")</f>
        <v/>
      </c>
      <c r="AC5" s="17" t="str">
        <f>IF($AA5="","",IF($B5="I",VLOOKUP($AA5,#REF!,53,0),INDEX(VALUES!$B$1:$BT$1,1,$AA5)))</f>
        <v/>
      </c>
    </row>
    <row r="6" spans="1:30" collapsed="1" x14ac:dyDescent="0.3">
      <c r="A6" s="22" t="s">
        <v>235</v>
      </c>
      <c r="B6" s="41"/>
      <c r="C6" s="42"/>
      <c r="D6" s="38"/>
      <c r="E6" s="38"/>
      <c r="F6" s="38"/>
      <c r="G6" s="38"/>
      <c r="H6" s="38"/>
      <c r="I6" s="38"/>
      <c r="J6" s="38"/>
      <c r="R6" s="38"/>
      <c r="S6" s="38"/>
      <c r="T6" s="38"/>
      <c r="W6" s="15" t="str">
        <f>IF(IFERROR(VLOOKUP($M6,COMPARE!$H$2:$H$847,1,0),"-")="-","","GS")</f>
        <v/>
      </c>
      <c r="Z6" s="59" t="str">
        <f>IF(OR($M6="",NOT($O6="{array}")),"",IFERROR(MATCH(PARAMETERS!$M6,DEFAULT!$B$5:$CX$5,0),""))</f>
        <v/>
      </c>
      <c r="AA6" s="56" t="str">
        <f t="shared" ref="AA6:AA117" si="0">IF($M6="","",IFERROR(MATCH($M6,VALUESnames,0),""))</f>
        <v/>
      </c>
      <c r="AB6" s="63" t="str">
        <f>IF(AND(OR($A6="G",$A6="P"),NOT($O6="{array}")),IF(VLOOKUP($K6,base!$B$2:$D$20,3,0)="S",IF(OR($O6="",ISTEXT($O6)),"","STRING!"),IF(VLOOKUP($K6,base!$B$2:$D$20,3,0)="","",IF(ISTEXT($O6),"NUMERIC!",""))),"")</f>
        <v/>
      </c>
      <c r="AC6" s="17" t="str">
        <f>IF($AA6="","",IF($B6="I",VLOOKUP($AA6,#REF!,53,0),INDEX(VALUES!$B$1:$BT$1,1,$AA6)))</f>
        <v/>
      </c>
    </row>
    <row r="7" spans="1:30" x14ac:dyDescent="0.3">
      <c r="A7" s="22"/>
      <c r="B7" s="41" t="str">
        <f t="shared" ref="B7:B34" si="1">IF($A7="P",IF(NOT($Z7=""),"A",IF(NOT($AA7=""),"I","")),IF(NOT($AA7=""),IF($A7="G","V","X"),IF(NOT($Z7=""),"A","")))</f>
        <v/>
      </c>
      <c r="C7" s="42">
        <f t="shared" ref="C7:C38" si="2">(ROW()-1)</f>
        <v>6</v>
      </c>
      <c r="D7" s="38"/>
      <c r="E7" s="38"/>
      <c r="F7" s="38"/>
      <c r="G7" s="38"/>
      <c r="H7" s="38"/>
      <c r="I7" s="38"/>
      <c r="J7" s="38"/>
      <c r="K7" s="14" t="s">
        <v>57</v>
      </c>
      <c r="L7" s="14" t="s">
        <v>38</v>
      </c>
      <c r="M7" s="48" t="s">
        <v>236</v>
      </c>
      <c r="N7" s="41" t="s">
        <v>237</v>
      </c>
      <c r="R7" s="38" t="s">
        <v>191</v>
      </c>
      <c r="S7" s="38"/>
      <c r="T7" s="38"/>
      <c r="W7" s="15" t="str">
        <f>IF(IFERROR(VLOOKUP($M7,COMPARE!$H$2:$H$847,1,0),"-")="-","","GS")</f>
        <v/>
      </c>
      <c r="Y7" s="53"/>
      <c r="Z7" s="59" t="str">
        <f>IF(OR($M7="",NOT($O7="{array}")),"",IFERROR(MATCH(PARAMETERS!$M7,DEFAULT!$B$5:$CX$5,0),""))</f>
        <v/>
      </c>
      <c r="AA7" s="56" t="str">
        <f t="shared" si="0"/>
        <v/>
      </c>
      <c r="AB7" s="63" t="str">
        <f>IF(AND(OR($A7="G",$A7="P"),NOT($O7="{array}")),IF(VLOOKUP($K7,base!$B$2:$D$20,3,0)="S",IF(OR($O7="",ISTEXT($O7)),"","STRING!"),IF(VLOOKUP($K7,base!$B$2:$D$20,3,0)="","",IF(ISTEXT($O7),"NUMERIC!",""))),"")</f>
        <v/>
      </c>
      <c r="AC7" s="17" t="str">
        <f>IF($AA7="","",IF($B7="I",VLOOKUP($AA7,#REF!,53,0),INDEX(VALUES!$B$1:$BT$1,1,$AA7)))</f>
        <v/>
      </c>
    </row>
    <row r="8" spans="1:30" hidden="1" outlineLevel="1" x14ac:dyDescent="0.3">
      <c r="A8" s="22" t="s">
        <v>84</v>
      </c>
      <c r="B8" s="41" t="str">
        <f t="shared" si="1"/>
        <v/>
      </c>
      <c r="C8" s="42">
        <f t="shared" si="2"/>
        <v>7</v>
      </c>
      <c r="D8" s="38"/>
      <c r="E8" s="38"/>
      <c r="F8" s="38"/>
      <c r="G8" s="38"/>
      <c r="H8" s="38"/>
      <c r="I8" s="38" t="s">
        <v>9</v>
      </c>
      <c r="J8" s="38"/>
      <c r="K8" s="14" t="s">
        <v>44</v>
      </c>
      <c r="L8" s="14" t="s">
        <v>32</v>
      </c>
      <c r="M8" s="115" t="s">
        <v>238</v>
      </c>
      <c r="N8" s="14" t="s">
        <v>239</v>
      </c>
      <c r="O8" s="43">
        <v>0</v>
      </c>
      <c r="R8" s="38" t="s">
        <v>191</v>
      </c>
      <c r="S8" s="38" t="s">
        <v>111</v>
      </c>
      <c r="T8" s="38"/>
      <c r="V8" s="14" t="s">
        <v>239</v>
      </c>
      <c r="W8" s="15" t="str">
        <f>IF(IFERROR(VLOOKUP($M8,COMPARE!$H$2:$H$847,1,0),"-")="-","","GS")</f>
        <v/>
      </c>
      <c r="Y8" s="53" t="s">
        <v>240</v>
      </c>
      <c r="Z8" s="59" t="str">
        <f>IF(OR($M8="",NOT($O8="{array}")),"",IFERROR(MATCH(PARAMETERS!$M8,DEFAULT!$B$5:$CX$5,0),""))</f>
        <v/>
      </c>
      <c r="AA8" s="56" t="str">
        <f t="shared" si="0"/>
        <v/>
      </c>
      <c r="AB8" s="63" t="str">
        <f>IF(AND(OR($A8="G",$A8="P"),NOT($O8="{array}")),IF(VLOOKUP($K8,base!$B$2:$D$20,3,0)="S",IF(OR($O8="",ISTEXT($O8)),"","STRING!"),IF(VLOOKUP($K8,base!$B$2:$D$20,3,0)="","",IF(ISTEXT($O8),"NUMERIC!",""))),"")</f>
        <v/>
      </c>
      <c r="AC8" s="17" t="str">
        <f>IF($AA8="","",IF($B8="I",VLOOKUP($AA8,#REF!,53,0),INDEX(VALUES!$B$1:$BT$1,1,$AA8)))</f>
        <v/>
      </c>
    </row>
    <row r="9" spans="1:30" hidden="1" outlineLevel="1" x14ac:dyDescent="0.3">
      <c r="A9" s="22" t="s">
        <v>84</v>
      </c>
      <c r="B9" s="41" t="str">
        <f t="shared" si="1"/>
        <v/>
      </c>
      <c r="C9" s="42">
        <f t="shared" si="2"/>
        <v>8</v>
      </c>
      <c r="D9" s="38"/>
      <c r="E9" s="38"/>
      <c r="F9" s="38"/>
      <c r="G9" s="38"/>
      <c r="H9" s="38"/>
      <c r="I9" s="38" t="s">
        <v>9</v>
      </c>
      <c r="J9" s="38"/>
      <c r="K9" s="14" t="s">
        <v>44</v>
      </c>
      <c r="L9" s="14" t="s">
        <v>32</v>
      </c>
      <c r="M9" s="115" t="s">
        <v>241</v>
      </c>
      <c r="N9" s="14" t="s">
        <v>242</v>
      </c>
      <c r="O9" s="43">
        <v>0</v>
      </c>
      <c r="R9" s="38" t="s">
        <v>191</v>
      </c>
      <c r="S9" s="38" t="s">
        <v>111</v>
      </c>
      <c r="T9" s="38"/>
      <c r="V9" s="14" t="s">
        <v>242</v>
      </c>
      <c r="W9" s="15" t="str">
        <f>IF(IFERROR(VLOOKUP($M9,COMPARE!$H$2:$H$847,1,0),"-")="-","","GS")</f>
        <v/>
      </c>
      <c r="Y9" s="53" t="s">
        <v>240</v>
      </c>
      <c r="Z9" s="59" t="str">
        <f>IF(OR($M9="",NOT($O9="{array}")),"",IFERROR(MATCH(PARAMETERS!$M9,DEFAULT!$B$5:$CX$5,0),""))</f>
        <v/>
      </c>
      <c r="AA9" s="56" t="str">
        <f t="shared" si="0"/>
        <v/>
      </c>
      <c r="AB9" s="63" t="str">
        <f>IF(AND(OR($A9="G",$A9="P"),NOT($O9="{array}")),IF(VLOOKUP($K9,base!$B$2:$D$20,3,0)="S",IF(OR($O9="",ISTEXT($O9)),"","STRING!"),IF(VLOOKUP($K9,base!$B$2:$D$20,3,0)="","",IF(ISTEXT($O9),"NUMERIC!",""))),"")</f>
        <v/>
      </c>
      <c r="AC9" s="17" t="str">
        <f>IF($AA9="","",IF($B9="I",VLOOKUP($AA9,#REF!,53,0),INDEX(VALUES!$B$1:$BT$1,1,$AA9)))</f>
        <v/>
      </c>
    </row>
    <row r="10" spans="1:30" hidden="1" outlineLevel="1" x14ac:dyDescent="0.3">
      <c r="A10" s="22" t="s">
        <v>84</v>
      </c>
      <c r="B10" s="41" t="str">
        <f t="shared" si="1"/>
        <v/>
      </c>
      <c r="C10" s="42">
        <f t="shared" si="2"/>
        <v>9</v>
      </c>
      <c r="D10" s="38"/>
      <c r="E10" s="38"/>
      <c r="F10" s="38"/>
      <c r="G10" s="38"/>
      <c r="H10" s="38"/>
      <c r="I10" s="38" t="s">
        <v>9</v>
      </c>
      <c r="J10" s="38"/>
      <c r="K10" s="14" t="s">
        <v>44</v>
      </c>
      <c r="L10" s="14" t="s">
        <v>32</v>
      </c>
      <c r="M10" s="115" t="s">
        <v>243</v>
      </c>
      <c r="N10" s="14" t="s">
        <v>244</v>
      </c>
      <c r="O10" s="43">
        <v>0</v>
      </c>
      <c r="R10" s="38" t="s">
        <v>191</v>
      </c>
      <c r="S10" s="38" t="s">
        <v>111</v>
      </c>
      <c r="T10" s="38"/>
      <c r="V10" s="14" t="s">
        <v>244</v>
      </c>
      <c r="W10" s="15" t="str">
        <f>IF(IFERROR(VLOOKUP($M10,COMPARE!$H$2:$H$847,1,0),"-")="-","","GS")</f>
        <v/>
      </c>
      <c r="Y10" s="53" t="s">
        <v>240</v>
      </c>
      <c r="Z10" s="59" t="str">
        <f>IF(OR($M10="",NOT($O10="{array}")),"",IFERROR(MATCH(PARAMETERS!$M10,DEFAULT!$B$5:$CX$5,0),""))</f>
        <v/>
      </c>
      <c r="AA10" s="56" t="str">
        <f t="shared" si="0"/>
        <v/>
      </c>
      <c r="AB10" s="63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7" t="str">
        <f>IF($AA10="","",IF($B10="I",VLOOKUP($AA10,#REF!,53,0),INDEX(VALUES!$B$1:$BT$1,1,$AA10)))</f>
        <v/>
      </c>
    </row>
    <row r="11" spans="1:30" hidden="1" outlineLevel="1" x14ac:dyDescent="0.3">
      <c r="A11" s="22" t="s">
        <v>84</v>
      </c>
      <c r="B11" s="41" t="str">
        <f t="shared" si="1"/>
        <v/>
      </c>
      <c r="C11" s="42">
        <f t="shared" si="2"/>
        <v>10</v>
      </c>
      <c r="D11" s="38"/>
      <c r="E11" s="38"/>
      <c r="F11" s="38"/>
      <c r="G11" s="38"/>
      <c r="H11" s="38"/>
      <c r="I11" s="38" t="s">
        <v>9</v>
      </c>
      <c r="J11" s="38"/>
      <c r="K11" s="14" t="s">
        <v>44</v>
      </c>
      <c r="L11" s="14" t="s">
        <v>32</v>
      </c>
      <c r="M11" s="115" t="s">
        <v>245</v>
      </c>
      <c r="N11" s="14" t="s">
        <v>246</v>
      </c>
      <c r="O11" s="43">
        <v>0</v>
      </c>
      <c r="R11" s="38" t="s">
        <v>191</v>
      </c>
      <c r="S11" s="38" t="s">
        <v>111</v>
      </c>
      <c r="T11" s="38"/>
      <c r="V11" s="14" t="s">
        <v>247</v>
      </c>
      <c r="W11" s="15" t="str">
        <f>IF(IFERROR(VLOOKUP($M11,COMPARE!$H$2:$H$847,1,0),"-")="-","","GS")</f>
        <v/>
      </c>
      <c r="Y11" s="53" t="s">
        <v>240</v>
      </c>
      <c r="Z11" s="59" t="str">
        <f>IF(OR($M11="",NOT($O11="{array}")),"",IFERROR(MATCH(PARAMETERS!$M11,DEFAULT!$B$5:$CX$5,0),""))</f>
        <v/>
      </c>
      <c r="AA11" s="56" t="str">
        <f t="shared" si="0"/>
        <v/>
      </c>
      <c r="AB11" s="63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7" t="str">
        <f>IF($AA11="","",IF($B11="I",VLOOKUP($AA11,#REF!,53,0),INDEX(VALUES!$B$1:$BT$1,1,$AA11)))</f>
        <v/>
      </c>
    </row>
    <row r="12" spans="1:30" hidden="1" outlineLevel="1" x14ac:dyDescent="0.3">
      <c r="A12" s="22" t="s">
        <v>84</v>
      </c>
      <c r="B12" s="41" t="str">
        <f t="shared" si="1"/>
        <v/>
      </c>
      <c r="C12" s="42">
        <f t="shared" si="2"/>
        <v>11</v>
      </c>
      <c r="D12" s="38"/>
      <c r="E12" s="38"/>
      <c r="F12" s="38"/>
      <c r="G12" s="38"/>
      <c r="H12" s="38"/>
      <c r="I12" s="38" t="s">
        <v>9</v>
      </c>
      <c r="J12" s="38"/>
      <c r="K12" s="14" t="s">
        <v>44</v>
      </c>
      <c r="L12" s="14" t="s">
        <v>32</v>
      </c>
      <c r="M12" s="115" t="s">
        <v>248</v>
      </c>
      <c r="N12" s="14" t="s">
        <v>249</v>
      </c>
      <c r="O12" s="43">
        <v>0</v>
      </c>
      <c r="R12" s="38" t="s">
        <v>191</v>
      </c>
      <c r="S12" s="38" t="s">
        <v>111</v>
      </c>
      <c r="T12" s="38"/>
      <c r="V12" s="14" t="s">
        <v>249</v>
      </c>
      <c r="W12" s="15" t="str">
        <f>IF(IFERROR(VLOOKUP($M12,COMPARE!$H$2:$H$847,1,0),"-")="-","","GS")</f>
        <v/>
      </c>
      <c r="Y12" s="53" t="s">
        <v>240</v>
      </c>
      <c r="Z12" s="59" t="str">
        <f>IF(OR($M12="",NOT($O12="{array}")),"",IFERROR(MATCH(PARAMETERS!$M12,DEFAULT!$B$5:$CX$5,0),""))</f>
        <v/>
      </c>
      <c r="AA12" s="56" t="str">
        <f t="shared" si="0"/>
        <v/>
      </c>
      <c r="AB12" s="63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7" t="str">
        <f>IF($AA12="","",IF($B12="I",VLOOKUP($AA12,#REF!,53,0),INDEX(VALUES!$B$1:$BT$1,1,$AA12)))</f>
        <v/>
      </c>
    </row>
    <row r="13" spans="1:30" hidden="1" outlineLevel="1" x14ac:dyDescent="0.3">
      <c r="A13" s="22" t="s">
        <v>84</v>
      </c>
      <c r="B13" s="41" t="str">
        <f t="shared" si="1"/>
        <v/>
      </c>
      <c r="C13" s="42">
        <f t="shared" si="2"/>
        <v>12</v>
      </c>
      <c r="D13" s="38"/>
      <c r="E13" s="38"/>
      <c r="F13" s="38"/>
      <c r="G13" s="38"/>
      <c r="H13" s="38"/>
      <c r="I13" s="38" t="s">
        <v>9</v>
      </c>
      <c r="J13" s="38"/>
      <c r="K13" s="14" t="s">
        <v>44</v>
      </c>
      <c r="L13" s="14" t="s">
        <v>32</v>
      </c>
      <c r="M13" s="115" t="s">
        <v>250</v>
      </c>
      <c r="N13" s="14" t="s">
        <v>251</v>
      </c>
      <c r="O13" s="43">
        <v>0</v>
      </c>
      <c r="R13" s="38" t="s">
        <v>191</v>
      </c>
      <c r="S13" s="38" t="s">
        <v>111</v>
      </c>
      <c r="T13" s="38"/>
      <c r="V13" s="14" t="s">
        <v>252</v>
      </c>
      <c r="W13" s="15" t="str">
        <f>IF(IFERROR(VLOOKUP($M13,COMPARE!$H$2:$H$847,1,0),"-")="-","","GS")</f>
        <v/>
      </c>
      <c r="Y13" s="53" t="s">
        <v>240</v>
      </c>
      <c r="Z13" s="59" t="str">
        <f>IF(OR($M13="",NOT($O13="{array}")),"",IFERROR(MATCH(PARAMETERS!$M13,DEFAULT!$B$5:$CX$5,0),""))</f>
        <v/>
      </c>
      <c r="AA13" s="56" t="str">
        <f t="shared" si="0"/>
        <v/>
      </c>
      <c r="AB13" s="63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7" t="str">
        <f>IF($AA13="","",IF($B13="I",VLOOKUP($AA13,#REF!,53,0),INDEX(VALUES!$B$1:$BT$1,1,$AA13)))</f>
        <v/>
      </c>
    </row>
    <row r="14" spans="1:30" hidden="1" outlineLevel="1" x14ac:dyDescent="0.3">
      <c r="A14" s="22" t="s">
        <v>84</v>
      </c>
      <c r="B14" s="41" t="str">
        <f t="shared" si="1"/>
        <v/>
      </c>
      <c r="C14" s="42">
        <f t="shared" si="2"/>
        <v>13</v>
      </c>
      <c r="D14" s="38"/>
      <c r="E14" s="38"/>
      <c r="F14" s="38"/>
      <c r="G14" s="38"/>
      <c r="H14" s="38"/>
      <c r="I14" s="38" t="s">
        <v>9</v>
      </c>
      <c r="J14" s="38"/>
      <c r="K14" s="14" t="s">
        <v>44</v>
      </c>
      <c r="L14" s="14" t="s">
        <v>32</v>
      </c>
      <c r="M14" s="115" t="s">
        <v>253</v>
      </c>
      <c r="N14" s="14" t="s">
        <v>254</v>
      </c>
      <c r="O14" s="43">
        <v>0</v>
      </c>
      <c r="R14" s="38" t="s">
        <v>191</v>
      </c>
      <c r="S14" s="38" t="s">
        <v>111</v>
      </c>
      <c r="T14" s="38"/>
      <c r="V14" s="14" t="s">
        <v>255</v>
      </c>
      <c r="W14" s="15" t="str">
        <f>IF(IFERROR(VLOOKUP($M14,COMPARE!$H$2:$H$847,1,0),"-")="-","","GS")</f>
        <v/>
      </c>
      <c r="Y14" s="53" t="s">
        <v>240</v>
      </c>
      <c r="Z14" s="59" t="str">
        <f>IF(OR($M14="",NOT($O14="{array}")),"",IFERROR(MATCH(PARAMETERS!$M14,DEFAULT!$B$5:$CX$5,0),""))</f>
        <v/>
      </c>
      <c r="AA14" s="56" t="str">
        <f t="shared" si="0"/>
        <v/>
      </c>
      <c r="AB14" s="63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17" t="str">
        <f>IF($AA14="","",IF($B14="I",VLOOKUP($AA14,#REF!,53,0),INDEX(VALUES!$B$1:$BT$1,1,$AA14)))</f>
        <v/>
      </c>
    </row>
    <row r="15" spans="1:30" collapsed="1" x14ac:dyDescent="0.3">
      <c r="A15" s="22"/>
      <c r="B15" s="41" t="str">
        <f t="shared" si="1"/>
        <v/>
      </c>
      <c r="C15" s="42">
        <f t="shared" si="2"/>
        <v>14</v>
      </c>
      <c r="D15" s="38"/>
      <c r="E15" s="38"/>
      <c r="F15" s="38"/>
      <c r="G15" s="38"/>
      <c r="H15" s="38"/>
      <c r="I15" s="38"/>
      <c r="J15" s="38"/>
      <c r="K15" s="14" t="s">
        <v>57</v>
      </c>
      <c r="L15" s="14" t="s">
        <v>38</v>
      </c>
      <c r="M15" s="48" t="s">
        <v>256</v>
      </c>
      <c r="N15" s="41" t="s">
        <v>257</v>
      </c>
      <c r="R15" s="38" t="s">
        <v>191</v>
      </c>
      <c r="S15" s="38"/>
      <c r="T15" s="15"/>
      <c r="W15" s="15" t="str">
        <f>IF(IFERROR(VLOOKUP($M15,COMPARE!$H$2:$H$847,1,0),"-")="-","","GS")</f>
        <v/>
      </c>
      <c r="Z15" s="59" t="str">
        <f>IF(OR($M15="",NOT($O15="{array}")),"",IFERROR(MATCH(PARAMETERS!$M15,DEFAULT!$B$5:$CX$5,0),""))</f>
        <v/>
      </c>
      <c r="AA15" s="56" t="str">
        <f t="shared" si="0"/>
        <v/>
      </c>
      <c r="AB15" s="63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7" t="str">
        <f>IF($AA15="","",IF($B15="I",VLOOKUP($AA15,#REF!,53,0),INDEX(VALUES!$B$1:$BT$1,1,$AA15)))</f>
        <v/>
      </c>
    </row>
    <row r="16" spans="1:30" hidden="1" outlineLevel="1" x14ac:dyDescent="0.25">
      <c r="A16" s="22" t="s">
        <v>84</v>
      </c>
      <c r="B16" s="41" t="str">
        <f t="shared" si="1"/>
        <v/>
      </c>
      <c r="C16" s="42">
        <f t="shared" si="2"/>
        <v>15</v>
      </c>
      <c r="D16" s="38"/>
      <c r="E16" s="38"/>
      <c r="F16" s="38" t="s">
        <v>9</v>
      </c>
      <c r="G16" s="38"/>
      <c r="H16" s="38"/>
      <c r="I16" s="38" t="s">
        <v>9</v>
      </c>
      <c r="J16" s="38"/>
      <c r="K16" s="14" t="s">
        <v>18</v>
      </c>
      <c r="L16" s="14" t="s">
        <v>21</v>
      </c>
      <c r="M16" s="115" t="s">
        <v>258</v>
      </c>
      <c r="N16" s="116" t="s">
        <v>95</v>
      </c>
      <c r="O16" s="117" t="s">
        <v>133</v>
      </c>
      <c r="P16" s="118" t="s">
        <v>259</v>
      </c>
      <c r="Q16" s="119" t="s">
        <v>9</v>
      </c>
      <c r="R16" s="120" t="s">
        <v>102</v>
      </c>
      <c r="S16" s="120" t="s">
        <v>111</v>
      </c>
      <c r="T16" s="121" t="s">
        <v>260</v>
      </c>
      <c r="U16" s="121" t="s">
        <v>113</v>
      </c>
      <c r="V16" s="121" t="s">
        <v>112</v>
      </c>
      <c r="W16" s="122" t="str">
        <f>IF(IFERROR(VLOOKUP($M16,COMPARE!$H$2:$H$847,1,0),"-")="-","","GS")</f>
        <v/>
      </c>
      <c r="X16" s="123">
        <v>31</v>
      </c>
      <c r="Y16" s="121" t="s">
        <v>261</v>
      </c>
      <c r="Z16" s="59" t="str">
        <f>IF(OR($M16="",NOT($O16="{array}")),"",IFERROR(MATCH(PARAMETERS!$M16,DEFAULT!$B$5:$CX$5,0),""))</f>
        <v/>
      </c>
      <c r="AA16" s="56" t="str">
        <f t="shared" si="0"/>
        <v/>
      </c>
      <c r="AB16" s="63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7" t="str">
        <f>IF($AA16="","",IF($B16="I",VLOOKUP($AA16,#REF!,53,0),INDEX(VALUES!$B$1:$BT$1,1,$AA16)))</f>
        <v/>
      </c>
    </row>
    <row r="17" spans="1:29" hidden="1" outlineLevel="1" x14ac:dyDescent="0.25">
      <c r="A17" s="22" t="s">
        <v>84</v>
      </c>
      <c r="B17" s="41" t="str">
        <f t="shared" si="1"/>
        <v/>
      </c>
      <c r="C17" s="42">
        <f t="shared" si="2"/>
        <v>16</v>
      </c>
      <c r="D17" s="38"/>
      <c r="E17" s="38"/>
      <c r="F17" s="38"/>
      <c r="G17" s="38"/>
      <c r="H17" s="38"/>
      <c r="I17" s="38" t="s">
        <v>9</v>
      </c>
      <c r="J17" s="38"/>
      <c r="K17" s="124" t="s">
        <v>18</v>
      </c>
      <c r="L17" s="125" t="s">
        <v>32</v>
      </c>
      <c r="M17" s="115" t="s">
        <v>262</v>
      </c>
      <c r="N17" s="126" t="s">
        <v>263</v>
      </c>
      <c r="O17" s="117" t="s">
        <v>133</v>
      </c>
      <c r="P17" s="118" t="s">
        <v>259</v>
      </c>
      <c r="Q17" s="119" t="s">
        <v>9</v>
      </c>
      <c r="R17" s="120" t="s">
        <v>102</v>
      </c>
      <c r="S17" s="120" t="s">
        <v>111</v>
      </c>
      <c r="T17" s="121" t="s">
        <v>260</v>
      </c>
      <c r="U17" s="121" t="s">
        <v>113</v>
      </c>
      <c r="V17" s="121" t="s">
        <v>263</v>
      </c>
      <c r="W17" s="122" t="str">
        <f>IF(IFERROR(VLOOKUP($M17,COMPARE!$H$2:$H$847,1,0),"-")="-","","GS")</f>
        <v/>
      </c>
      <c r="X17" s="123">
        <v>32</v>
      </c>
      <c r="Y17" s="121" t="s">
        <v>264</v>
      </c>
      <c r="Z17" s="59" t="str">
        <f>IF(OR($M17="",NOT($O17="{array}")),"",IFERROR(MATCH(PARAMETERS!$M17,DEFAULT!$B$5:$CX$5,0),""))</f>
        <v/>
      </c>
      <c r="AA17" s="56" t="str">
        <f t="shared" si="0"/>
        <v/>
      </c>
      <c r="AB17" s="63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7" t="str">
        <f>IF($AA17="","",IF($B17="I",VLOOKUP($AA17,#REF!,53,0),INDEX(VALUES!$B$1:$BT$1,1,$AA17)))</f>
        <v/>
      </c>
    </row>
    <row r="18" spans="1:29" hidden="1" outlineLevel="1" x14ac:dyDescent="0.25">
      <c r="A18" s="22" t="s">
        <v>84</v>
      </c>
      <c r="B18" s="41" t="str">
        <f t="shared" si="1"/>
        <v/>
      </c>
      <c r="C18" s="42">
        <f t="shared" si="2"/>
        <v>17</v>
      </c>
      <c r="D18" s="38"/>
      <c r="E18" s="38"/>
      <c r="F18" s="38" t="s">
        <v>9</v>
      </c>
      <c r="G18" s="38"/>
      <c r="H18" s="38"/>
      <c r="I18" s="38" t="s">
        <v>9</v>
      </c>
      <c r="J18" s="38"/>
      <c r="K18" s="14" t="s">
        <v>18</v>
      </c>
      <c r="L18" s="14" t="s">
        <v>21</v>
      </c>
      <c r="M18" s="115" t="s">
        <v>265</v>
      </c>
      <c r="N18" s="116" t="s">
        <v>266</v>
      </c>
      <c r="O18" s="117" t="s">
        <v>133</v>
      </c>
      <c r="P18" s="118" t="s">
        <v>259</v>
      </c>
      <c r="Q18" s="119" t="s">
        <v>9</v>
      </c>
      <c r="R18" s="120" t="s">
        <v>102</v>
      </c>
      <c r="S18" s="120" t="s">
        <v>111</v>
      </c>
      <c r="T18" s="121" t="s">
        <v>101</v>
      </c>
      <c r="U18" s="121" t="s">
        <v>113</v>
      </c>
      <c r="V18" s="121" t="s">
        <v>266</v>
      </c>
      <c r="W18" s="122" t="str">
        <f>IF(IFERROR(VLOOKUP($M18,COMPARE!$H$2:$H$847,1,0),"-")="-","","GS")</f>
        <v/>
      </c>
      <c r="X18" s="123">
        <v>33</v>
      </c>
      <c r="Y18" s="121" t="s">
        <v>267</v>
      </c>
      <c r="Z18" s="59" t="str">
        <f>IF(OR($M18="",NOT($O18="{array}")),"",IFERROR(MATCH(PARAMETERS!$M18,DEFAULT!$B$5:$CX$5,0),""))</f>
        <v/>
      </c>
      <c r="AA18" s="56" t="str">
        <f t="shared" si="0"/>
        <v/>
      </c>
      <c r="AB18" s="63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7" t="str">
        <f>IF($AA18="","",IF($B18="I",VLOOKUP($AA18,#REF!,53,0),INDEX(VALUES!$B$1:$BT$1,1,$AA18)))</f>
        <v/>
      </c>
    </row>
    <row r="19" spans="1:29" hidden="1" outlineLevel="1" x14ac:dyDescent="0.25">
      <c r="A19" s="22" t="s">
        <v>84</v>
      </c>
      <c r="B19" s="41" t="str">
        <f t="shared" si="1"/>
        <v/>
      </c>
      <c r="C19" s="42">
        <f t="shared" si="2"/>
        <v>18</v>
      </c>
      <c r="D19" s="38"/>
      <c r="E19" s="38"/>
      <c r="F19" s="38" t="s">
        <v>9</v>
      </c>
      <c r="G19" s="38"/>
      <c r="H19" s="38"/>
      <c r="I19" s="38" t="s">
        <v>9</v>
      </c>
      <c r="J19" s="38"/>
      <c r="K19" s="14" t="s">
        <v>18</v>
      </c>
      <c r="L19" s="14" t="s">
        <v>21</v>
      </c>
      <c r="M19" s="115" t="s">
        <v>268</v>
      </c>
      <c r="N19" s="116" t="s">
        <v>269</v>
      </c>
      <c r="O19" s="117" t="s">
        <v>133</v>
      </c>
      <c r="P19" s="118" t="s">
        <v>259</v>
      </c>
      <c r="Q19" s="119" t="s">
        <v>9</v>
      </c>
      <c r="R19" s="120" t="s">
        <v>102</v>
      </c>
      <c r="S19" s="120" t="s">
        <v>111</v>
      </c>
      <c r="T19" s="121" t="s">
        <v>259</v>
      </c>
      <c r="U19" s="121" t="s">
        <v>113</v>
      </c>
      <c r="V19" s="121" t="s">
        <v>270</v>
      </c>
      <c r="W19" s="122" t="str">
        <f>IF(IFERROR(VLOOKUP($M19,COMPARE!$H$2:$H$847,1,0),"-")="-","","GS")</f>
        <v/>
      </c>
      <c r="X19" s="123">
        <v>41</v>
      </c>
      <c r="Y19" s="121" t="s">
        <v>271</v>
      </c>
      <c r="Z19" s="59" t="str">
        <f>IF(OR($M19="",NOT($O19="{array}")),"",IFERROR(MATCH(PARAMETERS!$M19,DEFAULT!$B$5:$CX$5,0),""))</f>
        <v/>
      </c>
      <c r="AA19" s="56" t="str">
        <f t="shared" si="0"/>
        <v/>
      </c>
      <c r="AB19" s="63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7" t="str">
        <f>IF($AA19="","",IF($B19="I",VLOOKUP($AA19,#REF!,53,0),INDEX(VALUES!$B$1:$BT$1,1,$AA19)))</f>
        <v/>
      </c>
    </row>
    <row r="20" spans="1:29" hidden="1" outlineLevel="1" x14ac:dyDescent="0.25">
      <c r="A20" s="22" t="s">
        <v>84</v>
      </c>
      <c r="B20" s="41" t="str">
        <f t="shared" si="1"/>
        <v/>
      </c>
      <c r="C20" s="42">
        <f t="shared" si="2"/>
        <v>19</v>
      </c>
      <c r="D20" s="38"/>
      <c r="E20" s="38"/>
      <c r="F20" s="38"/>
      <c r="G20" s="38"/>
      <c r="H20" s="38"/>
      <c r="I20" s="38" t="s">
        <v>9</v>
      </c>
      <c r="J20" s="38"/>
      <c r="K20" s="124" t="s">
        <v>18</v>
      </c>
      <c r="L20" s="125" t="s">
        <v>32</v>
      </c>
      <c r="M20" s="115" t="s">
        <v>272</v>
      </c>
      <c r="N20" s="126" t="s">
        <v>273</v>
      </c>
      <c r="O20" s="117" t="s">
        <v>133</v>
      </c>
      <c r="P20" s="118" t="s">
        <v>259</v>
      </c>
      <c r="Q20" s="119" t="s">
        <v>9</v>
      </c>
      <c r="R20" s="120" t="s">
        <v>102</v>
      </c>
      <c r="S20" s="120" t="s">
        <v>111</v>
      </c>
      <c r="T20" s="121" t="s">
        <v>259</v>
      </c>
      <c r="U20" s="121" t="s">
        <v>113</v>
      </c>
      <c r="V20" s="121" t="s">
        <v>273</v>
      </c>
      <c r="W20" s="122" t="str">
        <f>IF(IFERROR(VLOOKUP($M20,COMPARE!$H$2:$H$847,1,0),"-")="-","","GS")</f>
        <v/>
      </c>
      <c r="X20" s="123">
        <v>34</v>
      </c>
      <c r="Y20" s="121" t="s">
        <v>274</v>
      </c>
      <c r="Z20" s="59" t="str">
        <f>IF(OR($M20="",NOT($O20="{array}")),"",IFERROR(MATCH(PARAMETERS!$M20,DEFAULT!$B$5:$CX$5,0),""))</f>
        <v/>
      </c>
      <c r="AA20" s="56" t="str">
        <f t="shared" si="0"/>
        <v/>
      </c>
      <c r="AB20" s="63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17" t="str">
        <f>IF($AA20="","",IF($B20="I",VLOOKUP($AA20,#REF!,53,0),INDEX(VALUES!$B$1:$BT$1,1,$AA20)))</f>
        <v/>
      </c>
    </row>
    <row r="21" spans="1:29" hidden="1" outlineLevel="1" x14ac:dyDescent="0.25">
      <c r="A21" s="22" t="s">
        <v>84</v>
      </c>
      <c r="B21" s="41" t="str">
        <f t="shared" si="1"/>
        <v/>
      </c>
      <c r="C21" s="42">
        <f t="shared" si="2"/>
        <v>20</v>
      </c>
      <c r="D21" s="38"/>
      <c r="E21" s="38"/>
      <c r="F21" s="38"/>
      <c r="G21" s="38"/>
      <c r="H21" s="38"/>
      <c r="I21" s="38" t="s">
        <v>9</v>
      </c>
      <c r="J21" s="38"/>
      <c r="K21" s="124" t="s">
        <v>18</v>
      </c>
      <c r="L21" s="125" t="s">
        <v>32</v>
      </c>
      <c r="M21" s="115" t="s">
        <v>275</v>
      </c>
      <c r="N21" s="126" t="s">
        <v>276</v>
      </c>
      <c r="O21" s="117" t="s">
        <v>133</v>
      </c>
      <c r="P21" s="118" t="s">
        <v>259</v>
      </c>
      <c r="Q21" s="119" t="s">
        <v>9</v>
      </c>
      <c r="R21" s="120" t="s">
        <v>102</v>
      </c>
      <c r="S21" s="120" t="s">
        <v>111</v>
      </c>
      <c r="T21" s="121" t="s">
        <v>259</v>
      </c>
      <c r="U21" s="121" t="s">
        <v>113</v>
      </c>
      <c r="V21" s="121" t="s">
        <v>276</v>
      </c>
      <c r="W21" s="122" t="str">
        <f>IF(IFERROR(VLOOKUP($M21,COMPARE!$H$2:$H$847,1,0),"-")="-","","GS")</f>
        <v/>
      </c>
      <c r="X21" s="123" t="s">
        <v>259</v>
      </c>
      <c r="Y21" s="121" t="s">
        <v>277</v>
      </c>
      <c r="Z21" s="59" t="str">
        <f>IF(OR($M21="",NOT($O21="{array}")),"",IFERROR(MATCH(PARAMETERS!$M21,DEFAULT!$B$5:$CX$5,0),""))</f>
        <v/>
      </c>
      <c r="AA21" s="56" t="str">
        <f t="shared" si="0"/>
        <v/>
      </c>
      <c r="AB21" s="63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17" t="str">
        <f>IF($AA21="","",IF($B21="I",VLOOKUP($AA21,#REF!,53,0),INDEX(VALUES!$B$1:$BT$1,1,$AA21)))</f>
        <v/>
      </c>
    </row>
    <row r="22" spans="1:29" hidden="1" outlineLevel="1" x14ac:dyDescent="0.25">
      <c r="A22" s="22" t="s">
        <v>84</v>
      </c>
      <c r="B22" s="41" t="str">
        <f t="shared" si="1"/>
        <v/>
      </c>
      <c r="C22" s="42">
        <f t="shared" si="2"/>
        <v>21</v>
      </c>
      <c r="D22" s="38"/>
      <c r="E22" s="38"/>
      <c r="F22" s="38"/>
      <c r="G22" s="38"/>
      <c r="H22" s="38"/>
      <c r="I22" s="38" t="s">
        <v>9</v>
      </c>
      <c r="J22" s="38"/>
      <c r="K22" s="124" t="s">
        <v>18</v>
      </c>
      <c r="L22" s="125" t="s">
        <v>32</v>
      </c>
      <c r="M22" s="115" t="s">
        <v>278</v>
      </c>
      <c r="N22" s="126" t="s">
        <v>279</v>
      </c>
      <c r="O22" s="117" t="s">
        <v>133</v>
      </c>
      <c r="P22" s="118" t="s">
        <v>259</v>
      </c>
      <c r="Q22" s="119" t="s">
        <v>9</v>
      </c>
      <c r="R22" s="120" t="s">
        <v>102</v>
      </c>
      <c r="S22" s="120" t="s">
        <v>111</v>
      </c>
      <c r="T22" s="121" t="s">
        <v>259</v>
      </c>
      <c r="U22" s="121" t="s">
        <v>113</v>
      </c>
      <c r="V22" s="121" t="s">
        <v>279</v>
      </c>
      <c r="W22" s="122" t="str">
        <f>IF(IFERROR(VLOOKUP($M22,COMPARE!$H$2:$H$847,1,0),"-")="-","","GS")</f>
        <v/>
      </c>
      <c r="X22" s="123" t="s">
        <v>259</v>
      </c>
      <c r="Y22" s="121" t="s">
        <v>280</v>
      </c>
      <c r="Z22" s="59" t="str">
        <f>IF(OR($M22="",NOT($O22="{array}")),"",IFERROR(MATCH(PARAMETERS!$M22,DEFAULT!$B$5:$CX$5,0),""))</f>
        <v/>
      </c>
      <c r="AA22" s="56" t="str">
        <f t="shared" si="0"/>
        <v/>
      </c>
      <c r="AB22" s="63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17" t="str">
        <f>IF($AA22="","",IF($B22="I",VLOOKUP($AA22,#REF!,53,0),INDEX(VALUES!$B$1:$BT$1,1,$AA22)))</f>
        <v/>
      </c>
    </row>
    <row r="23" spans="1:29" hidden="1" outlineLevel="1" x14ac:dyDescent="0.25">
      <c r="A23" s="22" t="s">
        <v>84</v>
      </c>
      <c r="B23" s="41" t="str">
        <f t="shared" si="1"/>
        <v/>
      </c>
      <c r="C23" s="42">
        <f t="shared" si="2"/>
        <v>22</v>
      </c>
      <c r="D23" s="38"/>
      <c r="E23" s="38"/>
      <c r="F23" s="38"/>
      <c r="G23" s="38"/>
      <c r="H23" s="38"/>
      <c r="I23" s="38" t="s">
        <v>9</v>
      </c>
      <c r="J23" s="38"/>
      <c r="K23" s="124" t="s">
        <v>18</v>
      </c>
      <c r="L23" s="125" t="s">
        <v>32</v>
      </c>
      <c r="M23" s="115" t="s">
        <v>281</v>
      </c>
      <c r="N23" s="126" t="s">
        <v>282</v>
      </c>
      <c r="O23" s="117" t="s">
        <v>133</v>
      </c>
      <c r="P23" s="118" t="s">
        <v>259</v>
      </c>
      <c r="Q23" s="119" t="s">
        <v>9</v>
      </c>
      <c r="R23" s="120" t="s">
        <v>102</v>
      </c>
      <c r="S23" s="120" t="s">
        <v>111</v>
      </c>
      <c r="T23" s="121" t="s">
        <v>259</v>
      </c>
      <c r="U23" s="121" t="s">
        <v>113</v>
      </c>
      <c r="V23" s="121" t="s">
        <v>282</v>
      </c>
      <c r="W23" s="122" t="str">
        <f>IF(IFERROR(VLOOKUP($M23,COMPARE!$H$2:$H$847,1,0),"-")="-","","GS")</f>
        <v/>
      </c>
      <c r="X23" s="123" t="s">
        <v>259</v>
      </c>
      <c r="Y23" s="121" t="s">
        <v>283</v>
      </c>
      <c r="Z23" s="59" t="str">
        <f>IF(OR($M23="",NOT($O23="{array}")),"",IFERROR(MATCH(PARAMETERS!$M23,DEFAULT!$B$5:$CX$5,0),""))</f>
        <v/>
      </c>
      <c r="AA23" s="56" t="str">
        <f t="shared" si="0"/>
        <v/>
      </c>
      <c r="AB23" s="63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7" t="str">
        <f>IF($AA23="","",IF($B23="I",VLOOKUP($AA23,#REF!,53,0),INDEX(VALUES!$B$1:$BT$1,1,$AA23)))</f>
        <v/>
      </c>
    </row>
    <row r="24" spans="1:29" hidden="1" outlineLevel="1" x14ac:dyDescent="0.25">
      <c r="A24" s="22" t="s">
        <v>84</v>
      </c>
      <c r="B24" s="41" t="str">
        <f t="shared" si="1"/>
        <v/>
      </c>
      <c r="C24" s="42">
        <f t="shared" si="2"/>
        <v>23</v>
      </c>
      <c r="D24" s="38"/>
      <c r="E24" s="38"/>
      <c r="F24" s="38"/>
      <c r="G24" s="38"/>
      <c r="H24" s="38"/>
      <c r="I24" s="38" t="s">
        <v>9</v>
      </c>
      <c r="J24" s="38"/>
      <c r="K24" s="124" t="s">
        <v>18</v>
      </c>
      <c r="L24" s="125" t="s">
        <v>32</v>
      </c>
      <c r="M24" s="115" t="s">
        <v>284</v>
      </c>
      <c r="N24" s="126" t="s">
        <v>285</v>
      </c>
      <c r="O24" s="117" t="s">
        <v>133</v>
      </c>
      <c r="P24" s="118" t="s">
        <v>259</v>
      </c>
      <c r="Q24" s="119" t="s">
        <v>9</v>
      </c>
      <c r="R24" s="120" t="s">
        <v>102</v>
      </c>
      <c r="S24" s="120" t="s">
        <v>111</v>
      </c>
      <c r="T24" s="121" t="s">
        <v>259</v>
      </c>
      <c r="U24" s="121" t="s">
        <v>113</v>
      </c>
      <c r="V24" s="121" t="s">
        <v>285</v>
      </c>
      <c r="W24" s="122" t="str">
        <f>IF(IFERROR(VLOOKUP($M24,COMPARE!$H$2:$H$847,1,0),"-")="-","","GS")</f>
        <v/>
      </c>
      <c r="X24" s="123" t="s">
        <v>259</v>
      </c>
      <c r="Y24" s="121" t="s">
        <v>286</v>
      </c>
      <c r="Z24" s="59" t="str">
        <f>IF(OR($M24="",NOT($O24="{array}")),"",IFERROR(MATCH(PARAMETERS!$M24,DEFAULT!$B$5:$CX$5,0),""))</f>
        <v/>
      </c>
      <c r="AA24" s="56" t="str">
        <f t="shared" si="0"/>
        <v/>
      </c>
      <c r="AB24" s="63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7" t="str">
        <f>IF($AA24="","",IF($B24="I",VLOOKUP($AA24,#REF!,53,0),INDEX(VALUES!$B$1:$BT$1,1,$AA24)))</f>
        <v/>
      </c>
    </row>
    <row r="25" spans="1:29" hidden="1" outlineLevel="1" x14ac:dyDescent="0.25">
      <c r="A25" s="22" t="s">
        <v>84</v>
      </c>
      <c r="B25" s="41" t="str">
        <f t="shared" si="1"/>
        <v/>
      </c>
      <c r="C25" s="42">
        <f t="shared" si="2"/>
        <v>24</v>
      </c>
      <c r="D25" s="38"/>
      <c r="E25" s="38"/>
      <c r="F25" s="38"/>
      <c r="G25" s="38"/>
      <c r="H25" s="38"/>
      <c r="I25" s="38" t="s">
        <v>9</v>
      </c>
      <c r="J25" s="38"/>
      <c r="K25" s="124" t="s">
        <v>18</v>
      </c>
      <c r="L25" s="125" t="s">
        <v>32</v>
      </c>
      <c r="M25" s="115" t="s">
        <v>287</v>
      </c>
      <c r="N25" s="126" t="s">
        <v>288</v>
      </c>
      <c r="O25" s="117" t="s">
        <v>133</v>
      </c>
      <c r="P25" s="118" t="s">
        <v>259</v>
      </c>
      <c r="Q25" s="119" t="s">
        <v>9</v>
      </c>
      <c r="R25" s="120" t="s">
        <v>102</v>
      </c>
      <c r="S25" s="120" t="s">
        <v>111</v>
      </c>
      <c r="T25" s="121" t="s">
        <v>259</v>
      </c>
      <c r="U25" s="121" t="s">
        <v>113</v>
      </c>
      <c r="V25" s="121" t="s">
        <v>288</v>
      </c>
      <c r="W25" s="122" t="str">
        <f>IF(IFERROR(VLOOKUP($M25,COMPARE!$H$2:$H$847,1,0),"-")="-","","GS")</f>
        <v/>
      </c>
      <c r="X25" s="123" t="s">
        <v>259</v>
      </c>
      <c r="Y25" s="121" t="s">
        <v>289</v>
      </c>
      <c r="Z25" s="59" t="str">
        <f>IF(OR($M25="",NOT($O25="{array}")),"",IFERROR(MATCH(PARAMETERS!$M25,DEFAULT!$B$5:$CX$5,0),""))</f>
        <v/>
      </c>
      <c r="AA25" s="56" t="str">
        <f t="shared" si="0"/>
        <v/>
      </c>
      <c r="AB25" s="63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7" t="str">
        <f>IF($AA25="","",IF($B25="I",VLOOKUP($AA25,#REF!,53,0),INDEX(VALUES!$B$1:$BT$1,1,$AA25)))</f>
        <v/>
      </c>
    </row>
    <row r="26" spans="1:29" hidden="1" outlineLevel="1" x14ac:dyDescent="0.25">
      <c r="A26" s="22" t="s">
        <v>84</v>
      </c>
      <c r="B26" s="41" t="str">
        <f t="shared" si="1"/>
        <v/>
      </c>
      <c r="C26" s="42">
        <f t="shared" si="2"/>
        <v>25</v>
      </c>
      <c r="D26" s="38"/>
      <c r="E26" s="38"/>
      <c r="F26" s="38"/>
      <c r="G26" s="38"/>
      <c r="H26" s="38"/>
      <c r="I26" s="38" t="s">
        <v>9</v>
      </c>
      <c r="J26" s="38"/>
      <c r="K26" s="124" t="s">
        <v>18</v>
      </c>
      <c r="L26" s="125" t="s">
        <v>32</v>
      </c>
      <c r="M26" s="115" t="s">
        <v>290</v>
      </c>
      <c r="N26" s="127" t="s">
        <v>291</v>
      </c>
      <c r="O26" s="117" t="s">
        <v>133</v>
      </c>
      <c r="P26" s="118" t="s">
        <v>259</v>
      </c>
      <c r="Q26" s="128" t="s">
        <v>9</v>
      </c>
      <c r="R26" s="129" t="s">
        <v>102</v>
      </c>
      <c r="S26" s="129" t="s">
        <v>111</v>
      </c>
      <c r="T26" s="124" t="s">
        <v>259</v>
      </c>
      <c r="U26" s="124" t="s">
        <v>113</v>
      </c>
      <c r="V26" s="124" t="s">
        <v>291</v>
      </c>
      <c r="W26" s="130" t="str">
        <f>IF(IFERROR(VLOOKUP($M26,COMPARE!$H$2:$H$847,1,0),"-")="-","","GS")</f>
        <v/>
      </c>
      <c r="X26" s="118" t="s">
        <v>259</v>
      </c>
      <c r="Y26" s="124" t="s">
        <v>292</v>
      </c>
      <c r="Z26" s="59" t="str">
        <f>IF(OR($M26="",NOT($O26="{array}")),"",IFERROR(MATCH(PARAMETERS!$M26,DEFAULT!$B$5:$CX$5,0),""))</f>
        <v/>
      </c>
      <c r="AA26" s="56" t="str">
        <f t="shared" si="0"/>
        <v/>
      </c>
      <c r="AB26" s="63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7" t="str">
        <f>IF($AA26="","",IF($B26="I",VLOOKUP($AA26,#REF!,53,0),INDEX(VALUES!$B$1:$BT$1,1,$AA26)))</f>
        <v/>
      </c>
    </row>
    <row r="27" spans="1:29" hidden="1" outlineLevel="1" x14ac:dyDescent="0.25">
      <c r="A27" s="22" t="s">
        <v>84</v>
      </c>
      <c r="B27" s="41" t="str">
        <f t="shared" si="1"/>
        <v/>
      </c>
      <c r="C27" s="42">
        <f t="shared" si="2"/>
        <v>26</v>
      </c>
      <c r="D27" s="38"/>
      <c r="E27" s="38"/>
      <c r="F27" s="38"/>
      <c r="G27" s="38"/>
      <c r="H27" s="38"/>
      <c r="I27" s="38" t="s">
        <v>9</v>
      </c>
      <c r="J27" s="38"/>
      <c r="K27" s="121" t="s">
        <v>18</v>
      </c>
      <c r="L27" s="121" t="s">
        <v>32</v>
      </c>
      <c r="M27" s="115" t="s">
        <v>293</v>
      </c>
      <c r="N27" s="126" t="s">
        <v>294</v>
      </c>
      <c r="O27" s="131" t="s">
        <v>259</v>
      </c>
      <c r="P27" s="132" t="s">
        <v>259</v>
      </c>
      <c r="Q27" s="119" t="s">
        <v>9</v>
      </c>
      <c r="R27" s="120" t="s">
        <v>102</v>
      </c>
      <c r="S27" s="120" t="s">
        <v>111</v>
      </c>
      <c r="T27" s="121" t="s">
        <v>259</v>
      </c>
      <c r="U27" s="121" t="s">
        <v>113</v>
      </c>
      <c r="V27" s="121" t="s">
        <v>295</v>
      </c>
      <c r="W27" s="122" t="str">
        <f>IF(IFERROR(VLOOKUP($M27,COMPARE!$H$2:$H$847,1,0),"-")="-","","GS")</f>
        <v/>
      </c>
      <c r="X27" s="123" t="s">
        <v>259</v>
      </c>
      <c r="Y27" s="121" t="s">
        <v>296</v>
      </c>
      <c r="Z27" s="59" t="str">
        <f>IF(OR($M27="",NOT($O27="{array}")),"",IFERROR(MATCH(PARAMETERS!$M27,DEFAULT!$B$5:$CX$5,0),""))</f>
        <v/>
      </c>
      <c r="AA27" s="56" t="str">
        <f t="shared" si="0"/>
        <v/>
      </c>
      <c r="AB27" s="63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7" t="str">
        <f>IF($AA27="","",IF($B27="I",VLOOKUP($AA27,#REF!,53,0),INDEX(VALUES!$B$1:$BT$1,1,$AA27)))</f>
        <v/>
      </c>
    </row>
    <row r="28" spans="1:29" collapsed="1" x14ac:dyDescent="0.3">
      <c r="A28" s="22"/>
      <c r="B28" s="41" t="str">
        <f t="shared" si="1"/>
        <v/>
      </c>
      <c r="C28" s="42">
        <f t="shared" si="2"/>
        <v>27</v>
      </c>
      <c r="D28" s="38"/>
      <c r="E28" s="38"/>
      <c r="F28" s="38"/>
      <c r="G28" s="38"/>
      <c r="H28" s="38"/>
      <c r="I28" s="38"/>
      <c r="J28" s="38"/>
      <c r="K28" s="14" t="s">
        <v>57</v>
      </c>
      <c r="L28" s="14" t="s">
        <v>38</v>
      </c>
      <c r="M28" s="48" t="s">
        <v>297</v>
      </c>
      <c r="N28" s="41" t="s">
        <v>298</v>
      </c>
      <c r="R28" s="38" t="s">
        <v>191</v>
      </c>
      <c r="S28" s="38"/>
      <c r="T28" s="15"/>
      <c r="W28" s="15" t="str">
        <f>IF(IFERROR(VLOOKUP($M28,COMPARE!$H$2:$H$847,1,0),"-")="-","","GS")</f>
        <v/>
      </c>
      <c r="Z28" s="59" t="str">
        <f>IF(OR($M28="",NOT($O28="{array}")),"",IFERROR(MATCH(PARAMETERS!$M28,DEFAULT!$B$5:$CX$5,0),""))</f>
        <v/>
      </c>
      <c r="AA28" s="56" t="str">
        <f t="shared" si="0"/>
        <v/>
      </c>
      <c r="AB28" s="63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7" t="str">
        <f>IF($AA28="","",IF($B28="I",VLOOKUP($AA28,#REF!,53,0),INDEX(VALUES!$B$1:$BT$1,1,$AA28)))</f>
        <v/>
      </c>
    </row>
    <row r="29" spans="1:29" hidden="1" outlineLevel="1" x14ac:dyDescent="0.25">
      <c r="A29" s="22" t="s">
        <v>84</v>
      </c>
      <c r="B29" s="41" t="str">
        <f t="shared" si="1"/>
        <v/>
      </c>
      <c r="C29" s="42">
        <f t="shared" si="2"/>
        <v>28</v>
      </c>
      <c r="D29" s="38"/>
      <c r="E29" s="38"/>
      <c r="F29" s="38" t="s">
        <v>9</v>
      </c>
      <c r="G29" s="38"/>
      <c r="H29" s="38"/>
      <c r="I29" s="38" t="s">
        <v>9</v>
      </c>
      <c r="J29" s="38"/>
      <c r="K29" s="14" t="s">
        <v>18</v>
      </c>
      <c r="L29" s="14" t="s">
        <v>21</v>
      </c>
      <c r="M29" s="115" t="s">
        <v>299</v>
      </c>
      <c r="N29" s="53" t="s">
        <v>300</v>
      </c>
      <c r="O29" s="117" t="s">
        <v>133</v>
      </c>
      <c r="P29" s="118" t="s">
        <v>259</v>
      </c>
      <c r="Q29" s="128" t="s">
        <v>9</v>
      </c>
      <c r="R29" s="129" t="s">
        <v>102</v>
      </c>
      <c r="S29" s="129" t="s">
        <v>111</v>
      </c>
      <c r="T29" s="124" t="s">
        <v>101</v>
      </c>
      <c r="U29" s="124" t="s">
        <v>259</v>
      </c>
      <c r="V29" s="124" t="s">
        <v>301</v>
      </c>
      <c r="W29" s="15" t="str">
        <f>IF(IFERROR(VLOOKUP($M29,COMPARE!$H$2:$H$847,1,0),"-")="-","","GS")</f>
        <v/>
      </c>
      <c r="X29" s="118">
        <v>40</v>
      </c>
      <c r="Y29" s="124" t="s">
        <v>302</v>
      </c>
      <c r="Z29" s="59" t="str">
        <f>IF(OR($M29="",NOT($O29="{array}")),"",IFERROR(MATCH(PARAMETERS!$M29,DEFAULT!$B$5:$CX$5,0),""))</f>
        <v/>
      </c>
      <c r="AA29" s="56" t="str">
        <f t="shared" si="0"/>
        <v/>
      </c>
      <c r="AB29" s="63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7" t="str">
        <f>IF($AA29="","",IF($B29="I",VLOOKUP($AA29,#REF!,53,0),INDEX(VALUES!$B$1:$BT$1,1,$AA29)))</f>
        <v/>
      </c>
    </row>
    <row r="30" spans="1:29" hidden="1" outlineLevel="1" x14ac:dyDescent="0.3">
      <c r="A30" s="22" t="s">
        <v>84</v>
      </c>
      <c r="B30" s="41" t="str">
        <f t="shared" si="1"/>
        <v/>
      </c>
      <c r="C30" s="42">
        <f t="shared" si="2"/>
        <v>29</v>
      </c>
      <c r="D30" s="38"/>
      <c r="E30" s="38"/>
      <c r="F30" s="38"/>
      <c r="G30" s="38"/>
      <c r="H30" s="38"/>
      <c r="I30" s="38" t="s">
        <v>9</v>
      </c>
      <c r="J30" s="38"/>
      <c r="K30" s="117" t="s">
        <v>24</v>
      </c>
      <c r="L30" s="117" t="s">
        <v>27</v>
      </c>
      <c r="M30" s="133" t="s">
        <v>303</v>
      </c>
      <c r="N30" s="117" t="s">
        <v>304</v>
      </c>
      <c r="O30" s="117">
        <v>0.8</v>
      </c>
      <c r="P30" s="134" t="s">
        <v>259</v>
      </c>
      <c r="Q30" s="135" t="s">
        <v>9</v>
      </c>
      <c r="R30" s="136" t="s">
        <v>102</v>
      </c>
      <c r="S30" s="136" t="s">
        <v>111</v>
      </c>
      <c r="T30" s="117" t="s">
        <v>259</v>
      </c>
      <c r="U30" s="117" t="s">
        <v>259</v>
      </c>
      <c r="V30" s="137"/>
      <c r="W30" s="15"/>
      <c r="X30" s="118"/>
      <c r="Y30" s="117" t="s">
        <v>304</v>
      </c>
      <c r="Z30" s="59" t="str">
        <f>IF(OR($M30="",NOT($O30="{array}")),"",IFERROR(MATCH(PARAMETERS!$M30,DEFAULT!$B$5:$CX$5,0),""))</f>
        <v/>
      </c>
      <c r="AA30" s="56" t="str">
        <f t="shared" si="0"/>
        <v/>
      </c>
      <c r="AB30" s="63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7" t="str">
        <f>IF($AA30="","",IF($B30="I",VLOOKUP($AA30,#REF!,53,0),INDEX(VALUES!$B$1:$BT$1,1,$AA30)))</f>
        <v/>
      </c>
    </row>
    <row r="31" spans="1:29" hidden="1" outlineLevel="1" x14ac:dyDescent="0.3">
      <c r="A31" s="22" t="s">
        <v>84</v>
      </c>
      <c r="B31" s="41" t="str">
        <f t="shared" si="1"/>
        <v/>
      </c>
      <c r="C31" s="42">
        <f t="shared" si="2"/>
        <v>30</v>
      </c>
      <c r="D31" s="38"/>
      <c r="E31" s="38"/>
      <c r="F31" s="38"/>
      <c r="G31" s="38"/>
      <c r="H31" s="38"/>
      <c r="I31" s="38" t="s">
        <v>9</v>
      </c>
      <c r="J31" s="38"/>
      <c r="K31" s="117" t="s">
        <v>24</v>
      </c>
      <c r="L31" s="117" t="s">
        <v>27</v>
      </c>
      <c r="M31" s="133" t="s">
        <v>305</v>
      </c>
      <c r="N31" s="117" t="s">
        <v>306</v>
      </c>
      <c r="O31" s="117">
        <v>2</v>
      </c>
      <c r="P31" s="134" t="s">
        <v>259</v>
      </c>
      <c r="Q31" s="135" t="s">
        <v>9</v>
      </c>
      <c r="R31" s="136" t="s">
        <v>102</v>
      </c>
      <c r="S31" s="136" t="s">
        <v>111</v>
      </c>
      <c r="T31" s="117" t="s">
        <v>259</v>
      </c>
      <c r="U31" s="117" t="s">
        <v>259</v>
      </c>
      <c r="V31" s="137"/>
      <c r="W31" s="15"/>
      <c r="X31" s="118"/>
      <c r="Y31" s="117" t="s">
        <v>306</v>
      </c>
      <c r="Z31" s="59" t="str">
        <f>IF(OR($M31="",NOT($O31="{array}")),"",IFERROR(MATCH(PARAMETERS!$M31,DEFAULT!$B$5:$CX$5,0),""))</f>
        <v/>
      </c>
      <c r="AA31" s="56" t="str">
        <f t="shared" si="0"/>
        <v/>
      </c>
      <c r="AB31" s="63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7" t="str">
        <f>IF($AA31="","",IF($B31="I",VLOOKUP($AA31,#REF!,53,0),INDEX(VALUES!$B$1:$BT$1,1,$AA31)))</f>
        <v/>
      </c>
    </row>
    <row r="32" spans="1:29" hidden="1" outlineLevel="1" x14ac:dyDescent="0.3">
      <c r="A32" s="22" t="s">
        <v>84</v>
      </c>
      <c r="B32" s="41" t="str">
        <f t="shared" si="1"/>
        <v/>
      </c>
      <c r="C32" s="42">
        <f t="shared" si="2"/>
        <v>31</v>
      </c>
      <c r="D32" s="38"/>
      <c r="E32" s="38"/>
      <c r="F32" s="38"/>
      <c r="G32" s="38"/>
      <c r="H32" s="38"/>
      <c r="I32" s="38" t="s">
        <v>9</v>
      </c>
      <c r="J32" s="38"/>
      <c r="K32" s="117" t="s">
        <v>31</v>
      </c>
      <c r="L32" s="117" t="s">
        <v>27</v>
      </c>
      <c r="M32" s="133" t="s">
        <v>307</v>
      </c>
      <c r="N32" s="117" t="s">
        <v>308</v>
      </c>
      <c r="O32" s="117">
        <v>90</v>
      </c>
      <c r="P32" s="134" t="s">
        <v>259</v>
      </c>
      <c r="Q32" s="135" t="s">
        <v>9</v>
      </c>
      <c r="R32" s="136" t="s">
        <v>102</v>
      </c>
      <c r="S32" s="136" t="s">
        <v>111</v>
      </c>
      <c r="T32" s="117" t="s">
        <v>259</v>
      </c>
      <c r="U32" s="117" t="s">
        <v>259</v>
      </c>
      <c r="V32" s="117" t="s">
        <v>308</v>
      </c>
      <c r="W32" s="15" t="str">
        <f>IF(IFERROR(VLOOKUP($M32,COMPARE!$H$2:$H$847,1,0),"-")="-","","GS")</f>
        <v/>
      </c>
      <c r="X32" s="134" t="s">
        <v>259</v>
      </c>
      <c r="Y32" s="117" t="s">
        <v>308</v>
      </c>
      <c r="Z32" s="59" t="str">
        <f>IF(OR($M32="",NOT($O32="{array}")),"",IFERROR(MATCH(PARAMETERS!$M32,DEFAULT!$B$5:$CX$5,0),""))</f>
        <v/>
      </c>
      <c r="AA32" s="56" t="str">
        <f t="shared" si="0"/>
        <v/>
      </c>
      <c r="AB32" s="63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7" t="str">
        <f>IF($AA32="","",IF($B32="I",VLOOKUP($AA32,#REF!,53,0),INDEX(VALUES!$B$1:$BT$1,1,$AA32)))</f>
        <v/>
      </c>
    </row>
    <row r="33" spans="1:29" hidden="1" outlineLevel="1" x14ac:dyDescent="0.3">
      <c r="A33" s="22" t="s">
        <v>84</v>
      </c>
      <c r="B33" s="41" t="str">
        <f t="shared" si="1"/>
        <v/>
      </c>
      <c r="C33" s="42">
        <f t="shared" si="2"/>
        <v>32</v>
      </c>
      <c r="D33" s="38"/>
      <c r="E33" s="38"/>
      <c r="F33" s="38"/>
      <c r="G33" s="38"/>
      <c r="H33" s="38"/>
      <c r="I33" s="38" t="s">
        <v>9</v>
      </c>
      <c r="J33" s="38"/>
      <c r="K33" s="117" t="s">
        <v>24</v>
      </c>
      <c r="L33" s="125" t="s">
        <v>27</v>
      </c>
      <c r="M33" s="133" t="s">
        <v>309</v>
      </c>
      <c r="N33" s="124" t="s">
        <v>310</v>
      </c>
      <c r="O33" s="117">
        <v>0</v>
      </c>
      <c r="P33" s="118" t="s">
        <v>259</v>
      </c>
      <c r="Q33" s="128" t="s">
        <v>9</v>
      </c>
      <c r="R33" s="129" t="s">
        <v>102</v>
      </c>
      <c r="S33" s="129" t="s">
        <v>111</v>
      </c>
      <c r="T33" s="124" t="s">
        <v>259</v>
      </c>
      <c r="U33" s="124" t="s">
        <v>259</v>
      </c>
      <c r="V33" s="124" t="s">
        <v>310</v>
      </c>
      <c r="W33" s="15" t="str">
        <f>IF(IFERROR(VLOOKUP($M33,COMPARE!$H$2:$H$847,1,0),"-")="-","","GS")</f>
        <v/>
      </c>
      <c r="X33" s="118" t="s">
        <v>259</v>
      </c>
      <c r="Y33" s="124" t="s">
        <v>311</v>
      </c>
      <c r="Z33" s="59" t="str">
        <f>IF(OR($M33="",NOT($O33="{array}")),"",IFERROR(MATCH(PARAMETERS!$M33,DEFAULT!$B$5:$CX$5,0),""))</f>
        <v/>
      </c>
      <c r="AA33" s="56" t="str">
        <f t="shared" si="0"/>
        <v/>
      </c>
      <c r="AB33" s="63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7" t="str">
        <f>IF($AA33="","",IF($B33="I",VLOOKUP($AA33,#REF!,53,0),INDEX(VALUES!$B$1:$BT$1,1,$AA33)))</f>
        <v/>
      </c>
    </row>
    <row r="34" spans="1:29" hidden="1" outlineLevel="1" x14ac:dyDescent="0.3">
      <c r="A34" s="22" t="s">
        <v>84</v>
      </c>
      <c r="B34" s="41" t="str">
        <f t="shared" si="1"/>
        <v/>
      </c>
      <c r="C34" s="42">
        <f t="shared" si="2"/>
        <v>33</v>
      </c>
      <c r="D34" s="38"/>
      <c r="E34" s="38"/>
      <c r="F34" s="38"/>
      <c r="G34" s="38"/>
      <c r="H34" s="38"/>
      <c r="I34" s="38" t="s">
        <v>9</v>
      </c>
      <c r="J34" s="38"/>
      <c r="K34" s="117" t="s">
        <v>18</v>
      </c>
      <c r="L34" s="125" t="s">
        <v>32</v>
      </c>
      <c r="M34" s="133" t="s">
        <v>312</v>
      </c>
      <c r="N34" s="124" t="s">
        <v>313</v>
      </c>
      <c r="O34" s="117" t="s">
        <v>133</v>
      </c>
      <c r="P34" s="118" t="s">
        <v>259</v>
      </c>
      <c r="Q34" s="128" t="s">
        <v>9</v>
      </c>
      <c r="R34" s="129" t="s">
        <v>102</v>
      </c>
      <c r="S34" s="129" t="s">
        <v>111</v>
      </c>
      <c r="T34" s="124" t="s">
        <v>101</v>
      </c>
      <c r="U34" s="124" t="s">
        <v>259</v>
      </c>
      <c r="V34" s="124" t="s">
        <v>313</v>
      </c>
      <c r="W34" s="15" t="str">
        <f>IF(IFERROR(VLOOKUP($M34,COMPARE!$H$2:$H$847,1,0),"-")="-","","GS")</f>
        <v/>
      </c>
      <c r="X34" s="118" t="s">
        <v>736</v>
      </c>
      <c r="Y34" s="124" t="s">
        <v>314</v>
      </c>
      <c r="Z34" s="59" t="str">
        <f>IF(OR($M34="",NOT($O34="{array}")),"",IFERROR(MATCH(PARAMETERS!$M34,DEFAULT!$B$5:$CX$5,0),""))</f>
        <v/>
      </c>
      <c r="AA34" s="56" t="str">
        <f t="shared" si="0"/>
        <v/>
      </c>
      <c r="AB34" s="63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7" t="str">
        <f>IF($AA34="","",IF($B34="I",VLOOKUP($AA34,#REF!,53,0),INDEX(VALUES!$B$1:$BT$1,1,$AA34)))</f>
        <v/>
      </c>
    </row>
    <row r="35" spans="1:29" hidden="1" outlineLevel="1" x14ac:dyDescent="0.3">
      <c r="A35" s="22" t="s">
        <v>84</v>
      </c>
      <c r="B35" s="41" t="str">
        <f t="shared" ref="B35:B100" si="3">IF($A35="P",IF(NOT($Z35=""),"A",IF(NOT($AA35=""),"I","")),IF(NOT($AA35=""),IF($A35="G","V","X"),IF(NOT($Z35=""),"A","")))</f>
        <v/>
      </c>
      <c r="C35" s="42">
        <f t="shared" si="2"/>
        <v>34</v>
      </c>
      <c r="D35" s="38"/>
      <c r="E35" s="38"/>
      <c r="F35" s="38"/>
      <c r="G35" s="38"/>
      <c r="H35" s="38"/>
      <c r="I35" s="38" t="s">
        <v>9</v>
      </c>
      <c r="J35" s="38"/>
      <c r="K35" s="124" t="s">
        <v>18</v>
      </c>
      <c r="L35" s="125" t="s">
        <v>27</v>
      </c>
      <c r="M35" s="133" t="s">
        <v>315</v>
      </c>
      <c r="N35" s="124" t="s">
        <v>316</v>
      </c>
      <c r="O35" s="117" t="s">
        <v>133</v>
      </c>
      <c r="P35" s="118" t="s">
        <v>259</v>
      </c>
      <c r="Q35" s="128" t="s">
        <v>9</v>
      </c>
      <c r="R35" s="129" t="s">
        <v>102</v>
      </c>
      <c r="S35" s="129" t="s">
        <v>111</v>
      </c>
      <c r="T35" s="124" t="s">
        <v>101</v>
      </c>
      <c r="U35" s="124" t="s">
        <v>259</v>
      </c>
      <c r="V35" s="124" t="s">
        <v>316</v>
      </c>
      <c r="W35" s="15" t="str">
        <f>IF(IFERROR(VLOOKUP($M35,COMPARE!$H$2:$H$847,1,0),"-")="-","","GS")</f>
        <v/>
      </c>
      <c r="X35" s="118">
        <v>43</v>
      </c>
      <c r="Y35" s="124" t="s">
        <v>317</v>
      </c>
      <c r="Z35" s="59" t="str">
        <f>IF(OR($M35="",NOT($O35="{array}")),"",IFERROR(MATCH(PARAMETERS!$M35,DEFAULT!$B$5:$CX$5,0),""))</f>
        <v/>
      </c>
      <c r="AA35" s="56" t="str">
        <f t="shared" si="0"/>
        <v/>
      </c>
      <c r="AB35" s="63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7" t="str">
        <f>IF($AA35="","",IF($B35="I",VLOOKUP($AA35,#REF!,53,0),INDEX(VALUES!$B$1:$BT$1,1,$AA35)))</f>
        <v/>
      </c>
    </row>
    <row r="36" spans="1:29" hidden="1" outlineLevel="1" x14ac:dyDescent="0.3">
      <c r="A36" s="22" t="s">
        <v>84</v>
      </c>
      <c r="B36" s="41" t="str">
        <f t="shared" si="3"/>
        <v/>
      </c>
      <c r="C36" s="42">
        <f t="shared" si="2"/>
        <v>35</v>
      </c>
      <c r="D36" s="38"/>
      <c r="E36" s="38"/>
      <c r="F36" s="38"/>
      <c r="G36" s="38"/>
      <c r="H36" s="38"/>
      <c r="I36" s="38" t="s">
        <v>9</v>
      </c>
      <c r="J36" s="38"/>
      <c r="K36" s="124" t="s">
        <v>18</v>
      </c>
      <c r="L36" s="125" t="s">
        <v>27</v>
      </c>
      <c r="M36" s="133" t="s">
        <v>318</v>
      </c>
      <c r="N36" s="124" t="s">
        <v>319</v>
      </c>
      <c r="O36" s="117" t="s">
        <v>133</v>
      </c>
      <c r="P36" s="118" t="s">
        <v>259</v>
      </c>
      <c r="Q36" s="128" t="s">
        <v>9</v>
      </c>
      <c r="R36" s="129" t="s">
        <v>102</v>
      </c>
      <c r="S36" s="129" t="s">
        <v>111</v>
      </c>
      <c r="T36" s="124" t="s">
        <v>101</v>
      </c>
      <c r="U36" s="124" t="s">
        <v>259</v>
      </c>
      <c r="V36" s="124" t="s">
        <v>319</v>
      </c>
      <c r="W36" s="15" t="str">
        <f>IF(IFERROR(VLOOKUP($M36,COMPARE!$H$2:$H$847,1,0),"-")="-","","GS")</f>
        <v/>
      </c>
      <c r="X36" s="118" t="s">
        <v>259</v>
      </c>
      <c r="Y36" s="124" t="s">
        <v>320</v>
      </c>
      <c r="Z36" s="59" t="str">
        <f>IF(OR($M36="",NOT($O36="{array}")),"",IFERROR(MATCH(PARAMETERS!$M36,DEFAULT!$B$5:$CX$5,0),""))</f>
        <v/>
      </c>
      <c r="AA36" s="56" t="str">
        <f t="shared" si="0"/>
        <v/>
      </c>
      <c r="AB36" s="63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7" t="str">
        <f>IF($AA36="","",IF($B36="I",VLOOKUP($AA36,#REF!,53,0),INDEX(VALUES!$B$1:$BT$1,1,$AA36)))</f>
        <v/>
      </c>
    </row>
    <row r="37" spans="1:29" hidden="1" outlineLevel="1" x14ac:dyDescent="0.3">
      <c r="A37" s="22" t="s">
        <v>84</v>
      </c>
      <c r="B37" s="41" t="str">
        <f t="shared" si="3"/>
        <v/>
      </c>
      <c r="C37" s="42">
        <f t="shared" si="2"/>
        <v>36</v>
      </c>
      <c r="D37" s="38"/>
      <c r="E37" s="38"/>
      <c r="F37" s="38"/>
      <c r="G37" s="38"/>
      <c r="H37" s="38"/>
      <c r="I37" s="38" t="s">
        <v>9</v>
      </c>
      <c r="J37" s="38"/>
      <c r="K37" s="124" t="s">
        <v>18</v>
      </c>
      <c r="L37" s="125" t="s">
        <v>32</v>
      </c>
      <c r="M37" s="133" t="s">
        <v>321</v>
      </c>
      <c r="N37" s="124" t="s">
        <v>322</v>
      </c>
      <c r="O37" s="117" t="s">
        <v>133</v>
      </c>
      <c r="P37" s="118" t="s">
        <v>259</v>
      </c>
      <c r="Q37" s="128" t="s">
        <v>9</v>
      </c>
      <c r="R37" s="129" t="s">
        <v>102</v>
      </c>
      <c r="S37" s="129" t="s">
        <v>111</v>
      </c>
      <c r="T37" s="124" t="s">
        <v>101</v>
      </c>
      <c r="U37" s="124" t="s">
        <v>259</v>
      </c>
      <c r="V37" s="124" t="s">
        <v>322</v>
      </c>
      <c r="W37" s="15" t="str">
        <f>IF(IFERROR(VLOOKUP($M37,COMPARE!$H$2:$H$847,1,0),"-")="-","","GS")</f>
        <v/>
      </c>
      <c r="X37" s="118" t="s">
        <v>259</v>
      </c>
      <c r="Y37" s="124" t="s">
        <v>323</v>
      </c>
      <c r="Z37" s="59" t="str">
        <f>IF(OR($M37="",NOT($O37="{array}")),"",IFERROR(MATCH(PARAMETERS!$M37,DEFAULT!$B$5:$CX$5,0),""))</f>
        <v/>
      </c>
      <c r="AA37" s="56" t="str">
        <f t="shared" si="0"/>
        <v/>
      </c>
      <c r="AB37" s="63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7" t="str">
        <f>IF($AA37="","",IF($B37="I",VLOOKUP($AA37,#REF!,53,0),INDEX(VALUES!$B$1:$BT$1,1,$AA37)))</f>
        <v/>
      </c>
    </row>
    <row r="38" spans="1:29" hidden="1" outlineLevel="1" x14ac:dyDescent="0.25">
      <c r="A38" s="22" t="s">
        <v>84</v>
      </c>
      <c r="B38" s="41" t="str">
        <f t="shared" si="3"/>
        <v/>
      </c>
      <c r="C38" s="42">
        <f t="shared" si="2"/>
        <v>37</v>
      </c>
      <c r="D38" s="38"/>
      <c r="E38" s="38"/>
      <c r="F38" s="38"/>
      <c r="G38" s="38"/>
      <c r="H38" s="38"/>
      <c r="I38" s="38" t="s">
        <v>9</v>
      </c>
      <c r="J38" s="38"/>
      <c r="K38" s="124" t="s">
        <v>18</v>
      </c>
      <c r="L38" s="125" t="s">
        <v>32</v>
      </c>
      <c r="M38" s="115" t="s">
        <v>324</v>
      </c>
      <c r="N38" s="121" t="s">
        <v>325</v>
      </c>
      <c r="O38" s="117" t="s">
        <v>133</v>
      </c>
      <c r="P38" s="118" t="s">
        <v>259</v>
      </c>
      <c r="Q38" s="119" t="s">
        <v>9</v>
      </c>
      <c r="R38" s="120" t="s">
        <v>102</v>
      </c>
      <c r="S38" s="120" t="s">
        <v>111</v>
      </c>
      <c r="T38" s="121" t="s">
        <v>259</v>
      </c>
      <c r="U38" s="121" t="s">
        <v>113</v>
      </c>
      <c r="V38" s="121" t="s">
        <v>325</v>
      </c>
      <c r="W38" s="122" t="str">
        <f>IF(IFERROR(VLOOKUP($M38,COMPARE!$H$2:$H$847,1,0),"-")="-","","GS")</f>
        <v/>
      </c>
      <c r="X38" s="123">
        <v>38</v>
      </c>
      <c r="Y38" s="121" t="s">
        <v>326</v>
      </c>
      <c r="Z38" s="59" t="str">
        <f>IF(OR($M38="",NOT($O38="{array}")),"",IFERROR(MATCH(PARAMETERS!$M38,DEFAULT!$B$5:$CX$5,0),""))</f>
        <v/>
      </c>
      <c r="AA38" s="56" t="str">
        <f t="shared" si="0"/>
        <v/>
      </c>
      <c r="AB38" s="63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7" t="str">
        <f>IF($AA38="","",IF($B38="I",VLOOKUP($AA38,#REF!,53,0),INDEX(VALUES!$B$1:$BT$1,1,$AA38)))</f>
        <v/>
      </c>
    </row>
    <row r="39" spans="1:29" hidden="1" outlineLevel="1" x14ac:dyDescent="0.25">
      <c r="A39" s="22" t="s">
        <v>84</v>
      </c>
      <c r="B39" s="41" t="str">
        <f t="shared" si="3"/>
        <v/>
      </c>
      <c r="C39" s="42">
        <f t="shared" ref="C39:C62" si="4">(ROW()-1)</f>
        <v>38</v>
      </c>
      <c r="D39" s="38"/>
      <c r="E39" s="38"/>
      <c r="F39" s="38"/>
      <c r="G39" s="38"/>
      <c r="H39" s="38"/>
      <c r="I39" s="38" t="s">
        <v>9</v>
      </c>
      <c r="J39" s="38"/>
      <c r="K39" s="124" t="s">
        <v>18</v>
      </c>
      <c r="L39" s="125" t="s">
        <v>32</v>
      </c>
      <c r="M39" s="115" t="s">
        <v>327</v>
      </c>
      <c r="N39" s="121" t="s">
        <v>328</v>
      </c>
      <c r="O39" s="117" t="s">
        <v>133</v>
      </c>
      <c r="P39" s="118" t="s">
        <v>259</v>
      </c>
      <c r="Q39" s="119" t="s">
        <v>9</v>
      </c>
      <c r="R39" s="120" t="s">
        <v>102</v>
      </c>
      <c r="S39" s="120" t="s">
        <v>111</v>
      </c>
      <c r="T39" s="121" t="s">
        <v>259</v>
      </c>
      <c r="U39" s="121" t="s">
        <v>113</v>
      </c>
      <c r="V39" s="121" t="s">
        <v>328</v>
      </c>
      <c r="W39" s="122" t="str">
        <f>IF(IFERROR(VLOOKUP($M39,COMPARE!$H$2:$H$847,1,0),"-")="-","","GS")</f>
        <v/>
      </c>
      <c r="X39" s="123">
        <v>35</v>
      </c>
      <c r="Y39" s="121" t="s">
        <v>329</v>
      </c>
      <c r="Z39" s="59" t="str">
        <f>IF(OR($M39="",NOT($O39="{array}")),"",IFERROR(MATCH(PARAMETERS!$M39,DEFAULT!$B$5:$CX$5,0),""))</f>
        <v/>
      </c>
      <c r="AA39" s="56" t="str">
        <f t="shared" si="0"/>
        <v/>
      </c>
      <c r="AB39" s="63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7" t="str">
        <f>IF($AA39="","",IF($B39="I",VLOOKUP($AA39,#REF!,53,0),INDEX(VALUES!$B$1:$BT$1,1,$AA39)))</f>
        <v/>
      </c>
    </row>
    <row r="40" spans="1:29" hidden="1" outlineLevel="1" x14ac:dyDescent="0.25">
      <c r="A40" s="22" t="s">
        <v>84</v>
      </c>
      <c r="B40" s="41" t="str">
        <f t="shared" si="3"/>
        <v/>
      </c>
      <c r="C40" s="42">
        <f t="shared" si="4"/>
        <v>39</v>
      </c>
      <c r="D40" s="38"/>
      <c r="E40" s="38"/>
      <c r="F40" s="38" t="s">
        <v>9</v>
      </c>
      <c r="G40" s="38"/>
      <c r="H40" s="38"/>
      <c r="I40" s="38" t="s">
        <v>9</v>
      </c>
      <c r="J40" s="38"/>
      <c r="K40" s="14" t="s">
        <v>18</v>
      </c>
      <c r="L40" s="14" t="s">
        <v>21</v>
      </c>
      <c r="M40" s="115" t="s">
        <v>330</v>
      </c>
      <c r="N40" s="121" t="s">
        <v>331</v>
      </c>
      <c r="O40" s="117" t="s">
        <v>133</v>
      </c>
      <c r="P40" s="118" t="s">
        <v>259</v>
      </c>
      <c r="Q40" s="119" t="s">
        <v>9</v>
      </c>
      <c r="R40" s="120" t="s">
        <v>102</v>
      </c>
      <c r="S40" s="120" t="s">
        <v>111</v>
      </c>
      <c r="T40" s="121" t="s">
        <v>259</v>
      </c>
      <c r="U40" s="121" t="s">
        <v>113</v>
      </c>
      <c r="V40" s="121" t="s">
        <v>331</v>
      </c>
      <c r="W40" s="122" t="str">
        <f>IF(IFERROR(VLOOKUP($M40,COMPARE!$H$2:$H$847,1,0),"-")="-","","GS")</f>
        <v/>
      </c>
      <c r="X40" s="123">
        <v>36</v>
      </c>
      <c r="Y40" s="121" t="s">
        <v>332</v>
      </c>
      <c r="Z40" s="59" t="str">
        <f>IF(OR($M40="",NOT($O40="{array}")),"",IFERROR(MATCH(PARAMETERS!$M40,DEFAULT!$B$5:$CX$5,0),""))</f>
        <v/>
      </c>
      <c r="AA40" s="56" t="str">
        <f t="shared" si="0"/>
        <v/>
      </c>
      <c r="AB40" s="63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7" t="str">
        <f>IF($AA40="","",IF($B40="I",VLOOKUP($AA40,#REF!,53,0),INDEX(VALUES!$B$1:$BT$1,1,$AA40)))</f>
        <v/>
      </c>
    </row>
    <row r="41" spans="1:29" hidden="1" outlineLevel="1" x14ac:dyDescent="0.25">
      <c r="A41" s="22" t="s">
        <v>84</v>
      </c>
      <c r="B41" s="41" t="str">
        <f t="shared" si="3"/>
        <v/>
      </c>
      <c r="C41" s="42">
        <f t="shared" si="4"/>
        <v>40</v>
      </c>
      <c r="D41" s="38"/>
      <c r="E41" s="38"/>
      <c r="F41" s="38"/>
      <c r="G41" s="38"/>
      <c r="H41" s="38"/>
      <c r="I41" s="38" t="s">
        <v>9</v>
      </c>
      <c r="J41" s="38"/>
      <c r="K41" s="121" t="s">
        <v>18</v>
      </c>
      <c r="L41" s="121" t="s">
        <v>32</v>
      </c>
      <c r="M41" s="115" t="s">
        <v>333</v>
      </c>
      <c r="N41" s="121" t="s">
        <v>295</v>
      </c>
      <c r="O41" s="117" t="s">
        <v>133</v>
      </c>
      <c r="P41" s="132" t="s">
        <v>259</v>
      </c>
      <c r="Q41" s="119" t="s">
        <v>9</v>
      </c>
      <c r="R41" s="120" t="s">
        <v>102</v>
      </c>
      <c r="S41" s="120" t="s">
        <v>111</v>
      </c>
      <c r="T41" s="121" t="s">
        <v>259</v>
      </c>
      <c r="U41" s="121" t="s">
        <v>113</v>
      </c>
      <c r="V41" s="121" t="s">
        <v>295</v>
      </c>
      <c r="W41" s="122" t="str">
        <f>IF(IFERROR(VLOOKUP($M41,COMPARE!$H$2:$H$847,1,0),"-")="-","","GS")</f>
        <v/>
      </c>
      <c r="X41" s="123" t="s">
        <v>259</v>
      </c>
      <c r="Y41" s="121" t="s">
        <v>296</v>
      </c>
      <c r="Z41" s="59" t="str">
        <f>IF(OR($M41="",NOT($O41="{array}")),"",IFERROR(MATCH(PARAMETERS!$M41,DEFAULT!$B$5:$CX$5,0),""))</f>
        <v/>
      </c>
      <c r="AA41" s="56" t="str">
        <f t="shared" si="0"/>
        <v/>
      </c>
      <c r="AB41" s="63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7" t="str">
        <f>IF($AA41="","",IF($B41="I",VLOOKUP($AA41,#REF!,53,0),INDEX(VALUES!$B$1:$BT$1,1,$AA41)))</f>
        <v/>
      </c>
    </row>
    <row r="42" spans="1:29" hidden="1" outlineLevel="1" x14ac:dyDescent="0.3">
      <c r="A42" s="22" t="s">
        <v>84</v>
      </c>
      <c r="B42" s="41" t="str">
        <f t="shared" si="3"/>
        <v/>
      </c>
      <c r="C42" s="42">
        <f t="shared" si="4"/>
        <v>41</v>
      </c>
      <c r="D42" s="38"/>
      <c r="E42" s="38"/>
      <c r="F42" s="38"/>
      <c r="G42" s="38"/>
      <c r="H42" s="38"/>
      <c r="I42" s="38" t="s">
        <v>9</v>
      </c>
      <c r="J42" s="38"/>
      <c r="K42" s="121" t="s">
        <v>18</v>
      </c>
      <c r="L42" s="125" t="s">
        <v>32</v>
      </c>
      <c r="M42" s="133" t="s">
        <v>334</v>
      </c>
      <c r="N42" s="121" t="s">
        <v>335</v>
      </c>
      <c r="O42" s="117" t="s">
        <v>133</v>
      </c>
      <c r="P42" s="123" t="s">
        <v>259</v>
      </c>
      <c r="Q42" s="119" t="s">
        <v>9</v>
      </c>
      <c r="R42" s="120" t="s">
        <v>102</v>
      </c>
      <c r="S42" s="120" t="s">
        <v>111</v>
      </c>
      <c r="T42" s="121" t="s">
        <v>259</v>
      </c>
      <c r="U42" s="121" t="s">
        <v>259</v>
      </c>
      <c r="V42" s="121" t="s">
        <v>335</v>
      </c>
      <c r="W42" s="122" t="str">
        <f>IF(IFERROR(VLOOKUP($M42,COMPARE!$H$2:$H$847,1,0),"-")="-","","GS")</f>
        <v/>
      </c>
      <c r="X42" s="123" t="s">
        <v>259</v>
      </c>
      <c r="Y42" s="121" t="s">
        <v>336</v>
      </c>
      <c r="Z42" s="59" t="str">
        <f>IF(OR($M42="",NOT($O42="{array}")),"",IFERROR(MATCH(PARAMETERS!$M42,DEFAULT!$B$5:$CX$5,0),""))</f>
        <v/>
      </c>
      <c r="AA42" s="56" t="str">
        <f t="shared" si="0"/>
        <v/>
      </c>
      <c r="AB42" s="63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7" t="str">
        <f>IF($AA42="","",IF($B42="I",VLOOKUP($AA42,#REF!,53,0),INDEX(VALUES!$B$1:$BT$1,1,$AA42)))</f>
        <v/>
      </c>
    </row>
    <row r="43" spans="1:29" hidden="1" outlineLevel="1" x14ac:dyDescent="0.3">
      <c r="A43" s="22" t="s">
        <v>84</v>
      </c>
      <c r="B43" s="41" t="str">
        <f t="shared" si="3"/>
        <v/>
      </c>
      <c r="C43" s="42">
        <f t="shared" si="4"/>
        <v>42</v>
      </c>
      <c r="D43" s="38"/>
      <c r="E43" s="38"/>
      <c r="F43" s="38"/>
      <c r="G43" s="38"/>
      <c r="H43" s="38"/>
      <c r="I43" s="38" t="s">
        <v>9</v>
      </c>
      <c r="J43" s="38"/>
      <c r="K43" s="124" t="s">
        <v>18</v>
      </c>
      <c r="L43" s="125" t="s">
        <v>32</v>
      </c>
      <c r="M43" s="133" t="s">
        <v>337</v>
      </c>
      <c r="N43" s="124" t="s">
        <v>338</v>
      </c>
      <c r="O43" s="117" t="s">
        <v>133</v>
      </c>
      <c r="P43" s="118" t="s">
        <v>259</v>
      </c>
      <c r="Q43" s="128" t="s">
        <v>9</v>
      </c>
      <c r="R43" s="129" t="s">
        <v>102</v>
      </c>
      <c r="S43" s="129" t="s">
        <v>111</v>
      </c>
      <c r="T43" s="124" t="s">
        <v>259</v>
      </c>
      <c r="U43" s="124" t="s">
        <v>259</v>
      </c>
      <c r="V43" s="124" t="s">
        <v>338</v>
      </c>
      <c r="W43" s="15" t="str">
        <f>IF(IFERROR(VLOOKUP($M43,COMPARE!$H$2:$H$847,1,0),"-")="-","","GS")</f>
        <v/>
      </c>
      <c r="X43" s="118" t="s">
        <v>259</v>
      </c>
      <c r="Y43" s="124" t="s">
        <v>339</v>
      </c>
      <c r="Z43" s="59" t="str">
        <f>IF(OR($M43="",NOT($O43="{array}")),"",IFERROR(MATCH(PARAMETERS!$M43,DEFAULT!$B$5:$CX$5,0),""))</f>
        <v/>
      </c>
      <c r="AA43" s="56" t="str">
        <f t="shared" si="0"/>
        <v/>
      </c>
      <c r="AB43" s="63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7" t="str">
        <f>IF($AA43="","",IF($B43="I",VLOOKUP($AA43,#REF!,53,0),INDEX(VALUES!$B$1:$BT$1,1,$AA43)))</f>
        <v/>
      </c>
    </row>
    <row r="44" spans="1:29" hidden="1" outlineLevel="1" x14ac:dyDescent="0.25">
      <c r="A44" s="22" t="s">
        <v>84</v>
      </c>
      <c r="B44" s="41" t="str">
        <f t="shared" si="3"/>
        <v/>
      </c>
      <c r="C44" s="42">
        <f t="shared" si="4"/>
        <v>43</v>
      </c>
      <c r="D44" s="138"/>
      <c r="E44" s="138"/>
      <c r="F44" s="138"/>
      <c r="G44" s="138"/>
      <c r="H44" s="138"/>
      <c r="I44" s="38" t="s">
        <v>9</v>
      </c>
      <c r="J44" s="139"/>
      <c r="K44" s="121" t="s">
        <v>18</v>
      </c>
      <c r="L44" s="121" t="s">
        <v>32</v>
      </c>
      <c r="M44" s="140" t="s">
        <v>340</v>
      </c>
      <c r="N44" s="121" t="s">
        <v>341</v>
      </c>
      <c r="O44" s="117" t="s">
        <v>133</v>
      </c>
      <c r="P44" s="132" t="s">
        <v>259</v>
      </c>
      <c r="Q44" s="119" t="s">
        <v>9</v>
      </c>
      <c r="R44" s="120" t="s">
        <v>102</v>
      </c>
      <c r="S44" s="120" t="s">
        <v>111</v>
      </c>
      <c r="T44" s="121" t="s">
        <v>259</v>
      </c>
      <c r="U44" s="121" t="s">
        <v>113</v>
      </c>
      <c r="V44" s="121" t="s">
        <v>341</v>
      </c>
      <c r="W44" s="122" t="str">
        <f>IF(IFERROR(VLOOKUP($M44,COMPARE!$H$2:$H$847,1,0),"-")="-","","GS")</f>
        <v/>
      </c>
      <c r="X44" s="123" t="s">
        <v>259</v>
      </c>
      <c r="Y44" s="121" t="s">
        <v>342</v>
      </c>
      <c r="Z44" s="59" t="str">
        <f>IF(OR($M44="",NOT($O44="{array}")),"",IFERROR(MATCH(PARAMETERS!$M44,DEFAULT!$B$5:$CX$5,0),""))</f>
        <v/>
      </c>
      <c r="AA44" s="56" t="str">
        <f t="shared" si="0"/>
        <v/>
      </c>
      <c r="AB44" s="63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7" t="str">
        <f>IF($AA44="","",IF($B44="I",VLOOKUP($AA44,#REF!,53,0),INDEX(VALUES!$B$1:$BT$1,1,$AA44)))</f>
        <v/>
      </c>
    </row>
    <row r="45" spans="1:29" hidden="1" outlineLevel="1" x14ac:dyDescent="0.25">
      <c r="A45" s="22" t="s">
        <v>84</v>
      </c>
      <c r="B45" s="41" t="str">
        <f t="shared" si="3"/>
        <v/>
      </c>
      <c r="C45" s="42">
        <f t="shared" si="4"/>
        <v>44</v>
      </c>
      <c r="D45" s="38"/>
      <c r="E45" s="38"/>
      <c r="F45" s="38"/>
      <c r="G45" s="38"/>
      <c r="H45" s="38"/>
      <c r="I45" s="38" t="s">
        <v>9</v>
      </c>
      <c r="J45" s="38"/>
      <c r="K45" s="121" t="s">
        <v>18</v>
      </c>
      <c r="L45" s="125" t="s">
        <v>32</v>
      </c>
      <c r="M45" s="115" t="s">
        <v>343</v>
      </c>
      <c r="N45" s="121" t="s">
        <v>344</v>
      </c>
      <c r="O45" s="117" t="s">
        <v>133</v>
      </c>
      <c r="P45" s="118" t="s">
        <v>259</v>
      </c>
      <c r="Q45" s="119" t="s">
        <v>9</v>
      </c>
      <c r="R45" s="120" t="s">
        <v>102</v>
      </c>
      <c r="S45" s="120" t="s">
        <v>111</v>
      </c>
      <c r="T45" s="121" t="s">
        <v>259</v>
      </c>
      <c r="U45" s="121" t="s">
        <v>113</v>
      </c>
      <c r="V45" s="121" t="s">
        <v>344</v>
      </c>
      <c r="W45" s="122" t="str">
        <f>IF(IFERROR(VLOOKUP($M45,COMPARE!$H$2:$H$847,1,0),"-")="-","","GS")</f>
        <v/>
      </c>
      <c r="X45" s="123">
        <v>37</v>
      </c>
      <c r="Y45" s="121" t="s">
        <v>345</v>
      </c>
      <c r="Z45" s="59" t="str">
        <f>IF(OR($M45="",NOT($O45="{array}")),"",IFERROR(MATCH(PARAMETERS!$M45,DEFAULT!$B$5:$CX$5,0),""))</f>
        <v/>
      </c>
      <c r="AA45" s="56" t="str">
        <f t="shared" si="0"/>
        <v/>
      </c>
      <c r="AB45" s="63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7" t="str">
        <f>IF($AA45="","",IF($B45="I",VLOOKUP($AA45,#REF!,53,0),INDEX(VALUES!$B$1:$BT$1,1,$AA45)))</f>
        <v/>
      </c>
    </row>
    <row r="46" spans="1:29" hidden="1" outlineLevel="1" x14ac:dyDescent="0.3">
      <c r="A46" s="22" t="s">
        <v>84</v>
      </c>
      <c r="B46" s="41" t="str">
        <f t="shared" si="3"/>
        <v/>
      </c>
      <c r="C46" s="42">
        <f t="shared" si="4"/>
        <v>45</v>
      </c>
      <c r="D46" s="38"/>
      <c r="E46" s="38"/>
      <c r="F46" s="38"/>
      <c r="G46" s="38"/>
      <c r="H46" s="38"/>
      <c r="I46" s="38" t="s">
        <v>9</v>
      </c>
      <c r="J46" s="38"/>
      <c r="K46" s="121" t="s">
        <v>18</v>
      </c>
      <c r="L46" s="125" t="s">
        <v>32</v>
      </c>
      <c r="M46" s="133" t="s">
        <v>346</v>
      </c>
      <c r="N46" s="121" t="s">
        <v>347</v>
      </c>
      <c r="O46" s="117" t="s">
        <v>133</v>
      </c>
      <c r="P46" s="123" t="s">
        <v>259</v>
      </c>
      <c r="Q46" s="119" t="s">
        <v>9</v>
      </c>
      <c r="R46" s="120" t="s">
        <v>102</v>
      </c>
      <c r="S46" s="120" t="s">
        <v>111</v>
      </c>
      <c r="T46" s="121" t="s">
        <v>259</v>
      </c>
      <c r="U46" s="121" t="s">
        <v>259</v>
      </c>
      <c r="V46" s="121" t="s">
        <v>347</v>
      </c>
      <c r="W46" s="122" t="str">
        <f>IF(IFERROR(VLOOKUP($M46,COMPARE!$H$2:$H$847,1,0),"-")="-","","GS")</f>
        <v/>
      </c>
      <c r="X46" s="123" t="s">
        <v>259</v>
      </c>
      <c r="Y46" s="121" t="s">
        <v>348</v>
      </c>
      <c r="Z46" s="59" t="str">
        <f>IF(OR($M46="",NOT($O46="{array}")),"",IFERROR(MATCH(PARAMETERS!$M46,DEFAULT!$B$5:$CX$5,0),""))</f>
        <v/>
      </c>
      <c r="AA46" s="56" t="str">
        <f t="shared" si="0"/>
        <v/>
      </c>
      <c r="AB46" s="63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17" t="str">
        <f>IF($AA46="","",IF($B46="I",VLOOKUP($AA46,#REF!,53,0),INDEX(VALUES!$B$1:$BT$1,1,$AA46)))</f>
        <v/>
      </c>
    </row>
    <row r="47" spans="1:29" hidden="1" outlineLevel="1" x14ac:dyDescent="0.3">
      <c r="A47" s="22" t="s">
        <v>84</v>
      </c>
      <c r="B47" s="41" t="str">
        <f t="shared" si="3"/>
        <v/>
      </c>
      <c r="C47" s="42">
        <f t="shared" si="4"/>
        <v>46</v>
      </c>
      <c r="D47" s="38"/>
      <c r="E47" s="38"/>
      <c r="F47" s="38"/>
      <c r="G47" s="38"/>
      <c r="H47" s="38"/>
      <c r="I47" s="38" t="s">
        <v>9</v>
      </c>
      <c r="J47" s="38"/>
      <c r="K47" s="121" t="s">
        <v>18</v>
      </c>
      <c r="L47" s="125" t="s">
        <v>32</v>
      </c>
      <c r="M47" s="133" t="s">
        <v>349</v>
      </c>
      <c r="N47" s="121" t="s">
        <v>350</v>
      </c>
      <c r="O47" s="117" t="s">
        <v>133</v>
      </c>
      <c r="P47" s="123" t="s">
        <v>259</v>
      </c>
      <c r="Q47" s="119" t="s">
        <v>9</v>
      </c>
      <c r="R47" s="120" t="s">
        <v>102</v>
      </c>
      <c r="S47" s="120" t="s">
        <v>111</v>
      </c>
      <c r="T47" s="121" t="s">
        <v>259</v>
      </c>
      <c r="U47" s="121" t="s">
        <v>259</v>
      </c>
      <c r="V47" s="121" t="s">
        <v>350</v>
      </c>
      <c r="W47" s="122" t="str">
        <f>IF(IFERROR(VLOOKUP($M47,COMPARE!$H$2:$H$847,1,0),"-")="-","","GS")</f>
        <v/>
      </c>
      <c r="X47" s="123" t="s">
        <v>259</v>
      </c>
      <c r="Y47" s="121" t="s">
        <v>351</v>
      </c>
      <c r="Z47" s="59" t="str">
        <f>IF(OR($M47="",NOT($O47="{array}")),"",IFERROR(MATCH(PARAMETERS!$M47,DEFAULT!$B$5:$CX$5,0),""))</f>
        <v/>
      </c>
      <c r="AA47" s="56" t="str">
        <f t="shared" si="0"/>
        <v/>
      </c>
      <c r="AB47" s="63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17" t="str">
        <f>IF($AA47="","",IF($B47="I",VLOOKUP($AA47,#REF!,53,0),INDEX(VALUES!$B$1:$BT$1,1,$AA47)))</f>
        <v/>
      </c>
    </row>
    <row r="48" spans="1:29" hidden="1" outlineLevel="1" x14ac:dyDescent="0.3">
      <c r="A48" s="22" t="s">
        <v>84</v>
      </c>
      <c r="B48" s="41" t="str">
        <f t="shared" si="3"/>
        <v/>
      </c>
      <c r="C48" s="42">
        <f t="shared" si="4"/>
        <v>47</v>
      </c>
      <c r="D48" s="38"/>
      <c r="E48" s="38"/>
      <c r="F48" s="38"/>
      <c r="G48" s="38"/>
      <c r="H48" s="38"/>
      <c r="I48" s="38" t="s">
        <v>9</v>
      </c>
      <c r="J48" s="38"/>
      <c r="K48" s="121" t="s">
        <v>18</v>
      </c>
      <c r="L48" s="125" t="s">
        <v>32</v>
      </c>
      <c r="M48" s="133" t="s">
        <v>352</v>
      </c>
      <c r="N48" s="121" t="s">
        <v>353</v>
      </c>
      <c r="O48" s="117" t="s">
        <v>133</v>
      </c>
      <c r="P48" s="123" t="s">
        <v>259</v>
      </c>
      <c r="Q48" s="119" t="s">
        <v>9</v>
      </c>
      <c r="R48" s="120" t="s">
        <v>102</v>
      </c>
      <c r="S48" s="120" t="s">
        <v>111</v>
      </c>
      <c r="T48" s="121" t="s">
        <v>259</v>
      </c>
      <c r="U48" s="121" t="s">
        <v>259</v>
      </c>
      <c r="V48" s="121" t="s">
        <v>353</v>
      </c>
      <c r="W48" s="122" t="str">
        <f>IF(IFERROR(VLOOKUP($M48,COMPARE!$H$2:$H$847,1,0),"-")="-","","GS")</f>
        <v/>
      </c>
      <c r="X48" s="123" t="s">
        <v>259</v>
      </c>
      <c r="Y48" s="121" t="s">
        <v>351</v>
      </c>
      <c r="Z48" s="59" t="str">
        <f>IF(OR($M48="",NOT($O48="{array}")),"",IFERROR(MATCH(PARAMETERS!$M48,DEFAULT!$B$5:$CX$5,0),""))</f>
        <v/>
      </c>
      <c r="AA48" s="56" t="str">
        <f t="shared" si="0"/>
        <v/>
      </c>
      <c r="AB48" s="63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17" t="str">
        <f>IF($AA48="","",IF($B48="I",VLOOKUP($AA48,#REF!,53,0),INDEX(VALUES!$B$1:$BT$1,1,$AA48)))</f>
        <v/>
      </c>
    </row>
    <row r="49" spans="1:29" hidden="1" outlineLevel="1" x14ac:dyDescent="0.3">
      <c r="A49" s="22" t="s">
        <v>84</v>
      </c>
      <c r="B49" s="41" t="str">
        <f t="shared" si="3"/>
        <v/>
      </c>
      <c r="C49" s="42">
        <f t="shared" si="4"/>
        <v>48</v>
      </c>
      <c r="D49" s="38"/>
      <c r="E49" s="38"/>
      <c r="F49" s="38"/>
      <c r="G49" s="38"/>
      <c r="H49" s="38"/>
      <c r="I49" s="38" t="s">
        <v>9</v>
      </c>
      <c r="J49" s="38"/>
      <c r="K49" s="121" t="s">
        <v>18</v>
      </c>
      <c r="L49" s="125" t="s">
        <v>32</v>
      </c>
      <c r="M49" s="133" t="s">
        <v>354</v>
      </c>
      <c r="N49" s="121" t="s">
        <v>355</v>
      </c>
      <c r="O49" s="117" t="s">
        <v>133</v>
      </c>
      <c r="P49" s="123" t="s">
        <v>259</v>
      </c>
      <c r="Q49" s="119" t="s">
        <v>9</v>
      </c>
      <c r="R49" s="120" t="s">
        <v>102</v>
      </c>
      <c r="S49" s="120" t="s">
        <v>111</v>
      </c>
      <c r="T49" s="121" t="s">
        <v>259</v>
      </c>
      <c r="U49" s="121" t="s">
        <v>259</v>
      </c>
      <c r="V49" s="121" t="s">
        <v>355</v>
      </c>
      <c r="W49" s="122" t="str">
        <f>IF(IFERROR(VLOOKUP($M49,COMPARE!$H$2:$H$847,1,0),"-")="-","","GS")</f>
        <v/>
      </c>
      <c r="X49" s="123" t="s">
        <v>259</v>
      </c>
      <c r="Y49" s="121" t="s">
        <v>356</v>
      </c>
      <c r="Z49" s="59" t="str">
        <f>IF(OR($M49="",NOT($O49="{array}")),"",IFERROR(MATCH(PARAMETERS!$M49,DEFAULT!$B$5:$CX$5,0),""))</f>
        <v/>
      </c>
      <c r="AA49" s="56" t="str">
        <f t="shared" si="0"/>
        <v/>
      </c>
      <c r="AB49" s="63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17" t="str">
        <f>IF($AA49="","",IF($B49="I",VLOOKUP($AA49,#REF!,53,0),INDEX(VALUES!$B$1:$BT$1,1,$AA49)))</f>
        <v/>
      </c>
    </row>
    <row r="50" spans="1:29" hidden="1" outlineLevel="1" x14ac:dyDescent="0.3">
      <c r="A50" s="22"/>
      <c r="B50" s="41" t="str">
        <f t="shared" si="3"/>
        <v/>
      </c>
      <c r="C50" s="42">
        <f t="shared" si="4"/>
        <v>49</v>
      </c>
      <c r="D50" s="38"/>
      <c r="E50" s="38"/>
      <c r="F50" s="38"/>
      <c r="G50" s="38"/>
      <c r="H50" s="38"/>
      <c r="I50" s="38" t="s">
        <v>9</v>
      </c>
      <c r="J50" s="38"/>
      <c r="K50" s="141" t="s">
        <v>18</v>
      </c>
      <c r="L50" s="141" t="s">
        <v>32</v>
      </c>
      <c r="M50" s="142" t="s">
        <v>357</v>
      </c>
      <c r="N50" s="141" t="s">
        <v>358</v>
      </c>
      <c r="O50" s="124" t="s">
        <v>133</v>
      </c>
      <c r="P50" s="143" t="s">
        <v>259</v>
      </c>
      <c r="Q50" s="144" t="s">
        <v>9</v>
      </c>
      <c r="R50" s="145" t="s">
        <v>102</v>
      </c>
      <c r="S50" s="145" t="s">
        <v>111</v>
      </c>
      <c r="T50" s="141" t="s">
        <v>259</v>
      </c>
      <c r="U50" s="141" t="s">
        <v>259</v>
      </c>
      <c r="V50" s="141" t="s">
        <v>358</v>
      </c>
      <c r="W50" s="146" t="str">
        <f>IF(IFERROR(VLOOKUP($M50,COMPARE!$H$2:$H$847,1,0),"-")="-","","GS")</f>
        <v/>
      </c>
      <c r="X50" s="143" t="s">
        <v>259</v>
      </c>
      <c r="Y50" s="141" t="s">
        <v>359</v>
      </c>
      <c r="Z50" s="59" t="str">
        <f>IF(OR($M50="",NOT($O50="{array}")),"",IFERROR(MATCH(PARAMETERS!$M50,DEFAULT!$B$5:$CX$5,0),""))</f>
        <v/>
      </c>
      <c r="AA50" s="56" t="str">
        <f t="shared" si="0"/>
        <v/>
      </c>
      <c r="AB50" s="63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17" t="str">
        <f>IF($AA50="","",IF($B50="I",VLOOKUP($AA50,#REF!,53,0),INDEX(VALUES!$B$1:$BT$1,1,$AA50)))</f>
        <v/>
      </c>
    </row>
    <row r="51" spans="1:29" hidden="1" outlineLevel="1" x14ac:dyDescent="0.25">
      <c r="A51" s="22" t="s">
        <v>84</v>
      </c>
      <c r="B51" s="41" t="str">
        <f t="shared" si="3"/>
        <v/>
      </c>
      <c r="C51" s="42">
        <f t="shared" si="4"/>
        <v>50</v>
      </c>
      <c r="D51" s="38"/>
      <c r="E51" s="38"/>
      <c r="F51" s="38"/>
      <c r="G51" s="38"/>
      <c r="H51" s="38"/>
      <c r="I51" s="38" t="s">
        <v>9</v>
      </c>
      <c r="J51" s="38"/>
      <c r="K51" s="121" t="s">
        <v>18</v>
      </c>
      <c r="L51" s="125" t="s">
        <v>32</v>
      </c>
      <c r="M51" s="115" t="s">
        <v>360</v>
      </c>
      <c r="N51" s="117" t="s">
        <v>361</v>
      </c>
      <c r="O51" s="117" t="s">
        <v>133</v>
      </c>
      <c r="P51" s="129" t="s">
        <v>259</v>
      </c>
      <c r="Q51" s="119"/>
      <c r="R51" s="120" t="s">
        <v>102</v>
      </c>
      <c r="S51" s="120" t="s">
        <v>111</v>
      </c>
      <c r="T51" s="121" t="s">
        <v>259</v>
      </c>
      <c r="U51" s="121" t="s">
        <v>113</v>
      </c>
      <c r="V51" s="121" t="s">
        <v>362</v>
      </c>
      <c r="W51" s="122" t="str">
        <f>IF(IFERROR(VLOOKUP($M51,COMPARE!$H$2:$H$847,1,0),"-")="-","","GS")</f>
        <v/>
      </c>
      <c r="X51" s="123" t="s">
        <v>259</v>
      </c>
      <c r="Y51" s="121" t="s">
        <v>363</v>
      </c>
      <c r="Z51" s="59" t="str">
        <f>IF(OR($M51="",NOT($O51="{array}")),"",IFERROR(MATCH(PARAMETERS!$M51,DEFAULT!$B$5:$CX$5,0),""))</f>
        <v/>
      </c>
      <c r="AA51" s="56" t="str">
        <f t="shared" si="0"/>
        <v/>
      </c>
      <c r="AB51" s="63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17" t="str">
        <f>IF($AA51="","",IF($B51="I",VLOOKUP($AA51,#REF!,53,0),INDEX(VALUES!$B$1:$BT$1,1,$AA51)))</f>
        <v/>
      </c>
    </row>
    <row r="52" spans="1:29" hidden="1" outlineLevel="1" x14ac:dyDescent="0.25">
      <c r="A52" s="22" t="s">
        <v>84</v>
      </c>
      <c r="B52" s="41" t="str">
        <f t="shared" si="3"/>
        <v/>
      </c>
      <c r="C52" s="42">
        <f t="shared" si="4"/>
        <v>51</v>
      </c>
      <c r="D52" s="38"/>
      <c r="E52" s="38"/>
      <c r="F52" s="38"/>
      <c r="G52" s="38"/>
      <c r="H52" s="38"/>
      <c r="I52" s="38" t="s">
        <v>9</v>
      </c>
      <c r="J52" s="38"/>
      <c r="K52" s="124" t="s">
        <v>18</v>
      </c>
      <c r="L52" s="125" t="s">
        <v>32</v>
      </c>
      <c r="M52" s="115" t="s">
        <v>364</v>
      </c>
      <c r="N52" s="121" t="s">
        <v>365</v>
      </c>
      <c r="O52" s="117" t="s">
        <v>133</v>
      </c>
      <c r="P52" s="118" t="s">
        <v>259</v>
      </c>
      <c r="Q52" s="119" t="s">
        <v>9</v>
      </c>
      <c r="R52" s="120" t="s">
        <v>102</v>
      </c>
      <c r="S52" s="120" t="s">
        <v>111</v>
      </c>
      <c r="T52" s="121" t="s">
        <v>259</v>
      </c>
      <c r="U52" s="121" t="s">
        <v>113</v>
      </c>
      <c r="V52" s="121" t="s">
        <v>365</v>
      </c>
      <c r="W52" s="122" t="str">
        <f>IF(IFERROR(VLOOKUP($M52,COMPARE!$H$2:$H$847,1,0),"-")="-","","GS")</f>
        <v/>
      </c>
      <c r="X52" s="123" t="s">
        <v>259</v>
      </c>
      <c r="Y52" s="121" t="s">
        <v>366</v>
      </c>
      <c r="Z52" s="59" t="str">
        <f>IF(OR($M52="",NOT($O52="{array}")),"",IFERROR(MATCH(PARAMETERS!$M52,DEFAULT!$B$5:$CX$5,0),""))</f>
        <v/>
      </c>
      <c r="AA52" s="56" t="str">
        <f t="shared" si="0"/>
        <v/>
      </c>
      <c r="AB52" s="63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17" t="str">
        <f>IF($AA52="","",IF($B52="I",VLOOKUP($AA52,#REF!,53,0),INDEX(VALUES!$B$1:$BT$1,1,$AA52)))</f>
        <v/>
      </c>
    </row>
    <row r="53" spans="1:29" hidden="1" outlineLevel="1" x14ac:dyDescent="0.25">
      <c r="A53" s="22" t="s">
        <v>84</v>
      </c>
      <c r="B53" s="41" t="str">
        <f t="shared" si="3"/>
        <v/>
      </c>
      <c r="C53" s="42">
        <f t="shared" si="4"/>
        <v>52</v>
      </c>
      <c r="D53" s="38"/>
      <c r="E53" s="38"/>
      <c r="F53" s="38"/>
      <c r="G53" s="38"/>
      <c r="H53" s="38"/>
      <c r="I53" s="38" t="s">
        <v>9</v>
      </c>
      <c r="J53" s="38"/>
      <c r="K53" s="124" t="s">
        <v>18</v>
      </c>
      <c r="L53" s="125" t="s">
        <v>32</v>
      </c>
      <c r="M53" s="115" t="s">
        <v>367</v>
      </c>
      <c r="N53" s="124" t="s">
        <v>368</v>
      </c>
      <c r="O53" s="117" t="s">
        <v>133</v>
      </c>
      <c r="P53" s="118" t="s">
        <v>259</v>
      </c>
      <c r="Q53" s="128" t="s">
        <v>9</v>
      </c>
      <c r="R53" s="129" t="s">
        <v>102</v>
      </c>
      <c r="S53" s="129" t="s">
        <v>111</v>
      </c>
      <c r="T53" s="124" t="s">
        <v>101</v>
      </c>
      <c r="U53" s="124" t="s">
        <v>259</v>
      </c>
      <c r="V53" s="124" t="s">
        <v>368</v>
      </c>
      <c r="W53" s="15" t="str">
        <f>IF(IFERROR(VLOOKUP($M53,COMPARE!$H$2:$H$847,1,0),"-")="-","","GS")</f>
        <v/>
      </c>
      <c r="X53" s="118">
        <v>39</v>
      </c>
      <c r="Y53" s="124" t="s">
        <v>369</v>
      </c>
      <c r="Z53" s="59" t="str">
        <f>IF(OR($M53="",NOT($O53="{array}")),"",IFERROR(MATCH(PARAMETERS!$M53,DEFAULT!$B$5:$CX$5,0),""))</f>
        <v/>
      </c>
      <c r="AA53" s="56" t="str">
        <f t="shared" si="0"/>
        <v/>
      </c>
      <c r="AB53" s="63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17" t="str">
        <f>IF($AA53="","",IF($B53="I",VLOOKUP($AA53,#REF!,53,0),INDEX(VALUES!$B$1:$BT$1,1,$AA53)))</f>
        <v/>
      </c>
    </row>
    <row r="54" spans="1:29" hidden="1" outlineLevel="1" x14ac:dyDescent="0.3">
      <c r="A54" s="22" t="s">
        <v>84</v>
      </c>
      <c r="B54" s="41" t="str">
        <f t="shared" si="3"/>
        <v/>
      </c>
      <c r="C54" s="42">
        <f t="shared" si="4"/>
        <v>53</v>
      </c>
      <c r="D54" s="38"/>
      <c r="E54" s="38"/>
      <c r="F54" s="38"/>
      <c r="G54" s="38"/>
      <c r="H54" s="38"/>
      <c r="I54" s="38" t="s">
        <v>9</v>
      </c>
      <c r="J54" s="38"/>
      <c r="K54" s="121" t="s">
        <v>18</v>
      </c>
      <c r="L54" s="125" t="s">
        <v>32</v>
      </c>
      <c r="M54" s="133" t="s">
        <v>370</v>
      </c>
      <c r="N54" s="121" t="s">
        <v>371</v>
      </c>
      <c r="O54" s="117" t="s">
        <v>133</v>
      </c>
      <c r="P54" s="123" t="s">
        <v>259</v>
      </c>
      <c r="Q54" s="119" t="s">
        <v>9</v>
      </c>
      <c r="R54" s="120" t="s">
        <v>102</v>
      </c>
      <c r="S54" s="120" t="s">
        <v>111</v>
      </c>
      <c r="T54" s="121" t="s">
        <v>259</v>
      </c>
      <c r="U54" s="121" t="s">
        <v>259</v>
      </c>
      <c r="V54" s="121" t="s">
        <v>371</v>
      </c>
      <c r="W54" s="122" t="str">
        <f>IF(IFERROR(VLOOKUP($M54,COMPARE!$H$2:$H$847,1,0),"-")="-","","GS")</f>
        <v/>
      </c>
      <c r="X54" s="123" t="s">
        <v>259</v>
      </c>
      <c r="Y54" s="121" t="s">
        <v>372</v>
      </c>
      <c r="Z54" s="59" t="str">
        <f>IF(OR($M54="",NOT($O54="{array}")),"",IFERROR(MATCH(PARAMETERS!$M54,DEFAULT!$B$5:$CX$5,0),""))</f>
        <v/>
      </c>
      <c r="AA54" s="56" t="str">
        <f t="shared" si="0"/>
        <v/>
      </c>
      <c r="AB54" s="63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17" t="str">
        <f>IF($AA54="","",IF($B54="I",VLOOKUP($AA54,#REF!,53,0),INDEX(VALUES!$B$1:$BT$1,1,$AA54)))</f>
        <v/>
      </c>
    </row>
    <row r="55" spans="1:29" collapsed="1" x14ac:dyDescent="0.3">
      <c r="A55" s="22"/>
      <c r="B55" s="41" t="str">
        <f t="shared" si="3"/>
        <v/>
      </c>
      <c r="C55" s="42">
        <f t="shared" si="4"/>
        <v>54</v>
      </c>
      <c r="D55" s="38"/>
      <c r="E55" s="38"/>
      <c r="F55" s="38"/>
      <c r="G55" s="38"/>
      <c r="H55" s="38"/>
      <c r="I55" s="38"/>
      <c r="J55" s="38"/>
      <c r="K55" s="14" t="s">
        <v>57</v>
      </c>
      <c r="L55" s="14" t="s">
        <v>38</v>
      </c>
      <c r="M55" s="48" t="s">
        <v>373</v>
      </c>
      <c r="N55" s="41" t="s">
        <v>374</v>
      </c>
      <c r="R55" s="38" t="s">
        <v>102</v>
      </c>
      <c r="S55" s="38"/>
      <c r="T55" s="38"/>
      <c r="W55" s="15" t="str">
        <f>IF(IFERROR(VLOOKUP($M55,COMPARE!$H$2:$H$847,1,0),"-")="-","","GS")</f>
        <v/>
      </c>
      <c r="Y55" s="53"/>
      <c r="Z55" s="59" t="str">
        <f>IF(OR($M55="",NOT($O55="{array}")),"",IFERROR(MATCH(PARAMETERS!$M55,DEFAULT!$B$5:$CX$5,0),""))</f>
        <v/>
      </c>
      <c r="AA55" s="56" t="str">
        <f t="shared" si="0"/>
        <v/>
      </c>
      <c r="AB55" s="63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17" t="str">
        <f>IF($AA55="","",IF($B55="I",VLOOKUP($AA55,#REF!,53,0),INDEX(VALUES!$B$1:$BT$1,1,$AA55)))</f>
        <v/>
      </c>
    </row>
    <row r="56" spans="1:29" hidden="1" outlineLevel="1" x14ac:dyDescent="0.3">
      <c r="A56" s="22" t="s">
        <v>84</v>
      </c>
      <c r="B56" s="41" t="str">
        <f t="shared" si="3"/>
        <v/>
      </c>
      <c r="C56" s="42">
        <f t="shared" si="4"/>
        <v>55</v>
      </c>
      <c r="D56" s="38"/>
      <c r="E56" s="38"/>
      <c r="F56" s="38"/>
      <c r="G56" s="38"/>
      <c r="H56" s="38"/>
      <c r="I56" s="38" t="s">
        <v>9</v>
      </c>
      <c r="J56" s="38"/>
      <c r="K56" s="137" t="s">
        <v>18</v>
      </c>
      <c r="L56" s="110" t="s">
        <v>21</v>
      </c>
      <c r="M56" s="133" t="s">
        <v>375</v>
      </c>
      <c r="N56" s="147" t="s">
        <v>376</v>
      </c>
      <c r="O56" s="117" t="s">
        <v>133</v>
      </c>
      <c r="Q56" s="148"/>
      <c r="R56" s="148" t="s">
        <v>102</v>
      </c>
      <c r="S56" s="148" t="s">
        <v>111</v>
      </c>
      <c r="T56" s="38"/>
      <c r="U56" s="147"/>
      <c r="V56" s="147"/>
      <c r="W56" s="15" t="str">
        <f>IF(IFERROR(VLOOKUP($M56,COMPARE!$H$2:$H$847,1,0),"-")="-","","GS")</f>
        <v/>
      </c>
      <c r="X56" s="130" t="s">
        <v>736</v>
      </c>
      <c r="Y56" s="147" t="s">
        <v>377</v>
      </c>
      <c r="Z56" s="59" t="str">
        <f>IF(OR($M56="",NOT($O56="{array}")),"",IFERROR(MATCH(PARAMETERS!$M56,DEFAULT!$B$5:$CX$5,0),""))</f>
        <v/>
      </c>
      <c r="AA56" s="56" t="str">
        <f t="shared" si="0"/>
        <v/>
      </c>
      <c r="AB56" s="63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17" t="str">
        <f>IF($AA56="","",IF($B56="I",VLOOKUP($AA56,#REF!,53,0),INDEX(VALUES!$B$1:$BT$1,1,$AA56)))</f>
        <v/>
      </c>
    </row>
    <row r="57" spans="1:29" hidden="1" outlineLevel="1" x14ac:dyDescent="0.3">
      <c r="A57" s="22" t="s">
        <v>84</v>
      </c>
      <c r="B57" s="41" t="str">
        <f t="shared" si="3"/>
        <v/>
      </c>
      <c r="C57" s="42">
        <f t="shared" si="4"/>
        <v>56</v>
      </c>
      <c r="D57" s="38"/>
      <c r="E57" s="38"/>
      <c r="F57" s="38"/>
      <c r="G57" s="38"/>
      <c r="H57" s="38"/>
      <c r="I57" s="38" t="s">
        <v>9</v>
      </c>
      <c r="J57" s="38"/>
      <c r="K57" s="137" t="s">
        <v>18</v>
      </c>
      <c r="L57" s="110" t="s">
        <v>21</v>
      </c>
      <c r="M57" s="133" t="s">
        <v>378</v>
      </c>
      <c r="N57" s="147" t="s">
        <v>379</v>
      </c>
      <c r="O57" s="117" t="s">
        <v>133</v>
      </c>
      <c r="Q57" s="148"/>
      <c r="R57" s="148" t="s">
        <v>102</v>
      </c>
      <c r="S57" s="148" t="s">
        <v>111</v>
      </c>
      <c r="T57" s="38"/>
      <c r="U57" s="147"/>
      <c r="V57" s="147"/>
      <c r="W57" s="15" t="str">
        <f>IF(IFERROR(VLOOKUP($M57,COMPARE!$H$2:$H$847,1,0),"-")="-","","GS")</f>
        <v/>
      </c>
      <c r="X57" s="130" t="s">
        <v>736</v>
      </c>
      <c r="Y57" s="147" t="s">
        <v>377</v>
      </c>
      <c r="Z57" s="59" t="str">
        <f>IF(OR($M57="",NOT($O57="{array}")),"",IFERROR(MATCH(PARAMETERS!$M57,DEFAULT!$B$5:$CX$5,0),""))</f>
        <v/>
      </c>
      <c r="AA57" s="56" t="str">
        <f t="shared" si="0"/>
        <v/>
      </c>
      <c r="AB57" s="63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17" t="str">
        <f>IF($AA57="","",IF($B57="I",VLOOKUP($AA57,#REF!,53,0),INDEX(VALUES!$B$1:$BT$1,1,$AA57)))</f>
        <v/>
      </c>
    </row>
    <row r="58" spans="1:29" hidden="1" outlineLevel="1" x14ac:dyDescent="0.3">
      <c r="A58" s="22" t="s">
        <v>84</v>
      </c>
      <c r="B58" s="41" t="str">
        <f t="shared" si="3"/>
        <v/>
      </c>
      <c r="C58" s="42">
        <f t="shared" si="4"/>
        <v>57</v>
      </c>
      <c r="D58" s="38"/>
      <c r="E58" s="38"/>
      <c r="F58" s="38"/>
      <c r="G58" s="38"/>
      <c r="H58" s="38"/>
      <c r="I58" s="38" t="s">
        <v>9</v>
      </c>
      <c r="J58" s="38"/>
      <c r="K58" s="137" t="s">
        <v>18</v>
      </c>
      <c r="L58" s="110" t="s">
        <v>21</v>
      </c>
      <c r="M58" s="133" t="s">
        <v>380</v>
      </c>
      <c r="N58" s="147" t="s">
        <v>381</v>
      </c>
      <c r="O58" s="117" t="s">
        <v>133</v>
      </c>
      <c r="Q58" s="148"/>
      <c r="R58" s="148" t="s">
        <v>102</v>
      </c>
      <c r="S58" s="148" t="s">
        <v>111</v>
      </c>
      <c r="T58" s="38"/>
      <c r="U58" s="147"/>
      <c r="V58" s="147"/>
      <c r="W58" s="15" t="str">
        <f>IF(IFERROR(VLOOKUP($M58,COMPARE!$H$2:$H$847,1,0),"-")="-","","GS")</f>
        <v/>
      </c>
      <c r="X58" s="130" t="s">
        <v>736</v>
      </c>
      <c r="Y58" s="147" t="s">
        <v>382</v>
      </c>
      <c r="Z58" s="59" t="str">
        <f>IF(OR($M58="",NOT($O58="{array}")),"",IFERROR(MATCH(PARAMETERS!$M58,DEFAULT!$B$5:$CX$5,0),""))</f>
        <v/>
      </c>
      <c r="AA58" s="56" t="str">
        <f t="shared" si="0"/>
        <v/>
      </c>
      <c r="AB58" s="63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17" t="str">
        <f>IF($AA58="","",IF($B58="I",VLOOKUP($AA58,#REF!,53,0),INDEX(VALUES!$B$1:$BT$1,1,$AA58)))</f>
        <v/>
      </c>
    </row>
    <row r="59" spans="1:29" hidden="1" outlineLevel="1" x14ac:dyDescent="0.3">
      <c r="A59" s="22" t="s">
        <v>84</v>
      </c>
      <c r="B59" s="41" t="str">
        <f t="shared" si="3"/>
        <v/>
      </c>
      <c r="C59" s="42">
        <f t="shared" si="4"/>
        <v>58</v>
      </c>
      <c r="D59" s="38"/>
      <c r="E59" s="38"/>
      <c r="F59" s="38"/>
      <c r="G59" s="38"/>
      <c r="H59" s="38"/>
      <c r="I59" s="38" t="s">
        <v>9</v>
      </c>
      <c r="J59" s="38"/>
      <c r="K59" s="137" t="s">
        <v>18</v>
      </c>
      <c r="L59" s="110" t="s">
        <v>21</v>
      </c>
      <c r="M59" s="133" t="s">
        <v>383</v>
      </c>
      <c r="N59" s="147" t="s">
        <v>384</v>
      </c>
      <c r="O59" s="117" t="s">
        <v>133</v>
      </c>
      <c r="Q59" s="148"/>
      <c r="R59" s="148" t="s">
        <v>102</v>
      </c>
      <c r="S59" s="148" t="s">
        <v>111</v>
      </c>
      <c r="T59" s="38"/>
      <c r="U59" s="147"/>
      <c r="V59" s="147"/>
      <c r="W59" s="15" t="str">
        <f>IF(IFERROR(VLOOKUP($M59,COMPARE!$H$2:$H$847,1,0),"-")="-","","GS")</f>
        <v/>
      </c>
      <c r="X59" s="130" t="s">
        <v>736</v>
      </c>
      <c r="Y59" s="147" t="s">
        <v>382</v>
      </c>
      <c r="Z59" s="59" t="str">
        <f>IF(OR($M59="",NOT($O59="{array}")),"",IFERROR(MATCH(PARAMETERS!$M59,DEFAULT!$B$5:$CX$5,0),""))</f>
        <v/>
      </c>
      <c r="AA59" s="56" t="str">
        <f t="shared" si="0"/>
        <v/>
      </c>
      <c r="AB59" s="63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17" t="str">
        <f>IF($AA59="","",IF($B59="I",VLOOKUP($AA59,#REF!,53,0),INDEX(VALUES!$B$1:$BT$1,1,$AA59)))</f>
        <v/>
      </c>
    </row>
    <row r="60" spans="1:29" hidden="1" outlineLevel="1" x14ac:dyDescent="0.3">
      <c r="A60" s="22" t="s">
        <v>84</v>
      </c>
      <c r="B60" s="41" t="str">
        <f t="shared" si="3"/>
        <v/>
      </c>
      <c r="C60" s="42">
        <f t="shared" si="4"/>
        <v>59</v>
      </c>
      <c r="D60" s="38"/>
      <c r="E60" s="38"/>
      <c r="F60" s="38"/>
      <c r="G60" s="38"/>
      <c r="H60" s="38"/>
      <c r="I60" s="38" t="s">
        <v>9</v>
      </c>
      <c r="J60" s="38"/>
      <c r="K60" s="137" t="s">
        <v>18</v>
      </c>
      <c r="L60" s="110" t="s">
        <v>21</v>
      </c>
      <c r="M60" s="133" t="s">
        <v>385</v>
      </c>
      <c r="N60" s="147" t="s">
        <v>386</v>
      </c>
      <c r="O60" s="117" t="s">
        <v>133</v>
      </c>
      <c r="Q60" s="148"/>
      <c r="R60" s="148" t="s">
        <v>102</v>
      </c>
      <c r="S60" s="148" t="s">
        <v>111</v>
      </c>
      <c r="T60" s="38"/>
      <c r="U60" s="147"/>
      <c r="V60" s="147"/>
      <c r="W60" s="15" t="str">
        <f>IF(IFERROR(VLOOKUP($M60,COMPARE!$H$2:$H$847,1,0),"-")="-","","GS")</f>
        <v/>
      </c>
      <c r="X60" s="130" t="s">
        <v>736</v>
      </c>
      <c r="Y60" s="147" t="s">
        <v>387</v>
      </c>
      <c r="Z60" s="59" t="str">
        <f>IF(OR($M60="",NOT($O60="{array}")),"",IFERROR(MATCH(PARAMETERS!$M60,DEFAULT!$B$5:$CX$5,0),""))</f>
        <v/>
      </c>
      <c r="AA60" s="56" t="str">
        <f t="shared" si="0"/>
        <v/>
      </c>
      <c r="AB60" s="63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17" t="str">
        <f>IF($AA60="","",IF($B60="I",VLOOKUP($AA60,#REF!,53,0),INDEX(VALUES!$B$1:$BT$1,1,$AA60)))</f>
        <v/>
      </c>
    </row>
    <row r="61" spans="1:29" hidden="1" outlineLevel="1" x14ac:dyDescent="0.3">
      <c r="A61" s="22" t="s">
        <v>84</v>
      </c>
      <c r="B61" s="41" t="str">
        <f t="shared" si="3"/>
        <v/>
      </c>
      <c r="C61" s="42">
        <f t="shared" si="4"/>
        <v>60</v>
      </c>
      <c r="D61" s="38"/>
      <c r="E61" s="38"/>
      <c r="F61" s="38"/>
      <c r="G61" s="38"/>
      <c r="H61" s="38"/>
      <c r="I61" s="38" t="s">
        <v>9</v>
      </c>
      <c r="J61" s="38"/>
      <c r="K61" s="137" t="s">
        <v>18</v>
      </c>
      <c r="L61" s="110" t="s">
        <v>21</v>
      </c>
      <c r="M61" s="133" t="s">
        <v>388</v>
      </c>
      <c r="N61" s="147" t="s">
        <v>389</v>
      </c>
      <c r="O61" s="117" t="s">
        <v>133</v>
      </c>
      <c r="Q61" s="148"/>
      <c r="R61" s="148" t="s">
        <v>102</v>
      </c>
      <c r="S61" s="148" t="s">
        <v>111</v>
      </c>
      <c r="T61" s="38"/>
      <c r="U61" s="147"/>
      <c r="V61" s="147"/>
      <c r="W61" s="15" t="str">
        <f>IF(IFERROR(VLOOKUP($M61,COMPARE!$H$2:$H$847,1,0),"-")="-","","GS")</f>
        <v/>
      </c>
      <c r="X61" s="130" t="s">
        <v>736</v>
      </c>
      <c r="Y61" s="147" t="s">
        <v>390</v>
      </c>
      <c r="Z61" s="59" t="str">
        <f>IF(OR($M61="",NOT($O61="{array}")),"",IFERROR(MATCH(PARAMETERS!$M61,DEFAULT!$B$5:$CX$5,0),""))</f>
        <v/>
      </c>
      <c r="AA61" s="56" t="str">
        <f t="shared" si="0"/>
        <v/>
      </c>
      <c r="AB61" s="63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17" t="str">
        <f>IF($AA61="","",IF($B61="I",VLOOKUP($AA61,#REF!,53,0),INDEX(VALUES!$B$1:$BT$1,1,$AA61)))</f>
        <v/>
      </c>
    </row>
    <row r="62" spans="1:29" hidden="1" outlineLevel="1" x14ac:dyDescent="0.3">
      <c r="A62" s="22" t="s">
        <v>84</v>
      </c>
      <c r="B62" s="41" t="str">
        <f t="shared" si="3"/>
        <v/>
      </c>
      <c r="C62" s="42">
        <f t="shared" si="4"/>
        <v>61</v>
      </c>
      <c r="D62" s="38"/>
      <c r="E62" s="38"/>
      <c r="F62" s="38"/>
      <c r="G62" s="38"/>
      <c r="H62" s="38"/>
      <c r="I62" s="38" t="s">
        <v>9</v>
      </c>
      <c r="J62" s="38"/>
      <c r="K62" s="137" t="s">
        <v>18</v>
      </c>
      <c r="L62" s="110" t="s">
        <v>21</v>
      </c>
      <c r="M62" s="133" t="s">
        <v>391</v>
      </c>
      <c r="N62" s="147" t="s">
        <v>392</v>
      </c>
      <c r="O62" s="117" t="s">
        <v>133</v>
      </c>
      <c r="Q62" s="148"/>
      <c r="R62" s="148" t="s">
        <v>102</v>
      </c>
      <c r="S62" s="148" t="s">
        <v>111</v>
      </c>
      <c r="T62" s="38"/>
      <c r="U62" s="147"/>
      <c r="V62" s="147"/>
      <c r="W62" s="15" t="str">
        <f>IF(IFERROR(VLOOKUP($M62,COMPARE!$H$2:$H$847,1,0),"-")="-","","GS")</f>
        <v/>
      </c>
      <c r="X62" s="130" t="s">
        <v>736</v>
      </c>
      <c r="Y62" s="147" t="s">
        <v>393</v>
      </c>
      <c r="Z62" s="59" t="str">
        <f>IF(OR($M62="",NOT($O62="{array}")),"",IFERROR(MATCH(PARAMETERS!$M62,DEFAULT!$B$5:$CX$5,0),""))</f>
        <v/>
      </c>
      <c r="AA62" s="56" t="str">
        <f t="shared" si="0"/>
        <v/>
      </c>
      <c r="AB62" s="63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17" t="str">
        <f>IF($AA62="","",IF($B62="I",VLOOKUP($AA62,#REF!,53,0),INDEX(VALUES!$B$1:$BT$1,1,$AA62)))</f>
        <v/>
      </c>
    </row>
    <row r="63" spans="1:29" collapsed="1" x14ac:dyDescent="0.3">
      <c r="A63" s="22" t="s">
        <v>394</v>
      </c>
      <c r="B63" s="41"/>
      <c r="C63" s="42"/>
      <c r="D63" s="38"/>
      <c r="E63" s="38"/>
      <c r="F63" s="38"/>
      <c r="G63" s="38"/>
      <c r="H63" s="38"/>
      <c r="I63" s="38"/>
      <c r="J63" s="38"/>
      <c r="R63" s="38"/>
      <c r="S63" s="38"/>
      <c r="T63" s="38"/>
      <c r="W63" s="15" t="str">
        <f>IF(IFERROR(VLOOKUP($M63,COMPARE!$H$2:$H$847,1,0),"-")="-","","GS")</f>
        <v/>
      </c>
      <c r="Z63" s="59" t="str">
        <f>IF(OR($M63="",NOT($O63="{array}")),"",IFERROR(MATCH(PARAMETERS!$M63,DEFAULT!$B$5:$CX$5,0),""))</f>
        <v/>
      </c>
      <c r="AA63" s="56" t="str">
        <f t="shared" si="0"/>
        <v/>
      </c>
      <c r="AB63" s="63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17" t="str">
        <f>IF($AA63="","",IF($B63="I",VLOOKUP($AA63,#REF!,53,0),INDEX(VALUES!$B$1:$BT$1,1,$AA63)))</f>
        <v/>
      </c>
    </row>
    <row r="64" spans="1:29" x14ac:dyDescent="0.3">
      <c r="A64" s="22" t="s">
        <v>84</v>
      </c>
      <c r="B64" s="41" t="str">
        <f t="shared" si="3"/>
        <v/>
      </c>
      <c r="C64" s="42">
        <f t="shared" ref="C64:C132" si="5">(ROW()-1)</f>
        <v>63</v>
      </c>
      <c r="D64" s="38" t="s">
        <v>9</v>
      </c>
      <c r="E64" s="38"/>
      <c r="F64" s="38"/>
      <c r="G64" s="38"/>
      <c r="H64" s="38"/>
      <c r="I64" s="38"/>
      <c r="J64" s="38"/>
      <c r="K64" s="14" t="s">
        <v>57</v>
      </c>
      <c r="L64" s="14" t="s">
        <v>38</v>
      </c>
      <c r="M64" s="48" t="s">
        <v>395</v>
      </c>
      <c r="N64" s="41" t="s">
        <v>396</v>
      </c>
      <c r="R64" s="38" t="s">
        <v>191</v>
      </c>
      <c r="S64" s="38"/>
      <c r="T64" s="15"/>
      <c r="W64" s="15" t="str">
        <f>IF(IFERROR(VLOOKUP($M64,COMPARE!$H$2:$H$847,1,0),"-")="-","","GS")</f>
        <v/>
      </c>
      <c r="Z64" s="59" t="str">
        <f>IF(OR($M64="",NOT($O64="{array}")),"",IFERROR(MATCH(PARAMETERS!$M64,DEFAULT!$B$5:$CX$5,0),""))</f>
        <v/>
      </c>
      <c r="AA64" s="56" t="str">
        <f t="shared" si="0"/>
        <v/>
      </c>
      <c r="AB64" s="63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17" t="str">
        <f>IF($AA64="","",IF($B64="I",VLOOKUP($AA64,#REF!,53,0),INDEX(VALUES!$B$1:$BT$1,1,$AA64)))</f>
        <v/>
      </c>
    </row>
    <row r="65" spans="1:29" hidden="1" outlineLevel="1" x14ac:dyDescent="0.3">
      <c r="A65" s="22" t="s">
        <v>84</v>
      </c>
      <c r="B65" s="41" t="str">
        <f t="shared" si="3"/>
        <v/>
      </c>
      <c r="C65" s="42">
        <f t="shared" si="5"/>
        <v>64</v>
      </c>
      <c r="D65" s="38"/>
      <c r="E65" s="38"/>
      <c r="F65" s="38"/>
      <c r="G65" s="38" t="s">
        <v>9</v>
      </c>
      <c r="H65" s="38"/>
      <c r="I65" s="38" t="s">
        <v>9</v>
      </c>
      <c r="J65" s="38"/>
      <c r="K65" s="117" t="s">
        <v>18</v>
      </c>
      <c r="L65" s="125" t="s">
        <v>21</v>
      </c>
      <c r="M65" s="198" t="s">
        <v>397</v>
      </c>
      <c r="N65" s="117" t="s">
        <v>398</v>
      </c>
      <c r="O65" s="121" t="s">
        <v>399</v>
      </c>
      <c r="P65" s="123" t="s">
        <v>259</v>
      </c>
      <c r="Q65" s="120"/>
      <c r="R65" s="120" t="s">
        <v>102</v>
      </c>
      <c r="S65" s="120" t="s">
        <v>111</v>
      </c>
      <c r="T65" s="119" t="s">
        <v>101</v>
      </c>
      <c r="U65" s="121" t="s">
        <v>259</v>
      </c>
      <c r="V65" s="121" t="s">
        <v>400</v>
      </c>
      <c r="W65" s="122" t="str">
        <f>IF(IFERROR(VLOOKUP($M65,COMPARE!$H$2:$H$847,1,0),"-")="-","","GS")</f>
        <v/>
      </c>
      <c r="X65" s="123">
        <v>26</v>
      </c>
      <c r="Y65" s="121" t="s">
        <v>401</v>
      </c>
      <c r="Z65" s="59" t="str">
        <f>IF(OR($M65="",NOT($O65="{array}")),"",IFERROR(MATCH(PARAMETERS!$M65,DEFAULT!$B$5:$CX$5,0),""))</f>
        <v/>
      </c>
      <c r="AA65" s="56" t="str">
        <f t="shared" si="0"/>
        <v/>
      </c>
      <c r="AB65" s="63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17" t="str">
        <f>IF($AA65="","",IF($B65="I",VLOOKUP($AA65,#REF!,53,0),INDEX(VALUES!$B$1:$BT$1,1,$AA65)))</f>
        <v/>
      </c>
    </row>
    <row r="66" spans="1:29" hidden="1" outlineLevel="1" x14ac:dyDescent="0.3">
      <c r="A66" s="22"/>
      <c r="B66" s="41" t="str">
        <f t="shared" si="3"/>
        <v/>
      </c>
      <c r="C66" s="42">
        <f t="shared" si="5"/>
        <v>65</v>
      </c>
      <c r="D66" s="38"/>
      <c r="E66" s="38"/>
      <c r="F66" s="38"/>
      <c r="G66" s="38"/>
      <c r="H66" s="38"/>
      <c r="I66" s="38" t="s">
        <v>9</v>
      </c>
      <c r="J66" s="38"/>
      <c r="K66" s="117" t="s">
        <v>18</v>
      </c>
      <c r="L66" s="125" t="s">
        <v>21</v>
      </c>
      <c r="M66" s="198" t="s">
        <v>402</v>
      </c>
      <c r="N66" s="121" t="s">
        <v>403</v>
      </c>
      <c r="O66" s="121" t="s">
        <v>211</v>
      </c>
      <c r="P66" s="118" t="s">
        <v>259</v>
      </c>
      <c r="Q66" s="129"/>
      <c r="R66" s="120" t="s">
        <v>102</v>
      </c>
      <c r="S66" s="120" t="s">
        <v>111</v>
      </c>
      <c r="T66" s="119" t="s">
        <v>259</v>
      </c>
      <c r="U66" s="121" t="s">
        <v>259</v>
      </c>
      <c r="V66" s="121" t="s">
        <v>404</v>
      </c>
      <c r="W66" s="122" t="str">
        <f>IF(IFERROR(VLOOKUP($M66,COMPARE!$H$2:$H$847,1,0),"-")="-","","GS")</f>
        <v/>
      </c>
      <c r="X66" s="123">
        <v>8</v>
      </c>
      <c r="Y66" s="121" t="s">
        <v>405</v>
      </c>
      <c r="Z66" s="59" t="str">
        <f>IF(OR($M66="",NOT($O66="{array}")),"",IFERROR(MATCH(PARAMETERS!$M66,DEFAULT!$B$5:$CX$5,0),""))</f>
        <v/>
      </c>
      <c r="AA66" s="56" t="str">
        <f t="shared" si="0"/>
        <v/>
      </c>
      <c r="AB66" s="63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17" t="str">
        <f>IF($AA66="","",IF($B66="I",VLOOKUP($AA66,#REF!,53,0),INDEX(VALUES!$B$1:$BT$1,1,$AA66)))</f>
        <v/>
      </c>
    </row>
    <row r="67" spans="1:29" hidden="1" outlineLevel="1" x14ac:dyDescent="0.3">
      <c r="A67" s="22"/>
      <c r="B67" s="41" t="str">
        <f t="shared" si="3"/>
        <v/>
      </c>
      <c r="C67" s="42">
        <f t="shared" si="5"/>
        <v>66</v>
      </c>
      <c r="D67" s="38"/>
      <c r="E67" s="38"/>
      <c r="F67" s="38" t="s">
        <v>9</v>
      </c>
      <c r="G67" s="38"/>
      <c r="H67" s="38"/>
      <c r="I67" s="38" t="s">
        <v>9</v>
      </c>
      <c r="J67" s="38"/>
      <c r="K67" s="149" t="s">
        <v>18</v>
      </c>
      <c r="L67" s="149" t="s">
        <v>21</v>
      </c>
      <c r="M67" s="199" t="s">
        <v>406</v>
      </c>
      <c r="N67" s="149" t="s">
        <v>407</v>
      </c>
      <c r="O67" s="150"/>
      <c r="P67" s="149"/>
      <c r="Q67" s="138" t="s">
        <v>9</v>
      </c>
      <c r="R67" s="138" t="s">
        <v>103</v>
      </c>
      <c r="S67" s="138"/>
      <c r="T67" s="138"/>
      <c r="U67" s="149"/>
      <c r="V67" s="149"/>
      <c r="W67" s="151" t="str">
        <f>IF(IFERROR(VLOOKUP($M67,COMPARE!$H$2:$H$847,1,0),"-")="-","","GS")</f>
        <v/>
      </c>
      <c r="X67" s="151"/>
      <c r="Y67" s="149"/>
      <c r="Z67" s="59" t="str">
        <f>IF(OR($M67="",NOT($O67="{array}")),"",IFERROR(MATCH(PARAMETERS!$M67,DEFAULT!$B$5:$CX$5,0),""))</f>
        <v/>
      </c>
      <c r="AA67" s="56" t="str">
        <f t="shared" si="0"/>
        <v/>
      </c>
      <c r="AB67" s="63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17" t="str">
        <f>IF($AA67="","",IF($B67="I",VLOOKUP($AA67,#REF!,53,0),INDEX(VALUES!$B$1:$BT$1,1,$AA67)))</f>
        <v/>
      </c>
    </row>
    <row r="68" spans="1:29" hidden="1" outlineLevel="1" x14ac:dyDescent="0.3">
      <c r="A68" s="22" t="s">
        <v>84</v>
      </c>
      <c r="B68" s="41" t="str">
        <f t="shared" si="3"/>
        <v/>
      </c>
      <c r="C68" s="42">
        <f t="shared" si="5"/>
        <v>67</v>
      </c>
      <c r="D68" s="38"/>
      <c r="E68" s="38"/>
      <c r="F68" s="38"/>
      <c r="G68" s="38"/>
      <c r="H68" s="38"/>
      <c r="I68" s="38" t="s">
        <v>9</v>
      </c>
      <c r="J68" s="38"/>
      <c r="K68" s="14" t="s">
        <v>47</v>
      </c>
      <c r="L68" s="14" t="s">
        <v>27</v>
      </c>
      <c r="M68" s="184" t="s">
        <v>408</v>
      </c>
      <c r="N68" s="14" t="s">
        <v>409</v>
      </c>
      <c r="O68" s="43">
        <v>0</v>
      </c>
      <c r="R68" s="38" t="s">
        <v>103</v>
      </c>
      <c r="S68" s="38"/>
      <c r="T68" s="38"/>
      <c r="W68" s="15" t="str">
        <f>IF(IFERROR(VLOOKUP($M68,COMPARE!$H$2:$H$847,1,0),"-")="-","","GS")</f>
        <v/>
      </c>
      <c r="Z68" s="59" t="str">
        <f>IF(OR($M68="",NOT($O68="{array}")),"",IFERROR(MATCH(PARAMETERS!$M68,DEFAULT!$B$5:$CX$5,0),""))</f>
        <v/>
      </c>
      <c r="AA68" s="56" t="str">
        <f t="shared" si="0"/>
        <v/>
      </c>
      <c r="AB68" s="63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17" t="str">
        <f>IF($AA68="","",IF($B68="I",VLOOKUP($AA68,#REF!,53,0),INDEX(VALUES!$B$1:$BT$1,1,$AA68)))</f>
        <v/>
      </c>
    </row>
    <row r="69" spans="1:29" hidden="1" outlineLevel="1" x14ac:dyDescent="0.3">
      <c r="A69" s="22" t="s">
        <v>84</v>
      </c>
      <c r="B69" s="41" t="str">
        <f t="shared" si="3"/>
        <v/>
      </c>
      <c r="C69" s="42">
        <f t="shared" si="5"/>
        <v>68</v>
      </c>
      <c r="D69" s="38"/>
      <c r="E69" s="38"/>
      <c r="F69" s="38"/>
      <c r="G69" s="38"/>
      <c r="H69" s="38"/>
      <c r="I69" s="38" t="s">
        <v>9</v>
      </c>
      <c r="J69" s="38"/>
      <c r="K69" s="124" t="s">
        <v>44</v>
      </c>
      <c r="L69" s="125" t="s">
        <v>21</v>
      </c>
      <c r="M69" s="198" t="s">
        <v>410</v>
      </c>
      <c r="N69" s="117" t="s">
        <v>411</v>
      </c>
      <c r="O69" s="124">
        <v>1</v>
      </c>
      <c r="P69" s="118" t="s">
        <v>259</v>
      </c>
      <c r="Q69" s="152"/>
      <c r="R69" s="129" t="s">
        <v>102</v>
      </c>
      <c r="S69" s="129" t="s">
        <v>111</v>
      </c>
      <c r="T69" s="128" t="s">
        <v>259</v>
      </c>
      <c r="U69" s="124" t="s">
        <v>259</v>
      </c>
      <c r="V69" s="124" t="s">
        <v>412</v>
      </c>
      <c r="W69" s="15" t="str">
        <f>IF(IFERROR(VLOOKUP($M69,COMPARE!$H$2:$H$847,1,0),"-")="-","","GS")</f>
        <v/>
      </c>
      <c r="X69" s="118">
        <v>27</v>
      </c>
      <c r="Y69" s="124" t="s">
        <v>413</v>
      </c>
      <c r="Z69" s="59" t="str">
        <f>IF(OR($M69="",NOT($O69="{array}")),"",IFERROR(MATCH(PARAMETERS!$M69,DEFAULT!$B$5:$CX$5,0),""))</f>
        <v/>
      </c>
      <c r="AA69" s="56" t="str">
        <f t="shared" si="0"/>
        <v/>
      </c>
      <c r="AB69" s="63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17" t="str">
        <f>IF($AA69="","",IF($B69="I",VLOOKUP($AA69,#REF!,53,0),INDEX(VALUES!$B$1:$BT$1,1,$AA69)))</f>
        <v/>
      </c>
    </row>
    <row r="70" spans="1:29" hidden="1" outlineLevel="1" x14ac:dyDescent="0.3">
      <c r="A70" s="22"/>
      <c r="B70" s="41" t="str">
        <f t="shared" si="3"/>
        <v/>
      </c>
      <c r="C70" s="42">
        <f t="shared" si="5"/>
        <v>69</v>
      </c>
      <c r="D70" s="38"/>
      <c r="E70" s="38"/>
      <c r="F70" s="38"/>
      <c r="G70" s="38"/>
      <c r="H70" s="38"/>
      <c r="I70" s="38" t="s">
        <v>9</v>
      </c>
      <c r="J70" s="38"/>
      <c r="K70" s="141" t="s">
        <v>36</v>
      </c>
      <c r="L70" s="141" t="s">
        <v>21</v>
      </c>
      <c r="M70" s="142" t="s">
        <v>414</v>
      </c>
      <c r="N70" s="141" t="s">
        <v>259</v>
      </c>
      <c r="O70" s="141" t="s">
        <v>259</v>
      </c>
      <c r="P70" s="143" t="s">
        <v>259</v>
      </c>
      <c r="Q70" s="145" t="s">
        <v>9</v>
      </c>
      <c r="R70" s="145" t="s">
        <v>102</v>
      </c>
      <c r="S70" s="145" t="s">
        <v>111</v>
      </c>
      <c r="T70" s="144" t="s">
        <v>101</v>
      </c>
      <c r="U70" s="141" t="s">
        <v>259</v>
      </c>
      <c r="V70" s="141" t="s">
        <v>414</v>
      </c>
      <c r="W70" s="146" t="str">
        <f>IF(IFERROR(VLOOKUP($M70,COMPARE!$H$2:$H$847,1,0),"-")="-","","GS")</f>
        <v/>
      </c>
      <c r="X70" s="143" t="s">
        <v>259</v>
      </c>
      <c r="Y70" s="141" t="s">
        <v>415</v>
      </c>
      <c r="Z70" s="59" t="str">
        <f>IF(OR($M70="",NOT($O70="{array}")),"",IFERROR(MATCH(PARAMETERS!$M70,DEFAULT!$B$5:$CX$5,0),""))</f>
        <v/>
      </c>
      <c r="AA70" s="56" t="str">
        <f t="shared" si="0"/>
        <v/>
      </c>
      <c r="AB70" s="63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7" t="str">
        <f>IF($AA70="","",IF($B70="I",VLOOKUP($AA70,#REF!,53,0),INDEX(VALUES!$B$1:$BT$1,1,$AA70)))</f>
        <v/>
      </c>
    </row>
    <row r="71" spans="1:29" hidden="1" outlineLevel="1" x14ac:dyDescent="0.3">
      <c r="A71" s="22"/>
      <c r="B71" s="41" t="str">
        <f t="shared" si="3"/>
        <v/>
      </c>
      <c r="C71" s="42">
        <f t="shared" si="5"/>
        <v>70</v>
      </c>
      <c r="D71" s="38"/>
      <c r="E71" s="38"/>
      <c r="F71" s="38"/>
      <c r="G71" s="38"/>
      <c r="H71" s="38"/>
      <c r="I71" s="38" t="s">
        <v>9</v>
      </c>
      <c r="J71" s="38"/>
      <c r="K71" s="141" t="s">
        <v>36</v>
      </c>
      <c r="L71" s="141" t="s">
        <v>21</v>
      </c>
      <c r="M71" s="142" t="s">
        <v>416</v>
      </c>
      <c r="N71" s="141" t="s">
        <v>259</v>
      </c>
      <c r="O71" s="141" t="s">
        <v>259</v>
      </c>
      <c r="P71" s="143" t="s">
        <v>259</v>
      </c>
      <c r="Q71" s="145" t="s">
        <v>9</v>
      </c>
      <c r="R71" s="145" t="s">
        <v>102</v>
      </c>
      <c r="S71" s="145" t="s">
        <v>111</v>
      </c>
      <c r="T71" s="144" t="s">
        <v>101</v>
      </c>
      <c r="U71" s="141" t="s">
        <v>259</v>
      </c>
      <c r="V71" s="141" t="s">
        <v>416</v>
      </c>
      <c r="W71" s="146" t="str">
        <f>IF(IFERROR(VLOOKUP($M71,COMPARE!$H$2:$H$847,1,0),"-")="-","","GS")</f>
        <v/>
      </c>
      <c r="X71" s="143" t="s">
        <v>259</v>
      </c>
      <c r="Y71" s="141" t="s">
        <v>417</v>
      </c>
      <c r="Z71" s="59" t="str">
        <f>IF(OR($M71="",NOT($O71="{array}")),"",IFERROR(MATCH(PARAMETERS!$M71,DEFAULT!$B$5:$CX$5,0),""))</f>
        <v/>
      </c>
      <c r="AA71" s="56" t="str">
        <f t="shared" si="0"/>
        <v/>
      </c>
      <c r="AB71" s="63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7" t="str">
        <f>IF($AA71="","",IF($B71="I",VLOOKUP($AA71,#REF!,53,0),INDEX(VALUES!$B$1:$BT$1,1,$AA71)))</f>
        <v/>
      </c>
    </row>
    <row r="72" spans="1:29" hidden="1" outlineLevel="1" x14ac:dyDescent="0.3">
      <c r="A72" s="22" t="s">
        <v>84</v>
      </c>
      <c r="B72" s="41" t="str">
        <f t="shared" si="3"/>
        <v/>
      </c>
      <c r="C72" s="42">
        <f t="shared" si="5"/>
        <v>71</v>
      </c>
      <c r="D72" s="38"/>
      <c r="E72" s="38"/>
      <c r="F72" s="38" t="s">
        <v>9</v>
      </c>
      <c r="G72" s="38"/>
      <c r="H72" s="38"/>
      <c r="I72" s="38" t="s">
        <v>9</v>
      </c>
      <c r="J72" s="38"/>
      <c r="K72" s="14" t="s">
        <v>47</v>
      </c>
      <c r="L72" s="14" t="s">
        <v>27</v>
      </c>
      <c r="M72" s="184" t="s">
        <v>418</v>
      </c>
      <c r="N72" s="14" t="s">
        <v>419</v>
      </c>
      <c r="O72" s="43">
        <v>0</v>
      </c>
      <c r="R72" s="38" t="s">
        <v>103</v>
      </c>
      <c r="S72" s="38"/>
      <c r="T72" s="38"/>
      <c r="W72" s="15" t="str">
        <f>IF(IFERROR(VLOOKUP($M72,COMPARE!$H$2:$H$847,1,0),"-")="-","","GS")</f>
        <v/>
      </c>
      <c r="Y72" s="14" t="s">
        <v>420</v>
      </c>
      <c r="Z72" s="59" t="str">
        <f>IF(OR($M72="",NOT($O72="{array}")),"",IFERROR(MATCH(PARAMETERS!$M72,DEFAULT!$B$5:$CX$5,0),""))</f>
        <v/>
      </c>
      <c r="AA72" s="56" t="str">
        <f t="shared" si="0"/>
        <v/>
      </c>
      <c r="AB72" s="63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7" t="str">
        <f>IF($AA72="","",IF($B72="I",VLOOKUP($AA72,#REF!,53,0),INDEX(VALUES!$B$1:$BT$1,1,$AA72)))</f>
        <v/>
      </c>
    </row>
    <row r="73" spans="1:29" hidden="1" outlineLevel="1" x14ac:dyDescent="0.3">
      <c r="A73" s="22" t="s">
        <v>84</v>
      </c>
      <c r="B73" s="41" t="str">
        <f t="shared" si="3"/>
        <v/>
      </c>
      <c r="C73" s="42">
        <f t="shared" si="5"/>
        <v>72</v>
      </c>
      <c r="D73" s="38"/>
      <c r="E73" s="38"/>
      <c r="F73" s="38" t="s">
        <v>9</v>
      </c>
      <c r="G73" s="38" t="s">
        <v>9</v>
      </c>
      <c r="H73" s="38" t="s">
        <v>9</v>
      </c>
      <c r="I73" s="38" t="s">
        <v>9</v>
      </c>
      <c r="J73" s="38"/>
      <c r="K73" s="14" t="s">
        <v>47</v>
      </c>
      <c r="L73" s="14" t="s">
        <v>27</v>
      </c>
      <c r="M73" s="109" t="s">
        <v>1879</v>
      </c>
      <c r="N73" s="14" t="s">
        <v>1880</v>
      </c>
      <c r="O73" s="43">
        <v>0</v>
      </c>
      <c r="R73" s="38" t="s">
        <v>103</v>
      </c>
      <c r="S73" s="38"/>
      <c r="T73" s="38"/>
      <c r="W73" s="15" t="str">
        <f>IF(IFERROR(VLOOKUP($M73,COMPARE!$H$2:$H$847,1,0),"-")="-","","GS")</f>
        <v/>
      </c>
      <c r="Y73" s="14" t="s">
        <v>420</v>
      </c>
      <c r="Z73" s="59" t="str">
        <f>IF(OR($M73="",NOT($O73="{array}")),"",IFERROR(MATCH(PARAMETERS!$M73,DEFAULT!$B$5:$CX$5,0),""))</f>
        <v/>
      </c>
      <c r="AA73" s="56" t="str">
        <f t="shared" si="0"/>
        <v/>
      </c>
      <c r="AB73" s="63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17" t="str">
        <f>IF($AA73="","",IF($B73="I",VLOOKUP($AA73,#REF!,53,0),INDEX(VALUES!$B$1:$BT$1,1,$AA73)))</f>
        <v/>
      </c>
    </row>
    <row r="74" spans="1:29" hidden="1" outlineLevel="1" x14ac:dyDescent="0.3">
      <c r="A74" s="22"/>
      <c r="B74" s="41" t="str">
        <f t="shared" si="3"/>
        <v/>
      </c>
      <c r="C74" s="42">
        <f t="shared" si="5"/>
        <v>73</v>
      </c>
      <c r="D74" s="38"/>
      <c r="E74" s="38"/>
      <c r="F74" s="38"/>
      <c r="G74" s="38"/>
      <c r="H74" s="38"/>
      <c r="I74" s="38" t="s">
        <v>9</v>
      </c>
      <c r="J74" s="38"/>
      <c r="K74" s="153" t="s">
        <v>44</v>
      </c>
      <c r="L74" s="153" t="s">
        <v>21</v>
      </c>
      <c r="M74" s="154" t="s">
        <v>421</v>
      </c>
      <c r="N74" s="153" t="s">
        <v>259</v>
      </c>
      <c r="O74" s="153" t="s">
        <v>259</v>
      </c>
      <c r="P74" s="155" t="s">
        <v>259</v>
      </c>
      <c r="Q74" s="156" t="s">
        <v>9</v>
      </c>
      <c r="R74" s="156" t="s">
        <v>102</v>
      </c>
      <c r="S74" s="156" t="s">
        <v>111</v>
      </c>
      <c r="T74" s="157" t="s">
        <v>259</v>
      </c>
      <c r="U74" s="153" t="s">
        <v>259</v>
      </c>
      <c r="V74" s="153" t="s">
        <v>421</v>
      </c>
      <c r="W74" s="158" t="str">
        <f>IF(IFERROR(VLOOKUP($M74,COMPARE!$H$2:$H$847,1,0),"-")="-","","GS")</f>
        <v/>
      </c>
      <c r="X74" s="143" t="s">
        <v>259</v>
      </c>
      <c r="Y74" s="141" t="s">
        <v>422</v>
      </c>
      <c r="Z74" s="59" t="str">
        <f>IF(OR($M74="",NOT($O74="{array}")),"",IFERROR(MATCH(PARAMETERS!$M74,DEFAULT!$B$5:$CX$5,0),""))</f>
        <v/>
      </c>
      <c r="AA74" s="56" t="str">
        <f t="shared" si="0"/>
        <v/>
      </c>
      <c r="AB74" s="63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7" t="str">
        <f>IF($AA74="","",IF($B74="I",VLOOKUP($AA74,#REF!,53,0),INDEX(VALUES!$B$1:$BT$1,1,$AA74)))</f>
        <v/>
      </c>
    </row>
    <row r="75" spans="1:29" hidden="1" outlineLevel="1" x14ac:dyDescent="0.3">
      <c r="A75" s="22" t="s">
        <v>84</v>
      </c>
      <c r="B75" s="41" t="str">
        <f t="shared" si="3"/>
        <v/>
      </c>
      <c r="C75" s="42">
        <f t="shared" si="5"/>
        <v>74</v>
      </c>
      <c r="D75" s="38"/>
      <c r="E75" s="38"/>
      <c r="F75" s="38" t="s">
        <v>9</v>
      </c>
      <c r="G75" s="38"/>
      <c r="H75" s="38"/>
      <c r="I75" s="38" t="s">
        <v>9</v>
      </c>
      <c r="J75" s="38"/>
      <c r="K75" s="53" t="s">
        <v>18</v>
      </c>
      <c r="L75" s="14" t="s">
        <v>27</v>
      </c>
      <c r="M75" s="140" t="s">
        <v>423</v>
      </c>
      <c r="N75" s="14" t="s">
        <v>424</v>
      </c>
      <c r="O75" s="43" t="s">
        <v>425</v>
      </c>
      <c r="R75" s="38" t="s">
        <v>103</v>
      </c>
      <c r="S75" s="38"/>
      <c r="T75" s="38"/>
      <c r="W75" s="15" t="str">
        <f>IF(IFERROR(VLOOKUP($M75,COMPARE!$H$2:$H$847,1,0),"-")="-","","GS")</f>
        <v/>
      </c>
      <c r="Z75" s="59" t="str">
        <f>IF(OR($M75="",NOT($O75="{array}")),"",IFERROR(MATCH(PARAMETERS!$M75,DEFAULT!$B$5:$CX$5,0),""))</f>
        <v/>
      </c>
      <c r="AA75" s="56" t="str">
        <f t="shared" si="0"/>
        <v/>
      </c>
      <c r="AB75" s="63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7" t="str">
        <f>IF($AA75="","",IF($B75="I",VLOOKUP($AA75,#REF!,53,0),INDEX(VALUES!$B$1:$BT$1,1,$AA75)))</f>
        <v/>
      </c>
    </row>
    <row r="76" spans="1:29" hidden="1" outlineLevel="1" x14ac:dyDescent="0.3">
      <c r="A76" s="22" t="s">
        <v>84</v>
      </c>
      <c r="B76" s="41" t="str">
        <f t="shared" si="3"/>
        <v/>
      </c>
      <c r="C76" s="42">
        <f t="shared" si="5"/>
        <v>75</v>
      </c>
      <c r="D76" s="38"/>
      <c r="E76" s="38"/>
      <c r="F76" s="38" t="s">
        <v>9</v>
      </c>
      <c r="G76" s="38"/>
      <c r="H76" s="38"/>
      <c r="I76" s="38" t="s">
        <v>9</v>
      </c>
      <c r="J76" s="38"/>
      <c r="K76" s="110" t="s">
        <v>47</v>
      </c>
      <c r="L76" s="110" t="s">
        <v>27</v>
      </c>
      <c r="M76" s="390" t="s">
        <v>426</v>
      </c>
      <c r="N76" s="110" t="s">
        <v>427</v>
      </c>
      <c r="O76" s="391">
        <v>0</v>
      </c>
      <c r="P76" s="110"/>
      <c r="Q76" s="392"/>
      <c r="R76" s="392" t="s">
        <v>103</v>
      </c>
      <c r="S76" s="392"/>
      <c r="T76" s="392"/>
      <c r="U76" s="110"/>
      <c r="V76" s="110"/>
      <c r="W76" s="393" t="str">
        <f>IF(IFERROR(VLOOKUP($M76,COMPARE!$H$2:$H$847,1,0),"-")="-","","GS")</f>
        <v/>
      </c>
      <c r="X76" s="393"/>
      <c r="Y76" s="110" t="s">
        <v>428</v>
      </c>
      <c r="Z76" s="59" t="str">
        <f>IF(OR($M76="",NOT($O76="{array}")),"",IFERROR(MATCH(PARAMETERS!$M76,DEFAULT!$B$5:$CX$5,0),""))</f>
        <v/>
      </c>
      <c r="AA76" s="56" t="str">
        <f t="shared" si="0"/>
        <v/>
      </c>
      <c r="AB76" s="63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17" t="str">
        <f>IF($AA76="","",IF($B76="I",VLOOKUP($AA76,#REF!,53,0),INDEX(VALUES!$B$1:$BT$1,1,$AA76)))</f>
        <v/>
      </c>
    </row>
    <row r="77" spans="1:29" hidden="1" outlineLevel="1" x14ac:dyDescent="0.3">
      <c r="A77" s="22" t="s">
        <v>84</v>
      </c>
      <c r="B77" s="41" t="str">
        <f t="shared" si="3"/>
        <v/>
      </c>
      <c r="C77" s="42">
        <f t="shared" si="5"/>
        <v>76</v>
      </c>
      <c r="D77" s="38"/>
      <c r="E77" s="38"/>
      <c r="F77" s="38" t="s">
        <v>9</v>
      </c>
      <c r="G77" s="38"/>
      <c r="H77" s="38"/>
      <c r="I77" s="38" t="s">
        <v>9</v>
      </c>
      <c r="J77" s="38"/>
      <c r="K77" s="110" t="s">
        <v>47</v>
      </c>
      <c r="L77" s="110" t="s">
        <v>27</v>
      </c>
      <c r="M77" s="390" t="s">
        <v>429</v>
      </c>
      <c r="N77" s="110" t="s">
        <v>430</v>
      </c>
      <c r="O77" s="391">
        <v>0</v>
      </c>
      <c r="P77" s="110"/>
      <c r="Q77" s="392"/>
      <c r="R77" s="392" t="s">
        <v>103</v>
      </c>
      <c r="S77" s="392"/>
      <c r="T77" s="392"/>
      <c r="U77" s="110"/>
      <c r="V77" s="110"/>
      <c r="W77" s="393" t="str">
        <f>IF(IFERROR(VLOOKUP($M77,COMPARE!$H$2:$H$847,1,0),"-")="-","","GS")</f>
        <v/>
      </c>
      <c r="X77" s="393"/>
      <c r="Y77" s="110" t="s">
        <v>431</v>
      </c>
      <c r="Z77" s="59" t="str">
        <f>IF(OR($M77="",NOT($O77="{array}")),"",IFERROR(MATCH(PARAMETERS!$M77,DEFAULT!$B$5:$CX$5,0),""))</f>
        <v/>
      </c>
      <c r="AA77" s="56" t="str">
        <f t="shared" si="0"/>
        <v/>
      </c>
      <c r="AB77" s="63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17" t="str">
        <f>IF($AA77="","",IF($B77="I",VLOOKUP($AA77,#REF!,53,0),INDEX(VALUES!$B$1:$BT$1,1,$AA77)))</f>
        <v/>
      </c>
    </row>
    <row r="78" spans="1:29" hidden="1" outlineLevel="1" x14ac:dyDescent="0.25">
      <c r="A78" s="22"/>
      <c r="B78" s="41" t="str">
        <f t="shared" si="3"/>
        <v/>
      </c>
      <c r="C78" s="42">
        <f t="shared" si="5"/>
        <v>77</v>
      </c>
      <c r="D78" s="38"/>
      <c r="E78" s="38"/>
      <c r="F78" s="38"/>
      <c r="G78" s="38"/>
      <c r="H78" s="38"/>
      <c r="I78" s="38" t="s">
        <v>9</v>
      </c>
      <c r="J78" s="38"/>
      <c r="K78" s="141" t="s">
        <v>44</v>
      </c>
      <c r="L78" s="141" t="s">
        <v>21</v>
      </c>
      <c r="M78" s="141" t="s">
        <v>432</v>
      </c>
      <c r="N78" s="141" t="s">
        <v>259</v>
      </c>
      <c r="O78" s="141" t="s">
        <v>259</v>
      </c>
      <c r="P78" s="143" t="s">
        <v>259</v>
      </c>
      <c r="Q78" s="145" t="s">
        <v>9</v>
      </c>
      <c r="R78" s="145" t="s">
        <v>102</v>
      </c>
      <c r="S78" s="145" t="s">
        <v>111</v>
      </c>
      <c r="T78" s="144" t="s">
        <v>259</v>
      </c>
      <c r="U78" s="141" t="s">
        <v>259</v>
      </c>
      <c r="V78" s="141" t="s">
        <v>432</v>
      </c>
      <c r="W78" s="146" t="str">
        <f>IF(IFERROR(VLOOKUP($M78,COMPARE!$H$2:$H$847,1,0),"-")="-","","GS")</f>
        <v/>
      </c>
      <c r="X78" s="143" t="s">
        <v>259</v>
      </c>
      <c r="Y78" s="141" t="s">
        <v>433</v>
      </c>
      <c r="Z78" s="59" t="str">
        <f>IF(OR($M78="",NOT($O78="{array}")),"",IFERROR(MATCH(PARAMETERS!$M78,DEFAULT!$B$5:$CX$5,0),""))</f>
        <v/>
      </c>
      <c r="AA78" s="56" t="str">
        <f t="shared" si="0"/>
        <v/>
      </c>
      <c r="AB78" s="63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7" t="str">
        <f>IF($AA78="","",IF($B78="I",VLOOKUP($AA78,#REF!,53,0),INDEX(VALUES!$B$1:$BT$1,1,$AA78)))</f>
        <v/>
      </c>
    </row>
    <row r="79" spans="1:29" hidden="1" outlineLevel="1" x14ac:dyDescent="0.25">
      <c r="A79" s="22"/>
      <c r="B79" s="41" t="str">
        <f t="shared" si="3"/>
        <v/>
      </c>
      <c r="C79" s="42">
        <f t="shared" si="5"/>
        <v>78</v>
      </c>
      <c r="D79" s="38"/>
      <c r="E79" s="38"/>
      <c r="F79" s="38"/>
      <c r="G79" s="38"/>
      <c r="H79" s="38"/>
      <c r="I79" s="38" t="s">
        <v>9</v>
      </c>
      <c r="J79" s="38"/>
      <c r="K79" s="159" t="s">
        <v>31</v>
      </c>
      <c r="L79" s="141" t="s">
        <v>21</v>
      </c>
      <c r="M79" s="141" t="s">
        <v>434</v>
      </c>
      <c r="N79" s="141" t="s">
        <v>259</v>
      </c>
      <c r="O79" s="141" t="s">
        <v>259</v>
      </c>
      <c r="P79" s="143" t="s">
        <v>125</v>
      </c>
      <c r="Q79" s="145" t="s">
        <v>9</v>
      </c>
      <c r="R79" s="145" t="s">
        <v>102</v>
      </c>
      <c r="S79" s="145" t="s">
        <v>111</v>
      </c>
      <c r="T79" s="144" t="s">
        <v>259</v>
      </c>
      <c r="U79" s="141" t="s">
        <v>259</v>
      </c>
      <c r="V79" s="141" t="s">
        <v>434</v>
      </c>
      <c r="W79" s="146" t="str">
        <f>IF(IFERROR(VLOOKUP($M79,COMPARE!$H$2:$H$847,1,0),"-")="-","","GS")</f>
        <v/>
      </c>
      <c r="X79" s="143" t="s">
        <v>259</v>
      </c>
      <c r="Y79" s="141" t="s">
        <v>435</v>
      </c>
      <c r="Z79" s="59" t="str">
        <f>IF(OR($M79="",NOT($O79="{array}")),"",IFERROR(MATCH(PARAMETERS!$M79,DEFAULT!$B$5:$CX$5,0),""))</f>
        <v/>
      </c>
      <c r="AA79" s="56" t="str">
        <f t="shared" si="0"/>
        <v/>
      </c>
      <c r="AB79" s="63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7" t="str">
        <f>IF($AA79="","",IF($B79="I",VLOOKUP($AA79,#REF!,53,0),INDEX(VALUES!$B$1:$BT$1,1,$AA79)))</f>
        <v/>
      </c>
    </row>
    <row r="80" spans="1:29" hidden="1" outlineLevel="1" x14ac:dyDescent="0.25">
      <c r="A80" s="22"/>
      <c r="B80" s="41" t="str">
        <f t="shared" si="3"/>
        <v/>
      </c>
      <c r="C80" s="42">
        <f t="shared" si="5"/>
        <v>79</v>
      </c>
      <c r="D80" s="38"/>
      <c r="E80" s="38"/>
      <c r="F80" s="38"/>
      <c r="G80" s="38"/>
      <c r="H80" s="38"/>
      <c r="I80" s="38" t="s">
        <v>9</v>
      </c>
      <c r="J80" s="38"/>
      <c r="K80" s="141" t="s">
        <v>18</v>
      </c>
      <c r="L80" s="141" t="s">
        <v>21</v>
      </c>
      <c r="M80" s="141" t="s">
        <v>436</v>
      </c>
      <c r="N80" s="141" t="s">
        <v>259</v>
      </c>
      <c r="O80" s="141" t="s">
        <v>259</v>
      </c>
      <c r="P80" s="143" t="s">
        <v>259</v>
      </c>
      <c r="Q80" s="145" t="s">
        <v>9</v>
      </c>
      <c r="R80" s="145" t="s">
        <v>102</v>
      </c>
      <c r="S80" s="145" t="s">
        <v>111</v>
      </c>
      <c r="T80" s="144" t="s">
        <v>101</v>
      </c>
      <c r="U80" s="141" t="s">
        <v>259</v>
      </c>
      <c r="V80" s="141" t="s">
        <v>436</v>
      </c>
      <c r="W80" s="146" t="str">
        <f>IF(IFERROR(VLOOKUP($M80,COMPARE!$H$2:$H$847,1,0),"-")="-","","GS")</f>
        <v/>
      </c>
      <c r="X80" s="143">
        <v>28</v>
      </c>
      <c r="Y80" s="141" t="s">
        <v>437</v>
      </c>
      <c r="Z80" s="59" t="str">
        <f>IF(OR($M80="",NOT($O80="{array}")),"",IFERROR(MATCH(PARAMETERS!$M80,DEFAULT!$B$5:$CX$5,0),""))</f>
        <v/>
      </c>
      <c r="AA80" s="56" t="str">
        <f t="shared" si="0"/>
        <v/>
      </c>
      <c r="AB80" s="63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7" t="str">
        <f>IF($AA80="","",IF($B80="I",VLOOKUP($AA80,#REF!,53,0),INDEX(VALUES!$B$1:$BT$1,1,$AA80)))</f>
        <v/>
      </c>
    </row>
    <row r="81" spans="1:29" hidden="1" outlineLevel="1" x14ac:dyDescent="0.3">
      <c r="A81" s="22" t="s">
        <v>84</v>
      </c>
      <c r="B81" s="41" t="str">
        <f t="shared" si="3"/>
        <v/>
      </c>
      <c r="C81" s="42">
        <f t="shared" si="5"/>
        <v>80</v>
      </c>
      <c r="D81" s="38"/>
      <c r="E81" s="38"/>
      <c r="F81" s="38"/>
      <c r="G81" s="38"/>
      <c r="H81" s="38"/>
      <c r="I81" s="38" t="s">
        <v>9</v>
      </c>
      <c r="J81" s="38"/>
      <c r="K81" s="14" t="s">
        <v>44</v>
      </c>
      <c r="L81" s="14" t="s">
        <v>21</v>
      </c>
      <c r="M81" s="184" t="s">
        <v>438</v>
      </c>
      <c r="N81" s="14" t="s">
        <v>439</v>
      </c>
      <c r="O81" s="43">
        <v>0</v>
      </c>
      <c r="R81" s="38" t="s">
        <v>103</v>
      </c>
      <c r="S81" s="38"/>
      <c r="T81" s="38"/>
      <c r="W81" s="15" t="str">
        <f>IF(IFERROR(VLOOKUP($M81,COMPARE!$H$2:$H$847,1,0),"-")="-","","GS")</f>
        <v/>
      </c>
      <c r="Z81" s="59" t="str">
        <f>IF(OR($M81="",NOT($O81="{array}")),"",IFERROR(MATCH(PARAMETERS!$M81,DEFAULT!$B$5:$CX$5,0),""))</f>
        <v/>
      </c>
      <c r="AA81" s="56" t="str">
        <f t="shared" si="0"/>
        <v/>
      </c>
      <c r="AB81" s="63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7" t="str">
        <f>IF($AA81="","",IF($B81="I",VLOOKUP($AA81,#REF!,53,0),INDEX(VALUES!$B$1:$BT$1,1,$AA81)))</f>
        <v/>
      </c>
    </row>
    <row r="82" spans="1:29" hidden="1" outlineLevel="1" x14ac:dyDescent="0.25">
      <c r="A82" s="22" t="s">
        <v>84</v>
      </c>
      <c r="B82" s="41" t="str">
        <f t="shared" si="3"/>
        <v/>
      </c>
      <c r="C82" s="42">
        <f t="shared" si="5"/>
        <v>81</v>
      </c>
      <c r="D82" s="38"/>
      <c r="E82" s="38"/>
      <c r="F82" s="38" t="s">
        <v>9</v>
      </c>
      <c r="G82" s="38"/>
      <c r="H82" s="38"/>
      <c r="I82" s="38" t="s">
        <v>9</v>
      </c>
      <c r="J82" s="38" t="s">
        <v>9</v>
      </c>
      <c r="K82" s="14" t="s">
        <v>18</v>
      </c>
      <c r="L82" s="14" t="s">
        <v>21</v>
      </c>
      <c r="M82" s="184" t="s">
        <v>440</v>
      </c>
      <c r="N82" s="14" t="s">
        <v>441</v>
      </c>
      <c r="O82" s="43" t="s">
        <v>442</v>
      </c>
      <c r="P82" s="118" t="s">
        <v>259</v>
      </c>
      <c r="Q82" s="129"/>
      <c r="R82" s="129" t="s">
        <v>102</v>
      </c>
      <c r="S82" s="129" t="s">
        <v>111</v>
      </c>
      <c r="T82" s="128" t="s">
        <v>259</v>
      </c>
      <c r="U82" s="124" t="s">
        <v>259</v>
      </c>
      <c r="V82" s="124" t="s">
        <v>443</v>
      </c>
      <c r="W82" s="15" t="str">
        <f>IF(IFERROR(VLOOKUP($M82,COMPARE!$H$2:$H$847,1,0),"-")="-","","GS")</f>
        <v/>
      </c>
      <c r="X82" s="118" t="s">
        <v>259</v>
      </c>
      <c r="Y82" s="124" t="s">
        <v>444</v>
      </c>
      <c r="Z82" s="59" t="str">
        <f>IF(OR($M82="",NOT($O82="{array}")),"",IFERROR(MATCH(PARAMETERS!$M82,DEFAULT!$B$5:$CX$5,0),""))</f>
        <v/>
      </c>
      <c r="AA82" s="56" t="str">
        <f t="shared" si="0"/>
        <v/>
      </c>
      <c r="AB82" s="63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7" t="str">
        <f>IF($AA82="","",IF($B82="I",VLOOKUP($AA82,#REF!,53,0),INDEX(VALUES!$B$1:$BT$1,1,$AA82)))</f>
        <v/>
      </c>
    </row>
    <row r="83" spans="1:29" hidden="1" outlineLevel="1" x14ac:dyDescent="0.25">
      <c r="A83" s="22" t="s">
        <v>84</v>
      </c>
      <c r="B83" s="41" t="str">
        <f t="shared" si="3"/>
        <v/>
      </c>
      <c r="C83" s="42">
        <f t="shared" si="5"/>
        <v>82</v>
      </c>
      <c r="D83" s="38"/>
      <c r="E83" s="38"/>
      <c r="F83" s="38"/>
      <c r="G83" s="38"/>
      <c r="H83" s="38"/>
      <c r="I83" s="38" t="s">
        <v>9</v>
      </c>
      <c r="J83" s="38"/>
      <c r="K83" s="124" t="s">
        <v>44</v>
      </c>
      <c r="L83" s="125" t="s">
        <v>21</v>
      </c>
      <c r="M83" s="160" t="s">
        <v>445</v>
      </c>
      <c r="N83" s="124" t="s">
        <v>446</v>
      </c>
      <c r="O83" s="124">
        <v>0</v>
      </c>
      <c r="P83" s="118" t="s">
        <v>259</v>
      </c>
      <c r="Q83" s="129"/>
      <c r="R83" s="129" t="s">
        <v>102</v>
      </c>
      <c r="S83" s="129" t="s">
        <v>111</v>
      </c>
      <c r="T83" s="128" t="s">
        <v>259</v>
      </c>
      <c r="U83" s="124" t="s">
        <v>259</v>
      </c>
      <c r="V83" s="124" t="s">
        <v>447</v>
      </c>
      <c r="W83" s="15" t="str">
        <f>IF(IFERROR(VLOOKUP($M83,COMPARE!$H$2:$H$847,1,0),"-")="-","","GS")</f>
        <v/>
      </c>
      <c r="X83" s="118" t="s">
        <v>259</v>
      </c>
      <c r="Y83" s="124" t="s">
        <v>448</v>
      </c>
      <c r="Z83" s="59" t="str">
        <f>IF(OR($M83="",NOT($O83="{array}")),"",IFERROR(MATCH(PARAMETERS!$M83,DEFAULT!$B$5:$CX$5,0),""))</f>
        <v/>
      </c>
      <c r="AA83" s="56" t="str">
        <f t="shared" si="0"/>
        <v/>
      </c>
      <c r="AB83" s="63" t="str">
        <f>IF(AND(OR($A83="G",$A83="P"),NOT($O83="{array}")),IF(VLOOKUP($K83,base!$B$2:$D$20,3,0)="S",IF(OR($O83="",ISTEXT($O83)),"","STRING!"),IF(VLOOKUP($K83,base!$B$2:$D$20,3,0)="","",IF(ISTEXT($O83),"NUMERIC!",""))),"")</f>
        <v/>
      </c>
      <c r="AC83" s="17" t="str">
        <f>IF($AA83="","",IF($B83="I",VLOOKUP($AA83,#REF!,53,0),INDEX(VALUES!$B$1:$BT$1,1,$AA83)))</f>
        <v/>
      </c>
    </row>
    <row r="84" spans="1:29" collapsed="1" x14ac:dyDescent="0.25">
      <c r="A84" s="22" t="s">
        <v>84</v>
      </c>
      <c r="I84" s="38" t="s">
        <v>9</v>
      </c>
      <c r="J84" s="38"/>
      <c r="K84" s="124" t="s">
        <v>44</v>
      </c>
      <c r="L84" s="125" t="s">
        <v>21</v>
      </c>
      <c r="M84" s="160" t="s">
        <v>1887</v>
      </c>
      <c r="N84" s="124" t="s">
        <v>1888</v>
      </c>
      <c r="O84" s="124">
        <v>0</v>
      </c>
      <c r="P84" s="118" t="s">
        <v>259</v>
      </c>
      <c r="Q84" s="129"/>
      <c r="R84" s="129" t="s">
        <v>102</v>
      </c>
      <c r="S84" s="129" t="s">
        <v>111</v>
      </c>
      <c r="Z84" s="59" t="str">
        <f>IF(OR($M84="",NOT($O84="{array}")),"",IFERROR(MATCH(PARAMETERS!$M84,DEFAULT!$B$5:$CX$5,0),""))</f>
        <v/>
      </c>
      <c r="AA84" s="56" t="str">
        <f t="shared" si="0"/>
        <v/>
      </c>
      <c r="AB84" s="63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7" t="str">
        <f>IF($AA84="","",IF($B84="I",VLOOKUP($AA84,#REF!,53,0),INDEX(VALUES!$B$1:$BT$1,1,$AA84)))</f>
        <v/>
      </c>
    </row>
    <row r="85" spans="1:29" hidden="1" outlineLevel="1" x14ac:dyDescent="0.3">
      <c r="A85" s="22" t="s">
        <v>84</v>
      </c>
      <c r="B85" s="41" t="str">
        <f t="shared" si="3"/>
        <v/>
      </c>
      <c r="C85" s="42">
        <f t="shared" si="5"/>
        <v>84</v>
      </c>
      <c r="D85" s="38"/>
      <c r="E85" s="38"/>
      <c r="F85" s="38" t="s">
        <v>9</v>
      </c>
      <c r="G85" s="38"/>
      <c r="H85" s="38" t="s">
        <v>9</v>
      </c>
      <c r="I85" s="38"/>
      <c r="J85" s="38"/>
      <c r="K85" s="14" t="s">
        <v>47</v>
      </c>
      <c r="L85" s="14" t="s">
        <v>27</v>
      </c>
      <c r="M85" s="20" t="s">
        <v>449</v>
      </c>
      <c r="N85" s="14" t="s">
        <v>450</v>
      </c>
      <c r="O85" s="43">
        <v>0</v>
      </c>
      <c r="R85" s="38" t="s">
        <v>103</v>
      </c>
      <c r="S85" s="38"/>
      <c r="T85" s="38"/>
      <c r="W85" s="15" t="str">
        <f>IF(IFERROR(VLOOKUP($M85,COMPARE!$H$2:$H$847,1,0),"-")="-","","GS")</f>
        <v/>
      </c>
      <c r="Z85" s="59" t="str">
        <f>IF(OR($M85="",NOT($O85="{array}")),"",IFERROR(MATCH(PARAMETERS!$M85,DEFAULT!$B$5:$CX$5,0),""))</f>
        <v/>
      </c>
      <c r="AA85" s="56" t="str">
        <f t="shared" si="0"/>
        <v/>
      </c>
      <c r="AB85" s="63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7" t="str">
        <f>IF($AA85="","",IF($B85="I",VLOOKUP($AA85,#REF!,53,0),INDEX(VALUES!$B$1:$BT$1,1,$AA85)))</f>
        <v/>
      </c>
    </row>
    <row r="86" spans="1:29" hidden="1" outlineLevel="1" x14ac:dyDescent="0.3">
      <c r="A86" s="22" t="s">
        <v>84</v>
      </c>
      <c r="B86" s="41" t="str">
        <f t="shared" si="3"/>
        <v/>
      </c>
      <c r="C86" s="42">
        <f t="shared" si="5"/>
        <v>85</v>
      </c>
      <c r="D86" s="38"/>
      <c r="E86" s="38"/>
      <c r="F86" s="38" t="s">
        <v>9</v>
      </c>
      <c r="G86" s="38"/>
      <c r="H86" s="38" t="s">
        <v>9</v>
      </c>
      <c r="I86" s="38"/>
      <c r="J86" s="38"/>
      <c r="K86" s="14" t="s">
        <v>47</v>
      </c>
      <c r="L86" s="14" t="s">
        <v>27</v>
      </c>
      <c r="M86" s="20" t="s">
        <v>451</v>
      </c>
      <c r="N86" s="14" t="s">
        <v>452</v>
      </c>
      <c r="O86" s="43">
        <v>0</v>
      </c>
      <c r="R86" s="38" t="s">
        <v>103</v>
      </c>
      <c r="S86" s="38"/>
      <c r="T86" s="38"/>
      <c r="W86" s="15" t="str">
        <f>IF(IFERROR(VLOOKUP($M86,COMPARE!$H$2:$H$847,1,0),"-")="-","","GS")</f>
        <v/>
      </c>
      <c r="Z86" s="59" t="str">
        <f>IF(OR($M86="",NOT($O86="{array}")),"",IFERROR(MATCH(PARAMETERS!$M86,DEFAULT!$B$5:$CX$5,0),""))</f>
        <v/>
      </c>
      <c r="AA86" s="56" t="str">
        <f t="shared" si="0"/>
        <v/>
      </c>
      <c r="AB86" s="63" t="str">
        <f>IF(AND(OR($A86="G",$A86="P"),NOT($O86="{array}")),IF(VLOOKUP($K86,base!$B$2:$D$20,3,0)="S",IF(OR($O86="",ISTEXT($O86)),"","STRING!"),IF(VLOOKUP($K86,base!$B$2:$D$20,3,0)="","",IF(ISTEXT($O86),"NUMERIC!",""))),"")</f>
        <v/>
      </c>
      <c r="AC86" s="17" t="str">
        <f>IF($AA86="","",IF($B86="I",VLOOKUP($AA86,#REF!,53,0),INDEX(VALUES!$B$1:$BT$1,1,$AA86)))</f>
        <v/>
      </c>
    </row>
    <row r="87" spans="1:29" collapsed="1" x14ac:dyDescent="0.3">
      <c r="A87" s="22" t="s">
        <v>84</v>
      </c>
      <c r="B87" s="41" t="str">
        <f t="shared" si="3"/>
        <v/>
      </c>
      <c r="C87" s="42">
        <f t="shared" si="5"/>
        <v>86</v>
      </c>
      <c r="D87" s="38"/>
      <c r="E87" s="38"/>
      <c r="F87" s="38" t="s">
        <v>9</v>
      </c>
      <c r="G87" s="38"/>
      <c r="H87" s="38"/>
      <c r="I87" s="38"/>
      <c r="J87" s="38"/>
      <c r="K87" s="14" t="s">
        <v>57</v>
      </c>
      <c r="L87" s="14" t="s">
        <v>38</v>
      </c>
      <c r="M87" s="48" t="s">
        <v>453</v>
      </c>
      <c r="N87" s="41" t="s">
        <v>454</v>
      </c>
      <c r="R87" s="38" t="s">
        <v>103</v>
      </c>
      <c r="S87" s="38"/>
      <c r="T87" s="38"/>
      <c r="W87" s="15" t="str">
        <f>IF(IFERROR(VLOOKUP($M87,COMPARE!$H$2:$H$847,1,0),"-")="-","","GS")</f>
        <v/>
      </c>
      <c r="Z87" s="59" t="str">
        <f>IF(OR($M87="",NOT($O87="{array}")),"",IFERROR(MATCH(PARAMETERS!$M87,DEFAULT!$B$5:$CX$5,0),""))</f>
        <v/>
      </c>
      <c r="AA87" s="56" t="str">
        <f t="shared" si="0"/>
        <v/>
      </c>
      <c r="AB87" s="63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7" t="str">
        <f>IF($AA87="","",IF($B87="I",VLOOKUP($AA87,#REF!,53,0),INDEX(VALUES!$B$1:$BT$1,1,$AA87)))</f>
        <v/>
      </c>
    </row>
    <row r="88" spans="1:29" hidden="1" outlineLevel="1" x14ac:dyDescent="0.3">
      <c r="A88" s="22" t="s">
        <v>84</v>
      </c>
      <c r="B88" s="41" t="str">
        <f t="shared" si="3"/>
        <v/>
      </c>
      <c r="C88" s="42">
        <f t="shared" si="5"/>
        <v>87</v>
      </c>
      <c r="D88" s="38"/>
      <c r="E88" s="38"/>
      <c r="F88" s="38" t="s">
        <v>9</v>
      </c>
      <c r="G88" s="38"/>
      <c r="H88" s="38"/>
      <c r="I88" s="38" t="s">
        <v>9</v>
      </c>
      <c r="J88" s="38"/>
      <c r="K88" s="14" t="s">
        <v>24</v>
      </c>
      <c r="L88" s="14" t="s">
        <v>27</v>
      </c>
      <c r="M88" s="184" t="s">
        <v>455</v>
      </c>
      <c r="N88" s="14" t="s">
        <v>456</v>
      </c>
      <c r="O88" s="43">
        <v>0.04</v>
      </c>
      <c r="R88" s="38" t="s">
        <v>103</v>
      </c>
      <c r="S88" s="38"/>
      <c r="T88" s="38"/>
      <c r="W88" s="15" t="str">
        <f>IF(IFERROR(VLOOKUP($M88,COMPARE!$H$2:$H$847,1,0),"-")="-","","GS")</f>
        <v/>
      </c>
      <c r="Y88" s="14" t="s">
        <v>457</v>
      </c>
      <c r="Z88" s="59" t="str">
        <f>IF(OR($M88="",NOT($O88="{array}")),"",IFERROR(MATCH(PARAMETERS!$M88,DEFAULT!$B$5:$CX$5,0),""))</f>
        <v/>
      </c>
      <c r="AA88" s="56" t="str">
        <f t="shared" si="0"/>
        <v/>
      </c>
      <c r="AB88" s="63" t="str">
        <f>IF(AND(OR($A88="G",$A88="P"),NOT($O88="{array}")),IF(VLOOKUP($K88,base!$B$2:$D$20,3,0)="S",IF(OR($O88="",ISTEXT($O88)),"","STRING!"),IF(VLOOKUP($K88,base!$B$2:$D$20,3,0)="","",IF(ISTEXT($O88),"NUMERIC!",""))),"")</f>
        <v/>
      </c>
      <c r="AC88" s="17" t="str">
        <f>IF($AA88="","",IF($B88="I",VLOOKUP($AA88,#REF!,53,0),INDEX(VALUES!$B$1:$BT$1,1,$AA88)))</f>
        <v/>
      </c>
    </row>
    <row r="89" spans="1:29" hidden="1" outlineLevel="1" x14ac:dyDescent="0.3">
      <c r="A89" s="22" t="s">
        <v>84</v>
      </c>
      <c r="B89" s="41" t="str">
        <f t="shared" si="3"/>
        <v/>
      </c>
      <c r="C89" s="42">
        <f t="shared" si="5"/>
        <v>88</v>
      </c>
      <c r="D89" s="38"/>
      <c r="E89" s="38"/>
      <c r="F89" s="38" t="s">
        <v>9</v>
      </c>
      <c r="G89" s="38"/>
      <c r="H89" s="38"/>
      <c r="I89" s="38" t="s">
        <v>9</v>
      </c>
      <c r="J89" s="38"/>
      <c r="K89" s="14" t="s">
        <v>24</v>
      </c>
      <c r="L89" s="14" t="s">
        <v>27</v>
      </c>
      <c r="M89" s="184" t="s">
        <v>458</v>
      </c>
      <c r="N89" s="14" t="s">
        <v>459</v>
      </c>
      <c r="O89" s="43">
        <v>0.05</v>
      </c>
      <c r="R89" s="38" t="s">
        <v>103</v>
      </c>
      <c r="S89" s="38"/>
      <c r="T89" s="38"/>
      <c r="W89" s="15" t="str">
        <f>IF(IFERROR(VLOOKUP($M89,COMPARE!$H$2:$H$847,1,0),"-")="-","","GS")</f>
        <v/>
      </c>
      <c r="Y89" s="14" t="s">
        <v>460</v>
      </c>
      <c r="Z89" s="59" t="str">
        <f>IF(OR($M89="",NOT($O89="{array}")),"",IFERROR(MATCH(PARAMETERS!$M89,DEFAULT!$B$5:$CX$5,0),""))</f>
        <v/>
      </c>
      <c r="AA89" s="56" t="str">
        <f t="shared" si="0"/>
        <v/>
      </c>
      <c r="AB89" s="63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7" t="str">
        <f>IF($AA89="","",IF($B89="I",VLOOKUP($AA89,#REF!,53,0),INDEX(VALUES!$B$1:$BT$1,1,$AA89)))</f>
        <v/>
      </c>
    </row>
    <row r="90" spans="1:29" hidden="1" outlineLevel="1" x14ac:dyDescent="0.3">
      <c r="A90" s="22" t="s">
        <v>84</v>
      </c>
      <c r="B90" s="41" t="str">
        <f t="shared" si="3"/>
        <v/>
      </c>
      <c r="C90" s="42">
        <f t="shared" si="5"/>
        <v>89</v>
      </c>
      <c r="D90" s="38"/>
      <c r="E90" s="38"/>
      <c r="F90" s="38" t="s">
        <v>9</v>
      </c>
      <c r="G90" s="38"/>
      <c r="H90" s="38"/>
      <c r="I90" s="38" t="s">
        <v>9</v>
      </c>
      <c r="J90" s="38"/>
      <c r="K90" s="14" t="s">
        <v>24</v>
      </c>
      <c r="L90" s="14" t="s">
        <v>27</v>
      </c>
      <c r="M90" s="184" t="s">
        <v>461</v>
      </c>
      <c r="N90" s="14" t="s">
        <v>462</v>
      </c>
      <c r="O90" s="43">
        <v>0</v>
      </c>
      <c r="R90" s="38" t="s">
        <v>103</v>
      </c>
      <c r="S90" s="38"/>
      <c r="T90" s="38"/>
      <c r="W90" s="15" t="str">
        <f>IF(IFERROR(VLOOKUP($M90,COMPARE!$H$2:$H$847,1,0),"-")="-","","GS")</f>
        <v/>
      </c>
      <c r="Y90" s="14" t="s">
        <v>463</v>
      </c>
      <c r="Z90" s="59" t="str">
        <f>IF(OR($M90="",NOT($O90="{array}")),"",IFERROR(MATCH(PARAMETERS!$M90,DEFAULT!$B$5:$CX$5,0),""))</f>
        <v/>
      </c>
      <c r="AA90" s="56" t="str">
        <f t="shared" si="0"/>
        <v/>
      </c>
      <c r="AB90" s="63" t="str">
        <f>IF(AND(OR($A90="G",$A90="P"),NOT($O90="{array}")),IF(VLOOKUP($K90,base!$B$2:$D$20,3,0)="S",IF(OR($O90="",ISTEXT($O90)),"","STRING!"),IF(VLOOKUP($K90,base!$B$2:$D$20,3,0)="","",IF(ISTEXT($O90),"NUMERIC!",""))),"")</f>
        <v/>
      </c>
      <c r="AC90" s="17" t="str">
        <f>IF($AA90="","",IF($B90="I",VLOOKUP($AA90,#REF!,53,0),INDEX(VALUES!$B$1:$BT$1,1,$AA90)))</f>
        <v/>
      </c>
    </row>
    <row r="91" spans="1:29" hidden="1" outlineLevel="1" x14ac:dyDescent="0.3">
      <c r="A91" s="22" t="s">
        <v>84</v>
      </c>
      <c r="B91" s="41" t="str">
        <f t="shared" si="3"/>
        <v/>
      </c>
      <c r="C91" s="42">
        <f t="shared" si="5"/>
        <v>90</v>
      </c>
      <c r="D91" s="38"/>
      <c r="E91" s="38"/>
      <c r="F91" s="38" t="s">
        <v>9</v>
      </c>
      <c r="G91" s="38" t="s">
        <v>9</v>
      </c>
      <c r="H91" s="38"/>
      <c r="I91" s="38" t="s">
        <v>9</v>
      </c>
      <c r="J91" s="38"/>
      <c r="K91" s="14" t="s">
        <v>24</v>
      </c>
      <c r="L91" s="14" t="s">
        <v>27</v>
      </c>
      <c r="M91" s="184" t="s">
        <v>464</v>
      </c>
      <c r="N91" s="14" t="s">
        <v>465</v>
      </c>
      <c r="O91" s="43">
        <v>0</v>
      </c>
      <c r="R91" s="38" t="s">
        <v>103</v>
      </c>
      <c r="S91" s="38"/>
      <c r="T91" s="38"/>
      <c r="W91" s="15" t="str">
        <f>IF(IFERROR(VLOOKUP($M91,COMPARE!$H$2:$H$847,1,0),"-")="-","","GS")</f>
        <v/>
      </c>
      <c r="Y91" s="14" t="s">
        <v>466</v>
      </c>
      <c r="Z91" s="59" t="str">
        <f>IF(OR($M91="",NOT($O91="{array}")),"",IFERROR(MATCH(PARAMETERS!$M91,DEFAULT!$B$5:$CX$5,0),""))</f>
        <v/>
      </c>
      <c r="AA91" s="56" t="str">
        <f t="shared" si="0"/>
        <v/>
      </c>
      <c r="AB91" s="63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7" t="str">
        <f>IF($AA91="","",IF($B91="I",VLOOKUP($AA91,#REF!,53,0),INDEX(VALUES!$B$1:$BT$1,1,$AA91)))</f>
        <v/>
      </c>
    </row>
    <row r="92" spans="1:29" hidden="1" outlineLevel="1" x14ac:dyDescent="0.25">
      <c r="A92" s="22"/>
      <c r="B92" s="41" t="str">
        <f t="shared" si="3"/>
        <v/>
      </c>
      <c r="C92" s="42">
        <f t="shared" si="5"/>
        <v>91</v>
      </c>
      <c r="D92" s="38"/>
      <c r="E92" s="38"/>
      <c r="F92" s="38"/>
      <c r="G92" s="38"/>
      <c r="H92" s="38"/>
      <c r="I92" s="38" t="s">
        <v>9</v>
      </c>
      <c r="J92" s="38"/>
      <c r="K92" s="153" t="s">
        <v>24</v>
      </c>
      <c r="L92" s="149" t="s">
        <v>27</v>
      </c>
      <c r="M92" s="153" t="s">
        <v>467</v>
      </c>
      <c r="N92" s="153" t="s">
        <v>259</v>
      </c>
      <c r="O92" s="153" t="s">
        <v>259</v>
      </c>
      <c r="P92" s="155" t="s">
        <v>123</v>
      </c>
      <c r="Q92" s="157" t="s">
        <v>9</v>
      </c>
      <c r="R92" s="156" t="s">
        <v>102</v>
      </c>
      <c r="S92" s="156" t="s">
        <v>111</v>
      </c>
      <c r="T92" s="153" t="s">
        <v>259</v>
      </c>
      <c r="U92" s="153" t="s">
        <v>259</v>
      </c>
      <c r="V92" s="153" t="s">
        <v>467</v>
      </c>
      <c r="W92" s="151" t="str">
        <f>IF(IFERROR(VLOOKUP($M92,COMPARE!$H$2:$H$847,1,0),"-")="-","","GS")</f>
        <v/>
      </c>
      <c r="X92" s="155" t="s">
        <v>259</v>
      </c>
      <c r="Y92" s="153" t="s">
        <v>468</v>
      </c>
      <c r="Z92" s="59" t="str">
        <f>IF(OR($M92="",NOT($O92="{array}")),"",IFERROR(MATCH(PARAMETERS!$M92,DEFAULT!$B$5:$CX$5,0),""))</f>
        <v/>
      </c>
      <c r="AA92" s="56" t="str">
        <f t="shared" si="0"/>
        <v/>
      </c>
      <c r="AB92" s="63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7" t="str">
        <f>IF($AA92="","",IF($B92="I",VLOOKUP($AA92,#REF!,53,0),INDEX(VALUES!$B$1:$BT$1,1,$AA92)))</f>
        <v/>
      </c>
    </row>
    <row r="93" spans="1:29" hidden="1" outlineLevel="1" x14ac:dyDescent="0.3">
      <c r="A93" s="22" t="s">
        <v>84</v>
      </c>
      <c r="B93" s="41" t="str">
        <f t="shared" si="3"/>
        <v/>
      </c>
      <c r="C93" s="42">
        <f t="shared" si="5"/>
        <v>92</v>
      </c>
      <c r="D93" s="38"/>
      <c r="E93" s="38"/>
      <c r="F93" s="38" t="s">
        <v>9</v>
      </c>
      <c r="G93" s="38"/>
      <c r="H93" s="38"/>
      <c r="I93" s="38" t="s">
        <v>9</v>
      </c>
      <c r="J93" s="38"/>
      <c r="K93" s="14" t="s">
        <v>24</v>
      </c>
      <c r="L93" s="14" t="s">
        <v>27</v>
      </c>
      <c r="M93" s="184" t="s">
        <v>469</v>
      </c>
      <c r="N93" s="14" t="s">
        <v>470</v>
      </c>
      <c r="O93" s="43">
        <v>0</v>
      </c>
      <c r="Q93" s="38" t="s">
        <v>9</v>
      </c>
      <c r="R93" s="38" t="s">
        <v>103</v>
      </c>
      <c r="S93" s="38"/>
      <c r="T93" s="38"/>
      <c r="W93" s="15" t="str">
        <f>IF(IFERROR(VLOOKUP($M93,COMPARE!$H$2:$H$847,1,0),"-")="-","","GS")</f>
        <v/>
      </c>
      <c r="Z93" s="59" t="str">
        <f>IF(OR($M93="",NOT($O93="{array}")),"",IFERROR(MATCH(PARAMETERS!$M93,DEFAULT!$B$5:$CX$5,0),""))</f>
        <v/>
      </c>
      <c r="AA93" s="56" t="str">
        <f t="shared" si="0"/>
        <v/>
      </c>
      <c r="AB93" s="63" t="str">
        <f>IF(AND(OR($A93="G",$A93="P"),NOT($O93="{array}")),IF(VLOOKUP($K93,base!$B$2:$D$20,3,0)="S",IF(OR($O93="",ISTEXT($O93)),"","STRING!"),IF(VLOOKUP($K93,base!$B$2:$D$20,3,0)="","",IF(ISTEXT($O93),"NUMERIC!",""))),"")</f>
        <v/>
      </c>
      <c r="AC93" s="17" t="str">
        <f>IF($AA93="","",IF($B93="I",VLOOKUP($AA93,#REF!,53,0),INDEX(VALUES!$B$1:$BT$1,1,$AA93)))</f>
        <v/>
      </c>
    </row>
    <row r="94" spans="1:29" hidden="1" outlineLevel="1" x14ac:dyDescent="0.3">
      <c r="A94" s="22" t="s">
        <v>84</v>
      </c>
      <c r="B94" s="41" t="str">
        <f t="shared" si="3"/>
        <v/>
      </c>
      <c r="C94" s="42">
        <f t="shared" si="5"/>
        <v>93</v>
      </c>
      <c r="D94" s="38"/>
      <c r="E94" s="38"/>
      <c r="F94" s="38" t="s">
        <v>9</v>
      </c>
      <c r="G94" s="38"/>
      <c r="H94" s="38"/>
      <c r="I94" s="38" t="s">
        <v>9</v>
      </c>
      <c r="J94" s="38"/>
      <c r="K94" s="14" t="s">
        <v>24</v>
      </c>
      <c r="L94" s="14" t="s">
        <v>27</v>
      </c>
      <c r="M94" s="184" t="s">
        <v>471</v>
      </c>
      <c r="N94" s="14" t="s">
        <v>472</v>
      </c>
      <c r="O94" s="43">
        <v>0</v>
      </c>
      <c r="Q94" s="38" t="s">
        <v>9</v>
      </c>
      <c r="R94" s="38" t="s">
        <v>103</v>
      </c>
      <c r="S94" s="38"/>
      <c r="T94" s="38"/>
      <c r="W94" s="15" t="str">
        <f>IF(IFERROR(VLOOKUP($M94,COMPARE!$H$2:$H$847,1,0),"-")="-","","GS")</f>
        <v/>
      </c>
      <c r="Z94" s="59" t="str">
        <f>IF(OR($M94="",NOT($O94="{array}")),"",IFERROR(MATCH(PARAMETERS!$M94,DEFAULT!$B$5:$CX$5,0),""))</f>
        <v/>
      </c>
      <c r="AA94" s="56" t="str">
        <f t="shared" si="0"/>
        <v/>
      </c>
      <c r="AB94" s="63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7" t="str">
        <f>IF($AA94="","",IF($B94="I",VLOOKUP($AA94,#REF!,53,0),INDEX(VALUES!$B$1:$BT$1,1,$AA94)))</f>
        <v/>
      </c>
    </row>
    <row r="95" spans="1:29" hidden="1" outlineLevel="1" x14ac:dyDescent="0.3">
      <c r="A95" s="22" t="s">
        <v>84</v>
      </c>
      <c r="B95" s="41" t="str">
        <f t="shared" si="3"/>
        <v/>
      </c>
      <c r="C95" s="42">
        <f t="shared" si="5"/>
        <v>94</v>
      </c>
      <c r="D95" s="38"/>
      <c r="E95" s="38"/>
      <c r="F95" s="38" t="s">
        <v>9</v>
      </c>
      <c r="G95" s="38"/>
      <c r="H95" s="38"/>
      <c r="I95" s="38" t="s">
        <v>9</v>
      </c>
      <c r="J95" s="38"/>
      <c r="K95" s="14" t="s">
        <v>24</v>
      </c>
      <c r="L95" s="14" t="s">
        <v>27</v>
      </c>
      <c r="M95" s="184" t="s">
        <v>473</v>
      </c>
      <c r="N95" s="14" t="s">
        <v>474</v>
      </c>
      <c r="O95" s="43">
        <v>0</v>
      </c>
      <c r="Q95" s="38" t="s">
        <v>9</v>
      </c>
      <c r="R95" s="38" t="s">
        <v>103</v>
      </c>
      <c r="S95" s="38"/>
      <c r="T95" s="38"/>
      <c r="W95" s="15" t="str">
        <f>IF(IFERROR(VLOOKUP($M95,COMPARE!$H$2:$H$847,1,0),"-")="-","","GS")</f>
        <v/>
      </c>
      <c r="Z95" s="59" t="str">
        <f>IF(OR($M95="",NOT($O95="{array}")),"",IFERROR(MATCH(PARAMETERS!$M95,DEFAULT!$B$5:$CX$5,0),""))</f>
        <v/>
      </c>
      <c r="AA95" s="56" t="str">
        <f t="shared" si="0"/>
        <v/>
      </c>
      <c r="AB95" s="63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7" t="str">
        <f>IF($AA95="","",IF($B95="I",VLOOKUP($AA95,#REF!,53,0),INDEX(VALUES!$B$1:$BT$1,1,$AA95)))</f>
        <v/>
      </c>
    </row>
    <row r="96" spans="1:29" hidden="1" outlineLevel="1" x14ac:dyDescent="0.3">
      <c r="A96" s="22" t="s">
        <v>84</v>
      </c>
      <c r="B96" s="41" t="str">
        <f t="shared" si="3"/>
        <v/>
      </c>
      <c r="C96" s="42">
        <f t="shared" si="5"/>
        <v>95</v>
      </c>
      <c r="D96" s="38"/>
      <c r="E96" s="38"/>
      <c r="F96" s="38" t="s">
        <v>9</v>
      </c>
      <c r="G96" s="38"/>
      <c r="H96" s="38"/>
      <c r="I96" s="38" t="s">
        <v>9</v>
      </c>
      <c r="J96" s="38"/>
      <c r="K96" s="14" t="s">
        <v>24</v>
      </c>
      <c r="L96" s="14" t="s">
        <v>27</v>
      </c>
      <c r="M96" s="184" t="s">
        <v>475</v>
      </c>
      <c r="N96" s="14" t="s">
        <v>476</v>
      </c>
      <c r="O96" s="43">
        <v>0</v>
      </c>
      <c r="Q96" s="38" t="s">
        <v>9</v>
      </c>
      <c r="R96" s="38" t="s">
        <v>103</v>
      </c>
      <c r="S96" s="38"/>
      <c r="T96" s="38"/>
      <c r="W96" s="15" t="str">
        <f>IF(IFERROR(VLOOKUP($M96,COMPARE!$H$2:$H$847,1,0),"-")="-","","GS")</f>
        <v/>
      </c>
      <c r="Z96" s="59" t="str">
        <f>IF(OR($M96="",NOT($O96="{array}")),"",IFERROR(MATCH(PARAMETERS!$M96,DEFAULT!$B$5:$CX$5,0),""))</f>
        <v/>
      </c>
      <c r="AA96" s="56" t="str">
        <f t="shared" si="0"/>
        <v/>
      </c>
      <c r="AB96" s="63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7" t="str">
        <f>IF($AA96="","",IF($B96="I",VLOOKUP($AA96,#REF!,53,0),INDEX(VALUES!$B$1:$BT$1,1,$AA96)))</f>
        <v/>
      </c>
    </row>
    <row r="97" spans="1:29" hidden="1" outlineLevel="1" x14ac:dyDescent="0.3">
      <c r="A97" s="22" t="s">
        <v>84</v>
      </c>
      <c r="B97" s="41" t="str">
        <f t="shared" si="3"/>
        <v/>
      </c>
      <c r="C97" s="42">
        <f t="shared" si="5"/>
        <v>96</v>
      </c>
      <c r="D97" s="38"/>
      <c r="E97" s="38"/>
      <c r="F97" s="38" t="s">
        <v>9</v>
      </c>
      <c r="G97" s="38"/>
      <c r="H97" s="38"/>
      <c r="I97" s="38" t="s">
        <v>9</v>
      </c>
      <c r="J97" s="38"/>
      <c r="K97" s="14" t="s">
        <v>24</v>
      </c>
      <c r="L97" s="14" t="s">
        <v>27</v>
      </c>
      <c r="M97" s="184" t="s">
        <v>477</v>
      </c>
      <c r="N97" s="14" t="s">
        <v>478</v>
      </c>
      <c r="O97" s="43">
        <v>0</v>
      </c>
      <c r="Q97" s="38" t="s">
        <v>9</v>
      </c>
      <c r="R97" s="38" t="s">
        <v>103</v>
      </c>
      <c r="S97" s="38"/>
      <c r="T97" s="38"/>
      <c r="W97" s="15" t="str">
        <f>IF(IFERROR(VLOOKUP($M97,COMPARE!$H$2:$H$847,1,0),"-")="-","","GS")</f>
        <v/>
      </c>
      <c r="Z97" s="59" t="str">
        <f>IF(OR($M97="",NOT($O97="{array}")),"",IFERROR(MATCH(PARAMETERS!$M97,DEFAULT!$B$5:$CX$5,0),""))</f>
        <v/>
      </c>
      <c r="AA97" s="56" t="str">
        <f t="shared" si="0"/>
        <v/>
      </c>
      <c r="AB97" s="63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7" t="str">
        <f>IF($AA97="","",IF($B97="I",VLOOKUP($AA97,#REF!,53,0),INDEX(VALUES!$B$1:$BT$1,1,$AA97)))</f>
        <v/>
      </c>
    </row>
    <row r="98" spans="1:29" hidden="1" outlineLevel="1" x14ac:dyDescent="0.3">
      <c r="A98" s="22" t="s">
        <v>84</v>
      </c>
      <c r="B98" s="41" t="str">
        <f t="shared" si="3"/>
        <v/>
      </c>
      <c r="C98" s="42">
        <f t="shared" si="5"/>
        <v>97</v>
      </c>
      <c r="D98" s="38"/>
      <c r="E98" s="38"/>
      <c r="F98" s="38" t="s">
        <v>9</v>
      </c>
      <c r="G98" s="38"/>
      <c r="H98" s="38"/>
      <c r="I98" s="38" t="s">
        <v>9</v>
      </c>
      <c r="J98" s="38"/>
      <c r="K98" s="14" t="s">
        <v>24</v>
      </c>
      <c r="L98" s="14" t="s">
        <v>27</v>
      </c>
      <c r="M98" s="184" t="s">
        <v>479</v>
      </c>
      <c r="N98" s="14" t="s">
        <v>480</v>
      </c>
      <c r="O98" s="43">
        <v>0</v>
      </c>
      <c r="Q98" s="38" t="s">
        <v>9</v>
      </c>
      <c r="R98" s="38" t="s">
        <v>103</v>
      </c>
      <c r="S98" s="38"/>
      <c r="T98" s="38"/>
      <c r="W98" s="15" t="str">
        <f>IF(IFERROR(VLOOKUP($M98,COMPARE!$H$2:$H$847,1,0),"-")="-","","GS")</f>
        <v/>
      </c>
      <c r="Z98" s="59" t="str">
        <f>IF(OR($M98="",NOT($O98="{array}")),"",IFERROR(MATCH(PARAMETERS!$M98,DEFAULT!$B$5:$CX$5,0),""))</f>
        <v/>
      </c>
      <c r="AA98" s="56" t="str">
        <f t="shared" si="0"/>
        <v/>
      </c>
      <c r="AB98" s="63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7" t="str">
        <f>IF($AA98="","",IF($B98="I",VLOOKUP($AA98,#REF!,53,0),INDEX(VALUES!$B$1:$BT$1,1,$AA98)))</f>
        <v/>
      </c>
    </row>
    <row r="99" spans="1:29" hidden="1" outlineLevel="1" x14ac:dyDescent="0.3">
      <c r="A99" s="22" t="s">
        <v>84</v>
      </c>
      <c r="B99" s="41" t="str">
        <f t="shared" si="3"/>
        <v/>
      </c>
      <c r="C99" s="42">
        <f t="shared" si="5"/>
        <v>98</v>
      </c>
      <c r="D99" s="38"/>
      <c r="E99" s="38"/>
      <c r="F99" s="38" t="s">
        <v>9</v>
      </c>
      <c r="G99" s="38" t="s">
        <v>9</v>
      </c>
      <c r="H99" s="38"/>
      <c r="I99" s="38" t="s">
        <v>9</v>
      </c>
      <c r="J99" s="38"/>
      <c r="K99" s="14" t="s">
        <v>24</v>
      </c>
      <c r="L99" s="14" t="s">
        <v>27</v>
      </c>
      <c r="M99" s="184" t="s">
        <v>481</v>
      </c>
      <c r="N99" s="14" t="s">
        <v>482</v>
      </c>
      <c r="O99" s="43">
        <v>0</v>
      </c>
      <c r="Q99" s="38" t="s">
        <v>9</v>
      </c>
      <c r="R99" s="38" t="s">
        <v>103</v>
      </c>
      <c r="S99" s="38"/>
      <c r="T99" s="38"/>
      <c r="W99" s="15" t="str">
        <f>IF(IFERROR(VLOOKUP($M99,COMPARE!$H$2:$H$847,1,0),"-")="-","","GS")</f>
        <v/>
      </c>
      <c r="Z99" s="59" t="str">
        <f>IF(OR($M99="",NOT($O99="{array}")),"",IFERROR(MATCH(PARAMETERS!$M99,DEFAULT!$B$5:$CX$5,0),""))</f>
        <v/>
      </c>
      <c r="AA99" s="56" t="str">
        <f t="shared" si="0"/>
        <v/>
      </c>
      <c r="AB99" s="63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7" t="str">
        <f>IF($AA99="","",IF($B99="I",VLOOKUP($AA99,#REF!,53,0),INDEX(VALUES!$B$1:$BT$1,1,$AA99)))</f>
        <v/>
      </c>
    </row>
    <row r="100" spans="1:29" hidden="1" outlineLevel="1" x14ac:dyDescent="0.3">
      <c r="A100" s="22" t="s">
        <v>84</v>
      </c>
      <c r="B100" s="41" t="str">
        <f t="shared" si="3"/>
        <v/>
      </c>
      <c r="C100" s="42">
        <f t="shared" si="5"/>
        <v>99</v>
      </c>
      <c r="D100" s="38"/>
      <c r="E100" s="38"/>
      <c r="F100" s="38" t="s">
        <v>9</v>
      </c>
      <c r="G100" s="38" t="s">
        <v>9</v>
      </c>
      <c r="H100" s="38"/>
      <c r="I100" s="38" t="s">
        <v>9</v>
      </c>
      <c r="J100" s="38"/>
      <c r="K100" s="14" t="s">
        <v>24</v>
      </c>
      <c r="L100" s="14" t="s">
        <v>27</v>
      </c>
      <c r="M100" s="184" t="s">
        <v>483</v>
      </c>
      <c r="N100" s="14" t="s">
        <v>484</v>
      </c>
      <c r="O100" s="43">
        <v>0</v>
      </c>
      <c r="Q100" s="38" t="s">
        <v>9</v>
      </c>
      <c r="R100" s="38" t="s">
        <v>103</v>
      </c>
      <c r="S100" s="38"/>
      <c r="T100" s="38"/>
      <c r="W100" s="15" t="str">
        <f>IF(IFERROR(VLOOKUP($M100,COMPARE!$H$2:$H$847,1,0),"-")="-","","GS")</f>
        <v/>
      </c>
      <c r="Z100" s="59" t="str">
        <f>IF(OR($M100="",NOT($O100="{array}")),"",IFERROR(MATCH(PARAMETERS!$M100,DEFAULT!$B$5:$CX$5,0),""))</f>
        <v/>
      </c>
      <c r="AA100" s="56" t="str">
        <f t="shared" si="0"/>
        <v/>
      </c>
      <c r="AB100" s="63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7" t="str">
        <f>IF($AA100="","",IF($B100="I",VLOOKUP($AA100,#REF!,53,0),INDEX(VALUES!$B$1:$BT$1,1,$AA100)))</f>
        <v/>
      </c>
    </row>
    <row r="101" spans="1:29" hidden="1" outlineLevel="1" x14ac:dyDescent="0.25">
      <c r="A101" s="22" t="s">
        <v>84</v>
      </c>
      <c r="B101" s="41" t="str">
        <f t="shared" ref="B101:B126" si="6">IF($A101="P",IF(NOT($Z101=""),"A",IF(NOT($AA101=""),"I","")),IF(NOT($AA101=""),IF($A101="G","V","X"),IF(NOT($Z101=""),"A","")))</f>
        <v/>
      </c>
      <c r="C101" s="42">
        <f t="shared" si="5"/>
        <v>100</v>
      </c>
      <c r="D101" s="38"/>
      <c r="E101" s="38"/>
      <c r="F101" s="38" t="s">
        <v>9</v>
      </c>
      <c r="G101" s="38"/>
      <c r="H101" s="38"/>
      <c r="I101" s="38" t="s">
        <v>9</v>
      </c>
      <c r="J101" s="38"/>
      <c r="K101" s="14" t="s">
        <v>24</v>
      </c>
      <c r="L101" s="14" t="s">
        <v>27</v>
      </c>
      <c r="M101" s="184" t="s">
        <v>485</v>
      </c>
      <c r="N101" s="14" t="s">
        <v>486</v>
      </c>
      <c r="O101" s="43">
        <v>2.62</v>
      </c>
      <c r="P101" s="118" t="s">
        <v>126</v>
      </c>
      <c r="Q101" s="38" t="s">
        <v>9</v>
      </c>
      <c r="R101" s="38" t="s">
        <v>103</v>
      </c>
      <c r="S101" s="129" t="s">
        <v>111</v>
      </c>
      <c r="T101" s="128" t="s">
        <v>259</v>
      </c>
      <c r="U101" s="124" t="s">
        <v>259</v>
      </c>
      <c r="V101" s="124" t="s">
        <v>487</v>
      </c>
      <c r="W101" s="15" t="str">
        <f>IF(IFERROR(VLOOKUP($M101,COMPARE!$H$2:$H$847,1,0),"-")="-","","GS")</f>
        <v/>
      </c>
      <c r="X101" s="118">
        <v>21</v>
      </c>
      <c r="Y101" s="124" t="s">
        <v>488</v>
      </c>
      <c r="Z101" s="59" t="str">
        <f>IF(OR($M101="",NOT($O101="{array}")),"",IFERROR(MATCH(PARAMETERS!$M101,DEFAULT!$B$5:$CX$5,0),""))</f>
        <v/>
      </c>
      <c r="AA101" s="56" t="str">
        <f t="shared" si="0"/>
        <v/>
      </c>
      <c r="AB101" s="63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7" t="str">
        <f>IF($AA101="","",IF($B101="I",VLOOKUP($AA101,#REF!,53,0),INDEX(VALUES!$B$1:$BT$1,1,$AA101)))</f>
        <v/>
      </c>
    </row>
    <row r="102" spans="1:29" hidden="1" outlineLevel="1" x14ac:dyDescent="0.25">
      <c r="A102" s="22" t="s">
        <v>84</v>
      </c>
      <c r="B102" s="41" t="str">
        <f t="shared" si="6"/>
        <v/>
      </c>
      <c r="C102" s="42">
        <f t="shared" si="5"/>
        <v>101</v>
      </c>
      <c r="D102" s="38"/>
      <c r="E102" s="38"/>
      <c r="F102" s="38" t="s">
        <v>9</v>
      </c>
      <c r="G102" s="38"/>
      <c r="H102" s="38"/>
      <c r="I102" s="38" t="s">
        <v>9</v>
      </c>
      <c r="J102" s="38"/>
      <c r="K102" s="14" t="s">
        <v>24</v>
      </c>
      <c r="L102" s="14" t="s">
        <v>27</v>
      </c>
      <c r="M102" s="184" t="s">
        <v>489</v>
      </c>
      <c r="N102" s="14" t="s">
        <v>490</v>
      </c>
      <c r="O102" s="43">
        <v>2.5649999999999999</v>
      </c>
      <c r="P102" s="118" t="s">
        <v>126</v>
      </c>
      <c r="Q102" s="38" t="s">
        <v>9</v>
      </c>
      <c r="R102" s="38" t="s">
        <v>103</v>
      </c>
      <c r="S102" s="129" t="s">
        <v>111</v>
      </c>
      <c r="T102" s="128" t="s">
        <v>259</v>
      </c>
      <c r="U102" s="124" t="s">
        <v>259</v>
      </c>
      <c r="V102" s="124" t="s">
        <v>491</v>
      </c>
      <c r="W102" s="15" t="str">
        <f>IF(IFERROR(VLOOKUP($M102,COMPARE!$H$2:$H$847,1,0),"-")="-","","GS")</f>
        <v/>
      </c>
      <c r="X102" s="118">
        <v>22</v>
      </c>
      <c r="Y102" s="124" t="s">
        <v>492</v>
      </c>
      <c r="Z102" s="59" t="str">
        <f>IF(OR($M102="",NOT($O102="{array}")),"",IFERROR(MATCH(PARAMETERS!$M102,DEFAULT!$B$5:$CX$5,0),""))</f>
        <v/>
      </c>
      <c r="AA102" s="56" t="str">
        <f t="shared" si="0"/>
        <v/>
      </c>
      <c r="AB102" s="63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7" t="str">
        <f>IF($AA102="","",IF($B102="I",VLOOKUP($AA102,#REF!,53,0),INDEX(VALUES!$B$1:$BT$1,1,$AA102)))</f>
        <v/>
      </c>
    </row>
    <row r="103" spans="1:29" hidden="1" outlineLevel="1" x14ac:dyDescent="0.3">
      <c r="A103" s="22" t="s">
        <v>84</v>
      </c>
      <c r="B103" s="41" t="str">
        <f t="shared" si="6"/>
        <v/>
      </c>
      <c r="C103" s="42">
        <f t="shared" si="5"/>
        <v>102</v>
      </c>
      <c r="D103" s="38"/>
      <c r="E103" s="38"/>
      <c r="F103" s="38" t="s">
        <v>9</v>
      </c>
      <c r="G103" s="38" t="s">
        <v>9</v>
      </c>
      <c r="H103" s="38"/>
      <c r="I103" s="38" t="s">
        <v>9</v>
      </c>
      <c r="J103" s="38" t="s">
        <v>9</v>
      </c>
      <c r="K103" s="14" t="s">
        <v>24</v>
      </c>
      <c r="L103" s="14" t="s">
        <v>27</v>
      </c>
      <c r="M103" s="184" t="s">
        <v>493</v>
      </c>
      <c r="N103" s="14" t="s">
        <v>490</v>
      </c>
      <c r="O103" s="43">
        <v>2.5649999999999999</v>
      </c>
      <c r="Q103" s="38" t="s">
        <v>9</v>
      </c>
      <c r="R103" s="38" t="s">
        <v>103</v>
      </c>
      <c r="S103" s="38"/>
      <c r="T103" s="38"/>
      <c r="W103" s="15" t="str">
        <f>IF(IFERROR(VLOOKUP($M103,COMPARE!$H$2:$H$847,1,0),"-")="-","","GS")</f>
        <v/>
      </c>
      <c r="Z103" s="59" t="str">
        <f>IF(OR($M103="",NOT($O103="{array}")),"",IFERROR(MATCH(PARAMETERS!$M103,DEFAULT!$B$5:$CX$5,0),""))</f>
        <v/>
      </c>
      <c r="AA103" s="56" t="str">
        <f t="shared" si="0"/>
        <v/>
      </c>
      <c r="AB103" s="63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7" t="str">
        <f>IF($AA103="","",IF($B103="I",VLOOKUP($AA103,#REF!,53,0),INDEX(VALUES!$B$1:$BT$1,1,$AA103)))</f>
        <v/>
      </c>
    </row>
    <row r="104" spans="1:29" hidden="1" outlineLevel="1" x14ac:dyDescent="0.3">
      <c r="A104" s="22" t="s">
        <v>84</v>
      </c>
      <c r="B104" s="41" t="str">
        <f t="shared" si="6"/>
        <v/>
      </c>
      <c r="C104" s="42">
        <f t="shared" si="5"/>
        <v>103</v>
      </c>
      <c r="D104" s="38"/>
      <c r="E104" s="38"/>
      <c r="F104" s="38" t="s">
        <v>9</v>
      </c>
      <c r="G104" s="38"/>
      <c r="H104" s="38"/>
      <c r="I104" s="38" t="s">
        <v>9</v>
      </c>
      <c r="J104" s="38"/>
      <c r="K104" s="14" t="s">
        <v>24</v>
      </c>
      <c r="L104" s="14" t="s">
        <v>27</v>
      </c>
      <c r="M104" s="184" t="s">
        <v>494</v>
      </c>
      <c r="N104" s="14" t="s">
        <v>495</v>
      </c>
      <c r="O104" s="43">
        <v>2.5099999999999998</v>
      </c>
      <c r="Q104" s="38" t="s">
        <v>9</v>
      </c>
      <c r="R104" s="38" t="s">
        <v>103</v>
      </c>
      <c r="S104" s="38"/>
      <c r="T104" s="38"/>
      <c r="W104" s="15" t="str">
        <f>IF(IFERROR(VLOOKUP($M104,COMPARE!$H$2:$H$847,1,0),"-")="-","","GS")</f>
        <v/>
      </c>
      <c r="Z104" s="59" t="str">
        <f>IF(OR($M104="",NOT($O104="{array}")),"",IFERROR(MATCH(PARAMETERS!$M104,DEFAULT!$B$5:$CX$5,0),""))</f>
        <v/>
      </c>
      <c r="AA104" s="56" t="str">
        <f t="shared" si="0"/>
        <v/>
      </c>
      <c r="AB104" s="63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7" t="str">
        <f>IF($AA104="","",IF($B104="I",VLOOKUP($AA104,#REF!,53,0),INDEX(VALUES!$B$1:$BT$1,1,$AA104)))</f>
        <v/>
      </c>
    </row>
    <row r="105" spans="1:29" hidden="1" outlineLevel="1" x14ac:dyDescent="0.3">
      <c r="A105" s="22" t="s">
        <v>84</v>
      </c>
      <c r="B105" s="41" t="str">
        <f t="shared" si="6"/>
        <v/>
      </c>
      <c r="C105" s="42">
        <f t="shared" si="5"/>
        <v>104</v>
      </c>
      <c r="D105" s="38"/>
      <c r="E105" s="38"/>
      <c r="F105" s="38" t="s">
        <v>9</v>
      </c>
      <c r="G105" s="38"/>
      <c r="H105" s="38"/>
      <c r="I105" s="38" t="s">
        <v>9</v>
      </c>
      <c r="J105" s="38"/>
      <c r="K105" s="14" t="s">
        <v>24</v>
      </c>
      <c r="L105" s="14" t="s">
        <v>27</v>
      </c>
      <c r="M105" s="184" t="s">
        <v>496</v>
      </c>
      <c r="N105" s="14" t="s">
        <v>497</v>
      </c>
      <c r="O105" s="43">
        <v>2.5099999999999998</v>
      </c>
      <c r="Q105" s="38" t="s">
        <v>9</v>
      </c>
      <c r="R105" s="38" t="s">
        <v>103</v>
      </c>
      <c r="S105" s="38"/>
      <c r="T105" s="38"/>
      <c r="W105" s="15" t="str">
        <f>IF(IFERROR(VLOOKUP($M105,COMPARE!$H$2:$H$847,1,0),"-")="-","","GS")</f>
        <v/>
      </c>
      <c r="Z105" s="59" t="str">
        <f>IF(OR($M105="",NOT($O105="{array}")),"",IFERROR(MATCH(PARAMETERS!$M105,DEFAULT!$B$5:$CX$5,0),""))</f>
        <v/>
      </c>
      <c r="AA105" s="56" t="str">
        <f t="shared" si="0"/>
        <v/>
      </c>
      <c r="AB105" s="63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7" t="str">
        <f>IF($AA105="","",IF($B105="I",VLOOKUP($AA105,#REF!,53,0),INDEX(VALUES!$B$1:$BT$1,1,$AA105)))</f>
        <v/>
      </c>
    </row>
    <row r="106" spans="1:29" hidden="1" outlineLevel="1" x14ac:dyDescent="0.3">
      <c r="A106" s="22" t="s">
        <v>84</v>
      </c>
      <c r="B106" s="41" t="str">
        <f t="shared" si="6"/>
        <v/>
      </c>
      <c r="C106" s="42">
        <f t="shared" si="5"/>
        <v>105</v>
      </c>
      <c r="D106" s="38"/>
      <c r="E106" s="38"/>
      <c r="F106" s="38" t="s">
        <v>9</v>
      </c>
      <c r="G106" s="38" t="s">
        <v>9</v>
      </c>
      <c r="H106" s="38"/>
      <c r="I106" s="38" t="s">
        <v>9</v>
      </c>
      <c r="J106" s="38" t="s">
        <v>9</v>
      </c>
      <c r="K106" s="14" t="s">
        <v>24</v>
      </c>
      <c r="L106" s="14" t="s">
        <v>27</v>
      </c>
      <c r="M106" s="184" t="s">
        <v>498</v>
      </c>
      <c r="N106" s="14" t="s">
        <v>497</v>
      </c>
      <c r="O106" s="43">
        <v>2.5099999999999998</v>
      </c>
      <c r="Q106" s="38" t="s">
        <v>9</v>
      </c>
      <c r="R106" s="38" t="s">
        <v>103</v>
      </c>
      <c r="S106" s="38"/>
      <c r="T106" s="38"/>
      <c r="W106" s="15" t="str">
        <f>IF(IFERROR(VLOOKUP($M106,COMPARE!$H$2:$H$847,1,0),"-")="-","","GS")</f>
        <v/>
      </c>
      <c r="Z106" s="59" t="str">
        <f>IF(OR($M106="",NOT($O106="{array}")),"",IFERROR(MATCH(PARAMETERS!$M106,DEFAULT!$B$5:$CX$5,0),""))</f>
        <v/>
      </c>
      <c r="AA106" s="56" t="str">
        <f t="shared" si="0"/>
        <v/>
      </c>
      <c r="AB106" s="63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7" t="str">
        <f>IF($AA106="","",IF($B106="I",VLOOKUP($AA106,#REF!,53,0),INDEX(VALUES!$B$1:$BT$1,1,$AA106)))</f>
        <v/>
      </c>
    </row>
    <row r="107" spans="1:29" hidden="1" outlineLevel="1" x14ac:dyDescent="0.3">
      <c r="A107" s="22" t="s">
        <v>84</v>
      </c>
      <c r="B107" s="41" t="str">
        <f t="shared" si="6"/>
        <v/>
      </c>
      <c r="C107" s="42">
        <f t="shared" si="5"/>
        <v>106</v>
      </c>
      <c r="D107" s="38"/>
      <c r="E107" s="38"/>
      <c r="F107" s="38" t="s">
        <v>9</v>
      </c>
      <c r="G107" s="38"/>
      <c r="H107" s="38"/>
      <c r="I107" s="38" t="s">
        <v>9</v>
      </c>
      <c r="J107" s="38"/>
      <c r="K107" s="14" t="s">
        <v>24</v>
      </c>
      <c r="L107" s="14" t="s">
        <v>27</v>
      </c>
      <c r="M107" s="184" t="s">
        <v>499</v>
      </c>
      <c r="N107" s="14" t="s">
        <v>500</v>
      </c>
      <c r="O107" s="43">
        <v>2.5299999999999998</v>
      </c>
      <c r="Q107" s="38" t="s">
        <v>9</v>
      </c>
      <c r="R107" s="38" t="s">
        <v>103</v>
      </c>
      <c r="S107" s="38"/>
      <c r="T107" s="38"/>
      <c r="W107" s="15" t="str">
        <f>IF(IFERROR(VLOOKUP($M107,COMPARE!$H$2:$H$847,1,0),"-")="-","","GS")</f>
        <v/>
      </c>
      <c r="Z107" s="59" t="str">
        <f>IF(OR($M107="",NOT($O107="{array}")),"",IFERROR(MATCH(PARAMETERS!$M107,DEFAULT!$B$5:$CX$5,0),""))</f>
        <v/>
      </c>
      <c r="AA107" s="56" t="str">
        <f t="shared" si="0"/>
        <v/>
      </c>
      <c r="AB107" s="63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7" t="str">
        <f>IF($AA107="","",IF($B107="I",VLOOKUP($AA107,#REF!,53,0),INDEX(VALUES!$B$1:$BT$1,1,$AA107)))</f>
        <v/>
      </c>
    </row>
    <row r="108" spans="1:29" hidden="1" outlineLevel="1" x14ac:dyDescent="0.3">
      <c r="A108" s="22" t="s">
        <v>84</v>
      </c>
      <c r="B108" s="41" t="str">
        <f t="shared" si="6"/>
        <v/>
      </c>
      <c r="C108" s="42">
        <f t="shared" si="5"/>
        <v>107</v>
      </c>
      <c r="D108" s="38"/>
      <c r="E108" s="38"/>
      <c r="F108" s="38" t="s">
        <v>9</v>
      </c>
      <c r="G108" s="38"/>
      <c r="H108" s="38"/>
      <c r="I108" s="38" t="s">
        <v>9</v>
      </c>
      <c r="J108" s="38"/>
      <c r="K108" s="14" t="s">
        <v>24</v>
      </c>
      <c r="L108" s="14" t="s">
        <v>27</v>
      </c>
      <c r="M108" s="184" t="s">
        <v>501</v>
      </c>
      <c r="N108" s="14" t="s">
        <v>502</v>
      </c>
      <c r="O108" s="43">
        <v>2.5649999999999999</v>
      </c>
      <c r="Q108" s="38" t="s">
        <v>9</v>
      </c>
      <c r="R108" s="38" t="s">
        <v>103</v>
      </c>
      <c r="S108" s="38"/>
      <c r="T108" s="38"/>
      <c r="W108" s="15" t="str">
        <f>IF(IFERROR(VLOOKUP($M108,COMPARE!$H$2:$H$847,1,0),"-")="-","","GS")</f>
        <v/>
      </c>
      <c r="Z108" s="59" t="str">
        <f>IF(OR($M108="",NOT($O108="{array}")),"",IFERROR(MATCH(PARAMETERS!$M108,DEFAULT!$B$5:$CX$5,0),""))</f>
        <v/>
      </c>
      <c r="AA108" s="56" t="str">
        <f t="shared" si="0"/>
        <v/>
      </c>
      <c r="AB108" s="63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7" t="str">
        <f>IF($AA108="","",IF($B108="I",VLOOKUP($AA108,#REF!,53,0),INDEX(VALUES!$B$1:$BT$1,1,$AA108)))</f>
        <v/>
      </c>
    </row>
    <row r="109" spans="1:29" hidden="1" outlineLevel="1" x14ac:dyDescent="0.3">
      <c r="A109" s="22" t="s">
        <v>84</v>
      </c>
      <c r="B109" s="41" t="str">
        <f t="shared" si="6"/>
        <v/>
      </c>
      <c r="C109" s="42">
        <f t="shared" si="5"/>
        <v>108</v>
      </c>
      <c r="D109" s="38"/>
      <c r="E109" s="38"/>
      <c r="F109" s="38" t="s">
        <v>9</v>
      </c>
      <c r="G109" s="38"/>
      <c r="H109" s="38"/>
      <c r="I109" s="38" t="s">
        <v>9</v>
      </c>
      <c r="J109" s="38" t="s">
        <v>9</v>
      </c>
      <c r="K109" s="14" t="s">
        <v>24</v>
      </c>
      <c r="L109" s="14" t="s">
        <v>27</v>
      </c>
      <c r="M109" s="184" t="s">
        <v>503</v>
      </c>
      <c r="N109" s="14" t="s">
        <v>504</v>
      </c>
      <c r="O109" s="43">
        <v>2.62</v>
      </c>
      <c r="Q109" s="38" t="s">
        <v>9</v>
      </c>
      <c r="R109" s="38" t="s">
        <v>103</v>
      </c>
      <c r="S109" s="38"/>
      <c r="T109" s="38"/>
      <c r="W109" s="15" t="str">
        <f>IF(IFERROR(VLOOKUP($M109,COMPARE!$H$2:$H$847,1,0),"-")="-","","GS")</f>
        <v/>
      </c>
      <c r="Z109" s="59" t="str">
        <f>IF(OR($M109="",NOT($O109="{array}")),"",IFERROR(MATCH(PARAMETERS!$M109,DEFAULT!$B$5:$CX$5,0),""))</f>
        <v/>
      </c>
      <c r="AA109" s="56" t="str">
        <f t="shared" si="0"/>
        <v/>
      </c>
      <c r="AB109" s="63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7" t="str">
        <f>IF($AA109="","",IF($B109="I",VLOOKUP($AA109,#REF!,53,0),INDEX(VALUES!$B$1:$BT$1,1,$AA109)))</f>
        <v/>
      </c>
    </row>
    <row r="110" spans="1:29" hidden="1" outlineLevel="1" x14ac:dyDescent="0.3">
      <c r="A110" s="22" t="s">
        <v>84</v>
      </c>
      <c r="B110" s="41" t="str">
        <f t="shared" si="6"/>
        <v/>
      </c>
      <c r="C110" s="42">
        <f t="shared" si="5"/>
        <v>109</v>
      </c>
      <c r="D110" s="38"/>
      <c r="E110" s="38"/>
      <c r="F110" s="38" t="s">
        <v>9</v>
      </c>
      <c r="G110" s="38"/>
      <c r="H110" s="38"/>
      <c r="I110" s="38" t="s">
        <v>9</v>
      </c>
      <c r="J110" s="38" t="s">
        <v>9</v>
      </c>
      <c r="K110" s="14" t="s">
        <v>24</v>
      </c>
      <c r="L110" s="14" t="s">
        <v>27</v>
      </c>
      <c r="M110" s="184" t="s">
        <v>505</v>
      </c>
      <c r="N110" s="14" t="s">
        <v>506</v>
      </c>
      <c r="O110" s="43">
        <v>2.5649999999999999</v>
      </c>
      <c r="Q110" s="38" t="s">
        <v>9</v>
      </c>
      <c r="R110" s="38" t="s">
        <v>103</v>
      </c>
      <c r="S110" s="38"/>
      <c r="T110" s="38"/>
      <c r="W110" s="15" t="str">
        <f>IF(IFERROR(VLOOKUP($M110,COMPARE!$H$2:$H$847,1,0),"-")="-","","GS")</f>
        <v/>
      </c>
      <c r="Z110" s="59" t="str">
        <f>IF(OR($M110="",NOT($O110="{array}")),"",IFERROR(MATCH(PARAMETERS!$M110,DEFAULT!$B$5:$CX$5,0),""))</f>
        <v/>
      </c>
      <c r="AA110" s="56" t="str">
        <f t="shared" si="0"/>
        <v/>
      </c>
      <c r="AB110" s="63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7" t="str">
        <f>IF($AA110="","",IF($B110="I",VLOOKUP($AA110,#REF!,53,0),INDEX(VALUES!$B$1:$BT$1,1,$AA110)))</f>
        <v/>
      </c>
    </row>
    <row r="111" spans="1:29" hidden="1" outlineLevel="1" x14ac:dyDescent="0.25">
      <c r="A111" s="22" t="s">
        <v>84</v>
      </c>
      <c r="B111" s="41" t="str">
        <f t="shared" si="6"/>
        <v/>
      </c>
      <c r="C111" s="42">
        <f t="shared" si="5"/>
        <v>110</v>
      </c>
      <c r="D111" s="38"/>
      <c r="E111" s="38"/>
      <c r="F111" s="38"/>
      <c r="G111" s="38"/>
      <c r="H111" s="38"/>
      <c r="I111" s="38" t="s">
        <v>9</v>
      </c>
      <c r="J111" s="38"/>
      <c r="K111" s="53" t="s">
        <v>24</v>
      </c>
      <c r="L111" s="53" t="s">
        <v>27</v>
      </c>
      <c r="M111" s="140" t="s">
        <v>1285</v>
      </c>
      <c r="N111" s="53" t="s">
        <v>1286</v>
      </c>
      <c r="O111" s="113">
        <v>0.98</v>
      </c>
      <c r="Q111" s="38" t="s">
        <v>9</v>
      </c>
      <c r="R111" s="136" t="s">
        <v>102</v>
      </c>
      <c r="S111" s="136" t="s">
        <v>111</v>
      </c>
      <c r="T111" s="38"/>
      <c r="V111" s="137"/>
      <c r="W111" s="15" t="s">
        <v>259</v>
      </c>
      <c r="X111" s="118"/>
      <c r="Y111" s="53" t="s">
        <v>1287</v>
      </c>
      <c r="Z111" s="59" t="str">
        <f>IF(OR($M111="",NOT($O111="{array}")),"",IFERROR(MATCH(PARAMETERS!$M111,DEFAULT!$B$5:$CX$5,0),""))</f>
        <v/>
      </c>
      <c r="AA111" s="56" t="str">
        <f t="shared" si="0"/>
        <v/>
      </c>
      <c r="AB111" s="63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7" t="str">
        <f>IF($AA111="","",IF($B111="I",VLOOKUP($AA111,#REF!,53,0),INDEX(VALUES!$B$1:$BT$1,1,$AA111)))</f>
        <v/>
      </c>
    </row>
    <row r="112" spans="1:29" hidden="1" outlineLevel="1" x14ac:dyDescent="0.25">
      <c r="A112" s="22" t="s">
        <v>84</v>
      </c>
      <c r="B112" s="41" t="str">
        <f t="shared" si="6"/>
        <v/>
      </c>
      <c r="C112" s="42">
        <f t="shared" si="5"/>
        <v>111</v>
      </c>
      <c r="D112" s="38"/>
      <c r="E112" s="38"/>
      <c r="F112" s="38"/>
      <c r="G112" s="38"/>
      <c r="H112" s="38"/>
      <c r="I112" s="38" t="s">
        <v>9</v>
      </c>
      <c r="J112" s="38"/>
      <c r="K112" s="53" t="s">
        <v>24</v>
      </c>
      <c r="L112" s="53" t="s">
        <v>27</v>
      </c>
      <c r="M112" s="140" t="s">
        <v>1288</v>
      </c>
      <c r="N112" s="53" t="s">
        <v>1289</v>
      </c>
      <c r="O112" s="113">
        <v>1.99</v>
      </c>
      <c r="Q112" s="38" t="s">
        <v>9</v>
      </c>
      <c r="R112" s="136" t="s">
        <v>102</v>
      </c>
      <c r="S112" s="136" t="s">
        <v>111</v>
      </c>
      <c r="T112" s="38"/>
      <c r="V112" s="137"/>
      <c r="W112" s="15" t="s">
        <v>259</v>
      </c>
      <c r="X112" s="118"/>
      <c r="Y112" s="53" t="s">
        <v>1290</v>
      </c>
      <c r="Z112" s="59" t="str">
        <f>IF(OR($M112="",NOT($O112="{array}")),"",IFERROR(MATCH(PARAMETERS!$M112,DEFAULT!$B$5:$CX$5,0),""))</f>
        <v/>
      </c>
      <c r="AA112" s="56" t="str">
        <f t="shared" si="0"/>
        <v/>
      </c>
      <c r="AB112" s="63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7" t="str">
        <f>IF($AA112="","",IF($B112="I",VLOOKUP($AA112,#REF!,53,0),INDEX(VALUES!$B$1:$BT$1,1,$AA112)))</f>
        <v/>
      </c>
    </row>
    <row r="113" spans="1:29" hidden="1" outlineLevel="1" x14ac:dyDescent="0.25">
      <c r="A113" s="22" t="s">
        <v>84</v>
      </c>
      <c r="B113" s="41" t="str">
        <f t="shared" si="6"/>
        <v/>
      </c>
      <c r="C113" s="42">
        <f t="shared" si="5"/>
        <v>112</v>
      </c>
      <c r="D113" s="38"/>
      <c r="E113" s="38"/>
      <c r="F113" s="38" t="s">
        <v>9</v>
      </c>
      <c r="G113" s="38"/>
      <c r="H113" s="38"/>
      <c r="I113" s="38" t="s">
        <v>9</v>
      </c>
      <c r="J113" s="38"/>
      <c r="K113" s="14" t="s">
        <v>24</v>
      </c>
      <c r="L113" s="14" t="s">
        <v>27</v>
      </c>
      <c r="M113" s="184" t="s">
        <v>507</v>
      </c>
      <c r="N113" s="14" t="s">
        <v>508</v>
      </c>
      <c r="O113" s="43">
        <v>1.3</v>
      </c>
      <c r="Q113" s="38" t="s">
        <v>9</v>
      </c>
      <c r="R113" s="38" t="s">
        <v>103</v>
      </c>
      <c r="S113" s="38"/>
      <c r="T113" s="38"/>
      <c r="V113" s="137"/>
      <c r="W113" s="15" t="str">
        <f>IF(IFERROR(VLOOKUP($M113,COMPARE!$H$2:$H$847,1,0),"-")="-","","GS")</f>
        <v/>
      </c>
      <c r="X113" s="118"/>
      <c r="Y113" s="14" t="s">
        <v>509</v>
      </c>
      <c r="Z113" s="59" t="str">
        <f>IF(OR($M113="",NOT($O113="{array}")),"",IFERROR(MATCH(PARAMETERS!$M113,DEFAULT!$B$5:$CX$5,0),""))</f>
        <v/>
      </c>
      <c r="AA113" s="56" t="str">
        <f t="shared" si="0"/>
        <v/>
      </c>
      <c r="AB113" s="63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7" t="str">
        <f>IF($AA113="","",IF($B113="I",VLOOKUP($AA113,#REF!,53,0),INDEX(VALUES!$B$1:$BT$1,1,$AA113)))</f>
        <v/>
      </c>
    </row>
    <row r="114" spans="1:29" hidden="1" outlineLevel="1" x14ac:dyDescent="0.25">
      <c r="A114" s="22" t="s">
        <v>84</v>
      </c>
      <c r="B114" s="41" t="str">
        <f t="shared" si="6"/>
        <v/>
      </c>
      <c r="C114" s="42">
        <f t="shared" si="5"/>
        <v>113</v>
      </c>
      <c r="D114" s="38"/>
      <c r="E114" s="38"/>
      <c r="F114" s="38" t="s">
        <v>9</v>
      </c>
      <c r="G114" s="38"/>
      <c r="H114" s="38"/>
      <c r="I114" s="38" t="s">
        <v>9</v>
      </c>
      <c r="J114" s="38"/>
      <c r="K114" s="14" t="s">
        <v>24</v>
      </c>
      <c r="L114" s="14" t="s">
        <v>27</v>
      </c>
      <c r="M114" s="184" t="s">
        <v>510</v>
      </c>
      <c r="N114" s="14" t="s">
        <v>511</v>
      </c>
      <c r="O114" s="43">
        <v>2.0649999999999999</v>
      </c>
      <c r="Q114" s="38" t="s">
        <v>9</v>
      </c>
      <c r="R114" s="38" t="s">
        <v>103</v>
      </c>
      <c r="S114" s="38"/>
      <c r="T114" s="38"/>
      <c r="V114" s="137"/>
      <c r="W114" s="15" t="str">
        <f>IF(IFERROR(VLOOKUP($M114,COMPARE!$H$2:$H$847,1,0),"-")="-","","GS")</f>
        <v/>
      </c>
      <c r="X114" s="118"/>
      <c r="Y114" s="14" t="s">
        <v>512</v>
      </c>
      <c r="Z114" s="59" t="str">
        <f>IF(OR($M114="",NOT($O114="{array}")),"",IFERROR(MATCH(PARAMETERS!$M114,DEFAULT!$B$5:$CX$5,0),""))</f>
        <v/>
      </c>
      <c r="AA114" s="56" t="str">
        <f t="shared" si="0"/>
        <v/>
      </c>
      <c r="AB114" s="63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7" t="str">
        <f>IF($AA114="","",IF($B114="I",VLOOKUP($AA114,#REF!,53,0),INDEX(VALUES!$B$1:$BT$1,1,$AA114)))</f>
        <v/>
      </c>
    </row>
    <row r="115" spans="1:29" hidden="1" outlineLevel="1" x14ac:dyDescent="0.3">
      <c r="A115" s="22" t="s">
        <v>84</v>
      </c>
      <c r="B115" s="41" t="str">
        <f t="shared" si="6"/>
        <v/>
      </c>
      <c r="C115" s="42">
        <f t="shared" si="5"/>
        <v>114</v>
      </c>
      <c r="D115" s="38"/>
      <c r="E115" s="38"/>
      <c r="F115" s="38"/>
      <c r="G115" s="38"/>
      <c r="H115" s="38"/>
      <c r="I115" s="38" t="s">
        <v>9</v>
      </c>
      <c r="J115" s="38"/>
      <c r="K115" s="117" t="s">
        <v>24</v>
      </c>
      <c r="L115" s="117" t="s">
        <v>27</v>
      </c>
      <c r="M115" s="198" t="s">
        <v>513</v>
      </c>
      <c r="N115" s="117" t="s">
        <v>514</v>
      </c>
      <c r="O115" s="117">
        <v>0.8</v>
      </c>
      <c r="P115" s="134" t="s">
        <v>259</v>
      </c>
      <c r="Q115" s="135"/>
      <c r="R115" s="136" t="s">
        <v>102</v>
      </c>
      <c r="S115" s="136" t="s">
        <v>111</v>
      </c>
      <c r="T115" s="117" t="s">
        <v>259</v>
      </c>
      <c r="U115" s="117" t="s">
        <v>259</v>
      </c>
      <c r="V115" s="137" t="s">
        <v>414</v>
      </c>
      <c r="W115" s="15" t="str">
        <f>IF(IFERROR(VLOOKUP($M115,COMPARE!$H$2:$H$847,1,0),"-")="-","","GS")</f>
        <v/>
      </c>
      <c r="X115" s="118">
        <v>44</v>
      </c>
      <c r="Y115" s="117" t="s">
        <v>515</v>
      </c>
      <c r="Z115" s="59" t="str">
        <f>IF(OR($M115="",NOT($O115="{array}")),"",IFERROR(MATCH(PARAMETERS!$M115,DEFAULT!$B$5:$CX$5,0),""))</f>
        <v/>
      </c>
      <c r="AA115" s="56" t="str">
        <f t="shared" si="0"/>
        <v/>
      </c>
      <c r="AB115" s="63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7" t="str">
        <f>IF($AA115="","",IF($B115="I",VLOOKUP($AA115,#REF!,53,0),INDEX(VALUES!$B$1:$BT$1,1,$AA115)))</f>
        <v/>
      </c>
    </row>
    <row r="116" spans="1:29" hidden="1" outlineLevel="1" x14ac:dyDescent="0.3">
      <c r="A116" s="22" t="s">
        <v>84</v>
      </c>
      <c r="B116" s="41" t="str">
        <f t="shared" si="6"/>
        <v/>
      </c>
      <c r="C116" s="42">
        <f t="shared" si="5"/>
        <v>115</v>
      </c>
      <c r="D116" s="38"/>
      <c r="E116" s="38"/>
      <c r="F116" s="38"/>
      <c r="G116" s="38"/>
      <c r="H116" s="38"/>
      <c r="I116" s="38" t="s">
        <v>9</v>
      </c>
      <c r="J116" s="38"/>
      <c r="K116" s="117" t="s">
        <v>24</v>
      </c>
      <c r="L116" s="117" t="s">
        <v>27</v>
      </c>
      <c r="M116" s="198" t="s">
        <v>516</v>
      </c>
      <c r="N116" s="117" t="s">
        <v>517</v>
      </c>
      <c r="O116" s="117">
        <v>2.0499999999999998</v>
      </c>
      <c r="P116" s="134" t="s">
        <v>259</v>
      </c>
      <c r="Q116" s="135"/>
      <c r="R116" s="136" t="s">
        <v>102</v>
      </c>
      <c r="S116" s="136" t="s">
        <v>111</v>
      </c>
      <c r="T116" s="117" t="s">
        <v>259</v>
      </c>
      <c r="U116" s="117" t="s">
        <v>259</v>
      </c>
      <c r="V116" s="137" t="s">
        <v>416</v>
      </c>
      <c r="W116" s="15" t="str">
        <f>IF(IFERROR(VLOOKUP($M116,COMPARE!$H$2:$H$847,1,0),"-")="-","","GS")</f>
        <v/>
      </c>
      <c r="X116" s="118">
        <v>45</v>
      </c>
      <c r="Y116" s="117" t="s">
        <v>515</v>
      </c>
      <c r="Z116" s="59" t="str">
        <f>IF(OR($M116="",NOT($O116="{array}")),"",IFERROR(MATCH(PARAMETERS!$M116,DEFAULT!$B$5:$CX$5,0),""))</f>
        <v/>
      </c>
      <c r="AA116" s="56" t="str">
        <f t="shared" si="0"/>
        <v/>
      </c>
      <c r="AB116" s="63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7" t="str">
        <f>IF($AA116="","",IF($B116="I",VLOOKUP($AA116,#REF!,53,0),INDEX(VALUES!$B$1:$BT$1,1,$AA116)))</f>
        <v/>
      </c>
    </row>
    <row r="117" spans="1:29" hidden="1" outlineLevel="1" x14ac:dyDescent="0.25">
      <c r="A117" s="22" t="s">
        <v>84</v>
      </c>
      <c r="B117" s="41" t="str">
        <f t="shared" si="6"/>
        <v/>
      </c>
      <c r="C117" s="42">
        <f t="shared" si="5"/>
        <v>116</v>
      </c>
      <c r="D117" s="38"/>
      <c r="E117" s="38"/>
      <c r="F117" s="38" t="s">
        <v>9</v>
      </c>
      <c r="G117" s="38"/>
      <c r="H117" s="38"/>
      <c r="I117" s="38" t="s">
        <v>9</v>
      </c>
      <c r="J117" s="38"/>
      <c r="K117" s="14" t="s">
        <v>24</v>
      </c>
      <c r="L117" s="14" t="s">
        <v>27</v>
      </c>
      <c r="M117" s="184" t="s">
        <v>518</v>
      </c>
      <c r="N117" s="14" t="s">
        <v>519</v>
      </c>
      <c r="O117" s="43">
        <v>1.33</v>
      </c>
      <c r="R117" s="38" t="s">
        <v>103</v>
      </c>
      <c r="S117" s="129" t="s">
        <v>111</v>
      </c>
      <c r="T117" s="124" t="s">
        <v>259</v>
      </c>
      <c r="U117" s="124" t="s">
        <v>259</v>
      </c>
      <c r="V117" s="124" t="s">
        <v>520</v>
      </c>
      <c r="W117" s="15" t="str">
        <f>IF(IFERROR(VLOOKUP($M117,COMPARE!$H$2:$H$847,1,0),"-")="-","","GS")</f>
        <v/>
      </c>
      <c r="X117" s="118" t="s">
        <v>259</v>
      </c>
      <c r="Y117" s="124" t="s">
        <v>521</v>
      </c>
      <c r="Z117" s="59" t="str">
        <f>IF(OR($M117="",NOT($O117="{array}")),"",IFERROR(MATCH(PARAMETERS!$M117,DEFAULT!$B$5:$CX$5,0),""))</f>
        <v/>
      </c>
      <c r="AA117" s="56" t="str">
        <f t="shared" si="0"/>
        <v/>
      </c>
      <c r="AB117" s="63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7" t="str">
        <f>IF($AA117="","",IF($B117="I",VLOOKUP($AA117,#REF!,53,0),INDEX(VALUES!$B$1:$BT$1,1,$AA117)))</f>
        <v/>
      </c>
    </row>
    <row r="118" spans="1:29" hidden="1" outlineLevel="1" x14ac:dyDescent="0.25">
      <c r="A118" s="22" t="s">
        <v>84</v>
      </c>
      <c r="B118" s="41" t="str">
        <f t="shared" si="6"/>
        <v/>
      </c>
      <c r="C118" s="42">
        <f t="shared" si="5"/>
        <v>117</v>
      </c>
      <c r="D118" s="38"/>
      <c r="E118" s="38"/>
      <c r="F118" s="38" t="s">
        <v>9</v>
      </c>
      <c r="G118" s="38"/>
      <c r="H118" s="38"/>
      <c r="I118" s="38" t="s">
        <v>9</v>
      </c>
      <c r="J118" s="38"/>
      <c r="K118" s="14" t="s">
        <v>24</v>
      </c>
      <c r="L118" s="14" t="s">
        <v>27</v>
      </c>
      <c r="M118" s="184" t="s">
        <v>522</v>
      </c>
      <c r="N118" s="14" t="s">
        <v>523</v>
      </c>
      <c r="O118" s="43">
        <v>2.0750000000000002</v>
      </c>
      <c r="R118" s="38" t="s">
        <v>103</v>
      </c>
      <c r="S118" s="129" t="s">
        <v>111</v>
      </c>
      <c r="T118" s="124" t="s">
        <v>259</v>
      </c>
      <c r="U118" s="124" t="s">
        <v>259</v>
      </c>
      <c r="V118" s="124" t="s">
        <v>524</v>
      </c>
      <c r="W118" s="15" t="str">
        <f>IF(IFERROR(VLOOKUP($M118,COMPARE!$H$2:$H$847,1,0),"-")="-","","GS")</f>
        <v/>
      </c>
      <c r="X118" s="118" t="s">
        <v>259</v>
      </c>
      <c r="Y118" s="124" t="s">
        <v>525</v>
      </c>
      <c r="Z118" s="59" t="str">
        <f>IF(OR($M118="",NOT($O118="{array}")),"",IFERROR(MATCH(PARAMETERS!$M118,DEFAULT!$B$5:$CX$5,0),""))</f>
        <v/>
      </c>
      <c r="AA118" s="56" t="str">
        <f t="shared" ref="AA118:AA187" si="7">IF($M118="","",IFERROR(MATCH($M118,VALUESnames,0),""))</f>
        <v/>
      </c>
      <c r="AB118" s="63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7" t="str">
        <f>IF($AA118="","",IF($B118="I",VLOOKUP($AA118,#REF!,53,0),INDEX(VALUES!$B$1:$BT$1,1,$AA118)))</f>
        <v/>
      </c>
    </row>
    <row r="119" spans="1:29" hidden="1" outlineLevel="1" x14ac:dyDescent="0.3">
      <c r="A119" s="22" t="s">
        <v>84</v>
      </c>
      <c r="B119" s="41" t="str">
        <f t="shared" si="6"/>
        <v/>
      </c>
      <c r="C119" s="42">
        <f t="shared" si="5"/>
        <v>118</v>
      </c>
      <c r="D119" s="38"/>
      <c r="E119" s="38"/>
      <c r="F119" s="38" t="s">
        <v>9</v>
      </c>
      <c r="G119" s="38" t="s">
        <v>9</v>
      </c>
      <c r="H119" s="38"/>
      <c r="I119" s="38" t="s">
        <v>9</v>
      </c>
      <c r="J119" s="38"/>
      <c r="K119" s="14" t="s">
        <v>44</v>
      </c>
      <c r="L119" s="14" t="s">
        <v>27</v>
      </c>
      <c r="M119" s="184" t="s">
        <v>526</v>
      </c>
      <c r="N119" s="14" t="s">
        <v>527</v>
      </c>
      <c r="O119" s="43">
        <v>1</v>
      </c>
      <c r="R119" s="38" t="s">
        <v>103</v>
      </c>
      <c r="S119" s="38"/>
      <c r="T119" s="38"/>
      <c r="W119" s="15" t="str">
        <f>IF(IFERROR(VLOOKUP($M119,COMPARE!$H$2:$H$847,1,0),"-")="-","","GS")</f>
        <v/>
      </c>
      <c r="Z119" s="59" t="str">
        <f>IF(OR($M119="",NOT($O119="{array}")),"",IFERROR(MATCH(PARAMETERS!$M119,DEFAULT!$B$5:$CX$5,0),""))</f>
        <v/>
      </c>
      <c r="AA119" s="56" t="str">
        <f t="shared" si="7"/>
        <v/>
      </c>
      <c r="AB119" s="63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7" t="str">
        <f>IF($AA119="","",IF($B119="I",VLOOKUP($AA119,#REF!,53,0),INDEX(VALUES!$B$1:$BT$1,1,$AA119)))</f>
        <v/>
      </c>
    </row>
    <row r="120" spans="1:29" hidden="1" outlineLevel="1" x14ac:dyDescent="0.3">
      <c r="A120" s="22"/>
      <c r="B120" s="41" t="str">
        <f t="shared" si="6"/>
        <v/>
      </c>
      <c r="C120" s="42">
        <f t="shared" si="5"/>
        <v>119</v>
      </c>
      <c r="D120" s="38"/>
      <c r="E120" s="38"/>
      <c r="F120" s="38" t="s">
        <v>9</v>
      </c>
      <c r="G120" s="38"/>
      <c r="H120" s="38"/>
      <c r="I120" s="38" t="s">
        <v>9</v>
      </c>
      <c r="J120" s="38"/>
      <c r="K120" s="161" t="s">
        <v>47</v>
      </c>
      <c r="L120" s="161" t="s">
        <v>27</v>
      </c>
      <c r="M120" s="199" t="s">
        <v>528</v>
      </c>
      <c r="N120" s="161" t="s">
        <v>529</v>
      </c>
      <c r="O120" s="162">
        <v>0</v>
      </c>
      <c r="P120" s="161"/>
      <c r="Q120" s="163"/>
      <c r="R120" s="163" t="s">
        <v>103</v>
      </c>
      <c r="S120" s="163"/>
      <c r="T120" s="163"/>
      <c r="U120" s="161"/>
      <c r="V120" s="161"/>
      <c r="W120" s="164" t="str">
        <f>IF(IFERROR(VLOOKUP($M120,COMPARE!$H$2:$H$847,1,0),"-")="-","","GS")</f>
        <v/>
      </c>
      <c r="X120" s="164"/>
      <c r="Y120" s="161"/>
      <c r="Z120" s="59" t="str">
        <f>IF(OR($M120="",NOT($O120="{array}")),"",IFERROR(MATCH(PARAMETERS!$M120,DEFAULT!$B$5:$CX$5,0),""))</f>
        <v/>
      </c>
      <c r="AA120" s="56" t="str">
        <f t="shared" si="7"/>
        <v/>
      </c>
      <c r="AB120" s="63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7" t="str">
        <f>IF($AA120="","",IF($B120="I",VLOOKUP($AA120,#REF!,53,0),INDEX(VALUES!$B$1:$BT$1,1,$AA120)))</f>
        <v/>
      </c>
    </row>
    <row r="121" spans="1:29" hidden="1" outlineLevel="1" x14ac:dyDescent="0.3">
      <c r="A121" s="22"/>
      <c r="B121" s="41" t="str">
        <f t="shared" si="6"/>
        <v/>
      </c>
      <c r="C121" s="42">
        <f t="shared" si="5"/>
        <v>120</v>
      </c>
      <c r="D121" s="38"/>
      <c r="E121" s="38"/>
      <c r="F121" s="38" t="s">
        <v>9</v>
      </c>
      <c r="G121" s="38"/>
      <c r="H121" s="38"/>
      <c r="I121" s="38" t="s">
        <v>9</v>
      </c>
      <c r="J121" s="38"/>
      <c r="K121" s="161" t="s">
        <v>47</v>
      </c>
      <c r="L121" s="161" t="s">
        <v>27</v>
      </c>
      <c r="M121" s="199" t="s">
        <v>530</v>
      </c>
      <c r="N121" s="161" t="s">
        <v>531</v>
      </c>
      <c r="O121" s="162">
        <v>1</v>
      </c>
      <c r="P121" s="161"/>
      <c r="Q121" s="163"/>
      <c r="R121" s="163" t="s">
        <v>103</v>
      </c>
      <c r="S121" s="163"/>
      <c r="T121" s="163"/>
      <c r="U121" s="161"/>
      <c r="V121" s="161"/>
      <c r="W121" s="164" t="str">
        <f>IF(IFERROR(VLOOKUP($M121,COMPARE!$H$2:$H$847,1,0),"-")="-","","GS")</f>
        <v/>
      </c>
      <c r="X121" s="164"/>
      <c r="Y121" s="161"/>
      <c r="Z121" s="59" t="str">
        <f>IF(OR($M121="",NOT($O121="{array}")),"",IFERROR(MATCH(PARAMETERS!$M121,DEFAULT!$B$5:$CX$5,0),""))</f>
        <v/>
      </c>
      <c r="AA121" s="56" t="str">
        <f t="shared" si="7"/>
        <v/>
      </c>
      <c r="AB121" s="63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7" t="str">
        <f>IF($AA121="","",IF($B121="I",VLOOKUP($AA121,#REF!,53,0),INDEX(VALUES!$B$1:$BT$1,1,$AA121)))</f>
        <v/>
      </c>
    </row>
    <row r="122" spans="1:29" hidden="1" outlineLevel="1" x14ac:dyDescent="0.3">
      <c r="A122" s="22"/>
      <c r="B122" s="41" t="str">
        <f t="shared" si="6"/>
        <v/>
      </c>
      <c r="C122" s="42">
        <f t="shared" si="5"/>
        <v>121</v>
      </c>
      <c r="D122" s="38"/>
      <c r="E122" s="38"/>
      <c r="F122" s="38" t="s">
        <v>9</v>
      </c>
      <c r="G122" s="38"/>
      <c r="H122" s="38"/>
      <c r="I122" s="38" t="s">
        <v>9</v>
      </c>
      <c r="J122" s="38"/>
      <c r="K122" s="161" t="s">
        <v>47</v>
      </c>
      <c r="L122" s="161" t="s">
        <v>27</v>
      </c>
      <c r="M122" s="199" t="s">
        <v>532</v>
      </c>
      <c r="N122" s="161" t="s">
        <v>533</v>
      </c>
      <c r="O122" s="162">
        <v>0</v>
      </c>
      <c r="P122" s="161"/>
      <c r="Q122" s="163"/>
      <c r="R122" s="163" t="s">
        <v>103</v>
      </c>
      <c r="S122" s="163"/>
      <c r="T122" s="163"/>
      <c r="U122" s="161"/>
      <c r="V122" s="161"/>
      <c r="W122" s="164" t="str">
        <f>IF(IFERROR(VLOOKUP($M122,COMPARE!$H$2:$H$847,1,0),"-")="-","","GS")</f>
        <v/>
      </c>
      <c r="X122" s="164"/>
      <c r="Y122" s="161"/>
      <c r="Z122" s="59" t="str">
        <f>IF(OR($M122="",NOT($O122="{array}")),"",IFERROR(MATCH(PARAMETERS!$M122,DEFAULT!$B$5:$CX$5,0),""))</f>
        <v/>
      </c>
      <c r="AA122" s="56" t="str">
        <f t="shared" si="7"/>
        <v/>
      </c>
      <c r="AB122" s="63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7" t="str">
        <f>IF($AA122="","",IF($B122="I",VLOOKUP($AA122,#REF!,53,0),INDEX(VALUES!$B$1:$BT$1,1,$AA122)))</f>
        <v/>
      </c>
    </row>
    <row r="123" spans="1:29" hidden="1" outlineLevel="1" x14ac:dyDescent="0.3">
      <c r="A123" s="22"/>
      <c r="B123" s="41" t="str">
        <f t="shared" si="6"/>
        <v/>
      </c>
      <c r="C123" s="42">
        <f t="shared" si="5"/>
        <v>122</v>
      </c>
      <c r="D123" s="38"/>
      <c r="E123" s="38"/>
      <c r="F123" s="38" t="s">
        <v>9</v>
      </c>
      <c r="G123" s="38"/>
      <c r="H123" s="38"/>
      <c r="I123" s="38" t="s">
        <v>9</v>
      </c>
      <c r="J123" s="38"/>
      <c r="K123" s="161" t="s">
        <v>47</v>
      </c>
      <c r="L123" s="161" t="s">
        <v>27</v>
      </c>
      <c r="M123" s="199" t="s">
        <v>534</v>
      </c>
      <c r="N123" s="161" t="s">
        <v>535</v>
      </c>
      <c r="O123" s="162">
        <v>0</v>
      </c>
      <c r="P123" s="161"/>
      <c r="Q123" s="163"/>
      <c r="R123" s="163" t="s">
        <v>103</v>
      </c>
      <c r="S123" s="163"/>
      <c r="T123" s="163"/>
      <c r="U123" s="161"/>
      <c r="V123" s="161"/>
      <c r="W123" s="164" t="str">
        <f>IF(IFERROR(VLOOKUP($M123,COMPARE!$H$2:$H$847,1,0),"-")="-","","GS")</f>
        <v/>
      </c>
      <c r="X123" s="164"/>
      <c r="Y123" s="161"/>
      <c r="Z123" s="59" t="str">
        <f>IF(OR($M123="",NOT($O123="{array}")),"",IFERROR(MATCH(PARAMETERS!$M123,DEFAULT!$B$5:$CX$5,0),""))</f>
        <v/>
      </c>
      <c r="AA123" s="56" t="str">
        <f t="shared" si="7"/>
        <v/>
      </c>
      <c r="AB123" s="63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7" t="str">
        <f>IF($AA123="","",IF($B123="I",VLOOKUP($AA123,#REF!,53,0),INDEX(VALUES!$B$1:$BT$1,1,$AA123)))</f>
        <v/>
      </c>
    </row>
    <row r="124" spans="1:29" hidden="1" outlineLevel="1" x14ac:dyDescent="0.3">
      <c r="A124" s="22"/>
      <c r="B124" s="41" t="str">
        <f t="shared" si="6"/>
        <v/>
      </c>
      <c r="C124" s="42">
        <f t="shared" si="5"/>
        <v>123</v>
      </c>
      <c r="D124" s="38"/>
      <c r="E124" s="38"/>
      <c r="F124" s="38" t="s">
        <v>9</v>
      </c>
      <c r="G124" s="38"/>
      <c r="H124" s="38"/>
      <c r="I124" s="38" t="s">
        <v>9</v>
      </c>
      <c r="J124" s="38"/>
      <c r="K124" s="161" t="s">
        <v>47</v>
      </c>
      <c r="L124" s="161" t="s">
        <v>27</v>
      </c>
      <c r="M124" s="199" t="s">
        <v>536</v>
      </c>
      <c r="N124" s="161" t="s">
        <v>537</v>
      </c>
      <c r="O124" s="162">
        <v>0</v>
      </c>
      <c r="P124" s="161"/>
      <c r="Q124" s="163"/>
      <c r="R124" s="163" t="s">
        <v>103</v>
      </c>
      <c r="S124" s="163"/>
      <c r="T124" s="163"/>
      <c r="U124" s="161"/>
      <c r="V124" s="161"/>
      <c r="W124" s="164" t="str">
        <f>IF(IFERROR(VLOOKUP($M124,COMPARE!$H$2:$H$847,1,0),"-")="-","","GS")</f>
        <v/>
      </c>
      <c r="X124" s="164"/>
      <c r="Y124" s="161"/>
      <c r="Z124" s="59" t="str">
        <f>IF(OR($M124="",NOT($O124="{array}")),"",IFERROR(MATCH(PARAMETERS!$M124,DEFAULT!$B$5:$CX$5,0),""))</f>
        <v/>
      </c>
      <c r="AA124" s="56" t="str">
        <f t="shared" si="7"/>
        <v/>
      </c>
      <c r="AB124" s="63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7" t="str">
        <f>IF($AA124="","",IF($B124="I",VLOOKUP($AA124,#REF!,53,0),INDEX(VALUES!$B$1:$BT$1,1,$AA124)))</f>
        <v/>
      </c>
    </row>
    <row r="125" spans="1:29" hidden="1" outlineLevel="1" x14ac:dyDescent="0.3">
      <c r="A125" s="22"/>
      <c r="B125" s="41" t="str">
        <f t="shared" si="6"/>
        <v/>
      </c>
      <c r="C125" s="42">
        <f t="shared" si="5"/>
        <v>124</v>
      </c>
      <c r="D125" s="38"/>
      <c r="E125" s="38"/>
      <c r="F125" s="38" t="s">
        <v>9</v>
      </c>
      <c r="G125" s="38"/>
      <c r="H125" s="38"/>
      <c r="I125" s="38" t="s">
        <v>9</v>
      </c>
      <c r="J125" s="38"/>
      <c r="K125" s="161" t="s">
        <v>47</v>
      </c>
      <c r="L125" s="161" t="s">
        <v>27</v>
      </c>
      <c r="M125" s="199" t="s">
        <v>538</v>
      </c>
      <c r="N125" s="161" t="s">
        <v>539</v>
      </c>
      <c r="O125" s="162">
        <v>0</v>
      </c>
      <c r="P125" s="161"/>
      <c r="Q125" s="163"/>
      <c r="R125" s="163" t="s">
        <v>103</v>
      </c>
      <c r="S125" s="163"/>
      <c r="T125" s="163"/>
      <c r="U125" s="161"/>
      <c r="V125" s="161"/>
      <c r="W125" s="164" t="str">
        <f>IF(IFERROR(VLOOKUP($M125,COMPARE!$H$2:$H$847,1,0),"-")="-","","GS")</f>
        <v/>
      </c>
      <c r="X125" s="164"/>
      <c r="Y125" s="161"/>
      <c r="Z125" s="59" t="str">
        <f>IF(OR($M125="",NOT($O125="{array}")),"",IFERROR(MATCH(PARAMETERS!$M125,DEFAULT!$B$5:$CX$5,0),""))</f>
        <v/>
      </c>
      <c r="AA125" s="56" t="str">
        <f t="shared" si="7"/>
        <v/>
      </c>
      <c r="AB125" s="63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7" t="str">
        <f>IF($AA125="","",IF($B125="I",VLOOKUP($AA125,#REF!,53,0),INDEX(VALUES!$B$1:$BT$1,1,$AA125)))</f>
        <v/>
      </c>
    </row>
    <row r="126" spans="1:29" hidden="1" outlineLevel="1" x14ac:dyDescent="0.3">
      <c r="A126" s="22" t="s">
        <v>84</v>
      </c>
      <c r="B126" s="41" t="str">
        <f t="shared" si="6"/>
        <v/>
      </c>
      <c r="C126" s="42">
        <f t="shared" si="5"/>
        <v>125</v>
      </c>
      <c r="D126" s="38"/>
      <c r="E126" s="38"/>
      <c r="F126" s="38" t="s">
        <v>9</v>
      </c>
      <c r="G126" s="38"/>
      <c r="H126" s="38"/>
      <c r="I126" s="38" t="s">
        <v>9</v>
      </c>
      <c r="J126" s="38"/>
      <c r="K126" s="14" t="s">
        <v>47</v>
      </c>
      <c r="L126" s="14" t="s">
        <v>27</v>
      </c>
      <c r="M126" s="184" t="s">
        <v>540</v>
      </c>
      <c r="N126" s="14" t="s">
        <v>541</v>
      </c>
      <c r="O126" s="43">
        <v>1</v>
      </c>
      <c r="R126" s="38" t="s">
        <v>103</v>
      </c>
      <c r="S126" s="38"/>
      <c r="T126" s="38"/>
      <c r="W126" s="15" t="str">
        <f>IF(IFERROR(VLOOKUP($M126,COMPARE!$H$2:$H$847,1,0),"-")="-","","GS")</f>
        <v/>
      </c>
      <c r="Z126" s="59" t="str">
        <f>IF(OR($M126="",NOT($O126="{array}")),"",IFERROR(MATCH(PARAMETERS!$M126,DEFAULT!$B$5:$CX$5,0),""))</f>
        <v/>
      </c>
      <c r="AA126" s="56" t="str">
        <f t="shared" si="7"/>
        <v/>
      </c>
      <c r="AB126" s="63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7" t="str">
        <f>IF($AA126="","",IF($B126="I",VLOOKUP($AA126,#REF!,53,0),INDEX(VALUES!$B$1:$BT$1,1,$AA126)))</f>
        <v/>
      </c>
    </row>
    <row r="127" spans="1:29" collapsed="1" x14ac:dyDescent="0.3">
      <c r="A127" s="22" t="s">
        <v>84</v>
      </c>
      <c r="B127" s="41" t="str">
        <f t="shared" ref="B127:B165" si="8">IF($A127="P",IF(NOT($Z127=""),"A",IF(NOT($AA127=""),"I","")),IF(NOT($AA127=""),IF($A127="G","V","X"),IF(NOT($Z127=""),"A","")))</f>
        <v/>
      </c>
      <c r="C127" s="42">
        <f t="shared" si="5"/>
        <v>126</v>
      </c>
      <c r="D127" s="38"/>
      <c r="E127" s="38"/>
      <c r="F127" s="38" t="s">
        <v>9</v>
      </c>
      <c r="G127" s="38"/>
      <c r="H127" s="38"/>
      <c r="I127" s="38"/>
      <c r="J127" s="38"/>
      <c r="K127" s="14" t="s">
        <v>57</v>
      </c>
      <c r="L127" s="14" t="s">
        <v>38</v>
      </c>
      <c r="M127" s="48" t="s">
        <v>542</v>
      </c>
      <c r="N127" s="41" t="s">
        <v>543</v>
      </c>
      <c r="R127" s="38" t="s">
        <v>103</v>
      </c>
      <c r="S127" s="38"/>
      <c r="T127" s="38"/>
      <c r="W127" s="15" t="str">
        <f>IF(IFERROR(VLOOKUP($M127,COMPARE!$H$2:$H$847,1,0),"-")="-","","GS")</f>
        <v/>
      </c>
      <c r="Z127" s="59" t="str">
        <f>IF(OR($M127="",NOT($O127="{array}")),"",IFERROR(MATCH(PARAMETERS!$M127,DEFAULT!$B$5:$CX$5,0),""))</f>
        <v/>
      </c>
      <c r="AA127" s="56" t="str">
        <f t="shared" si="7"/>
        <v/>
      </c>
      <c r="AB127" s="63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7" t="str">
        <f>IF($AA127="","",IF($B127="I",VLOOKUP($AA127,#REF!,53,0),INDEX(VALUES!$B$1:$BT$1,1,$AA127)))</f>
        <v/>
      </c>
    </row>
    <row r="128" spans="1:29" hidden="1" outlineLevel="1" x14ac:dyDescent="0.3">
      <c r="A128" s="22"/>
      <c r="B128" s="41" t="str">
        <f t="shared" si="8"/>
        <v/>
      </c>
      <c r="C128" s="42">
        <f t="shared" si="5"/>
        <v>127</v>
      </c>
      <c r="D128" s="38"/>
      <c r="E128" s="38"/>
      <c r="F128" s="38"/>
      <c r="G128" s="38"/>
      <c r="H128" s="38"/>
      <c r="I128" s="38" t="s">
        <v>9</v>
      </c>
      <c r="J128" s="38"/>
      <c r="K128" s="53" t="s">
        <v>18</v>
      </c>
      <c r="L128" s="53" t="s">
        <v>32</v>
      </c>
      <c r="M128" s="53" t="s">
        <v>544</v>
      </c>
      <c r="N128" s="53" t="s">
        <v>545</v>
      </c>
      <c r="O128" s="113" t="str">
        <f>"UZ"</f>
        <v>UZ</v>
      </c>
      <c r="R128" s="38" t="s">
        <v>191</v>
      </c>
      <c r="S128" s="38"/>
      <c r="T128" s="38"/>
      <c r="W128" s="15"/>
      <c r="Z128" s="59" t="str">
        <f>IF(OR($M128="",NOT($O128="{array}")),"",IFERROR(MATCH(PARAMETERS!$M128,DEFAULT!$B$5:$CX$5,0),""))</f>
        <v/>
      </c>
      <c r="AA128" s="56" t="str">
        <f t="shared" si="7"/>
        <v/>
      </c>
      <c r="AB128" s="63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7" t="str">
        <f>IF($AA128="","",IF($B128="I",VLOOKUP($AA128,#REF!,53,0),INDEX(VALUES!$B$1:$BT$1,1,$AA128)))</f>
        <v/>
      </c>
    </row>
    <row r="129" spans="1:29" hidden="1" outlineLevel="1" x14ac:dyDescent="0.25">
      <c r="A129" s="22" t="s">
        <v>84</v>
      </c>
      <c r="B129" s="41" t="str">
        <f t="shared" si="8"/>
        <v/>
      </c>
      <c r="C129" s="42">
        <f t="shared" si="5"/>
        <v>128</v>
      </c>
      <c r="D129" s="38"/>
      <c r="E129" s="38"/>
      <c r="F129" s="38" t="s">
        <v>9</v>
      </c>
      <c r="G129" s="38"/>
      <c r="H129" s="38"/>
      <c r="I129" s="38" t="s">
        <v>9</v>
      </c>
      <c r="J129" s="38"/>
      <c r="K129" s="14" t="s">
        <v>18</v>
      </c>
      <c r="L129" s="14" t="s">
        <v>27</v>
      </c>
      <c r="M129" s="20" t="s">
        <v>546</v>
      </c>
      <c r="N129" s="14" t="s">
        <v>547</v>
      </c>
      <c r="O129" s="43" t="s">
        <v>176</v>
      </c>
      <c r="Q129" s="128"/>
      <c r="R129" s="129"/>
      <c r="S129" s="129" t="s">
        <v>111</v>
      </c>
      <c r="T129" s="124" t="s">
        <v>259</v>
      </c>
      <c r="U129" s="124" t="s">
        <v>259</v>
      </c>
      <c r="V129" s="124" t="s">
        <v>548</v>
      </c>
      <c r="W129" s="15" t="str">
        <f>IF(IFERROR(VLOOKUP($M129,COMPARE!$H$2:$H$847,1,0),"-")="-","","GS")</f>
        <v/>
      </c>
      <c r="X129" s="118">
        <v>25</v>
      </c>
      <c r="Y129" s="124" t="s">
        <v>549</v>
      </c>
      <c r="Z129" s="59" t="str">
        <f>IF(OR($M129="",NOT($O129="{array}")),"",IFERROR(MATCH(PARAMETERS!$M129,DEFAULT!$B$5:$CX$5,0),""))</f>
        <v/>
      </c>
      <c r="AA129" s="56" t="str">
        <f t="shared" si="7"/>
        <v/>
      </c>
      <c r="AB129" s="63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17" t="str">
        <f>IF($AA129="","",IF($B129="I",VLOOKUP($AA129,#REF!,53,0),INDEX(VALUES!$B$1:$BT$1,1,$AA129)))</f>
        <v/>
      </c>
    </row>
    <row r="130" spans="1:29" hidden="1" outlineLevel="1" x14ac:dyDescent="0.3">
      <c r="A130" s="22" t="s">
        <v>84</v>
      </c>
      <c r="B130" s="41" t="str">
        <f t="shared" si="8"/>
        <v/>
      </c>
      <c r="C130" s="42">
        <f t="shared" si="5"/>
        <v>129</v>
      </c>
      <c r="D130" s="38"/>
      <c r="E130" s="38"/>
      <c r="F130" s="38" t="s">
        <v>9</v>
      </c>
      <c r="G130" s="38" t="s">
        <v>9</v>
      </c>
      <c r="H130" s="38"/>
      <c r="I130" s="38" t="s">
        <v>9</v>
      </c>
      <c r="J130" s="38"/>
      <c r="K130" s="14" t="s">
        <v>44</v>
      </c>
      <c r="L130" s="14" t="s">
        <v>27</v>
      </c>
      <c r="M130" s="20" t="s">
        <v>550</v>
      </c>
      <c r="N130" s="14" t="s">
        <v>547</v>
      </c>
      <c r="O130" s="43">
        <v>1</v>
      </c>
      <c r="R130" s="38" t="s">
        <v>103</v>
      </c>
      <c r="S130" s="38"/>
      <c r="T130" s="38"/>
      <c r="W130" s="15" t="str">
        <f>IF(IFERROR(VLOOKUP($M130,COMPARE!$H$2:$H$847,1,0),"-")="-","","GS")</f>
        <v/>
      </c>
      <c r="Z130" s="59" t="str">
        <f>IF(OR($M130="",NOT($O130="{array}")),"",IFERROR(MATCH(PARAMETERS!$M130,DEFAULT!$B$5:$CX$5,0),""))</f>
        <v/>
      </c>
      <c r="AA130" s="56" t="str">
        <f t="shared" si="7"/>
        <v/>
      </c>
      <c r="AB130" s="63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17" t="str">
        <f>IF($AA130="","",IF($B130="I",VLOOKUP($AA130,#REF!,53,0),INDEX(VALUES!$B$1:$BT$1,1,$AA130)))</f>
        <v/>
      </c>
    </row>
    <row r="131" spans="1:29" hidden="1" outlineLevel="1" x14ac:dyDescent="0.25">
      <c r="A131" s="22" t="s">
        <v>84</v>
      </c>
      <c r="B131" s="41" t="str">
        <f>IF($A131="P",IF(NOT($Z131=""),"A",IF(NOT($AA131=""),"I","")),IF(NOT($AA131=""),IF($A131="G","V","X"),IF(NOT($Z131=""),"A","")))</f>
        <v/>
      </c>
      <c r="C131" s="42">
        <f t="shared" si="5"/>
        <v>130</v>
      </c>
      <c r="D131" s="38"/>
      <c r="E131" s="38"/>
      <c r="F131" s="38"/>
      <c r="G131" s="38"/>
      <c r="H131" s="38"/>
      <c r="I131" s="38" t="s">
        <v>9</v>
      </c>
      <c r="J131" s="38"/>
      <c r="K131" s="14" t="s">
        <v>44</v>
      </c>
      <c r="L131" s="14" t="s">
        <v>27</v>
      </c>
      <c r="M131" s="140" t="s">
        <v>1221</v>
      </c>
      <c r="N131" s="14" t="s">
        <v>1222</v>
      </c>
      <c r="O131" s="43">
        <v>3</v>
      </c>
      <c r="R131" s="129" t="s">
        <v>102</v>
      </c>
      <c r="S131" s="129" t="s">
        <v>111</v>
      </c>
      <c r="T131" s="124" t="s">
        <v>259</v>
      </c>
      <c r="U131" s="124" t="s">
        <v>259</v>
      </c>
      <c r="V131" s="124" t="s">
        <v>551</v>
      </c>
      <c r="W131" s="15" t="str">
        <f>IF(IFERROR(VLOOKUP($M131,COMPARE!$H$2:$H$847,1,0),"-")="-","","GS")</f>
        <v/>
      </c>
      <c r="X131" s="118">
        <v>51</v>
      </c>
      <c r="Y131" s="124" t="s">
        <v>552</v>
      </c>
      <c r="Z131" s="59" t="str">
        <f>IF(OR($M131="",NOT($O131="{array}")),"",IFERROR(MATCH(PARAMETERS!$M131,DEFAULT!$B$5:$CX$5,0),""))</f>
        <v/>
      </c>
      <c r="AA131" s="56" t="str">
        <f t="shared" si="7"/>
        <v/>
      </c>
      <c r="AB131" s="63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17" t="str">
        <f>IF($AA131="","",IF($B131="I",VLOOKUP($AA131,#REF!,53,0),INDEX(VALUES!$B$1:$BT$1,1,$AA131)))</f>
        <v/>
      </c>
    </row>
    <row r="132" spans="1:29" hidden="1" outlineLevel="1" x14ac:dyDescent="0.25">
      <c r="A132" s="22" t="s">
        <v>84</v>
      </c>
      <c r="B132" s="41" t="str">
        <f>IF($A132="P",IF(NOT($Z132=""),"A",IF(NOT($AA132=""),"I","")),IF(NOT($AA132=""),IF($A132="G","V","X"),IF(NOT($Z132=""),"A","")))</f>
        <v/>
      </c>
      <c r="C132" s="42">
        <f t="shared" si="5"/>
        <v>131</v>
      </c>
      <c r="D132" s="38"/>
      <c r="E132" s="38"/>
      <c r="F132" s="38"/>
      <c r="G132" s="38"/>
      <c r="H132" s="38"/>
      <c r="I132" s="38" t="s">
        <v>9</v>
      </c>
      <c r="J132" s="38"/>
      <c r="K132" s="124" t="s">
        <v>18</v>
      </c>
      <c r="L132" s="14" t="s">
        <v>32</v>
      </c>
      <c r="M132" s="140" t="s">
        <v>1284</v>
      </c>
      <c r="N132" s="124" t="s">
        <v>553</v>
      </c>
      <c r="O132" s="124" t="s">
        <v>1246</v>
      </c>
      <c r="P132" s="118" t="s">
        <v>259</v>
      </c>
      <c r="Q132" s="129" t="s">
        <v>9</v>
      </c>
      <c r="R132" s="129" t="s">
        <v>102</v>
      </c>
      <c r="S132" s="129" t="s">
        <v>111</v>
      </c>
      <c r="T132" s="124" t="s">
        <v>259</v>
      </c>
      <c r="U132" s="124" t="s">
        <v>259</v>
      </c>
      <c r="V132" s="124" t="s">
        <v>553</v>
      </c>
      <c r="W132" s="15" t="str">
        <f>IF(IFERROR(VLOOKUP($M132,COMPARE!$H$2:$H$847,1,0),"-")="-","","GS")</f>
        <v/>
      </c>
      <c r="X132" s="118">
        <v>51</v>
      </c>
      <c r="Y132" s="124" t="s">
        <v>552</v>
      </c>
      <c r="Z132" s="59" t="str">
        <f>IF(OR($M132="",NOT($O132="{array}")),"",IFERROR(MATCH(PARAMETERS!$M132,DEFAULT!$B$5:$CX$5,0),""))</f>
        <v/>
      </c>
      <c r="AA132" s="56" t="str">
        <f t="shared" si="7"/>
        <v/>
      </c>
      <c r="AB132" s="63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17" t="str">
        <f>IF($AA132="","",IF($B132="I",VLOOKUP($AA132,#REF!,53,0),INDEX(VALUES!$B$1:$BT$1,1,$AA132)))</f>
        <v/>
      </c>
    </row>
    <row r="133" spans="1:29" hidden="1" outlineLevel="1" x14ac:dyDescent="0.3">
      <c r="A133" s="22" t="s">
        <v>84</v>
      </c>
      <c r="B133" s="41" t="str">
        <f t="shared" si="8"/>
        <v/>
      </c>
      <c r="C133" s="42">
        <f t="shared" ref="C133:C177" si="9">(ROW()-1)</f>
        <v>132</v>
      </c>
      <c r="D133" s="38"/>
      <c r="E133" s="38"/>
      <c r="F133" s="38"/>
      <c r="G133" s="38"/>
      <c r="H133" s="38"/>
      <c r="I133" s="38" t="s">
        <v>9</v>
      </c>
      <c r="J133" s="38"/>
      <c r="K133" s="14" t="s">
        <v>47</v>
      </c>
      <c r="L133" s="14" t="s">
        <v>27</v>
      </c>
      <c r="M133" s="184" t="s">
        <v>554</v>
      </c>
      <c r="N133" s="14" t="s">
        <v>555</v>
      </c>
      <c r="O133" s="43">
        <v>1</v>
      </c>
      <c r="R133" s="38" t="s">
        <v>103</v>
      </c>
      <c r="S133" s="38"/>
      <c r="T133" s="38"/>
      <c r="W133" s="15" t="str">
        <f>IF(IFERROR(VLOOKUP($M133,COMPARE!$H$2:$H$847,1,0),"-")="-","","GS")</f>
        <v/>
      </c>
      <c r="Z133" s="59" t="str">
        <f>IF(OR($M133="",NOT($O133="{array}")),"",IFERROR(MATCH(PARAMETERS!$M133,DEFAULT!$B$5:$CX$5,0),""))</f>
        <v/>
      </c>
      <c r="AA133" s="56" t="str">
        <f t="shared" si="7"/>
        <v/>
      </c>
      <c r="AB133" s="63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17" t="str">
        <f>IF($AA133="","",IF($B133="I",VLOOKUP($AA133,#REF!,53,0),INDEX(VALUES!$B$1:$BT$1,1,$AA133)))</f>
        <v/>
      </c>
    </row>
    <row r="134" spans="1:29" hidden="1" outlineLevel="1" x14ac:dyDescent="0.3">
      <c r="A134" s="22" t="s">
        <v>84</v>
      </c>
      <c r="B134" s="41" t="str">
        <f t="shared" si="8"/>
        <v/>
      </c>
      <c r="C134" s="42">
        <f t="shared" si="9"/>
        <v>133</v>
      </c>
      <c r="D134" s="38"/>
      <c r="E134" s="38"/>
      <c r="F134" s="38" t="s">
        <v>9</v>
      </c>
      <c r="G134" s="38"/>
      <c r="H134" s="38"/>
      <c r="I134" s="38" t="s">
        <v>9</v>
      </c>
      <c r="J134" s="38"/>
      <c r="K134" s="14" t="s">
        <v>24</v>
      </c>
      <c r="L134" s="14" t="s">
        <v>27</v>
      </c>
      <c r="M134" s="184" t="s">
        <v>556</v>
      </c>
      <c r="N134" s="14" t="s">
        <v>557</v>
      </c>
      <c r="O134" s="43">
        <v>0.1</v>
      </c>
      <c r="R134" s="38" t="s">
        <v>103</v>
      </c>
      <c r="S134" s="38"/>
      <c r="T134" s="38"/>
      <c r="W134" s="15" t="str">
        <f>IF(IFERROR(VLOOKUP($M134,COMPARE!$H$2:$H$847,1,0),"-")="-","","GS")</f>
        <v/>
      </c>
      <c r="Z134" s="59" t="str">
        <f>IF(OR($M134="",NOT($O134="{array}")),"",IFERROR(MATCH(PARAMETERS!$M134,DEFAULT!$B$5:$CX$5,0),""))</f>
        <v/>
      </c>
      <c r="AA134" s="56" t="str">
        <f t="shared" si="7"/>
        <v/>
      </c>
      <c r="AB134" s="63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17" t="str">
        <f>IF($AA134="","",IF($B134="I",VLOOKUP($AA134,#REF!,53,0),INDEX(VALUES!$B$1:$BT$1,1,$AA134)))</f>
        <v/>
      </c>
    </row>
    <row r="135" spans="1:29" hidden="1" outlineLevel="1" x14ac:dyDescent="0.3">
      <c r="A135" s="22" t="s">
        <v>84</v>
      </c>
      <c r="B135" s="41" t="str">
        <f t="shared" si="8"/>
        <v/>
      </c>
      <c r="C135" s="42">
        <f t="shared" si="9"/>
        <v>134</v>
      </c>
      <c r="D135" s="38"/>
      <c r="E135" s="38"/>
      <c r="F135" s="38"/>
      <c r="G135" s="38"/>
      <c r="H135" s="38"/>
      <c r="I135" s="38" t="s">
        <v>9</v>
      </c>
      <c r="J135" s="38"/>
      <c r="K135" s="14" t="s">
        <v>24</v>
      </c>
      <c r="L135" s="14" t="s">
        <v>27</v>
      </c>
      <c r="M135" s="184" t="s">
        <v>558</v>
      </c>
      <c r="N135" s="14" t="s">
        <v>559</v>
      </c>
      <c r="O135" s="43">
        <v>0.1</v>
      </c>
      <c r="R135" s="38" t="s">
        <v>103</v>
      </c>
      <c r="S135" s="38"/>
      <c r="T135" s="38"/>
      <c r="W135" s="15" t="str">
        <f>IF(IFERROR(VLOOKUP($M135,COMPARE!$H$2:$H$847,1,0),"-")="-","","GS")</f>
        <v/>
      </c>
      <c r="Z135" s="59" t="str">
        <f>IF(OR($M135="",NOT($O135="{array}")),"",IFERROR(MATCH(PARAMETERS!$M135,DEFAULT!$B$5:$CX$5,0),""))</f>
        <v/>
      </c>
      <c r="AA135" s="56" t="str">
        <f t="shared" si="7"/>
        <v/>
      </c>
      <c r="AB135" s="63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17" t="str">
        <f>IF($AA135="","",IF($B135="I",VLOOKUP($AA135,#REF!,53,0),INDEX(VALUES!$B$1:$BT$1,1,$AA135)))</f>
        <v/>
      </c>
    </row>
    <row r="136" spans="1:29" hidden="1" outlineLevel="1" x14ac:dyDescent="0.3">
      <c r="A136" s="22" t="s">
        <v>84</v>
      </c>
      <c r="B136" s="41" t="str">
        <f t="shared" si="8"/>
        <v/>
      </c>
      <c r="C136" s="42">
        <f t="shared" si="9"/>
        <v>135</v>
      </c>
      <c r="D136" s="38"/>
      <c r="E136" s="38"/>
      <c r="F136" s="38"/>
      <c r="G136" s="38"/>
      <c r="H136" s="38"/>
      <c r="I136" s="38" t="s">
        <v>9</v>
      </c>
      <c r="J136" s="38"/>
      <c r="K136" s="14" t="s">
        <v>24</v>
      </c>
      <c r="L136" s="14" t="s">
        <v>27</v>
      </c>
      <c r="M136" s="184" t="s">
        <v>560</v>
      </c>
      <c r="N136" s="14" t="s">
        <v>561</v>
      </c>
      <c r="O136" s="43">
        <v>0.1</v>
      </c>
      <c r="R136" s="38" t="s">
        <v>103</v>
      </c>
      <c r="S136" s="38"/>
      <c r="T136" s="38"/>
      <c r="W136" s="15" t="str">
        <f>IF(IFERROR(VLOOKUP($M136,COMPARE!$H$2:$H$847,1,0),"-")="-","","GS")</f>
        <v/>
      </c>
      <c r="Z136" s="59" t="str">
        <f>IF(OR($M136="",NOT($O136="{array}")),"",IFERROR(MATCH(PARAMETERS!$M136,DEFAULT!$B$5:$CX$5,0),""))</f>
        <v/>
      </c>
      <c r="AA136" s="56" t="str">
        <f t="shared" si="7"/>
        <v/>
      </c>
      <c r="AB136" s="63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17" t="str">
        <f>IF($AA136="","",IF($B136="I",VLOOKUP($AA136,#REF!,53,0),INDEX(VALUES!$B$1:$BT$1,1,$AA136)))</f>
        <v/>
      </c>
    </row>
    <row r="137" spans="1:29" hidden="1" outlineLevel="1" x14ac:dyDescent="0.3">
      <c r="A137" s="22" t="s">
        <v>84</v>
      </c>
      <c r="B137" s="41" t="str">
        <f t="shared" si="8"/>
        <v/>
      </c>
      <c r="C137" s="42">
        <f t="shared" si="9"/>
        <v>136</v>
      </c>
      <c r="D137" s="38"/>
      <c r="E137" s="38"/>
      <c r="F137" s="38"/>
      <c r="G137" s="38"/>
      <c r="H137" s="38"/>
      <c r="I137" s="38" t="s">
        <v>9</v>
      </c>
      <c r="J137" s="38"/>
      <c r="K137" s="14" t="s">
        <v>24</v>
      </c>
      <c r="L137" s="14" t="s">
        <v>27</v>
      </c>
      <c r="M137" s="184" t="s">
        <v>562</v>
      </c>
      <c r="N137" s="14" t="s">
        <v>563</v>
      </c>
      <c r="O137" s="43">
        <v>0.1</v>
      </c>
      <c r="R137" s="38" t="s">
        <v>103</v>
      </c>
      <c r="S137" s="38"/>
      <c r="T137" s="38"/>
      <c r="W137" s="15" t="str">
        <f>IF(IFERROR(VLOOKUP($M137,COMPARE!$H$2:$H$847,1,0),"-")="-","","GS")</f>
        <v/>
      </c>
      <c r="Z137" s="59" t="str">
        <f>IF(OR($M137="",NOT($O137="{array}")),"",IFERROR(MATCH(PARAMETERS!$M137,DEFAULT!$B$5:$CX$5,0),""))</f>
        <v/>
      </c>
      <c r="AA137" s="56" t="str">
        <f t="shared" si="7"/>
        <v/>
      </c>
      <c r="AB137" s="63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17" t="str">
        <f>IF($AA137="","",IF($B137="I",VLOOKUP($AA137,#REF!,53,0),INDEX(VALUES!$B$1:$BT$1,1,$AA137)))</f>
        <v/>
      </c>
    </row>
    <row r="138" spans="1:29" hidden="1" outlineLevel="1" x14ac:dyDescent="0.3">
      <c r="A138" s="22" t="s">
        <v>84</v>
      </c>
      <c r="B138" s="41" t="str">
        <f t="shared" si="8"/>
        <v/>
      </c>
      <c r="C138" s="42">
        <f t="shared" si="9"/>
        <v>137</v>
      </c>
      <c r="D138" s="38"/>
      <c r="E138" s="38"/>
      <c r="F138" s="38"/>
      <c r="G138" s="38"/>
      <c r="H138" s="38"/>
      <c r="I138" s="38" t="s">
        <v>9</v>
      </c>
      <c r="J138" s="38"/>
      <c r="K138" s="14" t="s">
        <v>24</v>
      </c>
      <c r="L138" s="14" t="s">
        <v>27</v>
      </c>
      <c r="M138" s="184" t="s">
        <v>564</v>
      </c>
      <c r="N138" s="14" t="s">
        <v>565</v>
      </c>
      <c r="O138" s="43">
        <v>0.1</v>
      </c>
      <c r="R138" s="38" t="s">
        <v>103</v>
      </c>
      <c r="S138" s="38"/>
      <c r="T138" s="38"/>
      <c r="W138" s="15" t="str">
        <f>IF(IFERROR(VLOOKUP($M138,COMPARE!$H$2:$H$847,1,0),"-")="-","","GS")</f>
        <v/>
      </c>
      <c r="Z138" s="59" t="str">
        <f>IF(OR($M138="",NOT($O138="{array}")),"",IFERROR(MATCH(PARAMETERS!$M138,DEFAULT!$B$5:$CX$5,0),""))</f>
        <v/>
      </c>
      <c r="AA138" s="56" t="str">
        <f t="shared" si="7"/>
        <v/>
      </c>
      <c r="AB138" s="63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17" t="str">
        <f>IF($AA138="","",IF($B138="I",VLOOKUP($AA138,#REF!,53,0),INDEX(VALUES!$B$1:$BT$1,1,$AA138)))</f>
        <v/>
      </c>
    </row>
    <row r="139" spans="1:29" hidden="1" outlineLevel="1" x14ac:dyDescent="0.3">
      <c r="A139" s="22" t="s">
        <v>84</v>
      </c>
      <c r="B139" s="41" t="str">
        <f t="shared" si="8"/>
        <v/>
      </c>
      <c r="C139" s="42">
        <f t="shared" si="9"/>
        <v>138</v>
      </c>
      <c r="D139" s="38"/>
      <c r="E139" s="38"/>
      <c r="F139" s="38"/>
      <c r="G139" s="38"/>
      <c r="H139" s="38"/>
      <c r="I139" s="38" t="s">
        <v>9</v>
      </c>
      <c r="J139" s="38"/>
      <c r="K139" s="14" t="s">
        <v>24</v>
      </c>
      <c r="L139" s="14" t="s">
        <v>27</v>
      </c>
      <c r="M139" s="184" t="s">
        <v>566</v>
      </c>
      <c r="N139" s="14" t="s">
        <v>567</v>
      </c>
      <c r="O139" s="43">
        <v>0.1</v>
      </c>
      <c r="R139" s="38" t="s">
        <v>103</v>
      </c>
      <c r="S139" s="38"/>
      <c r="T139" s="38"/>
      <c r="W139" s="15" t="str">
        <f>IF(IFERROR(VLOOKUP($M139,COMPARE!$H$2:$H$847,1,0),"-")="-","","GS")</f>
        <v/>
      </c>
      <c r="Z139" s="59" t="str">
        <f>IF(OR($M139="",NOT($O139="{array}")),"",IFERROR(MATCH(PARAMETERS!$M139,DEFAULT!$B$5:$CX$5,0),""))</f>
        <v/>
      </c>
      <c r="AA139" s="56" t="str">
        <f t="shared" si="7"/>
        <v/>
      </c>
      <c r="AB139" s="63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17" t="str">
        <f>IF($AA139="","",IF($B139="I",VLOOKUP($AA139,#REF!,53,0),INDEX(VALUES!$B$1:$BT$1,1,$AA139)))</f>
        <v/>
      </c>
    </row>
    <row r="140" spans="1:29" hidden="1" outlineLevel="1" x14ac:dyDescent="0.3">
      <c r="A140" s="22" t="s">
        <v>84</v>
      </c>
      <c r="B140" s="41" t="str">
        <f t="shared" si="8"/>
        <v/>
      </c>
      <c r="C140" s="42">
        <f t="shared" si="9"/>
        <v>139</v>
      </c>
      <c r="D140" s="38"/>
      <c r="E140" s="38"/>
      <c r="F140" s="38"/>
      <c r="G140" s="38"/>
      <c r="H140" s="38"/>
      <c r="I140" s="38" t="s">
        <v>9</v>
      </c>
      <c r="J140" s="38"/>
      <c r="K140" s="14" t="s">
        <v>24</v>
      </c>
      <c r="L140" s="14" t="s">
        <v>27</v>
      </c>
      <c r="M140" s="184" t="s">
        <v>568</v>
      </c>
      <c r="N140" s="14" t="s">
        <v>569</v>
      </c>
      <c r="O140" s="43">
        <v>0.1</v>
      </c>
      <c r="R140" s="38" t="s">
        <v>103</v>
      </c>
      <c r="S140" s="38"/>
      <c r="T140" s="38"/>
      <c r="W140" s="15" t="str">
        <f>IF(IFERROR(VLOOKUP($M140,COMPARE!$H$2:$H$847,1,0),"-")="-","","GS")</f>
        <v/>
      </c>
      <c r="Z140" s="59" t="str">
        <f>IF(OR($M140="",NOT($O140="{array}")),"",IFERROR(MATCH(PARAMETERS!$M140,DEFAULT!$B$5:$CX$5,0),""))</f>
        <v/>
      </c>
      <c r="AA140" s="56" t="str">
        <f t="shared" si="7"/>
        <v/>
      </c>
      <c r="AB140" s="63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17" t="str">
        <f>IF($AA140="","",IF($B140="I",VLOOKUP($AA140,#REF!,53,0),INDEX(VALUES!$B$1:$BT$1,1,$AA140)))</f>
        <v/>
      </c>
    </row>
    <row r="141" spans="1:29" hidden="1" outlineLevel="1" x14ac:dyDescent="0.3">
      <c r="A141" s="22" t="s">
        <v>84</v>
      </c>
      <c r="B141" s="41" t="str">
        <f t="shared" si="8"/>
        <v/>
      </c>
      <c r="C141" s="42">
        <f t="shared" si="9"/>
        <v>140</v>
      </c>
      <c r="D141" s="38"/>
      <c r="E141" s="38"/>
      <c r="F141" s="38"/>
      <c r="G141" s="38"/>
      <c r="H141" s="38"/>
      <c r="I141" s="38" t="s">
        <v>9</v>
      </c>
      <c r="J141" s="38"/>
      <c r="K141" s="14" t="s">
        <v>24</v>
      </c>
      <c r="L141" s="14" t="s">
        <v>27</v>
      </c>
      <c r="M141" s="184" t="s">
        <v>570</v>
      </c>
      <c r="N141" s="14" t="s">
        <v>571</v>
      </c>
      <c r="O141" s="43">
        <v>0.1</v>
      </c>
      <c r="R141" s="38" t="s">
        <v>103</v>
      </c>
      <c r="S141" s="38"/>
      <c r="T141" s="38"/>
      <c r="W141" s="15" t="str">
        <f>IF(IFERROR(VLOOKUP($M141,COMPARE!$H$2:$H$847,1,0),"-")="-","","GS")</f>
        <v/>
      </c>
      <c r="Z141" s="59" t="str">
        <f>IF(OR($M141="",NOT($O141="{array}")),"",IFERROR(MATCH(PARAMETERS!$M141,DEFAULT!$B$5:$CX$5,0),""))</f>
        <v/>
      </c>
      <c r="AA141" s="56" t="str">
        <f t="shared" si="7"/>
        <v/>
      </c>
      <c r="AB141" s="63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17" t="str">
        <f>IF($AA141="","",IF($B141="I",VLOOKUP($AA141,#REF!,53,0),INDEX(VALUES!$B$1:$BT$1,1,$AA141)))</f>
        <v/>
      </c>
    </row>
    <row r="142" spans="1:29" hidden="1" outlineLevel="1" x14ac:dyDescent="0.3">
      <c r="A142" s="22" t="s">
        <v>84</v>
      </c>
      <c r="B142" s="41" t="str">
        <f t="shared" si="8"/>
        <v/>
      </c>
      <c r="C142" s="42">
        <f t="shared" si="9"/>
        <v>141</v>
      </c>
      <c r="D142" s="38"/>
      <c r="E142" s="38"/>
      <c r="F142" s="38" t="s">
        <v>9</v>
      </c>
      <c r="G142" s="38"/>
      <c r="H142" s="38"/>
      <c r="I142" s="38" t="s">
        <v>9</v>
      </c>
      <c r="J142" s="38"/>
      <c r="K142" s="14" t="s">
        <v>24</v>
      </c>
      <c r="L142" s="14" t="s">
        <v>27</v>
      </c>
      <c r="M142" s="184" t="s">
        <v>572</v>
      </c>
      <c r="N142" s="14" t="s">
        <v>573</v>
      </c>
      <c r="O142" s="43">
        <v>7.0000000000000007E-2</v>
      </c>
      <c r="R142" s="38" t="s">
        <v>103</v>
      </c>
      <c r="S142" s="38"/>
      <c r="T142" s="38"/>
      <c r="W142" s="15" t="str">
        <f>IF(IFERROR(VLOOKUP($M142,COMPARE!$H$2:$H$847,1,0),"-")="-","","GS")</f>
        <v/>
      </c>
      <c r="Z142" s="59" t="str">
        <f>IF(OR($M142="",NOT($O142="{array}")),"",IFERROR(MATCH(PARAMETERS!$M142,DEFAULT!$B$5:$CX$5,0),""))</f>
        <v/>
      </c>
      <c r="AA142" s="56" t="str">
        <f t="shared" si="7"/>
        <v/>
      </c>
      <c r="AB142" s="63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17" t="str">
        <f>IF($AA142="","",IF($B142="I",VLOOKUP($AA142,#REF!,53,0),INDEX(VALUES!$B$1:$BT$1,1,$AA142)))</f>
        <v/>
      </c>
    </row>
    <row r="143" spans="1:29" hidden="1" outlineLevel="1" x14ac:dyDescent="0.25">
      <c r="A143" s="22" t="s">
        <v>84</v>
      </c>
      <c r="B143" s="41" t="str">
        <f t="shared" si="8"/>
        <v/>
      </c>
      <c r="C143" s="42">
        <f t="shared" si="9"/>
        <v>142</v>
      </c>
      <c r="D143" s="38"/>
      <c r="E143" s="38"/>
      <c r="F143" s="38"/>
      <c r="G143" s="38"/>
      <c r="H143" s="38"/>
      <c r="I143" s="38" t="s">
        <v>9</v>
      </c>
      <c r="J143" s="38"/>
      <c r="K143" s="14" t="s">
        <v>47</v>
      </c>
      <c r="L143" s="14" t="s">
        <v>27</v>
      </c>
      <c r="M143" s="140" t="s">
        <v>1198</v>
      </c>
      <c r="N143" s="53" t="s">
        <v>1199</v>
      </c>
      <c r="O143" s="113">
        <v>1</v>
      </c>
      <c r="P143" s="53"/>
      <c r="Q143" s="165" t="s">
        <v>9</v>
      </c>
      <c r="R143" s="38" t="s">
        <v>191</v>
      </c>
      <c r="S143" s="195" t="s">
        <v>111</v>
      </c>
      <c r="T143" s="128"/>
      <c r="U143" s="124"/>
      <c r="V143" s="124"/>
      <c r="W143" s="15"/>
      <c r="X143" s="118"/>
      <c r="Y143" s="124"/>
      <c r="Z143" s="59" t="str">
        <f>IF(OR($M143="",NOT($O143="{array}")),"",IFERROR(MATCH(PARAMETERS!$M143,DEFAULT!$B$5:$CX$5,0),""))</f>
        <v/>
      </c>
      <c r="AA143" s="56" t="str">
        <f t="shared" si="7"/>
        <v/>
      </c>
      <c r="AB143" s="63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17" t="str">
        <f>IF($AA143="","",IF($B143="I",VLOOKUP($AA143,#REF!,53,0),INDEX(VALUES!$B$1:$BT$1,1,$AA143)))</f>
        <v/>
      </c>
    </row>
    <row r="144" spans="1:29" hidden="1" outlineLevel="1" x14ac:dyDescent="0.25">
      <c r="A144" s="22" t="s">
        <v>84</v>
      </c>
      <c r="B144" s="41" t="str">
        <f t="shared" si="8"/>
        <v/>
      </c>
      <c r="C144" s="42">
        <f t="shared" si="9"/>
        <v>143</v>
      </c>
      <c r="D144" s="38"/>
      <c r="E144" s="38"/>
      <c r="F144" s="38"/>
      <c r="G144" s="38"/>
      <c r="H144" s="38"/>
      <c r="I144" s="38" t="s">
        <v>9</v>
      </c>
      <c r="J144" s="38"/>
      <c r="K144" s="14" t="s">
        <v>24</v>
      </c>
      <c r="L144" s="14" t="s">
        <v>27</v>
      </c>
      <c r="M144" s="140" t="s">
        <v>1200</v>
      </c>
      <c r="N144" s="53" t="s">
        <v>1201</v>
      </c>
      <c r="O144" s="113">
        <v>7.0000000000000007E-2</v>
      </c>
      <c r="P144" s="53"/>
      <c r="Q144" s="165" t="s">
        <v>9</v>
      </c>
      <c r="R144" s="38" t="s">
        <v>191</v>
      </c>
      <c r="S144" s="195" t="s">
        <v>111</v>
      </c>
      <c r="T144" s="128"/>
      <c r="U144" s="124"/>
      <c r="V144" s="124"/>
      <c r="W144" s="15"/>
      <c r="X144" s="118"/>
      <c r="Y144" s="124"/>
      <c r="Z144" s="59" t="str">
        <f>IF(OR($M144="",NOT($O144="{array}")),"",IFERROR(MATCH(PARAMETERS!$M144,DEFAULT!$B$5:$CX$5,0),""))</f>
        <v/>
      </c>
      <c r="AA144" s="56" t="str">
        <f t="shared" si="7"/>
        <v/>
      </c>
      <c r="AB144" s="63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17" t="str">
        <f>IF($AA144="","",IF($B144="I",VLOOKUP($AA144,#REF!,53,0),INDEX(VALUES!$B$1:$BT$1,1,$AA144)))</f>
        <v/>
      </c>
    </row>
    <row r="145" spans="1:29" hidden="1" outlineLevel="1" x14ac:dyDescent="0.25">
      <c r="A145" s="22" t="s">
        <v>84</v>
      </c>
      <c r="B145" s="41" t="str">
        <f t="shared" si="8"/>
        <v/>
      </c>
      <c r="C145" s="42">
        <f t="shared" si="9"/>
        <v>144</v>
      </c>
      <c r="D145" s="38"/>
      <c r="E145" s="38"/>
      <c r="F145" s="38"/>
      <c r="G145" s="38"/>
      <c r="H145" s="38"/>
      <c r="I145" s="38" t="s">
        <v>9</v>
      </c>
      <c r="J145" s="38"/>
      <c r="K145" s="14" t="s">
        <v>24</v>
      </c>
      <c r="L145" s="14" t="s">
        <v>27</v>
      </c>
      <c r="M145" s="140" t="s">
        <v>1202</v>
      </c>
      <c r="N145" s="53" t="s">
        <v>1203</v>
      </c>
      <c r="O145" s="113">
        <v>0.1</v>
      </c>
      <c r="P145" s="53"/>
      <c r="Q145" s="165" t="s">
        <v>9</v>
      </c>
      <c r="R145" s="38" t="s">
        <v>191</v>
      </c>
      <c r="S145" s="195" t="s">
        <v>111</v>
      </c>
      <c r="T145" s="128"/>
      <c r="U145" s="124"/>
      <c r="V145" s="124"/>
      <c r="W145" s="15"/>
      <c r="X145" s="118"/>
      <c r="Y145" s="124"/>
      <c r="Z145" s="59" t="str">
        <f>IF(OR($M145="",NOT($O145="{array}")),"",IFERROR(MATCH(PARAMETERS!$M145,DEFAULT!$B$5:$CX$5,0),""))</f>
        <v/>
      </c>
      <c r="AA145" s="56" t="str">
        <f t="shared" si="7"/>
        <v/>
      </c>
      <c r="AB145" s="63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17" t="str">
        <f>IF($AA145="","",IF($B145="I",VLOOKUP($AA145,#REF!,53,0),INDEX(VALUES!$B$1:$BT$1,1,$AA145)))</f>
        <v/>
      </c>
    </row>
    <row r="146" spans="1:29" hidden="1" outlineLevel="1" x14ac:dyDescent="0.25">
      <c r="A146" s="22" t="s">
        <v>84</v>
      </c>
      <c r="B146" s="41" t="str">
        <f t="shared" si="8"/>
        <v/>
      </c>
      <c r="C146" s="42">
        <f t="shared" si="9"/>
        <v>145</v>
      </c>
      <c r="D146" s="38"/>
      <c r="E146" s="38"/>
      <c r="F146" s="38"/>
      <c r="G146" s="38"/>
      <c r="H146" s="38"/>
      <c r="I146" s="38" t="s">
        <v>9</v>
      </c>
      <c r="J146" s="38"/>
      <c r="K146" s="14" t="s">
        <v>24</v>
      </c>
      <c r="L146" s="14" t="s">
        <v>27</v>
      </c>
      <c r="M146" s="140" t="s">
        <v>1204</v>
      </c>
      <c r="N146" s="53" t="s">
        <v>1205</v>
      </c>
      <c r="O146" s="113">
        <v>0.1</v>
      </c>
      <c r="P146" s="53"/>
      <c r="Q146" s="165" t="s">
        <v>9</v>
      </c>
      <c r="R146" s="38" t="s">
        <v>191</v>
      </c>
      <c r="S146" s="195" t="s">
        <v>111</v>
      </c>
      <c r="T146" s="128"/>
      <c r="U146" s="124"/>
      <c r="V146" s="124"/>
      <c r="W146" s="15"/>
      <c r="X146" s="118"/>
      <c r="Y146" s="124"/>
      <c r="Z146" s="59" t="str">
        <f>IF(OR($M146="",NOT($O146="{array}")),"",IFERROR(MATCH(PARAMETERS!$M146,DEFAULT!$B$5:$CX$5,0),""))</f>
        <v/>
      </c>
      <c r="AA146" s="56" t="str">
        <f t="shared" si="7"/>
        <v/>
      </c>
      <c r="AB146" s="63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17" t="str">
        <f>IF($AA146="","",IF($B146="I",VLOOKUP($AA146,#REF!,53,0),INDEX(VALUES!$B$1:$BT$1,1,$AA146)))</f>
        <v/>
      </c>
    </row>
    <row r="147" spans="1:29" hidden="1" outlineLevel="1" x14ac:dyDescent="0.25">
      <c r="A147" s="22" t="s">
        <v>84</v>
      </c>
      <c r="B147" s="41" t="str">
        <f t="shared" si="8"/>
        <v/>
      </c>
      <c r="C147" s="42">
        <f t="shared" si="9"/>
        <v>146</v>
      </c>
      <c r="D147" s="38"/>
      <c r="E147" s="38"/>
      <c r="F147" s="38"/>
      <c r="G147" s="38"/>
      <c r="H147" s="38"/>
      <c r="I147" s="38" t="s">
        <v>9</v>
      </c>
      <c r="J147" s="38"/>
      <c r="K147" s="14" t="s">
        <v>24</v>
      </c>
      <c r="L147" s="14" t="s">
        <v>27</v>
      </c>
      <c r="M147" s="140" t="s">
        <v>1206</v>
      </c>
      <c r="N147" s="53" t="s">
        <v>1207</v>
      </c>
      <c r="O147" s="113">
        <v>0.1</v>
      </c>
      <c r="P147" s="53"/>
      <c r="Q147" s="165" t="s">
        <v>9</v>
      </c>
      <c r="R147" s="38" t="s">
        <v>191</v>
      </c>
      <c r="S147" s="195" t="s">
        <v>111</v>
      </c>
      <c r="T147" s="128"/>
      <c r="U147" s="124"/>
      <c r="V147" s="124"/>
      <c r="W147" s="15"/>
      <c r="X147" s="118"/>
      <c r="Y147" s="124"/>
      <c r="Z147" s="59" t="str">
        <f>IF(OR($M147="",NOT($O147="{array}")),"",IFERROR(MATCH(PARAMETERS!$M147,DEFAULT!$B$5:$CX$5,0),""))</f>
        <v/>
      </c>
      <c r="AA147" s="56" t="str">
        <f t="shared" si="7"/>
        <v/>
      </c>
      <c r="AB147" s="63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17" t="str">
        <f>IF($AA147="","",IF($B147="I",VLOOKUP($AA147,#REF!,53,0),INDEX(VALUES!$B$1:$BT$1,1,$AA147)))</f>
        <v/>
      </c>
    </row>
    <row r="148" spans="1:29" hidden="1" outlineLevel="1" x14ac:dyDescent="0.25">
      <c r="A148" s="22" t="s">
        <v>84</v>
      </c>
      <c r="B148" s="41" t="str">
        <f t="shared" si="8"/>
        <v/>
      </c>
      <c r="C148" s="42">
        <f t="shared" si="9"/>
        <v>147</v>
      </c>
      <c r="D148" s="38"/>
      <c r="E148" s="38"/>
      <c r="F148" s="38"/>
      <c r="G148" s="38"/>
      <c r="H148" s="38"/>
      <c r="I148" s="38" t="s">
        <v>9</v>
      </c>
      <c r="J148" s="38"/>
      <c r="K148" s="14" t="s">
        <v>24</v>
      </c>
      <c r="L148" s="14" t="s">
        <v>27</v>
      </c>
      <c r="M148" s="140" t="s">
        <v>1208</v>
      </c>
      <c r="N148" s="53" t="s">
        <v>1209</v>
      </c>
      <c r="O148" s="113">
        <v>0.12</v>
      </c>
      <c r="P148" s="53"/>
      <c r="Q148" s="165" t="s">
        <v>9</v>
      </c>
      <c r="R148" s="38" t="s">
        <v>191</v>
      </c>
      <c r="S148" s="195" t="s">
        <v>111</v>
      </c>
      <c r="T148" s="128"/>
      <c r="U148" s="124"/>
      <c r="V148" s="124"/>
      <c r="W148" s="15"/>
      <c r="X148" s="118"/>
      <c r="Y148" s="124"/>
      <c r="Z148" s="59" t="str">
        <f>IF(OR($M148="",NOT($O148="{array}")),"",IFERROR(MATCH(PARAMETERS!$M148,DEFAULT!$B$5:$CX$5,0),""))</f>
        <v/>
      </c>
      <c r="AA148" s="56" t="str">
        <f t="shared" si="7"/>
        <v/>
      </c>
      <c r="AB148" s="63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17" t="str">
        <f>IF($AA148="","",IF($B148="I",VLOOKUP($AA148,#REF!,53,0),INDEX(VALUES!$B$1:$BT$1,1,$AA148)))</f>
        <v/>
      </c>
    </row>
    <row r="149" spans="1:29" hidden="1" outlineLevel="1" x14ac:dyDescent="0.25">
      <c r="A149" s="22" t="s">
        <v>84</v>
      </c>
      <c r="B149" s="41" t="str">
        <f t="shared" si="8"/>
        <v/>
      </c>
      <c r="C149" s="42">
        <f t="shared" si="9"/>
        <v>148</v>
      </c>
      <c r="D149" s="38"/>
      <c r="E149" s="38"/>
      <c r="F149" s="38"/>
      <c r="G149" s="38"/>
      <c r="H149" s="38"/>
      <c r="I149" s="38" t="s">
        <v>9</v>
      </c>
      <c r="J149" s="38"/>
      <c r="K149" s="14" t="s">
        <v>24</v>
      </c>
      <c r="L149" s="14" t="s">
        <v>27</v>
      </c>
      <c r="M149" s="140" t="s">
        <v>1210</v>
      </c>
      <c r="N149" s="53" t="s">
        <v>1211</v>
      </c>
      <c r="O149" s="113">
        <v>8.0000000000000002E-3</v>
      </c>
      <c r="P149" s="53"/>
      <c r="Q149" s="165" t="s">
        <v>9</v>
      </c>
      <c r="R149" s="38" t="s">
        <v>191</v>
      </c>
      <c r="S149" s="195" t="s">
        <v>111</v>
      </c>
      <c r="T149" s="128"/>
      <c r="U149" s="124"/>
      <c r="V149" s="124"/>
      <c r="W149" s="15"/>
      <c r="X149" s="118"/>
      <c r="Y149" s="124"/>
      <c r="Z149" s="59" t="str">
        <f>IF(OR($M149="",NOT($O149="{array}")),"",IFERROR(MATCH(PARAMETERS!$M149,DEFAULT!$B$5:$CX$5,0),""))</f>
        <v/>
      </c>
      <c r="AA149" s="56" t="str">
        <f t="shared" si="7"/>
        <v/>
      </c>
      <c r="AB149" s="63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17" t="str">
        <f>IF($AA149="","",IF($B149="I",VLOOKUP($AA149,#REF!,53,0),INDEX(VALUES!$B$1:$BT$1,1,$AA149)))</f>
        <v/>
      </c>
    </row>
    <row r="150" spans="1:29" hidden="1" outlineLevel="1" x14ac:dyDescent="0.25">
      <c r="A150" s="22" t="s">
        <v>84</v>
      </c>
      <c r="B150" s="41" t="str">
        <f t="shared" si="8"/>
        <v/>
      </c>
      <c r="C150" s="42">
        <f t="shared" si="9"/>
        <v>149</v>
      </c>
      <c r="D150" s="38"/>
      <c r="E150" s="38"/>
      <c r="F150" s="38"/>
      <c r="G150" s="38"/>
      <c r="H150" s="38"/>
      <c r="I150" s="38" t="s">
        <v>9</v>
      </c>
      <c r="J150" s="38"/>
      <c r="K150" s="14" t="s">
        <v>24</v>
      </c>
      <c r="L150" s="14" t="s">
        <v>27</v>
      </c>
      <c r="M150" s="140" t="s">
        <v>1212</v>
      </c>
      <c r="N150" s="53" t="s">
        <v>1213</v>
      </c>
      <c r="O150" s="113">
        <v>8.0000000000000002E-3</v>
      </c>
      <c r="P150" s="53"/>
      <c r="Q150" s="165" t="s">
        <v>9</v>
      </c>
      <c r="R150" s="38" t="s">
        <v>191</v>
      </c>
      <c r="S150" s="195" t="s">
        <v>111</v>
      </c>
      <c r="T150" s="128"/>
      <c r="U150" s="124"/>
      <c r="V150" s="124"/>
      <c r="W150" s="15"/>
      <c r="X150" s="118"/>
      <c r="Y150" s="124"/>
      <c r="Z150" s="59" t="str">
        <f>IF(OR($M150="",NOT($O150="{array}")),"",IFERROR(MATCH(PARAMETERS!$M150,DEFAULT!$B$5:$CX$5,0),""))</f>
        <v/>
      </c>
      <c r="AA150" s="56" t="str">
        <f t="shared" si="7"/>
        <v/>
      </c>
      <c r="AB150" s="63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17" t="str">
        <f>IF($AA150="","",IF($B150="I",VLOOKUP($AA150,#REF!,53,0),INDEX(VALUES!$B$1:$BT$1,1,$AA150)))</f>
        <v/>
      </c>
    </row>
    <row r="151" spans="1:29" hidden="1" outlineLevel="1" x14ac:dyDescent="0.25">
      <c r="A151" s="22" t="s">
        <v>84</v>
      </c>
      <c r="B151" s="41" t="str">
        <f t="shared" si="8"/>
        <v/>
      </c>
      <c r="C151" s="42">
        <f t="shared" si="9"/>
        <v>150</v>
      </c>
      <c r="D151" s="38"/>
      <c r="E151" s="38"/>
      <c r="F151" s="38"/>
      <c r="G151" s="38"/>
      <c r="H151" s="38"/>
      <c r="I151" s="38" t="s">
        <v>9</v>
      </c>
      <c r="J151" s="38"/>
      <c r="K151" s="14" t="s">
        <v>24</v>
      </c>
      <c r="L151" s="14" t="s">
        <v>27</v>
      </c>
      <c r="M151" s="140" t="s">
        <v>1218</v>
      </c>
      <c r="N151" s="124" t="s">
        <v>574</v>
      </c>
      <c r="O151" s="117">
        <v>3.5000000000000003E-2</v>
      </c>
      <c r="P151" s="118"/>
      <c r="Q151" s="129" t="s">
        <v>9</v>
      </c>
      <c r="R151" s="129" t="s">
        <v>102</v>
      </c>
      <c r="S151" s="129" t="s">
        <v>111</v>
      </c>
      <c r="T151" s="124" t="s">
        <v>259</v>
      </c>
      <c r="U151" s="124" t="s">
        <v>259</v>
      </c>
      <c r="V151" s="124" t="s">
        <v>574</v>
      </c>
      <c r="W151" s="15" t="str">
        <f>IF(IFERROR(VLOOKUP($M151,COMPARE!$H$2:$H$847,1,0),"-")="-","","GS")</f>
        <v/>
      </c>
      <c r="X151" s="118">
        <v>53</v>
      </c>
      <c r="Y151" s="124" t="s">
        <v>575</v>
      </c>
      <c r="Z151" s="59" t="str">
        <f>IF(OR($M151="",NOT($O151="{array}")),"",IFERROR(MATCH(PARAMETERS!$M151,DEFAULT!$B$5:$CX$5,0),""))</f>
        <v/>
      </c>
      <c r="AA151" s="56" t="str">
        <f t="shared" si="7"/>
        <v/>
      </c>
      <c r="AB151" s="63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17" t="str">
        <f>IF($AA151="","",IF($B151="I",VLOOKUP($AA151,#REF!,53,0),INDEX(VALUES!$B$1:$BT$1,1,$AA151)))</f>
        <v/>
      </c>
    </row>
    <row r="152" spans="1:29" hidden="1" outlineLevel="1" x14ac:dyDescent="0.25">
      <c r="A152" s="22" t="s">
        <v>84</v>
      </c>
      <c r="B152" s="41" t="str">
        <f t="shared" si="8"/>
        <v/>
      </c>
      <c r="C152" s="42">
        <f t="shared" si="9"/>
        <v>151</v>
      </c>
      <c r="D152" s="38"/>
      <c r="E152" s="38"/>
      <c r="F152" s="38"/>
      <c r="G152" s="38"/>
      <c r="H152" s="38"/>
      <c r="I152" s="38" t="s">
        <v>9</v>
      </c>
      <c r="J152" s="38"/>
      <c r="K152" s="14" t="s">
        <v>24</v>
      </c>
      <c r="L152" s="14" t="s">
        <v>27</v>
      </c>
      <c r="M152" s="140" t="s">
        <v>1219</v>
      </c>
      <c r="N152" s="117" t="s">
        <v>576</v>
      </c>
      <c r="O152" s="117">
        <v>3.5000000000000003E-2</v>
      </c>
      <c r="P152" s="134"/>
      <c r="Q152" s="136" t="s">
        <v>9</v>
      </c>
      <c r="R152" s="136" t="s">
        <v>102</v>
      </c>
      <c r="S152" s="136" t="s">
        <v>111</v>
      </c>
      <c r="T152" s="117" t="s">
        <v>259</v>
      </c>
      <c r="U152" s="117" t="s">
        <v>259</v>
      </c>
      <c r="V152" s="117" t="s">
        <v>576</v>
      </c>
      <c r="W152" s="15" t="str">
        <f>IF(IFERROR(VLOOKUP($M152,COMPARE!$H$2:$H$847,1,0),"-")="-","","GS")</f>
        <v/>
      </c>
      <c r="X152" s="134">
        <v>53</v>
      </c>
      <c r="Y152" s="117" t="s">
        <v>575</v>
      </c>
      <c r="Z152" s="59" t="str">
        <f>IF(OR($M152="",NOT($O152="{array}")),"",IFERROR(MATCH(PARAMETERS!$M152,DEFAULT!$B$5:$CX$5,0),""))</f>
        <v/>
      </c>
      <c r="AA152" s="56" t="str">
        <f t="shared" si="7"/>
        <v/>
      </c>
      <c r="AB152" s="63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17" t="str">
        <f>IF($AA152="","",IF($B152="I",VLOOKUP($AA152,#REF!,53,0),INDEX(VALUES!$B$1:$BT$1,1,$AA152)))</f>
        <v/>
      </c>
    </row>
    <row r="153" spans="1:29" hidden="1" outlineLevel="1" x14ac:dyDescent="0.25">
      <c r="A153" s="22" t="s">
        <v>84</v>
      </c>
      <c r="B153" s="41" t="str">
        <f t="shared" si="8"/>
        <v/>
      </c>
      <c r="C153" s="42">
        <f t="shared" si="9"/>
        <v>152</v>
      </c>
      <c r="D153" s="38"/>
      <c r="E153" s="38"/>
      <c r="F153" s="38"/>
      <c r="G153" s="38"/>
      <c r="H153" s="38"/>
      <c r="I153" s="38" t="s">
        <v>9</v>
      </c>
      <c r="J153" s="38"/>
      <c r="K153" s="14" t="s">
        <v>24</v>
      </c>
      <c r="L153" s="14" t="s">
        <v>27</v>
      </c>
      <c r="M153" s="140" t="s">
        <v>1220</v>
      </c>
      <c r="N153" s="117" t="s">
        <v>577</v>
      </c>
      <c r="O153" s="117">
        <v>3.5000000000000003E-2</v>
      </c>
      <c r="P153" s="134"/>
      <c r="Q153" s="136" t="s">
        <v>9</v>
      </c>
      <c r="R153" s="136" t="s">
        <v>102</v>
      </c>
      <c r="S153" s="136" t="s">
        <v>111</v>
      </c>
      <c r="T153" s="117" t="s">
        <v>259</v>
      </c>
      <c r="U153" s="117" t="s">
        <v>259</v>
      </c>
      <c r="V153" s="117" t="s">
        <v>577</v>
      </c>
      <c r="W153" s="15" t="str">
        <f>IF(IFERROR(VLOOKUP($M153,COMPARE!$H$2:$H$847,1,0),"-")="-","","GS")</f>
        <v/>
      </c>
      <c r="X153" s="134">
        <v>53</v>
      </c>
      <c r="Y153" s="117" t="s">
        <v>575</v>
      </c>
      <c r="Z153" s="59" t="str">
        <f>IF(OR($M153="",NOT($O153="{array}")),"",IFERROR(MATCH(PARAMETERS!$M153,DEFAULT!$B$5:$CX$5,0),""))</f>
        <v/>
      </c>
      <c r="AA153" s="56" t="str">
        <f t="shared" si="7"/>
        <v/>
      </c>
      <c r="AB153" s="63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17" t="str">
        <f>IF($AA153="","",IF($B153="I",VLOOKUP($AA153,#REF!,53,0),INDEX(VALUES!$B$1:$BT$1,1,$AA153)))</f>
        <v/>
      </c>
    </row>
    <row r="154" spans="1:29" hidden="1" outlineLevel="1" x14ac:dyDescent="0.25">
      <c r="A154" s="22" t="s">
        <v>84</v>
      </c>
      <c r="B154" s="41" t="str">
        <f t="shared" si="8"/>
        <v/>
      </c>
      <c r="C154" s="42">
        <f t="shared" si="9"/>
        <v>153</v>
      </c>
      <c r="D154" s="38"/>
      <c r="E154" s="38"/>
      <c r="F154" s="38"/>
      <c r="G154" s="38"/>
      <c r="H154" s="38"/>
      <c r="I154" s="38" t="s">
        <v>9</v>
      </c>
      <c r="J154" s="38"/>
      <c r="K154" s="14" t="s">
        <v>24</v>
      </c>
      <c r="L154" s="14" t="s">
        <v>27</v>
      </c>
      <c r="M154" s="140" t="s">
        <v>1225</v>
      </c>
      <c r="N154" s="117" t="s">
        <v>578</v>
      </c>
      <c r="O154" s="117">
        <v>3.5000000000000003E-2</v>
      </c>
      <c r="P154" s="134"/>
      <c r="Q154" s="136" t="s">
        <v>9</v>
      </c>
      <c r="R154" s="136" t="s">
        <v>102</v>
      </c>
      <c r="S154" s="136" t="s">
        <v>111</v>
      </c>
      <c r="T154" s="117" t="s">
        <v>259</v>
      </c>
      <c r="U154" s="117" t="s">
        <v>259</v>
      </c>
      <c r="V154" s="117" t="s">
        <v>578</v>
      </c>
      <c r="W154" s="15" t="str">
        <f>IF(IFERROR(VLOOKUP($M154,COMPARE!$H$2:$H$847,1,0),"-")="-","","GS")</f>
        <v/>
      </c>
      <c r="X154" s="134">
        <v>53</v>
      </c>
      <c r="Y154" s="117" t="s">
        <v>575</v>
      </c>
      <c r="Z154" s="59" t="str">
        <f>IF(OR($M154="",NOT($O154="{array}")),"",IFERROR(MATCH(PARAMETERS!$M154,DEFAULT!$B$5:$CX$5,0),""))</f>
        <v/>
      </c>
      <c r="AA154" s="56" t="str">
        <f t="shared" si="7"/>
        <v/>
      </c>
      <c r="AB154" s="63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17" t="str">
        <f>IF($AA154="","",IF($B154="I",VLOOKUP($AA154,#REF!,53,0),INDEX(VALUES!$B$1:$BT$1,1,$AA154)))</f>
        <v/>
      </c>
    </row>
    <row r="155" spans="1:29" hidden="1" outlineLevel="1" x14ac:dyDescent="0.25">
      <c r="A155" s="22"/>
      <c r="B155" s="41" t="str">
        <f t="shared" si="8"/>
        <v/>
      </c>
      <c r="C155" s="42">
        <f t="shared" si="9"/>
        <v>154</v>
      </c>
      <c r="D155" s="38"/>
      <c r="E155" s="38"/>
      <c r="F155" s="38"/>
      <c r="G155" s="38"/>
      <c r="H155" s="38"/>
      <c r="I155" s="38" t="s">
        <v>9</v>
      </c>
      <c r="J155" s="38"/>
      <c r="K155" s="124" t="s">
        <v>36</v>
      </c>
      <c r="L155" s="14" t="s">
        <v>27</v>
      </c>
      <c r="M155" s="124" t="s">
        <v>579</v>
      </c>
      <c r="N155" s="124" t="s">
        <v>259</v>
      </c>
      <c r="O155" s="124" t="s">
        <v>259</v>
      </c>
      <c r="P155" s="118" t="s">
        <v>127</v>
      </c>
      <c r="Q155" s="128" t="s">
        <v>9</v>
      </c>
      <c r="R155" s="129" t="s">
        <v>102</v>
      </c>
      <c r="S155" s="129" t="s">
        <v>111</v>
      </c>
      <c r="T155" s="124" t="s">
        <v>259</v>
      </c>
      <c r="U155" s="124" t="s">
        <v>259</v>
      </c>
      <c r="V155" s="124" t="s">
        <v>579</v>
      </c>
      <c r="W155" s="15" t="str">
        <f>IF(IFERROR(VLOOKUP($M155,COMPARE!$H$2:$H$847,1,0),"-")="-","","GS")</f>
        <v/>
      </c>
      <c r="X155" s="118">
        <v>49</v>
      </c>
      <c r="Y155" s="124" t="s">
        <v>580</v>
      </c>
      <c r="Z155" s="59" t="str">
        <f>IF(OR($M155="",NOT($O155="{array}")),"",IFERROR(MATCH(PARAMETERS!$M155,DEFAULT!$B$5:$CX$5,0),""))</f>
        <v/>
      </c>
      <c r="AA155" s="56" t="str">
        <f t="shared" si="7"/>
        <v/>
      </c>
      <c r="AB155" s="63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17" t="str">
        <f>IF($AA155="","",IF($B155="I",VLOOKUP($AA155,#REF!,53,0),INDEX(VALUES!$B$1:$BT$1,1,$AA155)))</f>
        <v/>
      </c>
    </row>
    <row r="156" spans="1:29" hidden="1" outlineLevel="1" x14ac:dyDescent="0.25">
      <c r="A156" s="22"/>
      <c r="B156" s="41" t="str">
        <f t="shared" si="8"/>
        <v/>
      </c>
      <c r="C156" s="42">
        <f t="shared" si="9"/>
        <v>155</v>
      </c>
      <c r="D156" s="38"/>
      <c r="E156" s="38"/>
      <c r="F156" s="38"/>
      <c r="G156" s="38"/>
      <c r="H156" s="38"/>
      <c r="I156" s="38" t="s">
        <v>9</v>
      </c>
      <c r="J156" s="38"/>
      <c r="K156" s="124" t="s">
        <v>44</v>
      </c>
      <c r="L156" s="14" t="s">
        <v>27</v>
      </c>
      <c r="M156" s="124" t="s">
        <v>581</v>
      </c>
      <c r="N156" s="124" t="s">
        <v>259</v>
      </c>
      <c r="O156" s="124" t="s">
        <v>259</v>
      </c>
      <c r="P156" s="118" t="s">
        <v>123</v>
      </c>
      <c r="Q156" s="128" t="s">
        <v>9</v>
      </c>
      <c r="R156" s="129" t="s">
        <v>102</v>
      </c>
      <c r="S156" s="129" t="s">
        <v>111</v>
      </c>
      <c r="T156" s="124" t="s">
        <v>259</v>
      </c>
      <c r="U156" s="124" t="s">
        <v>259</v>
      </c>
      <c r="V156" s="124" t="s">
        <v>581</v>
      </c>
      <c r="W156" s="15" t="str">
        <f>IF(IFERROR(VLOOKUP($M156,COMPARE!$H$2:$H$847,1,0),"-")="-","","GS")</f>
        <v/>
      </c>
      <c r="X156" s="118">
        <v>52</v>
      </c>
      <c r="Y156" s="124" t="s">
        <v>582</v>
      </c>
      <c r="Z156" s="59" t="str">
        <f>IF(OR($M156="",NOT($O156="{array}")),"",IFERROR(MATCH(PARAMETERS!$M156,DEFAULT!$B$5:$CX$5,0),""))</f>
        <v/>
      </c>
      <c r="AA156" s="56" t="str">
        <f t="shared" si="7"/>
        <v/>
      </c>
      <c r="AB156" s="63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17" t="str">
        <f>IF($AA156="","",IF($B156="I",VLOOKUP($AA156,#REF!,53,0),INDEX(VALUES!$B$1:$BT$1,1,$AA156)))</f>
        <v/>
      </c>
    </row>
    <row r="157" spans="1:29" hidden="1" outlineLevel="1" x14ac:dyDescent="0.25">
      <c r="A157" s="22"/>
      <c r="B157" s="41" t="str">
        <f t="shared" si="8"/>
        <v/>
      </c>
      <c r="C157" s="42">
        <f t="shared" si="9"/>
        <v>156</v>
      </c>
      <c r="D157" s="38"/>
      <c r="E157" s="38"/>
      <c r="F157" s="38"/>
      <c r="G157" s="38"/>
      <c r="H157" s="38"/>
      <c r="I157" s="38" t="s">
        <v>9</v>
      </c>
      <c r="J157" s="38"/>
      <c r="K157" s="124" t="s">
        <v>44</v>
      </c>
      <c r="L157" s="14" t="s">
        <v>27</v>
      </c>
      <c r="M157" s="124" t="s">
        <v>583</v>
      </c>
      <c r="N157" s="124" t="s">
        <v>259</v>
      </c>
      <c r="O157" s="124" t="s">
        <v>259</v>
      </c>
      <c r="P157" s="118" t="s">
        <v>123</v>
      </c>
      <c r="Q157" s="128" t="s">
        <v>9</v>
      </c>
      <c r="R157" s="129" t="s">
        <v>102</v>
      </c>
      <c r="S157" s="129" t="s">
        <v>111</v>
      </c>
      <c r="T157" s="124" t="s">
        <v>259</v>
      </c>
      <c r="U157" s="124" t="s">
        <v>259</v>
      </c>
      <c r="V157" s="124" t="s">
        <v>583</v>
      </c>
      <c r="W157" s="15" t="str">
        <f>IF(IFERROR(VLOOKUP($M157,COMPARE!$H$2:$H$847,1,0),"-")="-","","GS")</f>
        <v/>
      </c>
      <c r="X157" s="118" t="s">
        <v>259</v>
      </c>
      <c r="Y157" s="124" t="s">
        <v>584</v>
      </c>
      <c r="Z157" s="59" t="str">
        <f>IF(OR($M157="",NOT($O157="{array}")),"",IFERROR(MATCH(PARAMETERS!$M157,DEFAULT!$B$5:$CX$5,0),""))</f>
        <v/>
      </c>
      <c r="AA157" s="56" t="str">
        <f t="shared" si="7"/>
        <v/>
      </c>
      <c r="AB157" s="63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17" t="str">
        <f>IF($AA157="","",IF($B157="I",VLOOKUP($AA157,#REF!,53,0),INDEX(VALUES!$B$1:$BT$1,1,$AA157)))</f>
        <v/>
      </c>
    </row>
    <row r="158" spans="1:29" hidden="1" outlineLevel="1" x14ac:dyDescent="0.25">
      <c r="A158" s="22"/>
      <c r="B158" s="41" t="str">
        <f t="shared" si="8"/>
        <v/>
      </c>
      <c r="C158" s="42">
        <f t="shared" si="9"/>
        <v>157</v>
      </c>
      <c r="D158" s="38"/>
      <c r="E158" s="38"/>
      <c r="F158" s="38"/>
      <c r="G158" s="38"/>
      <c r="H158" s="38"/>
      <c r="I158" s="38" t="s">
        <v>9</v>
      </c>
      <c r="J158" s="38"/>
      <c r="K158" s="124" t="s">
        <v>44</v>
      </c>
      <c r="L158" s="14" t="s">
        <v>27</v>
      </c>
      <c r="M158" s="124" t="s">
        <v>585</v>
      </c>
      <c r="N158" s="124" t="s">
        <v>259</v>
      </c>
      <c r="O158" s="124" t="s">
        <v>259</v>
      </c>
      <c r="P158" s="118" t="s">
        <v>123</v>
      </c>
      <c r="Q158" s="128" t="s">
        <v>9</v>
      </c>
      <c r="R158" s="129" t="s">
        <v>102</v>
      </c>
      <c r="S158" s="129" t="s">
        <v>111</v>
      </c>
      <c r="T158" s="124" t="s">
        <v>259</v>
      </c>
      <c r="U158" s="124" t="s">
        <v>259</v>
      </c>
      <c r="V158" s="124" t="s">
        <v>585</v>
      </c>
      <c r="W158" s="15" t="str">
        <f>IF(IFERROR(VLOOKUP($M158,COMPARE!$H$2:$H$847,1,0),"-")="-","","GS")</f>
        <v/>
      </c>
      <c r="X158" s="118">
        <v>54</v>
      </c>
      <c r="Y158" s="124" t="s">
        <v>586</v>
      </c>
      <c r="Z158" s="59" t="str">
        <f>IF(OR($M158="",NOT($O158="{array}")),"",IFERROR(MATCH(PARAMETERS!$M158,DEFAULT!$B$5:$CX$5,0),""))</f>
        <v/>
      </c>
      <c r="AA158" s="56" t="str">
        <f t="shared" si="7"/>
        <v/>
      </c>
      <c r="AB158" s="63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7" t="str">
        <f>IF($AA158="","",IF($B158="I",VLOOKUP($AA158,#REF!,53,0),INDEX(VALUES!$B$1:$BT$1,1,$AA158)))</f>
        <v/>
      </c>
    </row>
    <row r="159" spans="1:29" hidden="1" outlineLevel="1" x14ac:dyDescent="0.3">
      <c r="A159" s="22" t="s">
        <v>84</v>
      </c>
      <c r="B159" s="41" t="str">
        <f t="shared" si="8"/>
        <v/>
      </c>
      <c r="C159" s="42">
        <f t="shared" si="9"/>
        <v>158</v>
      </c>
      <c r="D159" s="38"/>
      <c r="E159" s="38"/>
      <c r="F159" s="38"/>
      <c r="G159" s="38"/>
      <c r="H159" s="38"/>
      <c r="I159" s="38" t="s">
        <v>9</v>
      </c>
      <c r="J159" s="38"/>
      <c r="K159" s="124" t="s">
        <v>44</v>
      </c>
      <c r="L159" s="14" t="s">
        <v>27</v>
      </c>
      <c r="M159" s="198" t="s">
        <v>587</v>
      </c>
      <c r="N159" s="124" t="s">
        <v>588</v>
      </c>
      <c r="O159" s="124">
        <v>1</v>
      </c>
      <c r="P159" s="118" t="s">
        <v>259</v>
      </c>
      <c r="Q159" s="128"/>
      <c r="R159" s="129" t="s">
        <v>102</v>
      </c>
      <c r="S159" s="129" t="s">
        <v>111</v>
      </c>
      <c r="T159" s="124" t="s">
        <v>259</v>
      </c>
      <c r="U159" s="124" t="s">
        <v>259</v>
      </c>
      <c r="V159" s="124" t="s">
        <v>588</v>
      </c>
      <c r="W159" s="15" t="str">
        <f>IF(IFERROR(VLOOKUP($M159,COMPARE!$H$2:$H$847,1,0),"-")="-","","GS")</f>
        <v/>
      </c>
      <c r="X159" s="118">
        <v>50</v>
      </c>
      <c r="Y159" s="124" t="s">
        <v>589</v>
      </c>
      <c r="Z159" s="59" t="str">
        <f>IF(OR($M159="",NOT($O159="{array}")),"",IFERROR(MATCH(PARAMETERS!$M159,DEFAULT!$B$5:$CX$5,0),""))</f>
        <v/>
      </c>
      <c r="AA159" s="56" t="str">
        <f t="shared" si="7"/>
        <v/>
      </c>
      <c r="AB159" s="63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7" t="str">
        <f>IF($AA159="","",IF($B159="I",VLOOKUP($AA159,#REF!,53,0),INDEX(VALUES!$B$1:$BT$1,1,$AA159)))</f>
        <v/>
      </c>
    </row>
    <row r="160" spans="1:29" hidden="1" outlineLevel="1" x14ac:dyDescent="0.3">
      <c r="A160" s="22" t="s">
        <v>84</v>
      </c>
      <c r="B160" s="41" t="str">
        <f t="shared" si="8"/>
        <v/>
      </c>
      <c r="C160" s="42">
        <f t="shared" si="9"/>
        <v>159</v>
      </c>
      <c r="D160" s="38"/>
      <c r="E160" s="38"/>
      <c r="F160" s="38" t="s">
        <v>9</v>
      </c>
      <c r="G160" s="38"/>
      <c r="H160" s="38"/>
      <c r="I160" s="38" t="s">
        <v>9</v>
      </c>
      <c r="J160" s="38"/>
      <c r="K160" s="14" t="s">
        <v>24</v>
      </c>
      <c r="L160" s="14" t="s">
        <v>27</v>
      </c>
      <c r="M160" s="184" t="s">
        <v>590</v>
      </c>
      <c r="N160" s="14" t="s">
        <v>591</v>
      </c>
      <c r="O160" s="43">
        <v>1.4999999999999999E-2</v>
      </c>
      <c r="Q160" s="38" t="s">
        <v>9</v>
      </c>
      <c r="R160" s="38" t="s">
        <v>103</v>
      </c>
      <c r="S160" s="38"/>
      <c r="T160" s="38"/>
      <c r="W160" s="15" t="str">
        <f>IF(IFERROR(VLOOKUP($M160,COMPARE!$H$2:$H$847,1,0),"-")="-","","GS")</f>
        <v/>
      </c>
      <c r="Y160" s="53" t="s">
        <v>592</v>
      </c>
      <c r="Z160" s="59" t="str">
        <f>IF(OR($M160="",NOT($O160="{array}")),"",IFERROR(MATCH(PARAMETERS!$M160,DEFAULT!$B$5:$CX$5,0),""))</f>
        <v/>
      </c>
      <c r="AA160" s="56" t="str">
        <f t="shared" si="7"/>
        <v/>
      </c>
      <c r="AB160" s="63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7" t="str">
        <f>IF($AA160="","",IF($B160="I",VLOOKUP($AA160,#REF!,53,0),INDEX(VALUES!$B$1:$BT$1,1,$AA160)))</f>
        <v/>
      </c>
    </row>
    <row r="161" spans="1:29" hidden="1" outlineLevel="1" x14ac:dyDescent="0.3">
      <c r="A161" s="22" t="s">
        <v>84</v>
      </c>
      <c r="B161" s="41" t="str">
        <f t="shared" si="8"/>
        <v/>
      </c>
      <c r="C161" s="42">
        <f t="shared" si="9"/>
        <v>160</v>
      </c>
      <c r="D161" s="38"/>
      <c r="E161" s="38"/>
      <c r="F161" s="38" t="s">
        <v>9</v>
      </c>
      <c r="G161" s="38"/>
      <c r="H161" s="38"/>
      <c r="I161" s="38" t="s">
        <v>9</v>
      </c>
      <c r="J161" s="38"/>
      <c r="K161" s="14" t="s">
        <v>24</v>
      </c>
      <c r="L161" s="14" t="s">
        <v>27</v>
      </c>
      <c r="M161" s="184" t="s">
        <v>593</v>
      </c>
      <c r="N161" s="14" t="s">
        <v>594</v>
      </c>
      <c r="O161" s="43">
        <v>0.02</v>
      </c>
      <c r="Q161" s="38" t="s">
        <v>9</v>
      </c>
      <c r="R161" s="38" t="s">
        <v>103</v>
      </c>
      <c r="S161" s="38"/>
      <c r="T161" s="38"/>
      <c r="W161" s="15" t="str">
        <f>IF(IFERROR(VLOOKUP($M161,COMPARE!$H$2:$H$847,1,0),"-")="-","","GS")</f>
        <v/>
      </c>
      <c r="Y161" s="53" t="s">
        <v>592</v>
      </c>
      <c r="Z161" s="59" t="str">
        <f>IF(OR($M161="",NOT($O161="{array}")),"",IFERROR(MATCH(PARAMETERS!$M161,DEFAULT!$B$5:$CX$5,0),""))</f>
        <v/>
      </c>
      <c r="AA161" s="56" t="str">
        <f t="shared" si="7"/>
        <v/>
      </c>
      <c r="AB161" s="63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7" t="str">
        <f>IF($AA161="","",IF($B161="I",VLOOKUP($AA161,#REF!,53,0),INDEX(VALUES!$B$1:$BT$1,1,$AA161)))</f>
        <v/>
      </c>
    </row>
    <row r="162" spans="1:29" hidden="1" outlineLevel="1" x14ac:dyDescent="0.3">
      <c r="A162" s="22" t="s">
        <v>84</v>
      </c>
      <c r="B162" s="41" t="str">
        <f t="shared" si="8"/>
        <v/>
      </c>
      <c r="C162" s="42">
        <f t="shared" si="9"/>
        <v>161</v>
      </c>
      <c r="D162" s="38"/>
      <c r="E162" s="38"/>
      <c r="F162" s="38" t="s">
        <v>9</v>
      </c>
      <c r="G162" s="38"/>
      <c r="H162" s="38"/>
      <c r="I162" s="38" t="s">
        <v>9</v>
      </c>
      <c r="J162" s="38"/>
      <c r="K162" s="14" t="s">
        <v>24</v>
      </c>
      <c r="L162" s="14" t="s">
        <v>27</v>
      </c>
      <c r="M162" s="140" t="s">
        <v>1223</v>
      </c>
      <c r="N162" s="53" t="s">
        <v>1224</v>
      </c>
      <c r="O162" s="113">
        <v>0</v>
      </c>
      <c r="P162" s="53"/>
      <c r="Q162" s="165" t="s">
        <v>9</v>
      </c>
      <c r="R162" s="38" t="s">
        <v>191</v>
      </c>
      <c r="S162" s="38"/>
      <c r="T162" s="38"/>
      <c r="W162" s="15"/>
      <c r="Y162" s="53"/>
      <c r="Z162" s="59" t="str">
        <f>IF(OR($M162="",NOT($O162="{array}")),"",IFERROR(MATCH(PARAMETERS!$M162,DEFAULT!$B$5:$CX$5,0),""))</f>
        <v/>
      </c>
      <c r="AA162" s="56" t="str">
        <f t="shared" si="7"/>
        <v/>
      </c>
      <c r="AB162" s="63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7" t="str">
        <f>IF($AA162="","",IF($B162="I",VLOOKUP($AA162,#REF!,53,0),INDEX(VALUES!$B$1:$BT$1,1,$AA162)))</f>
        <v/>
      </c>
    </row>
    <row r="163" spans="1:29" hidden="1" outlineLevel="1" x14ac:dyDescent="0.25">
      <c r="A163" s="22" t="s">
        <v>84</v>
      </c>
      <c r="B163" s="41" t="str">
        <f t="shared" si="8"/>
        <v>A</v>
      </c>
      <c r="C163" s="42">
        <f t="shared" si="9"/>
        <v>162</v>
      </c>
      <c r="D163" s="38"/>
      <c r="E163" s="38"/>
      <c r="F163" s="38"/>
      <c r="G163" s="38"/>
      <c r="H163" s="38"/>
      <c r="I163" s="38" t="s">
        <v>9</v>
      </c>
      <c r="J163" s="38"/>
      <c r="K163" s="117" t="s">
        <v>24</v>
      </c>
      <c r="L163" s="14" t="s">
        <v>27</v>
      </c>
      <c r="M163" s="117" t="s">
        <v>595</v>
      </c>
      <c r="N163" s="117" t="s">
        <v>596</v>
      </c>
      <c r="O163" s="117" t="s">
        <v>33</v>
      </c>
      <c r="P163" s="134"/>
      <c r="Q163" s="136" t="s">
        <v>9</v>
      </c>
      <c r="R163" s="136" t="s">
        <v>102</v>
      </c>
      <c r="S163" s="129"/>
      <c r="T163" s="124"/>
      <c r="U163" s="124"/>
      <c r="V163" s="124"/>
      <c r="W163" s="15"/>
      <c r="X163" s="118"/>
      <c r="Y163" s="124"/>
      <c r="Z163" s="59">
        <f>IF(OR($M163="",NOT($O163="{array}")),"",IFERROR(MATCH(PARAMETERS!$M163,DEFAULT!$B$5:$CX$5,0),""))</f>
        <v>81</v>
      </c>
      <c r="AA163" s="56" t="str">
        <f t="shared" si="7"/>
        <v/>
      </c>
      <c r="AB163" s="63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7" t="str">
        <f>IF($AA163="","",IF($B163="I",VLOOKUP($AA163,#REF!,53,0),INDEX(VALUES!$B$1:$BT$1,1,$AA163)))</f>
        <v/>
      </c>
    </row>
    <row r="164" spans="1:29" hidden="1" outlineLevel="1" x14ac:dyDescent="0.25">
      <c r="A164" s="22" t="s">
        <v>84</v>
      </c>
      <c r="B164" s="41" t="str">
        <f t="shared" si="8"/>
        <v/>
      </c>
      <c r="C164" s="42">
        <f t="shared" si="9"/>
        <v>163</v>
      </c>
      <c r="D164" s="38"/>
      <c r="E164" s="38"/>
      <c r="F164" s="38"/>
      <c r="G164" s="38"/>
      <c r="H164" s="38"/>
      <c r="I164" s="38" t="s">
        <v>9</v>
      </c>
      <c r="J164" s="38"/>
      <c r="K164" s="117" t="s">
        <v>24</v>
      </c>
      <c r="L164" s="53" t="s">
        <v>27</v>
      </c>
      <c r="M164" s="140" t="s">
        <v>1184</v>
      </c>
      <c r="N164" s="53" t="s">
        <v>1186</v>
      </c>
      <c r="O164" s="113">
        <v>8.0000000000000002E-3</v>
      </c>
      <c r="P164" s="53"/>
      <c r="Q164" s="165"/>
      <c r="R164" s="136" t="s">
        <v>102</v>
      </c>
      <c r="S164" s="129"/>
      <c r="T164" s="124"/>
      <c r="U164" s="124"/>
      <c r="V164" s="124"/>
      <c r="W164" s="15"/>
      <c r="X164" s="118"/>
      <c r="Y164" s="124"/>
      <c r="Z164" s="59" t="str">
        <f>IF(OR($M164="",NOT($O164="{array}")),"",IFERROR(MATCH(PARAMETERS!$M164,DEFAULT!$B$5:$CX$5,0),""))</f>
        <v/>
      </c>
      <c r="AA164" s="56" t="str">
        <f t="shared" si="7"/>
        <v/>
      </c>
      <c r="AB164" s="63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7" t="str">
        <f>IF($AA164="","",IF($B164="I",VLOOKUP($AA164,#REF!,53,0),INDEX(VALUES!$B$1:$BT$1,1,$AA164)))</f>
        <v/>
      </c>
    </row>
    <row r="165" spans="1:29" hidden="1" outlineLevel="1" x14ac:dyDescent="0.25">
      <c r="A165" s="22"/>
      <c r="B165" s="41" t="str">
        <f t="shared" si="8"/>
        <v/>
      </c>
      <c r="C165" s="42">
        <f t="shared" si="9"/>
        <v>164</v>
      </c>
      <c r="D165" s="38"/>
      <c r="E165" s="38"/>
      <c r="F165" s="38"/>
      <c r="G165" s="38"/>
      <c r="H165" s="38"/>
      <c r="I165" s="38" t="s">
        <v>9</v>
      </c>
      <c r="J165" s="38"/>
      <c r="K165" s="124" t="s">
        <v>18</v>
      </c>
      <c r="L165" s="14" t="s">
        <v>27</v>
      </c>
      <c r="M165" s="124" t="s">
        <v>597</v>
      </c>
      <c r="N165" s="124" t="s">
        <v>259</v>
      </c>
      <c r="O165" s="124" t="s">
        <v>259</v>
      </c>
      <c r="P165" s="118" t="s">
        <v>259</v>
      </c>
      <c r="Q165" s="128" t="s">
        <v>9</v>
      </c>
      <c r="R165" s="129" t="s">
        <v>102</v>
      </c>
      <c r="S165" s="129" t="s">
        <v>111</v>
      </c>
      <c r="T165" s="124" t="s">
        <v>259</v>
      </c>
      <c r="U165" s="124" t="s">
        <v>259</v>
      </c>
      <c r="V165" s="124" t="s">
        <v>597</v>
      </c>
      <c r="W165" s="15" t="str">
        <f>IF(IFERROR(VLOOKUP($M165,COMPARE!$H$2:$H$847,1,0),"-")="-","","GS")</f>
        <v/>
      </c>
      <c r="X165" s="118">
        <v>55</v>
      </c>
      <c r="Y165" s="124" t="s">
        <v>598</v>
      </c>
      <c r="Z165" s="59" t="str">
        <f>IF(OR($M165="",NOT($O165="{array}")),"",IFERROR(MATCH(PARAMETERS!$M165,DEFAULT!$B$5:$CX$5,0),""))</f>
        <v/>
      </c>
      <c r="AA165" s="56" t="str">
        <f t="shared" si="7"/>
        <v/>
      </c>
      <c r="AB165" s="63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7" t="str">
        <f>IF($AA165="","",IF($B165="I",VLOOKUP($AA165,#REF!,53,0),INDEX(VALUES!$B$1:$BT$1,1,$AA165)))</f>
        <v/>
      </c>
    </row>
    <row r="166" spans="1:29" hidden="1" outlineLevel="1" x14ac:dyDescent="0.3">
      <c r="A166" s="22" t="s">
        <v>84</v>
      </c>
      <c r="B166" s="41" t="str">
        <f t="shared" ref="B166:B191" si="10">IF($A166="P",IF(NOT($Z166=""),"A",IF(NOT($AA166=""),"I","")),IF(NOT($AA166=""),IF($A166="G","V","X"),IF(NOT($Z166=""),"A","")))</f>
        <v/>
      </c>
      <c r="C166" s="42">
        <f t="shared" si="9"/>
        <v>165</v>
      </c>
      <c r="D166" s="38"/>
      <c r="E166" s="38"/>
      <c r="F166" s="38" t="s">
        <v>9</v>
      </c>
      <c r="G166" s="38"/>
      <c r="H166" s="38"/>
      <c r="I166" s="38" t="s">
        <v>9</v>
      </c>
      <c r="J166" s="38"/>
      <c r="K166" s="14" t="s">
        <v>47</v>
      </c>
      <c r="L166" s="14" t="s">
        <v>27</v>
      </c>
      <c r="M166" s="184" t="s">
        <v>599</v>
      </c>
      <c r="N166" s="14" t="s">
        <v>600</v>
      </c>
      <c r="O166" s="43">
        <v>1</v>
      </c>
      <c r="R166" s="38" t="s">
        <v>103</v>
      </c>
      <c r="S166" s="38"/>
      <c r="T166" s="38"/>
      <c r="W166" s="15" t="str">
        <f>IF(IFERROR(VLOOKUP($M166,COMPARE!$H$2:$H$847,1,0),"-")="-","","GS")</f>
        <v/>
      </c>
      <c r="Z166" s="59" t="str">
        <f>IF(OR($M166="",NOT($O166="{array}")),"",IFERROR(MATCH(PARAMETERS!$M166,DEFAULT!$B$5:$CX$5,0),""))</f>
        <v/>
      </c>
      <c r="AA166" s="56" t="str">
        <f t="shared" si="7"/>
        <v/>
      </c>
      <c r="AB166" s="63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7" t="str">
        <f>IF($AA166="","",IF($B166="I",VLOOKUP($AA166,#REF!,53,0),INDEX(VALUES!$B$1:$BT$1,1,$AA166)))</f>
        <v/>
      </c>
    </row>
    <row r="167" spans="1:29" hidden="1" outlineLevel="1" x14ac:dyDescent="0.3">
      <c r="A167" s="22" t="s">
        <v>84</v>
      </c>
      <c r="B167" s="41" t="str">
        <f t="shared" si="10"/>
        <v/>
      </c>
      <c r="C167" s="42">
        <f t="shared" si="9"/>
        <v>166</v>
      </c>
      <c r="D167" s="38"/>
      <c r="E167" s="38"/>
      <c r="F167" s="38" t="s">
        <v>9</v>
      </c>
      <c r="G167" s="38"/>
      <c r="H167" s="38"/>
      <c r="I167" s="38" t="s">
        <v>9</v>
      </c>
      <c r="J167" s="38"/>
      <c r="K167" s="14" t="s">
        <v>24</v>
      </c>
      <c r="L167" s="14" t="s">
        <v>27</v>
      </c>
      <c r="M167" s="184" t="s">
        <v>601</v>
      </c>
      <c r="N167" s="14" t="s">
        <v>602</v>
      </c>
      <c r="O167" s="43">
        <v>0.05</v>
      </c>
      <c r="R167" s="38" t="s">
        <v>103</v>
      </c>
      <c r="S167" s="38"/>
      <c r="T167" s="38"/>
      <c r="W167" s="15" t="str">
        <f>IF(IFERROR(VLOOKUP($M167,COMPARE!$H$2:$H$847,1,0),"-")="-","","GS")</f>
        <v/>
      </c>
      <c r="Z167" s="59" t="str">
        <f>IF(OR($M167="",NOT($O167="{array}")),"",IFERROR(MATCH(PARAMETERS!$M167,DEFAULT!$B$5:$CX$5,0),""))</f>
        <v/>
      </c>
      <c r="AA167" s="56" t="str">
        <f t="shared" si="7"/>
        <v/>
      </c>
      <c r="AB167" s="63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7" t="str">
        <f>IF($AA167="","",IF($B167="I",VLOOKUP($AA167,#REF!,53,0),INDEX(VALUES!$B$1:$BT$1,1,$AA167)))</f>
        <v/>
      </c>
    </row>
    <row r="168" spans="1:29" hidden="1" outlineLevel="1" x14ac:dyDescent="0.3">
      <c r="A168" s="22" t="s">
        <v>84</v>
      </c>
      <c r="B168" s="41" t="str">
        <f t="shared" si="10"/>
        <v/>
      </c>
      <c r="C168" s="42">
        <f t="shared" si="9"/>
        <v>167</v>
      </c>
      <c r="D168" s="38"/>
      <c r="E168" s="38"/>
      <c r="F168" s="38" t="s">
        <v>9</v>
      </c>
      <c r="G168" s="38"/>
      <c r="H168" s="38"/>
      <c r="I168" s="38" t="s">
        <v>9</v>
      </c>
      <c r="J168" s="38"/>
      <c r="K168" s="14" t="s">
        <v>24</v>
      </c>
      <c r="L168" s="14" t="s">
        <v>27</v>
      </c>
      <c r="M168" s="184" t="s">
        <v>603</v>
      </c>
      <c r="N168" s="14" t="s">
        <v>604</v>
      </c>
      <c r="O168" s="43">
        <v>0.06</v>
      </c>
      <c r="R168" s="38" t="s">
        <v>103</v>
      </c>
      <c r="S168" s="38"/>
      <c r="T168" s="38"/>
      <c r="W168" s="15" t="str">
        <f>IF(IFERROR(VLOOKUP($M168,COMPARE!$H$2:$H$847,1,0),"-")="-","","GS")</f>
        <v/>
      </c>
      <c r="Z168" s="59" t="str">
        <f>IF(OR($M168="",NOT($O168="{array}")),"",IFERROR(MATCH(PARAMETERS!$M168,DEFAULT!$B$5:$CX$5,0),""))</f>
        <v/>
      </c>
      <c r="AA168" s="56" t="str">
        <f t="shared" si="7"/>
        <v/>
      </c>
      <c r="AB168" s="63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7" t="str">
        <f>IF($AA168="","",IF($B168="I",VLOOKUP($AA168,#REF!,53,0),INDEX(VALUES!$B$1:$BT$1,1,$AA168)))</f>
        <v/>
      </c>
    </row>
    <row r="169" spans="1:29" hidden="1" outlineLevel="1" x14ac:dyDescent="0.3">
      <c r="A169" s="22" t="s">
        <v>84</v>
      </c>
      <c r="B169" s="41" t="str">
        <f t="shared" si="10"/>
        <v/>
      </c>
      <c r="C169" s="42">
        <f t="shared" si="9"/>
        <v>168</v>
      </c>
      <c r="D169" s="38"/>
      <c r="E169" s="38"/>
      <c r="F169" s="38" t="s">
        <v>9</v>
      </c>
      <c r="G169" s="38"/>
      <c r="H169" s="38"/>
      <c r="I169" s="38" t="s">
        <v>9</v>
      </c>
      <c r="J169" s="38"/>
      <c r="K169" s="14" t="s">
        <v>24</v>
      </c>
      <c r="L169" s="14" t="s">
        <v>27</v>
      </c>
      <c r="M169" s="184" t="s">
        <v>605</v>
      </c>
      <c r="N169" s="14" t="s">
        <v>606</v>
      </c>
      <c r="O169" s="43">
        <v>0.01</v>
      </c>
      <c r="R169" s="38" t="s">
        <v>103</v>
      </c>
      <c r="S169" s="38"/>
      <c r="T169" s="38"/>
      <c r="W169" s="15" t="str">
        <f>IF(IFERROR(VLOOKUP($M169,COMPARE!$H$2:$H$847,1,0),"-")="-","","GS")</f>
        <v/>
      </c>
      <c r="Z169" s="59" t="str">
        <f>IF(OR($M169="",NOT($O169="{array}")),"",IFERROR(MATCH(PARAMETERS!$M169,DEFAULT!$B$5:$CX$5,0),""))</f>
        <v/>
      </c>
      <c r="AA169" s="56" t="str">
        <f t="shared" si="7"/>
        <v/>
      </c>
      <c r="AB169" s="63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7" t="str">
        <f>IF($AA169="","",IF($B169="I",VLOOKUP($AA169,#REF!,53,0),INDEX(VALUES!$B$1:$BT$1,1,$AA169)))</f>
        <v/>
      </c>
    </row>
    <row r="170" spans="1:29" hidden="1" outlineLevel="1" x14ac:dyDescent="0.3">
      <c r="A170" s="22" t="s">
        <v>84</v>
      </c>
      <c r="B170" s="41" t="str">
        <f t="shared" si="10"/>
        <v/>
      </c>
      <c r="C170" s="42">
        <f t="shared" si="9"/>
        <v>169</v>
      </c>
      <c r="D170" s="38"/>
      <c r="E170" s="38"/>
      <c r="F170" s="38" t="s">
        <v>9</v>
      </c>
      <c r="G170" s="38"/>
      <c r="H170" s="38"/>
      <c r="I170" s="38" t="s">
        <v>9</v>
      </c>
      <c r="J170" s="38"/>
      <c r="K170" s="14" t="s">
        <v>24</v>
      </c>
      <c r="L170" s="14" t="s">
        <v>27</v>
      </c>
      <c r="M170" s="184" t="s">
        <v>607</v>
      </c>
      <c r="N170" s="14" t="s">
        <v>608</v>
      </c>
      <c r="O170" s="43">
        <v>0.01</v>
      </c>
      <c r="R170" s="38" t="s">
        <v>103</v>
      </c>
      <c r="S170" s="38"/>
      <c r="T170" s="38"/>
      <c r="W170" s="15" t="str">
        <f>IF(IFERROR(VLOOKUP($M170,COMPARE!$H$2:$H$847,1,0),"-")="-","","GS")</f>
        <v/>
      </c>
      <c r="Z170" s="59" t="str">
        <f>IF(OR($M170="",NOT($O170="{array}")),"",IFERROR(MATCH(PARAMETERS!$M170,DEFAULT!$B$5:$CX$5,0),""))</f>
        <v/>
      </c>
      <c r="AA170" s="56" t="str">
        <f t="shared" si="7"/>
        <v/>
      </c>
      <c r="AB170" s="63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7" t="str">
        <f>IF($AA170="","",IF($B170="I",VLOOKUP($AA170,#REF!,53,0),INDEX(VALUES!$B$1:$BT$1,1,$AA170)))</f>
        <v/>
      </c>
    </row>
    <row r="171" spans="1:29" hidden="1" outlineLevel="1" x14ac:dyDescent="0.3">
      <c r="A171" s="22" t="s">
        <v>84</v>
      </c>
      <c r="B171" s="41" t="str">
        <f t="shared" si="10"/>
        <v/>
      </c>
      <c r="C171" s="42">
        <f t="shared" si="9"/>
        <v>170</v>
      </c>
      <c r="D171" s="38"/>
      <c r="E171" s="38"/>
      <c r="F171" s="38" t="s">
        <v>9</v>
      </c>
      <c r="G171" s="38"/>
      <c r="H171" s="38"/>
      <c r="I171" s="38" t="s">
        <v>9</v>
      </c>
      <c r="J171" s="38"/>
      <c r="K171" s="14" t="s">
        <v>24</v>
      </c>
      <c r="L171" s="14" t="s">
        <v>27</v>
      </c>
      <c r="M171" s="184" t="s">
        <v>609</v>
      </c>
      <c r="N171" s="14" t="s">
        <v>610</v>
      </c>
      <c r="O171" s="43">
        <v>0.01</v>
      </c>
      <c r="R171" s="38" t="s">
        <v>103</v>
      </c>
      <c r="S171" s="38"/>
      <c r="T171" s="38"/>
      <c r="W171" s="15" t="str">
        <f>IF(IFERROR(VLOOKUP($M171,COMPARE!$H$2:$H$847,1,0),"-")="-","","GS")</f>
        <v/>
      </c>
      <c r="Z171" s="59" t="str">
        <f>IF(OR($M171="",NOT($O171="{array}")),"",IFERROR(MATCH(PARAMETERS!$M171,DEFAULT!$B$5:$CX$5,0),""))</f>
        <v/>
      </c>
      <c r="AA171" s="56" t="str">
        <f t="shared" si="7"/>
        <v/>
      </c>
      <c r="AB171" s="63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7" t="str">
        <f>IF($AA171="","",IF($B171="I",VLOOKUP($AA171,#REF!,53,0),INDEX(VALUES!$B$1:$BT$1,1,$AA171)))</f>
        <v/>
      </c>
    </row>
    <row r="172" spans="1:29" hidden="1" outlineLevel="1" x14ac:dyDescent="0.3">
      <c r="A172" s="22" t="s">
        <v>84</v>
      </c>
      <c r="B172" s="41" t="str">
        <f t="shared" si="10"/>
        <v/>
      </c>
      <c r="C172" s="42">
        <f t="shared" si="9"/>
        <v>171</v>
      </c>
      <c r="D172" s="38"/>
      <c r="E172" s="38"/>
      <c r="F172" s="38" t="s">
        <v>9</v>
      </c>
      <c r="G172" s="38"/>
      <c r="H172" s="38"/>
      <c r="I172" s="38" t="s">
        <v>9</v>
      </c>
      <c r="J172" s="38"/>
      <c r="K172" s="14" t="s">
        <v>50</v>
      </c>
      <c r="L172" s="14" t="s">
        <v>27</v>
      </c>
      <c r="M172" s="184" t="s">
        <v>611</v>
      </c>
      <c r="N172" s="14" t="s">
        <v>612</v>
      </c>
      <c r="O172" s="43">
        <v>133</v>
      </c>
      <c r="R172" s="38" t="s">
        <v>103</v>
      </c>
      <c r="S172" s="38"/>
      <c r="T172" s="38"/>
      <c r="W172" s="15" t="str">
        <f>IF(IFERROR(VLOOKUP($M172,COMPARE!$H$2:$H$847,1,0),"-")="-","","GS")</f>
        <v/>
      </c>
      <c r="Z172" s="59" t="str">
        <f>IF(OR($M172="",NOT($O172="{array}")),"",IFERROR(MATCH(PARAMETERS!$M172,DEFAULT!$B$5:$CX$5,0),""))</f>
        <v/>
      </c>
      <c r="AA172" s="56" t="str">
        <f t="shared" si="7"/>
        <v/>
      </c>
      <c r="AB172" s="63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7" t="str">
        <f>IF($AA172="","",IF($B172="I",VLOOKUP($AA172,#REF!,53,0),INDEX(VALUES!$B$1:$BT$1,1,$AA172)))</f>
        <v/>
      </c>
    </row>
    <row r="173" spans="1:29" hidden="1" outlineLevel="1" x14ac:dyDescent="0.25">
      <c r="A173" s="22" t="s">
        <v>84</v>
      </c>
      <c r="B173" s="41" t="str">
        <f t="shared" si="10"/>
        <v/>
      </c>
      <c r="C173" s="42">
        <f t="shared" si="9"/>
        <v>172</v>
      </c>
      <c r="D173" s="38"/>
      <c r="E173" s="38"/>
      <c r="F173" s="38"/>
      <c r="G173" s="38"/>
      <c r="H173" s="38"/>
      <c r="I173" s="38" t="s">
        <v>9</v>
      </c>
      <c r="J173" s="38"/>
      <c r="K173" s="53" t="s">
        <v>24</v>
      </c>
      <c r="L173" s="53" t="s">
        <v>27</v>
      </c>
      <c r="M173" s="140" t="s">
        <v>1188</v>
      </c>
      <c r="N173" s="53" t="s">
        <v>1189</v>
      </c>
      <c r="O173" s="113">
        <v>0.15</v>
      </c>
      <c r="P173" s="53"/>
      <c r="Q173" s="165" t="s">
        <v>9</v>
      </c>
      <c r="R173" s="165" t="s">
        <v>102</v>
      </c>
      <c r="S173" s="129"/>
      <c r="T173" s="128"/>
      <c r="U173" s="124"/>
      <c r="V173" s="124"/>
      <c r="W173" s="15"/>
      <c r="X173" s="118"/>
      <c r="Y173" s="124"/>
      <c r="Z173" s="59" t="str">
        <f>IF(OR($M173="",NOT($O173="{array}")),"",IFERROR(MATCH(PARAMETERS!$M173,DEFAULT!$B$5:$CX$5,0),""))</f>
        <v/>
      </c>
      <c r="AA173" s="56" t="str">
        <f t="shared" si="7"/>
        <v/>
      </c>
      <c r="AB173" s="63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7" t="str">
        <f>IF($AA173="","",IF($B173="I",VLOOKUP($AA173,#REF!,53,0),INDEX(VALUES!$B$1:$BT$1,1,$AA173)))</f>
        <v/>
      </c>
    </row>
    <row r="174" spans="1:29" hidden="1" outlineLevel="1" x14ac:dyDescent="0.25">
      <c r="A174" s="22" t="s">
        <v>84</v>
      </c>
      <c r="B174" s="41" t="str">
        <f t="shared" si="10"/>
        <v/>
      </c>
      <c r="C174" s="42">
        <f t="shared" si="9"/>
        <v>173</v>
      </c>
      <c r="D174" s="38"/>
      <c r="E174" s="38"/>
      <c r="F174" s="38"/>
      <c r="G174" s="38"/>
      <c r="H174" s="38"/>
      <c r="I174" s="38" t="s">
        <v>9</v>
      </c>
      <c r="J174" s="38"/>
      <c r="K174" s="53" t="s">
        <v>44</v>
      </c>
      <c r="L174" s="53" t="s">
        <v>27</v>
      </c>
      <c r="M174" s="140" t="s">
        <v>1190</v>
      </c>
      <c r="N174" s="53" t="s">
        <v>1191</v>
      </c>
      <c r="O174" s="113">
        <v>1</v>
      </c>
      <c r="P174" s="53"/>
      <c r="Q174" s="165"/>
      <c r="R174" s="165" t="s">
        <v>102</v>
      </c>
      <c r="S174" s="129"/>
      <c r="T174" s="128"/>
      <c r="U174" s="124"/>
      <c r="V174" s="124"/>
      <c r="W174" s="15"/>
      <c r="X174" s="118"/>
      <c r="Y174" s="124"/>
      <c r="Z174" s="59" t="str">
        <f>IF(OR($M174="",NOT($O174="{array}")),"",IFERROR(MATCH(PARAMETERS!$M174,DEFAULT!$B$5:$CX$5,0),""))</f>
        <v/>
      </c>
      <c r="AA174" s="56" t="str">
        <f t="shared" si="7"/>
        <v/>
      </c>
      <c r="AB174" s="63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7" t="str">
        <f>IF($AA174="","",IF($B174="I",VLOOKUP($AA174,#REF!,53,0),INDEX(VALUES!$B$1:$BT$1,1,$AA174)))</f>
        <v/>
      </c>
    </row>
    <row r="175" spans="1:29" hidden="1" outlineLevel="1" x14ac:dyDescent="0.25">
      <c r="A175" s="22" t="s">
        <v>84</v>
      </c>
      <c r="B175" s="41" t="str">
        <f t="shared" si="10"/>
        <v/>
      </c>
      <c r="C175" s="42">
        <f t="shared" si="9"/>
        <v>174</v>
      </c>
      <c r="D175" s="38"/>
      <c r="E175" s="38"/>
      <c r="F175" s="38"/>
      <c r="G175" s="38"/>
      <c r="H175" s="38"/>
      <c r="I175" s="38" t="s">
        <v>9</v>
      </c>
      <c r="J175" s="38"/>
      <c r="K175" s="53" t="s">
        <v>24</v>
      </c>
      <c r="L175" s="53" t="s">
        <v>27</v>
      </c>
      <c r="M175" s="140" t="s">
        <v>1192</v>
      </c>
      <c r="N175" s="53" t="s">
        <v>1193</v>
      </c>
      <c r="O175" s="113">
        <v>0</v>
      </c>
      <c r="P175" s="53"/>
      <c r="Q175" s="165" t="s">
        <v>9</v>
      </c>
      <c r="R175" s="165" t="s">
        <v>102</v>
      </c>
      <c r="S175" s="129"/>
      <c r="T175" s="128"/>
      <c r="U175" s="124"/>
      <c r="V175" s="124"/>
      <c r="W175" s="15"/>
      <c r="X175" s="118"/>
      <c r="Y175" s="124"/>
      <c r="Z175" s="59" t="str">
        <f>IF(OR($M175="",NOT($O175="{array}")),"",IFERROR(MATCH(PARAMETERS!$M175,DEFAULT!$B$5:$CX$5,0),""))</f>
        <v/>
      </c>
      <c r="AA175" s="56" t="str">
        <f t="shared" si="7"/>
        <v/>
      </c>
      <c r="AB175" s="63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7" t="str">
        <f>IF($AA175="","",IF($B175="I",VLOOKUP($AA175,#REF!,53,0),INDEX(VALUES!$B$1:$BT$1,1,$AA175)))</f>
        <v/>
      </c>
    </row>
    <row r="176" spans="1:29" hidden="1" outlineLevel="1" x14ac:dyDescent="0.25">
      <c r="A176" s="22" t="s">
        <v>84</v>
      </c>
      <c r="B176" s="41" t="str">
        <f t="shared" si="10"/>
        <v/>
      </c>
      <c r="C176" s="42">
        <f t="shared" si="9"/>
        <v>175</v>
      </c>
      <c r="D176" s="38"/>
      <c r="E176" s="38"/>
      <c r="F176" s="38"/>
      <c r="G176" s="38"/>
      <c r="H176" s="38"/>
      <c r="I176" s="38" t="s">
        <v>9</v>
      </c>
      <c r="J176" s="38"/>
      <c r="K176" s="53" t="s">
        <v>24</v>
      </c>
      <c r="L176" s="53" t="s">
        <v>27</v>
      </c>
      <c r="M176" s="140" t="s">
        <v>1194</v>
      </c>
      <c r="N176" s="53" t="s">
        <v>1195</v>
      </c>
      <c r="O176" s="113">
        <v>5.0000000000000001E-3</v>
      </c>
      <c r="P176" s="53"/>
      <c r="Q176" s="165" t="s">
        <v>9</v>
      </c>
      <c r="R176" s="165" t="s">
        <v>102</v>
      </c>
      <c r="S176" s="129"/>
      <c r="T176" s="128"/>
      <c r="U176" s="124"/>
      <c r="V176" s="124"/>
      <c r="W176" s="15"/>
      <c r="X176" s="118"/>
      <c r="Y176" s="124"/>
      <c r="Z176" s="59" t="str">
        <f>IF(OR($M176="",NOT($O176="{array}")),"",IFERROR(MATCH(PARAMETERS!$M176,DEFAULT!$B$5:$CX$5,0),""))</f>
        <v/>
      </c>
      <c r="AA176" s="56" t="str">
        <f t="shared" si="7"/>
        <v/>
      </c>
      <c r="AB176" s="63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7" t="str">
        <f>IF($AA176="","",IF($B176="I",VLOOKUP($AA176,#REF!,53,0),INDEX(VALUES!$B$1:$BT$1,1,$AA176)))</f>
        <v/>
      </c>
    </row>
    <row r="177" spans="1:29" hidden="1" outlineLevel="1" x14ac:dyDescent="0.25">
      <c r="A177" s="22" t="s">
        <v>84</v>
      </c>
      <c r="B177" s="41" t="str">
        <f t="shared" si="10"/>
        <v/>
      </c>
      <c r="C177" s="42">
        <f t="shared" si="9"/>
        <v>176</v>
      </c>
      <c r="D177" s="38"/>
      <c r="E177" s="38"/>
      <c r="F177" s="38"/>
      <c r="G177" s="38"/>
      <c r="H177" s="38"/>
      <c r="I177" s="38" t="s">
        <v>9</v>
      </c>
      <c r="J177" s="38"/>
      <c r="K177" s="53" t="s">
        <v>24</v>
      </c>
      <c r="L177" s="53" t="s">
        <v>27</v>
      </c>
      <c r="M177" s="140" t="s">
        <v>1196</v>
      </c>
      <c r="N177" s="53" t="s">
        <v>1197</v>
      </c>
      <c r="O177" s="113">
        <v>5.0000000000000001E-3</v>
      </c>
      <c r="P177" s="53"/>
      <c r="Q177" s="165" t="s">
        <v>9</v>
      </c>
      <c r="R177" s="165" t="s">
        <v>102</v>
      </c>
      <c r="S177" s="129"/>
      <c r="T177" s="128"/>
      <c r="U177" s="124"/>
      <c r="V177" s="124"/>
      <c r="W177" s="15"/>
      <c r="X177" s="118"/>
      <c r="Y177" s="124"/>
      <c r="Z177" s="59" t="str">
        <f>IF(OR($M177="",NOT($O177="{array}")),"",IFERROR(MATCH(PARAMETERS!$M177,DEFAULT!$B$5:$CX$5,0),""))</f>
        <v/>
      </c>
      <c r="AA177" s="56" t="str">
        <f t="shared" si="7"/>
        <v/>
      </c>
      <c r="AB177" s="63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7" t="str">
        <f>IF($AA177="","",IF($B177="I",VLOOKUP($AA177,#REF!,53,0),INDEX(VALUES!$B$1:$BT$1,1,$AA177)))</f>
        <v/>
      </c>
    </row>
    <row r="178" spans="1:29" hidden="1" outlineLevel="1" x14ac:dyDescent="0.25">
      <c r="A178" s="22" t="s">
        <v>84</v>
      </c>
      <c r="B178" s="41"/>
      <c r="C178" s="42"/>
      <c r="D178" s="38"/>
      <c r="E178" s="38"/>
      <c r="F178" s="38"/>
      <c r="G178" s="38"/>
      <c r="H178" s="38"/>
      <c r="I178" s="186" t="s">
        <v>9</v>
      </c>
      <c r="J178" s="186" t="s">
        <v>9</v>
      </c>
      <c r="K178" s="187" t="s">
        <v>47</v>
      </c>
      <c r="L178" s="187" t="s">
        <v>27</v>
      </c>
      <c r="M178" s="193" t="s">
        <v>1459</v>
      </c>
      <c r="N178" s="187" t="s">
        <v>1460</v>
      </c>
      <c r="O178" s="190">
        <v>0</v>
      </c>
      <c r="P178" s="187"/>
      <c r="Q178" s="186"/>
      <c r="R178" s="186" t="s">
        <v>191</v>
      </c>
      <c r="S178" s="129"/>
      <c r="T178" s="124"/>
      <c r="U178" s="124"/>
      <c r="V178" s="124"/>
      <c r="W178" s="15"/>
      <c r="X178" s="118"/>
      <c r="Y178" s="124"/>
      <c r="Z178" s="59" t="str">
        <f>IF(OR($M178="",NOT($O178="{array}")),"",IFERROR(MATCH(PARAMETERS!$M178,DEFAULT!$B$5:$CX$5,0),""))</f>
        <v/>
      </c>
      <c r="AA178" s="56" t="str">
        <f t="shared" si="7"/>
        <v/>
      </c>
      <c r="AB178" s="63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7" t="str">
        <f>IF($AA178="","",IF($B178="I",VLOOKUP($AA178,#REF!,53,0),INDEX(VALUES!$B$1:$BT$1,1,$AA178)))</f>
        <v/>
      </c>
    </row>
    <row r="179" spans="1:29" collapsed="1" x14ac:dyDescent="0.3">
      <c r="A179" s="22" t="s">
        <v>84</v>
      </c>
      <c r="B179" s="41" t="str">
        <f t="shared" ref="B179:B184" si="11">IF($A179="P",IF(NOT($Z179=""),"A",IF(NOT($AA179=""),"I","")),IF(NOT($AA179=""),IF($A179="G","V","X"),IF(NOT($Z179=""),"A","")))</f>
        <v/>
      </c>
      <c r="C179" s="42">
        <f t="shared" ref="C179:C184" si="12">(ROW()-1)</f>
        <v>178</v>
      </c>
      <c r="D179" s="38"/>
      <c r="E179" s="38"/>
      <c r="F179" s="38"/>
      <c r="G179" s="38"/>
      <c r="H179" s="38"/>
      <c r="I179" s="38"/>
      <c r="J179" s="38"/>
      <c r="K179" s="14" t="s">
        <v>57</v>
      </c>
      <c r="L179" s="14" t="s">
        <v>38</v>
      </c>
      <c r="M179" s="48" t="s">
        <v>1841</v>
      </c>
      <c r="N179" s="41" t="s">
        <v>1842</v>
      </c>
      <c r="R179" s="38" t="s">
        <v>103</v>
      </c>
      <c r="S179" s="38"/>
      <c r="T179" s="38"/>
      <c r="W179" s="15"/>
      <c r="X179" s="15" t="s">
        <v>1994</v>
      </c>
      <c r="AC179" s="17"/>
    </row>
    <row r="180" spans="1:29" hidden="1" outlineLevel="1" x14ac:dyDescent="0.3">
      <c r="A180" s="22" t="s">
        <v>84</v>
      </c>
      <c r="B180" s="41" t="str">
        <f t="shared" si="11"/>
        <v/>
      </c>
      <c r="C180" s="42">
        <f t="shared" si="12"/>
        <v>179</v>
      </c>
      <c r="D180" s="38"/>
      <c r="E180" s="38"/>
      <c r="F180" s="38"/>
      <c r="G180" s="38"/>
      <c r="H180" s="38"/>
      <c r="I180" s="38" t="s">
        <v>9</v>
      </c>
      <c r="J180" s="38"/>
      <c r="K180" s="14" t="s">
        <v>47</v>
      </c>
      <c r="L180" s="14" t="s">
        <v>27</v>
      </c>
      <c r="M180" s="184" t="s">
        <v>1843</v>
      </c>
      <c r="N180" s="14" t="s">
        <v>1844</v>
      </c>
      <c r="O180" s="43">
        <v>0</v>
      </c>
      <c r="R180" s="38" t="s">
        <v>103</v>
      </c>
      <c r="S180" s="38"/>
      <c r="T180" s="38"/>
      <c r="W180" s="15" t="s">
        <v>103</v>
      </c>
      <c r="X180" s="15" t="s">
        <v>1994</v>
      </c>
      <c r="AC180" s="17"/>
    </row>
    <row r="181" spans="1:29" hidden="1" outlineLevel="1" x14ac:dyDescent="0.3">
      <c r="A181" s="22" t="s">
        <v>84</v>
      </c>
      <c r="B181" s="41" t="str">
        <f t="shared" si="11"/>
        <v/>
      </c>
      <c r="C181" s="42">
        <f t="shared" si="12"/>
        <v>180</v>
      </c>
      <c r="D181" s="38"/>
      <c r="E181" s="38"/>
      <c r="F181" s="38"/>
      <c r="G181" s="38"/>
      <c r="H181" s="38"/>
      <c r="I181" s="38" t="s">
        <v>9</v>
      </c>
      <c r="J181" s="38"/>
      <c r="K181" s="14" t="s">
        <v>24</v>
      </c>
      <c r="L181" s="14" t="s">
        <v>27</v>
      </c>
      <c r="M181" s="184" t="s">
        <v>1845</v>
      </c>
      <c r="N181" s="14" t="s">
        <v>1846</v>
      </c>
      <c r="O181" s="43">
        <v>1.1499999999999999</v>
      </c>
      <c r="R181" s="38" t="s">
        <v>103</v>
      </c>
      <c r="S181" s="38"/>
      <c r="T181" s="38"/>
      <c r="W181" s="15" t="s">
        <v>103</v>
      </c>
      <c r="X181" s="15" t="s">
        <v>1994</v>
      </c>
      <c r="AC181" s="17"/>
    </row>
    <row r="182" spans="1:29" hidden="1" outlineLevel="1" x14ac:dyDescent="0.3">
      <c r="A182" s="22" t="s">
        <v>84</v>
      </c>
      <c r="B182" s="41" t="str">
        <f t="shared" si="11"/>
        <v/>
      </c>
      <c r="C182" s="42">
        <f t="shared" si="12"/>
        <v>181</v>
      </c>
      <c r="D182" s="38"/>
      <c r="E182" s="38"/>
      <c r="F182" s="38"/>
      <c r="G182" s="38"/>
      <c r="H182" s="38"/>
      <c r="I182" s="38" t="s">
        <v>9</v>
      </c>
      <c r="J182" s="38"/>
      <c r="K182" s="14" t="s">
        <v>24</v>
      </c>
      <c r="L182" s="14" t="s">
        <v>27</v>
      </c>
      <c r="M182" s="184" t="s">
        <v>1847</v>
      </c>
      <c r="N182" s="14" t="s">
        <v>1848</v>
      </c>
      <c r="O182" s="43">
        <v>0.59</v>
      </c>
      <c r="R182" s="38" t="s">
        <v>103</v>
      </c>
      <c r="S182" s="38"/>
      <c r="T182" s="38"/>
      <c r="W182" s="15" t="s">
        <v>103</v>
      </c>
      <c r="X182" s="15" t="s">
        <v>1994</v>
      </c>
      <c r="Y182" s="14" t="s">
        <v>1849</v>
      </c>
      <c r="AC182" s="17"/>
    </row>
    <row r="183" spans="1:29" hidden="1" outlineLevel="1" x14ac:dyDescent="0.3">
      <c r="A183" s="22" t="s">
        <v>84</v>
      </c>
      <c r="B183" s="41" t="str">
        <f t="shared" si="11"/>
        <v/>
      </c>
      <c r="C183" s="42">
        <f t="shared" si="12"/>
        <v>182</v>
      </c>
      <c r="D183" s="38"/>
      <c r="E183" s="38"/>
      <c r="F183" s="38"/>
      <c r="G183" s="38"/>
      <c r="H183" s="38"/>
      <c r="I183" s="38" t="s">
        <v>9</v>
      </c>
      <c r="J183" s="38"/>
      <c r="K183" s="14" t="s">
        <v>44</v>
      </c>
      <c r="L183" s="14" t="s">
        <v>27</v>
      </c>
      <c r="M183" s="109" t="s">
        <v>1850</v>
      </c>
      <c r="N183" s="14" t="s">
        <v>1851</v>
      </c>
      <c r="O183" s="43">
        <v>0</v>
      </c>
      <c r="R183" s="38" t="s">
        <v>103</v>
      </c>
      <c r="S183" s="38"/>
      <c r="T183" s="38"/>
      <c r="W183" s="15"/>
      <c r="X183" s="15" t="s">
        <v>1994</v>
      </c>
      <c r="AC183" s="17"/>
    </row>
    <row r="184" spans="1:29" hidden="1" outlineLevel="1" x14ac:dyDescent="0.3">
      <c r="A184" s="22" t="s">
        <v>84</v>
      </c>
      <c r="B184" s="41" t="str">
        <f t="shared" si="11"/>
        <v/>
      </c>
      <c r="C184" s="42">
        <f t="shared" si="12"/>
        <v>183</v>
      </c>
      <c r="D184" s="38"/>
      <c r="E184" s="38"/>
      <c r="F184" s="38"/>
      <c r="G184" s="38"/>
      <c r="H184" s="38"/>
      <c r="I184" s="38" t="s">
        <v>9</v>
      </c>
      <c r="J184" s="38"/>
      <c r="K184" s="14" t="s">
        <v>44</v>
      </c>
      <c r="L184" s="14" t="s">
        <v>27</v>
      </c>
      <c r="M184" s="109" t="s">
        <v>1852</v>
      </c>
      <c r="N184" s="14" t="s">
        <v>1853</v>
      </c>
      <c r="O184" s="43">
        <v>0</v>
      </c>
      <c r="R184" s="38" t="s">
        <v>103</v>
      </c>
      <c r="S184" s="38"/>
      <c r="T184" s="38"/>
      <c r="W184" s="15"/>
      <c r="X184" s="15" t="s">
        <v>1994</v>
      </c>
      <c r="AC184" s="17"/>
    </row>
    <row r="185" spans="1:29" collapsed="1" x14ac:dyDescent="0.3">
      <c r="A185" s="22" t="s">
        <v>84</v>
      </c>
      <c r="B185" s="41" t="str">
        <f t="shared" si="10"/>
        <v/>
      </c>
      <c r="C185" s="42">
        <f t="shared" ref="C185:C208" si="13">(ROW()-1)</f>
        <v>184</v>
      </c>
      <c r="D185" s="38"/>
      <c r="E185" s="38"/>
      <c r="F185" s="38" t="s">
        <v>9</v>
      </c>
      <c r="G185" s="38"/>
      <c r="H185" s="38"/>
      <c r="I185" s="38"/>
      <c r="J185" s="38"/>
      <c r="K185" s="14" t="s">
        <v>57</v>
      </c>
      <c r="L185" s="14" t="s">
        <v>38</v>
      </c>
      <c r="M185" s="48" t="s">
        <v>614</v>
      </c>
      <c r="N185" s="41" t="s">
        <v>615</v>
      </c>
      <c r="R185" s="38" t="s">
        <v>103</v>
      </c>
      <c r="S185" s="38"/>
      <c r="T185" s="38"/>
      <c r="W185" s="15" t="str">
        <f>IF(IFERROR(VLOOKUP($M185,COMPARE!$H$2:$H$847,1,0),"-")="-","","GS")</f>
        <v/>
      </c>
      <c r="Z185" s="59" t="str">
        <f>IF(OR($M185="",NOT($O185="{array}")),"",IFERROR(MATCH(PARAMETERS!$M185,DEFAULT!$B$5:$CX$5,0),""))</f>
        <v/>
      </c>
      <c r="AA185" s="56" t="str">
        <f t="shared" si="7"/>
        <v/>
      </c>
      <c r="AB185" s="63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7" t="str">
        <f>IF($AA185="","",IF($B185="I",VLOOKUP($AA185,#REF!,53,0),INDEX(VALUES!$B$1:$BT$1,1,$AA185)))</f>
        <v/>
      </c>
    </row>
    <row r="186" spans="1:29" hidden="1" outlineLevel="1" x14ac:dyDescent="0.25">
      <c r="A186" s="22" t="s">
        <v>84</v>
      </c>
      <c r="B186" s="41" t="str">
        <f t="shared" si="10"/>
        <v/>
      </c>
      <c r="C186" s="42">
        <f t="shared" si="13"/>
        <v>185</v>
      </c>
      <c r="D186" s="38"/>
      <c r="E186" s="38"/>
      <c r="F186" s="38"/>
      <c r="G186" s="38"/>
      <c r="H186" s="38"/>
      <c r="I186" s="38" t="s">
        <v>9</v>
      </c>
      <c r="J186" s="38"/>
      <c r="K186" s="53" t="s">
        <v>18</v>
      </c>
      <c r="L186" s="53" t="s">
        <v>32</v>
      </c>
      <c r="M186" s="115" t="s">
        <v>616</v>
      </c>
      <c r="N186" s="53" t="s">
        <v>615</v>
      </c>
      <c r="O186" s="113" t="s">
        <v>1056</v>
      </c>
      <c r="R186" s="129" t="s">
        <v>102</v>
      </c>
      <c r="S186" s="129" t="s">
        <v>111</v>
      </c>
      <c r="T186" s="124" t="s">
        <v>259</v>
      </c>
      <c r="U186" s="124" t="s">
        <v>259</v>
      </c>
      <c r="V186" s="124" t="s">
        <v>617</v>
      </c>
      <c r="W186" s="15" t="str">
        <f>IF(IFERROR(VLOOKUP(#REF!,COMPARE!$H$2:$H$847,1,0),"-")="-","","GS")</f>
        <v/>
      </c>
      <c r="X186" s="118" t="s">
        <v>259</v>
      </c>
      <c r="Y186" s="124" t="s">
        <v>618</v>
      </c>
      <c r="Z186" s="59" t="str">
        <f>IF(OR($M186="",NOT($O186="{array}")),"",IFERROR(MATCH(PARAMETERS!$M186,DEFAULT!$B$5:$CX$5,0),""))</f>
        <v/>
      </c>
      <c r="AA186" s="56" t="str">
        <f t="shared" si="7"/>
        <v/>
      </c>
      <c r="AB186" s="63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7" t="str">
        <f>IF($AA186="","",IF($B186="I",VLOOKUP($AA186,#REF!,53,0),INDEX(VALUES!$B$1:$BT$1,1,$AA186)))</f>
        <v/>
      </c>
    </row>
    <row r="187" spans="1:29" hidden="1" outlineLevel="1" x14ac:dyDescent="0.25">
      <c r="A187" s="22" t="s">
        <v>84</v>
      </c>
      <c r="B187" s="41" t="str">
        <f>IF($A187="P",IF(NOT($Z187=""),"A",IF(NOT($AA187=""),"I","")),IF(NOT($AA187=""),IF($A187="G","V","X"),IF(NOT($Z187=""),"A","")))</f>
        <v/>
      </c>
      <c r="C187" s="42">
        <f t="shared" si="13"/>
        <v>186</v>
      </c>
      <c r="D187" s="38"/>
      <c r="E187" s="38"/>
      <c r="F187" s="38"/>
      <c r="G187" s="38"/>
      <c r="H187" s="38"/>
      <c r="I187" s="38" t="s">
        <v>9</v>
      </c>
      <c r="J187" s="38"/>
      <c r="K187" s="117" t="s">
        <v>44</v>
      </c>
      <c r="L187" s="53" t="s">
        <v>27</v>
      </c>
      <c r="M187" s="115" t="s">
        <v>1058</v>
      </c>
      <c r="N187" s="53" t="s">
        <v>1057</v>
      </c>
      <c r="O187" s="113">
        <v>0</v>
      </c>
      <c r="P187" s="53"/>
      <c r="Q187" s="165"/>
      <c r="R187" s="136" t="s">
        <v>102</v>
      </c>
      <c r="S187" s="129"/>
      <c r="T187" s="124"/>
      <c r="U187" s="124"/>
      <c r="V187" s="124"/>
      <c r="W187" s="15"/>
      <c r="X187" s="118"/>
      <c r="Y187" s="124"/>
      <c r="Z187" s="59" t="str">
        <f>IF(OR($M187="",NOT($O187="{array}")),"",IFERROR(MATCH(PARAMETERS!$M187,DEFAULT!$B$5:$CX$5,0),""))</f>
        <v/>
      </c>
      <c r="AA187" s="56" t="str">
        <f t="shared" si="7"/>
        <v/>
      </c>
      <c r="AB187" s="63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7" t="str">
        <f>IF($AA187="","",IF($B187="I",VLOOKUP($AA187,#REF!,53,0),INDEX(VALUES!$B$1:$BT$1,1,$AA187)))</f>
        <v/>
      </c>
    </row>
    <row r="188" spans="1:29" hidden="1" outlineLevel="1" x14ac:dyDescent="0.3">
      <c r="A188" s="22" t="s">
        <v>84</v>
      </c>
      <c r="B188" s="41" t="str">
        <f>IF($A188="P",IF(NOT($Z188=""),"A",IF(NOT($AA188=""),"I","")),IF(NOT($AA188=""),IF($A188="G","V","X"),IF(NOT($Z188=""),"A","")))</f>
        <v/>
      </c>
      <c r="C188" s="42">
        <f t="shared" si="13"/>
        <v>187</v>
      </c>
      <c r="D188" s="38"/>
      <c r="E188" s="38"/>
      <c r="F188" s="38"/>
      <c r="G188" s="38"/>
      <c r="H188" s="38"/>
      <c r="I188" s="38" t="s">
        <v>9</v>
      </c>
      <c r="J188" s="38"/>
      <c r="K188" s="124" t="s">
        <v>18</v>
      </c>
      <c r="L188" s="125" t="s">
        <v>32</v>
      </c>
      <c r="M188" s="133" t="s">
        <v>1281</v>
      </c>
      <c r="N188" s="124" t="s">
        <v>1282</v>
      </c>
      <c r="O188" s="124" t="s">
        <v>1283</v>
      </c>
      <c r="P188" s="118" t="s">
        <v>259</v>
      </c>
      <c r="Q188" s="129"/>
      <c r="R188" s="129" t="s">
        <v>102</v>
      </c>
      <c r="S188" s="129" t="s">
        <v>111</v>
      </c>
      <c r="T188" s="124" t="s">
        <v>101</v>
      </c>
      <c r="U188" s="124" t="s">
        <v>259</v>
      </c>
      <c r="V188" s="124" t="s">
        <v>1282</v>
      </c>
      <c r="W188" s="15"/>
      <c r="X188" s="118"/>
      <c r="Y188" s="124"/>
      <c r="Z188" s="59" t="str">
        <f>IF(OR($M188="",NOT($O188="{array}")),"",IFERROR(MATCH(PARAMETERS!$M188,DEFAULT!$B$5:$CX$5,0),""))</f>
        <v/>
      </c>
      <c r="AA188" s="56" t="str">
        <f t="shared" ref="AA188:AA252" si="14">IF($M188="","",IFERROR(MATCH($M188,VALUESnames,0),""))</f>
        <v/>
      </c>
      <c r="AB188" s="63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7" t="str">
        <f>IF($AA188="","",IF($B188="I",VLOOKUP($AA188,#REF!,53,0),INDEX(VALUES!$B$1:$BT$1,1,$AA188)))</f>
        <v/>
      </c>
    </row>
    <row r="189" spans="1:29" hidden="1" outlineLevel="1" x14ac:dyDescent="0.3">
      <c r="A189" s="22" t="s">
        <v>84</v>
      </c>
      <c r="B189" s="41" t="str">
        <f>IF($A189="P",IF(NOT($Z189=""),"A",IF(NOT($AA189=""),"I","")),IF(NOT($AA189=""),IF($A189="G","V","X"),IF(NOT($Z189=""),"A","")))</f>
        <v/>
      </c>
      <c r="C189" s="42">
        <f t="shared" si="13"/>
        <v>188</v>
      </c>
      <c r="D189" s="38"/>
      <c r="E189" s="38"/>
      <c r="F189" s="38"/>
      <c r="G189" s="38"/>
      <c r="H189" s="38"/>
      <c r="I189" s="38" t="s">
        <v>9</v>
      </c>
      <c r="J189" s="38"/>
      <c r="K189" s="117" t="s">
        <v>36</v>
      </c>
      <c r="L189" s="125" t="s">
        <v>21</v>
      </c>
      <c r="M189" s="133" t="s">
        <v>1751</v>
      </c>
      <c r="N189" s="117" t="s">
        <v>1752</v>
      </c>
      <c r="O189" s="113">
        <v>0</v>
      </c>
      <c r="P189" s="134"/>
      <c r="Q189" s="136" t="s">
        <v>9</v>
      </c>
      <c r="R189" s="136" t="s">
        <v>102</v>
      </c>
      <c r="S189" s="136" t="s">
        <v>111</v>
      </c>
      <c r="T189" s="124"/>
      <c r="U189" s="124"/>
      <c r="V189" s="124"/>
      <c r="W189" s="15"/>
      <c r="X189" s="118"/>
      <c r="Y189" s="124"/>
      <c r="Z189" s="59" t="str">
        <f>IF(OR($M189="",NOT($O189="{array}")),"",IFERROR(MATCH(PARAMETERS!$M189,DEFAULT!$B$5:$CX$5,0),""))</f>
        <v/>
      </c>
      <c r="AA189" s="56" t="str">
        <f t="shared" si="14"/>
        <v/>
      </c>
      <c r="AB189" s="63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7" t="str">
        <f>IF($AA189="","",IF($B189="I",VLOOKUP($AA189,#REF!,53,0),INDEX(VALUES!$B$1:$BT$1,1,$AA189)))</f>
        <v/>
      </c>
    </row>
    <row r="190" spans="1:29" hidden="1" outlineLevel="1" x14ac:dyDescent="0.3">
      <c r="A190" s="22" t="s">
        <v>84</v>
      </c>
      <c r="B190" s="41" t="str">
        <f>IF($A190="P",IF(NOT($Z190=""),"A",IF(NOT($AA190=""),"I","")),IF(NOT($AA190=""),IF($A190="G","V","X"),IF(NOT($Z190=""),"A","")))</f>
        <v/>
      </c>
      <c r="C190" s="42">
        <f t="shared" si="13"/>
        <v>189</v>
      </c>
      <c r="D190" s="38"/>
      <c r="E190" s="38"/>
      <c r="F190" s="38"/>
      <c r="G190" s="38"/>
      <c r="H190" s="38"/>
      <c r="I190" s="38" t="s">
        <v>9</v>
      </c>
      <c r="J190" s="38"/>
      <c r="K190" s="117" t="s">
        <v>36</v>
      </c>
      <c r="L190" s="125" t="s">
        <v>21</v>
      </c>
      <c r="M190" s="133" t="s">
        <v>1753</v>
      </c>
      <c r="N190" s="117" t="s">
        <v>1754</v>
      </c>
      <c r="O190" s="113">
        <v>0</v>
      </c>
      <c r="P190" s="134"/>
      <c r="Q190" s="136" t="s">
        <v>9</v>
      </c>
      <c r="R190" s="136" t="s">
        <v>102</v>
      </c>
      <c r="S190" s="136" t="s">
        <v>111</v>
      </c>
      <c r="T190" s="124"/>
      <c r="U190" s="124"/>
      <c r="V190" s="124"/>
      <c r="W190" s="15"/>
      <c r="X190" s="118"/>
      <c r="Y190" s="124"/>
      <c r="Z190" s="59" t="str">
        <f>IF(OR($M190="",NOT($O190="{array}")),"",IFERROR(MATCH(PARAMETERS!$M190,DEFAULT!$B$5:$CX$5,0),""))</f>
        <v/>
      </c>
      <c r="AA190" s="56" t="str">
        <f t="shared" si="14"/>
        <v/>
      </c>
      <c r="AB190" s="63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7" t="str">
        <f>IF($AA190="","",IF($B190="I",VLOOKUP($AA190,#REF!,53,0),INDEX(VALUES!$B$1:$BT$1,1,$AA190)))</f>
        <v/>
      </c>
    </row>
    <row r="191" spans="1:29" collapsed="1" x14ac:dyDescent="0.3">
      <c r="A191" s="22" t="s">
        <v>84</v>
      </c>
      <c r="B191" s="41" t="str">
        <f t="shared" si="10"/>
        <v/>
      </c>
      <c r="C191" s="42">
        <f t="shared" si="13"/>
        <v>190</v>
      </c>
      <c r="D191" s="38"/>
      <c r="E191" s="38"/>
      <c r="F191" s="38" t="s">
        <v>9</v>
      </c>
      <c r="G191" s="38"/>
      <c r="H191" s="38"/>
      <c r="I191" s="38"/>
      <c r="J191" s="38"/>
      <c r="K191" s="14" t="s">
        <v>57</v>
      </c>
      <c r="L191" s="14" t="s">
        <v>38</v>
      </c>
      <c r="M191" s="48" t="s">
        <v>642</v>
      </c>
      <c r="N191" s="41" t="s">
        <v>1062</v>
      </c>
      <c r="R191" s="38" t="s">
        <v>103</v>
      </c>
      <c r="S191" s="38"/>
      <c r="T191" s="38"/>
      <c r="W191" s="15" t="str">
        <f>IF(IFERROR(VLOOKUP($M191,COMPARE!$H$2:$H$847,1,0),"-")="-","","GS")</f>
        <v/>
      </c>
      <c r="Z191" s="59" t="str">
        <f>IF(OR($M191="",NOT($O191="{array}")),"",IFERROR(MATCH(PARAMETERS!$M191,DEFAULT!$B$5:$CX$5,0),""))</f>
        <v/>
      </c>
      <c r="AA191" s="56" t="str">
        <f t="shared" si="14"/>
        <v/>
      </c>
      <c r="AB191" s="63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7" t="str">
        <f>IF($AA191="","",IF($B191="I",VLOOKUP($AA191,#REF!,53,0),INDEX(VALUES!$B$1:$BT$1,1,$AA191)))</f>
        <v/>
      </c>
    </row>
    <row r="192" spans="1:29" hidden="1" outlineLevel="1" x14ac:dyDescent="0.3">
      <c r="A192" s="22" t="s">
        <v>84</v>
      </c>
      <c r="B192" s="41" t="str">
        <f t="shared" ref="B192:B211" si="15">IF($A192="P",IF(NOT($Z192=""),"A",IF(NOT($AA192=""),"I","")),IF(NOT($AA192=""),IF($A192="G","V","X"),IF(NOT($Z192=""),"A","")))</f>
        <v/>
      </c>
      <c r="C192" s="42">
        <f t="shared" si="13"/>
        <v>191</v>
      </c>
      <c r="D192" s="38"/>
      <c r="E192" s="38"/>
      <c r="F192" s="38"/>
      <c r="G192" s="38"/>
      <c r="H192" s="38"/>
      <c r="I192" s="38" t="s">
        <v>9</v>
      </c>
      <c r="J192" s="38"/>
      <c r="K192" s="14" t="s">
        <v>47</v>
      </c>
      <c r="L192" s="14" t="s">
        <v>27</v>
      </c>
      <c r="M192" s="20" t="s">
        <v>619</v>
      </c>
      <c r="N192" s="14" t="s">
        <v>620</v>
      </c>
      <c r="O192" s="43">
        <v>0</v>
      </c>
      <c r="R192" s="38" t="s">
        <v>103</v>
      </c>
      <c r="S192" s="38"/>
      <c r="T192" s="38"/>
      <c r="W192" s="15" t="str">
        <f>IF(IFERROR(VLOOKUP($M192,COMPARE!$H$2:$H$847,1,0),"-")="-","","GS")</f>
        <v/>
      </c>
      <c r="Z192" s="59" t="str">
        <f>IF(OR($M192="",NOT($O192="{array}")),"",IFERROR(MATCH(PARAMETERS!$M192,DEFAULT!$B$5:$CX$5,0),""))</f>
        <v/>
      </c>
      <c r="AA192" s="56" t="str">
        <f t="shared" si="14"/>
        <v/>
      </c>
      <c r="AB192" s="63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7" t="str">
        <f>IF($AA192="","",IF($B192="I",VLOOKUP($AA192,#REF!,53,0),INDEX(VALUES!$B$1:$BT$1,1,$AA192)))</f>
        <v/>
      </c>
    </row>
    <row r="193" spans="1:29" hidden="1" outlineLevel="1" x14ac:dyDescent="0.3">
      <c r="A193" s="22" t="s">
        <v>84</v>
      </c>
      <c r="B193" s="41" t="str">
        <f t="shared" si="15"/>
        <v/>
      </c>
      <c r="C193" s="42">
        <f t="shared" si="13"/>
        <v>192</v>
      </c>
      <c r="D193" s="38"/>
      <c r="E193" s="38"/>
      <c r="F193" s="38"/>
      <c r="G193" s="38"/>
      <c r="H193" s="38"/>
      <c r="I193" s="38" t="s">
        <v>9</v>
      </c>
      <c r="J193" s="38"/>
      <c r="K193" s="14" t="s">
        <v>47</v>
      </c>
      <c r="L193" s="14" t="s">
        <v>27</v>
      </c>
      <c r="M193" s="20" t="s">
        <v>621</v>
      </c>
      <c r="N193" s="14" t="s">
        <v>622</v>
      </c>
      <c r="O193" s="43">
        <v>0</v>
      </c>
      <c r="R193" s="38" t="s">
        <v>103</v>
      </c>
      <c r="S193" s="38"/>
      <c r="T193" s="38"/>
      <c r="W193" s="15" t="str">
        <f>IF(IFERROR(VLOOKUP($M193,COMPARE!$H$2:$H$847,1,0),"-")="-","","GS")</f>
        <v/>
      </c>
      <c r="Z193" s="59" t="str">
        <f>IF(OR($M193="",NOT($O193="{array}")),"",IFERROR(MATCH(PARAMETERS!$M193,DEFAULT!$B$5:$CX$5,0),""))</f>
        <v/>
      </c>
      <c r="AA193" s="56" t="str">
        <f t="shared" si="14"/>
        <v/>
      </c>
      <c r="AB193" s="63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7" t="str">
        <f>IF($AA193="","",IF($B193="I",VLOOKUP($AA193,#REF!,53,0),INDEX(VALUES!$B$1:$BT$1,1,$AA193)))</f>
        <v/>
      </c>
    </row>
    <row r="194" spans="1:29" hidden="1" outlineLevel="1" x14ac:dyDescent="0.3">
      <c r="A194" s="22" t="s">
        <v>84</v>
      </c>
      <c r="B194" s="41" t="str">
        <f t="shared" si="15"/>
        <v/>
      </c>
      <c r="C194" s="42">
        <f t="shared" si="13"/>
        <v>193</v>
      </c>
      <c r="D194" s="38"/>
      <c r="E194" s="38"/>
      <c r="F194" s="38"/>
      <c r="G194" s="38"/>
      <c r="H194" s="38"/>
      <c r="I194" s="38" t="s">
        <v>9</v>
      </c>
      <c r="J194" s="38"/>
      <c r="K194" s="14" t="s">
        <v>47</v>
      </c>
      <c r="L194" s="14" t="s">
        <v>27</v>
      </c>
      <c r="M194" s="20" t="s">
        <v>623</v>
      </c>
      <c r="N194" s="14" t="s">
        <v>624</v>
      </c>
      <c r="O194" s="43">
        <v>1</v>
      </c>
      <c r="Q194" s="38" t="s">
        <v>9</v>
      </c>
      <c r="R194" s="38" t="s">
        <v>103</v>
      </c>
      <c r="S194" s="38"/>
      <c r="T194" s="38"/>
      <c r="W194" s="15" t="str">
        <f>IF(IFERROR(VLOOKUP($M194,COMPARE!$H$2:$H$847,1,0),"-")="-","","GS")</f>
        <v/>
      </c>
      <c r="Z194" s="59" t="str">
        <f>IF(OR($M194="",NOT($O194="{array}")),"",IFERROR(MATCH(PARAMETERS!$M194,DEFAULT!$B$5:$CX$5,0),""))</f>
        <v/>
      </c>
      <c r="AA194" s="56" t="str">
        <f t="shared" si="14"/>
        <v/>
      </c>
      <c r="AB194" s="63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7" t="str">
        <f>IF($AA194="","",IF($B194="I",VLOOKUP($AA194,#REF!,53,0),INDEX(VALUES!$B$1:$BT$1,1,$AA194)))</f>
        <v/>
      </c>
    </row>
    <row r="195" spans="1:29" hidden="1" outlineLevel="1" x14ac:dyDescent="0.3">
      <c r="A195" s="22" t="s">
        <v>84</v>
      </c>
      <c r="B195" s="41" t="str">
        <f t="shared" si="15"/>
        <v/>
      </c>
      <c r="C195" s="42">
        <f t="shared" si="13"/>
        <v>194</v>
      </c>
      <c r="D195" s="38"/>
      <c r="E195" s="38"/>
      <c r="F195" s="38"/>
      <c r="G195" s="38"/>
      <c r="H195" s="38"/>
      <c r="I195" s="38" t="s">
        <v>9</v>
      </c>
      <c r="J195" s="38"/>
      <c r="K195" s="14" t="s">
        <v>24</v>
      </c>
      <c r="L195" s="14" t="s">
        <v>27</v>
      </c>
      <c r="M195" s="20" t="s">
        <v>625</v>
      </c>
      <c r="N195" s="14" t="s">
        <v>626</v>
      </c>
      <c r="O195" s="43">
        <v>1</v>
      </c>
      <c r="R195" s="38" t="s">
        <v>103</v>
      </c>
      <c r="S195" s="38"/>
      <c r="T195" s="38"/>
      <c r="W195" s="15" t="str">
        <f>IF(IFERROR(VLOOKUP($M195,COMPARE!$H$2:$H$847,1,0),"-")="-","","GS")</f>
        <v/>
      </c>
      <c r="Z195" s="59" t="str">
        <f>IF(OR($M195="",NOT($O195="{array}")),"",IFERROR(MATCH(PARAMETERS!$M195,DEFAULT!$B$5:$CX$5,0),""))</f>
        <v/>
      </c>
      <c r="AA195" s="56" t="str">
        <f t="shared" si="14"/>
        <v/>
      </c>
      <c r="AB195" s="63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7" t="str">
        <f>IF($AA195="","",IF($B195="I",VLOOKUP($AA195,#REF!,53,0),INDEX(VALUES!$B$1:$BT$1,1,$AA195)))</f>
        <v/>
      </c>
    </row>
    <row r="196" spans="1:29" hidden="1" outlineLevel="1" x14ac:dyDescent="0.3">
      <c r="A196" s="22" t="s">
        <v>84</v>
      </c>
      <c r="B196" s="41" t="str">
        <f t="shared" si="15"/>
        <v/>
      </c>
      <c r="C196" s="42">
        <f t="shared" si="13"/>
        <v>195</v>
      </c>
      <c r="D196" s="38"/>
      <c r="E196" s="38"/>
      <c r="F196" s="38"/>
      <c r="G196" s="38"/>
      <c r="H196" s="38"/>
      <c r="I196" s="38" t="s">
        <v>9</v>
      </c>
      <c r="J196" s="38"/>
      <c r="K196" s="117" t="s">
        <v>24</v>
      </c>
      <c r="L196" s="14" t="s">
        <v>27</v>
      </c>
      <c r="M196" s="198" t="s">
        <v>1141</v>
      </c>
      <c r="N196" s="117" t="s">
        <v>1142</v>
      </c>
      <c r="O196" s="117">
        <v>0.75</v>
      </c>
      <c r="P196" s="134"/>
      <c r="Q196" s="136" t="s">
        <v>9</v>
      </c>
      <c r="R196" s="136" t="s">
        <v>191</v>
      </c>
      <c r="S196" s="129"/>
      <c r="T196" s="124"/>
      <c r="U196" s="124"/>
      <c r="V196" s="124"/>
      <c r="W196" s="15"/>
      <c r="X196" s="118"/>
      <c r="Y196" s="124"/>
      <c r="Z196" s="59" t="str">
        <f>IF(OR($M196="",NOT($O196="{array}")),"",IFERROR(MATCH(PARAMETERS!$M196,DEFAULT!$B$5:$CX$5,0),""))</f>
        <v/>
      </c>
      <c r="AA196" s="56" t="str">
        <f t="shared" si="14"/>
        <v/>
      </c>
      <c r="AB196" s="63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7" t="str">
        <f>IF($AA196="","",IF($B196="I",VLOOKUP($AA196,#REF!,53,0),INDEX(VALUES!$B$1:$BT$1,1,$AA196)))</f>
        <v/>
      </c>
    </row>
    <row r="197" spans="1:29" hidden="1" outlineLevel="1" x14ac:dyDescent="0.3">
      <c r="A197" s="22" t="s">
        <v>84</v>
      </c>
      <c r="B197" s="41" t="str">
        <f t="shared" si="15"/>
        <v/>
      </c>
      <c r="C197" s="42">
        <f t="shared" si="13"/>
        <v>196</v>
      </c>
      <c r="D197" s="38"/>
      <c r="E197" s="38"/>
      <c r="F197" s="38"/>
      <c r="G197" s="38"/>
      <c r="H197" s="38"/>
      <c r="I197" s="38" t="s">
        <v>9</v>
      </c>
      <c r="J197" s="38"/>
      <c r="K197" s="117" t="s">
        <v>24</v>
      </c>
      <c r="L197" s="14" t="s">
        <v>27</v>
      </c>
      <c r="M197" s="198" t="s">
        <v>1143</v>
      </c>
      <c r="N197" s="117" t="s">
        <v>1144</v>
      </c>
      <c r="O197" s="117">
        <v>1.1499999999999999</v>
      </c>
      <c r="P197" s="134"/>
      <c r="Q197" s="136" t="s">
        <v>9</v>
      </c>
      <c r="R197" s="136" t="s">
        <v>191</v>
      </c>
      <c r="S197" s="129"/>
      <c r="T197" s="124"/>
      <c r="U197" s="124"/>
      <c r="V197" s="124"/>
      <c r="W197" s="15"/>
      <c r="X197" s="118"/>
      <c r="Y197" s="124"/>
      <c r="Z197" s="59" t="str">
        <f>IF(OR($M197="",NOT($O197="{array}")),"",IFERROR(MATCH(PARAMETERS!$M197,DEFAULT!$B$5:$CX$5,0),""))</f>
        <v/>
      </c>
      <c r="AA197" s="56" t="str">
        <f t="shared" si="14"/>
        <v/>
      </c>
      <c r="AB197" s="63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7" t="str">
        <f>IF($AA197="","",IF($B197="I",VLOOKUP($AA197,#REF!,53,0),INDEX(VALUES!$B$1:$BT$1,1,$AA197)))</f>
        <v/>
      </c>
    </row>
    <row r="198" spans="1:29" hidden="1" outlineLevel="1" x14ac:dyDescent="0.25">
      <c r="A198" s="22" t="s">
        <v>84</v>
      </c>
      <c r="B198" s="41" t="str">
        <f t="shared" ref="B198:B205" si="16">IF($A198="P",IF(NOT($Z198=""),"A",IF(NOT($AA198=""),"I","")),IF(NOT($AA198=""),IF($A198="G","V","X"),IF(NOT($Z198=""),"A","")))</f>
        <v/>
      </c>
      <c r="C198" s="42">
        <f t="shared" si="13"/>
        <v>197</v>
      </c>
      <c r="D198" s="38"/>
      <c r="E198" s="38"/>
      <c r="F198" s="38"/>
      <c r="G198" s="38"/>
      <c r="H198" s="38"/>
      <c r="I198" s="38" t="s">
        <v>9</v>
      </c>
      <c r="J198" s="38"/>
      <c r="K198" s="117" t="s">
        <v>44</v>
      </c>
      <c r="L198" s="53" t="s">
        <v>27</v>
      </c>
      <c r="M198" s="140" t="s">
        <v>1107</v>
      </c>
      <c r="N198" s="53" t="s">
        <v>1110</v>
      </c>
      <c r="O198" s="113">
        <v>1</v>
      </c>
      <c r="P198" s="53"/>
      <c r="Q198" s="165"/>
      <c r="R198" s="136" t="s">
        <v>102</v>
      </c>
      <c r="S198" s="129"/>
      <c r="T198" s="124"/>
      <c r="U198" s="124"/>
      <c r="V198" s="124"/>
      <c r="W198" s="15"/>
      <c r="X198" s="118"/>
      <c r="Y198" s="124"/>
      <c r="Z198" s="59" t="str">
        <f>IF(OR($M198="",NOT($O198="{array}")),"",IFERROR(MATCH(PARAMETERS!$M198,DEFAULT!$B$5:$CX$5,0),""))</f>
        <v/>
      </c>
      <c r="AA198" s="56" t="str">
        <f t="shared" si="14"/>
        <v/>
      </c>
      <c r="AB198" s="63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7" t="str">
        <f>IF($AA198="","",IF($B198="I",VLOOKUP($AA198,#REF!,53,0),INDEX(VALUES!$B$1:$BT$1,1,$AA198)))</f>
        <v/>
      </c>
    </row>
    <row r="199" spans="1:29" hidden="1" outlineLevel="1" x14ac:dyDescent="0.25">
      <c r="A199" s="22" t="s">
        <v>84</v>
      </c>
      <c r="B199" s="41" t="str">
        <f t="shared" si="16"/>
        <v/>
      </c>
      <c r="C199" s="42">
        <f t="shared" si="13"/>
        <v>198</v>
      </c>
      <c r="D199" s="38"/>
      <c r="E199" s="38"/>
      <c r="F199" s="38"/>
      <c r="G199" s="38"/>
      <c r="H199" s="38"/>
      <c r="I199" s="38" t="s">
        <v>9</v>
      </c>
      <c r="J199" s="38"/>
      <c r="K199" s="117" t="s">
        <v>44</v>
      </c>
      <c r="L199" s="53" t="s">
        <v>27</v>
      </c>
      <c r="M199" s="140" t="s">
        <v>1117</v>
      </c>
      <c r="N199" s="53" t="s">
        <v>1118</v>
      </c>
      <c r="O199" s="113">
        <v>1</v>
      </c>
      <c r="P199" s="53"/>
      <c r="Q199" s="165"/>
      <c r="R199" s="136" t="s">
        <v>102</v>
      </c>
      <c r="S199" s="129"/>
      <c r="T199" s="124"/>
      <c r="U199" s="124"/>
      <c r="V199" s="124"/>
      <c r="W199" s="15"/>
      <c r="X199" s="118"/>
      <c r="Y199" s="124"/>
      <c r="Z199" s="59" t="str">
        <f>IF(OR($M199="",NOT($O199="{array}")),"",IFERROR(MATCH(PARAMETERS!$M199,DEFAULT!$B$5:$CX$5,0),""))</f>
        <v/>
      </c>
      <c r="AA199" s="56" t="str">
        <f t="shared" si="14"/>
        <v/>
      </c>
      <c r="AB199" s="63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7" t="str">
        <f>IF($AA199="","",IF($B199="I",VLOOKUP($AA199,#REF!,53,0),INDEX(VALUES!$B$1:$BT$1,1,$AA199)))</f>
        <v/>
      </c>
    </row>
    <row r="200" spans="1:29" hidden="1" outlineLevel="1" x14ac:dyDescent="0.25">
      <c r="A200" s="22" t="s">
        <v>84</v>
      </c>
      <c r="B200" s="41" t="str">
        <f t="shared" si="16"/>
        <v/>
      </c>
      <c r="C200" s="42">
        <f t="shared" si="13"/>
        <v>199</v>
      </c>
      <c r="D200" s="38"/>
      <c r="E200" s="38"/>
      <c r="F200" s="38"/>
      <c r="G200" s="38"/>
      <c r="H200" s="38"/>
      <c r="I200" s="38" t="s">
        <v>9</v>
      </c>
      <c r="J200" s="38"/>
      <c r="K200" s="117" t="s">
        <v>24</v>
      </c>
      <c r="L200" s="53" t="s">
        <v>27</v>
      </c>
      <c r="M200" s="140" t="s">
        <v>1180</v>
      </c>
      <c r="N200" s="53" t="s">
        <v>1181</v>
      </c>
      <c r="O200" s="113">
        <v>0</v>
      </c>
      <c r="P200" s="53"/>
      <c r="Q200" s="165"/>
      <c r="R200" s="136" t="s">
        <v>102</v>
      </c>
      <c r="S200" s="129"/>
      <c r="T200" s="124"/>
      <c r="U200" s="124"/>
      <c r="V200" s="124"/>
      <c r="W200" s="15"/>
      <c r="X200" s="118"/>
      <c r="Y200" s="124"/>
      <c r="Z200" s="59" t="str">
        <f>IF(OR($M200="",NOT($O200="{array}")),"",IFERROR(MATCH(PARAMETERS!$M200,DEFAULT!$B$5:$CX$5,0),""))</f>
        <v/>
      </c>
      <c r="AA200" s="56" t="str">
        <f t="shared" si="14"/>
        <v/>
      </c>
      <c r="AB200" s="63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7" t="str">
        <f>IF($AA200="","",IF($B200="I",VLOOKUP($AA200,#REF!,53,0),INDEX(VALUES!$B$1:$BT$1,1,$AA200)))</f>
        <v/>
      </c>
    </row>
    <row r="201" spans="1:29" hidden="1" outlineLevel="1" x14ac:dyDescent="0.25">
      <c r="A201" s="22" t="s">
        <v>84</v>
      </c>
      <c r="B201" s="41" t="str">
        <f t="shared" si="16"/>
        <v/>
      </c>
      <c r="C201" s="42">
        <f t="shared" si="13"/>
        <v>200</v>
      </c>
      <c r="D201" s="38"/>
      <c r="E201" s="38"/>
      <c r="F201" s="38"/>
      <c r="G201" s="38"/>
      <c r="H201" s="38"/>
      <c r="I201" s="38" t="s">
        <v>9</v>
      </c>
      <c r="J201" s="38"/>
      <c r="K201" s="117" t="s">
        <v>24</v>
      </c>
      <c r="L201" s="53" t="s">
        <v>27</v>
      </c>
      <c r="M201" s="140" t="s">
        <v>1108</v>
      </c>
      <c r="N201" s="53" t="s">
        <v>1109</v>
      </c>
      <c r="O201" s="113">
        <v>4.0000000000000001E-3</v>
      </c>
      <c r="P201" s="53"/>
      <c r="Q201" s="165"/>
      <c r="R201" s="136" t="s">
        <v>102</v>
      </c>
      <c r="S201" s="129"/>
      <c r="T201" s="124"/>
      <c r="U201" s="124"/>
      <c r="V201" s="124"/>
      <c r="W201" s="15"/>
      <c r="X201" s="118"/>
      <c r="Y201" s="124"/>
      <c r="Z201" s="59" t="str">
        <f>IF(OR($M201="",NOT($O201="{array}")),"",IFERROR(MATCH(PARAMETERS!$M201,DEFAULT!$B$5:$CX$5,0),""))</f>
        <v/>
      </c>
      <c r="AA201" s="56" t="str">
        <f t="shared" si="14"/>
        <v/>
      </c>
      <c r="AB201" s="63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7" t="str">
        <f>IF($AA201="","",IF($B201="I",VLOOKUP($AA201,#REF!,53,0),INDEX(VALUES!$B$1:$BT$1,1,$AA201)))</f>
        <v/>
      </c>
    </row>
    <row r="202" spans="1:29" hidden="1" outlineLevel="1" x14ac:dyDescent="0.25">
      <c r="A202" s="22" t="s">
        <v>84</v>
      </c>
      <c r="B202" s="41" t="str">
        <f t="shared" si="16"/>
        <v/>
      </c>
      <c r="C202" s="42">
        <f t="shared" si="13"/>
        <v>201</v>
      </c>
      <c r="D202" s="38"/>
      <c r="E202" s="38"/>
      <c r="F202" s="38"/>
      <c r="G202" s="38"/>
      <c r="H202" s="38"/>
      <c r="I202" s="38" t="s">
        <v>9</v>
      </c>
      <c r="J202" s="38"/>
      <c r="K202" s="117" t="s">
        <v>24</v>
      </c>
      <c r="L202" s="53" t="s">
        <v>27</v>
      </c>
      <c r="M202" s="140" t="s">
        <v>1111</v>
      </c>
      <c r="N202" s="53" t="s">
        <v>1112</v>
      </c>
      <c r="O202" s="113">
        <v>6.0000000000000001E-3</v>
      </c>
      <c r="P202" s="53"/>
      <c r="Q202" s="165"/>
      <c r="R202" s="136" t="s">
        <v>102</v>
      </c>
      <c r="S202" s="129"/>
      <c r="T202" s="124"/>
      <c r="U202" s="124"/>
      <c r="V202" s="124"/>
      <c r="W202" s="15"/>
      <c r="X202" s="118"/>
      <c r="Y202" s="124"/>
      <c r="Z202" s="59" t="str">
        <f>IF(OR($M202="",NOT($O202="{array}")),"",IFERROR(MATCH(PARAMETERS!$M202,DEFAULT!$B$5:$CX$5,0),""))</f>
        <v/>
      </c>
      <c r="AA202" s="56" t="str">
        <f t="shared" si="14"/>
        <v/>
      </c>
      <c r="AB202" s="63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7" t="str">
        <f>IF($AA202="","",IF($B202="I",VLOOKUP($AA202,#REF!,53,0),INDEX(VALUES!$B$1:$BT$1,1,$AA202)))</f>
        <v/>
      </c>
    </row>
    <row r="203" spans="1:29" hidden="1" outlineLevel="1" x14ac:dyDescent="0.25">
      <c r="A203" s="22" t="s">
        <v>84</v>
      </c>
      <c r="B203" s="41" t="str">
        <f t="shared" si="16"/>
        <v/>
      </c>
      <c r="C203" s="42">
        <f t="shared" si="13"/>
        <v>202</v>
      </c>
      <c r="D203" s="38"/>
      <c r="E203" s="38"/>
      <c r="F203" s="38"/>
      <c r="G203" s="38"/>
      <c r="H203" s="38"/>
      <c r="I203" s="38" t="s">
        <v>9</v>
      </c>
      <c r="J203" s="38"/>
      <c r="K203" s="117" t="s">
        <v>47</v>
      </c>
      <c r="L203" s="53" t="s">
        <v>27</v>
      </c>
      <c r="M203" s="140" t="s">
        <v>1182</v>
      </c>
      <c r="N203" s="53" t="s">
        <v>1183</v>
      </c>
      <c r="O203" s="113">
        <v>1</v>
      </c>
      <c r="P203" s="53"/>
      <c r="Q203" s="165"/>
      <c r="R203" s="136" t="s">
        <v>102</v>
      </c>
      <c r="S203" s="129"/>
      <c r="T203" s="124"/>
      <c r="U203" s="124"/>
      <c r="V203" s="124"/>
      <c r="W203" s="15"/>
      <c r="X203" s="118"/>
      <c r="Y203" s="124"/>
      <c r="Z203" s="59" t="str">
        <f>IF(OR($M203="",NOT($O203="{array}")),"",IFERROR(MATCH(PARAMETERS!$M203,DEFAULT!$B$5:$CX$5,0),""))</f>
        <v/>
      </c>
      <c r="AA203" s="56" t="str">
        <f t="shared" si="14"/>
        <v/>
      </c>
      <c r="AB203" s="63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7" t="str">
        <f>IF($AA203="","",IF($B203="I",VLOOKUP($AA203,#REF!,53,0),INDEX(VALUES!$B$1:$BT$1,1,$AA203)))</f>
        <v/>
      </c>
    </row>
    <row r="204" spans="1:29" hidden="1" outlineLevel="1" x14ac:dyDescent="0.25">
      <c r="A204" s="22" t="s">
        <v>84</v>
      </c>
      <c r="B204" s="41" t="str">
        <f t="shared" si="16"/>
        <v/>
      </c>
      <c r="C204" s="42">
        <f t="shared" si="13"/>
        <v>203</v>
      </c>
      <c r="D204" s="38"/>
      <c r="E204" s="38"/>
      <c r="F204" s="38"/>
      <c r="G204" s="38"/>
      <c r="H204" s="38"/>
      <c r="I204" s="38" t="s">
        <v>9</v>
      </c>
      <c r="J204" s="38"/>
      <c r="K204" s="117" t="s">
        <v>24</v>
      </c>
      <c r="L204" s="53" t="s">
        <v>27</v>
      </c>
      <c r="M204" s="140" t="s">
        <v>1185</v>
      </c>
      <c r="N204" s="53" t="s">
        <v>1187</v>
      </c>
      <c r="O204" s="113">
        <v>2E-3</v>
      </c>
      <c r="P204" s="53"/>
      <c r="Q204" s="165"/>
      <c r="R204" s="136" t="s">
        <v>102</v>
      </c>
      <c r="S204" s="129"/>
      <c r="T204" s="124"/>
      <c r="U204" s="124"/>
      <c r="V204" s="124"/>
      <c r="W204" s="15"/>
      <c r="X204" s="118"/>
      <c r="Y204" s="124"/>
      <c r="Z204" s="59" t="str">
        <f>IF(OR($M204="",NOT($O204="{array}")),"",IFERROR(MATCH(PARAMETERS!$M204,DEFAULT!$B$5:$CX$5,0),""))</f>
        <v/>
      </c>
      <c r="AA204" s="56" t="str">
        <f t="shared" si="14"/>
        <v/>
      </c>
      <c r="AB204" s="63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7" t="str">
        <f>IF($AA204="","",IF($B204="I",VLOOKUP($AA204,#REF!,53,0),INDEX(VALUES!$B$1:$BT$1,1,$AA204)))</f>
        <v/>
      </c>
    </row>
    <row r="205" spans="1:29" hidden="1" outlineLevel="1" x14ac:dyDescent="0.25">
      <c r="A205" s="22" t="s">
        <v>84</v>
      </c>
      <c r="B205" s="41" t="str">
        <f t="shared" si="16"/>
        <v/>
      </c>
      <c r="C205" s="42">
        <f t="shared" si="13"/>
        <v>204</v>
      </c>
      <c r="D205" s="38"/>
      <c r="E205" s="38"/>
      <c r="F205" s="38" t="s">
        <v>9</v>
      </c>
      <c r="G205" s="38"/>
      <c r="H205" s="38"/>
      <c r="I205" s="38" t="s">
        <v>9</v>
      </c>
      <c r="J205" s="38"/>
      <c r="K205" s="14" t="s">
        <v>24</v>
      </c>
      <c r="L205" s="14" t="s">
        <v>27</v>
      </c>
      <c r="M205" s="184" t="s">
        <v>633</v>
      </c>
      <c r="N205" s="14" t="s">
        <v>634</v>
      </c>
      <c r="O205" s="43">
        <v>5.0000000000000001E-3</v>
      </c>
      <c r="R205" s="38" t="s">
        <v>103</v>
      </c>
      <c r="S205" s="129" t="s">
        <v>111</v>
      </c>
      <c r="T205" s="124" t="s">
        <v>259</v>
      </c>
      <c r="U205" s="124" t="s">
        <v>259</v>
      </c>
      <c r="V205" s="124" t="s">
        <v>635</v>
      </c>
      <c r="W205" s="15" t="str">
        <f>IF(IFERROR(VLOOKUP($M205,COMPARE!$H$2:$H$847,1,0),"-")="-","","GS")</f>
        <v/>
      </c>
      <c r="X205" s="118">
        <v>62</v>
      </c>
      <c r="Y205" s="124" t="s">
        <v>636</v>
      </c>
      <c r="Z205" s="59" t="str">
        <f>IF(OR($M205="",NOT($O205="{array}")),"",IFERROR(MATCH(PARAMETERS!$M205,DEFAULT!$B$5:$CX$5,0),""))</f>
        <v/>
      </c>
      <c r="AA205" s="56" t="str">
        <f t="shared" si="14"/>
        <v/>
      </c>
      <c r="AB205" s="63" t="str">
        <f>IF(AND(OR($A205="G",$A205="P"),NOT($O205="{array}")),IF(VLOOKUP($K205,base!$B$2:$D$20,3,0)="S",IF(OR($O205="",ISTEXT($O205)),"","STRING!"),IF(VLOOKUP($K205,base!$B$2:$D$20,3,0)="","",IF(ISTEXT($O205),"NUMERIC!",""))),"")</f>
        <v/>
      </c>
      <c r="AC205" s="17" t="str">
        <f>IF($AA205="","",IF($B205="I",VLOOKUP($AA205,#REF!,53,0),INDEX(VALUES!$B$1:$BT$1,1,$AA205)))</f>
        <v/>
      </c>
    </row>
    <row r="206" spans="1:29" hidden="1" outlineLevel="1" x14ac:dyDescent="0.25">
      <c r="A206" s="22" t="s">
        <v>84</v>
      </c>
      <c r="B206" s="41" t="str">
        <f t="shared" si="15"/>
        <v/>
      </c>
      <c r="C206" s="42">
        <f t="shared" si="13"/>
        <v>205</v>
      </c>
      <c r="D206" s="38"/>
      <c r="E206" s="38"/>
      <c r="F206" s="38" t="s">
        <v>9</v>
      </c>
      <c r="G206" s="38"/>
      <c r="H206" s="38"/>
      <c r="I206" s="38" t="s">
        <v>9</v>
      </c>
      <c r="J206" s="38"/>
      <c r="K206" s="14" t="s">
        <v>24</v>
      </c>
      <c r="L206" s="14" t="s">
        <v>27</v>
      </c>
      <c r="M206" s="184" t="s">
        <v>627</v>
      </c>
      <c r="N206" s="14" t="s">
        <v>628</v>
      </c>
      <c r="O206" s="43">
        <v>0.04</v>
      </c>
      <c r="Q206" s="38" t="s">
        <v>9</v>
      </c>
      <c r="R206" s="38" t="s">
        <v>103</v>
      </c>
      <c r="S206" s="129" t="s">
        <v>111</v>
      </c>
      <c r="T206" s="124" t="s">
        <v>259</v>
      </c>
      <c r="U206" s="124" t="s">
        <v>259</v>
      </c>
      <c r="V206" s="124" t="s">
        <v>629</v>
      </c>
      <c r="W206" s="15" t="str">
        <f>IF(IFERROR(VLOOKUP($M206,COMPARE!$H$2:$H$847,1,0),"-")="-","","GS")</f>
        <v/>
      </c>
      <c r="X206" s="118">
        <v>59</v>
      </c>
      <c r="Y206" s="124" t="s">
        <v>630</v>
      </c>
      <c r="Z206" s="59" t="str">
        <f>IF(OR($M206="",NOT($O206="{array}")),"",IFERROR(MATCH(PARAMETERS!$M206,DEFAULT!$B$5:$CX$5,0),""))</f>
        <v/>
      </c>
      <c r="AA206" s="56" t="str">
        <f t="shared" si="14"/>
        <v/>
      </c>
      <c r="AB206" s="63" t="str">
        <f>IF(AND(OR($A206="G",$A206="P"),NOT($O206="{array}")),IF(VLOOKUP($K206,base!$B$2:$D$20,3,0)="S",IF(OR($O206="",ISTEXT($O206)),"","STRING!"),IF(VLOOKUP($K206,base!$B$2:$D$20,3,0)="","",IF(ISTEXT($O206),"NUMERIC!",""))),"")</f>
        <v/>
      </c>
      <c r="AC206" s="17" t="str">
        <f>IF($AA206="","",IF($B206="I",VLOOKUP($AA206,#REF!,53,0),INDEX(VALUES!$B$1:$BT$1,1,$AA206)))</f>
        <v/>
      </c>
    </row>
    <row r="207" spans="1:29" hidden="1" outlineLevel="1" x14ac:dyDescent="0.3">
      <c r="A207" s="22" t="s">
        <v>84</v>
      </c>
      <c r="B207" s="41" t="str">
        <f t="shared" si="15"/>
        <v>A</v>
      </c>
      <c r="C207" s="42">
        <f t="shared" si="13"/>
        <v>206</v>
      </c>
      <c r="D207" s="38"/>
      <c r="E207" s="38"/>
      <c r="F207" s="38"/>
      <c r="G207" s="38"/>
      <c r="H207" s="38"/>
      <c r="I207" s="38" t="s">
        <v>9</v>
      </c>
      <c r="J207" s="38"/>
      <c r="K207" s="117" t="s">
        <v>24</v>
      </c>
      <c r="L207" s="14" t="s">
        <v>27</v>
      </c>
      <c r="M207" s="198" t="s">
        <v>1113</v>
      </c>
      <c r="N207" s="117" t="s">
        <v>1119</v>
      </c>
      <c r="O207" s="117" t="s">
        <v>33</v>
      </c>
      <c r="P207" s="134"/>
      <c r="Q207" s="136" t="s">
        <v>9</v>
      </c>
      <c r="R207" s="136" t="s">
        <v>191</v>
      </c>
      <c r="S207" s="129"/>
      <c r="T207" s="124"/>
      <c r="U207" s="124"/>
      <c r="V207" s="124"/>
      <c r="W207" s="15"/>
      <c r="X207" s="118"/>
      <c r="Y207" s="124"/>
      <c r="Z207" s="59">
        <f>IF(OR($M207="",NOT($O207="{array}")),"",IFERROR(MATCH(PARAMETERS!$M207,DEFAULT!$B$5:$CX$5,0),""))</f>
        <v>84</v>
      </c>
      <c r="AA207" s="56" t="str">
        <f t="shared" si="14"/>
        <v/>
      </c>
      <c r="AB207" s="63" t="str">
        <f>IF(AND(OR($A207="G",$A207="P"),NOT($O207="{array}")),IF(VLOOKUP($K207,base!$B$2:$D$20,3,0)="S",IF(OR($O207="",ISTEXT($O207)),"","STRING!"),IF(VLOOKUP($K207,base!$B$2:$D$20,3,0)="","",IF(ISTEXT($O207),"NUMERIC!",""))),"")</f>
        <v/>
      </c>
      <c r="AC207" s="17" t="str">
        <f>IF($AA207="","",IF($B207="I",VLOOKUP($AA207,#REF!,53,0),INDEX(VALUES!$B$1:$BT$1,1,$AA207)))</f>
        <v/>
      </c>
    </row>
    <row r="208" spans="1:29" hidden="1" outlineLevel="1" x14ac:dyDescent="0.3">
      <c r="A208" s="22" t="s">
        <v>84</v>
      </c>
      <c r="B208" s="41" t="str">
        <f t="shared" si="15"/>
        <v/>
      </c>
      <c r="C208" s="42">
        <f t="shared" si="13"/>
        <v>207</v>
      </c>
      <c r="D208" s="38"/>
      <c r="E208" s="38"/>
      <c r="F208" s="38"/>
      <c r="G208" s="38"/>
      <c r="H208" s="38"/>
      <c r="I208" s="38" t="s">
        <v>9</v>
      </c>
      <c r="J208" s="38"/>
      <c r="K208" s="117" t="s">
        <v>24</v>
      </c>
      <c r="L208" s="14" t="s">
        <v>27</v>
      </c>
      <c r="M208" s="198" t="s">
        <v>631</v>
      </c>
      <c r="N208" s="117" t="s">
        <v>632</v>
      </c>
      <c r="O208" s="117">
        <v>0.02</v>
      </c>
      <c r="P208" s="134"/>
      <c r="Q208" s="136" t="s">
        <v>9</v>
      </c>
      <c r="R208" s="136" t="s">
        <v>102</v>
      </c>
      <c r="S208" s="129"/>
      <c r="T208" s="124"/>
      <c r="U208" s="124"/>
      <c r="V208" s="124"/>
      <c r="W208" s="15"/>
      <c r="X208" s="118"/>
      <c r="Y208" s="124"/>
      <c r="Z208" s="59" t="str">
        <f>IF(OR($M208="",NOT($O208="{array}")),"",IFERROR(MATCH(PARAMETERS!$M208,DEFAULT!$B$5:$CX$5,0),""))</f>
        <v/>
      </c>
      <c r="AA208" s="56" t="str">
        <f t="shared" si="14"/>
        <v/>
      </c>
      <c r="AB208" s="63" t="str">
        <f>IF(AND(OR($A208="G",$A208="P"),NOT($O208="{array}")),IF(VLOOKUP($K208,base!$B$2:$D$20,3,0)="S",IF(OR($O208="",ISTEXT($O208)),"","STRING!"),IF(VLOOKUP($K208,base!$B$2:$D$20,3,0)="","",IF(ISTEXT($O208),"NUMERIC!",""))),"")</f>
        <v/>
      </c>
      <c r="AC208" s="17" t="str">
        <f>IF($AA208="","",IF($B208="I",VLOOKUP($AA208,#REF!,53,0),INDEX(VALUES!$B$1:$BT$1,1,$AA208)))</f>
        <v/>
      </c>
    </row>
    <row r="209" spans="1:29" hidden="1" outlineLevel="1" x14ac:dyDescent="0.3">
      <c r="A209" s="22" t="s">
        <v>84</v>
      </c>
      <c r="B209" s="41" t="str">
        <f t="shared" si="15"/>
        <v/>
      </c>
      <c r="C209" s="42">
        <f t="shared" ref="C209:C249" si="17">(ROW()-1)</f>
        <v>208</v>
      </c>
      <c r="D209" s="38"/>
      <c r="E209" s="38"/>
      <c r="F209" s="38"/>
      <c r="G209" s="38"/>
      <c r="H209" s="38"/>
      <c r="I209" s="38" t="s">
        <v>9</v>
      </c>
      <c r="J209" s="38"/>
      <c r="K209" s="117" t="s">
        <v>24</v>
      </c>
      <c r="L209" s="14" t="s">
        <v>27</v>
      </c>
      <c r="M209" s="198" t="s">
        <v>1103</v>
      </c>
      <c r="N209" s="117" t="s">
        <v>1104</v>
      </c>
      <c r="O209" s="117">
        <v>0.01</v>
      </c>
      <c r="P209" s="134"/>
      <c r="Q209" s="136" t="s">
        <v>9</v>
      </c>
      <c r="R209" s="136" t="s">
        <v>102</v>
      </c>
      <c r="S209" s="129"/>
      <c r="T209" s="124"/>
      <c r="U209" s="124"/>
      <c r="V209" s="124"/>
      <c r="W209" s="15"/>
      <c r="X209" s="118"/>
      <c r="Y209" s="124"/>
      <c r="Z209" s="59" t="str">
        <f>IF(OR($M209="",NOT($O209="{array}")),"",IFERROR(MATCH(PARAMETERS!$M209,DEFAULT!$B$5:$CX$5,0),""))</f>
        <v/>
      </c>
      <c r="AA209" s="56" t="str">
        <f t="shared" si="14"/>
        <v/>
      </c>
      <c r="AB209" s="63" t="str">
        <f>IF(AND(OR($A209="G",$A209="P"),NOT($O209="{array}")),IF(VLOOKUP($K209,base!$B$2:$D$20,3,0)="S",IF(OR($O209="",ISTEXT($O209)),"","STRING!"),IF(VLOOKUP($K209,base!$B$2:$D$20,3,0)="","",IF(ISTEXT($O209),"NUMERIC!",""))),"")</f>
        <v/>
      </c>
      <c r="AC209" s="17" t="str">
        <f>IF($AA209="","",IF($B209="I",VLOOKUP($AA209,#REF!,53,0),INDEX(VALUES!$B$1:$BT$1,1,$AA209)))</f>
        <v/>
      </c>
    </row>
    <row r="210" spans="1:29" hidden="1" outlineLevel="1" x14ac:dyDescent="0.3">
      <c r="A210" s="22" t="s">
        <v>84</v>
      </c>
      <c r="B210" s="41" t="str">
        <f t="shared" si="15"/>
        <v/>
      </c>
      <c r="C210" s="42">
        <f t="shared" si="17"/>
        <v>209</v>
      </c>
      <c r="D210" s="38"/>
      <c r="E210" s="38"/>
      <c r="F210" s="38"/>
      <c r="G210" s="38"/>
      <c r="H210" s="38"/>
      <c r="I210" s="38" t="s">
        <v>9</v>
      </c>
      <c r="J210" s="38"/>
      <c r="K210" s="53" t="s">
        <v>24</v>
      </c>
      <c r="L210" s="53" t="s">
        <v>27</v>
      </c>
      <c r="M210" s="140" t="s">
        <v>637</v>
      </c>
      <c r="N210" s="53" t="s">
        <v>638</v>
      </c>
      <c r="O210" s="113">
        <v>0</v>
      </c>
      <c r="P210" s="53"/>
      <c r="Q210" s="165"/>
      <c r="R210" s="38" t="s">
        <v>191</v>
      </c>
      <c r="S210" s="38"/>
      <c r="T210" s="38"/>
      <c r="W210" s="15" t="str">
        <f>IF(IFERROR(VLOOKUP($M210,COMPARE!$H$2:$H$847,1,0),"-")="-","","GS")</f>
        <v/>
      </c>
      <c r="Y210" s="53" t="s">
        <v>639</v>
      </c>
      <c r="Z210" s="59" t="str">
        <f>IF(OR($M210="",NOT($O210="{array}")),"",IFERROR(MATCH(PARAMETERS!$M210,DEFAULT!$B$5:$CX$5,0),""))</f>
        <v/>
      </c>
      <c r="AA210" s="56" t="str">
        <f t="shared" si="14"/>
        <v/>
      </c>
      <c r="AB210" s="63" t="str">
        <f>IF(AND(OR($A210="G",$A210="P"),NOT($O210="{array}")),IF(VLOOKUP($K210,base!$B$2:$D$20,3,0)="S",IF(OR($O210="",ISTEXT($O210)),"","STRING!"),IF(VLOOKUP($K210,base!$B$2:$D$20,3,0)="","",IF(ISTEXT($O210),"NUMERIC!",""))),"")</f>
        <v/>
      </c>
      <c r="AC210" s="17" t="str">
        <f>IF($AA210="","",IF($B210="I",VLOOKUP($AA210,#REF!,53,0),INDEX(VALUES!$B$1:$BT$1,1,$AA210)))</f>
        <v/>
      </c>
    </row>
    <row r="211" spans="1:29" hidden="1" outlineLevel="1" x14ac:dyDescent="0.3">
      <c r="A211" s="22" t="s">
        <v>84</v>
      </c>
      <c r="B211" s="41" t="str">
        <f t="shared" si="15"/>
        <v/>
      </c>
      <c r="C211" s="42">
        <f t="shared" si="17"/>
        <v>210</v>
      </c>
      <c r="D211" s="38"/>
      <c r="E211" s="38"/>
      <c r="F211" s="38"/>
      <c r="G211" s="38"/>
      <c r="H211" s="38"/>
      <c r="I211" s="38" t="s">
        <v>9</v>
      </c>
      <c r="J211" s="38"/>
      <c r="K211" s="53" t="s">
        <v>24</v>
      </c>
      <c r="L211" s="53" t="s">
        <v>27</v>
      </c>
      <c r="M211" s="140" t="s">
        <v>640</v>
      </c>
      <c r="N211" s="53" t="s">
        <v>641</v>
      </c>
      <c r="O211" s="113">
        <v>0</v>
      </c>
      <c r="P211" s="53"/>
      <c r="Q211" s="165"/>
      <c r="R211" s="38" t="s">
        <v>191</v>
      </c>
      <c r="S211" s="38"/>
      <c r="T211" s="38"/>
      <c r="W211" s="15" t="str">
        <f>IF(IFERROR(VLOOKUP($M211,COMPARE!$H$2:$H$847,1,0),"-")="-","","GS")</f>
        <v/>
      </c>
      <c r="Y211" s="53" t="s">
        <v>639</v>
      </c>
      <c r="Z211" s="59" t="str">
        <f>IF(OR($M211="",NOT($O211="{array}")),"",IFERROR(MATCH(PARAMETERS!$M211,DEFAULT!$B$5:$CX$5,0),""))</f>
        <v/>
      </c>
      <c r="AA211" s="56" t="str">
        <f t="shared" si="14"/>
        <v/>
      </c>
      <c r="AB211" s="63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7" t="str">
        <f>IF($AA211="","",IF($B211="I",VLOOKUP($AA211,#REF!,53,0),INDEX(VALUES!$B$1:$BT$1,1,$AA211)))</f>
        <v/>
      </c>
    </row>
    <row r="212" spans="1:29" hidden="1" outlineLevel="1" x14ac:dyDescent="0.3">
      <c r="A212" s="22" t="s">
        <v>84</v>
      </c>
      <c r="B212" s="41" t="str">
        <f>IF($A212="P",IF(NOT($Z212=""),"A",IF(NOT($AA212=""),"I","")),IF(NOT($AA212=""),IF($A212="G","V","X"),IF(NOT($Z212=""),"A","")))</f>
        <v/>
      </c>
      <c r="C212" s="42">
        <f t="shared" si="17"/>
        <v>211</v>
      </c>
      <c r="D212" s="38"/>
      <c r="E212" s="38"/>
      <c r="F212" s="38" t="s">
        <v>9</v>
      </c>
      <c r="G212" s="38"/>
      <c r="H212" s="38"/>
      <c r="I212" s="38" t="s">
        <v>9</v>
      </c>
      <c r="J212" s="38"/>
      <c r="K212" s="14" t="s">
        <v>24</v>
      </c>
      <c r="L212" s="14" t="s">
        <v>27</v>
      </c>
      <c r="M212" s="184" t="s">
        <v>643</v>
      </c>
      <c r="N212" s="14" t="s">
        <v>644</v>
      </c>
      <c r="O212" s="43">
        <v>0.1</v>
      </c>
      <c r="R212" s="38" t="s">
        <v>103</v>
      </c>
      <c r="S212" s="38"/>
      <c r="T212" s="38"/>
      <c r="W212" s="15" t="str">
        <f>IF(IFERROR(VLOOKUP($M212,COMPARE!$H$2:$H$847,1,0),"-")="-","","GS")</f>
        <v/>
      </c>
      <c r="Z212" s="59" t="str">
        <f>IF(OR($M212="",NOT($O212="{array}")),"",IFERROR(MATCH(PARAMETERS!$M212,DEFAULT!$B$5:$CX$5,0),""))</f>
        <v/>
      </c>
      <c r="AA212" s="56" t="str">
        <f t="shared" si="14"/>
        <v/>
      </c>
      <c r="AB212" s="63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7" t="str">
        <f>IF($AA212="","",IF($B212="I",VLOOKUP($AA212,#REF!,53,0),INDEX(VALUES!$B$1:$BT$1,1,$AA212)))</f>
        <v/>
      </c>
    </row>
    <row r="213" spans="1:29" hidden="1" outlineLevel="1" x14ac:dyDescent="0.3">
      <c r="A213" s="22" t="s">
        <v>84</v>
      </c>
      <c r="B213" s="41" t="str">
        <f>IF($A213="P",IF(NOT($Z213=""),"A",IF(NOT($AA213=""),"I","")),IF(NOT($AA213=""),IF($A213="G","V","X"),IF(NOT($Z213=""),"A","")))</f>
        <v/>
      </c>
      <c r="C213" s="42">
        <f t="shared" si="17"/>
        <v>212</v>
      </c>
      <c r="D213" s="38"/>
      <c r="E213" s="38"/>
      <c r="F213" s="38" t="s">
        <v>9</v>
      </c>
      <c r="G213" s="38"/>
      <c r="H213" s="38"/>
      <c r="I213" s="38" t="s">
        <v>9</v>
      </c>
      <c r="J213" s="38"/>
      <c r="K213" s="14" t="s">
        <v>24</v>
      </c>
      <c r="L213" s="14" t="s">
        <v>27</v>
      </c>
      <c r="M213" s="184" t="s">
        <v>647</v>
      </c>
      <c r="N213" s="14" t="s">
        <v>648</v>
      </c>
      <c r="O213" s="43">
        <v>0.1</v>
      </c>
      <c r="R213" s="38" t="s">
        <v>103</v>
      </c>
      <c r="S213" s="38"/>
      <c r="T213" s="38"/>
      <c r="W213" s="15" t="str">
        <f>IF(IFERROR(VLOOKUP($M213,COMPARE!$H$2:$H$847,1,0),"-")="-","","GS")</f>
        <v/>
      </c>
      <c r="Z213" s="59" t="str">
        <f>IF(OR($M213="",NOT($O213="{array}")),"",IFERROR(MATCH(PARAMETERS!$M213,DEFAULT!$B$5:$CX$5,0),""))</f>
        <v/>
      </c>
      <c r="AA213" s="56" t="str">
        <f t="shared" si="14"/>
        <v/>
      </c>
      <c r="AB213" s="63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7" t="str">
        <f>IF($AA213="","",IF($B213="I",VLOOKUP($AA213,#REF!,53,0),INDEX(VALUES!$B$1:$BT$1,1,$AA213)))</f>
        <v/>
      </c>
    </row>
    <row r="214" spans="1:29" hidden="1" outlineLevel="1" x14ac:dyDescent="0.3">
      <c r="A214" s="22" t="s">
        <v>84</v>
      </c>
      <c r="B214" s="41" t="str">
        <f>IF($A214="P",IF(NOT($Z214=""),"A",IF(NOT($AA214=""),"I","")),IF(NOT($AA214=""),IF($A214="G","V","X"),IF(NOT($Z214=""),"A","")))</f>
        <v/>
      </c>
      <c r="C214" s="42">
        <f t="shared" si="17"/>
        <v>213</v>
      </c>
      <c r="D214" s="38"/>
      <c r="E214" s="38"/>
      <c r="F214" s="38"/>
      <c r="G214" s="38"/>
      <c r="H214" s="38"/>
      <c r="I214" s="38" t="s">
        <v>9</v>
      </c>
      <c r="J214" s="38"/>
      <c r="K214" s="14" t="s">
        <v>24</v>
      </c>
      <c r="L214" s="14" t="s">
        <v>27</v>
      </c>
      <c r="M214" s="184" t="s">
        <v>645</v>
      </c>
      <c r="N214" s="14" t="s">
        <v>646</v>
      </c>
      <c r="O214" s="43">
        <v>0.1</v>
      </c>
      <c r="R214" s="38" t="s">
        <v>103</v>
      </c>
      <c r="S214" s="38"/>
      <c r="T214" s="38"/>
      <c r="W214" s="15" t="str">
        <f>IF(IFERROR(VLOOKUP($M214,COMPARE!$H$2:$H$847,1,0),"-")="-","","GS")</f>
        <v/>
      </c>
      <c r="Z214" s="59" t="str">
        <f>IF(OR($M214="",NOT($O214="{array}")),"",IFERROR(MATCH(PARAMETERS!$M214,DEFAULT!$B$5:$CX$5,0),""))</f>
        <v/>
      </c>
      <c r="AA214" s="56" t="str">
        <f t="shared" si="14"/>
        <v/>
      </c>
      <c r="AB214" s="63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7" t="str">
        <f>IF($AA214="","",IF($B214="I",VLOOKUP($AA214,#REF!,53,0),INDEX(VALUES!$B$1:$BT$1,1,$AA214)))</f>
        <v/>
      </c>
    </row>
    <row r="215" spans="1:29" hidden="1" outlineLevel="1" x14ac:dyDescent="0.3">
      <c r="A215" s="22" t="s">
        <v>84</v>
      </c>
      <c r="B215" s="41" t="str">
        <f>IF($A215="P",IF(NOT($Z215=""),"A",IF(NOT($AA215=""),"I","")),IF(NOT($AA215=""),IF($A215="G","V","X"),IF(NOT($Z215=""),"A","")))</f>
        <v/>
      </c>
      <c r="C215" s="42">
        <f t="shared" si="17"/>
        <v>214</v>
      </c>
      <c r="D215" s="38"/>
      <c r="E215" s="38"/>
      <c r="F215" s="38"/>
      <c r="G215" s="38"/>
      <c r="H215" s="38"/>
      <c r="I215" s="38" t="s">
        <v>9</v>
      </c>
      <c r="J215" s="38"/>
      <c r="K215" s="14" t="s">
        <v>24</v>
      </c>
      <c r="L215" s="14" t="s">
        <v>27</v>
      </c>
      <c r="M215" s="184" t="s">
        <v>649</v>
      </c>
      <c r="N215" s="14" t="s">
        <v>650</v>
      </c>
      <c r="O215" s="43">
        <v>0.1</v>
      </c>
      <c r="R215" s="38" t="s">
        <v>103</v>
      </c>
      <c r="S215" s="38"/>
      <c r="T215" s="38"/>
      <c r="W215" s="15" t="str">
        <f>IF(IFERROR(VLOOKUP($M215,COMPARE!$H$2:$H$847,1,0),"-")="-","","GS")</f>
        <v/>
      </c>
      <c r="Z215" s="59" t="str">
        <f>IF(OR($M215="",NOT($O215="{array}")),"",IFERROR(MATCH(PARAMETERS!$M215,DEFAULT!$B$5:$CX$5,0),""))</f>
        <v/>
      </c>
      <c r="AA215" s="56" t="str">
        <f t="shared" si="14"/>
        <v/>
      </c>
      <c r="AB215" s="63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7" t="str">
        <f>IF($AA215="","",IF($B215="I",VLOOKUP($AA215,#REF!,53,0),INDEX(VALUES!$B$1:$BT$1,1,$AA215)))</f>
        <v/>
      </c>
    </row>
    <row r="216" spans="1:29" collapsed="1" x14ac:dyDescent="0.3">
      <c r="A216" s="22" t="s">
        <v>84</v>
      </c>
      <c r="B216" s="41" t="str">
        <f>IF($A216="P",IF(NOT($Z216=""),"A",IF(NOT($AA216=""),"I","")),IF(NOT($Z216=""),"A",IF(NOT($AA216=""),IF($A216="G","V","X"),"")))</f>
        <v/>
      </c>
      <c r="C216" s="42">
        <f t="shared" si="17"/>
        <v>215</v>
      </c>
      <c r="D216" s="38"/>
      <c r="E216" s="38"/>
      <c r="F216" s="38"/>
      <c r="G216" s="38"/>
      <c r="H216" s="38"/>
      <c r="I216" s="38"/>
      <c r="J216" s="38"/>
      <c r="K216" s="14" t="s">
        <v>57</v>
      </c>
      <c r="L216" s="14" t="s">
        <v>38</v>
      </c>
      <c r="M216" s="48" t="s">
        <v>1291</v>
      </c>
      <c r="N216" s="41" t="s">
        <v>1292</v>
      </c>
      <c r="R216" s="38" t="s">
        <v>102</v>
      </c>
      <c r="S216" s="38"/>
      <c r="T216" s="38"/>
      <c r="W216" s="15" t="s">
        <v>259</v>
      </c>
      <c r="Z216" s="59" t="str">
        <f>IF(OR($M216="",NOT($O216="{array}")),"",IFERROR(MATCH(PARAMETERS!$M216,DEFAULT!$B$5:$CX$5,0),""))</f>
        <v/>
      </c>
      <c r="AA216" s="56" t="str">
        <f t="shared" si="14"/>
        <v/>
      </c>
      <c r="AB216" s="63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7" t="str">
        <f>IF($AA216="","",IF($B216="I",VLOOKUP($AA216,#REF!,53,0),INDEX(VALUES!$B$1:$BT$1,1,$AA216)))</f>
        <v/>
      </c>
    </row>
    <row r="217" spans="1:29" hidden="1" outlineLevel="1" x14ac:dyDescent="0.3">
      <c r="A217" s="22" t="s">
        <v>84</v>
      </c>
      <c r="B217" s="41" t="str">
        <f>IF($A217="P",IF(NOT($Z217=""),"A",IF(NOT($AA217=""),"I","")),IF(NOT($Z217=""),"A",IF(NOT($AA217=""),IF($A217="G","V","X"),"")))</f>
        <v>V</v>
      </c>
      <c r="C217" s="42">
        <f t="shared" si="17"/>
        <v>216</v>
      </c>
      <c r="D217" s="38"/>
      <c r="E217" s="38"/>
      <c r="F217" s="38"/>
      <c r="G217" s="38"/>
      <c r="H217" s="38"/>
      <c r="I217" s="38" t="s">
        <v>9</v>
      </c>
      <c r="J217" s="38"/>
      <c r="K217" s="53" t="s">
        <v>18</v>
      </c>
      <c r="L217" s="53" t="s">
        <v>32</v>
      </c>
      <c r="M217" s="200" t="s">
        <v>1293</v>
      </c>
      <c r="N217" s="53" t="s">
        <v>1360</v>
      </c>
      <c r="O217" s="17" t="s">
        <v>1337</v>
      </c>
      <c r="R217" s="129" t="s">
        <v>102</v>
      </c>
      <c r="S217" s="129" t="s">
        <v>111</v>
      </c>
      <c r="T217" s="124" t="s">
        <v>259</v>
      </c>
      <c r="U217" s="124" t="s">
        <v>259</v>
      </c>
      <c r="V217" s="124" t="s">
        <v>1295</v>
      </c>
      <c r="W217" s="15" t="s">
        <v>259</v>
      </c>
      <c r="X217" s="118" t="s">
        <v>259</v>
      </c>
      <c r="Y217" s="124" t="s">
        <v>1296</v>
      </c>
      <c r="Z217" s="59" t="str">
        <f>IF(OR($M217="",NOT($O217="{array}")),"",IFERROR(MATCH(PARAMETERS!$M217,DEFAULT!$B$5:$CX$5,0),""))</f>
        <v/>
      </c>
      <c r="AA217" s="56">
        <f t="shared" si="14"/>
        <v>1</v>
      </c>
      <c r="AB217" s="63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7" t="str">
        <f>IF($AA217="","",IF($B217="I",VLOOKUP($AA217,#REF!,53,0),INDEX(VALUES!$B$1:$BT$1,1,$AA217)))</f>
        <v>- | OTS | ITS | BTS</v>
      </c>
    </row>
    <row r="218" spans="1:29" hidden="1" outlineLevel="1" x14ac:dyDescent="0.3">
      <c r="A218" s="22" t="s">
        <v>84</v>
      </c>
      <c r="B218" s="41" t="str">
        <f>IF($A218="P",IF(NOT($Z218=""),"A",IF(NOT($AA218=""),"I","")),IF(NOT($Z218=""),"A",IF(NOT($AA218=""),IF($A218="G","V","X"),"")))</f>
        <v>V</v>
      </c>
      <c r="C218" s="42">
        <f t="shared" si="17"/>
        <v>217</v>
      </c>
      <c r="D218" s="38"/>
      <c r="E218" s="38"/>
      <c r="F218" s="38"/>
      <c r="G218" s="38"/>
      <c r="H218" s="38"/>
      <c r="I218" s="38" t="s">
        <v>9</v>
      </c>
      <c r="J218" s="38"/>
      <c r="K218" s="53" t="s">
        <v>18</v>
      </c>
      <c r="L218" s="53" t="s">
        <v>32</v>
      </c>
      <c r="M218" s="200" t="s">
        <v>1371</v>
      </c>
      <c r="N218" s="53" t="s">
        <v>1361</v>
      </c>
      <c r="O218" s="17" t="s">
        <v>84</v>
      </c>
      <c r="R218" s="129" t="s">
        <v>102</v>
      </c>
      <c r="S218" s="129" t="s">
        <v>111</v>
      </c>
      <c r="T218" s="124" t="s">
        <v>259</v>
      </c>
      <c r="U218" s="124" t="s">
        <v>259</v>
      </c>
      <c r="V218" s="124"/>
      <c r="W218" s="15"/>
      <c r="X218" s="118"/>
      <c r="Y218" s="124"/>
      <c r="Z218" s="59" t="str">
        <f>IF(OR($M218="",NOT($O218="{array}")),"",IFERROR(MATCH(PARAMETERS!$M218,DEFAULT!$B$5:$CX$5,0),""))</f>
        <v/>
      </c>
      <c r="AA218" s="56">
        <f t="shared" si="14"/>
        <v>11</v>
      </c>
      <c r="AB218" s="63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7" t="str">
        <f>IF($AA218="","",IF($B218="I",VLOOKUP($AA218,#REF!,53,0),INDEX(VALUES!$B$1:$BT$1,1,$AA218)))</f>
        <v>G | S</v>
      </c>
    </row>
    <row r="219" spans="1:29" hidden="1" outlineLevel="1" x14ac:dyDescent="0.3">
      <c r="A219" s="22" t="s">
        <v>84</v>
      </c>
      <c r="B219" s="41" t="str">
        <f t="shared" ref="B219:B268" si="18">IF($A219="P",IF(NOT($Z219=""),"A",IF(NOT($AA219=""),"I","")),IF(NOT($AA219=""),IF($A219="G","V","X"),IF(NOT($Z219=""),"A","")))</f>
        <v/>
      </c>
      <c r="C219" s="42">
        <f t="shared" si="17"/>
        <v>218</v>
      </c>
      <c r="D219" s="38"/>
      <c r="E219" s="38"/>
      <c r="F219" s="38"/>
      <c r="G219" s="38"/>
      <c r="H219" s="38"/>
      <c r="I219" s="38" t="s">
        <v>9</v>
      </c>
      <c r="J219" s="38"/>
      <c r="K219" s="117" t="s">
        <v>18</v>
      </c>
      <c r="L219" s="125" t="s">
        <v>21</v>
      </c>
      <c r="M219" s="200" t="s">
        <v>1334</v>
      </c>
      <c r="N219" s="117" t="s">
        <v>1336</v>
      </c>
      <c r="O219" s="124" t="s">
        <v>1448</v>
      </c>
      <c r="P219" s="118" t="s">
        <v>259</v>
      </c>
      <c r="Q219" s="136"/>
      <c r="R219" s="129" t="s">
        <v>102</v>
      </c>
      <c r="S219" s="129" t="s">
        <v>111</v>
      </c>
      <c r="T219" s="124" t="s">
        <v>259</v>
      </c>
      <c r="U219" s="124" t="s">
        <v>259</v>
      </c>
      <c r="V219" s="124"/>
      <c r="W219" s="15" t="str">
        <f>IF(IFERROR(VLOOKUP($M219,COMPARE!$H$2:$H$847,1,0),"-")="-","","GS")</f>
        <v/>
      </c>
      <c r="X219" s="118" t="s">
        <v>259</v>
      </c>
      <c r="Y219" s="124" t="s">
        <v>259</v>
      </c>
      <c r="Z219" s="59" t="str">
        <f>IF(OR($M219="",NOT($O219="{array}")),"",IFERROR(MATCH(PARAMETERS!$M219,DEFAULT!$B$5:$CX$5,0),""))</f>
        <v/>
      </c>
      <c r="AA219" s="56" t="str">
        <f t="shared" si="14"/>
        <v/>
      </c>
      <c r="AB219" s="63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7" t="str">
        <f>IF($AA219="","",IF($B219="I",VLOOKUP($AA219,#REF!,53,0),INDEX(VALUES!$B$1:$BT$1,1,$AA219)))</f>
        <v/>
      </c>
    </row>
    <row r="220" spans="1:29" hidden="1" outlineLevel="1" x14ac:dyDescent="0.3">
      <c r="A220" s="22" t="s">
        <v>84</v>
      </c>
      <c r="B220" s="41" t="str">
        <f t="shared" si="18"/>
        <v>V</v>
      </c>
      <c r="C220" s="42">
        <f t="shared" si="17"/>
        <v>219</v>
      </c>
      <c r="D220" s="38"/>
      <c r="E220" s="38"/>
      <c r="F220" s="38"/>
      <c r="G220" s="38"/>
      <c r="H220" s="38"/>
      <c r="I220" s="38" t="s">
        <v>9</v>
      </c>
      <c r="J220" s="38"/>
      <c r="K220" s="117" t="s">
        <v>44</v>
      </c>
      <c r="L220" s="125" t="s">
        <v>21</v>
      </c>
      <c r="M220" s="200" t="s">
        <v>1424</v>
      </c>
      <c r="N220" s="124" t="s">
        <v>1425</v>
      </c>
      <c r="O220" s="124">
        <v>0</v>
      </c>
      <c r="P220" s="118" t="s">
        <v>259</v>
      </c>
      <c r="Q220" s="136"/>
      <c r="R220" s="129" t="s">
        <v>191</v>
      </c>
      <c r="S220" s="129" t="s">
        <v>111</v>
      </c>
      <c r="T220" s="124" t="s">
        <v>259</v>
      </c>
      <c r="U220" s="124" t="s">
        <v>259</v>
      </c>
      <c r="V220" s="124"/>
      <c r="W220" s="15" t="str">
        <f>IF(IFERROR(VLOOKUP($M220,COMPARE!$H$2:$H$847,1,0),"-")="-","","GS")</f>
        <v/>
      </c>
      <c r="X220" s="118" t="s">
        <v>259</v>
      </c>
      <c r="Y220" s="124" t="s">
        <v>259</v>
      </c>
      <c r="Z220" s="59" t="str">
        <f>IF(OR($M220="",NOT($O220="{array}")),"",IFERROR(MATCH(PARAMETERS!$M220,DEFAULT!$B$5:$CX$5,0),""))</f>
        <v/>
      </c>
      <c r="AA220" s="56">
        <f t="shared" si="14"/>
        <v>26</v>
      </c>
      <c r="AB220" s="63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7" t="str">
        <f>IF($AA220="","",IF($B220="I",VLOOKUP($AA220,#REF!,53,0),INDEX(VALUES!$B$1:$BT$1,1,$AA220)))</f>
        <v>0 | 1 | 2 | 3 | 7</v>
      </c>
    </row>
    <row r="221" spans="1:29" hidden="1" outlineLevel="1" x14ac:dyDescent="0.3">
      <c r="A221" s="22" t="s">
        <v>84</v>
      </c>
      <c r="B221" s="41" t="str">
        <f t="shared" si="18"/>
        <v/>
      </c>
      <c r="C221" s="42">
        <f t="shared" si="17"/>
        <v>220</v>
      </c>
      <c r="D221" s="38"/>
      <c r="E221" s="38"/>
      <c r="F221" s="38"/>
      <c r="G221" s="38"/>
      <c r="H221" s="38"/>
      <c r="I221" s="38" t="s">
        <v>9</v>
      </c>
      <c r="J221" s="38"/>
      <c r="K221" s="117" t="s">
        <v>18</v>
      </c>
      <c r="L221" s="125" t="s">
        <v>21</v>
      </c>
      <c r="M221" s="200" t="s">
        <v>1335</v>
      </c>
      <c r="N221" s="124" t="s">
        <v>1294</v>
      </c>
      <c r="O221" s="124" t="s">
        <v>1517</v>
      </c>
      <c r="P221" s="118" t="s">
        <v>259</v>
      </c>
      <c r="Q221" s="136" t="s">
        <v>9</v>
      </c>
      <c r="R221" s="129" t="s">
        <v>102</v>
      </c>
      <c r="S221" s="129" t="s">
        <v>111</v>
      </c>
      <c r="T221" s="124" t="s">
        <v>259</v>
      </c>
      <c r="U221" s="124" t="s">
        <v>259</v>
      </c>
      <c r="V221" s="124" t="s">
        <v>1294</v>
      </c>
      <c r="W221" s="15" t="str">
        <f>IF(IFERROR(VLOOKUP($M221,COMPARE!$H$2:$H$847,1,0),"-")="-","","GS")</f>
        <v/>
      </c>
      <c r="X221" s="118" t="s">
        <v>259</v>
      </c>
      <c r="Y221" s="124" t="s">
        <v>259</v>
      </c>
      <c r="Z221" s="59" t="str">
        <f>IF(OR($M221="",NOT($O221="{array}")),"",IFERROR(MATCH(PARAMETERS!$M221,DEFAULT!$B$5:$CX$5,0),""))</f>
        <v/>
      </c>
      <c r="AA221" s="56" t="str">
        <f t="shared" si="14"/>
        <v/>
      </c>
      <c r="AB221" s="63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7" t="str">
        <f>IF($AA221="","",IF($B221="I",VLOOKUP($AA221,#REF!,53,0),INDEX(VALUES!$B$1:$BT$1,1,$AA221)))</f>
        <v/>
      </c>
    </row>
    <row r="222" spans="1:29" hidden="1" outlineLevel="1" x14ac:dyDescent="0.3">
      <c r="A222" s="22" t="s">
        <v>84</v>
      </c>
      <c r="B222" s="41" t="str">
        <f t="shared" si="18"/>
        <v/>
      </c>
      <c r="C222" s="42">
        <f t="shared" si="17"/>
        <v>221</v>
      </c>
      <c r="D222" s="38"/>
      <c r="E222" s="38"/>
      <c r="F222" s="38"/>
      <c r="G222" s="38"/>
      <c r="H222" s="38"/>
      <c r="I222" s="38" t="s">
        <v>9</v>
      </c>
      <c r="J222" s="38"/>
      <c r="K222" s="117" t="s">
        <v>18</v>
      </c>
      <c r="L222" s="125" t="s">
        <v>21</v>
      </c>
      <c r="M222" s="196" t="s">
        <v>1395</v>
      </c>
      <c r="N222" s="124" t="s">
        <v>1404</v>
      </c>
      <c r="O222" s="124" t="s">
        <v>1517</v>
      </c>
      <c r="P222" s="118" t="s">
        <v>259</v>
      </c>
      <c r="Q222" s="136" t="s">
        <v>9</v>
      </c>
      <c r="R222" s="129" t="s">
        <v>102</v>
      </c>
      <c r="S222" s="129" t="s">
        <v>111</v>
      </c>
      <c r="T222" s="124" t="s">
        <v>259</v>
      </c>
      <c r="U222" s="124" t="s">
        <v>259</v>
      </c>
      <c r="V222" s="124" t="s">
        <v>1294</v>
      </c>
      <c r="W222" s="15" t="str">
        <f>IF(IFERROR(VLOOKUP($M222,COMPARE!$H$2:$H$847,1,0),"-")="-","","GS")</f>
        <v/>
      </c>
      <c r="X222" s="118" t="s">
        <v>259</v>
      </c>
      <c r="Y222" s="124" t="s">
        <v>259</v>
      </c>
      <c r="Z222" s="59" t="str">
        <f>IF(OR($M222="",NOT($O222="{array}")),"",IFERROR(MATCH(PARAMETERS!$M222,DEFAULT!$B$5:$CX$5,0),""))</f>
        <v/>
      </c>
      <c r="AA222" s="56" t="str">
        <f t="shared" si="14"/>
        <v/>
      </c>
      <c r="AB222" s="63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7" t="str">
        <f>IF($AA222="","",IF($B222="I",VLOOKUP($AA222,#REF!,53,0),INDEX(VALUES!$B$1:$BT$1,1,$AA222)))</f>
        <v/>
      </c>
    </row>
    <row r="223" spans="1:29" hidden="1" outlineLevel="1" x14ac:dyDescent="0.3">
      <c r="A223" s="22"/>
      <c r="B223" s="41" t="str">
        <f t="shared" si="18"/>
        <v/>
      </c>
      <c r="C223" s="42">
        <f t="shared" si="17"/>
        <v>222</v>
      </c>
      <c r="D223" s="38"/>
      <c r="E223" s="38"/>
      <c r="F223" s="38"/>
      <c r="G223" s="38"/>
      <c r="H223" s="38"/>
      <c r="I223" s="38" t="s">
        <v>9</v>
      </c>
      <c r="J223" s="38"/>
      <c r="K223" s="117" t="s">
        <v>18</v>
      </c>
      <c r="L223" s="125" t="s">
        <v>21</v>
      </c>
      <c r="M223" s="200" t="s">
        <v>1372</v>
      </c>
      <c r="N223" s="124" t="s">
        <v>1373</v>
      </c>
      <c r="O223" s="124" t="s">
        <v>259</v>
      </c>
      <c r="P223" s="118" t="s">
        <v>259</v>
      </c>
      <c r="Q223" s="136" t="s">
        <v>9</v>
      </c>
      <c r="R223" s="129" t="s">
        <v>102</v>
      </c>
      <c r="S223" s="129" t="s">
        <v>111</v>
      </c>
      <c r="T223" s="124" t="s">
        <v>259</v>
      </c>
      <c r="U223" s="124" t="s">
        <v>259</v>
      </c>
      <c r="V223" s="124"/>
      <c r="W223" s="15" t="str">
        <f>IF(IFERROR(VLOOKUP($M223,COMPARE!$H$2:$H$847,1,0),"-")="-","","GS")</f>
        <v/>
      </c>
      <c r="X223" s="118" t="s">
        <v>259</v>
      </c>
      <c r="Y223" s="124" t="s">
        <v>259</v>
      </c>
      <c r="Z223" s="59" t="str">
        <f>IF(OR($M223="",NOT($O223="{array}")),"",IFERROR(MATCH(PARAMETERS!$M223,DEFAULT!$B$5:$CX$5,0),""))</f>
        <v/>
      </c>
      <c r="AA223" s="56" t="str">
        <f t="shared" si="14"/>
        <v/>
      </c>
      <c r="AB223" s="63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7" t="str">
        <f>IF($AA223="","",IF($B223="I",VLOOKUP($AA223,#REF!,53,0),INDEX(VALUES!$B$1:$BT$1,1,$AA223)))</f>
        <v/>
      </c>
    </row>
    <row r="224" spans="1:29" hidden="1" outlineLevel="1" x14ac:dyDescent="0.3">
      <c r="A224" s="22"/>
      <c r="B224" s="41" t="str">
        <f t="shared" si="18"/>
        <v/>
      </c>
      <c r="C224" s="42">
        <f t="shared" si="17"/>
        <v>223</v>
      </c>
      <c r="D224" s="38"/>
      <c r="E224" s="38"/>
      <c r="F224" s="38"/>
      <c r="G224" s="38"/>
      <c r="H224" s="38"/>
      <c r="I224" s="38" t="s">
        <v>9</v>
      </c>
      <c r="J224" s="38"/>
      <c r="K224" s="117" t="s">
        <v>18</v>
      </c>
      <c r="L224" s="125" t="s">
        <v>21</v>
      </c>
      <c r="M224" s="196" t="s">
        <v>1396</v>
      </c>
      <c r="N224" s="124" t="s">
        <v>1403</v>
      </c>
      <c r="O224" s="124" t="s">
        <v>259</v>
      </c>
      <c r="P224" s="118" t="s">
        <v>259</v>
      </c>
      <c r="Q224" s="136" t="s">
        <v>9</v>
      </c>
      <c r="R224" s="129" t="s">
        <v>102</v>
      </c>
      <c r="S224" s="129" t="s">
        <v>111</v>
      </c>
      <c r="T224" s="124" t="s">
        <v>259</v>
      </c>
      <c r="U224" s="124" t="s">
        <v>259</v>
      </c>
      <c r="V224" s="124"/>
      <c r="W224" s="15" t="str">
        <f>IF(IFERROR(VLOOKUP($M224,COMPARE!$H$2:$H$847,1,0),"-")="-","","GS")</f>
        <v/>
      </c>
      <c r="X224" s="118" t="s">
        <v>259</v>
      </c>
      <c r="Y224" s="124" t="s">
        <v>259</v>
      </c>
      <c r="Z224" s="59" t="str">
        <f>IF(OR($M224="",NOT($O224="{array}")),"",IFERROR(MATCH(PARAMETERS!$M224,DEFAULT!$B$5:$CX$5,0),""))</f>
        <v/>
      </c>
      <c r="AA224" s="56" t="str">
        <f t="shared" si="14"/>
        <v/>
      </c>
      <c r="AB224" s="63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7" t="str">
        <f>IF($AA224="","",IF($B224="I",VLOOKUP($AA224,#REF!,53,0),INDEX(VALUES!$B$1:$BT$1,1,$AA224)))</f>
        <v/>
      </c>
    </row>
    <row r="225" spans="1:29" hidden="1" outlineLevel="1" x14ac:dyDescent="0.3">
      <c r="A225" s="22" t="s">
        <v>84</v>
      </c>
      <c r="B225" s="41" t="str">
        <f t="shared" si="18"/>
        <v>V</v>
      </c>
      <c r="C225" s="42">
        <f t="shared" si="17"/>
        <v>224</v>
      </c>
      <c r="D225" s="38"/>
      <c r="E225" s="38"/>
      <c r="F225" s="38"/>
      <c r="G225" s="38"/>
      <c r="H225" s="38"/>
      <c r="I225" s="38" t="s">
        <v>9</v>
      </c>
      <c r="J225" s="38"/>
      <c r="K225" s="124" t="s">
        <v>18</v>
      </c>
      <c r="L225" s="53" t="s">
        <v>32</v>
      </c>
      <c r="M225" s="200" t="s">
        <v>1349</v>
      </c>
      <c r="N225" s="117" t="s">
        <v>1362</v>
      </c>
      <c r="O225" s="124" t="s">
        <v>102</v>
      </c>
      <c r="P225" s="118" t="s">
        <v>259</v>
      </c>
      <c r="Q225" s="129"/>
      <c r="R225" s="129" t="s">
        <v>102</v>
      </c>
      <c r="S225" s="129" t="s">
        <v>111</v>
      </c>
      <c r="T225" s="124" t="s">
        <v>259</v>
      </c>
      <c r="U225" s="124" t="s">
        <v>259</v>
      </c>
      <c r="V225" s="124" t="s">
        <v>1297</v>
      </c>
      <c r="W225" s="15" t="s">
        <v>259</v>
      </c>
      <c r="X225" s="118" t="s">
        <v>259</v>
      </c>
      <c r="Y225" s="124" t="s">
        <v>1358</v>
      </c>
      <c r="Z225" s="59" t="str">
        <f>IF(OR($M225="",NOT($O225="{array}")),"",IFERROR(MATCH(PARAMETERS!$M225,DEFAULT!$B$5:$CX$5,0),""))</f>
        <v/>
      </c>
      <c r="AA225" s="56">
        <f t="shared" si="14"/>
        <v>7</v>
      </c>
      <c r="AB225" s="63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7" t="str">
        <f>IF($AA225="","",IF($B225="I",VLOOKUP($AA225,#REF!,53,0),INDEX(VALUES!$B$1:$BT$1,1,$AA225)))</f>
        <v>BS | GS | MI</v>
      </c>
    </row>
    <row r="226" spans="1:29" hidden="1" outlineLevel="1" x14ac:dyDescent="0.3">
      <c r="A226" s="22"/>
      <c r="B226" s="41" t="str">
        <f t="shared" si="18"/>
        <v/>
      </c>
      <c r="C226" s="42">
        <f t="shared" si="17"/>
        <v>225</v>
      </c>
      <c r="D226" s="38"/>
      <c r="E226" s="38"/>
      <c r="F226" s="38"/>
      <c r="G226" s="38"/>
      <c r="H226" s="38"/>
      <c r="I226" s="38" t="s">
        <v>9</v>
      </c>
      <c r="J226" s="38"/>
      <c r="K226" s="124" t="s">
        <v>18</v>
      </c>
      <c r="L226" s="53" t="s">
        <v>32</v>
      </c>
      <c r="M226" s="196" t="s">
        <v>1399</v>
      </c>
      <c r="N226" s="117" t="s">
        <v>1402</v>
      </c>
      <c r="O226" s="124" t="s">
        <v>102</v>
      </c>
      <c r="P226" s="118" t="s">
        <v>259</v>
      </c>
      <c r="Q226" s="129"/>
      <c r="R226" s="129" t="s">
        <v>102</v>
      </c>
      <c r="S226" s="129" t="s">
        <v>111</v>
      </c>
      <c r="T226" s="124" t="s">
        <v>259</v>
      </c>
      <c r="U226" s="124" t="s">
        <v>259</v>
      </c>
      <c r="V226" s="124"/>
      <c r="W226" s="15"/>
      <c r="X226" s="118"/>
      <c r="Y226" s="124"/>
      <c r="Z226" s="59" t="str">
        <f>IF(OR($M226="",NOT($O226="{array}")),"",IFERROR(MATCH(PARAMETERS!$M226,DEFAULT!$B$5:$CX$5,0),""))</f>
        <v/>
      </c>
      <c r="AA226" s="56" t="str">
        <f t="shared" si="14"/>
        <v/>
      </c>
      <c r="AB226" s="63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7" t="str">
        <f>IF($AA226="","",IF($B226="I",VLOOKUP($AA226,#REF!,53,0),INDEX(VALUES!$B$1:$BT$1,1,$AA226)))</f>
        <v/>
      </c>
    </row>
    <row r="227" spans="1:29" hidden="1" outlineLevel="1" x14ac:dyDescent="0.3">
      <c r="A227" s="22" t="s">
        <v>84</v>
      </c>
      <c r="B227" s="41" t="str">
        <f t="shared" si="18"/>
        <v>V</v>
      </c>
      <c r="C227" s="42">
        <f t="shared" si="17"/>
        <v>226</v>
      </c>
      <c r="D227" s="38"/>
      <c r="E227" s="38"/>
      <c r="F227" s="38"/>
      <c r="G227" s="38"/>
      <c r="H227" s="38"/>
      <c r="I227" s="38" t="s">
        <v>9</v>
      </c>
      <c r="J227" s="38"/>
      <c r="K227" s="124" t="s">
        <v>18</v>
      </c>
      <c r="L227" s="53" t="s">
        <v>32</v>
      </c>
      <c r="M227" s="200" t="s">
        <v>1343</v>
      </c>
      <c r="N227" s="117" t="s">
        <v>1363</v>
      </c>
      <c r="O227" s="124" t="s">
        <v>19</v>
      </c>
      <c r="P227" s="118" t="s">
        <v>259</v>
      </c>
      <c r="Q227" s="129"/>
      <c r="R227" s="129" t="s">
        <v>102</v>
      </c>
      <c r="S227" s="129" t="s">
        <v>111</v>
      </c>
      <c r="T227" s="124" t="s">
        <v>259</v>
      </c>
      <c r="U227" s="124" t="s">
        <v>259</v>
      </c>
      <c r="V227" s="124"/>
      <c r="W227" s="15" t="s">
        <v>259</v>
      </c>
      <c r="X227" s="118" t="s">
        <v>259</v>
      </c>
      <c r="Y227" s="124" t="s">
        <v>1298</v>
      </c>
      <c r="Z227" s="59" t="str">
        <f>IF(OR($M227="",NOT($O227="{array}")),"",IFERROR(MATCH(PARAMETERS!$M227,DEFAULT!$B$5:$CX$5,0),""))</f>
        <v/>
      </c>
      <c r="AA227" s="56">
        <f t="shared" si="14"/>
        <v>9</v>
      </c>
      <c r="AB227" s="63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7" t="str">
        <f>IF($AA227="","",IF($B227="I",VLOOKUP($AA227,#REF!,53,0),INDEX(VALUES!$B$1:$BT$1,1,$AA227)))</f>
        <v>S | T | B</v>
      </c>
    </row>
    <row r="228" spans="1:29" hidden="1" outlineLevel="1" x14ac:dyDescent="0.3">
      <c r="A228" s="22"/>
      <c r="B228" s="41" t="str">
        <f t="shared" si="18"/>
        <v/>
      </c>
      <c r="C228" s="42">
        <f t="shared" si="17"/>
        <v>227</v>
      </c>
      <c r="D228" s="38"/>
      <c r="E228" s="38"/>
      <c r="F228" s="38"/>
      <c r="G228" s="38"/>
      <c r="H228" s="38"/>
      <c r="I228" s="38" t="s">
        <v>9</v>
      </c>
      <c r="J228" s="38"/>
      <c r="K228" s="124" t="s">
        <v>18</v>
      </c>
      <c r="L228" s="53" t="s">
        <v>32</v>
      </c>
      <c r="M228" s="196" t="s">
        <v>1398</v>
      </c>
      <c r="N228" s="117" t="s">
        <v>1401</v>
      </c>
      <c r="O228" s="124" t="s">
        <v>19</v>
      </c>
      <c r="P228" s="118" t="s">
        <v>259</v>
      </c>
      <c r="Q228" s="129"/>
      <c r="R228" s="129" t="s">
        <v>102</v>
      </c>
      <c r="S228" s="129" t="s">
        <v>111</v>
      </c>
      <c r="T228" s="124" t="s">
        <v>259</v>
      </c>
      <c r="U228" s="124" t="s">
        <v>259</v>
      </c>
      <c r="V228" s="124"/>
      <c r="W228" s="15" t="s">
        <v>259</v>
      </c>
      <c r="X228" s="118" t="s">
        <v>259</v>
      </c>
      <c r="Y228" s="124"/>
      <c r="Z228" s="59" t="str">
        <f>IF(OR($M228="",NOT($O228="{array}")),"",IFERROR(MATCH(PARAMETERS!$M228,DEFAULT!$B$5:$CX$5,0),""))</f>
        <v/>
      </c>
      <c r="AA228" s="56" t="str">
        <f t="shared" si="14"/>
        <v/>
      </c>
      <c r="AB228" s="63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7" t="str">
        <f>IF($AA228="","",IF($B228="I",VLOOKUP($AA228,#REF!,53,0),INDEX(VALUES!$B$1:$BT$1,1,$AA228)))</f>
        <v/>
      </c>
    </row>
    <row r="229" spans="1:29" hidden="1" outlineLevel="1" x14ac:dyDescent="0.3">
      <c r="A229" s="22" t="s">
        <v>84</v>
      </c>
      <c r="B229" s="41" t="str">
        <f t="shared" si="18"/>
        <v>V</v>
      </c>
      <c r="C229" s="42">
        <f t="shared" si="17"/>
        <v>228</v>
      </c>
      <c r="D229" s="38"/>
      <c r="E229" s="38"/>
      <c r="F229" s="38"/>
      <c r="G229" s="38"/>
      <c r="H229" s="38"/>
      <c r="I229" s="38" t="s">
        <v>9</v>
      </c>
      <c r="J229" s="38"/>
      <c r="K229" s="124" t="s">
        <v>44</v>
      </c>
      <c r="L229" s="53" t="s">
        <v>32</v>
      </c>
      <c r="M229" s="200" t="s">
        <v>1354</v>
      </c>
      <c r="N229" s="124" t="s">
        <v>1379</v>
      </c>
      <c r="O229" s="124">
        <v>4</v>
      </c>
      <c r="P229" s="118" t="s">
        <v>259</v>
      </c>
      <c r="Q229" s="129"/>
      <c r="R229" s="129" t="s">
        <v>102</v>
      </c>
      <c r="S229" s="129" t="s">
        <v>111</v>
      </c>
      <c r="T229" s="124" t="s">
        <v>259</v>
      </c>
      <c r="U229" s="124" t="s">
        <v>259</v>
      </c>
      <c r="V229" s="124" t="s">
        <v>1299</v>
      </c>
      <c r="W229" s="15" t="s">
        <v>259</v>
      </c>
      <c r="X229" s="118" t="s">
        <v>259</v>
      </c>
      <c r="Y229" s="124" t="s">
        <v>1300</v>
      </c>
      <c r="Z229" s="59" t="str">
        <f>IF(OR($M229="",NOT($O229="{array}")),"",IFERROR(MATCH(PARAMETERS!$M229,DEFAULT!$B$5:$CX$5,0),""))</f>
        <v/>
      </c>
      <c r="AA229" s="56">
        <f t="shared" si="14"/>
        <v>13</v>
      </c>
      <c r="AB229" s="63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7" t="str">
        <f>IF($AA229="","",IF($B229="I",VLOOKUP($AA229,#REF!,53,0),INDEX(VALUES!$B$1:$BT$1,1,$AA229)))</f>
        <v>3 | 4 | 5 | 6 | 7</v>
      </c>
    </row>
    <row r="230" spans="1:29" hidden="1" outlineLevel="1" x14ac:dyDescent="0.3">
      <c r="A230" s="22" t="s">
        <v>84</v>
      </c>
      <c r="B230" s="41" t="str">
        <f t="shared" si="18"/>
        <v>V</v>
      </c>
      <c r="C230" s="42">
        <f t="shared" si="17"/>
        <v>229</v>
      </c>
      <c r="D230" s="38"/>
      <c r="E230" s="38"/>
      <c r="F230" s="38"/>
      <c r="G230" s="38"/>
      <c r="H230" s="38"/>
      <c r="I230" s="38" t="s">
        <v>9</v>
      </c>
      <c r="J230" s="38"/>
      <c r="K230" s="124" t="s">
        <v>44</v>
      </c>
      <c r="L230" s="53" t="s">
        <v>32</v>
      </c>
      <c r="M230" s="196" t="s">
        <v>1359</v>
      </c>
      <c r="N230" s="124" t="s">
        <v>1380</v>
      </c>
      <c r="O230" s="124">
        <v>4</v>
      </c>
      <c r="P230" s="118" t="s">
        <v>259</v>
      </c>
      <c r="Q230" s="129"/>
      <c r="R230" s="129" t="s">
        <v>102</v>
      </c>
      <c r="S230" s="129" t="s">
        <v>111</v>
      </c>
      <c r="T230" s="124" t="s">
        <v>259</v>
      </c>
      <c r="U230" s="124" t="s">
        <v>259</v>
      </c>
      <c r="V230" s="124" t="s">
        <v>1301</v>
      </c>
      <c r="W230" s="15" t="s">
        <v>259</v>
      </c>
      <c r="X230" s="118" t="s">
        <v>259</v>
      </c>
      <c r="Y230" s="124" t="s">
        <v>1302</v>
      </c>
      <c r="Z230" s="59" t="str">
        <f>IF(OR($M230="",NOT($O230="{array}")),"",IFERROR(MATCH(PARAMETERS!$M230,DEFAULT!$B$5:$CX$5,0),""))</f>
        <v/>
      </c>
      <c r="AA230" s="56">
        <f t="shared" si="14"/>
        <v>15</v>
      </c>
      <c r="AB230" s="63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7" t="str">
        <f>IF($AA230="","",IF($B230="I",VLOOKUP($AA230,#REF!,53,0),INDEX(VALUES!$B$1:$BT$1,1,$AA230)))</f>
        <v>3 | 4 | 5 | 6 | 7</v>
      </c>
    </row>
    <row r="231" spans="1:29" hidden="1" outlineLevel="1" x14ac:dyDescent="0.3">
      <c r="A231" s="22" t="s">
        <v>84</v>
      </c>
      <c r="B231" s="41" t="str">
        <f t="shared" si="18"/>
        <v>V</v>
      </c>
      <c r="C231" s="42">
        <f t="shared" si="17"/>
        <v>230</v>
      </c>
      <c r="D231" s="38"/>
      <c r="E231" s="38"/>
      <c r="F231" s="38"/>
      <c r="G231" s="38"/>
      <c r="H231" s="38"/>
      <c r="I231" s="38" t="s">
        <v>9</v>
      </c>
      <c r="J231" s="38"/>
      <c r="K231" s="124" t="s">
        <v>18</v>
      </c>
      <c r="L231" s="53" t="s">
        <v>32</v>
      </c>
      <c r="M231" s="200" t="s">
        <v>1365</v>
      </c>
      <c r="N231" s="124" t="s">
        <v>1367</v>
      </c>
      <c r="O231" s="124" t="s">
        <v>1255</v>
      </c>
      <c r="P231" s="118" t="s">
        <v>259</v>
      </c>
      <c r="Q231" s="129"/>
      <c r="R231" s="129" t="s">
        <v>102</v>
      </c>
      <c r="S231" s="129" t="s">
        <v>111</v>
      </c>
      <c r="T231" s="124" t="s">
        <v>259</v>
      </c>
      <c r="U231" s="124" t="s">
        <v>259</v>
      </c>
      <c r="V231" s="124" t="s">
        <v>1311</v>
      </c>
      <c r="W231" s="15" t="s">
        <v>259</v>
      </c>
      <c r="X231" s="118" t="s">
        <v>259</v>
      </c>
      <c r="Y231" s="124" t="s">
        <v>1312</v>
      </c>
      <c r="Z231" s="59" t="str">
        <f>IF(OR($M231="",NOT($O231="{array}")),"",IFERROR(MATCH(PARAMETERS!$M231,DEFAULT!$B$5:$CX$5,0),""))</f>
        <v/>
      </c>
      <c r="AA231" s="56">
        <f t="shared" si="14"/>
        <v>21</v>
      </c>
      <c r="AB231" s="63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7" t="str">
        <f>IF($AA231="","",IF($B231="I",VLOOKUP($AA231,#REF!,53,0),INDEX(VALUES!$B$1:$BT$1,1,$AA231)))</f>
        <v>- | V | F</v>
      </c>
    </row>
    <row r="232" spans="1:29" hidden="1" outlineLevel="1" x14ac:dyDescent="0.3">
      <c r="A232" s="22"/>
      <c r="B232" s="41" t="str">
        <f t="shared" si="18"/>
        <v/>
      </c>
      <c r="C232" s="42">
        <f t="shared" si="17"/>
        <v>231</v>
      </c>
      <c r="D232" s="38"/>
      <c r="E232" s="38"/>
      <c r="F232" s="38"/>
      <c r="G232" s="38"/>
      <c r="H232" s="38"/>
      <c r="I232" s="38" t="s">
        <v>9</v>
      </c>
      <c r="J232" s="38"/>
      <c r="K232" s="124" t="s">
        <v>47</v>
      </c>
      <c r="L232" s="125" t="s">
        <v>21</v>
      </c>
      <c r="M232" s="196"/>
      <c r="N232" s="124" t="s">
        <v>259</v>
      </c>
      <c r="O232" s="124" t="s">
        <v>259</v>
      </c>
      <c r="P232" s="118" t="s">
        <v>259</v>
      </c>
      <c r="Q232" s="129"/>
      <c r="R232" s="129" t="s">
        <v>102</v>
      </c>
      <c r="S232" s="129" t="s">
        <v>111</v>
      </c>
      <c r="T232" s="124" t="s">
        <v>259</v>
      </c>
      <c r="U232" s="124" t="s">
        <v>259</v>
      </c>
      <c r="V232" s="124" t="s">
        <v>1307</v>
      </c>
      <c r="W232" s="15" t="s">
        <v>259</v>
      </c>
      <c r="X232" s="118" t="s">
        <v>259</v>
      </c>
      <c r="Y232" s="124" t="s">
        <v>1308</v>
      </c>
      <c r="Z232" s="59" t="str">
        <f>IF(OR($M232="",NOT($O232="{array}")),"",IFERROR(MATCH(PARAMETERS!$M232,DEFAULT!$B$5:$CX$5,0),""))</f>
        <v/>
      </c>
      <c r="AA232" s="56" t="str">
        <f t="shared" si="14"/>
        <v/>
      </c>
      <c r="AB232" s="63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7" t="str">
        <f>IF($AA232="","",IF($B232="I",VLOOKUP($AA232,#REF!,53,0),INDEX(VALUES!$B$1:$BT$1,1,$AA232)))</f>
        <v/>
      </c>
    </row>
    <row r="233" spans="1:29" hidden="1" outlineLevel="1" x14ac:dyDescent="0.3">
      <c r="A233" s="22" t="s">
        <v>84</v>
      </c>
      <c r="B233" s="41" t="str">
        <f t="shared" si="18"/>
        <v/>
      </c>
      <c r="C233" s="42">
        <f t="shared" si="17"/>
        <v>232</v>
      </c>
      <c r="D233" s="38"/>
      <c r="E233" s="38"/>
      <c r="F233" s="38"/>
      <c r="G233" s="38"/>
      <c r="H233" s="38"/>
      <c r="I233" s="38" t="s">
        <v>9</v>
      </c>
      <c r="J233" s="38"/>
      <c r="K233" s="124" t="s">
        <v>47</v>
      </c>
      <c r="L233" s="53" t="s">
        <v>32</v>
      </c>
      <c r="M233" s="200" t="s">
        <v>1374</v>
      </c>
      <c r="N233" s="124" t="s">
        <v>1309</v>
      </c>
      <c r="O233" s="118">
        <v>0</v>
      </c>
      <c r="Q233" s="129"/>
      <c r="R233" s="129" t="s">
        <v>102</v>
      </c>
      <c r="S233" s="129" t="s">
        <v>111</v>
      </c>
      <c r="T233" s="124" t="s">
        <v>259</v>
      </c>
      <c r="U233" s="124" t="s">
        <v>259</v>
      </c>
      <c r="V233" s="124" t="s">
        <v>1309</v>
      </c>
      <c r="W233" s="15" t="s">
        <v>259</v>
      </c>
      <c r="X233" s="118" t="s">
        <v>259</v>
      </c>
      <c r="Y233" s="124" t="s">
        <v>1310</v>
      </c>
      <c r="Z233" s="59" t="str">
        <f>IF(OR($M233="",NOT($O233="{array}")),"",IFERROR(MATCH(PARAMETERS!$M233,DEFAULT!$B$5:$CX$5,0),""))</f>
        <v/>
      </c>
      <c r="AA233" s="56" t="str">
        <f t="shared" si="14"/>
        <v/>
      </c>
      <c r="AB233" s="63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7" t="str">
        <f>IF($AA233="","",IF($B233="I",VLOOKUP($AA233,#REF!,53,0),INDEX(VALUES!$B$1:$BT$1,1,$AA233)))</f>
        <v/>
      </c>
    </row>
    <row r="234" spans="1:29" hidden="1" outlineLevel="1" x14ac:dyDescent="0.3">
      <c r="A234" s="22" t="s">
        <v>84</v>
      </c>
      <c r="B234" s="41" t="str">
        <f t="shared" si="18"/>
        <v/>
      </c>
      <c r="C234" s="42">
        <f t="shared" si="17"/>
        <v>233</v>
      </c>
      <c r="D234" s="38"/>
      <c r="E234" s="38"/>
      <c r="F234" s="38"/>
      <c r="G234" s="38"/>
      <c r="H234" s="38"/>
      <c r="I234" s="38" t="s">
        <v>9</v>
      </c>
      <c r="J234" s="38"/>
      <c r="K234" s="124" t="s">
        <v>47</v>
      </c>
      <c r="L234" s="53" t="s">
        <v>32</v>
      </c>
      <c r="M234" s="200" t="s">
        <v>1375</v>
      </c>
      <c r="N234" s="124" t="s">
        <v>1313</v>
      </c>
      <c r="O234" s="118">
        <v>0</v>
      </c>
      <c r="Q234" s="129"/>
      <c r="R234" s="129" t="s">
        <v>102</v>
      </c>
      <c r="S234" s="129" t="s">
        <v>111</v>
      </c>
      <c r="T234" s="124" t="s">
        <v>259</v>
      </c>
      <c r="U234" s="124" t="s">
        <v>259</v>
      </c>
      <c r="V234" s="124" t="s">
        <v>1313</v>
      </c>
      <c r="W234" s="15" t="s">
        <v>259</v>
      </c>
      <c r="X234" s="118" t="s">
        <v>259</v>
      </c>
      <c r="Y234" s="124" t="s">
        <v>1314</v>
      </c>
      <c r="Z234" s="59" t="str">
        <f>IF(OR($M234="",NOT($O234="{array}")),"",IFERROR(MATCH(PARAMETERS!$M234,DEFAULT!$B$5:$CX$5,0),""))</f>
        <v/>
      </c>
      <c r="AA234" s="56" t="str">
        <f t="shared" si="14"/>
        <v/>
      </c>
      <c r="AB234" s="63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7" t="str">
        <f>IF($AA234="","",IF($B234="I",VLOOKUP($AA234,#REF!,53,0),INDEX(VALUES!$B$1:$BT$1,1,$AA234)))</f>
        <v/>
      </c>
    </row>
    <row r="235" spans="1:29" hidden="1" outlineLevel="1" x14ac:dyDescent="0.3">
      <c r="A235" s="22" t="s">
        <v>84</v>
      </c>
      <c r="B235" s="41" t="str">
        <f t="shared" si="18"/>
        <v/>
      </c>
      <c r="C235" s="42">
        <f t="shared" si="17"/>
        <v>234</v>
      </c>
      <c r="D235" s="38"/>
      <c r="E235" s="38"/>
      <c r="F235" s="38"/>
      <c r="G235" s="38"/>
      <c r="H235" s="38"/>
      <c r="I235" s="38" t="s">
        <v>9</v>
      </c>
      <c r="J235" s="38"/>
      <c r="K235" s="124" t="s">
        <v>47</v>
      </c>
      <c r="L235" s="53" t="s">
        <v>32</v>
      </c>
      <c r="M235" s="196" t="s">
        <v>1376</v>
      </c>
      <c r="N235" s="124" t="s">
        <v>1400</v>
      </c>
      <c r="O235" s="118">
        <v>0</v>
      </c>
      <c r="Q235" s="129"/>
      <c r="R235" s="129" t="s">
        <v>102</v>
      </c>
      <c r="S235" s="129" t="s">
        <v>111</v>
      </c>
      <c r="T235" s="124" t="s">
        <v>259</v>
      </c>
      <c r="U235" s="124" t="s">
        <v>259</v>
      </c>
      <c r="V235" s="124"/>
      <c r="W235" s="15"/>
      <c r="X235" s="118"/>
      <c r="Y235" s="124"/>
      <c r="Z235" s="59" t="str">
        <f>IF(OR($M235="",NOT($O235="{array}")),"",IFERROR(MATCH(PARAMETERS!$M235,DEFAULT!$B$5:$CX$5,0),""))</f>
        <v/>
      </c>
      <c r="AA235" s="56" t="str">
        <f t="shared" si="14"/>
        <v/>
      </c>
      <c r="AB235" s="63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7" t="str">
        <f>IF($AA235="","",IF($B235="I",VLOOKUP($AA235,#REF!,53,0),INDEX(VALUES!$B$1:$BT$1,1,$AA235)))</f>
        <v/>
      </c>
    </row>
    <row r="236" spans="1:29" hidden="1" outlineLevel="1" x14ac:dyDescent="0.3">
      <c r="A236" s="22" t="s">
        <v>84</v>
      </c>
      <c r="B236" s="41" t="str">
        <f t="shared" si="18"/>
        <v/>
      </c>
      <c r="C236" s="42">
        <f t="shared" si="17"/>
        <v>235</v>
      </c>
      <c r="D236" s="38"/>
      <c r="E236" s="38"/>
      <c r="F236" s="38"/>
      <c r="G236" s="38"/>
      <c r="H236" s="38"/>
      <c r="I236" s="38" t="s">
        <v>9</v>
      </c>
      <c r="J236" s="38"/>
      <c r="K236" s="124" t="s">
        <v>47</v>
      </c>
      <c r="L236" s="53" t="s">
        <v>32</v>
      </c>
      <c r="M236" s="200" t="s">
        <v>1378</v>
      </c>
      <c r="N236" s="124" t="s">
        <v>1315</v>
      </c>
      <c r="O236" s="118">
        <v>0</v>
      </c>
      <c r="Q236" s="129"/>
      <c r="R236" s="129" t="s">
        <v>102</v>
      </c>
      <c r="S236" s="129" t="s">
        <v>111</v>
      </c>
      <c r="T236" s="124" t="s">
        <v>259</v>
      </c>
      <c r="U236" s="124" t="s">
        <v>259</v>
      </c>
      <c r="V236" s="124" t="s">
        <v>1315</v>
      </c>
      <c r="W236" s="15" t="s">
        <v>259</v>
      </c>
      <c r="X236" s="118" t="s">
        <v>259</v>
      </c>
      <c r="Y236" s="124" t="s">
        <v>1316</v>
      </c>
      <c r="Z236" s="59" t="str">
        <f>IF(OR($M236="",NOT($O236="{array}")),"",IFERROR(MATCH(PARAMETERS!$M236,DEFAULT!$B$5:$CX$5,0),""))</f>
        <v/>
      </c>
      <c r="AA236" s="56" t="str">
        <f t="shared" si="14"/>
        <v/>
      </c>
      <c r="AB236" s="63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7" t="str">
        <f>IF($AA236="","",IF($B236="I",VLOOKUP($AA236,#REF!,53,0),INDEX(VALUES!$B$1:$BT$1,1,$AA236)))</f>
        <v/>
      </c>
    </row>
    <row r="237" spans="1:29" hidden="1" outlineLevel="1" x14ac:dyDescent="0.3">
      <c r="A237" s="22" t="s">
        <v>84</v>
      </c>
      <c r="B237" s="41" t="str">
        <f t="shared" si="18"/>
        <v/>
      </c>
      <c r="C237" s="42">
        <f t="shared" si="17"/>
        <v>236</v>
      </c>
      <c r="D237" s="38"/>
      <c r="E237" s="38"/>
      <c r="F237" s="38"/>
      <c r="G237" s="38"/>
      <c r="H237" s="38"/>
      <c r="I237" s="38" t="s">
        <v>9</v>
      </c>
      <c r="J237" s="38"/>
      <c r="K237" s="124" t="s">
        <v>47</v>
      </c>
      <c r="L237" s="53" t="s">
        <v>32</v>
      </c>
      <c r="M237" s="200" t="s">
        <v>1442</v>
      </c>
      <c r="N237" s="124" t="s">
        <v>1443</v>
      </c>
      <c r="O237" s="118">
        <v>0</v>
      </c>
      <c r="Q237" s="129"/>
      <c r="R237" s="129" t="s">
        <v>102</v>
      </c>
      <c r="S237" s="129" t="s">
        <v>111</v>
      </c>
      <c r="T237" s="124" t="s">
        <v>259</v>
      </c>
      <c r="U237" s="124" t="s">
        <v>259</v>
      </c>
      <c r="V237" s="124"/>
      <c r="W237" s="15"/>
      <c r="X237" s="118"/>
      <c r="Y237" s="124"/>
      <c r="Z237" s="59" t="str">
        <f>IF(OR($M237="",NOT($O237="{array}")),"",IFERROR(MATCH(PARAMETERS!$M237,DEFAULT!$B$5:$CX$5,0),""))</f>
        <v/>
      </c>
      <c r="AA237" s="56" t="str">
        <f t="shared" si="14"/>
        <v/>
      </c>
      <c r="AB237" s="63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7" t="str">
        <f>IF($AA237="","",IF($B237="I",VLOOKUP($AA237,#REF!,53,0),INDEX(VALUES!$B$1:$BT$1,1,$AA237)))</f>
        <v/>
      </c>
    </row>
    <row r="238" spans="1:29" hidden="1" outlineLevel="1" x14ac:dyDescent="0.3">
      <c r="A238" s="22"/>
      <c r="B238" s="41"/>
      <c r="C238" s="42"/>
      <c r="D238" s="38"/>
      <c r="E238" s="38"/>
      <c r="F238" s="38"/>
      <c r="G238" s="38"/>
      <c r="H238" s="38"/>
      <c r="I238" s="38"/>
      <c r="J238" s="38"/>
      <c r="K238" s="124"/>
      <c r="L238" s="53"/>
      <c r="M238" s="196"/>
      <c r="N238" s="124"/>
      <c r="O238" s="118"/>
      <c r="Q238" s="129"/>
      <c r="R238" s="129"/>
      <c r="S238" s="129"/>
      <c r="T238" s="124"/>
      <c r="U238" s="124"/>
      <c r="V238" s="124"/>
      <c r="W238" s="15"/>
      <c r="X238" s="118"/>
      <c r="Y238" s="124"/>
      <c r="Z238" s="59" t="str">
        <f>IF(OR($M238="",NOT($O238="{array}")),"",IFERROR(MATCH(PARAMETERS!$M238,DEFAULT!$B$5:$CX$5,0),""))</f>
        <v/>
      </c>
      <c r="AA238" s="56" t="str">
        <f t="shared" si="14"/>
        <v/>
      </c>
      <c r="AB238" s="63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7" t="str">
        <f>IF($AA238="","",IF($B238="I",VLOOKUP($AA238,#REF!,53,0),INDEX(VALUES!$B$1:$BT$1,1,$AA238)))</f>
        <v/>
      </c>
    </row>
    <row r="239" spans="1:29" hidden="1" outlineLevel="1" x14ac:dyDescent="0.3">
      <c r="A239" s="22" t="s">
        <v>84</v>
      </c>
      <c r="B239" s="41" t="str">
        <f t="shared" si="18"/>
        <v/>
      </c>
      <c r="C239" s="42">
        <f t="shared" si="17"/>
        <v>238</v>
      </c>
      <c r="D239" s="38"/>
      <c r="E239" s="38"/>
      <c r="F239" s="38"/>
      <c r="G239" s="38"/>
      <c r="H239" s="38"/>
      <c r="I239" s="38" t="s">
        <v>9</v>
      </c>
      <c r="J239" s="38"/>
      <c r="K239" s="124" t="s">
        <v>47</v>
      </c>
      <c r="L239" s="53" t="s">
        <v>32</v>
      </c>
      <c r="M239" s="200" t="s">
        <v>1377</v>
      </c>
      <c r="N239" s="124" t="s">
        <v>1317</v>
      </c>
      <c r="O239" s="118">
        <v>0</v>
      </c>
      <c r="Q239" s="129"/>
      <c r="R239" s="129" t="s">
        <v>102</v>
      </c>
      <c r="S239" s="129" t="s">
        <v>111</v>
      </c>
      <c r="T239" s="124" t="s">
        <v>259</v>
      </c>
      <c r="U239" s="124" t="s">
        <v>259</v>
      </c>
      <c r="V239" s="124" t="s">
        <v>1317</v>
      </c>
      <c r="W239" s="15" t="s">
        <v>259</v>
      </c>
      <c r="X239" s="118" t="s">
        <v>259</v>
      </c>
      <c r="Y239" s="124" t="s">
        <v>1318</v>
      </c>
      <c r="Z239" s="59" t="str">
        <f>IF(OR($M239="",NOT($O239="{array}")),"",IFERROR(MATCH(PARAMETERS!$M239,DEFAULT!$B$5:$CX$5,0),""))</f>
        <v/>
      </c>
      <c r="AA239" s="56" t="str">
        <f t="shared" si="14"/>
        <v/>
      </c>
      <c r="AB239" s="63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7" t="str">
        <f>IF($AA239="","",IF($B239="I",VLOOKUP($AA239,#REF!,53,0),INDEX(VALUES!$B$1:$BT$1,1,$AA239)))</f>
        <v/>
      </c>
    </row>
    <row r="240" spans="1:29" hidden="1" outlineLevel="1" x14ac:dyDescent="0.3">
      <c r="A240" s="22" t="s">
        <v>84</v>
      </c>
      <c r="B240" s="41" t="str">
        <f t="shared" si="18"/>
        <v>V</v>
      </c>
      <c r="C240" s="42">
        <f t="shared" si="17"/>
        <v>239</v>
      </c>
      <c r="D240" s="38"/>
      <c r="E240" s="38"/>
      <c r="F240" s="38"/>
      <c r="G240" s="38"/>
      <c r="H240" s="38"/>
      <c r="I240" s="38" t="s">
        <v>9</v>
      </c>
      <c r="J240" s="38"/>
      <c r="K240" s="124" t="s">
        <v>18</v>
      </c>
      <c r="L240" s="125" t="s">
        <v>21</v>
      </c>
      <c r="M240" s="200" t="s">
        <v>1397</v>
      </c>
      <c r="N240" s="124" t="s">
        <v>1319</v>
      </c>
      <c r="O240" s="124" t="s">
        <v>259</v>
      </c>
      <c r="P240" s="118" t="s">
        <v>259</v>
      </c>
      <c r="Q240" s="129" t="s">
        <v>9</v>
      </c>
      <c r="R240" s="129" t="s">
        <v>102</v>
      </c>
      <c r="S240" s="129" t="s">
        <v>111</v>
      </c>
      <c r="T240" s="124" t="s">
        <v>259</v>
      </c>
      <c r="U240" s="124" t="s">
        <v>259</v>
      </c>
      <c r="V240" s="124" t="s">
        <v>1319</v>
      </c>
      <c r="W240" s="15" t="s">
        <v>259</v>
      </c>
      <c r="X240" s="118" t="s">
        <v>259</v>
      </c>
      <c r="Y240" s="124" t="s">
        <v>1320</v>
      </c>
      <c r="Z240" s="59" t="str">
        <f>IF(OR($M240="",NOT($O240="{array}")),"",IFERROR(MATCH(PARAMETERS!$M240,DEFAULT!$B$5:$CX$5,0),""))</f>
        <v/>
      </c>
      <c r="AA240" s="56">
        <f t="shared" si="14"/>
        <v>25</v>
      </c>
      <c r="AB240" s="63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7" t="str">
        <f>IF($AA240="","",IF($B240="I",VLOOKUP($AA240,#REF!,53,0),INDEX(VALUES!$B$1:$BT$1,1,$AA240)))</f>
        <v>- | DORMA MK 396 | DORMA MK 397</v>
      </c>
    </row>
    <row r="241" spans="1:29" hidden="1" outlineLevel="1" x14ac:dyDescent="0.3">
      <c r="A241" s="22" t="s">
        <v>84</v>
      </c>
      <c r="B241" s="41" t="str">
        <f t="shared" si="18"/>
        <v>V</v>
      </c>
      <c r="C241" s="42">
        <f t="shared" si="17"/>
        <v>240</v>
      </c>
      <c r="D241" s="38"/>
      <c r="E241" s="38"/>
      <c r="F241" s="38"/>
      <c r="G241" s="38"/>
      <c r="H241" s="38"/>
      <c r="I241" s="38" t="s">
        <v>9</v>
      </c>
      <c r="J241" s="38"/>
      <c r="K241" s="124" t="s">
        <v>18</v>
      </c>
      <c r="L241" s="53" t="s">
        <v>32</v>
      </c>
      <c r="M241" s="200" t="s">
        <v>1355</v>
      </c>
      <c r="N241" s="124" t="s">
        <v>1368</v>
      </c>
      <c r="O241" s="124" t="s">
        <v>1255</v>
      </c>
      <c r="P241" s="118" t="s">
        <v>259</v>
      </c>
      <c r="Q241" s="129"/>
      <c r="R241" s="129" t="s">
        <v>102</v>
      </c>
      <c r="S241" s="129" t="s">
        <v>111</v>
      </c>
      <c r="T241" s="124" t="s">
        <v>101</v>
      </c>
      <c r="U241" s="124" t="s">
        <v>259</v>
      </c>
      <c r="V241" s="124" t="s">
        <v>1321</v>
      </c>
      <c r="W241" s="15" t="s">
        <v>259</v>
      </c>
      <c r="X241" s="118" t="s">
        <v>259</v>
      </c>
      <c r="Y241" s="124" t="s">
        <v>1322</v>
      </c>
      <c r="Z241" s="59" t="str">
        <f>IF(OR($M241="",NOT($O241="{array}")),"",IFERROR(MATCH(PARAMETERS!$M241,DEFAULT!$B$5:$CX$5,0),""))</f>
        <v/>
      </c>
      <c r="AA241" s="56">
        <f t="shared" si="14"/>
        <v>17</v>
      </c>
      <c r="AB241" s="63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7" t="str">
        <f>IF($AA241="","",IF($B241="I",VLOOKUP($AA241,#REF!,53,0),INDEX(VALUES!$B$1:$BT$1,1,$AA241)))</f>
        <v>- | M | E | R | B</v>
      </c>
    </row>
    <row r="242" spans="1:29" hidden="1" outlineLevel="1" x14ac:dyDescent="0.3">
      <c r="A242" s="22" t="s">
        <v>84</v>
      </c>
      <c r="B242" s="41" t="str">
        <f t="shared" si="18"/>
        <v>V</v>
      </c>
      <c r="C242" s="42">
        <f t="shared" si="17"/>
        <v>241</v>
      </c>
      <c r="D242" s="38"/>
      <c r="E242" s="38"/>
      <c r="F242" s="38"/>
      <c r="G242" s="38"/>
      <c r="H242" s="38"/>
      <c r="I242" s="38" t="s">
        <v>9</v>
      </c>
      <c r="J242" s="38"/>
      <c r="K242" s="124" t="s">
        <v>18</v>
      </c>
      <c r="L242" s="53" t="s">
        <v>32</v>
      </c>
      <c r="M242" s="196" t="s">
        <v>1369</v>
      </c>
      <c r="N242" s="124" t="s">
        <v>1370</v>
      </c>
      <c r="O242" s="124" t="s">
        <v>1255</v>
      </c>
      <c r="P242" s="118" t="s">
        <v>259</v>
      </c>
      <c r="Q242" s="129"/>
      <c r="R242" s="129" t="s">
        <v>102</v>
      </c>
      <c r="S242" s="129" t="s">
        <v>111</v>
      </c>
      <c r="T242" s="124" t="s">
        <v>101</v>
      </c>
      <c r="U242" s="124" t="s">
        <v>259</v>
      </c>
      <c r="V242" s="124" t="s">
        <v>1323</v>
      </c>
      <c r="W242" s="15" t="s">
        <v>259</v>
      </c>
      <c r="X242" s="118" t="s">
        <v>259</v>
      </c>
      <c r="Y242" s="124" t="s">
        <v>1324</v>
      </c>
      <c r="Z242" s="59" t="str">
        <f>IF(OR($M242="",NOT($O242="{array}")),"",IFERROR(MATCH(PARAMETERS!$M242,DEFAULT!$B$5:$CX$5,0),""))</f>
        <v/>
      </c>
      <c r="AA242" s="56">
        <f t="shared" si="14"/>
        <v>19</v>
      </c>
      <c r="AB242" s="63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7" t="str">
        <f>IF($AA242="","",IF($B242="I",VLOOKUP($AA242,#REF!,53,0),INDEX(VALUES!$B$1:$BT$1,1,$AA242)))</f>
        <v>- | M | E</v>
      </c>
    </row>
    <row r="243" spans="1:29" hidden="1" outlineLevel="1" x14ac:dyDescent="0.3">
      <c r="A243" s="22"/>
      <c r="B243" s="41" t="str">
        <f t="shared" si="18"/>
        <v/>
      </c>
      <c r="C243" s="42">
        <f t="shared" si="17"/>
        <v>242</v>
      </c>
      <c r="D243" s="38"/>
      <c r="E243" s="38"/>
      <c r="F243" s="38"/>
      <c r="G243" s="38"/>
      <c r="H243" s="38"/>
      <c r="I243" s="38" t="s">
        <v>9</v>
      </c>
      <c r="J243" s="38"/>
      <c r="K243" s="124" t="s">
        <v>18</v>
      </c>
      <c r="L243" s="125" t="s">
        <v>21</v>
      </c>
      <c r="M243" s="196"/>
      <c r="N243" s="124" t="s">
        <v>259</v>
      </c>
      <c r="O243" s="124" t="s">
        <v>259</v>
      </c>
      <c r="P243" s="118" t="s">
        <v>259</v>
      </c>
      <c r="Q243" s="129"/>
      <c r="R243" s="129" t="s">
        <v>102</v>
      </c>
      <c r="S243" s="129" t="s">
        <v>111</v>
      </c>
      <c r="T243" s="124" t="s">
        <v>259</v>
      </c>
      <c r="U243" s="124" t="s">
        <v>259</v>
      </c>
      <c r="V243" s="124" t="s">
        <v>1325</v>
      </c>
      <c r="W243" s="15" t="s">
        <v>259</v>
      </c>
      <c r="X243" s="118" t="s">
        <v>259</v>
      </c>
      <c r="Y243" s="124" t="s">
        <v>1326</v>
      </c>
      <c r="Z243" s="59" t="str">
        <f>IF(OR($M243="",NOT($O243="{array}")),"",IFERROR(MATCH(PARAMETERS!$M243,DEFAULT!$B$5:$CX$5,0),""))</f>
        <v/>
      </c>
      <c r="AA243" s="56" t="str">
        <f t="shared" si="14"/>
        <v/>
      </c>
      <c r="AB243" s="63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7" t="str">
        <f>IF($AA243="","",IF($B243="I",VLOOKUP($AA243,#REF!,53,0),INDEX(VALUES!$B$1:$BT$1,1,$AA243)))</f>
        <v/>
      </c>
    </row>
    <row r="244" spans="1:29" hidden="1" outlineLevel="1" x14ac:dyDescent="0.3">
      <c r="A244" s="22"/>
      <c r="B244" s="41" t="str">
        <f t="shared" si="18"/>
        <v/>
      </c>
      <c r="C244" s="42">
        <f t="shared" si="17"/>
        <v>243</v>
      </c>
      <c r="D244" s="38"/>
      <c r="E244" s="38"/>
      <c r="F244" s="38"/>
      <c r="G244" s="38"/>
      <c r="H244" s="38"/>
      <c r="I244" s="38" t="s">
        <v>9</v>
      </c>
      <c r="J244" s="38"/>
      <c r="K244" s="124" t="s">
        <v>18</v>
      </c>
      <c r="L244" s="125" t="s">
        <v>21</v>
      </c>
      <c r="M244" s="196"/>
      <c r="N244" s="124" t="s">
        <v>259</v>
      </c>
      <c r="O244" s="124" t="s">
        <v>259</v>
      </c>
      <c r="P244" s="118" t="s">
        <v>259</v>
      </c>
      <c r="Q244" s="129"/>
      <c r="R244" s="129" t="s">
        <v>102</v>
      </c>
      <c r="S244" s="129" t="s">
        <v>111</v>
      </c>
      <c r="T244" s="124" t="s">
        <v>259</v>
      </c>
      <c r="U244" s="124" t="s">
        <v>259</v>
      </c>
      <c r="V244" s="124" t="s">
        <v>1327</v>
      </c>
      <c r="W244" s="15" t="s">
        <v>259</v>
      </c>
      <c r="X244" s="118" t="s">
        <v>259</v>
      </c>
      <c r="Y244" s="124" t="s">
        <v>1328</v>
      </c>
      <c r="Z244" s="59" t="str">
        <f>IF(OR($M244="",NOT($O244="{array}")),"",IFERROR(MATCH(PARAMETERS!$M244,DEFAULT!$B$5:$CX$5,0),""))</f>
        <v/>
      </c>
      <c r="AA244" s="56" t="str">
        <f t="shared" si="14"/>
        <v/>
      </c>
      <c r="AB244" s="63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7" t="str">
        <f>IF($AA244="","",IF($B244="I",VLOOKUP($AA244,#REF!,53,0),INDEX(VALUES!$B$1:$BT$1,1,$AA244)))</f>
        <v/>
      </c>
    </row>
    <row r="245" spans="1:29" hidden="1" outlineLevel="1" x14ac:dyDescent="0.3">
      <c r="A245" s="22"/>
      <c r="B245" s="41" t="str">
        <f t="shared" si="18"/>
        <v/>
      </c>
      <c r="C245" s="42">
        <f t="shared" si="17"/>
        <v>244</v>
      </c>
      <c r="D245" s="38"/>
      <c r="E245" s="38"/>
      <c r="F245" s="38"/>
      <c r="G245" s="38"/>
      <c r="H245" s="38"/>
      <c r="I245" s="38" t="s">
        <v>9</v>
      </c>
      <c r="J245" s="38"/>
      <c r="K245" s="124" t="s">
        <v>18</v>
      </c>
      <c r="L245" s="125" t="s">
        <v>21</v>
      </c>
      <c r="M245" s="196"/>
      <c r="N245" s="124" t="s">
        <v>259</v>
      </c>
      <c r="O245" s="124" t="s">
        <v>259</v>
      </c>
      <c r="P245" s="118" t="s">
        <v>259</v>
      </c>
      <c r="Q245" s="129"/>
      <c r="R245" s="129" t="s">
        <v>102</v>
      </c>
      <c r="S245" s="129" t="s">
        <v>111</v>
      </c>
      <c r="T245" s="124" t="s">
        <v>259</v>
      </c>
      <c r="U245" s="124" t="s">
        <v>259</v>
      </c>
      <c r="V245" s="124" t="s">
        <v>1329</v>
      </c>
      <c r="W245" s="15" t="s">
        <v>259</v>
      </c>
      <c r="X245" s="118" t="s">
        <v>259</v>
      </c>
      <c r="Y245" s="124" t="s">
        <v>259</v>
      </c>
      <c r="Z245" s="59" t="str">
        <f>IF(OR($M245="",NOT($O245="{array}")),"",IFERROR(MATCH(PARAMETERS!$M245,DEFAULT!$B$5:$CX$5,0),""))</f>
        <v/>
      </c>
      <c r="AA245" s="56" t="str">
        <f t="shared" si="14"/>
        <v/>
      </c>
      <c r="AB245" s="63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7" t="str">
        <f>IF($AA245="","",IF($B245="I",VLOOKUP($AA245,#REF!,53,0),INDEX(VALUES!$B$1:$BT$1,1,$AA245)))</f>
        <v/>
      </c>
    </row>
    <row r="246" spans="1:29" hidden="1" outlineLevel="1" x14ac:dyDescent="0.3">
      <c r="A246" s="22" t="s">
        <v>84</v>
      </c>
      <c r="B246" s="41" t="str">
        <f t="shared" si="18"/>
        <v>V</v>
      </c>
      <c r="C246" s="42">
        <f t="shared" si="17"/>
        <v>245</v>
      </c>
      <c r="D246" s="38"/>
      <c r="E246" s="38"/>
      <c r="F246" s="38"/>
      <c r="G246" s="38"/>
      <c r="H246" s="38"/>
      <c r="I246" s="38" t="s">
        <v>9</v>
      </c>
      <c r="J246" s="38"/>
      <c r="K246" s="117" t="s">
        <v>18</v>
      </c>
      <c r="L246" s="125" t="s">
        <v>21</v>
      </c>
      <c r="M246" s="200" t="s">
        <v>1341</v>
      </c>
      <c r="N246" s="124" t="s">
        <v>1346</v>
      </c>
      <c r="O246" s="124" t="s">
        <v>1253</v>
      </c>
      <c r="P246" s="118" t="s">
        <v>259</v>
      </c>
      <c r="Q246" s="136" t="s">
        <v>9</v>
      </c>
      <c r="R246" s="129" t="s">
        <v>102</v>
      </c>
      <c r="S246" s="129" t="s">
        <v>111</v>
      </c>
      <c r="T246" s="124" t="s">
        <v>259</v>
      </c>
      <c r="U246" s="124" t="s">
        <v>259</v>
      </c>
      <c r="V246" s="124"/>
      <c r="W246" s="15" t="str">
        <f>IF(IFERROR(VLOOKUP($M246,COMPARE!$H$2:$H$847,1,0),"-")="-","","GS")</f>
        <v/>
      </c>
      <c r="X246" s="118" t="s">
        <v>259</v>
      </c>
      <c r="Y246" s="124" t="s">
        <v>1348</v>
      </c>
      <c r="Z246" s="59" t="str">
        <f>IF(OR($M246="",NOT($O246="{array}")),"",IFERROR(MATCH(PARAMETERS!$M246,DEFAULT!$B$5:$CX$5,0),""))</f>
        <v/>
      </c>
      <c r="AA246" s="56">
        <f t="shared" si="14"/>
        <v>3</v>
      </c>
      <c r="AB246" s="63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7" t="str">
        <f>IF($AA246="","",IF($B246="I",VLOOKUP($AA246,#REF!,53,0),INDEX(VALUES!$B$1:$BT$1,1,$AA246)))</f>
        <v xml:space="preserve">  | ST | ES | AL | XX</v>
      </c>
    </row>
    <row r="247" spans="1:29" hidden="1" outlineLevel="1" x14ac:dyDescent="0.3">
      <c r="A247" s="22"/>
      <c r="B247" s="41" t="str">
        <f t="shared" si="18"/>
        <v/>
      </c>
      <c r="C247" s="42">
        <f t="shared" si="17"/>
        <v>246</v>
      </c>
      <c r="D247" s="38"/>
      <c r="E247" s="38"/>
      <c r="F247" s="38"/>
      <c r="G247" s="38"/>
      <c r="H247" s="38"/>
      <c r="I247" s="38" t="s">
        <v>9</v>
      </c>
      <c r="J247" s="38"/>
      <c r="K247" s="117" t="s">
        <v>18</v>
      </c>
      <c r="L247" s="125" t="s">
        <v>21</v>
      </c>
      <c r="M247" s="196" t="s">
        <v>1393</v>
      </c>
      <c r="N247" s="124" t="s">
        <v>1394</v>
      </c>
      <c r="O247" s="124" t="s">
        <v>1253</v>
      </c>
      <c r="P247" s="118" t="s">
        <v>259</v>
      </c>
      <c r="Q247" s="136" t="s">
        <v>9</v>
      </c>
      <c r="R247" s="129" t="s">
        <v>102</v>
      </c>
      <c r="S247" s="129" t="s">
        <v>111</v>
      </c>
      <c r="T247" s="124" t="s">
        <v>259</v>
      </c>
      <c r="U247" s="124" t="s">
        <v>259</v>
      </c>
      <c r="V247" s="124"/>
      <c r="W247" s="15" t="str">
        <f>IF(IFERROR(VLOOKUP($M247,COMPARE!$H$2:$H$847,1,0),"-")="-","","GS")</f>
        <v/>
      </c>
      <c r="X247" s="118" t="s">
        <v>259</v>
      </c>
      <c r="Y247" s="124" t="s">
        <v>1348</v>
      </c>
      <c r="Z247" s="59" t="str">
        <f>IF(OR($M247="",NOT($O247="{array}")),"",IFERROR(MATCH(PARAMETERS!$M247,DEFAULT!$B$5:$CX$5,0),""))</f>
        <v/>
      </c>
      <c r="AA247" s="56" t="str">
        <f t="shared" si="14"/>
        <v/>
      </c>
      <c r="AB247" s="63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7" t="str">
        <f>IF($AA247="","",IF($B247="I",VLOOKUP($AA247,#REF!,53,0),INDEX(VALUES!$B$1:$BT$1,1,$AA247)))</f>
        <v/>
      </c>
    </row>
    <row r="248" spans="1:29" hidden="1" outlineLevel="1" x14ac:dyDescent="0.3">
      <c r="A248" s="22" t="s">
        <v>84</v>
      </c>
      <c r="B248" s="41" t="str">
        <f t="shared" si="18"/>
        <v>V</v>
      </c>
      <c r="C248" s="42">
        <f t="shared" si="17"/>
        <v>247</v>
      </c>
      <c r="D248" s="38"/>
      <c r="E248" s="38"/>
      <c r="F248" s="38"/>
      <c r="G248" s="38"/>
      <c r="H248" s="38"/>
      <c r="I248" s="38" t="s">
        <v>9</v>
      </c>
      <c r="J248" s="38"/>
      <c r="K248" s="117" t="s">
        <v>18</v>
      </c>
      <c r="L248" s="125" t="s">
        <v>21</v>
      </c>
      <c r="M248" s="200" t="s">
        <v>1342</v>
      </c>
      <c r="N248" s="117" t="s">
        <v>1347</v>
      </c>
      <c r="O248" s="124" t="s">
        <v>48</v>
      </c>
      <c r="P248" s="118" t="s">
        <v>259</v>
      </c>
      <c r="Q248" s="136" t="s">
        <v>9</v>
      </c>
      <c r="R248" s="129" t="s">
        <v>102</v>
      </c>
      <c r="S248" s="129" t="s">
        <v>111</v>
      </c>
      <c r="T248" s="124" t="s">
        <v>259</v>
      </c>
      <c r="U248" s="124" t="s">
        <v>259</v>
      </c>
      <c r="V248" s="124" t="s">
        <v>1303</v>
      </c>
      <c r="W248" s="15" t="s">
        <v>259</v>
      </c>
      <c r="X248" s="118" t="s">
        <v>259</v>
      </c>
      <c r="Y248" s="124" t="s">
        <v>1304</v>
      </c>
      <c r="Z248" s="59" t="str">
        <f>IF(OR($M248="",NOT($O248="{array}")),"",IFERROR(MATCH(PARAMETERS!$M248,DEFAULT!$B$5:$CX$5,0),""))</f>
        <v/>
      </c>
      <c r="AA248" s="56">
        <f t="shared" si="14"/>
        <v>5</v>
      </c>
      <c r="AB248" s="63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7" t="str">
        <f>IF($AA248="","",IF($B248="I",VLOOKUP($AA248,#REF!,53,0),INDEX(VALUES!$B$1:$BT$1,1,$AA248)))</f>
        <v xml:space="preserve">  | - | G | N | L | V | Z | C | ...</v>
      </c>
    </row>
    <row r="249" spans="1:29" hidden="1" outlineLevel="1" x14ac:dyDescent="0.3">
      <c r="A249" s="22"/>
      <c r="B249" s="41" t="str">
        <f t="shared" si="18"/>
        <v/>
      </c>
      <c r="C249" s="42">
        <f t="shared" si="17"/>
        <v>248</v>
      </c>
      <c r="D249" s="38"/>
      <c r="E249" s="38"/>
      <c r="F249" s="38"/>
      <c r="G249" s="38"/>
      <c r="H249" s="38"/>
      <c r="I249" s="38" t="s">
        <v>9</v>
      </c>
      <c r="J249" s="38"/>
      <c r="K249" s="124" t="s">
        <v>18</v>
      </c>
      <c r="L249" s="125" t="s">
        <v>21</v>
      </c>
      <c r="M249" s="196" t="s">
        <v>1357</v>
      </c>
      <c r="N249" s="117" t="s">
        <v>1364</v>
      </c>
      <c r="O249" s="124" t="s">
        <v>48</v>
      </c>
      <c r="P249" s="118" t="s">
        <v>259</v>
      </c>
      <c r="Q249" s="129" t="s">
        <v>9</v>
      </c>
      <c r="R249" s="129" t="s">
        <v>102</v>
      </c>
      <c r="S249" s="129" t="s">
        <v>111</v>
      </c>
      <c r="T249" s="124" t="s">
        <v>259</v>
      </c>
      <c r="U249" s="124" t="s">
        <v>259</v>
      </c>
      <c r="V249" s="124" t="s">
        <v>1305</v>
      </c>
      <c r="W249" s="15" t="s">
        <v>259</v>
      </c>
      <c r="X249" s="118" t="s">
        <v>259</v>
      </c>
      <c r="Y249" s="124" t="s">
        <v>1306</v>
      </c>
      <c r="Z249" s="59" t="str">
        <f>IF(OR($M249="",NOT($O249="{array}")),"",IFERROR(MATCH(PARAMETERS!$M249,DEFAULT!$B$5:$CX$5,0),""))</f>
        <v/>
      </c>
      <c r="AA249" s="56" t="str">
        <f t="shared" si="14"/>
        <v/>
      </c>
      <c r="AB249" s="63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7" t="str">
        <f>IF($AA249="","",IF($B249="I",VLOOKUP($AA249,#REF!,53,0),INDEX(VALUES!$B$1:$BT$1,1,$AA249)))</f>
        <v/>
      </c>
    </row>
    <row r="250" spans="1:29" hidden="1" outlineLevel="1" x14ac:dyDescent="0.25">
      <c r="A250" s="22" t="s">
        <v>84</v>
      </c>
      <c r="B250" s="41"/>
      <c r="C250" s="42"/>
      <c r="D250" s="38"/>
      <c r="E250" s="38"/>
      <c r="F250" s="38"/>
      <c r="G250" s="38"/>
      <c r="H250" s="38"/>
      <c r="I250" s="186" t="s">
        <v>9</v>
      </c>
      <c r="J250" s="186" t="s">
        <v>9</v>
      </c>
      <c r="K250" s="187" t="s">
        <v>24</v>
      </c>
      <c r="L250" s="187" t="s">
        <v>27</v>
      </c>
      <c r="M250" s="193" t="s">
        <v>1451</v>
      </c>
      <c r="N250" s="187" t="s">
        <v>1452</v>
      </c>
      <c r="O250" s="190">
        <v>0</v>
      </c>
      <c r="P250" s="187"/>
      <c r="Q250" s="186"/>
      <c r="R250" s="186" t="s">
        <v>191</v>
      </c>
      <c r="S250" s="129"/>
      <c r="T250" s="124"/>
      <c r="U250" s="124"/>
      <c r="V250" s="124"/>
      <c r="W250" s="15"/>
      <c r="X250" s="118"/>
      <c r="Y250" s="124"/>
      <c r="Z250" s="59" t="str">
        <f>IF(OR($M250="",NOT($O250="{array}")),"",IFERROR(MATCH(PARAMETERS!$M250,DEFAULT!$B$5:$CX$5,0),""))</f>
        <v/>
      </c>
      <c r="AA250" s="56" t="str">
        <f t="shared" si="14"/>
        <v/>
      </c>
      <c r="AB250" s="63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7" t="str">
        <f>IF($AA250="","",IF($B250="I",VLOOKUP($AA250,#REF!,53,0),INDEX(VALUES!$B$1:$BT$1,1,$AA250)))</f>
        <v/>
      </c>
    </row>
    <row r="251" spans="1:29" hidden="1" outlineLevel="1" x14ac:dyDescent="0.25">
      <c r="A251" s="22" t="s">
        <v>84</v>
      </c>
      <c r="B251" s="41"/>
      <c r="C251" s="42"/>
      <c r="D251" s="38"/>
      <c r="E251" s="38"/>
      <c r="F251" s="38"/>
      <c r="G251" s="38"/>
      <c r="H251" s="38"/>
      <c r="I251" s="186" t="s">
        <v>9</v>
      </c>
      <c r="J251" s="186" t="s">
        <v>9</v>
      </c>
      <c r="K251" s="187" t="s">
        <v>24</v>
      </c>
      <c r="L251" s="187" t="s">
        <v>27</v>
      </c>
      <c r="M251" s="193" t="s">
        <v>1449</v>
      </c>
      <c r="N251" s="187" t="s">
        <v>1450</v>
      </c>
      <c r="O251" s="190">
        <v>0</v>
      </c>
      <c r="P251" s="187"/>
      <c r="Q251" s="186"/>
      <c r="R251" s="186" t="s">
        <v>191</v>
      </c>
      <c r="S251" s="129"/>
      <c r="T251" s="124"/>
      <c r="U251" s="124"/>
      <c r="V251" s="124"/>
      <c r="W251" s="15"/>
      <c r="X251" s="118"/>
      <c r="Y251" s="124"/>
      <c r="Z251" s="59" t="str">
        <f>IF(OR($M251="",NOT($O251="{array}")),"",IFERROR(MATCH(PARAMETERS!$M251,DEFAULT!$B$5:$CX$5,0),""))</f>
        <v/>
      </c>
      <c r="AA251" s="56" t="str">
        <f t="shared" si="14"/>
        <v/>
      </c>
      <c r="AB251" s="63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7" t="str">
        <f>IF($AA251="","",IF($B251="I",VLOOKUP($AA251,#REF!,53,0),INDEX(VALUES!$B$1:$BT$1,1,$AA251)))</f>
        <v/>
      </c>
    </row>
    <row r="252" spans="1:29" hidden="1" outlineLevel="1" x14ac:dyDescent="0.25">
      <c r="A252" s="22" t="s">
        <v>84</v>
      </c>
      <c r="B252" s="41"/>
      <c r="C252" s="42"/>
      <c r="D252" s="38"/>
      <c r="E252" s="38"/>
      <c r="F252" s="38"/>
      <c r="G252" s="38"/>
      <c r="H252" s="38"/>
      <c r="I252" s="186" t="s">
        <v>9</v>
      </c>
      <c r="J252" s="186" t="s">
        <v>9</v>
      </c>
      <c r="K252" s="187" t="s">
        <v>24</v>
      </c>
      <c r="L252" s="187" t="s">
        <v>27</v>
      </c>
      <c r="M252" s="193" t="s">
        <v>1837</v>
      </c>
      <c r="N252" s="187" t="s">
        <v>1838</v>
      </c>
      <c r="O252" s="190">
        <v>0</v>
      </c>
      <c r="P252" s="187"/>
      <c r="Q252" s="186"/>
      <c r="R252" s="186" t="s">
        <v>191</v>
      </c>
      <c r="S252" s="129"/>
      <c r="T252" s="124"/>
      <c r="U252" s="124"/>
      <c r="V252" s="124"/>
      <c r="W252" s="15"/>
      <c r="X252" s="118"/>
      <c r="Y252" s="124"/>
      <c r="Z252" s="59" t="str">
        <f>IF(OR($M252="",NOT($O252="{array}")),"",IFERROR(MATCH(PARAMETERS!$M252,DEFAULT!$B$5:$CX$5,0),""))</f>
        <v/>
      </c>
      <c r="AA252" s="56" t="str">
        <f t="shared" si="14"/>
        <v/>
      </c>
      <c r="AB252" s="63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7" t="str">
        <f>IF($AA252="","",IF($B252="I",VLOOKUP($AA252,#REF!,53,0),INDEX(VALUES!$B$1:$BT$1,1,$AA252)))</f>
        <v/>
      </c>
    </row>
    <row r="253" spans="1:29" hidden="1" outlineLevel="1" x14ac:dyDescent="0.25">
      <c r="A253" s="22" t="s">
        <v>84</v>
      </c>
      <c r="B253" s="41"/>
      <c r="C253" s="42"/>
      <c r="D253" s="38"/>
      <c r="E253" s="38"/>
      <c r="F253" s="38"/>
      <c r="G253" s="38"/>
      <c r="H253" s="38"/>
      <c r="I253" s="186" t="s">
        <v>9</v>
      </c>
      <c r="J253" s="186" t="s">
        <v>9</v>
      </c>
      <c r="K253" s="187" t="s">
        <v>24</v>
      </c>
      <c r="L253" s="187" t="s">
        <v>27</v>
      </c>
      <c r="M253" s="193" t="s">
        <v>1453</v>
      </c>
      <c r="N253" s="187" t="s">
        <v>1454</v>
      </c>
      <c r="O253" s="190">
        <v>0</v>
      </c>
      <c r="P253" s="187"/>
      <c r="Q253" s="186"/>
      <c r="R253" s="186" t="s">
        <v>191</v>
      </c>
      <c r="S253" s="129"/>
      <c r="T253" s="124"/>
      <c r="U253" s="124"/>
      <c r="V253" s="124"/>
      <c r="W253" s="15"/>
      <c r="X253" s="118"/>
      <c r="Y253" s="124"/>
      <c r="Z253" s="59" t="str">
        <f>IF(OR($M253="",NOT($O253="{array}")),"",IFERROR(MATCH(PARAMETERS!$M253,DEFAULT!$B$5:$CX$5,0),""))</f>
        <v/>
      </c>
      <c r="AA253" s="56" t="str">
        <f t="shared" ref="AA253:AA321" si="19">IF($M253="","",IFERROR(MATCH($M253,VALUESnames,0),""))</f>
        <v/>
      </c>
      <c r="AB253" s="63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7" t="str">
        <f>IF($AA253="","",IF($B253="I",VLOOKUP($AA253,#REF!,53,0),INDEX(VALUES!$B$1:$BT$1,1,$AA253)))</f>
        <v/>
      </c>
    </row>
    <row r="254" spans="1:29" hidden="1" outlineLevel="1" x14ac:dyDescent="0.25">
      <c r="A254" s="22" t="s">
        <v>84</v>
      </c>
      <c r="B254" s="41"/>
      <c r="C254" s="42"/>
      <c r="D254" s="38"/>
      <c r="E254" s="38"/>
      <c r="F254" s="38"/>
      <c r="G254" s="38"/>
      <c r="H254" s="38"/>
      <c r="I254" s="186" t="s">
        <v>9</v>
      </c>
      <c r="J254" s="186" t="s">
        <v>9</v>
      </c>
      <c r="K254" s="187" t="s">
        <v>24</v>
      </c>
      <c r="L254" s="187" t="s">
        <v>27</v>
      </c>
      <c r="M254" s="193" t="s">
        <v>1455</v>
      </c>
      <c r="N254" s="187" t="s">
        <v>1457</v>
      </c>
      <c r="O254" s="190">
        <v>7.4999999999999997E-2</v>
      </c>
      <c r="P254" s="187"/>
      <c r="Q254" s="186"/>
      <c r="R254" s="186" t="s">
        <v>191</v>
      </c>
      <c r="S254" s="129"/>
      <c r="T254" s="124"/>
      <c r="U254" s="124"/>
      <c r="V254" s="124"/>
      <c r="W254" s="15"/>
      <c r="X254" s="118"/>
      <c r="Y254" s="124"/>
      <c r="Z254" s="59" t="str">
        <f>IF(OR($M254="",NOT($O254="{array}")),"",IFERROR(MATCH(PARAMETERS!$M254,DEFAULT!$B$5:$CX$5,0),""))</f>
        <v/>
      </c>
      <c r="AA254" s="56" t="str">
        <f t="shared" si="19"/>
        <v/>
      </c>
      <c r="AB254" s="63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7" t="str">
        <f>IF($AA254="","",IF($B254="I",VLOOKUP($AA254,#REF!,53,0),INDEX(VALUES!$B$1:$BT$1,1,$AA254)))</f>
        <v/>
      </c>
    </row>
    <row r="255" spans="1:29" hidden="1" outlineLevel="1" x14ac:dyDescent="0.25">
      <c r="A255" s="22" t="s">
        <v>84</v>
      </c>
      <c r="B255" s="41"/>
      <c r="C255" s="42"/>
      <c r="D255" s="38"/>
      <c r="E255" s="38"/>
      <c r="F255" s="38"/>
      <c r="G255" s="38"/>
      <c r="H255" s="38"/>
      <c r="I255" s="186" t="s">
        <v>9</v>
      </c>
      <c r="J255" s="186" t="s">
        <v>9</v>
      </c>
      <c r="K255" s="187" t="s">
        <v>24</v>
      </c>
      <c r="L255" s="187" t="s">
        <v>27</v>
      </c>
      <c r="M255" s="193" t="s">
        <v>1854</v>
      </c>
      <c r="N255" s="187" t="s">
        <v>1855</v>
      </c>
      <c r="O255" s="190">
        <v>0.05</v>
      </c>
      <c r="P255" s="187"/>
      <c r="Q255" s="186"/>
      <c r="R255" s="186" t="s">
        <v>191</v>
      </c>
      <c r="S255" s="129"/>
      <c r="T255" s="124"/>
      <c r="U255" s="124"/>
      <c r="V255" s="124"/>
      <c r="W255" s="15"/>
      <c r="X255" s="118"/>
      <c r="Y255" s="124"/>
      <c r="Z255" s="59" t="str">
        <f>IF(OR($M255="",NOT($O255="{array}")),"",IFERROR(MATCH(PARAMETERS!$M255,DEFAULT!$B$5:$CX$5,0),""))</f>
        <v/>
      </c>
      <c r="AA255" s="56" t="str">
        <f t="shared" si="19"/>
        <v/>
      </c>
      <c r="AB255" s="63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7" t="str">
        <f>IF($AA255="","",IF($B255="I",VLOOKUP($AA255,#REF!,53,0),INDEX(VALUES!$B$1:$BT$1,1,$AA255)))</f>
        <v/>
      </c>
    </row>
    <row r="256" spans="1:29" hidden="1" outlineLevel="1" x14ac:dyDescent="0.25">
      <c r="A256" s="22" t="s">
        <v>84</v>
      </c>
      <c r="B256" s="41"/>
      <c r="C256" s="42"/>
      <c r="D256" s="38"/>
      <c r="E256" s="38"/>
      <c r="F256" s="38"/>
      <c r="G256" s="38"/>
      <c r="H256" s="38"/>
      <c r="I256" s="186" t="s">
        <v>9</v>
      </c>
      <c r="J256" s="186" t="s">
        <v>9</v>
      </c>
      <c r="K256" s="187" t="s">
        <v>24</v>
      </c>
      <c r="L256" s="187" t="s">
        <v>27</v>
      </c>
      <c r="M256" s="193" t="s">
        <v>1456</v>
      </c>
      <c r="N256" s="187" t="s">
        <v>1458</v>
      </c>
      <c r="O256" s="190">
        <v>0.05</v>
      </c>
      <c r="P256" s="187"/>
      <c r="Q256" s="186"/>
      <c r="R256" s="186" t="s">
        <v>191</v>
      </c>
      <c r="S256" s="129"/>
      <c r="T256" s="124"/>
      <c r="U256" s="124"/>
      <c r="V256" s="124"/>
      <c r="W256" s="15"/>
      <c r="X256" s="118"/>
      <c r="Y256" s="124"/>
      <c r="Z256" s="59" t="str">
        <f>IF(OR($M256="",NOT($O256="{array}")),"",IFERROR(MATCH(PARAMETERS!$M256,DEFAULT!$B$5:$CX$5,0),""))</f>
        <v/>
      </c>
      <c r="AA256" s="56" t="str">
        <f t="shared" si="19"/>
        <v/>
      </c>
      <c r="AB256" s="63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7" t="str">
        <f>IF($AA256="","",IF($B256="I",VLOOKUP($AA256,#REF!,53,0),INDEX(VALUES!$B$1:$BT$1,1,$AA256)))</f>
        <v/>
      </c>
    </row>
    <row r="257" spans="1:29" hidden="1" outlineLevel="1" x14ac:dyDescent="0.25">
      <c r="A257" s="22" t="s">
        <v>84</v>
      </c>
      <c r="B257" s="41"/>
      <c r="C257" s="42"/>
      <c r="D257" s="38"/>
      <c r="E257" s="38"/>
      <c r="F257" s="38"/>
      <c r="G257" s="38"/>
      <c r="H257" s="38"/>
      <c r="I257" s="186" t="s">
        <v>9</v>
      </c>
      <c r="J257" s="186" t="s">
        <v>9</v>
      </c>
      <c r="K257" s="187" t="s">
        <v>24</v>
      </c>
      <c r="L257" s="187" t="s">
        <v>27</v>
      </c>
      <c r="M257" s="193" t="s">
        <v>1878</v>
      </c>
      <c r="N257" s="187" t="s">
        <v>1875</v>
      </c>
      <c r="O257" s="190">
        <v>0</v>
      </c>
      <c r="P257" s="187"/>
      <c r="Q257" s="186"/>
      <c r="R257" s="186" t="s">
        <v>191</v>
      </c>
      <c r="S257" s="129"/>
      <c r="T257" s="124"/>
      <c r="U257" s="124"/>
      <c r="V257" s="124"/>
      <c r="W257" s="15"/>
      <c r="X257" s="118"/>
      <c r="Y257" s="124"/>
      <c r="Z257" s="59" t="str">
        <f>IF(OR($M257="",NOT($O257="{array}")),"",IFERROR(MATCH(PARAMETERS!$M257,DEFAULT!$B$5:$CX$5,0),""))</f>
        <v/>
      </c>
      <c r="AA257" s="56" t="str">
        <f t="shared" si="19"/>
        <v/>
      </c>
      <c r="AB257" s="63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7" t="str">
        <f>IF($AA257="","",IF($B257="I",VLOOKUP($AA257,#REF!,53,0),INDEX(VALUES!$B$1:$BT$1,1,$AA257)))</f>
        <v/>
      </c>
    </row>
    <row r="258" spans="1:29" hidden="1" outlineLevel="1" x14ac:dyDescent="0.25">
      <c r="A258" s="22" t="s">
        <v>84</v>
      </c>
      <c r="B258" s="41"/>
      <c r="C258" s="42"/>
      <c r="D258" s="38"/>
      <c r="E258" s="38"/>
      <c r="F258" s="38"/>
      <c r="G258" s="38"/>
      <c r="H258" s="38"/>
      <c r="I258" s="186" t="s">
        <v>9</v>
      </c>
      <c r="J258" s="186" t="s">
        <v>9</v>
      </c>
      <c r="K258" s="187" t="s">
        <v>24</v>
      </c>
      <c r="L258" s="187" t="s">
        <v>27</v>
      </c>
      <c r="M258" s="193" t="s">
        <v>1877</v>
      </c>
      <c r="N258" s="187" t="s">
        <v>1876</v>
      </c>
      <c r="O258" s="190">
        <v>0</v>
      </c>
      <c r="P258" s="187"/>
      <c r="Q258" s="186"/>
      <c r="R258" s="186" t="s">
        <v>191</v>
      </c>
      <c r="S258" s="129"/>
      <c r="T258" s="124"/>
      <c r="U258" s="124"/>
      <c r="V258" s="124"/>
      <c r="W258" s="15"/>
      <c r="X258" s="118"/>
      <c r="Y258" s="124"/>
      <c r="Z258" s="59" t="str">
        <f>IF(OR($M258="",NOT($O258="{array}")),"",IFERROR(MATCH(PARAMETERS!$M258,DEFAULT!$B$5:$CX$5,0),""))</f>
        <v/>
      </c>
      <c r="AA258" s="56" t="str">
        <f t="shared" si="19"/>
        <v/>
      </c>
      <c r="AB258" s="63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7" t="str">
        <f>IF($AA258="","",IF($B258="I",VLOOKUP($AA258,#REF!,53,0),INDEX(VALUES!$B$1:$BT$1,1,$AA258)))</f>
        <v/>
      </c>
    </row>
    <row r="259" spans="1:29" collapsed="1" x14ac:dyDescent="0.25">
      <c r="A259" s="22" t="s">
        <v>84</v>
      </c>
      <c r="B259" s="41"/>
      <c r="C259" s="42"/>
      <c r="D259" s="38"/>
      <c r="E259" s="38"/>
      <c r="F259" s="38"/>
      <c r="G259" s="38"/>
      <c r="H259" s="38"/>
      <c r="I259" s="186"/>
      <c r="J259" s="186"/>
      <c r="K259" s="187" t="s">
        <v>57</v>
      </c>
      <c r="L259" s="187" t="s">
        <v>38</v>
      </c>
      <c r="M259" s="188" t="s">
        <v>1414</v>
      </c>
      <c r="N259" s="189" t="s">
        <v>1415</v>
      </c>
      <c r="O259" s="190"/>
      <c r="P259" s="187"/>
      <c r="Q259" s="186"/>
      <c r="R259" s="186" t="s">
        <v>191</v>
      </c>
      <c r="S259" s="129"/>
      <c r="T259" s="124"/>
      <c r="U259" s="124"/>
      <c r="V259" s="124"/>
      <c r="W259" s="15"/>
      <c r="X259" s="118"/>
      <c r="Y259" s="124"/>
      <c r="Z259" s="59" t="str">
        <f>IF(OR($M259="",NOT($O259="{array}")),"",IFERROR(MATCH(PARAMETERS!$M259,DEFAULT!$B$5:$CX$5,0),""))</f>
        <v/>
      </c>
      <c r="AA259" s="56" t="str">
        <f t="shared" si="19"/>
        <v/>
      </c>
      <c r="AB259" s="63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7" t="str">
        <f>IF($AA259="","",IF($B259="I",VLOOKUP($AA259,#REF!,53,0),INDEX(VALUES!$B$1:$BT$1,1,$AA259)))</f>
        <v/>
      </c>
    </row>
    <row r="260" spans="1:29" hidden="1" outlineLevel="1" x14ac:dyDescent="0.25">
      <c r="A260" s="22" t="s">
        <v>84</v>
      </c>
      <c r="B260" s="41"/>
      <c r="C260" s="42"/>
      <c r="D260" s="38"/>
      <c r="E260" s="38"/>
      <c r="F260" s="38"/>
      <c r="G260" s="38"/>
      <c r="H260" s="38"/>
      <c r="I260" s="186" t="s">
        <v>9</v>
      </c>
      <c r="J260" s="186" t="s">
        <v>9</v>
      </c>
      <c r="K260" s="187" t="s">
        <v>18</v>
      </c>
      <c r="L260" s="187" t="s">
        <v>27</v>
      </c>
      <c r="M260" s="193" t="s">
        <v>1657</v>
      </c>
      <c r="N260" s="187" t="s">
        <v>1413</v>
      </c>
      <c r="O260" s="190" t="s">
        <v>33</v>
      </c>
      <c r="P260" s="187"/>
      <c r="Q260" s="186"/>
      <c r="R260" s="186" t="s">
        <v>191</v>
      </c>
      <c r="S260" s="129"/>
      <c r="T260" s="124"/>
      <c r="U260" s="124"/>
      <c r="V260" s="124"/>
      <c r="W260" s="15"/>
      <c r="X260" s="118"/>
      <c r="Y260" s="124"/>
      <c r="Z260" s="59">
        <f>IF(OR($M260="",NOT($O260="{array}")),"",IFERROR(MATCH(PARAMETERS!$M260,DEFAULT!$B$5:$CX$5,0),""))</f>
        <v>5</v>
      </c>
      <c r="AA260" s="56" t="str">
        <f t="shared" si="19"/>
        <v/>
      </c>
      <c r="AB260" s="63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7" t="str">
        <f>IF($AA260="","",IF($B260="I",VLOOKUP($AA260,#REF!,53,0),INDEX(VALUES!$B$1:$BT$1,1,$AA260)))</f>
        <v/>
      </c>
    </row>
    <row r="261" spans="1:29" hidden="1" outlineLevel="1" x14ac:dyDescent="0.25">
      <c r="A261" s="22" t="s">
        <v>84</v>
      </c>
      <c r="B261" s="41"/>
      <c r="C261" s="42"/>
      <c r="D261" s="38"/>
      <c r="E261" s="38"/>
      <c r="F261" s="38"/>
      <c r="G261" s="38"/>
      <c r="H261" s="38"/>
      <c r="I261" s="186" t="s">
        <v>9</v>
      </c>
      <c r="J261" s="186" t="s">
        <v>9</v>
      </c>
      <c r="K261" s="187" t="s">
        <v>44</v>
      </c>
      <c r="L261" s="187" t="s">
        <v>27</v>
      </c>
      <c r="M261" s="193" t="s">
        <v>1658</v>
      </c>
      <c r="N261" s="187" t="s">
        <v>1420</v>
      </c>
      <c r="O261" s="190" t="s">
        <v>33</v>
      </c>
      <c r="P261" s="187"/>
      <c r="Q261" s="186"/>
      <c r="R261" s="186" t="s">
        <v>191</v>
      </c>
      <c r="S261" s="129"/>
      <c r="T261" s="124"/>
      <c r="U261" s="124"/>
      <c r="V261" s="124"/>
      <c r="W261" s="15"/>
      <c r="X261" s="118"/>
      <c r="Y261" s="124"/>
      <c r="Z261" s="59">
        <f>IF(OR($M261="",NOT($O261="{array}")),"",IFERROR(MATCH(PARAMETERS!$M261,DEFAULT!$B$5:$CX$5,0),""))</f>
        <v>10</v>
      </c>
      <c r="AA261" s="56" t="str">
        <f t="shared" si="19"/>
        <v/>
      </c>
      <c r="AB261" s="63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7" t="str">
        <f>IF($AA261="","",IF($B261="I",VLOOKUP($AA261,#REF!,53,0),INDEX(VALUES!$B$1:$BT$1,1,$AA261)))</f>
        <v/>
      </c>
    </row>
    <row r="262" spans="1:29" hidden="1" outlineLevel="1" x14ac:dyDescent="0.25">
      <c r="A262" s="22" t="s">
        <v>84</v>
      </c>
      <c r="B262" s="41"/>
      <c r="C262" s="42"/>
      <c r="D262" s="38"/>
      <c r="E262" s="38"/>
      <c r="F262" s="38"/>
      <c r="G262" s="38"/>
      <c r="H262" s="38"/>
      <c r="I262" s="186" t="s">
        <v>9</v>
      </c>
      <c r="J262" s="186" t="s">
        <v>9</v>
      </c>
      <c r="K262" s="187" t="s">
        <v>47</v>
      </c>
      <c r="L262" s="187" t="s">
        <v>27</v>
      </c>
      <c r="M262" s="193" t="s">
        <v>1419</v>
      </c>
      <c r="N262" s="187" t="s">
        <v>1421</v>
      </c>
      <c r="O262" s="190" t="s">
        <v>33</v>
      </c>
      <c r="P262" s="187"/>
      <c r="Q262" s="186"/>
      <c r="R262" s="186" t="s">
        <v>191</v>
      </c>
      <c r="S262" s="129"/>
      <c r="T262" s="124"/>
      <c r="U262" s="124"/>
      <c r="V262" s="124"/>
      <c r="W262" s="15"/>
      <c r="X262" s="118"/>
      <c r="Y262" s="124"/>
      <c r="Z262" s="59">
        <f>IF(OR($M262="",NOT($O262="{array}")),"",IFERROR(MATCH(PARAMETERS!$M262,DEFAULT!$B$5:$CX$5,0),""))</f>
        <v>16</v>
      </c>
      <c r="AA262" s="56" t="str">
        <f t="shared" si="19"/>
        <v/>
      </c>
      <c r="AB262" s="63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7" t="str">
        <f>IF($AA262="","",IF($B262="I",VLOOKUP($AA262,#REF!,53,0),INDEX(VALUES!$B$1:$BT$1,1,$AA262)))</f>
        <v/>
      </c>
    </row>
    <row r="263" spans="1:29" hidden="1" outlineLevel="1" x14ac:dyDescent="0.25">
      <c r="A263" s="22" t="s">
        <v>84</v>
      </c>
      <c r="B263" s="41"/>
      <c r="C263" s="42"/>
      <c r="D263" s="38"/>
      <c r="E263" s="38"/>
      <c r="F263" s="38"/>
      <c r="G263" s="38"/>
      <c r="H263" s="38"/>
      <c r="I263" s="186" t="s">
        <v>9</v>
      </c>
      <c r="J263" s="186" t="s">
        <v>9</v>
      </c>
      <c r="K263" s="187" t="s">
        <v>44</v>
      </c>
      <c r="L263" s="187" t="s">
        <v>27</v>
      </c>
      <c r="M263" s="193" t="s">
        <v>1654</v>
      </c>
      <c r="N263" s="187" t="s">
        <v>1812</v>
      </c>
      <c r="O263" s="190" t="s">
        <v>33</v>
      </c>
      <c r="P263" s="187"/>
      <c r="Q263" s="186"/>
      <c r="R263" s="186" t="s">
        <v>191</v>
      </c>
      <c r="S263" s="129"/>
      <c r="T263" s="124"/>
      <c r="U263" s="124"/>
      <c r="V263" s="124"/>
      <c r="W263" s="15"/>
      <c r="X263" s="118"/>
      <c r="Y263" s="124"/>
      <c r="Z263" s="59">
        <f>IF(OR($M263="",NOT($O263="{array}")),"",IFERROR(MATCH(PARAMETERS!$M263,DEFAULT!$B$5:$CX$5,0),""))</f>
        <v>20</v>
      </c>
      <c r="AA263" s="56" t="str">
        <f t="shared" si="19"/>
        <v/>
      </c>
      <c r="AB263" s="63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7" t="str">
        <f>IF($AA263="","",IF($B263="I",VLOOKUP($AA263,#REF!,53,0),INDEX(VALUES!$B$1:$BT$1,1,$AA263)))</f>
        <v/>
      </c>
    </row>
    <row r="264" spans="1:29" hidden="1" outlineLevel="1" x14ac:dyDescent="0.25">
      <c r="A264" s="22" t="s">
        <v>84</v>
      </c>
      <c r="B264" s="41"/>
      <c r="C264" s="42"/>
      <c r="D264" s="38"/>
      <c r="E264" s="38"/>
      <c r="F264" s="38"/>
      <c r="G264" s="38"/>
      <c r="H264" s="38"/>
      <c r="I264" s="186" t="s">
        <v>9</v>
      </c>
      <c r="J264" s="186" t="s">
        <v>9</v>
      </c>
      <c r="K264" s="187" t="s">
        <v>44</v>
      </c>
      <c r="L264" s="187" t="s">
        <v>27</v>
      </c>
      <c r="M264" s="193" t="s">
        <v>1660</v>
      </c>
      <c r="N264" s="187" t="s">
        <v>1813</v>
      </c>
      <c r="O264" s="190" t="s">
        <v>33</v>
      </c>
      <c r="P264" s="187"/>
      <c r="Q264" s="186"/>
      <c r="R264" s="186" t="s">
        <v>191</v>
      </c>
      <c r="S264" s="129"/>
      <c r="T264" s="124"/>
      <c r="U264" s="124"/>
      <c r="V264" s="124"/>
      <c r="W264" s="15"/>
      <c r="X264" s="118"/>
      <c r="Y264" s="124"/>
      <c r="Z264" s="59">
        <f>IF(OR($M264="",NOT($O264="{array}")),"",IFERROR(MATCH(PARAMETERS!$M264,DEFAULT!$B$5:$CX$5,0),""))</f>
        <v>30</v>
      </c>
      <c r="AA264" s="56" t="str">
        <f t="shared" si="19"/>
        <v/>
      </c>
      <c r="AB264" s="63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7" t="str">
        <f>IF($AA264="","",IF($B264="I",VLOOKUP($AA264,#REF!,53,0),INDEX(VALUES!$B$1:$BT$1,1,$AA264)))</f>
        <v/>
      </c>
    </row>
    <row r="265" spans="1:29" hidden="1" outlineLevel="1" x14ac:dyDescent="0.25">
      <c r="A265" s="22" t="s">
        <v>84</v>
      </c>
      <c r="B265" s="41"/>
      <c r="C265" s="42"/>
      <c r="D265" s="38"/>
      <c r="E265" s="38"/>
      <c r="F265" s="38"/>
      <c r="G265" s="38"/>
      <c r="H265" s="38"/>
      <c r="I265" s="186" t="s">
        <v>9</v>
      </c>
      <c r="J265" s="186" t="s">
        <v>9</v>
      </c>
      <c r="K265" s="187" t="s">
        <v>44</v>
      </c>
      <c r="L265" s="187" t="s">
        <v>27</v>
      </c>
      <c r="M265" s="193" t="s">
        <v>1806</v>
      </c>
      <c r="N265" s="187" t="s">
        <v>1814</v>
      </c>
      <c r="O265" s="190" t="s">
        <v>33</v>
      </c>
      <c r="P265" s="187"/>
      <c r="Q265" s="186"/>
      <c r="R265" s="186" t="s">
        <v>191</v>
      </c>
      <c r="S265" s="129"/>
      <c r="T265" s="124"/>
      <c r="U265" s="124"/>
      <c r="V265" s="124"/>
      <c r="W265" s="15"/>
      <c r="X265" s="118"/>
      <c r="Y265" s="124"/>
      <c r="Z265" s="59">
        <f>IF(OR($M265="",NOT($O265="{array}")),"",IFERROR(MATCH(PARAMETERS!$M265,DEFAULT!$B$5:$CX$5,0),""))</f>
        <v>40</v>
      </c>
      <c r="AA265" s="56" t="str">
        <f t="shared" si="19"/>
        <v/>
      </c>
      <c r="AB265" s="63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7" t="str">
        <f>IF($AA265="","",IF($B265="I",VLOOKUP($AA265,#REF!,53,0),INDEX(VALUES!$B$1:$BT$1,1,$AA265)))</f>
        <v/>
      </c>
    </row>
    <row r="266" spans="1:29" hidden="1" outlineLevel="1" x14ac:dyDescent="0.25">
      <c r="A266" s="22" t="s">
        <v>84</v>
      </c>
      <c r="B266" s="41"/>
      <c r="C266" s="42"/>
      <c r="D266" s="38"/>
      <c r="E266" s="38"/>
      <c r="F266" s="38"/>
      <c r="G266" s="38"/>
      <c r="H266" s="38"/>
      <c r="I266" s="186" t="s">
        <v>9</v>
      </c>
      <c r="J266" s="186" t="s">
        <v>9</v>
      </c>
      <c r="K266" s="187" t="s">
        <v>44</v>
      </c>
      <c r="L266" s="187" t="s">
        <v>27</v>
      </c>
      <c r="M266" s="193" t="s">
        <v>1870</v>
      </c>
      <c r="N266" s="187" t="s">
        <v>1874</v>
      </c>
      <c r="O266" s="190" t="s">
        <v>33</v>
      </c>
      <c r="P266" s="187"/>
      <c r="Q266" s="186"/>
      <c r="R266" s="186" t="s">
        <v>191</v>
      </c>
      <c r="S266" s="129"/>
      <c r="T266" s="124"/>
      <c r="U266" s="124"/>
      <c r="V266" s="124"/>
      <c r="W266" s="15"/>
      <c r="X266" s="118"/>
      <c r="Y266" s="124"/>
      <c r="Z266" s="59">
        <f>IF(OR($M266="",NOT($O266="{array}")),"",IFERROR(MATCH(PARAMETERS!$M266,DEFAULT!$B$5:$CX$5,0),""))</f>
        <v>48</v>
      </c>
      <c r="AA266" s="56" t="str">
        <f t="shared" si="19"/>
        <v/>
      </c>
      <c r="AB266" s="63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17" t="str">
        <f>IF($AA266="","",IF($B266="I",VLOOKUP($AA266,#REF!,53,0),INDEX(VALUES!$B$1:$BT$1,1,$AA266)))</f>
        <v/>
      </c>
    </row>
    <row r="267" spans="1:29" hidden="1" outlineLevel="1" x14ac:dyDescent="0.25">
      <c r="A267" s="22" t="s">
        <v>84</v>
      </c>
      <c r="B267" s="41"/>
      <c r="C267" s="42"/>
      <c r="D267" s="38"/>
      <c r="E267" s="38"/>
      <c r="F267" s="38"/>
      <c r="G267" s="38"/>
      <c r="H267" s="38"/>
      <c r="I267" s="186" t="s">
        <v>9</v>
      </c>
      <c r="J267" s="186" t="s">
        <v>9</v>
      </c>
      <c r="K267" s="187" t="s">
        <v>44</v>
      </c>
      <c r="L267" s="187" t="s">
        <v>27</v>
      </c>
      <c r="M267" s="193" t="s">
        <v>1902</v>
      </c>
      <c r="N267" s="187" t="s">
        <v>1903</v>
      </c>
      <c r="O267" s="190" t="s">
        <v>33</v>
      </c>
      <c r="P267" s="187"/>
      <c r="Q267" s="186"/>
      <c r="R267" s="186" t="s">
        <v>191</v>
      </c>
      <c r="S267" s="129"/>
      <c r="T267" s="124"/>
      <c r="U267" s="124"/>
      <c r="V267" s="124"/>
      <c r="W267" s="15"/>
      <c r="X267" s="118"/>
      <c r="Y267" s="124"/>
      <c r="Z267" s="59">
        <f>IF(OR($M267="",NOT($O267="{array}")),"",IFERROR(MATCH(PARAMETERS!$M267,DEFAULT!$B$5:$CX$5,0),""))</f>
        <v>51</v>
      </c>
      <c r="AA267" s="56" t="str">
        <f t="shared" si="19"/>
        <v/>
      </c>
      <c r="AB267" s="63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17" t="str">
        <f>IF($AA267="","",IF($B267="I",VLOOKUP($AA267,#REF!,53,0),INDEX(VALUES!$B$1:$BT$1,1,$AA267)))</f>
        <v/>
      </c>
    </row>
    <row r="268" spans="1:29" collapsed="1" x14ac:dyDescent="0.3">
      <c r="A268" s="22" t="s">
        <v>84</v>
      </c>
      <c r="B268" s="41" t="str">
        <f t="shared" si="18"/>
        <v/>
      </c>
      <c r="C268" s="42">
        <f t="shared" ref="C268:C286" si="20">(ROW()-1)</f>
        <v>267</v>
      </c>
      <c r="D268" s="38"/>
      <c r="E268" s="38"/>
      <c r="F268" s="38"/>
      <c r="G268" s="38"/>
      <c r="H268" s="38"/>
      <c r="I268" s="38"/>
      <c r="J268" s="38"/>
      <c r="K268" s="14" t="s">
        <v>57</v>
      </c>
      <c r="L268" s="14" t="s">
        <v>38</v>
      </c>
      <c r="M268" s="48" t="s">
        <v>652</v>
      </c>
      <c r="N268" s="41" t="s">
        <v>653</v>
      </c>
      <c r="R268" s="38" t="s">
        <v>102</v>
      </c>
      <c r="S268" s="38"/>
      <c r="T268" s="38"/>
      <c r="W268" s="15" t="str">
        <f>IF(IFERROR(VLOOKUP($M268,COMPARE!$H$2:$H$847,1,0),"-")="-","","GS")</f>
        <v/>
      </c>
      <c r="Z268" s="59" t="str">
        <f>IF(OR($M268="",NOT($O268="{array}")),"",IFERROR(MATCH(PARAMETERS!$M268,DEFAULT!$B$5:$CX$5,0),""))</f>
        <v/>
      </c>
      <c r="AA268" s="56" t="str">
        <f t="shared" si="19"/>
        <v/>
      </c>
      <c r="AB268" s="63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17" t="str">
        <f>IF($AA268="","",IF($B268="I",VLOOKUP($AA268,#REF!,53,0),INDEX(VALUES!$B$1:$BT$1,1,$AA268)))</f>
        <v/>
      </c>
    </row>
    <row r="269" spans="1:29" hidden="1" outlineLevel="1" x14ac:dyDescent="0.3">
      <c r="A269" s="22" t="s">
        <v>84</v>
      </c>
      <c r="B269" s="41" t="str">
        <f t="shared" ref="B269:B309" si="21">IF($A269="P",IF(NOT($Z269=""),"A",IF(NOT($AA269=""),"I","")),IF(NOT($AA269=""),IF($A269="G","V","X"),IF(NOT($Z269=""),"A","")))</f>
        <v/>
      </c>
      <c r="C269" s="42">
        <f t="shared" si="20"/>
        <v>268</v>
      </c>
      <c r="D269" s="38"/>
      <c r="E269" s="38"/>
      <c r="F269" s="38"/>
      <c r="G269" s="38"/>
      <c r="H269" s="38"/>
      <c r="I269" s="38" t="s">
        <v>9</v>
      </c>
      <c r="J269" s="38"/>
      <c r="K269" s="117" t="s">
        <v>18</v>
      </c>
      <c r="L269" s="125" t="s">
        <v>21</v>
      </c>
      <c r="M269" s="196" t="s">
        <v>1231</v>
      </c>
      <c r="N269" s="124" t="s">
        <v>654</v>
      </c>
      <c r="O269" s="124" t="s">
        <v>34</v>
      </c>
      <c r="P269" s="118" t="s">
        <v>259</v>
      </c>
      <c r="Q269" s="129"/>
      <c r="R269" s="129" t="s">
        <v>102</v>
      </c>
      <c r="S269" s="129" t="s">
        <v>111</v>
      </c>
      <c r="T269" s="124" t="s">
        <v>259</v>
      </c>
      <c r="U269" s="124" t="s">
        <v>259</v>
      </c>
      <c r="V269" s="124" t="s">
        <v>654</v>
      </c>
      <c r="W269" s="15" t="str">
        <f>IF(IFERROR(VLOOKUP($M269,COMPARE!$H$2:$H$847,1,0),"-")="-","","GS")</f>
        <v/>
      </c>
      <c r="X269" s="118" t="s">
        <v>259</v>
      </c>
      <c r="Y269" s="124" t="s">
        <v>655</v>
      </c>
      <c r="Z269" s="59" t="str">
        <f>IF(OR($M269="",NOT($O269="{array}")),"",IFERROR(MATCH(PARAMETERS!$M269,DEFAULT!$B$5:$CX$5,0),""))</f>
        <v/>
      </c>
      <c r="AA269" s="56" t="str">
        <f t="shared" si="19"/>
        <v/>
      </c>
      <c r="AB269" s="63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17" t="str">
        <f>IF($AA269="","",IF($B269="I",VLOOKUP($AA269,#REF!,53,0),INDEX(VALUES!$B$1:$BT$1,1,$AA269)))</f>
        <v/>
      </c>
    </row>
    <row r="270" spans="1:29" hidden="1" outlineLevel="1" x14ac:dyDescent="0.3">
      <c r="A270" s="22" t="s">
        <v>84</v>
      </c>
      <c r="B270" s="41" t="str">
        <f t="shared" si="21"/>
        <v/>
      </c>
      <c r="C270" s="42">
        <f t="shared" si="20"/>
        <v>269</v>
      </c>
      <c r="D270" s="38"/>
      <c r="E270" s="38"/>
      <c r="F270" s="38"/>
      <c r="G270" s="38"/>
      <c r="H270" s="38"/>
      <c r="I270" s="38" t="s">
        <v>9</v>
      </c>
      <c r="J270" s="38"/>
      <c r="K270" s="117" t="s">
        <v>18</v>
      </c>
      <c r="L270" s="125" t="s">
        <v>21</v>
      </c>
      <c r="M270" s="196" t="s">
        <v>1229</v>
      </c>
      <c r="N270" s="117" t="s">
        <v>1228</v>
      </c>
      <c r="O270" s="124" t="s">
        <v>259</v>
      </c>
      <c r="P270" s="118" t="s">
        <v>259</v>
      </c>
      <c r="Q270" s="136" t="s">
        <v>9</v>
      </c>
      <c r="R270" s="129" t="s">
        <v>102</v>
      </c>
      <c r="S270" s="129" t="s">
        <v>111</v>
      </c>
      <c r="T270" s="124" t="s">
        <v>259</v>
      </c>
      <c r="U270" s="124" t="s">
        <v>259</v>
      </c>
      <c r="V270" s="124"/>
      <c r="W270" s="15" t="str">
        <f>IF(IFERROR(VLOOKUP($M270,COMPARE!$H$2:$H$847,1,0),"-")="-","","GS")</f>
        <v/>
      </c>
      <c r="X270" s="118" t="s">
        <v>259</v>
      </c>
      <c r="Y270" s="124" t="s">
        <v>259</v>
      </c>
      <c r="Z270" s="59" t="str">
        <f>IF(OR($M270="",NOT($O270="{array}")),"",IFERROR(MATCH(PARAMETERS!$M270,DEFAULT!$B$5:$CX$5,0),""))</f>
        <v/>
      </c>
      <c r="AA270" s="56" t="str">
        <f t="shared" si="19"/>
        <v/>
      </c>
      <c r="AB270" s="63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17" t="str">
        <f>IF($AA270="","",IF($B270="I",VLOOKUP($AA270,#REF!,53,0),INDEX(VALUES!$B$1:$BT$1,1,$AA270)))</f>
        <v/>
      </c>
    </row>
    <row r="271" spans="1:29" hidden="1" outlineLevel="1" x14ac:dyDescent="0.3">
      <c r="A271" s="22" t="s">
        <v>84</v>
      </c>
      <c r="B271" s="41" t="str">
        <f t="shared" si="21"/>
        <v/>
      </c>
      <c r="C271" s="42">
        <f t="shared" si="20"/>
        <v>270</v>
      </c>
      <c r="D271" s="38"/>
      <c r="E271" s="38"/>
      <c r="F271" s="38"/>
      <c r="G271" s="38"/>
      <c r="H271" s="38"/>
      <c r="I271" s="38" t="s">
        <v>9</v>
      </c>
      <c r="J271" s="38"/>
      <c r="K271" s="117" t="s">
        <v>18</v>
      </c>
      <c r="L271" s="125" t="s">
        <v>21</v>
      </c>
      <c r="M271" s="196" t="s">
        <v>1230</v>
      </c>
      <c r="N271" s="124" t="s">
        <v>667</v>
      </c>
      <c r="O271" s="124" t="s">
        <v>259</v>
      </c>
      <c r="P271" s="118" t="s">
        <v>259</v>
      </c>
      <c r="Q271" s="136" t="s">
        <v>9</v>
      </c>
      <c r="R271" s="129" t="s">
        <v>102</v>
      </c>
      <c r="S271" s="129" t="s">
        <v>111</v>
      </c>
      <c r="T271" s="124" t="s">
        <v>259</v>
      </c>
      <c r="U271" s="124" t="s">
        <v>259</v>
      </c>
      <c r="V271" s="124" t="s">
        <v>667</v>
      </c>
      <c r="W271" s="15" t="str">
        <f>IF(IFERROR(VLOOKUP($M271,COMPARE!$H$2:$H$847,1,0),"-")="-","","GS")</f>
        <v/>
      </c>
      <c r="X271" s="118" t="s">
        <v>259</v>
      </c>
      <c r="Y271" s="124" t="s">
        <v>259</v>
      </c>
      <c r="Z271" s="59" t="str">
        <f>IF(OR($M271="",NOT($O271="{array}")),"",IFERROR(MATCH(PARAMETERS!$M271,DEFAULT!$B$5:$CX$5,0),""))</f>
        <v/>
      </c>
      <c r="AA271" s="56" t="str">
        <f t="shared" si="19"/>
        <v/>
      </c>
      <c r="AB271" s="63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17" t="str">
        <f>IF($AA271="","",IF($B271="I",VLOOKUP($AA271,#REF!,53,0),INDEX(VALUES!$B$1:$BT$1,1,$AA271)))</f>
        <v/>
      </c>
    </row>
    <row r="272" spans="1:29" hidden="1" outlineLevel="1" x14ac:dyDescent="0.3">
      <c r="A272" s="22" t="s">
        <v>84</v>
      </c>
      <c r="B272" s="41" t="str">
        <f t="shared" si="21"/>
        <v/>
      </c>
      <c r="C272" s="42">
        <f t="shared" si="20"/>
        <v>271</v>
      </c>
      <c r="D272" s="38"/>
      <c r="E272" s="38"/>
      <c r="F272" s="38"/>
      <c r="G272" s="38"/>
      <c r="H272" s="38"/>
      <c r="I272" s="38" t="s">
        <v>9</v>
      </c>
      <c r="J272" s="38"/>
      <c r="K272" s="117" t="s">
        <v>18</v>
      </c>
      <c r="L272" s="125" t="s">
        <v>21</v>
      </c>
      <c r="M272" s="196" t="s">
        <v>1276</v>
      </c>
      <c r="N272" s="124" t="s">
        <v>1277</v>
      </c>
      <c r="O272" s="124" t="s">
        <v>259</v>
      </c>
      <c r="P272" s="118" t="s">
        <v>259</v>
      </c>
      <c r="Q272" s="136" t="s">
        <v>9</v>
      </c>
      <c r="R272" s="129" t="s">
        <v>102</v>
      </c>
      <c r="S272" s="129" t="s">
        <v>111</v>
      </c>
      <c r="T272" s="124" t="s">
        <v>259</v>
      </c>
      <c r="U272" s="124" t="s">
        <v>259</v>
      </c>
      <c r="V272" s="124"/>
      <c r="W272" s="15"/>
      <c r="X272" s="118"/>
      <c r="Y272" s="124"/>
      <c r="Z272" s="59" t="str">
        <f>IF(OR($M272="",NOT($O272="{array}")),"",IFERROR(MATCH(PARAMETERS!$M272,DEFAULT!$B$5:$CX$5,0),""))</f>
        <v/>
      </c>
      <c r="AA272" s="56" t="str">
        <f t="shared" si="19"/>
        <v/>
      </c>
      <c r="AB272" s="63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17" t="str">
        <f>IF($AA272="","",IF($B272="I",VLOOKUP($AA272,#REF!,53,0),INDEX(VALUES!$B$1:$BT$1,1,$AA272)))</f>
        <v/>
      </c>
    </row>
    <row r="273" spans="1:29" hidden="1" outlineLevel="1" x14ac:dyDescent="0.3">
      <c r="A273" s="22" t="s">
        <v>84</v>
      </c>
      <c r="B273" s="41" t="str">
        <f t="shared" si="21"/>
        <v/>
      </c>
      <c r="C273" s="42">
        <f t="shared" si="20"/>
        <v>272</v>
      </c>
      <c r="D273" s="38"/>
      <c r="E273" s="38"/>
      <c r="F273" s="38"/>
      <c r="G273" s="38"/>
      <c r="H273" s="38"/>
      <c r="I273" s="38" t="s">
        <v>9</v>
      </c>
      <c r="J273" s="38"/>
      <c r="K273" s="117" t="s">
        <v>18</v>
      </c>
      <c r="L273" s="125" t="s">
        <v>21</v>
      </c>
      <c r="M273" s="196" t="s">
        <v>1233</v>
      </c>
      <c r="N273" s="124" t="s">
        <v>656</v>
      </c>
      <c r="O273" s="124" t="s">
        <v>1253</v>
      </c>
      <c r="P273" s="118" t="s">
        <v>259</v>
      </c>
      <c r="Q273" s="136" t="s">
        <v>9</v>
      </c>
      <c r="R273" s="129" t="s">
        <v>102</v>
      </c>
      <c r="S273" s="129" t="s">
        <v>111</v>
      </c>
      <c r="T273" s="124" t="s">
        <v>259</v>
      </c>
      <c r="U273" s="124" t="s">
        <v>259</v>
      </c>
      <c r="V273" s="124" t="s">
        <v>656</v>
      </c>
      <c r="W273" s="15" t="str">
        <f>IF(IFERROR(VLOOKUP($M273,COMPARE!$H$2:$H$847,1,0),"-")="-","","GS")</f>
        <v/>
      </c>
      <c r="X273" s="118" t="s">
        <v>259</v>
      </c>
      <c r="Y273" s="124" t="s">
        <v>657</v>
      </c>
      <c r="Z273" s="59" t="str">
        <f>IF(OR($M273="",NOT($O273="{array}")),"",IFERROR(MATCH(PARAMETERS!$M273,DEFAULT!$B$5:$CX$5,0),""))</f>
        <v/>
      </c>
      <c r="AA273" s="56" t="str">
        <f t="shared" si="19"/>
        <v/>
      </c>
      <c r="AB273" s="63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17" t="str">
        <f>IF($AA273="","",IF($B273="I",VLOOKUP($AA273,#REF!,53,0),INDEX(VALUES!$B$1:$BT$1,1,$AA273)))</f>
        <v/>
      </c>
    </row>
    <row r="274" spans="1:29" hidden="1" outlineLevel="1" x14ac:dyDescent="0.3">
      <c r="A274" s="22" t="s">
        <v>84</v>
      </c>
      <c r="B274" s="41" t="str">
        <f t="shared" si="21"/>
        <v/>
      </c>
      <c r="C274" s="42">
        <f t="shared" si="20"/>
        <v>273</v>
      </c>
      <c r="D274" s="38"/>
      <c r="E274" s="38"/>
      <c r="F274" s="38"/>
      <c r="G274" s="38"/>
      <c r="H274" s="38"/>
      <c r="I274" s="38" t="s">
        <v>9</v>
      </c>
      <c r="J274" s="38"/>
      <c r="K274" s="117" t="s">
        <v>18</v>
      </c>
      <c r="L274" s="125" t="s">
        <v>21</v>
      </c>
      <c r="M274" s="196" t="s">
        <v>1237</v>
      </c>
      <c r="N274" s="117" t="s">
        <v>664</v>
      </c>
      <c r="O274" s="124" t="s">
        <v>259</v>
      </c>
      <c r="P274" s="118" t="s">
        <v>259</v>
      </c>
      <c r="Q274" s="136" t="s">
        <v>9</v>
      </c>
      <c r="R274" s="129" t="s">
        <v>102</v>
      </c>
      <c r="S274" s="129" t="s">
        <v>111</v>
      </c>
      <c r="T274" s="124" t="s">
        <v>259</v>
      </c>
      <c r="U274" s="124" t="s">
        <v>259</v>
      </c>
      <c r="V274" s="124"/>
      <c r="W274" s="15"/>
      <c r="X274" s="118"/>
      <c r="Y274" s="124"/>
      <c r="Z274" s="59" t="str">
        <f>IF(OR($M274="",NOT($O274="{array}")),"",IFERROR(MATCH(PARAMETERS!$M274,DEFAULT!$B$5:$CX$5,0),""))</f>
        <v/>
      </c>
      <c r="AA274" s="56" t="str">
        <f t="shared" si="19"/>
        <v/>
      </c>
      <c r="AB274" s="63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17" t="str">
        <f>IF($AA274="","",IF($B274="I",VLOOKUP($AA274,#REF!,53,0),INDEX(VALUES!$B$1:$BT$1,1,$AA274)))</f>
        <v/>
      </c>
    </row>
    <row r="275" spans="1:29" hidden="1" outlineLevel="1" x14ac:dyDescent="0.3">
      <c r="A275" s="22" t="s">
        <v>84</v>
      </c>
      <c r="B275" s="41" t="str">
        <f t="shared" si="21"/>
        <v/>
      </c>
      <c r="C275" s="42">
        <f t="shared" si="20"/>
        <v>274</v>
      </c>
      <c r="D275" s="38"/>
      <c r="E275" s="38"/>
      <c r="F275" s="38"/>
      <c r="G275" s="38"/>
      <c r="H275" s="38"/>
      <c r="I275" s="38" t="s">
        <v>9</v>
      </c>
      <c r="J275" s="38"/>
      <c r="K275" s="117" t="s">
        <v>18</v>
      </c>
      <c r="L275" s="125" t="s">
        <v>21</v>
      </c>
      <c r="M275" s="196" t="s">
        <v>1234</v>
      </c>
      <c r="N275" s="124" t="s">
        <v>658</v>
      </c>
      <c r="O275" s="124" t="s">
        <v>1268</v>
      </c>
      <c r="P275" s="118" t="s">
        <v>259</v>
      </c>
      <c r="Q275" s="136"/>
      <c r="R275" s="129" t="s">
        <v>102</v>
      </c>
      <c r="S275" s="129" t="s">
        <v>111</v>
      </c>
      <c r="T275" s="124" t="s">
        <v>259</v>
      </c>
      <c r="U275" s="124" t="s">
        <v>259</v>
      </c>
      <c r="V275" s="124" t="s">
        <v>658</v>
      </c>
      <c r="W275" s="15" t="str">
        <f>IF(IFERROR(VLOOKUP($M275,COMPARE!$H$2:$H$847,1,0),"-")="-","","GS")</f>
        <v/>
      </c>
      <c r="X275" s="118" t="s">
        <v>259</v>
      </c>
      <c r="Y275" s="124" t="s">
        <v>659</v>
      </c>
      <c r="Z275" s="59" t="str">
        <f>IF(OR($M275="",NOT($O275="{array}")),"",IFERROR(MATCH(PARAMETERS!$M275,DEFAULT!$B$5:$CX$5,0),""))</f>
        <v/>
      </c>
      <c r="AA275" s="56" t="str">
        <f t="shared" si="19"/>
        <v/>
      </c>
      <c r="AB275" s="63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17" t="str">
        <f>IF($AA275="","",IF($B275="I",VLOOKUP($AA275,#REF!,53,0),INDEX(VALUES!$B$1:$BT$1,1,$AA275)))</f>
        <v/>
      </c>
    </row>
    <row r="276" spans="1:29" hidden="1" outlineLevel="1" x14ac:dyDescent="0.3">
      <c r="A276" s="22" t="s">
        <v>84</v>
      </c>
      <c r="B276" s="41" t="str">
        <f t="shared" si="21"/>
        <v/>
      </c>
      <c r="C276" s="42">
        <f t="shared" si="20"/>
        <v>275</v>
      </c>
      <c r="D276" s="38"/>
      <c r="E276" s="38"/>
      <c r="F276" s="38"/>
      <c r="G276" s="38"/>
      <c r="H276" s="38"/>
      <c r="I276" s="38" t="s">
        <v>9</v>
      </c>
      <c r="J276" s="38"/>
      <c r="K276" s="117" t="s">
        <v>44</v>
      </c>
      <c r="L276" s="53" t="s">
        <v>27</v>
      </c>
      <c r="M276" s="196" t="s">
        <v>1235</v>
      </c>
      <c r="N276" s="124" t="s">
        <v>660</v>
      </c>
      <c r="O276" s="124">
        <v>2</v>
      </c>
      <c r="P276" s="118" t="s">
        <v>259</v>
      </c>
      <c r="Q276" s="136"/>
      <c r="R276" s="129" t="s">
        <v>102</v>
      </c>
      <c r="S276" s="129" t="s">
        <v>111</v>
      </c>
      <c r="T276" s="124" t="s">
        <v>259</v>
      </c>
      <c r="U276" s="124" t="s">
        <v>259</v>
      </c>
      <c r="V276" s="124" t="s">
        <v>660</v>
      </c>
      <c r="W276" s="15" t="str">
        <f>IF(IFERROR(VLOOKUP($M276,COMPARE!$H$2:$H$847,1,0),"-")="-","","GS")</f>
        <v/>
      </c>
      <c r="X276" s="118" t="s">
        <v>259</v>
      </c>
      <c r="Y276" s="124" t="s">
        <v>661</v>
      </c>
      <c r="Z276" s="59" t="str">
        <f>IF(OR($M276="",NOT($O276="{array}")),"",IFERROR(MATCH(PARAMETERS!$M276,DEFAULT!$B$5:$CX$5,0),""))</f>
        <v/>
      </c>
      <c r="AA276" s="56" t="str">
        <f t="shared" si="19"/>
        <v/>
      </c>
      <c r="AB276" s="63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17" t="str">
        <f>IF($AA276="","",IF($B276="I",VLOOKUP($AA276,#REF!,53,0),INDEX(VALUES!$B$1:$BT$1,1,$AA276)))</f>
        <v/>
      </c>
    </row>
    <row r="277" spans="1:29" hidden="1" outlineLevel="1" x14ac:dyDescent="0.3">
      <c r="A277" s="22" t="s">
        <v>84</v>
      </c>
      <c r="B277" s="41" t="str">
        <f t="shared" si="21"/>
        <v/>
      </c>
      <c r="C277" s="42">
        <f t="shared" si="20"/>
        <v>276</v>
      </c>
      <c r="D277" s="38"/>
      <c r="E277" s="38"/>
      <c r="F277" s="38"/>
      <c r="G277" s="38"/>
      <c r="H277" s="38"/>
      <c r="I277" s="38" t="s">
        <v>9</v>
      </c>
      <c r="J277" s="38"/>
      <c r="K277" s="117" t="s">
        <v>24</v>
      </c>
      <c r="L277" s="53" t="s">
        <v>27</v>
      </c>
      <c r="M277" s="196" t="s">
        <v>1236</v>
      </c>
      <c r="N277" s="124" t="s">
        <v>1232</v>
      </c>
      <c r="O277" s="124">
        <v>0.02</v>
      </c>
      <c r="P277" s="118" t="s">
        <v>259</v>
      </c>
      <c r="Q277" s="136" t="s">
        <v>9</v>
      </c>
      <c r="R277" s="129" t="s">
        <v>102</v>
      </c>
      <c r="S277" s="129" t="s">
        <v>111</v>
      </c>
      <c r="T277" s="124" t="s">
        <v>259</v>
      </c>
      <c r="U277" s="124" t="s">
        <v>259</v>
      </c>
      <c r="V277" s="124"/>
      <c r="W277" s="15"/>
      <c r="X277" s="118"/>
      <c r="Y277" s="124"/>
      <c r="Z277" s="59" t="str">
        <f>IF(OR($M277="",NOT($O277="{array}")),"",IFERROR(MATCH(PARAMETERS!$M277,DEFAULT!$B$5:$CX$5,0),""))</f>
        <v/>
      </c>
      <c r="AA277" s="56" t="str">
        <f t="shared" si="19"/>
        <v/>
      </c>
      <c r="AB277" s="63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17" t="str">
        <f>IF($AA277="","",IF($B277="I",VLOOKUP($AA277,#REF!,53,0),INDEX(VALUES!$B$1:$BT$1,1,$AA277)))</f>
        <v/>
      </c>
    </row>
    <row r="278" spans="1:29" hidden="1" outlineLevel="1" x14ac:dyDescent="0.3">
      <c r="A278" s="22" t="s">
        <v>84</v>
      </c>
      <c r="B278" s="41" t="str">
        <f t="shared" si="21"/>
        <v/>
      </c>
      <c r="C278" s="42">
        <f t="shared" si="20"/>
        <v>277</v>
      </c>
      <c r="D278" s="38"/>
      <c r="E278" s="38"/>
      <c r="F278" s="38"/>
      <c r="G278" s="38"/>
      <c r="H278" s="38"/>
      <c r="I278" s="38" t="s">
        <v>9</v>
      </c>
      <c r="J278" s="38"/>
      <c r="K278" s="117" t="s">
        <v>24</v>
      </c>
      <c r="L278" s="53" t="s">
        <v>27</v>
      </c>
      <c r="M278" s="196" t="s">
        <v>1273</v>
      </c>
      <c r="N278" s="117" t="s">
        <v>1269</v>
      </c>
      <c r="O278" s="124">
        <v>0.35</v>
      </c>
      <c r="P278" s="118" t="s">
        <v>259</v>
      </c>
      <c r="Q278" s="136" t="s">
        <v>9</v>
      </c>
      <c r="R278" s="129" t="s">
        <v>102</v>
      </c>
      <c r="S278" s="129" t="s">
        <v>111</v>
      </c>
      <c r="T278" s="124" t="s">
        <v>259</v>
      </c>
      <c r="U278" s="124" t="s">
        <v>259</v>
      </c>
      <c r="X278" s="14"/>
      <c r="Z278" s="59" t="str">
        <f>IF(OR($M278="",NOT($O278="{array}")),"",IFERROR(MATCH(PARAMETERS!$M278,DEFAULT!$B$5:$CX$5,0),""))</f>
        <v/>
      </c>
      <c r="AA278" s="56" t="str">
        <f t="shared" si="19"/>
        <v/>
      </c>
      <c r="AB278" s="63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17" t="str">
        <f>IF($AA278="","",IF($B278="I",VLOOKUP($AA278,#REF!,53,0),INDEX(VALUES!$B$1:$BT$1,1,$AA278)))</f>
        <v/>
      </c>
    </row>
    <row r="279" spans="1:29" hidden="1" outlineLevel="1" x14ac:dyDescent="0.3">
      <c r="A279" s="22" t="s">
        <v>84</v>
      </c>
      <c r="B279" s="41" t="str">
        <f t="shared" si="21"/>
        <v/>
      </c>
      <c r="C279" s="42">
        <f t="shared" si="20"/>
        <v>278</v>
      </c>
      <c r="D279" s="38"/>
      <c r="E279" s="38"/>
      <c r="F279" s="38"/>
      <c r="G279" s="38"/>
      <c r="H279" s="38"/>
      <c r="I279" s="38" t="s">
        <v>9</v>
      </c>
      <c r="J279" s="38"/>
      <c r="K279" s="117" t="s">
        <v>24</v>
      </c>
      <c r="L279" s="53" t="s">
        <v>27</v>
      </c>
      <c r="M279" s="196" t="s">
        <v>1274</v>
      </c>
      <c r="N279" s="117" t="s">
        <v>1275</v>
      </c>
      <c r="O279" s="124">
        <v>0.35</v>
      </c>
      <c r="P279" s="118" t="s">
        <v>259</v>
      </c>
      <c r="Q279" s="136" t="s">
        <v>9</v>
      </c>
      <c r="R279" s="129" t="s">
        <v>102</v>
      </c>
      <c r="S279" s="129" t="s">
        <v>111</v>
      </c>
      <c r="T279" s="124" t="s">
        <v>259</v>
      </c>
      <c r="U279" s="124" t="s">
        <v>259</v>
      </c>
      <c r="X279" s="14"/>
      <c r="Z279" s="59" t="str">
        <f>IF(OR($M279="",NOT($O279="{array}")),"",IFERROR(MATCH(PARAMETERS!$M279,DEFAULT!$B$5:$CX$5,0),""))</f>
        <v/>
      </c>
      <c r="AA279" s="56" t="str">
        <f t="shared" si="19"/>
        <v/>
      </c>
      <c r="AB279" s="63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17" t="str">
        <f>IF($AA279="","",IF($B279="I",VLOOKUP($AA279,#REF!,53,0),INDEX(VALUES!$B$1:$BT$1,1,$AA279)))</f>
        <v/>
      </c>
    </row>
    <row r="280" spans="1:29" hidden="1" outlineLevel="1" x14ac:dyDescent="0.3">
      <c r="A280" s="22" t="s">
        <v>84</v>
      </c>
      <c r="B280" s="41" t="str">
        <f t="shared" si="21"/>
        <v/>
      </c>
      <c r="C280" s="42">
        <f t="shared" si="20"/>
        <v>279</v>
      </c>
      <c r="D280" s="38"/>
      <c r="E280" s="38"/>
      <c r="F280" s="38"/>
      <c r="G280" s="38"/>
      <c r="H280" s="38"/>
      <c r="I280" s="38" t="s">
        <v>9</v>
      </c>
      <c r="J280" s="38"/>
      <c r="K280" s="117" t="s">
        <v>24</v>
      </c>
      <c r="L280" s="53" t="s">
        <v>27</v>
      </c>
      <c r="M280" s="196" t="s">
        <v>1238</v>
      </c>
      <c r="N280" s="117" t="s">
        <v>1239</v>
      </c>
      <c r="O280" s="124">
        <v>0.04</v>
      </c>
      <c r="P280" s="118" t="s">
        <v>259</v>
      </c>
      <c r="Q280" s="136" t="s">
        <v>9</v>
      </c>
      <c r="R280" s="129" t="s">
        <v>102</v>
      </c>
      <c r="S280" s="129" t="s">
        <v>111</v>
      </c>
      <c r="T280" s="124" t="s">
        <v>259</v>
      </c>
      <c r="U280" s="124" t="s">
        <v>259</v>
      </c>
      <c r="V280" s="124"/>
      <c r="W280" s="15"/>
      <c r="X280" s="118"/>
      <c r="Y280" s="124"/>
      <c r="Z280" s="59" t="str">
        <f>IF(OR($M280="",NOT($O280="{array}")),"",IFERROR(MATCH(PARAMETERS!$M280,DEFAULT!$B$5:$CX$5,0),""))</f>
        <v/>
      </c>
      <c r="AA280" s="56" t="str">
        <f t="shared" si="19"/>
        <v/>
      </c>
      <c r="AB280" s="63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17" t="str">
        <f>IF($AA280="","",IF($B280="I",VLOOKUP($AA280,#REF!,53,0),INDEX(VALUES!$B$1:$BT$1,1,$AA280)))</f>
        <v/>
      </c>
    </row>
    <row r="281" spans="1:29" hidden="1" outlineLevel="1" x14ac:dyDescent="0.3">
      <c r="A281" s="22" t="s">
        <v>84</v>
      </c>
      <c r="B281" s="41" t="str">
        <f t="shared" si="21"/>
        <v/>
      </c>
      <c r="C281" s="42">
        <f t="shared" si="20"/>
        <v>280</v>
      </c>
      <c r="D281" s="38"/>
      <c r="E281" s="38"/>
      <c r="F281" s="38"/>
      <c r="G281" s="38"/>
      <c r="H281" s="38"/>
      <c r="I281" s="38" t="s">
        <v>9</v>
      </c>
      <c r="J281" s="38"/>
      <c r="K281" s="117" t="s">
        <v>44</v>
      </c>
      <c r="L281" s="53" t="s">
        <v>27</v>
      </c>
      <c r="M281" s="196" t="s">
        <v>1240</v>
      </c>
      <c r="N281" s="124" t="s">
        <v>665</v>
      </c>
      <c r="O281" s="124">
        <v>0</v>
      </c>
      <c r="P281" s="118" t="s">
        <v>259</v>
      </c>
      <c r="Q281" s="136" t="s">
        <v>9</v>
      </c>
      <c r="R281" s="129" t="s">
        <v>102</v>
      </c>
      <c r="S281" s="129" t="s">
        <v>111</v>
      </c>
      <c r="T281" s="124" t="s">
        <v>259</v>
      </c>
      <c r="U281" s="124" t="s">
        <v>259</v>
      </c>
      <c r="V281" s="124" t="s">
        <v>665</v>
      </c>
      <c r="W281" s="15" t="str">
        <f>IF(IFERROR(VLOOKUP($M282,COMPARE!$H$2:$H$847,1,0),"-")="-","","GS")</f>
        <v/>
      </c>
      <c r="X281" s="118" t="s">
        <v>259</v>
      </c>
      <c r="Y281" s="124" t="s">
        <v>666</v>
      </c>
      <c r="Z281" s="59" t="str">
        <f>IF(OR($M281="",NOT($O281="{array}")),"",IFERROR(MATCH(PARAMETERS!$M281,DEFAULT!$B$5:$CX$5,0),""))</f>
        <v/>
      </c>
      <c r="AA281" s="56" t="str">
        <f t="shared" si="19"/>
        <v/>
      </c>
      <c r="AB281" s="63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17" t="str">
        <f>IF($AA281="","",IF($B281="I",VLOOKUP($AA281,#REF!,53,0),INDEX(VALUES!$B$1:$BT$1,1,$AA281)))</f>
        <v/>
      </c>
    </row>
    <row r="282" spans="1:29" hidden="1" outlineLevel="1" x14ac:dyDescent="0.3">
      <c r="A282" s="22" t="s">
        <v>84</v>
      </c>
      <c r="B282" s="41" t="str">
        <f t="shared" si="21"/>
        <v/>
      </c>
      <c r="C282" s="42">
        <f t="shared" si="20"/>
        <v>281</v>
      </c>
      <c r="D282" s="38"/>
      <c r="E282" s="38"/>
      <c r="F282" s="38"/>
      <c r="G282" s="38"/>
      <c r="H282" s="38"/>
      <c r="I282" s="38" t="s">
        <v>9</v>
      </c>
      <c r="J282" s="38"/>
      <c r="K282" s="117" t="s">
        <v>24</v>
      </c>
      <c r="L282" s="53" t="s">
        <v>27</v>
      </c>
      <c r="M282" s="196" t="s">
        <v>1242</v>
      </c>
      <c r="N282" s="117" t="s">
        <v>1241</v>
      </c>
      <c r="O282" s="124">
        <v>0.05</v>
      </c>
      <c r="P282" s="118" t="s">
        <v>259</v>
      </c>
      <c r="Q282" s="136" t="s">
        <v>9</v>
      </c>
      <c r="R282" s="129" t="s">
        <v>102</v>
      </c>
      <c r="S282" s="129" t="s">
        <v>111</v>
      </c>
      <c r="T282" s="124" t="s">
        <v>259</v>
      </c>
      <c r="U282" s="124" t="s">
        <v>259</v>
      </c>
      <c r="V282" s="14" t="s">
        <v>1270</v>
      </c>
      <c r="X282" s="14"/>
      <c r="Z282" s="59" t="str">
        <f>IF(OR($M282="",NOT($O282="{array}")),"",IFERROR(MATCH(PARAMETERS!$M282,DEFAULT!$B$5:$CX$5,0),""))</f>
        <v/>
      </c>
      <c r="AA282" s="56" t="str">
        <f t="shared" si="19"/>
        <v/>
      </c>
      <c r="AB282" s="63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7" t="str">
        <f>IF($AA282="","",IF($B282="I",VLOOKUP($AA282,#REF!,53,0),INDEX(VALUES!$B$1:$BT$1,1,$AA282)))</f>
        <v/>
      </c>
    </row>
    <row r="283" spans="1:29" hidden="1" outlineLevel="1" x14ac:dyDescent="0.3">
      <c r="A283" s="22" t="s">
        <v>84</v>
      </c>
      <c r="B283" s="41" t="str">
        <f t="shared" si="21"/>
        <v/>
      </c>
      <c r="C283" s="42">
        <f t="shared" si="20"/>
        <v>282</v>
      </c>
      <c r="D283" s="38"/>
      <c r="E283" s="38"/>
      <c r="F283" s="38"/>
      <c r="G283" s="38"/>
      <c r="H283" s="38"/>
      <c r="I283" s="38" t="s">
        <v>9</v>
      </c>
      <c r="J283" s="38"/>
      <c r="K283" s="117" t="s">
        <v>24</v>
      </c>
      <c r="L283" s="53" t="s">
        <v>27</v>
      </c>
      <c r="M283" s="196" t="s">
        <v>1244</v>
      </c>
      <c r="N283" s="117" t="s">
        <v>1243</v>
      </c>
      <c r="O283" s="124">
        <v>0.03</v>
      </c>
      <c r="P283" s="118" t="s">
        <v>259</v>
      </c>
      <c r="Q283" s="136" t="s">
        <v>9</v>
      </c>
      <c r="R283" s="129" t="s">
        <v>102</v>
      </c>
      <c r="S283" s="129" t="s">
        <v>111</v>
      </c>
      <c r="T283" s="124" t="s">
        <v>259</v>
      </c>
      <c r="U283" s="124" t="s">
        <v>259</v>
      </c>
      <c r="V283" s="14" t="s">
        <v>1270</v>
      </c>
      <c r="W283" s="15" t="str">
        <f>IF(IFERROR(VLOOKUP($M283,COMPARE!$H$2:$H$847,1,0),"-")="-","","GS")</f>
        <v/>
      </c>
      <c r="X283" s="118" t="s">
        <v>259</v>
      </c>
      <c r="Y283" s="124" t="s">
        <v>259</v>
      </c>
      <c r="Z283" s="59" t="str">
        <f>IF(OR($M283="",NOT($O283="{array}")),"",IFERROR(MATCH(PARAMETERS!$M283,DEFAULT!$B$5:$CX$5,0),""))</f>
        <v/>
      </c>
      <c r="AA283" s="56" t="str">
        <f t="shared" si="19"/>
        <v/>
      </c>
      <c r="AB283" s="63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7" t="str">
        <f>IF($AA283="","",IF($B283="I",VLOOKUP($AA283,#REF!,53,0),INDEX(VALUES!$B$1:$BT$1,1,$AA283)))</f>
        <v/>
      </c>
    </row>
    <row r="284" spans="1:29" hidden="1" outlineLevel="1" x14ac:dyDescent="0.25">
      <c r="A284" s="22" t="s">
        <v>84</v>
      </c>
      <c r="B284" s="41" t="str">
        <f t="shared" si="21"/>
        <v/>
      </c>
      <c r="C284" s="42">
        <f t="shared" si="20"/>
        <v>283</v>
      </c>
      <c r="D284" s="38"/>
      <c r="E284" s="38"/>
      <c r="F284" s="38"/>
      <c r="G284" s="38"/>
      <c r="H284" s="38"/>
      <c r="I284" s="38" t="s">
        <v>9</v>
      </c>
      <c r="J284" s="38"/>
      <c r="K284" s="53" t="s">
        <v>24</v>
      </c>
      <c r="L284" s="53" t="s">
        <v>27</v>
      </c>
      <c r="M284" s="197" t="s">
        <v>668</v>
      </c>
      <c r="N284" s="53" t="s">
        <v>669</v>
      </c>
      <c r="O284" s="113">
        <v>0</v>
      </c>
      <c r="P284" s="53"/>
      <c r="Q284" s="129" t="s">
        <v>9</v>
      </c>
      <c r="R284" s="38" t="s">
        <v>191</v>
      </c>
      <c r="S284" s="38"/>
      <c r="T284" s="38"/>
      <c r="V284" s="124" t="s">
        <v>662</v>
      </c>
      <c r="W284" s="15" t="str">
        <f>IF(IFERROR(VLOOKUP($M278,COMPARE!$H$2:$H$847,1,0),"-")="-","","GS")</f>
        <v/>
      </c>
      <c r="X284" s="118" t="s">
        <v>259</v>
      </c>
      <c r="Y284" s="124" t="s">
        <v>663</v>
      </c>
      <c r="Z284" s="59" t="str">
        <f>IF(OR($M284="",NOT($O284="{array}")),"",IFERROR(MATCH(PARAMETERS!$M284,DEFAULT!$B$5:$CX$5,0),""))</f>
        <v/>
      </c>
      <c r="AA284" s="56" t="str">
        <f t="shared" si="19"/>
        <v/>
      </c>
      <c r="AB284" s="63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7" t="str">
        <f>IF($AA284="","",IF($B284="I",VLOOKUP($AA284,#REF!,53,0),INDEX(VALUES!$B$1:$BT$1,1,$AA284)))</f>
        <v/>
      </c>
    </row>
    <row r="285" spans="1:29" hidden="1" outlineLevel="1" x14ac:dyDescent="0.25">
      <c r="A285" s="22" t="s">
        <v>84</v>
      </c>
      <c r="B285" s="41" t="str">
        <f t="shared" si="21"/>
        <v/>
      </c>
      <c r="C285" s="42">
        <f t="shared" si="20"/>
        <v>284</v>
      </c>
      <c r="D285" s="38"/>
      <c r="E285" s="38"/>
      <c r="F285" s="38"/>
      <c r="G285" s="38"/>
      <c r="H285" s="38"/>
      <c r="I285" s="38" t="s">
        <v>9</v>
      </c>
      <c r="J285" s="38"/>
      <c r="K285" s="53" t="s">
        <v>24</v>
      </c>
      <c r="L285" s="53" t="s">
        <v>27</v>
      </c>
      <c r="M285" s="197" t="s">
        <v>670</v>
      </c>
      <c r="N285" s="53" t="s">
        <v>671</v>
      </c>
      <c r="O285" s="113">
        <v>1.7999999999999999E-2</v>
      </c>
      <c r="P285" s="53"/>
      <c r="Q285" s="129" t="s">
        <v>9</v>
      </c>
      <c r="R285" s="38" t="s">
        <v>191</v>
      </c>
      <c r="S285" s="38"/>
      <c r="T285" s="38"/>
      <c r="V285" s="124" t="s">
        <v>662</v>
      </c>
      <c r="W285" s="15" t="str">
        <f>IF(IFERROR(VLOOKUP($M280,COMPARE!$H$2:$H$847,1,0),"-")="-","","GS")</f>
        <v/>
      </c>
      <c r="X285" s="118" t="s">
        <v>259</v>
      </c>
      <c r="Y285" s="124" t="s">
        <v>663</v>
      </c>
      <c r="Z285" s="59" t="str">
        <f>IF(OR($M285="",NOT($O285="{array}")),"",IFERROR(MATCH(PARAMETERS!$M285,DEFAULT!$B$5:$CX$5,0),""))</f>
        <v/>
      </c>
      <c r="AA285" s="56" t="str">
        <f t="shared" si="19"/>
        <v/>
      </c>
      <c r="AB285" s="63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7" t="str">
        <f>IF($AA285="","",IF($B285="I",VLOOKUP($AA285,#REF!,53,0),INDEX(VALUES!$B$1:$BT$1,1,$AA285)))</f>
        <v/>
      </c>
    </row>
    <row r="286" spans="1:29" collapsed="1" x14ac:dyDescent="0.3">
      <c r="A286" s="22" t="s">
        <v>84</v>
      </c>
      <c r="B286" s="41" t="str">
        <f t="shared" si="21"/>
        <v/>
      </c>
      <c r="C286" s="42">
        <f t="shared" si="20"/>
        <v>285</v>
      </c>
      <c r="D286" s="38"/>
      <c r="E286" s="38"/>
      <c r="F286" s="38"/>
      <c r="G286" s="38"/>
      <c r="H286" s="38"/>
      <c r="I286" s="38"/>
      <c r="J286" s="38"/>
      <c r="K286" s="14" t="s">
        <v>57</v>
      </c>
      <c r="L286" s="14" t="s">
        <v>38</v>
      </c>
      <c r="M286" s="48" t="s">
        <v>672</v>
      </c>
      <c r="N286" s="41" t="s">
        <v>673</v>
      </c>
      <c r="R286" s="38" t="s">
        <v>191</v>
      </c>
      <c r="S286" s="38"/>
      <c r="T286" s="38"/>
      <c r="W286" s="15" t="str">
        <f>IF(IFERROR(VLOOKUP($M286,COMPARE!$H$2:$H$847,1,0),"-")="-","","GS")</f>
        <v/>
      </c>
      <c r="Y286" s="53"/>
      <c r="Z286" s="59" t="str">
        <f>IF(OR($M286="",NOT($O286="{array}")),"",IFERROR(MATCH(PARAMETERS!$M286,DEFAULT!$B$5:$CX$5,0),""))</f>
        <v/>
      </c>
      <c r="AA286" s="56" t="str">
        <f t="shared" si="19"/>
        <v/>
      </c>
      <c r="AB286" s="63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7" t="str">
        <f>IF($AA286="","",IF($B286="I",VLOOKUP($AA286,#REF!,53,0),INDEX(VALUES!$B$1:$BT$1,1,$AA286)))</f>
        <v/>
      </c>
    </row>
    <row r="287" spans="1:29" x14ac:dyDescent="0.3">
      <c r="A287" s="22" t="s">
        <v>84</v>
      </c>
      <c r="B287" s="41" t="str">
        <f t="shared" si="21"/>
        <v/>
      </c>
      <c r="C287" s="42">
        <f t="shared" ref="C287:C319" si="22">(ROW()-1)</f>
        <v>286</v>
      </c>
      <c r="D287" s="38"/>
      <c r="E287" s="38"/>
      <c r="F287" s="38"/>
      <c r="G287" s="38"/>
      <c r="H287" s="38"/>
      <c r="I287" s="38"/>
      <c r="J287" s="38"/>
      <c r="K287" s="14" t="s">
        <v>57</v>
      </c>
      <c r="L287" s="14" t="s">
        <v>38</v>
      </c>
      <c r="M287" s="48" t="s">
        <v>674</v>
      </c>
      <c r="N287" s="41" t="s">
        <v>675</v>
      </c>
      <c r="R287" s="38" t="s">
        <v>102</v>
      </c>
      <c r="S287" s="38"/>
      <c r="T287" s="38"/>
      <c r="W287" s="15" t="str">
        <f>IF(IFERROR(VLOOKUP($M287,COMPARE!$H$2:$H$847,1,0),"-")="-","","GS")</f>
        <v/>
      </c>
      <c r="Z287" s="59" t="str">
        <f>IF(OR($M287="",NOT($O287="{array}")),"",IFERROR(MATCH(PARAMETERS!$M287,DEFAULT!$B$5:$CX$5,0),""))</f>
        <v/>
      </c>
      <c r="AA287" s="56" t="str">
        <f t="shared" si="19"/>
        <v/>
      </c>
      <c r="AB287" s="63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7" t="str">
        <f>IF($AA287="","",IF($B287="I",VLOOKUP($AA287,#REF!,53,0),INDEX(VALUES!$B$1:$BT$1,1,$AA287)))</f>
        <v/>
      </c>
    </row>
    <row r="288" spans="1:29" hidden="1" outlineLevel="1" x14ac:dyDescent="0.25">
      <c r="A288" s="22" t="s">
        <v>84</v>
      </c>
      <c r="B288" s="41" t="str">
        <f t="shared" si="21"/>
        <v/>
      </c>
      <c r="C288" s="42">
        <f t="shared" si="22"/>
        <v>287</v>
      </c>
      <c r="D288" s="38"/>
      <c r="E288" s="38"/>
      <c r="F288" s="38"/>
      <c r="G288" s="38"/>
      <c r="H288" s="38"/>
      <c r="I288" s="38" t="s">
        <v>9</v>
      </c>
      <c r="J288" s="38"/>
      <c r="K288" s="53" t="s">
        <v>18</v>
      </c>
      <c r="L288" s="53" t="s">
        <v>32</v>
      </c>
      <c r="M288" s="383" t="s">
        <v>676</v>
      </c>
      <c r="N288" s="53" t="s">
        <v>677</v>
      </c>
      <c r="O288" s="113" t="s">
        <v>1255</v>
      </c>
      <c r="Q288" s="129"/>
      <c r="R288" s="129" t="s">
        <v>102</v>
      </c>
      <c r="S288" s="129" t="s">
        <v>111</v>
      </c>
      <c r="T288" s="124" t="s">
        <v>259</v>
      </c>
      <c r="U288" s="124" t="s">
        <v>259</v>
      </c>
      <c r="V288" s="124" t="s">
        <v>678</v>
      </c>
      <c r="W288" s="15"/>
      <c r="Z288" s="59" t="str">
        <f>IF(OR($M288="",NOT($O288="{array}")),"",IFERROR(MATCH(PARAMETERS!$M288,DEFAULT!$B$5:$CX$5,0),""))</f>
        <v/>
      </c>
      <c r="AA288" s="56" t="str">
        <f t="shared" si="19"/>
        <v/>
      </c>
      <c r="AB288" s="63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7" t="str">
        <f>IF($AA288="","",IF($B288="I",VLOOKUP($AA288,#REF!,53,0),INDEX(VALUES!$B$1:$BT$1,1,$AA288)))</f>
        <v/>
      </c>
    </row>
    <row r="289" spans="1:29" hidden="1" outlineLevel="1" x14ac:dyDescent="0.3">
      <c r="A289" s="22" t="s">
        <v>84</v>
      </c>
      <c r="B289" s="41" t="str">
        <f t="shared" si="21"/>
        <v/>
      </c>
      <c r="C289" s="42">
        <f t="shared" si="22"/>
        <v>288</v>
      </c>
      <c r="D289" s="38"/>
      <c r="E289" s="38"/>
      <c r="F289" s="38"/>
      <c r="G289" s="38"/>
      <c r="H289" s="38"/>
      <c r="I289" s="38" t="s">
        <v>9</v>
      </c>
      <c r="J289" s="38"/>
      <c r="K289" s="117" t="s">
        <v>18</v>
      </c>
      <c r="L289" s="125" t="s">
        <v>21</v>
      </c>
      <c r="M289" s="200" t="s">
        <v>1823</v>
      </c>
      <c r="N289" s="117" t="s">
        <v>1824</v>
      </c>
      <c r="O289" s="124" t="s">
        <v>1825</v>
      </c>
      <c r="P289" s="118" t="s">
        <v>259</v>
      </c>
      <c r="Q289" s="136"/>
      <c r="R289" s="129" t="s">
        <v>102</v>
      </c>
      <c r="S289" s="129" t="s">
        <v>111</v>
      </c>
      <c r="T289" s="124"/>
      <c r="U289" s="124"/>
      <c r="V289" s="124"/>
      <c r="W289" s="15"/>
      <c r="Z289" s="59" t="str">
        <f>IF(OR($M289="",NOT($O289="{array}")),"",IFERROR(MATCH(PARAMETERS!$M289,DEFAULT!$B$5:$CX$5,0),""))</f>
        <v/>
      </c>
      <c r="AA289" s="56" t="str">
        <f t="shared" si="19"/>
        <v/>
      </c>
      <c r="AB289" s="63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7" t="str">
        <f>IF($AA289="","",IF($B289="I",VLOOKUP($AA289,#REF!,53,0),INDEX(VALUES!$B$1:$BT$1,1,$AA289)))</f>
        <v/>
      </c>
    </row>
    <row r="290" spans="1:29" hidden="1" outlineLevel="1" x14ac:dyDescent="0.3">
      <c r="A290" s="22" t="s">
        <v>84</v>
      </c>
      <c r="B290" s="41" t="str">
        <f t="shared" si="21"/>
        <v/>
      </c>
      <c r="C290" s="42">
        <f t="shared" si="22"/>
        <v>289</v>
      </c>
      <c r="D290" s="38"/>
      <c r="E290" s="38"/>
      <c r="F290" s="38"/>
      <c r="G290" s="38"/>
      <c r="H290" s="38"/>
      <c r="I290" s="38" t="s">
        <v>9</v>
      </c>
      <c r="J290" s="38"/>
      <c r="K290" s="124" t="s">
        <v>18</v>
      </c>
      <c r="L290" s="125" t="s">
        <v>27</v>
      </c>
      <c r="M290" s="200" t="s">
        <v>1826</v>
      </c>
      <c r="N290" s="124" t="s">
        <v>1827</v>
      </c>
      <c r="O290" s="124" t="s">
        <v>1770</v>
      </c>
      <c r="P290" s="118" t="s">
        <v>259</v>
      </c>
      <c r="Q290" s="129"/>
      <c r="R290" s="129" t="s">
        <v>102</v>
      </c>
      <c r="S290" s="129" t="s">
        <v>111</v>
      </c>
      <c r="T290" s="124" t="s">
        <v>259</v>
      </c>
      <c r="U290" s="124" t="s">
        <v>259</v>
      </c>
      <c r="V290" s="124" t="s">
        <v>679</v>
      </c>
      <c r="W290" s="15" t="str">
        <f>IF(IFERROR(VLOOKUP($M290,COMPARE!$H$2:$H$847,1,0),"-")="-","","GS")</f>
        <v/>
      </c>
      <c r="X290" s="118" t="s">
        <v>259</v>
      </c>
      <c r="Y290" s="124" t="s">
        <v>680</v>
      </c>
      <c r="Z290" s="59" t="str">
        <f>IF(OR($M290="",NOT($O290="{array}")),"",IFERROR(MATCH(PARAMETERS!$M290,DEFAULT!$B$5:$CX$5,0),""))</f>
        <v/>
      </c>
      <c r="AA290" s="56" t="str">
        <f t="shared" si="19"/>
        <v/>
      </c>
      <c r="AB290" s="63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7" t="str">
        <f>IF($AA290="","",IF($B290="I",VLOOKUP($AA290,#REF!,53,0),INDEX(VALUES!$B$1:$BT$1,1,$AA290)))</f>
        <v/>
      </c>
    </row>
    <row r="291" spans="1:29" hidden="1" outlineLevel="1" x14ac:dyDescent="0.3">
      <c r="A291" s="22" t="s">
        <v>84</v>
      </c>
      <c r="B291" s="41" t="str">
        <f t="shared" si="21"/>
        <v/>
      </c>
      <c r="C291" s="42">
        <f t="shared" si="22"/>
        <v>290</v>
      </c>
      <c r="D291" s="38"/>
      <c r="E291" s="38"/>
      <c r="F291" s="38"/>
      <c r="G291" s="38"/>
      <c r="H291" s="38"/>
      <c r="I291" s="38" t="s">
        <v>9</v>
      </c>
      <c r="J291" s="38"/>
      <c r="K291" s="124" t="s">
        <v>18</v>
      </c>
      <c r="L291" s="125" t="s">
        <v>27</v>
      </c>
      <c r="M291" s="200" t="s">
        <v>1828</v>
      </c>
      <c r="N291" s="124" t="s">
        <v>1829</v>
      </c>
      <c r="O291" s="124" t="s">
        <v>259</v>
      </c>
      <c r="P291" s="118" t="s">
        <v>259</v>
      </c>
      <c r="Q291" s="129"/>
      <c r="R291" s="129" t="s">
        <v>102</v>
      </c>
      <c r="S291" s="129" t="s">
        <v>111</v>
      </c>
      <c r="T291" s="124" t="s">
        <v>259</v>
      </c>
      <c r="U291" s="124" t="s">
        <v>259</v>
      </c>
      <c r="V291" s="124" t="s">
        <v>681</v>
      </c>
      <c r="W291" s="15" t="str">
        <f>IF(IFERROR(VLOOKUP($M291,COMPARE!$H$2:$H$847,1,0),"-")="-","","GS")</f>
        <v/>
      </c>
      <c r="X291" s="118" t="s">
        <v>259</v>
      </c>
      <c r="Y291" s="124" t="s">
        <v>682</v>
      </c>
      <c r="Z291" s="59" t="str">
        <f>IF(OR($M291="",NOT($O291="{array}")),"",IFERROR(MATCH(PARAMETERS!$M291,DEFAULT!$B$5:$CX$5,0),""))</f>
        <v/>
      </c>
      <c r="AA291" s="56" t="str">
        <f t="shared" si="19"/>
        <v/>
      </c>
      <c r="AB291" s="63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7" t="str">
        <f>IF($AA291="","",IF($B291="I",VLOOKUP($AA291,#REF!,53,0),INDEX(VALUES!$B$1:$BT$1,1,$AA291)))</f>
        <v/>
      </c>
    </row>
    <row r="292" spans="1:29" hidden="1" outlineLevel="1" x14ac:dyDescent="0.25">
      <c r="A292" s="22"/>
      <c r="B292" s="41" t="str">
        <f t="shared" si="21"/>
        <v/>
      </c>
      <c r="C292" s="42">
        <f t="shared" si="22"/>
        <v>291</v>
      </c>
      <c r="D292" s="38"/>
      <c r="E292" s="38"/>
      <c r="F292" s="38"/>
      <c r="G292" s="38"/>
      <c r="H292" s="38"/>
      <c r="I292" s="38" t="s">
        <v>9</v>
      </c>
      <c r="J292" s="38"/>
      <c r="K292" s="124" t="s">
        <v>18</v>
      </c>
      <c r="L292" s="125" t="s">
        <v>21</v>
      </c>
      <c r="M292" s="124" t="s">
        <v>683</v>
      </c>
      <c r="N292" s="124" t="s">
        <v>259</v>
      </c>
      <c r="O292" s="124" t="s">
        <v>259</v>
      </c>
      <c r="P292" s="118" t="s">
        <v>259</v>
      </c>
      <c r="Q292" s="129" t="s">
        <v>9</v>
      </c>
      <c r="R292" s="129" t="s">
        <v>102</v>
      </c>
      <c r="S292" s="129" t="s">
        <v>111</v>
      </c>
      <c r="T292" s="124" t="s">
        <v>259</v>
      </c>
      <c r="U292" s="124" t="s">
        <v>259</v>
      </c>
      <c r="V292" s="124" t="s">
        <v>683</v>
      </c>
      <c r="W292" s="15" t="str">
        <f>IF(IFERROR(VLOOKUP($M292,COMPARE!$H$2:$H$847,1,0),"-")="-","","GS")</f>
        <v/>
      </c>
      <c r="X292" s="118" t="s">
        <v>259</v>
      </c>
      <c r="Y292" s="124" t="s">
        <v>684</v>
      </c>
      <c r="Z292" s="59" t="str">
        <f>IF(OR($M292="",NOT($O292="{array}")),"",IFERROR(MATCH(PARAMETERS!$M292,DEFAULT!$B$5:$CX$5,0),""))</f>
        <v/>
      </c>
      <c r="AA292" s="56" t="str">
        <f t="shared" si="19"/>
        <v/>
      </c>
      <c r="AB292" s="63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7" t="str">
        <f>IF($AA292="","",IF($B292="I",VLOOKUP($AA292,#REF!,53,0),INDEX(VALUES!$B$1:$BT$1,1,$AA292)))</f>
        <v/>
      </c>
    </row>
    <row r="293" spans="1:29" hidden="1" outlineLevel="1" x14ac:dyDescent="0.25">
      <c r="A293" s="22"/>
      <c r="B293" s="41" t="str">
        <f t="shared" si="21"/>
        <v/>
      </c>
      <c r="C293" s="42">
        <f t="shared" si="22"/>
        <v>292</v>
      </c>
      <c r="D293" s="38"/>
      <c r="E293" s="38"/>
      <c r="F293" s="38"/>
      <c r="G293" s="38"/>
      <c r="H293" s="38"/>
      <c r="I293" s="38" t="s">
        <v>9</v>
      </c>
      <c r="J293" s="38"/>
      <c r="K293" s="124" t="s">
        <v>18</v>
      </c>
      <c r="L293" s="125" t="s">
        <v>21</v>
      </c>
      <c r="M293" s="124" t="s">
        <v>685</v>
      </c>
      <c r="N293" s="124" t="s">
        <v>259</v>
      </c>
      <c r="O293" s="124" t="s">
        <v>259</v>
      </c>
      <c r="P293" s="118" t="s">
        <v>259</v>
      </c>
      <c r="Q293" s="129" t="s">
        <v>9</v>
      </c>
      <c r="R293" s="129" t="s">
        <v>102</v>
      </c>
      <c r="S293" s="129" t="s">
        <v>111</v>
      </c>
      <c r="T293" s="124" t="s">
        <v>259</v>
      </c>
      <c r="U293" s="124" t="s">
        <v>259</v>
      </c>
      <c r="V293" s="124" t="s">
        <v>685</v>
      </c>
      <c r="W293" s="15" t="str">
        <f>IF(IFERROR(VLOOKUP($M293,COMPARE!$H$2:$H$847,1,0),"-")="-","","GS")</f>
        <v/>
      </c>
      <c r="X293" s="118" t="s">
        <v>259</v>
      </c>
      <c r="Y293" s="124" t="s">
        <v>686</v>
      </c>
      <c r="Z293" s="59" t="str">
        <f>IF(OR($M293="",NOT($O293="{array}")),"",IFERROR(MATCH(PARAMETERS!$M293,DEFAULT!$B$5:$CX$5,0),""))</f>
        <v/>
      </c>
      <c r="AA293" s="56" t="str">
        <f t="shared" si="19"/>
        <v/>
      </c>
      <c r="AB293" s="63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7" t="str">
        <f>IF($AA293="","",IF($B293="I",VLOOKUP($AA293,#REF!,53,0),INDEX(VALUES!$B$1:$BT$1,1,$AA293)))</f>
        <v/>
      </c>
    </row>
    <row r="294" spans="1:29" hidden="1" outlineLevel="1" x14ac:dyDescent="0.25">
      <c r="A294" s="22"/>
      <c r="B294" s="41" t="str">
        <f t="shared" si="21"/>
        <v/>
      </c>
      <c r="C294" s="42">
        <f t="shared" si="22"/>
        <v>293</v>
      </c>
      <c r="D294" s="38"/>
      <c r="E294" s="38"/>
      <c r="F294" s="38"/>
      <c r="G294" s="38"/>
      <c r="H294" s="38"/>
      <c r="I294" s="38" t="s">
        <v>9</v>
      </c>
      <c r="J294" s="38"/>
      <c r="K294" s="124" t="s">
        <v>36</v>
      </c>
      <c r="L294" s="125" t="s">
        <v>21</v>
      </c>
      <c r="M294" s="124" t="s">
        <v>687</v>
      </c>
      <c r="N294" s="124" t="s">
        <v>259</v>
      </c>
      <c r="O294" s="124" t="s">
        <v>259</v>
      </c>
      <c r="P294" s="118" t="s">
        <v>125</v>
      </c>
      <c r="Q294" s="129" t="s">
        <v>9</v>
      </c>
      <c r="R294" s="129" t="s">
        <v>102</v>
      </c>
      <c r="S294" s="129" t="s">
        <v>111</v>
      </c>
      <c r="T294" s="124" t="s">
        <v>259</v>
      </c>
      <c r="U294" s="124" t="s">
        <v>259</v>
      </c>
      <c r="V294" s="124" t="s">
        <v>687</v>
      </c>
      <c r="W294" s="15" t="str">
        <f>IF(IFERROR(VLOOKUP($M294,COMPARE!$H$2:$H$847,1,0),"-")="-","","GS")</f>
        <v/>
      </c>
      <c r="X294" s="118" t="s">
        <v>259</v>
      </c>
      <c r="Y294" s="124" t="s">
        <v>688</v>
      </c>
      <c r="Z294" s="59" t="str">
        <f>IF(OR($M294="",NOT($O294="{array}")),"",IFERROR(MATCH(PARAMETERS!$M294,DEFAULT!$B$5:$CX$5,0),""))</f>
        <v/>
      </c>
      <c r="AA294" s="56" t="str">
        <f t="shared" si="19"/>
        <v/>
      </c>
      <c r="AB294" s="63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7" t="str">
        <f>IF($AA294="","",IF($B294="I",VLOOKUP($AA294,#REF!,53,0),INDEX(VALUES!$B$1:$BT$1,1,$AA294)))</f>
        <v/>
      </c>
    </row>
    <row r="295" spans="1:29" hidden="1" outlineLevel="1" x14ac:dyDescent="0.25">
      <c r="A295" s="22"/>
      <c r="B295" s="41" t="str">
        <f t="shared" si="21"/>
        <v/>
      </c>
      <c r="C295" s="42">
        <f t="shared" si="22"/>
        <v>294</v>
      </c>
      <c r="D295" s="38"/>
      <c r="E295" s="38"/>
      <c r="F295" s="38"/>
      <c r="G295" s="38"/>
      <c r="H295" s="38"/>
      <c r="I295" s="38" t="s">
        <v>9</v>
      </c>
      <c r="J295" s="38"/>
      <c r="K295" s="124" t="s">
        <v>36</v>
      </c>
      <c r="L295" s="125" t="s">
        <v>21</v>
      </c>
      <c r="M295" s="124" t="s">
        <v>689</v>
      </c>
      <c r="N295" s="124" t="s">
        <v>259</v>
      </c>
      <c r="O295" s="124" t="s">
        <v>259</v>
      </c>
      <c r="P295" s="118" t="s">
        <v>125</v>
      </c>
      <c r="Q295" s="129" t="s">
        <v>9</v>
      </c>
      <c r="R295" s="129" t="s">
        <v>102</v>
      </c>
      <c r="S295" s="129" t="s">
        <v>111</v>
      </c>
      <c r="T295" s="124" t="s">
        <v>259</v>
      </c>
      <c r="U295" s="124" t="s">
        <v>259</v>
      </c>
      <c r="V295" s="124" t="s">
        <v>689</v>
      </c>
      <c r="W295" s="15" t="str">
        <f>IF(IFERROR(VLOOKUP($M295,COMPARE!$H$2:$H$847,1,0),"-")="-","","GS")</f>
        <v/>
      </c>
      <c r="X295" s="118" t="s">
        <v>259</v>
      </c>
      <c r="Y295" s="124" t="s">
        <v>690</v>
      </c>
      <c r="Z295" s="59" t="str">
        <f>IF(OR($M295="",NOT($O295="{array}")),"",IFERROR(MATCH(PARAMETERS!$M295,DEFAULT!$B$5:$CX$5,0),""))</f>
        <v/>
      </c>
      <c r="AA295" s="56" t="str">
        <f t="shared" si="19"/>
        <v/>
      </c>
      <c r="AB295" s="63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7" t="str">
        <f>IF($AA295="","",IF($B295="I",VLOOKUP($AA295,#REF!,53,0),INDEX(VALUES!$B$1:$BT$1,1,$AA295)))</f>
        <v/>
      </c>
    </row>
    <row r="296" spans="1:29" hidden="1" outlineLevel="1" x14ac:dyDescent="0.25">
      <c r="A296" s="22"/>
      <c r="B296" s="41" t="str">
        <f t="shared" si="21"/>
        <v/>
      </c>
      <c r="C296" s="42">
        <f t="shared" si="22"/>
        <v>295</v>
      </c>
      <c r="D296" s="38"/>
      <c r="E296" s="38"/>
      <c r="F296" s="38"/>
      <c r="G296" s="38"/>
      <c r="H296" s="38"/>
      <c r="I296" s="38" t="s">
        <v>9</v>
      </c>
      <c r="J296" s="38"/>
      <c r="K296" s="124" t="s">
        <v>47</v>
      </c>
      <c r="L296" s="125" t="s">
        <v>21</v>
      </c>
      <c r="M296" s="124" t="s">
        <v>691</v>
      </c>
      <c r="N296" s="124" t="s">
        <v>259</v>
      </c>
      <c r="O296" s="124" t="s">
        <v>259</v>
      </c>
      <c r="P296" s="118" t="s">
        <v>259</v>
      </c>
      <c r="Q296" s="129" t="s">
        <v>9</v>
      </c>
      <c r="R296" s="129" t="s">
        <v>102</v>
      </c>
      <c r="S296" s="129" t="s">
        <v>111</v>
      </c>
      <c r="T296" s="124" t="s">
        <v>259</v>
      </c>
      <c r="U296" s="124" t="s">
        <v>259</v>
      </c>
      <c r="V296" s="124" t="s">
        <v>691</v>
      </c>
      <c r="W296" s="15" t="str">
        <f>IF(IFERROR(VLOOKUP($M296,COMPARE!$H$2:$H$847,1,0),"-")="-","","GS")</f>
        <v/>
      </c>
      <c r="X296" s="118" t="s">
        <v>259</v>
      </c>
      <c r="Y296" s="124" t="s">
        <v>692</v>
      </c>
      <c r="Z296" s="59" t="str">
        <f>IF(OR($M296="",NOT($O296="{array}")),"",IFERROR(MATCH(PARAMETERS!$M296,DEFAULT!$B$5:$CX$5,0),""))</f>
        <v/>
      </c>
      <c r="AA296" s="56" t="str">
        <f t="shared" si="19"/>
        <v/>
      </c>
      <c r="AB296" s="63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7" t="str">
        <f>IF($AA296="","",IF($B296="I",VLOOKUP($AA296,#REF!,53,0),INDEX(VALUES!$B$1:$BT$1,1,$AA296)))</f>
        <v/>
      </c>
    </row>
    <row r="297" spans="1:29" hidden="1" outlineLevel="1" x14ac:dyDescent="0.25">
      <c r="A297" s="22"/>
      <c r="B297" s="41" t="str">
        <f t="shared" si="21"/>
        <v/>
      </c>
      <c r="C297" s="42">
        <f t="shared" si="22"/>
        <v>296</v>
      </c>
      <c r="D297" s="38"/>
      <c r="E297" s="38"/>
      <c r="F297" s="38"/>
      <c r="G297" s="38"/>
      <c r="H297" s="38"/>
      <c r="I297" s="38" t="s">
        <v>9</v>
      </c>
      <c r="J297" s="38"/>
      <c r="K297" s="124" t="s">
        <v>18</v>
      </c>
      <c r="L297" s="125" t="s">
        <v>21</v>
      </c>
      <c r="M297" s="124" t="s">
        <v>693</v>
      </c>
      <c r="N297" s="124" t="s">
        <v>259</v>
      </c>
      <c r="O297" s="124" t="s">
        <v>259</v>
      </c>
      <c r="P297" s="118" t="s">
        <v>259</v>
      </c>
      <c r="Q297" s="129" t="s">
        <v>9</v>
      </c>
      <c r="R297" s="129" t="s">
        <v>102</v>
      </c>
      <c r="S297" s="129" t="s">
        <v>111</v>
      </c>
      <c r="T297" s="124" t="s">
        <v>259</v>
      </c>
      <c r="U297" s="124" t="s">
        <v>259</v>
      </c>
      <c r="V297" s="124" t="s">
        <v>693</v>
      </c>
      <c r="W297" s="15" t="str">
        <f>IF(IFERROR(VLOOKUP($M297,COMPARE!$H$2:$H$847,1,0),"-")="-","","GS")</f>
        <v/>
      </c>
      <c r="X297" s="118" t="s">
        <v>259</v>
      </c>
      <c r="Y297" s="124" t="s">
        <v>694</v>
      </c>
      <c r="Z297" s="59" t="str">
        <f>IF(OR($M297="",NOT($O297="{array}")),"",IFERROR(MATCH(PARAMETERS!$M297,DEFAULT!$B$5:$CX$5,0),""))</f>
        <v/>
      </c>
      <c r="AA297" s="56" t="str">
        <f t="shared" si="19"/>
        <v/>
      </c>
      <c r="AB297" s="63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7" t="str">
        <f>IF($AA297="","",IF($B297="I",VLOOKUP($AA297,#REF!,53,0),INDEX(VALUES!$B$1:$BT$1,1,$AA297)))</f>
        <v/>
      </c>
    </row>
    <row r="298" spans="1:29" hidden="1" outlineLevel="1" x14ac:dyDescent="0.25">
      <c r="A298" s="22"/>
      <c r="B298" s="41" t="str">
        <f t="shared" si="21"/>
        <v/>
      </c>
      <c r="C298" s="42">
        <f t="shared" si="22"/>
        <v>297</v>
      </c>
      <c r="D298" s="38"/>
      <c r="E298" s="38"/>
      <c r="F298" s="38"/>
      <c r="G298" s="38"/>
      <c r="H298" s="38"/>
      <c r="I298" s="38" t="s">
        <v>9</v>
      </c>
      <c r="J298" s="38"/>
      <c r="K298" s="124" t="s">
        <v>18</v>
      </c>
      <c r="L298" s="125" t="s">
        <v>21</v>
      </c>
      <c r="M298" s="124" t="s">
        <v>695</v>
      </c>
      <c r="N298" s="124" t="s">
        <v>259</v>
      </c>
      <c r="O298" s="124" t="s">
        <v>259</v>
      </c>
      <c r="P298" s="118" t="s">
        <v>259</v>
      </c>
      <c r="Q298" s="129" t="s">
        <v>9</v>
      </c>
      <c r="R298" s="129" t="s">
        <v>102</v>
      </c>
      <c r="S298" s="129" t="s">
        <v>111</v>
      </c>
      <c r="T298" s="124" t="s">
        <v>259</v>
      </c>
      <c r="U298" s="124" t="s">
        <v>259</v>
      </c>
      <c r="V298" s="124" t="s">
        <v>695</v>
      </c>
      <c r="W298" s="15" t="str">
        <f>IF(IFERROR(VLOOKUP($M298,COMPARE!$H$2:$H$847,1,0),"-")="-","","GS")</f>
        <v/>
      </c>
      <c r="X298" s="118" t="s">
        <v>259</v>
      </c>
      <c r="Y298" s="124" t="s">
        <v>696</v>
      </c>
      <c r="Z298" s="59" t="str">
        <f>IF(OR($M298="",NOT($O298="{array}")),"",IFERROR(MATCH(PARAMETERS!$M298,DEFAULT!$B$5:$CX$5,0),""))</f>
        <v/>
      </c>
      <c r="AA298" s="56" t="str">
        <f t="shared" si="19"/>
        <v/>
      </c>
      <c r="AB298" s="63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7" t="str">
        <f>IF($AA298="","",IF($B298="I",VLOOKUP($AA298,#REF!,53,0),INDEX(VALUES!$B$1:$BT$1,1,$AA298)))</f>
        <v/>
      </c>
    </row>
    <row r="299" spans="1:29" hidden="1" outlineLevel="1" x14ac:dyDescent="0.25">
      <c r="A299" s="22"/>
      <c r="B299" s="41" t="str">
        <f t="shared" si="21"/>
        <v/>
      </c>
      <c r="C299" s="42">
        <f t="shared" si="22"/>
        <v>298</v>
      </c>
      <c r="D299" s="38"/>
      <c r="E299" s="38"/>
      <c r="F299" s="38"/>
      <c r="G299" s="38"/>
      <c r="H299" s="38"/>
      <c r="I299" s="38" t="s">
        <v>9</v>
      </c>
      <c r="J299" s="38"/>
      <c r="K299" s="124" t="s">
        <v>18</v>
      </c>
      <c r="L299" s="125" t="s">
        <v>21</v>
      </c>
      <c r="M299" s="124" t="s">
        <v>697</v>
      </c>
      <c r="N299" s="124" t="s">
        <v>259</v>
      </c>
      <c r="O299" s="124" t="s">
        <v>259</v>
      </c>
      <c r="P299" s="118" t="s">
        <v>259</v>
      </c>
      <c r="Q299" s="129" t="s">
        <v>9</v>
      </c>
      <c r="R299" s="129" t="s">
        <v>102</v>
      </c>
      <c r="S299" s="129" t="s">
        <v>111</v>
      </c>
      <c r="T299" s="124" t="s">
        <v>259</v>
      </c>
      <c r="U299" s="124" t="s">
        <v>259</v>
      </c>
      <c r="V299" s="124" t="s">
        <v>697</v>
      </c>
      <c r="W299" s="15" t="str">
        <f>IF(IFERROR(VLOOKUP($M299,COMPARE!$H$2:$H$847,1,0),"-")="-","","GS")</f>
        <v/>
      </c>
      <c r="X299" s="118" t="s">
        <v>259</v>
      </c>
      <c r="Y299" s="124" t="s">
        <v>698</v>
      </c>
      <c r="Z299" s="59" t="str">
        <f>IF(OR($M299="",NOT($O299="{array}")),"",IFERROR(MATCH(PARAMETERS!$M299,DEFAULT!$B$5:$CX$5,0),""))</f>
        <v/>
      </c>
      <c r="AA299" s="56" t="str">
        <f t="shared" si="19"/>
        <v/>
      </c>
      <c r="AB299" s="63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7" t="str">
        <f>IF($AA299="","",IF($B299="I",VLOOKUP($AA299,#REF!,53,0),INDEX(VALUES!$B$1:$BT$1,1,$AA299)))</f>
        <v/>
      </c>
    </row>
    <row r="300" spans="1:29" hidden="1" outlineLevel="1" x14ac:dyDescent="0.25">
      <c r="A300" s="22"/>
      <c r="B300" s="41" t="str">
        <f t="shared" si="21"/>
        <v/>
      </c>
      <c r="C300" s="42">
        <f t="shared" si="22"/>
        <v>299</v>
      </c>
      <c r="D300" s="38"/>
      <c r="E300" s="38"/>
      <c r="F300" s="38"/>
      <c r="G300" s="38"/>
      <c r="H300" s="38"/>
      <c r="I300" s="38" t="s">
        <v>9</v>
      </c>
      <c r="J300" s="38"/>
      <c r="K300" s="124" t="s">
        <v>18</v>
      </c>
      <c r="L300" s="125" t="s">
        <v>21</v>
      </c>
      <c r="M300" s="124" t="s">
        <v>699</v>
      </c>
      <c r="N300" s="124" t="s">
        <v>259</v>
      </c>
      <c r="O300" s="124" t="s">
        <v>259</v>
      </c>
      <c r="P300" s="118" t="s">
        <v>259</v>
      </c>
      <c r="Q300" s="129" t="s">
        <v>9</v>
      </c>
      <c r="R300" s="129" t="s">
        <v>102</v>
      </c>
      <c r="S300" s="129" t="s">
        <v>111</v>
      </c>
      <c r="T300" s="124" t="s">
        <v>259</v>
      </c>
      <c r="U300" s="124" t="s">
        <v>259</v>
      </c>
      <c r="V300" s="124" t="s">
        <v>699</v>
      </c>
      <c r="W300" s="15" t="str">
        <f>IF(IFERROR(VLOOKUP($M300,COMPARE!$H$2:$H$847,1,0),"-")="-","","GS")</f>
        <v/>
      </c>
      <c r="X300" s="118" t="s">
        <v>259</v>
      </c>
      <c r="Y300" s="124" t="s">
        <v>700</v>
      </c>
      <c r="Z300" s="59" t="str">
        <f>IF(OR($M300="",NOT($O300="{array}")),"",IFERROR(MATCH(PARAMETERS!$M300,DEFAULT!$B$5:$CX$5,0),""))</f>
        <v/>
      </c>
      <c r="AA300" s="56" t="str">
        <f t="shared" si="19"/>
        <v/>
      </c>
      <c r="AB300" s="63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7" t="str">
        <f>IF($AA300="","",IF($B300="I",VLOOKUP($AA300,#REF!,53,0),INDEX(VALUES!$B$1:$BT$1,1,$AA300)))</f>
        <v/>
      </c>
    </row>
    <row r="301" spans="1:29" hidden="1" outlineLevel="1" x14ac:dyDescent="0.25">
      <c r="A301" s="22"/>
      <c r="B301" s="41" t="str">
        <f t="shared" si="21"/>
        <v/>
      </c>
      <c r="C301" s="42">
        <f t="shared" si="22"/>
        <v>300</v>
      </c>
      <c r="D301" s="38"/>
      <c r="E301" s="38"/>
      <c r="F301" s="38"/>
      <c r="G301" s="38"/>
      <c r="H301" s="38"/>
      <c r="I301" s="38" t="s">
        <v>9</v>
      </c>
      <c r="J301" s="38"/>
      <c r="K301" s="124" t="s">
        <v>18</v>
      </c>
      <c r="L301" s="125" t="s">
        <v>21</v>
      </c>
      <c r="M301" s="124" t="s">
        <v>701</v>
      </c>
      <c r="N301" s="124" t="s">
        <v>259</v>
      </c>
      <c r="O301" s="124" t="s">
        <v>259</v>
      </c>
      <c r="P301" s="118" t="s">
        <v>259</v>
      </c>
      <c r="Q301" s="129" t="s">
        <v>9</v>
      </c>
      <c r="R301" s="129" t="s">
        <v>102</v>
      </c>
      <c r="S301" s="129" t="s">
        <v>111</v>
      </c>
      <c r="T301" s="124" t="s">
        <v>259</v>
      </c>
      <c r="U301" s="124" t="s">
        <v>259</v>
      </c>
      <c r="V301" s="124" t="s">
        <v>701</v>
      </c>
      <c r="W301" s="15" t="str">
        <f>IF(IFERROR(VLOOKUP($M301,COMPARE!$H$2:$H$847,1,0),"-")="-","","GS")</f>
        <v/>
      </c>
      <c r="X301" s="118" t="s">
        <v>259</v>
      </c>
      <c r="Y301" s="124" t="s">
        <v>702</v>
      </c>
      <c r="Z301" s="59" t="str">
        <f>IF(OR($M301="",NOT($O301="{array}")),"",IFERROR(MATCH(PARAMETERS!$M301,DEFAULT!$B$5:$CX$5,0),""))</f>
        <v/>
      </c>
      <c r="AA301" s="56" t="str">
        <f t="shared" si="19"/>
        <v/>
      </c>
      <c r="AB301" s="63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7" t="str">
        <f>IF($AA301="","",IF($B301="I",VLOOKUP($AA301,#REF!,53,0),INDEX(VALUES!$B$1:$BT$1,1,$AA301)))</f>
        <v/>
      </c>
    </row>
    <row r="302" spans="1:29" hidden="1" outlineLevel="1" x14ac:dyDescent="0.25">
      <c r="A302" s="22"/>
      <c r="B302" s="41" t="str">
        <f t="shared" si="21"/>
        <v/>
      </c>
      <c r="C302" s="42">
        <f t="shared" si="22"/>
        <v>301</v>
      </c>
      <c r="D302" s="38"/>
      <c r="E302" s="38"/>
      <c r="F302" s="38"/>
      <c r="G302" s="38"/>
      <c r="H302" s="38"/>
      <c r="I302" s="38" t="s">
        <v>9</v>
      </c>
      <c r="J302" s="38"/>
      <c r="K302" s="124" t="s">
        <v>18</v>
      </c>
      <c r="L302" s="125" t="s">
        <v>21</v>
      </c>
      <c r="M302" s="124" t="s">
        <v>703</v>
      </c>
      <c r="N302" s="124" t="s">
        <v>259</v>
      </c>
      <c r="O302" s="124" t="s">
        <v>259</v>
      </c>
      <c r="P302" s="118" t="s">
        <v>259</v>
      </c>
      <c r="Q302" s="129" t="s">
        <v>9</v>
      </c>
      <c r="R302" s="129" t="s">
        <v>102</v>
      </c>
      <c r="S302" s="129" t="s">
        <v>111</v>
      </c>
      <c r="T302" s="124" t="s">
        <v>259</v>
      </c>
      <c r="U302" s="124" t="s">
        <v>259</v>
      </c>
      <c r="V302" s="124" t="s">
        <v>703</v>
      </c>
      <c r="W302" s="15" t="str">
        <f>IF(IFERROR(VLOOKUP($M302,COMPARE!$H$2:$H$847,1,0),"-")="-","","GS")</f>
        <v/>
      </c>
      <c r="X302" s="118" t="s">
        <v>259</v>
      </c>
      <c r="Y302" s="124" t="s">
        <v>704</v>
      </c>
      <c r="Z302" s="59" t="str">
        <f>IF(OR($M302="",NOT($O302="{array}")),"",IFERROR(MATCH(PARAMETERS!$M302,DEFAULT!$B$5:$CX$5,0),""))</f>
        <v/>
      </c>
      <c r="AA302" s="56" t="str">
        <f t="shared" si="19"/>
        <v/>
      </c>
      <c r="AB302" s="63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7" t="str">
        <f>IF($AA302="","",IF($B302="I",VLOOKUP($AA302,#REF!,53,0),INDEX(VALUES!$B$1:$BT$1,1,$AA302)))</f>
        <v/>
      </c>
    </row>
    <row r="303" spans="1:29" hidden="1" outlineLevel="1" x14ac:dyDescent="0.25">
      <c r="A303" s="22"/>
      <c r="B303" s="41" t="str">
        <f t="shared" si="21"/>
        <v/>
      </c>
      <c r="C303" s="42">
        <f t="shared" si="22"/>
        <v>302</v>
      </c>
      <c r="D303" s="38"/>
      <c r="E303" s="38"/>
      <c r="F303" s="38"/>
      <c r="G303" s="38"/>
      <c r="H303" s="38"/>
      <c r="I303" s="38" t="s">
        <v>9</v>
      </c>
      <c r="J303" s="38"/>
      <c r="K303" s="124" t="s">
        <v>18</v>
      </c>
      <c r="L303" s="125" t="s">
        <v>21</v>
      </c>
      <c r="M303" s="124" t="s">
        <v>705</v>
      </c>
      <c r="N303" s="124" t="s">
        <v>259</v>
      </c>
      <c r="O303" s="124" t="s">
        <v>259</v>
      </c>
      <c r="P303" s="118" t="s">
        <v>259</v>
      </c>
      <c r="Q303" s="129" t="s">
        <v>9</v>
      </c>
      <c r="R303" s="129" t="s">
        <v>102</v>
      </c>
      <c r="S303" s="129" t="s">
        <v>111</v>
      </c>
      <c r="T303" s="124" t="s">
        <v>259</v>
      </c>
      <c r="U303" s="124" t="s">
        <v>259</v>
      </c>
      <c r="V303" s="124" t="s">
        <v>705</v>
      </c>
      <c r="W303" s="15" t="str">
        <f>IF(IFERROR(VLOOKUP($M303,COMPARE!$H$2:$H$847,1,0),"-")="-","","GS")</f>
        <v/>
      </c>
      <c r="X303" s="118" t="s">
        <v>259</v>
      </c>
      <c r="Y303" s="124" t="s">
        <v>706</v>
      </c>
      <c r="Z303" s="59" t="str">
        <f>IF(OR($M303="",NOT($O303="{array}")),"",IFERROR(MATCH(PARAMETERS!$M303,DEFAULT!$B$5:$CX$5,0),""))</f>
        <v/>
      </c>
      <c r="AA303" s="56" t="str">
        <f t="shared" si="19"/>
        <v/>
      </c>
      <c r="AB303" s="63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7" t="str">
        <f>IF($AA303="","",IF($B303="I",VLOOKUP($AA303,#REF!,53,0),INDEX(VALUES!$B$1:$BT$1,1,$AA303)))</f>
        <v/>
      </c>
    </row>
    <row r="304" spans="1:29" hidden="1" outlineLevel="1" x14ac:dyDescent="0.25">
      <c r="A304" s="22"/>
      <c r="B304" s="41" t="str">
        <f t="shared" si="21"/>
        <v/>
      </c>
      <c r="C304" s="42">
        <f t="shared" si="22"/>
        <v>303</v>
      </c>
      <c r="D304" s="38"/>
      <c r="E304" s="38"/>
      <c r="F304" s="38"/>
      <c r="G304" s="38"/>
      <c r="H304" s="38"/>
      <c r="I304" s="38" t="s">
        <v>9</v>
      </c>
      <c r="J304" s="38"/>
      <c r="K304" s="124" t="s">
        <v>18</v>
      </c>
      <c r="L304" s="125" t="s">
        <v>21</v>
      </c>
      <c r="M304" s="124" t="s">
        <v>707</v>
      </c>
      <c r="N304" s="124" t="s">
        <v>259</v>
      </c>
      <c r="O304" s="124" t="s">
        <v>259</v>
      </c>
      <c r="P304" s="118" t="s">
        <v>259</v>
      </c>
      <c r="Q304" s="129" t="s">
        <v>9</v>
      </c>
      <c r="R304" s="129" t="s">
        <v>102</v>
      </c>
      <c r="S304" s="129" t="s">
        <v>111</v>
      </c>
      <c r="T304" s="124" t="s">
        <v>259</v>
      </c>
      <c r="U304" s="124" t="s">
        <v>259</v>
      </c>
      <c r="V304" s="124" t="s">
        <v>707</v>
      </c>
      <c r="W304" s="15" t="str">
        <f>IF(IFERROR(VLOOKUP($M304,COMPARE!$H$2:$H$847,1,0),"-")="-","","GS")</f>
        <v/>
      </c>
      <c r="X304" s="118" t="s">
        <v>259</v>
      </c>
      <c r="Y304" s="124" t="s">
        <v>708</v>
      </c>
      <c r="Z304" s="59" t="str">
        <f>IF(OR($M304="",NOT($O304="{array}")),"",IFERROR(MATCH(PARAMETERS!$M304,DEFAULT!$B$5:$CX$5,0),""))</f>
        <v/>
      </c>
      <c r="AA304" s="56" t="str">
        <f t="shared" si="19"/>
        <v/>
      </c>
      <c r="AB304" s="63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7" t="str">
        <f>IF($AA304="","",IF($B304="I",VLOOKUP($AA304,#REF!,53,0),INDEX(VALUES!$B$1:$BT$1,1,$AA304)))</f>
        <v/>
      </c>
    </row>
    <row r="305" spans="1:29" hidden="1" outlineLevel="1" x14ac:dyDescent="0.25">
      <c r="A305" s="22"/>
      <c r="B305" s="41" t="str">
        <f t="shared" si="21"/>
        <v/>
      </c>
      <c r="C305" s="42">
        <f t="shared" si="22"/>
        <v>304</v>
      </c>
      <c r="D305" s="38"/>
      <c r="E305" s="38"/>
      <c r="F305" s="38"/>
      <c r="G305" s="38"/>
      <c r="H305" s="38"/>
      <c r="I305" s="38" t="s">
        <v>9</v>
      </c>
      <c r="J305" s="38"/>
      <c r="K305" s="124" t="s">
        <v>18</v>
      </c>
      <c r="L305" s="125" t="s">
        <v>21</v>
      </c>
      <c r="M305" s="124" t="s">
        <v>709</v>
      </c>
      <c r="N305" s="124" t="s">
        <v>259</v>
      </c>
      <c r="O305" s="124" t="s">
        <v>259</v>
      </c>
      <c r="P305" s="118" t="s">
        <v>259</v>
      </c>
      <c r="Q305" s="129" t="s">
        <v>9</v>
      </c>
      <c r="R305" s="129" t="s">
        <v>102</v>
      </c>
      <c r="S305" s="129" t="s">
        <v>111</v>
      </c>
      <c r="T305" s="124" t="s">
        <v>259</v>
      </c>
      <c r="U305" s="124" t="s">
        <v>259</v>
      </c>
      <c r="V305" s="124" t="s">
        <v>709</v>
      </c>
      <c r="W305" s="15" t="str">
        <f>IF(IFERROR(VLOOKUP($M305,COMPARE!$H$2:$H$847,1,0),"-")="-","","GS")</f>
        <v/>
      </c>
      <c r="X305" s="118" t="s">
        <v>259</v>
      </c>
      <c r="Y305" s="124" t="s">
        <v>710</v>
      </c>
      <c r="Z305" s="59" t="str">
        <f>IF(OR($M305="",NOT($O305="{array}")),"",IFERROR(MATCH(PARAMETERS!$M305,DEFAULT!$B$5:$CX$5,0),""))</f>
        <v/>
      </c>
      <c r="AA305" s="56" t="str">
        <f t="shared" si="19"/>
        <v/>
      </c>
      <c r="AB305" s="63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7" t="str">
        <f>IF($AA305="","",IF($B305="I",VLOOKUP($AA305,#REF!,53,0),INDEX(VALUES!$B$1:$BT$1,1,$AA305)))</f>
        <v/>
      </c>
    </row>
    <row r="306" spans="1:29" hidden="1" outlineLevel="1" x14ac:dyDescent="0.25">
      <c r="A306" s="22"/>
      <c r="B306" s="41" t="str">
        <f t="shared" si="21"/>
        <v/>
      </c>
      <c r="C306" s="42">
        <f t="shared" si="22"/>
        <v>305</v>
      </c>
      <c r="D306" s="38"/>
      <c r="E306" s="38"/>
      <c r="F306" s="38"/>
      <c r="G306" s="38"/>
      <c r="H306" s="38"/>
      <c r="I306" s="38" t="s">
        <v>9</v>
      </c>
      <c r="J306" s="38"/>
      <c r="K306" s="124" t="s">
        <v>18</v>
      </c>
      <c r="L306" s="125" t="s">
        <v>21</v>
      </c>
      <c r="M306" s="124" t="s">
        <v>711</v>
      </c>
      <c r="N306" s="124" t="s">
        <v>259</v>
      </c>
      <c r="O306" s="124" t="s">
        <v>259</v>
      </c>
      <c r="P306" s="118" t="s">
        <v>259</v>
      </c>
      <c r="Q306" s="129" t="s">
        <v>9</v>
      </c>
      <c r="R306" s="129" t="s">
        <v>102</v>
      </c>
      <c r="S306" s="129" t="s">
        <v>111</v>
      </c>
      <c r="T306" s="124" t="s">
        <v>259</v>
      </c>
      <c r="U306" s="124" t="s">
        <v>259</v>
      </c>
      <c r="V306" s="124" t="s">
        <v>711</v>
      </c>
      <c r="W306" s="15" t="str">
        <f>IF(IFERROR(VLOOKUP($M306,COMPARE!$H$2:$H$847,1,0),"-")="-","","GS")</f>
        <v/>
      </c>
      <c r="X306" s="118" t="s">
        <v>259</v>
      </c>
      <c r="Y306" s="124" t="s">
        <v>259</v>
      </c>
      <c r="Z306" s="59" t="str">
        <f>IF(OR($M306="",NOT($O306="{array}")),"",IFERROR(MATCH(PARAMETERS!$M306,DEFAULT!$B$5:$CX$5,0),""))</f>
        <v/>
      </c>
      <c r="AA306" s="56" t="str">
        <f t="shared" si="19"/>
        <v/>
      </c>
      <c r="AB306" s="63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7" t="str">
        <f>IF($AA306="","",IF($B306="I",VLOOKUP($AA306,#REF!,53,0),INDEX(VALUES!$B$1:$BT$1,1,$AA306)))</f>
        <v/>
      </c>
    </row>
    <row r="307" spans="1:29" hidden="1" outlineLevel="1" x14ac:dyDescent="0.3">
      <c r="A307" s="22" t="s">
        <v>84</v>
      </c>
      <c r="B307" s="41" t="str">
        <f t="shared" si="21"/>
        <v/>
      </c>
      <c r="C307" s="42">
        <f t="shared" si="22"/>
        <v>306</v>
      </c>
      <c r="D307" s="38"/>
      <c r="E307" s="38"/>
      <c r="F307" s="38"/>
      <c r="G307" s="38"/>
      <c r="H307" s="38"/>
      <c r="I307" s="38" t="s">
        <v>9</v>
      </c>
      <c r="J307" s="38"/>
      <c r="K307" s="117" t="s">
        <v>18</v>
      </c>
      <c r="L307" s="125" t="s">
        <v>21</v>
      </c>
      <c r="M307" s="200" t="s">
        <v>1830</v>
      </c>
      <c r="N307" s="124" t="s">
        <v>1831</v>
      </c>
      <c r="O307" s="124" t="s">
        <v>1253</v>
      </c>
      <c r="P307" s="118" t="s">
        <v>259</v>
      </c>
      <c r="Q307" s="136" t="s">
        <v>9</v>
      </c>
      <c r="R307" s="129" t="s">
        <v>102</v>
      </c>
      <c r="S307" s="129" t="s">
        <v>111</v>
      </c>
      <c r="T307" s="124" t="s">
        <v>259</v>
      </c>
      <c r="U307" s="124" t="s">
        <v>259</v>
      </c>
      <c r="V307" s="124"/>
      <c r="W307" s="15" t="str">
        <f>IF(IFERROR(VLOOKUP($M307,COMPARE!$H$2:$H$847,1,0),"-")="-","","GS")</f>
        <v/>
      </c>
      <c r="X307" s="118" t="s">
        <v>259</v>
      </c>
      <c r="Y307" s="124" t="s">
        <v>259</v>
      </c>
      <c r="Z307" s="59" t="str">
        <f>IF(OR($M307="",NOT($O307="{array}")),"",IFERROR(MATCH(PARAMETERS!$M307,DEFAULT!$B$5:$CX$5,0),""))</f>
        <v/>
      </c>
      <c r="AA307" s="56" t="str">
        <f t="shared" si="19"/>
        <v/>
      </c>
      <c r="AB307" s="63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7" t="str">
        <f>IF($AA307="","",IF($B307="I",VLOOKUP($AA307,#REF!,53,0),INDEX(VALUES!$B$1:$BT$1,1,$AA307)))</f>
        <v/>
      </c>
    </row>
    <row r="308" spans="1:29" hidden="1" outlineLevel="1" x14ac:dyDescent="0.3">
      <c r="A308" s="22" t="s">
        <v>84</v>
      </c>
      <c r="B308" s="41" t="str">
        <f t="shared" si="21"/>
        <v/>
      </c>
      <c r="C308" s="42">
        <f t="shared" si="22"/>
        <v>307</v>
      </c>
      <c r="D308" s="38"/>
      <c r="E308" s="38"/>
      <c r="F308" s="38"/>
      <c r="G308" s="38"/>
      <c r="H308" s="38"/>
      <c r="I308" s="38" t="s">
        <v>9</v>
      </c>
      <c r="J308" s="38"/>
      <c r="K308" s="117" t="s">
        <v>18</v>
      </c>
      <c r="L308" s="125" t="s">
        <v>21</v>
      </c>
      <c r="M308" s="200" t="s">
        <v>1832</v>
      </c>
      <c r="N308" s="117" t="s">
        <v>1833</v>
      </c>
      <c r="O308" s="124" t="s">
        <v>1267</v>
      </c>
      <c r="P308" s="118" t="s">
        <v>259</v>
      </c>
      <c r="Q308" s="136" t="s">
        <v>9</v>
      </c>
      <c r="R308" s="129" t="s">
        <v>102</v>
      </c>
      <c r="S308" s="129" t="s">
        <v>111</v>
      </c>
      <c r="T308" s="124"/>
      <c r="U308" s="124"/>
      <c r="V308" s="124"/>
      <c r="W308" s="15"/>
      <c r="X308" s="118"/>
      <c r="Y308" s="124"/>
      <c r="Z308" s="59" t="str">
        <f>IF(OR($M308="",NOT($O308="{array}")),"",IFERROR(MATCH(PARAMETERS!$M308,DEFAULT!$B$5:$CX$5,0),""))</f>
        <v/>
      </c>
      <c r="AA308" s="56" t="str">
        <f t="shared" si="19"/>
        <v/>
      </c>
      <c r="AB308" s="63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7" t="str">
        <f>IF($AA308="","",IF($B308="I",VLOOKUP($AA308,#REF!,53,0),INDEX(VALUES!$B$1:$BT$1,1,$AA308)))</f>
        <v/>
      </c>
    </row>
    <row r="309" spans="1:29" hidden="1" outlineLevel="1" x14ac:dyDescent="0.25">
      <c r="A309" s="22"/>
      <c r="B309" s="41" t="str">
        <f t="shared" si="21"/>
        <v/>
      </c>
      <c r="C309" s="42">
        <f t="shared" si="22"/>
        <v>308</v>
      </c>
      <c r="D309" s="38"/>
      <c r="E309" s="38"/>
      <c r="F309" s="38"/>
      <c r="G309" s="38"/>
      <c r="H309" s="38"/>
      <c r="I309" s="38" t="s">
        <v>9</v>
      </c>
      <c r="J309" s="38"/>
      <c r="K309" s="124" t="s">
        <v>18</v>
      </c>
      <c r="L309" s="125" t="s">
        <v>21</v>
      </c>
      <c r="M309" s="124" t="s">
        <v>712</v>
      </c>
      <c r="N309" s="124" t="s">
        <v>259</v>
      </c>
      <c r="O309" s="124" t="s">
        <v>259</v>
      </c>
      <c r="P309" s="118" t="s">
        <v>259</v>
      </c>
      <c r="Q309" s="129" t="s">
        <v>9</v>
      </c>
      <c r="R309" s="129" t="s">
        <v>102</v>
      </c>
      <c r="S309" s="129" t="s">
        <v>111</v>
      </c>
      <c r="T309" s="124"/>
      <c r="U309" s="124"/>
      <c r="V309" s="124" t="s">
        <v>712</v>
      </c>
      <c r="W309" s="15"/>
      <c r="X309" s="118"/>
      <c r="Y309" s="124"/>
      <c r="Z309" s="59" t="str">
        <f>IF(OR($M309="",NOT($O309="{array}")),"",IFERROR(MATCH(PARAMETERS!$M309,DEFAULT!$B$5:$CX$5,0),""))</f>
        <v/>
      </c>
      <c r="AA309" s="56" t="str">
        <f t="shared" si="19"/>
        <v/>
      </c>
      <c r="AB309" s="63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7" t="str">
        <f>IF($AA309="","",IF($B309="I",VLOOKUP($AA309,#REF!,53,0),INDEX(VALUES!$B$1:$BT$1,1,$AA309)))</f>
        <v/>
      </c>
    </row>
    <row r="310" spans="1:29" collapsed="1" x14ac:dyDescent="0.3">
      <c r="A310" s="22" t="s">
        <v>84</v>
      </c>
      <c r="B310" s="41" t="str">
        <f t="shared" ref="B310:B319" si="23">IF($A310="P",IF(NOT($Z310=""),"A",IF(NOT($AA310=""),"I","")),IF(NOT($AA310=""),IF($A310="G","V","X"),IF(NOT($Z310=""),"A","")))</f>
        <v/>
      </c>
      <c r="C310" s="42">
        <f t="shared" si="22"/>
        <v>309</v>
      </c>
      <c r="D310" s="38"/>
      <c r="E310" s="38"/>
      <c r="F310" s="38"/>
      <c r="G310" s="38"/>
      <c r="H310" s="38"/>
      <c r="I310" s="38"/>
      <c r="J310" s="38"/>
      <c r="K310" s="14" t="s">
        <v>57</v>
      </c>
      <c r="L310" s="14" t="s">
        <v>38</v>
      </c>
      <c r="M310" s="48" t="s">
        <v>713</v>
      </c>
      <c r="N310" s="41" t="s">
        <v>714</v>
      </c>
      <c r="R310" s="38" t="s">
        <v>102</v>
      </c>
      <c r="S310" s="38"/>
      <c r="T310" s="38"/>
      <c r="W310" s="15" t="str">
        <f>IF(IFERROR(VLOOKUP($M310,COMPARE!$H$2:$H$847,1,0),"-")="-","","GS")</f>
        <v/>
      </c>
      <c r="Y310" s="53"/>
      <c r="Z310" s="59" t="str">
        <f>IF(OR($M310="",NOT($O310="{array}")),"",IFERROR(MATCH(PARAMETERS!$M310,DEFAULT!$B$5:$CX$5,0),""))</f>
        <v/>
      </c>
      <c r="AA310" s="56" t="str">
        <f t="shared" si="19"/>
        <v/>
      </c>
      <c r="AB310" s="63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7" t="str">
        <f>IF($AA310="","",IF($B310="I",VLOOKUP($AA310,#REF!,53,0),INDEX(VALUES!$B$1:$BT$1,1,$AA310)))</f>
        <v/>
      </c>
    </row>
    <row r="311" spans="1:29" hidden="1" outlineLevel="1" x14ac:dyDescent="0.3">
      <c r="A311" s="22" t="s">
        <v>84</v>
      </c>
      <c r="B311" s="41" t="str">
        <f t="shared" si="23"/>
        <v/>
      </c>
      <c r="C311" s="42">
        <f t="shared" si="22"/>
        <v>310</v>
      </c>
      <c r="D311" s="38"/>
      <c r="E311" s="38"/>
      <c r="F311" s="38" t="s">
        <v>9</v>
      </c>
      <c r="G311" s="38"/>
      <c r="H311" s="38"/>
      <c r="I311" s="38" t="s">
        <v>9</v>
      </c>
      <c r="J311" s="38"/>
      <c r="K311" s="14" t="s">
        <v>18</v>
      </c>
      <c r="L311" s="14" t="s">
        <v>21</v>
      </c>
      <c r="M311" s="20" t="s">
        <v>737</v>
      </c>
      <c r="N311" s="14" t="s">
        <v>738</v>
      </c>
      <c r="Q311" s="38" t="s">
        <v>9</v>
      </c>
      <c r="R311" s="38" t="s">
        <v>103</v>
      </c>
      <c r="S311" s="38"/>
      <c r="T311" s="38"/>
      <c r="W311" s="15" t="str">
        <f>IF(IFERROR(VLOOKUP($M311,COMPARE!$H$2:$H$847,1,0),"-")="-","","GS")</f>
        <v/>
      </c>
      <c r="Z311" s="59" t="str">
        <f>IF(OR($M311="",NOT($O311="{array}")),"",IFERROR(MATCH(PARAMETERS!$M311,DEFAULT!$B$5:$CX$5,0),""))</f>
        <v/>
      </c>
      <c r="AA311" s="56" t="str">
        <f t="shared" si="19"/>
        <v/>
      </c>
      <c r="AB311" s="63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7" t="str">
        <f>IF($AA311="","",IF($B311="I",VLOOKUP($AA311,#REF!,53,0),INDEX(VALUES!$B$1:$BT$1,1,$AA311)))</f>
        <v/>
      </c>
    </row>
    <row r="312" spans="1:29" hidden="1" outlineLevel="1" x14ac:dyDescent="0.25">
      <c r="A312" s="22"/>
      <c r="B312" s="41" t="str">
        <f t="shared" si="23"/>
        <v/>
      </c>
      <c r="C312" s="42">
        <f t="shared" si="22"/>
        <v>311</v>
      </c>
      <c r="D312" s="38"/>
      <c r="E312" s="38"/>
      <c r="F312" s="38"/>
      <c r="G312" s="38"/>
      <c r="H312" s="38"/>
      <c r="I312" s="38" t="s">
        <v>9</v>
      </c>
      <c r="J312" s="38"/>
      <c r="K312" s="124" t="s">
        <v>18</v>
      </c>
      <c r="L312" s="125" t="s">
        <v>21</v>
      </c>
      <c r="M312" s="124" t="s">
        <v>739</v>
      </c>
      <c r="N312" s="124" t="s">
        <v>259</v>
      </c>
      <c r="O312" s="124" t="s">
        <v>259</v>
      </c>
      <c r="P312" s="118" t="s">
        <v>259</v>
      </c>
      <c r="Q312" s="118" t="s">
        <v>9</v>
      </c>
      <c r="R312" s="118" t="s">
        <v>102</v>
      </c>
      <c r="S312" s="118" t="s">
        <v>111</v>
      </c>
      <c r="T312" s="124" t="s">
        <v>259</v>
      </c>
      <c r="U312" s="124" t="s">
        <v>259</v>
      </c>
      <c r="V312" s="124" t="s">
        <v>739</v>
      </c>
      <c r="W312" s="15" t="str">
        <f>IF(IFERROR(VLOOKUP($M312,COMPARE!$H$2:$H$847,1,0),"-")="-","","GS")</f>
        <v/>
      </c>
      <c r="X312" s="118" t="s">
        <v>259</v>
      </c>
      <c r="Y312" s="124" t="s">
        <v>740</v>
      </c>
      <c r="Z312" s="59" t="str">
        <f>IF(OR($M312="",NOT($O312="{array}")),"",IFERROR(MATCH(PARAMETERS!$M312,DEFAULT!$B$5:$CX$5,0),""))</f>
        <v/>
      </c>
      <c r="AA312" s="56" t="str">
        <f t="shared" si="19"/>
        <v/>
      </c>
      <c r="AB312" s="63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7" t="str">
        <f>IF($AA312="","",IF($B312="I",VLOOKUP($AA312,#REF!,53,0),INDEX(VALUES!$B$1:$BT$1,1,$AA312)))</f>
        <v/>
      </c>
    </row>
    <row r="313" spans="1:29" hidden="1" outlineLevel="1" x14ac:dyDescent="0.25">
      <c r="A313" s="22"/>
      <c r="B313" s="41" t="str">
        <f t="shared" si="23"/>
        <v/>
      </c>
      <c r="C313" s="42">
        <f t="shared" si="22"/>
        <v>312</v>
      </c>
      <c r="D313" s="38"/>
      <c r="E313" s="38"/>
      <c r="F313" s="38"/>
      <c r="G313" s="38"/>
      <c r="H313" s="38"/>
      <c r="I313" s="38" t="s">
        <v>9</v>
      </c>
      <c r="J313" s="38"/>
      <c r="K313" s="124" t="s">
        <v>99</v>
      </c>
      <c r="L313" s="125" t="s">
        <v>21</v>
      </c>
      <c r="M313" s="124" t="s">
        <v>741</v>
      </c>
      <c r="N313" s="124" t="s">
        <v>259</v>
      </c>
      <c r="O313" s="124" t="s">
        <v>742</v>
      </c>
      <c r="P313" s="118" t="s">
        <v>259</v>
      </c>
      <c r="Q313" s="118" t="s">
        <v>9</v>
      </c>
      <c r="R313" s="118" t="s">
        <v>102</v>
      </c>
      <c r="S313" s="118" t="s">
        <v>111</v>
      </c>
      <c r="T313" s="124" t="s">
        <v>259</v>
      </c>
      <c r="U313" s="124" t="s">
        <v>259</v>
      </c>
      <c r="V313" s="124" t="s">
        <v>741</v>
      </c>
      <c r="W313" s="15" t="str">
        <f>IF(IFERROR(VLOOKUP($M313,COMPARE!$H$2:$H$847,1,0),"-")="-","","GS")</f>
        <v/>
      </c>
      <c r="X313" s="118" t="s">
        <v>259</v>
      </c>
      <c r="Y313" s="124" t="s">
        <v>743</v>
      </c>
      <c r="Z313" s="59" t="str">
        <f>IF(OR($M313="",NOT($O313="{array}")),"",IFERROR(MATCH(PARAMETERS!$M313,DEFAULT!$B$5:$CX$5,0),""))</f>
        <v/>
      </c>
      <c r="AA313" s="56" t="str">
        <f t="shared" si="19"/>
        <v/>
      </c>
      <c r="AB313" s="63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17" t="str">
        <f>IF($AA313="","",IF($B313="I",VLOOKUP($AA313,#REF!,53,0),INDEX(VALUES!$B$1:$BT$1,1,$AA313)))</f>
        <v/>
      </c>
    </row>
    <row r="314" spans="1:29" hidden="1" outlineLevel="1" x14ac:dyDescent="0.25">
      <c r="A314" s="22"/>
      <c r="B314" s="41" t="str">
        <f t="shared" si="23"/>
        <v/>
      </c>
      <c r="C314" s="42">
        <f t="shared" si="22"/>
        <v>313</v>
      </c>
      <c r="D314" s="38"/>
      <c r="E314" s="38"/>
      <c r="F314" s="38"/>
      <c r="G314" s="38"/>
      <c r="H314" s="38"/>
      <c r="I314" s="38" t="s">
        <v>9</v>
      </c>
      <c r="J314" s="38"/>
      <c r="K314" s="124" t="s">
        <v>99</v>
      </c>
      <c r="L314" s="125" t="s">
        <v>21</v>
      </c>
      <c r="M314" s="124" t="s">
        <v>744</v>
      </c>
      <c r="N314" s="124" t="s">
        <v>259</v>
      </c>
      <c r="O314" s="124" t="s">
        <v>745</v>
      </c>
      <c r="P314" s="118" t="s">
        <v>259</v>
      </c>
      <c r="Q314" s="118" t="s">
        <v>9</v>
      </c>
      <c r="R314" s="118" t="s">
        <v>102</v>
      </c>
      <c r="S314" s="118" t="s">
        <v>111</v>
      </c>
      <c r="T314" s="124" t="s">
        <v>259</v>
      </c>
      <c r="U314" s="124" t="s">
        <v>259</v>
      </c>
      <c r="V314" s="124" t="s">
        <v>744</v>
      </c>
      <c r="W314" s="15" t="str">
        <f>IF(IFERROR(VLOOKUP($M314,COMPARE!$H$2:$H$847,1,0),"-")="-","","GS")</f>
        <v/>
      </c>
      <c r="X314" s="118" t="s">
        <v>259</v>
      </c>
      <c r="Y314" s="124" t="s">
        <v>743</v>
      </c>
      <c r="Z314" s="59" t="str">
        <f>IF(OR($M314="",NOT($O314="{array}")),"",IFERROR(MATCH(PARAMETERS!$M314,DEFAULT!$B$5:$CX$5,0),""))</f>
        <v/>
      </c>
      <c r="AA314" s="56" t="str">
        <f t="shared" si="19"/>
        <v/>
      </c>
      <c r="AB314" s="63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17" t="str">
        <f>IF($AA314="","",IF($B314="I",VLOOKUP($AA314,#REF!,53,0),INDEX(VALUES!$B$1:$BT$1,1,$AA314)))</f>
        <v/>
      </c>
    </row>
    <row r="315" spans="1:29" hidden="1" outlineLevel="1" x14ac:dyDescent="0.25">
      <c r="A315" s="22"/>
      <c r="B315" s="41" t="str">
        <f t="shared" si="23"/>
        <v/>
      </c>
      <c r="C315" s="42">
        <f t="shared" si="22"/>
        <v>314</v>
      </c>
      <c r="D315" s="38"/>
      <c r="E315" s="38"/>
      <c r="F315" s="38"/>
      <c r="G315" s="38"/>
      <c r="H315" s="38"/>
      <c r="I315" s="38" t="s">
        <v>9</v>
      </c>
      <c r="J315" s="38"/>
      <c r="K315" s="124" t="s">
        <v>47</v>
      </c>
      <c r="L315" s="125" t="s">
        <v>21</v>
      </c>
      <c r="M315" s="124" t="s">
        <v>746</v>
      </c>
      <c r="N315" s="124" t="s">
        <v>259</v>
      </c>
      <c r="O315" s="124" t="s">
        <v>259</v>
      </c>
      <c r="P315" s="118" t="s">
        <v>259</v>
      </c>
      <c r="Q315" s="118" t="s">
        <v>9</v>
      </c>
      <c r="R315" s="118" t="s">
        <v>102</v>
      </c>
      <c r="S315" s="118" t="s">
        <v>111</v>
      </c>
      <c r="T315" s="124" t="s">
        <v>259</v>
      </c>
      <c r="U315" s="124" t="s">
        <v>259</v>
      </c>
      <c r="V315" s="124" t="s">
        <v>746</v>
      </c>
      <c r="W315" s="15" t="str">
        <f>IF(IFERROR(VLOOKUP($M315,COMPARE!$H$2:$H$847,1,0),"-")="-","","GS")</f>
        <v/>
      </c>
      <c r="X315" s="118" t="s">
        <v>259</v>
      </c>
      <c r="Y315" s="124" t="s">
        <v>747</v>
      </c>
      <c r="Z315" s="59" t="str">
        <f>IF(OR($M315="",NOT($O315="{array}")),"",IFERROR(MATCH(PARAMETERS!$M315,DEFAULT!$B$5:$CX$5,0),""))</f>
        <v/>
      </c>
      <c r="AA315" s="56" t="str">
        <f t="shared" si="19"/>
        <v/>
      </c>
      <c r="AB315" s="63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17" t="str">
        <f>IF($AA315="","",IF($B315="I",VLOOKUP($AA315,#REF!,53,0),INDEX(VALUES!$B$1:$BT$1,1,$AA315)))</f>
        <v/>
      </c>
    </row>
    <row r="316" spans="1:29" hidden="1" outlineLevel="1" x14ac:dyDescent="0.25">
      <c r="A316" s="22"/>
      <c r="B316" s="41" t="str">
        <f t="shared" si="23"/>
        <v/>
      </c>
      <c r="C316" s="42">
        <f t="shared" si="22"/>
        <v>315</v>
      </c>
      <c r="D316" s="38"/>
      <c r="E316" s="38"/>
      <c r="F316" s="38"/>
      <c r="G316" s="38"/>
      <c r="H316" s="38"/>
      <c r="I316" s="38" t="s">
        <v>9</v>
      </c>
      <c r="J316" s="38"/>
      <c r="K316" s="124" t="s">
        <v>47</v>
      </c>
      <c r="L316" s="125" t="s">
        <v>21</v>
      </c>
      <c r="M316" s="124" t="s">
        <v>748</v>
      </c>
      <c r="N316" s="124" t="s">
        <v>259</v>
      </c>
      <c r="O316" s="124" t="s">
        <v>259</v>
      </c>
      <c r="P316" s="118" t="s">
        <v>259</v>
      </c>
      <c r="Q316" s="118" t="s">
        <v>9</v>
      </c>
      <c r="R316" s="118" t="s">
        <v>102</v>
      </c>
      <c r="S316" s="118" t="s">
        <v>111</v>
      </c>
      <c r="T316" s="124" t="s">
        <v>259</v>
      </c>
      <c r="U316" s="124" t="s">
        <v>259</v>
      </c>
      <c r="V316" s="124" t="s">
        <v>748</v>
      </c>
      <c r="W316" s="15" t="str">
        <f>IF(IFERROR(VLOOKUP($M316,COMPARE!$H$2:$H$847,1,0),"-")="-","","GS")</f>
        <v/>
      </c>
      <c r="X316" s="118" t="s">
        <v>259</v>
      </c>
      <c r="Y316" s="124" t="s">
        <v>749</v>
      </c>
      <c r="Z316" s="59" t="str">
        <f>IF(OR($M316="",NOT($O316="{array}")),"",IFERROR(MATCH(PARAMETERS!$M316,DEFAULT!$B$5:$CX$5,0),""))</f>
        <v/>
      </c>
      <c r="AA316" s="56" t="str">
        <f t="shared" si="19"/>
        <v/>
      </c>
      <c r="AB316" s="63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17" t="str">
        <f>IF($AA316="","",IF($B316="I",VLOOKUP($AA316,#REF!,53,0),INDEX(VALUES!$B$1:$BT$1,1,$AA316)))</f>
        <v/>
      </c>
    </row>
    <row r="317" spans="1:29" hidden="1" outlineLevel="1" x14ac:dyDescent="0.25">
      <c r="A317" s="22"/>
      <c r="B317" s="41" t="str">
        <f t="shared" si="23"/>
        <v/>
      </c>
      <c r="C317" s="42">
        <f t="shared" si="22"/>
        <v>316</v>
      </c>
      <c r="D317" s="38"/>
      <c r="E317" s="38"/>
      <c r="F317" s="38"/>
      <c r="G317" s="38"/>
      <c r="H317" s="38"/>
      <c r="I317" s="38" t="s">
        <v>9</v>
      </c>
      <c r="J317" s="38"/>
      <c r="K317" s="124" t="s">
        <v>99</v>
      </c>
      <c r="L317" s="125" t="s">
        <v>21</v>
      </c>
      <c r="M317" s="124" t="s">
        <v>750</v>
      </c>
      <c r="N317" s="124" t="s">
        <v>259</v>
      </c>
      <c r="O317" s="124" t="s">
        <v>751</v>
      </c>
      <c r="P317" s="118" t="s">
        <v>259</v>
      </c>
      <c r="Q317" s="118" t="s">
        <v>9</v>
      </c>
      <c r="R317" s="118" t="s">
        <v>102</v>
      </c>
      <c r="S317" s="118" t="s">
        <v>111</v>
      </c>
      <c r="T317" s="124" t="s">
        <v>259</v>
      </c>
      <c r="U317" s="124" t="s">
        <v>259</v>
      </c>
      <c r="V317" s="124" t="s">
        <v>750</v>
      </c>
      <c r="W317" s="15" t="str">
        <f>IF(IFERROR(VLOOKUP($M317,COMPARE!$H$2:$H$847,1,0),"-")="-","","GS")</f>
        <v/>
      </c>
      <c r="X317" s="118" t="s">
        <v>259</v>
      </c>
      <c r="Y317" s="124" t="s">
        <v>752</v>
      </c>
      <c r="Z317" s="59" t="str">
        <f>IF(OR($M317="",NOT($O317="{array}")),"",IFERROR(MATCH(PARAMETERS!$M317,DEFAULT!$B$5:$CX$5,0),""))</f>
        <v/>
      </c>
      <c r="AA317" s="56" t="str">
        <f t="shared" si="19"/>
        <v/>
      </c>
      <c r="AB317" s="63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17" t="str">
        <f>IF($AA317="","",IF($B317="I",VLOOKUP($AA317,#REF!,53,0),INDEX(VALUES!$B$1:$BT$1,1,$AA317)))</f>
        <v/>
      </c>
    </row>
    <row r="318" spans="1:29" hidden="1" outlineLevel="1" x14ac:dyDescent="0.25">
      <c r="A318" s="22"/>
      <c r="B318" s="41" t="str">
        <f t="shared" si="23"/>
        <v/>
      </c>
      <c r="C318" s="42">
        <f t="shared" si="22"/>
        <v>317</v>
      </c>
      <c r="D318" s="38"/>
      <c r="E318" s="38"/>
      <c r="F318" s="38"/>
      <c r="G318" s="38"/>
      <c r="H318" s="38"/>
      <c r="I318" s="38" t="s">
        <v>9</v>
      </c>
      <c r="J318" s="38"/>
      <c r="K318" s="124" t="s">
        <v>47</v>
      </c>
      <c r="L318" s="125" t="s">
        <v>21</v>
      </c>
      <c r="M318" s="124" t="s">
        <v>753</v>
      </c>
      <c r="N318" s="124" t="s">
        <v>259</v>
      </c>
      <c r="O318" s="124" t="s">
        <v>259</v>
      </c>
      <c r="P318" s="118" t="s">
        <v>259</v>
      </c>
      <c r="Q318" s="118" t="s">
        <v>9</v>
      </c>
      <c r="R318" s="118" t="s">
        <v>102</v>
      </c>
      <c r="S318" s="118" t="s">
        <v>111</v>
      </c>
      <c r="T318" s="124" t="s">
        <v>259</v>
      </c>
      <c r="U318" s="124" t="s">
        <v>259</v>
      </c>
      <c r="V318" s="124" t="s">
        <v>753</v>
      </c>
      <c r="W318" s="15" t="str">
        <f>IF(IFERROR(VLOOKUP($M318,COMPARE!$H$2:$H$847,1,0),"-")="-","","GS")</f>
        <v/>
      </c>
      <c r="X318" s="118" t="s">
        <v>259</v>
      </c>
      <c r="Y318" s="124" t="s">
        <v>259</v>
      </c>
      <c r="Z318" s="59" t="str">
        <f>IF(OR($M318="",NOT($O318="{array}")),"",IFERROR(MATCH(PARAMETERS!$M318,DEFAULT!$B$5:$CX$5,0),""))</f>
        <v/>
      </c>
      <c r="AA318" s="56" t="str">
        <f t="shared" si="19"/>
        <v/>
      </c>
      <c r="AB318" s="63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17" t="str">
        <f>IF($AA318="","",IF($B318="I",VLOOKUP($AA318,#REF!,53,0),INDEX(VALUES!$B$1:$BT$1,1,$AA318)))</f>
        <v/>
      </c>
    </row>
    <row r="319" spans="1:29" hidden="1" outlineLevel="1" x14ac:dyDescent="0.3">
      <c r="A319" s="22" t="s">
        <v>84</v>
      </c>
      <c r="B319" s="41" t="str">
        <f t="shared" si="23"/>
        <v/>
      </c>
      <c r="C319" s="42">
        <f t="shared" si="22"/>
        <v>318</v>
      </c>
      <c r="D319" s="38"/>
      <c r="E319" s="38"/>
      <c r="F319" s="38" t="s">
        <v>9</v>
      </c>
      <c r="G319" s="38"/>
      <c r="H319" s="38"/>
      <c r="I319" s="38" t="s">
        <v>9</v>
      </c>
      <c r="J319" s="38"/>
      <c r="K319" s="14" t="s">
        <v>18</v>
      </c>
      <c r="L319" s="14" t="s">
        <v>21</v>
      </c>
      <c r="M319" s="20" t="s">
        <v>754</v>
      </c>
      <c r="N319" s="14" t="s">
        <v>755</v>
      </c>
      <c r="Q319" s="38" t="s">
        <v>9</v>
      </c>
      <c r="R319" s="38" t="s">
        <v>103</v>
      </c>
      <c r="S319" s="38"/>
      <c r="T319" s="38"/>
      <c r="W319" s="15" t="str">
        <f>IF(IFERROR(VLOOKUP($M319,COMPARE!$H$2:$H$847,1,0),"-")="-","","GS")</f>
        <v/>
      </c>
      <c r="Z319" s="59" t="str">
        <f>IF(OR($M319="",NOT($O319="{array}")),"",IFERROR(MATCH(PARAMETERS!$M319,DEFAULT!$B$5:$CX$5,0),""))</f>
        <v/>
      </c>
      <c r="AA319" s="56" t="str">
        <f t="shared" si="19"/>
        <v/>
      </c>
      <c r="AB319" s="63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17" t="str">
        <f>IF($AA319="","",IF($B319="I",VLOOKUP($AA319,#REF!,53,0),INDEX(VALUES!$B$1:$BT$1,1,$AA319)))</f>
        <v/>
      </c>
    </row>
    <row r="320" spans="1:29" collapsed="1" x14ac:dyDescent="0.3">
      <c r="A320" s="22" t="s">
        <v>184</v>
      </c>
      <c r="B320" s="41"/>
      <c r="C320" s="42"/>
      <c r="D320" s="38"/>
      <c r="E320" s="38"/>
      <c r="F320" s="38"/>
      <c r="G320" s="38"/>
      <c r="H320" s="38"/>
      <c r="I320" s="38"/>
      <c r="J320" s="38"/>
      <c r="R320" s="38"/>
      <c r="S320" s="38"/>
      <c r="T320" s="38"/>
      <c r="W320" s="15" t="str">
        <f>IF(IFERROR(VLOOKUP($M320,COMPARE!$H$2:$H$847,1,0),"-")="-","","GS")</f>
        <v/>
      </c>
      <c r="Z320" s="59" t="str">
        <f>IF(OR($M320="",NOT($O320="{array}")),"",IFERROR(MATCH(PARAMETERS!$M320,DEFAULT!$B$5:$CX$5,0),""))</f>
        <v/>
      </c>
      <c r="AA320" s="56" t="str">
        <f t="shared" si="19"/>
        <v/>
      </c>
      <c r="AB320" s="63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17" t="str">
        <f>IF($AA320="","",IF($B320="I",VLOOKUP($AA320,#REF!,53,0),INDEX(VALUES!$B$1:$BT$1,1,$AA320)))</f>
        <v/>
      </c>
    </row>
    <row r="321" spans="1:29" x14ac:dyDescent="0.3">
      <c r="A321" s="22" t="s">
        <v>84</v>
      </c>
      <c r="B321" s="41" t="str">
        <f t="shared" ref="B321:B354" si="24">IF($A321="P",IF(NOT($Z321=""),"A",IF(NOT($AA321=""),"I","")),IF(NOT($AA321=""),IF($A321="G","V","X"),IF(NOT($Z321=""),"A","")))</f>
        <v/>
      </c>
      <c r="C321" s="42">
        <f t="shared" ref="C321:C354" si="25">(ROW()-1)</f>
        <v>320</v>
      </c>
      <c r="D321" s="38"/>
      <c r="E321" s="38"/>
      <c r="F321" s="38" t="s">
        <v>9</v>
      </c>
      <c r="G321" s="38" t="s">
        <v>9</v>
      </c>
      <c r="H321" s="38"/>
      <c r="I321" s="38"/>
      <c r="J321" s="38"/>
      <c r="K321" s="14" t="s">
        <v>57</v>
      </c>
      <c r="L321" s="14" t="s">
        <v>38</v>
      </c>
      <c r="M321" s="48" t="s">
        <v>185</v>
      </c>
      <c r="N321" s="41" t="s">
        <v>186</v>
      </c>
      <c r="R321" s="38" t="s">
        <v>103</v>
      </c>
      <c r="S321" s="38"/>
      <c r="T321" s="38"/>
      <c r="W321" s="15" t="str">
        <f>IF(IFERROR(VLOOKUP($M321,COMPARE!$H$2:$H$847,1,0),"-")="-","","GS")</f>
        <v/>
      </c>
      <c r="Z321" s="59" t="str">
        <f>IF(OR($M321="",NOT($O321="{array}")),"",IFERROR(MATCH(PARAMETERS!$M321,DEFAULT!$B$5:$CX$5,0),""))</f>
        <v/>
      </c>
      <c r="AA321" s="56" t="str">
        <f t="shared" si="19"/>
        <v/>
      </c>
      <c r="AB321" s="63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17" t="str">
        <f>IF($AA321="","",IF($B321="I",VLOOKUP($AA321,#REF!,53,0),INDEX(VALUES!$B$1:$BT$1,1,$AA321)))</f>
        <v/>
      </c>
    </row>
    <row r="322" spans="1:29" x14ac:dyDescent="0.3">
      <c r="A322" s="22" t="s">
        <v>84</v>
      </c>
      <c r="B322" s="41" t="str">
        <f t="shared" si="24"/>
        <v/>
      </c>
      <c r="C322" s="42">
        <f t="shared" si="25"/>
        <v>321</v>
      </c>
      <c r="D322" s="38"/>
      <c r="E322" s="38"/>
      <c r="F322" s="38"/>
      <c r="G322" s="38"/>
      <c r="H322" s="38"/>
      <c r="I322" s="38"/>
      <c r="J322" s="38"/>
      <c r="K322" s="14" t="s">
        <v>57</v>
      </c>
      <c r="L322" s="14" t="s">
        <v>38</v>
      </c>
      <c r="M322" s="48" t="s">
        <v>187</v>
      </c>
      <c r="N322" s="41" t="s">
        <v>188</v>
      </c>
      <c r="R322" s="38" t="s">
        <v>103</v>
      </c>
      <c r="S322" s="38"/>
      <c r="T322" s="38"/>
      <c r="W322" s="15" t="str">
        <f>IF(IFERROR(VLOOKUP($M322,COMPARE!$H$2:$H$847,1,0),"-")="-","","GS")</f>
        <v/>
      </c>
      <c r="Z322" s="59" t="str">
        <f>IF(OR($M322="",NOT($O322="{array}")),"",IFERROR(MATCH(PARAMETERS!$M322,DEFAULT!$B$5:$CX$5,0),""))</f>
        <v/>
      </c>
      <c r="AA322" s="56" t="str">
        <f t="shared" ref="AA322:AA385" si="26">IF($M322="","",IFERROR(MATCH($M322,VALUESnames,0),""))</f>
        <v/>
      </c>
      <c r="AB322" s="63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17" t="str">
        <f>IF($AA322="","",IF($B322="I",VLOOKUP($AA322,#REF!,53,0),INDEX(VALUES!$B$1:$BT$1,1,$AA322)))</f>
        <v/>
      </c>
    </row>
    <row r="323" spans="1:29" hidden="1" outlineLevel="1" x14ac:dyDescent="0.3">
      <c r="A323" s="22" t="s">
        <v>84</v>
      </c>
      <c r="B323" s="41" t="str">
        <f t="shared" si="24"/>
        <v>A</v>
      </c>
      <c r="C323" s="42">
        <f t="shared" si="25"/>
        <v>322</v>
      </c>
      <c r="D323" s="38"/>
      <c r="E323" s="38"/>
      <c r="F323" s="38"/>
      <c r="G323" s="38"/>
      <c r="H323" s="38"/>
      <c r="I323" s="38" t="s">
        <v>9</v>
      </c>
      <c r="J323" s="38"/>
      <c r="K323" s="14" t="s">
        <v>52</v>
      </c>
      <c r="L323" s="14" t="s">
        <v>27</v>
      </c>
      <c r="M323" s="109" t="s">
        <v>189</v>
      </c>
      <c r="N323" s="14" t="s">
        <v>190</v>
      </c>
      <c r="O323" s="43" t="s">
        <v>33</v>
      </c>
      <c r="R323" s="38" t="s">
        <v>191</v>
      </c>
      <c r="S323" s="38"/>
      <c r="T323" s="38"/>
      <c r="W323" s="15" t="str">
        <f>IF(IFERROR(VLOOKUP($M323,COMPARE!$H$2:$H$847,1,0),"-")="-","","GS")</f>
        <v/>
      </c>
      <c r="Z323" s="59">
        <f>IF(OR($M323="",NOT($O323="{array}")),"",IFERROR(MATCH(PARAMETERS!$M323,DEFAULT!$B$5:$CX$5,0),""))</f>
        <v>96</v>
      </c>
      <c r="AA323" s="56" t="str">
        <f t="shared" si="26"/>
        <v/>
      </c>
      <c r="AB323" s="63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17" t="str">
        <f>IF($AA323="","",IF($B323="I",VLOOKUP($AA323,#REF!,53,0),INDEX(VALUES!$B$1:$BT$1,1,$AA323)))</f>
        <v/>
      </c>
    </row>
    <row r="324" spans="1:29" collapsed="1" x14ac:dyDescent="0.3">
      <c r="A324" s="22" t="s">
        <v>84</v>
      </c>
      <c r="B324" s="41" t="str">
        <f t="shared" si="24"/>
        <v/>
      </c>
      <c r="C324" s="42">
        <f t="shared" si="25"/>
        <v>323</v>
      </c>
      <c r="D324" s="38"/>
      <c r="E324" s="38"/>
      <c r="F324" s="38" t="s">
        <v>9</v>
      </c>
      <c r="G324" s="38"/>
      <c r="H324" s="38"/>
      <c r="I324" s="38"/>
      <c r="J324" s="38"/>
      <c r="K324" s="14" t="s">
        <v>57</v>
      </c>
      <c r="L324" s="14" t="s">
        <v>38</v>
      </c>
      <c r="M324" s="48" t="s">
        <v>192</v>
      </c>
      <c r="N324" s="41" t="s">
        <v>193</v>
      </c>
      <c r="R324" s="38" t="s">
        <v>103</v>
      </c>
      <c r="S324" s="38"/>
      <c r="T324" s="38"/>
      <c r="W324" s="15" t="str">
        <f>IF(IFERROR(VLOOKUP($M324,COMPARE!$H$2:$H$847,1,0),"-")="-","","GS")</f>
        <v/>
      </c>
      <c r="Z324" s="59" t="str">
        <f>IF(OR($M324="",NOT($O324="{array}")),"",IFERROR(MATCH(PARAMETERS!$M324,DEFAULT!$B$5:$CX$5,0),""))</f>
        <v/>
      </c>
      <c r="AA324" s="56" t="str">
        <f t="shared" si="26"/>
        <v/>
      </c>
      <c r="AB324" s="63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17" t="str">
        <f>IF($AA324="","",IF($B324="I",VLOOKUP($AA324,#REF!,53,0),INDEX(VALUES!$B$1:$BT$1,1,$AA324)))</f>
        <v/>
      </c>
    </row>
    <row r="325" spans="1:29" hidden="1" outlineLevel="1" x14ac:dyDescent="0.3">
      <c r="A325" s="22" t="s">
        <v>84</v>
      </c>
      <c r="B325" s="41" t="str">
        <f t="shared" si="24"/>
        <v>A</v>
      </c>
      <c r="C325" s="42">
        <f t="shared" si="25"/>
        <v>324</v>
      </c>
      <c r="D325" s="38"/>
      <c r="E325" s="38"/>
      <c r="F325" s="38"/>
      <c r="G325" s="38"/>
      <c r="H325" s="38"/>
      <c r="I325" s="38" t="s">
        <v>9</v>
      </c>
      <c r="J325" s="38"/>
      <c r="K325" s="14" t="s">
        <v>53</v>
      </c>
      <c r="L325" s="14" t="s">
        <v>27</v>
      </c>
      <c r="M325" s="109" t="s">
        <v>194</v>
      </c>
      <c r="N325" s="14" t="s">
        <v>195</v>
      </c>
      <c r="O325" s="43" t="s">
        <v>33</v>
      </c>
      <c r="R325" s="38" t="s">
        <v>191</v>
      </c>
      <c r="S325" s="38"/>
      <c r="T325" s="38"/>
      <c r="W325" s="15" t="str">
        <f>IF(IFERROR(VLOOKUP($M325,COMPARE!$H$2:$H$847,1,0),"-")="-","","GS")</f>
        <v/>
      </c>
      <c r="Z325" s="59">
        <f>IF(OR($M325="",NOT($O325="{array}")),"",IFERROR(MATCH(PARAMETERS!$M325,DEFAULT!$B$5:$CX$5,0),""))</f>
        <v>90</v>
      </c>
      <c r="AA325" s="56" t="str">
        <f t="shared" si="26"/>
        <v/>
      </c>
      <c r="AB325" s="63" t="str">
        <f>IF(AND(OR($A325="G",$A325="P"),NOT($O325="{array}")),IF(VLOOKUP($K325,base!$B$2:$D$20,3,0)="S",IF(OR($O325="",ISTEXT($O325)),"","STRING!"),IF(VLOOKUP($K325,base!$B$2:$D$20,3,0)="","",IF(ISTEXT($O325),"NUMERIC!",""))),"")</f>
        <v/>
      </c>
      <c r="AC325" s="17" t="str">
        <f>IF($AA325="","",IF($B325="I",VLOOKUP($AA325,#REF!,53,0),INDEX(VALUES!$B$1:$BT$1,1,$AA325)))</f>
        <v/>
      </c>
    </row>
    <row r="326" spans="1:29" hidden="1" outlineLevel="1" x14ac:dyDescent="0.3">
      <c r="A326" s="22" t="s">
        <v>84</v>
      </c>
      <c r="B326" s="41" t="str">
        <f t="shared" si="24"/>
        <v>A</v>
      </c>
      <c r="C326" s="42">
        <f t="shared" si="25"/>
        <v>325</v>
      </c>
      <c r="D326" s="38"/>
      <c r="E326" s="38"/>
      <c r="F326" s="38"/>
      <c r="G326" s="38"/>
      <c r="H326" s="38"/>
      <c r="I326" s="38" t="s">
        <v>9</v>
      </c>
      <c r="J326" s="38"/>
      <c r="K326" s="14" t="s">
        <v>53</v>
      </c>
      <c r="L326" s="14" t="s">
        <v>27</v>
      </c>
      <c r="M326" s="109" t="s">
        <v>196</v>
      </c>
      <c r="N326" s="14" t="s">
        <v>197</v>
      </c>
      <c r="O326" s="43" t="s">
        <v>33</v>
      </c>
      <c r="R326" s="38" t="s">
        <v>191</v>
      </c>
      <c r="S326" s="38"/>
      <c r="T326" s="38"/>
      <c r="W326" s="15" t="str">
        <f>IF(IFERROR(VLOOKUP($M326,COMPARE!$H$2:$H$847,1,0),"-")="-","","GS")</f>
        <v/>
      </c>
      <c r="Z326" s="59">
        <f>IF(OR($M326="",NOT($O326="{array}")),"",IFERROR(MATCH(PARAMETERS!$M326,DEFAULT!$B$5:$CX$5,0),""))</f>
        <v>92</v>
      </c>
      <c r="AA326" s="56" t="str">
        <f t="shared" si="26"/>
        <v/>
      </c>
      <c r="AB326" s="63" t="str">
        <f>IF(AND(OR($A326="G",$A326="P"),NOT($O326="{array}")),IF(VLOOKUP($K326,base!$B$2:$D$20,3,0)="S",IF(OR($O326="",ISTEXT($O326)),"","STRING!"),IF(VLOOKUP($K326,base!$B$2:$D$20,3,0)="","",IF(ISTEXT($O326),"NUMERIC!",""))),"")</f>
        <v/>
      </c>
      <c r="AC326" s="17" t="str">
        <f>IF($AA326="","",IF($B326="I",VLOOKUP($AA326,#REF!,53,0),INDEX(VALUES!$B$1:$BT$1,1,$AA326)))</f>
        <v/>
      </c>
    </row>
    <row r="327" spans="1:29" hidden="1" outlineLevel="1" x14ac:dyDescent="0.3">
      <c r="A327" s="22" t="s">
        <v>84</v>
      </c>
      <c r="B327" s="41" t="str">
        <f t="shared" si="24"/>
        <v>A</v>
      </c>
      <c r="C327" s="42">
        <f t="shared" si="25"/>
        <v>326</v>
      </c>
      <c r="D327" s="38"/>
      <c r="E327" s="38"/>
      <c r="F327" s="38"/>
      <c r="G327" s="38"/>
      <c r="H327" s="38"/>
      <c r="I327" s="38" t="s">
        <v>9</v>
      </c>
      <c r="J327" s="38"/>
      <c r="K327" s="14" t="s">
        <v>53</v>
      </c>
      <c r="L327" s="14" t="s">
        <v>27</v>
      </c>
      <c r="M327" s="109" t="s">
        <v>198</v>
      </c>
      <c r="N327" s="14" t="s">
        <v>199</v>
      </c>
      <c r="O327" s="43" t="s">
        <v>33</v>
      </c>
      <c r="R327" s="38" t="s">
        <v>191</v>
      </c>
      <c r="S327" s="38"/>
      <c r="T327" s="38"/>
      <c r="W327" s="15" t="str">
        <f>IF(IFERROR(VLOOKUP($M327,COMPARE!$H$2:$H$847,1,0),"-")="-","","GS")</f>
        <v/>
      </c>
      <c r="Z327" s="59">
        <f>IF(OR($M327="",NOT($O327="{array}")),"",IFERROR(MATCH(PARAMETERS!$M327,DEFAULT!$B$5:$CX$5,0),""))</f>
        <v>94</v>
      </c>
      <c r="AA327" s="56" t="str">
        <f t="shared" si="26"/>
        <v/>
      </c>
      <c r="AB327" s="63" t="str">
        <f>IF(AND(OR($A327="G",$A327="P"),NOT($O327="{array}")),IF(VLOOKUP($K327,base!$B$2:$D$20,3,0)="S",IF(OR($O327="",ISTEXT($O327)),"","STRING!"),IF(VLOOKUP($K327,base!$B$2:$D$20,3,0)="","",IF(ISTEXT($O327),"NUMERIC!",""))),"")</f>
        <v/>
      </c>
      <c r="AC327" s="17" t="str">
        <f>IF($AA327="","",IF($B327="I",VLOOKUP($AA327,#REF!,53,0),INDEX(VALUES!$B$1:$BT$1,1,$AA327)))</f>
        <v/>
      </c>
    </row>
    <row r="328" spans="1:29" hidden="1" outlineLevel="1" x14ac:dyDescent="0.3">
      <c r="A328" s="22" t="s">
        <v>84</v>
      </c>
      <c r="B328" s="41" t="str">
        <f t="shared" si="24"/>
        <v/>
      </c>
      <c r="C328" s="42">
        <f t="shared" si="25"/>
        <v>327</v>
      </c>
      <c r="D328" s="38"/>
      <c r="E328" s="38"/>
      <c r="F328" s="38" t="s">
        <v>9</v>
      </c>
      <c r="G328" s="38"/>
      <c r="H328" s="38"/>
      <c r="I328" s="38" t="s">
        <v>9</v>
      </c>
      <c r="J328" s="38"/>
      <c r="K328" s="14" t="s">
        <v>53</v>
      </c>
      <c r="L328" s="14" t="s">
        <v>27</v>
      </c>
      <c r="M328" s="20" t="s">
        <v>756</v>
      </c>
      <c r="N328" s="14" t="s">
        <v>757</v>
      </c>
      <c r="O328" s="43">
        <v>2</v>
      </c>
      <c r="R328" s="38" t="s">
        <v>103</v>
      </c>
      <c r="S328" s="38"/>
      <c r="T328" s="38"/>
      <c r="W328" s="15" t="str">
        <f>IF(IFERROR(VLOOKUP($M328,COMPARE!$H$2:$H$847,1,0),"-")="-","","GS")</f>
        <v/>
      </c>
      <c r="Z328" s="59" t="str">
        <f>IF(OR($M328="",NOT($O328="{array}")),"",IFERROR(MATCH(PARAMETERS!$M328,DEFAULT!$B$5:$CX$5,0),""))</f>
        <v/>
      </c>
      <c r="AA328" s="56" t="str">
        <f t="shared" si="26"/>
        <v/>
      </c>
      <c r="AB328" s="63" t="str">
        <f>IF(AND(OR($A328="G",$A328="P"),NOT($O328="{array}")),IF(VLOOKUP($K328,base!$B$2:$D$20,3,0)="S",IF(OR($O328="",ISTEXT($O328)),"","STRING!"),IF(VLOOKUP($K328,base!$B$2:$D$20,3,0)="","",IF(ISTEXT($O328),"NUMERIC!",""))),"")</f>
        <v/>
      </c>
      <c r="AC328" s="17" t="str">
        <f>IF($AA328="","",IF($B328="I",VLOOKUP($AA328,#REF!,53,0),INDEX(VALUES!$B$1:$BT$1,1,$AA328)))</f>
        <v/>
      </c>
    </row>
    <row r="329" spans="1:29" hidden="1" outlineLevel="1" x14ac:dyDescent="0.3">
      <c r="A329" s="22" t="s">
        <v>84</v>
      </c>
      <c r="B329" s="41" t="str">
        <f t="shared" si="24"/>
        <v/>
      </c>
      <c r="C329" s="42">
        <f t="shared" si="25"/>
        <v>328</v>
      </c>
      <c r="D329" s="38"/>
      <c r="E329" s="38"/>
      <c r="F329" s="38" t="s">
        <v>9</v>
      </c>
      <c r="G329" s="38"/>
      <c r="H329" s="38"/>
      <c r="I329" s="38" t="s">
        <v>9</v>
      </c>
      <c r="J329" s="38"/>
      <c r="K329" s="14" t="s">
        <v>53</v>
      </c>
      <c r="L329" s="14" t="s">
        <v>27</v>
      </c>
      <c r="M329" s="20" t="s">
        <v>758</v>
      </c>
      <c r="N329" s="14" t="s">
        <v>759</v>
      </c>
      <c r="O329" s="43">
        <v>2</v>
      </c>
      <c r="R329" s="38" t="s">
        <v>103</v>
      </c>
      <c r="S329" s="38"/>
      <c r="T329" s="38"/>
      <c r="W329" s="15" t="str">
        <f>IF(IFERROR(VLOOKUP($M329,COMPARE!$H$2:$H$847,1,0),"-")="-","","GS")</f>
        <v/>
      </c>
      <c r="Z329" s="59" t="str">
        <f>IF(OR($M329="",NOT($O329="{array}")),"",IFERROR(MATCH(PARAMETERS!$M329,DEFAULT!$B$5:$CX$5,0),""))</f>
        <v/>
      </c>
      <c r="AA329" s="56" t="str">
        <f t="shared" si="26"/>
        <v/>
      </c>
      <c r="AB329" s="63" t="str">
        <f>IF(AND(OR($A329="G",$A329="P"),NOT($O329="{array}")),IF(VLOOKUP($K329,base!$B$2:$D$20,3,0)="S",IF(OR($O329="",ISTEXT($O329)),"","STRING!"),IF(VLOOKUP($K329,base!$B$2:$D$20,3,0)="","",IF(ISTEXT($O329),"NUMERIC!",""))),"")</f>
        <v/>
      </c>
      <c r="AC329" s="17" t="str">
        <f>IF($AA329="","",IF($B329="I",VLOOKUP($AA329,#REF!,53,0),INDEX(VALUES!$B$1:$BT$1,1,$AA329)))</f>
        <v/>
      </c>
    </row>
    <row r="330" spans="1:29" hidden="1" outlineLevel="1" x14ac:dyDescent="0.3">
      <c r="A330" s="22" t="s">
        <v>84</v>
      </c>
      <c r="B330" s="41" t="str">
        <f t="shared" si="24"/>
        <v/>
      </c>
      <c r="C330" s="42">
        <f t="shared" si="25"/>
        <v>329</v>
      </c>
      <c r="D330" s="38"/>
      <c r="E330" s="38"/>
      <c r="F330" s="38"/>
      <c r="G330" s="38"/>
      <c r="H330" s="38"/>
      <c r="I330" s="38" t="s">
        <v>9</v>
      </c>
      <c r="J330" s="38"/>
      <c r="K330" s="14" t="s">
        <v>52</v>
      </c>
      <c r="L330" s="14" t="s">
        <v>27</v>
      </c>
      <c r="M330" s="20" t="s">
        <v>760</v>
      </c>
      <c r="N330" s="14" t="s">
        <v>761</v>
      </c>
      <c r="O330" s="43">
        <v>65</v>
      </c>
      <c r="R330" s="38" t="s">
        <v>103</v>
      </c>
      <c r="S330" s="38"/>
      <c r="T330" s="38"/>
      <c r="W330" s="15" t="str">
        <f>IF(IFERROR(VLOOKUP($M330,COMPARE!$H$2:$H$847,1,0),"-")="-","","GS")</f>
        <v/>
      </c>
      <c r="Z330" s="59" t="str">
        <f>IF(OR($M330="",NOT($O330="{array}")),"",IFERROR(MATCH(PARAMETERS!$M330,DEFAULT!$B$5:$CX$5,0),""))</f>
        <v/>
      </c>
      <c r="AA330" s="56" t="str">
        <f t="shared" si="26"/>
        <v/>
      </c>
      <c r="AB330" s="63" t="str">
        <f>IF(AND(OR($A330="G",$A330="P"),NOT($O330="{array}")),IF(VLOOKUP($K330,base!$B$2:$D$20,3,0)="S",IF(OR($O330="",ISTEXT($O330)),"","STRING!"),IF(VLOOKUP($K330,base!$B$2:$D$20,3,0)="","",IF(ISTEXT($O330),"NUMERIC!",""))),"")</f>
        <v/>
      </c>
      <c r="AC330" s="17" t="str">
        <f>IF($AA330="","",IF($B330="I",VLOOKUP($AA330,#REF!,53,0),INDEX(VALUES!$B$1:$BT$1,1,$AA330)))</f>
        <v/>
      </c>
    </row>
    <row r="331" spans="1:29" hidden="1" outlineLevel="1" x14ac:dyDescent="0.3">
      <c r="A331" s="22" t="s">
        <v>84</v>
      </c>
      <c r="B331" s="41" t="str">
        <f t="shared" si="24"/>
        <v/>
      </c>
      <c r="C331" s="42">
        <f t="shared" si="25"/>
        <v>330</v>
      </c>
      <c r="D331" s="38"/>
      <c r="E331" s="38"/>
      <c r="F331" s="38"/>
      <c r="G331" s="38"/>
      <c r="H331" s="38"/>
      <c r="I331" s="38" t="s">
        <v>9</v>
      </c>
      <c r="J331" s="38"/>
      <c r="K331" s="14" t="s">
        <v>53</v>
      </c>
      <c r="L331" s="14" t="s">
        <v>27</v>
      </c>
      <c r="M331" s="20" t="s">
        <v>762</v>
      </c>
      <c r="N331" s="14" t="s">
        <v>763</v>
      </c>
      <c r="O331" s="43">
        <v>19</v>
      </c>
      <c r="R331" s="38" t="s">
        <v>103</v>
      </c>
      <c r="S331" s="38"/>
      <c r="T331" s="38"/>
      <c r="W331" s="15" t="str">
        <f>IF(IFERROR(VLOOKUP($M331,COMPARE!$H$2:$H$847,1,0),"-")="-","","GS")</f>
        <v/>
      </c>
      <c r="Z331" s="59" t="str">
        <f>IF(OR($M331="",NOT($O331="{array}")),"",IFERROR(MATCH(PARAMETERS!$M331,DEFAULT!$B$5:$CX$5,0),""))</f>
        <v/>
      </c>
      <c r="AA331" s="56" t="str">
        <f t="shared" si="26"/>
        <v/>
      </c>
      <c r="AB331" s="63" t="str">
        <f>IF(AND(OR($A331="G",$A331="P"),NOT($O331="{array}")),IF(VLOOKUP($K331,base!$B$2:$D$20,3,0)="S",IF(OR($O331="",ISTEXT($O331)),"","STRING!"),IF(VLOOKUP($K331,base!$B$2:$D$20,3,0)="","",IF(ISTEXT($O331),"NUMERIC!",""))),"")</f>
        <v/>
      </c>
      <c r="AC331" s="17" t="str">
        <f>IF($AA331="","",IF($B331="I",VLOOKUP($AA331,#REF!,53,0),INDEX(VALUES!$B$1:$BT$1,1,$AA331)))</f>
        <v/>
      </c>
    </row>
    <row r="332" spans="1:29" hidden="1" outlineLevel="1" x14ac:dyDescent="0.3">
      <c r="A332" s="22" t="s">
        <v>84</v>
      </c>
      <c r="B332" s="41" t="str">
        <f t="shared" si="24"/>
        <v/>
      </c>
      <c r="C332" s="42">
        <f t="shared" si="25"/>
        <v>331</v>
      </c>
      <c r="D332" s="38"/>
      <c r="E332" s="38"/>
      <c r="F332" s="38"/>
      <c r="G332" s="38"/>
      <c r="H332" s="38"/>
      <c r="I332" s="38" t="s">
        <v>9</v>
      </c>
      <c r="J332" s="38"/>
      <c r="K332" s="14" t="s">
        <v>53</v>
      </c>
      <c r="L332" s="14" t="s">
        <v>27</v>
      </c>
      <c r="M332" s="20" t="s">
        <v>764</v>
      </c>
      <c r="N332" s="14" t="s">
        <v>765</v>
      </c>
      <c r="O332" s="43">
        <v>19</v>
      </c>
      <c r="R332" s="38" t="s">
        <v>103</v>
      </c>
      <c r="S332" s="38"/>
      <c r="T332" s="38"/>
      <c r="W332" s="15" t="str">
        <f>IF(IFERROR(VLOOKUP($M332,COMPARE!$H$2:$H$847,1,0),"-")="-","","GS")</f>
        <v/>
      </c>
      <c r="Z332" s="59" t="str">
        <f>IF(OR($M332="",NOT($O332="{array}")),"",IFERROR(MATCH(PARAMETERS!$M332,DEFAULT!$B$5:$CX$5,0),""))</f>
        <v/>
      </c>
      <c r="AA332" s="56" t="str">
        <f t="shared" si="26"/>
        <v/>
      </c>
      <c r="AB332" s="63" t="str">
        <f>IF(AND(OR($A332="G",$A332="P"),NOT($O332="{array}")),IF(VLOOKUP($K332,base!$B$2:$D$20,3,0)="S",IF(OR($O332="",ISTEXT($O332)),"","STRING!"),IF(VLOOKUP($K332,base!$B$2:$D$20,3,0)="","",IF(ISTEXT($O332),"NUMERIC!",""))),"")</f>
        <v/>
      </c>
      <c r="AC332" s="17" t="str">
        <f>IF($AA332="","",IF($B332="I",VLOOKUP($AA332,#REF!,53,0),INDEX(VALUES!$B$1:$BT$1,1,$AA332)))</f>
        <v/>
      </c>
    </row>
    <row r="333" spans="1:29" hidden="1" outlineLevel="1" x14ac:dyDescent="0.3">
      <c r="A333" s="22" t="s">
        <v>84</v>
      </c>
      <c r="B333" s="41" t="str">
        <f t="shared" si="24"/>
        <v/>
      </c>
      <c r="C333" s="42">
        <f t="shared" si="25"/>
        <v>332</v>
      </c>
      <c r="D333" s="38"/>
      <c r="E333" s="38"/>
      <c r="F333" s="38" t="s">
        <v>9</v>
      </c>
      <c r="G333" s="38"/>
      <c r="H333" s="38"/>
      <c r="I333" s="38" t="s">
        <v>9</v>
      </c>
      <c r="J333" s="38"/>
      <c r="K333" s="14" t="s">
        <v>53</v>
      </c>
      <c r="L333" s="14" t="s">
        <v>27</v>
      </c>
      <c r="M333" s="20" t="s">
        <v>766</v>
      </c>
      <c r="N333" s="14" t="s">
        <v>767</v>
      </c>
      <c r="O333" s="43">
        <v>2</v>
      </c>
      <c r="R333" s="38" t="s">
        <v>103</v>
      </c>
      <c r="S333" s="38"/>
      <c r="T333" s="38"/>
      <c r="W333" s="15" t="str">
        <f>IF(IFERROR(VLOOKUP($M333,COMPARE!$H$2:$H$847,1,0),"-")="-","","GS")</f>
        <v/>
      </c>
      <c r="Z333" s="59" t="str">
        <f>IF(OR($M333="",NOT($O333="{array}")),"",IFERROR(MATCH(PARAMETERS!$M333,DEFAULT!$B$5:$CX$5,0),""))</f>
        <v/>
      </c>
      <c r="AA333" s="56" t="str">
        <f t="shared" si="26"/>
        <v/>
      </c>
      <c r="AB333" s="63" t="str">
        <f>IF(AND(OR($A333="G",$A333="P"),NOT($O333="{array}")),IF(VLOOKUP($K333,base!$B$2:$D$20,3,0)="S",IF(OR($O333="",ISTEXT($O333)),"","STRING!"),IF(VLOOKUP($K333,base!$B$2:$D$20,3,0)="","",IF(ISTEXT($O333),"NUMERIC!",""))),"")</f>
        <v/>
      </c>
      <c r="AC333" s="17" t="str">
        <f>IF($AA333="","",IF($B333="I",VLOOKUP($AA333,#REF!,53,0),INDEX(VALUES!$B$1:$BT$1,1,$AA333)))</f>
        <v/>
      </c>
    </row>
    <row r="334" spans="1:29" hidden="1" outlineLevel="1" x14ac:dyDescent="0.3">
      <c r="A334" s="22" t="s">
        <v>84</v>
      </c>
      <c r="B334" s="41" t="str">
        <f t="shared" si="24"/>
        <v/>
      </c>
      <c r="C334" s="42">
        <f t="shared" si="25"/>
        <v>333</v>
      </c>
      <c r="D334" s="38"/>
      <c r="E334" s="38"/>
      <c r="F334" s="38"/>
      <c r="G334" s="38"/>
      <c r="H334" s="38"/>
      <c r="I334" s="38" t="s">
        <v>9</v>
      </c>
      <c r="J334" s="38"/>
      <c r="K334" s="14" t="s">
        <v>52</v>
      </c>
      <c r="L334" s="14" t="s">
        <v>27</v>
      </c>
      <c r="M334" s="20" t="s">
        <v>768</v>
      </c>
      <c r="N334" s="14" t="s">
        <v>769</v>
      </c>
      <c r="O334" s="43">
        <v>16</v>
      </c>
      <c r="R334" s="38" t="s">
        <v>103</v>
      </c>
      <c r="S334" s="38"/>
      <c r="T334" s="38"/>
      <c r="W334" s="15" t="str">
        <f>IF(IFERROR(VLOOKUP($M334,COMPARE!$H$2:$H$847,1,0),"-")="-","","GS")</f>
        <v/>
      </c>
      <c r="Z334" s="59" t="str">
        <f>IF(OR($M334="",NOT($O334="{array}")),"",IFERROR(MATCH(PARAMETERS!$M334,DEFAULT!$B$5:$CX$5,0),""))</f>
        <v/>
      </c>
      <c r="AA334" s="56" t="str">
        <f t="shared" si="26"/>
        <v/>
      </c>
      <c r="AB334" s="63" t="str">
        <f>IF(AND(OR($A334="G",$A334="P"),NOT($O334="{array}")),IF(VLOOKUP($K334,base!$B$2:$D$20,3,0)="S",IF(OR($O334="",ISTEXT($O334)),"","STRING!"),IF(VLOOKUP($K334,base!$B$2:$D$20,3,0)="","",IF(ISTEXT($O334),"NUMERIC!",""))),"")</f>
        <v/>
      </c>
      <c r="AC334" s="17" t="str">
        <f>IF($AA334="","",IF($B334="I",VLOOKUP($AA334,#REF!,53,0),INDEX(VALUES!$B$1:$BT$1,1,$AA334)))</f>
        <v/>
      </c>
    </row>
    <row r="335" spans="1:29" hidden="1" outlineLevel="1" x14ac:dyDescent="0.3">
      <c r="A335" s="22" t="s">
        <v>84</v>
      </c>
      <c r="B335" s="41" t="str">
        <f t="shared" si="24"/>
        <v/>
      </c>
      <c r="C335" s="42">
        <f t="shared" si="25"/>
        <v>334</v>
      </c>
      <c r="D335" s="38"/>
      <c r="E335" s="38"/>
      <c r="F335" s="38"/>
      <c r="G335" s="38"/>
      <c r="H335" s="38"/>
      <c r="I335" s="38" t="s">
        <v>9</v>
      </c>
      <c r="J335" s="38"/>
      <c r="K335" s="14" t="s">
        <v>53</v>
      </c>
      <c r="L335" s="14" t="s">
        <v>27</v>
      </c>
      <c r="M335" s="20" t="s">
        <v>770</v>
      </c>
      <c r="N335" s="14" t="s">
        <v>771</v>
      </c>
      <c r="O335" s="43">
        <v>19</v>
      </c>
      <c r="R335" s="38" t="s">
        <v>103</v>
      </c>
      <c r="S335" s="38"/>
      <c r="T335" s="38"/>
      <c r="W335" s="15" t="str">
        <f>IF(IFERROR(VLOOKUP($M335,COMPARE!$H$2:$H$847,1,0),"-")="-","","GS")</f>
        <v/>
      </c>
      <c r="Z335" s="59" t="str">
        <f>IF(OR($M335="",NOT($O335="{array}")),"",IFERROR(MATCH(PARAMETERS!$M335,DEFAULT!$B$5:$CX$5,0),""))</f>
        <v/>
      </c>
      <c r="AA335" s="56" t="str">
        <f t="shared" si="26"/>
        <v/>
      </c>
      <c r="AB335" s="63" t="str">
        <f>IF(AND(OR($A335="G",$A335="P"),NOT($O335="{array}")),IF(VLOOKUP($K335,base!$B$2:$D$20,3,0)="S",IF(OR($O335="",ISTEXT($O335)),"","STRING!"),IF(VLOOKUP($K335,base!$B$2:$D$20,3,0)="","",IF(ISTEXT($O335),"NUMERIC!",""))),"")</f>
        <v/>
      </c>
      <c r="AC335" s="17" t="str">
        <f>IF($AA335="","",IF($B335="I",VLOOKUP($AA335,#REF!,53,0),INDEX(VALUES!$B$1:$BT$1,1,$AA335)))</f>
        <v/>
      </c>
    </row>
    <row r="336" spans="1:29" hidden="1" outlineLevel="1" x14ac:dyDescent="0.3">
      <c r="A336" s="22" t="s">
        <v>84</v>
      </c>
      <c r="B336" s="41" t="str">
        <f t="shared" si="24"/>
        <v/>
      </c>
      <c r="C336" s="42">
        <f t="shared" si="25"/>
        <v>335</v>
      </c>
      <c r="D336" s="38"/>
      <c r="E336" s="38"/>
      <c r="F336" s="38"/>
      <c r="G336" s="38"/>
      <c r="H336" s="38"/>
      <c r="I336" s="38" t="s">
        <v>9</v>
      </c>
      <c r="J336" s="38"/>
      <c r="K336" s="14" t="s">
        <v>53</v>
      </c>
      <c r="L336" s="14" t="s">
        <v>27</v>
      </c>
      <c r="M336" s="20" t="s">
        <v>772</v>
      </c>
      <c r="N336" s="14" t="s">
        <v>773</v>
      </c>
      <c r="O336" s="43">
        <v>19</v>
      </c>
      <c r="R336" s="38" t="s">
        <v>103</v>
      </c>
      <c r="S336" s="38"/>
      <c r="T336" s="38"/>
      <c r="W336" s="15" t="str">
        <f>IF(IFERROR(VLOOKUP($M336,COMPARE!$H$2:$H$847,1,0),"-")="-","","GS")</f>
        <v/>
      </c>
      <c r="Z336" s="59" t="str">
        <f>IF(OR($M336="",NOT($O336="{array}")),"",IFERROR(MATCH(PARAMETERS!$M336,DEFAULT!$B$5:$CX$5,0),""))</f>
        <v/>
      </c>
      <c r="AA336" s="56" t="str">
        <f t="shared" si="26"/>
        <v/>
      </c>
      <c r="AB336" s="63" t="str">
        <f>IF(AND(OR($A336="G",$A336="P"),NOT($O336="{array}")),IF(VLOOKUP($K336,base!$B$2:$D$20,3,0)="S",IF(OR($O336="",ISTEXT($O336)),"","STRING!"),IF(VLOOKUP($K336,base!$B$2:$D$20,3,0)="","",IF(ISTEXT($O336),"NUMERIC!",""))),"")</f>
        <v/>
      </c>
      <c r="AC336" s="17" t="str">
        <f>IF($AA336="","",IF($B336="I",VLOOKUP($AA336,#REF!,53,0),INDEX(VALUES!$B$1:$BT$1,1,$AA336)))</f>
        <v/>
      </c>
    </row>
    <row r="337" spans="1:29" hidden="1" outlineLevel="1" x14ac:dyDescent="0.3">
      <c r="A337" s="22" t="s">
        <v>84</v>
      </c>
      <c r="B337" s="41" t="str">
        <f t="shared" si="24"/>
        <v/>
      </c>
      <c r="C337" s="42">
        <f t="shared" si="25"/>
        <v>336</v>
      </c>
      <c r="D337" s="38"/>
      <c r="E337" s="38"/>
      <c r="F337" s="38"/>
      <c r="G337" s="38"/>
      <c r="H337" s="38"/>
      <c r="I337" s="38" t="s">
        <v>9</v>
      </c>
      <c r="J337" s="38"/>
      <c r="K337" s="14" t="s">
        <v>53</v>
      </c>
      <c r="L337" s="14" t="s">
        <v>27</v>
      </c>
      <c r="M337" s="20" t="s">
        <v>774</v>
      </c>
      <c r="N337" s="14" t="s">
        <v>775</v>
      </c>
      <c r="O337" s="43">
        <v>2</v>
      </c>
      <c r="R337" s="38" t="s">
        <v>103</v>
      </c>
      <c r="S337" s="38"/>
      <c r="T337" s="38"/>
      <c r="W337" s="15" t="str">
        <f>IF(IFERROR(VLOOKUP($M337,COMPARE!$H$2:$H$847,1,0),"-")="-","","GS")</f>
        <v/>
      </c>
      <c r="Z337" s="59" t="str">
        <f>IF(OR($M337="",NOT($O337="{array}")),"",IFERROR(MATCH(PARAMETERS!$M337,DEFAULT!$B$5:$CX$5,0),""))</f>
        <v/>
      </c>
      <c r="AA337" s="56" t="str">
        <f t="shared" si="26"/>
        <v/>
      </c>
      <c r="AB337" s="63" t="str">
        <f>IF(AND(OR($A337="G",$A337="P"),NOT($O337="{array}")),IF(VLOOKUP($K337,base!$B$2:$D$20,3,0)="S",IF(OR($O337="",ISTEXT($O337)),"","STRING!"),IF(VLOOKUP($K337,base!$B$2:$D$20,3,0)="","",IF(ISTEXT($O337),"NUMERIC!",""))),"")</f>
        <v/>
      </c>
      <c r="AC337" s="17" t="str">
        <f>IF($AA337="","",IF($B337="I",VLOOKUP($AA337,#REF!,53,0),INDEX(VALUES!$B$1:$BT$1,1,$AA337)))</f>
        <v/>
      </c>
    </row>
    <row r="338" spans="1:29" hidden="1" outlineLevel="1" x14ac:dyDescent="0.3">
      <c r="A338" s="22" t="s">
        <v>84</v>
      </c>
      <c r="B338" s="41" t="str">
        <f t="shared" si="24"/>
        <v/>
      </c>
      <c r="C338" s="42">
        <f t="shared" si="25"/>
        <v>337</v>
      </c>
      <c r="D338" s="38"/>
      <c r="E338" s="38"/>
      <c r="F338" s="38"/>
      <c r="G338" s="38" t="s">
        <v>9</v>
      </c>
      <c r="H338" s="38"/>
      <c r="I338" s="38" t="s">
        <v>9</v>
      </c>
      <c r="J338" s="38"/>
      <c r="K338" s="14" t="s">
        <v>52</v>
      </c>
      <c r="L338" s="14" t="s">
        <v>27</v>
      </c>
      <c r="M338" s="20" t="s">
        <v>776</v>
      </c>
      <c r="N338" s="14" t="s">
        <v>777</v>
      </c>
      <c r="O338" s="43">
        <v>65</v>
      </c>
      <c r="R338" s="38" t="s">
        <v>103</v>
      </c>
      <c r="S338" s="38"/>
      <c r="T338" s="38"/>
      <c r="W338" s="15" t="str">
        <f>IF(IFERROR(VLOOKUP($M338,COMPARE!$H$2:$H$847,1,0),"-")="-","","GS")</f>
        <v/>
      </c>
      <c r="Z338" s="59" t="str">
        <f>IF(OR($M338="",NOT($O338="{array}")),"",IFERROR(MATCH(PARAMETERS!$M338,DEFAULT!$B$5:$CX$5,0),""))</f>
        <v/>
      </c>
      <c r="AA338" s="56" t="str">
        <f t="shared" si="26"/>
        <v/>
      </c>
      <c r="AB338" s="63" t="str">
        <f>IF(AND(OR($A338="G",$A338="P"),NOT($O338="{array}")),IF(VLOOKUP($K338,base!$B$2:$D$20,3,0)="S",IF(OR($O338="",ISTEXT($O338)),"","STRING!"),IF(VLOOKUP($K338,base!$B$2:$D$20,3,0)="","",IF(ISTEXT($O338),"NUMERIC!",""))),"")</f>
        <v/>
      </c>
      <c r="AC338" s="17" t="str">
        <f>IF($AA338="","",IF($B338="I",VLOOKUP($AA338,#REF!,53,0),INDEX(VALUES!$B$1:$BT$1,1,$AA338)))</f>
        <v/>
      </c>
    </row>
    <row r="339" spans="1:29" hidden="1" outlineLevel="1" x14ac:dyDescent="0.3">
      <c r="A339" s="22" t="s">
        <v>84</v>
      </c>
      <c r="B339" s="41" t="str">
        <f t="shared" si="24"/>
        <v/>
      </c>
      <c r="C339" s="42">
        <f t="shared" si="25"/>
        <v>338</v>
      </c>
      <c r="D339" s="38"/>
      <c r="E339" s="38"/>
      <c r="F339" s="38"/>
      <c r="G339" s="38" t="s">
        <v>9</v>
      </c>
      <c r="H339" s="38"/>
      <c r="I339" s="38" t="s">
        <v>9</v>
      </c>
      <c r="J339" s="38"/>
      <c r="K339" s="14" t="s">
        <v>53</v>
      </c>
      <c r="L339" s="14" t="s">
        <v>27</v>
      </c>
      <c r="M339" s="20" t="s">
        <v>778</v>
      </c>
      <c r="N339" s="14" t="s">
        <v>779</v>
      </c>
      <c r="O339" s="43">
        <v>19</v>
      </c>
      <c r="R339" s="38" t="s">
        <v>103</v>
      </c>
      <c r="S339" s="38"/>
      <c r="T339" s="38"/>
      <c r="W339" s="15" t="str">
        <f>IF(IFERROR(VLOOKUP($M339,COMPARE!$H$2:$H$847,1,0),"-")="-","","GS")</f>
        <v/>
      </c>
      <c r="Z339" s="59" t="str">
        <f>IF(OR($M339="",NOT($O339="{array}")),"",IFERROR(MATCH(PARAMETERS!$M339,DEFAULT!$B$5:$CX$5,0),""))</f>
        <v/>
      </c>
      <c r="AA339" s="56" t="str">
        <f t="shared" si="26"/>
        <v/>
      </c>
      <c r="AB339" s="63" t="str">
        <f>IF(AND(OR($A339="G",$A339="P"),NOT($O339="{array}")),IF(VLOOKUP($K339,base!$B$2:$D$20,3,0)="S",IF(OR($O339="",ISTEXT($O339)),"","STRING!"),IF(VLOOKUP($K339,base!$B$2:$D$20,3,0)="","",IF(ISTEXT($O339),"NUMERIC!",""))),"")</f>
        <v/>
      </c>
      <c r="AC339" s="17" t="str">
        <f>IF($AA339="","",IF($B339="I",VLOOKUP($AA339,#REF!,53,0),INDEX(VALUES!$B$1:$BT$1,1,$AA339)))</f>
        <v/>
      </c>
    </row>
    <row r="340" spans="1:29" hidden="1" outlineLevel="1" x14ac:dyDescent="0.3">
      <c r="A340" s="22" t="s">
        <v>84</v>
      </c>
      <c r="B340" s="41" t="str">
        <f t="shared" si="24"/>
        <v/>
      </c>
      <c r="C340" s="42">
        <f t="shared" si="25"/>
        <v>339</v>
      </c>
      <c r="D340" s="38"/>
      <c r="E340" s="38"/>
      <c r="F340" s="38"/>
      <c r="G340" s="38" t="s">
        <v>9</v>
      </c>
      <c r="H340" s="38"/>
      <c r="I340" s="38" t="s">
        <v>9</v>
      </c>
      <c r="J340" s="38"/>
      <c r="K340" s="14" t="s">
        <v>53</v>
      </c>
      <c r="L340" s="14" t="s">
        <v>27</v>
      </c>
      <c r="M340" s="20" t="s">
        <v>780</v>
      </c>
      <c r="N340" s="14" t="s">
        <v>781</v>
      </c>
      <c r="O340" s="43">
        <v>19</v>
      </c>
      <c r="R340" s="38" t="s">
        <v>103</v>
      </c>
      <c r="S340" s="38"/>
      <c r="T340" s="38"/>
      <c r="W340" s="15" t="str">
        <f>IF(IFERROR(VLOOKUP($M340,COMPARE!$H$2:$H$847,1,0),"-")="-","","GS")</f>
        <v/>
      </c>
      <c r="Z340" s="59" t="str">
        <f>IF(OR($M340="",NOT($O340="{array}")),"",IFERROR(MATCH(PARAMETERS!$M340,DEFAULT!$B$5:$CX$5,0),""))</f>
        <v/>
      </c>
      <c r="AA340" s="56" t="str">
        <f t="shared" si="26"/>
        <v/>
      </c>
      <c r="AB340" s="63" t="str">
        <f>IF(AND(OR($A340="G",$A340="P"),NOT($O340="{array}")),IF(VLOOKUP($K340,base!$B$2:$D$20,3,0)="S",IF(OR($O340="",ISTEXT($O340)),"","STRING!"),IF(VLOOKUP($K340,base!$B$2:$D$20,3,0)="","",IF(ISTEXT($O340),"NUMERIC!",""))),"")</f>
        <v/>
      </c>
      <c r="AC340" s="17" t="str">
        <f>IF($AA340="","",IF($B340="I",VLOOKUP($AA340,#REF!,53,0),INDEX(VALUES!$B$1:$BT$1,1,$AA340)))</f>
        <v/>
      </c>
    </row>
    <row r="341" spans="1:29" hidden="1" outlineLevel="1" x14ac:dyDescent="0.3">
      <c r="A341" s="22" t="s">
        <v>84</v>
      </c>
      <c r="B341" s="41" t="str">
        <f t="shared" si="24"/>
        <v/>
      </c>
      <c r="C341" s="42">
        <f t="shared" si="25"/>
        <v>340</v>
      </c>
      <c r="D341" s="38"/>
      <c r="E341" s="38"/>
      <c r="F341" s="38"/>
      <c r="G341" s="38"/>
      <c r="H341" s="38"/>
      <c r="I341" s="38" t="s">
        <v>9</v>
      </c>
      <c r="J341" s="38"/>
      <c r="K341" s="14" t="s">
        <v>53</v>
      </c>
      <c r="L341" s="14" t="s">
        <v>27</v>
      </c>
      <c r="M341" s="20" t="s">
        <v>782</v>
      </c>
      <c r="N341" s="14" t="s">
        <v>783</v>
      </c>
      <c r="O341" s="43">
        <v>2</v>
      </c>
      <c r="R341" s="38" t="s">
        <v>103</v>
      </c>
      <c r="S341" s="38"/>
      <c r="T341" s="38"/>
      <c r="W341" s="15" t="str">
        <f>IF(IFERROR(VLOOKUP($M341,COMPARE!$H$2:$H$847,1,0),"-")="-","","GS")</f>
        <v/>
      </c>
      <c r="Z341" s="59" t="str">
        <f>IF(OR($M341="",NOT($O341="{array}")),"",IFERROR(MATCH(PARAMETERS!$M341,DEFAULT!$B$5:$CX$5,0),""))</f>
        <v/>
      </c>
      <c r="AA341" s="56" t="str">
        <f t="shared" si="26"/>
        <v/>
      </c>
      <c r="AB341" s="63" t="str">
        <f>IF(AND(OR($A341="G",$A341="P"),NOT($O341="{array}")),IF(VLOOKUP($K341,base!$B$2:$D$20,3,0)="S",IF(OR($O341="",ISTEXT($O341)),"","STRING!"),IF(VLOOKUP($K341,base!$B$2:$D$20,3,0)="","",IF(ISTEXT($O341),"NUMERIC!",""))),"")</f>
        <v/>
      </c>
      <c r="AC341" s="17" t="str">
        <f>IF($AA341="","",IF($B341="I",VLOOKUP($AA341,#REF!,53,0),INDEX(VALUES!$B$1:$BT$1,1,$AA341)))</f>
        <v/>
      </c>
    </row>
    <row r="342" spans="1:29" hidden="1" outlineLevel="1" x14ac:dyDescent="0.3">
      <c r="A342" s="22" t="s">
        <v>84</v>
      </c>
      <c r="B342" s="41" t="str">
        <f t="shared" si="24"/>
        <v/>
      </c>
      <c r="C342" s="42">
        <f t="shared" si="25"/>
        <v>341</v>
      </c>
      <c r="D342" s="38"/>
      <c r="E342" s="38"/>
      <c r="F342" s="38"/>
      <c r="G342" s="38"/>
      <c r="H342" s="38"/>
      <c r="I342" s="38" t="s">
        <v>9</v>
      </c>
      <c r="J342" s="38"/>
      <c r="K342" s="14" t="s">
        <v>52</v>
      </c>
      <c r="L342" s="14" t="s">
        <v>27</v>
      </c>
      <c r="M342" s="20" t="s">
        <v>784</v>
      </c>
      <c r="N342" s="14" t="s">
        <v>785</v>
      </c>
      <c r="O342" s="43">
        <v>65</v>
      </c>
      <c r="R342" s="38" t="s">
        <v>103</v>
      </c>
      <c r="S342" s="38"/>
      <c r="T342" s="38"/>
      <c r="W342" s="15" t="str">
        <f>IF(IFERROR(VLOOKUP($M342,COMPARE!$H$2:$H$847,1,0),"-")="-","","GS")</f>
        <v/>
      </c>
      <c r="Z342" s="59" t="str">
        <f>IF(OR($M342="",NOT($O342="{array}")),"",IFERROR(MATCH(PARAMETERS!$M342,DEFAULT!$B$5:$CX$5,0),""))</f>
        <v/>
      </c>
      <c r="AA342" s="56" t="str">
        <f t="shared" si="26"/>
        <v/>
      </c>
      <c r="AB342" s="63" t="str">
        <f>IF(AND(OR($A342="G",$A342="P"),NOT($O342="{array}")),IF(VLOOKUP($K342,base!$B$2:$D$20,3,0)="S",IF(OR($O342="",ISTEXT($O342)),"","STRING!"),IF(VLOOKUP($K342,base!$B$2:$D$20,3,0)="","",IF(ISTEXT($O342),"NUMERIC!",""))),"")</f>
        <v/>
      </c>
      <c r="AC342" s="17" t="str">
        <f>IF($AA342="","",IF($B342="I",VLOOKUP($AA342,#REF!,53,0),INDEX(VALUES!$B$1:$BT$1,1,$AA342)))</f>
        <v/>
      </c>
    </row>
    <row r="343" spans="1:29" hidden="1" outlineLevel="1" x14ac:dyDescent="0.3">
      <c r="A343" s="22" t="s">
        <v>84</v>
      </c>
      <c r="B343" s="41" t="str">
        <f t="shared" si="24"/>
        <v/>
      </c>
      <c r="C343" s="42">
        <f t="shared" si="25"/>
        <v>342</v>
      </c>
      <c r="D343" s="38"/>
      <c r="E343" s="38"/>
      <c r="F343" s="38"/>
      <c r="G343" s="38"/>
      <c r="H343" s="38"/>
      <c r="I343" s="38" t="s">
        <v>9</v>
      </c>
      <c r="J343" s="38"/>
      <c r="K343" s="14" t="s">
        <v>53</v>
      </c>
      <c r="L343" s="14" t="s">
        <v>27</v>
      </c>
      <c r="M343" s="20" t="s">
        <v>786</v>
      </c>
      <c r="N343" s="14" t="s">
        <v>787</v>
      </c>
      <c r="O343" s="43">
        <v>19</v>
      </c>
      <c r="R343" s="38" t="s">
        <v>103</v>
      </c>
      <c r="S343" s="38"/>
      <c r="T343" s="38"/>
      <c r="W343" s="15" t="str">
        <f>IF(IFERROR(VLOOKUP($M343,COMPARE!$H$2:$H$847,1,0),"-")="-","","GS")</f>
        <v/>
      </c>
      <c r="Z343" s="59" t="str">
        <f>IF(OR($M343="",NOT($O343="{array}")),"",IFERROR(MATCH(PARAMETERS!$M343,DEFAULT!$B$5:$CX$5,0),""))</f>
        <v/>
      </c>
      <c r="AA343" s="56" t="str">
        <f t="shared" si="26"/>
        <v/>
      </c>
      <c r="AB343" s="63" t="str">
        <f>IF(AND(OR($A343="G",$A343="P"),NOT($O343="{array}")),IF(VLOOKUP($K343,base!$B$2:$D$20,3,0)="S",IF(OR($O343="",ISTEXT($O343)),"","STRING!"),IF(VLOOKUP($K343,base!$B$2:$D$20,3,0)="","",IF(ISTEXT($O343),"NUMERIC!",""))),"")</f>
        <v/>
      </c>
      <c r="AC343" s="17" t="str">
        <f>IF($AA343="","",IF($B343="I",VLOOKUP($AA343,#REF!,53,0),INDEX(VALUES!$B$1:$BT$1,1,$AA343)))</f>
        <v/>
      </c>
    </row>
    <row r="344" spans="1:29" collapsed="1" x14ac:dyDescent="0.3">
      <c r="A344" s="22" t="s">
        <v>84</v>
      </c>
      <c r="B344" s="41" t="str">
        <f t="shared" si="24"/>
        <v/>
      </c>
      <c r="C344" s="42">
        <f t="shared" si="25"/>
        <v>343</v>
      </c>
      <c r="D344" s="38"/>
      <c r="E344" s="38"/>
      <c r="F344" s="38"/>
      <c r="G344" s="38"/>
      <c r="H344" s="38"/>
      <c r="I344" s="38"/>
      <c r="J344" s="38"/>
      <c r="K344" s="14" t="s">
        <v>57</v>
      </c>
      <c r="L344" s="14" t="s">
        <v>38</v>
      </c>
      <c r="M344" s="48" t="s">
        <v>1747</v>
      </c>
      <c r="N344" s="41" t="s">
        <v>1869</v>
      </c>
      <c r="R344" s="38" t="s">
        <v>103</v>
      </c>
      <c r="S344" s="38"/>
      <c r="T344" s="38"/>
      <c r="W344" s="15" t="str">
        <f>IF(IFERROR(VLOOKUP($M344,COMPARE!$H$2:$H$847,1,0),"-")="-","","GS")</f>
        <v/>
      </c>
      <c r="Z344" s="59" t="str">
        <f>IF(OR($M344="",NOT($O344="{array}")),"",IFERROR(MATCH(PARAMETERS!$M344,DEFAULT!$B$5:$CX$5,0),""))</f>
        <v/>
      </c>
      <c r="AA344" s="56" t="str">
        <f t="shared" si="26"/>
        <v/>
      </c>
      <c r="AB344" s="63" t="str">
        <f>IF(AND(OR($A344="G",$A344="P"),NOT($O344="{array}")),IF(VLOOKUP($K344,base!$B$2:$D$20,3,0)="S",IF(OR($O344="",ISTEXT($O344)),"","STRING!"),IF(VLOOKUP($K344,base!$B$2:$D$20,3,0)="","",IF(ISTEXT($O344),"NUMERIC!",""))),"")</f>
        <v/>
      </c>
      <c r="AC344" s="17" t="str">
        <f>IF($AA344="","",IF($B344="I",VLOOKUP($AA344,#REF!,53,0),INDEX(VALUES!$B$1:$BT$1,1,$AA344)))</f>
        <v/>
      </c>
    </row>
    <row r="345" spans="1:29" hidden="1" outlineLevel="1" x14ac:dyDescent="0.3">
      <c r="A345" s="22" t="s">
        <v>84</v>
      </c>
      <c r="B345" s="41" t="str">
        <f t="shared" si="24"/>
        <v>A</v>
      </c>
      <c r="C345" s="42">
        <f t="shared" si="25"/>
        <v>344</v>
      </c>
      <c r="D345" s="38"/>
      <c r="E345" s="38"/>
      <c r="F345" s="38"/>
      <c r="G345" s="38"/>
      <c r="H345" s="38"/>
      <c r="I345" s="38" t="s">
        <v>9</v>
      </c>
      <c r="J345" s="38"/>
      <c r="K345" s="14" t="s">
        <v>51</v>
      </c>
      <c r="L345" s="14" t="s">
        <v>27</v>
      </c>
      <c r="M345" s="109" t="s">
        <v>1748</v>
      </c>
      <c r="N345" s="14" t="s">
        <v>1749</v>
      </c>
      <c r="O345" s="43" t="s">
        <v>33</v>
      </c>
      <c r="R345" s="38" t="s">
        <v>191</v>
      </c>
      <c r="S345" s="38"/>
      <c r="T345" s="38"/>
      <c r="W345" s="15" t="str">
        <f>IF(IFERROR(VLOOKUP($M345,COMPARE!$H$2:$H$847,1,0),"-")="-","","GS")</f>
        <v/>
      </c>
      <c r="Z345" s="59">
        <f>IF(OR($M345="",NOT($O345="{array}")),"",IFERROR(MATCH(PARAMETERS!$M345,DEFAULT!$B$5:$CX$5,0),""))</f>
        <v>98</v>
      </c>
      <c r="AA345" s="56" t="str">
        <f t="shared" si="26"/>
        <v/>
      </c>
      <c r="AB345" s="63" t="str">
        <f>IF(AND(OR($A345="G",$A345="P"),NOT($O345="{array}")),IF(VLOOKUP($K345,base!$B$2:$D$20,3,0)="S",IF(OR($O345="",ISTEXT($O345)),"","STRING!"),IF(VLOOKUP($K345,base!$B$2:$D$20,3,0)="","",IF(ISTEXT($O345),"NUMERIC!",""))),"")</f>
        <v/>
      </c>
      <c r="AC345" s="17" t="str">
        <f>IF($AA345="","",IF($B345="I",VLOOKUP($AA345,#REF!,53,0),INDEX(VALUES!$B$1:$BT$1,1,$AA345)))</f>
        <v/>
      </c>
    </row>
    <row r="346" spans="1:29" collapsed="1" x14ac:dyDescent="0.3">
      <c r="A346" s="22" t="s">
        <v>84</v>
      </c>
      <c r="B346" s="41" t="str">
        <f t="shared" si="24"/>
        <v/>
      </c>
      <c r="C346" s="42">
        <f t="shared" si="25"/>
        <v>345</v>
      </c>
      <c r="D346" s="38"/>
      <c r="E346" s="38"/>
      <c r="F346" s="38"/>
      <c r="G346" s="38"/>
      <c r="H346" s="38"/>
      <c r="I346" s="38"/>
      <c r="J346" s="38"/>
      <c r="K346" s="14" t="s">
        <v>57</v>
      </c>
      <c r="L346" s="14" t="s">
        <v>38</v>
      </c>
      <c r="M346" s="48" t="s">
        <v>788</v>
      </c>
      <c r="N346" s="41" t="s">
        <v>789</v>
      </c>
      <c r="R346" s="38" t="s">
        <v>103</v>
      </c>
      <c r="S346" s="38"/>
      <c r="T346" s="38"/>
      <c r="W346" s="15" t="str">
        <f>IF(IFERROR(VLOOKUP($M346,COMPARE!$H$2:$H$847,1,0),"-")="-","","GS")</f>
        <v/>
      </c>
      <c r="Z346" s="59" t="str">
        <f>IF(OR($M346="",NOT($O346="{array}")),"",IFERROR(MATCH(PARAMETERS!$M346,DEFAULT!$B$5:$CX$5,0),""))</f>
        <v/>
      </c>
      <c r="AA346" s="56" t="str">
        <f t="shared" si="26"/>
        <v/>
      </c>
      <c r="AB346" s="63" t="str">
        <f>IF(AND(OR($A346="G",$A346="P"),NOT($O346="{array}")),IF(VLOOKUP($K346,base!$B$2:$D$20,3,0)="S",IF(OR($O346="",ISTEXT($O346)),"","STRING!"),IF(VLOOKUP($K346,base!$B$2:$D$20,3,0)="","",IF(ISTEXT($O346),"NUMERIC!",""))),"")</f>
        <v/>
      </c>
      <c r="AC346" s="17" t="str">
        <f>IF($AA346="","",IF($B346="I",VLOOKUP($AA346,#REF!,53,0),INDEX(VALUES!$B$1:$BT$1,1,$AA346)))</f>
        <v/>
      </c>
    </row>
    <row r="347" spans="1:29" hidden="1" outlineLevel="1" x14ac:dyDescent="0.3">
      <c r="A347" s="22" t="s">
        <v>84</v>
      </c>
      <c r="B347" s="41" t="str">
        <f t="shared" si="24"/>
        <v/>
      </c>
      <c r="C347" s="42">
        <f t="shared" si="25"/>
        <v>346</v>
      </c>
      <c r="D347" s="38"/>
      <c r="E347" s="38"/>
      <c r="F347" s="38" t="s">
        <v>9</v>
      </c>
      <c r="G347" s="38"/>
      <c r="H347" s="38"/>
      <c r="I347" s="38" t="s">
        <v>9</v>
      </c>
      <c r="J347" s="38"/>
      <c r="K347" s="14" t="s">
        <v>53</v>
      </c>
      <c r="L347" s="14" t="s">
        <v>27</v>
      </c>
      <c r="M347" s="20" t="s">
        <v>790</v>
      </c>
      <c r="N347" s="14" t="s">
        <v>791</v>
      </c>
      <c r="O347" s="43">
        <v>1</v>
      </c>
      <c r="R347" s="38" t="s">
        <v>103</v>
      </c>
      <c r="S347" s="38"/>
      <c r="T347" s="38"/>
      <c r="W347" s="15" t="str">
        <f>IF(IFERROR(VLOOKUP($M347,COMPARE!$H$2:$H$847,1,0),"-")="-","","GS")</f>
        <v/>
      </c>
      <c r="Z347" s="59" t="str">
        <f>IF(OR($M347="",NOT($O347="{array}")),"",IFERROR(MATCH(PARAMETERS!$M347,DEFAULT!$B$5:$CX$5,0),""))</f>
        <v/>
      </c>
      <c r="AA347" s="56" t="str">
        <f t="shared" si="26"/>
        <v/>
      </c>
      <c r="AB347" s="63" t="str">
        <f>IF(AND(OR($A347="G",$A347="P"),NOT($O347="{array}")),IF(VLOOKUP($K347,base!$B$2:$D$20,3,0)="S",IF(OR($O347="",ISTEXT($O347)),"","STRING!"),IF(VLOOKUP($K347,base!$B$2:$D$20,3,0)="","",IF(ISTEXT($O347),"NUMERIC!",""))),"")</f>
        <v/>
      </c>
      <c r="AC347" s="17" t="str">
        <f>IF($AA347="","",IF($B347="I",VLOOKUP($AA347,#REF!,53,0),INDEX(VALUES!$B$1:$BT$1,1,$AA347)))</f>
        <v/>
      </c>
    </row>
    <row r="348" spans="1:29" hidden="1" outlineLevel="1" x14ac:dyDescent="0.3">
      <c r="A348" s="22" t="s">
        <v>84</v>
      </c>
      <c r="B348" s="41" t="str">
        <f t="shared" si="24"/>
        <v/>
      </c>
      <c r="C348" s="42">
        <f t="shared" si="25"/>
        <v>347</v>
      </c>
      <c r="D348" s="38"/>
      <c r="E348" s="38"/>
      <c r="F348" s="38" t="s">
        <v>9</v>
      </c>
      <c r="G348" s="38"/>
      <c r="H348" s="38"/>
      <c r="I348" s="38" t="s">
        <v>9</v>
      </c>
      <c r="J348" s="38"/>
      <c r="K348" s="14" t="s">
        <v>53</v>
      </c>
      <c r="L348" s="14" t="s">
        <v>27</v>
      </c>
      <c r="M348" s="20" t="s">
        <v>792</v>
      </c>
      <c r="N348" s="14" t="s">
        <v>793</v>
      </c>
      <c r="O348" s="43">
        <v>1</v>
      </c>
      <c r="R348" s="38" t="s">
        <v>103</v>
      </c>
      <c r="S348" s="38"/>
      <c r="T348" s="38"/>
      <c r="W348" s="15" t="str">
        <f>IF(IFERROR(VLOOKUP($M348,COMPARE!$H$2:$H$847,1,0),"-")="-","","GS")</f>
        <v/>
      </c>
      <c r="Z348" s="59" t="str">
        <f>IF(OR($M348="",NOT($O348="{array}")),"",IFERROR(MATCH(PARAMETERS!$M348,DEFAULT!$B$5:$CX$5,0),""))</f>
        <v/>
      </c>
      <c r="AA348" s="56" t="str">
        <f t="shared" si="26"/>
        <v/>
      </c>
      <c r="AB348" s="63" t="str">
        <f>IF(AND(OR($A348="G",$A348="P"),NOT($O348="{array}")),IF(VLOOKUP($K348,base!$B$2:$D$20,3,0)="S",IF(OR($O348="",ISTEXT($O348)),"","STRING!"),IF(VLOOKUP($K348,base!$B$2:$D$20,3,0)="","",IF(ISTEXT($O348),"NUMERIC!",""))),"")</f>
        <v/>
      </c>
      <c r="AC348" s="17" t="str">
        <f>IF($AA348="","",IF($B348="I",VLOOKUP($AA348,#REF!,53,0),INDEX(VALUES!$B$1:$BT$1,1,$AA348)))</f>
        <v/>
      </c>
    </row>
    <row r="349" spans="1:29" hidden="1" outlineLevel="1" x14ac:dyDescent="0.3">
      <c r="A349" s="22" t="s">
        <v>84</v>
      </c>
      <c r="B349" s="41" t="str">
        <f t="shared" si="24"/>
        <v/>
      </c>
      <c r="C349" s="42">
        <f t="shared" si="25"/>
        <v>348</v>
      </c>
      <c r="D349" s="38"/>
      <c r="E349" s="38"/>
      <c r="F349" s="38" t="s">
        <v>9</v>
      </c>
      <c r="G349" s="38"/>
      <c r="H349" s="38"/>
      <c r="I349" s="38" t="s">
        <v>9</v>
      </c>
      <c r="J349" s="38"/>
      <c r="K349" s="14" t="s">
        <v>18</v>
      </c>
      <c r="L349" s="14" t="s">
        <v>27</v>
      </c>
      <c r="M349" s="20" t="s">
        <v>794</v>
      </c>
      <c r="N349" s="14" t="s">
        <v>795</v>
      </c>
      <c r="O349" s="43" t="s">
        <v>796</v>
      </c>
      <c r="R349" s="38" t="s">
        <v>103</v>
      </c>
      <c r="S349" s="38"/>
      <c r="T349" s="38"/>
      <c r="W349" s="15" t="str">
        <f>IF(IFERROR(VLOOKUP($M349,COMPARE!$H$2:$H$847,1,0),"-")="-","","GS")</f>
        <v/>
      </c>
      <c r="Z349" s="59" t="str">
        <f>IF(OR($M349="",NOT($O349="{array}")),"",IFERROR(MATCH(PARAMETERS!$M349,DEFAULT!$B$5:$CX$5,0),""))</f>
        <v/>
      </c>
      <c r="AA349" s="56" t="str">
        <f t="shared" si="26"/>
        <v/>
      </c>
      <c r="AB349" s="63" t="str">
        <f>IF(AND(OR($A349="G",$A349="P"),NOT($O349="{array}")),IF(VLOOKUP($K349,base!$B$2:$D$20,3,0)="S",IF(OR($O349="",ISTEXT($O349)),"","STRING!"),IF(VLOOKUP($K349,base!$B$2:$D$20,3,0)="","",IF(ISTEXT($O349),"NUMERIC!",""))),"")</f>
        <v/>
      </c>
      <c r="AC349" s="17" t="str">
        <f>IF($AA349="","",IF($B349="I",VLOOKUP($AA349,#REF!,53,0),INDEX(VALUES!$B$1:$BT$1,1,$AA349)))</f>
        <v/>
      </c>
    </row>
    <row r="350" spans="1:29" hidden="1" outlineLevel="1" x14ac:dyDescent="0.3">
      <c r="A350" s="22" t="s">
        <v>84</v>
      </c>
      <c r="B350" s="41" t="str">
        <f t="shared" si="24"/>
        <v/>
      </c>
      <c r="C350" s="42">
        <f t="shared" si="25"/>
        <v>349</v>
      </c>
      <c r="D350" s="38"/>
      <c r="E350" s="38"/>
      <c r="F350" s="38" t="s">
        <v>9</v>
      </c>
      <c r="G350" s="38"/>
      <c r="H350" s="38"/>
      <c r="I350" s="38" t="s">
        <v>9</v>
      </c>
      <c r="J350" s="38"/>
      <c r="K350" s="14" t="s">
        <v>36</v>
      </c>
      <c r="L350" s="14" t="s">
        <v>27</v>
      </c>
      <c r="M350" s="20" t="s">
        <v>797</v>
      </c>
      <c r="N350" s="14" t="s">
        <v>798</v>
      </c>
      <c r="O350" s="43">
        <v>1</v>
      </c>
      <c r="R350" s="38" t="s">
        <v>103</v>
      </c>
      <c r="S350" s="38"/>
      <c r="T350" s="38"/>
      <c r="W350" s="15" t="str">
        <f>IF(IFERROR(VLOOKUP($M350,COMPARE!$H$2:$H$847,1,0),"-")="-","","GS")</f>
        <v/>
      </c>
      <c r="Z350" s="59" t="str">
        <f>IF(OR($M350="",NOT($O350="{array}")),"",IFERROR(MATCH(PARAMETERS!$M350,DEFAULT!$B$5:$CX$5,0),""))</f>
        <v/>
      </c>
      <c r="AA350" s="56" t="str">
        <f t="shared" si="26"/>
        <v/>
      </c>
      <c r="AB350" s="63" t="str">
        <f>IF(AND(OR($A350="G",$A350="P"),NOT($O350="{array}")),IF(VLOOKUP($K350,base!$B$2:$D$20,3,0)="S",IF(OR($O350="",ISTEXT($O350)),"","STRING!"),IF(VLOOKUP($K350,base!$B$2:$D$20,3,0)="","",IF(ISTEXT($O350),"NUMERIC!",""))),"")</f>
        <v/>
      </c>
      <c r="AC350" s="17" t="str">
        <f>IF($AA350="","",IF($B350="I",VLOOKUP($AA350,#REF!,53,0),INDEX(VALUES!$B$1:$BT$1,1,$AA350)))</f>
        <v/>
      </c>
    </row>
    <row r="351" spans="1:29" hidden="1" outlineLevel="1" x14ac:dyDescent="0.3">
      <c r="A351" s="22" t="s">
        <v>84</v>
      </c>
      <c r="B351" s="41" t="str">
        <f t="shared" si="24"/>
        <v/>
      </c>
      <c r="C351" s="42">
        <f t="shared" si="25"/>
        <v>350</v>
      </c>
      <c r="D351" s="38"/>
      <c r="E351" s="38"/>
      <c r="F351" s="38" t="s">
        <v>9</v>
      </c>
      <c r="G351" s="38"/>
      <c r="H351" s="38" t="s">
        <v>9</v>
      </c>
      <c r="I351" s="38"/>
      <c r="J351" s="38"/>
      <c r="K351" s="14" t="s">
        <v>47</v>
      </c>
      <c r="L351" s="14" t="s">
        <v>27</v>
      </c>
      <c r="M351" s="20" t="s">
        <v>799</v>
      </c>
      <c r="N351" s="14" t="s">
        <v>800</v>
      </c>
      <c r="O351" s="43">
        <v>0</v>
      </c>
      <c r="R351" s="38" t="s">
        <v>103</v>
      </c>
      <c r="S351" s="38"/>
      <c r="T351" s="38"/>
      <c r="W351" s="15" t="str">
        <f>IF(IFERROR(VLOOKUP($M351,COMPARE!$H$2:$H$847,1,0),"-")="-","","GS")</f>
        <v/>
      </c>
      <c r="Z351" s="59" t="str">
        <f>IF(OR($M351="",NOT($O351="{array}")),"",IFERROR(MATCH(PARAMETERS!$M351,DEFAULT!$B$5:$CX$5,0),""))</f>
        <v/>
      </c>
      <c r="AA351" s="56" t="str">
        <f t="shared" si="26"/>
        <v/>
      </c>
      <c r="AB351" s="63" t="str">
        <f>IF(AND(OR($A351="G",$A351="P"),NOT($O351="{array}")),IF(VLOOKUP($K351,base!$B$2:$D$20,3,0)="S",IF(OR($O351="",ISTEXT($O351)),"","STRING!"),IF(VLOOKUP($K351,base!$B$2:$D$20,3,0)="","",IF(ISTEXT($O351),"NUMERIC!",""))),"")</f>
        <v/>
      </c>
      <c r="AC351" s="17" t="str">
        <f>IF($AA351="","",IF($B351="I",VLOOKUP($AA351,#REF!,53,0),INDEX(VALUES!$B$1:$BT$1,1,$AA351)))</f>
        <v/>
      </c>
    </row>
    <row r="352" spans="1:29" hidden="1" outlineLevel="1" x14ac:dyDescent="0.3">
      <c r="A352" s="22" t="s">
        <v>84</v>
      </c>
      <c r="B352" s="41" t="str">
        <f t="shared" si="24"/>
        <v/>
      </c>
      <c r="C352" s="42">
        <f t="shared" si="25"/>
        <v>351</v>
      </c>
      <c r="D352" s="38"/>
      <c r="E352" s="38"/>
      <c r="F352" s="38" t="s">
        <v>9</v>
      </c>
      <c r="G352" s="38" t="s">
        <v>9</v>
      </c>
      <c r="H352" s="38"/>
      <c r="I352" s="38" t="s">
        <v>9</v>
      </c>
      <c r="J352" s="38"/>
      <c r="K352" s="14" t="s">
        <v>18</v>
      </c>
      <c r="L352" s="14" t="s">
        <v>27</v>
      </c>
      <c r="M352" s="20" t="s">
        <v>801</v>
      </c>
      <c r="N352" s="14" t="s">
        <v>802</v>
      </c>
      <c r="O352" s="43" t="s">
        <v>735</v>
      </c>
      <c r="R352" s="38" t="s">
        <v>103</v>
      </c>
      <c r="S352" s="38"/>
      <c r="T352" s="38"/>
      <c r="W352" s="15" t="str">
        <f>IF(IFERROR(VLOOKUP($M352,COMPARE!$H$2:$H$847,1,0),"-")="-","","GS")</f>
        <v/>
      </c>
      <c r="Z352" s="59" t="str">
        <f>IF(OR($M352="",NOT($O352="{array}")),"",IFERROR(MATCH(PARAMETERS!$M352,DEFAULT!$B$5:$CX$5,0),""))</f>
        <v/>
      </c>
      <c r="AA352" s="56" t="str">
        <f t="shared" si="26"/>
        <v/>
      </c>
      <c r="AB352" s="63" t="str">
        <f>IF(AND(OR($A352="G",$A352="P"),NOT($O352="{array}")),IF(VLOOKUP($K352,base!$B$2:$D$20,3,0)="S",IF(OR($O352="",ISTEXT($O352)),"","STRING!"),IF(VLOOKUP($K352,base!$B$2:$D$20,3,0)="","",IF(ISTEXT($O352),"NUMERIC!",""))),"")</f>
        <v/>
      </c>
      <c r="AC352" s="17" t="str">
        <f>IF($AA352="","",IF($B352="I",VLOOKUP($AA352,#REF!,53,0),INDEX(VALUES!$B$1:$BT$1,1,$AA352)))</f>
        <v/>
      </c>
    </row>
    <row r="353" spans="1:29" hidden="1" outlineLevel="1" x14ac:dyDescent="0.3">
      <c r="A353" s="22" t="s">
        <v>84</v>
      </c>
      <c r="B353" s="41" t="str">
        <f t="shared" si="24"/>
        <v/>
      </c>
      <c r="C353" s="42">
        <f t="shared" si="25"/>
        <v>352</v>
      </c>
      <c r="D353" s="38"/>
      <c r="E353" s="38"/>
      <c r="F353" s="38" t="s">
        <v>9</v>
      </c>
      <c r="G353" s="38" t="s">
        <v>9</v>
      </c>
      <c r="H353" s="38"/>
      <c r="I353" s="38" t="s">
        <v>9</v>
      </c>
      <c r="J353" s="38"/>
      <c r="K353" s="14" t="s">
        <v>44</v>
      </c>
      <c r="L353" s="14" t="s">
        <v>27</v>
      </c>
      <c r="M353" s="20" t="s">
        <v>803</v>
      </c>
      <c r="N353" s="14" t="s">
        <v>802</v>
      </c>
      <c r="O353" s="43">
        <v>1</v>
      </c>
      <c r="R353" s="38" t="s">
        <v>103</v>
      </c>
      <c r="S353" s="38"/>
      <c r="T353" s="38"/>
      <c r="W353" s="15" t="str">
        <f>IF(IFERROR(VLOOKUP($M353,COMPARE!$H$2:$H$847,1,0),"-")="-","","GS")</f>
        <v/>
      </c>
      <c r="Z353" s="59" t="str">
        <f>IF(OR($M353="",NOT($O353="{array}")),"",IFERROR(MATCH(PARAMETERS!$M353,DEFAULT!$B$5:$CX$5,0),""))</f>
        <v/>
      </c>
      <c r="AA353" s="56" t="str">
        <f t="shared" si="26"/>
        <v/>
      </c>
      <c r="AB353" s="63" t="str">
        <f>IF(AND(OR($A353="G",$A353="P"),NOT($O353="{array}")),IF(VLOOKUP($K353,base!$B$2:$D$20,3,0)="S",IF(OR($O353="",ISTEXT($O353)),"","STRING!"),IF(VLOOKUP($K353,base!$B$2:$D$20,3,0)="","",IF(ISTEXT($O353),"NUMERIC!",""))),"")</f>
        <v/>
      </c>
      <c r="AC353" s="17" t="str">
        <f>IF($AA353="","",IF($B353="I",VLOOKUP($AA353,#REF!,53,0),INDEX(VALUES!$B$1:$BT$1,1,$AA353)))</f>
        <v/>
      </c>
    </row>
    <row r="354" spans="1:29" hidden="1" outlineLevel="1" x14ac:dyDescent="0.3">
      <c r="A354" s="22" t="s">
        <v>84</v>
      </c>
      <c r="B354" s="41" t="str">
        <f t="shared" si="24"/>
        <v/>
      </c>
      <c r="C354" s="42">
        <f t="shared" si="25"/>
        <v>353</v>
      </c>
      <c r="D354" s="38"/>
      <c r="E354" s="38"/>
      <c r="F354" s="38" t="s">
        <v>9</v>
      </c>
      <c r="G354" s="38"/>
      <c r="H354" s="38"/>
      <c r="I354" s="38" t="s">
        <v>9</v>
      </c>
      <c r="J354" s="38"/>
      <c r="K354" s="14" t="s">
        <v>44</v>
      </c>
      <c r="L354" s="14" t="s">
        <v>27</v>
      </c>
      <c r="M354" s="20" t="s">
        <v>804</v>
      </c>
      <c r="N354" s="14" t="s">
        <v>805</v>
      </c>
      <c r="O354" s="43">
        <v>1</v>
      </c>
      <c r="R354" s="38" t="s">
        <v>103</v>
      </c>
      <c r="S354" s="38"/>
      <c r="T354" s="38"/>
      <c r="W354" s="15" t="str">
        <f>IF(IFERROR(VLOOKUP($M354,COMPARE!$H$2:$H$847,1,0),"-")="-","","GS")</f>
        <v/>
      </c>
      <c r="Z354" s="59" t="str">
        <f>IF(OR($M354="",NOT($O354="{array}")),"",IFERROR(MATCH(PARAMETERS!$M354,DEFAULT!$B$5:$CX$5,0),""))</f>
        <v/>
      </c>
      <c r="AA354" s="56" t="str">
        <f t="shared" si="26"/>
        <v/>
      </c>
      <c r="AB354" s="63" t="str">
        <f>IF(AND(OR($A354="G",$A354="P"),NOT($O354="{array}")),IF(VLOOKUP($K354,base!$B$2:$D$20,3,0)="S",IF(OR($O354="",ISTEXT($O354)),"","STRING!"),IF(VLOOKUP($K354,base!$B$2:$D$20,3,0)="","",IF(ISTEXT($O354),"NUMERIC!",""))),"")</f>
        <v/>
      </c>
      <c r="AC354" s="17" t="str">
        <f>IF($AA354="","",IF($B354="I",VLOOKUP($AA354,#REF!,53,0),INDEX(VALUES!$B$1:$BT$1,1,$AA354)))</f>
        <v/>
      </c>
    </row>
    <row r="355" spans="1:29" hidden="1" outlineLevel="1" x14ac:dyDescent="0.3">
      <c r="A355" s="22" t="s">
        <v>84</v>
      </c>
      <c r="B355" s="41" t="str">
        <f t="shared" ref="B355:B386" si="27">IF($A355="P",IF(NOT($Z355=""),"A",IF(NOT($AA355=""),"I","")),IF(NOT($AA355=""),IF($A355="G","V","X"),IF(NOT($Z355=""),"A","")))</f>
        <v/>
      </c>
      <c r="C355" s="42">
        <f t="shared" ref="C355:C386" si="28">(ROW()-1)</f>
        <v>354</v>
      </c>
      <c r="D355" s="38"/>
      <c r="E355" s="38"/>
      <c r="F355" s="38" t="s">
        <v>9</v>
      </c>
      <c r="G355" s="38"/>
      <c r="H355" s="38"/>
      <c r="I355" s="38" t="s">
        <v>9</v>
      </c>
      <c r="J355" s="38"/>
      <c r="K355" s="14" t="s">
        <v>47</v>
      </c>
      <c r="L355" s="14" t="s">
        <v>27</v>
      </c>
      <c r="M355" s="20" t="s">
        <v>806</v>
      </c>
      <c r="N355" s="14" t="s">
        <v>807</v>
      </c>
      <c r="O355" s="43">
        <v>1</v>
      </c>
      <c r="R355" s="38" t="s">
        <v>103</v>
      </c>
      <c r="S355" s="38"/>
      <c r="T355" s="38"/>
      <c r="W355" s="15" t="str">
        <f>IF(IFERROR(VLOOKUP($M355,COMPARE!$H$2:$H$847,1,0),"-")="-","","GS")</f>
        <v/>
      </c>
      <c r="Z355" s="59" t="str">
        <f>IF(OR($M355="",NOT($O355="{array}")),"",IFERROR(MATCH(PARAMETERS!$M355,DEFAULT!$B$5:$CX$5,0),""))</f>
        <v/>
      </c>
      <c r="AA355" s="56" t="str">
        <f t="shared" si="26"/>
        <v/>
      </c>
      <c r="AB355" s="63" t="str">
        <f>IF(AND(OR($A355="G",$A355="P"),NOT($O355="{array}")),IF(VLOOKUP($K355,base!$B$2:$D$20,3,0)="S",IF(OR($O355="",ISTEXT($O355)),"","STRING!"),IF(VLOOKUP($K355,base!$B$2:$D$20,3,0)="","",IF(ISTEXT($O355),"NUMERIC!",""))),"")</f>
        <v/>
      </c>
      <c r="AC355" s="17" t="str">
        <f>IF($AA355="","",IF($B355="I",VLOOKUP($AA355,#REF!,53,0),INDEX(VALUES!$B$1:$BT$1,1,$AA355)))</f>
        <v/>
      </c>
    </row>
    <row r="356" spans="1:29" hidden="1" outlineLevel="1" x14ac:dyDescent="0.3">
      <c r="A356" s="22" t="s">
        <v>84</v>
      </c>
      <c r="B356" s="41" t="str">
        <f t="shared" si="27"/>
        <v/>
      </c>
      <c r="C356" s="42">
        <f t="shared" si="28"/>
        <v>355</v>
      </c>
      <c r="D356" s="38"/>
      <c r="E356" s="38"/>
      <c r="F356" s="38" t="s">
        <v>9</v>
      </c>
      <c r="G356" s="38"/>
      <c r="H356" s="38"/>
      <c r="I356" s="38" t="s">
        <v>9</v>
      </c>
      <c r="J356" s="38"/>
      <c r="K356" s="14" t="s">
        <v>44</v>
      </c>
      <c r="L356" s="14" t="s">
        <v>27</v>
      </c>
      <c r="M356" s="20" t="s">
        <v>808</v>
      </c>
      <c r="N356" s="14" t="s">
        <v>809</v>
      </c>
      <c r="O356" s="43">
        <v>1</v>
      </c>
      <c r="R356" s="38" t="s">
        <v>103</v>
      </c>
      <c r="S356" s="38"/>
      <c r="T356" s="38"/>
      <c r="W356" s="15" t="str">
        <f>IF(IFERROR(VLOOKUP($M356,COMPARE!$H$2:$H$847,1,0),"-")="-","","GS")</f>
        <v/>
      </c>
      <c r="Z356" s="59" t="str">
        <f>IF(OR($M356="",NOT($O356="{array}")),"",IFERROR(MATCH(PARAMETERS!$M356,DEFAULT!$B$5:$CX$5,0),""))</f>
        <v/>
      </c>
      <c r="AA356" s="56" t="str">
        <f t="shared" si="26"/>
        <v/>
      </c>
      <c r="AB356" s="63" t="str">
        <f>IF(AND(OR($A356="G",$A356="P"),NOT($O356="{array}")),IF(VLOOKUP($K356,base!$B$2:$D$20,3,0)="S",IF(OR($O356="",ISTEXT($O356)),"","STRING!"),IF(VLOOKUP($K356,base!$B$2:$D$20,3,0)="","",IF(ISTEXT($O356),"NUMERIC!",""))),"")</f>
        <v/>
      </c>
      <c r="AC356" s="17" t="str">
        <f>IF($AA356="","",IF($B356="I",VLOOKUP($AA356,#REF!,53,0),INDEX(VALUES!$B$1:$BT$1,1,$AA356)))</f>
        <v/>
      </c>
    </row>
    <row r="357" spans="1:29" hidden="1" outlineLevel="1" x14ac:dyDescent="0.3">
      <c r="A357" s="22" t="s">
        <v>84</v>
      </c>
      <c r="B357" s="41" t="str">
        <f t="shared" si="27"/>
        <v/>
      </c>
      <c r="C357" s="42">
        <f t="shared" si="28"/>
        <v>356</v>
      </c>
      <c r="D357" s="38"/>
      <c r="E357" s="38"/>
      <c r="F357" s="38" t="s">
        <v>9</v>
      </c>
      <c r="G357" s="38"/>
      <c r="H357" s="38"/>
      <c r="I357" s="38" t="s">
        <v>9</v>
      </c>
      <c r="J357" s="38"/>
      <c r="K357" s="14" t="s">
        <v>24</v>
      </c>
      <c r="L357" s="14" t="s">
        <v>27</v>
      </c>
      <c r="M357" s="20" t="s">
        <v>810</v>
      </c>
      <c r="N357" s="14" t="s">
        <v>811</v>
      </c>
      <c r="O357" s="43">
        <v>0.02</v>
      </c>
      <c r="R357" s="38" t="s">
        <v>103</v>
      </c>
      <c r="S357" s="38"/>
      <c r="T357" s="38"/>
      <c r="W357" s="15" t="str">
        <f>IF(IFERROR(VLOOKUP($M357,COMPARE!$H$2:$H$847,1,0),"-")="-","","GS")</f>
        <v/>
      </c>
      <c r="Z357" s="59" t="str">
        <f>IF(OR($M357="",NOT($O357="{array}")),"",IFERROR(MATCH(PARAMETERS!$M357,DEFAULT!$B$5:$CX$5,0),""))</f>
        <v/>
      </c>
      <c r="AA357" s="56" t="str">
        <f t="shared" si="26"/>
        <v/>
      </c>
      <c r="AB357" s="63" t="str">
        <f>IF(AND(OR($A357="G",$A357="P"),NOT($O357="{array}")),IF(VLOOKUP($K357,base!$B$2:$D$20,3,0)="S",IF(OR($O357="",ISTEXT($O357)),"","STRING!"),IF(VLOOKUP($K357,base!$B$2:$D$20,3,0)="","",IF(ISTEXT($O357),"NUMERIC!",""))),"")</f>
        <v/>
      </c>
      <c r="AC357" s="17" t="str">
        <f>IF($AA357="","",IF($B357="I",VLOOKUP($AA357,#REF!,53,0),INDEX(VALUES!$B$1:$BT$1,1,$AA357)))</f>
        <v/>
      </c>
    </row>
    <row r="358" spans="1:29" hidden="1" outlineLevel="1" x14ac:dyDescent="0.3">
      <c r="A358" s="22" t="s">
        <v>84</v>
      </c>
      <c r="B358" s="41" t="str">
        <f t="shared" si="27"/>
        <v/>
      </c>
      <c r="C358" s="42">
        <f t="shared" si="28"/>
        <v>357</v>
      </c>
      <c r="D358" s="38"/>
      <c r="E358" s="38"/>
      <c r="F358" s="38" t="s">
        <v>9</v>
      </c>
      <c r="G358" s="38"/>
      <c r="H358" s="38"/>
      <c r="I358" s="38" t="s">
        <v>9</v>
      </c>
      <c r="J358" s="38"/>
      <c r="K358" s="14" t="s">
        <v>47</v>
      </c>
      <c r="L358" s="14" t="s">
        <v>27</v>
      </c>
      <c r="M358" s="20" t="s">
        <v>812</v>
      </c>
      <c r="N358" s="14" t="s">
        <v>813</v>
      </c>
      <c r="O358" s="43">
        <v>1</v>
      </c>
      <c r="R358" s="38" t="s">
        <v>103</v>
      </c>
      <c r="S358" s="38"/>
      <c r="T358" s="38"/>
      <c r="W358" s="15" t="str">
        <f>IF(IFERROR(VLOOKUP($M358,COMPARE!$H$2:$H$847,1,0),"-")="-","","GS")</f>
        <v/>
      </c>
      <c r="Z358" s="59" t="str">
        <f>IF(OR($M358="",NOT($O358="{array}")),"",IFERROR(MATCH(PARAMETERS!$M358,DEFAULT!$B$5:$CX$5,0),""))</f>
        <v/>
      </c>
      <c r="AA358" s="56" t="str">
        <f t="shared" si="26"/>
        <v/>
      </c>
      <c r="AB358" s="63" t="str">
        <f>IF(AND(OR($A358="G",$A358="P"),NOT($O358="{array}")),IF(VLOOKUP($K358,base!$B$2:$D$20,3,0)="S",IF(OR($O358="",ISTEXT($O358)),"","STRING!"),IF(VLOOKUP($K358,base!$B$2:$D$20,3,0)="","",IF(ISTEXT($O358),"NUMERIC!",""))),"")</f>
        <v/>
      </c>
      <c r="AC358" s="17" t="str">
        <f>IF($AA358="","",IF($B358="I",VLOOKUP($AA358,#REF!,53,0),INDEX(VALUES!$B$1:$BT$1,1,$AA358)))</f>
        <v/>
      </c>
    </row>
    <row r="359" spans="1:29" hidden="1" outlineLevel="1" x14ac:dyDescent="0.3">
      <c r="A359" s="22" t="s">
        <v>84</v>
      </c>
      <c r="B359" s="41" t="str">
        <f t="shared" si="27"/>
        <v/>
      </c>
      <c r="C359" s="42">
        <f t="shared" si="28"/>
        <v>358</v>
      </c>
      <c r="D359" s="38"/>
      <c r="E359" s="38"/>
      <c r="F359" s="38" t="s">
        <v>9</v>
      </c>
      <c r="G359" s="38"/>
      <c r="H359" s="38"/>
      <c r="I359" s="38" t="s">
        <v>9</v>
      </c>
      <c r="J359" s="38"/>
      <c r="K359" s="14" t="s">
        <v>47</v>
      </c>
      <c r="L359" s="14" t="s">
        <v>27</v>
      </c>
      <c r="M359" s="20" t="s">
        <v>814</v>
      </c>
      <c r="N359" s="14" t="s">
        <v>815</v>
      </c>
      <c r="O359" s="43">
        <v>1</v>
      </c>
      <c r="R359" s="38" t="s">
        <v>103</v>
      </c>
      <c r="S359" s="38"/>
      <c r="T359" s="38"/>
      <c r="W359" s="15" t="str">
        <f>IF(IFERROR(VLOOKUP($M359,COMPARE!$H$2:$H$847,1,0),"-")="-","","GS")</f>
        <v/>
      </c>
      <c r="Z359" s="59" t="str">
        <f>IF(OR($M359="",NOT($O359="{array}")),"",IFERROR(MATCH(PARAMETERS!$M359,DEFAULT!$B$5:$CX$5,0),""))</f>
        <v/>
      </c>
      <c r="AA359" s="56" t="str">
        <f t="shared" si="26"/>
        <v/>
      </c>
      <c r="AB359" s="63" t="str">
        <f>IF(AND(OR($A359="G",$A359="P"),NOT($O359="{array}")),IF(VLOOKUP($K359,base!$B$2:$D$20,3,0)="S",IF(OR($O359="",ISTEXT($O359)),"","STRING!"),IF(VLOOKUP($K359,base!$B$2:$D$20,3,0)="","",IF(ISTEXT($O359),"NUMERIC!",""))),"")</f>
        <v/>
      </c>
      <c r="AC359" s="17" t="str">
        <f>IF($AA359="","",IF($B359="I",VLOOKUP($AA359,#REF!,53,0),INDEX(VALUES!$B$1:$BT$1,1,$AA359)))</f>
        <v/>
      </c>
    </row>
    <row r="360" spans="1:29" hidden="1" outlineLevel="1" x14ac:dyDescent="0.3">
      <c r="A360" s="22" t="s">
        <v>84</v>
      </c>
      <c r="B360" s="41" t="str">
        <f t="shared" si="27"/>
        <v/>
      </c>
      <c r="C360" s="42">
        <f t="shared" si="28"/>
        <v>359</v>
      </c>
      <c r="D360" s="38"/>
      <c r="E360" s="38"/>
      <c r="F360" s="38" t="s">
        <v>9</v>
      </c>
      <c r="G360" s="38"/>
      <c r="H360" s="38"/>
      <c r="I360" s="38" t="s">
        <v>9</v>
      </c>
      <c r="J360" s="38"/>
      <c r="K360" s="14" t="s">
        <v>24</v>
      </c>
      <c r="L360" s="14" t="s">
        <v>27</v>
      </c>
      <c r="M360" s="20" t="s">
        <v>816</v>
      </c>
      <c r="N360" s="14" t="s">
        <v>817</v>
      </c>
      <c r="O360" s="43">
        <v>0.05</v>
      </c>
      <c r="R360" s="38" t="s">
        <v>103</v>
      </c>
      <c r="S360" s="38"/>
      <c r="T360" s="38"/>
      <c r="W360" s="15" t="str">
        <f>IF(IFERROR(VLOOKUP($M360,COMPARE!$H$2:$H$847,1,0),"-")="-","","GS")</f>
        <v/>
      </c>
      <c r="Z360" s="59" t="str">
        <f>IF(OR($M360="",NOT($O360="{array}")),"",IFERROR(MATCH(PARAMETERS!$M360,DEFAULT!$B$5:$CX$5,0),""))</f>
        <v/>
      </c>
      <c r="AA360" s="56" t="str">
        <f t="shared" si="26"/>
        <v/>
      </c>
      <c r="AB360" s="63" t="str">
        <f>IF(AND(OR($A360="G",$A360="P"),NOT($O360="{array}")),IF(VLOOKUP($K360,base!$B$2:$D$20,3,0)="S",IF(OR($O360="",ISTEXT($O360)),"","STRING!"),IF(VLOOKUP($K360,base!$B$2:$D$20,3,0)="","",IF(ISTEXT($O360),"NUMERIC!",""))),"")</f>
        <v/>
      </c>
      <c r="AC360" s="17" t="str">
        <f>IF($AA360="","",IF($B360="I",VLOOKUP($AA360,#REF!,53,0),INDEX(VALUES!$B$1:$BT$1,1,$AA360)))</f>
        <v/>
      </c>
    </row>
    <row r="361" spans="1:29" hidden="1" outlineLevel="1" x14ac:dyDescent="0.3">
      <c r="A361" s="22" t="s">
        <v>84</v>
      </c>
      <c r="B361" s="41" t="str">
        <f t="shared" si="27"/>
        <v/>
      </c>
      <c r="C361" s="42">
        <f t="shared" si="28"/>
        <v>360</v>
      </c>
      <c r="D361" s="38"/>
      <c r="E361" s="38"/>
      <c r="F361" s="38" t="s">
        <v>9</v>
      </c>
      <c r="G361" s="38"/>
      <c r="H361" s="38"/>
      <c r="I361" s="38" t="s">
        <v>9</v>
      </c>
      <c r="J361" s="38"/>
      <c r="K361" s="14" t="s">
        <v>24</v>
      </c>
      <c r="L361" s="14" t="s">
        <v>27</v>
      </c>
      <c r="M361" s="20" t="s">
        <v>818</v>
      </c>
      <c r="N361" s="14" t="s">
        <v>819</v>
      </c>
      <c r="O361" s="43">
        <v>0.05</v>
      </c>
      <c r="R361" s="38" t="s">
        <v>103</v>
      </c>
      <c r="S361" s="38"/>
      <c r="T361" s="38"/>
      <c r="W361" s="15" t="str">
        <f>IF(IFERROR(VLOOKUP($M361,COMPARE!$H$2:$H$847,1,0),"-")="-","","GS")</f>
        <v/>
      </c>
      <c r="Z361" s="59" t="str">
        <f>IF(OR($M361="",NOT($O361="{array}")),"",IFERROR(MATCH(PARAMETERS!$M361,DEFAULT!$B$5:$CX$5,0),""))</f>
        <v/>
      </c>
      <c r="AA361" s="56" t="str">
        <f t="shared" si="26"/>
        <v/>
      </c>
      <c r="AB361" s="63" t="str">
        <f>IF(AND(OR($A361="G",$A361="P"),NOT($O361="{array}")),IF(VLOOKUP($K361,base!$B$2:$D$20,3,0)="S",IF(OR($O361="",ISTEXT($O361)),"","STRING!"),IF(VLOOKUP($K361,base!$B$2:$D$20,3,0)="","",IF(ISTEXT($O361),"NUMERIC!",""))),"")</f>
        <v/>
      </c>
      <c r="AC361" s="17" t="str">
        <f>IF($AA361="","",IF($B361="I",VLOOKUP($AA361,#REF!,53,0),INDEX(VALUES!$B$1:$BT$1,1,$AA361)))</f>
        <v/>
      </c>
    </row>
    <row r="362" spans="1:29" hidden="1" outlineLevel="1" x14ac:dyDescent="0.3">
      <c r="A362" s="22" t="s">
        <v>84</v>
      </c>
      <c r="B362" s="41" t="str">
        <f t="shared" si="27"/>
        <v/>
      </c>
      <c r="C362" s="42">
        <f t="shared" si="28"/>
        <v>361</v>
      </c>
      <c r="D362" s="38"/>
      <c r="E362" s="38"/>
      <c r="F362" s="38" t="s">
        <v>9</v>
      </c>
      <c r="G362" s="38"/>
      <c r="H362" s="38"/>
      <c r="I362" s="38" t="s">
        <v>9</v>
      </c>
      <c r="J362" s="38"/>
      <c r="K362" s="14" t="s">
        <v>24</v>
      </c>
      <c r="L362" s="14" t="s">
        <v>27</v>
      </c>
      <c r="M362" s="20" t="s">
        <v>820</v>
      </c>
      <c r="N362" s="14" t="s">
        <v>734</v>
      </c>
      <c r="O362" s="43">
        <v>0.05</v>
      </c>
      <c r="R362" s="38" t="s">
        <v>103</v>
      </c>
      <c r="S362" s="38"/>
      <c r="T362" s="38"/>
      <c r="W362" s="15" t="str">
        <f>IF(IFERROR(VLOOKUP($M362,COMPARE!$H$2:$H$847,1,0),"-")="-","","GS")</f>
        <v/>
      </c>
      <c r="Z362" s="59" t="str">
        <f>IF(OR($M362="",NOT($O362="{array}")),"",IFERROR(MATCH(PARAMETERS!$M362,DEFAULT!$B$5:$CX$5,0),""))</f>
        <v/>
      </c>
      <c r="AA362" s="56" t="str">
        <f t="shared" si="26"/>
        <v/>
      </c>
      <c r="AB362" s="63" t="str">
        <f>IF(AND(OR($A362="G",$A362="P"),NOT($O362="{array}")),IF(VLOOKUP($K362,base!$B$2:$D$20,3,0)="S",IF(OR($O362="",ISTEXT($O362)),"","STRING!"),IF(VLOOKUP($K362,base!$B$2:$D$20,3,0)="","",IF(ISTEXT($O362),"NUMERIC!",""))),"")</f>
        <v/>
      </c>
      <c r="AC362" s="17" t="str">
        <f>IF($AA362="","",IF($B362="I",VLOOKUP($AA362,#REF!,53,0),INDEX(VALUES!$B$1:$BT$1,1,$AA362)))</f>
        <v/>
      </c>
    </row>
    <row r="363" spans="1:29" hidden="1" outlineLevel="1" x14ac:dyDescent="0.3">
      <c r="A363" s="22" t="s">
        <v>84</v>
      </c>
      <c r="B363" s="41" t="str">
        <f t="shared" si="27"/>
        <v/>
      </c>
      <c r="C363" s="42">
        <f t="shared" si="28"/>
        <v>362</v>
      </c>
      <c r="D363" s="38"/>
      <c r="E363" s="38"/>
      <c r="F363" s="38" t="s">
        <v>9</v>
      </c>
      <c r="G363" s="38"/>
      <c r="H363" s="38"/>
      <c r="I363" s="38" t="s">
        <v>9</v>
      </c>
      <c r="J363" s="38"/>
      <c r="K363" s="14" t="s">
        <v>24</v>
      </c>
      <c r="L363" s="14" t="s">
        <v>27</v>
      </c>
      <c r="M363" s="20" t="s">
        <v>821</v>
      </c>
      <c r="N363" s="14" t="s">
        <v>822</v>
      </c>
      <c r="O363" s="43">
        <v>1.9E-2</v>
      </c>
      <c r="R363" s="38" t="s">
        <v>103</v>
      </c>
      <c r="S363" s="38"/>
      <c r="T363" s="38"/>
      <c r="W363" s="15" t="str">
        <f>IF(IFERROR(VLOOKUP($M363,COMPARE!$H$2:$H$847,1,0),"-")="-","","GS")</f>
        <v/>
      </c>
      <c r="Z363" s="59" t="str">
        <f>IF(OR($M363="",NOT($O363="{array}")),"",IFERROR(MATCH(PARAMETERS!$M363,DEFAULT!$B$5:$CX$5,0),""))</f>
        <v/>
      </c>
      <c r="AA363" s="56" t="str">
        <f t="shared" si="26"/>
        <v/>
      </c>
      <c r="AB363" s="63" t="str">
        <f>IF(AND(OR($A363="G",$A363="P"),NOT($O363="{array}")),IF(VLOOKUP($K363,base!$B$2:$D$20,3,0)="S",IF(OR($O363="",ISTEXT($O363)),"","STRING!"),IF(VLOOKUP($K363,base!$B$2:$D$20,3,0)="","",IF(ISTEXT($O363),"NUMERIC!",""))),"")</f>
        <v/>
      </c>
      <c r="AC363" s="17" t="str">
        <f>IF($AA363="","",IF($B363="I",VLOOKUP($AA363,#REF!,53,0),INDEX(VALUES!$B$1:$BT$1,1,$AA363)))</f>
        <v/>
      </c>
    </row>
    <row r="364" spans="1:29" hidden="1" outlineLevel="1" x14ac:dyDescent="0.3">
      <c r="A364" s="22" t="s">
        <v>84</v>
      </c>
      <c r="B364" s="41" t="str">
        <f t="shared" si="27"/>
        <v/>
      </c>
      <c r="C364" s="42">
        <f t="shared" si="28"/>
        <v>363</v>
      </c>
      <c r="D364" s="38"/>
      <c r="E364" s="38"/>
      <c r="F364" s="38" t="s">
        <v>9</v>
      </c>
      <c r="G364" s="38"/>
      <c r="H364" s="38"/>
      <c r="I364" s="38" t="s">
        <v>9</v>
      </c>
      <c r="J364" s="38"/>
      <c r="K364" s="14" t="s">
        <v>24</v>
      </c>
      <c r="L364" s="14" t="s">
        <v>27</v>
      </c>
      <c r="M364" s="20" t="s">
        <v>823</v>
      </c>
      <c r="N364" s="14" t="s">
        <v>824</v>
      </c>
      <c r="O364" s="43">
        <v>2.5000000000000001E-2</v>
      </c>
      <c r="R364" s="38" t="s">
        <v>103</v>
      </c>
      <c r="S364" s="38"/>
      <c r="T364" s="38"/>
      <c r="W364" s="15" t="str">
        <f>IF(IFERROR(VLOOKUP($M364,COMPARE!$H$2:$H$847,1,0),"-")="-","","GS")</f>
        <v/>
      </c>
      <c r="Z364" s="59" t="str">
        <f>IF(OR($M364="",NOT($O364="{array}")),"",IFERROR(MATCH(PARAMETERS!$M364,DEFAULT!$B$5:$CX$5,0),""))</f>
        <v/>
      </c>
      <c r="AA364" s="56" t="str">
        <f t="shared" si="26"/>
        <v/>
      </c>
      <c r="AB364" s="63" t="str">
        <f>IF(AND(OR($A364="G",$A364="P"),NOT($O364="{array}")),IF(VLOOKUP($K364,base!$B$2:$D$20,3,0)="S",IF(OR($O364="",ISTEXT($O364)),"","STRING!"),IF(VLOOKUP($K364,base!$B$2:$D$20,3,0)="","",IF(ISTEXT($O364),"NUMERIC!",""))),"")</f>
        <v/>
      </c>
      <c r="AC364" s="17" t="str">
        <f>IF($AA364="","",IF($B364="I",VLOOKUP($AA364,#REF!,53,0),INDEX(VALUES!$B$1:$BT$1,1,$AA364)))</f>
        <v/>
      </c>
    </row>
    <row r="365" spans="1:29" hidden="1" outlineLevel="1" x14ac:dyDescent="0.3">
      <c r="A365" s="22" t="s">
        <v>84</v>
      </c>
      <c r="B365" s="41" t="str">
        <f t="shared" si="27"/>
        <v/>
      </c>
      <c r="C365" s="42">
        <f t="shared" si="28"/>
        <v>364</v>
      </c>
      <c r="D365" s="38"/>
      <c r="E365" s="38"/>
      <c r="F365" s="38" t="s">
        <v>9</v>
      </c>
      <c r="G365" s="38"/>
      <c r="H365" s="38"/>
      <c r="I365" s="38" t="s">
        <v>9</v>
      </c>
      <c r="J365" s="38"/>
      <c r="K365" s="14" t="s">
        <v>24</v>
      </c>
      <c r="L365" s="14" t="s">
        <v>27</v>
      </c>
      <c r="M365" s="20" t="s">
        <v>825</v>
      </c>
      <c r="N365" s="14" t="s">
        <v>826</v>
      </c>
      <c r="O365" s="43">
        <v>0</v>
      </c>
      <c r="R365" s="38" t="s">
        <v>103</v>
      </c>
      <c r="S365" s="38"/>
      <c r="T365" s="38"/>
      <c r="W365" s="15" t="str">
        <f>IF(IFERROR(VLOOKUP($M365,COMPARE!$H$2:$H$847,1,0),"-")="-","","GS")</f>
        <v/>
      </c>
      <c r="Z365" s="59" t="str">
        <f>IF(OR($M365="",NOT($O365="{array}")),"",IFERROR(MATCH(PARAMETERS!$M365,DEFAULT!$B$5:$CX$5,0),""))</f>
        <v/>
      </c>
      <c r="AA365" s="56" t="str">
        <f t="shared" si="26"/>
        <v/>
      </c>
      <c r="AB365" s="63" t="str">
        <f>IF(AND(OR($A365="G",$A365="P"),NOT($O365="{array}")),IF(VLOOKUP($K365,base!$B$2:$D$20,3,0)="S",IF(OR($O365="",ISTEXT($O365)),"","STRING!"),IF(VLOOKUP($K365,base!$B$2:$D$20,3,0)="","",IF(ISTEXT($O365),"NUMERIC!",""))),"")</f>
        <v/>
      </c>
      <c r="AC365" s="17" t="str">
        <f>IF($AA365="","",IF($B365="I",VLOOKUP($AA365,#REF!,53,0),INDEX(VALUES!$B$1:$BT$1,1,$AA365)))</f>
        <v/>
      </c>
    </row>
    <row r="366" spans="1:29" hidden="1" outlineLevel="1" x14ac:dyDescent="0.3">
      <c r="A366" s="22" t="s">
        <v>84</v>
      </c>
      <c r="B366" s="41" t="str">
        <f t="shared" si="27"/>
        <v/>
      </c>
      <c r="C366" s="42">
        <f t="shared" si="28"/>
        <v>365</v>
      </c>
      <c r="D366" s="38"/>
      <c r="E366" s="38"/>
      <c r="F366" s="38" t="s">
        <v>9</v>
      </c>
      <c r="G366" s="38"/>
      <c r="H366" s="38"/>
      <c r="I366" s="38" t="s">
        <v>9</v>
      </c>
      <c r="J366" s="38"/>
      <c r="K366" s="14" t="s">
        <v>24</v>
      </c>
      <c r="L366" s="14" t="s">
        <v>27</v>
      </c>
      <c r="M366" s="20" t="s">
        <v>827</v>
      </c>
      <c r="N366" s="14" t="s">
        <v>828</v>
      </c>
      <c r="O366" s="43">
        <v>0.05</v>
      </c>
      <c r="R366" s="38" t="s">
        <v>103</v>
      </c>
      <c r="S366" s="38"/>
      <c r="T366" s="38"/>
      <c r="W366" s="15" t="str">
        <f>IF(IFERROR(VLOOKUP($M366,COMPARE!$H$2:$H$847,1,0),"-")="-","","GS")</f>
        <v/>
      </c>
      <c r="Z366" s="59" t="str">
        <f>IF(OR($M366="",NOT($O366="{array}")),"",IFERROR(MATCH(PARAMETERS!$M366,DEFAULT!$B$5:$CX$5,0),""))</f>
        <v/>
      </c>
      <c r="AA366" s="56" t="str">
        <f t="shared" si="26"/>
        <v/>
      </c>
      <c r="AB366" s="63" t="str">
        <f>IF(AND(OR($A366="G",$A366="P"),NOT($O366="{array}")),IF(VLOOKUP($K366,base!$B$2:$D$20,3,0)="S",IF(OR($O366="",ISTEXT($O366)),"","STRING!"),IF(VLOOKUP($K366,base!$B$2:$D$20,3,0)="","",IF(ISTEXT($O366),"NUMERIC!",""))),"")</f>
        <v/>
      </c>
      <c r="AC366" s="17" t="str">
        <f>IF($AA366="","",IF($B366="I",VLOOKUP($AA366,#REF!,53,0),INDEX(VALUES!$B$1:$BT$1,1,$AA366)))</f>
        <v/>
      </c>
    </row>
    <row r="367" spans="1:29" hidden="1" outlineLevel="1" x14ac:dyDescent="0.3">
      <c r="A367" s="22" t="s">
        <v>84</v>
      </c>
      <c r="B367" s="41" t="str">
        <f t="shared" si="27"/>
        <v/>
      </c>
      <c r="C367" s="42">
        <f t="shared" si="28"/>
        <v>366</v>
      </c>
      <c r="D367" s="38"/>
      <c r="E367" s="38"/>
      <c r="F367" s="38" t="s">
        <v>9</v>
      </c>
      <c r="G367" s="38"/>
      <c r="H367" s="38"/>
      <c r="I367" s="38" t="s">
        <v>9</v>
      </c>
      <c r="J367" s="38"/>
      <c r="K367" s="14" t="s">
        <v>24</v>
      </c>
      <c r="L367" s="14" t="s">
        <v>27</v>
      </c>
      <c r="M367" s="20" t="s">
        <v>829</v>
      </c>
      <c r="N367" s="14" t="s">
        <v>830</v>
      </c>
      <c r="O367" s="43">
        <v>0.1</v>
      </c>
      <c r="R367" s="38" t="s">
        <v>103</v>
      </c>
      <c r="S367" s="38"/>
      <c r="T367" s="38"/>
      <c r="W367" s="15" t="str">
        <f>IF(IFERROR(VLOOKUP($M367,COMPARE!$H$2:$H$847,1,0),"-")="-","","GS")</f>
        <v/>
      </c>
      <c r="Z367" s="59" t="str">
        <f>IF(OR($M367="",NOT($O367="{array}")),"",IFERROR(MATCH(PARAMETERS!$M367,DEFAULT!$B$5:$CX$5,0),""))</f>
        <v/>
      </c>
      <c r="AA367" s="56" t="str">
        <f t="shared" si="26"/>
        <v/>
      </c>
      <c r="AB367" s="63" t="str">
        <f>IF(AND(OR($A367="G",$A367="P"),NOT($O367="{array}")),IF(VLOOKUP($K367,base!$B$2:$D$20,3,0)="S",IF(OR($O367="",ISTEXT($O367)),"","STRING!"),IF(VLOOKUP($K367,base!$B$2:$D$20,3,0)="","",IF(ISTEXT($O367),"NUMERIC!",""))),"")</f>
        <v/>
      </c>
      <c r="AC367" s="17" t="str">
        <f>IF($AA367="","",IF($B367="I",VLOOKUP($AA367,#REF!,53,0),INDEX(VALUES!$B$1:$BT$1,1,$AA367)))</f>
        <v/>
      </c>
    </row>
    <row r="368" spans="1:29" hidden="1" outlineLevel="1" x14ac:dyDescent="0.3">
      <c r="A368" s="22" t="s">
        <v>84</v>
      </c>
      <c r="B368" s="41" t="str">
        <f t="shared" si="27"/>
        <v/>
      </c>
      <c r="C368" s="42">
        <f t="shared" si="28"/>
        <v>367</v>
      </c>
      <c r="D368" s="38"/>
      <c r="E368" s="38"/>
      <c r="F368" s="38" t="s">
        <v>9</v>
      </c>
      <c r="G368" s="38"/>
      <c r="H368" s="38"/>
      <c r="I368" s="38" t="s">
        <v>9</v>
      </c>
      <c r="J368" s="38"/>
      <c r="K368" s="14" t="s">
        <v>53</v>
      </c>
      <c r="L368" s="14" t="s">
        <v>27</v>
      </c>
      <c r="M368" s="20" t="s">
        <v>831</v>
      </c>
      <c r="N368" s="14" t="s">
        <v>832</v>
      </c>
      <c r="O368" s="43">
        <v>1</v>
      </c>
      <c r="R368" s="38" t="s">
        <v>103</v>
      </c>
      <c r="S368" s="38"/>
      <c r="T368" s="38"/>
      <c r="W368" s="15" t="str">
        <f>IF(IFERROR(VLOOKUP($M368,COMPARE!$H$2:$H$847,1,0),"-")="-","","GS")</f>
        <v/>
      </c>
      <c r="Z368" s="59" t="str">
        <f>IF(OR($M368="",NOT($O368="{array}")),"",IFERROR(MATCH(PARAMETERS!$M368,DEFAULT!$B$5:$CX$5,0),""))</f>
        <v/>
      </c>
      <c r="AA368" s="56" t="str">
        <f t="shared" si="26"/>
        <v/>
      </c>
      <c r="AB368" s="63" t="str">
        <f>IF(AND(OR($A368="G",$A368="P"),NOT($O368="{array}")),IF(VLOOKUP($K368,base!$B$2:$D$20,3,0)="S",IF(OR($O368="",ISTEXT($O368)),"","STRING!"),IF(VLOOKUP($K368,base!$B$2:$D$20,3,0)="","",IF(ISTEXT($O368),"NUMERIC!",""))),"")</f>
        <v/>
      </c>
      <c r="AC368" s="17" t="str">
        <f>IF($AA368="","",IF($B368="I",VLOOKUP($AA368,#REF!,53,0),INDEX(VALUES!$B$1:$BT$1,1,$AA368)))</f>
        <v/>
      </c>
    </row>
    <row r="369" spans="1:29" hidden="1" outlineLevel="1" x14ac:dyDescent="0.3">
      <c r="A369" s="22" t="s">
        <v>84</v>
      </c>
      <c r="B369" s="41" t="str">
        <f t="shared" si="27"/>
        <v/>
      </c>
      <c r="C369" s="42">
        <f t="shared" si="28"/>
        <v>368</v>
      </c>
      <c r="D369" s="38"/>
      <c r="E369" s="38"/>
      <c r="F369" s="38" t="s">
        <v>9</v>
      </c>
      <c r="G369" s="38"/>
      <c r="H369" s="38"/>
      <c r="I369" s="38" t="s">
        <v>9</v>
      </c>
      <c r="J369" s="38"/>
      <c r="K369" s="14" t="s">
        <v>52</v>
      </c>
      <c r="L369" s="14" t="s">
        <v>27</v>
      </c>
      <c r="M369" s="20" t="s">
        <v>833</v>
      </c>
      <c r="N369" s="14" t="s">
        <v>834</v>
      </c>
      <c r="O369" s="43">
        <v>65</v>
      </c>
      <c r="R369" s="38" t="s">
        <v>103</v>
      </c>
      <c r="S369" s="38"/>
      <c r="T369" s="38"/>
      <c r="W369" s="15" t="str">
        <f>IF(IFERROR(VLOOKUP($M369,COMPARE!$H$2:$H$847,1,0),"-")="-","","GS")</f>
        <v/>
      </c>
      <c r="Z369" s="59" t="str">
        <f>IF(OR($M369="",NOT($O369="{array}")),"",IFERROR(MATCH(PARAMETERS!$M369,DEFAULT!$B$5:$CX$5,0),""))</f>
        <v/>
      </c>
      <c r="AA369" s="56" t="str">
        <f t="shared" si="26"/>
        <v/>
      </c>
      <c r="AB369" s="63" t="str">
        <f>IF(AND(OR($A369="G",$A369="P"),NOT($O369="{array}")),IF(VLOOKUP($K369,base!$B$2:$D$20,3,0)="S",IF(OR($O369="",ISTEXT($O369)),"","STRING!"),IF(VLOOKUP($K369,base!$B$2:$D$20,3,0)="","",IF(ISTEXT($O369),"NUMERIC!",""))),"")</f>
        <v/>
      </c>
      <c r="AC369" s="17" t="str">
        <f>IF($AA369="","",IF($B369="I",VLOOKUP($AA369,#REF!,53,0),INDEX(VALUES!$B$1:$BT$1,1,$AA369)))</f>
        <v/>
      </c>
    </row>
    <row r="370" spans="1:29" hidden="1" outlineLevel="1" x14ac:dyDescent="0.3">
      <c r="A370" s="22" t="s">
        <v>84</v>
      </c>
      <c r="B370" s="41" t="str">
        <f t="shared" si="27"/>
        <v/>
      </c>
      <c r="C370" s="42">
        <f t="shared" si="28"/>
        <v>369</v>
      </c>
      <c r="D370" s="38"/>
      <c r="E370" s="38"/>
      <c r="F370" s="38" t="s">
        <v>9</v>
      </c>
      <c r="G370" s="38"/>
      <c r="H370" s="38"/>
      <c r="I370" s="38" t="s">
        <v>9</v>
      </c>
      <c r="J370" s="38"/>
      <c r="K370" s="14" t="s">
        <v>53</v>
      </c>
      <c r="L370" s="14" t="s">
        <v>27</v>
      </c>
      <c r="M370" s="20" t="s">
        <v>835</v>
      </c>
      <c r="N370" s="14" t="s">
        <v>836</v>
      </c>
      <c r="O370" s="43">
        <v>19</v>
      </c>
      <c r="R370" s="38" t="s">
        <v>103</v>
      </c>
      <c r="S370" s="38"/>
      <c r="T370" s="38"/>
      <c r="W370" s="15" t="str">
        <f>IF(IFERROR(VLOOKUP($M370,COMPARE!$H$2:$H$847,1,0),"-")="-","","GS")</f>
        <v/>
      </c>
      <c r="Z370" s="59" t="str">
        <f>IF(OR($M370="",NOT($O370="{array}")),"",IFERROR(MATCH(PARAMETERS!$M370,DEFAULT!$B$5:$CX$5,0),""))</f>
        <v/>
      </c>
      <c r="AA370" s="56" t="str">
        <f t="shared" si="26"/>
        <v/>
      </c>
      <c r="AB370" s="63" t="str">
        <f>IF(AND(OR($A370="G",$A370="P"),NOT($O370="{array}")),IF(VLOOKUP($K370,base!$B$2:$D$20,3,0)="S",IF(OR($O370="",ISTEXT($O370)),"","STRING!"),IF(VLOOKUP($K370,base!$B$2:$D$20,3,0)="","",IF(ISTEXT($O370),"NUMERIC!",""))),"")</f>
        <v/>
      </c>
      <c r="AC370" s="17" t="str">
        <f>IF($AA370="","",IF($B370="I",VLOOKUP($AA370,#REF!,53,0),INDEX(VALUES!$B$1:$BT$1,1,$AA370)))</f>
        <v/>
      </c>
    </row>
    <row r="371" spans="1:29" hidden="1" outlineLevel="1" x14ac:dyDescent="0.3">
      <c r="A371" s="22" t="s">
        <v>84</v>
      </c>
      <c r="B371" s="41" t="str">
        <f t="shared" si="27"/>
        <v/>
      </c>
      <c r="C371" s="42">
        <f t="shared" si="28"/>
        <v>370</v>
      </c>
      <c r="D371" s="38"/>
      <c r="E371" s="38"/>
      <c r="F371" s="38" t="s">
        <v>9</v>
      </c>
      <c r="G371" s="38"/>
      <c r="H371" s="38"/>
      <c r="I371" s="38" t="s">
        <v>9</v>
      </c>
      <c r="J371" s="38"/>
      <c r="K371" s="14" t="s">
        <v>53</v>
      </c>
      <c r="L371" s="14" t="s">
        <v>27</v>
      </c>
      <c r="M371" s="20" t="s">
        <v>837</v>
      </c>
      <c r="N371" s="14" t="s">
        <v>838</v>
      </c>
      <c r="O371" s="43">
        <v>19</v>
      </c>
      <c r="R371" s="38" t="s">
        <v>103</v>
      </c>
      <c r="S371" s="38"/>
      <c r="T371" s="38"/>
      <c r="W371" s="15" t="str">
        <f>IF(IFERROR(VLOOKUP($M371,COMPARE!$H$2:$H$847,1,0),"-")="-","","GS")</f>
        <v/>
      </c>
      <c r="Z371" s="59" t="str">
        <f>IF(OR($M371="",NOT($O371="{array}")),"",IFERROR(MATCH(PARAMETERS!$M371,DEFAULT!$B$5:$CX$5,0),""))</f>
        <v/>
      </c>
      <c r="AA371" s="56" t="str">
        <f t="shared" si="26"/>
        <v/>
      </c>
      <c r="AB371" s="63" t="str">
        <f>IF(AND(OR($A371="G",$A371="P"),NOT($O371="{array}")),IF(VLOOKUP($K371,base!$B$2:$D$20,3,0)="S",IF(OR($O371="",ISTEXT($O371)),"","STRING!"),IF(VLOOKUP($K371,base!$B$2:$D$20,3,0)="","",IF(ISTEXT($O371),"NUMERIC!",""))),"")</f>
        <v/>
      </c>
      <c r="AC371" s="17" t="str">
        <f>IF($AA371="","",IF($B371="I",VLOOKUP($AA371,#REF!,53,0),INDEX(VALUES!$B$1:$BT$1,1,$AA371)))</f>
        <v/>
      </c>
    </row>
    <row r="372" spans="1:29" hidden="1" outlineLevel="1" x14ac:dyDescent="0.3">
      <c r="A372" s="22" t="s">
        <v>84</v>
      </c>
      <c r="B372" s="41" t="str">
        <f t="shared" si="27"/>
        <v/>
      </c>
      <c r="C372" s="42">
        <f t="shared" si="28"/>
        <v>371</v>
      </c>
      <c r="D372" s="38"/>
      <c r="E372" s="38"/>
      <c r="F372" s="38" t="s">
        <v>9</v>
      </c>
      <c r="G372" s="38"/>
      <c r="H372" s="38" t="s">
        <v>9</v>
      </c>
      <c r="I372" s="38"/>
      <c r="J372" s="38"/>
      <c r="K372" s="14" t="s">
        <v>47</v>
      </c>
      <c r="L372" s="14" t="s">
        <v>27</v>
      </c>
      <c r="M372" s="20" t="s">
        <v>839</v>
      </c>
      <c r="N372" s="14" t="s">
        <v>840</v>
      </c>
      <c r="O372" s="43">
        <v>0</v>
      </c>
      <c r="R372" s="38" t="s">
        <v>103</v>
      </c>
      <c r="S372" s="38"/>
      <c r="T372" s="38"/>
      <c r="W372" s="15" t="str">
        <f>IF(IFERROR(VLOOKUP($M372,COMPARE!$H$2:$H$847,1,0),"-")="-","","GS")</f>
        <v/>
      </c>
      <c r="Z372" s="59" t="str">
        <f>IF(OR($M372="",NOT($O372="{array}")),"",IFERROR(MATCH(PARAMETERS!$M372,DEFAULT!$B$5:$CX$5,0),""))</f>
        <v/>
      </c>
      <c r="AA372" s="56" t="str">
        <f t="shared" si="26"/>
        <v/>
      </c>
      <c r="AB372" s="63" t="str">
        <f>IF(AND(OR($A372="G",$A372="P"),NOT($O372="{array}")),IF(VLOOKUP($K372,base!$B$2:$D$20,3,0)="S",IF(OR($O372="",ISTEXT($O372)),"","STRING!"),IF(VLOOKUP($K372,base!$B$2:$D$20,3,0)="","",IF(ISTEXT($O372),"NUMERIC!",""))),"")</f>
        <v/>
      </c>
      <c r="AC372" s="17" t="str">
        <f>IF($AA372="","",IF($B372="I",VLOOKUP($AA372,#REF!,53,0),INDEX(VALUES!$B$1:$BT$1,1,$AA372)))</f>
        <v/>
      </c>
    </row>
    <row r="373" spans="1:29" hidden="1" outlineLevel="1" x14ac:dyDescent="0.3">
      <c r="A373" s="22" t="s">
        <v>84</v>
      </c>
      <c r="B373" s="41" t="str">
        <f t="shared" si="27"/>
        <v/>
      </c>
      <c r="C373" s="42">
        <f t="shared" si="28"/>
        <v>372</v>
      </c>
      <c r="D373" s="38"/>
      <c r="E373" s="38"/>
      <c r="F373" s="38" t="s">
        <v>9</v>
      </c>
      <c r="G373" s="38" t="s">
        <v>9</v>
      </c>
      <c r="H373" s="38"/>
      <c r="I373" s="38" t="s">
        <v>9</v>
      </c>
      <c r="J373" s="38"/>
      <c r="K373" s="14" t="s">
        <v>18</v>
      </c>
      <c r="L373" s="14" t="s">
        <v>27</v>
      </c>
      <c r="M373" s="20" t="s">
        <v>841</v>
      </c>
      <c r="N373" s="14" t="s">
        <v>842</v>
      </c>
      <c r="O373" s="43" t="s">
        <v>735</v>
      </c>
      <c r="R373" s="38" t="s">
        <v>103</v>
      </c>
      <c r="S373" s="38"/>
      <c r="T373" s="38"/>
      <c r="W373" s="15" t="str">
        <f>IF(IFERROR(VLOOKUP($M373,COMPARE!$H$2:$H$847,1,0),"-")="-","","GS")</f>
        <v/>
      </c>
      <c r="Z373" s="59" t="str">
        <f>IF(OR($M373="",NOT($O373="{array}")),"",IFERROR(MATCH(PARAMETERS!$M373,DEFAULT!$B$5:$CX$5,0),""))</f>
        <v/>
      </c>
      <c r="AA373" s="56" t="str">
        <f t="shared" si="26"/>
        <v/>
      </c>
      <c r="AB373" s="63" t="str">
        <f>IF(AND(OR($A373="G",$A373="P"),NOT($O373="{array}")),IF(VLOOKUP($K373,base!$B$2:$D$20,3,0)="S",IF(OR($O373="",ISTEXT($O373)),"","STRING!"),IF(VLOOKUP($K373,base!$B$2:$D$20,3,0)="","",IF(ISTEXT($O373),"NUMERIC!",""))),"")</f>
        <v/>
      </c>
      <c r="AC373" s="17" t="str">
        <f>IF($AA373="","",IF($B373="I",VLOOKUP($AA373,#REF!,53,0),INDEX(VALUES!$B$1:$BT$1,1,$AA373)))</f>
        <v/>
      </c>
    </row>
    <row r="374" spans="1:29" hidden="1" outlineLevel="1" x14ac:dyDescent="0.3">
      <c r="A374" s="22" t="s">
        <v>84</v>
      </c>
      <c r="B374" s="41" t="str">
        <f t="shared" si="27"/>
        <v/>
      </c>
      <c r="C374" s="42">
        <f t="shared" si="28"/>
        <v>373</v>
      </c>
      <c r="D374" s="38"/>
      <c r="E374" s="38"/>
      <c r="F374" s="38" t="s">
        <v>9</v>
      </c>
      <c r="G374" s="38" t="s">
        <v>9</v>
      </c>
      <c r="H374" s="38"/>
      <c r="I374" s="38" t="s">
        <v>9</v>
      </c>
      <c r="J374" s="38"/>
      <c r="K374" s="14" t="s">
        <v>44</v>
      </c>
      <c r="L374" s="14" t="s">
        <v>27</v>
      </c>
      <c r="M374" s="20" t="s">
        <v>843</v>
      </c>
      <c r="N374" s="14" t="s">
        <v>842</v>
      </c>
      <c r="O374" s="43">
        <v>1</v>
      </c>
      <c r="R374" s="38" t="s">
        <v>103</v>
      </c>
      <c r="S374" s="38"/>
      <c r="T374" s="38"/>
      <c r="W374" s="15" t="str">
        <f>IF(IFERROR(VLOOKUP($M374,COMPARE!$H$2:$H$847,1,0),"-")="-","","GS")</f>
        <v/>
      </c>
      <c r="Z374" s="59" t="str">
        <f>IF(OR($M374="",NOT($O374="{array}")),"",IFERROR(MATCH(PARAMETERS!$M374,DEFAULT!$B$5:$CX$5,0),""))</f>
        <v/>
      </c>
      <c r="AA374" s="56" t="str">
        <f t="shared" si="26"/>
        <v/>
      </c>
      <c r="AB374" s="63" t="str">
        <f>IF(AND(OR($A374="G",$A374="P"),NOT($O374="{array}")),IF(VLOOKUP($K374,base!$B$2:$D$20,3,0)="S",IF(OR($O374="",ISTEXT($O374)),"","STRING!"),IF(VLOOKUP($K374,base!$B$2:$D$20,3,0)="","",IF(ISTEXT($O374),"NUMERIC!",""))),"")</f>
        <v/>
      </c>
      <c r="AC374" s="17" t="str">
        <f>IF($AA374="","",IF($B374="I",VLOOKUP($AA374,#REF!,53,0),INDEX(VALUES!$B$1:$BT$1,1,$AA374)))</f>
        <v/>
      </c>
    </row>
    <row r="375" spans="1:29" hidden="1" outlineLevel="1" x14ac:dyDescent="0.3">
      <c r="A375" s="22" t="s">
        <v>84</v>
      </c>
      <c r="B375" s="41" t="str">
        <f t="shared" si="27"/>
        <v/>
      </c>
      <c r="C375" s="42">
        <f t="shared" si="28"/>
        <v>374</v>
      </c>
      <c r="D375" s="38"/>
      <c r="E375" s="38"/>
      <c r="F375" s="38" t="s">
        <v>9</v>
      </c>
      <c r="G375" s="38"/>
      <c r="H375" s="38"/>
      <c r="I375" s="38" t="s">
        <v>9</v>
      </c>
      <c r="J375" s="38"/>
      <c r="K375" s="14" t="s">
        <v>47</v>
      </c>
      <c r="L375" s="14" t="s">
        <v>27</v>
      </c>
      <c r="M375" s="20" t="s">
        <v>844</v>
      </c>
      <c r="N375" s="14" t="s">
        <v>813</v>
      </c>
      <c r="O375" s="43">
        <v>1</v>
      </c>
      <c r="R375" s="38" t="s">
        <v>103</v>
      </c>
      <c r="S375" s="38"/>
      <c r="T375" s="38"/>
      <c r="W375" s="15" t="str">
        <f>IF(IFERROR(VLOOKUP($M375,COMPARE!$H$2:$H$847,1,0),"-")="-","","GS")</f>
        <v/>
      </c>
      <c r="Z375" s="59" t="str">
        <f>IF(OR($M375="",NOT($O375="{array}")),"",IFERROR(MATCH(PARAMETERS!$M375,DEFAULT!$B$5:$CX$5,0),""))</f>
        <v/>
      </c>
      <c r="AA375" s="56" t="str">
        <f t="shared" si="26"/>
        <v/>
      </c>
      <c r="AB375" s="63" t="str">
        <f>IF(AND(OR($A375="G",$A375="P"),NOT($O375="{array}")),IF(VLOOKUP($K375,base!$B$2:$D$20,3,0)="S",IF(OR($O375="",ISTEXT($O375)),"","STRING!"),IF(VLOOKUP($K375,base!$B$2:$D$20,3,0)="","",IF(ISTEXT($O375),"NUMERIC!",""))),"")</f>
        <v/>
      </c>
      <c r="AC375" s="17" t="str">
        <f>IF($AA375="","",IF($B375="I",VLOOKUP($AA375,#REF!,53,0),INDEX(VALUES!$B$1:$BT$1,1,$AA375)))</f>
        <v/>
      </c>
    </row>
    <row r="376" spans="1:29" hidden="1" outlineLevel="1" x14ac:dyDescent="0.3">
      <c r="A376" s="22" t="s">
        <v>84</v>
      </c>
      <c r="B376" s="41" t="str">
        <f t="shared" si="27"/>
        <v/>
      </c>
      <c r="C376" s="42">
        <f t="shared" si="28"/>
        <v>375</v>
      </c>
      <c r="D376" s="38"/>
      <c r="E376" s="38"/>
      <c r="F376" s="38" t="s">
        <v>9</v>
      </c>
      <c r="G376" s="38"/>
      <c r="H376" s="38"/>
      <c r="I376" s="38" t="s">
        <v>9</v>
      </c>
      <c r="J376" s="38"/>
      <c r="K376" s="14" t="s">
        <v>47</v>
      </c>
      <c r="L376" s="14" t="s">
        <v>27</v>
      </c>
      <c r="M376" s="20" t="s">
        <v>845</v>
      </c>
      <c r="N376" s="14" t="s">
        <v>815</v>
      </c>
      <c r="O376" s="43">
        <v>1</v>
      </c>
      <c r="R376" s="38" t="s">
        <v>103</v>
      </c>
      <c r="S376" s="38"/>
      <c r="T376" s="38"/>
      <c r="W376" s="15" t="str">
        <f>IF(IFERROR(VLOOKUP($M376,COMPARE!$H$2:$H$847,1,0),"-")="-","","GS")</f>
        <v/>
      </c>
      <c r="Z376" s="59" t="str">
        <f>IF(OR($M376="",NOT($O376="{array}")),"",IFERROR(MATCH(PARAMETERS!$M376,DEFAULT!$B$5:$CX$5,0),""))</f>
        <v/>
      </c>
      <c r="AA376" s="56" t="str">
        <f t="shared" si="26"/>
        <v/>
      </c>
      <c r="AB376" s="63" t="str">
        <f>IF(AND(OR($A376="G",$A376="P"),NOT($O376="{array}")),IF(VLOOKUP($K376,base!$B$2:$D$20,3,0)="S",IF(OR($O376="",ISTEXT($O376)),"","STRING!"),IF(VLOOKUP($K376,base!$B$2:$D$20,3,0)="","",IF(ISTEXT($O376),"NUMERIC!",""))),"")</f>
        <v/>
      </c>
      <c r="AC376" s="17" t="str">
        <f>IF($AA376="","",IF($B376="I",VLOOKUP($AA376,#REF!,53,0),INDEX(VALUES!$B$1:$BT$1,1,$AA376)))</f>
        <v/>
      </c>
    </row>
    <row r="377" spans="1:29" hidden="1" outlineLevel="1" x14ac:dyDescent="0.3">
      <c r="A377" s="22" t="s">
        <v>84</v>
      </c>
      <c r="B377" s="41" t="str">
        <f t="shared" si="27"/>
        <v/>
      </c>
      <c r="C377" s="42">
        <f t="shared" si="28"/>
        <v>376</v>
      </c>
      <c r="D377" s="38"/>
      <c r="E377" s="38"/>
      <c r="F377" s="38" t="s">
        <v>9</v>
      </c>
      <c r="G377" s="38"/>
      <c r="H377" s="38"/>
      <c r="I377" s="38" t="s">
        <v>9</v>
      </c>
      <c r="J377" s="38"/>
      <c r="K377" s="14" t="s">
        <v>24</v>
      </c>
      <c r="L377" s="14" t="s">
        <v>27</v>
      </c>
      <c r="M377" s="20" t="s">
        <v>846</v>
      </c>
      <c r="N377" s="14" t="s">
        <v>817</v>
      </c>
      <c r="O377" s="43">
        <v>0.05</v>
      </c>
      <c r="R377" s="38" t="s">
        <v>103</v>
      </c>
      <c r="S377" s="38"/>
      <c r="T377" s="38"/>
      <c r="W377" s="15" t="str">
        <f>IF(IFERROR(VLOOKUP($M377,COMPARE!$H$2:$H$847,1,0),"-")="-","","GS")</f>
        <v/>
      </c>
      <c r="Z377" s="59" t="str">
        <f>IF(OR($M377="",NOT($O377="{array}")),"",IFERROR(MATCH(PARAMETERS!$M377,DEFAULT!$B$5:$CX$5,0),""))</f>
        <v/>
      </c>
      <c r="AA377" s="56" t="str">
        <f t="shared" si="26"/>
        <v/>
      </c>
      <c r="AB377" s="63" t="str">
        <f>IF(AND(OR($A377="G",$A377="P"),NOT($O377="{array}")),IF(VLOOKUP($K377,base!$B$2:$D$20,3,0)="S",IF(OR($O377="",ISTEXT($O377)),"","STRING!"),IF(VLOOKUP($K377,base!$B$2:$D$20,3,0)="","",IF(ISTEXT($O377),"NUMERIC!",""))),"")</f>
        <v/>
      </c>
      <c r="AC377" s="17" t="str">
        <f>IF($AA377="","",IF($B377="I",VLOOKUP($AA377,#REF!,53,0),INDEX(VALUES!$B$1:$BT$1,1,$AA377)))</f>
        <v/>
      </c>
    </row>
    <row r="378" spans="1:29" hidden="1" outlineLevel="1" x14ac:dyDescent="0.3">
      <c r="A378" s="22" t="s">
        <v>84</v>
      </c>
      <c r="B378" s="41" t="str">
        <f t="shared" si="27"/>
        <v/>
      </c>
      <c r="C378" s="42">
        <f t="shared" si="28"/>
        <v>377</v>
      </c>
      <c r="D378" s="38"/>
      <c r="E378" s="38"/>
      <c r="F378" s="38" t="s">
        <v>9</v>
      </c>
      <c r="G378" s="38"/>
      <c r="H378" s="38"/>
      <c r="I378" s="38" t="s">
        <v>9</v>
      </c>
      <c r="J378" s="38"/>
      <c r="K378" s="14" t="s">
        <v>24</v>
      </c>
      <c r="L378" s="14" t="s">
        <v>27</v>
      </c>
      <c r="M378" s="20" t="s">
        <v>847</v>
      </c>
      <c r="N378" s="14" t="s">
        <v>819</v>
      </c>
      <c r="O378" s="43">
        <v>0.05</v>
      </c>
      <c r="R378" s="38" t="s">
        <v>103</v>
      </c>
      <c r="S378" s="38"/>
      <c r="T378" s="38"/>
      <c r="W378" s="15" t="str">
        <f>IF(IFERROR(VLOOKUP($M378,COMPARE!$H$2:$H$847,1,0),"-")="-","","GS")</f>
        <v/>
      </c>
      <c r="Z378" s="59" t="str">
        <f>IF(OR($M378="",NOT($O378="{array}")),"",IFERROR(MATCH(PARAMETERS!$M378,DEFAULT!$B$5:$CX$5,0),""))</f>
        <v/>
      </c>
      <c r="AA378" s="56" t="str">
        <f t="shared" si="26"/>
        <v/>
      </c>
      <c r="AB378" s="63" t="str">
        <f>IF(AND(OR($A378="G",$A378="P"),NOT($O378="{array}")),IF(VLOOKUP($K378,base!$B$2:$D$20,3,0)="S",IF(OR($O378="",ISTEXT($O378)),"","STRING!"),IF(VLOOKUP($K378,base!$B$2:$D$20,3,0)="","",IF(ISTEXT($O378),"NUMERIC!",""))),"")</f>
        <v/>
      </c>
      <c r="AC378" s="17" t="str">
        <f>IF($AA378="","",IF($B378="I",VLOOKUP($AA378,#REF!,53,0),INDEX(VALUES!$B$1:$BT$1,1,$AA378)))</f>
        <v/>
      </c>
    </row>
    <row r="379" spans="1:29" hidden="1" outlineLevel="1" x14ac:dyDescent="0.3">
      <c r="A379" s="22" t="s">
        <v>84</v>
      </c>
      <c r="B379" s="41" t="str">
        <f t="shared" si="27"/>
        <v/>
      </c>
      <c r="C379" s="42">
        <f t="shared" si="28"/>
        <v>378</v>
      </c>
      <c r="D379" s="38"/>
      <c r="E379" s="38"/>
      <c r="F379" s="38" t="s">
        <v>9</v>
      </c>
      <c r="G379" s="38"/>
      <c r="H379" s="38"/>
      <c r="I379" s="38" t="s">
        <v>9</v>
      </c>
      <c r="J379" s="38"/>
      <c r="K379" s="14" t="s">
        <v>24</v>
      </c>
      <c r="L379" s="14" t="s">
        <v>27</v>
      </c>
      <c r="M379" s="20" t="s">
        <v>848</v>
      </c>
      <c r="N379" s="14" t="s">
        <v>734</v>
      </c>
      <c r="O379" s="43">
        <v>0.05</v>
      </c>
      <c r="R379" s="38" t="s">
        <v>103</v>
      </c>
      <c r="S379" s="38"/>
      <c r="T379" s="38"/>
      <c r="W379" s="15" t="str">
        <f>IF(IFERROR(VLOOKUP($M379,COMPARE!$H$2:$H$847,1,0),"-")="-","","GS")</f>
        <v/>
      </c>
      <c r="Z379" s="59" t="str">
        <f>IF(OR($M379="",NOT($O379="{array}")),"",IFERROR(MATCH(PARAMETERS!$M379,DEFAULT!$B$5:$CX$5,0),""))</f>
        <v/>
      </c>
      <c r="AA379" s="56" t="str">
        <f t="shared" si="26"/>
        <v/>
      </c>
      <c r="AB379" s="63" t="str">
        <f>IF(AND(OR($A379="G",$A379="P"),NOT($O379="{array}")),IF(VLOOKUP($K379,base!$B$2:$D$20,3,0)="S",IF(OR($O379="",ISTEXT($O379)),"","STRING!"),IF(VLOOKUP($K379,base!$B$2:$D$20,3,0)="","",IF(ISTEXT($O379),"NUMERIC!",""))),"")</f>
        <v/>
      </c>
      <c r="AC379" s="17" t="str">
        <f>IF($AA379="","",IF($B379="I",VLOOKUP($AA379,#REF!,53,0),INDEX(VALUES!$B$1:$BT$1,1,$AA379)))</f>
        <v/>
      </c>
    </row>
    <row r="380" spans="1:29" hidden="1" outlineLevel="1" x14ac:dyDescent="0.3">
      <c r="A380" s="22" t="s">
        <v>84</v>
      </c>
      <c r="B380" s="41" t="str">
        <f t="shared" si="27"/>
        <v/>
      </c>
      <c r="C380" s="42">
        <f t="shared" si="28"/>
        <v>379</v>
      </c>
      <c r="D380" s="38"/>
      <c r="E380" s="38"/>
      <c r="F380" s="38" t="s">
        <v>9</v>
      </c>
      <c r="G380" s="38"/>
      <c r="H380" s="38"/>
      <c r="I380" s="38" t="s">
        <v>9</v>
      </c>
      <c r="J380" s="38"/>
      <c r="K380" s="14" t="s">
        <v>24</v>
      </c>
      <c r="L380" s="14" t="s">
        <v>27</v>
      </c>
      <c r="M380" s="20" t="s">
        <v>849</v>
      </c>
      <c r="N380" s="14" t="s">
        <v>822</v>
      </c>
      <c r="O380" s="43">
        <v>1.9E-2</v>
      </c>
      <c r="R380" s="38" t="s">
        <v>103</v>
      </c>
      <c r="S380" s="38"/>
      <c r="T380" s="38"/>
      <c r="W380" s="15" t="str">
        <f>IF(IFERROR(VLOOKUP($M380,COMPARE!$H$2:$H$847,1,0),"-")="-","","GS")</f>
        <v/>
      </c>
      <c r="Z380" s="59" t="str">
        <f>IF(OR($M380="",NOT($O380="{array}")),"",IFERROR(MATCH(PARAMETERS!$M380,DEFAULT!$B$5:$CX$5,0),""))</f>
        <v/>
      </c>
      <c r="AA380" s="56" t="str">
        <f t="shared" si="26"/>
        <v/>
      </c>
      <c r="AB380" s="63" t="str">
        <f>IF(AND(OR($A380="G",$A380="P"),NOT($O380="{array}")),IF(VLOOKUP($K380,base!$B$2:$D$20,3,0)="S",IF(OR($O380="",ISTEXT($O380)),"","STRING!"),IF(VLOOKUP($K380,base!$B$2:$D$20,3,0)="","",IF(ISTEXT($O380),"NUMERIC!",""))),"")</f>
        <v/>
      </c>
      <c r="AC380" s="17" t="str">
        <f>IF($AA380="","",IF($B380="I",VLOOKUP($AA380,#REF!,53,0),INDEX(VALUES!$B$1:$BT$1,1,$AA380)))</f>
        <v/>
      </c>
    </row>
    <row r="381" spans="1:29" hidden="1" outlineLevel="1" x14ac:dyDescent="0.3">
      <c r="A381" s="22" t="s">
        <v>84</v>
      </c>
      <c r="B381" s="41" t="str">
        <f t="shared" si="27"/>
        <v/>
      </c>
      <c r="C381" s="42">
        <f t="shared" si="28"/>
        <v>380</v>
      </c>
      <c r="D381" s="38"/>
      <c r="E381" s="38"/>
      <c r="F381" s="38" t="s">
        <v>9</v>
      </c>
      <c r="G381" s="38"/>
      <c r="H381" s="38"/>
      <c r="I381" s="38" t="s">
        <v>9</v>
      </c>
      <c r="J381" s="38"/>
      <c r="K381" s="14" t="s">
        <v>24</v>
      </c>
      <c r="L381" s="14" t="s">
        <v>27</v>
      </c>
      <c r="M381" s="20" t="s">
        <v>850</v>
      </c>
      <c r="N381" s="14" t="s">
        <v>824</v>
      </c>
      <c r="O381" s="43">
        <v>2.5000000000000001E-2</v>
      </c>
      <c r="R381" s="38" t="s">
        <v>103</v>
      </c>
      <c r="S381" s="38"/>
      <c r="T381" s="38"/>
      <c r="W381" s="15" t="str">
        <f>IF(IFERROR(VLOOKUP($M381,COMPARE!$H$2:$H$847,1,0),"-")="-","","GS")</f>
        <v/>
      </c>
      <c r="Z381" s="59" t="str">
        <f>IF(OR($M381="",NOT($O381="{array}")),"",IFERROR(MATCH(PARAMETERS!$M381,DEFAULT!$B$5:$CX$5,0),""))</f>
        <v/>
      </c>
      <c r="AA381" s="56" t="str">
        <f t="shared" si="26"/>
        <v/>
      </c>
      <c r="AB381" s="63" t="str">
        <f>IF(AND(OR($A381="G",$A381="P"),NOT($O381="{array}")),IF(VLOOKUP($K381,base!$B$2:$D$20,3,0)="S",IF(OR($O381="",ISTEXT($O381)),"","STRING!"),IF(VLOOKUP($K381,base!$B$2:$D$20,3,0)="","",IF(ISTEXT($O381),"NUMERIC!",""))),"")</f>
        <v/>
      </c>
      <c r="AC381" s="17" t="str">
        <f>IF($AA381="","",IF($B381="I",VLOOKUP($AA381,#REF!,53,0),INDEX(VALUES!$B$1:$BT$1,1,$AA381)))</f>
        <v/>
      </c>
    </row>
    <row r="382" spans="1:29" hidden="1" outlineLevel="1" x14ac:dyDescent="0.3">
      <c r="A382" s="22" t="s">
        <v>84</v>
      </c>
      <c r="B382" s="41" t="str">
        <f t="shared" si="27"/>
        <v/>
      </c>
      <c r="C382" s="42">
        <f t="shared" si="28"/>
        <v>381</v>
      </c>
      <c r="D382" s="38"/>
      <c r="E382" s="38"/>
      <c r="F382" s="38" t="s">
        <v>9</v>
      </c>
      <c r="G382" s="38"/>
      <c r="H382" s="38"/>
      <c r="I382" s="38" t="s">
        <v>9</v>
      </c>
      <c r="J382" s="38"/>
      <c r="K382" s="14" t="s">
        <v>24</v>
      </c>
      <c r="L382" s="14" t="s">
        <v>27</v>
      </c>
      <c r="M382" s="20" t="s">
        <v>851</v>
      </c>
      <c r="N382" s="14" t="s">
        <v>826</v>
      </c>
      <c r="O382" s="43">
        <v>0</v>
      </c>
      <c r="R382" s="38" t="s">
        <v>103</v>
      </c>
      <c r="S382" s="38"/>
      <c r="T382" s="38"/>
      <c r="W382" s="15" t="str">
        <f>IF(IFERROR(VLOOKUP($M382,COMPARE!$H$2:$H$847,1,0),"-")="-","","GS")</f>
        <v/>
      </c>
      <c r="Z382" s="59" t="str">
        <f>IF(OR($M382="",NOT($O382="{array}")),"",IFERROR(MATCH(PARAMETERS!$M382,DEFAULT!$B$5:$CX$5,0),""))</f>
        <v/>
      </c>
      <c r="AA382" s="56" t="str">
        <f t="shared" si="26"/>
        <v/>
      </c>
      <c r="AB382" s="63" t="str">
        <f>IF(AND(OR($A382="G",$A382="P"),NOT($O382="{array}")),IF(VLOOKUP($K382,base!$B$2:$D$20,3,0)="S",IF(OR($O382="",ISTEXT($O382)),"","STRING!"),IF(VLOOKUP($K382,base!$B$2:$D$20,3,0)="","",IF(ISTEXT($O382),"NUMERIC!",""))),"")</f>
        <v/>
      </c>
      <c r="AC382" s="17" t="str">
        <f>IF($AA382="","",IF($B382="I",VLOOKUP($AA382,#REF!,53,0),INDEX(VALUES!$B$1:$BT$1,1,$AA382)))</f>
        <v/>
      </c>
    </row>
    <row r="383" spans="1:29" hidden="1" outlineLevel="1" x14ac:dyDescent="0.3">
      <c r="A383" s="22" t="s">
        <v>84</v>
      </c>
      <c r="B383" s="41" t="str">
        <f t="shared" si="27"/>
        <v/>
      </c>
      <c r="C383" s="42">
        <f t="shared" si="28"/>
        <v>382</v>
      </c>
      <c r="D383" s="38"/>
      <c r="E383" s="38"/>
      <c r="F383" s="38" t="s">
        <v>9</v>
      </c>
      <c r="G383" s="38"/>
      <c r="H383" s="38"/>
      <c r="I383" s="38" t="s">
        <v>9</v>
      </c>
      <c r="J383" s="38"/>
      <c r="K383" s="14" t="s">
        <v>24</v>
      </c>
      <c r="L383" s="14" t="s">
        <v>27</v>
      </c>
      <c r="M383" s="20" t="s">
        <v>852</v>
      </c>
      <c r="N383" s="14" t="s">
        <v>828</v>
      </c>
      <c r="O383" s="43">
        <v>0.03</v>
      </c>
      <c r="R383" s="38" t="s">
        <v>103</v>
      </c>
      <c r="S383" s="38"/>
      <c r="T383" s="38"/>
      <c r="W383" s="15" t="str">
        <f>IF(IFERROR(VLOOKUP($M383,COMPARE!$H$2:$H$847,1,0),"-")="-","","GS")</f>
        <v/>
      </c>
      <c r="Z383" s="59" t="str">
        <f>IF(OR($M383="",NOT($O383="{array}")),"",IFERROR(MATCH(PARAMETERS!$M383,DEFAULT!$B$5:$CX$5,0),""))</f>
        <v/>
      </c>
      <c r="AA383" s="56" t="str">
        <f t="shared" si="26"/>
        <v/>
      </c>
      <c r="AB383" s="63" t="str">
        <f>IF(AND(OR($A383="G",$A383="P"),NOT($O383="{array}")),IF(VLOOKUP($K383,base!$B$2:$D$20,3,0)="S",IF(OR($O383="",ISTEXT($O383)),"","STRING!"),IF(VLOOKUP($K383,base!$B$2:$D$20,3,0)="","",IF(ISTEXT($O383),"NUMERIC!",""))),"")</f>
        <v/>
      </c>
      <c r="AC383" s="17" t="str">
        <f>IF($AA383="","",IF($B383="I",VLOOKUP($AA383,#REF!,53,0),INDEX(VALUES!$B$1:$BT$1,1,$AA383)))</f>
        <v/>
      </c>
    </row>
    <row r="384" spans="1:29" hidden="1" outlineLevel="1" x14ac:dyDescent="0.3">
      <c r="A384" s="22" t="s">
        <v>84</v>
      </c>
      <c r="B384" s="41" t="str">
        <f t="shared" si="27"/>
        <v/>
      </c>
      <c r="C384" s="42">
        <f t="shared" si="28"/>
        <v>383</v>
      </c>
      <c r="D384" s="38"/>
      <c r="E384" s="38"/>
      <c r="F384" s="38" t="s">
        <v>9</v>
      </c>
      <c r="G384" s="38"/>
      <c r="H384" s="38"/>
      <c r="I384" s="38" t="s">
        <v>9</v>
      </c>
      <c r="J384" s="38"/>
      <c r="K384" s="14" t="s">
        <v>24</v>
      </c>
      <c r="L384" s="14" t="s">
        <v>27</v>
      </c>
      <c r="M384" s="20" t="s">
        <v>853</v>
      </c>
      <c r="N384" s="14" t="s">
        <v>830</v>
      </c>
      <c r="O384" s="43">
        <v>0.1</v>
      </c>
      <c r="R384" s="38" t="s">
        <v>103</v>
      </c>
      <c r="S384" s="38"/>
      <c r="T384" s="38"/>
      <c r="W384" s="15" t="str">
        <f>IF(IFERROR(VLOOKUP($M384,COMPARE!$H$2:$H$847,1,0),"-")="-","","GS")</f>
        <v/>
      </c>
      <c r="Z384" s="59" t="str">
        <f>IF(OR($M384="",NOT($O384="{array}")),"",IFERROR(MATCH(PARAMETERS!$M384,DEFAULT!$B$5:$CX$5,0),""))</f>
        <v/>
      </c>
      <c r="AA384" s="56" t="str">
        <f t="shared" si="26"/>
        <v/>
      </c>
      <c r="AB384" s="63" t="str">
        <f>IF(AND(OR($A384="G",$A384="P"),NOT($O384="{array}")),IF(VLOOKUP($K384,base!$B$2:$D$20,3,0)="S",IF(OR($O384="",ISTEXT($O384)),"","STRING!"),IF(VLOOKUP($K384,base!$B$2:$D$20,3,0)="","",IF(ISTEXT($O384),"NUMERIC!",""))),"")</f>
        <v/>
      </c>
      <c r="AC384" s="17" t="str">
        <f>IF($AA384="","",IF($B384="I",VLOOKUP($AA384,#REF!,53,0),INDEX(VALUES!$B$1:$BT$1,1,$AA384)))</f>
        <v/>
      </c>
    </row>
    <row r="385" spans="1:29" hidden="1" outlineLevel="1" x14ac:dyDescent="0.3">
      <c r="A385" s="22" t="s">
        <v>84</v>
      </c>
      <c r="B385" s="41" t="str">
        <f t="shared" si="27"/>
        <v/>
      </c>
      <c r="C385" s="42">
        <f t="shared" si="28"/>
        <v>384</v>
      </c>
      <c r="D385" s="38"/>
      <c r="E385" s="38"/>
      <c r="F385" s="38" t="s">
        <v>9</v>
      </c>
      <c r="G385" s="38"/>
      <c r="H385" s="38"/>
      <c r="I385" s="38" t="s">
        <v>9</v>
      </c>
      <c r="J385" s="38"/>
      <c r="K385" s="14" t="s">
        <v>52</v>
      </c>
      <c r="L385" s="14" t="s">
        <v>27</v>
      </c>
      <c r="M385" s="20" t="s">
        <v>854</v>
      </c>
      <c r="N385" s="14" t="s">
        <v>855</v>
      </c>
      <c r="O385" s="43">
        <v>65</v>
      </c>
      <c r="R385" s="38" t="s">
        <v>103</v>
      </c>
      <c r="S385" s="38"/>
      <c r="T385" s="38"/>
      <c r="W385" s="15" t="str">
        <f>IF(IFERROR(VLOOKUP($M385,COMPARE!$H$2:$H$847,1,0),"-")="-","","GS")</f>
        <v/>
      </c>
      <c r="Z385" s="59" t="str">
        <f>IF(OR($M385="",NOT($O385="{array}")),"",IFERROR(MATCH(PARAMETERS!$M385,DEFAULT!$B$5:$CX$5,0),""))</f>
        <v/>
      </c>
      <c r="AA385" s="56" t="str">
        <f t="shared" si="26"/>
        <v/>
      </c>
      <c r="AB385" s="63" t="str">
        <f>IF(AND(OR($A385="G",$A385="P"),NOT($O385="{array}")),IF(VLOOKUP($K385,base!$B$2:$D$20,3,0)="S",IF(OR($O385="",ISTEXT($O385)),"","STRING!"),IF(VLOOKUP($K385,base!$B$2:$D$20,3,0)="","",IF(ISTEXT($O385),"NUMERIC!",""))),"")</f>
        <v/>
      </c>
      <c r="AC385" s="17" t="str">
        <f>IF($AA385="","",IF($B385="I",VLOOKUP($AA385,#REF!,53,0),INDEX(VALUES!$B$1:$BT$1,1,$AA385)))</f>
        <v/>
      </c>
    </row>
    <row r="386" spans="1:29" hidden="1" outlineLevel="1" x14ac:dyDescent="0.3">
      <c r="A386" s="22" t="s">
        <v>84</v>
      </c>
      <c r="B386" s="41" t="str">
        <f t="shared" si="27"/>
        <v/>
      </c>
      <c r="C386" s="42">
        <f t="shared" si="28"/>
        <v>385</v>
      </c>
      <c r="D386" s="38"/>
      <c r="E386" s="38"/>
      <c r="F386" s="38" t="s">
        <v>9</v>
      </c>
      <c r="G386" s="38"/>
      <c r="H386" s="38"/>
      <c r="I386" s="38" t="s">
        <v>9</v>
      </c>
      <c r="J386" s="38"/>
      <c r="K386" s="14" t="s">
        <v>53</v>
      </c>
      <c r="L386" s="14" t="s">
        <v>27</v>
      </c>
      <c r="M386" s="20" t="s">
        <v>856</v>
      </c>
      <c r="N386" s="14" t="s">
        <v>857</v>
      </c>
      <c r="O386" s="43">
        <v>19</v>
      </c>
      <c r="R386" s="38" t="s">
        <v>103</v>
      </c>
      <c r="S386" s="38"/>
      <c r="T386" s="38"/>
      <c r="W386" s="15" t="str">
        <f>IF(IFERROR(VLOOKUP($M386,COMPARE!$H$2:$H$847,1,0),"-")="-","","GS")</f>
        <v/>
      </c>
      <c r="Z386" s="59" t="str">
        <f>IF(OR($M386="",NOT($O386="{array}")),"",IFERROR(MATCH(PARAMETERS!$M386,DEFAULT!$B$5:$CX$5,0),""))</f>
        <v/>
      </c>
      <c r="AA386" s="56" t="str">
        <f t="shared" ref="AA386:AA449" si="29">IF($M386="","",IFERROR(MATCH($M386,VALUESnames,0),""))</f>
        <v/>
      </c>
      <c r="AB386" s="63" t="str">
        <f>IF(AND(OR($A386="G",$A386="P"),NOT($O386="{array}")),IF(VLOOKUP($K386,base!$B$2:$D$20,3,0)="S",IF(OR($O386="",ISTEXT($O386)),"","STRING!"),IF(VLOOKUP($K386,base!$B$2:$D$20,3,0)="","",IF(ISTEXT($O386),"NUMERIC!",""))),"")</f>
        <v/>
      </c>
      <c r="AC386" s="17" t="str">
        <f>IF($AA386="","",IF($B386="I",VLOOKUP($AA386,#REF!,53,0),INDEX(VALUES!$B$1:$BT$1,1,$AA386)))</f>
        <v/>
      </c>
    </row>
    <row r="387" spans="1:29" hidden="1" outlineLevel="1" x14ac:dyDescent="0.3">
      <c r="A387" s="22" t="s">
        <v>84</v>
      </c>
      <c r="B387" s="41" t="str">
        <f t="shared" ref="B387:B418" si="30">IF($A387="P",IF(NOT($Z387=""),"A",IF(NOT($AA387=""),"I","")),IF(NOT($AA387=""),IF($A387="G","V","X"),IF(NOT($Z387=""),"A","")))</f>
        <v/>
      </c>
      <c r="C387" s="42">
        <f t="shared" ref="C387:C418" si="31">(ROW()-1)</f>
        <v>386</v>
      </c>
      <c r="D387" s="38"/>
      <c r="E387" s="38"/>
      <c r="F387" s="38" t="s">
        <v>9</v>
      </c>
      <c r="G387" s="38"/>
      <c r="H387" s="38"/>
      <c r="I387" s="38" t="s">
        <v>9</v>
      </c>
      <c r="J387" s="38"/>
      <c r="K387" s="14" t="s">
        <v>53</v>
      </c>
      <c r="L387" s="14" t="s">
        <v>27</v>
      </c>
      <c r="M387" s="20" t="s">
        <v>858</v>
      </c>
      <c r="N387" s="14" t="s">
        <v>859</v>
      </c>
      <c r="O387" s="43">
        <v>19</v>
      </c>
      <c r="R387" s="38" t="s">
        <v>103</v>
      </c>
      <c r="S387" s="38"/>
      <c r="T387" s="38"/>
      <c r="W387" s="15" t="str">
        <f>IF(IFERROR(VLOOKUP($M387,COMPARE!$H$2:$H$847,1,0),"-")="-","","GS")</f>
        <v/>
      </c>
      <c r="Z387" s="59" t="str">
        <f>IF(OR($M387="",NOT($O387="{array}")),"",IFERROR(MATCH(PARAMETERS!$M387,DEFAULT!$B$5:$CX$5,0),""))</f>
        <v/>
      </c>
      <c r="AA387" s="56" t="str">
        <f t="shared" si="29"/>
        <v/>
      </c>
      <c r="AB387" s="63" t="str">
        <f>IF(AND(OR($A387="G",$A387="P"),NOT($O387="{array}")),IF(VLOOKUP($K387,base!$B$2:$D$20,3,0)="S",IF(OR($O387="",ISTEXT($O387)),"","STRING!"),IF(VLOOKUP($K387,base!$B$2:$D$20,3,0)="","",IF(ISTEXT($O387),"NUMERIC!",""))),"")</f>
        <v/>
      </c>
      <c r="AC387" s="17" t="str">
        <f>IF($AA387="","",IF($B387="I",VLOOKUP($AA387,#REF!,53,0),INDEX(VALUES!$B$1:$BT$1,1,$AA387)))</f>
        <v/>
      </c>
    </row>
    <row r="388" spans="1:29" hidden="1" outlineLevel="1" x14ac:dyDescent="0.3">
      <c r="A388" s="22" t="s">
        <v>84</v>
      </c>
      <c r="B388" s="41" t="str">
        <f t="shared" si="30"/>
        <v/>
      </c>
      <c r="C388" s="42">
        <f t="shared" si="31"/>
        <v>387</v>
      </c>
      <c r="D388" s="38"/>
      <c r="E388" s="38"/>
      <c r="F388" s="38"/>
      <c r="G388" s="38"/>
      <c r="H388" s="38"/>
      <c r="I388" s="38" t="s">
        <v>9</v>
      </c>
      <c r="J388" s="38"/>
      <c r="K388" s="14" t="s">
        <v>53</v>
      </c>
      <c r="L388" s="14" t="s">
        <v>27</v>
      </c>
      <c r="M388" s="20" t="s">
        <v>860</v>
      </c>
      <c r="N388" s="14" t="s">
        <v>861</v>
      </c>
      <c r="O388" s="43">
        <v>19</v>
      </c>
      <c r="R388" s="38" t="s">
        <v>103</v>
      </c>
      <c r="S388" s="38"/>
      <c r="T388" s="38"/>
      <c r="W388" s="15" t="str">
        <f>IF(IFERROR(VLOOKUP($M388,COMPARE!$H$2:$H$847,1,0),"-")="-","","GS")</f>
        <v/>
      </c>
      <c r="Z388" s="59" t="str">
        <f>IF(OR($M388="",NOT($O388="{array}")),"",IFERROR(MATCH(PARAMETERS!$M388,DEFAULT!$B$5:$CX$5,0),""))</f>
        <v/>
      </c>
      <c r="AA388" s="56" t="str">
        <f t="shared" si="29"/>
        <v/>
      </c>
      <c r="AB388" s="63" t="str">
        <f>IF(AND(OR($A388="G",$A388="P"),NOT($O388="{array}")),IF(VLOOKUP($K388,base!$B$2:$D$20,3,0)="S",IF(OR($O388="",ISTEXT($O388)),"","STRING!"),IF(VLOOKUP($K388,base!$B$2:$D$20,3,0)="","",IF(ISTEXT($O388),"NUMERIC!",""))),"")</f>
        <v/>
      </c>
      <c r="AC388" s="17" t="str">
        <f>IF($AA388="","",IF($B388="I",VLOOKUP($AA388,#REF!,53,0),INDEX(VALUES!$B$1:$BT$1,1,$AA388)))</f>
        <v/>
      </c>
    </row>
    <row r="389" spans="1:29" collapsed="1" x14ac:dyDescent="0.3">
      <c r="A389" s="22" t="s">
        <v>84</v>
      </c>
      <c r="B389" s="41" t="str">
        <f t="shared" si="30"/>
        <v/>
      </c>
      <c r="C389" s="42">
        <f t="shared" si="31"/>
        <v>388</v>
      </c>
      <c r="D389" s="38"/>
      <c r="E389" s="38"/>
      <c r="F389" s="38" t="s">
        <v>9</v>
      </c>
      <c r="G389" s="38"/>
      <c r="H389" s="38"/>
      <c r="I389" s="38"/>
      <c r="J389" s="38"/>
      <c r="K389" s="14" t="s">
        <v>57</v>
      </c>
      <c r="L389" s="14" t="s">
        <v>38</v>
      </c>
      <c r="M389" s="48" t="s">
        <v>862</v>
      </c>
      <c r="N389" s="41" t="s">
        <v>863</v>
      </c>
      <c r="R389" s="38" t="s">
        <v>103</v>
      </c>
      <c r="S389" s="38"/>
      <c r="T389" s="38"/>
      <c r="W389" s="15" t="str">
        <f>IF(IFERROR(VLOOKUP($M389,COMPARE!$H$2:$H$847,1,0),"-")="-","","GS")</f>
        <v/>
      </c>
      <c r="Z389" s="59" t="str">
        <f>IF(OR($M389="",NOT($O389="{array}")),"",IFERROR(MATCH(PARAMETERS!$M389,DEFAULT!$B$5:$CX$5,0),""))</f>
        <v/>
      </c>
      <c r="AA389" s="56" t="str">
        <f t="shared" si="29"/>
        <v/>
      </c>
      <c r="AB389" s="63" t="str">
        <f>IF(AND(OR($A389="G",$A389="P"),NOT($O389="{array}")),IF(VLOOKUP($K389,base!$B$2:$D$20,3,0)="S",IF(OR($O389="",ISTEXT($O389)),"","STRING!"),IF(VLOOKUP($K389,base!$B$2:$D$20,3,0)="","",IF(ISTEXT($O389),"NUMERIC!",""))),"")</f>
        <v/>
      </c>
      <c r="AC389" s="17" t="str">
        <f>IF($AA389="","",IF($B389="I",VLOOKUP($AA389,#REF!,53,0),INDEX(VALUES!$B$1:$BT$1,1,$AA389)))</f>
        <v/>
      </c>
    </row>
    <row r="390" spans="1:29" hidden="1" outlineLevel="1" x14ac:dyDescent="0.3">
      <c r="A390" s="22" t="s">
        <v>84</v>
      </c>
      <c r="B390" s="41" t="str">
        <f t="shared" si="30"/>
        <v/>
      </c>
      <c r="C390" s="42">
        <f t="shared" si="31"/>
        <v>389</v>
      </c>
      <c r="D390" s="38"/>
      <c r="E390" s="38"/>
      <c r="F390" s="38"/>
      <c r="G390" s="38"/>
      <c r="H390" s="38"/>
      <c r="I390" s="38" t="s">
        <v>9</v>
      </c>
      <c r="J390" s="38"/>
      <c r="K390" s="53" t="s">
        <v>44</v>
      </c>
      <c r="L390" s="53" t="s">
        <v>27</v>
      </c>
      <c r="M390" s="115" t="s">
        <v>1145</v>
      </c>
      <c r="N390" s="53" t="s">
        <v>1146</v>
      </c>
      <c r="O390" s="113">
        <v>4</v>
      </c>
      <c r="P390" s="53"/>
      <c r="Q390" s="165"/>
      <c r="R390" s="165" t="s">
        <v>191</v>
      </c>
      <c r="S390" s="38"/>
      <c r="T390" s="38"/>
      <c r="W390" s="15" t="str">
        <f>IF(IFERROR(VLOOKUP($M390,COMPARE!$H$2:$H$847,1,0),"-")="-","","GS")</f>
        <v/>
      </c>
      <c r="Z390" s="59" t="str">
        <f>IF(OR($M390="",NOT($O390="{array}")),"",IFERROR(MATCH(PARAMETERS!$M390,DEFAULT!$B$5:$CX$5,0),""))</f>
        <v/>
      </c>
      <c r="AA390" s="56" t="str">
        <f t="shared" si="29"/>
        <v/>
      </c>
      <c r="AB390" s="63" t="str">
        <f>IF(AND(OR($A390="G",$A390="P"),NOT($O390="{array}")),IF(VLOOKUP($K390,base!$B$2:$D$20,3,0)="S",IF(OR($O390="",ISTEXT($O390)),"","STRING!"),IF(VLOOKUP($K390,base!$B$2:$D$20,3,0)="","",IF(ISTEXT($O390),"NUMERIC!",""))),"")</f>
        <v/>
      </c>
      <c r="AC390" s="17" t="str">
        <f>IF($AA390="","",IF($B390="I",VLOOKUP($AA390,#REF!,53,0),INDEX(VALUES!$B$1:$BT$1,1,$AA390)))</f>
        <v/>
      </c>
    </row>
    <row r="391" spans="1:29" hidden="1" outlineLevel="1" x14ac:dyDescent="0.3">
      <c r="A391" s="22" t="s">
        <v>84</v>
      </c>
      <c r="B391" s="41" t="str">
        <f t="shared" si="30"/>
        <v/>
      </c>
      <c r="C391" s="42">
        <f t="shared" si="31"/>
        <v>390</v>
      </c>
      <c r="D391" s="38"/>
      <c r="E391" s="38"/>
      <c r="F391" s="38"/>
      <c r="G391" s="38"/>
      <c r="H391" s="38"/>
      <c r="I391" s="38" t="s">
        <v>9</v>
      </c>
      <c r="J391" s="38"/>
      <c r="K391" s="53" t="s">
        <v>44</v>
      </c>
      <c r="L391" s="53" t="s">
        <v>27</v>
      </c>
      <c r="M391" s="115" t="s">
        <v>1159</v>
      </c>
      <c r="N391" s="53" t="s">
        <v>1160</v>
      </c>
      <c r="O391" s="113">
        <v>4</v>
      </c>
      <c r="P391" s="53"/>
      <c r="Q391" s="165"/>
      <c r="R391" s="165" t="s">
        <v>191</v>
      </c>
      <c r="S391" s="38"/>
      <c r="T391" s="38"/>
      <c r="W391" s="15" t="str">
        <f>IF(IFERROR(VLOOKUP($M391,COMPARE!$H$2:$H$847,1,0),"-")="-","","GS")</f>
        <v/>
      </c>
      <c r="Z391" s="59" t="str">
        <f>IF(OR($M391="",NOT($O391="{array}")),"",IFERROR(MATCH(PARAMETERS!$M391,DEFAULT!$B$5:$CX$5,0),""))</f>
        <v/>
      </c>
      <c r="AA391" s="56" t="str">
        <f t="shared" si="29"/>
        <v/>
      </c>
      <c r="AB391" s="63" t="str">
        <f>IF(AND(OR($A391="G",$A391="P"),NOT($O391="{array}")),IF(VLOOKUP($K391,base!$B$2:$D$20,3,0)="S",IF(OR($O391="",ISTEXT($O391)),"","STRING!"),IF(VLOOKUP($K391,base!$B$2:$D$20,3,0)="","",IF(ISTEXT($O391),"NUMERIC!",""))),"")</f>
        <v/>
      </c>
      <c r="AC391" s="17" t="str">
        <f>IF($AA391="","",IF($B391="I",VLOOKUP($AA391,#REF!,53,0),INDEX(VALUES!$B$1:$BT$1,1,$AA391)))</f>
        <v/>
      </c>
    </row>
    <row r="392" spans="1:29" hidden="1" outlineLevel="1" x14ac:dyDescent="0.3">
      <c r="A392" s="22" t="s">
        <v>84</v>
      </c>
      <c r="B392" s="41" t="str">
        <f t="shared" si="30"/>
        <v/>
      </c>
      <c r="C392" s="42">
        <f t="shared" si="31"/>
        <v>391</v>
      </c>
      <c r="D392" s="38"/>
      <c r="E392" s="38"/>
      <c r="F392" s="38"/>
      <c r="G392" s="38"/>
      <c r="H392" s="38"/>
      <c r="I392" s="38" t="s">
        <v>9</v>
      </c>
      <c r="J392" s="38"/>
      <c r="K392" s="53" t="s">
        <v>44</v>
      </c>
      <c r="L392" s="53" t="s">
        <v>27</v>
      </c>
      <c r="M392" s="115" t="s">
        <v>1157</v>
      </c>
      <c r="N392" s="53" t="s">
        <v>1158</v>
      </c>
      <c r="O392" s="113">
        <v>4</v>
      </c>
      <c r="P392" s="53"/>
      <c r="Q392" s="165"/>
      <c r="R392" s="165" t="s">
        <v>191</v>
      </c>
      <c r="S392" s="38"/>
      <c r="T392" s="38"/>
      <c r="W392" s="15" t="str">
        <f>IF(IFERROR(VLOOKUP($M392,COMPARE!$H$2:$H$847,1,0),"-")="-","","GS")</f>
        <v/>
      </c>
      <c r="Z392" s="59" t="str">
        <f>IF(OR($M392="",NOT($O392="{array}")),"",IFERROR(MATCH(PARAMETERS!$M392,DEFAULT!$B$5:$CX$5,0),""))</f>
        <v/>
      </c>
      <c r="AA392" s="56" t="str">
        <f t="shared" si="29"/>
        <v/>
      </c>
      <c r="AB392" s="63" t="str">
        <f>IF(AND(OR($A392="G",$A392="P"),NOT($O392="{array}")),IF(VLOOKUP($K392,base!$B$2:$D$20,3,0)="S",IF(OR($O392="",ISTEXT($O392)),"","STRING!"),IF(VLOOKUP($K392,base!$B$2:$D$20,3,0)="","",IF(ISTEXT($O392),"NUMERIC!",""))),"")</f>
        <v/>
      </c>
      <c r="AC392" s="17" t="str">
        <f>IF($AA392="","",IF($B392="I",VLOOKUP($AA392,#REF!,53,0),INDEX(VALUES!$B$1:$BT$1,1,$AA392)))</f>
        <v/>
      </c>
    </row>
    <row r="393" spans="1:29" hidden="1" outlineLevel="1" x14ac:dyDescent="0.3">
      <c r="A393" s="22" t="s">
        <v>84</v>
      </c>
      <c r="B393" s="41" t="str">
        <f t="shared" si="30"/>
        <v/>
      </c>
      <c r="C393" s="42">
        <f t="shared" si="31"/>
        <v>392</v>
      </c>
      <c r="D393" s="38"/>
      <c r="E393" s="38"/>
      <c r="F393" s="38" t="s">
        <v>9</v>
      </c>
      <c r="G393" s="38"/>
      <c r="H393" s="38"/>
      <c r="I393" s="38" t="s">
        <v>9</v>
      </c>
      <c r="J393" s="38"/>
      <c r="K393" s="14" t="s">
        <v>44</v>
      </c>
      <c r="L393" s="14" t="s">
        <v>27</v>
      </c>
      <c r="M393" s="20" t="s">
        <v>864</v>
      </c>
      <c r="N393" s="14" t="s">
        <v>865</v>
      </c>
      <c r="O393" s="43">
        <v>2</v>
      </c>
      <c r="R393" s="38" t="s">
        <v>103</v>
      </c>
      <c r="S393" s="38"/>
      <c r="T393" s="38"/>
      <c r="W393" s="15" t="str">
        <f>IF(IFERROR(VLOOKUP($M393,COMPARE!$H$2:$H$847,1,0),"-")="-","","GS")</f>
        <v/>
      </c>
      <c r="Z393" s="59" t="str">
        <f>IF(OR($M393="",NOT($O393="{array}")),"",IFERROR(MATCH(PARAMETERS!$M393,DEFAULT!$B$5:$CX$5,0),""))</f>
        <v/>
      </c>
      <c r="AA393" s="56" t="str">
        <f t="shared" si="29"/>
        <v/>
      </c>
      <c r="AB393" s="63" t="str">
        <f>IF(AND(OR($A393="G",$A393="P"),NOT($O393="{array}")),IF(VLOOKUP($K393,base!$B$2:$D$20,3,0)="S",IF(OR($O393="",ISTEXT($O393)),"","STRING!"),IF(VLOOKUP($K393,base!$B$2:$D$20,3,0)="","",IF(ISTEXT($O393),"NUMERIC!",""))),"")</f>
        <v/>
      </c>
      <c r="AC393" s="17" t="str">
        <f>IF($AA393="","",IF($B393="I",VLOOKUP($AA393,#REF!,53,0),INDEX(VALUES!$B$1:$BT$1,1,$AA393)))</f>
        <v/>
      </c>
    </row>
    <row r="394" spans="1:29" hidden="1" outlineLevel="1" x14ac:dyDescent="0.3">
      <c r="A394" s="22" t="s">
        <v>84</v>
      </c>
      <c r="B394" s="41" t="str">
        <f t="shared" si="30"/>
        <v/>
      </c>
      <c r="C394" s="42">
        <f t="shared" si="31"/>
        <v>393</v>
      </c>
      <c r="D394" s="38"/>
      <c r="E394" s="38"/>
      <c r="F394" s="38" t="s">
        <v>9</v>
      </c>
      <c r="G394" s="38"/>
      <c r="H394" s="38"/>
      <c r="I394" s="38" t="s">
        <v>9</v>
      </c>
      <c r="J394" s="38"/>
      <c r="K394" s="14" t="s">
        <v>31</v>
      </c>
      <c r="L394" s="14" t="s">
        <v>27</v>
      </c>
      <c r="M394" s="109" t="s">
        <v>866</v>
      </c>
      <c r="N394" s="14" t="s">
        <v>867</v>
      </c>
      <c r="O394" s="43">
        <v>90</v>
      </c>
      <c r="R394" s="38" t="s">
        <v>103</v>
      </c>
      <c r="S394" s="38"/>
      <c r="T394" s="38"/>
      <c r="W394" s="15" t="str">
        <f>IF(IFERROR(VLOOKUP($M394,COMPARE!$H$2:$H$847,1,0),"-")="-","","GS")</f>
        <v/>
      </c>
      <c r="Z394" s="59" t="str">
        <f>IF(OR($M394="",NOT($O394="{array}")),"",IFERROR(MATCH(PARAMETERS!$M394,DEFAULT!$B$5:$CX$5,0),""))</f>
        <v/>
      </c>
      <c r="AA394" s="56" t="str">
        <f t="shared" si="29"/>
        <v/>
      </c>
      <c r="AB394" s="63" t="str">
        <f>IF(AND(OR($A394="G",$A394="P"),NOT($O394="{array}")),IF(VLOOKUP($K394,base!$B$2:$D$20,3,0)="S",IF(OR($O394="",ISTEXT($O394)),"","STRING!"),IF(VLOOKUP($K394,base!$B$2:$D$20,3,0)="","",IF(ISTEXT($O394),"NUMERIC!",""))),"")</f>
        <v/>
      </c>
      <c r="AC394" s="17" t="str">
        <f>IF($AA394="","",IF($B394="I",VLOOKUP($AA394,#REF!,53,0),INDEX(VALUES!$B$1:$BT$1,1,$AA394)))</f>
        <v/>
      </c>
    </row>
    <row r="395" spans="1:29" hidden="1" outlineLevel="1" x14ac:dyDescent="0.3">
      <c r="A395" s="22" t="s">
        <v>84</v>
      </c>
      <c r="B395" s="41" t="str">
        <f t="shared" si="30"/>
        <v/>
      </c>
      <c r="C395" s="42">
        <f t="shared" si="31"/>
        <v>394</v>
      </c>
      <c r="D395" s="38"/>
      <c r="E395" s="38"/>
      <c r="F395" s="38"/>
      <c r="G395" s="38"/>
      <c r="H395" s="38"/>
      <c r="I395" s="38" t="s">
        <v>9</v>
      </c>
      <c r="J395" s="38"/>
      <c r="K395" s="14" t="s">
        <v>31</v>
      </c>
      <c r="L395" s="14" t="s">
        <v>27</v>
      </c>
      <c r="M395" s="109" t="s">
        <v>868</v>
      </c>
      <c r="N395" s="14" t="s">
        <v>869</v>
      </c>
      <c r="O395" s="43">
        <v>90</v>
      </c>
      <c r="R395" s="38" t="s">
        <v>103</v>
      </c>
      <c r="S395" s="38"/>
      <c r="T395" s="38"/>
      <c r="W395" s="15" t="str">
        <f>IF(IFERROR(VLOOKUP($M395,COMPARE!$H$2:$H$847,1,0),"-")="-","","GS")</f>
        <v/>
      </c>
      <c r="Z395" s="59" t="str">
        <f>IF(OR($M395="",NOT($O395="{array}")),"",IFERROR(MATCH(PARAMETERS!$M395,DEFAULT!$B$5:$CX$5,0),""))</f>
        <v/>
      </c>
      <c r="AA395" s="56" t="str">
        <f t="shared" si="29"/>
        <v/>
      </c>
      <c r="AB395" s="63" t="str">
        <f>IF(AND(OR($A395="G",$A395="P"),NOT($O395="{array}")),IF(VLOOKUP($K395,base!$B$2:$D$20,3,0)="S",IF(OR($O395="",ISTEXT($O395)),"","STRING!"),IF(VLOOKUP($K395,base!$B$2:$D$20,3,0)="","",IF(ISTEXT($O395),"NUMERIC!",""))),"")</f>
        <v/>
      </c>
      <c r="AC395" s="17" t="str">
        <f>IF($AA395="","",IF($B395="I",VLOOKUP($AA395,#REF!,53,0),INDEX(VALUES!$B$1:$BT$1,1,$AA395)))</f>
        <v/>
      </c>
    </row>
    <row r="396" spans="1:29" hidden="1" outlineLevel="1" x14ac:dyDescent="0.3">
      <c r="A396" s="22" t="s">
        <v>84</v>
      </c>
      <c r="B396" s="41" t="str">
        <f t="shared" si="30"/>
        <v/>
      </c>
      <c r="C396" s="42">
        <f t="shared" si="31"/>
        <v>395</v>
      </c>
      <c r="D396" s="38"/>
      <c r="E396" s="38"/>
      <c r="F396" s="38" t="s">
        <v>9</v>
      </c>
      <c r="G396" s="38"/>
      <c r="H396" s="38"/>
      <c r="I396" s="38" t="s">
        <v>9</v>
      </c>
      <c r="J396" s="38"/>
      <c r="K396" s="178" t="s">
        <v>31</v>
      </c>
      <c r="L396" s="178" t="s">
        <v>27</v>
      </c>
      <c r="M396" s="194" t="s">
        <v>870</v>
      </c>
      <c r="N396" s="178" t="s">
        <v>871</v>
      </c>
      <c r="O396" s="179">
        <v>0</v>
      </c>
      <c r="P396" s="178"/>
      <c r="Q396" s="180"/>
      <c r="R396" s="180" t="s">
        <v>103</v>
      </c>
      <c r="S396" s="38"/>
      <c r="T396" s="38"/>
      <c r="W396" s="15" t="str">
        <f>IF(IFERROR(VLOOKUP($M396,COMPARE!$H$2:$H$847,1,0),"-")="-","","GS")</f>
        <v/>
      </c>
      <c r="Z396" s="59" t="str">
        <f>IF(OR($M396="",NOT($O396="{array}")),"",IFERROR(MATCH(PARAMETERS!$M396,DEFAULT!$B$5:$CX$5,0),""))</f>
        <v/>
      </c>
      <c r="AA396" s="56" t="str">
        <f t="shared" si="29"/>
        <v/>
      </c>
      <c r="AB396" s="63" t="str">
        <f>IF(AND(OR($A396="G",$A396="P"),NOT($O396="{array}")),IF(VLOOKUP($K396,base!$B$2:$D$20,3,0)="S",IF(OR($O396="",ISTEXT($O396)),"","STRING!"),IF(VLOOKUP($K396,base!$B$2:$D$20,3,0)="","",IF(ISTEXT($O396),"NUMERIC!",""))),"")</f>
        <v/>
      </c>
      <c r="AC396" s="17" t="str">
        <f>IF($AA396="","",IF($B396="I",VLOOKUP($AA396,#REF!,53,0),INDEX(VALUES!$B$1:$BT$1,1,$AA396)))</f>
        <v/>
      </c>
    </row>
    <row r="397" spans="1:29" hidden="1" outlineLevel="1" x14ac:dyDescent="0.3">
      <c r="A397" s="22" t="s">
        <v>84</v>
      </c>
      <c r="B397" s="41" t="str">
        <f t="shared" si="30"/>
        <v/>
      </c>
      <c r="C397" s="42">
        <f t="shared" si="31"/>
        <v>396</v>
      </c>
      <c r="D397" s="38"/>
      <c r="E397" s="38"/>
      <c r="F397" s="38"/>
      <c r="G397" s="38"/>
      <c r="H397" s="38"/>
      <c r="I397" s="38" t="s">
        <v>9</v>
      </c>
      <c r="J397" s="38"/>
      <c r="K397" s="178" t="s">
        <v>31</v>
      </c>
      <c r="L397" s="178" t="s">
        <v>27</v>
      </c>
      <c r="M397" s="194" t="s">
        <v>872</v>
      </c>
      <c r="N397" s="178" t="s">
        <v>873</v>
      </c>
      <c r="O397" s="179">
        <v>0</v>
      </c>
      <c r="P397" s="178"/>
      <c r="Q397" s="180"/>
      <c r="R397" s="180" t="s">
        <v>103</v>
      </c>
      <c r="S397" s="38"/>
      <c r="T397" s="38"/>
      <c r="W397" s="15" t="str">
        <f>IF(IFERROR(VLOOKUP($M397,COMPARE!$H$2:$H$847,1,0),"-")="-","","GS")</f>
        <v/>
      </c>
      <c r="Z397" s="59" t="str">
        <f>IF(OR($M397="",NOT($O397="{array}")),"",IFERROR(MATCH(PARAMETERS!$M397,DEFAULT!$B$5:$CX$5,0),""))</f>
        <v/>
      </c>
      <c r="AA397" s="56" t="str">
        <f t="shared" si="29"/>
        <v/>
      </c>
      <c r="AB397" s="63" t="str">
        <f>IF(AND(OR($A397="G",$A397="P"),NOT($O397="{array}")),IF(VLOOKUP($K397,base!$B$2:$D$20,3,0)="S",IF(OR($O397="",ISTEXT($O397)),"","STRING!"),IF(VLOOKUP($K397,base!$B$2:$D$20,3,0)="","",IF(ISTEXT($O397),"NUMERIC!",""))),"")</f>
        <v/>
      </c>
      <c r="AC397" s="17" t="str">
        <f>IF($AA397="","",IF($B397="I",VLOOKUP($AA397,#REF!,53,0),INDEX(VALUES!$B$1:$BT$1,1,$AA397)))</f>
        <v/>
      </c>
    </row>
    <row r="398" spans="1:29" hidden="1" outlineLevel="1" x14ac:dyDescent="0.3">
      <c r="A398" s="22" t="s">
        <v>84</v>
      </c>
      <c r="B398" s="41" t="str">
        <f t="shared" si="30"/>
        <v>A</v>
      </c>
      <c r="C398" s="42">
        <f t="shared" si="31"/>
        <v>397</v>
      </c>
      <c r="D398" s="38"/>
      <c r="E398" s="38"/>
      <c r="F398" s="38" t="s">
        <v>9</v>
      </c>
      <c r="G398" s="38"/>
      <c r="H398" s="38"/>
      <c r="I398" s="38" t="s">
        <v>9</v>
      </c>
      <c r="J398" s="38"/>
      <c r="K398" s="53" t="s">
        <v>31</v>
      </c>
      <c r="L398" s="53" t="s">
        <v>27</v>
      </c>
      <c r="M398" s="115" t="s">
        <v>1170</v>
      </c>
      <c r="N398" s="53" t="s">
        <v>1171</v>
      </c>
      <c r="O398" s="113" t="s">
        <v>33</v>
      </c>
      <c r="P398" s="53"/>
      <c r="Q398" s="165"/>
      <c r="R398" s="165" t="s">
        <v>191</v>
      </c>
      <c r="S398" s="38"/>
      <c r="T398" s="38"/>
      <c r="W398" s="15" t="str">
        <f>IF(IFERROR(VLOOKUP($M398,COMPARE!$H$2:$H$847,1,0),"-")="-","","GS")</f>
        <v/>
      </c>
      <c r="Z398" s="59">
        <f>IF(OR($M398="",NOT($O398="{array}")),"",IFERROR(MATCH(PARAMETERS!$M398,DEFAULT!$B$5:$CX$5,0),""))</f>
        <v>87</v>
      </c>
      <c r="AA398" s="56" t="str">
        <f t="shared" si="29"/>
        <v/>
      </c>
      <c r="AB398" s="63" t="str">
        <f>IF(AND(OR($A398="G",$A398="P"),NOT($O398="{array}")),IF(VLOOKUP($K398,base!$B$2:$D$20,3,0)="S",IF(OR($O398="",ISTEXT($O398)),"","STRING!"),IF(VLOOKUP($K398,base!$B$2:$D$20,3,0)="","",IF(ISTEXT($O398),"NUMERIC!",""))),"")</f>
        <v/>
      </c>
      <c r="AC398" s="17" t="str">
        <f>IF($AA398="","",IF($B398="I",VLOOKUP($AA398,#REF!,53,0),INDEX(VALUES!$B$1:$BT$1,1,$AA398)))</f>
        <v/>
      </c>
    </row>
    <row r="399" spans="1:29" hidden="1" outlineLevel="1" x14ac:dyDescent="0.3">
      <c r="A399" s="22" t="s">
        <v>84</v>
      </c>
      <c r="B399" s="41" t="str">
        <f t="shared" si="30"/>
        <v/>
      </c>
      <c r="C399" s="42">
        <f t="shared" si="31"/>
        <v>398</v>
      </c>
      <c r="D399" s="38"/>
      <c r="E399" s="38"/>
      <c r="F399" s="38"/>
      <c r="G399" s="38"/>
      <c r="H399" s="38"/>
      <c r="I399" s="38" t="s">
        <v>9</v>
      </c>
      <c r="J399" s="38"/>
      <c r="K399" s="14" t="s">
        <v>47</v>
      </c>
      <c r="L399" s="14" t="s">
        <v>27</v>
      </c>
      <c r="M399" s="20" t="s">
        <v>874</v>
      </c>
      <c r="N399" s="14" t="s">
        <v>875</v>
      </c>
      <c r="O399" s="43">
        <v>1</v>
      </c>
      <c r="R399" s="38" t="s">
        <v>103</v>
      </c>
      <c r="S399" s="38"/>
      <c r="T399" s="38"/>
      <c r="W399" s="15" t="str">
        <f>IF(IFERROR(VLOOKUP($M399,COMPARE!$H$2:$H$847,1,0),"-")="-","","GS")</f>
        <v/>
      </c>
      <c r="Z399" s="59" t="str">
        <f>IF(OR($M399="",NOT($O399="{array}")),"",IFERROR(MATCH(PARAMETERS!$M399,DEFAULT!$B$5:$CX$5,0),""))</f>
        <v/>
      </c>
      <c r="AA399" s="56" t="str">
        <f t="shared" si="29"/>
        <v/>
      </c>
      <c r="AB399" s="63" t="str">
        <f>IF(AND(OR($A399="G",$A399="P"),NOT($O399="{array}")),IF(VLOOKUP($K399,base!$B$2:$D$20,3,0)="S",IF(OR($O399="",ISTEXT($O399)),"","STRING!"),IF(VLOOKUP($K399,base!$B$2:$D$20,3,0)="","",IF(ISTEXT($O399),"NUMERIC!",""))),"")</f>
        <v/>
      </c>
      <c r="AC399" s="17" t="str">
        <f>IF($AA399="","",IF($B399="I",VLOOKUP($AA399,#REF!,53,0),INDEX(VALUES!$B$1:$BT$1,1,$AA399)))</f>
        <v/>
      </c>
    </row>
    <row r="400" spans="1:29" hidden="1" outlineLevel="1" x14ac:dyDescent="0.3">
      <c r="A400" s="22" t="s">
        <v>84</v>
      </c>
      <c r="B400" s="41" t="str">
        <f t="shared" si="30"/>
        <v/>
      </c>
      <c r="C400" s="42">
        <f t="shared" si="31"/>
        <v>399</v>
      </c>
      <c r="D400" s="38"/>
      <c r="E400" s="38"/>
      <c r="F400" s="38" t="s">
        <v>9</v>
      </c>
      <c r="G400" s="38"/>
      <c r="H400" s="38" t="s">
        <v>9</v>
      </c>
      <c r="I400" s="38" t="s">
        <v>9</v>
      </c>
      <c r="J400" s="38"/>
      <c r="K400" s="14" t="s">
        <v>47</v>
      </c>
      <c r="L400" s="14" t="s">
        <v>27</v>
      </c>
      <c r="M400" s="20" t="s">
        <v>876</v>
      </c>
      <c r="N400" s="14" t="s">
        <v>877</v>
      </c>
      <c r="O400" s="43">
        <v>0</v>
      </c>
      <c r="R400" s="38" t="s">
        <v>103</v>
      </c>
      <c r="S400" s="38"/>
      <c r="T400" s="38"/>
      <c r="W400" s="15" t="str">
        <f>IF(IFERROR(VLOOKUP($M400,COMPARE!$H$2:$H$847,1,0),"-")="-","","GS")</f>
        <v/>
      </c>
      <c r="Z400" s="59" t="str">
        <f>IF(OR($M400="",NOT($O400="{array}")),"",IFERROR(MATCH(PARAMETERS!$M400,DEFAULT!$B$5:$CX$5,0),""))</f>
        <v/>
      </c>
      <c r="AA400" s="56" t="str">
        <f t="shared" si="29"/>
        <v/>
      </c>
      <c r="AB400" s="63" t="str">
        <f>IF(AND(OR($A400="G",$A400="P"),NOT($O400="{array}")),IF(VLOOKUP($K400,base!$B$2:$D$20,3,0)="S",IF(OR($O400="",ISTEXT($O400)),"","STRING!"),IF(VLOOKUP($K400,base!$B$2:$D$20,3,0)="","",IF(ISTEXT($O400),"NUMERIC!",""))),"")</f>
        <v/>
      </c>
      <c r="AC400" s="17" t="str">
        <f>IF($AA400="","",IF($B400="I",VLOOKUP($AA400,#REF!,53,0),INDEX(VALUES!$B$1:$BT$1,1,$AA400)))</f>
        <v/>
      </c>
    </row>
    <row r="401" spans="1:29" hidden="1" outlineLevel="1" x14ac:dyDescent="0.3">
      <c r="A401" s="22" t="s">
        <v>84</v>
      </c>
      <c r="B401" s="41" t="str">
        <f t="shared" si="30"/>
        <v/>
      </c>
      <c r="C401" s="42">
        <f t="shared" si="31"/>
        <v>400</v>
      </c>
      <c r="D401" s="38"/>
      <c r="E401" s="38"/>
      <c r="F401" s="38" t="s">
        <v>9</v>
      </c>
      <c r="G401" s="38"/>
      <c r="H401" s="38"/>
      <c r="I401" s="38" t="s">
        <v>9</v>
      </c>
      <c r="J401" s="38"/>
      <c r="K401" s="14" t="s">
        <v>47</v>
      </c>
      <c r="L401" s="14" t="s">
        <v>27</v>
      </c>
      <c r="M401" s="20" t="s">
        <v>878</v>
      </c>
      <c r="N401" s="14" t="s">
        <v>879</v>
      </c>
      <c r="O401" s="43">
        <v>1</v>
      </c>
      <c r="R401" s="38" t="s">
        <v>103</v>
      </c>
      <c r="S401" s="38"/>
      <c r="T401" s="38"/>
      <c r="W401" s="15" t="str">
        <f>IF(IFERROR(VLOOKUP($M401,COMPARE!$H$2:$H$847,1,0),"-")="-","","GS")</f>
        <v/>
      </c>
      <c r="Z401" s="59" t="str">
        <f>IF(OR($M401="",NOT($O401="{array}")),"",IFERROR(MATCH(PARAMETERS!$M401,DEFAULT!$B$5:$CX$5,0),""))</f>
        <v/>
      </c>
      <c r="AA401" s="56" t="str">
        <f t="shared" si="29"/>
        <v/>
      </c>
      <c r="AB401" s="63" t="str">
        <f>IF(AND(OR($A401="G",$A401="P"),NOT($O401="{array}")),IF(VLOOKUP($K401,base!$B$2:$D$20,3,0)="S",IF(OR($O401="",ISTEXT($O401)),"","STRING!"),IF(VLOOKUP($K401,base!$B$2:$D$20,3,0)="","",IF(ISTEXT($O401),"NUMERIC!",""))),"")</f>
        <v/>
      </c>
      <c r="AC401" s="17" t="str">
        <f>IF($AA401="","",IF($B401="I",VLOOKUP($AA401,#REF!,53,0),INDEX(VALUES!$B$1:$BT$1,1,$AA401)))</f>
        <v/>
      </c>
    </row>
    <row r="402" spans="1:29" hidden="1" outlineLevel="1" x14ac:dyDescent="0.3">
      <c r="A402" s="22" t="s">
        <v>84</v>
      </c>
      <c r="B402" s="41" t="str">
        <f t="shared" si="30"/>
        <v/>
      </c>
      <c r="C402" s="42">
        <f t="shared" si="31"/>
        <v>401</v>
      </c>
      <c r="D402" s="38"/>
      <c r="E402" s="38"/>
      <c r="F402" s="38" t="s">
        <v>9</v>
      </c>
      <c r="G402" s="38"/>
      <c r="H402" s="38"/>
      <c r="I402" s="38" t="s">
        <v>9</v>
      </c>
      <c r="J402" s="38"/>
      <c r="K402" s="14" t="s">
        <v>51</v>
      </c>
      <c r="L402" s="14" t="s">
        <v>27</v>
      </c>
      <c r="M402" s="109" t="s">
        <v>880</v>
      </c>
      <c r="N402" s="14" t="s">
        <v>881</v>
      </c>
      <c r="O402" s="43">
        <v>1</v>
      </c>
      <c r="R402" s="38" t="s">
        <v>103</v>
      </c>
      <c r="S402" s="38"/>
      <c r="T402" s="38"/>
      <c r="W402" s="15" t="str">
        <f>IF(IFERROR(VLOOKUP($M402,COMPARE!$H$2:$H$847,1,0),"-")="-","","GS")</f>
        <v/>
      </c>
      <c r="Z402" s="59" t="str">
        <f>IF(OR($M402="",NOT($O402="{array}")),"",IFERROR(MATCH(PARAMETERS!$M402,DEFAULT!$B$5:$CX$5,0),""))</f>
        <v/>
      </c>
      <c r="AA402" s="56" t="str">
        <f t="shared" si="29"/>
        <v/>
      </c>
      <c r="AB402" s="63" t="str">
        <f>IF(AND(OR($A402="G",$A402="P"),NOT($O402="{array}")),IF(VLOOKUP($K402,base!$B$2:$D$20,3,0)="S",IF(OR($O402="",ISTEXT($O402)),"","STRING!"),IF(VLOOKUP($K402,base!$B$2:$D$20,3,0)="","",IF(ISTEXT($O402),"NUMERIC!",""))),"")</f>
        <v/>
      </c>
      <c r="AC402" s="17" t="str">
        <f>IF($AA402="","",IF($B402="I",VLOOKUP($AA402,#REF!,53,0),INDEX(VALUES!$B$1:$BT$1,1,$AA402)))</f>
        <v/>
      </c>
    </row>
    <row r="403" spans="1:29" hidden="1" outlineLevel="1" x14ac:dyDescent="0.3">
      <c r="A403" s="22" t="s">
        <v>84</v>
      </c>
      <c r="B403" s="41" t="str">
        <f t="shared" si="30"/>
        <v/>
      </c>
      <c r="C403" s="42">
        <f t="shared" si="31"/>
        <v>402</v>
      </c>
      <c r="D403" s="38"/>
      <c r="E403" s="38"/>
      <c r="F403" s="38" t="s">
        <v>9</v>
      </c>
      <c r="G403" s="38"/>
      <c r="H403" s="38"/>
      <c r="I403" s="38" t="s">
        <v>9</v>
      </c>
      <c r="J403" s="38"/>
      <c r="K403" s="14" t="s">
        <v>51</v>
      </c>
      <c r="L403" s="14" t="s">
        <v>27</v>
      </c>
      <c r="M403" s="109" t="s">
        <v>882</v>
      </c>
      <c r="N403" s="14" t="s">
        <v>883</v>
      </c>
      <c r="O403" s="43">
        <v>4</v>
      </c>
      <c r="R403" s="38" t="s">
        <v>103</v>
      </c>
      <c r="S403" s="38"/>
      <c r="T403" s="38"/>
      <c r="W403" s="15" t="str">
        <f>IF(IFERROR(VLOOKUP($M403,COMPARE!$H$2:$H$847,1,0),"-")="-","","GS")</f>
        <v/>
      </c>
      <c r="Z403" s="59" t="str">
        <f>IF(OR($M403="",NOT($O403="{array}")),"",IFERROR(MATCH(PARAMETERS!$M403,DEFAULT!$B$5:$CX$5,0),""))</f>
        <v/>
      </c>
      <c r="AA403" s="56" t="str">
        <f t="shared" si="29"/>
        <v/>
      </c>
      <c r="AB403" s="63" t="str">
        <f>IF(AND(OR($A403="G",$A403="P"),NOT($O403="{array}")),IF(VLOOKUP($K403,base!$B$2:$D$20,3,0)="S",IF(OR($O403="",ISTEXT($O403)),"","STRING!"),IF(VLOOKUP($K403,base!$B$2:$D$20,3,0)="","",IF(ISTEXT($O403),"NUMERIC!",""))),"")</f>
        <v/>
      </c>
      <c r="AC403" s="17" t="str">
        <f>IF($AA403="","",IF($B403="I",VLOOKUP($AA403,#REF!,53,0),INDEX(VALUES!$B$1:$BT$1,1,$AA403)))</f>
        <v/>
      </c>
    </row>
    <row r="404" spans="1:29" hidden="1" outlineLevel="1" x14ac:dyDescent="0.3">
      <c r="A404" s="22" t="s">
        <v>84</v>
      </c>
      <c r="B404" s="41" t="str">
        <f t="shared" si="30"/>
        <v/>
      </c>
      <c r="C404" s="42">
        <f t="shared" si="31"/>
        <v>403</v>
      </c>
      <c r="D404" s="38"/>
      <c r="E404" s="38"/>
      <c r="F404" s="38" t="s">
        <v>9</v>
      </c>
      <c r="G404" s="38"/>
      <c r="H404" s="38"/>
      <c r="I404" s="38" t="s">
        <v>9</v>
      </c>
      <c r="J404" s="38"/>
      <c r="K404" s="14" t="s">
        <v>18</v>
      </c>
      <c r="L404" s="14" t="s">
        <v>27</v>
      </c>
      <c r="M404" s="20" t="s">
        <v>884</v>
      </c>
      <c r="N404" s="14" t="s">
        <v>885</v>
      </c>
      <c r="O404" s="43" t="s">
        <v>886</v>
      </c>
      <c r="R404" s="38" t="s">
        <v>103</v>
      </c>
      <c r="S404" s="38"/>
      <c r="T404" s="38"/>
      <c r="W404" s="15" t="str">
        <f>IF(IFERROR(VLOOKUP($M404,COMPARE!$H$2:$H$847,1,0),"-")="-","","GS")</f>
        <v/>
      </c>
      <c r="Z404" s="59" t="str">
        <f>IF(OR($M404="",NOT($O404="{array}")),"",IFERROR(MATCH(PARAMETERS!$M404,DEFAULT!$B$5:$CX$5,0),""))</f>
        <v/>
      </c>
      <c r="AA404" s="56" t="str">
        <f t="shared" si="29"/>
        <v/>
      </c>
      <c r="AB404" s="63" t="str">
        <f>IF(AND(OR($A404="G",$A404="P"),NOT($O404="{array}")),IF(VLOOKUP($K404,base!$B$2:$D$20,3,0)="S",IF(OR($O404="",ISTEXT($O404)),"","STRING!"),IF(VLOOKUP($K404,base!$B$2:$D$20,3,0)="","",IF(ISTEXT($O404),"NUMERIC!",""))),"")</f>
        <v/>
      </c>
      <c r="AC404" s="17" t="str">
        <f>IF($AA404="","",IF($B404="I",VLOOKUP($AA404,#REF!,53,0),INDEX(VALUES!$B$1:$BT$1,1,$AA404)))</f>
        <v/>
      </c>
    </row>
    <row r="405" spans="1:29" hidden="1" outlineLevel="1" x14ac:dyDescent="0.3">
      <c r="A405" s="22" t="s">
        <v>84</v>
      </c>
      <c r="B405" s="41" t="str">
        <f t="shared" si="30"/>
        <v/>
      </c>
      <c r="C405" s="42">
        <f t="shared" si="31"/>
        <v>404</v>
      </c>
      <c r="D405" s="38"/>
      <c r="E405" s="38"/>
      <c r="F405" s="38" t="s">
        <v>9</v>
      </c>
      <c r="G405" s="38" t="s">
        <v>9</v>
      </c>
      <c r="H405" s="38"/>
      <c r="I405" s="38" t="s">
        <v>9</v>
      </c>
      <c r="J405" s="38"/>
      <c r="K405" s="14" t="s">
        <v>44</v>
      </c>
      <c r="L405" s="14" t="s">
        <v>27</v>
      </c>
      <c r="M405" s="20" t="s">
        <v>887</v>
      </c>
      <c r="N405" s="14" t="s">
        <v>885</v>
      </c>
      <c r="O405" s="43">
        <v>1</v>
      </c>
      <c r="R405" s="38" t="s">
        <v>103</v>
      </c>
      <c r="S405" s="38"/>
      <c r="T405" s="38"/>
      <c r="W405" s="15" t="str">
        <f>IF(IFERROR(VLOOKUP($M405,COMPARE!$H$2:$H$847,1,0),"-")="-","","GS")</f>
        <v/>
      </c>
      <c r="Z405" s="59" t="str">
        <f>IF(OR($M405="",NOT($O405="{array}")),"",IFERROR(MATCH(PARAMETERS!$M405,DEFAULT!$B$5:$CX$5,0),""))</f>
        <v/>
      </c>
      <c r="AA405" s="56" t="str">
        <f t="shared" si="29"/>
        <v/>
      </c>
      <c r="AB405" s="63" t="str">
        <f>IF(AND(OR($A405="G",$A405="P"),NOT($O405="{array}")),IF(VLOOKUP($K405,base!$B$2:$D$20,3,0)="S",IF(OR($O405="",ISTEXT($O405)),"","STRING!"),IF(VLOOKUP($K405,base!$B$2:$D$20,3,0)="","",IF(ISTEXT($O405),"NUMERIC!",""))),"")</f>
        <v/>
      </c>
      <c r="AC405" s="17" t="str">
        <f>IF($AA405="","",IF($B405="I",VLOOKUP($AA405,#REF!,53,0),INDEX(VALUES!$B$1:$BT$1,1,$AA405)))</f>
        <v/>
      </c>
    </row>
    <row r="406" spans="1:29" hidden="1" outlineLevel="1" x14ac:dyDescent="0.3">
      <c r="A406" s="22" t="s">
        <v>84</v>
      </c>
      <c r="B406" s="41" t="str">
        <f t="shared" si="30"/>
        <v/>
      </c>
      <c r="C406" s="42">
        <f t="shared" si="31"/>
        <v>405</v>
      </c>
      <c r="D406" s="38"/>
      <c r="E406" s="38"/>
      <c r="F406" s="38" t="s">
        <v>9</v>
      </c>
      <c r="G406" s="38"/>
      <c r="H406" s="38"/>
      <c r="I406" s="38" t="s">
        <v>9</v>
      </c>
      <c r="J406" s="38"/>
      <c r="K406" s="14" t="s">
        <v>18</v>
      </c>
      <c r="L406" s="14" t="s">
        <v>27</v>
      </c>
      <c r="M406" s="20" t="s">
        <v>888</v>
      </c>
      <c r="N406" s="14" t="s">
        <v>885</v>
      </c>
      <c r="O406" s="43" t="s">
        <v>889</v>
      </c>
      <c r="R406" s="38" t="s">
        <v>103</v>
      </c>
      <c r="S406" s="38"/>
      <c r="T406" s="38"/>
      <c r="W406" s="15" t="str">
        <f>IF(IFERROR(VLOOKUP($M406,COMPARE!$H$2:$H$847,1,0),"-")="-","","GS")</f>
        <v/>
      </c>
      <c r="Z406" s="59" t="str">
        <f>IF(OR($M406="",NOT($O406="{array}")),"",IFERROR(MATCH(PARAMETERS!$M406,DEFAULT!$B$5:$CX$5,0),""))</f>
        <v/>
      </c>
      <c r="AA406" s="56" t="str">
        <f t="shared" si="29"/>
        <v/>
      </c>
      <c r="AB406" s="63" t="str">
        <f>IF(AND(OR($A406="G",$A406="P"),NOT($O406="{array}")),IF(VLOOKUP($K406,base!$B$2:$D$20,3,0)="S",IF(OR($O406="",ISTEXT($O406)),"","STRING!"),IF(VLOOKUP($K406,base!$B$2:$D$20,3,0)="","",IF(ISTEXT($O406),"NUMERIC!",""))),"")</f>
        <v/>
      </c>
      <c r="AC406" s="17" t="str">
        <f>IF($AA406="","",IF($B406="I",VLOOKUP($AA406,#REF!,53,0),INDEX(VALUES!$B$1:$BT$1,1,$AA406)))</f>
        <v/>
      </c>
    </row>
    <row r="407" spans="1:29" hidden="1" outlineLevel="1" x14ac:dyDescent="0.3">
      <c r="A407" s="22" t="s">
        <v>84</v>
      </c>
      <c r="B407" s="41" t="str">
        <f t="shared" si="30"/>
        <v/>
      </c>
      <c r="C407" s="42">
        <f t="shared" si="31"/>
        <v>406</v>
      </c>
      <c r="D407" s="38"/>
      <c r="E407" s="38"/>
      <c r="F407" s="38" t="s">
        <v>9</v>
      </c>
      <c r="G407" s="38" t="s">
        <v>9</v>
      </c>
      <c r="H407" s="38"/>
      <c r="I407" s="38" t="s">
        <v>9</v>
      </c>
      <c r="J407" s="38"/>
      <c r="K407" s="14" t="s">
        <v>44</v>
      </c>
      <c r="L407" s="14" t="s">
        <v>27</v>
      </c>
      <c r="M407" s="20" t="s">
        <v>890</v>
      </c>
      <c r="N407" s="14" t="s">
        <v>885</v>
      </c>
      <c r="O407" s="43">
        <v>0</v>
      </c>
      <c r="R407" s="38" t="s">
        <v>103</v>
      </c>
      <c r="S407" s="38"/>
      <c r="T407" s="38"/>
      <c r="W407" s="15" t="str">
        <f>IF(IFERROR(VLOOKUP($M407,COMPARE!$H$2:$H$847,1,0),"-")="-","","GS")</f>
        <v/>
      </c>
      <c r="Z407" s="59" t="str">
        <f>IF(OR($M407="",NOT($O407="{array}")),"",IFERROR(MATCH(PARAMETERS!$M407,DEFAULT!$B$5:$CX$5,0),""))</f>
        <v/>
      </c>
      <c r="AA407" s="56" t="str">
        <f t="shared" si="29"/>
        <v/>
      </c>
      <c r="AB407" s="63" t="str">
        <f>IF(AND(OR($A407="G",$A407="P"),NOT($O407="{array}")),IF(VLOOKUP($K407,base!$B$2:$D$20,3,0)="S",IF(OR($O407="",ISTEXT($O407)),"","STRING!"),IF(VLOOKUP($K407,base!$B$2:$D$20,3,0)="","",IF(ISTEXT($O407),"NUMERIC!",""))),"")</f>
        <v/>
      </c>
      <c r="AC407" s="17" t="str">
        <f>IF($AA407="","",IF($B407="I",VLOOKUP($AA407,#REF!,53,0),INDEX(VALUES!$B$1:$BT$1,1,$AA407)))</f>
        <v/>
      </c>
    </row>
    <row r="408" spans="1:29" hidden="1" outlineLevel="1" x14ac:dyDescent="0.3">
      <c r="A408" s="22" t="s">
        <v>84</v>
      </c>
      <c r="B408" s="41" t="str">
        <f t="shared" si="30"/>
        <v/>
      </c>
      <c r="C408" s="42">
        <f t="shared" si="31"/>
        <v>407</v>
      </c>
      <c r="D408" s="38"/>
      <c r="E408" s="38"/>
      <c r="F408" s="38" t="s">
        <v>9</v>
      </c>
      <c r="G408" s="38"/>
      <c r="H408" s="38"/>
      <c r="I408" s="38" t="s">
        <v>9</v>
      </c>
      <c r="J408" s="38"/>
      <c r="K408" s="53" t="s">
        <v>44</v>
      </c>
      <c r="L408" s="53" t="s">
        <v>27</v>
      </c>
      <c r="M408" s="115" t="s">
        <v>1164</v>
      </c>
      <c r="N408" s="53" t="s">
        <v>1161</v>
      </c>
      <c r="O408" s="113">
        <v>1</v>
      </c>
      <c r="P408" s="53"/>
      <c r="Q408" s="165"/>
      <c r="R408" s="165" t="s">
        <v>191</v>
      </c>
      <c r="S408" s="38"/>
      <c r="T408" s="38"/>
      <c r="W408" s="15"/>
      <c r="Z408" s="59" t="str">
        <f>IF(OR($M408="",NOT($O408="{array}")),"",IFERROR(MATCH(PARAMETERS!$M408,DEFAULT!$B$5:$CX$5,0),""))</f>
        <v/>
      </c>
      <c r="AA408" s="56" t="str">
        <f t="shared" si="29"/>
        <v/>
      </c>
      <c r="AB408" s="63" t="str">
        <f>IF(AND(OR($A408="G",$A408="P"),NOT($O408="{array}")),IF(VLOOKUP($K408,base!$B$2:$D$20,3,0)="S",IF(OR($O408="",ISTEXT($O408)),"","STRING!"),IF(VLOOKUP($K408,base!$B$2:$D$20,3,0)="","",IF(ISTEXT($O408),"NUMERIC!",""))),"")</f>
        <v/>
      </c>
      <c r="AC408" s="17" t="str">
        <f>IF($AA408="","",IF($B408="I",VLOOKUP($AA408,#REF!,53,0),INDEX(VALUES!$B$1:$BT$1,1,$AA408)))</f>
        <v/>
      </c>
    </row>
    <row r="409" spans="1:29" hidden="1" outlineLevel="1" x14ac:dyDescent="0.3">
      <c r="A409" s="22" t="s">
        <v>84</v>
      </c>
      <c r="B409" s="41" t="str">
        <f t="shared" si="30"/>
        <v/>
      </c>
      <c r="C409" s="42">
        <f t="shared" si="31"/>
        <v>408</v>
      </c>
      <c r="D409" s="38"/>
      <c r="E409" s="38"/>
      <c r="F409" s="38" t="s">
        <v>9</v>
      </c>
      <c r="G409" s="38"/>
      <c r="H409" s="38"/>
      <c r="I409" s="38" t="s">
        <v>9</v>
      </c>
      <c r="J409" s="38"/>
      <c r="K409" s="53" t="s">
        <v>44</v>
      </c>
      <c r="L409" s="53" t="s">
        <v>27</v>
      </c>
      <c r="M409" s="115" t="s">
        <v>1165</v>
      </c>
      <c r="N409" s="53" t="s">
        <v>1162</v>
      </c>
      <c r="O409" s="113">
        <v>1</v>
      </c>
      <c r="P409" s="53"/>
      <c r="Q409" s="165"/>
      <c r="R409" s="165" t="s">
        <v>191</v>
      </c>
      <c r="S409" s="38"/>
      <c r="T409" s="38"/>
      <c r="W409" s="15"/>
      <c r="Z409" s="59" t="str">
        <f>IF(OR($M409="",NOT($O409="{array}")),"",IFERROR(MATCH(PARAMETERS!$M409,DEFAULT!$B$5:$CX$5,0),""))</f>
        <v/>
      </c>
      <c r="AA409" s="56" t="str">
        <f t="shared" si="29"/>
        <v/>
      </c>
      <c r="AB409" s="63" t="str">
        <f>IF(AND(OR($A409="G",$A409="P"),NOT($O409="{array}")),IF(VLOOKUP($K409,base!$B$2:$D$20,3,0)="S",IF(OR($O409="",ISTEXT($O409)),"","STRING!"),IF(VLOOKUP($K409,base!$B$2:$D$20,3,0)="","",IF(ISTEXT($O409),"NUMERIC!",""))),"")</f>
        <v/>
      </c>
      <c r="AC409" s="17" t="str">
        <f>IF($AA409="","",IF($B409="I",VLOOKUP($AA409,#REF!,53,0),INDEX(VALUES!$B$1:$BT$1,1,$AA409)))</f>
        <v/>
      </c>
    </row>
    <row r="410" spans="1:29" hidden="1" outlineLevel="1" x14ac:dyDescent="0.3">
      <c r="A410" s="22" t="s">
        <v>84</v>
      </c>
      <c r="B410" s="41" t="str">
        <f t="shared" si="30"/>
        <v/>
      </c>
      <c r="C410" s="42">
        <f t="shared" si="31"/>
        <v>409</v>
      </c>
      <c r="D410" s="38"/>
      <c r="E410" s="38"/>
      <c r="F410" s="38" t="s">
        <v>9</v>
      </c>
      <c r="G410" s="38"/>
      <c r="H410" s="38"/>
      <c r="I410" s="38" t="s">
        <v>9</v>
      </c>
      <c r="J410" s="38"/>
      <c r="K410" s="53" t="s">
        <v>44</v>
      </c>
      <c r="L410" s="53" t="s">
        <v>27</v>
      </c>
      <c r="M410" s="115" t="s">
        <v>1166</v>
      </c>
      <c r="N410" s="53" t="s">
        <v>1163</v>
      </c>
      <c r="O410" s="113">
        <v>1</v>
      </c>
      <c r="P410" s="53"/>
      <c r="Q410" s="165"/>
      <c r="R410" s="165" t="s">
        <v>191</v>
      </c>
      <c r="S410" s="38"/>
      <c r="T410" s="38"/>
      <c r="W410" s="15"/>
      <c r="Z410" s="59" t="str">
        <f>IF(OR($M410="",NOT($O410="{array}")),"",IFERROR(MATCH(PARAMETERS!$M410,DEFAULT!$B$5:$CX$5,0),""))</f>
        <v/>
      </c>
      <c r="AA410" s="56" t="str">
        <f t="shared" si="29"/>
        <v/>
      </c>
      <c r="AB410" s="63" t="str">
        <f>IF(AND(OR($A410="G",$A410="P"),NOT($O410="{array}")),IF(VLOOKUP($K410,base!$B$2:$D$20,3,0)="S",IF(OR($O410="",ISTEXT($O410)),"","STRING!"),IF(VLOOKUP($K410,base!$B$2:$D$20,3,0)="","",IF(ISTEXT($O410),"NUMERIC!",""))),"")</f>
        <v/>
      </c>
      <c r="AC410" s="17" t="str">
        <f>IF($AA410="","",IF($B410="I",VLOOKUP($AA410,#REF!,53,0),INDEX(VALUES!$B$1:$BT$1,1,$AA410)))</f>
        <v/>
      </c>
    </row>
    <row r="411" spans="1:29" hidden="1" outlineLevel="1" x14ac:dyDescent="0.3">
      <c r="A411" s="22" t="s">
        <v>84</v>
      </c>
      <c r="B411" s="41" t="str">
        <f t="shared" si="30"/>
        <v/>
      </c>
      <c r="C411" s="42">
        <f t="shared" si="31"/>
        <v>410</v>
      </c>
      <c r="D411" s="38"/>
      <c r="E411" s="38"/>
      <c r="F411" s="38" t="s">
        <v>9</v>
      </c>
      <c r="G411" s="38"/>
      <c r="H411" s="38"/>
      <c r="I411" s="38" t="s">
        <v>9</v>
      </c>
      <c r="J411" s="38"/>
      <c r="K411" s="14" t="s">
        <v>53</v>
      </c>
      <c r="L411" s="14" t="s">
        <v>27</v>
      </c>
      <c r="M411" s="184" t="s">
        <v>891</v>
      </c>
      <c r="N411" s="14" t="s">
        <v>892</v>
      </c>
      <c r="O411" s="43">
        <v>1</v>
      </c>
      <c r="R411" s="38" t="s">
        <v>103</v>
      </c>
      <c r="S411" s="38"/>
      <c r="T411" s="38"/>
      <c r="W411" s="15" t="str">
        <f>IF(IFERROR(VLOOKUP($M411,COMPARE!$H$2:$H$847,1,0),"-")="-","","GS")</f>
        <v/>
      </c>
      <c r="Z411" s="59" t="str">
        <f>IF(OR($M411="",NOT($O411="{array}")),"",IFERROR(MATCH(PARAMETERS!$M411,DEFAULT!$B$5:$CX$5,0),""))</f>
        <v/>
      </c>
      <c r="AA411" s="56" t="str">
        <f t="shared" si="29"/>
        <v/>
      </c>
      <c r="AB411" s="63" t="str">
        <f>IF(AND(OR($A411="G",$A411="P"),NOT($O411="{array}")),IF(VLOOKUP($K411,base!$B$2:$D$20,3,0)="S",IF(OR($O411="",ISTEXT($O411)),"","STRING!"),IF(VLOOKUP($K411,base!$B$2:$D$20,3,0)="","",IF(ISTEXT($O411),"NUMERIC!",""))),"")</f>
        <v/>
      </c>
      <c r="AC411" s="17" t="str">
        <f>IF($AA411="","",IF($B411="I",VLOOKUP($AA411,#REF!,53,0),INDEX(VALUES!$B$1:$BT$1,1,$AA411)))</f>
        <v/>
      </c>
    </row>
    <row r="412" spans="1:29" hidden="1" outlineLevel="1" x14ac:dyDescent="0.3">
      <c r="A412" s="22" t="s">
        <v>84</v>
      </c>
      <c r="B412" s="41" t="str">
        <f t="shared" si="30"/>
        <v/>
      </c>
      <c r="C412" s="42">
        <f t="shared" si="31"/>
        <v>411</v>
      </c>
      <c r="D412" s="38"/>
      <c r="E412" s="38"/>
      <c r="F412" s="38" t="s">
        <v>9</v>
      </c>
      <c r="G412" s="38" t="s">
        <v>9</v>
      </c>
      <c r="H412" s="38"/>
      <c r="I412" s="38" t="s">
        <v>9</v>
      </c>
      <c r="J412" s="38"/>
      <c r="K412" s="14" t="s">
        <v>44</v>
      </c>
      <c r="L412" s="14" t="s">
        <v>27</v>
      </c>
      <c r="M412" s="184" t="s">
        <v>893</v>
      </c>
      <c r="N412" s="14" t="s">
        <v>892</v>
      </c>
      <c r="O412" s="43">
        <v>1</v>
      </c>
      <c r="R412" s="38" t="s">
        <v>103</v>
      </c>
      <c r="S412" s="38"/>
      <c r="T412" s="38"/>
      <c r="W412" s="15" t="str">
        <f>IF(IFERROR(VLOOKUP($M412,COMPARE!$H$2:$H$847,1,0),"-")="-","","GS")</f>
        <v/>
      </c>
      <c r="Z412" s="59" t="str">
        <f>IF(OR($M412="",NOT($O412="{array}")),"",IFERROR(MATCH(PARAMETERS!$M412,DEFAULT!$B$5:$CX$5,0),""))</f>
        <v/>
      </c>
      <c r="AA412" s="56" t="str">
        <f t="shared" si="29"/>
        <v/>
      </c>
      <c r="AB412" s="63" t="str">
        <f>IF(AND(OR($A412="G",$A412="P"),NOT($O412="{array}")),IF(VLOOKUP($K412,base!$B$2:$D$20,3,0)="S",IF(OR($O412="",ISTEXT($O412)),"","STRING!"),IF(VLOOKUP($K412,base!$B$2:$D$20,3,0)="","",IF(ISTEXT($O412),"NUMERIC!",""))),"")</f>
        <v/>
      </c>
      <c r="AC412" s="17" t="str">
        <f>IF($AA412="","",IF($B412="I",VLOOKUP($AA412,#REF!,53,0),INDEX(VALUES!$B$1:$BT$1,1,$AA412)))</f>
        <v/>
      </c>
    </row>
    <row r="413" spans="1:29" hidden="1" outlineLevel="1" x14ac:dyDescent="0.3">
      <c r="A413" s="22" t="s">
        <v>84</v>
      </c>
      <c r="B413" s="41" t="str">
        <f t="shared" si="30"/>
        <v/>
      </c>
      <c r="C413" s="42">
        <f t="shared" si="31"/>
        <v>412</v>
      </c>
      <c r="D413" s="38"/>
      <c r="E413" s="38"/>
      <c r="F413" s="38" t="s">
        <v>9</v>
      </c>
      <c r="G413" s="38"/>
      <c r="H413" s="38" t="s">
        <v>9</v>
      </c>
      <c r="I413" s="38" t="s">
        <v>9</v>
      </c>
      <c r="J413" s="38"/>
      <c r="K413" s="14" t="s">
        <v>47</v>
      </c>
      <c r="L413" s="14" t="s">
        <v>27</v>
      </c>
      <c r="M413" s="20" t="s">
        <v>894</v>
      </c>
      <c r="N413" s="14" t="s">
        <v>895</v>
      </c>
      <c r="O413" s="43">
        <v>1</v>
      </c>
      <c r="R413" s="38" t="s">
        <v>103</v>
      </c>
      <c r="S413" s="38"/>
      <c r="T413" s="38"/>
      <c r="W413" s="15" t="str">
        <f>IF(IFERROR(VLOOKUP($M413,COMPARE!$H$2:$H$847,1,0),"-")="-","","GS")</f>
        <v/>
      </c>
      <c r="Z413" s="59" t="str">
        <f>IF(OR($M413="",NOT($O413="{array}")),"",IFERROR(MATCH(PARAMETERS!$M413,DEFAULT!$B$5:$CX$5,0),""))</f>
        <v/>
      </c>
      <c r="AA413" s="56" t="str">
        <f t="shared" si="29"/>
        <v/>
      </c>
      <c r="AB413" s="63" t="str">
        <f>IF(AND(OR($A413="G",$A413="P"),NOT($O413="{array}")),IF(VLOOKUP($K413,base!$B$2:$D$20,3,0)="S",IF(OR($O413="",ISTEXT($O413)),"","STRING!"),IF(VLOOKUP($K413,base!$B$2:$D$20,3,0)="","",IF(ISTEXT($O413),"NUMERIC!",""))),"")</f>
        <v/>
      </c>
      <c r="AC413" s="17" t="str">
        <f>IF($AA413="","",IF($B413="I",VLOOKUP($AA413,#REF!,53,0),INDEX(VALUES!$B$1:$BT$1,1,$AA413)))</f>
        <v/>
      </c>
    </row>
    <row r="414" spans="1:29" hidden="1" outlineLevel="1" x14ac:dyDescent="0.3">
      <c r="A414" s="22" t="s">
        <v>84</v>
      </c>
      <c r="B414" s="41" t="str">
        <f t="shared" si="30"/>
        <v/>
      </c>
      <c r="C414" s="42">
        <f t="shared" si="31"/>
        <v>413</v>
      </c>
      <c r="D414" s="38"/>
      <c r="E414" s="38"/>
      <c r="F414" s="38" t="s">
        <v>9</v>
      </c>
      <c r="G414" s="38"/>
      <c r="H414" s="38"/>
      <c r="I414" s="38" t="s">
        <v>9</v>
      </c>
      <c r="J414" s="38"/>
      <c r="K414" s="14" t="s">
        <v>47</v>
      </c>
      <c r="L414" s="14" t="s">
        <v>27</v>
      </c>
      <c r="M414" s="20" t="s">
        <v>896</v>
      </c>
      <c r="N414" s="14" t="s">
        <v>897</v>
      </c>
      <c r="O414" s="43">
        <v>1</v>
      </c>
      <c r="R414" s="38" t="s">
        <v>103</v>
      </c>
      <c r="S414" s="38"/>
      <c r="T414" s="38"/>
      <c r="W414" s="15" t="str">
        <f>IF(IFERROR(VLOOKUP($M414,COMPARE!$H$2:$H$847,1,0),"-")="-","","GS")</f>
        <v/>
      </c>
      <c r="Z414" s="59" t="str">
        <f>IF(OR($M414="",NOT($O414="{array}")),"",IFERROR(MATCH(PARAMETERS!$M414,DEFAULT!$B$5:$CX$5,0),""))</f>
        <v/>
      </c>
      <c r="AA414" s="56" t="str">
        <f t="shared" si="29"/>
        <v/>
      </c>
      <c r="AB414" s="63" t="str">
        <f>IF(AND(OR($A414="G",$A414="P"),NOT($O414="{array}")),IF(VLOOKUP($K414,base!$B$2:$D$20,3,0)="S",IF(OR($O414="",ISTEXT($O414)),"","STRING!"),IF(VLOOKUP($K414,base!$B$2:$D$20,3,0)="","",IF(ISTEXT($O414),"NUMERIC!",""))),"")</f>
        <v/>
      </c>
      <c r="AC414" s="17" t="str">
        <f>IF($AA414="","",IF($B414="I",VLOOKUP($AA414,#REF!,53,0),INDEX(VALUES!$B$1:$BT$1,1,$AA414)))</f>
        <v/>
      </c>
    </row>
    <row r="415" spans="1:29" hidden="1" outlineLevel="1" x14ac:dyDescent="0.3">
      <c r="A415" s="22" t="s">
        <v>84</v>
      </c>
      <c r="B415" s="41" t="str">
        <f t="shared" si="30"/>
        <v/>
      </c>
      <c r="C415" s="42">
        <f t="shared" si="31"/>
        <v>414</v>
      </c>
      <c r="D415" s="38"/>
      <c r="E415" s="38"/>
      <c r="F415" s="38" t="s">
        <v>9</v>
      </c>
      <c r="G415" s="38"/>
      <c r="H415" s="38"/>
      <c r="I415" s="38" t="s">
        <v>9</v>
      </c>
      <c r="J415" s="38"/>
      <c r="K415" s="14" t="s">
        <v>18</v>
      </c>
      <c r="L415" s="14" t="s">
        <v>27</v>
      </c>
      <c r="M415" s="20" t="s">
        <v>898</v>
      </c>
      <c r="N415" s="14" t="s">
        <v>899</v>
      </c>
      <c r="O415" s="43" t="s">
        <v>900</v>
      </c>
      <c r="R415" s="38" t="s">
        <v>103</v>
      </c>
      <c r="S415" s="38"/>
      <c r="T415" s="38"/>
      <c r="W415" s="15" t="str">
        <f>IF(IFERROR(VLOOKUP($M415,COMPARE!$H$2:$H$847,1,0),"-")="-","","GS")</f>
        <v/>
      </c>
      <c r="Z415" s="59" t="str">
        <f>IF(OR($M415="",NOT($O415="{array}")),"",IFERROR(MATCH(PARAMETERS!$M415,DEFAULT!$B$5:$CX$5,0),""))</f>
        <v/>
      </c>
      <c r="AA415" s="56" t="str">
        <f t="shared" si="29"/>
        <v/>
      </c>
      <c r="AB415" s="63" t="str">
        <f>IF(AND(OR($A415="G",$A415="P"),NOT($O415="{array}")),IF(VLOOKUP($K415,base!$B$2:$D$20,3,0)="S",IF(OR($O415="",ISTEXT($O415)),"","STRING!"),IF(VLOOKUP($K415,base!$B$2:$D$20,3,0)="","",IF(ISTEXT($O415),"NUMERIC!",""))),"")</f>
        <v/>
      </c>
      <c r="AC415" s="17" t="str">
        <f>IF($AA415="","",IF($B415="I",VLOOKUP($AA415,#REF!,53,0),INDEX(VALUES!$B$1:$BT$1,1,$AA415)))</f>
        <v/>
      </c>
    </row>
    <row r="416" spans="1:29" hidden="1" outlineLevel="1" x14ac:dyDescent="0.3">
      <c r="A416" s="22" t="s">
        <v>84</v>
      </c>
      <c r="B416" s="41" t="str">
        <f t="shared" si="30"/>
        <v/>
      </c>
      <c r="C416" s="42">
        <f t="shared" si="31"/>
        <v>415</v>
      </c>
      <c r="D416" s="38"/>
      <c r="E416" s="38"/>
      <c r="F416" s="38" t="s">
        <v>9</v>
      </c>
      <c r="G416" s="38" t="s">
        <v>9</v>
      </c>
      <c r="H416" s="38"/>
      <c r="I416" s="38" t="s">
        <v>9</v>
      </c>
      <c r="J416" s="38"/>
      <c r="K416" s="14" t="s">
        <v>44</v>
      </c>
      <c r="L416" s="14" t="s">
        <v>27</v>
      </c>
      <c r="M416" s="184" t="s">
        <v>901</v>
      </c>
      <c r="N416" s="14" t="s">
        <v>899</v>
      </c>
      <c r="O416" s="43">
        <v>0</v>
      </c>
      <c r="R416" s="38" t="s">
        <v>103</v>
      </c>
      <c r="S416" s="38"/>
      <c r="T416" s="38"/>
      <c r="W416" s="15" t="str">
        <f>IF(IFERROR(VLOOKUP($M416,COMPARE!$H$2:$H$847,1,0),"-")="-","","GS")</f>
        <v/>
      </c>
      <c r="Z416" s="59" t="str">
        <f>IF(OR($M416="",NOT($O416="{array}")),"",IFERROR(MATCH(PARAMETERS!$M416,DEFAULT!$B$5:$CX$5,0),""))</f>
        <v/>
      </c>
      <c r="AA416" s="56" t="str">
        <f t="shared" si="29"/>
        <v/>
      </c>
      <c r="AB416" s="63" t="str">
        <f>IF(AND(OR($A416="G",$A416="P"),NOT($O416="{array}")),IF(VLOOKUP($K416,base!$B$2:$D$20,3,0)="S",IF(OR($O416="",ISTEXT($O416)),"","STRING!"),IF(VLOOKUP($K416,base!$B$2:$D$20,3,0)="","",IF(ISTEXT($O416),"NUMERIC!",""))),"")</f>
        <v/>
      </c>
      <c r="AC416" s="17" t="str">
        <f>IF($AA416="","",IF($B416="I",VLOOKUP($AA416,#REF!,53,0),INDEX(VALUES!$B$1:$BT$1,1,$AA416)))</f>
        <v/>
      </c>
    </row>
    <row r="417" spans="1:29" hidden="1" outlineLevel="1" x14ac:dyDescent="0.3">
      <c r="A417" s="22" t="s">
        <v>84</v>
      </c>
      <c r="B417" s="41" t="str">
        <f t="shared" si="30"/>
        <v/>
      </c>
      <c r="C417" s="42">
        <f t="shared" si="31"/>
        <v>416</v>
      </c>
      <c r="D417" s="38"/>
      <c r="E417" s="38"/>
      <c r="F417" s="38" t="s">
        <v>9</v>
      </c>
      <c r="G417" s="38"/>
      <c r="H417" s="38"/>
      <c r="I417" s="38" t="s">
        <v>9</v>
      </c>
      <c r="J417" s="38"/>
      <c r="K417" s="14" t="s">
        <v>18</v>
      </c>
      <c r="L417" s="14" t="s">
        <v>27</v>
      </c>
      <c r="M417" s="20" t="s">
        <v>902</v>
      </c>
      <c r="N417" s="14" t="s">
        <v>903</v>
      </c>
      <c r="O417" s="43" t="s">
        <v>904</v>
      </c>
      <c r="R417" s="38" t="s">
        <v>103</v>
      </c>
      <c r="S417" s="38"/>
      <c r="T417" s="38"/>
      <c r="W417" s="15" t="str">
        <f>IF(IFERROR(VLOOKUP($M417,COMPARE!$H$2:$H$847,1,0),"-")="-","","GS")</f>
        <v/>
      </c>
      <c r="Z417" s="59" t="str">
        <f>IF(OR($M417="",NOT($O417="{array}")),"",IFERROR(MATCH(PARAMETERS!$M417,DEFAULT!$B$5:$CX$5,0),""))</f>
        <v/>
      </c>
      <c r="AA417" s="56" t="str">
        <f t="shared" si="29"/>
        <v/>
      </c>
      <c r="AB417" s="63" t="str">
        <f>IF(AND(OR($A417="G",$A417="P"),NOT($O417="{array}")),IF(VLOOKUP($K417,base!$B$2:$D$20,3,0)="S",IF(OR($O417="",ISTEXT($O417)),"","STRING!"),IF(VLOOKUP($K417,base!$B$2:$D$20,3,0)="","",IF(ISTEXT($O417),"NUMERIC!",""))),"")</f>
        <v/>
      </c>
      <c r="AC417" s="17" t="str">
        <f>IF($AA417="","",IF($B417="I",VLOOKUP($AA417,#REF!,53,0),INDEX(VALUES!$B$1:$BT$1,1,$AA417)))</f>
        <v/>
      </c>
    </row>
    <row r="418" spans="1:29" hidden="1" outlineLevel="1" x14ac:dyDescent="0.3">
      <c r="A418" s="22" t="s">
        <v>84</v>
      </c>
      <c r="B418" s="41" t="str">
        <f t="shared" si="30"/>
        <v/>
      </c>
      <c r="C418" s="42">
        <f t="shared" si="31"/>
        <v>417</v>
      </c>
      <c r="D418" s="38"/>
      <c r="E418" s="38"/>
      <c r="F418" s="38" t="s">
        <v>9</v>
      </c>
      <c r="G418" s="38" t="s">
        <v>9</v>
      </c>
      <c r="H418" s="38"/>
      <c r="I418" s="38" t="s">
        <v>9</v>
      </c>
      <c r="J418" s="38"/>
      <c r="K418" s="14" t="s">
        <v>44</v>
      </c>
      <c r="L418" s="14" t="s">
        <v>27</v>
      </c>
      <c r="M418" s="184" t="s">
        <v>905</v>
      </c>
      <c r="N418" s="14" t="s">
        <v>903</v>
      </c>
      <c r="O418" s="43">
        <v>1</v>
      </c>
      <c r="R418" s="38" t="s">
        <v>103</v>
      </c>
      <c r="S418" s="38"/>
      <c r="T418" s="38"/>
      <c r="W418" s="15" t="str">
        <f>IF(IFERROR(VLOOKUP($M418,COMPARE!$H$2:$H$847,1,0),"-")="-","","GS")</f>
        <v/>
      </c>
      <c r="Z418" s="59" t="str">
        <f>IF(OR($M418="",NOT($O418="{array}")),"",IFERROR(MATCH(PARAMETERS!$M418,DEFAULT!$B$5:$CX$5,0),""))</f>
        <v/>
      </c>
      <c r="AA418" s="56" t="str">
        <f t="shared" si="29"/>
        <v/>
      </c>
      <c r="AB418" s="63" t="str">
        <f>IF(AND(OR($A418="G",$A418="P"),NOT($O418="{array}")),IF(VLOOKUP($K418,base!$B$2:$D$20,3,0)="S",IF(OR($O418="",ISTEXT($O418)),"","STRING!"),IF(VLOOKUP($K418,base!$B$2:$D$20,3,0)="","",IF(ISTEXT($O418),"NUMERIC!",""))),"")</f>
        <v/>
      </c>
      <c r="AC418" s="17" t="str">
        <f>IF($AA418="","",IF($B418="I",VLOOKUP($AA418,#REF!,53,0),INDEX(VALUES!$B$1:$BT$1,1,$AA418)))</f>
        <v/>
      </c>
    </row>
    <row r="419" spans="1:29" hidden="1" outlineLevel="1" x14ac:dyDescent="0.3">
      <c r="A419" s="22" t="s">
        <v>84</v>
      </c>
      <c r="B419" s="41" t="str">
        <f t="shared" ref="B419:B450" si="32">IF($A419="P",IF(NOT($Z419=""),"A",IF(NOT($AA419=""),"I","")),IF(NOT($AA419=""),IF($A419="G","V","X"),IF(NOT($Z419=""),"A","")))</f>
        <v/>
      </c>
      <c r="C419" s="42">
        <f t="shared" ref="C419:C450" si="33">(ROW()-1)</f>
        <v>418</v>
      </c>
      <c r="D419" s="38"/>
      <c r="E419" s="38"/>
      <c r="F419" s="38" t="s">
        <v>9</v>
      </c>
      <c r="G419" s="38"/>
      <c r="H419" s="38"/>
      <c r="I419" s="38" t="s">
        <v>9</v>
      </c>
      <c r="J419" s="38"/>
      <c r="K419" s="14" t="s">
        <v>18</v>
      </c>
      <c r="L419" s="14" t="s">
        <v>27</v>
      </c>
      <c r="M419" s="20" t="s">
        <v>906</v>
      </c>
      <c r="N419" s="14" t="s">
        <v>907</v>
      </c>
      <c r="O419" s="43" t="s">
        <v>904</v>
      </c>
      <c r="R419" s="38" t="s">
        <v>103</v>
      </c>
      <c r="S419" s="38"/>
      <c r="T419" s="38"/>
      <c r="W419" s="15" t="str">
        <f>IF(IFERROR(VLOOKUP($M419,COMPARE!$H$2:$H$847,1,0),"-")="-","","GS")</f>
        <v/>
      </c>
      <c r="Z419" s="59" t="str">
        <f>IF(OR($M419="",NOT($O419="{array}")),"",IFERROR(MATCH(PARAMETERS!$M419,DEFAULT!$B$5:$CX$5,0),""))</f>
        <v/>
      </c>
      <c r="AA419" s="56" t="str">
        <f t="shared" si="29"/>
        <v/>
      </c>
      <c r="AB419" s="63" t="str">
        <f>IF(AND(OR($A419="G",$A419="P"),NOT($O419="{array}")),IF(VLOOKUP($K419,base!$B$2:$D$20,3,0)="S",IF(OR($O419="",ISTEXT($O419)),"","STRING!"),IF(VLOOKUP($K419,base!$B$2:$D$20,3,0)="","",IF(ISTEXT($O419),"NUMERIC!",""))),"")</f>
        <v/>
      </c>
      <c r="AC419" s="17" t="str">
        <f>IF($AA419="","",IF($B419="I",VLOOKUP($AA419,#REF!,53,0),INDEX(VALUES!$B$1:$BT$1,1,$AA419)))</f>
        <v/>
      </c>
    </row>
    <row r="420" spans="1:29" hidden="1" outlineLevel="1" x14ac:dyDescent="0.3">
      <c r="A420" s="22" t="s">
        <v>84</v>
      </c>
      <c r="B420" s="41" t="str">
        <f t="shared" si="32"/>
        <v/>
      </c>
      <c r="C420" s="42">
        <f t="shared" si="33"/>
        <v>419</v>
      </c>
      <c r="D420" s="38"/>
      <c r="E420" s="38"/>
      <c r="F420" s="38" t="s">
        <v>9</v>
      </c>
      <c r="G420" s="38" t="s">
        <v>9</v>
      </c>
      <c r="H420" s="38"/>
      <c r="I420" s="38" t="s">
        <v>9</v>
      </c>
      <c r="J420" s="38"/>
      <c r="K420" s="14" t="s">
        <v>44</v>
      </c>
      <c r="L420" s="14" t="s">
        <v>27</v>
      </c>
      <c r="M420" s="184" t="s">
        <v>908</v>
      </c>
      <c r="N420" s="14" t="s">
        <v>909</v>
      </c>
      <c r="O420" s="43">
        <v>1</v>
      </c>
      <c r="R420" s="38" t="s">
        <v>103</v>
      </c>
      <c r="S420" s="38"/>
      <c r="T420" s="38"/>
      <c r="W420" s="15" t="str">
        <f>IF(IFERROR(VLOOKUP($M420,COMPARE!$H$2:$H$847,1,0),"-")="-","","GS")</f>
        <v/>
      </c>
      <c r="Z420" s="59" t="str">
        <f>IF(OR($M420="",NOT($O420="{array}")),"",IFERROR(MATCH(PARAMETERS!$M420,DEFAULT!$B$5:$CX$5,0),""))</f>
        <v/>
      </c>
      <c r="AA420" s="56" t="str">
        <f t="shared" si="29"/>
        <v/>
      </c>
      <c r="AB420" s="63" t="str">
        <f>IF(AND(OR($A420="G",$A420="P"),NOT($O420="{array}")),IF(VLOOKUP($K420,base!$B$2:$D$20,3,0)="S",IF(OR($O420="",ISTEXT($O420)),"","STRING!"),IF(VLOOKUP($K420,base!$B$2:$D$20,3,0)="","",IF(ISTEXT($O420),"NUMERIC!",""))),"")</f>
        <v/>
      </c>
      <c r="AC420" s="17" t="str">
        <f>IF($AA420="","",IF($B420="I",VLOOKUP($AA420,#REF!,53,0),INDEX(VALUES!$B$1:$BT$1,1,$AA420)))</f>
        <v/>
      </c>
    </row>
    <row r="421" spans="1:29" hidden="1" outlineLevel="1" x14ac:dyDescent="0.3">
      <c r="A421" s="22" t="s">
        <v>84</v>
      </c>
      <c r="B421" s="41" t="str">
        <f t="shared" si="32"/>
        <v/>
      </c>
      <c r="C421" s="42">
        <f t="shared" si="33"/>
        <v>420</v>
      </c>
      <c r="D421" s="38"/>
      <c r="E421" s="38"/>
      <c r="F421" s="38" t="s">
        <v>9</v>
      </c>
      <c r="G421" s="38"/>
      <c r="H421" s="38"/>
      <c r="I421" s="38" t="s">
        <v>9</v>
      </c>
      <c r="J421" s="38"/>
      <c r="K421" s="14" t="s">
        <v>18</v>
      </c>
      <c r="L421" s="14" t="s">
        <v>27</v>
      </c>
      <c r="M421" s="20" t="s">
        <v>910</v>
      </c>
      <c r="N421" s="14" t="s">
        <v>911</v>
      </c>
      <c r="O421" s="43" t="s">
        <v>651</v>
      </c>
      <c r="R421" s="38" t="s">
        <v>103</v>
      </c>
      <c r="S421" s="38"/>
      <c r="T421" s="38"/>
      <c r="W421" s="15" t="str">
        <f>IF(IFERROR(VLOOKUP($M421,COMPARE!$H$2:$H$847,1,0),"-")="-","","GS")</f>
        <v/>
      </c>
      <c r="Z421" s="59" t="str">
        <f>IF(OR($M421="",NOT($O421="{array}")),"",IFERROR(MATCH(PARAMETERS!$M421,DEFAULT!$B$5:$CX$5,0),""))</f>
        <v/>
      </c>
      <c r="AA421" s="56" t="str">
        <f t="shared" si="29"/>
        <v/>
      </c>
      <c r="AB421" s="63" t="str">
        <f>IF(AND(OR($A421="G",$A421="P"),NOT($O421="{array}")),IF(VLOOKUP($K421,base!$B$2:$D$20,3,0)="S",IF(OR($O421="",ISTEXT($O421)),"","STRING!"),IF(VLOOKUP($K421,base!$B$2:$D$20,3,0)="","",IF(ISTEXT($O421),"NUMERIC!",""))),"")</f>
        <v/>
      </c>
      <c r="AC421" s="17" t="str">
        <f>IF($AA421="","",IF($B421="I",VLOOKUP($AA421,#REF!,53,0),INDEX(VALUES!$B$1:$BT$1,1,$AA421)))</f>
        <v/>
      </c>
    </row>
    <row r="422" spans="1:29" hidden="1" outlineLevel="1" x14ac:dyDescent="0.3">
      <c r="A422" s="22" t="s">
        <v>84</v>
      </c>
      <c r="B422" s="41" t="str">
        <f t="shared" si="32"/>
        <v/>
      </c>
      <c r="C422" s="42">
        <f t="shared" si="33"/>
        <v>421</v>
      </c>
      <c r="D422" s="38"/>
      <c r="E422" s="38"/>
      <c r="F422" s="38" t="s">
        <v>9</v>
      </c>
      <c r="G422" s="38" t="s">
        <v>9</v>
      </c>
      <c r="H422" s="38"/>
      <c r="I422" s="38" t="s">
        <v>9</v>
      </c>
      <c r="J422" s="38"/>
      <c r="K422" s="14" t="s">
        <v>44</v>
      </c>
      <c r="L422" s="14" t="s">
        <v>27</v>
      </c>
      <c r="M422" s="20" t="s">
        <v>912</v>
      </c>
      <c r="N422" s="14" t="s">
        <v>911</v>
      </c>
      <c r="O422" s="43">
        <v>1</v>
      </c>
      <c r="R422" s="38" t="s">
        <v>103</v>
      </c>
      <c r="S422" s="38"/>
      <c r="T422" s="38"/>
      <c r="W422" s="15" t="str">
        <f>IF(IFERROR(VLOOKUP($M422,COMPARE!$H$2:$H$847,1,0),"-")="-","","GS")</f>
        <v/>
      </c>
      <c r="Z422" s="59" t="str">
        <f>IF(OR($M422="",NOT($O422="{array}")),"",IFERROR(MATCH(PARAMETERS!$M422,DEFAULT!$B$5:$CX$5,0),""))</f>
        <v/>
      </c>
      <c r="AA422" s="56" t="str">
        <f t="shared" si="29"/>
        <v/>
      </c>
      <c r="AB422" s="63" t="str">
        <f>IF(AND(OR($A422="G",$A422="P"),NOT($O422="{array}")),IF(VLOOKUP($K422,base!$B$2:$D$20,3,0)="S",IF(OR($O422="",ISTEXT($O422)),"","STRING!"),IF(VLOOKUP($K422,base!$B$2:$D$20,3,0)="","",IF(ISTEXT($O422),"NUMERIC!",""))),"")</f>
        <v/>
      </c>
      <c r="AC422" s="17" t="str">
        <f>IF($AA422="","",IF($B422="I",VLOOKUP($AA422,#REF!,53,0),INDEX(VALUES!$B$1:$BT$1,1,$AA422)))</f>
        <v/>
      </c>
    </row>
    <row r="423" spans="1:29" collapsed="1" x14ac:dyDescent="0.3">
      <c r="A423" s="22" t="s">
        <v>84</v>
      </c>
      <c r="B423" s="41" t="str">
        <f t="shared" si="32"/>
        <v/>
      </c>
      <c r="C423" s="42">
        <f t="shared" si="33"/>
        <v>422</v>
      </c>
      <c r="D423" s="38"/>
      <c r="E423" s="38"/>
      <c r="F423" s="38" t="s">
        <v>9</v>
      </c>
      <c r="G423" s="38"/>
      <c r="H423" s="38"/>
      <c r="I423" s="38"/>
      <c r="J423" s="38"/>
      <c r="K423" s="14" t="s">
        <v>57</v>
      </c>
      <c r="L423" s="14" t="s">
        <v>38</v>
      </c>
      <c r="M423" s="48" t="s">
        <v>913</v>
      </c>
      <c r="N423" s="41" t="s">
        <v>914</v>
      </c>
      <c r="R423" s="38" t="s">
        <v>103</v>
      </c>
      <c r="S423" s="38"/>
      <c r="T423" s="38"/>
      <c r="W423" s="15" t="str">
        <f>IF(IFERROR(VLOOKUP($M423,COMPARE!$H$2:$H$847,1,0),"-")="-","","GS")</f>
        <v/>
      </c>
      <c r="Z423" s="59" t="str">
        <f>IF(OR($M423="",NOT($O423="{array}")),"",IFERROR(MATCH(PARAMETERS!$M423,DEFAULT!$B$5:$CX$5,0),""))</f>
        <v/>
      </c>
      <c r="AA423" s="56" t="str">
        <f t="shared" si="29"/>
        <v/>
      </c>
      <c r="AB423" s="63" t="str">
        <f>IF(AND(OR($A423="G",$A423="P"),NOT($O423="{array}")),IF(VLOOKUP($K423,base!$B$2:$D$20,3,0)="S",IF(OR($O423="",ISTEXT($O423)),"","STRING!"),IF(VLOOKUP($K423,base!$B$2:$D$20,3,0)="","",IF(ISTEXT($O423),"NUMERIC!",""))),"")</f>
        <v/>
      </c>
      <c r="AC423" s="17" t="str">
        <f>IF($AA423="","",IF($B423="I",VLOOKUP($AA423,#REF!,53,0),INDEX(VALUES!$B$1:$BT$1,1,$AA423)))</f>
        <v/>
      </c>
    </row>
    <row r="424" spans="1:29" hidden="1" outlineLevel="1" x14ac:dyDescent="0.3">
      <c r="A424" s="22" t="s">
        <v>84</v>
      </c>
      <c r="B424" s="41" t="str">
        <f t="shared" si="32"/>
        <v/>
      </c>
      <c r="C424" s="42">
        <f t="shared" si="33"/>
        <v>423</v>
      </c>
      <c r="D424" s="38"/>
      <c r="E424" s="38"/>
      <c r="F424" s="38" t="s">
        <v>9</v>
      </c>
      <c r="G424" s="38"/>
      <c r="H424" s="38"/>
      <c r="I424" s="38" t="s">
        <v>9</v>
      </c>
      <c r="J424" s="38"/>
      <c r="K424" s="14" t="s">
        <v>44</v>
      </c>
      <c r="L424" s="14" t="s">
        <v>27</v>
      </c>
      <c r="M424" s="20" t="s">
        <v>915</v>
      </c>
      <c r="N424" s="14" t="s">
        <v>916</v>
      </c>
      <c r="O424" s="43">
        <v>1</v>
      </c>
      <c r="R424" s="38" t="s">
        <v>103</v>
      </c>
      <c r="S424" s="38"/>
      <c r="T424" s="38"/>
      <c r="W424" s="15" t="str">
        <f>IF(IFERROR(VLOOKUP($M424,COMPARE!$H$2:$H$847,1,0),"-")="-","","GS")</f>
        <v/>
      </c>
      <c r="Z424" s="59" t="str">
        <f>IF(OR($M424="",NOT($O424="{array}")),"",IFERROR(MATCH(PARAMETERS!$M424,DEFAULT!$B$5:$CX$5,0),""))</f>
        <v/>
      </c>
      <c r="AA424" s="56" t="str">
        <f t="shared" si="29"/>
        <v/>
      </c>
      <c r="AB424" s="63" t="str">
        <f>IF(AND(OR($A424="G",$A424="P"),NOT($O424="{array}")),IF(VLOOKUP($K424,base!$B$2:$D$20,3,0)="S",IF(OR($O424="",ISTEXT($O424)),"","STRING!"),IF(VLOOKUP($K424,base!$B$2:$D$20,3,0)="","",IF(ISTEXT($O424),"NUMERIC!",""))),"")</f>
        <v/>
      </c>
      <c r="AC424" s="17" t="str">
        <f>IF($AA424="","",IF($B424="I",VLOOKUP($AA424,#REF!,53,0),INDEX(VALUES!$B$1:$BT$1,1,$AA424)))</f>
        <v/>
      </c>
    </row>
    <row r="425" spans="1:29" hidden="1" outlineLevel="1" x14ac:dyDescent="0.3">
      <c r="A425" s="22" t="s">
        <v>84</v>
      </c>
      <c r="B425" s="41" t="str">
        <f t="shared" si="32"/>
        <v/>
      </c>
      <c r="C425" s="42">
        <f t="shared" si="33"/>
        <v>424</v>
      </c>
      <c r="D425" s="38"/>
      <c r="E425" s="38"/>
      <c r="F425" s="38" t="s">
        <v>9</v>
      </c>
      <c r="G425" s="38"/>
      <c r="H425" s="38"/>
      <c r="I425" s="38" t="s">
        <v>9</v>
      </c>
      <c r="J425" s="38"/>
      <c r="K425" s="14" t="s">
        <v>44</v>
      </c>
      <c r="L425" s="14" t="s">
        <v>27</v>
      </c>
      <c r="M425" s="20" t="s">
        <v>917</v>
      </c>
      <c r="N425" s="14" t="s">
        <v>918</v>
      </c>
      <c r="O425" s="43">
        <v>2</v>
      </c>
      <c r="R425" s="38" t="s">
        <v>103</v>
      </c>
      <c r="S425" s="38"/>
      <c r="T425" s="38"/>
      <c r="W425" s="15" t="str">
        <f>IF(IFERROR(VLOOKUP($M425,COMPARE!$H$2:$H$847,1,0),"-")="-","","GS")</f>
        <v/>
      </c>
      <c r="Z425" s="59" t="str">
        <f>IF(OR($M425="",NOT($O425="{array}")),"",IFERROR(MATCH(PARAMETERS!$M425,DEFAULT!$B$5:$CX$5,0),""))</f>
        <v/>
      </c>
      <c r="AA425" s="56" t="str">
        <f t="shared" si="29"/>
        <v/>
      </c>
      <c r="AB425" s="63" t="str">
        <f>IF(AND(OR($A425="G",$A425="P"),NOT($O425="{array}")),IF(VLOOKUP($K425,base!$B$2:$D$20,3,0)="S",IF(OR($O425="",ISTEXT($O425)),"","STRING!"),IF(VLOOKUP($K425,base!$B$2:$D$20,3,0)="","",IF(ISTEXT($O425),"NUMERIC!",""))),"")</f>
        <v/>
      </c>
      <c r="AC425" s="17" t="str">
        <f>IF($AA425="","",IF($B425="I",VLOOKUP($AA425,#REF!,53,0),INDEX(VALUES!$B$1:$BT$1,1,$AA425)))</f>
        <v/>
      </c>
    </row>
    <row r="426" spans="1:29" hidden="1" outlineLevel="1" x14ac:dyDescent="0.3">
      <c r="A426" s="22" t="s">
        <v>84</v>
      </c>
      <c r="B426" s="41" t="str">
        <f t="shared" si="32"/>
        <v/>
      </c>
      <c r="C426" s="42">
        <f t="shared" si="33"/>
        <v>425</v>
      </c>
      <c r="D426" s="38"/>
      <c r="E426" s="38"/>
      <c r="F426" s="38" t="s">
        <v>9</v>
      </c>
      <c r="G426" s="38"/>
      <c r="H426" s="38"/>
      <c r="I426" s="38" t="s">
        <v>9</v>
      </c>
      <c r="J426" s="38"/>
      <c r="K426" s="14" t="s">
        <v>44</v>
      </c>
      <c r="L426" s="14" t="s">
        <v>27</v>
      </c>
      <c r="M426" s="20" t="s">
        <v>919</v>
      </c>
      <c r="N426" s="14" t="s">
        <v>920</v>
      </c>
      <c r="O426" s="43">
        <v>1</v>
      </c>
      <c r="R426" s="38" t="s">
        <v>103</v>
      </c>
      <c r="S426" s="38"/>
      <c r="T426" s="38"/>
      <c r="W426" s="15" t="str">
        <f>IF(IFERROR(VLOOKUP($M426,COMPARE!$H$2:$H$847,1,0),"-")="-","","GS")</f>
        <v/>
      </c>
      <c r="Z426" s="59" t="str">
        <f>IF(OR($M426="",NOT($O426="{array}")),"",IFERROR(MATCH(PARAMETERS!$M426,DEFAULT!$B$5:$CX$5,0),""))</f>
        <v/>
      </c>
      <c r="AA426" s="56" t="str">
        <f t="shared" si="29"/>
        <v/>
      </c>
      <c r="AB426" s="63" t="str">
        <f>IF(AND(OR($A426="G",$A426="P"),NOT($O426="{array}")),IF(VLOOKUP($K426,base!$B$2:$D$20,3,0)="S",IF(OR($O426="",ISTEXT($O426)),"","STRING!"),IF(VLOOKUP($K426,base!$B$2:$D$20,3,0)="","",IF(ISTEXT($O426),"NUMERIC!",""))),"")</f>
        <v/>
      </c>
      <c r="AC426" s="17" t="str">
        <f>IF($AA426="","",IF($B426="I",VLOOKUP($AA426,#REF!,53,0),INDEX(VALUES!$B$1:$BT$1,1,$AA426)))</f>
        <v/>
      </c>
    </row>
    <row r="427" spans="1:29" hidden="1" outlineLevel="1" x14ac:dyDescent="0.3">
      <c r="A427" s="22" t="s">
        <v>84</v>
      </c>
      <c r="B427" s="41" t="str">
        <f t="shared" si="32"/>
        <v/>
      </c>
      <c r="C427" s="42">
        <f t="shared" si="33"/>
        <v>426</v>
      </c>
      <c r="D427" s="38"/>
      <c r="E427" s="38"/>
      <c r="F427" s="38" t="s">
        <v>9</v>
      </c>
      <c r="G427" s="38"/>
      <c r="H427" s="38"/>
      <c r="I427" s="38" t="s">
        <v>9</v>
      </c>
      <c r="J427" s="38"/>
      <c r="K427" s="14" t="s">
        <v>44</v>
      </c>
      <c r="L427" s="14" t="s">
        <v>27</v>
      </c>
      <c r="M427" s="20" t="s">
        <v>921</v>
      </c>
      <c r="N427" s="14" t="s">
        <v>922</v>
      </c>
      <c r="O427" s="43">
        <v>1</v>
      </c>
      <c r="R427" s="38" t="s">
        <v>103</v>
      </c>
      <c r="S427" s="38"/>
      <c r="T427" s="38"/>
      <c r="W427" s="15" t="str">
        <f>IF(IFERROR(VLOOKUP($M427,COMPARE!$H$2:$H$847,1,0),"-")="-","","GS")</f>
        <v/>
      </c>
      <c r="Z427" s="59" t="str">
        <f>IF(OR($M427="",NOT($O427="{array}")),"",IFERROR(MATCH(PARAMETERS!$M427,DEFAULT!$B$5:$CX$5,0),""))</f>
        <v/>
      </c>
      <c r="AA427" s="56" t="str">
        <f t="shared" si="29"/>
        <v/>
      </c>
      <c r="AB427" s="63" t="str">
        <f>IF(AND(OR($A427="G",$A427="P"),NOT($O427="{array}")),IF(VLOOKUP($K427,base!$B$2:$D$20,3,0)="S",IF(OR($O427="",ISTEXT($O427)),"","STRING!"),IF(VLOOKUP($K427,base!$B$2:$D$20,3,0)="","",IF(ISTEXT($O427),"NUMERIC!",""))),"")</f>
        <v/>
      </c>
      <c r="AC427" s="17" t="str">
        <f>IF($AA427="","",IF($B427="I",VLOOKUP($AA427,#REF!,53,0),INDEX(VALUES!$B$1:$BT$1,1,$AA427)))</f>
        <v/>
      </c>
    </row>
    <row r="428" spans="1:29" hidden="1" outlineLevel="1" x14ac:dyDescent="0.3">
      <c r="A428" s="22" t="s">
        <v>84</v>
      </c>
      <c r="B428" s="41" t="str">
        <f t="shared" si="32"/>
        <v/>
      </c>
      <c r="C428" s="42">
        <f t="shared" si="33"/>
        <v>427</v>
      </c>
      <c r="D428" s="38"/>
      <c r="E428" s="38"/>
      <c r="F428" s="38" t="s">
        <v>9</v>
      </c>
      <c r="G428" s="38"/>
      <c r="H428" s="38" t="s">
        <v>9</v>
      </c>
      <c r="I428" s="38"/>
      <c r="J428" s="38"/>
      <c r="K428" s="14" t="s">
        <v>47</v>
      </c>
      <c r="L428" s="14" t="s">
        <v>27</v>
      </c>
      <c r="M428" s="20" t="s">
        <v>923</v>
      </c>
      <c r="N428" s="14" t="s">
        <v>924</v>
      </c>
      <c r="O428" s="43">
        <v>0</v>
      </c>
      <c r="R428" s="38" t="s">
        <v>103</v>
      </c>
      <c r="S428" s="38"/>
      <c r="T428" s="38"/>
      <c r="W428" s="15" t="str">
        <f>IF(IFERROR(VLOOKUP($M428,COMPARE!$H$2:$H$847,1,0),"-")="-","","GS")</f>
        <v/>
      </c>
      <c r="Z428" s="59" t="str">
        <f>IF(OR($M428="",NOT($O428="{array}")),"",IFERROR(MATCH(PARAMETERS!$M428,DEFAULT!$B$5:$CX$5,0),""))</f>
        <v/>
      </c>
      <c r="AA428" s="56" t="str">
        <f t="shared" si="29"/>
        <v/>
      </c>
      <c r="AB428" s="63" t="str">
        <f>IF(AND(OR($A428="G",$A428="P"),NOT($O428="{array}")),IF(VLOOKUP($K428,base!$B$2:$D$20,3,0)="S",IF(OR($O428="",ISTEXT($O428)),"","STRING!"),IF(VLOOKUP($K428,base!$B$2:$D$20,3,0)="","",IF(ISTEXT($O428),"NUMERIC!",""))),"")</f>
        <v/>
      </c>
      <c r="AC428" s="17" t="str">
        <f>IF($AA428="","",IF($B428="I",VLOOKUP($AA428,#REF!,53,0),INDEX(VALUES!$B$1:$BT$1,1,$AA428)))</f>
        <v/>
      </c>
    </row>
    <row r="429" spans="1:29" hidden="1" outlineLevel="1" x14ac:dyDescent="0.3">
      <c r="A429" s="22" t="s">
        <v>84</v>
      </c>
      <c r="B429" s="41" t="str">
        <f t="shared" si="32"/>
        <v/>
      </c>
      <c r="C429" s="42">
        <f t="shared" si="33"/>
        <v>428</v>
      </c>
      <c r="D429" s="38"/>
      <c r="E429" s="38"/>
      <c r="F429" s="38" t="s">
        <v>9</v>
      </c>
      <c r="G429" s="38"/>
      <c r="H429" s="38"/>
      <c r="I429" s="38" t="s">
        <v>9</v>
      </c>
      <c r="J429" s="38"/>
      <c r="K429" s="14" t="s">
        <v>52</v>
      </c>
      <c r="L429" s="14" t="s">
        <v>27</v>
      </c>
      <c r="M429" s="20" t="s">
        <v>925</v>
      </c>
      <c r="N429" s="14" t="s">
        <v>732</v>
      </c>
      <c r="O429" s="43">
        <v>65</v>
      </c>
      <c r="R429" s="38" t="s">
        <v>103</v>
      </c>
      <c r="S429" s="38"/>
      <c r="T429" s="38"/>
      <c r="W429" s="15" t="str">
        <f>IF(IFERROR(VLOOKUP($M429,COMPARE!$H$2:$H$847,1,0),"-")="-","","GS")</f>
        <v/>
      </c>
      <c r="Z429" s="59" t="str">
        <f>IF(OR($M429="",NOT($O429="{array}")),"",IFERROR(MATCH(PARAMETERS!$M429,DEFAULT!$B$5:$CX$5,0),""))</f>
        <v/>
      </c>
      <c r="AA429" s="56" t="str">
        <f t="shared" si="29"/>
        <v/>
      </c>
      <c r="AB429" s="63" t="str">
        <f>IF(AND(OR($A429="G",$A429="P"),NOT($O429="{array}")),IF(VLOOKUP($K429,base!$B$2:$D$20,3,0)="S",IF(OR($O429="",ISTEXT($O429)),"","STRING!"),IF(VLOOKUP($K429,base!$B$2:$D$20,3,0)="","",IF(ISTEXT($O429),"NUMERIC!",""))),"")</f>
        <v/>
      </c>
      <c r="AC429" s="17" t="str">
        <f>IF($AA429="","",IF($B429="I",VLOOKUP($AA429,#REF!,53,0),INDEX(VALUES!$B$1:$BT$1,1,$AA429)))</f>
        <v/>
      </c>
    </row>
    <row r="430" spans="1:29" hidden="1" outlineLevel="1" x14ac:dyDescent="0.3">
      <c r="A430" s="22" t="s">
        <v>84</v>
      </c>
      <c r="B430" s="41" t="str">
        <f t="shared" si="32"/>
        <v/>
      </c>
      <c r="C430" s="42">
        <f t="shared" si="33"/>
        <v>429</v>
      </c>
      <c r="D430" s="38"/>
      <c r="E430" s="38"/>
      <c r="F430" s="38" t="s">
        <v>9</v>
      </c>
      <c r="G430" s="38"/>
      <c r="H430" s="38"/>
      <c r="I430" s="38" t="s">
        <v>9</v>
      </c>
      <c r="J430" s="38"/>
      <c r="K430" s="14" t="s">
        <v>53</v>
      </c>
      <c r="L430" s="14" t="s">
        <v>27</v>
      </c>
      <c r="M430" s="20" t="s">
        <v>926</v>
      </c>
      <c r="N430" s="14" t="s">
        <v>733</v>
      </c>
      <c r="O430" s="43">
        <v>1</v>
      </c>
      <c r="R430" s="38" t="s">
        <v>103</v>
      </c>
      <c r="S430" s="38"/>
      <c r="T430" s="38"/>
      <c r="W430" s="15" t="str">
        <f>IF(IFERROR(VLOOKUP($M430,COMPARE!$H$2:$H$847,1,0),"-")="-","","GS")</f>
        <v/>
      </c>
      <c r="Z430" s="59" t="str">
        <f>IF(OR($M430="",NOT($O430="{array}")),"",IFERROR(MATCH(PARAMETERS!$M430,DEFAULT!$B$5:$CX$5,0),""))</f>
        <v/>
      </c>
      <c r="AA430" s="56" t="str">
        <f t="shared" si="29"/>
        <v/>
      </c>
      <c r="AB430" s="63" t="str">
        <f>IF(AND(OR($A430="G",$A430="P"),NOT($O430="{array}")),IF(VLOOKUP($K430,base!$B$2:$D$20,3,0)="S",IF(OR($O430="",ISTEXT($O430)),"","STRING!"),IF(VLOOKUP($K430,base!$B$2:$D$20,3,0)="","",IF(ISTEXT($O430),"NUMERIC!",""))),"")</f>
        <v/>
      </c>
      <c r="AC430" s="17" t="str">
        <f>IF($AA430="","",IF($B430="I",VLOOKUP($AA430,#REF!,53,0),INDEX(VALUES!$B$1:$BT$1,1,$AA430)))</f>
        <v/>
      </c>
    </row>
    <row r="431" spans="1:29" hidden="1" outlineLevel="1" x14ac:dyDescent="0.3">
      <c r="A431" s="22" t="s">
        <v>84</v>
      </c>
      <c r="B431" s="41" t="str">
        <f t="shared" si="32"/>
        <v/>
      </c>
      <c r="C431" s="42">
        <f t="shared" si="33"/>
        <v>430</v>
      </c>
      <c r="D431" s="38"/>
      <c r="E431" s="38"/>
      <c r="F431" s="38" t="s">
        <v>9</v>
      </c>
      <c r="G431" s="38"/>
      <c r="H431" s="38"/>
      <c r="I431" s="38" t="s">
        <v>9</v>
      </c>
      <c r="J431" s="38"/>
      <c r="K431" s="14" t="s">
        <v>53</v>
      </c>
      <c r="L431" s="14" t="s">
        <v>27</v>
      </c>
      <c r="M431" s="20" t="s">
        <v>927</v>
      </c>
      <c r="N431" s="14" t="s">
        <v>731</v>
      </c>
      <c r="O431" s="43">
        <v>91</v>
      </c>
      <c r="R431" s="38" t="s">
        <v>103</v>
      </c>
      <c r="S431" s="38"/>
      <c r="T431" s="38"/>
      <c r="W431" s="15" t="str">
        <f>IF(IFERROR(VLOOKUP($M431,COMPARE!$H$2:$H$847,1,0),"-")="-","","GS")</f>
        <v/>
      </c>
      <c r="Z431" s="59" t="str">
        <f>IF(OR($M431="",NOT($O431="{array}")),"",IFERROR(MATCH(PARAMETERS!$M431,DEFAULT!$B$5:$CX$5,0),""))</f>
        <v/>
      </c>
      <c r="AA431" s="56" t="str">
        <f t="shared" si="29"/>
        <v/>
      </c>
      <c r="AB431" s="63" t="str">
        <f>IF(AND(OR($A431="G",$A431="P"),NOT($O431="{array}")),IF(VLOOKUP($K431,base!$B$2:$D$20,3,0)="S",IF(OR($O431="",ISTEXT($O431)),"","STRING!"),IF(VLOOKUP($K431,base!$B$2:$D$20,3,0)="","",IF(ISTEXT($O431),"NUMERIC!",""))),"")</f>
        <v/>
      </c>
      <c r="AC431" s="17" t="str">
        <f>IF($AA431="","",IF($B431="I",VLOOKUP($AA431,#REF!,53,0),INDEX(VALUES!$B$1:$BT$1,1,$AA431)))</f>
        <v/>
      </c>
    </row>
    <row r="432" spans="1:29" hidden="1" outlineLevel="1" x14ac:dyDescent="0.3">
      <c r="A432" s="22" t="s">
        <v>84</v>
      </c>
      <c r="B432" s="41" t="str">
        <f t="shared" si="32"/>
        <v/>
      </c>
      <c r="C432" s="42">
        <f t="shared" si="33"/>
        <v>431</v>
      </c>
      <c r="D432" s="38"/>
      <c r="E432" s="38"/>
      <c r="F432" s="38" t="s">
        <v>9</v>
      </c>
      <c r="G432" s="38"/>
      <c r="H432" s="38" t="s">
        <v>9</v>
      </c>
      <c r="I432" s="38"/>
      <c r="J432" s="38"/>
      <c r="K432" s="14" t="s">
        <v>47</v>
      </c>
      <c r="L432" s="14" t="s">
        <v>27</v>
      </c>
      <c r="M432" s="20" t="s">
        <v>928</v>
      </c>
      <c r="N432" s="14" t="s">
        <v>929</v>
      </c>
      <c r="O432" s="43">
        <v>0</v>
      </c>
      <c r="R432" s="38" t="s">
        <v>103</v>
      </c>
      <c r="S432" s="38"/>
      <c r="T432" s="38"/>
      <c r="W432" s="15" t="str">
        <f>IF(IFERROR(VLOOKUP($M432,COMPARE!$H$2:$H$847,1,0),"-")="-","","GS")</f>
        <v/>
      </c>
      <c r="Z432" s="59" t="str">
        <f>IF(OR($M432="",NOT($O432="{array}")),"",IFERROR(MATCH(PARAMETERS!$M432,DEFAULT!$B$5:$CX$5,0),""))</f>
        <v/>
      </c>
      <c r="AA432" s="56" t="str">
        <f t="shared" si="29"/>
        <v/>
      </c>
      <c r="AB432" s="63" t="str">
        <f>IF(AND(OR($A432="G",$A432="P"),NOT($O432="{array}")),IF(VLOOKUP($K432,base!$B$2:$D$20,3,0)="S",IF(OR($O432="",ISTEXT($O432)),"","STRING!"),IF(VLOOKUP($K432,base!$B$2:$D$20,3,0)="","",IF(ISTEXT($O432),"NUMERIC!",""))),"")</f>
        <v/>
      </c>
      <c r="AC432" s="17" t="str">
        <f>IF($AA432="","",IF($B432="I",VLOOKUP($AA432,#REF!,53,0),INDEX(VALUES!$B$1:$BT$1,1,$AA432)))</f>
        <v/>
      </c>
    </row>
    <row r="433" spans="1:29" hidden="1" outlineLevel="1" x14ac:dyDescent="0.3">
      <c r="A433" s="22" t="s">
        <v>84</v>
      </c>
      <c r="B433" s="41" t="str">
        <f t="shared" si="32"/>
        <v/>
      </c>
      <c r="C433" s="42">
        <f t="shared" si="33"/>
        <v>432</v>
      </c>
      <c r="D433" s="38"/>
      <c r="E433" s="38"/>
      <c r="F433" s="38" t="s">
        <v>9</v>
      </c>
      <c r="G433" s="38"/>
      <c r="H433" s="38"/>
      <c r="I433" s="38" t="s">
        <v>9</v>
      </c>
      <c r="J433" s="38"/>
      <c r="K433" s="14" t="s">
        <v>18</v>
      </c>
      <c r="L433" s="14" t="s">
        <v>27</v>
      </c>
      <c r="M433" s="20" t="s">
        <v>930</v>
      </c>
      <c r="N433" s="14" t="s">
        <v>931</v>
      </c>
      <c r="O433" s="43" t="s">
        <v>932</v>
      </c>
      <c r="R433" s="38" t="s">
        <v>103</v>
      </c>
      <c r="S433" s="38"/>
      <c r="T433" s="38"/>
      <c r="W433" s="15" t="str">
        <f>IF(IFERROR(VLOOKUP($M433,COMPARE!$H$2:$H$847,1,0),"-")="-","","GS")</f>
        <v/>
      </c>
      <c r="Z433" s="59" t="str">
        <f>IF(OR($M433="",NOT($O433="{array}")),"",IFERROR(MATCH(PARAMETERS!$M433,DEFAULT!$B$5:$CX$5,0),""))</f>
        <v/>
      </c>
      <c r="AA433" s="56" t="str">
        <f t="shared" si="29"/>
        <v/>
      </c>
      <c r="AB433" s="63" t="str">
        <f>IF(AND(OR($A433="G",$A433="P"),NOT($O433="{array}")),IF(VLOOKUP($K433,base!$B$2:$D$20,3,0)="S",IF(OR($O433="",ISTEXT($O433)),"","STRING!"),IF(VLOOKUP($K433,base!$B$2:$D$20,3,0)="","",IF(ISTEXT($O433),"NUMERIC!",""))),"")</f>
        <v/>
      </c>
      <c r="AC433" s="17" t="str">
        <f>IF($AA433="","",IF($B433="I",VLOOKUP($AA433,#REF!,53,0),INDEX(VALUES!$B$1:$BT$1,1,$AA433)))</f>
        <v/>
      </c>
    </row>
    <row r="434" spans="1:29" hidden="1" outlineLevel="1" x14ac:dyDescent="0.3">
      <c r="A434" s="22" t="s">
        <v>84</v>
      </c>
      <c r="B434" s="41" t="str">
        <f t="shared" si="32"/>
        <v/>
      </c>
      <c r="C434" s="42">
        <f t="shared" si="33"/>
        <v>433</v>
      </c>
      <c r="D434" s="38"/>
      <c r="E434" s="38"/>
      <c r="F434" s="38" t="s">
        <v>9</v>
      </c>
      <c r="G434" s="38" t="s">
        <v>9</v>
      </c>
      <c r="H434" s="38"/>
      <c r="I434" s="38" t="s">
        <v>9</v>
      </c>
      <c r="J434" s="38"/>
      <c r="K434" s="14" t="s">
        <v>44</v>
      </c>
      <c r="L434" s="14" t="s">
        <v>27</v>
      </c>
      <c r="M434" s="20" t="s">
        <v>933</v>
      </c>
      <c r="N434" s="14" t="s">
        <v>931</v>
      </c>
      <c r="O434" s="43">
        <v>3</v>
      </c>
      <c r="R434" s="38" t="s">
        <v>103</v>
      </c>
      <c r="S434" s="38"/>
      <c r="T434" s="38"/>
      <c r="W434" s="15" t="str">
        <f>IF(IFERROR(VLOOKUP($M434,COMPARE!$H$2:$H$847,1,0),"-")="-","","GS")</f>
        <v/>
      </c>
      <c r="Z434" s="59" t="str">
        <f>IF(OR($M434="",NOT($O434="{array}")),"",IFERROR(MATCH(PARAMETERS!$M434,DEFAULT!$B$5:$CX$5,0),""))</f>
        <v/>
      </c>
      <c r="AA434" s="56" t="str">
        <f t="shared" si="29"/>
        <v/>
      </c>
      <c r="AB434" s="63" t="str">
        <f>IF(AND(OR($A434="G",$A434="P"),NOT($O434="{array}")),IF(VLOOKUP($K434,base!$B$2:$D$20,3,0)="S",IF(OR($O434="",ISTEXT($O434)),"","STRING!"),IF(VLOOKUP($K434,base!$B$2:$D$20,3,0)="","",IF(ISTEXT($O434),"NUMERIC!",""))),"")</f>
        <v/>
      </c>
      <c r="AC434" s="17" t="str">
        <f>IF($AA434="","",IF($B434="I",VLOOKUP($AA434,#REF!,53,0),INDEX(VALUES!$B$1:$BT$1,1,$AA434)))</f>
        <v/>
      </c>
    </row>
    <row r="435" spans="1:29" hidden="1" outlineLevel="1" x14ac:dyDescent="0.3">
      <c r="A435" s="22" t="s">
        <v>84</v>
      </c>
      <c r="B435" s="41" t="str">
        <f t="shared" si="32"/>
        <v/>
      </c>
      <c r="C435" s="42">
        <f t="shared" si="33"/>
        <v>434</v>
      </c>
      <c r="D435" s="38"/>
      <c r="E435" s="38"/>
      <c r="F435" s="38" t="s">
        <v>9</v>
      </c>
      <c r="G435" s="38"/>
      <c r="H435" s="38"/>
      <c r="I435" s="38" t="s">
        <v>9</v>
      </c>
      <c r="J435" s="38"/>
      <c r="K435" s="14" t="s">
        <v>44</v>
      </c>
      <c r="L435" s="14" t="s">
        <v>27</v>
      </c>
      <c r="M435" s="20" t="s">
        <v>934</v>
      </c>
      <c r="N435" s="14" t="s">
        <v>935</v>
      </c>
      <c r="O435" s="43">
        <v>1</v>
      </c>
      <c r="R435" s="38" t="s">
        <v>103</v>
      </c>
      <c r="S435" s="38"/>
      <c r="T435" s="38"/>
      <c r="W435" s="15" t="str">
        <f>IF(IFERROR(VLOOKUP($M435,COMPARE!$H$2:$H$847,1,0),"-")="-","","GS")</f>
        <v/>
      </c>
      <c r="Z435" s="59" t="str">
        <f>IF(OR($M435="",NOT($O435="{array}")),"",IFERROR(MATCH(PARAMETERS!$M435,DEFAULT!$B$5:$CX$5,0),""))</f>
        <v/>
      </c>
      <c r="AA435" s="56" t="str">
        <f t="shared" si="29"/>
        <v/>
      </c>
      <c r="AB435" s="63" t="str">
        <f>IF(AND(OR($A435="G",$A435="P"),NOT($O435="{array}")),IF(VLOOKUP($K435,base!$B$2:$D$20,3,0)="S",IF(OR($O435="",ISTEXT($O435)),"","STRING!"),IF(VLOOKUP($K435,base!$B$2:$D$20,3,0)="","",IF(ISTEXT($O435),"NUMERIC!",""))),"")</f>
        <v/>
      </c>
      <c r="AC435" s="17" t="str">
        <f>IF($AA435="","",IF($B435="I",VLOOKUP($AA435,#REF!,53,0),INDEX(VALUES!$B$1:$BT$1,1,$AA435)))</f>
        <v/>
      </c>
    </row>
    <row r="436" spans="1:29" hidden="1" outlineLevel="1" x14ac:dyDescent="0.3">
      <c r="A436" s="22" t="s">
        <v>84</v>
      </c>
      <c r="B436" s="41" t="str">
        <f t="shared" si="32"/>
        <v/>
      </c>
      <c r="C436" s="42">
        <f t="shared" si="33"/>
        <v>435</v>
      </c>
      <c r="D436" s="38"/>
      <c r="E436" s="38"/>
      <c r="F436" s="38" t="s">
        <v>9</v>
      </c>
      <c r="G436" s="38"/>
      <c r="H436" s="38"/>
      <c r="I436" s="38" t="s">
        <v>9</v>
      </c>
      <c r="J436" s="38"/>
      <c r="K436" s="14" t="s">
        <v>18</v>
      </c>
      <c r="L436" s="14" t="s">
        <v>27</v>
      </c>
      <c r="M436" s="20" t="s">
        <v>936</v>
      </c>
      <c r="N436" s="14" t="s">
        <v>937</v>
      </c>
      <c r="O436" s="43" t="s">
        <v>935</v>
      </c>
      <c r="R436" s="38" t="s">
        <v>103</v>
      </c>
      <c r="S436" s="38"/>
      <c r="T436" s="38"/>
      <c r="W436" s="15" t="str">
        <f>IF(IFERROR(VLOOKUP($M436,COMPARE!$H$2:$H$847,1,0),"-")="-","","GS")</f>
        <v/>
      </c>
      <c r="Z436" s="59" t="str">
        <f>IF(OR($M436="",NOT($O436="{array}")),"",IFERROR(MATCH(PARAMETERS!$M436,DEFAULT!$B$5:$CX$5,0),""))</f>
        <v/>
      </c>
      <c r="AA436" s="56" t="str">
        <f t="shared" si="29"/>
        <v/>
      </c>
      <c r="AB436" s="63" t="str">
        <f>IF(AND(OR($A436="G",$A436="P"),NOT($O436="{array}")),IF(VLOOKUP($K436,base!$B$2:$D$20,3,0)="S",IF(OR($O436="",ISTEXT($O436)),"","STRING!"),IF(VLOOKUP($K436,base!$B$2:$D$20,3,0)="","",IF(ISTEXT($O436),"NUMERIC!",""))),"")</f>
        <v/>
      </c>
      <c r="AC436" s="17" t="str">
        <f>IF($AA436="","",IF($B436="I",VLOOKUP($AA436,#REF!,53,0),INDEX(VALUES!$B$1:$BT$1,1,$AA436)))</f>
        <v/>
      </c>
    </row>
    <row r="437" spans="1:29" hidden="1" outlineLevel="1" x14ac:dyDescent="0.3">
      <c r="A437" s="22" t="s">
        <v>84</v>
      </c>
      <c r="B437" s="41" t="str">
        <f t="shared" si="32"/>
        <v/>
      </c>
      <c r="C437" s="42">
        <f t="shared" si="33"/>
        <v>436</v>
      </c>
      <c r="D437" s="38"/>
      <c r="E437" s="38"/>
      <c r="F437" s="38" t="s">
        <v>9</v>
      </c>
      <c r="G437" s="38"/>
      <c r="H437" s="38"/>
      <c r="I437" s="38" t="s">
        <v>9</v>
      </c>
      <c r="J437" s="38"/>
      <c r="K437" s="14" t="s">
        <v>24</v>
      </c>
      <c r="L437" s="14" t="s">
        <v>27</v>
      </c>
      <c r="M437" s="20" t="s">
        <v>938</v>
      </c>
      <c r="N437" s="14" t="s">
        <v>939</v>
      </c>
      <c r="O437" s="43">
        <v>0</v>
      </c>
      <c r="R437" s="38" t="s">
        <v>103</v>
      </c>
      <c r="S437" s="38"/>
      <c r="T437" s="38"/>
      <c r="W437" s="15" t="str">
        <f>IF(IFERROR(VLOOKUP($M437,COMPARE!$H$2:$H$847,1,0),"-")="-","","GS")</f>
        <v/>
      </c>
      <c r="Z437" s="59" t="str">
        <f>IF(OR($M437="",NOT($O437="{array}")),"",IFERROR(MATCH(PARAMETERS!$M437,DEFAULT!$B$5:$CX$5,0),""))</f>
        <v/>
      </c>
      <c r="AA437" s="56" t="str">
        <f t="shared" si="29"/>
        <v/>
      </c>
      <c r="AB437" s="63" t="str">
        <f>IF(AND(OR($A437="G",$A437="P"),NOT($O437="{array}")),IF(VLOOKUP($K437,base!$B$2:$D$20,3,0)="S",IF(OR($O437="",ISTEXT($O437)),"","STRING!"),IF(VLOOKUP($K437,base!$B$2:$D$20,3,0)="","",IF(ISTEXT($O437),"NUMERIC!",""))),"")</f>
        <v/>
      </c>
      <c r="AC437" s="17" t="str">
        <f>IF($AA437="","",IF($B437="I",VLOOKUP($AA437,#REF!,53,0),INDEX(VALUES!$B$1:$BT$1,1,$AA437)))</f>
        <v/>
      </c>
    </row>
    <row r="438" spans="1:29" hidden="1" outlineLevel="1" x14ac:dyDescent="0.3">
      <c r="A438" s="22" t="s">
        <v>84</v>
      </c>
      <c r="B438" s="41" t="str">
        <f t="shared" si="32"/>
        <v/>
      </c>
      <c r="C438" s="42">
        <f t="shared" si="33"/>
        <v>437</v>
      </c>
      <c r="D438" s="38"/>
      <c r="E438" s="38"/>
      <c r="F438" s="38" t="s">
        <v>9</v>
      </c>
      <c r="G438" s="38"/>
      <c r="H438" s="38"/>
      <c r="I438" s="38" t="s">
        <v>9</v>
      </c>
      <c r="J438" s="38"/>
      <c r="K438" s="14" t="s">
        <v>44</v>
      </c>
      <c r="L438" s="14" t="s">
        <v>27</v>
      </c>
      <c r="M438" s="20" t="s">
        <v>940</v>
      </c>
      <c r="N438" s="14" t="s">
        <v>941</v>
      </c>
      <c r="O438" s="43">
        <v>1</v>
      </c>
      <c r="R438" s="38" t="s">
        <v>103</v>
      </c>
      <c r="S438" s="38"/>
      <c r="T438" s="38"/>
      <c r="W438" s="15" t="str">
        <f>IF(IFERROR(VLOOKUP($M438,COMPARE!$H$2:$H$847,1,0),"-")="-","","GS")</f>
        <v/>
      </c>
      <c r="Z438" s="59" t="str">
        <f>IF(OR($M438="",NOT($O438="{array}")),"",IFERROR(MATCH(PARAMETERS!$M438,DEFAULT!$B$5:$CX$5,0),""))</f>
        <v/>
      </c>
      <c r="AA438" s="56" t="str">
        <f t="shared" si="29"/>
        <v/>
      </c>
      <c r="AB438" s="63" t="str">
        <f>IF(AND(OR($A438="G",$A438="P"),NOT($O438="{array}")),IF(VLOOKUP($K438,base!$B$2:$D$20,3,0)="S",IF(OR($O438="",ISTEXT($O438)),"","STRING!"),IF(VLOOKUP($K438,base!$B$2:$D$20,3,0)="","",IF(ISTEXT($O438),"NUMERIC!",""))),"")</f>
        <v/>
      </c>
      <c r="AC438" s="17" t="str">
        <f>IF($AA438="","",IF($B438="I",VLOOKUP($AA438,#REF!,53,0),INDEX(VALUES!$B$1:$BT$1,1,$AA438)))</f>
        <v/>
      </c>
    </row>
    <row r="439" spans="1:29" hidden="1" outlineLevel="1" x14ac:dyDescent="0.3">
      <c r="A439" s="22" t="s">
        <v>84</v>
      </c>
      <c r="B439" s="41" t="str">
        <f t="shared" si="32"/>
        <v/>
      </c>
      <c r="C439" s="42">
        <f t="shared" si="33"/>
        <v>438</v>
      </c>
      <c r="D439" s="38"/>
      <c r="E439" s="38"/>
      <c r="F439" s="38" t="s">
        <v>9</v>
      </c>
      <c r="G439" s="38"/>
      <c r="H439" s="38"/>
      <c r="I439" s="38" t="s">
        <v>9</v>
      </c>
      <c r="J439" s="38"/>
      <c r="K439" s="14" t="s">
        <v>18</v>
      </c>
      <c r="L439" s="14" t="s">
        <v>27</v>
      </c>
      <c r="M439" s="20" t="s">
        <v>942</v>
      </c>
      <c r="N439" s="14" t="s">
        <v>943</v>
      </c>
      <c r="O439" s="43" t="s">
        <v>941</v>
      </c>
      <c r="R439" s="38" t="s">
        <v>103</v>
      </c>
      <c r="S439" s="38"/>
      <c r="T439" s="38"/>
      <c r="W439" s="15" t="str">
        <f>IF(IFERROR(VLOOKUP($M439,COMPARE!$H$2:$H$847,1,0),"-")="-","","GS")</f>
        <v/>
      </c>
      <c r="Z439" s="59" t="str">
        <f>IF(OR($M439="",NOT($O439="{array}")),"",IFERROR(MATCH(PARAMETERS!$M439,DEFAULT!$B$5:$CX$5,0),""))</f>
        <v/>
      </c>
      <c r="AA439" s="56" t="str">
        <f t="shared" si="29"/>
        <v/>
      </c>
      <c r="AB439" s="63" t="str">
        <f>IF(AND(OR($A439="G",$A439="P"),NOT($O439="{array}")),IF(VLOOKUP($K439,base!$B$2:$D$20,3,0)="S",IF(OR($O439="",ISTEXT($O439)),"","STRING!"),IF(VLOOKUP($K439,base!$B$2:$D$20,3,0)="","",IF(ISTEXT($O439),"NUMERIC!",""))),"")</f>
        <v/>
      </c>
      <c r="AC439" s="17" t="str">
        <f>IF($AA439="","",IF($B439="I",VLOOKUP($AA439,#REF!,53,0),INDEX(VALUES!$B$1:$BT$1,1,$AA439)))</f>
        <v/>
      </c>
    </row>
    <row r="440" spans="1:29" hidden="1" outlineLevel="1" x14ac:dyDescent="0.3">
      <c r="A440" s="22" t="s">
        <v>84</v>
      </c>
      <c r="B440" s="41" t="str">
        <f t="shared" si="32"/>
        <v/>
      </c>
      <c r="C440" s="42">
        <f t="shared" si="33"/>
        <v>439</v>
      </c>
      <c r="D440" s="38"/>
      <c r="E440" s="38"/>
      <c r="F440" s="38" t="s">
        <v>9</v>
      </c>
      <c r="G440" s="38"/>
      <c r="H440" s="38"/>
      <c r="I440" s="38" t="s">
        <v>9</v>
      </c>
      <c r="J440" s="38"/>
      <c r="K440" s="14" t="s">
        <v>24</v>
      </c>
      <c r="L440" s="14" t="s">
        <v>27</v>
      </c>
      <c r="M440" s="20" t="s">
        <v>944</v>
      </c>
      <c r="N440" s="14" t="s">
        <v>945</v>
      </c>
      <c r="O440" s="43">
        <v>0</v>
      </c>
      <c r="R440" s="38" t="s">
        <v>103</v>
      </c>
      <c r="S440" s="38"/>
      <c r="T440" s="38"/>
      <c r="W440" s="15" t="str">
        <f>IF(IFERROR(VLOOKUP($M440,COMPARE!$H$2:$H$847,1,0),"-")="-","","GS")</f>
        <v/>
      </c>
      <c r="Z440" s="59" t="str">
        <f>IF(OR($M440="",NOT($O440="{array}")),"",IFERROR(MATCH(PARAMETERS!$M440,DEFAULT!$B$5:$CX$5,0),""))</f>
        <v/>
      </c>
      <c r="AA440" s="56" t="str">
        <f t="shared" si="29"/>
        <v/>
      </c>
      <c r="AB440" s="63" t="str">
        <f>IF(AND(OR($A440="G",$A440="P"),NOT($O440="{array}")),IF(VLOOKUP($K440,base!$B$2:$D$20,3,0)="S",IF(OR($O440="",ISTEXT($O440)),"","STRING!"),IF(VLOOKUP($K440,base!$B$2:$D$20,3,0)="","",IF(ISTEXT($O440),"NUMERIC!",""))),"")</f>
        <v/>
      </c>
      <c r="AC440" s="17" t="str">
        <f>IF($AA440="","",IF($B440="I",VLOOKUP($AA440,#REF!,53,0),INDEX(VALUES!$B$1:$BT$1,1,$AA440)))</f>
        <v/>
      </c>
    </row>
    <row r="441" spans="1:29" hidden="1" outlineLevel="1" x14ac:dyDescent="0.3">
      <c r="A441" s="22" t="s">
        <v>84</v>
      </c>
      <c r="B441" s="41" t="str">
        <f t="shared" si="32"/>
        <v/>
      </c>
      <c r="C441" s="42">
        <f t="shared" si="33"/>
        <v>440</v>
      </c>
      <c r="D441" s="38"/>
      <c r="E441" s="38"/>
      <c r="F441" s="38" t="s">
        <v>9</v>
      </c>
      <c r="G441" s="38"/>
      <c r="H441" s="38"/>
      <c r="I441" s="38" t="s">
        <v>9</v>
      </c>
      <c r="J441" s="38"/>
      <c r="K441" s="14" t="s">
        <v>44</v>
      </c>
      <c r="L441" s="14" t="s">
        <v>27</v>
      </c>
      <c r="M441" s="20" t="s">
        <v>946</v>
      </c>
      <c r="N441" s="14" t="s">
        <v>947</v>
      </c>
      <c r="O441" s="43">
        <v>1</v>
      </c>
      <c r="R441" s="38" t="s">
        <v>103</v>
      </c>
      <c r="S441" s="38"/>
      <c r="T441" s="38"/>
      <c r="W441" s="15" t="str">
        <f>IF(IFERROR(VLOOKUP($M441,COMPARE!$H$2:$H$847,1,0),"-")="-","","GS")</f>
        <v/>
      </c>
      <c r="Z441" s="59" t="str">
        <f>IF(OR($M441="",NOT($O441="{array}")),"",IFERROR(MATCH(PARAMETERS!$M441,DEFAULT!$B$5:$CX$5,0),""))</f>
        <v/>
      </c>
      <c r="AA441" s="56" t="str">
        <f t="shared" si="29"/>
        <v/>
      </c>
      <c r="AB441" s="63" t="str">
        <f>IF(AND(OR($A441="G",$A441="P"),NOT($O441="{array}")),IF(VLOOKUP($K441,base!$B$2:$D$20,3,0)="S",IF(OR($O441="",ISTEXT($O441)),"","STRING!"),IF(VLOOKUP($K441,base!$B$2:$D$20,3,0)="","",IF(ISTEXT($O441),"NUMERIC!",""))),"")</f>
        <v/>
      </c>
      <c r="AC441" s="17" t="str">
        <f>IF($AA441="","",IF($B441="I",VLOOKUP($AA441,#REF!,53,0),INDEX(VALUES!$B$1:$BT$1,1,$AA441)))</f>
        <v/>
      </c>
    </row>
    <row r="442" spans="1:29" hidden="1" outlineLevel="1" x14ac:dyDescent="0.3">
      <c r="A442" s="22" t="s">
        <v>84</v>
      </c>
      <c r="B442" s="41" t="str">
        <f t="shared" si="32"/>
        <v/>
      </c>
      <c r="C442" s="42">
        <f t="shared" si="33"/>
        <v>441</v>
      </c>
      <c r="D442" s="38"/>
      <c r="E442" s="38"/>
      <c r="F442" s="38" t="s">
        <v>9</v>
      </c>
      <c r="G442" s="38"/>
      <c r="H442" s="38"/>
      <c r="I442" s="38" t="s">
        <v>9</v>
      </c>
      <c r="J442" s="38"/>
      <c r="K442" s="14" t="s">
        <v>18</v>
      </c>
      <c r="L442" s="14" t="s">
        <v>27</v>
      </c>
      <c r="M442" s="20" t="s">
        <v>948</v>
      </c>
      <c r="N442" s="14" t="s">
        <v>949</v>
      </c>
      <c r="O442" s="43" t="s">
        <v>947</v>
      </c>
      <c r="R442" s="38" t="s">
        <v>103</v>
      </c>
      <c r="S442" s="38"/>
      <c r="T442" s="38"/>
      <c r="W442" s="15" t="str">
        <f>IF(IFERROR(VLOOKUP($M442,COMPARE!$H$2:$H$847,1,0),"-")="-","","GS")</f>
        <v/>
      </c>
      <c r="Z442" s="59" t="str">
        <f>IF(OR($M442="",NOT($O442="{array}")),"",IFERROR(MATCH(PARAMETERS!$M442,DEFAULT!$B$5:$CX$5,0),""))</f>
        <v/>
      </c>
      <c r="AA442" s="56" t="str">
        <f t="shared" si="29"/>
        <v/>
      </c>
      <c r="AB442" s="63" t="str">
        <f>IF(AND(OR($A442="G",$A442="P"),NOT($O442="{array}")),IF(VLOOKUP($K442,base!$B$2:$D$20,3,0)="S",IF(OR($O442="",ISTEXT($O442)),"","STRING!"),IF(VLOOKUP($K442,base!$B$2:$D$20,3,0)="","",IF(ISTEXT($O442),"NUMERIC!",""))),"")</f>
        <v/>
      </c>
      <c r="AC442" s="17" t="str">
        <f>IF($AA442="","",IF($B442="I",VLOOKUP($AA442,#REF!,53,0),INDEX(VALUES!$B$1:$BT$1,1,$AA442)))</f>
        <v/>
      </c>
    </row>
    <row r="443" spans="1:29" hidden="1" outlineLevel="1" x14ac:dyDescent="0.3">
      <c r="A443" s="22" t="s">
        <v>84</v>
      </c>
      <c r="B443" s="41" t="str">
        <f t="shared" si="32"/>
        <v/>
      </c>
      <c r="C443" s="42">
        <f t="shared" si="33"/>
        <v>442</v>
      </c>
      <c r="D443" s="38"/>
      <c r="E443" s="38"/>
      <c r="F443" s="38" t="s">
        <v>9</v>
      </c>
      <c r="G443" s="38"/>
      <c r="H443" s="38"/>
      <c r="I443" s="38" t="s">
        <v>9</v>
      </c>
      <c r="J443" s="38"/>
      <c r="K443" s="14" t="s">
        <v>24</v>
      </c>
      <c r="L443" s="14" t="s">
        <v>27</v>
      </c>
      <c r="M443" s="20" t="s">
        <v>950</v>
      </c>
      <c r="N443" s="14" t="s">
        <v>945</v>
      </c>
      <c r="O443" s="43">
        <v>0</v>
      </c>
      <c r="R443" s="38" t="s">
        <v>103</v>
      </c>
      <c r="S443" s="38"/>
      <c r="T443" s="38"/>
      <c r="W443" s="15" t="str">
        <f>IF(IFERROR(VLOOKUP($M443,COMPARE!$H$2:$H$847,1,0),"-")="-","","GS")</f>
        <v/>
      </c>
      <c r="Z443" s="59" t="str">
        <f>IF(OR($M443="",NOT($O443="{array}")),"",IFERROR(MATCH(PARAMETERS!$M443,DEFAULT!$B$5:$CX$5,0),""))</f>
        <v/>
      </c>
      <c r="AA443" s="56" t="str">
        <f t="shared" si="29"/>
        <v/>
      </c>
      <c r="AB443" s="63" t="str">
        <f>IF(AND(OR($A443="G",$A443="P"),NOT($O443="{array}")),IF(VLOOKUP($K443,base!$B$2:$D$20,3,0)="S",IF(OR($O443="",ISTEXT($O443)),"","STRING!"),IF(VLOOKUP($K443,base!$B$2:$D$20,3,0)="","",IF(ISTEXT($O443),"NUMERIC!",""))),"")</f>
        <v/>
      </c>
      <c r="AC443" s="17" t="str">
        <f>IF($AA443="","",IF($B443="I",VLOOKUP($AA443,#REF!,53,0),INDEX(VALUES!$B$1:$BT$1,1,$AA443)))</f>
        <v/>
      </c>
    </row>
    <row r="444" spans="1:29" hidden="1" outlineLevel="1" x14ac:dyDescent="0.3">
      <c r="A444" s="22" t="s">
        <v>84</v>
      </c>
      <c r="B444" s="41" t="str">
        <f t="shared" si="32"/>
        <v/>
      </c>
      <c r="C444" s="42">
        <f t="shared" si="33"/>
        <v>443</v>
      </c>
      <c r="D444" s="38"/>
      <c r="E444" s="38"/>
      <c r="F444" s="38" t="s">
        <v>9</v>
      </c>
      <c r="G444" s="38"/>
      <c r="H444" s="38"/>
      <c r="I444" s="38" t="s">
        <v>9</v>
      </c>
      <c r="J444" s="38"/>
      <c r="K444" s="14" t="s">
        <v>44</v>
      </c>
      <c r="L444" s="14" t="s">
        <v>27</v>
      </c>
      <c r="M444" s="20" t="s">
        <v>951</v>
      </c>
      <c r="N444" s="14" t="s">
        <v>450</v>
      </c>
      <c r="O444" s="43">
        <v>1</v>
      </c>
      <c r="R444" s="38" t="s">
        <v>103</v>
      </c>
      <c r="S444" s="38"/>
      <c r="T444" s="38"/>
      <c r="W444" s="15" t="str">
        <f>IF(IFERROR(VLOOKUP($M444,COMPARE!$H$2:$H$847,1,0),"-")="-","","GS")</f>
        <v/>
      </c>
      <c r="Z444" s="59" t="str">
        <f>IF(OR($M444="",NOT($O444="{array}")),"",IFERROR(MATCH(PARAMETERS!$M444,DEFAULT!$B$5:$CX$5,0),""))</f>
        <v/>
      </c>
      <c r="AA444" s="56" t="str">
        <f t="shared" si="29"/>
        <v/>
      </c>
      <c r="AB444" s="63" t="str">
        <f>IF(AND(OR($A444="G",$A444="P"),NOT($O444="{array}")),IF(VLOOKUP($K444,base!$B$2:$D$20,3,0)="S",IF(OR($O444="",ISTEXT($O444)),"","STRING!"),IF(VLOOKUP($K444,base!$B$2:$D$20,3,0)="","",IF(ISTEXT($O444),"NUMERIC!",""))),"")</f>
        <v/>
      </c>
      <c r="AC444" s="17" t="str">
        <f>IF($AA444="","",IF($B444="I",VLOOKUP($AA444,#REF!,53,0),INDEX(VALUES!$B$1:$BT$1,1,$AA444)))</f>
        <v/>
      </c>
    </row>
    <row r="445" spans="1:29" hidden="1" outlineLevel="1" x14ac:dyDescent="0.3">
      <c r="A445" s="22" t="s">
        <v>84</v>
      </c>
      <c r="B445" s="41" t="str">
        <f t="shared" si="32"/>
        <v/>
      </c>
      <c r="C445" s="42">
        <f t="shared" si="33"/>
        <v>444</v>
      </c>
      <c r="D445" s="38"/>
      <c r="E445" s="38"/>
      <c r="F445" s="38" t="s">
        <v>9</v>
      </c>
      <c r="G445" s="38"/>
      <c r="H445" s="38"/>
      <c r="I445" s="38" t="s">
        <v>9</v>
      </c>
      <c r="J445" s="38"/>
      <c r="K445" s="14" t="s">
        <v>18</v>
      </c>
      <c r="L445" s="14" t="s">
        <v>27</v>
      </c>
      <c r="M445" s="20" t="s">
        <v>952</v>
      </c>
      <c r="N445" s="14" t="s">
        <v>953</v>
      </c>
      <c r="O445" s="43" t="s">
        <v>450</v>
      </c>
      <c r="R445" s="38" t="s">
        <v>103</v>
      </c>
      <c r="S445" s="38"/>
      <c r="T445" s="38"/>
      <c r="W445" s="15" t="str">
        <f>IF(IFERROR(VLOOKUP($M445,COMPARE!$H$2:$H$847,1,0),"-")="-","","GS")</f>
        <v/>
      </c>
      <c r="Z445" s="59" t="str">
        <f>IF(OR($M445="",NOT($O445="{array}")),"",IFERROR(MATCH(PARAMETERS!$M445,DEFAULT!$B$5:$CX$5,0),""))</f>
        <v/>
      </c>
      <c r="AA445" s="56" t="str">
        <f t="shared" si="29"/>
        <v/>
      </c>
      <c r="AB445" s="63" t="str">
        <f>IF(AND(OR($A445="G",$A445="P"),NOT($O445="{array}")),IF(VLOOKUP($K445,base!$B$2:$D$20,3,0)="S",IF(OR($O445="",ISTEXT($O445)),"","STRING!"),IF(VLOOKUP($K445,base!$B$2:$D$20,3,0)="","",IF(ISTEXT($O445),"NUMERIC!",""))),"")</f>
        <v/>
      </c>
      <c r="AC445" s="17" t="str">
        <f>IF($AA445="","",IF($B445="I",VLOOKUP($AA445,#REF!,53,0),INDEX(VALUES!$B$1:$BT$1,1,$AA445)))</f>
        <v/>
      </c>
    </row>
    <row r="446" spans="1:29" hidden="1" outlineLevel="1" x14ac:dyDescent="0.3">
      <c r="A446" s="22" t="s">
        <v>84</v>
      </c>
      <c r="B446" s="41" t="str">
        <f t="shared" si="32"/>
        <v/>
      </c>
      <c r="C446" s="42">
        <f t="shared" si="33"/>
        <v>445</v>
      </c>
      <c r="D446" s="38"/>
      <c r="E446" s="38"/>
      <c r="F446" s="38" t="s">
        <v>9</v>
      </c>
      <c r="G446" s="38"/>
      <c r="H446" s="38"/>
      <c r="I446" s="38" t="s">
        <v>9</v>
      </c>
      <c r="J446" s="38"/>
      <c r="K446" s="14" t="s">
        <v>24</v>
      </c>
      <c r="L446" s="14" t="s">
        <v>27</v>
      </c>
      <c r="M446" s="20" t="s">
        <v>954</v>
      </c>
      <c r="N446" s="14" t="s">
        <v>955</v>
      </c>
      <c r="O446" s="43">
        <v>0</v>
      </c>
      <c r="R446" s="38" t="s">
        <v>103</v>
      </c>
      <c r="S446" s="38"/>
      <c r="T446" s="38"/>
      <c r="W446" s="15" t="str">
        <f>IF(IFERROR(VLOOKUP($M446,COMPARE!$H$2:$H$847,1,0),"-")="-","","GS")</f>
        <v/>
      </c>
      <c r="Z446" s="59" t="str">
        <f>IF(OR($M446="",NOT($O446="{array}")),"",IFERROR(MATCH(PARAMETERS!$M446,DEFAULT!$B$5:$CX$5,0),""))</f>
        <v/>
      </c>
      <c r="AA446" s="56" t="str">
        <f t="shared" si="29"/>
        <v/>
      </c>
      <c r="AB446" s="63" t="str">
        <f>IF(AND(OR($A446="G",$A446="P"),NOT($O446="{array}")),IF(VLOOKUP($K446,base!$B$2:$D$20,3,0)="S",IF(OR($O446="",ISTEXT($O446)),"","STRING!"),IF(VLOOKUP($K446,base!$B$2:$D$20,3,0)="","",IF(ISTEXT($O446),"NUMERIC!",""))),"")</f>
        <v/>
      </c>
      <c r="AC446" s="17" t="str">
        <f>IF($AA446="","",IF($B446="I",VLOOKUP($AA446,#REF!,53,0),INDEX(VALUES!$B$1:$BT$1,1,$AA446)))</f>
        <v/>
      </c>
    </row>
    <row r="447" spans="1:29" hidden="1" outlineLevel="1" x14ac:dyDescent="0.3">
      <c r="A447" s="22" t="s">
        <v>84</v>
      </c>
      <c r="B447" s="41" t="str">
        <f t="shared" si="32"/>
        <v/>
      </c>
      <c r="C447" s="42">
        <f t="shared" si="33"/>
        <v>446</v>
      </c>
      <c r="D447" s="38"/>
      <c r="E447" s="38"/>
      <c r="F447" s="38" t="s">
        <v>9</v>
      </c>
      <c r="G447" s="38"/>
      <c r="H447" s="38"/>
      <c r="I447" s="38" t="s">
        <v>9</v>
      </c>
      <c r="J447" s="38"/>
      <c r="K447" s="14" t="s">
        <v>18</v>
      </c>
      <c r="L447" s="14" t="s">
        <v>27</v>
      </c>
      <c r="M447" s="20" t="s">
        <v>956</v>
      </c>
      <c r="N447" s="14" t="s">
        <v>957</v>
      </c>
      <c r="O447" s="43" t="s">
        <v>958</v>
      </c>
      <c r="R447" s="38" t="s">
        <v>103</v>
      </c>
      <c r="S447" s="38"/>
      <c r="T447" s="38"/>
      <c r="W447" s="15" t="str">
        <f>IF(IFERROR(VLOOKUP($M447,COMPARE!$H$2:$H$847,1,0),"-")="-","","GS")</f>
        <v/>
      </c>
      <c r="Z447" s="59" t="str">
        <f>IF(OR($M447="",NOT($O447="{array}")),"",IFERROR(MATCH(PARAMETERS!$M447,DEFAULT!$B$5:$CX$5,0),""))</f>
        <v/>
      </c>
      <c r="AA447" s="56" t="str">
        <f t="shared" si="29"/>
        <v/>
      </c>
      <c r="AB447" s="63" t="str">
        <f>IF(AND(OR($A447="G",$A447="P"),NOT($O447="{array}")),IF(VLOOKUP($K447,base!$B$2:$D$20,3,0)="S",IF(OR($O447="",ISTEXT($O447)),"","STRING!"),IF(VLOOKUP($K447,base!$B$2:$D$20,3,0)="","",IF(ISTEXT($O447),"NUMERIC!",""))),"")</f>
        <v/>
      </c>
      <c r="AC447" s="17" t="str">
        <f>IF($AA447="","",IF($B447="I",VLOOKUP($AA447,#REF!,53,0),INDEX(VALUES!$B$1:$BT$1,1,$AA447)))</f>
        <v/>
      </c>
    </row>
    <row r="448" spans="1:29" hidden="1" outlineLevel="1" x14ac:dyDescent="0.3">
      <c r="A448" s="22" t="s">
        <v>84</v>
      </c>
      <c r="B448" s="41" t="str">
        <f t="shared" si="32"/>
        <v/>
      </c>
      <c r="C448" s="42">
        <f t="shared" si="33"/>
        <v>447</v>
      </c>
      <c r="D448" s="38"/>
      <c r="E448" s="38"/>
      <c r="F448" s="38" t="s">
        <v>9</v>
      </c>
      <c r="G448" s="38" t="s">
        <v>9</v>
      </c>
      <c r="H448" s="38"/>
      <c r="I448" s="38" t="s">
        <v>9</v>
      </c>
      <c r="J448" s="38"/>
      <c r="K448" s="14" t="s">
        <v>44</v>
      </c>
      <c r="L448" s="14" t="s">
        <v>27</v>
      </c>
      <c r="M448" s="20" t="s">
        <v>959</v>
      </c>
      <c r="N448" s="14" t="s">
        <v>960</v>
      </c>
      <c r="O448" s="43">
        <v>2</v>
      </c>
      <c r="R448" s="38" t="s">
        <v>103</v>
      </c>
      <c r="S448" s="38"/>
      <c r="T448" s="38"/>
      <c r="W448" s="15" t="str">
        <f>IF(IFERROR(VLOOKUP($M448,COMPARE!$H$2:$H$847,1,0),"-")="-","","GS")</f>
        <v/>
      </c>
      <c r="Z448" s="59" t="str">
        <f>IF(OR($M448="",NOT($O448="{array}")),"",IFERROR(MATCH(PARAMETERS!$M448,DEFAULT!$B$5:$CX$5,0),""))</f>
        <v/>
      </c>
      <c r="AA448" s="56" t="str">
        <f t="shared" si="29"/>
        <v/>
      </c>
      <c r="AB448" s="63" t="str">
        <f>IF(AND(OR($A448="G",$A448="P"),NOT($O448="{array}")),IF(VLOOKUP($K448,base!$B$2:$D$20,3,0)="S",IF(OR($O448="",ISTEXT($O448)),"","STRING!"),IF(VLOOKUP($K448,base!$B$2:$D$20,3,0)="","",IF(ISTEXT($O448),"NUMERIC!",""))),"")</f>
        <v/>
      </c>
      <c r="AC448" s="17" t="str">
        <f>IF($AA448="","",IF($B448="I",VLOOKUP($AA448,#REF!,53,0),INDEX(VALUES!$B$1:$BT$1,1,$AA448)))</f>
        <v/>
      </c>
    </row>
    <row r="449" spans="1:29" hidden="1" outlineLevel="1" x14ac:dyDescent="0.3">
      <c r="A449" s="22" t="s">
        <v>84</v>
      </c>
      <c r="B449" s="41" t="str">
        <f t="shared" si="32"/>
        <v/>
      </c>
      <c r="C449" s="42">
        <f t="shared" si="33"/>
        <v>448</v>
      </c>
      <c r="D449" s="38"/>
      <c r="E449" s="38"/>
      <c r="F449" s="38" t="s">
        <v>9</v>
      </c>
      <c r="G449" s="38"/>
      <c r="H449" s="38"/>
      <c r="I449" s="38" t="s">
        <v>9</v>
      </c>
      <c r="J449" s="38"/>
      <c r="K449" s="14" t="s">
        <v>18</v>
      </c>
      <c r="L449" s="14" t="s">
        <v>27</v>
      </c>
      <c r="M449" s="20" t="s">
        <v>961</v>
      </c>
      <c r="N449" s="14" t="s">
        <v>962</v>
      </c>
      <c r="O449" s="43" t="s">
        <v>796</v>
      </c>
      <c r="R449" s="38" t="s">
        <v>103</v>
      </c>
      <c r="S449" s="38"/>
      <c r="T449" s="38"/>
      <c r="W449" s="15" t="str">
        <f>IF(IFERROR(VLOOKUP($M449,COMPARE!$H$2:$H$847,1,0),"-")="-","","GS")</f>
        <v/>
      </c>
      <c r="Z449" s="59" t="str">
        <f>IF(OR($M449="",NOT($O449="{array}")),"",IFERROR(MATCH(PARAMETERS!$M449,DEFAULT!$B$5:$CX$5,0),""))</f>
        <v/>
      </c>
      <c r="AA449" s="56" t="str">
        <f t="shared" si="29"/>
        <v/>
      </c>
      <c r="AB449" s="63" t="str">
        <f>IF(AND(OR($A449="G",$A449="P"),NOT($O449="{array}")),IF(VLOOKUP($K449,base!$B$2:$D$20,3,0)="S",IF(OR($O449="",ISTEXT($O449)),"","STRING!"),IF(VLOOKUP($K449,base!$B$2:$D$20,3,0)="","",IF(ISTEXT($O449),"NUMERIC!",""))),"")</f>
        <v/>
      </c>
      <c r="AC449" s="17" t="str">
        <f>IF($AA449="","",IF($B449="I",VLOOKUP($AA449,#REF!,53,0),INDEX(VALUES!$B$1:$BT$1,1,$AA449)))</f>
        <v/>
      </c>
    </row>
    <row r="450" spans="1:29" hidden="1" outlineLevel="1" x14ac:dyDescent="0.3">
      <c r="A450" s="22" t="s">
        <v>84</v>
      </c>
      <c r="B450" s="41" t="str">
        <f t="shared" si="32"/>
        <v/>
      </c>
      <c r="C450" s="42">
        <f t="shared" si="33"/>
        <v>449</v>
      </c>
      <c r="D450" s="38"/>
      <c r="E450" s="38"/>
      <c r="F450" s="38" t="s">
        <v>9</v>
      </c>
      <c r="G450" s="38"/>
      <c r="H450" s="38"/>
      <c r="I450" s="38" t="s">
        <v>9</v>
      </c>
      <c r="J450" s="38"/>
      <c r="K450" s="14" t="s">
        <v>24</v>
      </c>
      <c r="L450" s="14" t="s">
        <v>27</v>
      </c>
      <c r="M450" s="20" t="s">
        <v>963</v>
      </c>
      <c r="N450" s="14" t="s">
        <v>964</v>
      </c>
      <c r="O450" s="43">
        <v>7.4999999999999997E-2</v>
      </c>
      <c r="R450" s="38" t="s">
        <v>103</v>
      </c>
      <c r="S450" s="38"/>
      <c r="T450" s="38"/>
      <c r="W450" s="15" t="str">
        <f>IF(IFERROR(VLOOKUP($M450,COMPARE!$H$2:$H$847,1,0),"-")="-","","GS")</f>
        <v/>
      </c>
      <c r="Z450" s="59" t="str">
        <f>IF(OR($M450="",NOT($O450="{array}")),"",IFERROR(MATCH(PARAMETERS!$M450,DEFAULT!$B$5:$CX$5,0),""))</f>
        <v/>
      </c>
      <c r="AA450" s="56" t="str">
        <f t="shared" ref="AA450:AA515" si="34">IF($M450="","",IFERROR(MATCH($M450,VALUESnames,0),""))</f>
        <v/>
      </c>
      <c r="AB450" s="63" t="str">
        <f>IF(AND(OR($A450="G",$A450="P"),NOT($O450="{array}")),IF(VLOOKUP($K450,base!$B$2:$D$20,3,0)="S",IF(OR($O450="",ISTEXT($O450)),"","STRING!"),IF(VLOOKUP($K450,base!$B$2:$D$20,3,0)="","",IF(ISTEXT($O450),"NUMERIC!",""))),"")</f>
        <v/>
      </c>
      <c r="AC450" s="17" t="str">
        <f>IF($AA450="","",IF($B450="I",VLOOKUP($AA450,#REF!,53,0),INDEX(VALUES!$B$1:$BT$1,1,$AA450)))</f>
        <v/>
      </c>
    </row>
    <row r="451" spans="1:29" hidden="1" outlineLevel="1" x14ac:dyDescent="0.3">
      <c r="A451" s="22" t="s">
        <v>84</v>
      </c>
      <c r="B451" s="41" t="str">
        <f t="shared" ref="B451:B483" si="35">IF($A451="P",IF(NOT($Z451=""),"A",IF(NOT($AA451=""),"I","")),IF(NOT($AA451=""),IF($A451="G","V","X"),IF(NOT($Z451=""),"A","")))</f>
        <v/>
      </c>
      <c r="C451" s="42">
        <f t="shared" ref="C451:C483" si="36">(ROW()-1)</f>
        <v>450</v>
      </c>
      <c r="D451" s="38"/>
      <c r="E451" s="38"/>
      <c r="F451" s="38" t="s">
        <v>9</v>
      </c>
      <c r="G451" s="38"/>
      <c r="H451" s="38"/>
      <c r="I451" s="38" t="s">
        <v>9</v>
      </c>
      <c r="J451" s="38"/>
      <c r="K451" s="14" t="s">
        <v>36</v>
      </c>
      <c r="L451" s="14" t="s">
        <v>27</v>
      </c>
      <c r="M451" s="20" t="s">
        <v>965</v>
      </c>
      <c r="N451" s="14" t="s">
        <v>966</v>
      </c>
      <c r="O451" s="43">
        <v>1.5</v>
      </c>
      <c r="R451" s="38" t="s">
        <v>103</v>
      </c>
      <c r="S451" s="38"/>
      <c r="T451" s="38"/>
      <c r="W451" s="15" t="str">
        <f>IF(IFERROR(VLOOKUP($M451,COMPARE!$H$2:$H$847,1,0),"-")="-","","GS")</f>
        <v/>
      </c>
      <c r="Z451" s="59" t="str">
        <f>IF(OR($M451="",NOT($O451="{array}")),"",IFERROR(MATCH(PARAMETERS!$M451,DEFAULT!$B$5:$CX$5,0),""))</f>
        <v/>
      </c>
      <c r="AA451" s="56" t="str">
        <f t="shared" si="34"/>
        <v/>
      </c>
      <c r="AB451" s="63" t="str">
        <f>IF(AND(OR($A451="G",$A451="P"),NOT($O451="{array}")),IF(VLOOKUP($K451,base!$B$2:$D$20,3,0)="S",IF(OR($O451="",ISTEXT($O451)),"","STRING!"),IF(VLOOKUP($K451,base!$B$2:$D$20,3,0)="","",IF(ISTEXT($O451),"NUMERIC!",""))),"")</f>
        <v/>
      </c>
      <c r="AC451" s="17" t="str">
        <f>IF($AA451="","",IF($B451="I",VLOOKUP($AA451,#REF!,53,0),INDEX(VALUES!$B$1:$BT$1,1,$AA451)))</f>
        <v/>
      </c>
    </row>
    <row r="452" spans="1:29" hidden="1" outlineLevel="1" x14ac:dyDescent="0.3">
      <c r="A452" s="22" t="s">
        <v>84</v>
      </c>
      <c r="B452" s="41" t="str">
        <f t="shared" si="35"/>
        <v/>
      </c>
      <c r="C452" s="42">
        <f t="shared" si="36"/>
        <v>451</v>
      </c>
      <c r="D452" s="38"/>
      <c r="E452" s="38"/>
      <c r="F452" s="38" t="s">
        <v>9</v>
      </c>
      <c r="G452" s="38"/>
      <c r="H452" s="38"/>
      <c r="I452" s="38" t="s">
        <v>9</v>
      </c>
      <c r="J452" s="38"/>
      <c r="K452" s="14" t="s">
        <v>53</v>
      </c>
      <c r="L452" s="14" t="s">
        <v>27</v>
      </c>
      <c r="M452" s="20" t="s">
        <v>967</v>
      </c>
      <c r="N452" s="14" t="s">
        <v>968</v>
      </c>
      <c r="O452" s="43">
        <v>1</v>
      </c>
      <c r="R452" s="38" t="s">
        <v>103</v>
      </c>
      <c r="S452" s="38"/>
      <c r="T452" s="38"/>
      <c r="W452" s="15" t="str">
        <f>IF(IFERROR(VLOOKUP($M452,COMPARE!$H$2:$H$847,1,0),"-")="-","","GS")</f>
        <v/>
      </c>
      <c r="Z452" s="59" t="str">
        <f>IF(OR($M452="",NOT($O452="{array}")),"",IFERROR(MATCH(PARAMETERS!$M452,DEFAULT!$B$5:$CX$5,0),""))</f>
        <v/>
      </c>
      <c r="AA452" s="56" t="str">
        <f t="shared" si="34"/>
        <v/>
      </c>
      <c r="AB452" s="63" t="str">
        <f>IF(AND(OR($A452="G",$A452="P"),NOT($O452="{array}")),IF(VLOOKUP($K452,base!$B$2:$D$20,3,0)="S",IF(OR($O452="",ISTEXT($O452)),"","STRING!"),IF(VLOOKUP($K452,base!$B$2:$D$20,3,0)="","",IF(ISTEXT($O452),"NUMERIC!",""))),"")</f>
        <v/>
      </c>
      <c r="AC452" s="17" t="str">
        <f>IF($AA452="","",IF($B452="I",VLOOKUP($AA452,#REF!,53,0),INDEX(VALUES!$B$1:$BT$1,1,$AA452)))</f>
        <v/>
      </c>
    </row>
    <row r="453" spans="1:29" hidden="1" outlineLevel="1" x14ac:dyDescent="0.3">
      <c r="A453" s="22" t="s">
        <v>84</v>
      </c>
      <c r="B453" s="41" t="str">
        <f t="shared" si="35"/>
        <v/>
      </c>
      <c r="C453" s="42">
        <f t="shared" si="36"/>
        <v>452</v>
      </c>
      <c r="D453" s="38"/>
      <c r="E453" s="38"/>
      <c r="F453" s="38" t="s">
        <v>9</v>
      </c>
      <c r="G453" s="38"/>
      <c r="H453" s="38"/>
      <c r="I453" s="38" t="s">
        <v>9</v>
      </c>
      <c r="J453" s="38"/>
      <c r="K453" s="14" t="s">
        <v>24</v>
      </c>
      <c r="L453" s="14" t="s">
        <v>27</v>
      </c>
      <c r="M453" s="20" t="s">
        <v>969</v>
      </c>
      <c r="N453" s="14" t="s">
        <v>970</v>
      </c>
      <c r="O453" s="43">
        <v>0</v>
      </c>
      <c r="R453" s="38" t="s">
        <v>103</v>
      </c>
      <c r="S453" s="38"/>
      <c r="T453" s="38"/>
      <c r="W453" s="15" t="str">
        <f>IF(IFERROR(VLOOKUP($M453,COMPARE!$H$2:$H$847,1,0),"-")="-","","GS")</f>
        <v/>
      </c>
      <c r="Z453" s="59" t="str">
        <f>IF(OR($M453="",NOT($O453="{array}")),"",IFERROR(MATCH(PARAMETERS!$M453,DEFAULT!$B$5:$CX$5,0),""))</f>
        <v/>
      </c>
      <c r="AA453" s="56" t="str">
        <f t="shared" si="34"/>
        <v/>
      </c>
      <c r="AB453" s="63" t="str">
        <f>IF(AND(OR($A453="G",$A453="P"),NOT($O453="{array}")),IF(VLOOKUP($K453,base!$B$2:$D$20,3,0)="S",IF(OR($O453="",ISTEXT($O453)),"","STRING!"),IF(VLOOKUP($K453,base!$B$2:$D$20,3,0)="","",IF(ISTEXT($O453),"NUMERIC!",""))),"")</f>
        <v/>
      </c>
      <c r="AC453" s="17" t="str">
        <f>IF($AA453="","",IF($B453="I",VLOOKUP($AA453,#REF!,53,0),INDEX(VALUES!$B$1:$BT$1,1,$AA453)))</f>
        <v/>
      </c>
    </row>
    <row r="454" spans="1:29" hidden="1" outlineLevel="1" x14ac:dyDescent="0.3">
      <c r="A454" s="22" t="s">
        <v>84</v>
      </c>
      <c r="B454" s="41" t="str">
        <f t="shared" si="35"/>
        <v/>
      </c>
      <c r="C454" s="42">
        <f t="shared" si="36"/>
        <v>453</v>
      </c>
      <c r="D454" s="38"/>
      <c r="E454" s="38"/>
      <c r="F454" s="38"/>
      <c r="G454" s="38" t="s">
        <v>9</v>
      </c>
      <c r="H454" s="38"/>
      <c r="I454" s="38" t="s">
        <v>9</v>
      </c>
      <c r="J454" s="38"/>
      <c r="K454" s="14" t="s">
        <v>36</v>
      </c>
      <c r="L454" s="14" t="s">
        <v>27</v>
      </c>
      <c r="M454" s="20" t="s">
        <v>971</v>
      </c>
      <c r="N454" s="14" t="s">
        <v>972</v>
      </c>
      <c r="O454" s="43">
        <v>0</v>
      </c>
      <c r="R454" s="38" t="s">
        <v>103</v>
      </c>
      <c r="S454" s="38"/>
      <c r="T454" s="38"/>
      <c r="W454" s="15" t="str">
        <f>IF(IFERROR(VLOOKUP($M454,COMPARE!$H$2:$H$847,1,0),"-")="-","","GS")</f>
        <v/>
      </c>
      <c r="Z454" s="59" t="str">
        <f>IF(OR($M454="",NOT($O454="{array}")),"",IFERROR(MATCH(PARAMETERS!$M454,DEFAULT!$B$5:$CX$5,0),""))</f>
        <v/>
      </c>
      <c r="AA454" s="56" t="str">
        <f t="shared" si="34"/>
        <v/>
      </c>
      <c r="AB454" s="63" t="str">
        <f>IF(AND(OR($A454="G",$A454="P"),NOT($O454="{array}")),IF(VLOOKUP($K454,base!$B$2:$D$20,3,0)="S",IF(OR($O454="",ISTEXT($O454)),"","STRING!"),IF(VLOOKUP($K454,base!$B$2:$D$20,3,0)="","",IF(ISTEXT($O454),"NUMERIC!",""))),"")</f>
        <v/>
      </c>
      <c r="AC454" s="17" t="str">
        <f>IF($AA454="","",IF($B454="I",VLOOKUP($AA454,#REF!,53,0),INDEX(VALUES!$B$1:$BT$1,1,$AA454)))</f>
        <v/>
      </c>
    </row>
    <row r="455" spans="1:29" hidden="1" outlineLevel="1" x14ac:dyDescent="0.3">
      <c r="A455" s="22" t="s">
        <v>84</v>
      </c>
      <c r="B455" s="41" t="str">
        <f t="shared" si="35"/>
        <v/>
      </c>
      <c r="C455" s="42">
        <f t="shared" si="36"/>
        <v>454</v>
      </c>
      <c r="D455" s="38"/>
      <c r="E455" s="38"/>
      <c r="F455" s="38" t="s">
        <v>9</v>
      </c>
      <c r="G455" s="38"/>
      <c r="H455" s="38"/>
      <c r="I455" s="38" t="s">
        <v>9</v>
      </c>
      <c r="J455" s="38"/>
      <c r="K455" s="14" t="s">
        <v>36</v>
      </c>
      <c r="L455" s="14" t="s">
        <v>27</v>
      </c>
      <c r="M455" s="20" t="s">
        <v>973</v>
      </c>
      <c r="N455" s="14" t="s">
        <v>974</v>
      </c>
      <c r="O455" s="43">
        <v>0</v>
      </c>
      <c r="R455" s="38" t="s">
        <v>103</v>
      </c>
      <c r="S455" s="38"/>
      <c r="T455" s="38"/>
      <c r="W455" s="15" t="str">
        <f>IF(IFERROR(VLOOKUP($M455,COMPARE!$H$2:$H$847,1,0),"-")="-","","GS")</f>
        <v/>
      </c>
      <c r="Z455" s="59" t="str">
        <f>IF(OR($M455="",NOT($O455="{array}")),"",IFERROR(MATCH(PARAMETERS!$M455,DEFAULT!$B$5:$CX$5,0),""))</f>
        <v/>
      </c>
      <c r="AA455" s="56" t="str">
        <f t="shared" si="34"/>
        <v/>
      </c>
      <c r="AB455" s="63" t="str">
        <f>IF(AND(OR($A455="G",$A455="P"),NOT($O455="{array}")),IF(VLOOKUP($K455,base!$B$2:$D$20,3,0)="S",IF(OR($O455="",ISTEXT($O455)),"","STRING!"),IF(VLOOKUP($K455,base!$B$2:$D$20,3,0)="","",IF(ISTEXT($O455),"NUMERIC!",""))),"")</f>
        <v/>
      </c>
      <c r="AC455" s="17" t="str">
        <f>IF($AA455="","",IF($B455="I",VLOOKUP($AA455,#REF!,53,0),INDEX(VALUES!$B$1:$BT$1,1,$AA455)))</f>
        <v/>
      </c>
    </row>
    <row r="456" spans="1:29" hidden="1" outlineLevel="1" x14ac:dyDescent="0.3">
      <c r="A456" s="22" t="s">
        <v>84</v>
      </c>
      <c r="B456" s="41" t="str">
        <f t="shared" si="35"/>
        <v/>
      </c>
      <c r="C456" s="42">
        <f t="shared" si="36"/>
        <v>455</v>
      </c>
      <c r="D456" s="38"/>
      <c r="E456" s="38"/>
      <c r="F456" s="38" t="s">
        <v>9</v>
      </c>
      <c r="G456" s="38"/>
      <c r="H456" s="38"/>
      <c r="I456" s="38" t="s">
        <v>9</v>
      </c>
      <c r="J456" s="38"/>
      <c r="K456" s="14" t="s">
        <v>24</v>
      </c>
      <c r="L456" s="14" t="s">
        <v>27</v>
      </c>
      <c r="M456" s="20" t="s">
        <v>975</v>
      </c>
      <c r="N456" s="14" t="s">
        <v>976</v>
      </c>
      <c r="O456" s="43">
        <v>0.4</v>
      </c>
      <c r="R456" s="38" t="s">
        <v>103</v>
      </c>
      <c r="S456" s="38"/>
      <c r="T456" s="38"/>
      <c r="W456" s="15" t="str">
        <f>IF(IFERROR(VLOOKUP($M456,COMPARE!$H$2:$H$847,1,0),"-")="-","","GS")</f>
        <v/>
      </c>
      <c r="Z456" s="59" t="str">
        <f>IF(OR($M456="",NOT($O456="{array}")),"",IFERROR(MATCH(PARAMETERS!$M456,DEFAULT!$B$5:$CX$5,0),""))</f>
        <v/>
      </c>
      <c r="AA456" s="56" t="str">
        <f t="shared" si="34"/>
        <v/>
      </c>
      <c r="AB456" s="63" t="str">
        <f>IF(AND(OR($A456="G",$A456="P"),NOT($O456="{array}")),IF(VLOOKUP($K456,base!$B$2:$D$20,3,0)="S",IF(OR($O456="",ISTEXT($O456)),"","STRING!"),IF(VLOOKUP($K456,base!$B$2:$D$20,3,0)="","",IF(ISTEXT($O456),"NUMERIC!",""))),"")</f>
        <v/>
      </c>
      <c r="AC456" s="17" t="str">
        <f>IF($AA456="","",IF($B456="I",VLOOKUP($AA456,#REF!,53,0),INDEX(VALUES!$B$1:$BT$1,1,$AA456)))</f>
        <v/>
      </c>
    </row>
    <row r="457" spans="1:29" hidden="1" outlineLevel="1" x14ac:dyDescent="0.3">
      <c r="A457" s="22" t="s">
        <v>84</v>
      </c>
      <c r="B457" s="41" t="str">
        <f t="shared" si="35"/>
        <v/>
      </c>
      <c r="C457" s="42">
        <f t="shared" si="36"/>
        <v>456</v>
      </c>
      <c r="D457" s="38"/>
      <c r="E457" s="38"/>
      <c r="F457" s="38"/>
      <c r="G457" s="38" t="s">
        <v>9</v>
      </c>
      <c r="H457" s="38"/>
      <c r="I457" s="38" t="s">
        <v>9</v>
      </c>
      <c r="J457" s="38"/>
      <c r="K457" s="14" t="s">
        <v>36</v>
      </c>
      <c r="L457" s="14" t="s">
        <v>27</v>
      </c>
      <c r="M457" s="20" t="s">
        <v>977</v>
      </c>
      <c r="N457" s="14" t="s">
        <v>978</v>
      </c>
      <c r="O457" s="43">
        <v>0</v>
      </c>
      <c r="R457" s="38" t="s">
        <v>103</v>
      </c>
      <c r="S457" s="38"/>
      <c r="T457" s="38"/>
      <c r="W457" s="15" t="str">
        <f>IF(IFERROR(VLOOKUP($M457,COMPARE!$H$2:$H$847,1,0),"-")="-","","GS")</f>
        <v/>
      </c>
      <c r="Z457" s="59" t="str">
        <f>IF(OR($M457="",NOT($O457="{array}")),"",IFERROR(MATCH(PARAMETERS!$M457,DEFAULT!$B$5:$CX$5,0),""))</f>
        <v/>
      </c>
      <c r="AA457" s="56" t="str">
        <f t="shared" si="34"/>
        <v/>
      </c>
      <c r="AB457" s="63" t="str">
        <f>IF(AND(OR($A457="G",$A457="P"),NOT($O457="{array}")),IF(VLOOKUP($K457,base!$B$2:$D$20,3,0)="S",IF(OR($O457="",ISTEXT($O457)),"","STRING!"),IF(VLOOKUP($K457,base!$B$2:$D$20,3,0)="","",IF(ISTEXT($O457),"NUMERIC!",""))),"")</f>
        <v/>
      </c>
      <c r="AC457" s="17" t="str">
        <f>IF($AA457="","",IF($B457="I",VLOOKUP($AA457,#REF!,53,0),INDEX(VALUES!$B$1:$BT$1,1,$AA457)))</f>
        <v/>
      </c>
    </row>
    <row r="458" spans="1:29" hidden="1" outlineLevel="1" x14ac:dyDescent="0.3">
      <c r="A458" s="22" t="s">
        <v>84</v>
      </c>
      <c r="B458" s="41" t="str">
        <f t="shared" si="35"/>
        <v/>
      </c>
      <c r="C458" s="42">
        <f t="shared" si="36"/>
        <v>457</v>
      </c>
      <c r="D458" s="38"/>
      <c r="E458" s="38"/>
      <c r="F458" s="38" t="s">
        <v>9</v>
      </c>
      <c r="G458" s="38"/>
      <c r="H458" s="38"/>
      <c r="I458" s="38" t="s">
        <v>9</v>
      </c>
      <c r="J458" s="38"/>
      <c r="K458" s="14" t="s">
        <v>36</v>
      </c>
      <c r="L458" s="14" t="s">
        <v>27</v>
      </c>
      <c r="M458" s="20" t="s">
        <v>979</v>
      </c>
      <c r="N458" s="14" t="s">
        <v>980</v>
      </c>
      <c r="O458" s="43">
        <v>2</v>
      </c>
      <c r="R458" s="38" t="s">
        <v>103</v>
      </c>
      <c r="S458" s="38"/>
      <c r="T458" s="38"/>
      <c r="W458" s="15" t="str">
        <f>IF(IFERROR(VLOOKUP($M458,COMPARE!$H$2:$H$847,1,0),"-")="-","","GS")</f>
        <v/>
      </c>
      <c r="Z458" s="59" t="str">
        <f>IF(OR($M458="",NOT($O458="{array}")),"",IFERROR(MATCH(PARAMETERS!$M458,DEFAULT!$B$5:$CX$5,0),""))</f>
        <v/>
      </c>
      <c r="AA458" s="56" t="str">
        <f t="shared" si="34"/>
        <v/>
      </c>
      <c r="AB458" s="63" t="str">
        <f>IF(AND(OR($A458="G",$A458="P"),NOT($O458="{array}")),IF(VLOOKUP($K458,base!$B$2:$D$20,3,0)="S",IF(OR($O458="",ISTEXT($O458)),"","STRING!"),IF(VLOOKUP($K458,base!$B$2:$D$20,3,0)="","",IF(ISTEXT($O458),"NUMERIC!",""))),"")</f>
        <v/>
      </c>
      <c r="AC458" s="17" t="str">
        <f>IF($AA458="","",IF($B458="I",VLOOKUP($AA458,#REF!,53,0),INDEX(VALUES!$B$1:$BT$1,1,$AA458)))</f>
        <v/>
      </c>
    </row>
    <row r="459" spans="1:29" hidden="1" outlineLevel="1" x14ac:dyDescent="0.3">
      <c r="A459" s="22" t="s">
        <v>84</v>
      </c>
      <c r="B459" s="41" t="str">
        <f t="shared" si="35"/>
        <v/>
      </c>
      <c r="C459" s="42">
        <f t="shared" si="36"/>
        <v>458</v>
      </c>
      <c r="D459" s="38"/>
      <c r="E459" s="38"/>
      <c r="F459" s="38" t="s">
        <v>9</v>
      </c>
      <c r="G459" s="38"/>
      <c r="H459" s="38"/>
      <c r="I459" s="38" t="s">
        <v>9</v>
      </c>
      <c r="J459" s="38"/>
      <c r="K459" s="14" t="s">
        <v>47</v>
      </c>
      <c r="L459" s="14" t="s">
        <v>27</v>
      </c>
      <c r="M459" s="20" t="s">
        <v>981</v>
      </c>
      <c r="N459" s="14" t="s">
        <v>982</v>
      </c>
      <c r="O459" s="43">
        <v>0</v>
      </c>
      <c r="R459" s="38" t="s">
        <v>103</v>
      </c>
      <c r="S459" s="38"/>
      <c r="T459" s="38"/>
      <c r="W459" s="15" t="str">
        <f>IF(IFERROR(VLOOKUP($M459,COMPARE!$H$2:$H$847,1,0),"-")="-","","GS")</f>
        <v/>
      </c>
      <c r="Z459" s="59" t="str">
        <f>IF(OR($M459="",NOT($O459="{array}")),"",IFERROR(MATCH(PARAMETERS!$M459,DEFAULT!$B$5:$CX$5,0),""))</f>
        <v/>
      </c>
      <c r="AA459" s="56" t="str">
        <f t="shared" si="34"/>
        <v/>
      </c>
      <c r="AB459" s="63" t="str">
        <f>IF(AND(OR($A459="G",$A459="P"),NOT($O459="{array}")),IF(VLOOKUP($K459,base!$B$2:$D$20,3,0)="S",IF(OR($O459="",ISTEXT($O459)),"","STRING!"),IF(VLOOKUP($K459,base!$B$2:$D$20,3,0)="","",IF(ISTEXT($O459),"NUMERIC!",""))),"")</f>
        <v/>
      </c>
      <c r="AC459" s="17" t="str">
        <f>IF($AA459="","",IF($B459="I",VLOOKUP($AA459,#REF!,53,0),INDEX(VALUES!$B$1:$BT$1,1,$AA459)))</f>
        <v/>
      </c>
    </row>
    <row r="460" spans="1:29" hidden="1" outlineLevel="1" x14ac:dyDescent="0.3">
      <c r="A460" s="22" t="s">
        <v>84</v>
      </c>
      <c r="B460" s="41" t="str">
        <f t="shared" si="35"/>
        <v/>
      </c>
      <c r="C460" s="42">
        <f t="shared" si="36"/>
        <v>459</v>
      </c>
      <c r="D460" s="38"/>
      <c r="E460" s="38"/>
      <c r="F460" s="38" t="s">
        <v>9</v>
      </c>
      <c r="G460" s="38"/>
      <c r="H460" s="38"/>
      <c r="I460" s="38" t="s">
        <v>9</v>
      </c>
      <c r="J460" s="38"/>
      <c r="K460" s="14" t="s">
        <v>24</v>
      </c>
      <c r="L460" s="14" t="s">
        <v>27</v>
      </c>
      <c r="M460" s="20" t="s">
        <v>983</v>
      </c>
      <c r="N460" s="14" t="s">
        <v>984</v>
      </c>
      <c r="O460" s="43">
        <v>0.05</v>
      </c>
      <c r="R460" s="38" t="s">
        <v>103</v>
      </c>
      <c r="S460" s="38"/>
      <c r="T460" s="38"/>
      <c r="W460" s="15" t="str">
        <f>IF(IFERROR(VLOOKUP($M460,COMPARE!$H$2:$H$847,1,0),"-")="-","","GS")</f>
        <v/>
      </c>
      <c r="Z460" s="59" t="str">
        <f>IF(OR($M460="",NOT($O460="{array}")),"",IFERROR(MATCH(PARAMETERS!$M460,DEFAULT!$B$5:$CX$5,0),""))</f>
        <v/>
      </c>
      <c r="AA460" s="56" t="str">
        <f t="shared" si="34"/>
        <v/>
      </c>
      <c r="AB460" s="63" t="str">
        <f>IF(AND(OR($A460="G",$A460="P"),NOT($O460="{array}")),IF(VLOOKUP($K460,base!$B$2:$D$20,3,0)="S",IF(OR($O460="",ISTEXT($O460)),"","STRING!"),IF(VLOOKUP($K460,base!$B$2:$D$20,3,0)="","",IF(ISTEXT($O460),"NUMERIC!",""))),"")</f>
        <v/>
      </c>
      <c r="AC460" s="17" t="str">
        <f>IF($AA460="","",IF($B460="I",VLOOKUP($AA460,#REF!,53,0),INDEX(VALUES!$B$1:$BT$1,1,$AA460)))</f>
        <v/>
      </c>
    </row>
    <row r="461" spans="1:29" hidden="1" outlineLevel="1" x14ac:dyDescent="0.3">
      <c r="A461" s="22" t="s">
        <v>84</v>
      </c>
      <c r="B461" s="41" t="str">
        <f t="shared" si="35"/>
        <v/>
      </c>
      <c r="C461" s="42">
        <f t="shared" si="36"/>
        <v>460</v>
      </c>
      <c r="D461" s="38"/>
      <c r="E461" s="38"/>
      <c r="F461" s="38" t="s">
        <v>9</v>
      </c>
      <c r="G461" s="38"/>
      <c r="H461" s="38"/>
      <c r="I461" s="38" t="s">
        <v>9</v>
      </c>
      <c r="J461" s="38"/>
      <c r="K461" s="14" t="s">
        <v>36</v>
      </c>
      <c r="L461" s="14" t="s">
        <v>27</v>
      </c>
      <c r="M461" s="20" t="s">
        <v>985</v>
      </c>
      <c r="N461" s="14" t="s">
        <v>986</v>
      </c>
      <c r="O461" s="43">
        <v>1</v>
      </c>
      <c r="R461" s="38" t="s">
        <v>103</v>
      </c>
      <c r="S461" s="38"/>
      <c r="T461" s="38"/>
      <c r="W461" s="15" t="str">
        <f>IF(IFERROR(VLOOKUP($M461,COMPARE!$H$2:$H$847,1,0),"-")="-","","GS")</f>
        <v/>
      </c>
      <c r="Z461" s="59" t="str">
        <f>IF(OR($M461="",NOT($O461="{array}")),"",IFERROR(MATCH(PARAMETERS!$M461,DEFAULT!$B$5:$CX$5,0),""))</f>
        <v/>
      </c>
      <c r="AA461" s="56" t="str">
        <f t="shared" si="34"/>
        <v/>
      </c>
      <c r="AB461" s="63" t="str">
        <f>IF(AND(OR($A461="G",$A461="P"),NOT($O461="{array}")),IF(VLOOKUP($K461,base!$B$2:$D$20,3,0)="S",IF(OR($O461="",ISTEXT($O461)),"","STRING!"),IF(VLOOKUP($K461,base!$B$2:$D$20,3,0)="","",IF(ISTEXT($O461),"NUMERIC!",""))),"")</f>
        <v/>
      </c>
      <c r="AC461" s="17" t="str">
        <f>IF($AA461="","",IF($B461="I",VLOOKUP($AA461,#REF!,53,0),INDEX(VALUES!$B$1:$BT$1,1,$AA461)))</f>
        <v/>
      </c>
    </row>
    <row r="462" spans="1:29" hidden="1" outlineLevel="1" x14ac:dyDescent="0.3">
      <c r="A462" s="22" t="s">
        <v>84</v>
      </c>
      <c r="B462" s="41" t="str">
        <f t="shared" si="35"/>
        <v/>
      </c>
      <c r="C462" s="42">
        <f t="shared" si="36"/>
        <v>461</v>
      </c>
      <c r="D462" s="38"/>
      <c r="E462" s="38"/>
      <c r="F462" s="38" t="s">
        <v>9</v>
      </c>
      <c r="G462" s="38"/>
      <c r="H462" s="38"/>
      <c r="I462" s="38" t="s">
        <v>9</v>
      </c>
      <c r="J462" s="38"/>
      <c r="K462" s="14" t="s">
        <v>24</v>
      </c>
      <c r="L462" s="14" t="s">
        <v>27</v>
      </c>
      <c r="M462" s="20" t="s">
        <v>987</v>
      </c>
      <c r="N462" s="14" t="s">
        <v>988</v>
      </c>
      <c r="O462" s="43">
        <v>0</v>
      </c>
      <c r="R462" s="38" t="s">
        <v>103</v>
      </c>
      <c r="S462" s="38"/>
      <c r="T462" s="38"/>
      <c r="W462" s="15" t="str">
        <f>IF(IFERROR(VLOOKUP($M462,COMPARE!$H$2:$H$847,1,0),"-")="-","","GS")</f>
        <v/>
      </c>
      <c r="Z462" s="59" t="str">
        <f>IF(OR($M462="",NOT($O462="{array}")),"",IFERROR(MATCH(PARAMETERS!$M462,DEFAULT!$B$5:$CX$5,0),""))</f>
        <v/>
      </c>
      <c r="AA462" s="56" t="str">
        <f t="shared" si="34"/>
        <v/>
      </c>
      <c r="AB462" s="63" t="str">
        <f>IF(AND(OR($A462="G",$A462="P"),NOT($O462="{array}")),IF(VLOOKUP($K462,base!$B$2:$D$20,3,0)="S",IF(OR($O462="",ISTEXT($O462)),"","STRING!"),IF(VLOOKUP($K462,base!$B$2:$D$20,3,0)="","",IF(ISTEXT($O462),"NUMERIC!",""))),"")</f>
        <v/>
      </c>
      <c r="AC462" s="17" t="str">
        <f>IF($AA462="","",IF($B462="I",VLOOKUP($AA462,#REF!,53,0),INDEX(VALUES!$B$1:$BT$1,1,$AA462)))</f>
        <v/>
      </c>
    </row>
    <row r="463" spans="1:29" hidden="1" outlineLevel="1" x14ac:dyDescent="0.3">
      <c r="A463" s="22" t="s">
        <v>84</v>
      </c>
      <c r="B463" s="41" t="str">
        <f t="shared" si="35"/>
        <v/>
      </c>
      <c r="C463" s="42">
        <f t="shared" si="36"/>
        <v>462</v>
      </c>
      <c r="D463" s="38"/>
      <c r="E463" s="38"/>
      <c r="F463" s="38"/>
      <c r="G463" s="38" t="s">
        <v>9</v>
      </c>
      <c r="H463" s="38"/>
      <c r="I463" s="38" t="s">
        <v>9</v>
      </c>
      <c r="J463" s="38"/>
      <c r="K463" s="14" t="s">
        <v>31</v>
      </c>
      <c r="L463" s="14" t="s">
        <v>27</v>
      </c>
      <c r="M463" s="20" t="s">
        <v>989</v>
      </c>
      <c r="N463" s="14" t="s">
        <v>990</v>
      </c>
      <c r="O463" s="43">
        <v>0</v>
      </c>
      <c r="R463" s="38" t="s">
        <v>103</v>
      </c>
      <c r="S463" s="38"/>
      <c r="T463" s="38"/>
      <c r="W463" s="15" t="str">
        <f>IF(IFERROR(VLOOKUP($M463,COMPARE!$H$2:$H$847,1,0),"-")="-","","GS")</f>
        <v/>
      </c>
      <c r="Z463" s="59" t="str">
        <f>IF(OR($M463="",NOT($O463="{array}")),"",IFERROR(MATCH(PARAMETERS!$M463,DEFAULT!$B$5:$CX$5,0),""))</f>
        <v/>
      </c>
      <c r="AA463" s="56" t="str">
        <f t="shared" si="34"/>
        <v/>
      </c>
      <c r="AB463" s="63" t="str">
        <f>IF(AND(OR($A463="G",$A463="P"),NOT($O463="{array}")),IF(VLOOKUP($K463,base!$B$2:$D$20,3,0)="S",IF(OR($O463="",ISTEXT($O463)),"","STRING!"),IF(VLOOKUP($K463,base!$B$2:$D$20,3,0)="","",IF(ISTEXT($O463),"NUMERIC!",""))),"")</f>
        <v/>
      </c>
      <c r="AC463" s="17" t="str">
        <f>IF($AA463="","",IF($B463="I",VLOOKUP($AA463,#REF!,53,0),INDEX(VALUES!$B$1:$BT$1,1,$AA463)))</f>
        <v/>
      </c>
    </row>
    <row r="464" spans="1:29" hidden="1" outlineLevel="1" x14ac:dyDescent="0.3">
      <c r="A464" s="22" t="s">
        <v>84</v>
      </c>
      <c r="B464" s="41" t="str">
        <f t="shared" si="35"/>
        <v/>
      </c>
      <c r="C464" s="42">
        <f t="shared" si="36"/>
        <v>463</v>
      </c>
      <c r="D464" s="38"/>
      <c r="E464" s="38"/>
      <c r="F464" s="38" t="s">
        <v>9</v>
      </c>
      <c r="G464" s="38"/>
      <c r="H464" s="38" t="s">
        <v>9</v>
      </c>
      <c r="I464" s="38"/>
      <c r="J464" s="38"/>
      <c r="K464" s="14" t="s">
        <v>47</v>
      </c>
      <c r="L464" s="14" t="s">
        <v>27</v>
      </c>
      <c r="M464" s="20" t="s">
        <v>991</v>
      </c>
      <c r="N464" s="14" t="s">
        <v>992</v>
      </c>
      <c r="O464" s="43">
        <v>0</v>
      </c>
      <c r="R464" s="38" t="s">
        <v>103</v>
      </c>
      <c r="S464" s="38"/>
      <c r="T464" s="38"/>
      <c r="W464" s="15" t="str">
        <f>IF(IFERROR(VLOOKUP($M464,COMPARE!$H$2:$H$847,1,0),"-")="-","","GS")</f>
        <v/>
      </c>
      <c r="Z464" s="59" t="str">
        <f>IF(OR($M464="",NOT($O464="{array}")),"",IFERROR(MATCH(PARAMETERS!$M464,DEFAULT!$B$5:$CX$5,0),""))</f>
        <v/>
      </c>
      <c r="AA464" s="56" t="str">
        <f t="shared" si="34"/>
        <v/>
      </c>
      <c r="AB464" s="63" t="str">
        <f>IF(AND(OR($A464="G",$A464="P"),NOT($O464="{array}")),IF(VLOOKUP($K464,base!$B$2:$D$20,3,0)="S",IF(OR($O464="",ISTEXT($O464)),"","STRING!"),IF(VLOOKUP($K464,base!$B$2:$D$20,3,0)="","",IF(ISTEXT($O464),"NUMERIC!",""))),"")</f>
        <v/>
      </c>
      <c r="AC464" s="17" t="str">
        <f>IF($AA464="","",IF($B464="I",VLOOKUP($AA464,#REF!,53,0),INDEX(VALUES!$B$1:$BT$1,1,$AA464)))</f>
        <v/>
      </c>
    </row>
    <row r="465" spans="1:29" hidden="1" outlineLevel="1" x14ac:dyDescent="0.3">
      <c r="A465" s="22" t="s">
        <v>84</v>
      </c>
      <c r="B465" s="41" t="str">
        <f t="shared" si="35"/>
        <v/>
      </c>
      <c r="C465" s="42">
        <f t="shared" si="36"/>
        <v>464</v>
      </c>
      <c r="D465" s="38"/>
      <c r="E465" s="38"/>
      <c r="F465" s="38" t="s">
        <v>9</v>
      </c>
      <c r="G465" s="38"/>
      <c r="H465" s="38"/>
      <c r="I465" s="38" t="s">
        <v>9</v>
      </c>
      <c r="J465" s="38"/>
      <c r="K465" s="14" t="s">
        <v>44</v>
      </c>
      <c r="L465" s="14" t="s">
        <v>27</v>
      </c>
      <c r="M465" s="20" t="s">
        <v>993</v>
      </c>
      <c r="N465" s="14" t="s">
        <v>994</v>
      </c>
      <c r="O465" s="43">
        <v>1</v>
      </c>
      <c r="R465" s="38" t="s">
        <v>103</v>
      </c>
      <c r="S465" s="38"/>
      <c r="T465" s="38"/>
      <c r="W465" s="15" t="str">
        <f>IF(IFERROR(VLOOKUP($M465,COMPARE!$H$2:$H$847,1,0),"-")="-","","GS")</f>
        <v/>
      </c>
      <c r="Z465" s="59" t="str">
        <f>IF(OR($M465="",NOT($O465="{array}")),"",IFERROR(MATCH(PARAMETERS!$M465,DEFAULT!$B$5:$CX$5,0),""))</f>
        <v/>
      </c>
      <c r="AA465" s="56" t="str">
        <f t="shared" si="34"/>
        <v/>
      </c>
      <c r="AB465" s="63" t="str">
        <f>IF(AND(OR($A465="G",$A465="P"),NOT($O465="{array}")),IF(VLOOKUP($K465,base!$B$2:$D$20,3,0)="S",IF(OR($O465="",ISTEXT($O465)),"","STRING!"),IF(VLOOKUP($K465,base!$B$2:$D$20,3,0)="","",IF(ISTEXT($O465),"NUMERIC!",""))),"")</f>
        <v/>
      </c>
      <c r="AC465" s="17" t="str">
        <f>IF($AA465="","",IF($B465="I",VLOOKUP($AA465,#REF!,53,0),INDEX(VALUES!$B$1:$BT$1,1,$AA465)))</f>
        <v/>
      </c>
    </row>
    <row r="466" spans="1:29" hidden="1" outlineLevel="1" x14ac:dyDescent="0.3">
      <c r="A466" s="22" t="s">
        <v>84</v>
      </c>
      <c r="B466" s="41" t="str">
        <f t="shared" si="35"/>
        <v/>
      </c>
      <c r="C466" s="42">
        <f t="shared" si="36"/>
        <v>465</v>
      </c>
      <c r="D466" s="38"/>
      <c r="E466" s="38"/>
      <c r="F466" s="38" t="s">
        <v>9</v>
      </c>
      <c r="G466" s="38"/>
      <c r="H466" s="38"/>
      <c r="I466" s="38" t="s">
        <v>9</v>
      </c>
      <c r="J466" s="38"/>
      <c r="K466" s="14" t="s">
        <v>47</v>
      </c>
      <c r="L466" s="14" t="s">
        <v>27</v>
      </c>
      <c r="M466" s="20" t="s">
        <v>995</v>
      </c>
      <c r="N466" s="14" t="s">
        <v>996</v>
      </c>
      <c r="O466" s="43">
        <v>1</v>
      </c>
      <c r="R466" s="38" t="s">
        <v>103</v>
      </c>
      <c r="S466" s="38"/>
      <c r="T466" s="38"/>
      <c r="W466" s="15" t="str">
        <f>IF(IFERROR(VLOOKUP($M466,COMPARE!$H$2:$H$847,1,0),"-")="-","","GS")</f>
        <v/>
      </c>
      <c r="Z466" s="59" t="str">
        <f>IF(OR($M466="",NOT($O466="{array}")),"",IFERROR(MATCH(PARAMETERS!$M466,DEFAULT!$B$5:$CX$5,0),""))</f>
        <v/>
      </c>
      <c r="AA466" s="56" t="str">
        <f t="shared" si="34"/>
        <v/>
      </c>
      <c r="AB466" s="63" t="str">
        <f>IF(AND(OR($A466="G",$A466="P"),NOT($O466="{array}")),IF(VLOOKUP($K466,base!$B$2:$D$20,3,0)="S",IF(OR($O466="",ISTEXT($O466)),"","STRING!"),IF(VLOOKUP($K466,base!$B$2:$D$20,3,0)="","",IF(ISTEXT($O466),"NUMERIC!",""))),"")</f>
        <v/>
      </c>
      <c r="AC466" s="17" t="str">
        <f>IF($AA466="","",IF($B466="I",VLOOKUP($AA466,#REF!,53,0),INDEX(VALUES!$B$1:$BT$1,1,$AA466)))</f>
        <v/>
      </c>
    </row>
    <row r="467" spans="1:29" hidden="1" outlineLevel="1" x14ac:dyDescent="0.3">
      <c r="A467" s="22" t="s">
        <v>84</v>
      </c>
      <c r="B467" s="41" t="str">
        <f t="shared" si="35"/>
        <v/>
      </c>
      <c r="C467" s="42">
        <f t="shared" si="36"/>
        <v>466</v>
      </c>
      <c r="D467" s="38"/>
      <c r="E467" s="38"/>
      <c r="F467" s="38" t="s">
        <v>9</v>
      </c>
      <c r="G467" s="38"/>
      <c r="H467" s="38"/>
      <c r="I467" s="38" t="s">
        <v>9</v>
      </c>
      <c r="J467" s="38"/>
      <c r="K467" s="14" t="s">
        <v>18</v>
      </c>
      <c r="L467" s="14" t="s">
        <v>27</v>
      </c>
      <c r="M467" s="20" t="s">
        <v>997</v>
      </c>
      <c r="N467" s="14" t="s">
        <v>998</v>
      </c>
      <c r="O467" s="43" t="s">
        <v>999</v>
      </c>
      <c r="R467" s="38" t="s">
        <v>103</v>
      </c>
      <c r="S467" s="38"/>
      <c r="T467" s="38"/>
      <c r="W467" s="15" t="str">
        <f>IF(IFERROR(VLOOKUP($M467,COMPARE!$H$2:$H$847,1,0),"-")="-","","GS")</f>
        <v/>
      </c>
      <c r="Z467" s="59" t="str">
        <f>IF(OR($M467="",NOT($O467="{array}")),"",IFERROR(MATCH(PARAMETERS!$M467,DEFAULT!$B$5:$CX$5,0),""))</f>
        <v/>
      </c>
      <c r="AA467" s="56" t="str">
        <f t="shared" si="34"/>
        <v/>
      </c>
      <c r="AB467" s="63" t="str">
        <f>IF(AND(OR($A467="G",$A467="P"),NOT($O467="{array}")),IF(VLOOKUP($K467,base!$B$2:$D$20,3,0)="S",IF(OR($O467="",ISTEXT($O467)),"","STRING!"),IF(VLOOKUP($K467,base!$B$2:$D$20,3,0)="","",IF(ISTEXT($O467),"NUMERIC!",""))),"")</f>
        <v/>
      </c>
      <c r="AC467" s="17" t="str">
        <f>IF($AA467="","",IF($B467="I",VLOOKUP($AA467,#REF!,53,0),INDEX(VALUES!$B$1:$BT$1,1,$AA467)))</f>
        <v/>
      </c>
    </row>
    <row r="468" spans="1:29" hidden="1" outlineLevel="1" x14ac:dyDescent="0.3">
      <c r="A468" s="22" t="s">
        <v>84</v>
      </c>
      <c r="B468" s="41" t="str">
        <f t="shared" si="35"/>
        <v/>
      </c>
      <c r="C468" s="42">
        <f t="shared" si="36"/>
        <v>467</v>
      </c>
      <c r="D468" s="38"/>
      <c r="E468" s="38"/>
      <c r="F468" s="38" t="s">
        <v>9</v>
      </c>
      <c r="G468" s="38"/>
      <c r="H468" s="38"/>
      <c r="I468" s="38" t="s">
        <v>9</v>
      </c>
      <c r="J468" s="38"/>
      <c r="K468" s="14" t="s">
        <v>47</v>
      </c>
      <c r="L468" s="14" t="s">
        <v>27</v>
      </c>
      <c r="M468" s="20" t="s">
        <v>1000</v>
      </c>
      <c r="N468" s="14" t="s">
        <v>1001</v>
      </c>
      <c r="O468" s="43">
        <v>1</v>
      </c>
      <c r="R468" s="38" t="s">
        <v>103</v>
      </c>
      <c r="S468" s="38"/>
      <c r="T468" s="38"/>
      <c r="W468" s="15" t="str">
        <f>IF(IFERROR(VLOOKUP($M468,COMPARE!$H$2:$H$847,1,0),"-")="-","","GS")</f>
        <v/>
      </c>
      <c r="Z468" s="59" t="str">
        <f>IF(OR($M468="",NOT($O468="{array}")),"",IFERROR(MATCH(PARAMETERS!$M468,DEFAULT!$B$5:$CX$5,0),""))</f>
        <v/>
      </c>
      <c r="AA468" s="56" t="str">
        <f t="shared" si="34"/>
        <v/>
      </c>
      <c r="AB468" s="63" t="str">
        <f>IF(AND(OR($A468="G",$A468="P"),NOT($O468="{array}")),IF(VLOOKUP($K468,base!$B$2:$D$20,3,0)="S",IF(OR($O468="",ISTEXT($O468)),"","STRING!"),IF(VLOOKUP($K468,base!$B$2:$D$20,3,0)="","",IF(ISTEXT($O468),"NUMERIC!",""))),"")</f>
        <v/>
      </c>
      <c r="AC468" s="17" t="str">
        <f>IF($AA468="","",IF($B468="I",VLOOKUP($AA468,#REF!,53,0),INDEX(VALUES!$B$1:$BT$1,1,$AA468)))</f>
        <v/>
      </c>
    </row>
    <row r="469" spans="1:29" hidden="1" outlineLevel="1" x14ac:dyDescent="0.3">
      <c r="A469" s="22" t="s">
        <v>84</v>
      </c>
      <c r="B469" s="41" t="str">
        <f t="shared" si="35"/>
        <v/>
      </c>
      <c r="C469" s="42">
        <f t="shared" si="36"/>
        <v>468</v>
      </c>
      <c r="D469" s="38"/>
      <c r="E469" s="38"/>
      <c r="F469" s="38" t="s">
        <v>9</v>
      </c>
      <c r="G469" s="38"/>
      <c r="H469" s="38"/>
      <c r="I469" s="38" t="s">
        <v>9</v>
      </c>
      <c r="J469" s="38"/>
      <c r="K469" s="14" t="s">
        <v>47</v>
      </c>
      <c r="L469" s="14" t="s">
        <v>27</v>
      </c>
      <c r="M469" s="20" t="s">
        <v>1002</v>
      </c>
      <c r="N469" s="14" t="s">
        <v>1003</v>
      </c>
      <c r="O469" s="43">
        <v>1</v>
      </c>
      <c r="R469" s="38" t="s">
        <v>103</v>
      </c>
      <c r="S469" s="38"/>
      <c r="T469" s="38"/>
      <c r="W469" s="15" t="str">
        <f>IF(IFERROR(VLOOKUP($M469,COMPARE!$H$2:$H$847,1,0),"-")="-","","GS")</f>
        <v/>
      </c>
      <c r="Z469" s="59" t="str">
        <f>IF(OR($M469="",NOT($O469="{array}")),"",IFERROR(MATCH(PARAMETERS!$M469,DEFAULT!$B$5:$CX$5,0),""))</f>
        <v/>
      </c>
      <c r="AA469" s="56" t="str">
        <f t="shared" si="34"/>
        <v/>
      </c>
      <c r="AB469" s="63" t="str">
        <f>IF(AND(OR($A469="G",$A469="P"),NOT($O469="{array}")),IF(VLOOKUP($K469,base!$B$2:$D$20,3,0)="S",IF(OR($O469="",ISTEXT($O469)),"","STRING!"),IF(VLOOKUP($K469,base!$B$2:$D$20,3,0)="","",IF(ISTEXT($O469),"NUMERIC!",""))),"")</f>
        <v/>
      </c>
      <c r="AC469" s="17" t="str">
        <f>IF($AA469="","",IF($B469="I",VLOOKUP($AA469,#REF!,53,0),INDEX(VALUES!$B$1:$BT$1,1,$AA469)))</f>
        <v/>
      </c>
    </row>
    <row r="470" spans="1:29" hidden="1" outlineLevel="1" x14ac:dyDescent="0.3">
      <c r="A470" s="22" t="s">
        <v>84</v>
      </c>
      <c r="B470" s="41" t="str">
        <f t="shared" si="35"/>
        <v/>
      </c>
      <c r="C470" s="42">
        <f t="shared" si="36"/>
        <v>469</v>
      </c>
      <c r="D470" s="38"/>
      <c r="E470" s="38"/>
      <c r="F470" s="38" t="s">
        <v>9</v>
      </c>
      <c r="G470" s="38"/>
      <c r="H470" s="38"/>
      <c r="I470" s="38" t="s">
        <v>9</v>
      </c>
      <c r="J470" s="38"/>
      <c r="K470" s="14" t="s">
        <v>24</v>
      </c>
      <c r="L470" s="14" t="s">
        <v>27</v>
      </c>
      <c r="M470" s="20" t="s">
        <v>1004</v>
      </c>
      <c r="N470" s="14" t="s">
        <v>1005</v>
      </c>
      <c r="O470" s="43">
        <v>0</v>
      </c>
      <c r="R470" s="38" t="s">
        <v>103</v>
      </c>
      <c r="S470" s="38"/>
      <c r="T470" s="38"/>
      <c r="W470" s="15" t="str">
        <f>IF(IFERROR(VLOOKUP($M470,COMPARE!$H$2:$H$847,1,0),"-")="-","","GS")</f>
        <v/>
      </c>
      <c r="Z470" s="59" t="str">
        <f>IF(OR($M470="",NOT($O470="{array}")),"",IFERROR(MATCH(PARAMETERS!$M470,DEFAULT!$B$5:$CX$5,0),""))</f>
        <v/>
      </c>
      <c r="AA470" s="56" t="str">
        <f t="shared" si="34"/>
        <v/>
      </c>
      <c r="AB470" s="63" t="str">
        <f>IF(AND(OR($A470="G",$A470="P"),NOT($O470="{array}")),IF(VLOOKUP($K470,base!$B$2:$D$20,3,0)="S",IF(OR($O470="",ISTEXT($O470)),"","STRING!"),IF(VLOOKUP($K470,base!$B$2:$D$20,3,0)="","",IF(ISTEXT($O470),"NUMERIC!",""))),"")</f>
        <v/>
      </c>
      <c r="AC470" s="17" t="str">
        <f>IF($AA470="","",IF($B470="I",VLOOKUP($AA470,#REF!,53,0),INDEX(VALUES!$B$1:$BT$1,1,$AA470)))</f>
        <v/>
      </c>
    </row>
    <row r="471" spans="1:29" hidden="1" outlineLevel="1" x14ac:dyDescent="0.3">
      <c r="A471" s="22" t="s">
        <v>84</v>
      </c>
      <c r="B471" s="41" t="str">
        <f t="shared" si="35"/>
        <v/>
      </c>
      <c r="C471" s="42">
        <f t="shared" si="36"/>
        <v>470</v>
      </c>
      <c r="D471" s="38"/>
      <c r="E471" s="38"/>
      <c r="F471" s="38" t="s">
        <v>9</v>
      </c>
      <c r="G471" s="38"/>
      <c r="H471" s="38"/>
      <c r="I471" s="38" t="s">
        <v>9</v>
      </c>
      <c r="J471" s="38"/>
      <c r="K471" s="14" t="s">
        <v>24</v>
      </c>
      <c r="L471" s="14" t="s">
        <v>27</v>
      </c>
      <c r="M471" s="20" t="s">
        <v>1006</v>
      </c>
      <c r="N471" s="14" t="s">
        <v>1007</v>
      </c>
      <c r="O471" s="43">
        <v>0.4</v>
      </c>
      <c r="R471" s="38" t="s">
        <v>103</v>
      </c>
      <c r="S471" s="38"/>
      <c r="T471" s="38"/>
      <c r="W471" s="15" t="str">
        <f>IF(IFERROR(VLOOKUP($M471,COMPARE!$H$2:$H$847,1,0),"-")="-","","GS")</f>
        <v/>
      </c>
      <c r="Z471" s="59" t="str">
        <f>IF(OR($M471="",NOT($O471="{array}")),"",IFERROR(MATCH(PARAMETERS!$M471,DEFAULT!$B$5:$CX$5,0),""))</f>
        <v/>
      </c>
      <c r="AA471" s="56" t="str">
        <f t="shared" si="34"/>
        <v/>
      </c>
      <c r="AB471" s="63" t="str">
        <f>IF(AND(OR($A471="G",$A471="P"),NOT($O471="{array}")),IF(VLOOKUP($K471,base!$B$2:$D$20,3,0)="S",IF(OR($O471="",ISTEXT($O471)),"","STRING!"),IF(VLOOKUP($K471,base!$B$2:$D$20,3,0)="","",IF(ISTEXT($O471),"NUMERIC!",""))),"")</f>
        <v/>
      </c>
      <c r="AC471" s="17" t="str">
        <f>IF($AA471="","",IF($B471="I",VLOOKUP($AA471,#REF!,53,0),INDEX(VALUES!$B$1:$BT$1,1,$AA471)))</f>
        <v/>
      </c>
    </row>
    <row r="472" spans="1:29" hidden="1" outlineLevel="1" x14ac:dyDescent="0.3">
      <c r="A472" s="22" t="s">
        <v>84</v>
      </c>
      <c r="B472" s="41" t="str">
        <f t="shared" si="35"/>
        <v/>
      </c>
      <c r="C472" s="42">
        <f t="shared" si="36"/>
        <v>471</v>
      </c>
      <c r="D472" s="38"/>
      <c r="E472" s="38"/>
      <c r="F472" s="38" t="s">
        <v>9</v>
      </c>
      <c r="G472" s="38"/>
      <c r="H472" s="38"/>
      <c r="I472" s="38" t="s">
        <v>9</v>
      </c>
      <c r="J472" s="38"/>
      <c r="K472" s="14" t="s">
        <v>36</v>
      </c>
      <c r="L472" s="14" t="s">
        <v>27</v>
      </c>
      <c r="M472" s="20" t="s">
        <v>1008</v>
      </c>
      <c r="N472" s="14" t="s">
        <v>1009</v>
      </c>
      <c r="O472" s="43">
        <v>0</v>
      </c>
      <c r="R472" s="38" t="s">
        <v>103</v>
      </c>
      <c r="S472" s="38"/>
      <c r="T472" s="38"/>
      <c r="W472" s="15" t="str">
        <f>IF(IFERROR(VLOOKUP($M472,COMPARE!$H$2:$H$847,1,0),"-")="-","","GS")</f>
        <v/>
      </c>
      <c r="Z472" s="59" t="str">
        <f>IF(OR($M472="",NOT($O472="{array}")),"",IFERROR(MATCH(PARAMETERS!$M472,DEFAULT!$B$5:$CX$5,0),""))</f>
        <v/>
      </c>
      <c r="AA472" s="56" t="str">
        <f t="shared" si="34"/>
        <v/>
      </c>
      <c r="AB472" s="63" t="str">
        <f>IF(AND(OR($A472="G",$A472="P"),NOT($O472="{array}")),IF(VLOOKUP($K472,base!$B$2:$D$20,3,0)="S",IF(OR($O472="",ISTEXT($O472)),"","STRING!"),IF(VLOOKUP($K472,base!$B$2:$D$20,3,0)="","",IF(ISTEXT($O472),"NUMERIC!",""))),"")</f>
        <v/>
      </c>
      <c r="AC472" s="17" t="str">
        <f>IF($AA472="","",IF($B472="I",VLOOKUP($AA472,#REF!,53,0),INDEX(VALUES!$B$1:$BT$1,1,$AA472)))</f>
        <v/>
      </c>
    </row>
    <row r="473" spans="1:29" hidden="1" outlineLevel="1" x14ac:dyDescent="0.3">
      <c r="A473" s="22" t="s">
        <v>84</v>
      </c>
      <c r="B473" s="41" t="str">
        <f t="shared" si="35"/>
        <v/>
      </c>
      <c r="C473" s="42">
        <f t="shared" si="36"/>
        <v>472</v>
      </c>
      <c r="D473" s="38"/>
      <c r="E473" s="38"/>
      <c r="F473" s="38" t="s">
        <v>9</v>
      </c>
      <c r="G473" s="38"/>
      <c r="H473" s="38"/>
      <c r="I473" s="38" t="s">
        <v>9</v>
      </c>
      <c r="J473" s="38"/>
      <c r="K473" s="14" t="s">
        <v>36</v>
      </c>
      <c r="L473" s="14" t="s">
        <v>27</v>
      </c>
      <c r="M473" s="20" t="s">
        <v>1010</v>
      </c>
      <c r="N473" s="14" t="s">
        <v>1011</v>
      </c>
      <c r="O473" s="43">
        <v>8</v>
      </c>
      <c r="R473" s="38" t="s">
        <v>103</v>
      </c>
      <c r="S473" s="38"/>
      <c r="T473" s="38"/>
      <c r="W473" s="15" t="str">
        <f>IF(IFERROR(VLOOKUP($M473,COMPARE!$H$2:$H$847,1,0),"-")="-","","GS")</f>
        <v/>
      </c>
      <c r="Z473" s="59" t="str">
        <f>IF(OR($M473="",NOT($O473="{array}")),"",IFERROR(MATCH(PARAMETERS!$M473,DEFAULT!$B$5:$CX$5,0),""))</f>
        <v/>
      </c>
      <c r="AA473" s="56" t="str">
        <f t="shared" si="34"/>
        <v/>
      </c>
      <c r="AB473" s="63" t="str">
        <f>IF(AND(OR($A473="G",$A473="P"),NOT($O473="{array}")),IF(VLOOKUP($K473,base!$B$2:$D$20,3,0)="S",IF(OR($O473="",ISTEXT($O473)),"","STRING!"),IF(VLOOKUP($K473,base!$B$2:$D$20,3,0)="","",IF(ISTEXT($O473),"NUMERIC!",""))),"")</f>
        <v/>
      </c>
      <c r="AC473" s="17" t="str">
        <f>IF($AA473="","",IF($B473="I",VLOOKUP($AA473,#REF!,53,0),INDEX(VALUES!$B$1:$BT$1,1,$AA473)))</f>
        <v/>
      </c>
    </row>
    <row r="474" spans="1:29" hidden="1" outlineLevel="1" x14ac:dyDescent="0.3">
      <c r="A474" s="22" t="s">
        <v>84</v>
      </c>
      <c r="B474" s="41" t="str">
        <f t="shared" si="35"/>
        <v/>
      </c>
      <c r="C474" s="42">
        <f t="shared" si="36"/>
        <v>473</v>
      </c>
      <c r="D474" s="38"/>
      <c r="E474" s="38"/>
      <c r="F474" s="38" t="s">
        <v>9</v>
      </c>
      <c r="G474" s="38"/>
      <c r="H474" s="38"/>
      <c r="I474" s="38" t="s">
        <v>9</v>
      </c>
      <c r="J474" s="38"/>
      <c r="K474" s="14" t="s">
        <v>18</v>
      </c>
      <c r="L474" s="14" t="s">
        <v>27</v>
      </c>
      <c r="M474" s="20" t="s">
        <v>1012</v>
      </c>
      <c r="N474" s="14" t="s">
        <v>957</v>
      </c>
      <c r="O474" s="43" t="s">
        <v>958</v>
      </c>
      <c r="R474" s="38" t="s">
        <v>103</v>
      </c>
      <c r="S474" s="38"/>
      <c r="T474" s="38"/>
      <c r="W474" s="15" t="str">
        <f>IF(IFERROR(VLOOKUP($M474,COMPARE!$H$2:$H$847,1,0),"-")="-","","GS")</f>
        <v/>
      </c>
      <c r="Z474" s="59" t="str">
        <f>IF(OR($M474="",NOT($O474="{array}")),"",IFERROR(MATCH(PARAMETERS!$M474,DEFAULT!$B$5:$CX$5,0),""))</f>
        <v/>
      </c>
      <c r="AA474" s="56" t="str">
        <f t="shared" si="34"/>
        <v/>
      </c>
      <c r="AB474" s="63" t="str">
        <f>IF(AND(OR($A474="G",$A474="P"),NOT($O474="{array}")),IF(VLOOKUP($K474,base!$B$2:$D$20,3,0)="S",IF(OR($O474="",ISTEXT($O474)),"","STRING!"),IF(VLOOKUP($K474,base!$B$2:$D$20,3,0)="","",IF(ISTEXT($O474),"NUMERIC!",""))),"")</f>
        <v/>
      </c>
      <c r="AC474" s="17" t="str">
        <f>IF($AA474="","",IF($B474="I",VLOOKUP($AA474,#REF!,53,0),INDEX(VALUES!$B$1:$BT$1,1,$AA474)))</f>
        <v/>
      </c>
    </row>
    <row r="475" spans="1:29" hidden="1" outlineLevel="1" x14ac:dyDescent="0.3">
      <c r="A475" s="22" t="s">
        <v>84</v>
      </c>
      <c r="B475" s="41" t="str">
        <f t="shared" si="35"/>
        <v/>
      </c>
      <c r="C475" s="42">
        <f t="shared" si="36"/>
        <v>474</v>
      </c>
      <c r="D475" s="38"/>
      <c r="E475" s="38"/>
      <c r="F475" s="38" t="s">
        <v>9</v>
      </c>
      <c r="G475" s="38" t="s">
        <v>9</v>
      </c>
      <c r="H475" s="38"/>
      <c r="I475" s="38" t="s">
        <v>9</v>
      </c>
      <c r="J475" s="38"/>
      <c r="K475" s="14" t="s">
        <v>44</v>
      </c>
      <c r="L475" s="14" t="s">
        <v>27</v>
      </c>
      <c r="M475" s="20" t="s">
        <v>1013</v>
      </c>
      <c r="N475" s="14" t="s">
        <v>960</v>
      </c>
      <c r="O475" s="43">
        <v>2</v>
      </c>
      <c r="R475" s="38" t="s">
        <v>103</v>
      </c>
      <c r="S475" s="38"/>
      <c r="T475" s="38"/>
      <c r="W475" s="15" t="str">
        <f>IF(IFERROR(VLOOKUP($M475,COMPARE!$H$2:$H$847,1,0),"-")="-","","GS")</f>
        <v/>
      </c>
      <c r="Z475" s="59" t="str">
        <f>IF(OR($M475="",NOT($O475="{array}")),"",IFERROR(MATCH(PARAMETERS!$M475,DEFAULT!$B$5:$CX$5,0),""))</f>
        <v/>
      </c>
      <c r="AA475" s="56" t="str">
        <f t="shared" si="34"/>
        <v/>
      </c>
      <c r="AB475" s="63" t="str">
        <f>IF(AND(OR($A475="G",$A475="P"),NOT($O475="{array}")),IF(VLOOKUP($K475,base!$B$2:$D$20,3,0)="S",IF(OR($O475="",ISTEXT($O475)),"","STRING!"),IF(VLOOKUP($K475,base!$B$2:$D$20,3,0)="","",IF(ISTEXT($O475),"NUMERIC!",""))),"")</f>
        <v/>
      </c>
      <c r="AC475" s="17" t="str">
        <f>IF($AA475="","",IF($B475="I",VLOOKUP($AA475,#REF!,53,0),INDEX(VALUES!$B$1:$BT$1,1,$AA475)))</f>
        <v/>
      </c>
    </row>
    <row r="476" spans="1:29" hidden="1" outlineLevel="1" x14ac:dyDescent="0.3">
      <c r="A476" s="22" t="s">
        <v>84</v>
      </c>
      <c r="B476" s="41" t="str">
        <f t="shared" si="35"/>
        <v/>
      </c>
      <c r="C476" s="42">
        <f t="shared" si="36"/>
        <v>475</v>
      </c>
      <c r="D476" s="38"/>
      <c r="E476" s="38"/>
      <c r="F476" s="38" t="s">
        <v>9</v>
      </c>
      <c r="G476" s="38"/>
      <c r="H476" s="38"/>
      <c r="I476" s="38" t="s">
        <v>9</v>
      </c>
      <c r="J476" s="38"/>
      <c r="K476" s="14" t="s">
        <v>36</v>
      </c>
      <c r="L476" s="14" t="s">
        <v>27</v>
      </c>
      <c r="M476" s="20" t="s">
        <v>1014</v>
      </c>
      <c r="N476" s="14" t="s">
        <v>966</v>
      </c>
      <c r="O476" s="43">
        <v>2</v>
      </c>
      <c r="R476" s="38" t="s">
        <v>103</v>
      </c>
      <c r="S476" s="38"/>
      <c r="T476" s="38"/>
      <c r="W476" s="15" t="str">
        <f>IF(IFERROR(VLOOKUP($M476,COMPARE!$H$2:$H$847,1,0),"-")="-","","GS")</f>
        <v/>
      </c>
      <c r="Z476" s="59" t="str">
        <f>IF(OR($M476="",NOT($O476="{array}")),"",IFERROR(MATCH(PARAMETERS!$M476,DEFAULT!$B$5:$CX$5,0),""))</f>
        <v/>
      </c>
      <c r="AA476" s="56" t="str">
        <f t="shared" si="34"/>
        <v/>
      </c>
      <c r="AB476" s="63" t="str">
        <f>IF(AND(OR($A476="G",$A476="P"),NOT($O476="{array}")),IF(VLOOKUP($K476,base!$B$2:$D$20,3,0)="S",IF(OR($O476="",ISTEXT($O476)),"","STRING!"),IF(VLOOKUP($K476,base!$B$2:$D$20,3,0)="","",IF(ISTEXT($O476),"NUMERIC!",""))),"")</f>
        <v/>
      </c>
      <c r="AC476" s="17" t="str">
        <f>IF($AA476="","",IF($B476="I",VLOOKUP($AA476,#REF!,53,0),INDEX(VALUES!$B$1:$BT$1,1,$AA476)))</f>
        <v/>
      </c>
    </row>
    <row r="477" spans="1:29" hidden="1" outlineLevel="1" x14ac:dyDescent="0.3">
      <c r="A477" s="22" t="s">
        <v>84</v>
      </c>
      <c r="B477" s="41" t="str">
        <f t="shared" si="35"/>
        <v/>
      </c>
      <c r="C477" s="42">
        <f t="shared" si="36"/>
        <v>476</v>
      </c>
      <c r="D477" s="38"/>
      <c r="E477" s="38"/>
      <c r="F477" s="38" t="s">
        <v>9</v>
      </c>
      <c r="G477" s="38"/>
      <c r="H477" s="38"/>
      <c r="I477" s="38" t="s">
        <v>9</v>
      </c>
      <c r="J477" s="38"/>
      <c r="K477" s="14" t="s">
        <v>24</v>
      </c>
      <c r="L477" s="14" t="s">
        <v>27</v>
      </c>
      <c r="M477" s="20" t="s">
        <v>1015</v>
      </c>
      <c r="N477" s="14" t="s">
        <v>964</v>
      </c>
      <c r="O477" s="43">
        <v>0.1</v>
      </c>
      <c r="R477" s="38" t="s">
        <v>103</v>
      </c>
      <c r="S477" s="38"/>
      <c r="T477" s="38"/>
      <c r="W477" s="15" t="str">
        <f>IF(IFERROR(VLOOKUP($M477,COMPARE!$H$2:$H$847,1,0),"-")="-","","GS")</f>
        <v/>
      </c>
      <c r="Z477" s="59" t="str">
        <f>IF(OR($M477="",NOT($O477="{array}")),"",IFERROR(MATCH(PARAMETERS!$M477,DEFAULT!$B$5:$CX$5,0),""))</f>
        <v/>
      </c>
      <c r="AA477" s="56" t="str">
        <f t="shared" si="34"/>
        <v/>
      </c>
      <c r="AB477" s="63" t="str">
        <f>IF(AND(OR($A477="G",$A477="P"),NOT($O477="{array}")),IF(VLOOKUP($K477,base!$B$2:$D$20,3,0)="S",IF(OR($O477="",ISTEXT($O477)),"","STRING!"),IF(VLOOKUP($K477,base!$B$2:$D$20,3,0)="","",IF(ISTEXT($O477),"NUMERIC!",""))),"")</f>
        <v/>
      </c>
      <c r="AC477" s="17" t="str">
        <f>IF($AA477="","",IF($B477="I",VLOOKUP($AA477,#REF!,53,0),INDEX(VALUES!$B$1:$BT$1,1,$AA477)))</f>
        <v/>
      </c>
    </row>
    <row r="478" spans="1:29" hidden="1" outlineLevel="1" x14ac:dyDescent="0.3">
      <c r="A478" s="22" t="s">
        <v>84</v>
      </c>
      <c r="B478" s="41" t="str">
        <f t="shared" si="35"/>
        <v/>
      </c>
      <c r="C478" s="42">
        <f t="shared" si="36"/>
        <v>477</v>
      </c>
      <c r="D478" s="38"/>
      <c r="E478" s="38"/>
      <c r="F478" s="38" t="s">
        <v>9</v>
      </c>
      <c r="G478" s="38"/>
      <c r="H478" s="38"/>
      <c r="I478" s="38" t="s">
        <v>9</v>
      </c>
      <c r="J478" s="38"/>
      <c r="K478" s="14" t="s">
        <v>18</v>
      </c>
      <c r="L478" s="14" t="s">
        <v>27</v>
      </c>
      <c r="M478" s="20" t="s">
        <v>1016</v>
      </c>
      <c r="N478" s="14" t="s">
        <v>962</v>
      </c>
      <c r="O478" s="43" t="s">
        <v>796</v>
      </c>
      <c r="R478" s="38" t="s">
        <v>103</v>
      </c>
      <c r="S478" s="38"/>
      <c r="T478" s="38"/>
      <c r="W478" s="15" t="str">
        <f>IF(IFERROR(VLOOKUP($M478,COMPARE!$H$2:$H$847,1,0),"-")="-","","GS")</f>
        <v/>
      </c>
      <c r="Z478" s="59" t="str">
        <f>IF(OR($M478="",NOT($O478="{array}")),"",IFERROR(MATCH(PARAMETERS!$M478,DEFAULT!$B$5:$CX$5,0),""))</f>
        <v/>
      </c>
      <c r="AA478" s="56" t="str">
        <f t="shared" si="34"/>
        <v/>
      </c>
      <c r="AB478" s="63" t="str">
        <f>IF(AND(OR($A478="G",$A478="P"),NOT($O478="{array}")),IF(VLOOKUP($K478,base!$B$2:$D$20,3,0)="S",IF(OR($O478="",ISTEXT($O478)),"","STRING!"),IF(VLOOKUP($K478,base!$B$2:$D$20,3,0)="","",IF(ISTEXT($O478),"NUMERIC!",""))),"")</f>
        <v/>
      </c>
      <c r="AC478" s="17" t="str">
        <f>IF($AA478="","",IF($B478="I",VLOOKUP($AA478,#REF!,53,0),INDEX(VALUES!$B$1:$BT$1,1,$AA478)))</f>
        <v/>
      </c>
    </row>
    <row r="479" spans="1:29" hidden="1" outlineLevel="1" x14ac:dyDescent="0.3">
      <c r="A479" s="22" t="s">
        <v>84</v>
      </c>
      <c r="B479" s="41" t="str">
        <f t="shared" si="35"/>
        <v/>
      </c>
      <c r="C479" s="42">
        <f t="shared" si="36"/>
        <v>478</v>
      </c>
      <c r="D479" s="38"/>
      <c r="E479" s="38"/>
      <c r="F479" s="38" t="s">
        <v>9</v>
      </c>
      <c r="G479" s="38"/>
      <c r="H479" s="38"/>
      <c r="I479" s="38" t="s">
        <v>9</v>
      </c>
      <c r="J479" s="38"/>
      <c r="K479" s="14" t="s">
        <v>53</v>
      </c>
      <c r="L479" s="14" t="s">
        <v>27</v>
      </c>
      <c r="M479" s="20" t="s">
        <v>1017</v>
      </c>
      <c r="N479" s="14" t="s">
        <v>1018</v>
      </c>
      <c r="O479" s="43">
        <v>1</v>
      </c>
      <c r="R479" s="38" t="s">
        <v>103</v>
      </c>
      <c r="S479" s="38"/>
      <c r="T479" s="38"/>
      <c r="W479" s="15" t="str">
        <f>IF(IFERROR(VLOOKUP($M479,COMPARE!$H$2:$H$847,1,0),"-")="-","","GS")</f>
        <v/>
      </c>
      <c r="Z479" s="59" t="str">
        <f>IF(OR($M479="",NOT($O479="{array}")),"",IFERROR(MATCH(PARAMETERS!$M479,DEFAULT!$B$5:$CX$5,0),""))</f>
        <v/>
      </c>
      <c r="AA479" s="56" t="str">
        <f t="shared" si="34"/>
        <v/>
      </c>
      <c r="AB479" s="63" t="str">
        <f>IF(AND(OR($A479="G",$A479="P"),NOT($O479="{array}")),IF(VLOOKUP($K479,base!$B$2:$D$20,3,0)="S",IF(OR($O479="",ISTEXT($O479)),"","STRING!"),IF(VLOOKUP($K479,base!$B$2:$D$20,3,0)="","",IF(ISTEXT($O479),"NUMERIC!",""))),"")</f>
        <v/>
      </c>
      <c r="AC479" s="17" t="str">
        <f>IF($AA479="","",IF($B479="I",VLOOKUP($AA479,#REF!,53,0),INDEX(VALUES!$B$1:$BT$1,1,$AA479)))</f>
        <v/>
      </c>
    </row>
    <row r="480" spans="1:29" hidden="1" outlineLevel="1" x14ac:dyDescent="0.3">
      <c r="A480" s="22" t="s">
        <v>84</v>
      </c>
      <c r="B480" s="41" t="str">
        <f t="shared" si="35"/>
        <v/>
      </c>
      <c r="C480" s="42">
        <f t="shared" si="36"/>
        <v>479</v>
      </c>
      <c r="D480" s="38"/>
      <c r="E480" s="38"/>
      <c r="F480" s="38" t="s">
        <v>9</v>
      </c>
      <c r="G480" s="38"/>
      <c r="H480" s="38" t="s">
        <v>9</v>
      </c>
      <c r="I480" s="38"/>
      <c r="J480" s="38"/>
      <c r="K480" s="14" t="s">
        <v>47</v>
      </c>
      <c r="L480" s="14" t="s">
        <v>27</v>
      </c>
      <c r="M480" s="20" t="s">
        <v>1019</v>
      </c>
      <c r="N480" s="14" t="s">
        <v>1020</v>
      </c>
      <c r="O480" s="43">
        <v>1</v>
      </c>
      <c r="R480" s="38" t="s">
        <v>103</v>
      </c>
      <c r="S480" s="38"/>
      <c r="T480" s="38"/>
      <c r="W480" s="15" t="str">
        <f>IF(IFERROR(VLOOKUP($M480,COMPARE!$H$2:$H$847,1,0),"-")="-","","GS")</f>
        <v/>
      </c>
      <c r="Z480" s="59" t="str">
        <f>IF(OR($M480="",NOT($O480="{array}")),"",IFERROR(MATCH(PARAMETERS!$M480,DEFAULT!$B$5:$CX$5,0),""))</f>
        <v/>
      </c>
      <c r="AA480" s="56" t="str">
        <f t="shared" si="34"/>
        <v/>
      </c>
      <c r="AB480" s="63" t="str">
        <f>IF(AND(OR($A480="G",$A480="P"),NOT($O480="{array}")),IF(VLOOKUP($K480,base!$B$2:$D$20,3,0)="S",IF(OR($O480="",ISTEXT($O480)),"","STRING!"),IF(VLOOKUP($K480,base!$B$2:$D$20,3,0)="","",IF(ISTEXT($O480),"NUMERIC!",""))),"")</f>
        <v/>
      </c>
      <c r="AC480" s="17" t="str">
        <f>IF($AA480="","",IF($B480="I",VLOOKUP($AA480,#REF!,53,0),INDEX(VALUES!$B$1:$BT$1,1,$AA480)))</f>
        <v/>
      </c>
    </row>
    <row r="481" spans="1:29" hidden="1" outlineLevel="1" x14ac:dyDescent="0.3">
      <c r="A481" s="22" t="s">
        <v>84</v>
      </c>
      <c r="B481" s="41" t="str">
        <f t="shared" si="35"/>
        <v/>
      </c>
      <c r="C481" s="42">
        <f t="shared" si="36"/>
        <v>480</v>
      </c>
      <c r="D481" s="38"/>
      <c r="E481" s="38"/>
      <c r="F481" s="38" t="s">
        <v>9</v>
      </c>
      <c r="G481" s="38"/>
      <c r="H481" s="38"/>
      <c r="I481" s="38" t="s">
        <v>9</v>
      </c>
      <c r="J481" s="38"/>
      <c r="K481" s="14" t="s">
        <v>51</v>
      </c>
      <c r="L481" s="14" t="s">
        <v>27</v>
      </c>
      <c r="M481" s="20" t="s">
        <v>1021</v>
      </c>
      <c r="N481" s="14" t="s">
        <v>1022</v>
      </c>
      <c r="O481" s="43">
        <v>21</v>
      </c>
      <c r="R481" s="38" t="s">
        <v>103</v>
      </c>
      <c r="S481" s="38"/>
      <c r="T481" s="38"/>
      <c r="W481" s="15" t="str">
        <f>IF(IFERROR(VLOOKUP($M481,COMPARE!$H$2:$H$847,1,0),"-")="-","","GS")</f>
        <v/>
      </c>
      <c r="Z481" s="59" t="str">
        <f>IF(OR($M481="",NOT($O481="{array}")),"",IFERROR(MATCH(PARAMETERS!$M481,DEFAULT!$B$5:$CX$5,0),""))</f>
        <v/>
      </c>
      <c r="AA481" s="56" t="str">
        <f t="shared" si="34"/>
        <v/>
      </c>
      <c r="AB481" s="63" t="str">
        <f>IF(AND(OR($A481="G",$A481="P"),NOT($O481="{array}")),IF(VLOOKUP($K481,base!$B$2:$D$20,3,0)="S",IF(OR($O481="",ISTEXT($O481)),"","STRING!"),IF(VLOOKUP($K481,base!$B$2:$D$20,3,0)="","",IF(ISTEXT($O481),"NUMERIC!",""))),"")</f>
        <v/>
      </c>
      <c r="AC481" s="17" t="str">
        <f>IF($AA481="","",IF($B481="I",VLOOKUP($AA481,#REF!,53,0),INDEX(VALUES!$B$1:$BT$1,1,$AA481)))</f>
        <v/>
      </c>
    </row>
    <row r="482" spans="1:29" hidden="1" outlineLevel="1" x14ac:dyDescent="0.3">
      <c r="A482" s="22" t="s">
        <v>84</v>
      </c>
      <c r="B482" s="41" t="str">
        <f t="shared" si="35"/>
        <v/>
      </c>
      <c r="C482" s="42">
        <f t="shared" si="36"/>
        <v>481</v>
      </c>
      <c r="D482" s="38"/>
      <c r="E482" s="38"/>
      <c r="F482" s="38" t="s">
        <v>9</v>
      </c>
      <c r="G482" s="38"/>
      <c r="H482" s="38"/>
      <c r="I482" s="38" t="s">
        <v>9</v>
      </c>
      <c r="J482" s="38"/>
      <c r="K482" s="14" t="s">
        <v>53</v>
      </c>
      <c r="L482" s="14" t="s">
        <v>27</v>
      </c>
      <c r="M482" s="20" t="s">
        <v>1023</v>
      </c>
      <c r="N482" s="14" t="s">
        <v>1024</v>
      </c>
      <c r="O482" s="43">
        <v>6</v>
      </c>
      <c r="R482" s="38" t="s">
        <v>103</v>
      </c>
      <c r="S482" s="38"/>
      <c r="T482" s="38"/>
      <c r="W482" s="15" t="str">
        <f>IF(IFERROR(VLOOKUP($M482,COMPARE!$H$2:$H$847,1,0),"-")="-","","GS")</f>
        <v/>
      </c>
      <c r="Z482" s="59" t="str">
        <f>IF(OR($M482="",NOT($O482="{array}")),"",IFERROR(MATCH(PARAMETERS!$M482,DEFAULT!$B$5:$CX$5,0),""))</f>
        <v/>
      </c>
      <c r="AA482" s="56" t="str">
        <f t="shared" si="34"/>
        <v/>
      </c>
      <c r="AB482" s="63" t="str">
        <f>IF(AND(OR($A482="G",$A482="P"),NOT($O482="{array}")),IF(VLOOKUP($K482,base!$B$2:$D$20,3,0)="S",IF(OR($O482="",ISTEXT($O482)),"","STRING!"),IF(VLOOKUP($K482,base!$B$2:$D$20,3,0)="","",IF(ISTEXT($O482),"NUMERIC!",""))),"")</f>
        <v/>
      </c>
      <c r="AC482" s="17" t="str">
        <f>IF($AA482="","",IF($B482="I",VLOOKUP($AA482,#REF!,53,0),INDEX(VALUES!$B$1:$BT$1,1,$AA482)))</f>
        <v/>
      </c>
    </row>
    <row r="483" spans="1:29" collapsed="1" x14ac:dyDescent="0.3">
      <c r="A483" s="22" t="s">
        <v>84</v>
      </c>
      <c r="B483" s="41" t="str">
        <f t="shared" si="35"/>
        <v/>
      </c>
      <c r="C483" s="42">
        <f t="shared" si="36"/>
        <v>482</v>
      </c>
      <c r="D483" s="38"/>
      <c r="E483" s="38"/>
      <c r="F483" s="38" t="s">
        <v>9</v>
      </c>
      <c r="G483" s="38" t="s">
        <v>9</v>
      </c>
      <c r="H483" s="38"/>
      <c r="I483" s="38"/>
      <c r="J483" s="38"/>
      <c r="K483" s="14" t="s">
        <v>57</v>
      </c>
      <c r="L483" s="14" t="s">
        <v>38</v>
      </c>
      <c r="M483" s="48" t="s">
        <v>1025</v>
      </c>
      <c r="N483" s="41" t="s">
        <v>186</v>
      </c>
      <c r="R483" s="38" t="s">
        <v>103</v>
      </c>
      <c r="S483" s="38"/>
      <c r="T483" s="38"/>
      <c r="W483" s="15" t="str">
        <f>IF(IFERROR(VLOOKUP($M483,COMPARE!$H$2:$H$847,1,0),"-")="-","","GS")</f>
        <v/>
      </c>
      <c r="Z483" s="59" t="str">
        <f>IF(OR($M483="",NOT($O483="{array}")),"",IFERROR(MATCH(PARAMETERS!$M483,DEFAULT!$B$5:$CX$5,0),""))</f>
        <v/>
      </c>
      <c r="AA483" s="56" t="str">
        <f t="shared" si="34"/>
        <v/>
      </c>
      <c r="AB483" s="63" t="str">
        <f>IF(AND(OR($A483="G",$A483="P"),NOT($O483="{array}")),IF(VLOOKUP($K483,base!$B$2:$D$20,3,0)="S",IF(OR($O483="",ISTEXT($O483)),"","STRING!"),IF(VLOOKUP($K483,base!$B$2:$D$20,3,0)="","",IF(ISTEXT($O483),"NUMERIC!",""))),"")</f>
        <v/>
      </c>
      <c r="AC483" s="17" t="str">
        <f>IF($AA483="","",IF($B483="I",VLOOKUP($AA483,#REF!,53,0),INDEX(VALUES!$B$1:$BT$1,1,$AA483)))</f>
        <v/>
      </c>
    </row>
    <row r="484" spans="1:29" hidden="1" outlineLevel="1" x14ac:dyDescent="0.3">
      <c r="A484" s="22"/>
      <c r="B484" s="41" t="str">
        <f t="shared" ref="B484:B493" si="37">IF($A484="P",IF(NOT($Z484=""),"A",IF(NOT($AA484=""),"I","")),IF(NOT($AA484=""),IF($A484="G","V","X"),IF(NOT($Z484=""),"A","")))</f>
        <v/>
      </c>
      <c r="C484" s="42">
        <f t="shared" ref="C484:C493" si="38">(ROW()-1)</f>
        <v>483</v>
      </c>
      <c r="D484" s="38"/>
      <c r="E484" s="38"/>
      <c r="F484" s="38" t="s">
        <v>9</v>
      </c>
      <c r="G484" s="38"/>
      <c r="H484" s="38"/>
      <c r="I484" s="38"/>
      <c r="J484" s="38"/>
      <c r="K484" s="14" t="s">
        <v>57</v>
      </c>
      <c r="L484" s="14" t="s">
        <v>38</v>
      </c>
      <c r="M484" s="48" t="s">
        <v>200</v>
      </c>
      <c r="N484" s="41" t="s">
        <v>201</v>
      </c>
      <c r="R484" s="38" t="s">
        <v>103</v>
      </c>
      <c r="S484" s="38"/>
      <c r="T484" s="38"/>
      <c r="W484" s="15" t="str">
        <f>IF(IFERROR(VLOOKUP($M484,COMPARE!$H$2:$H$847,1,0),"-")="-","","GS")</f>
        <v/>
      </c>
      <c r="Z484" s="59" t="str">
        <f>IF(OR($M484="",NOT($O484="{array}")),"",IFERROR(MATCH(PARAMETERS!$M484,DEFAULT!$B$5:$CX$5,0),""))</f>
        <v/>
      </c>
      <c r="AA484" s="56" t="str">
        <f t="shared" si="34"/>
        <v/>
      </c>
      <c r="AB484" s="63" t="str">
        <f>IF(AND(OR($A484="G",$A484="P"),NOT($O484="{array}")),IF(VLOOKUP($K484,base!$B$2:$D$20,3,0)="S",IF(OR($O484="",ISTEXT($O484)),"","STRING!"),IF(VLOOKUP($K484,base!$B$2:$D$20,3,0)="","",IF(ISTEXT($O484),"NUMERIC!",""))),"")</f>
        <v/>
      </c>
      <c r="AC484" s="17" t="str">
        <f>IF($AA484="","",IF($B484="I",VLOOKUP($AA484,#REF!,53,0),INDEX(VALUES!$B$1:$BT$1,1,$AA484)))</f>
        <v/>
      </c>
    </row>
    <row r="485" spans="1:29" hidden="1" outlineLevel="1" x14ac:dyDescent="0.3">
      <c r="A485" s="22" t="s">
        <v>84</v>
      </c>
      <c r="B485" s="41" t="str">
        <f t="shared" si="37"/>
        <v>A</v>
      </c>
      <c r="C485" s="42">
        <f t="shared" si="38"/>
        <v>484</v>
      </c>
      <c r="D485" s="38"/>
      <c r="E485" s="38"/>
      <c r="F485" s="38"/>
      <c r="G485" s="38"/>
      <c r="H485" s="38"/>
      <c r="I485" s="38" t="s">
        <v>9</v>
      </c>
      <c r="J485" s="38"/>
      <c r="K485" s="14" t="s">
        <v>50</v>
      </c>
      <c r="L485" s="14" t="s">
        <v>27</v>
      </c>
      <c r="M485" s="109" t="s">
        <v>202</v>
      </c>
      <c r="N485" s="14" t="s">
        <v>203</v>
      </c>
      <c r="O485" s="43" t="s">
        <v>33</v>
      </c>
      <c r="R485" s="38" t="s">
        <v>191</v>
      </c>
      <c r="S485" s="38"/>
      <c r="T485" s="38"/>
      <c r="W485" s="15" t="str">
        <f>IF(IFERROR(VLOOKUP($M485,COMPARE!$H$2:$H$847,1,0),"-")="-","","GS")</f>
        <v/>
      </c>
      <c r="Z485" s="59">
        <f>IF(OR($M485="",NOT($O485="{array}")),"",IFERROR(MATCH(PARAMETERS!$M485,DEFAULT!$B$5:$CX$5,0),""))</f>
        <v>100</v>
      </c>
      <c r="AA485" s="56" t="str">
        <f t="shared" si="34"/>
        <v/>
      </c>
      <c r="AB485" s="63" t="str">
        <f>IF(AND(OR($A485="G",$A485="P"),NOT($O485="{array}")),IF(VLOOKUP($K485,base!$B$2:$D$20,3,0)="S",IF(OR($O485="",ISTEXT($O485)),"","STRING!"),IF(VLOOKUP($K485,base!$B$2:$D$20,3,0)="","",IF(ISTEXT($O485),"NUMERIC!",""))),"")</f>
        <v/>
      </c>
      <c r="AC485" s="17" t="str">
        <f>IF($AA485="","",IF($B485="I",VLOOKUP($AA485,#REF!,53,0),INDEX(VALUES!$B$1:$BT$1,1,$AA485)))</f>
        <v/>
      </c>
    </row>
    <row r="486" spans="1:29" hidden="1" outlineLevel="1" x14ac:dyDescent="0.3">
      <c r="A486" s="22" t="s">
        <v>84</v>
      </c>
      <c r="B486" s="41" t="str">
        <f t="shared" si="37"/>
        <v/>
      </c>
      <c r="C486" s="42">
        <f t="shared" si="38"/>
        <v>485</v>
      </c>
      <c r="D486" s="38"/>
      <c r="E486" s="38"/>
      <c r="F486" s="38" t="s">
        <v>9</v>
      </c>
      <c r="G486" s="38"/>
      <c r="H486" s="38"/>
      <c r="I486" s="38" t="s">
        <v>9</v>
      </c>
      <c r="J486" s="38"/>
      <c r="K486" s="14" t="s">
        <v>50</v>
      </c>
      <c r="L486" s="14" t="s">
        <v>27</v>
      </c>
      <c r="M486" s="20" t="s">
        <v>715</v>
      </c>
      <c r="N486" s="14" t="s">
        <v>716</v>
      </c>
      <c r="O486" s="43">
        <v>133</v>
      </c>
      <c r="R486" s="38" t="s">
        <v>103</v>
      </c>
      <c r="S486" s="38"/>
      <c r="T486" s="38"/>
      <c r="W486" s="15" t="str">
        <f>IF(IFERROR(VLOOKUP($M486,COMPARE!$H$2:$H$847,1,0),"-")="-","","GS")</f>
        <v/>
      </c>
      <c r="Z486" s="59" t="str">
        <f>IF(OR($M486="",NOT($O486="{array}")),"",IFERROR(MATCH(PARAMETERS!$M486,DEFAULT!$B$5:$CX$5,0),""))</f>
        <v/>
      </c>
      <c r="AA486" s="56" t="str">
        <f t="shared" si="34"/>
        <v/>
      </c>
      <c r="AB486" s="63" t="str">
        <f>IF(AND(OR($A486="G",$A486="P"),NOT($O486="{array}")),IF(VLOOKUP($K486,base!$B$2:$D$20,3,0)="S",IF(OR($O486="",ISTEXT($O486)),"","STRING!"),IF(VLOOKUP($K486,base!$B$2:$D$20,3,0)="","",IF(ISTEXT($O486),"NUMERIC!",""))),"")</f>
        <v/>
      </c>
      <c r="AC486" s="17" t="str">
        <f>IF($AA486="","",IF($B486="I",VLOOKUP($AA486,#REF!,53,0),INDEX(VALUES!$B$1:$BT$1,1,$AA486)))</f>
        <v/>
      </c>
    </row>
    <row r="487" spans="1:29" hidden="1" outlineLevel="1" x14ac:dyDescent="0.3">
      <c r="A487" s="22" t="s">
        <v>84</v>
      </c>
      <c r="B487" s="41" t="str">
        <f t="shared" si="37"/>
        <v/>
      </c>
      <c r="C487" s="42">
        <f t="shared" si="38"/>
        <v>486</v>
      </c>
      <c r="D487" s="38"/>
      <c r="E487" s="38"/>
      <c r="F487" s="38" t="s">
        <v>9</v>
      </c>
      <c r="G487" s="38"/>
      <c r="H487" s="38"/>
      <c r="I487" s="38" t="s">
        <v>9</v>
      </c>
      <c r="J487" s="38"/>
      <c r="K487" s="14" t="s">
        <v>50</v>
      </c>
      <c r="L487" s="14" t="s">
        <v>27</v>
      </c>
      <c r="M487" s="20" t="s">
        <v>717</v>
      </c>
      <c r="N487" s="14" t="s">
        <v>718</v>
      </c>
      <c r="O487" s="43">
        <v>24</v>
      </c>
      <c r="R487" s="38" t="s">
        <v>103</v>
      </c>
      <c r="S487" s="38"/>
      <c r="T487" s="38"/>
      <c r="W487" s="15" t="str">
        <f>IF(IFERROR(VLOOKUP($M487,COMPARE!$H$2:$H$847,1,0),"-")="-","","GS")</f>
        <v/>
      </c>
      <c r="Z487" s="59" t="str">
        <f>IF(OR($M487="",NOT($O487="{array}")),"",IFERROR(MATCH(PARAMETERS!$M487,DEFAULT!$B$5:$CX$5,0),""))</f>
        <v/>
      </c>
      <c r="AA487" s="56" t="str">
        <f t="shared" si="34"/>
        <v/>
      </c>
      <c r="AB487" s="63" t="str">
        <f>IF(AND(OR($A487="G",$A487="P"),NOT($O487="{array}")),IF(VLOOKUP($K487,base!$B$2:$D$20,3,0)="S",IF(OR($O487="",ISTEXT($O487)),"","STRING!"),IF(VLOOKUP($K487,base!$B$2:$D$20,3,0)="","",IF(ISTEXT($O487),"NUMERIC!",""))),"")</f>
        <v/>
      </c>
      <c r="AC487" s="17" t="str">
        <f>IF($AA487="","",IF($B487="I",VLOOKUP($AA487,#REF!,53,0),INDEX(VALUES!$B$1:$BT$1,1,$AA487)))</f>
        <v/>
      </c>
    </row>
    <row r="488" spans="1:29" hidden="1" outlineLevel="1" x14ac:dyDescent="0.3">
      <c r="A488" s="22" t="s">
        <v>84</v>
      </c>
      <c r="B488" s="41" t="str">
        <f t="shared" si="37"/>
        <v/>
      </c>
      <c r="C488" s="42">
        <f t="shared" si="38"/>
        <v>487</v>
      </c>
      <c r="D488" s="38"/>
      <c r="E488" s="38"/>
      <c r="F488" s="38" t="s">
        <v>9</v>
      </c>
      <c r="G488" s="38"/>
      <c r="H488" s="38"/>
      <c r="I488" s="38" t="s">
        <v>9</v>
      </c>
      <c r="J488" s="38"/>
      <c r="K488" s="14" t="s">
        <v>50</v>
      </c>
      <c r="L488" s="14" t="s">
        <v>27</v>
      </c>
      <c r="M488" s="20" t="s">
        <v>719</v>
      </c>
      <c r="N488" s="14" t="s">
        <v>720</v>
      </c>
      <c r="O488" s="43">
        <v>40</v>
      </c>
      <c r="R488" s="38" t="s">
        <v>103</v>
      </c>
      <c r="S488" s="38"/>
      <c r="T488" s="38"/>
      <c r="W488" s="15" t="str">
        <f>IF(IFERROR(VLOOKUP($M488,COMPARE!$H$2:$H$847,1,0),"-")="-","","GS")</f>
        <v/>
      </c>
      <c r="Z488" s="59" t="str">
        <f>IF(OR($M488="",NOT($O488="{array}")),"",IFERROR(MATCH(PARAMETERS!$M488,DEFAULT!$B$5:$CX$5,0),""))</f>
        <v/>
      </c>
      <c r="AA488" s="56" t="str">
        <f t="shared" si="34"/>
        <v/>
      </c>
      <c r="AB488" s="63" t="str">
        <f>IF(AND(OR($A488="G",$A488="P"),NOT($O488="{array}")),IF(VLOOKUP($K488,base!$B$2:$D$20,3,0)="S",IF(OR($O488="",ISTEXT($O488)),"","STRING!"),IF(VLOOKUP($K488,base!$B$2:$D$20,3,0)="","",IF(ISTEXT($O488),"NUMERIC!",""))),"")</f>
        <v/>
      </c>
      <c r="AC488" s="17" t="str">
        <f>IF($AA488="","",IF($B488="I",VLOOKUP($AA488,#REF!,53,0),INDEX(VALUES!$B$1:$BT$1,1,$AA488)))</f>
        <v/>
      </c>
    </row>
    <row r="489" spans="1:29" hidden="1" outlineLevel="1" x14ac:dyDescent="0.3">
      <c r="A489" s="22" t="s">
        <v>84</v>
      </c>
      <c r="B489" s="41" t="str">
        <f t="shared" si="37"/>
        <v/>
      </c>
      <c r="C489" s="42">
        <f t="shared" si="38"/>
        <v>488</v>
      </c>
      <c r="D489" s="38"/>
      <c r="E489" s="38"/>
      <c r="F489" s="38" t="s">
        <v>9</v>
      </c>
      <c r="G489" s="38"/>
      <c r="H489" s="38"/>
      <c r="I489" s="38" t="s">
        <v>9</v>
      </c>
      <c r="J489" s="38"/>
      <c r="K489" s="14" t="s">
        <v>50</v>
      </c>
      <c r="L489" s="14" t="s">
        <v>27</v>
      </c>
      <c r="M489" s="20" t="s">
        <v>721</v>
      </c>
      <c r="N489" s="14" t="s">
        <v>722</v>
      </c>
      <c r="O489" s="43">
        <v>133</v>
      </c>
      <c r="R489" s="38" t="s">
        <v>103</v>
      </c>
      <c r="S489" s="38"/>
      <c r="T489" s="38"/>
      <c r="W489" s="15" t="str">
        <f>IF(IFERROR(VLOOKUP($M489,COMPARE!$H$2:$H$847,1,0),"-")="-","","GS")</f>
        <v/>
      </c>
      <c r="Z489" s="59" t="str">
        <f>IF(OR($M489="",NOT($O489="{array}")),"",IFERROR(MATCH(PARAMETERS!$M489,DEFAULT!$B$5:$CX$5,0),""))</f>
        <v/>
      </c>
      <c r="AA489" s="56" t="str">
        <f t="shared" si="34"/>
        <v/>
      </c>
      <c r="AB489" s="63" t="str">
        <f>IF(AND(OR($A489="G",$A489="P"),NOT($O489="{array}")),IF(VLOOKUP($K489,base!$B$2:$D$20,3,0)="S",IF(OR($O489="",ISTEXT($O489)),"","STRING!"),IF(VLOOKUP($K489,base!$B$2:$D$20,3,0)="","",IF(ISTEXT($O489),"NUMERIC!",""))),"")</f>
        <v/>
      </c>
      <c r="AC489" s="17" t="str">
        <f>IF($AA489="","",IF($B489="I",VLOOKUP($AA489,#REF!,53,0),INDEX(VALUES!$B$1:$BT$1,1,$AA489)))</f>
        <v/>
      </c>
    </row>
    <row r="490" spans="1:29" hidden="1" outlineLevel="1" x14ac:dyDescent="0.3">
      <c r="A490" s="22" t="s">
        <v>84</v>
      </c>
      <c r="B490" s="41" t="str">
        <f t="shared" si="37"/>
        <v/>
      </c>
      <c r="C490" s="42">
        <f t="shared" si="38"/>
        <v>489</v>
      </c>
      <c r="D490" s="38"/>
      <c r="E490" s="38"/>
      <c r="F490" s="38"/>
      <c r="G490" s="38"/>
      <c r="H490" s="38"/>
      <c r="I490" s="38" t="s">
        <v>9</v>
      </c>
      <c r="J490" s="38"/>
      <c r="K490" s="14" t="s">
        <v>47</v>
      </c>
      <c r="L490" s="14" t="s">
        <v>27</v>
      </c>
      <c r="M490" s="20" t="s">
        <v>723</v>
      </c>
      <c r="N490" s="14" t="s">
        <v>724</v>
      </c>
      <c r="O490" s="43">
        <v>1</v>
      </c>
      <c r="R490" s="38" t="s">
        <v>103</v>
      </c>
      <c r="S490" s="38"/>
      <c r="T490" s="38"/>
      <c r="W490" s="15" t="str">
        <f>IF(IFERROR(VLOOKUP($M490,COMPARE!$H$2:$H$847,1,0),"-")="-","","GS")</f>
        <v/>
      </c>
      <c r="Z490" s="59" t="str">
        <f>IF(OR($M490="",NOT($O490="{array}")),"",IFERROR(MATCH(PARAMETERS!$M490,DEFAULT!$B$5:$CX$5,0),""))</f>
        <v/>
      </c>
      <c r="AA490" s="56" t="str">
        <f t="shared" si="34"/>
        <v/>
      </c>
      <c r="AB490" s="63" t="str">
        <f>IF(AND(OR($A490="G",$A490="P"),NOT($O490="{array}")),IF(VLOOKUP($K490,base!$B$2:$D$20,3,0)="S",IF(OR($O490="",ISTEXT($O490)),"","STRING!"),IF(VLOOKUP($K490,base!$B$2:$D$20,3,0)="","",IF(ISTEXT($O490),"NUMERIC!",""))),"")</f>
        <v/>
      </c>
      <c r="AC490" s="17" t="str">
        <f>IF($AA490="","",IF($B490="I",VLOOKUP($AA490,#REF!,53,0),INDEX(VALUES!$B$1:$BT$1,1,$AA490)))</f>
        <v/>
      </c>
    </row>
    <row r="491" spans="1:29" hidden="1" outlineLevel="1" x14ac:dyDescent="0.3">
      <c r="A491" s="22"/>
      <c r="B491" s="41" t="str">
        <f t="shared" si="37"/>
        <v>A</v>
      </c>
      <c r="C491" s="42">
        <f t="shared" si="38"/>
        <v>490</v>
      </c>
      <c r="D491" s="38"/>
      <c r="E491" s="38"/>
      <c r="F491" s="38"/>
      <c r="G491" s="38" t="s">
        <v>9</v>
      </c>
      <c r="H491" s="38"/>
      <c r="I491" s="38" t="s">
        <v>9</v>
      </c>
      <c r="J491" s="38"/>
      <c r="K491" s="14" t="s">
        <v>44</v>
      </c>
      <c r="L491" s="14" t="s">
        <v>27</v>
      </c>
      <c r="M491" s="20" t="s">
        <v>725</v>
      </c>
      <c r="O491" s="43" t="s">
        <v>33</v>
      </c>
      <c r="R491" s="38" t="s">
        <v>103</v>
      </c>
      <c r="S491" s="38"/>
      <c r="T491" s="38"/>
      <c r="W491" s="15" t="str">
        <f>IF(IFERROR(VLOOKUP($M491,COMPARE!$H$2:$H$847,1,0),"-")="-","","GS")</f>
        <v/>
      </c>
      <c r="Z491" s="59">
        <f>IF(OR($M491="",NOT($O491="{array}")),"",IFERROR(MATCH(PARAMETERS!$M491,DEFAULT!$B$5:$CX$5,0),""))</f>
        <v>89</v>
      </c>
      <c r="AA491" s="56" t="str">
        <f t="shared" si="34"/>
        <v/>
      </c>
      <c r="AB491" s="63" t="str">
        <f>IF(AND(OR($A491="G",$A491="P"),NOT($O491="{array}")),IF(VLOOKUP($K491,base!$B$2:$D$20,3,0)="S",IF(OR($O491="",ISTEXT($O491)),"","STRING!"),IF(VLOOKUP($K491,base!$B$2:$D$20,3,0)="","",IF(ISTEXT($O491),"NUMERIC!",""))),"")</f>
        <v/>
      </c>
      <c r="AC491" s="17" t="str">
        <f>IF($AA491="","",IF($B491="I",VLOOKUP($AA491,#REF!,53,0),INDEX(VALUES!$B$1:$BT$1,1,$AA491)))</f>
        <v/>
      </c>
    </row>
    <row r="492" spans="1:29" hidden="1" outlineLevel="1" x14ac:dyDescent="0.3">
      <c r="A492" s="22" t="s">
        <v>84</v>
      </c>
      <c r="B492" s="41" t="str">
        <f t="shared" si="37"/>
        <v/>
      </c>
      <c r="C492" s="42">
        <f t="shared" si="38"/>
        <v>491</v>
      </c>
      <c r="D492" s="38"/>
      <c r="E492" s="38"/>
      <c r="F492" s="38" t="s">
        <v>9</v>
      </c>
      <c r="G492" s="38"/>
      <c r="H492" s="38"/>
      <c r="I492" s="38" t="s">
        <v>9</v>
      </c>
      <c r="J492" s="38"/>
      <c r="K492" s="14" t="s">
        <v>50</v>
      </c>
      <c r="L492" s="14" t="s">
        <v>27</v>
      </c>
      <c r="M492" s="20" t="s">
        <v>726</v>
      </c>
      <c r="N492" s="14" t="s">
        <v>727</v>
      </c>
      <c r="O492" s="43">
        <v>133</v>
      </c>
      <c r="R492" s="38" t="s">
        <v>103</v>
      </c>
      <c r="S492" s="38"/>
      <c r="T492" s="38"/>
      <c r="W492" s="15" t="str">
        <f>IF(IFERROR(VLOOKUP($M492,COMPARE!$H$2:$H$847,1,0),"-")="-","","GS")</f>
        <v/>
      </c>
      <c r="Z492" s="59" t="str">
        <f>IF(OR($M492="",NOT($O492="{array}")),"",IFERROR(MATCH(PARAMETERS!$M492,DEFAULT!$B$5:$CX$5,0),""))</f>
        <v/>
      </c>
      <c r="AA492" s="56" t="str">
        <f t="shared" si="34"/>
        <v/>
      </c>
      <c r="AB492" s="63" t="str">
        <f>IF(AND(OR($A492="G",$A492="P"),NOT($O492="{array}")),IF(VLOOKUP($K492,base!$B$2:$D$20,3,0)="S",IF(OR($O492="",ISTEXT($O492)),"","STRING!"),IF(VLOOKUP($K492,base!$B$2:$D$20,3,0)="","",IF(ISTEXT($O492),"NUMERIC!",""))),"")</f>
        <v/>
      </c>
      <c r="AC492" s="17" t="str">
        <f>IF($AA492="","",IF($B492="I",VLOOKUP($AA492,#REF!,53,0),INDEX(VALUES!$B$1:$BT$1,1,$AA492)))</f>
        <v/>
      </c>
    </row>
    <row r="493" spans="1:29" hidden="1" outlineLevel="1" x14ac:dyDescent="0.3">
      <c r="A493" s="22" t="s">
        <v>84</v>
      </c>
      <c r="B493" s="41" t="str">
        <f t="shared" si="37"/>
        <v/>
      </c>
      <c r="C493" s="42">
        <f t="shared" si="38"/>
        <v>492</v>
      </c>
      <c r="D493" s="38"/>
      <c r="E493" s="38"/>
      <c r="F493" s="38" t="s">
        <v>9</v>
      </c>
      <c r="G493" s="38"/>
      <c r="H493" s="38"/>
      <c r="I493" s="38" t="s">
        <v>9</v>
      </c>
      <c r="J493" s="38"/>
      <c r="K493" s="14" t="s">
        <v>50</v>
      </c>
      <c r="L493" s="14" t="s">
        <v>27</v>
      </c>
      <c r="M493" s="20" t="s">
        <v>728</v>
      </c>
      <c r="N493" s="14" t="s">
        <v>729</v>
      </c>
      <c r="O493" s="43">
        <v>133</v>
      </c>
      <c r="R493" s="38" t="s">
        <v>103</v>
      </c>
      <c r="S493" s="38"/>
      <c r="T493" s="38"/>
      <c r="W493" s="15" t="str">
        <f>IF(IFERROR(VLOOKUP($M493,COMPARE!$H$2:$H$847,1,0),"-")="-","","GS")</f>
        <v/>
      </c>
      <c r="Z493" s="59" t="str">
        <f>IF(OR($M493="",NOT($O493="{array}")),"",IFERROR(MATCH(PARAMETERS!$M493,DEFAULT!$B$5:$CX$5,0),""))</f>
        <v/>
      </c>
      <c r="AA493" s="56" t="str">
        <f t="shared" si="34"/>
        <v/>
      </c>
      <c r="AB493" s="63" t="str">
        <f>IF(AND(OR($A493="G",$A493="P"),NOT($O493="{array}")),IF(VLOOKUP($K493,base!$B$2:$D$20,3,0)="S",IF(OR($O493="",ISTEXT($O493)),"","STRING!"),IF(VLOOKUP($K493,base!$B$2:$D$20,3,0)="","",IF(ISTEXT($O493),"NUMERIC!",""))),"")</f>
        <v/>
      </c>
      <c r="AC493" s="17" t="str">
        <f>IF($AA493="","",IF($B493="I",VLOOKUP($AA493,#REF!,53,0),INDEX(VALUES!$B$1:$BT$1,1,$AA493)))</f>
        <v/>
      </c>
    </row>
    <row r="494" spans="1:29" collapsed="1" x14ac:dyDescent="0.3">
      <c r="A494" s="22" t="s">
        <v>204</v>
      </c>
      <c r="B494" s="41"/>
      <c r="C494" s="42"/>
      <c r="D494" s="38"/>
      <c r="E494" s="38"/>
      <c r="F494" s="38"/>
      <c r="G494" s="38"/>
      <c r="H494" s="38"/>
      <c r="I494" s="38"/>
      <c r="J494" s="38"/>
      <c r="L494" s="110"/>
      <c r="M494" s="14"/>
      <c r="R494" s="38"/>
      <c r="S494" s="38"/>
      <c r="T494" s="38"/>
      <c r="W494" s="15" t="str">
        <f>IF(IFERROR(VLOOKUP($M494,COMPARE!$H$2:$H$847,1,0),"-")="-","","GS")</f>
        <v/>
      </c>
      <c r="Z494" s="59" t="str">
        <f>IF(OR($M494="",NOT($O494="{array}")),"",IFERROR(MATCH(PARAMETERS!$M494,DEFAULT!$B$5:$CX$5,0),""))</f>
        <v/>
      </c>
      <c r="AA494" s="56" t="str">
        <f t="shared" si="34"/>
        <v/>
      </c>
      <c r="AB494" s="63" t="str">
        <f>IF(AND(OR($A494="G",$A494="P"),NOT($O494="{array}")),IF(VLOOKUP($K494,base!$B$2:$D$20,3,0)="S",IF(OR($O494="",ISTEXT($O494)),"","STRING!"),IF(VLOOKUP($K494,base!$B$2:$D$20,3,0)="","",IF(ISTEXT($O494),"NUMERIC!",""))),"")</f>
        <v/>
      </c>
      <c r="AC494" s="17" t="str">
        <f>IF($AA494="","",IF($B494="I",VLOOKUP($AA494,#REF!,53,0),INDEX(VALUES!$B$1:$BT$1,1,$AA494)))</f>
        <v/>
      </c>
    </row>
    <row r="495" spans="1:29" x14ac:dyDescent="0.3">
      <c r="A495" s="22" t="s">
        <v>84</v>
      </c>
      <c r="B495" s="41" t="str">
        <f t="shared" ref="B495:B529" si="39">IF($A495="P",IF(NOT($Z495=""),"A",IF(NOT($AA495=""),"I","")),IF(NOT($AA495=""),IF($A495="G","V","X"),IF(NOT($Z495=""),"A","")))</f>
        <v/>
      </c>
      <c r="C495" s="42">
        <f t="shared" ref="C495:C529" si="40">(ROW()-1)</f>
        <v>494</v>
      </c>
      <c r="D495" s="38"/>
      <c r="E495" s="38"/>
      <c r="F495" s="38"/>
      <c r="G495" s="38"/>
      <c r="H495" s="38"/>
      <c r="I495" s="38"/>
      <c r="J495" s="38"/>
      <c r="K495" s="53" t="s">
        <v>57</v>
      </c>
      <c r="L495" s="53" t="s">
        <v>38</v>
      </c>
      <c r="M495" s="111" t="s">
        <v>205</v>
      </c>
      <c r="N495" s="112" t="s">
        <v>206</v>
      </c>
      <c r="O495" s="113"/>
      <c r="R495" s="38" t="s">
        <v>191</v>
      </c>
      <c r="S495" s="38"/>
      <c r="T495" s="38"/>
      <c r="W495" s="15" t="str">
        <f>IF(IFERROR(VLOOKUP($M495,COMPARE!$H$2:$H$847,1,0),"-")="-","","GS")</f>
        <v/>
      </c>
      <c r="Z495" s="59" t="str">
        <f>IF(OR($M495="",NOT($O495="{array}")),"",IFERROR(MATCH(PARAMETERS!$M495,DEFAULT!$B$5:$CX$5,0),""))</f>
        <v/>
      </c>
      <c r="AA495" s="56" t="str">
        <f t="shared" si="34"/>
        <v/>
      </c>
      <c r="AB495" s="63" t="str">
        <f>IF(AND(OR($A495="G",$A495="P"),NOT($O495="{array}")),IF(VLOOKUP($K495,base!$B$2:$D$20,3,0)="S",IF(OR($O495="",ISTEXT($O495)),"","STRING!"),IF(VLOOKUP($K495,base!$B$2:$D$20,3,0)="","",IF(ISTEXT($O495),"NUMERIC!",""))),"")</f>
        <v/>
      </c>
      <c r="AC495" s="17" t="str">
        <f>IF($AA495="","",IF($B495="I",VLOOKUP($AA495,#REF!,53,0),INDEX(VALUES!$B$1:$BT$1,1,$AA495)))</f>
        <v/>
      </c>
    </row>
    <row r="496" spans="1:29" hidden="1" outlineLevel="1" x14ac:dyDescent="0.3">
      <c r="A496" s="22" t="s">
        <v>84</v>
      </c>
      <c r="B496" s="41" t="str">
        <f t="shared" si="39"/>
        <v/>
      </c>
      <c r="C496" s="42">
        <f t="shared" si="40"/>
        <v>495</v>
      </c>
      <c r="D496" s="38"/>
      <c r="E496" s="38"/>
      <c r="F496" s="38"/>
      <c r="G496" s="38"/>
      <c r="H496" s="38"/>
      <c r="I496" s="38" t="s">
        <v>9</v>
      </c>
      <c r="J496" s="38"/>
      <c r="K496" s="53" t="s">
        <v>44</v>
      </c>
      <c r="L496" s="53" t="s">
        <v>32</v>
      </c>
      <c r="M496" s="114" t="s">
        <v>207</v>
      </c>
      <c r="N496" s="53" t="s">
        <v>208</v>
      </c>
      <c r="O496" s="113">
        <v>1</v>
      </c>
      <c r="R496" s="38" t="s">
        <v>191</v>
      </c>
      <c r="S496" s="38"/>
      <c r="T496" s="38"/>
      <c r="W496" s="15"/>
      <c r="Z496" s="59" t="str">
        <f>IF(OR($M496="",NOT($O496="{array}")),"",IFERROR(MATCH(PARAMETERS!$M496,DEFAULT!$B$5:$CX$5,0),""))</f>
        <v/>
      </c>
      <c r="AA496" s="56" t="str">
        <f t="shared" si="34"/>
        <v/>
      </c>
      <c r="AB496" s="63" t="str">
        <f>IF(AND(OR($A496="G",$A496="P"),NOT($O496="{array}")),IF(VLOOKUP($K496,base!$B$2:$D$20,3,0)="S",IF(OR($O496="",ISTEXT($O496)),"","STRING!"),IF(VLOOKUP($K496,base!$B$2:$D$20,3,0)="","",IF(ISTEXT($O496),"NUMERIC!",""))),"")</f>
        <v/>
      </c>
      <c r="AC496" s="17" t="str">
        <f>IF($AA496="","",IF($B496="I",VLOOKUP($AA496,#REF!,53,0),INDEX(VALUES!$B$1:$BT$1,1,$AA496)))</f>
        <v/>
      </c>
    </row>
    <row r="497" spans="1:29" hidden="1" outlineLevel="1" x14ac:dyDescent="0.3">
      <c r="A497" s="22" t="s">
        <v>84</v>
      </c>
      <c r="B497" s="41" t="str">
        <f t="shared" si="39"/>
        <v/>
      </c>
      <c r="C497" s="42">
        <f t="shared" si="40"/>
        <v>496</v>
      </c>
      <c r="D497" s="38"/>
      <c r="E497" s="38"/>
      <c r="F497" s="38"/>
      <c r="G497" s="38"/>
      <c r="H497" s="38"/>
      <c r="I497" s="38" t="s">
        <v>9</v>
      </c>
      <c r="J497" s="38"/>
      <c r="K497" s="53" t="s">
        <v>44</v>
      </c>
      <c r="L497" s="53" t="s">
        <v>32</v>
      </c>
      <c r="M497" s="114" t="s">
        <v>209</v>
      </c>
      <c r="N497" s="53" t="s">
        <v>210</v>
      </c>
      <c r="O497" s="113">
        <v>0</v>
      </c>
      <c r="R497" s="38" t="s">
        <v>191</v>
      </c>
      <c r="S497" s="38"/>
      <c r="T497" s="38"/>
      <c r="W497" s="15"/>
      <c r="Z497" s="59" t="str">
        <f>IF(OR($M497="",NOT($O497="{array}")),"",IFERROR(MATCH(PARAMETERS!$M497,DEFAULT!$B$5:$CX$5,0),""))</f>
        <v/>
      </c>
      <c r="AA497" s="56" t="str">
        <f t="shared" si="34"/>
        <v/>
      </c>
      <c r="AB497" s="63" t="str">
        <f>IF(AND(OR($A497="G",$A497="P"),NOT($O497="{array}")),IF(VLOOKUP($K497,base!$B$2:$D$20,3,0)="S",IF(OR($O497="",ISTEXT($O497)),"","STRING!"),IF(VLOOKUP($K497,base!$B$2:$D$20,3,0)="","",IF(ISTEXT($O497),"NUMERIC!",""))),"")</f>
        <v/>
      </c>
      <c r="AC497" s="17" t="str">
        <f>IF($AA497="","",IF($B497="I",VLOOKUP($AA497,#REF!,53,0),INDEX(VALUES!$B$1:$BT$1,1,$AA497)))</f>
        <v/>
      </c>
    </row>
    <row r="498" spans="1:29" collapsed="1" x14ac:dyDescent="0.3">
      <c r="A498" s="22" t="s">
        <v>84</v>
      </c>
      <c r="B498" s="41" t="str">
        <f t="shared" si="39"/>
        <v/>
      </c>
      <c r="C498" s="42">
        <f t="shared" si="40"/>
        <v>497</v>
      </c>
      <c r="D498" s="38"/>
      <c r="E498" s="38"/>
      <c r="F498" s="38"/>
      <c r="G498" s="38" t="s">
        <v>9</v>
      </c>
      <c r="H498" s="38"/>
      <c r="I498" s="38"/>
      <c r="J498" s="38"/>
      <c r="K498" s="53" t="s">
        <v>57</v>
      </c>
      <c r="L498" s="53" t="s">
        <v>38</v>
      </c>
      <c r="M498" s="111" t="s">
        <v>1861</v>
      </c>
      <c r="N498" s="112" t="s">
        <v>1862</v>
      </c>
      <c r="O498" s="113"/>
      <c r="R498" s="38" t="s">
        <v>191</v>
      </c>
      <c r="S498" s="38"/>
      <c r="T498" s="38"/>
      <c r="Z498" s="59" t="str">
        <f>IF(OR($M498="",NOT($O498="{array}")),"",IFERROR(MATCH(PARAMETERS!$M498,DEFAULT!$B$5:$CX$5,0),""))</f>
        <v/>
      </c>
      <c r="AA498" s="56" t="str">
        <f t="shared" si="34"/>
        <v/>
      </c>
      <c r="AB498" s="63" t="str">
        <f>IF(AND(OR($A498="G",$A498="P"),NOT($O498="{array}")),IF(VLOOKUP($K498,base!$B$2:$D$20,3,0)="S",IF(OR($O498="",ISTEXT($O498)),"","STRING!"),IF(VLOOKUP($K498,base!$B$2:$D$20,3,0)="","",IF(ISTEXT($O498),"NUMERIC!",""))),"")</f>
        <v/>
      </c>
      <c r="AC498" s="17" t="str">
        <f>IF($AA498="","",IF($B498="I",VLOOKUP($AA498,#REF!,53,0),INDEX(VALUES!$B$1:$BT$1,1,$AA498)))</f>
        <v/>
      </c>
    </row>
    <row r="499" spans="1:29" x14ac:dyDescent="0.3">
      <c r="A499" s="22" t="s">
        <v>84</v>
      </c>
      <c r="B499" s="41" t="str">
        <f t="shared" si="39"/>
        <v/>
      </c>
      <c r="C499" s="42">
        <f t="shared" si="40"/>
        <v>498</v>
      </c>
      <c r="D499" s="38"/>
      <c r="E499" s="38"/>
      <c r="F499" s="38"/>
      <c r="G499" s="38" t="s">
        <v>9</v>
      </c>
      <c r="H499" s="38"/>
      <c r="I499" s="38" t="s">
        <v>9</v>
      </c>
      <c r="J499" s="38"/>
      <c r="K499" s="53" t="s">
        <v>18</v>
      </c>
      <c r="L499" s="53" t="s">
        <v>32</v>
      </c>
      <c r="M499" s="114" t="s">
        <v>1863</v>
      </c>
      <c r="N499" s="53" t="s">
        <v>1864</v>
      </c>
      <c r="O499" s="113" t="s">
        <v>1868</v>
      </c>
      <c r="R499" s="38" t="s">
        <v>191</v>
      </c>
      <c r="S499" s="38"/>
      <c r="T499" s="38"/>
      <c r="Z499" s="59" t="str">
        <f>IF(OR($M499="",NOT($O499="{array}")),"",IFERROR(MATCH(PARAMETERS!$M499,DEFAULT!$B$5:$CX$5,0),""))</f>
        <v/>
      </c>
      <c r="AA499" s="56" t="str">
        <f t="shared" si="34"/>
        <v/>
      </c>
      <c r="AB499" s="63" t="str">
        <f>IF(AND(OR($A499="G",$A499="P"),NOT($O499="{array}")),IF(VLOOKUP($K499,base!$B$2:$D$20,3,0)="S",IF(OR($O499="",ISTEXT($O499)),"","STRING!"),IF(VLOOKUP($K499,base!$B$2:$D$20,3,0)="","",IF(ISTEXT($O499),"NUMERIC!",""))),"")</f>
        <v/>
      </c>
      <c r="AC499" s="17" t="str">
        <f>IF($AA499="","",IF($B499="I",VLOOKUP($AA499,#REF!,53,0),INDEX(VALUES!$B$1:$BT$1,1,$AA499)))</f>
        <v/>
      </c>
    </row>
    <row r="500" spans="1:29" x14ac:dyDescent="0.3">
      <c r="A500" s="22" t="s">
        <v>84</v>
      </c>
      <c r="B500" s="41" t="str">
        <f t="shared" si="39"/>
        <v/>
      </c>
      <c r="C500" s="42">
        <f t="shared" si="40"/>
        <v>499</v>
      </c>
      <c r="D500" s="38"/>
      <c r="E500" s="38"/>
      <c r="F500" s="38"/>
      <c r="G500" s="38" t="s">
        <v>9</v>
      </c>
      <c r="H500" s="38"/>
      <c r="I500" s="38" t="s">
        <v>9</v>
      </c>
      <c r="J500" s="38"/>
      <c r="K500" s="53" t="s">
        <v>18</v>
      </c>
      <c r="L500" s="53" t="s">
        <v>32</v>
      </c>
      <c r="M500" s="114" t="s">
        <v>1865</v>
      </c>
      <c r="N500" s="53" t="s">
        <v>1866</v>
      </c>
      <c r="O500" s="113" t="s">
        <v>1867</v>
      </c>
      <c r="R500" s="38" t="s">
        <v>191</v>
      </c>
      <c r="S500" s="38"/>
      <c r="T500" s="38"/>
      <c r="Z500" s="59" t="str">
        <f>IF(OR($M500="",NOT($O500="{array}")),"",IFERROR(MATCH(PARAMETERS!$M500,DEFAULT!$B$5:$CX$5,0),""))</f>
        <v/>
      </c>
      <c r="AA500" s="56" t="str">
        <f t="shared" si="34"/>
        <v/>
      </c>
      <c r="AB500" s="63" t="str">
        <f>IF(AND(OR($A500="G",$A500="P"),NOT($O500="{array}")),IF(VLOOKUP($K500,base!$B$2:$D$20,3,0)="S",IF(OR($O500="",ISTEXT($O500)),"","STRING!"),IF(VLOOKUP($K500,base!$B$2:$D$20,3,0)="","",IF(ISTEXT($O500),"NUMERIC!",""))),"")</f>
        <v/>
      </c>
      <c r="AC500" s="17" t="str">
        <f>IF($AA500="","",IF($B500="I",VLOOKUP($AA500,#REF!,53,0),INDEX(VALUES!$B$1:$BT$1,1,$AA500)))</f>
        <v/>
      </c>
    </row>
    <row r="501" spans="1:29" x14ac:dyDescent="0.3">
      <c r="A501" s="22" t="s">
        <v>84</v>
      </c>
      <c r="B501" s="41" t="str">
        <f t="shared" si="39"/>
        <v/>
      </c>
      <c r="C501" s="42">
        <f t="shared" si="40"/>
        <v>500</v>
      </c>
      <c r="D501" s="38"/>
      <c r="E501" s="38"/>
      <c r="F501" s="38" t="s">
        <v>9</v>
      </c>
      <c r="G501" s="38" t="s">
        <v>9</v>
      </c>
      <c r="H501" s="38"/>
      <c r="I501" s="38"/>
      <c r="J501" s="38"/>
      <c r="K501" s="14" t="s">
        <v>57</v>
      </c>
      <c r="L501" s="14" t="s">
        <v>38</v>
      </c>
      <c r="M501" s="48" t="s">
        <v>212</v>
      </c>
      <c r="N501" s="41" t="s">
        <v>213</v>
      </c>
      <c r="R501" s="38" t="s">
        <v>103</v>
      </c>
      <c r="S501" s="38"/>
      <c r="T501" s="38"/>
      <c r="W501" s="15" t="str">
        <f>IF(IFERROR(VLOOKUP($M501,COMPARE!$H$2:$H$847,1,0),"-")="-","","GS")</f>
        <v/>
      </c>
      <c r="Z501" s="59" t="str">
        <f>IF(OR($M501="",NOT($O501="{array}")),"",IFERROR(MATCH(PARAMETERS!$M501,DEFAULT!$B$5:$CX$5,0),""))</f>
        <v/>
      </c>
      <c r="AA501" s="56" t="str">
        <f t="shared" si="34"/>
        <v/>
      </c>
      <c r="AB501" s="63" t="str">
        <f>IF(AND(OR($A501="G",$A501="P"),NOT($O501="{array}")),IF(VLOOKUP($K501,base!$B$2:$D$20,3,0)="S",IF(OR($O501="",ISTEXT($O501)),"","STRING!"),IF(VLOOKUP($K501,base!$B$2:$D$20,3,0)="","",IF(ISTEXT($O501),"NUMERIC!",""))),"")</f>
        <v/>
      </c>
      <c r="AC501" s="17" t="str">
        <f>IF($AA501="","",IF($B501="I",VLOOKUP($AA501,#REF!,53,0),INDEX(VALUES!$B$1:$BT$1,1,$AA501)))</f>
        <v/>
      </c>
    </row>
    <row r="502" spans="1:29" hidden="1" outlineLevel="1" x14ac:dyDescent="0.3">
      <c r="A502" s="22"/>
      <c r="B502" s="41" t="str">
        <f t="shared" si="39"/>
        <v/>
      </c>
      <c r="C502" s="42">
        <f t="shared" si="40"/>
        <v>501</v>
      </c>
      <c r="D502" s="38"/>
      <c r="E502" s="38"/>
      <c r="F502" s="38"/>
      <c r="G502" s="38" t="s">
        <v>9</v>
      </c>
      <c r="H502" s="38"/>
      <c r="I502" s="38" t="s">
        <v>9</v>
      </c>
      <c r="J502" s="38"/>
      <c r="K502" s="14" t="s">
        <v>18</v>
      </c>
      <c r="L502" s="14" t="s">
        <v>38</v>
      </c>
      <c r="M502" s="20" t="s">
        <v>214</v>
      </c>
      <c r="N502" s="14" t="s">
        <v>215</v>
      </c>
      <c r="O502" s="43" t="s">
        <v>216</v>
      </c>
      <c r="R502" s="38" t="s">
        <v>103</v>
      </c>
      <c r="S502" s="38"/>
      <c r="T502" s="38"/>
      <c r="W502" s="15" t="str">
        <f>IF(IFERROR(VLOOKUP($M502,COMPARE!$H$2:$H$847,1,0),"-")="-","","GS")</f>
        <v/>
      </c>
      <c r="Z502" s="59" t="str">
        <f>IF(OR($M502="",NOT($O502="{array}")),"",IFERROR(MATCH(PARAMETERS!$M502,DEFAULT!$B$5:$CX$5,0),""))</f>
        <v/>
      </c>
      <c r="AA502" s="56" t="str">
        <f t="shared" si="34"/>
        <v/>
      </c>
      <c r="AB502" s="63" t="str">
        <f>IF(AND(OR($A502="G",$A502="P"),NOT($O502="{array}")),IF(VLOOKUP($K502,base!$B$2:$D$20,3,0)="S",IF(OR($O502="",ISTEXT($O502)),"","STRING!"),IF(VLOOKUP($K502,base!$B$2:$D$20,3,0)="","",IF(ISTEXT($O502),"NUMERIC!",""))),"")</f>
        <v/>
      </c>
      <c r="AC502" s="17" t="str">
        <f>IF($AA502="","",IF($B502="I",VLOOKUP($AA502,#REF!,53,0),INDEX(VALUES!$B$1:$BT$1,1,$AA502)))</f>
        <v/>
      </c>
    </row>
    <row r="503" spans="1:29" hidden="1" outlineLevel="1" x14ac:dyDescent="0.3">
      <c r="A503" s="22" t="s">
        <v>84</v>
      </c>
      <c r="B503" s="41" t="str">
        <f t="shared" si="39"/>
        <v/>
      </c>
      <c r="C503" s="42">
        <f t="shared" si="40"/>
        <v>502</v>
      </c>
      <c r="D503" s="38"/>
      <c r="E503" s="38"/>
      <c r="F503" s="38"/>
      <c r="G503" s="38"/>
      <c r="H503" s="38"/>
      <c r="I503" s="38" t="s">
        <v>9</v>
      </c>
      <c r="J503" s="38"/>
      <c r="K503" s="53" t="s">
        <v>44</v>
      </c>
      <c r="L503" s="53" t="s">
        <v>32</v>
      </c>
      <c r="M503" s="114" t="s">
        <v>174</v>
      </c>
      <c r="N503" s="53" t="s">
        <v>1042</v>
      </c>
      <c r="O503" s="113">
        <v>1</v>
      </c>
      <c r="R503" s="38" t="s">
        <v>191</v>
      </c>
      <c r="S503" s="38"/>
      <c r="T503" s="38"/>
      <c r="W503" s="15"/>
      <c r="Z503" s="59" t="str">
        <f>IF(OR($M503="",NOT($O503="{array}")),"",IFERROR(MATCH(PARAMETERS!$M503,DEFAULT!$B$5:$CX$5,0),""))</f>
        <v/>
      </c>
      <c r="AA503" s="56" t="str">
        <f t="shared" si="34"/>
        <v/>
      </c>
      <c r="AB503" s="63" t="str">
        <f>IF(AND(OR($A503="G",$A503="P"),NOT($O503="{array}")),IF(VLOOKUP($K503,base!$B$2:$D$20,3,0)="S",IF(OR($O503="",ISTEXT($O503)),"","STRING!"),IF(VLOOKUP($K503,base!$B$2:$D$20,3,0)="","",IF(ISTEXT($O503),"NUMERIC!",""))),"")</f>
        <v/>
      </c>
      <c r="AC503" s="17" t="str">
        <f>IF($AA503="","",IF($B503="I",VLOOKUP($AA503,#REF!,53,0),INDEX(VALUES!$B$1:$BT$1,1,$AA503)))</f>
        <v/>
      </c>
    </row>
    <row r="504" spans="1:29" hidden="1" outlineLevel="1" x14ac:dyDescent="0.3">
      <c r="A504" s="22" t="s">
        <v>84</v>
      </c>
      <c r="B504" s="41" t="str">
        <f t="shared" si="39"/>
        <v/>
      </c>
      <c r="C504" s="42">
        <f t="shared" si="40"/>
        <v>503</v>
      </c>
      <c r="D504" s="38"/>
      <c r="E504" s="38"/>
      <c r="F504" s="38"/>
      <c r="G504" s="38"/>
      <c r="H504" s="38"/>
      <c r="I504" s="38" t="s">
        <v>9</v>
      </c>
      <c r="J504" s="38"/>
      <c r="K504" s="53" t="s">
        <v>44</v>
      </c>
      <c r="L504" s="53" t="s">
        <v>32</v>
      </c>
      <c r="M504" s="114" t="s">
        <v>217</v>
      </c>
      <c r="N504" s="53" t="s">
        <v>218</v>
      </c>
      <c r="O504" s="113">
        <v>1</v>
      </c>
      <c r="R504" s="38" t="s">
        <v>191</v>
      </c>
      <c r="S504" s="38"/>
      <c r="T504" s="38"/>
      <c r="W504" s="15"/>
      <c r="Z504" s="59" t="str">
        <f>IF(OR($M504="",NOT($O504="{array}")),"",IFERROR(MATCH(PARAMETERS!$M504,DEFAULT!$B$5:$CX$5,0),""))</f>
        <v/>
      </c>
      <c r="AA504" s="56" t="str">
        <f t="shared" si="34"/>
        <v/>
      </c>
      <c r="AB504" s="63" t="str">
        <f>IF(AND(OR($A504="G",$A504="P"),NOT($O504="{array}")),IF(VLOOKUP($K504,base!$B$2:$D$20,3,0)="S",IF(OR($O504="",ISTEXT($O504)),"","STRING!"),IF(VLOOKUP($K504,base!$B$2:$D$20,3,0)="","",IF(ISTEXT($O504),"NUMERIC!",""))),"")</f>
        <v/>
      </c>
      <c r="AC504" s="17" t="str">
        <f>IF($AA504="","",IF($B504="I",VLOOKUP($AA504,#REF!,53,0),INDEX(VALUES!$B$1:$BT$1,1,$AA504)))</f>
        <v/>
      </c>
    </row>
    <row r="505" spans="1:29" hidden="1" outlineLevel="1" x14ac:dyDescent="0.3">
      <c r="A505" s="22" t="s">
        <v>84</v>
      </c>
      <c r="B505" s="41" t="str">
        <f t="shared" si="39"/>
        <v/>
      </c>
      <c r="C505" s="42">
        <f t="shared" si="40"/>
        <v>504</v>
      </c>
      <c r="D505" s="38"/>
      <c r="E505" s="38"/>
      <c r="F505" s="38" t="s">
        <v>9</v>
      </c>
      <c r="G505" s="38" t="s">
        <v>9</v>
      </c>
      <c r="H505" s="38"/>
      <c r="I505" s="38" t="s">
        <v>9</v>
      </c>
      <c r="J505" s="38"/>
      <c r="K505" s="14" t="s">
        <v>44</v>
      </c>
      <c r="L505" s="14" t="s">
        <v>27</v>
      </c>
      <c r="M505" s="20" t="s">
        <v>219</v>
      </c>
      <c r="N505" s="14" t="s">
        <v>220</v>
      </c>
      <c r="O505" s="43">
        <v>1</v>
      </c>
      <c r="Q505" s="38" t="s">
        <v>9</v>
      </c>
      <c r="R505" s="38" t="s">
        <v>103</v>
      </c>
      <c r="S505" s="38"/>
      <c r="T505" s="38"/>
      <c r="W505" s="15" t="str">
        <f>IF(IFERROR(VLOOKUP($M505,COMPARE!$H$2:$H$847,1,0),"-")="-","","GS")</f>
        <v/>
      </c>
      <c r="Z505" s="59" t="str">
        <f>IF(OR($M505="",NOT($O505="{array}")),"",IFERROR(MATCH(PARAMETERS!$M505,DEFAULT!$B$5:$CX$5,0),""))</f>
        <v/>
      </c>
      <c r="AA505" s="56" t="str">
        <f t="shared" si="34"/>
        <v/>
      </c>
      <c r="AB505" s="63" t="str">
        <f>IF(AND(OR($A505="G",$A505="P"),NOT($O505="{array}")),IF(VLOOKUP($K505,base!$B$2:$D$20,3,0)="S",IF(OR($O505="",ISTEXT($O505)),"","STRING!"),IF(VLOOKUP($K505,base!$B$2:$D$20,3,0)="","",IF(ISTEXT($O505),"NUMERIC!",""))),"")</f>
        <v/>
      </c>
      <c r="AC505" s="17" t="str">
        <f>IF($AA505="","",IF($B505="I",VLOOKUP($AA505,#REF!,53,0),INDEX(VALUES!$B$1:$BT$1,1,$AA505)))</f>
        <v/>
      </c>
    </row>
    <row r="506" spans="1:29" hidden="1" outlineLevel="1" x14ac:dyDescent="0.3">
      <c r="A506" s="22" t="s">
        <v>84</v>
      </c>
      <c r="B506" s="41" t="str">
        <f t="shared" si="39"/>
        <v/>
      </c>
      <c r="C506" s="42">
        <f t="shared" si="40"/>
        <v>505</v>
      </c>
      <c r="D506" s="38"/>
      <c r="E506" s="38"/>
      <c r="F506" s="38" t="s">
        <v>9</v>
      </c>
      <c r="G506" s="38" t="s">
        <v>9</v>
      </c>
      <c r="H506" s="38"/>
      <c r="I506" s="38" t="s">
        <v>9</v>
      </c>
      <c r="J506" s="38"/>
      <c r="K506" s="14" t="s">
        <v>44</v>
      </c>
      <c r="L506" s="14" t="s">
        <v>27</v>
      </c>
      <c r="M506" s="20" t="s">
        <v>221</v>
      </c>
      <c r="N506" s="14" t="s">
        <v>222</v>
      </c>
      <c r="O506" s="43">
        <v>1</v>
      </c>
      <c r="Q506" s="38" t="s">
        <v>9</v>
      </c>
      <c r="R506" s="38" t="s">
        <v>103</v>
      </c>
      <c r="S506" s="38"/>
      <c r="T506" s="38"/>
      <c r="W506" s="15" t="str">
        <f>IF(IFERROR(VLOOKUP($M506,COMPARE!$H$2:$H$847,1,0),"-")="-","","GS")</f>
        <v/>
      </c>
      <c r="Z506" s="59" t="str">
        <f>IF(OR($M506="",NOT($O506="{array}")),"",IFERROR(MATCH(PARAMETERS!$M506,DEFAULT!$B$5:$CX$5,0),""))</f>
        <v/>
      </c>
      <c r="AA506" s="56" t="str">
        <f t="shared" si="34"/>
        <v/>
      </c>
      <c r="AB506" s="63" t="str">
        <f>IF(AND(OR($A506="G",$A506="P"),NOT($O506="{array}")),IF(VLOOKUP($K506,base!$B$2:$D$20,3,0)="S",IF(OR($O506="",ISTEXT($O506)),"","STRING!"),IF(VLOOKUP($K506,base!$B$2:$D$20,3,0)="","",IF(ISTEXT($O506),"NUMERIC!",""))),"")</f>
        <v/>
      </c>
      <c r="AC506" s="17" t="str">
        <f>IF($AA506="","",IF($B506="I",VLOOKUP($AA506,#REF!,53,0),INDEX(VALUES!$B$1:$BT$1,1,$AA506)))</f>
        <v/>
      </c>
    </row>
    <row r="507" spans="1:29" hidden="1" outlineLevel="1" x14ac:dyDescent="0.3">
      <c r="A507" s="22" t="s">
        <v>84</v>
      </c>
      <c r="B507" s="41" t="str">
        <f t="shared" si="39"/>
        <v/>
      </c>
      <c r="C507" s="42">
        <f t="shared" si="40"/>
        <v>506</v>
      </c>
      <c r="D507" s="38"/>
      <c r="E507" s="38"/>
      <c r="F507" s="38" t="s">
        <v>9</v>
      </c>
      <c r="G507" s="38" t="s">
        <v>9</v>
      </c>
      <c r="H507" s="38"/>
      <c r="I507" s="38" t="s">
        <v>9</v>
      </c>
      <c r="J507" s="38" t="s">
        <v>9</v>
      </c>
      <c r="K507" s="14" t="s">
        <v>44</v>
      </c>
      <c r="L507" s="14" t="s">
        <v>27</v>
      </c>
      <c r="M507" s="20" t="s">
        <v>223</v>
      </c>
      <c r="N507" s="14" t="s">
        <v>222</v>
      </c>
      <c r="O507" s="43">
        <v>1</v>
      </c>
      <c r="Q507" s="38" t="s">
        <v>9</v>
      </c>
      <c r="R507" s="38" t="s">
        <v>103</v>
      </c>
      <c r="S507" s="38"/>
      <c r="T507" s="38"/>
      <c r="W507" s="15" t="str">
        <f>IF(IFERROR(VLOOKUP($M507,COMPARE!$H$2:$H$847,1,0),"-")="-","","GS")</f>
        <v/>
      </c>
      <c r="Z507" s="59" t="str">
        <f>IF(OR($M507="",NOT($O507="{array}")),"",IFERROR(MATCH(PARAMETERS!$M507,DEFAULT!$B$5:$CX$5,0),""))</f>
        <v/>
      </c>
      <c r="AA507" s="56" t="str">
        <f t="shared" si="34"/>
        <v/>
      </c>
      <c r="AB507" s="63" t="str">
        <f>IF(AND(OR($A507="G",$A507="P"),NOT($O507="{array}")),IF(VLOOKUP($K507,base!$B$2:$D$20,3,0)="S",IF(OR($O507="",ISTEXT($O507)),"","STRING!"),IF(VLOOKUP($K507,base!$B$2:$D$20,3,0)="","",IF(ISTEXT($O507),"NUMERIC!",""))),"")</f>
        <v/>
      </c>
      <c r="AC507" s="17" t="str">
        <f>IF($AA507="","",IF($B507="I",VLOOKUP($AA507,#REF!,53,0),INDEX(VALUES!$B$1:$BT$1,1,$AA507)))</f>
        <v/>
      </c>
    </row>
    <row r="508" spans="1:29" hidden="1" outlineLevel="1" x14ac:dyDescent="0.3">
      <c r="A508" s="22" t="s">
        <v>84</v>
      </c>
      <c r="B508" s="41" t="str">
        <f t="shared" si="39"/>
        <v/>
      </c>
      <c r="C508" s="42">
        <f t="shared" si="40"/>
        <v>507</v>
      </c>
      <c r="D508" s="38"/>
      <c r="E508" s="38"/>
      <c r="F508" s="38"/>
      <c r="G508" s="38" t="s">
        <v>9</v>
      </c>
      <c r="H508" s="38"/>
      <c r="I508" s="38" t="s">
        <v>9</v>
      </c>
      <c r="J508" s="38"/>
      <c r="K508" s="14" t="s">
        <v>44</v>
      </c>
      <c r="L508" s="14" t="s">
        <v>27</v>
      </c>
      <c r="M508" s="20" t="s">
        <v>224</v>
      </c>
      <c r="O508" s="43">
        <v>0</v>
      </c>
      <c r="Q508" s="38" t="s">
        <v>225</v>
      </c>
      <c r="R508" s="38" t="s">
        <v>103</v>
      </c>
      <c r="S508" s="38"/>
      <c r="T508" s="38"/>
      <c r="W508" s="15" t="str">
        <f>IF(IFERROR(VLOOKUP($M508,COMPARE!$H$2:$H$847,1,0),"-")="-","","GS")</f>
        <v/>
      </c>
      <c r="Z508" s="59" t="str">
        <f>IF(OR($M508="",NOT($O508="{array}")),"",IFERROR(MATCH(PARAMETERS!$M508,DEFAULT!$B$5:$CX$5,0),""))</f>
        <v/>
      </c>
      <c r="AA508" s="56" t="str">
        <f t="shared" si="34"/>
        <v/>
      </c>
      <c r="AB508" s="63" t="str">
        <f>IF(AND(OR($A508="G",$A508="P"),NOT($O508="{array}")),IF(VLOOKUP($K508,base!$B$2:$D$20,3,0)="S",IF(OR($O508="",ISTEXT($O508)),"","STRING!"),IF(VLOOKUP($K508,base!$B$2:$D$20,3,0)="","",IF(ISTEXT($O508),"NUMERIC!",""))),"")</f>
        <v/>
      </c>
      <c r="AC508" s="17" t="str">
        <f>IF($AA508="","",IF($B508="I",VLOOKUP($AA508,#REF!,53,0),INDEX(VALUES!$B$1:$BT$1,1,$AA508)))</f>
        <v/>
      </c>
    </row>
    <row r="509" spans="1:29" hidden="1" outlineLevel="1" x14ac:dyDescent="0.3">
      <c r="A509" s="22" t="s">
        <v>84</v>
      </c>
      <c r="B509" s="41" t="str">
        <f t="shared" si="39"/>
        <v/>
      </c>
      <c r="C509" s="42">
        <f t="shared" si="40"/>
        <v>508</v>
      </c>
      <c r="D509" s="38"/>
      <c r="E509" s="38"/>
      <c r="F509" s="38"/>
      <c r="G509" s="38" t="s">
        <v>9</v>
      </c>
      <c r="H509" s="38"/>
      <c r="I509" s="38" t="s">
        <v>9</v>
      </c>
      <c r="J509" s="38"/>
      <c r="K509" s="14" t="s">
        <v>44</v>
      </c>
      <c r="L509" s="14" t="s">
        <v>27</v>
      </c>
      <c r="M509" s="20" t="s">
        <v>226</v>
      </c>
      <c r="O509" s="43">
        <v>1</v>
      </c>
      <c r="Q509" s="38" t="s">
        <v>225</v>
      </c>
      <c r="R509" s="38" t="s">
        <v>103</v>
      </c>
      <c r="S509" s="38"/>
      <c r="T509" s="38"/>
      <c r="W509" s="15" t="str">
        <f>IF(IFERROR(VLOOKUP($M509,COMPARE!$H$2:$H$847,1,0),"-")="-","","GS")</f>
        <v/>
      </c>
      <c r="Z509" s="59" t="str">
        <f>IF(OR($M509="",NOT($O509="{array}")),"",IFERROR(MATCH(PARAMETERS!$M509,DEFAULT!$B$5:$CX$5,0),""))</f>
        <v/>
      </c>
      <c r="AA509" s="56" t="str">
        <f t="shared" si="34"/>
        <v/>
      </c>
      <c r="AB509" s="63" t="str">
        <f>IF(AND(OR($A509="G",$A509="P"),NOT($O509="{array}")),IF(VLOOKUP($K509,base!$B$2:$D$20,3,0)="S",IF(OR($O509="",ISTEXT($O509)),"","STRING!"),IF(VLOOKUP($K509,base!$B$2:$D$20,3,0)="","",IF(ISTEXT($O509),"NUMERIC!",""))),"")</f>
        <v/>
      </c>
      <c r="AC509" s="17" t="str">
        <f>IF($AA509="","",IF($B509="I",VLOOKUP($AA509,#REF!,53,0),INDEX(VALUES!$B$1:$BT$1,1,$AA509)))</f>
        <v/>
      </c>
    </row>
    <row r="510" spans="1:29" hidden="1" outlineLevel="1" x14ac:dyDescent="0.3">
      <c r="A510" s="22" t="s">
        <v>84</v>
      </c>
      <c r="B510" s="41" t="str">
        <f t="shared" si="39"/>
        <v/>
      </c>
      <c r="C510" s="42">
        <f t="shared" si="40"/>
        <v>509</v>
      </c>
      <c r="D510" s="38"/>
      <c r="E510" s="38"/>
      <c r="F510" s="38" t="s">
        <v>9</v>
      </c>
      <c r="G510" s="38" t="s">
        <v>9</v>
      </c>
      <c r="H510" s="38"/>
      <c r="I510" s="38" t="s">
        <v>9</v>
      </c>
      <c r="J510" s="38"/>
      <c r="K510" s="14" t="s">
        <v>18</v>
      </c>
      <c r="L510" s="14" t="s">
        <v>27</v>
      </c>
      <c r="M510" s="20" t="s">
        <v>227</v>
      </c>
      <c r="N510" s="14" t="s">
        <v>228</v>
      </c>
      <c r="Q510" s="38" t="s">
        <v>9</v>
      </c>
      <c r="R510" s="38" t="s">
        <v>103</v>
      </c>
      <c r="S510" s="38"/>
      <c r="T510" s="38"/>
      <c r="W510" s="15" t="str">
        <f>IF(IFERROR(VLOOKUP($M510,COMPARE!$H$2:$H$847,1,0),"-")="-","","GS")</f>
        <v/>
      </c>
      <c r="Z510" s="59" t="str">
        <f>IF(OR($M510="",NOT($O510="{array}")),"",IFERROR(MATCH(PARAMETERS!$M510,DEFAULT!$B$5:$CX$5,0),""))</f>
        <v/>
      </c>
      <c r="AA510" s="56" t="str">
        <f t="shared" si="34"/>
        <v/>
      </c>
      <c r="AB510" s="63" t="str">
        <f>IF(AND(OR($A510="G",$A510="P"),NOT($O510="{array}")),IF(VLOOKUP($K510,base!$B$2:$D$20,3,0)="S",IF(OR($O510="",ISTEXT($O510)),"","STRING!"),IF(VLOOKUP($K510,base!$B$2:$D$20,3,0)="","",IF(ISTEXT($O510),"NUMERIC!",""))),"")</f>
        <v/>
      </c>
      <c r="AC510" s="17" t="str">
        <f>IF($AA510="","",IF($B510="I",VLOOKUP($AA510,#REF!,53,0),INDEX(VALUES!$B$1:$BT$1,1,$AA510)))</f>
        <v/>
      </c>
    </row>
    <row r="511" spans="1:29" hidden="1" outlineLevel="1" x14ac:dyDescent="0.3">
      <c r="A511" s="22" t="s">
        <v>84</v>
      </c>
      <c r="B511" s="41" t="str">
        <f t="shared" si="39"/>
        <v/>
      </c>
      <c r="C511" s="42">
        <f t="shared" si="40"/>
        <v>510</v>
      </c>
      <c r="D511" s="38"/>
      <c r="E511" s="38"/>
      <c r="F511" s="38" t="s">
        <v>9</v>
      </c>
      <c r="G511" s="38" t="s">
        <v>9</v>
      </c>
      <c r="H511" s="38"/>
      <c r="I511" s="38" t="s">
        <v>9</v>
      </c>
      <c r="J511" s="38" t="s">
        <v>9</v>
      </c>
      <c r="K511" s="14" t="s">
        <v>44</v>
      </c>
      <c r="L511" s="14" t="s">
        <v>38</v>
      </c>
      <c r="M511" s="20" t="s">
        <v>229</v>
      </c>
      <c r="N511" s="14" t="s">
        <v>230</v>
      </c>
      <c r="O511" s="43">
        <v>2</v>
      </c>
      <c r="Q511" s="38" t="s">
        <v>9</v>
      </c>
      <c r="R511" s="38" t="s">
        <v>103</v>
      </c>
      <c r="S511" s="38"/>
      <c r="T511" s="38"/>
      <c r="W511" s="15" t="str">
        <f>IF(IFERROR(VLOOKUP($M511,COMPARE!$H$2:$H$847,1,0),"-")="-","","GS")</f>
        <v/>
      </c>
      <c r="Z511" s="59" t="str">
        <f>IF(OR($M511="",NOT($O511="{array}")),"",IFERROR(MATCH(PARAMETERS!$M511,DEFAULT!$B$5:$CX$5,0),""))</f>
        <v/>
      </c>
      <c r="AA511" s="56" t="str">
        <f t="shared" si="34"/>
        <v/>
      </c>
      <c r="AB511" s="63" t="str">
        <f>IF(AND(OR($A511="G",$A511="P"),NOT($O511="{array}")),IF(VLOOKUP($K511,base!$B$2:$D$20,3,0)="S",IF(OR($O511="",ISTEXT($O511)),"","STRING!"),IF(VLOOKUP($K511,base!$B$2:$D$20,3,0)="","",IF(ISTEXT($O511),"NUMERIC!",""))),"")</f>
        <v/>
      </c>
      <c r="AC511" s="17" t="str">
        <f>IF($AA511="","",IF($B511="I",VLOOKUP($AA511,#REF!,53,0),INDEX(VALUES!$B$1:$BT$1,1,$AA511)))</f>
        <v/>
      </c>
    </row>
    <row r="512" spans="1:29" hidden="1" outlineLevel="1" x14ac:dyDescent="0.3">
      <c r="A512" s="22" t="s">
        <v>84</v>
      </c>
      <c r="B512" s="41" t="str">
        <f t="shared" si="39"/>
        <v/>
      </c>
      <c r="C512" s="42">
        <f t="shared" si="40"/>
        <v>511</v>
      </c>
      <c r="D512" s="38"/>
      <c r="E512" s="38"/>
      <c r="F512" s="38" t="s">
        <v>9</v>
      </c>
      <c r="G512" s="38" t="s">
        <v>9</v>
      </c>
      <c r="H512" s="38"/>
      <c r="I512" s="38" t="s">
        <v>9</v>
      </c>
      <c r="J512" s="38"/>
      <c r="K512" s="14" t="s">
        <v>47</v>
      </c>
      <c r="L512" s="14" t="s">
        <v>27</v>
      </c>
      <c r="M512" s="20" t="s">
        <v>231</v>
      </c>
      <c r="N512" s="14" t="s">
        <v>232</v>
      </c>
      <c r="O512" s="43">
        <v>1</v>
      </c>
      <c r="Q512" s="38" t="s">
        <v>9</v>
      </c>
      <c r="R512" s="38" t="s">
        <v>103</v>
      </c>
      <c r="S512" s="38"/>
      <c r="T512" s="38"/>
      <c r="W512" s="15" t="str">
        <f>IF(IFERROR(VLOOKUP($M512,COMPARE!$H$2:$H$847,1,0),"-")="-","","GS")</f>
        <v/>
      </c>
      <c r="Z512" s="59" t="str">
        <f>IF(OR($M512="",NOT($O512="{array}")),"",IFERROR(MATCH(PARAMETERS!$M512,DEFAULT!$B$5:$CX$5,0),""))</f>
        <v/>
      </c>
      <c r="AA512" s="56" t="str">
        <f t="shared" si="34"/>
        <v/>
      </c>
      <c r="AB512" s="63" t="str">
        <f>IF(AND(OR($A512="G",$A512="P"),NOT($O512="{array}")),IF(VLOOKUP($K512,base!$B$2:$D$20,3,0)="S",IF(OR($O512="",ISTEXT($O512)),"","STRING!"),IF(VLOOKUP($K512,base!$B$2:$D$20,3,0)="","",IF(ISTEXT($O512),"NUMERIC!",""))),"")</f>
        <v/>
      </c>
      <c r="AC512" s="17" t="str">
        <f>IF($AA512="","",IF($B512="I",VLOOKUP($AA512,#REF!,53,0),INDEX(VALUES!$B$1:$BT$1,1,$AA512)))</f>
        <v/>
      </c>
    </row>
    <row r="513" spans="1:29" hidden="1" outlineLevel="1" x14ac:dyDescent="0.3">
      <c r="A513" s="22" t="s">
        <v>84</v>
      </c>
      <c r="B513" s="41" t="str">
        <f t="shared" si="39"/>
        <v/>
      </c>
      <c r="C513" s="42">
        <f t="shared" si="40"/>
        <v>512</v>
      </c>
      <c r="D513" s="38"/>
      <c r="E513" s="38"/>
      <c r="F513" s="38"/>
      <c r="G513" s="38" t="s">
        <v>9</v>
      </c>
      <c r="H513" s="38"/>
      <c r="I513" s="38" t="s">
        <v>9</v>
      </c>
      <c r="J513" s="38"/>
      <c r="K513" s="14" t="s">
        <v>44</v>
      </c>
      <c r="L513" s="14" t="s">
        <v>27</v>
      </c>
      <c r="M513" s="20" t="s">
        <v>1178</v>
      </c>
      <c r="N513" s="14" t="s">
        <v>1179</v>
      </c>
      <c r="O513" s="43">
        <v>8000</v>
      </c>
      <c r="Q513" s="38" t="s">
        <v>9</v>
      </c>
      <c r="R513" s="38" t="s">
        <v>191</v>
      </c>
      <c r="S513" s="38"/>
      <c r="T513" s="38"/>
      <c r="W513" s="15" t="str">
        <f>IF(IFERROR(VLOOKUP($M513,COMPARE!$H$2:$H$847,1,0),"-")="-","","GS")</f>
        <v/>
      </c>
      <c r="Z513" s="59" t="str">
        <f>IF(OR($M513="",NOT($O513="{array}")),"",IFERROR(MATCH(PARAMETERS!$M513,DEFAULT!$B$5:$CX$5,0),""))</f>
        <v/>
      </c>
      <c r="AA513" s="56" t="str">
        <f t="shared" si="34"/>
        <v/>
      </c>
      <c r="AB513" s="63" t="str">
        <f>IF(AND(OR($A513="G",$A513="P"),NOT($O513="{array}")),IF(VLOOKUP($K513,base!$B$2:$D$20,3,0)="S",IF(OR($O513="",ISTEXT($O513)),"","STRING!"),IF(VLOOKUP($K513,base!$B$2:$D$20,3,0)="","",IF(ISTEXT($O513),"NUMERIC!",""))),"")</f>
        <v/>
      </c>
      <c r="AC513" s="17" t="str">
        <f>IF($AA513="","",IF($B513="I",VLOOKUP($AA513,#REF!,53,0),INDEX(VALUES!$B$1:$BT$1,1,$AA513)))</f>
        <v/>
      </c>
    </row>
    <row r="514" spans="1:29" hidden="1" outlineLevel="1" x14ac:dyDescent="0.3">
      <c r="A514" s="22" t="s">
        <v>84</v>
      </c>
      <c r="B514" s="41" t="str">
        <f t="shared" si="39"/>
        <v>V</v>
      </c>
      <c r="C514" s="42">
        <f t="shared" si="40"/>
        <v>513</v>
      </c>
      <c r="D514" s="38"/>
      <c r="E514" s="38"/>
      <c r="F514" s="38"/>
      <c r="G514" s="38"/>
      <c r="H514" s="38"/>
      <c r="I514" s="38" t="s">
        <v>9</v>
      </c>
      <c r="J514" s="38"/>
      <c r="K514" s="53" t="s">
        <v>44</v>
      </c>
      <c r="L514" s="53" t="s">
        <v>32</v>
      </c>
      <c r="M514" s="53" t="s">
        <v>233</v>
      </c>
      <c r="N514" s="53" t="s">
        <v>234</v>
      </c>
      <c r="O514" s="113">
        <v>0</v>
      </c>
      <c r="R514" s="38" t="s">
        <v>191</v>
      </c>
      <c r="S514" s="38"/>
      <c r="T514" s="38"/>
      <c r="W514" s="15"/>
      <c r="Z514" s="59" t="str">
        <f>IF(OR($M514="",NOT($O514="{array}")),"",IFERROR(MATCH(PARAMETERS!$M514,DEFAULT!$B$5:$CX$5,0),""))</f>
        <v/>
      </c>
      <c r="AA514" s="56">
        <f t="shared" si="34"/>
        <v>71</v>
      </c>
      <c r="AB514" s="63" t="str">
        <f>IF(AND(OR($A514="G",$A514="P"),NOT($O514="{array}")),IF(VLOOKUP($K514,base!$B$2:$D$20,3,0)="S",IF(OR($O514="",ISTEXT($O514)),"","STRING!"),IF(VLOOKUP($K514,base!$B$2:$D$20,3,0)="","",IF(ISTEXT($O514),"NUMERIC!",""))),"")</f>
        <v/>
      </c>
      <c r="AC514" s="17" t="str">
        <f>IF($AA514="","",IF($B514="I",VLOOKUP($AA514,#REF!,53,0),INDEX(VALUES!$B$1:$BT$1,1,$AA514)))</f>
        <v>0 | 1 | 2 | 3 | 4 | 5 | 6 | 7 | ...</v>
      </c>
    </row>
    <row r="515" spans="1:29" collapsed="1" x14ac:dyDescent="0.3">
      <c r="A515" s="22" t="s">
        <v>84</v>
      </c>
      <c r="B515" s="41" t="str">
        <f t="shared" si="39"/>
        <v/>
      </c>
      <c r="C515" s="185">
        <f t="shared" si="40"/>
        <v>514</v>
      </c>
      <c r="D515" s="186"/>
      <c r="E515" s="186"/>
      <c r="F515" s="186"/>
      <c r="G515" s="186"/>
      <c r="H515" s="186"/>
      <c r="I515" s="186"/>
      <c r="J515" s="186"/>
      <c r="K515" s="187" t="s">
        <v>57</v>
      </c>
      <c r="L515" s="187" t="s">
        <v>38</v>
      </c>
      <c r="M515" s="188" t="s">
        <v>1147</v>
      </c>
      <c r="N515" s="189" t="s">
        <v>1148</v>
      </c>
      <c r="O515" s="190"/>
      <c r="P515" s="187"/>
      <c r="Q515" s="186"/>
      <c r="R515" s="186" t="s">
        <v>103</v>
      </c>
      <c r="S515" s="38"/>
      <c r="T515" s="38"/>
      <c r="Z515" s="59" t="str">
        <f>IF(OR($M515="",NOT($O515="{array}")),"",IFERROR(MATCH(PARAMETERS!$M515,DEFAULT!$B$5:$CX$5,0),""))</f>
        <v/>
      </c>
      <c r="AA515" s="56" t="str">
        <f t="shared" si="34"/>
        <v/>
      </c>
      <c r="AB515" s="63" t="str">
        <f>IF(AND(OR($A515="G",$A515="P"),NOT($O515="{array}")),IF(VLOOKUP($K515,base!$B$2:$D$20,3,0)="S",IF(OR($O515="",ISTEXT($O515)),"","STRING!"),IF(VLOOKUP($K515,base!$B$2:$D$20,3,0)="","",IF(ISTEXT($O515),"NUMERIC!",""))),"")</f>
        <v/>
      </c>
      <c r="AC515" s="17" t="str">
        <f>IF($AA515="","",IF($B515="I",VLOOKUP($AA515,#REF!,53,0),INDEX(VALUES!$B$1:$BT$1,1,$AA515)))</f>
        <v/>
      </c>
    </row>
    <row r="516" spans="1:29" x14ac:dyDescent="0.3">
      <c r="A516" s="22" t="s">
        <v>84</v>
      </c>
      <c r="B516" s="41" t="str">
        <f t="shared" si="39"/>
        <v/>
      </c>
      <c r="C516" s="185">
        <f t="shared" si="40"/>
        <v>515</v>
      </c>
      <c r="D516" s="186"/>
      <c r="E516" s="186"/>
      <c r="F516" s="186"/>
      <c r="G516" s="186"/>
      <c r="H516" s="186"/>
      <c r="I516" s="186" t="s">
        <v>9</v>
      </c>
      <c r="J516" s="186" t="s">
        <v>9</v>
      </c>
      <c r="K516" s="187" t="s">
        <v>18</v>
      </c>
      <c r="L516" s="192" t="s">
        <v>38</v>
      </c>
      <c r="M516" s="193" t="s">
        <v>1895</v>
      </c>
      <c r="N516" s="187" t="s">
        <v>1896</v>
      </c>
      <c r="O516" s="190" t="s">
        <v>1897</v>
      </c>
      <c r="P516" s="187"/>
      <c r="Q516" s="186"/>
      <c r="R516" s="186" t="s">
        <v>191</v>
      </c>
      <c r="S516" s="38"/>
      <c r="T516" s="38"/>
      <c r="Z516" s="59" t="str">
        <f>IF(OR($M516="",NOT($O516="{array}")),"",IFERROR(MATCH(PARAMETERS!$M516,DEFAULT!$B$5:$CX$5,0),""))</f>
        <v/>
      </c>
      <c r="AA516" s="56" t="str">
        <f t="shared" ref="AA516:AA523" si="41">IF($M516="","",IFERROR(MATCH($M516,VALUESnames,0),""))</f>
        <v/>
      </c>
      <c r="AB516" s="63" t="str">
        <f>IF(AND(OR($A516="G",$A516="P"),NOT($O516="{array}")),IF(VLOOKUP($K516,base!$B$2:$D$20,3,0)="S",IF(OR($O516="",ISTEXT($O516)),"","STRING!"),IF(VLOOKUP($K516,base!$B$2:$D$20,3,0)="","",IF(ISTEXT($O516),"NUMERIC!",""))),"")</f>
        <v/>
      </c>
      <c r="AC516" s="17" t="str">
        <f>IF($AA516="","",IF($B516="I",VLOOKUP($AA516,#REF!,53,0),INDEX(VALUES!$B$1:$BT$1,1,$AA516)))</f>
        <v/>
      </c>
    </row>
    <row r="517" spans="1:29" x14ac:dyDescent="0.3">
      <c r="A517" s="22" t="s">
        <v>84</v>
      </c>
      <c r="B517" s="41" t="str">
        <f t="shared" si="39"/>
        <v/>
      </c>
      <c r="C517" s="185">
        <f t="shared" si="40"/>
        <v>516</v>
      </c>
      <c r="D517" s="186"/>
      <c r="E517" s="186"/>
      <c r="F517" s="186"/>
      <c r="G517" s="186"/>
      <c r="H517" s="186"/>
      <c r="I517" s="186" t="s">
        <v>9</v>
      </c>
      <c r="J517" s="186" t="s">
        <v>9</v>
      </c>
      <c r="K517" s="187" t="s">
        <v>44</v>
      </c>
      <c r="L517" s="192" t="s">
        <v>38</v>
      </c>
      <c r="M517" s="193" t="s">
        <v>1815</v>
      </c>
      <c r="N517" s="187" t="s">
        <v>1816</v>
      </c>
      <c r="O517" s="190">
        <v>0</v>
      </c>
      <c r="P517" s="187"/>
      <c r="Q517" s="186"/>
      <c r="R517" s="186" t="s">
        <v>191</v>
      </c>
      <c r="S517" s="38"/>
      <c r="T517" s="38"/>
      <c r="Z517" s="59" t="str">
        <f>IF(OR($M517="",NOT($O517="{array}")),"",IFERROR(MATCH(PARAMETERS!$M517,DEFAULT!$B$5:$CX$5,0),""))</f>
        <v/>
      </c>
      <c r="AA517" s="56" t="str">
        <f t="shared" si="41"/>
        <v/>
      </c>
      <c r="AB517" s="63" t="str">
        <f>IF(AND(OR($A517="G",$A517="P"),NOT($O517="{array}")),IF(VLOOKUP($K517,base!$B$2:$D$20,3,0)="S",IF(OR($O517="",ISTEXT($O517)),"","STRING!"),IF(VLOOKUP($K517,base!$B$2:$D$20,3,0)="","",IF(ISTEXT($O517),"NUMERIC!",""))),"")</f>
        <v/>
      </c>
      <c r="AC517" s="17" t="str">
        <f>IF($AA517="","",IF($B517="I",VLOOKUP($AA517,#REF!,53,0),INDEX(VALUES!$B$1:$BT$1,1,$AA517)))</f>
        <v/>
      </c>
    </row>
    <row r="518" spans="1:29" x14ac:dyDescent="0.3">
      <c r="A518" s="22" t="s">
        <v>84</v>
      </c>
      <c r="B518" s="41" t="str">
        <f t="shared" si="39"/>
        <v/>
      </c>
      <c r="C518" s="185">
        <f t="shared" si="40"/>
        <v>517</v>
      </c>
      <c r="D518" s="186"/>
      <c r="E518" s="186"/>
      <c r="F518" s="186"/>
      <c r="G518" s="186"/>
      <c r="H518" s="186"/>
      <c r="I518" s="186" t="s">
        <v>9</v>
      </c>
      <c r="J518" s="186" t="s">
        <v>9</v>
      </c>
      <c r="K518" s="187" t="s">
        <v>44</v>
      </c>
      <c r="L518" s="192" t="s">
        <v>38</v>
      </c>
      <c r="M518" s="193" t="s">
        <v>1881</v>
      </c>
      <c r="N518" s="187" t="s">
        <v>1882</v>
      </c>
      <c r="O518" s="190">
        <v>0</v>
      </c>
      <c r="P518" s="187"/>
      <c r="Q518" s="186"/>
      <c r="R518" s="186" t="s">
        <v>191</v>
      </c>
      <c r="S518" s="38"/>
      <c r="T518" s="38"/>
      <c r="Z518" s="59" t="str">
        <f>IF(OR($M518="",NOT($O518="{array}")),"",IFERROR(MATCH(PARAMETERS!$M518,DEFAULT!$B$5:$CX$5,0),""))</f>
        <v/>
      </c>
      <c r="AA518" s="56" t="str">
        <f t="shared" si="41"/>
        <v/>
      </c>
      <c r="AB518" s="63" t="str">
        <f>IF(AND(OR($A518="G",$A518="P"),NOT($O518="{array}")),IF(VLOOKUP($K518,base!$B$2:$D$20,3,0)="S",IF(OR($O518="",ISTEXT($O518)),"","STRING!"),IF(VLOOKUP($K518,base!$B$2:$D$20,3,0)="","",IF(ISTEXT($O518),"NUMERIC!",""))),"")</f>
        <v/>
      </c>
      <c r="AC518" s="17" t="str">
        <f>IF($AA518="","",IF($B518="I",VLOOKUP($AA518,#REF!,53,0),INDEX(VALUES!$B$1:$BT$1,1,$AA518)))</f>
        <v/>
      </c>
    </row>
    <row r="519" spans="1:29" hidden="1" outlineLevel="1" x14ac:dyDescent="0.3">
      <c r="A519" s="22" t="s">
        <v>84</v>
      </c>
      <c r="B519" s="41" t="str">
        <f t="shared" si="39"/>
        <v/>
      </c>
      <c r="C519" s="191">
        <f t="shared" si="40"/>
        <v>518</v>
      </c>
      <c r="D519" s="186"/>
      <c r="E519" s="186"/>
      <c r="F519" s="186"/>
      <c r="G519" s="186"/>
      <c r="H519" s="186"/>
      <c r="I519" s="186" t="s">
        <v>9</v>
      </c>
      <c r="J519" s="186" t="s">
        <v>9</v>
      </c>
      <c r="K519" s="187" t="s">
        <v>44</v>
      </c>
      <c r="L519" s="192" t="s">
        <v>38</v>
      </c>
      <c r="M519" s="193" t="s">
        <v>1149</v>
      </c>
      <c r="N519" s="187" t="s">
        <v>1150</v>
      </c>
      <c r="O519" s="190">
        <v>1</v>
      </c>
      <c r="P519" s="187"/>
      <c r="Q519" s="186"/>
      <c r="R519" s="186" t="s">
        <v>191</v>
      </c>
      <c r="S519" s="38"/>
      <c r="T519" s="38"/>
      <c r="Z519" s="59" t="str">
        <f>IF(OR($M519="",NOT($O519="{array}")),"",IFERROR(MATCH(PARAMETERS!$M519,DEFAULT!$B$5:$CX$5,0),""))</f>
        <v/>
      </c>
      <c r="AA519" s="56" t="str">
        <f t="shared" si="41"/>
        <v/>
      </c>
      <c r="AB519" s="63" t="str">
        <f>IF(AND(OR($A519="G",$A519="P"),NOT($O519="{array}")),IF(VLOOKUP($K519,base!$B$2:$D$20,3,0)="S",IF(OR($O519="",ISTEXT($O519)),"","STRING!"),IF(VLOOKUP($K519,base!$B$2:$D$20,3,0)="","",IF(ISTEXT($O519),"NUMERIC!",""))),"")</f>
        <v/>
      </c>
      <c r="AC519" s="17" t="str">
        <f>IF($AA519="","",IF($B519="I",VLOOKUP($AA519,#REF!,53,0),INDEX(VALUES!$B$1:$BT$1,1,$AA519)))</f>
        <v/>
      </c>
    </row>
    <row r="520" spans="1:29" hidden="1" outlineLevel="1" x14ac:dyDescent="0.3">
      <c r="A520" s="22" t="s">
        <v>84</v>
      </c>
      <c r="B520" s="41" t="str">
        <f t="shared" si="39"/>
        <v/>
      </c>
      <c r="C520" s="191">
        <f t="shared" si="40"/>
        <v>519</v>
      </c>
      <c r="D520" s="186"/>
      <c r="E520" s="186"/>
      <c r="F520" s="186"/>
      <c r="G520" s="186"/>
      <c r="H520" s="186"/>
      <c r="I520" s="186" t="s">
        <v>9</v>
      </c>
      <c r="J520" s="186" t="s">
        <v>9</v>
      </c>
      <c r="K520" s="187" t="s">
        <v>44</v>
      </c>
      <c r="L520" s="192" t="s">
        <v>38</v>
      </c>
      <c r="M520" s="193" t="s">
        <v>1151</v>
      </c>
      <c r="N520" s="187" t="s">
        <v>1152</v>
      </c>
      <c r="O520" s="190">
        <v>1</v>
      </c>
      <c r="P520" s="187"/>
      <c r="Q520" s="186"/>
      <c r="R520" s="186" t="s">
        <v>191</v>
      </c>
      <c r="S520" s="38"/>
      <c r="T520" s="38"/>
      <c r="Z520" s="59" t="str">
        <f>IF(OR($M520="",NOT($O520="{array}")),"",IFERROR(MATCH(PARAMETERS!$M520,DEFAULT!$B$5:$CX$5,0),""))</f>
        <v/>
      </c>
      <c r="AA520" s="56" t="str">
        <f t="shared" si="41"/>
        <v/>
      </c>
      <c r="AB520" s="63" t="str">
        <f>IF(AND(OR($A520="G",$A520="P"),NOT($O520="{array}")),IF(VLOOKUP($K520,base!$B$2:$D$20,3,0)="S",IF(OR($O520="",ISTEXT($O520)),"","STRING!"),IF(VLOOKUP($K520,base!$B$2:$D$20,3,0)="","",IF(ISTEXT($O520),"NUMERIC!",""))),"")</f>
        <v/>
      </c>
      <c r="AC520" s="17" t="str">
        <f>IF($AA520="","",IF($B520="I",VLOOKUP($AA520,#REF!,53,0),INDEX(VALUES!$B$1:$BT$1,1,$AA520)))</f>
        <v/>
      </c>
    </row>
    <row r="521" spans="1:29" hidden="1" outlineLevel="1" x14ac:dyDescent="0.3">
      <c r="A521" s="22" t="s">
        <v>84</v>
      </c>
      <c r="B521" s="41" t="str">
        <f t="shared" si="39"/>
        <v/>
      </c>
      <c r="C521" s="191">
        <f t="shared" si="40"/>
        <v>520</v>
      </c>
      <c r="D521" s="186"/>
      <c r="E521" s="186"/>
      <c r="F521" s="186"/>
      <c r="G521" s="186"/>
      <c r="H521" s="186"/>
      <c r="I521" s="186" t="s">
        <v>9</v>
      </c>
      <c r="J521" s="186" t="s">
        <v>9</v>
      </c>
      <c r="K521" s="187" t="s">
        <v>44</v>
      </c>
      <c r="L521" s="192" t="s">
        <v>38</v>
      </c>
      <c r="M521" s="193" t="s">
        <v>1153</v>
      </c>
      <c r="N521" s="187" t="s">
        <v>1154</v>
      </c>
      <c r="O521" s="190">
        <v>0</v>
      </c>
      <c r="P521" s="187"/>
      <c r="Q521" s="186"/>
      <c r="R521" s="186" t="s">
        <v>191</v>
      </c>
      <c r="S521" s="38"/>
      <c r="T521" s="38"/>
      <c r="Z521" s="59" t="str">
        <f>IF(OR($M521="",NOT($O521="{array}")),"",IFERROR(MATCH(PARAMETERS!$M521,DEFAULT!$B$5:$CX$5,0),""))</f>
        <v/>
      </c>
      <c r="AA521" s="56" t="str">
        <f t="shared" si="41"/>
        <v/>
      </c>
      <c r="AB521" s="63" t="str">
        <f>IF(AND(OR($A521="G",$A521="P"),NOT($O521="{array}")),IF(VLOOKUP($K521,base!$B$2:$D$20,3,0)="S",IF(OR($O521="",ISTEXT($O521)),"","STRING!"),IF(VLOOKUP($K521,base!$B$2:$D$20,3,0)="","",IF(ISTEXT($O521),"NUMERIC!",""))),"")</f>
        <v/>
      </c>
      <c r="AC521" s="17" t="str">
        <f>IF($AA521="","",IF($B521="I",VLOOKUP($AA521,#REF!,53,0),INDEX(VALUES!$B$1:$BT$1,1,$AA521)))</f>
        <v/>
      </c>
    </row>
    <row r="522" spans="1:29" hidden="1" outlineLevel="1" x14ac:dyDescent="0.3">
      <c r="A522" s="22" t="s">
        <v>84</v>
      </c>
      <c r="B522" s="41" t="str">
        <f t="shared" si="39"/>
        <v/>
      </c>
      <c r="C522" s="191">
        <f t="shared" si="40"/>
        <v>521</v>
      </c>
      <c r="D522" s="186"/>
      <c r="E522" s="186"/>
      <c r="F522" s="186"/>
      <c r="G522" s="186"/>
      <c r="H522" s="186"/>
      <c r="I522" s="186" t="s">
        <v>9</v>
      </c>
      <c r="J522" s="186" t="s">
        <v>9</v>
      </c>
      <c r="K522" s="187" t="s">
        <v>44</v>
      </c>
      <c r="L522" s="192" t="s">
        <v>38</v>
      </c>
      <c r="M522" s="193" t="s">
        <v>1155</v>
      </c>
      <c r="N522" s="187" t="s">
        <v>1156</v>
      </c>
      <c r="O522" s="190">
        <v>0</v>
      </c>
      <c r="P522" s="187"/>
      <c r="Q522" s="186"/>
      <c r="R522" s="186" t="s">
        <v>191</v>
      </c>
      <c r="S522" s="38"/>
      <c r="T522" s="38"/>
      <c r="Z522" s="59" t="str">
        <f>IF(OR($M522="",NOT($O522="{array}")),"",IFERROR(MATCH(PARAMETERS!$M522,DEFAULT!$B$5:$CX$5,0),""))</f>
        <v/>
      </c>
      <c r="AA522" s="56" t="str">
        <f t="shared" si="41"/>
        <v/>
      </c>
      <c r="AB522" s="63" t="str">
        <f>IF(AND(OR($A522="G",$A522="P"),NOT($O522="{array}")),IF(VLOOKUP($K522,base!$B$2:$D$20,3,0)="S",IF(OR($O522="",ISTEXT($O522)),"","STRING!"),IF(VLOOKUP($K522,base!$B$2:$D$20,3,0)="","",IF(ISTEXT($O522),"NUMERIC!",""))),"")</f>
        <v/>
      </c>
      <c r="AC522" s="17" t="str">
        <f>IF($AA522="","",IF($B522="I",VLOOKUP($AA522,#REF!,53,0),INDEX(VALUES!$B$1:$BT$1,1,$AA522)))</f>
        <v/>
      </c>
    </row>
    <row r="523" spans="1:29" hidden="1" outlineLevel="1" x14ac:dyDescent="0.3">
      <c r="A523" s="22"/>
      <c r="B523" s="41" t="str">
        <f t="shared" si="39"/>
        <v/>
      </c>
      <c r="C523" s="185">
        <f t="shared" si="40"/>
        <v>522</v>
      </c>
      <c r="D523" s="186"/>
      <c r="E523" s="186"/>
      <c r="F523" s="186"/>
      <c r="G523" s="186"/>
      <c r="H523" s="186"/>
      <c r="I523" s="186" t="s">
        <v>9</v>
      </c>
      <c r="J523" s="186"/>
      <c r="K523" s="187" t="s">
        <v>50</v>
      </c>
      <c r="L523" s="187" t="s">
        <v>38</v>
      </c>
      <c r="M523" s="193" t="s">
        <v>1226</v>
      </c>
      <c r="N523" s="187" t="s">
        <v>1227</v>
      </c>
      <c r="O523" s="190">
        <v>1</v>
      </c>
      <c r="P523" s="187"/>
      <c r="Q523" s="186"/>
      <c r="R523" s="186" t="s">
        <v>191</v>
      </c>
      <c r="S523" s="38"/>
      <c r="T523" s="38"/>
      <c r="Z523" s="59" t="str">
        <f>IF(OR($M523="",NOT($O523="{array}")),"",IFERROR(MATCH(PARAMETERS!$M523,DEFAULT!$B$5:$CX$5,0),""))</f>
        <v/>
      </c>
      <c r="AA523" s="56" t="str">
        <f t="shared" si="41"/>
        <v/>
      </c>
      <c r="AB523" s="63" t="str">
        <f>IF(AND(OR($A523="G",$A523="P"),NOT($O523="{array}")),IF(VLOOKUP($K523,base!$B$2:$D$20,3,0)="S",IF(OR($O523="",ISTEXT($O523)),"","STRING!"),IF(VLOOKUP($K523,base!$B$2:$D$20,3,0)="","",IF(ISTEXT($O523),"NUMERIC!",""))),"")</f>
        <v/>
      </c>
      <c r="AC523" s="17" t="str">
        <f>IF($AA523="","",IF($B523="I",VLOOKUP($AA523,#REF!,53,0),INDEX(VALUES!$B$1:$BT$1,1,$AA523)))</f>
        <v/>
      </c>
    </row>
    <row r="524" spans="1:29" collapsed="1" x14ac:dyDescent="0.3">
      <c r="A524" s="22"/>
      <c r="B524" s="41" t="str">
        <f t="shared" si="39"/>
        <v/>
      </c>
      <c r="C524" s="42">
        <f t="shared" si="40"/>
        <v>523</v>
      </c>
      <c r="D524" s="38"/>
      <c r="E524" s="38"/>
      <c r="F524" s="38"/>
      <c r="G524" s="38"/>
      <c r="H524" s="38"/>
      <c r="I524" s="38"/>
      <c r="J524" s="38"/>
      <c r="R524" s="38"/>
      <c r="S524" s="38"/>
      <c r="T524" s="38"/>
      <c r="Z524" s="59" t="str">
        <f>IF(OR($M524="",NOT($O524="{array}")),"",IFERROR(MATCH(PARAMETERS!$M524,DEFAULT!$B$5:$CX$5,0),""))</f>
        <v/>
      </c>
      <c r="AA524" s="56" t="str">
        <f t="shared" ref="AA524:AA529" si="42">IF($M524="","",IFERROR(MATCH($M524,VALUESnames,0),""))</f>
        <v/>
      </c>
      <c r="AB524" s="63" t="str">
        <f>IF(AND(OR($A524="G",$A524="P"),NOT($O524="{array}")),IF(VLOOKUP($K524,base!$B$2:$D$20,3,0)="S",IF(OR($O524="",ISTEXT($O524)),"","STRING!"),IF(VLOOKUP($K524,base!$B$2:$D$20,3,0)="","",IF(ISTEXT($O524),"NUMERIC!",""))),"")</f>
        <v/>
      </c>
      <c r="AC524" s="17" t="str">
        <f>IF($AA524="","",IF($B524="I",VLOOKUP($AA524,#REF!,53,0),INDEX(VALUES!$B$1:$BT$1,1,$AA524)))</f>
        <v/>
      </c>
    </row>
    <row r="525" spans="1:29" x14ac:dyDescent="0.3">
      <c r="A525" s="22"/>
      <c r="B525" s="41" t="str">
        <f t="shared" si="39"/>
        <v/>
      </c>
      <c r="C525" s="42">
        <f t="shared" si="40"/>
        <v>524</v>
      </c>
      <c r="D525" s="38"/>
      <c r="E525" s="38"/>
      <c r="F525" s="38"/>
      <c r="G525" s="38"/>
      <c r="H525" s="38"/>
      <c r="I525" s="38"/>
      <c r="J525" s="38"/>
      <c r="R525" s="38"/>
      <c r="S525" s="38"/>
      <c r="T525" s="38"/>
      <c r="Z525" s="59" t="str">
        <f>IF(OR($M525="",NOT($O525="{array}")),"",IFERROR(MATCH(PARAMETERS!$M525,DEFAULT!$B$5:$CX$5,0),""))</f>
        <v/>
      </c>
      <c r="AA525" s="56" t="str">
        <f t="shared" si="42"/>
        <v/>
      </c>
      <c r="AB525" s="63" t="str">
        <f>IF(AND(OR($A525="G",$A525="P"),NOT($O525="{array}")),IF(VLOOKUP($K525,base!$B$2:$D$20,3,0)="S",IF(OR($O525="",ISTEXT($O525)),"","STRING!"),IF(VLOOKUP($K525,base!$B$2:$D$20,3,0)="","",IF(ISTEXT($O525),"NUMERIC!",""))),"")</f>
        <v/>
      </c>
      <c r="AC525" s="17" t="str">
        <f>IF($AA525="","",IF($B525="I",VLOOKUP($AA525,#REF!,53,0),INDEX(VALUES!$B$1:$BT$1,1,$AA525)))</f>
        <v/>
      </c>
    </row>
    <row r="526" spans="1:29" x14ac:dyDescent="0.3">
      <c r="A526" s="22"/>
      <c r="B526" s="41" t="str">
        <f t="shared" si="39"/>
        <v/>
      </c>
      <c r="C526" s="42">
        <f t="shared" si="40"/>
        <v>525</v>
      </c>
      <c r="D526" s="38"/>
      <c r="E526" s="38"/>
      <c r="F526" s="38"/>
      <c r="G526" s="38"/>
      <c r="H526" s="38"/>
      <c r="I526" s="38"/>
      <c r="J526" s="38"/>
      <c r="R526" s="38"/>
      <c r="S526" s="38"/>
      <c r="T526" s="38"/>
      <c r="Z526" s="59" t="str">
        <f>IF(OR($M526="",NOT($O526="{array}")),"",IFERROR(MATCH(PARAMETERS!$M526,DEFAULT!$B$5:$CX$5,0),""))</f>
        <v/>
      </c>
      <c r="AA526" s="56" t="str">
        <f t="shared" si="42"/>
        <v/>
      </c>
      <c r="AB526" s="63" t="str">
        <f>IF(AND(OR($A526="G",$A526="P"),NOT($O526="{array}")),IF(VLOOKUP($K526,base!$B$2:$D$20,3,0)="S",IF(OR($O526="",ISTEXT($O526)),"","STRING!"),IF(VLOOKUP($K526,base!$B$2:$D$20,3,0)="","",IF(ISTEXT($O526),"NUMERIC!",""))),"")</f>
        <v/>
      </c>
      <c r="AC526" s="17" t="str">
        <f>IF($AA526="","",IF($B526="I",VLOOKUP($AA526,#REF!,53,0),INDEX(VALUES!$B$1:$BT$1,1,$AA526)))</f>
        <v/>
      </c>
    </row>
    <row r="527" spans="1:29" x14ac:dyDescent="0.3">
      <c r="A527" s="22"/>
      <c r="B527" s="41" t="str">
        <f t="shared" si="39"/>
        <v/>
      </c>
      <c r="C527" s="42">
        <f t="shared" si="40"/>
        <v>526</v>
      </c>
      <c r="D527" s="38"/>
      <c r="E527" s="38"/>
      <c r="F527" s="38"/>
      <c r="G527" s="38"/>
      <c r="H527" s="38"/>
      <c r="I527" s="38"/>
      <c r="J527" s="38"/>
      <c r="R527" s="38"/>
      <c r="S527" s="38"/>
      <c r="T527" s="38"/>
      <c r="Z527" s="59" t="str">
        <f>IF(OR($M527="",NOT($O527="{array}")),"",IFERROR(MATCH(PARAMETERS!$M527,DEFAULT!$B$5:$CX$5,0),""))</f>
        <v/>
      </c>
      <c r="AA527" s="56" t="str">
        <f t="shared" si="42"/>
        <v/>
      </c>
      <c r="AB527" s="63" t="str">
        <f>IF(AND(OR($A527="G",$A527="P"),NOT($O527="{array}")),IF(VLOOKUP($K527,base!$B$2:$D$20,3,0)="S",IF(OR($O527="",ISTEXT($O527)),"","STRING!"),IF(VLOOKUP($K527,base!$B$2:$D$20,3,0)="","",IF(ISTEXT($O527),"NUMERIC!",""))),"")</f>
        <v/>
      </c>
      <c r="AC527" s="17" t="str">
        <f>IF($AA527="","",IF($B527="I",VLOOKUP($AA527,#REF!,53,0),INDEX(VALUES!$B$1:$BT$1,1,$AA527)))</f>
        <v/>
      </c>
    </row>
    <row r="528" spans="1:29" x14ac:dyDescent="0.3">
      <c r="A528" s="22"/>
      <c r="B528" s="41" t="str">
        <f t="shared" si="39"/>
        <v/>
      </c>
      <c r="C528" s="42">
        <f t="shared" si="40"/>
        <v>527</v>
      </c>
      <c r="D528" s="38"/>
      <c r="E528" s="38"/>
      <c r="F528" s="38"/>
      <c r="G528" s="38"/>
      <c r="H528" s="38"/>
      <c r="I528" s="38"/>
      <c r="J528" s="38"/>
      <c r="R528" s="38"/>
      <c r="S528" s="38"/>
      <c r="T528" s="38"/>
      <c r="Z528" s="59" t="str">
        <f>IF(OR($M528="",NOT($O528="{array}")),"",IFERROR(MATCH(PARAMETERS!$M528,DEFAULT!$B$5:$CX$5,0),""))</f>
        <v/>
      </c>
      <c r="AA528" s="56" t="str">
        <f t="shared" si="42"/>
        <v/>
      </c>
      <c r="AB528" s="63" t="str">
        <f>IF(AND(OR($A528="G",$A528="P"),NOT($O528="{array}")),IF(VLOOKUP($K528,base!$B$2:$D$20,3,0)="S",IF(OR($O528="",ISTEXT($O528)),"","STRING!"),IF(VLOOKUP($K528,base!$B$2:$D$20,3,0)="","",IF(ISTEXT($O528),"NUMERIC!",""))),"")</f>
        <v/>
      </c>
      <c r="AC528" s="17" t="str">
        <f>IF($AA528="","",IF($B528="I",VLOOKUP($AA528,#REF!,53,0),INDEX(VALUES!$B$1:$BT$1,1,$AA528)))</f>
        <v/>
      </c>
    </row>
    <row r="529" spans="1:29" ht="18" thickBot="1" x14ac:dyDescent="0.35">
      <c r="A529" s="22"/>
      <c r="B529" s="41" t="str">
        <f t="shared" si="39"/>
        <v/>
      </c>
      <c r="C529" s="42">
        <f t="shared" si="40"/>
        <v>528</v>
      </c>
      <c r="D529" s="38"/>
      <c r="E529" s="38"/>
      <c r="F529" s="38"/>
      <c r="G529" s="38"/>
      <c r="H529" s="38"/>
      <c r="I529" s="38"/>
      <c r="J529" s="38"/>
      <c r="R529" s="38"/>
      <c r="S529" s="38"/>
      <c r="T529" s="38"/>
      <c r="Z529" s="59" t="str">
        <f>IF(OR($M529="",NOT($O529="{array}")),"",IFERROR(MATCH(PARAMETERS!$M529,DEFAULT!$B$5:$CX$5,0),""))</f>
        <v/>
      </c>
      <c r="AA529" s="56" t="str">
        <f t="shared" si="42"/>
        <v/>
      </c>
      <c r="AB529" s="63" t="str">
        <f>IF(AND(OR($A529="G",$A529="P"),NOT($O529="{array}")),IF(VLOOKUP($K529,base!$B$2:$D$20,3,0)="S",IF(OR($O529="",ISTEXT($O529)),"","STRING!"),IF(VLOOKUP($K529,base!$B$2:$D$20,3,0)="","",IF(ISTEXT($O529),"NUMERIC!",""))),"")</f>
        <v/>
      </c>
      <c r="AC529" s="17" t="str">
        <f>IF($AA529="","",IF($B529="I",VLOOKUP($AA529,#REF!,53,0),INDEX(VALUES!$B$1:$BT$1,1,$AA529)))</f>
        <v/>
      </c>
    </row>
    <row r="530" spans="1:29" s="25" customFormat="1" ht="18" thickTop="1" x14ac:dyDescent="0.3">
      <c r="A530" s="35"/>
      <c r="B530" s="25" t="str">
        <f>IF($A530="","",IF($A530="G",IF(NOT($Z530=""),"A",IF(NOT($AA530=""),"V","")),IF($A530="P",IF(NOT($Z530=""),"A",IF(NOT($AA530=""),"I","")))))</f>
        <v/>
      </c>
      <c r="D530" s="44"/>
      <c r="E530" s="44"/>
      <c r="F530" s="44"/>
      <c r="G530" s="44"/>
      <c r="H530" s="44"/>
      <c r="I530" s="44"/>
      <c r="J530" s="44"/>
      <c r="M530" s="47"/>
      <c r="O530" s="45"/>
      <c r="Q530" s="52"/>
      <c r="R530" s="44"/>
      <c r="S530" s="44"/>
      <c r="T530" s="44"/>
      <c r="X530" s="46"/>
      <c r="Z530" s="60"/>
      <c r="AA530" s="61"/>
      <c r="AB530" s="64"/>
    </row>
    <row r="531" spans="1:29" x14ac:dyDescent="0.3">
      <c r="M531" s="20" t="s">
        <v>1033</v>
      </c>
      <c r="N531" s="20" t="s">
        <v>1027</v>
      </c>
    </row>
    <row r="532" spans="1:29" x14ac:dyDescent="0.3">
      <c r="N532" s="175" t="s">
        <v>1028</v>
      </c>
    </row>
    <row r="533" spans="1:29" x14ac:dyDescent="0.3">
      <c r="N533" s="160" t="s">
        <v>1029</v>
      </c>
    </row>
    <row r="534" spans="1:29" x14ac:dyDescent="0.3">
      <c r="M534" s="20" t="s">
        <v>1032</v>
      </c>
      <c r="N534" s="109" t="s">
        <v>1030</v>
      </c>
    </row>
    <row r="535" spans="1:29" x14ac:dyDescent="0.3">
      <c r="N535" s="176" t="s">
        <v>1031</v>
      </c>
    </row>
  </sheetData>
  <phoneticPr fontId="7" type="noConversion"/>
  <conditionalFormatting sqref="A2:A529">
    <cfRule type="cellIs" dxfId="7" priority="67" stopIfTrue="1" operator="equal">
      <formula>"G"</formula>
    </cfRule>
    <cfRule type="cellIs" dxfId="6" priority="68" stopIfTrue="1" operator="equal">
      <formula>"P"</formula>
    </cfRule>
  </conditionalFormatting>
  <conditionalFormatting sqref="A498:A500">
    <cfRule type="cellIs" dxfId="5" priority="5" stopIfTrue="1" operator="equal">
      <formula>"G"</formula>
    </cfRule>
    <cfRule type="cellIs" dxfId="4" priority="6" stopIfTrue="1" operator="equal">
      <formula>"P"</formula>
    </cfRule>
  </conditionalFormatting>
  <conditionalFormatting sqref="A498:A499">
    <cfRule type="cellIs" dxfId="3" priority="3" stopIfTrue="1" operator="equal">
      <formula>"G"</formula>
    </cfRule>
    <cfRule type="cellIs" dxfId="2" priority="4" stopIfTrue="1" operator="equal">
      <formula>"P"</formula>
    </cfRule>
  </conditionalFormatting>
  <conditionalFormatting sqref="A499:A500">
    <cfRule type="cellIs" dxfId="1" priority="1" stopIfTrue="1" operator="equal">
      <formula>"G"</formula>
    </cfRule>
    <cfRule type="cellIs" dxfId="0" priority="2" stopIfTrue="1" operator="equal">
      <formula>"P"</formula>
    </cfRule>
  </conditionalFormatting>
  <dataValidations count="8">
    <dataValidation type="list" allowBlank="1" showInputMessage="1" showErrorMessage="1" sqref="D85:J529 Q70:Q529 D2:J83 I84:J84 Q2:Q68">
      <formula1>"x"</formula1>
    </dataValidation>
    <dataValidation type="list" allowBlank="1" showInputMessage="1" showErrorMessage="1" sqref="R2:R529">
      <formula1>Stakeholder</formula1>
    </dataValidation>
    <dataValidation type="list" allowBlank="1" showInputMessage="1" sqref="S85:T529 S2:T83 S84">
      <formula1>read_write</formula1>
    </dataValidation>
    <dataValidation type="list" allowBlank="1" showInputMessage="1" showErrorMessage="1" sqref="K2:K529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2:L529">
      <formula1>"info,model,logic,internal"</formula1>
    </dataValidation>
    <dataValidation type="list" allowBlank="1" showInputMessage="1" sqref="O240:O529 O2:O232">
      <formula1>"empty,{array}"</formula1>
    </dataValidation>
    <dataValidation type="custom" allowBlank="1" showInputMessage="1" showErrorMessage="1" sqref="C85:C529 C2:C83">
      <formula1>"x"</formula1>
    </dataValidation>
    <dataValidation type="list" allowBlank="1" showInputMessage="1" sqref="A2:A529">
      <formula1>"G,P"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Y183"/>
  <sheetViews>
    <sheetView zoomScale="70" zoomScaleNormal="70" workbookViewId="0">
      <selection activeCell="Z12" sqref="Z12"/>
    </sheetView>
  </sheetViews>
  <sheetFormatPr baseColWidth="10" defaultColWidth="11.44140625" defaultRowHeight="13.8" x14ac:dyDescent="0.3"/>
  <cols>
    <col min="1" max="1" width="17.6640625" style="23" customWidth="1"/>
    <col min="2" max="5" width="7" style="17" bestFit="1" customWidth="1"/>
    <col min="6" max="6" width="34.109375" style="17" bestFit="1" customWidth="1"/>
    <col min="7" max="7" width="9.6640625" style="17" customWidth="1"/>
    <col min="8" max="8" width="5.88671875" style="17" customWidth="1"/>
    <col min="9" max="10" width="4.88671875" style="17" customWidth="1"/>
    <col min="11" max="11" width="5.88671875" style="17" customWidth="1"/>
    <col min="12" max="12" width="6" style="17" customWidth="1"/>
    <col min="13" max="14" width="5" style="17" customWidth="1"/>
    <col min="15" max="16" width="3.44140625" style="17" customWidth="1"/>
    <col min="17" max="20" width="4.109375" style="17" customWidth="1"/>
    <col min="21" max="48" width="6.109375" style="17" customWidth="1"/>
    <col min="49" max="51" width="8.33203125" style="17" customWidth="1"/>
    <col min="52" max="52" width="4.44140625" style="17" customWidth="1"/>
    <col min="53" max="53" width="3.6640625" style="17" customWidth="1"/>
    <col min="54" max="55" width="7.88671875" style="17" customWidth="1"/>
    <col min="56" max="56" width="16.44140625" style="17" bestFit="1" customWidth="1"/>
    <col min="57" max="57" width="16.5546875" style="17" bestFit="1" customWidth="1"/>
    <col min="58" max="69" width="7.88671875" style="17" customWidth="1"/>
    <col min="70" max="70" width="20.6640625" style="17" bestFit="1" customWidth="1"/>
    <col min="71" max="71" width="2.109375" style="17" bestFit="1" customWidth="1"/>
    <col min="72" max="72" width="20.6640625" style="17" bestFit="1" customWidth="1"/>
    <col min="73" max="73" width="2.109375" style="17" bestFit="1" customWidth="1"/>
    <col min="74" max="74" width="20.6640625" style="17" bestFit="1" customWidth="1"/>
    <col min="75" max="75" width="2.109375" style="17" bestFit="1" customWidth="1"/>
    <col min="76" max="76" width="20.6640625" style="17" bestFit="1" customWidth="1"/>
    <col min="77" max="77" width="2.109375" style="17" bestFit="1" customWidth="1"/>
    <col min="78" max="79" width="20.6640625" style="17" bestFit="1" customWidth="1"/>
    <col min="80" max="80" width="21.44140625" style="17" bestFit="1" customWidth="1"/>
    <col min="81" max="81" width="22.5546875" style="17" bestFit="1" customWidth="1"/>
    <col min="82" max="82" width="9.5546875" style="17" customWidth="1"/>
    <col min="83" max="83" width="18.44140625" style="17" customWidth="1"/>
    <col min="84" max="84" width="25.109375" style="17" customWidth="1"/>
    <col min="85" max="85" width="7.44140625" style="17" customWidth="1"/>
    <col min="86" max="87" width="25.109375" style="17" customWidth="1"/>
    <col min="88" max="88" width="15.44140625" style="17" customWidth="1"/>
    <col min="89" max="89" width="19.33203125" style="17" customWidth="1"/>
    <col min="90" max="90" width="20.6640625" style="17" bestFit="1" customWidth="1"/>
    <col min="91" max="91" width="15.5546875" style="17" customWidth="1"/>
    <col min="92" max="92" width="21.5546875" style="17" customWidth="1"/>
    <col min="93" max="93" width="15.5546875" style="17" customWidth="1"/>
    <col min="94" max="94" width="21.5546875" style="17" customWidth="1"/>
    <col min="95" max="95" width="15.5546875" style="17" customWidth="1"/>
    <col min="96" max="96" width="21.5546875" style="17" customWidth="1"/>
    <col min="97" max="97" width="15.5546875" style="17" customWidth="1"/>
    <col min="98" max="100" width="21.5546875" style="17" customWidth="1"/>
    <col min="101" max="101" width="15.5546875" style="17" customWidth="1"/>
    <col min="102" max="102" width="25.6640625" style="17" customWidth="1"/>
    <col min="103" max="103" width="36" style="29" customWidth="1"/>
    <col min="104" max="16384" width="11.44140625" style="14"/>
  </cols>
  <sheetData>
    <row r="1" spans="1:103" x14ac:dyDescent="0.3">
      <c r="A1" s="27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405" t="s">
        <v>88</v>
      </c>
    </row>
    <row r="2" spans="1:103" x14ac:dyDescent="0.3">
      <c r="A2" s="27" t="s">
        <v>143</v>
      </c>
      <c r="B2" s="34" t="str">
        <f t="shared" ref="B2:AW2" si="0">IF(B$3="-","-",IF(B$3=A$3,A$2+1,1))</f>
        <v>-</v>
      </c>
      <c r="C2" s="34" t="str">
        <f t="shared" si="0"/>
        <v>-</v>
      </c>
      <c r="D2" s="34" t="str">
        <f t="shared" si="0"/>
        <v>-</v>
      </c>
      <c r="E2" s="34" t="str">
        <f t="shared" si="0"/>
        <v>-</v>
      </c>
      <c r="F2" s="34">
        <f t="shared" si="0"/>
        <v>1</v>
      </c>
      <c r="G2" s="34">
        <f t="shared" si="0"/>
        <v>2</v>
      </c>
      <c r="H2" s="34">
        <f t="shared" si="0"/>
        <v>3</v>
      </c>
      <c r="I2" s="34">
        <f t="shared" si="0"/>
        <v>4</v>
      </c>
      <c r="J2" s="34">
        <f t="shared" si="0"/>
        <v>5</v>
      </c>
      <c r="K2" s="34">
        <f t="shared" si="0"/>
        <v>1</v>
      </c>
      <c r="L2" s="34">
        <f t="shared" si="0"/>
        <v>2</v>
      </c>
      <c r="M2" s="34">
        <f t="shared" si="0"/>
        <v>3</v>
      </c>
      <c r="N2" s="34">
        <f t="shared" si="0"/>
        <v>4</v>
      </c>
      <c r="O2" s="34">
        <f t="shared" si="0"/>
        <v>5</v>
      </c>
      <c r="P2" s="34">
        <f t="shared" si="0"/>
        <v>6</v>
      </c>
      <c r="Q2" s="34">
        <f t="shared" si="0"/>
        <v>1</v>
      </c>
      <c r="R2" s="34">
        <f t="shared" si="0"/>
        <v>2</v>
      </c>
      <c r="S2" s="34">
        <f t="shared" si="0"/>
        <v>3</v>
      </c>
      <c r="T2" s="34">
        <f t="shared" si="0"/>
        <v>4</v>
      </c>
      <c r="U2" s="34">
        <f t="shared" si="0"/>
        <v>1</v>
      </c>
      <c r="V2" s="34">
        <f t="shared" si="0"/>
        <v>2</v>
      </c>
      <c r="W2" s="34">
        <f t="shared" si="0"/>
        <v>3</v>
      </c>
      <c r="X2" s="34">
        <f t="shared" si="0"/>
        <v>4</v>
      </c>
      <c r="Y2" s="34">
        <f t="shared" si="0"/>
        <v>5</v>
      </c>
      <c r="Z2" s="34">
        <f t="shared" si="0"/>
        <v>6</v>
      </c>
      <c r="AA2" s="34">
        <f t="shared" si="0"/>
        <v>7</v>
      </c>
      <c r="AB2" s="34">
        <f t="shared" si="0"/>
        <v>8</v>
      </c>
      <c r="AC2" s="34">
        <f t="shared" si="0"/>
        <v>9</v>
      </c>
      <c r="AD2" s="34">
        <f t="shared" si="0"/>
        <v>10</v>
      </c>
      <c r="AE2" s="34">
        <f t="shared" si="0"/>
        <v>1</v>
      </c>
      <c r="AF2" s="34">
        <f t="shared" si="0"/>
        <v>2</v>
      </c>
      <c r="AG2" s="34">
        <f t="shared" si="0"/>
        <v>3</v>
      </c>
      <c r="AH2" s="34">
        <f t="shared" si="0"/>
        <v>4</v>
      </c>
      <c r="AI2" s="34">
        <f t="shared" si="0"/>
        <v>5</v>
      </c>
      <c r="AJ2" s="34">
        <f t="shared" si="0"/>
        <v>6</v>
      </c>
      <c r="AK2" s="34">
        <f t="shared" si="0"/>
        <v>7</v>
      </c>
      <c r="AL2" s="34">
        <f t="shared" si="0"/>
        <v>8</v>
      </c>
      <c r="AM2" s="34">
        <f t="shared" si="0"/>
        <v>9</v>
      </c>
      <c r="AN2" s="34">
        <f t="shared" si="0"/>
        <v>10</v>
      </c>
      <c r="AO2" s="34">
        <f t="shared" si="0"/>
        <v>1</v>
      </c>
      <c r="AP2" s="34">
        <f t="shared" si="0"/>
        <v>2</v>
      </c>
      <c r="AQ2" s="34">
        <f t="shared" si="0"/>
        <v>3</v>
      </c>
      <c r="AR2" s="34">
        <f t="shared" si="0"/>
        <v>4</v>
      </c>
      <c r="AS2" s="34">
        <f t="shared" si="0"/>
        <v>5</v>
      </c>
      <c r="AT2" s="34">
        <f t="shared" si="0"/>
        <v>6</v>
      </c>
      <c r="AU2" s="34">
        <f t="shared" si="0"/>
        <v>7</v>
      </c>
      <c r="AV2" s="34">
        <f t="shared" si="0"/>
        <v>8</v>
      </c>
      <c r="AW2" s="34">
        <f t="shared" si="0"/>
        <v>1</v>
      </c>
      <c r="AX2" s="34">
        <f t="shared" ref="AX2:CB2" si="1">IF(AX$3="-","-",IF(AX$3=AW$3,AW$2+1,1))</f>
        <v>2</v>
      </c>
      <c r="AY2" s="34">
        <f t="shared" si="1"/>
        <v>3</v>
      </c>
      <c r="AZ2" s="34" t="str">
        <f t="shared" si="1"/>
        <v>-</v>
      </c>
      <c r="BA2" s="34" t="str">
        <f t="shared" si="1"/>
        <v>-</v>
      </c>
      <c r="BB2" s="34" t="str">
        <f t="shared" si="1"/>
        <v>-</v>
      </c>
      <c r="BC2" s="34" t="str">
        <f t="shared" si="1"/>
        <v>-</v>
      </c>
      <c r="BD2" s="34" t="str">
        <f t="shared" si="1"/>
        <v>-</v>
      </c>
      <c r="BE2" s="34" t="str">
        <f t="shared" si="1"/>
        <v>-</v>
      </c>
      <c r="BF2" s="34" t="str">
        <f t="shared" si="1"/>
        <v>-</v>
      </c>
      <c r="BG2" s="34" t="str">
        <f t="shared" si="1"/>
        <v>-</v>
      </c>
      <c r="BH2" s="34" t="str">
        <f t="shared" si="1"/>
        <v>-</v>
      </c>
      <c r="BI2" s="34" t="str">
        <f t="shared" si="1"/>
        <v>-</v>
      </c>
      <c r="BJ2" s="34" t="str">
        <f t="shared" si="1"/>
        <v>-</v>
      </c>
      <c r="BK2" s="34" t="str">
        <f t="shared" si="1"/>
        <v>-</v>
      </c>
      <c r="BL2" s="34" t="str">
        <f t="shared" si="1"/>
        <v>-</v>
      </c>
      <c r="BM2" s="34" t="str">
        <f t="shared" si="1"/>
        <v>-</v>
      </c>
      <c r="BN2" s="34" t="str">
        <f t="shared" si="1"/>
        <v>-</v>
      </c>
      <c r="BO2" s="34" t="str">
        <f t="shared" si="1"/>
        <v>-</v>
      </c>
      <c r="BP2" s="34" t="str">
        <f t="shared" si="1"/>
        <v>-</v>
      </c>
      <c r="BQ2" s="34" t="str">
        <f t="shared" si="1"/>
        <v>-</v>
      </c>
      <c r="BR2" s="34" t="str">
        <f t="shared" si="1"/>
        <v>-</v>
      </c>
      <c r="BS2" s="34" t="str">
        <f t="shared" si="1"/>
        <v>-</v>
      </c>
      <c r="BT2" s="34" t="str">
        <f t="shared" si="1"/>
        <v>-</v>
      </c>
      <c r="BU2" s="34" t="str">
        <f t="shared" si="1"/>
        <v>-</v>
      </c>
      <c r="BV2" s="34" t="str">
        <f t="shared" si="1"/>
        <v>-</v>
      </c>
      <c r="BW2" s="34" t="str">
        <f t="shared" si="1"/>
        <v>-</v>
      </c>
      <c r="BX2" s="34" t="str">
        <f t="shared" si="1"/>
        <v>-</v>
      </c>
      <c r="BY2" s="34" t="str">
        <f t="shared" si="1"/>
        <v>-</v>
      </c>
      <c r="BZ2" s="34" t="str">
        <f t="shared" si="1"/>
        <v>-</v>
      </c>
      <c r="CA2" s="34" t="str">
        <f t="shared" si="1"/>
        <v>-</v>
      </c>
      <c r="CB2" s="34" t="str">
        <f t="shared" si="1"/>
        <v>-</v>
      </c>
      <c r="CC2" s="34" t="str">
        <f t="shared" ref="CC2:CS2" si="2">IF(CC$3="-","-",IF(CC$3=CB$3,CB$2+1,1))</f>
        <v>-</v>
      </c>
      <c r="CD2" s="34" t="str">
        <f t="shared" si="2"/>
        <v>-</v>
      </c>
      <c r="CE2" s="34" t="str">
        <f t="shared" si="2"/>
        <v>-</v>
      </c>
      <c r="CF2" s="34" t="str">
        <f t="shared" si="2"/>
        <v>-</v>
      </c>
      <c r="CG2" s="34" t="str">
        <f t="shared" si="2"/>
        <v>-</v>
      </c>
      <c r="CH2" s="34" t="str">
        <f t="shared" si="2"/>
        <v>-</v>
      </c>
      <c r="CI2" s="34" t="str">
        <f t="shared" si="2"/>
        <v>-</v>
      </c>
      <c r="CJ2" s="34" t="str">
        <f t="shared" si="2"/>
        <v>-</v>
      </c>
      <c r="CK2" s="34" t="str">
        <f t="shared" si="2"/>
        <v>-</v>
      </c>
      <c r="CL2" s="34" t="str">
        <f t="shared" si="2"/>
        <v>-</v>
      </c>
      <c r="CM2" s="34" t="str">
        <f t="shared" si="2"/>
        <v>-</v>
      </c>
      <c r="CN2" s="34" t="str">
        <f t="shared" si="2"/>
        <v>-</v>
      </c>
      <c r="CO2" s="34" t="str">
        <f t="shared" si="2"/>
        <v>-</v>
      </c>
      <c r="CP2" s="34" t="str">
        <f t="shared" si="2"/>
        <v>-</v>
      </c>
      <c r="CQ2" s="34" t="str">
        <f t="shared" si="2"/>
        <v>-</v>
      </c>
      <c r="CR2" s="34" t="str">
        <f t="shared" si="2"/>
        <v>-</v>
      </c>
      <c r="CS2" s="34" t="str">
        <f t="shared" si="2"/>
        <v>-</v>
      </c>
      <c r="CT2" s="34" t="str">
        <f>IF(CT$3="-","-",IF(CT$3=CS$3,CS$2+1,1))</f>
        <v>-</v>
      </c>
      <c r="CU2" s="34" t="str">
        <f>IF(CU$3="-","-",IF(CU$3=CT$3,CT$2+1,1))</f>
        <v>-</v>
      </c>
      <c r="CV2" s="34" t="str">
        <f>IF(CV$3="-","-",IF(CV$3=CU$3,CU$2+1,1))</f>
        <v>-</v>
      </c>
      <c r="CW2" s="34" t="str">
        <f>IF(CW$3="-","-",IF(CW$3=CV$3,CV$2+1,1))</f>
        <v>-</v>
      </c>
      <c r="CX2" s="34" t="str">
        <f>IF(CX$3="-","-",IF(CX$3=CW$3,CW$2+1,1))</f>
        <v>-</v>
      </c>
      <c r="CY2" s="405"/>
    </row>
    <row r="3" spans="1:103" x14ac:dyDescent="0.3">
      <c r="A3" s="27" t="s">
        <v>144</v>
      </c>
      <c r="B3" s="50" t="str">
        <f t="shared" ref="B3:AW3" si="3">IF(B$5="",A$3,IFERROR(MATCH(B$5,prodArrayNames,0),"-"))</f>
        <v>-</v>
      </c>
      <c r="C3" s="50" t="str">
        <f t="shared" si="3"/>
        <v>-</v>
      </c>
      <c r="D3" s="50" t="str">
        <f t="shared" si="3"/>
        <v>-</v>
      </c>
      <c r="E3" s="50" t="str">
        <f t="shared" si="3"/>
        <v>-</v>
      </c>
      <c r="F3" s="50">
        <f t="shared" si="3"/>
        <v>1</v>
      </c>
      <c r="G3" s="50">
        <f t="shared" si="3"/>
        <v>1</v>
      </c>
      <c r="H3" s="50">
        <f t="shared" si="3"/>
        <v>1</v>
      </c>
      <c r="I3" s="50">
        <f t="shared" si="3"/>
        <v>1</v>
      </c>
      <c r="J3" s="50">
        <f t="shared" si="3"/>
        <v>1</v>
      </c>
      <c r="K3" s="50">
        <f t="shared" si="3"/>
        <v>2</v>
      </c>
      <c r="L3" s="50">
        <f t="shared" si="3"/>
        <v>2</v>
      </c>
      <c r="M3" s="50">
        <f t="shared" si="3"/>
        <v>2</v>
      </c>
      <c r="N3" s="50">
        <f t="shared" si="3"/>
        <v>2</v>
      </c>
      <c r="O3" s="50">
        <f t="shared" si="3"/>
        <v>2</v>
      </c>
      <c r="P3" s="50">
        <f t="shared" si="3"/>
        <v>2</v>
      </c>
      <c r="Q3" s="50">
        <f t="shared" si="3"/>
        <v>3</v>
      </c>
      <c r="R3" s="50">
        <f t="shared" si="3"/>
        <v>3</v>
      </c>
      <c r="S3" s="50">
        <f t="shared" si="3"/>
        <v>3</v>
      </c>
      <c r="T3" s="50">
        <f t="shared" si="3"/>
        <v>3</v>
      </c>
      <c r="U3" s="50">
        <f t="shared" si="3"/>
        <v>4</v>
      </c>
      <c r="V3" s="50">
        <f t="shared" si="3"/>
        <v>4</v>
      </c>
      <c r="W3" s="50">
        <f t="shared" si="3"/>
        <v>4</v>
      </c>
      <c r="X3" s="50">
        <f t="shared" si="3"/>
        <v>4</v>
      </c>
      <c r="Y3" s="50">
        <f t="shared" si="3"/>
        <v>4</v>
      </c>
      <c r="Z3" s="50">
        <f t="shared" si="3"/>
        <v>4</v>
      </c>
      <c r="AA3" s="50">
        <f t="shared" si="3"/>
        <v>4</v>
      </c>
      <c r="AB3" s="50">
        <f t="shared" si="3"/>
        <v>4</v>
      </c>
      <c r="AC3" s="50">
        <f t="shared" si="3"/>
        <v>4</v>
      </c>
      <c r="AD3" s="50">
        <f t="shared" si="3"/>
        <v>4</v>
      </c>
      <c r="AE3" s="50">
        <f t="shared" si="3"/>
        <v>5</v>
      </c>
      <c r="AF3" s="50">
        <f t="shared" si="3"/>
        <v>5</v>
      </c>
      <c r="AG3" s="50">
        <f t="shared" si="3"/>
        <v>5</v>
      </c>
      <c r="AH3" s="50">
        <f t="shared" si="3"/>
        <v>5</v>
      </c>
      <c r="AI3" s="50">
        <f t="shared" si="3"/>
        <v>5</v>
      </c>
      <c r="AJ3" s="50">
        <f t="shared" si="3"/>
        <v>5</v>
      </c>
      <c r="AK3" s="50">
        <f t="shared" si="3"/>
        <v>5</v>
      </c>
      <c r="AL3" s="50">
        <f t="shared" si="3"/>
        <v>5</v>
      </c>
      <c r="AM3" s="50">
        <f t="shared" si="3"/>
        <v>5</v>
      </c>
      <c r="AN3" s="50">
        <f t="shared" si="3"/>
        <v>5</v>
      </c>
      <c r="AO3" s="50">
        <f t="shared" si="3"/>
        <v>6</v>
      </c>
      <c r="AP3" s="50">
        <f t="shared" si="3"/>
        <v>6</v>
      </c>
      <c r="AQ3" s="50">
        <f t="shared" si="3"/>
        <v>6</v>
      </c>
      <c r="AR3" s="50">
        <f t="shared" si="3"/>
        <v>6</v>
      </c>
      <c r="AS3" s="50">
        <f t="shared" si="3"/>
        <v>6</v>
      </c>
      <c r="AT3" s="50">
        <f t="shared" si="3"/>
        <v>6</v>
      </c>
      <c r="AU3" s="50">
        <f t="shared" si="3"/>
        <v>6</v>
      </c>
      <c r="AV3" s="50">
        <f t="shared" si="3"/>
        <v>6</v>
      </c>
      <c r="AW3" s="50">
        <f t="shared" si="3"/>
        <v>7</v>
      </c>
      <c r="AX3" s="50">
        <f t="shared" ref="AX3:CB3" si="4">IF(AX$5="",AW$3,IFERROR(MATCH(AX$5,prodArrayNames,0),"-"))</f>
        <v>7</v>
      </c>
      <c r="AY3" s="50">
        <f t="shared" si="4"/>
        <v>7</v>
      </c>
      <c r="AZ3" s="50" t="str">
        <f t="shared" si="4"/>
        <v>-</v>
      </c>
      <c r="BA3" s="50" t="str">
        <f t="shared" si="4"/>
        <v>-</v>
      </c>
      <c r="BB3" s="50" t="str">
        <f t="shared" si="4"/>
        <v>-</v>
      </c>
      <c r="BC3" s="50" t="str">
        <f t="shared" si="4"/>
        <v>-</v>
      </c>
      <c r="BD3" s="50" t="str">
        <f t="shared" si="4"/>
        <v>-</v>
      </c>
      <c r="BE3" s="50" t="str">
        <f t="shared" si="4"/>
        <v>-</v>
      </c>
      <c r="BF3" s="50" t="str">
        <f t="shared" si="4"/>
        <v>-</v>
      </c>
      <c r="BG3" s="50" t="str">
        <f t="shared" si="4"/>
        <v>-</v>
      </c>
      <c r="BH3" s="50" t="str">
        <f t="shared" si="4"/>
        <v>-</v>
      </c>
      <c r="BI3" s="50" t="str">
        <f t="shared" si="4"/>
        <v>-</v>
      </c>
      <c r="BJ3" s="50" t="str">
        <f t="shared" si="4"/>
        <v>-</v>
      </c>
      <c r="BK3" s="50" t="str">
        <f t="shared" si="4"/>
        <v>-</v>
      </c>
      <c r="BL3" s="50" t="str">
        <f t="shared" si="4"/>
        <v>-</v>
      </c>
      <c r="BM3" s="50" t="str">
        <f t="shared" si="4"/>
        <v>-</v>
      </c>
      <c r="BN3" s="50" t="str">
        <f t="shared" si="4"/>
        <v>-</v>
      </c>
      <c r="BO3" s="50" t="str">
        <f t="shared" si="4"/>
        <v>-</v>
      </c>
      <c r="BP3" s="50" t="str">
        <f t="shared" si="4"/>
        <v>-</v>
      </c>
      <c r="BQ3" s="50" t="str">
        <f t="shared" si="4"/>
        <v>-</v>
      </c>
      <c r="BR3" s="50" t="str">
        <f t="shared" si="4"/>
        <v>-</v>
      </c>
      <c r="BS3" s="50" t="str">
        <f t="shared" si="4"/>
        <v>-</v>
      </c>
      <c r="BT3" s="50" t="str">
        <f t="shared" si="4"/>
        <v>-</v>
      </c>
      <c r="BU3" s="50" t="str">
        <f t="shared" si="4"/>
        <v>-</v>
      </c>
      <c r="BV3" s="50" t="str">
        <f t="shared" si="4"/>
        <v>-</v>
      </c>
      <c r="BW3" s="50" t="str">
        <f t="shared" si="4"/>
        <v>-</v>
      </c>
      <c r="BX3" s="50" t="str">
        <f t="shared" si="4"/>
        <v>-</v>
      </c>
      <c r="BY3" s="50" t="str">
        <f t="shared" si="4"/>
        <v>-</v>
      </c>
      <c r="BZ3" s="50" t="str">
        <f t="shared" si="4"/>
        <v>-</v>
      </c>
      <c r="CA3" s="50" t="str">
        <f t="shared" si="4"/>
        <v>-</v>
      </c>
      <c r="CB3" s="50" t="str">
        <f t="shared" si="4"/>
        <v>-</v>
      </c>
      <c r="CC3" s="50" t="str">
        <f t="shared" ref="CC3:CS3" si="5">IF(CC$5="",CB$3,IFERROR(MATCH(CC$5,prodArrayNames,0),"-"))</f>
        <v>-</v>
      </c>
      <c r="CD3" s="50" t="str">
        <f t="shared" si="5"/>
        <v>-</v>
      </c>
      <c r="CE3" s="50" t="str">
        <f t="shared" si="5"/>
        <v>-</v>
      </c>
      <c r="CF3" s="50" t="str">
        <f t="shared" si="5"/>
        <v>-</v>
      </c>
      <c r="CG3" s="50" t="str">
        <f t="shared" si="5"/>
        <v>-</v>
      </c>
      <c r="CH3" s="50" t="str">
        <f t="shared" si="5"/>
        <v>-</v>
      </c>
      <c r="CI3" s="50" t="str">
        <f t="shared" si="5"/>
        <v>-</v>
      </c>
      <c r="CJ3" s="50" t="str">
        <f t="shared" si="5"/>
        <v>-</v>
      </c>
      <c r="CK3" s="50" t="str">
        <f t="shared" si="5"/>
        <v>-</v>
      </c>
      <c r="CL3" s="50" t="str">
        <f t="shared" si="5"/>
        <v>-</v>
      </c>
      <c r="CM3" s="50" t="str">
        <f t="shared" si="5"/>
        <v>-</v>
      </c>
      <c r="CN3" s="50" t="str">
        <f t="shared" si="5"/>
        <v>-</v>
      </c>
      <c r="CO3" s="50" t="str">
        <f t="shared" si="5"/>
        <v>-</v>
      </c>
      <c r="CP3" s="50" t="str">
        <f t="shared" si="5"/>
        <v>-</v>
      </c>
      <c r="CQ3" s="50" t="str">
        <f t="shared" si="5"/>
        <v>-</v>
      </c>
      <c r="CR3" s="50" t="str">
        <f t="shared" si="5"/>
        <v>-</v>
      </c>
      <c r="CS3" s="50" t="str">
        <f t="shared" si="5"/>
        <v>-</v>
      </c>
      <c r="CT3" s="50" t="str">
        <f>IF(CT$5="",CS$3,IFERROR(MATCH(CT$5,prodArrayNames,0),"-"))</f>
        <v>-</v>
      </c>
      <c r="CU3" s="50" t="str">
        <f>IF(CU$5="",CT$3,IFERROR(MATCH(CU$5,prodArrayNames,0),"-"))</f>
        <v>-</v>
      </c>
      <c r="CV3" s="50" t="str">
        <f>IF(CV$5="",CU$3,IFERROR(MATCH(CV$5,prodArrayNames,0),"-"))</f>
        <v>-</v>
      </c>
      <c r="CW3" s="50" t="str">
        <f>IF(CW$5="",CV$3,IFERROR(MATCH(CW$5,prodArrayNames,0),"-"))</f>
        <v>-</v>
      </c>
      <c r="CX3" s="50" t="str">
        <f>IF(CX$5="",CW$3,IFERROR(MATCH(CX$5,prodArrayNames,0),"-"))</f>
        <v>-</v>
      </c>
      <c r="CY3" s="405"/>
    </row>
    <row r="4" spans="1:103" ht="14.4" thickBot="1" x14ac:dyDescent="0.35">
      <c r="A4" s="27" t="s">
        <v>146</v>
      </c>
      <c r="B4" s="51" t="str">
        <f t="shared" ref="B4:AZ4" si="6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8D98F8E9-5020-1272-</v>
      </c>
      <c r="C4" s="51" t="str">
        <f t="shared" si="6"/>
        <v/>
      </c>
      <c r="D4" s="51" t="str">
        <f t="shared" si="6"/>
        <v/>
      </c>
      <c r="E4" s="51" t="str">
        <f t="shared" si="6"/>
        <v/>
      </c>
      <c r="F4" s="51" t="str">
        <f t="shared" si="6"/>
        <v>7AF0C273-4970-1570-</v>
      </c>
      <c r="G4" s="51" t="str">
        <f t="shared" si="6"/>
        <v/>
      </c>
      <c r="H4" s="51" t="str">
        <f t="shared" si="6"/>
        <v/>
      </c>
      <c r="I4" s="51" t="str">
        <f t="shared" si="6"/>
        <v/>
      </c>
      <c r="J4" s="51" t="str">
        <f t="shared" si="6"/>
        <v/>
      </c>
      <c r="K4" s="51" t="str">
        <f t="shared" si="6"/>
        <v>7AF0C269-4970-1570-</v>
      </c>
      <c r="L4" s="51" t="str">
        <f t="shared" si="6"/>
        <v/>
      </c>
      <c r="M4" s="51" t="str">
        <f t="shared" si="6"/>
        <v/>
      </c>
      <c r="N4" s="51" t="str">
        <f t="shared" si="6"/>
        <v/>
      </c>
      <c r="O4" s="51" t="str">
        <f t="shared" si="6"/>
        <v/>
      </c>
      <c r="P4" s="51" t="str">
        <f t="shared" si="6"/>
        <v/>
      </c>
      <c r="Q4" s="51" t="str">
        <f t="shared" si="6"/>
        <v>95B8B5A5-5025-1272-</v>
      </c>
      <c r="R4" s="51" t="str">
        <f t="shared" si="6"/>
        <v/>
      </c>
      <c r="S4" s="51" t="str">
        <f t="shared" si="6"/>
        <v/>
      </c>
      <c r="T4" s="51" t="str">
        <f t="shared" si="6"/>
        <v/>
      </c>
      <c r="U4" s="51" t="str">
        <f t="shared" si="6"/>
        <v>7CEABBA4-5520-1346-</v>
      </c>
      <c r="V4" s="51" t="str">
        <f t="shared" si="6"/>
        <v/>
      </c>
      <c r="W4" s="51" t="str">
        <f t="shared" si="6"/>
        <v/>
      </c>
      <c r="X4" s="51" t="str">
        <f t="shared" si="6"/>
        <v/>
      </c>
      <c r="Y4" s="51" t="str">
        <f t="shared" si="6"/>
        <v/>
      </c>
      <c r="Z4" s="51" t="str">
        <f t="shared" si="6"/>
        <v/>
      </c>
      <c r="AA4" s="51" t="str">
        <f t="shared" si="6"/>
        <v/>
      </c>
      <c r="AB4" s="51" t="str">
        <f t="shared" si="6"/>
        <v/>
      </c>
      <c r="AC4" s="51" t="str">
        <f t="shared" si="6"/>
        <v/>
      </c>
      <c r="AD4" s="51" t="str">
        <f t="shared" si="6"/>
        <v/>
      </c>
      <c r="AE4" s="51" t="str">
        <f t="shared" si="6"/>
        <v>7BEABBA4-5520-1346-</v>
      </c>
      <c r="AF4" s="51" t="str">
        <f t="shared" si="6"/>
        <v/>
      </c>
      <c r="AG4" s="51" t="str">
        <f t="shared" si="6"/>
        <v/>
      </c>
      <c r="AH4" s="51" t="str">
        <f t="shared" si="6"/>
        <v/>
      </c>
      <c r="AI4" s="51" t="str">
        <f t="shared" si="6"/>
        <v/>
      </c>
      <c r="AJ4" s="51" t="str">
        <f t="shared" si="6"/>
        <v/>
      </c>
      <c r="AK4" s="51" t="str">
        <f t="shared" si="6"/>
        <v/>
      </c>
      <c r="AL4" s="51" t="str">
        <f t="shared" si="6"/>
        <v/>
      </c>
      <c r="AM4" s="51" t="str">
        <f t="shared" si="6"/>
        <v/>
      </c>
      <c r="AN4" s="51" t="str">
        <f t="shared" si="6"/>
        <v/>
      </c>
      <c r="AO4" s="51" t="str">
        <f t="shared" si="6"/>
        <v>7B8309E1-5520-1346-</v>
      </c>
      <c r="AP4" s="51" t="str">
        <f t="shared" si="6"/>
        <v/>
      </c>
      <c r="AQ4" s="51" t="str">
        <f t="shared" si="6"/>
        <v/>
      </c>
      <c r="AR4" s="51" t="str">
        <f t="shared" si="6"/>
        <v/>
      </c>
      <c r="AS4" s="51" t="str">
        <f t="shared" si="6"/>
        <v/>
      </c>
      <c r="AT4" s="51" t="str">
        <f t="shared" si="6"/>
        <v/>
      </c>
      <c r="AU4" s="51" t="str">
        <f t="shared" si="6"/>
        <v/>
      </c>
      <c r="AV4" s="51" t="str">
        <f t="shared" si="6"/>
        <v/>
      </c>
      <c r="AW4" s="51" t="str">
        <f t="shared" si="6"/>
        <v>7C8309E1-5520-1346-</v>
      </c>
      <c r="AX4" s="51" t="str">
        <f t="shared" si="6"/>
        <v/>
      </c>
      <c r="AY4" s="51" t="str">
        <f t="shared" si="6"/>
        <v/>
      </c>
      <c r="AZ4" s="51" t="str">
        <f t="shared" si="6"/>
        <v>887CF0AD-5520-1346-</v>
      </c>
      <c r="BA4" s="51" t="str">
        <f t="shared" ref="BA4:CF4" si="7">IF(OR(BA$5="",BA$5="empty",BA$5="[indexname]"),"",MID(DEC2HEX(CODE(BA$5)+2^6*CODE(MID(BA$5&amp;makeGUID,2,1))+2^8*CODE(MID(BA$5&amp;makeGUID,3,1))+2^10*CODE(MID(BA$5&amp;makeGUID,4,1))+2^12*CODE(MID(BA$5&amp;makeGUID,5,1))+2^14*CODE(MID(BA$5&amp;makeGUID,6,1))+2^16*CODE(MID(BA$5&amp;makeGUID,7,1))+2^18*CODE(MID(BA$5&amp;makeGUID,8,1))+2^20*CODE(MID(BA$5&amp;makeGUID,9,1))+2^22*CODE(MID(BA$5&amp;makeGUID,10,1))+2^24*CODE(MID(BA$5&amp;makeGUID,11,1))),1,8)&amp;"-"&amp;MID(2^6*CODE(MID(BA$5&amp;makeGUID,12,1))+2^8*CODE(MID(BA$5&amp;makeGUID,13,1))+2^10*CODE(MID(BA$5&amp;makeGUID,14,1))+2^12*CODE(MID(BA$5&amp;makeGUID,15,1)),1,4)&amp;"-"&amp;MID(2^14*CODE(MID(BA$5&amp;makeGUID,16,1))+2^16*CODE(MID(BA$5&amp;makeGUID,17,1))+2^18*CODE(MID(BA$5&amp;makeGUID,18,1))+2^20*CODE(MID(BA$5&amp;makeGUID,19,1)),1,4)&amp;"-")</f>
        <v/>
      </c>
      <c r="BB4" s="51" t="str">
        <f t="shared" si="7"/>
        <v/>
      </c>
      <c r="BC4" s="51" t="str">
        <f t="shared" si="7"/>
        <v/>
      </c>
      <c r="BD4" s="51" t="str">
        <f t="shared" si="7"/>
        <v/>
      </c>
      <c r="BE4" s="51" t="str">
        <f t="shared" si="7"/>
        <v/>
      </c>
      <c r="BF4" s="51" t="str">
        <f t="shared" si="7"/>
        <v/>
      </c>
      <c r="BG4" s="51" t="str">
        <f t="shared" si="7"/>
        <v/>
      </c>
      <c r="BH4" s="51" t="str">
        <f t="shared" si="7"/>
        <v/>
      </c>
      <c r="BI4" s="51" t="str">
        <f t="shared" si="7"/>
        <v/>
      </c>
      <c r="BJ4" s="51" t="str">
        <f t="shared" si="7"/>
        <v/>
      </c>
      <c r="BK4" s="51" t="str">
        <f t="shared" si="7"/>
        <v/>
      </c>
      <c r="BL4" s="51" t="str">
        <f t="shared" si="7"/>
        <v/>
      </c>
      <c r="BM4" s="51" t="str">
        <f t="shared" si="7"/>
        <v/>
      </c>
      <c r="BN4" s="51" t="str">
        <f t="shared" si="7"/>
        <v/>
      </c>
      <c r="BO4" s="51" t="str">
        <f t="shared" si="7"/>
        <v/>
      </c>
      <c r="BP4" s="51" t="str">
        <f t="shared" si="7"/>
        <v/>
      </c>
      <c r="BQ4" s="51" t="str">
        <f t="shared" si="7"/>
        <v/>
      </c>
      <c r="BR4" s="51" t="str">
        <f t="shared" si="7"/>
        <v>8A28CA24-5822-1288-</v>
      </c>
      <c r="BS4" s="51" t="str">
        <f t="shared" si="7"/>
        <v/>
      </c>
      <c r="BT4" s="51" t="str">
        <f t="shared" si="7"/>
        <v>8A28CA24-5822-1238-</v>
      </c>
      <c r="BU4" s="51" t="str">
        <f t="shared" si="7"/>
        <v/>
      </c>
      <c r="BV4" s="51" t="str">
        <f t="shared" si="7"/>
        <v>81A8CA24-3946-1028-</v>
      </c>
      <c r="BW4" s="51" t="str">
        <f t="shared" si="7"/>
        <v/>
      </c>
      <c r="BX4" s="51" t="str">
        <f t="shared" si="7"/>
        <v>81A8CA24-4880-1272-</v>
      </c>
      <c r="BY4" s="51" t="str">
        <f t="shared" si="7"/>
        <v/>
      </c>
      <c r="BZ4" s="51" t="str">
        <f t="shared" si="7"/>
        <v>8AA8CA24-5926-1008-</v>
      </c>
      <c r="CA4" s="51" t="str">
        <f t="shared" si="7"/>
        <v>8AA8CA24-5926-1247-</v>
      </c>
      <c r="CB4" s="51" t="str">
        <f t="shared" si="7"/>
        <v>8AA8CA24-5926-1473-</v>
      </c>
      <c r="CC4" s="51" t="str">
        <f t="shared" si="7"/>
        <v>8AA8CA24-5926-1473-</v>
      </c>
      <c r="CD4" s="51" t="str">
        <f t="shared" si="7"/>
        <v>81CC0224-5585-1532-</v>
      </c>
      <c r="CE4" s="51" t="str">
        <f t="shared" si="7"/>
        <v/>
      </c>
      <c r="CF4" s="51" t="str">
        <f t="shared" si="7"/>
        <v/>
      </c>
      <c r="CG4" s="51" t="str">
        <f t="shared" ref="CG4:CX4" si="8">IF(OR(CG$5="",CG$5="empty",CG$5="[indexname]"),"",MID(DEC2HEX(CODE(CG$5)+2^6*CODE(MID(CG$5&amp;makeGUID,2,1))+2^8*CODE(MID(CG$5&amp;makeGUID,3,1))+2^10*CODE(MID(CG$5&amp;makeGUID,4,1))+2^12*CODE(MID(CG$5&amp;makeGUID,5,1))+2^14*CODE(MID(CG$5&amp;makeGUID,6,1))+2^16*CODE(MID(CG$5&amp;makeGUID,7,1))+2^18*CODE(MID(CG$5&amp;makeGUID,8,1))+2^20*CODE(MID(CG$5&amp;makeGUID,9,1))+2^22*CODE(MID(CG$5&amp;makeGUID,10,1))+2^24*CODE(MID(CG$5&amp;makeGUID,11,1))),1,8)&amp;"-"&amp;MID(2^6*CODE(MID(CG$5&amp;makeGUID,12,1))+2^8*CODE(MID(CG$5&amp;makeGUID,13,1))+2^10*CODE(MID(CG$5&amp;makeGUID,14,1))+2^12*CODE(MID(CG$5&amp;makeGUID,15,1)),1,4)&amp;"-"&amp;MID(2^14*CODE(MID(CG$5&amp;makeGUID,16,1))+2^16*CODE(MID(CG$5&amp;makeGUID,17,1))+2^18*CODE(MID(CG$5&amp;makeGUID,18,1))+2^20*CODE(MID(CG$5&amp;makeGUID,19,1)),1,4)&amp;"-")</f>
        <v>90A8CA24-5905-1442-</v>
      </c>
      <c r="CH4" s="51" t="str">
        <f t="shared" si="8"/>
        <v/>
      </c>
      <c r="CI4" s="51" t="str">
        <f t="shared" si="8"/>
        <v/>
      </c>
      <c r="CJ4" s="51" t="str">
        <f t="shared" si="8"/>
        <v>830C7624-3938-1028-</v>
      </c>
      <c r="CK4" s="51" t="str">
        <f t="shared" si="8"/>
        <v/>
      </c>
      <c r="CL4" s="51" t="str">
        <f t="shared" si="8"/>
        <v>8A44A473-5758-1516-</v>
      </c>
      <c r="CM4" s="51" t="str">
        <f t="shared" si="8"/>
        <v>90547624-3946-1028-</v>
      </c>
      <c r="CN4" s="51" t="str">
        <f t="shared" si="8"/>
        <v/>
      </c>
      <c r="CO4" s="51" t="str">
        <f t="shared" si="8"/>
        <v>904BA224-3946-1028-</v>
      </c>
      <c r="CP4" s="51" t="str">
        <f t="shared" si="8"/>
        <v/>
      </c>
      <c r="CQ4" s="51" t="str">
        <f t="shared" si="8"/>
        <v>97117224-5924-1164-</v>
      </c>
      <c r="CR4" s="51" t="str">
        <f t="shared" si="8"/>
        <v/>
      </c>
      <c r="CS4" s="51" t="str">
        <f t="shared" si="8"/>
        <v>60EBA224-4017-1123-</v>
      </c>
      <c r="CT4" s="51" t="str">
        <f t="shared" si="8"/>
        <v/>
      </c>
      <c r="CU4" s="51" t="str">
        <f t="shared" si="8"/>
        <v>8AE93A24-5924-1164-</v>
      </c>
      <c r="CV4" s="51" t="str">
        <f t="shared" si="8"/>
        <v/>
      </c>
      <c r="CW4" s="51" t="str">
        <f t="shared" si="8"/>
        <v>8D223E24-3946-1028-</v>
      </c>
      <c r="CX4" s="51" t="str">
        <f t="shared" si="8"/>
        <v/>
      </c>
      <c r="CY4" s="79"/>
    </row>
    <row r="5" spans="1:103" ht="22.5" customHeight="1" thickTop="1" x14ac:dyDescent="0.3">
      <c r="A5" s="28" t="s">
        <v>87</v>
      </c>
      <c r="B5" s="78" t="s">
        <v>1026</v>
      </c>
      <c r="C5" s="78"/>
      <c r="D5" s="78"/>
      <c r="E5" s="78"/>
      <c r="F5" s="78" t="s">
        <v>1657</v>
      </c>
      <c r="G5" s="78"/>
      <c r="H5" s="78"/>
      <c r="I5" s="78"/>
      <c r="J5" s="78"/>
      <c r="K5" s="78" t="s">
        <v>1658</v>
      </c>
      <c r="L5" s="78"/>
      <c r="M5" s="78"/>
      <c r="N5" s="78"/>
      <c r="O5" s="78"/>
      <c r="P5" s="78"/>
      <c r="Q5" s="78" t="s">
        <v>1419</v>
      </c>
      <c r="R5" s="78"/>
      <c r="S5" s="78"/>
      <c r="T5" s="78"/>
      <c r="U5" s="78" t="s">
        <v>1654</v>
      </c>
      <c r="V5" s="78"/>
      <c r="W5" s="78"/>
      <c r="X5" s="78"/>
      <c r="Y5" s="78"/>
      <c r="Z5" s="78"/>
      <c r="AA5" s="78"/>
      <c r="AB5" s="78"/>
      <c r="AC5" s="78"/>
      <c r="AD5" s="78"/>
      <c r="AE5" s="78" t="s">
        <v>1660</v>
      </c>
      <c r="AF5" s="78"/>
      <c r="AG5" s="78"/>
      <c r="AH5" s="78"/>
      <c r="AI5" s="78"/>
      <c r="AJ5" s="78"/>
      <c r="AK5" s="78"/>
      <c r="AL5" s="78"/>
      <c r="AM5" s="78"/>
      <c r="AN5" s="78"/>
      <c r="AO5" s="78" t="s">
        <v>1806</v>
      </c>
      <c r="AP5" s="78"/>
      <c r="AQ5" s="78"/>
      <c r="AR5" s="78"/>
      <c r="AS5" s="78"/>
      <c r="AT5" s="78"/>
      <c r="AU5" s="78"/>
      <c r="AV5" s="78"/>
      <c r="AW5" s="78" t="s">
        <v>1870</v>
      </c>
      <c r="AX5" s="78"/>
      <c r="AY5" s="78"/>
      <c r="AZ5" s="78" t="s">
        <v>1902</v>
      </c>
      <c r="BA5" s="78"/>
      <c r="BB5" s="78"/>
      <c r="BC5" s="78" t="s">
        <v>28</v>
      </c>
      <c r="BD5" s="78" t="s">
        <v>28</v>
      </c>
      <c r="BE5" s="78" t="s">
        <v>28</v>
      </c>
      <c r="BF5" s="78" t="s">
        <v>28</v>
      </c>
      <c r="BG5" s="78" t="s">
        <v>28</v>
      </c>
      <c r="BH5" s="78" t="s">
        <v>28</v>
      </c>
      <c r="BI5" s="78" t="s">
        <v>28</v>
      </c>
      <c r="BJ5" s="78" t="s">
        <v>28</v>
      </c>
      <c r="BK5" s="78" t="s">
        <v>28</v>
      </c>
      <c r="BL5" s="78" t="s">
        <v>28</v>
      </c>
      <c r="BM5" s="78" t="s">
        <v>28</v>
      </c>
      <c r="BN5" s="78" t="s">
        <v>28</v>
      </c>
      <c r="BO5" s="78" t="s">
        <v>28</v>
      </c>
      <c r="BP5" s="78" t="s">
        <v>28</v>
      </c>
      <c r="BQ5" s="78" t="s">
        <v>28</v>
      </c>
      <c r="BR5" s="78" t="s">
        <v>1059</v>
      </c>
      <c r="BS5" s="78"/>
      <c r="BT5" s="78" t="s">
        <v>1122</v>
      </c>
      <c r="BU5" s="78"/>
      <c r="BV5" s="78" t="s">
        <v>1060</v>
      </c>
      <c r="BW5" s="78"/>
      <c r="BX5" s="78" t="s">
        <v>1123</v>
      </c>
      <c r="BY5" s="78"/>
      <c r="BZ5" s="78" t="s">
        <v>1061</v>
      </c>
      <c r="CA5" s="78" t="s">
        <v>1120</v>
      </c>
      <c r="CB5" s="78" t="s">
        <v>1063</v>
      </c>
      <c r="CC5" s="78" t="s">
        <v>1121</v>
      </c>
      <c r="CD5" s="78" t="s">
        <v>595</v>
      </c>
      <c r="CE5" s="78"/>
      <c r="CF5" s="78" t="s">
        <v>1043</v>
      </c>
      <c r="CG5" s="78" t="s">
        <v>1113</v>
      </c>
      <c r="CH5" s="78"/>
      <c r="CI5" s="78" t="s">
        <v>1043</v>
      </c>
      <c r="CJ5" s="78" t="s">
        <v>1170</v>
      </c>
      <c r="CK5" s="181" t="s">
        <v>1043</v>
      </c>
      <c r="CL5" s="78" t="s">
        <v>725</v>
      </c>
      <c r="CM5" s="181" t="s">
        <v>194</v>
      </c>
      <c r="CN5" s="181" t="s">
        <v>1043</v>
      </c>
      <c r="CO5" s="181" t="s">
        <v>196</v>
      </c>
      <c r="CP5" s="181" t="s">
        <v>1043</v>
      </c>
      <c r="CQ5" s="181" t="s">
        <v>198</v>
      </c>
      <c r="CR5" s="181" t="s">
        <v>1043</v>
      </c>
      <c r="CS5" s="181" t="s">
        <v>189</v>
      </c>
      <c r="CT5" s="181" t="s">
        <v>1043</v>
      </c>
      <c r="CU5" s="181" t="s">
        <v>1748</v>
      </c>
      <c r="CV5" s="181" t="s">
        <v>1043</v>
      </c>
      <c r="CW5" s="181" t="s">
        <v>202</v>
      </c>
      <c r="CX5" s="181" t="s">
        <v>1043</v>
      </c>
      <c r="CY5" s="79" t="s">
        <v>145</v>
      </c>
    </row>
    <row r="6" spans="1:103" ht="22.5" customHeight="1" x14ac:dyDescent="0.3">
      <c r="A6" s="28" t="s">
        <v>147</v>
      </c>
      <c r="B6" s="17">
        <v>1</v>
      </c>
      <c r="C6" s="17">
        <v>1</v>
      </c>
      <c r="D6" s="17">
        <v>1</v>
      </c>
      <c r="E6" s="17">
        <v>1</v>
      </c>
      <c r="F6" s="17" t="str">
        <f ca="1">IFERROR(IF(MAX('SORT IMPORT'!$A$13:$A$408)&gt;ROW()-ROW($A$5)-1,INDEX( PRODUKTE,  VLOOKUP(ROW()-ROW($A$5),zeilenindizes,2)+INDEX(prodRowOffset,F$3),  MATCH(F$2,OFFSET(INDEXNAMEN,F$3,0),0)),""),"")</f>
        <v>TS 90 EN 3/4</v>
      </c>
      <c r="G6" s="17" t="str">
        <f ca="1">IFERROR(IF(MAX('SORT IMPORT'!$A$13:$A$408)&gt;ROW()-ROW($A$5)-1,INDEX( PRODUKTE,  VLOOKUP(ROW()-ROW($A$5),zeilenindizes,2)+INDEX(prodRowOffset,G$3),  MATCH(G$2,OFFSET(INDEXNAMEN,G$3,0),0)),""),"")</f>
        <v>G</v>
      </c>
      <c r="H6" s="17" t="str">
        <f ca="1">IFERROR(IF(MAX('SORT IMPORT'!$A$13:$A$408)&gt;ROW()-ROW($A$5)-1,INDEX( PRODUKTE,  VLOOKUP(ROW()-ROW($A$5),zeilenindizes,2)+INDEX(prodRowOffset,H$3),  MATCH(H$2,OFFSET(INDEXNAMEN,H$3,0),0)),""),"")</f>
        <v>90</v>
      </c>
      <c r="I6" s="17" t="str">
        <f ca="1">IFERROR(IF(MAX('SORT IMPORT'!$A$13:$A$408)&gt;ROW()-ROW($A$5)-1,INDEX( PRODUKTE,  VLOOKUP(ROW()-ROW($A$5),zeilenindizes,2)+INDEX(prodRowOffset,I$3),  MATCH(I$2,OFFSET(INDEXNAMEN,I$3,0),0)),""),"")</f>
        <v/>
      </c>
      <c r="J6" s="17" t="str">
        <f ca="1">IFERROR(IF(MAX('SORT IMPORT'!$A$13:$A$408)&gt;ROW()-ROW($A$5)-1,INDEX( PRODUKTE,  VLOOKUP(ROW()-ROW($A$5),zeilenindizes,2)+INDEX(prodRowOffset,J$3),  MATCH(J$2,OFFSET(INDEXNAMEN,J$3,0),0)),""),"")</f>
        <v/>
      </c>
      <c r="K6" s="17">
        <f ca="1">IFERROR(IF(MAX('SORT IMPORT'!$A$13:$A$408)&gt;ROW()-ROW($A$5)-1,INDEX( PRODUKTE,  VLOOKUP(ROW()-ROW($A$5),zeilenindizes,2)+INDEX(prodRowOffset,K$3),  MATCH(K$2,OFFSET(INDEXNAMEN,K$3,0),0)),""),"")</f>
        <v>15</v>
      </c>
      <c r="L6" s="17">
        <f ca="1">IFERROR(IF(MAX('SORT IMPORT'!$A$13:$A$408)&gt;ROW()-ROW($A$5)-1,INDEX( PRODUKTE,  VLOOKUP(ROW()-ROW($A$5),zeilenindizes,2)+INDEX(prodRowOffset,L$3),  MATCH(L$2,OFFSET(INDEXNAMEN,L$3,0),0)),""),"")</f>
        <v>0</v>
      </c>
      <c r="M6" s="17">
        <f ca="1">IFERROR(IF(MAX('SORT IMPORT'!$A$13:$A$408)&gt;ROW()-ROW($A$5)-1,INDEX( PRODUKTE,  VLOOKUP(ROW()-ROW($A$5),zeilenindizes,2)+INDEX(prodRowOffset,M$3),  MATCH(M$2,OFFSET(INDEXNAMEN,M$3,0),0)),""),"")</f>
        <v>12</v>
      </c>
      <c r="N6" s="17">
        <f ca="1">IFERROR(IF(MAX('SORT IMPORT'!$A$13:$A$408)&gt;ROW()-ROW($A$5)-1,INDEX( PRODUKTE,  VLOOKUP(ROW()-ROW($A$5),zeilenindizes,2)+INDEX(prodRowOffset,N$3),  MATCH(N$2,OFFSET(INDEXNAMEN,N$3,0),0)),""),"")</f>
        <v>1</v>
      </c>
      <c r="O6" s="17">
        <f ca="1">IFERROR(IF(MAX('SORT IMPORT'!$A$13:$A$408)&gt;ROW()-ROW($A$5)-1,INDEX( PRODUKTE,  VLOOKUP(ROW()-ROW($A$5),zeilenindizes,2)+INDEX(prodRowOffset,O$3),  MATCH(O$2,OFFSET(INDEXNAMEN,O$3,0),0)),""),"")</f>
        <v>0</v>
      </c>
      <c r="P6" s="17">
        <f ca="1">IFERROR(IF(MAX('SORT IMPORT'!$A$13:$A$408)&gt;ROW()-ROW($A$5)-1,INDEX( PRODUKTE,  VLOOKUP(ROW()-ROW($A$5),zeilenindizes,2)+INDEX(prodRowOffset,P$3),  MATCH(P$2,OFFSET(INDEXNAMEN,P$3,0),0)),""),"")</f>
        <v>0</v>
      </c>
      <c r="Q6" s="17">
        <f ca="1">IFERROR(IF(MAX('SORT IMPORT'!$A$13:$A$408)&gt;ROW()-ROW($A$5)-1,INDEX( PRODUKTE,  VLOOKUP(ROW()-ROW($A$5),zeilenindizes,2)+INDEX(prodRowOffset,Q$3),  MATCH(Q$2,OFFSET(INDEXNAMEN,Q$3,0),0)),""),"")</f>
        <v>0</v>
      </c>
      <c r="R6" s="17">
        <f ca="1">IFERROR(IF(MAX('SORT IMPORT'!$A$13:$A$408)&gt;ROW()-ROW($A$5)-1,INDEX( PRODUKTE,  VLOOKUP(ROW()-ROW($A$5),zeilenindizes,2)+INDEX(prodRowOffset,R$3),  MATCH(R$2,OFFSET(INDEXNAMEN,R$3,0),0)),""),"")</f>
        <v>0</v>
      </c>
      <c r="S6" s="17">
        <f ca="1">IFERROR(IF(MAX('SORT IMPORT'!$A$13:$A$408)&gt;ROW()-ROW($A$5)-1,INDEX( PRODUKTE,  VLOOKUP(ROW()-ROW($A$5),zeilenindizes,2)+INDEX(prodRowOffset,S$3),  MATCH(S$2,OFFSET(INDEXNAMEN,S$3,0),0)),""),"")</f>
        <v>0</v>
      </c>
      <c r="T6" s="17">
        <f ca="1">IFERROR(IF(MAX('SORT IMPORT'!$A$13:$A$408)&gt;ROW()-ROW($A$5)-1,INDEX( PRODUKTE,  VLOOKUP(ROW()-ROW($A$5),zeilenindizes,2)+INDEX(prodRowOffset,T$3),  MATCH(T$2,OFFSET(INDEXNAMEN,T$3,0),0)),""),"")</f>
        <v>0</v>
      </c>
      <c r="U6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84</v>
      </c>
      <c r="V6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6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84</v>
      </c>
      <c r="X6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6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84</v>
      </c>
      <c r="Z6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10</v>
      </c>
      <c r="AA6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84</v>
      </c>
      <c r="AB6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11</v>
      </c>
      <c r="AC6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84</v>
      </c>
      <c r="AD6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6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153</v>
      </c>
      <c r="AF6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11</v>
      </c>
      <c r="AG6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153</v>
      </c>
      <c r="AH6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11</v>
      </c>
      <c r="AI6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153</v>
      </c>
      <c r="AJ6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1</v>
      </c>
      <c r="AK6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181</v>
      </c>
      <c r="AL6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6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181</v>
      </c>
      <c r="AN6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9999</v>
      </c>
      <c r="AO6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383</v>
      </c>
      <c r="AP6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25</v>
      </c>
      <c r="AQ6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20</v>
      </c>
      <c r="AR6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13</v>
      </c>
      <c r="AS6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320</v>
      </c>
      <c r="AT6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86</v>
      </c>
      <c r="AU6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24</v>
      </c>
      <c r="AV6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48</v>
      </c>
      <c r="AW6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246</v>
      </c>
      <c r="AX6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46</v>
      </c>
      <c r="AY6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57</v>
      </c>
      <c r="AZ6" s="17">
        <v>93</v>
      </c>
      <c r="BA6" s="17">
        <v>1</v>
      </c>
      <c r="BB6" s="389">
        <v>16</v>
      </c>
      <c r="BR6" s="17">
        <v>0</v>
      </c>
      <c r="BS6" s="17">
        <v>0</v>
      </c>
      <c r="BT6" s="17">
        <v>0</v>
      </c>
      <c r="BU6" s="17">
        <v>0</v>
      </c>
      <c r="BV6" s="17">
        <v>0</v>
      </c>
      <c r="BW6" s="17">
        <v>0</v>
      </c>
      <c r="BX6" s="17">
        <v>0</v>
      </c>
      <c r="BY6" s="17">
        <v>0</v>
      </c>
      <c r="BZ6" s="17" t="s">
        <v>1271</v>
      </c>
      <c r="CA6" s="17" t="s">
        <v>1271</v>
      </c>
      <c r="CB6" s="17">
        <v>8.0000000000000002E-3</v>
      </c>
      <c r="CC6" s="17">
        <v>8.0000000000000002E-3</v>
      </c>
      <c r="CD6" s="17">
        <v>5.0000000000000001E-3</v>
      </c>
      <c r="CE6" s="17">
        <v>7.4999999999999997E-3</v>
      </c>
      <c r="CF6" s="177" t="s">
        <v>1105</v>
      </c>
      <c r="CG6" s="17">
        <v>2.1000000000000001E-2</v>
      </c>
      <c r="CH6" s="17">
        <v>0.03</v>
      </c>
      <c r="CI6" s="177" t="s">
        <v>1114</v>
      </c>
      <c r="CJ6" s="17">
        <v>0</v>
      </c>
      <c r="CK6" s="17" t="s">
        <v>1172</v>
      </c>
      <c r="CL6" s="17">
        <v>-9999</v>
      </c>
      <c r="CM6" s="182">
        <v>96</v>
      </c>
      <c r="CN6" s="183" t="s">
        <v>1045</v>
      </c>
      <c r="CO6" s="182">
        <v>1</v>
      </c>
      <c r="CP6" s="183" t="s">
        <v>1046</v>
      </c>
      <c r="CQ6" s="182">
        <v>91</v>
      </c>
      <c r="CR6" s="183" t="s">
        <v>1047</v>
      </c>
      <c r="CS6" s="182">
        <v>64</v>
      </c>
      <c r="CT6" s="183" t="s">
        <v>1048</v>
      </c>
      <c r="CU6" s="182">
        <v>21</v>
      </c>
      <c r="CV6" s="183" t="s">
        <v>1750</v>
      </c>
      <c r="CW6" s="182">
        <v>40</v>
      </c>
      <c r="CX6" s="183" t="s">
        <v>1049</v>
      </c>
      <c r="CY6" s="79" t="s">
        <v>89</v>
      </c>
    </row>
    <row r="7" spans="1:103" ht="22.5" customHeight="1" x14ac:dyDescent="0.3">
      <c r="A7" s="28"/>
      <c r="B7" s="17">
        <v>2</v>
      </c>
      <c r="C7" s="17">
        <v>2</v>
      </c>
      <c r="D7" s="17">
        <v>2</v>
      </c>
      <c r="E7" s="17">
        <v>2</v>
      </c>
      <c r="F7" s="17" t="str">
        <f ca="1">IFERROR(IF(MAX('SORT IMPORT'!$A$13:$A$408)&gt;ROW()-ROW($A$5)-1,INDEX( PRODUKTE,  VLOOKUP(ROW()-ROW($A$5),zeilenindizes,2)+INDEX(prodRowOffset,F$3),  MATCH(F$2,OFFSET(INDEXNAMEN,F$3,0),0)),""),"")</f>
        <v>TS 90 RF EN 3/4</v>
      </c>
      <c r="G7" s="17" t="str">
        <f ca="1">IFERROR(IF(MAX('SORT IMPORT'!$A$13:$A$408)&gt;ROW()-ROW($A$5)-1,INDEX( PRODUKTE,  VLOOKUP(ROW()-ROW($A$5),zeilenindizes,2)+INDEX(prodRowOffset,G$3),  MATCH(G$2,OFFSET(INDEXNAMEN,G$3,0),0)),""),"")</f>
        <v>G</v>
      </c>
      <c r="H7" s="17" t="str">
        <f ca="1">IFERROR(IF(MAX('SORT IMPORT'!$A$13:$A$408)&gt;ROW()-ROW($A$5)-1,INDEX( PRODUKTE,  VLOOKUP(ROW()-ROW($A$5),zeilenindizes,2)+INDEX(prodRowOffset,H$3),  MATCH(H$2,OFFSET(INDEXNAMEN,H$3,0),0)),""),"")</f>
        <v>90</v>
      </c>
      <c r="I7" s="17" t="str">
        <f ca="1">IFERROR(IF(MAX('SORT IMPORT'!$A$13:$A$408)&gt;ROW()-ROW($A$5)-1,INDEX( PRODUKTE,  VLOOKUP(ROW()-ROW($A$5),zeilenindizes,2)+INDEX(prodRowOffset,I$3),  MATCH(I$2,OFFSET(INDEXNAMEN,I$3,0),0)),""),"")</f>
        <v/>
      </c>
      <c r="J7" s="17" t="str">
        <f ca="1">IFERROR(IF(MAX('SORT IMPORT'!$A$13:$A$408)&gt;ROW()-ROW($A$5)-1,INDEX( PRODUKTE,  VLOOKUP(ROW()-ROW($A$5),zeilenindizes,2)+INDEX(prodRowOffset,J$3),  MATCH(J$2,OFFSET(INDEXNAMEN,J$3,0),0)),""),"")</f>
        <v>M</v>
      </c>
      <c r="K7" s="17">
        <f ca="1">IFERROR(IF(MAX('SORT IMPORT'!$A$13:$A$408)&gt;ROW()-ROW($A$5)-1,INDEX( PRODUKTE,  VLOOKUP(ROW()-ROW($A$5),zeilenindizes,2)+INDEX(prodRowOffset,K$3),  MATCH(K$2,OFFSET(INDEXNAMEN,K$3,0),0)),""),"")</f>
        <v>15</v>
      </c>
      <c r="L7" s="17">
        <f ca="1">IFERROR(IF(MAX('SORT IMPORT'!$A$13:$A$408)&gt;ROW()-ROW($A$5)-1,INDEX( PRODUKTE,  VLOOKUP(ROW()-ROW($A$5),zeilenindizes,2)+INDEX(prodRowOffset,L$3),  MATCH(L$2,OFFSET(INDEXNAMEN,L$3,0),0)),""),"")</f>
        <v>0</v>
      </c>
      <c r="M7" s="17">
        <f ca="1">IFERROR(IF(MAX('SORT IMPORT'!$A$13:$A$408)&gt;ROW()-ROW($A$5)-1,INDEX( PRODUKTE,  VLOOKUP(ROW()-ROW($A$5),zeilenindizes,2)+INDEX(prodRowOffset,M$3),  MATCH(M$2,OFFSET(INDEXNAMEN,M$3,0),0)),""),"")</f>
        <v>12</v>
      </c>
      <c r="N7" s="17">
        <f ca="1">IFERROR(IF(MAX('SORT IMPORT'!$A$13:$A$408)&gt;ROW()-ROW($A$5)-1,INDEX( PRODUKTE,  VLOOKUP(ROW()-ROW($A$5),zeilenindizes,2)+INDEX(prodRowOffset,N$3),  MATCH(N$2,OFFSET(INDEXNAMEN,N$3,0),0)),""),"")</f>
        <v>1</v>
      </c>
      <c r="O7" s="17">
        <f ca="1">IFERROR(IF(MAX('SORT IMPORT'!$A$13:$A$408)&gt;ROW()-ROW($A$5)-1,INDEX( PRODUKTE,  VLOOKUP(ROW()-ROW($A$5),zeilenindizes,2)+INDEX(prodRowOffset,O$3),  MATCH(O$2,OFFSET(INDEXNAMEN,O$3,0),0)),""),"")</f>
        <v>0</v>
      </c>
      <c r="P7" s="17">
        <f ca="1">IFERROR(IF(MAX('SORT IMPORT'!$A$13:$A$408)&gt;ROW()-ROW($A$5)-1,INDEX( PRODUKTE,  VLOOKUP(ROW()-ROW($A$5),zeilenindizes,2)+INDEX(prodRowOffset,P$3),  MATCH(P$2,OFFSET(INDEXNAMEN,P$3,0),0)),""),"")</f>
        <v>0</v>
      </c>
      <c r="Q7" s="17">
        <f ca="1">IFERROR(IF(MAX('SORT IMPORT'!$A$13:$A$408)&gt;ROW()-ROW($A$5)-1,INDEX( PRODUKTE,  VLOOKUP(ROW()-ROW($A$5),zeilenindizes,2)+INDEX(prodRowOffset,Q$3),  MATCH(Q$2,OFFSET(INDEXNAMEN,Q$3,0),0)),""),"")</f>
        <v>0</v>
      </c>
      <c r="R7" s="17">
        <f ca="1">IFERROR(IF(MAX('SORT IMPORT'!$A$13:$A$408)&gt;ROW()-ROW($A$5)-1,INDEX( PRODUKTE,  VLOOKUP(ROW()-ROW($A$5),zeilenindizes,2)+INDEX(prodRowOffset,R$3),  MATCH(R$2,OFFSET(INDEXNAMEN,R$3,0),0)),""),"")</f>
        <v>0</v>
      </c>
      <c r="S7" s="17">
        <f ca="1">IFERROR(IF(MAX('SORT IMPORT'!$A$13:$A$408)&gt;ROW()-ROW($A$5)-1,INDEX( PRODUKTE,  VLOOKUP(ROW()-ROW($A$5),zeilenindizes,2)+INDEX(prodRowOffset,S$3),  MATCH(S$2,OFFSET(INDEXNAMEN,S$3,0),0)),""),"")</f>
        <v>0</v>
      </c>
      <c r="T7" s="17">
        <f ca="1">IFERROR(IF(MAX('SORT IMPORT'!$A$13:$A$408)&gt;ROW()-ROW($A$5)-1,INDEX( PRODUKTE,  VLOOKUP(ROW()-ROW($A$5),zeilenindizes,2)+INDEX(prodRowOffset,T$3),  MATCH(T$2,OFFSET(INDEXNAMEN,T$3,0),0)),""),"")</f>
        <v>0</v>
      </c>
      <c r="U7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84</v>
      </c>
      <c r="V7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7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84</v>
      </c>
      <c r="X7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7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84</v>
      </c>
      <c r="Z7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10</v>
      </c>
      <c r="AA7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84</v>
      </c>
      <c r="AB7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11</v>
      </c>
      <c r="AC7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84</v>
      </c>
      <c r="AD7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7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153</v>
      </c>
      <c r="AF7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11</v>
      </c>
      <c r="AG7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153</v>
      </c>
      <c r="AH7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11</v>
      </c>
      <c r="AI7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153</v>
      </c>
      <c r="AJ7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1</v>
      </c>
      <c r="AK7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181</v>
      </c>
      <c r="AL7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7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181</v>
      </c>
      <c r="AN7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9999</v>
      </c>
      <c r="AO7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383</v>
      </c>
      <c r="AP7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25</v>
      </c>
      <c r="AQ7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20</v>
      </c>
      <c r="AR7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13</v>
      </c>
      <c r="AS7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320</v>
      </c>
      <c r="AT7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86</v>
      </c>
      <c r="AU7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24</v>
      </c>
      <c r="AV7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48</v>
      </c>
      <c r="AW7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246</v>
      </c>
      <c r="AX7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46</v>
      </c>
      <c r="AY7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57</v>
      </c>
      <c r="AZ7" s="17">
        <v>93</v>
      </c>
      <c r="BA7" s="17">
        <v>2</v>
      </c>
      <c r="BB7" s="389">
        <v>30</v>
      </c>
      <c r="BR7" s="17">
        <v>0</v>
      </c>
      <c r="BS7" s="17">
        <v>0</v>
      </c>
      <c r="BT7" s="17">
        <v>0</v>
      </c>
      <c r="BU7" s="17">
        <v>0</v>
      </c>
      <c r="BV7" s="17">
        <v>0</v>
      </c>
      <c r="BW7" s="17">
        <v>0</v>
      </c>
      <c r="BX7" s="17">
        <v>0</v>
      </c>
      <c r="BY7" s="17">
        <v>0</v>
      </c>
      <c r="BZ7" s="17" t="s">
        <v>1272</v>
      </c>
      <c r="CA7" s="17" t="s">
        <v>1272</v>
      </c>
      <c r="CB7" s="17">
        <v>1.4999999999999999E-2</v>
      </c>
      <c r="CC7" s="17">
        <v>1.4999999999999999E-2</v>
      </c>
      <c r="CD7" s="17">
        <v>5.0000000000000001E-3</v>
      </c>
      <c r="CE7" s="17">
        <v>7.4999999999999997E-3</v>
      </c>
      <c r="CF7" s="177" t="s">
        <v>1106</v>
      </c>
      <c r="CG7" s="17">
        <v>4.2000000000000003E-2</v>
      </c>
      <c r="CH7" s="17">
        <v>1.4999999999999999E-2</v>
      </c>
      <c r="CI7" s="177" t="s">
        <v>1115</v>
      </c>
      <c r="CJ7" s="17">
        <v>0</v>
      </c>
      <c r="CK7" s="17" t="s">
        <v>1173</v>
      </c>
      <c r="CL7" s="17">
        <v>0</v>
      </c>
      <c r="CM7" s="182">
        <v>2</v>
      </c>
      <c r="CN7" s="183" t="s">
        <v>1064</v>
      </c>
      <c r="CO7" s="182">
        <v>1</v>
      </c>
      <c r="CP7" s="183" t="s">
        <v>1053</v>
      </c>
      <c r="CQ7" s="182">
        <v>91</v>
      </c>
      <c r="CR7" s="183" t="s">
        <v>1054</v>
      </c>
      <c r="CS7" s="182">
        <v>64</v>
      </c>
      <c r="CT7" s="183" t="s">
        <v>1055</v>
      </c>
      <c r="CU7" s="183"/>
      <c r="CV7" s="183"/>
      <c r="CW7" s="182">
        <v>40</v>
      </c>
      <c r="CX7" s="183" t="s">
        <v>1044</v>
      </c>
    </row>
    <row r="8" spans="1:103" ht="22.5" customHeight="1" x14ac:dyDescent="0.3">
      <c r="B8" s="17">
        <v>3</v>
      </c>
      <c r="C8" s="17">
        <v>3</v>
      </c>
      <c r="D8" s="17">
        <v>3</v>
      </c>
      <c r="E8" s="17">
        <v>3</v>
      </c>
      <c r="F8" s="17" t="str">
        <f ca="1">IFERROR(IF(MAX('SORT IMPORT'!$A$13:$A$408)&gt;ROW()-ROW($A$5)-1,INDEX( PRODUKTE,  VLOOKUP(ROW()-ROW($A$5),zeilenindizes,2)+INDEX(prodRowOffset,F$3),  MATCH(F$2,OFFSET(INDEXNAMEN,F$3,0),0)),""),"")</f>
        <v>TS 91 EN 3</v>
      </c>
      <c r="G8" s="17" t="str">
        <f ca="1">IFERROR(IF(MAX('SORT IMPORT'!$A$13:$A$408)&gt;ROW()-ROW($A$5)-1,INDEX( PRODUKTE,  VLOOKUP(ROW()-ROW($A$5),zeilenindizes,2)+INDEX(prodRowOffset,G$3),  MATCH(G$2,OFFSET(INDEXNAMEN,G$3,0),0)),""),"")</f>
        <v>G</v>
      </c>
      <c r="H8" s="17" t="str">
        <f ca="1">IFERROR(IF(MAX('SORT IMPORT'!$A$13:$A$408)&gt;ROW()-ROW($A$5)-1,INDEX( PRODUKTE,  VLOOKUP(ROW()-ROW($A$5),zeilenindizes,2)+INDEX(prodRowOffset,H$3),  MATCH(H$2,OFFSET(INDEXNAMEN,H$3,0),0)),""),"")</f>
        <v>91 B</v>
      </c>
      <c r="I8" s="17" t="str">
        <f ca="1">IFERROR(IF(MAX('SORT IMPORT'!$A$13:$A$408)&gt;ROW()-ROW($A$5)-1,INDEX( PRODUKTE,  VLOOKUP(ROW()-ROW($A$5),zeilenindizes,2)+INDEX(prodRowOffset,I$3),  MATCH(I$2,OFFSET(INDEXNAMEN,I$3,0),0)),""),"")</f>
        <v/>
      </c>
      <c r="J8" s="17" t="str">
        <f ca="1">IFERROR(IF(MAX('SORT IMPORT'!$A$13:$A$408)&gt;ROW()-ROW($A$5)-1,INDEX( PRODUKTE,  VLOOKUP(ROW()-ROW($A$5),zeilenindizes,2)+INDEX(prodRowOffset,J$3),  MATCH(J$2,OFFSET(INDEXNAMEN,J$3,0),0)),""),"")</f>
        <v/>
      </c>
      <c r="K8" s="17">
        <f ca="1">IFERROR(IF(MAX('SORT IMPORT'!$A$13:$A$408)&gt;ROW()-ROW($A$5)-1,INDEX( PRODUKTE,  VLOOKUP(ROW()-ROW($A$5),zeilenindizes,2)+INDEX(prodRowOffset,K$3),  MATCH(K$2,OFFSET(INDEXNAMEN,K$3,0),0)),""),"")</f>
        <v>3</v>
      </c>
      <c r="L8" s="17">
        <f ca="1">IFERROR(IF(MAX('SORT IMPORT'!$A$13:$A$408)&gt;ROW()-ROW($A$5)-1,INDEX( PRODUKTE,  VLOOKUP(ROW()-ROW($A$5),zeilenindizes,2)+INDEX(prodRowOffset,L$3),  MATCH(L$2,OFFSET(INDEXNAMEN,L$3,0),0)),""),"")</f>
        <v>1</v>
      </c>
      <c r="M8" s="17">
        <f ca="1">IFERROR(IF(MAX('SORT IMPORT'!$A$13:$A$408)&gt;ROW()-ROW($A$5)-1,INDEX( PRODUKTE,  VLOOKUP(ROW()-ROW($A$5),zeilenindizes,2)+INDEX(prodRowOffset,M$3),  MATCH(M$2,OFFSET(INDEXNAMEN,M$3,0),0)),""),"")</f>
        <v>4</v>
      </c>
      <c r="N8" s="17">
        <f ca="1">IFERROR(IF(MAX('SORT IMPORT'!$A$13:$A$408)&gt;ROW()-ROW($A$5)-1,INDEX( PRODUKTE,  VLOOKUP(ROW()-ROW($A$5),zeilenindizes,2)+INDEX(prodRowOffset,N$3),  MATCH(N$2,OFFSET(INDEXNAMEN,N$3,0),0)),""),"")</f>
        <v>1</v>
      </c>
      <c r="O8" s="17">
        <f ca="1">IFERROR(IF(MAX('SORT IMPORT'!$A$13:$A$408)&gt;ROW()-ROW($A$5)-1,INDEX( PRODUKTE,  VLOOKUP(ROW()-ROW($A$5),zeilenindizes,2)+INDEX(prodRowOffset,O$3),  MATCH(O$2,OFFSET(INDEXNAMEN,O$3,0),0)),""),"")</f>
        <v>0</v>
      </c>
      <c r="P8" s="17">
        <f ca="1">IFERROR(IF(MAX('SORT IMPORT'!$A$13:$A$408)&gt;ROW()-ROW($A$5)-1,INDEX( PRODUKTE,  VLOOKUP(ROW()-ROW($A$5),zeilenindizes,2)+INDEX(prodRowOffset,P$3),  MATCH(P$2,OFFSET(INDEXNAMEN,P$3,0),0)),""),"")</f>
        <v>0</v>
      </c>
      <c r="Q8" s="17">
        <f ca="1">IFERROR(IF(MAX('SORT IMPORT'!$A$13:$A$408)&gt;ROW()-ROW($A$5)-1,INDEX( PRODUKTE,  VLOOKUP(ROW()-ROW($A$5),zeilenindizes,2)+INDEX(prodRowOffset,Q$3),  MATCH(Q$2,OFFSET(INDEXNAMEN,Q$3,0),0)),""),"")</f>
        <v>0</v>
      </c>
      <c r="R8" s="17">
        <f ca="1">IFERROR(IF(MAX('SORT IMPORT'!$A$13:$A$408)&gt;ROW()-ROW($A$5)-1,INDEX( PRODUKTE,  VLOOKUP(ROW()-ROW($A$5),zeilenindizes,2)+INDEX(prodRowOffset,R$3),  MATCH(R$2,OFFSET(INDEXNAMEN,R$3,0),0)),""),"")</f>
        <v>0</v>
      </c>
      <c r="S8" s="17">
        <f ca="1">IFERROR(IF(MAX('SORT IMPORT'!$A$13:$A$408)&gt;ROW()-ROW($A$5)-1,INDEX( PRODUKTE,  VLOOKUP(ROW()-ROW($A$5),zeilenindizes,2)+INDEX(prodRowOffset,S$3),  MATCH(S$2,OFFSET(INDEXNAMEN,S$3,0),0)),""),"")</f>
        <v>0</v>
      </c>
      <c r="T8" s="17">
        <f ca="1">IFERROR(IF(MAX('SORT IMPORT'!$A$13:$A$408)&gt;ROW()-ROW($A$5)-1,INDEX( PRODUKTE,  VLOOKUP(ROW()-ROW($A$5),zeilenindizes,2)+INDEX(prodRowOffset,T$3),  MATCH(T$2,OFFSET(INDEXNAMEN,T$3,0),0)),""),"")</f>
        <v>0</v>
      </c>
      <c r="U8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86</v>
      </c>
      <c r="V8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8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86</v>
      </c>
      <c r="X8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4</v>
      </c>
      <c r="Y8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8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8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8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8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8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8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143</v>
      </c>
      <c r="AF8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16</v>
      </c>
      <c r="AG8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143</v>
      </c>
      <c r="AH8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16</v>
      </c>
      <c r="AI8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8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8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8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8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8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8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442</v>
      </c>
      <c r="AP8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8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23</v>
      </c>
      <c r="AR8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16</v>
      </c>
      <c r="AS8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8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86</v>
      </c>
      <c r="AU8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25</v>
      </c>
      <c r="AV8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46</v>
      </c>
      <c r="AW8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281</v>
      </c>
      <c r="AX8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47</v>
      </c>
      <c r="AY8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65</v>
      </c>
      <c r="AZ8" s="17">
        <v>93</v>
      </c>
      <c r="BA8" s="17">
        <v>3</v>
      </c>
      <c r="BB8" s="389">
        <v>3</v>
      </c>
      <c r="BR8" s="17">
        <v>0</v>
      </c>
      <c r="BS8" s="17">
        <v>0</v>
      </c>
      <c r="BT8" s="17">
        <v>0</v>
      </c>
      <c r="BU8" s="17">
        <v>0</v>
      </c>
      <c r="BV8" s="17">
        <v>0</v>
      </c>
      <c r="BW8" s="17">
        <v>0</v>
      </c>
      <c r="BX8" s="17">
        <v>0</v>
      </c>
      <c r="BY8" s="17">
        <v>0</v>
      </c>
      <c r="BZ8" s="17" t="s">
        <v>1272</v>
      </c>
      <c r="CA8" s="17" t="s">
        <v>1272</v>
      </c>
      <c r="CB8" s="17">
        <v>1.4999999999999999E-2</v>
      </c>
      <c r="CC8" s="17">
        <v>1.4999999999999999E-2</v>
      </c>
      <c r="CG8" s="17">
        <v>7.4999999999999997E-2</v>
      </c>
      <c r="CH8" s="17">
        <v>1.4999999999999999E-2</v>
      </c>
      <c r="CI8" s="177" t="s">
        <v>1116</v>
      </c>
      <c r="CJ8" s="17">
        <v>0</v>
      </c>
      <c r="CK8" s="17" t="s">
        <v>1174</v>
      </c>
      <c r="CL8" s="17">
        <v>-9999</v>
      </c>
      <c r="CM8" s="182">
        <v>3</v>
      </c>
      <c r="CN8" s="183" t="s">
        <v>1065</v>
      </c>
      <c r="CO8" s="182">
        <v>1</v>
      </c>
      <c r="CP8" s="183" t="s">
        <v>1066</v>
      </c>
      <c r="CQ8" s="182">
        <v>91</v>
      </c>
      <c r="CR8" s="183" t="s">
        <v>1067</v>
      </c>
      <c r="CS8" s="182">
        <v>64</v>
      </c>
      <c r="CT8" s="183" t="s">
        <v>1068</v>
      </c>
      <c r="CU8" s="183"/>
      <c r="CV8" s="183"/>
      <c r="CW8" s="182">
        <v>62</v>
      </c>
      <c r="CX8" s="183" t="s">
        <v>1069</v>
      </c>
    </row>
    <row r="9" spans="1:103" ht="22.5" customHeight="1" x14ac:dyDescent="0.3">
      <c r="B9" s="17">
        <v>4</v>
      </c>
      <c r="C9" s="17">
        <v>4</v>
      </c>
      <c r="D9" s="17">
        <v>4</v>
      </c>
      <c r="E9" s="17">
        <v>4</v>
      </c>
      <c r="F9" s="17" t="str">
        <f ca="1">IFERROR(IF(MAX('SORT IMPORT'!$A$13:$A$408)&gt;ROW()-ROW($A$5)-1,INDEX( PRODUKTE,  VLOOKUP(ROW()-ROW($A$5),zeilenindizes,2)+INDEX(prodRowOffset,F$3),  MATCH(F$2,OFFSET(INDEXNAMEN,F$3,0),0)),""),"")</f>
        <v>TS 91 RF EN 3</v>
      </c>
      <c r="G9" s="17" t="str">
        <f ca="1">IFERROR(IF(MAX('SORT IMPORT'!$A$13:$A$408)&gt;ROW()-ROW($A$5)-1,INDEX( PRODUKTE,  VLOOKUP(ROW()-ROW($A$5),zeilenindizes,2)+INDEX(prodRowOffset,G$3),  MATCH(G$2,OFFSET(INDEXNAMEN,G$3,0),0)),""),"")</f>
        <v>G</v>
      </c>
      <c r="H9" s="17" t="str">
        <f ca="1">IFERROR(IF(MAX('SORT IMPORT'!$A$13:$A$408)&gt;ROW()-ROW($A$5)-1,INDEX( PRODUKTE,  VLOOKUP(ROW()-ROW($A$5),zeilenindizes,2)+INDEX(prodRowOffset,H$3),  MATCH(H$2,OFFSET(INDEXNAMEN,H$3,0),0)),""),"")</f>
        <v>91 B</v>
      </c>
      <c r="I9" s="17" t="str">
        <f ca="1">IFERROR(IF(MAX('SORT IMPORT'!$A$13:$A$408)&gt;ROW()-ROW($A$5)-1,INDEX( PRODUKTE,  VLOOKUP(ROW()-ROW($A$5),zeilenindizes,2)+INDEX(prodRowOffset,I$3),  MATCH(I$2,OFFSET(INDEXNAMEN,I$3,0),0)),""),"")</f>
        <v/>
      </c>
      <c r="J9" s="17" t="str">
        <f ca="1">IFERROR(IF(MAX('SORT IMPORT'!$A$13:$A$408)&gt;ROW()-ROW($A$5)-1,INDEX( PRODUKTE,  VLOOKUP(ROW()-ROW($A$5),zeilenindizes,2)+INDEX(prodRowOffset,J$3),  MATCH(J$2,OFFSET(INDEXNAMEN,J$3,0),0)),""),"")</f>
        <v>M</v>
      </c>
      <c r="K9" s="17">
        <f ca="1">IFERROR(IF(MAX('SORT IMPORT'!$A$13:$A$408)&gt;ROW()-ROW($A$5)-1,INDEX( PRODUKTE,  VLOOKUP(ROW()-ROW($A$5),zeilenindizes,2)+INDEX(prodRowOffset,K$3),  MATCH(K$2,OFFSET(INDEXNAMEN,K$3,0),0)),""),"")</f>
        <v>3</v>
      </c>
      <c r="L9" s="17">
        <f ca="1">IFERROR(IF(MAX('SORT IMPORT'!$A$13:$A$408)&gt;ROW()-ROW($A$5)-1,INDEX( PRODUKTE,  VLOOKUP(ROW()-ROW($A$5),zeilenindizes,2)+INDEX(prodRowOffset,L$3),  MATCH(L$2,OFFSET(INDEXNAMEN,L$3,0),0)),""),"")</f>
        <v>2</v>
      </c>
      <c r="M9" s="17">
        <f ca="1">IFERROR(IF(MAX('SORT IMPORT'!$A$13:$A$408)&gt;ROW()-ROW($A$5)-1,INDEX( PRODUKTE,  VLOOKUP(ROW()-ROW($A$5),zeilenindizes,2)+INDEX(prodRowOffset,M$3),  MATCH(M$2,OFFSET(INDEXNAMEN,M$3,0),0)),""),"")</f>
        <v>4</v>
      </c>
      <c r="N9" s="17">
        <f ca="1">IFERROR(IF(MAX('SORT IMPORT'!$A$13:$A$408)&gt;ROW()-ROW($A$5)-1,INDEX( PRODUKTE,  VLOOKUP(ROW()-ROW($A$5),zeilenindizes,2)+INDEX(prodRowOffset,N$3),  MATCH(N$2,OFFSET(INDEXNAMEN,N$3,0),0)),""),"")</f>
        <v>1</v>
      </c>
      <c r="O9" s="17">
        <f ca="1">IFERROR(IF(MAX('SORT IMPORT'!$A$13:$A$408)&gt;ROW()-ROW($A$5)-1,INDEX( PRODUKTE,  VLOOKUP(ROW()-ROW($A$5),zeilenindizes,2)+INDEX(prodRowOffset,O$3),  MATCH(O$2,OFFSET(INDEXNAMEN,O$3,0),0)),""),"")</f>
        <v>0</v>
      </c>
      <c r="P9" s="17">
        <f ca="1">IFERROR(IF(MAX('SORT IMPORT'!$A$13:$A$408)&gt;ROW()-ROW($A$5)-1,INDEX( PRODUKTE,  VLOOKUP(ROW()-ROW($A$5),zeilenindizes,2)+INDEX(prodRowOffset,P$3),  MATCH(P$2,OFFSET(INDEXNAMEN,P$3,0),0)),""),"")</f>
        <v>0</v>
      </c>
      <c r="Q9" s="17">
        <f ca="1">IFERROR(IF(MAX('SORT IMPORT'!$A$13:$A$408)&gt;ROW()-ROW($A$5)-1,INDEX( PRODUKTE,  VLOOKUP(ROW()-ROW($A$5),zeilenindizes,2)+INDEX(prodRowOffset,Q$3),  MATCH(Q$2,OFFSET(INDEXNAMEN,Q$3,0),0)),""),"")</f>
        <v>0</v>
      </c>
      <c r="R9" s="17">
        <f ca="1">IFERROR(IF(MAX('SORT IMPORT'!$A$13:$A$408)&gt;ROW()-ROW($A$5)-1,INDEX( PRODUKTE,  VLOOKUP(ROW()-ROW($A$5),zeilenindizes,2)+INDEX(prodRowOffset,R$3),  MATCH(R$2,OFFSET(INDEXNAMEN,R$3,0),0)),""),"")</f>
        <v>0</v>
      </c>
      <c r="S9" s="17">
        <f ca="1">IFERROR(IF(MAX('SORT IMPORT'!$A$13:$A$408)&gt;ROW()-ROW($A$5)-1,INDEX( PRODUKTE,  VLOOKUP(ROW()-ROW($A$5),zeilenindizes,2)+INDEX(prodRowOffset,S$3),  MATCH(S$2,OFFSET(INDEXNAMEN,S$3,0),0)),""),"")</f>
        <v>0</v>
      </c>
      <c r="T9" s="17">
        <f ca="1">IFERROR(IF(MAX('SORT IMPORT'!$A$13:$A$408)&gt;ROW()-ROW($A$5)-1,INDEX( PRODUKTE,  VLOOKUP(ROW()-ROW($A$5),zeilenindizes,2)+INDEX(prodRowOffset,T$3),  MATCH(T$2,OFFSET(INDEXNAMEN,T$3,0),0)),""),"")</f>
        <v>0</v>
      </c>
      <c r="U9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86</v>
      </c>
      <c r="V9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9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86</v>
      </c>
      <c r="X9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4</v>
      </c>
      <c r="Y9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9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9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9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9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9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9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143</v>
      </c>
      <c r="AF9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16</v>
      </c>
      <c r="AG9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143</v>
      </c>
      <c r="AH9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16</v>
      </c>
      <c r="AI9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9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9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9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9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9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9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442</v>
      </c>
      <c r="AP9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9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23</v>
      </c>
      <c r="AR9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16</v>
      </c>
      <c r="AS9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9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86</v>
      </c>
      <c r="AU9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25</v>
      </c>
      <c r="AV9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60</v>
      </c>
      <c r="AW9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281</v>
      </c>
      <c r="AX9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47</v>
      </c>
      <c r="AY9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65</v>
      </c>
      <c r="AZ9" s="17">
        <v>93</v>
      </c>
      <c r="BA9" s="17">
        <v>4</v>
      </c>
      <c r="BB9" s="389">
        <v>26</v>
      </c>
      <c r="CJ9" s="17">
        <v>0</v>
      </c>
      <c r="CK9" s="17" t="s">
        <v>1175</v>
      </c>
      <c r="CL9" s="17">
        <v>0</v>
      </c>
      <c r="CM9" s="182">
        <v>96</v>
      </c>
      <c r="CN9" s="183" t="s">
        <v>1070</v>
      </c>
      <c r="CO9" s="182">
        <v>1</v>
      </c>
      <c r="CP9" s="183" t="s">
        <v>1071</v>
      </c>
      <c r="CQ9" s="182">
        <v>91</v>
      </c>
      <c r="CR9" s="183" t="s">
        <v>1072</v>
      </c>
      <c r="CS9" s="182">
        <v>64</v>
      </c>
      <c r="CT9" s="183" t="s">
        <v>1073</v>
      </c>
      <c r="CU9" s="183"/>
      <c r="CV9" s="183"/>
      <c r="CW9" s="182">
        <v>57</v>
      </c>
      <c r="CX9" s="183" t="s">
        <v>1074</v>
      </c>
    </row>
    <row r="10" spans="1:103" ht="22.5" customHeight="1" x14ac:dyDescent="0.3">
      <c r="B10" s="17">
        <v>5</v>
      </c>
      <c r="C10" s="17">
        <v>5</v>
      </c>
      <c r="D10" s="17">
        <v>5</v>
      </c>
      <c r="E10" s="17">
        <v>5</v>
      </c>
      <c r="F10" s="17" t="str">
        <f ca="1">IFERROR(IF(MAX('SORT IMPORT'!$A$13:$A$408)&gt;ROW()-ROW($A$5)-1,INDEX( PRODUKTE,  VLOOKUP(ROW()-ROW($A$5),zeilenindizes,2)+INDEX(prodRowOffset,F$3),  MATCH(F$2,OFFSET(INDEXNAMEN,F$3,0),0)),""),"")</f>
        <v>TS 92 XEA EN 1-4</v>
      </c>
      <c r="G10" s="17" t="str">
        <f ca="1">IFERROR(IF(MAX('SORT IMPORT'!$A$13:$A$408)&gt;ROW()-ROW($A$5)-1,INDEX( PRODUKTE,  VLOOKUP(ROW()-ROW($A$5),zeilenindizes,2)+INDEX(prodRowOffset,G$3),  MATCH(G$2,OFFSET(INDEXNAMEN,G$3,0),0)),""),"")</f>
        <v>X</v>
      </c>
      <c r="H10" s="17" t="str">
        <f ca="1">IFERROR(IF(MAX('SORT IMPORT'!$A$13:$A$408)&gt;ROW()-ROW($A$5)-1,INDEX( PRODUKTE,  VLOOKUP(ROW()-ROW($A$5),zeilenindizes,2)+INDEX(prodRowOffset,H$3),  MATCH(H$2,OFFSET(INDEXNAMEN,H$3,0),0)),""),"")</f>
        <v>92 B</v>
      </c>
      <c r="I10" s="17" t="str">
        <f ca="1">IFERROR(IF(MAX('SORT IMPORT'!$A$13:$A$408)&gt;ROW()-ROW($A$5)-1,INDEX( PRODUKTE,  VLOOKUP(ROW()-ROW($A$5),zeilenindizes,2)+INDEX(prodRowOffset,I$3),  MATCH(I$2,OFFSET(INDEXNAMEN,I$3,0),0)),""),"")</f>
        <v/>
      </c>
      <c r="J10" s="17" t="str">
        <f ca="1">IFERROR(IF(MAX('SORT IMPORT'!$A$13:$A$408)&gt;ROW()-ROW($A$5)-1,INDEX( PRODUKTE,  VLOOKUP(ROW()-ROW($A$5),zeilenindizes,2)+INDEX(prodRowOffset,J$3),  MATCH(J$2,OFFSET(INDEXNAMEN,J$3,0),0)),""),"")</f>
        <v/>
      </c>
      <c r="K10" s="17">
        <f ca="1">IFERROR(IF(MAX('SORT IMPORT'!$A$13:$A$408)&gt;ROW()-ROW($A$5)-1,INDEX( PRODUKTE,  VLOOKUP(ROW()-ROW($A$5),zeilenindizes,2)+INDEX(prodRowOffset,K$3),  MATCH(K$2,OFFSET(INDEXNAMEN,K$3,0),0)),""),"")</f>
        <v>3</v>
      </c>
      <c r="L10" s="17">
        <f ca="1">IFERROR(IF(MAX('SORT IMPORT'!$A$13:$A$408)&gt;ROW()-ROW($A$5)-1,INDEX( PRODUKTE,  VLOOKUP(ROW()-ROW($A$5),zeilenindizes,2)+INDEX(prodRowOffset,L$3),  MATCH(L$2,OFFSET(INDEXNAMEN,L$3,0),0)),""),"")</f>
        <v>1</v>
      </c>
      <c r="M10" s="17">
        <f ca="1">IFERROR(IF(MAX('SORT IMPORT'!$A$13:$A$408)&gt;ROW()-ROW($A$5)-1,INDEX( PRODUKTE,  VLOOKUP(ROW()-ROW($A$5),zeilenindizes,2)+INDEX(prodRowOffset,M$3),  MATCH(M$2,OFFSET(INDEXNAMEN,M$3,0),0)),""),"")</f>
        <v>15</v>
      </c>
      <c r="N10" s="17">
        <f ca="1">IFERROR(IF(MAX('SORT IMPORT'!$A$13:$A$408)&gt;ROW()-ROW($A$5)-1,INDEX( PRODUKTE,  VLOOKUP(ROW()-ROW($A$5),zeilenindizes,2)+INDEX(prodRowOffset,N$3),  MATCH(N$2,OFFSET(INDEXNAMEN,N$3,0),0)),""),"")</f>
        <v>1</v>
      </c>
      <c r="O10" s="17">
        <f ca="1">IFERROR(IF(MAX('SORT IMPORT'!$A$13:$A$408)&gt;ROW()-ROW($A$5)-1,INDEX( PRODUKTE,  VLOOKUP(ROW()-ROW($A$5),zeilenindizes,2)+INDEX(prodRowOffset,O$3),  MATCH(O$2,OFFSET(INDEXNAMEN,O$3,0),0)),""),"")</f>
        <v>0</v>
      </c>
      <c r="P10" s="17">
        <f ca="1">IFERROR(IF(MAX('SORT IMPORT'!$A$13:$A$408)&gt;ROW()-ROW($A$5)-1,INDEX( PRODUKTE,  VLOOKUP(ROW()-ROW($A$5),zeilenindizes,2)+INDEX(prodRowOffset,P$3),  MATCH(P$2,OFFSET(INDEXNAMEN,P$3,0),0)),""),"")</f>
        <v>0</v>
      </c>
      <c r="Q10" s="17">
        <f ca="1">IFERROR(IF(MAX('SORT IMPORT'!$A$13:$A$408)&gt;ROW()-ROW($A$5)-1,INDEX( PRODUKTE,  VLOOKUP(ROW()-ROW($A$5),zeilenindizes,2)+INDEX(prodRowOffset,Q$3),  MATCH(Q$2,OFFSET(INDEXNAMEN,Q$3,0),0)),""),"")</f>
        <v>1</v>
      </c>
      <c r="R10" s="17">
        <f ca="1">IFERROR(IF(MAX('SORT IMPORT'!$A$13:$A$408)&gt;ROW()-ROW($A$5)-1,INDEX( PRODUKTE,  VLOOKUP(ROW()-ROW($A$5),zeilenindizes,2)+INDEX(prodRowOffset,R$3),  MATCH(R$2,OFFSET(INDEXNAMEN,R$3,0),0)),""),"")</f>
        <v>1</v>
      </c>
      <c r="S10" s="17">
        <f ca="1">IFERROR(IF(MAX('SORT IMPORT'!$A$13:$A$408)&gt;ROW()-ROW($A$5)-1,INDEX( PRODUKTE,  VLOOKUP(ROW()-ROW($A$5),zeilenindizes,2)+INDEX(prodRowOffset,S$3),  MATCH(S$2,OFFSET(INDEXNAMEN,S$3,0),0)),""),"")</f>
        <v>0</v>
      </c>
      <c r="T10" s="17">
        <f ca="1">IFERROR(IF(MAX('SORT IMPORT'!$A$13:$A$408)&gt;ROW()-ROW($A$5)-1,INDEX( PRODUKTE,  VLOOKUP(ROW()-ROW($A$5),zeilenindizes,2)+INDEX(prodRowOffset,T$3),  MATCH(T$2,OFFSET(INDEXNAMEN,T$3,0),0)),""),"")</f>
        <v>0</v>
      </c>
      <c r="U10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86</v>
      </c>
      <c r="V10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10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74</v>
      </c>
      <c r="X10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4</v>
      </c>
      <c r="Y10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0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0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0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0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0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0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74</v>
      </c>
      <c r="AF10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12</v>
      </c>
      <c r="AG10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74</v>
      </c>
      <c r="AH10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12</v>
      </c>
      <c r="AI10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0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0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0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0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0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0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518</v>
      </c>
      <c r="AP10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32</v>
      </c>
      <c r="AQ10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23</v>
      </c>
      <c r="AR10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16</v>
      </c>
      <c r="AS10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0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89</v>
      </c>
      <c r="AU10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25</v>
      </c>
      <c r="AV10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45</v>
      </c>
      <c r="AW10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305</v>
      </c>
      <c r="AX10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50</v>
      </c>
      <c r="AY10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65</v>
      </c>
      <c r="AZ10" s="17">
        <v>93</v>
      </c>
      <c r="BA10" s="17">
        <v>5</v>
      </c>
      <c r="BB10" s="17">
        <v>27</v>
      </c>
      <c r="CJ10" s="17">
        <v>90</v>
      </c>
      <c r="CK10" s="17" t="s">
        <v>1176</v>
      </c>
      <c r="CM10" s="182">
        <v>3</v>
      </c>
      <c r="CN10" s="183" t="s">
        <v>1075</v>
      </c>
      <c r="CO10" s="182">
        <v>1</v>
      </c>
      <c r="CP10" s="183" t="s">
        <v>1076</v>
      </c>
      <c r="CQ10" s="182">
        <v>91</v>
      </c>
      <c r="CR10" s="183" t="s">
        <v>1077</v>
      </c>
      <c r="CS10" s="182">
        <v>64</v>
      </c>
      <c r="CT10" s="183" t="s">
        <v>1078</v>
      </c>
      <c r="CU10" s="183"/>
      <c r="CV10" s="183"/>
      <c r="CW10" s="182">
        <v>24</v>
      </c>
      <c r="CX10" s="183" t="s">
        <v>1079</v>
      </c>
    </row>
    <row r="11" spans="1:103" ht="22.5" customHeight="1" x14ac:dyDescent="0.3">
      <c r="B11" s="17">
        <v>6</v>
      </c>
      <c r="C11" s="17">
        <v>6</v>
      </c>
      <c r="D11" s="17">
        <v>6</v>
      </c>
      <c r="E11" s="17">
        <v>6</v>
      </c>
      <c r="F11" s="17" t="str">
        <f ca="1">IFERROR(IF(MAX('SORT IMPORT'!$A$13:$A$408)&gt;ROW()-ROW($A$5)-1,INDEX( PRODUKTE,  VLOOKUP(ROW()-ROW($A$5),zeilenindizes,2)+INDEX(prodRowOffset,F$3),  MATCH(F$2,OFFSET(INDEXNAMEN,F$3,0),0)),""),"")</f>
        <v>TS 92 RF XEA EN 1-4</v>
      </c>
      <c r="G11" s="17" t="str">
        <f ca="1">IFERROR(IF(MAX('SORT IMPORT'!$A$13:$A$408)&gt;ROW()-ROW($A$5)-1,INDEX( PRODUKTE,  VLOOKUP(ROW()-ROW($A$5),zeilenindizes,2)+INDEX(prodRowOffset,G$3),  MATCH(G$2,OFFSET(INDEXNAMEN,G$3,0),0)),""),"")</f>
        <v>X</v>
      </c>
      <c r="H11" s="17" t="str">
        <f ca="1">IFERROR(IF(MAX('SORT IMPORT'!$A$13:$A$408)&gt;ROW()-ROW($A$5)-1,INDEX( PRODUKTE,  VLOOKUP(ROW()-ROW($A$5),zeilenindizes,2)+INDEX(prodRowOffset,H$3),  MATCH(H$2,OFFSET(INDEXNAMEN,H$3,0),0)),""),"")</f>
        <v>92 B</v>
      </c>
      <c r="I11" s="17" t="str">
        <f ca="1">IFERROR(IF(MAX('SORT IMPORT'!$A$13:$A$408)&gt;ROW()-ROW($A$5)-1,INDEX( PRODUKTE,  VLOOKUP(ROW()-ROW($A$5),zeilenindizes,2)+INDEX(prodRowOffset,I$3),  MATCH(I$2,OFFSET(INDEXNAMEN,I$3,0),0)),""),"")</f>
        <v/>
      </c>
      <c r="J11" s="17" t="str">
        <f ca="1">IFERROR(IF(MAX('SORT IMPORT'!$A$13:$A$408)&gt;ROW()-ROW($A$5)-1,INDEX( PRODUKTE,  VLOOKUP(ROW()-ROW($A$5),zeilenindizes,2)+INDEX(prodRowOffset,J$3),  MATCH(J$2,OFFSET(INDEXNAMEN,J$3,0),0)),""),"")</f>
        <v>M</v>
      </c>
      <c r="K11" s="17">
        <f ca="1">IFERROR(IF(MAX('SORT IMPORT'!$A$13:$A$408)&gt;ROW()-ROW($A$5)-1,INDEX( PRODUKTE,  VLOOKUP(ROW()-ROW($A$5),zeilenindizes,2)+INDEX(prodRowOffset,K$3),  MATCH(K$2,OFFSET(INDEXNAMEN,K$3,0),0)),""),"")</f>
        <v>3</v>
      </c>
      <c r="L11" s="17">
        <f ca="1">IFERROR(IF(MAX('SORT IMPORT'!$A$13:$A$408)&gt;ROW()-ROW($A$5)-1,INDEX( PRODUKTE,  VLOOKUP(ROW()-ROW($A$5),zeilenindizes,2)+INDEX(prodRowOffset,L$3),  MATCH(L$2,OFFSET(INDEXNAMEN,L$3,0),0)),""),"")</f>
        <v>2</v>
      </c>
      <c r="M11" s="17">
        <f ca="1">IFERROR(IF(MAX('SORT IMPORT'!$A$13:$A$408)&gt;ROW()-ROW($A$5)-1,INDEX( PRODUKTE,  VLOOKUP(ROW()-ROW($A$5),zeilenindizes,2)+INDEX(prodRowOffset,M$3),  MATCH(M$2,OFFSET(INDEXNAMEN,M$3,0),0)),""),"")</f>
        <v>15</v>
      </c>
      <c r="N11" s="17">
        <f ca="1">IFERROR(IF(MAX('SORT IMPORT'!$A$13:$A$408)&gt;ROW()-ROW($A$5)-1,INDEX( PRODUKTE,  VLOOKUP(ROW()-ROW($A$5),zeilenindizes,2)+INDEX(prodRowOffset,N$3),  MATCH(N$2,OFFSET(INDEXNAMEN,N$3,0),0)),""),"")</f>
        <v>1</v>
      </c>
      <c r="O11" s="17">
        <f ca="1">IFERROR(IF(MAX('SORT IMPORT'!$A$13:$A$408)&gt;ROW()-ROW($A$5)-1,INDEX( PRODUKTE,  VLOOKUP(ROW()-ROW($A$5),zeilenindizes,2)+INDEX(prodRowOffset,O$3),  MATCH(O$2,OFFSET(INDEXNAMEN,O$3,0),0)),""),"")</f>
        <v>0</v>
      </c>
      <c r="P11" s="17">
        <f ca="1">IFERROR(IF(MAX('SORT IMPORT'!$A$13:$A$408)&gt;ROW()-ROW($A$5)-1,INDEX( PRODUKTE,  VLOOKUP(ROW()-ROW($A$5),zeilenindizes,2)+INDEX(prodRowOffset,P$3),  MATCH(P$2,OFFSET(INDEXNAMEN,P$3,0),0)),""),"")</f>
        <v>0</v>
      </c>
      <c r="Q11" s="17">
        <f ca="1">IFERROR(IF(MAX('SORT IMPORT'!$A$13:$A$408)&gt;ROW()-ROW($A$5)-1,INDEX( PRODUKTE,  VLOOKUP(ROW()-ROW($A$5),zeilenindizes,2)+INDEX(prodRowOffset,Q$3),  MATCH(Q$2,OFFSET(INDEXNAMEN,Q$3,0),0)),""),"")</f>
        <v>0</v>
      </c>
      <c r="R11" s="17">
        <f ca="1">IFERROR(IF(MAX('SORT IMPORT'!$A$13:$A$408)&gt;ROW()-ROW($A$5)-1,INDEX( PRODUKTE,  VLOOKUP(ROW()-ROW($A$5),zeilenindizes,2)+INDEX(prodRowOffset,R$3),  MATCH(R$2,OFFSET(INDEXNAMEN,R$3,0),0)),""),"")</f>
        <v>1</v>
      </c>
      <c r="S11" s="17">
        <f ca="1">IFERROR(IF(MAX('SORT IMPORT'!$A$13:$A$408)&gt;ROW()-ROW($A$5)-1,INDEX( PRODUKTE,  VLOOKUP(ROW()-ROW($A$5),zeilenindizes,2)+INDEX(prodRowOffset,S$3),  MATCH(S$2,OFFSET(INDEXNAMEN,S$3,0),0)),""),"")</f>
        <v>0</v>
      </c>
      <c r="T11" s="17">
        <f ca="1">IFERROR(IF(MAX('SORT IMPORT'!$A$13:$A$408)&gt;ROW()-ROW($A$5)-1,INDEX( PRODUKTE,  VLOOKUP(ROW()-ROW($A$5),zeilenindizes,2)+INDEX(prodRowOffset,T$3),  MATCH(T$2,OFFSET(INDEXNAMEN,T$3,0),0)),""),"")</f>
        <v>0</v>
      </c>
      <c r="U11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74</v>
      </c>
      <c r="V11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11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74</v>
      </c>
      <c r="X11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4</v>
      </c>
      <c r="Y11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1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1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1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1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1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1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74</v>
      </c>
      <c r="AF11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12</v>
      </c>
      <c r="AG11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74</v>
      </c>
      <c r="AH11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12</v>
      </c>
      <c r="AI11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1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1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1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1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1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1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518</v>
      </c>
      <c r="AP11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32</v>
      </c>
      <c r="AQ11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23</v>
      </c>
      <c r="AR11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16</v>
      </c>
      <c r="AS11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1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101</v>
      </c>
      <c r="AU11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25</v>
      </c>
      <c r="AV11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45</v>
      </c>
      <c r="AW11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305</v>
      </c>
      <c r="AX11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50</v>
      </c>
      <c r="AY11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65</v>
      </c>
      <c r="AZ11" s="17">
        <v>93</v>
      </c>
      <c r="BA11" s="17">
        <v>1</v>
      </c>
      <c r="BB11" s="17">
        <v>16</v>
      </c>
      <c r="CJ11" s="17">
        <v>0</v>
      </c>
      <c r="CK11" s="17" t="s">
        <v>1177</v>
      </c>
      <c r="CM11" s="182">
        <v>100</v>
      </c>
      <c r="CN11" s="183" t="s">
        <v>1080</v>
      </c>
      <c r="CO11" s="182">
        <v>1</v>
      </c>
      <c r="CP11" s="183" t="s">
        <v>1081</v>
      </c>
      <c r="CQ11" s="182">
        <v>91</v>
      </c>
      <c r="CR11" s="183" t="s">
        <v>1082</v>
      </c>
      <c r="CS11" s="182">
        <v>64</v>
      </c>
      <c r="CT11" s="183" t="s">
        <v>1083</v>
      </c>
      <c r="CU11" s="183"/>
      <c r="CV11" s="183"/>
      <c r="CW11" s="182">
        <v>24</v>
      </c>
      <c r="CX11" s="183" t="s">
        <v>1084</v>
      </c>
    </row>
    <row r="12" spans="1:103" ht="22.5" customHeight="1" x14ac:dyDescent="0.3">
      <c r="B12" s="17">
        <v>7</v>
      </c>
      <c r="C12" s="17">
        <v>7</v>
      </c>
      <c r="D12" s="17">
        <v>7</v>
      </c>
      <c r="E12" s="17">
        <v>7</v>
      </c>
      <c r="F12" s="17" t="str">
        <f ca="1">IFERROR(IF(MAX('SORT IMPORT'!$A$13:$A$408)&gt;ROW()-ROW($A$5)-1,INDEX( PRODUKTE,  VLOOKUP(ROW()-ROW($A$5),zeilenindizes,2)+INDEX(prodRowOffset,F$3),  MATCH(F$2,OFFSET(INDEXNAMEN,F$3,0),0)),""),"")</f>
        <v>TS 92 EN 1-4</v>
      </c>
      <c r="G12" s="17" t="str">
        <f ca="1">IFERROR(IF(MAX('SORT IMPORT'!$A$13:$A$408)&gt;ROW()-ROW($A$5)-1,INDEX( PRODUKTE,  VLOOKUP(ROW()-ROW($A$5),zeilenindizes,2)+INDEX(prodRowOffset,G$3),  MATCH(G$2,OFFSET(INDEXNAMEN,G$3,0),0)),""),"")</f>
        <v>G</v>
      </c>
      <c r="H12" s="17" t="str">
        <f ca="1">IFERROR(IF(MAX('SORT IMPORT'!$A$13:$A$408)&gt;ROW()-ROW($A$5)-1,INDEX( PRODUKTE,  VLOOKUP(ROW()-ROW($A$5),zeilenindizes,2)+INDEX(prodRowOffset,H$3),  MATCH(H$2,OFFSET(INDEXNAMEN,H$3,0),0)),""),"")</f>
        <v>92 B</v>
      </c>
      <c r="I12" s="17" t="str">
        <f ca="1">IFERROR(IF(MAX('SORT IMPORT'!$A$13:$A$408)&gt;ROW()-ROW($A$5)-1,INDEX( PRODUKTE,  VLOOKUP(ROW()-ROW($A$5),zeilenindizes,2)+INDEX(prodRowOffset,I$3),  MATCH(I$2,OFFSET(INDEXNAMEN,I$3,0),0)),""),"")</f>
        <v/>
      </c>
      <c r="J12" s="17" t="str">
        <f ca="1">IFERROR(IF(MAX('SORT IMPORT'!$A$13:$A$408)&gt;ROW()-ROW($A$5)-1,INDEX( PRODUKTE,  VLOOKUP(ROW()-ROW($A$5),zeilenindizes,2)+INDEX(prodRowOffset,J$3),  MATCH(J$2,OFFSET(INDEXNAMEN,J$3,0),0)),""),"")</f>
        <v/>
      </c>
      <c r="K12" s="17">
        <f ca="1">IFERROR(IF(MAX('SORT IMPORT'!$A$13:$A$408)&gt;ROW()-ROW($A$5)-1,INDEX( PRODUKTE,  VLOOKUP(ROW()-ROW($A$5),zeilenindizes,2)+INDEX(prodRowOffset,K$3),  MATCH(K$2,OFFSET(INDEXNAMEN,K$3,0),0)),""),"")</f>
        <v>3</v>
      </c>
      <c r="L12" s="17">
        <f ca="1">IFERROR(IF(MAX('SORT IMPORT'!$A$13:$A$408)&gt;ROW()-ROW($A$5)-1,INDEX( PRODUKTE,  VLOOKUP(ROW()-ROW($A$5),zeilenindizes,2)+INDEX(prodRowOffset,L$3),  MATCH(L$2,OFFSET(INDEXNAMEN,L$3,0),0)),""),"")</f>
        <v>1</v>
      </c>
      <c r="M12" s="17">
        <f ca="1">IFERROR(IF(MAX('SORT IMPORT'!$A$13:$A$408)&gt;ROW()-ROW($A$5)-1,INDEX( PRODUKTE,  VLOOKUP(ROW()-ROW($A$5),zeilenindizes,2)+INDEX(prodRowOffset,M$3),  MATCH(M$2,OFFSET(INDEXNAMEN,M$3,0),0)),""),"")</f>
        <v>15</v>
      </c>
      <c r="N12" s="17">
        <f ca="1">IFERROR(IF(MAX('SORT IMPORT'!$A$13:$A$408)&gt;ROW()-ROW($A$5)-1,INDEX( PRODUKTE,  VLOOKUP(ROW()-ROW($A$5),zeilenindizes,2)+INDEX(prodRowOffset,N$3),  MATCH(N$2,OFFSET(INDEXNAMEN,N$3,0),0)),""),"")</f>
        <v>1</v>
      </c>
      <c r="O12" s="17">
        <f ca="1">IFERROR(IF(MAX('SORT IMPORT'!$A$13:$A$408)&gt;ROW()-ROW($A$5)-1,INDEX( PRODUKTE,  VLOOKUP(ROW()-ROW($A$5),zeilenindizes,2)+INDEX(prodRowOffset,O$3),  MATCH(O$2,OFFSET(INDEXNAMEN,O$3,0),0)),""),"")</f>
        <v>0</v>
      </c>
      <c r="P12" s="17">
        <f ca="1">IFERROR(IF(MAX('SORT IMPORT'!$A$13:$A$408)&gt;ROW()-ROW($A$5)-1,INDEX( PRODUKTE,  VLOOKUP(ROW()-ROW($A$5),zeilenindizes,2)+INDEX(prodRowOffset,P$3),  MATCH(P$2,OFFSET(INDEXNAMEN,P$3,0),0)),""),"")</f>
        <v>0</v>
      </c>
      <c r="Q12" s="17">
        <f ca="1">IFERROR(IF(MAX('SORT IMPORT'!$A$13:$A$408)&gt;ROW()-ROW($A$5)-1,INDEX( PRODUKTE,  VLOOKUP(ROW()-ROW($A$5),zeilenindizes,2)+INDEX(prodRowOffset,Q$3),  MATCH(Q$2,OFFSET(INDEXNAMEN,Q$3,0),0)),""),"")</f>
        <v>1</v>
      </c>
      <c r="R12" s="17">
        <f ca="1">IFERROR(IF(MAX('SORT IMPORT'!$A$13:$A$408)&gt;ROW()-ROW($A$5)-1,INDEX( PRODUKTE,  VLOOKUP(ROW()-ROW($A$5),zeilenindizes,2)+INDEX(prodRowOffset,R$3),  MATCH(R$2,OFFSET(INDEXNAMEN,R$3,0),0)),""),"")</f>
        <v>1</v>
      </c>
      <c r="S12" s="17">
        <f ca="1">IFERROR(IF(MAX('SORT IMPORT'!$A$13:$A$408)&gt;ROW()-ROW($A$5)-1,INDEX( PRODUKTE,  VLOOKUP(ROW()-ROW($A$5),zeilenindizes,2)+INDEX(prodRowOffset,S$3),  MATCH(S$2,OFFSET(INDEXNAMEN,S$3,0),0)),""),"")</f>
        <v>0</v>
      </c>
      <c r="T12" s="17">
        <f ca="1">IFERROR(IF(MAX('SORT IMPORT'!$A$13:$A$408)&gt;ROW()-ROW($A$5)-1,INDEX( PRODUKTE,  VLOOKUP(ROW()-ROW($A$5),zeilenindizes,2)+INDEX(prodRowOffset,T$3),  MATCH(T$2,OFFSET(INDEXNAMEN,T$3,0),0)),""),"")</f>
        <v>0</v>
      </c>
      <c r="U12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74</v>
      </c>
      <c r="V12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12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86</v>
      </c>
      <c r="X12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4</v>
      </c>
      <c r="Y12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2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2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2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2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2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2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143</v>
      </c>
      <c r="AF12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16</v>
      </c>
      <c r="AG12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143</v>
      </c>
      <c r="AH12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16</v>
      </c>
      <c r="AI12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2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2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2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2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2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2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442</v>
      </c>
      <c r="AP12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12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23</v>
      </c>
      <c r="AR12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16</v>
      </c>
      <c r="AS12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2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101</v>
      </c>
      <c r="AU12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25</v>
      </c>
      <c r="AV12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46</v>
      </c>
      <c r="AW12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281</v>
      </c>
      <c r="AX12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47</v>
      </c>
      <c r="AY12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65</v>
      </c>
      <c r="AZ12" s="17">
        <v>93</v>
      </c>
      <c r="BA12" s="17">
        <v>2</v>
      </c>
      <c r="BB12" s="17">
        <v>30</v>
      </c>
      <c r="CM12" s="182">
        <v>96</v>
      </c>
      <c r="CN12" s="183" t="s">
        <v>1167</v>
      </c>
      <c r="CO12" s="182">
        <v>1</v>
      </c>
      <c r="CP12" s="183" t="s">
        <v>1085</v>
      </c>
      <c r="CQ12" s="182">
        <v>91</v>
      </c>
      <c r="CR12" s="183" t="s">
        <v>1086</v>
      </c>
      <c r="CS12" s="182">
        <v>64</v>
      </c>
      <c r="CT12" s="183" t="s">
        <v>1087</v>
      </c>
      <c r="CU12" s="183"/>
      <c r="CV12" s="183"/>
      <c r="CW12" s="182">
        <v>24</v>
      </c>
      <c r="CX12" s="183" t="s">
        <v>1088</v>
      </c>
    </row>
    <row r="13" spans="1:103" ht="22.5" customHeight="1" x14ac:dyDescent="0.3">
      <c r="F13" s="17" t="str">
        <f ca="1">IFERROR(IF(MAX('SORT IMPORT'!$A$13:$A$408)&gt;ROW()-ROW($A$5)-1,INDEX( PRODUKTE,  VLOOKUP(ROW()-ROW($A$5),zeilenindizes,2)+INDEX(prodRowOffset,F$3),  MATCH(F$2,OFFSET(INDEXNAMEN,F$3,0),0)),""),"")</f>
        <v>TS 92 RF EN 1-4</v>
      </c>
      <c r="G13" s="17" t="str">
        <f ca="1">IFERROR(IF(MAX('SORT IMPORT'!$A$13:$A$408)&gt;ROW()-ROW($A$5)-1,INDEX( PRODUKTE,  VLOOKUP(ROW()-ROW($A$5),zeilenindizes,2)+INDEX(prodRowOffset,G$3),  MATCH(G$2,OFFSET(INDEXNAMEN,G$3,0),0)),""),"")</f>
        <v>G</v>
      </c>
      <c r="H13" s="17" t="str">
        <f ca="1">IFERROR(IF(MAX('SORT IMPORT'!$A$13:$A$408)&gt;ROW()-ROW($A$5)-1,INDEX( PRODUKTE,  VLOOKUP(ROW()-ROW($A$5),zeilenindizes,2)+INDEX(prodRowOffset,H$3),  MATCH(H$2,OFFSET(INDEXNAMEN,H$3,0),0)),""),"")</f>
        <v>92 B</v>
      </c>
      <c r="I13" s="17" t="str">
        <f ca="1">IFERROR(IF(MAX('SORT IMPORT'!$A$13:$A$408)&gt;ROW()-ROW($A$5)-1,INDEX( PRODUKTE,  VLOOKUP(ROW()-ROW($A$5),zeilenindizes,2)+INDEX(prodRowOffset,I$3),  MATCH(I$2,OFFSET(INDEXNAMEN,I$3,0),0)),""),"")</f>
        <v/>
      </c>
      <c r="J13" s="17" t="str">
        <f ca="1">IFERROR(IF(MAX('SORT IMPORT'!$A$13:$A$408)&gt;ROW()-ROW($A$5)-1,INDEX( PRODUKTE,  VLOOKUP(ROW()-ROW($A$5),zeilenindizes,2)+INDEX(prodRowOffset,J$3),  MATCH(J$2,OFFSET(INDEXNAMEN,J$3,0),0)),""),"")</f>
        <v>M</v>
      </c>
      <c r="K13" s="17">
        <f ca="1">IFERROR(IF(MAX('SORT IMPORT'!$A$13:$A$408)&gt;ROW()-ROW($A$5)-1,INDEX( PRODUKTE,  VLOOKUP(ROW()-ROW($A$5),zeilenindizes,2)+INDEX(prodRowOffset,K$3),  MATCH(K$2,OFFSET(INDEXNAMEN,K$3,0),0)),""),"")</f>
        <v>3</v>
      </c>
      <c r="L13" s="17">
        <f ca="1">IFERROR(IF(MAX('SORT IMPORT'!$A$13:$A$408)&gt;ROW()-ROW($A$5)-1,INDEX( PRODUKTE,  VLOOKUP(ROW()-ROW($A$5),zeilenindizes,2)+INDEX(prodRowOffset,L$3),  MATCH(L$2,OFFSET(INDEXNAMEN,L$3,0),0)),""),"")</f>
        <v>2</v>
      </c>
      <c r="M13" s="17">
        <f ca="1">IFERROR(IF(MAX('SORT IMPORT'!$A$13:$A$408)&gt;ROW()-ROW($A$5)-1,INDEX( PRODUKTE,  VLOOKUP(ROW()-ROW($A$5),zeilenindizes,2)+INDEX(prodRowOffset,M$3),  MATCH(M$2,OFFSET(INDEXNAMEN,M$3,0),0)),""),"")</f>
        <v>15</v>
      </c>
      <c r="N13" s="17">
        <f ca="1">IFERROR(IF(MAX('SORT IMPORT'!$A$13:$A$408)&gt;ROW()-ROW($A$5)-1,INDEX( PRODUKTE,  VLOOKUP(ROW()-ROW($A$5),zeilenindizes,2)+INDEX(prodRowOffset,N$3),  MATCH(N$2,OFFSET(INDEXNAMEN,N$3,0),0)),""),"")</f>
        <v>1</v>
      </c>
      <c r="O13" s="17">
        <f ca="1">IFERROR(IF(MAX('SORT IMPORT'!$A$13:$A$408)&gt;ROW()-ROW($A$5)-1,INDEX( PRODUKTE,  VLOOKUP(ROW()-ROW($A$5),zeilenindizes,2)+INDEX(prodRowOffset,O$3),  MATCH(O$2,OFFSET(INDEXNAMEN,O$3,0),0)),""),"")</f>
        <v>0</v>
      </c>
      <c r="P13" s="17">
        <f ca="1">IFERROR(IF(MAX('SORT IMPORT'!$A$13:$A$408)&gt;ROW()-ROW($A$5)-1,INDEX( PRODUKTE,  VLOOKUP(ROW()-ROW($A$5),zeilenindizes,2)+INDEX(prodRowOffset,P$3),  MATCH(P$2,OFFSET(INDEXNAMEN,P$3,0),0)),""),"")</f>
        <v>0</v>
      </c>
      <c r="Q13" s="17">
        <f ca="1">IFERROR(IF(MAX('SORT IMPORT'!$A$13:$A$408)&gt;ROW()-ROW($A$5)-1,INDEX( PRODUKTE,  VLOOKUP(ROW()-ROW($A$5),zeilenindizes,2)+INDEX(prodRowOffset,Q$3),  MATCH(Q$2,OFFSET(INDEXNAMEN,Q$3,0),0)),""),"")</f>
        <v>0</v>
      </c>
      <c r="R13" s="17">
        <f ca="1">IFERROR(IF(MAX('SORT IMPORT'!$A$13:$A$408)&gt;ROW()-ROW($A$5)-1,INDEX( PRODUKTE,  VLOOKUP(ROW()-ROW($A$5),zeilenindizes,2)+INDEX(prodRowOffset,R$3),  MATCH(R$2,OFFSET(INDEXNAMEN,R$3,0),0)),""),"")</f>
        <v>1</v>
      </c>
      <c r="S13" s="17">
        <f ca="1">IFERROR(IF(MAX('SORT IMPORT'!$A$13:$A$408)&gt;ROW()-ROW($A$5)-1,INDEX( PRODUKTE,  VLOOKUP(ROW()-ROW($A$5),zeilenindizes,2)+INDEX(prodRowOffset,S$3),  MATCH(S$2,OFFSET(INDEXNAMEN,S$3,0),0)),""),"")</f>
        <v>0</v>
      </c>
      <c r="T13" s="17">
        <f ca="1">IFERROR(IF(MAX('SORT IMPORT'!$A$13:$A$408)&gt;ROW()-ROW($A$5)-1,INDEX( PRODUKTE,  VLOOKUP(ROW()-ROW($A$5),zeilenindizes,2)+INDEX(prodRowOffset,T$3),  MATCH(T$2,OFFSET(INDEXNAMEN,T$3,0),0)),""),"")</f>
        <v>0</v>
      </c>
      <c r="U13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86</v>
      </c>
      <c r="V13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13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86</v>
      </c>
      <c r="X13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4</v>
      </c>
      <c r="Y13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3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3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3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3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3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3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143</v>
      </c>
      <c r="AF13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16</v>
      </c>
      <c r="AG13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143</v>
      </c>
      <c r="AH13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16</v>
      </c>
      <c r="AI13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3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3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3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3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3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3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442</v>
      </c>
      <c r="AP13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13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23</v>
      </c>
      <c r="AR13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16</v>
      </c>
      <c r="AS13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3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89</v>
      </c>
      <c r="AU13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25</v>
      </c>
      <c r="AV13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60</v>
      </c>
      <c r="AW13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281</v>
      </c>
      <c r="AX13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47</v>
      </c>
      <c r="AY13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65</v>
      </c>
      <c r="AZ13" s="17">
        <v>93</v>
      </c>
      <c r="BA13" s="17">
        <v>3</v>
      </c>
      <c r="BB13" s="17">
        <v>3</v>
      </c>
      <c r="CM13" s="182">
        <v>96</v>
      </c>
      <c r="CN13" s="183" t="s">
        <v>1169</v>
      </c>
      <c r="CO13" s="182">
        <v>1</v>
      </c>
      <c r="CP13" s="183" t="s">
        <v>1089</v>
      </c>
      <c r="CQ13" s="182">
        <v>91</v>
      </c>
      <c r="CR13" s="183" t="s">
        <v>1090</v>
      </c>
      <c r="CS13" s="182">
        <v>64</v>
      </c>
      <c r="CT13" s="183" t="s">
        <v>1091</v>
      </c>
      <c r="CU13" s="183"/>
      <c r="CV13" s="183"/>
      <c r="CW13" s="182">
        <v>24</v>
      </c>
      <c r="CX13" s="183" t="s">
        <v>1092</v>
      </c>
    </row>
    <row r="14" spans="1:103" ht="22.5" customHeight="1" x14ac:dyDescent="0.3">
      <c r="F14" s="17" t="str">
        <f ca="1">IFERROR(IF(MAX('SORT IMPORT'!$A$13:$A$408)&gt;ROW()-ROW($A$5)-1,INDEX( PRODUKTE,  VLOOKUP(ROW()-ROW($A$5),zeilenindizes,2)+INDEX(prodRowOffset,F$3),  MATCH(F$2,OFFSET(INDEXNAMEN,F$3,0),0)),""),"")</f>
        <v>TS 92 GSR EN 1-4</v>
      </c>
      <c r="G14" s="17" t="str">
        <f ca="1">IFERROR(IF(MAX('SORT IMPORT'!$A$13:$A$408)&gt;ROW()-ROW($A$5)-1,INDEX( PRODUKTE,  VLOOKUP(ROW()-ROW($A$5),zeilenindizes,2)+INDEX(prodRowOffset,G$3),  MATCH(G$2,OFFSET(INDEXNAMEN,G$3,0),0)),""),"")</f>
        <v>G</v>
      </c>
      <c r="H14" s="17" t="str">
        <f ca="1">IFERROR(IF(MAX('SORT IMPORT'!$A$13:$A$408)&gt;ROW()-ROW($A$5)-1,INDEX( PRODUKTE,  VLOOKUP(ROW()-ROW($A$5),zeilenindizes,2)+INDEX(prodRowOffset,H$3),  MATCH(H$2,OFFSET(INDEXNAMEN,H$3,0),0)),""),"")</f>
        <v>92 B</v>
      </c>
      <c r="I14" s="17" t="str">
        <f ca="1">IFERROR(IF(MAX('SORT IMPORT'!$A$13:$A$408)&gt;ROW()-ROW($A$5)-1,INDEX( PRODUKTE,  VLOOKUP(ROW()-ROW($A$5),zeilenindizes,2)+INDEX(prodRowOffset,I$3),  MATCH(I$2,OFFSET(INDEXNAMEN,I$3,0),0)),""),"")</f>
        <v>V</v>
      </c>
      <c r="J14" s="17" t="str">
        <f ca="1">IFERROR(IF(MAX('SORT IMPORT'!$A$13:$A$408)&gt;ROW()-ROW($A$5)-1,INDEX( PRODUKTE,  VLOOKUP(ROW()-ROW($A$5),zeilenindizes,2)+INDEX(prodRowOffset,J$3),  MATCH(J$2,OFFSET(INDEXNAMEN,J$3,0),0)),""),"")</f>
        <v/>
      </c>
      <c r="K14" s="17">
        <f ca="1">IFERROR(IF(MAX('SORT IMPORT'!$A$13:$A$408)&gt;ROW()-ROW($A$5)-1,INDEX( PRODUKTE,  VLOOKUP(ROW()-ROW($A$5),zeilenindizes,2)+INDEX(prodRowOffset,K$3),  MATCH(K$2,OFFSET(INDEXNAMEN,K$3,0),0)),""),"")</f>
        <v>1</v>
      </c>
      <c r="L14" s="17">
        <f ca="1">IFERROR(IF(MAX('SORT IMPORT'!$A$13:$A$408)&gt;ROW()-ROW($A$5)-1,INDEX( PRODUKTE,  VLOOKUP(ROW()-ROW($A$5),zeilenindizes,2)+INDEX(prodRowOffset,L$3),  MATCH(L$2,OFFSET(INDEXNAMEN,L$3,0),0)),""),"")</f>
        <v>16</v>
      </c>
      <c r="M14" s="17">
        <f ca="1">IFERROR(IF(MAX('SORT IMPORT'!$A$13:$A$408)&gt;ROW()-ROW($A$5)-1,INDEX( PRODUKTE,  VLOOKUP(ROW()-ROW($A$5),zeilenindizes,2)+INDEX(prodRowOffset,M$3),  MATCH(M$2,OFFSET(INDEXNAMEN,M$3,0),0)),""),"")</f>
        <v>15</v>
      </c>
      <c r="N14" s="17">
        <f ca="1">IFERROR(IF(MAX('SORT IMPORT'!$A$13:$A$408)&gt;ROW()-ROW($A$5)-1,INDEX( PRODUKTE,  VLOOKUP(ROW()-ROW($A$5),zeilenindizes,2)+INDEX(prodRowOffset,N$3),  MATCH(N$2,OFFSET(INDEXNAMEN,N$3,0),0)),""),"")</f>
        <v>2</v>
      </c>
      <c r="O14" s="17">
        <f ca="1">IFERROR(IF(MAX('SORT IMPORT'!$A$13:$A$408)&gt;ROW()-ROW($A$5)-1,INDEX( PRODUKTE,  VLOOKUP(ROW()-ROW($A$5),zeilenindizes,2)+INDEX(prodRowOffset,O$3),  MATCH(O$2,OFFSET(INDEXNAMEN,O$3,0),0)),""),"")</f>
        <v>0</v>
      </c>
      <c r="P14" s="17">
        <f ca="1">IFERROR(IF(MAX('SORT IMPORT'!$A$13:$A$408)&gt;ROW()-ROW($A$5)-1,INDEX( PRODUKTE,  VLOOKUP(ROW()-ROW($A$5),zeilenindizes,2)+INDEX(prodRowOffset,P$3),  MATCH(P$2,OFFSET(INDEXNAMEN,P$3,0),0)),""),"")</f>
        <v>0</v>
      </c>
      <c r="Q14" s="17">
        <f ca="1">IFERROR(IF(MAX('SORT IMPORT'!$A$13:$A$408)&gt;ROW()-ROW($A$5)-1,INDEX( PRODUKTE,  VLOOKUP(ROW()-ROW($A$5),zeilenindizes,2)+INDEX(prodRowOffset,Q$3),  MATCH(Q$2,OFFSET(INDEXNAMEN,Q$3,0),0)),""),"")</f>
        <v>1</v>
      </c>
      <c r="R14" s="17">
        <f ca="1">IFERROR(IF(MAX('SORT IMPORT'!$A$13:$A$408)&gt;ROW()-ROW($A$5)-1,INDEX( PRODUKTE,  VLOOKUP(ROW()-ROW($A$5),zeilenindizes,2)+INDEX(prodRowOffset,R$3),  MATCH(R$2,OFFSET(INDEXNAMEN,R$3,0),0)),""),"")</f>
        <v>1</v>
      </c>
      <c r="S14" s="17">
        <f ca="1">IFERROR(IF(MAX('SORT IMPORT'!$A$13:$A$408)&gt;ROW()-ROW($A$5)-1,INDEX( PRODUKTE,  VLOOKUP(ROW()-ROW($A$5),zeilenindizes,2)+INDEX(prodRowOffset,S$3),  MATCH(S$2,OFFSET(INDEXNAMEN,S$3,0),0)),""),"")</f>
        <v>0</v>
      </c>
      <c r="T14" s="17">
        <f ca="1">IFERROR(IF(MAX('SORT IMPORT'!$A$13:$A$408)&gt;ROW()-ROW($A$5)-1,INDEX( PRODUKTE,  VLOOKUP(ROW()-ROW($A$5),zeilenindizes,2)+INDEX(prodRowOffset,T$3),  MATCH(T$2,OFFSET(INDEXNAMEN,T$3,0),0)),""),"")</f>
        <v>0</v>
      </c>
      <c r="U14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86</v>
      </c>
      <c r="V14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14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4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4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4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4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4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4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4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4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84</v>
      </c>
      <c r="AF14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13</v>
      </c>
      <c r="AG14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4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4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4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4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4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4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4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4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14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34</v>
      </c>
      <c r="AQ14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14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17</v>
      </c>
      <c r="AS14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4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89</v>
      </c>
      <c r="AU14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25</v>
      </c>
      <c r="AV14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51</v>
      </c>
      <c r="AW14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281</v>
      </c>
      <c r="AX14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47</v>
      </c>
      <c r="AY14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65</v>
      </c>
      <c r="AZ14" s="17">
        <v>93</v>
      </c>
      <c r="BA14" s="17">
        <v>4</v>
      </c>
      <c r="BB14" s="17">
        <v>26</v>
      </c>
      <c r="CM14" s="182">
        <v>96</v>
      </c>
      <c r="CN14" s="183" t="s">
        <v>1168</v>
      </c>
      <c r="CO14" s="182">
        <v>1</v>
      </c>
      <c r="CP14" s="183" t="s">
        <v>1124</v>
      </c>
      <c r="CQ14" s="182">
        <v>91</v>
      </c>
      <c r="CR14" s="183" t="s">
        <v>1127</v>
      </c>
      <c r="CS14" s="182">
        <v>64</v>
      </c>
      <c r="CT14" s="183" t="s">
        <v>1132</v>
      </c>
      <c r="CU14" s="183"/>
      <c r="CV14" s="183"/>
      <c r="CW14" s="182">
        <v>24</v>
      </c>
      <c r="CX14" s="183" t="s">
        <v>1093</v>
      </c>
    </row>
    <row r="15" spans="1:103" ht="22.5" customHeight="1" x14ac:dyDescent="0.3">
      <c r="F15" s="17" t="str">
        <f ca="1">IFERROR(IF(MAX('SORT IMPORT'!$A$13:$A$408)&gt;ROW()-ROW($A$5)-1,INDEX( PRODUKTE,  VLOOKUP(ROW()-ROW($A$5),zeilenindizes,2)+INDEX(prodRowOffset,F$3),  MATCH(F$2,OFFSET(INDEXNAMEN,F$3,0),0)),""),"")</f>
        <v>TS 92 G XEA EN 1-4</v>
      </c>
      <c r="G15" s="17" t="str">
        <f ca="1">IFERROR(IF(MAX('SORT IMPORT'!$A$13:$A$408)&gt;ROW()-ROW($A$5)-1,INDEX( PRODUKTE,  VLOOKUP(ROW()-ROW($A$5),zeilenindizes,2)+INDEX(prodRowOffset,G$3),  MATCH(G$2,OFFSET(INDEXNAMEN,G$3,0),0)),""),"")</f>
        <v>X</v>
      </c>
      <c r="H15" s="17" t="str">
        <f ca="1">IFERROR(IF(MAX('SORT IMPORT'!$A$13:$A$408)&gt;ROW()-ROW($A$5)-1,INDEX( PRODUKTE,  VLOOKUP(ROW()-ROW($A$5),zeilenindizes,2)+INDEX(prodRowOffset,H$3),  MATCH(H$2,OFFSET(INDEXNAMEN,H$3,0),0)),""),"")</f>
        <v>92 G</v>
      </c>
      <c r="I15" s="17" t="str">
        <f ca="1">IFERROR(IF(MAX('SORT IMPORT'!$A$13:$A$408)&gt;ROW()-ROW($A$5)-1,INDEX( PRODUKTE,  VLOOKUP(ROW()-ROW($A$5),zeilenindizes,2)+INDEX(prodRowOffset,I$3),  MATCH(I$2,OFFSET(INDEXNAMEN,I$3,0),0)),""),"")</f>
        <v/>
      </c>
      <c r="J15" s="17" t="str">
        <f ca="1">IFERROR(IF(MAX('SORT IMPORT'!$A$13:$A$408)&gt;ROW()-ROW($A$5)-1,INDEX( PRODUKTE,  VLOOKUP(ROW()-ROW($A$5),zeilenindizes,2)+INDEX(prodRowOffset,J$3),  MATCH(J$2,OFFSET(INDEXNAMEN,J$3,0),0)),""),"")</f>
        <v/>
      </c>
      <c r="K15" s="17">
        <f ca="1">IFERROR(IF(MAX('SORT IMPORT'!$A$13:$A$408)&gt;ROW()-ROW($A$5)-1,INDEX( PRODUKTE,  VLOOKUP(ROW()-ROW($A$5),zeilenindizes,2)+INDEX(prodRowOffset,K$3),  MATCH(K$2,OFFSET(INDEXNAMEN,K$3,0),0)),""),"")</f>
        <v>12</v>
      </c>
      <c r="L15" s="17">
        <f ca="1">IFERROR(IF(MAX('SORT IMPORT'!$A$13:$A$408)&gt;ROW()-ROW($A$5)-1,INDEX( PRODUKTE,  VLOOKUP(ROW()-ROW($A$5),zeilenindizes,2)+INDEX(prodRowOffset,L$3),  MATCH(L$2,OFFSET(INDEXNAMEN,L$3,0),0)),""),"")</f>
        <v>1</v>
      </c>
      <c r="M15" s="17">
        <f ca="1">IFERROR(IF(MAX('SORT IMPORT'!$A$13:$A$408)&gt;ROW()-ROW($A$5)-1,INDEX( PRODUKTE,  VLOOKUP(ROW()-ROW($A$5),zeilenindizes,2)+INDEX(prodRowOffset,M$3),  MATCH(M$2,OFFSET(INDEXNAMEN,M$3,0),0)),""),"")</f>
        <v>15</v>
      </c>
      <c r="N15" s="17">
        <f ca="1">IFERROR(IF(MAX('SORT IMPORT'!$A$13:$A$408)&gt;ROW()-ROW($A$5)-1,INDEX( PRODUKTE,  VLOOKUP(ROW()-ROW($A$5),zeilenindizes,2)+INDEX(prodRowOffset,N$3),  MATCH(N$2,OFFSET(INDEXNAMEN,N$3,0),0)),""),"")</f>
        <v>1</v>
      </c>
      <c r="O15" s="17">
        <f ca="1">IFERROR(IF(MAX('SORT IMPORT'!$A$13:$A$408)&gt;ROW()-ROW($A$5)-1,INDEX( PRODUKTE,  VLOOKUP(ROW()-ROW($A$5),zeilenindizes,2)+INDEX(prodRowOffset,O$3),  MATCH(O$2,OFFSET(INDEXNAMEN,O$3,0),0)),""),"")</f>
        <v>0</v>
      </c>
      <c r="P15" s="17">
        <f ca="1">IFERROR(IF(MAX('SORT IMPORT'!$A$13:$A$408)&gt;ROW()-ROW($A$5)-1,INDEX( PRODUKTE,  VLOOKUP(ROW()-ROW($A$5),zeilenindizes,2)+INDEX(prodRowOffset,P$3),  MATCH(P$2,OFFSET(INDEXNAMEN,P$3,0),0)),""),"")</f>
        <v>0</v>
      </c>
      <c r="Q15" s="17">
        <f ca="1">IFERROR(IF(MAX('SORT IMPORT'!$A$13:$A$408)&gt;ROW()-ROW($A$5)-1,INDEX( PRODUKTE,  VLOOKUP(ROW()-ROW($A$5),zeilenindizes,2)+INDEX(prodRowOffset,Q$3),  MATCH(Q$2,OFFSET(INDEXNAMEN,Q$3,0),0)),""),"")</f>
        <v>1</v>
      </c>
      <c r="R15" s="17">
        <f ca="1">IFERROR(IF(MAX('SORT IMPORT'!$A$13:$A$408)&gt;ROW()-ROW($A$5)-1,INDEX( PRODUKTE,  VLOOKUP(ROW()-ROW($A$5),zeilenindizes,2)+INDEX(prodRowOffset,R$3),  MATCH(R$2,OFFSET(INDEXNAMEN,R$3,0),0)),""),"")</f>
        <v>1</v>
      </c>
      <c r="S15" s="17">
        <f ca="1">IFERROR(IF(MAX('SORT IMPORT'!$A$13:$A$408)&gt;ROW()-ROW($A$5)-1,INDEX( PRODUKTE,  VLOOKUP(ROW()-ROW($A$5),zeilenindizes,2)+INDEX(prodRowOffset,S$3),  MATCH(S$2,OFFSET(INDEXNAMEN,S$3,0),0)),""),"")</f>
        <v>0</v>
      </c>
      <c r="T15" s="17">
        <f ca="1">IFERROR(IF(MAX('SORT IMPORT'!$A$13:$A$408)&gt;ROW()-ROW($A$5)-1,INDEX( PRODUKTE,  VLOOKUP(ROW()-ROW($A$5),zeilenindizes,2)+INDEX(prodRowOffset,T$3),  MATCH(T$2,OFFSET(INDEXNAMEN,T$3,0),0)),""),"")</f>
        <v>0</v>
      </c>
      <c r="U15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15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15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5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5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74</v>
      </c>
      <c r="Z15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17</v>
      </c>
      <c r="AA15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74</v>
      </c>
      <c r="AB15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15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74</v>
      </c>
      <c r="AD15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15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15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5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5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5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74</v>
      </c>
      <c r="AJ15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5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74</v>
      </c>
      <c r="AL15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5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74</v>
      </c>
      <c r="AN15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9999</v>
      </c>
      <c r="AO15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537</v>
      </c>
      <c r="AP15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39</v>
      </c>
      <c r="AQ15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15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20</v>
      </c>
      <c r="AS15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5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101</v>
      </c>
      <c r="AU15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25</v>
      </c>
      <c r="AV15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45</v>
      </c>
      <c r="AW15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305</v>
      </c>
      <c r="AX15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50</v>
      </c>
      <c r="AY15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65</v>
      </c>
      <c r="AZ15" s="17">
        <v>93</v>
      </c>
      <c r="BA15" s="17">
        <v>5</v>
      </c>
      <c r="BB15" s="17">
        <v>27</v>
      </c>
      <c r="CM15" s="182">
        <v>2</v>
      </c>
      <c r="CN15" s="183" t="s">
        <v>1214</v>
      </c>
      <c r="CO15" s="182">
        <v>1</v>
      </c>
      <c r="CP15" s="183" t="s">
        <v>1125</v>
      </c>
      <c r="CQ15" s="182">
        <v>91</v>
      </c>
      <c r="CR15" s="183" t="s">
        <v>1128</v>
      </c>
      <c r="CS15" s="182">
        <v>64</v>
      </c>
      <c r="CT15" s="183" t="s">
        <v>1131</v>
      </c>
      <c r="CU15" s="183"/>
      <c r="CV15" s="183"/>
      <c r="CW15" s="182">
        <v>24</v>
      </c>
      <c r="CX15" s="183" t="s">
        <v>1094</v>
      </c>
    </row>
    <row r="16" spans="1:103" ht="22.5" customHeight="1" x14ac:dyDescent="0.3">
      <c r="F16" s="17" t="str">
        <f ca="1">IFERROR(IF(MAX('SORT IMPORT'!$A$13:$A$408)&gt;ROW()-ROW($A$5)-1,INDEX( PRODUKTE,  VLOOKUP(ROW()-ROW($A$5),zeilenindizes,2)+INDEX(prodRowOffset,F$3),  MATCH(F$2,OFFSET(INDEXNAMEN,F$3,0),0)),""),"")</f>
        <v>TS 92 G RF XEA EN 1-4</v>
      </c>
      <c r="G16" s="17" t="str">
        <f ca="1">IFERROR(IF(MAX('SORT IMPORT'!$A$13:$A$408)&gt;ROW()-ROW($A$5)-1,INDEX( PRODUKTE,  VLOOKUP(ROW()-ROW($A$5),zeilenindizes,2)+INDEX(prodRowOffset,G$3),  MATCH(G$2,OFFSET(INDEXNAMEN,G$3,0),0)),""),"")</f>
        <v>X</v>
      </c>
      <c r="H16" s="17" t="str">
        <f ca="1">IFERROR(IF(MAX('SORT IMPORT'!$A$13:$A$408)&gt;ROW()-ROW($A$5)-1,INDEX( PRODUKTE,  VLOOKUP(ROW()-ROW($A$5),zeilenindizes,2)+INDEX(prodRowOffset,H$3),  MATCH(H$2,OFFSET(INDEXNAMEN,H$3,0),0)),""),"")</f>
        <v>92 G</v>
      </c>
      <c r="I16" s="17" t="str">
        <f ca="1">IFERROR(IF(MAX('SORT IMPORT'!$A$13:$A$408)&gt;ROW()-ROW($A$5)-1,INDEX( PRODUKTE,  VLOOKUP(ROW()-ROW($A$5),zeilenindizes,2)+INDEX(prodRowOffset,I$3),  MATCH(I$2,OFFSET(INDEXNAMEN,I$3,0),0)),""),"")</f>
        <v/>
      </c>
      <c r="J16" s="17" t="str">
        <f ca="1">IFERROR(IF(MAX('SORT IMPORT'!$A$13:$A$408)&gt;ROW()-ROW($A$5)-1,INDEX( PRODUKTE,  VLOOKUP(ROW()-ROW($A$5),zeilenindizes,2)+INDEX(prodRowOffset,J$3),  MATCH(J$2,OFFSET(INDEXNAMEN,J$3,0),0)),""),"")</f>
        <v>M</v>
      </c>
      <c r="K16" s="17">
        <f ca="1">IFERROR(IF(MAX('SORT IMPORT'!$A$13:$A$408)&gt;ROW()-ROW($A$5)-1,INDEX( PRODUKTE,  VLOOKUP(ROW()-ROW($A$5),zeilenindizes,2)+INDEX(prodRowOffset,K$3),  MATCH(K$2,OFFSET(INDEXNAMEN,K$3,0),0)),""),"")</f>
        <v>12</v>
      </c>
      <c r="L16" s="17">
        <f ca="1">IFERROR(IF(MAX('SORT IMPORT'!$A$13:$A$408)&gt;ROW()-ROW($A$5)-1,INDEX( PRODUKTE,  VLOOKUP(ROW()-ROW($A$5),zeilenindizes,2)+INDEX(prodRowOffset,L$3),  MATCH(L$2,OFFSET(INDEXNAMEN,L$3,0),0)),""),"")</f>
        <v>2</v>
      </c>
      <c r="M16" s="17">
        <f ca="1">IFERROR(IF(MAX('SORT IMPORT'!$A$13:$A$408)&gt;ROW()-ROW($A$5)-1,INDEX( PRODUKTE,  VLOOKUP(ROW()-ROW($A$5),zeilenindizes,2)+INDEX(prodRowOffset,M$3),  MATCH(M$2,OFFSET(INDEXNAMEN,M$3,0),0)),""),"")</f>
        <v>15</v>
      </c>
      <c r="N16" s="17">
        <f ca="1">IFERROR(IF(MAX('SORT IMPORT'!$A$13:$A$408)&gt;ROW()-ROW($A$5)-1,INDEX( PRODUKTE,  VLOOKUP(ROW()-ROW($A$5),zeilenindizes,2)+INDEX(prodRowOffset,N$3),  MATCH(N$2,OFFSET(INDEXNAMEN,N$3,0),0)),""),"")</f>
        <v>1</v>
      </c>
      <c r="O16" s="17">
        <f ca="1">IFERROR(IF(MAX('SORT IMPORT'!$A$13:$A$408)&gt;ROW()-ROW($A$5)-1,INDEX( PRODUKTE,  VLOOKUP(ROW()-ROW($A$5),zeilenindizes,2)+INDEX(prodRowOffset,O$3),  MATCH(O$2,OFFSET(INDEXNAMEN,O$3,0),0)),""),"")</f>
        <v>0</v>
      </c>
      <c r="P16" s="17">
        <f ca="1">IFERROR(IF(MAX('SORT IMPORT'!$A$13:$A$408)&gt;ROW()-ROW($A$5)-1,INDEX( PRODUKTE,  VLOOKUP(ROW()-ROW($A$5),zeilenindizes,2)+INDEX(prodRowOffset,P$3),  MATCH(P$2,OFFSET(INDEXNAMEN,P$3,0),0)),""),"")</f>
        <v>0</v>
      </c>
      <c r="Q16" s="17">
        <f ca="1">IFERROR(IF(MAX('SORT IMPORT'!$A$13:$A$408)&gt;ROW()-ROW($A$5)-1,INDEX( PRODUKTE,  VLOOKUP(ROW()-ROW($A$5),zeilenindizes,2)+INDEX(prodRowOffset,Q$3),  MATCH(Q$2,OFFSET(INDEXNAMEN,Q$3,0),0)),""),"")</f>
        <v>0</v>
      </c>
      <c r="R16" s="17">
        <f ca="1">IFERROR(IF(MAX('SORT IMPORT'!$A$13:$A$408)&gt;ROW()-ROW($A$5)-1,INDEX( PRODUKTE,  VLOOKUP(ROW()-ROW($A$5),zeilenindizes,2)+INDEX(prodRowOffset,R$3),  MATCH(R$2,OFFSET(INDEXNAMEN,R$3,0),0)),""),"")</f>
        <v>1</v>
      </c>
      <c r="S16" s="17">
        <f ca="1">IFERROR(IF(MAX('SORT IMPORT'!$A$13:$A$408)&gt;ROW()-ROW($A$5)-1,INDEX( PRODUKTE,  VLOOKUP(ROW()-ROW($A$5),zeilenindizes,2)+INDEX(prodRowOffset,S$3),  MATCH(S$2,OFFSET(INDEXNAMEN,S$3,0),0)),""),"")</f>
        <v>0</v>
      </c>
      <c r="T16" s="17">
        <f ca="1">IFERROR(IF(MAX('SORT IMPORT'!$A$13:$A$408)&gt;ROW()-ROW($A$5)-1,INDEX( PRODUKTE,  VLOOKUP(ROW()-ROW($A$5),zeilenindizes,2)+INDEX(prodRowOffset,T$3),  MATCH(T$2,OFFSET(INDEXNAMEN,T$3,0),0)),""),"")</f>
        <v>0</v>
      </c>
      <c r="U16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16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16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6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6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74</v>
      </c>
      <c r="Z16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17</v>
      </c>
      <c r="AA16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74</v>
      </c>
      <c r="AB16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16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74</v>
      </c>
      <c r="AD16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16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16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6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6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6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74</v>
      </c>
      <c r="AJ16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6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74</v>
      </c>
      <c r="AL16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6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74</v>
      </c>
      <c r="AN16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9999</v>
      </c>
      <c r="AO16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518</v>
      </c>
      <c r="AP16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32</v>
      </c>
      <c r="AQ16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23</v>
      </c>
      <c r="AR16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16</v>
      </c>
      <c r="AS16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6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101</v>
      </c>
      <c r="AU16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25</v>
      </c>
      <c r="AV16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45</v>
      </c>
      <c r="AW16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305</v>
      </c>
      <c r="AX16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50</v>
      </c>
      <c r="AY16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65</v>
      </c>
      <c r="AZ16" s="17">
        <v>92</v>
      </c>
      <c r="BA16" s="17">
        <v>1</v>
      </c>
      <c r="BB16" s="17">
        <v>16</v>
      </c>
      <c r="CM16" s="182">
        <v>1</v>
      </c>
      <c r="CN16" s="183" t="s">
        <v>1822</v>
      </c>
      <c r="CO16" s="182">
        <v>1</v>
      </c>
      <c r="CP16" s="183" t="s">
        <v>1126</v>
      </c>
      <c r="CQ16" s="182">
        <v>91</v>
      </c>
      <c r="CR16" s="183" t="s">
        <v>1129</v>
      </c>
      <c r="CS16" s="182">
        <v>64</v>
      </c>
      <c r="CT16" s="183" t="s">
        <v>1130</v>
      </c>
      <c r="CU16" s="183"/>
      <c r="CV16" s="183"/>
      <c r="CW16" s="182">
        <v>62</v>
      </c>
      <c r="CX16" s="183" t="s">
        <v>1095</v>
      </c>
    </row>
    <row r="17" spans="6:102" ht="22.5" customHeight="1" x14ac:dyDescent="0.3">
      <c r="F17" s="17" t="str">
        <f ca="1">IFERROR(IF(MAX('SORT IMPORT'!$A$13:$A$408)&gt;ROW()-ROW($A$5)-1,INDEX( PRODUKTE,  VLOOKUP(ROW()-ROW($A$5),zeilenindizes,2)+INDEX(prodRowOffset,F$3),  MATCH(F$2,OFFSET(INDEXNAMEN,F$3,0),0)),""),"")</f>
        <v>TS 92 G EN 1-4</v>
      </c>
      <c r="G17" s="17" t="str">
        <f ca="1">IFERROR(IF(MAX('SORT IMPORT'!$A$13:$A$408)&gt;ROW()-ROW($A$5)-1,INDEX( PRODUKTE,  VLOOKUP(ROW()-ROW($A$5),zeilenindizes,2)+INDEX(prodRowOffset,G$3),  MATCH(G$2,OFFSET(INDEXNAMEN,G$3,0),0)),""),"")</f>
        <v>G</v>
      </c>
      <c r="H17" s="17" t="str">
        <f ca="1">IFERROR(IF(MAX('SORT IMPORT'!$A$13:$A$408)&gt;ROW()-ROW($A$5)-1,INDEX( PRODUKTE,  VLOOKUP(ROW()-ROW($A$5),zeilenindizes,2)+INDEX(prodRowOffset,H$3),  MATCH(H$2,OFFSET(INDEXNAMEN,H$3,0),0)),""),"")</f>
        <v>92 G</v>
      </c>
      <c r="I17" s="17" t="str">
        <f ca="1">IFERROR(IF(MAX('SORT IMPORT'!$A$13:$A$408)&gt;ROW()-ROW($A$5)-1,INDEX( PRODUKTE,  VLOOKUP(ROW()-ROW($A$5),zeilenindizes,2)+INDEX(prodRowOffset,I$3),  MATCH(I$2,OFFSET(INDEXNAMEN,I$3,0),0)),""),"")</f>
        <v/>
      </c>
      <c r="J17" s="17" t="str">
        <f ca="1">IFERROR(IF(MAX('SORT IMPORT'!$A$13:$A$408)&gt;ROW()-ROW($A$5)-1,INDEX( PRODUKTE,  VLOOKUP(ROW()-ROW($A$5),zeilenindizes,2)+INDEX(prodRowOffset,J$3),  MATCH(J$2,OFFSET(INDEXNAMEN,J$3,0),0)),""),"")</f>
        <v/>
      </c>
      <c r="K17" s="17">
        <f ca="1">IFERROR(IF(MAX('SORT IMPORT'!$A$13:$A$408)&gt;ROW()-ROW($A$5)-1,INDEX( PRODUKTE,  VLOOKUP(ROW()-ROW($A$5),zeilenindizes,2)+INDEX(prodRowOffset,K$3),  MATCH(K$2,OFFSET(INDEXNAMEN,K$3,0),0)),""),"")</f>
        <v>12</v>
      </c>
      <c r="L17" s="17">
        <f ca="1">IFERROR(IF(MAX('SORT IMPORT'!$A$13:$A$408)&gt;ROW()-ROW($A$5)-1,INDEX( PRODUKTE,  VLOOKUP(ROW()-ROW($A$5),zeilenindizes,2)+INDEX(prodRowOffset,L$3),  MATCH(L$2,OFFSET(INDEXNAMEN,L$3,0),0)),""),"")</f>
        <v>1</v>
      </c>
      <c r="M17" s="17">
        <f ca="1">IFERROR(IF(MAX('SORT IMPORT'!$A$13:$A$408)&gt;ROW()-ROW($A$5)-1,INDEX( PRODUKTE,  VLOOKUP(ROW()-ROW($A$5),zeilenindizes,2)+INDEX(prodRowOffset,M$3),  MATCH(M$2,OFFSET(INDEXNAMEN,M$3,0),0)),""),"")</f>
        <v>15</v>
      </c>
      <c r="N17" s="17">
        <f ca="1">IFERROR(IF(MAX('SORT IMPORT'!$A$13:$A$408)&gt;ROW()-ROW($A$5)-1,INDEX( PRODUKTE,  VLOOKUP(ROW()-ROW($A$5),zeilenindizes,2)+INDEX(prodRowOffset,N$3),  MATCH(N$2,OFFSET(INDEXNAMEN,N$3,0),0)),""),"")</f>
        <v>1</v>
      </c>
      <c r="O17" s="17">
        <f ca="1">IFERROR(IF(MAX('SORT IMPORT'!$A$13:$A$408)&gt;ROW()-ROW($A$5)-1,INDEX( PRODUKTE,  VLOOKUP(ROW()-ROW($A$5),zeilenindizes,2)+INDEX(prodRowOffset,O$3),  MATCH(O$2,OFFSET(INDEXNAMEN,O$3,0),0)),""),"")</f>
        <v>0</v>
      </c>
      <c r="P17" s="17">
        <f ca="1">IFERROR(IF(MAX('SORT IMPORT'!$A$13:$A$408)&gt;ROW()-ROW($A$5)-1,INDEX( PRODUKTE,  VLOOKUP(ROW()-ROW($A$5),zeilenindizes,2)+INDEX(prodRowOffset,P$3),  MATCH(P$2,OFFSET(INDEXNAMEN,P$3,0),0)),""),"")</f>
        <v>0</v>
      </c>
      <c r="Q17" s="17">
        <f ca="1">IFERROR(IF(MAX('SORT IMPORT'!$A$13:$A$408)&gt;ROW()-ROW($A$5)-1,INDEX( PRODUKTE,  VLOOKUP(ROW()-ROW($A$5),zeilenindizes,2)+INDEX(prodRowOffset,Q$3),  MATCH(Q$2,OFFSET(INDEXNAMEN,Q$3,0),0)),""),"")</f>
        <v>1</v>
      </c>
      <c r="R17" s="17">
        <f ca="1">IFERROR(IF(MAX('SORT IMPORT'!$A$13:$A$408)&gt;ROW()-ROW($A$5)-1,INDEX( PRODUKTE,  VLOOKUP(ROW()-ROW($A$5),zeilenindizes,2)+INDEX(prodRowOffset,R$3),  MATCH(R$2,OFFSET(INDEXNAMEN,R$3,0),0)),""),"")</f>
        <v>1</v>
      </c>
      <c r="S17" s="17">
        <f ca="1">IFERROR(IF(MAX('SORT IMPORT'!$A$13:$A$408)&gt;ROW()-ROW($A$5)-1,INDEX( PRODUKTE,  VLOOKUP(ROW()-ROW($A$5),zeilenindizes,2)+INDEX(prodRowOffset,S$3),  MATCH(S$2,OFFSET(INDEXNAMEN,S$3,0),0)),""),"")</f>
        <v>0</v>
      </c>
      <c r="T17" s="17">
        <f ca="1">IFERROR(IF(MAX('SORT IMPORT'!$A$13:$A$408)&gt;ROW()-ROW($A$5)-1,INDEX( PRODUKTE,  VLOOKUP(ROW()-ROW($A$5),zeilenindizes,2)+INDEX(prodRowOffset,T$3),  MATCH(T$2,OFFSET(INDEXNAMEN,T$3,0),0)),""),"")</f>
        <v>0</v>
      </c>
      <c r="U17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17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17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7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7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86</v>
      </c>
      <c r="Z17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17</v>
      </c>
      <c r="AA17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51</v>
      </c>
      <c r="AB17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17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51</v>
      </c>
      <c r="AD17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17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17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7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7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7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143</v>
      </c>
      <c r="AJ17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3</v>
      </c>
      <c r="AK17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143</v>
      </c>
      <c r="AL17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3</v>
      </c>
      <c r="AM17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143</v>
      </c>
      <c r="AN17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9999</v>
      </c>
      <c r="AO17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442</v>
      </c>
      <c r="AP17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17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23</v>
      </c>
      <c r="AR17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16</v>
      </c>
      <c r="AS17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7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89</v>
      </c>
      <c r="AU17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25</v>
      </c>
      <c r="AV17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46</v>
      </c>
      <c r="AW17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281</v>
      </c>
      <c r="AX17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47</v>
      </c>
      <c r="AY17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65</v>
      </c>
      <c r="AZ17" s="17">
        <v>92</v>
      </c>
      <c r="BA17" s="17">
        <v>2</v>
      </c>
      <c r="BB17" s="17">
        <v>30</v>
      </c>
      <c r="CM17" s="182">
        <v>2</v>
      </c>
      <c r="CN17" s="183" t="s">
        <v>1821</v>
      </c>
      <c r="CO17" s="182">
        <v>1</v>
      </c>
      <c r="CP17" s="183" t="s">
        <v>1215</v>
      </c>
      <c r="CQ17" s="182">
        <v>91</v>
      </c>
      <c r="CR17" s="183" t="s">
        <v>1216</v>
      </c>
      <c r="CS17" s="182">
        <v>64</v>
      </c>
      <c r="CT17" s="183" t="s">
        <v>1217</v>
      </c>
      <c r="CU17" s="183"/>
      <c r="CV17" s="183"/>
      <c r="CW17" s="182">
        <v>57</v>
      </c>
      <c r="CX17" s="183" t="s">
        <v>1096</v>
      </c>
    </row>
    <row r="18" spans="6:102" ht="22.5" customHeight="1" x14ac:dyDescent="0.3">
      <c r="F18" s="17" t="str">
        <f ca="1">IFERROR(IF(MAX('SORT IMPORT'!$A$13:$A$408)&gt;ROW()-ROW($A$5)-1,INDEX( PRODUKTE,  VLOOKUP(ROW()-ROW($A$5),zeilenindizes,2)+INDEX(prodRowOffset,F$3),  MATCH(F$2,OFFSET(INDEXNAMEN,F$3,0),0)),""),"")</f>
        <v>TS 92 G RF EN 1-4</v>
      </c>
      <c r="G18" s="17" t="str">
        <f ca="1">IFERROR(IF(MAX('SORT IMPORT'!$A$13:$A$408)&gt;ROW()-ROW($A$5)-1,INDEX( PRODUKTE,  VLOOKUP(ROW()-ROW($A$5),zeilenindizes,2)+INDEX(prodRowOffset,G$3),  MATCH(G$2,OFFSET(INDEXNAMEN,G$3,0),0)),""),"")</f>
        <v>G</v>
      </c>
      <c r="H18" s="17" t="str">
        <f ca="1">IFERROR(IF(MAX('SORT IMPORT'!$A$13:$A$408)&gt;ROW()-ROW($A$5)-1,INDEX( PRODUKTE,  VLOOKUP(ROW()-ROW($A$5),zeilenindizes,2)+INDEX(prodRowOffset,H$3),  MATCH(H$2,OFFSET(INDEXNAMEN,H$3,0),0)),""),"")</f>
        <v>92 G</v>
      </c>
      <c r="I18" s="17" t="str">
        <f ca="1">IFERROR(IF(MAX('SORT IMPORT'!$A$13:$A$408)&gt;ROW()-ROW($A$5)-1,INDEX( PRODUKTE,  VLOOKUP(ROW()-ROW($A$5),zeilenindizes,2)+INDEX(prodRowOffset,I$3),  MATCH(I$2,OFFSET(INDEXNAMEN,I$3,0),0)),""),"")</f>
        <v/>
      </c>
      <c r="J18" s="17" t="str">
        <f ca="1">IFERROR(IF(MAX('SORT IMPORT'!$A$13:$A$408)&gt;ROW()-ROW($A$5)-1,INDEX( PRODUKTE,  VLOOKUP(ROW()-ROW($A$5),zeilenindizes,2)+INDEX(prodRowOffset,J$3),  MATCH(J$2,OFFSET(INDEXNAMEN,J$3,0),0)),""),"")</f>
        <v>M</v>
      </c>
      <c r="K18" s="17">
        <f ca="1">IFERROR(IF(MAX('SORT IMPORT'!$A$13:$A$408)&gt;ROW()-ROW($A$5)-1,INDEX( PRODUKTE,  VLOOKUP(ROW()-ROW($A$5),zeilenindizes,2)+INDEX(prodRowOffset,K$3),  MATCH(K$2,OFFSET(INDEXNAMEN,K$3,0),0)),""),"")</f>
        <v>12</v>
      </c>
      <c r="L18" s="17">
        <f ca="1">IFERROR(IF(MAX('SORT IMPORT'!$A$13:$A$408)&gt;ROW()-ROW($A$5)-1,INDEX( PRODUKTE,  VLOOKUP(ROW()-ROW($A$5),zeilenindizes,2)+INDEX(prodRowOffset,L$3),  MATCH(L$2,OFFSET(INDEXNAMEN,L$3,0),0)),""),"")</f>
        <v>2</v>
      </c>
      <c r="M18" s="17">
        <f ca="1">IFERROR(IF(MAX('SORT IMPORT'!$A$13:$A$408)&gt;ROW()-ROW($A$5)-1,INDEX( PRODUKTE,  VLOOKUP(ROW()-ROW($A$5),zeilenindizes,2)+INDEX(prodRowOffset,M$3),  MATCH(M$2,OFFSET(INDEXNAMEN,M$3,0),0)),""),"")</f>
        <v>15</v>
      </c>
      <c r="N18" s="17">
        <f ca="1">IFERROR(IF(MAX('SORT IMPORT'!$A$13:$A$408)&gt;ROW()-ROW($A$5)-1,INDEX( PRODUKTE,  VLOOKUP(ROW()-ROW($A$5),zeilenindizes,2)+INDEX(prodRowOffset,N$3),  MATCH(N$2,OFFSET(INDEXNAMEN,N$3,0),0)),""),"")</f>
        <v>1</v>
      </c>
      <c r="O18" s="17">
        <f ca="1">IFERROR(IF(MAX('SORT IMPORT'!$A$13:$A$408)&gt;ROW()-ROW($A$5)-1,INDEX( PRODUKTE,  VLOOKUP(ROW()-ROW($A$5),zeilenindizes,2)+INDEX(prodRowOffset,O$3),  MATCH(O$2,OFFSET(INDEXNAMEN,O$3,0),0)),""),"")</f>
        <v>0</v>
      </c>
      <c r="P18" s="17">
        <f ca="1">IFERROR(IF(MAX('SORT IMPORT'!$A$13:$A$408)&gt;ROW()-ROW($A$5)-1,INDEX( PRODUKTE,  VLOOKUP(ROW()-ROW($A$5),zeilenindizes,2)+INDEX(prodRowOffset,P$3),  MATCH(P$2,OFFSET(INDEXNAMEN,P$3,0),0)),""),"")</f>
        <v>0</v>
      </c>
      <c r="Q18" s="17">
        <f ca="1">IFERROR(IF(MAX('SORT IMPORT'!$A$13:$A$408)&gt;ROW()-ROW($A$5)-1,INDEX( PRODUKTE,  VLOOKUP(ROW()-ROW($A$5),zeilenindizes,2)+INDEX(prodRowOffset,Q$3),  MATCH(Q$2,OFFSET(INDEXNAMEN,Q$3,0),0)),""),"")</f>
        <v>0</v>
      </c>
      <c r="R18" s="17">
        <f ca="1">IFERROR(IF(MAX('SORT IMPORT'!$A$13:$A$408)&gt;ROW()-ROW($A$5)-1,INDEX( PRODUKTE,  VLOOKUP(ROW()-ROW($A$5),zeilenindizes,2)+INDEX(prodRowOffset,R$3),  MATCH(R$2,OFFSET(INDEXNAMEN,R$3,0),0)),""),"")</f>
        <v>1</v>
      </c>
      <c r="S18" s="17">
        <f ca="1">IFERROR(IF(MAX('SORT IMPORT'!$A$13:$A$408)&gt;ROW()-ROW($A$5)-1,INDEX( PRODUKTE,  VLOOKUP(ROW()-ROW($A$5),zeilenindizes,2)+INDEX(prodRowOffset,S$3),  MATCH(S$2,OFFSET(INDEXNAMEN,S$3,0),0)),""),"")</f>
        <v>0</v>
      </c>
      <c r="T18" s="17">
        <f ca="1">IFERROR(IF(MAX('SORT IMPORT'!$A$13:$A$408)&gt;ROW()-ROW($A$5)-1,INDEX( PRODUKTE,  VLOOKUP(ROW()-ROW($A$5),zeilenindizes,2)+INDEX(prodRowOffset,T$3),  MATCH(T$2,OFFSET(INDEXNAMEN,T$3,0),0)),""),"")</f>
        <v>0</v>
      </c>
      <c r="U18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18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18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8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8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86</v>
      </c>
      <c r="Z18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17</v>
      </c>
      <c r="AA18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51</v>
      </c>
      <c r="AB18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18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51</v>
      </c>
      <c r="AD18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18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18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8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8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8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143</v>
      </c>
      <c r="AJ18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3</v>
      </c>
      <c r="AK18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143</v>
      </c>
      <c r="AL18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3</v>
      </c>
      <c r="AM18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143</v>
      </c>
      <c r="AN18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9999</v>
      </c>
      <c r="AO18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442</v>
      </c>
      <c r="AP18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18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23</v>
      </c>
      <c r="AR18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16</v>
      </c>
      <c r="AS18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8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89</v>
      </c>
      <c r="AU18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25</v>
      </c>
      <c r="AV18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60</v>
      </c>
      <c r="AW18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281</v>
      </c>
      <c r="AX18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47</v>
      </c>
      <c r="AY18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65</v>
      </c>
      <c r="AZ18" s="17">
        <v>92</v>
      </c>
      <c r="BA18" s="17">
        <v>3</v>
      </c>
      <c r="BB18" s="17">
        <v>3</v>
      </c>
      <c r="CM18" s="182">
        <v>2</v>
      </c>
      <c r="CN18" s="183" t="s">
        <v>1883</v>
      </c>
      <c r="CO18" s="182">
        <v>1</v>
      </c>
      <c r="CP18" s="183" t="s">
        <v>1330</v>
      </c>
      <c r="CQ18" s="182">
        <v>91</v>
      </c>
      <c r="CR18" s="183" t="s">
        <v>1331</v>
      </c>
      <c r="CS18" s="182">
        <v>64</v>
      </c>
      <c r="CT18" s="183" t="s">
        <v>1332</v>
      </c>
      <c r="CU18" s="183"/>
      <c r="CV18" s="183"/>
      <c r="CW18" s="182">
        <v>24</v>
      </c>
      <c r="CX18" s="183" t="s">
        <v>1097</v>
      </c>
    </row>
    <row r="19" spans="6:102" ht="22.5" customHeight="1" x14ac:dyDescent="0.3">
      <c r="F19" s="17" t="str">
        <f ca="1">IFERROR(IF(MAX('SORT IMPORT'!$A$13:$A$408)&gt;ROW()-ROW($A$5)-1,INDEX( PRODUKTE,  VLOOKUP(ROW()-ROW($A$5),zeilenindizes,2)+INDEX(prodRowOffset,F$3),  MATCH(F$2,OFFSET(INDEXNAMEN,F$3,0),0)),""),"")</f>
        <v>TS 93 EN 2-5</v>
      </c>
      <c r="G19" s="17" t="str">
        <f ca="1">IFERROR(IF(MAX('SORT IMPORT'!$A$13:$A$408)&gt;ROW()-ROW($A$5)-1,INDEX( PRODUKTE,  VLOOKUP(ROW()-ROW($A$5),zeilenindizes,2)+INDEX(prodRowOffset,G$3),  MATCH(G$2,OFFSET(INDEXNAMEN,G$3,0),0)),""),"")</f>
        <v>G</v>
      </c>
      <c r="H19" s="17" t="str">
        <f ca="1">IFERROR(IF(MAX('SORT IMPORT'!$A$13:$A$408)&gt;ROW()-ROW($A$5)-1,INDEX( PRODUKTE,  VLOOKUP(ROW()-ROW($A$5),zeilenindizes,2)+INDEX(prodRowOffset,H$3),  MATCH(H$2,OFFSET(INDEXNAMEN,H$3,0),0)),""),"")</f>
        <v>93 B</v>
      </c>
      <c r="I19" s="17" t="str">
        <f ca="1">IFERROR(IF(MAX('SORT IMPORT'!$A$13:$A$408)&gt;ROW()-ROW($A$5)-1,INDEX( PRODUKTE,  VLOOKUP(ROW()-ROW($A$5),zeilenindizes,2)+INDEX(prodRowOffset,I$3),  MATCH(I$2,OFFSET(INDEXNAMEN,I$3,0),0)),""),"")</f>
        <v>V</v>
      </c>
      <c r="J19" s="17" t="str">
        <f ca="1">IFERROR(IF(MAX('SORT IMPORT'!$A$13:$A$408)&gt;ROW()-ROW($A$5)-1,INDEX( PRODUKTE,  VLOOKUP(ROW()-ROW($A$5),zeilenindizes,2)+INDEX(prodRowOffset,J$3),  MATCH(J$2,OFFSET(INDEXNAMEN,J$3,0),0)),""),"")</f>
        <v/>
      </c>
      <c r="K19" s="17">
        <f ca="1">IFERROR(IF(MAX('SORT IMPORT'!$A$13:$A$408)&gt;ROW()-ROW($A$5)-1,INDEX( PRODUKTE,  VLOOKUP(ROW()-ROW($A$5),zeilenindizes,2)+INDEX(prodRowOffset,K$3),  MATCH(K$2,OFFSET(INDEXNAMEN,K$3,0),0)),""),"")</f>
        <v>3</v>
      </c>
      <c r="L19" s="17">
        <f ca="1">IFERROR(IF(MAX('SORT IMPORT'!$A$13:$A$408)&gt;ROW()-ROW($A$5)-1,INDEX( PRODUKTE,  VLOOKUP(ROW()-ROW($A$5),zeilenindizes,2)+INDEX(prodRowOffset,L$3),  MATCH(L$2,OFFSET(INDEXNAMEN,L$3,0),0)),""),"")</f>
        <v>1</v>
      </c>
      <c r="M19" s="17">
        <f ca="1">IFERROR(IF(MAX('SORT IMPORT'!$A$13:$A$408)&gt;ROW()-ROW($A$5)-1,INDEX( PRODUKTE,  VLOOKUP(ROW()-ROW($A$5),zeilenindizes,2)+INDEX(prodRowOffset,M$3),  MATCH(M$2,OFFSET(INDEXNAMEN,M$3,0),0)),""),"")</f>
        <v>30</v>
      </c>
      <c r="N19" s="17">
        <f ca="1">IFERROR(IF(MAX('SORT IMPORT'!$A$13:$A$408)&gt;ROW()-ROW($A$5)-1,INDEX( PRODUKTE,  VLOOKUP(ROW()-ROW($A$5),zeilenindizes,2)+INDEX(prodRowOffset,N$3),  MATCH(N$2,OFFSET(INDEXNAMEN,N$3,0),0)),""),"")</f>
        <v>1</v>
      </c>
      <c r="O19" s="17">
        <f ca="1">IFERROR(IF(MAX('SORT IMPORT'!$A$13:$A$408)&gt;ROW()-ROW($A$5)-1,INDEX( PRODUKTE,  VLOOKUP(ROW()-ROW($A$5),zeilenindizes,2)+INDEX(prodRowOffset,O$3),  MATCH(O$2,OFFSET(INDEXNAMEN,O$3,0),0)),""),"")</f>
        <v>0</v>
      </c>
      <c r="P19" s="17">
        <f ca="1">IFERROR(IF(MAX('SORT IMPORT'!$A$13:$A$408)&gt;ROW()-ROW($A$5)-1,INDEX( PRODUKTE,  VLOOKUP(ROW()-ROW($A$5),zeilenindizes,2)+INDEX(prodRowOffset,P$3),  MATCH(P$2,OFFSET(INDEXNAMEN,P$3,0),0)),""),"")</f>
        <v>0</v>
      </c>
      <c r="Q19" s="17">
        <f ca="1">IFERROR(IF(MAX('SORT IMPORT'!$A$13:$A$408)&gt;ROW()-ROW($A$5)-1,INDEX( PRODUKTE,  VLOOKUP(ROW()-ROW($A$5),zeilenindizes,2)+INDEX(prodRowOffset,Q$3),  MATCH(Q$2,OFFSET(INDEXNAMEN,Q$3,0),0)),""),"")</f>
        <v>1</v>
      </c>
      <c r="R19" s="17">
        <f ca="1">IFERROR(IF(MAX('SORT IMPORT'!$A$13:$A$408)&gt;ROW()-ROW($A$5)-1,INDEX( PRODUKTE,  VLOOKUP(ROW()-ROW($A$5),zeilenindizes,2)+INDEX(prodRowOffset,R$3),  MATCH(R$2,OFFSET(INDEXNAMEN,R$3,0),0)),""),"")</f>
        <v>1</v>
      </c>
      <c r="S19" s="17">
        <f ca="1">IFERROR(IF(MAX('SORT IMPORT'!$A$13:$A$408)&gt;ROW()-ROW($A$5)-1,INDEX( PRODUKTE,  VLOOKUP(ROW()-ROW($A$5),zeilenindizes,2)+INDEX(prodRowOffset,S$3),  MATCH(S$2,OFFSET(INDEXNAMEN,S$3,0),0)),""),"")</f>
        <v>0</v>
      </c>
      <c r="T19" s="17">
        <f ca="1">IFERROR(IF(MAX('SORT IMPORT'!$A$13:$A$408)&gt;ROW()-ROW($A$5)-1,INDEX( PRODUKTE,  VLOOKUP(ROW()-ROW($A$5),zeilenindizes,2)+INDEX(prodRowOffset,T$3),  MATCH(T$2,OFFSET(INDEXNAMEN,T$3,0),0)),""),"")</f>
        <v>1</v>
      </c>
      <c r="U19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84</v>
      </c>
      <c r="V19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19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84</v>
      </c>
      <c r="X19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4</v>
      </c>
      <c r="Y19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9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9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9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9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9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9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143</v>
      </c>
      <c r="AF19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16</v>
      </c>
      <c r="AG19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143</v>
      </c>
      <c r="AH19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16</v>
      </c>
      <c r="AI19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9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9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9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9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9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9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442</v>
      </c>
      <c r="AP19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19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23</v>
      </c>
      <c r="AR19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16</v>
      </c>
      <c r="AS19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9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19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19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46</v>
      </c>
      <c r="AW19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19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19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19" s="17">
        <v>92</v>
      </c>
      <c r="BA19" s="17">
        <v>4</v>
      </c>
      <c r="BB19" s="17">
        <v>26</v>
      </c>
      <c r="CM19" s="182">
        <v>2</v>
      </c>
      <c r="CN19" s="183" t="s">
        <v>1884</v>
      </c>
      <c r="CO19" s="182">
        <v>1</v>
      </c>
      <c r="CP19" s="183" t="s">
        <v>1050</v>
      </c>
      <c r="CQ19" s="182">
        <v>91</v>
      </c>
      <c r="CR19" s="183" t="s">
        <v>1051</v>
      </c>
      <c r="CS19" s="182">
        <v>64</v>
      </c>
      <c r="CT19" s="183" t="s">
        <v>1052</v>
      </c>
      <c r="CU19" s="183"/>
      <c r="CV19" s="183"/>
      <c r="CW19" s="182">
        <v>24</v>
      </c>
      <c r="CX19" s="183" t="s">
        <v>1098</v>
      </c>
    </row>
    <row r="20" spans="6:102" ht="22.5" customHeight="1" x14ac:dyDescent="0.3">
      <c r="F20" s="17" t="str">
        <f ca="1">IFERROR(IF(MAX('SORT IMPORT'!$A$13:$A$408)&gt;ROW()-ROW($A$5)-1,INDEX( PRODUKTE,  VLOOKUP(ROW()-ROW($A$5),zeilenindizes,2)+INDEX(prodRowOffset,F$3),  MATCH(F$2,OFFSET(INDEXNAMEN,F$3,0),0)),""),"")</f>
        <v>TS 93 RF EN 2-5</v>
      </c>
      <c r="G20" s="17" t="str">
        <f ca="1">IFERROR(IF(MAX('SORT IMPORT'!$A$13:$A$408)&gt;ROW()-ROW($A$5)-1,INDEX( PRODUKTE,  VLOOKUP(ROW()-ROW($A$5),zeilenindizes,2)+INDEX(prodRowOffset,G$3),  MATCH(G$2,OFFSET(INDEXNAMEN,G$3,0),0)),""),"")</f>
        <v>G</v>
      </c>
      <c r="H20" s="17" t="str">
        <f ca="1">IFERROR(IF(MAX('SORT IMPORT'!$A$13:$A$408)&gt;ROW()-ROW($A$5)-1,INDEX( PRODUKTE,  VLOOKUP(ROW()-ROW($A$5),zeilenindizes,2)+INDEX(prodRowOffset,H$3),  MATCH(H$2,OFFSET(INDEXNAMEN,H$3,0),0)),""),"")</f>
        <v>93 B</v>
      </c>
      <c r="I20" s="17" t="str">
        <f ca="1">IFERROR(IF(MAX('SORT IMPORT'!$A$13:$A$408)&gt;ROW()-ROW($A$5)-1,INDEX( PRODUKTE,  VLOOKUP(ROW()-ROW($A$5),zeilenindizes,2)+INDEX(prodRowOffset,I$3),  MATCH(I$2,OFFSET(INDEXNAMEN,I$3,0),0)),""),"")</f>
        <v>V</v>
      </c>
      <c r="J20" s="17" t="str">
        <f ca="1">IFERROR(IF(MAX('SORT IMPORT'!$A$13:$A$408)&gt;ROW()-ROW($A$5)-1,INDEX( PRODUKTE,  VLOOKUP(ROW()-ROW($A$5),zeilenindizes,2)+INDEX(prodRowOffset,J$3),  MATCH(J$2,OFFSET(INDEXNAMEN,J$3,0),0)),""),"")</f>
        <v>M</v>
      </c>
      <c r="K20" s="17">
        <f ca="1">IFERROR(IF(MAX('SORT IMPORT'!$A$13:$A$408)&gt;ROW()-ROW($A$5)-1,INDEX( PRODUKTE,  VLOOKUP(ROW()-ROW($A$5),zeilenindizes,2)+INDEX(prodRowOffset,K$3),  MATCH(K$2,OFFSET(INDEXNAMEN,K$3,0),0)),""),"")</f>
        <v>3</v>
      </c>
      <c r="L20" s="17">
        <f ca="1">IFERROR(IF(MAX('SORT IMPORT'!$A$13:$A$408)&gt;ROW()-ROW($A$5)-1,INDEX( PRODUKTE,  VLOOKUP(ROW()-ROW($A$5),zeilenindizes,2)+INDEX(prodRowOffset,L$3),  MATCH(L$2,OFFSET(INDEXNAMEN,L$3,0),0)),""),"")</f>
        <v>2</v>
      </c>
      <c r="M20" s="17">
        <f ca="1">IFERROR(IF(MAX('SORT IMPORT'!$A$13:$A$408)&gt;ROW()-ROW($A$5)-1,INDEX( PRODUKTE,  VLOOKUP(ROW()-ROW($A$5),zeilenindizes,2)+INDEX(prodRowOffset,M$3),  MATCH(M$2,OFFSET(INDEXNAMEN,M$3,0),0)),""),"")</f>
        <v>30</v>
      </c>
      <c r="N20" s="17">
        <f ca="1">IFERROR(IF(MAX('SORT IMPORT'!$A$13:$A$408)&gt;ROW()-ROW($A$5)-1,INDEX( PRODUKTE,  VLOOKUP(ROW()-ROW($A$5),zeilenindizes,2)+INDEX(prodRowOffset,N$3),  MATCH(N$2,OFFSET(INDEXNAMEN,N$3,0),0)),""),"")</f>
        <v>1</v>
      </c>
      <c r="O20" s="17">
        <f ca="1">IFERROR(IF(MAX('SORT IMPORT'!$A$13:$A$408)&gt;ROW()-ROW($A$5)-1,INDEX( PRODUKTE,  VLOOKUP(ROW()-ROW($A$5),zeilenindizes,2)+INDEX(prodRowOffset,O$3),  MATCH(O$2,OFFSET(INDEXNAMEN,O$3,0),0)),""),"")</f>
        <v>0</v>
      </c>
      <c r="P20" s="17">
        <f ca="1">IFERROR(IF(MAX('SORT IMPORT'!$A$13:$A$408)&gt;ROW()-ROW($A$5)-1,INDEX( PRODUKTE,  VLOOKUP(ROW()-ROW($A$5),zeilenindizes,2)+INDEX(prodRowOffset,P$3),  MATCH(P$2,OFFSET(INDEXNAMEN,P$3,0),0)),""),"")</f>
        <v>0</v>
      </c>
      <c r="Q20" s="17">
        <f ca="1">IFERROR(IF(MAX('SORT IMPORT'!$A$13:$A$408)&gt;ROW()-ROW($A$5)-1,INDEX( PRODUKTE,  VLOOKUP(ROW()-ROW($A$5),zeilenindizes,2)+INDEX(prodRowOffset,Q$3),  MATCH(Q$2,OFFSET(INDEXNAMEN,Q$3,0),0)),""),"")</f>
        <v>0</v>
      </c>
      <c r="R20" s="17">
        <f ca="1">IFERROR(IF(MAX('SORT IMPORT'!$A$13:$A$408)&gt;ROW()-ROW($A$5)-1,INDEX( PRODUKTE,  VLOOKUP(ROW()-ROW($A$5),zeilenindizes,2)+INDEX(prodRowOffset,R$3),  MATCH(R$2,OFFSET(INDEXNAMEN,R$3,0),0)),""),"")</f>
        <v>1</v>
      </c>
      <c r="S20" s="17">
        <f ca="1">IFERROR(IF(MAX('SORT IMPORT'!$A$13:$A$408)&gt;ROW()-ROW($A$5)-1,INDEX( PRODUKTE,  VLOOKUP(ROW()-ROW($A$5),zeilenindizes,2)+INDEX(prodRowOffset,S$3),  MATCH(S$2,OFFSET(INDEXNAMEN,S$3,0),0)),""),"")</f>
        <v>0</v>
      </c>
      <c r="T20" s="17">
        <f ca="1">IFERROR(IF(MAX('SORT IMPORT'!$A$13:$A$408)&gt;ROW()-ROW($A$5)-1,INDEX( PRODUKTE,  VLOOKUP(ROW()-ROW($A$5),zeilenindizes,2)+INDEX(prodRowOffset,T$3),  MATCH(T$2,OFFSET(INDEXNAMEN,T$3,0),0)),""),"")</f>
        <v>1</v>
      </c>
      <c r="U20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84</v>
      </c>
      <c r="V20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20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84</v>
      </c>
      <c r="X20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4</v>
      </c>
      <c r="Y20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20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20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20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20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20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20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143</v>
      </c>
      <c r="AF20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16</v>
      </c>
      <c r="AG20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143</v>
      </c>
      <c r="AH20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16</v>
      </c>
      <c r="AI20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20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20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20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20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20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20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442</v>
      </c>
      <c r="AP20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20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23</v>
      </c>
      <c r="AR20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16</v>
      </c>
      <c r="AS20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20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20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20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60</v>
      </c>
      <c r="AW20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20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20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20" s="17">
        <v>92</v>
      </c>
      <c r="BA20" s="17">
        <v>5</v>
      </c>
      <c r="BB20" s="17">
        <v>27</v>
      </c>
      <c r="CM20" s="182">
        <v>2</v>
      </c>
      <c r="CN20" s="183" t="s">
        <v>1885</v>
      </c>
      <c r="CO20" s="182">
        <v>1</v>
      </c>
      <c r="CP20" s="183" t="s">
        <v>1050</v>
      </c>
      <c r="CQ20" s="182">
        <v>91</v>
      </c>
      <c r="CR20" s="183" t="s">
        <v>1051</v>
      </c>
      <c r="CS20" s="182">
        <v>64</v>
      </c>
      <c r="CT20" s="183" t="s">
        <v>1052</v>
      </c>
      <c r="CU20" s="183"/>
      <c r="CV20" s="183"/>
      <c r="CW20" s="182">
        <v>57</v>
      </c>
      <c r="CX20" s="183" t="s">
        <v>1099</v>
      </c>
    </row>
    <row r="21" spans="6:102" ht="22.5" customHeight="1" x14ac:dyDescent="0.3">
      <c r="F21" s="17" t="str">
        <f ca="1">IFERROR(IF(MAX('SORT IMPORT'!$A$13:$A$408)&gt;ROW()-ROW($A$5)-1,INDEX( PRODUKTE,  VLOOKUP(ROW()-ROW($A$5),zeilenindizes,2)+INDEX(prodRowOffset,F$3),  MATCH(F$2,OFFSET(INDEXNAMEN,F$3,0),0)),""),"")</f>
        <v>TS 93 EMF EN 2-5</v>
      </c>
      <c r="G21" s="17" t="str">
        <f ca="1">IFERROR(IF(MAX('SORT IMPORT'!$A$13:$A$408)&gt;ROW()-ROW($A$5)-1,INDEX( PRODUKTE,  VLOOKUP(ROW()-ROW($A$5),zeilenindizes,2)+INDEX(prodRowOffset,G$3),  MATCH(G$2,OFFSET(INDEXNAMEN,G$3,0),0)),""),"")</f>
        <v>G</v>
      </c>
      <c r="H21" s="17" t="str">
        <f ca="1">IFERROR(IF(MAX('SORT IMPORT'!$A$13:$A$408)&gt;ROW()-ROW($A$5)-1,INDEX( PRODUKTE,  VLOOKUP(ROW()-ROW($A$5),zeilenindizes,2)+INDEX(prodRowOffset,H$3),  MATCH(H$2,OFFSET(INDEXNAMEN,H$3,0),0)),""),"")</f>
        <v>93 B</v>
      </c>
      <c r="I21" s="17" t="str">
        <f ca="1">IFERROR(IF(MAX('SORT IMPORT'!$A$13:$A$408)&gt;ROW()-ROW($A$5)-1,INDEX( PRODUKTE,  VLOOKUP(ROW()-ROW($A$5),zeilenindizes,2)+INDEX(prodRowOffset,I$3),  MATCH(I$2,OFFSET(INDEXNAMEN,I$3,0),0)),""),"")</f>
        <v>V</v>
      </c>
      <c r="J21" s="17" t="str">
        <f ca="1">IFERROR(IF(MAX('SORT IMPORT'!$A$13:$A$408)&gt;ROW()-ROW($A$5)-1,INDEX( PRODUKTE,  VLOOKUP(ROW()-ROW($A$5),zeilenindizes,2)+INDEX(prodRowOffset,J$3),  MATCH(J$2,OFFSET(INDEXNAMEN,J$3,0),0)),""),"")</f>
        <v>E</v>
      </c>
      <c r="K21" s="17">
        <f ca="1">IFERROR(IF(MAX('SORT IMPORT'!$A$13:$A$408)&gt;ROW()-ROW($A$5)-1,INDEX( PRODUKTE,  VLOOKUP(ROW()-ROW($A$5),zeilenindizes,2)+INDEX(prodRowOffset,K$3),  MATCH(K$2,OFFSET(INDEXNAMEN,K$3,0),0)),""),"")</f>
        <v>1</v>
      </c>
      <c r="L21" s="17">
        <f ca="1">IFERROR(IF(MAX('SORT IMPORT'!$A$13:$A$408)&gt;ROW()-ROW($A$5)-1,INDEX( PRODUKTE,  VLOOKUP(ROW()-ROW($A$5),zeilenindizes,2)+INDEX(prodRowOffset,L$3),  MATCH(L$2,OFFSET(INDEXNAMEN,L$3,0),0)),""),"")</f>
        <v>4</v>
      </c>
      <c r="M21" s="17">
        <f ca="1">IFERROR(IF(MAX('SORT IMPORT'!$A$13:$A$408)&gt;ROW()-ROW($A$5)-1,INDEX( PRODUKTE,  VLOOKUP(ROW()-ROW($A$5),zeilenindizes,2)+INDEX(prodRowOffset,M$3),  MATCH(M$2,OFFSET(INDEXNAMEN,M$3,0),0)),""),"")</f>
        <v>30</v>
      </c>
      <c r="N21" s="17">
        <f ca="1">IFERROR(IF(MAX('SORT IMPORT'!$A$13:$A$408)&gt;ROW()-ROW($A$5)-1,INDEX( PRODUKTE,  VLOOKUP(ROW()-ROW($A$5),zeilenindizes,2)+INDEX(prodRowOffset,N$3),  MATCH(N$2,OFFSET(INDEXNAMEN,N$3,0),0)),""),"")</f>
        <v>1</v>
      </c>
      <c r="O21" s="17">
        <f ca="1">IFERROR(IF(MAX('SORT IMPORT'!$A$13:$A$408)&gt;ROW()-ROW($A$5)-1,INDEX( PRODUKTE,  VLOOKUP(ROW()-ROW($A$5),zeilenindizes,2)+INDEX(prodRowOffset,O$3),  MATCH(O$2,OFFSET(INDEXNAMEN,O$3,0),0)),""),"")</f>
        <v>2</v>
      </c>
      <c r="P21" s="17">
        <f ca="1">IFERROR(IF(MAX('SORT IMPORT'!$A$13:$A$408)&gt;ROW()-ROW($A$5)-1,INDEX( PRODUKTE,  VLOOKUP(ROW()-ROW($A$5),zeilenindizes,2)+INDEX(prodRowOffset,P$3),  MATCH(P$2,OFFSET(INDEXNAMEN,P$3,0),0)),""),"")</f>
        <v>0</v>
      </c>
      <c r="Q21" s="17">
        <f ca="1">IFERROR(IF(MAX('SORT IMPORT'!$A$13:$A$408)&gt;ROW()-ROW($A$5)-1,INDEX( PRODUKTE,  VLOOKUP(ROW()-ROW($A$5),zeilenindizes,2)+INDEX(prodRowOffset,Q$3),  MATCH(Q$2,OFFSET(INDEXNAMEN,Q$3,0),0)),""),"")</f>
        <v>1</v>
      </c>
      <c r="R21" s="17">
        <f ca="1">IFERROR(IF(MAX('SORT IMPORT'!$A$13:$A$408)&gt;ROW()-ROW($A$5)-1,INDEX( PRODUKTE,  VLOOKUP(ROW()-ROW($A$5),zeilenindizes,2)+INDEX(prodRowOffset,R$3),  MATCH(R$2,OFFSET(INDEXNAMEN,R$3,0),0)),""),"")</f>
        <v>1</v>
      </c>
      <c r="S21" s="17">
        <f ca="1">IFERROR(IF(MAX('SORT IMPORT'!$A$13:$A$408)&gt;ROW()-ROW($A$5)-1,INDEX( PRODUKTE,  VLOOKUP(ROW()-ROW($A$5),zeilenindizes,2)+INDEX(prodRowOffset,S$3),  MATCH(S$2,OFFSET(INDEXNAMEN,S$3,0),0)),""),"")</f>
        <v>0</v>
      </c>
      <c r="T21" s="17">
        <f ca="1">IFERROR(IF(MAX('SORT IMPORT'!$A$13:$A$408)&gt;ROW()-ROW($A$5)-1,INDEX( PRODUKTE,  VLOOKUP(ROW()-ROW($A$5),zeilenindizes,2)+INDEX(prodRowOffset,T$3),  MATCH(T$2,OFFSET(INDEXNAMEN,T$3,0),0)),""),"")</f>
        <v>1</v>
      </c>
      <c r="U21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84</v>
      </c>
      <c r="V21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21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21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21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21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21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21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21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21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21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84</v>
      </c>
      <c r="AF21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16</v>
      </c>
      <c r="AG21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21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21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21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21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21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21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21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21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518</v>
      </c>
      <c r="AP21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40</v>
      </c>
      <c r="AQ21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21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20</v>
      </c>
      <c r="AS21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21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21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21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160</v>
      </c>
      <c r="AW21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21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21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21" s="17">
        <v>91</v>
      </c>
      <c r="BA21" s="17">
        <v>1</v>
      </c>
      <c r="BB21" s="17">
        <v>16</v>
      </c>
      <c r="CM21" s="182"/>
      <c r="CN21" s="182"/>
      <c r="CO21" s="182"/>
      <c r="CP21" s="182"/>
      <c r="CQ21" s="182"/>
      <c r="CR21" s="182"/>
      <c r="CS21" s="182"/>
      <c r="CT21" s="182"/>
      <c r="CU21" s="182"/>
      <c r="CV21" s="182"/>
      <c r="CW21" s="182">
        <v>57</v>
      </c>
      <c r="CX21" s="183" t="s">
        <v>1100</v>
      </c>
    </row>
    <row r="22" spans="6:102" ht="22.5" customHeight="1" x14ac:dyDescent="0.3">
      <c r="F22" s="17" t="str">
        <f ca="1">IFERROR(IF(MAX('SORT IMPORT'!$A$13:$A$408)&gt;ROW()-ROW($A$5)-1,INDEX( PRODUKTE,  VLOOKUP(ROW()-ROW($A$5),zeilenindizes,2)+INDEX(prodRowOffset,F$3),  MATCH(F$2,OFFSET(INDEXNAMEN,F$3,0),0)),""),"")</f>
        <v>TS 93 EMR EN 2-5</v>
      </c>
      <c r="G22" s="17" t="str">
        <f ca="1">IFERROR(IF(MAX('SORT IMPORT'!$A$13:$A$408)&gt;ROW()-ROW($A$5)-1,INDEX( PRODUKTE,  VLOOKUP(ROW()-ROW($A$5),zeilenindizes,2)+INDEX(prodRowOffset,G$3),  MATCH(G$2,OFFSET(INDEXNAMEN,G$3,0),0)),""),"")</f>
        <v>G</v>
      </c>
      <c r="H22" s="17" t="str">
        <f ca="1">IFERROR(IF(MAX('SORT IMPORT'!$A$13:$A$408)&gt;ROW()-ROW($A$5)-1,INDEX( PRODUKTE,  VLOOKUP(ROW()-ROW($A$5),zeilenindizes,2)+INDEX(prodRowOffset,H$3),  MATCH(H$2,OFFSET(INDEXNAMEN,H$3,0),0)),""),"")</f>
        <v>93 B</v>
      </c>
      <c r="I22" s="17" t="str">
        <f ca="1">IFERROR(IF(MAX('SORT IMPORT'!$A$13:$A$408)&gt;ROW()-ROW($A$5)-1,INDEX( PRODUKTE,  VLOOKUP(ROW()-ROW($A$5),zeilenindizes,2)+INDEX(prodRowOffset,I$3),  MATCH(I$2,OFFSET(INDEXNAMEN,I$3,0),0)),""),"")</f>
        <v>V</v>
      </c>
      <c r="J22" s="17" t="str">
        <f ca="1">IFERROR(IF(MAX('SORT IMPORT'!$A$13:$A$408)&gt;ROW()-ROW($A$5)-1,INDEX( PRODUKTE,  VLOOKUP(ROW()-ROW($A$5),zeilenindizes,2)+INDEX(prodRowOffset,J$3),  MATCH(J$2,OFFSET(INDEXNAMEN,J$3,0),0)),""),"")</f>
        <v>R</v>
      </c>
      <c r="K22" s="17">
        <f ca="1">IFERROR(IF(MAX('SORT IMPORT'!$A$13:$A$408)&gt;ROW()-ROW($A$5)-1,INDEX( PRODUKTE,  VLOOKUP(ROW()-ROW($A$5),zeilenindizes,2)+INDEX(prodRowOffset,K$3),  MATCH(K$2,OFFSET(INDEXNAMEN,K$3,0),0)),""),"")</f>
        <v>1</v>
      </c>
      <c r="L22" s="17">
        <f ca="1">IFERROR(IF(MAX('SORT IMPORT'!$A$13:$A$408)&gt;ROW()-ROW($A$5)-1,INDEX( PRODUKTE,  VLOOKUP(ROW()-ROW($A$5),zeilenindizes,2)+INDEX(prodRowOffset,L$3),  MATCH(L$2,OFFSET(INDEXNAMEN,L$3,0),0)),""),"")</f>
        <v>8</v>
      </c>
      <c r="M22" s="17">
        <f ca="1">IFERROR(IF(MAX('SORT IMPORT'!$A$13:$A$408)&gt;ROW()-ROW($A$5)-1,INDEX( PRODUKTE,  VLOOKUP(ROW()-ROW($A$5),zeilenindizes,2)+INDEX(prodRowOffset,M$3),  MATCH(M$2,OFFSET(INDEXNAMEN,M$3,0),0)),""),"")</f>
        <v>30</v>
      </c>
      <c r="N22" s="17">
        <f ca="1">IFERROR(IF(MAX('SORT IMPORT'!$A$13:$A$408)&gt;ROW()-ROW($A$5)-1,INDEX( PRODUKTE,  VLOOKUP(ROW()-ROW($A$5),zeilenindizes,2)+INDEX(prodRowOffset,N$3),  MATCH(N$2,OFFSET(INDEXNAMEN,N$3,0),0)),""),"")</f>
        <v>1</v>
      </c>
      <c r="O22" s="17">
        <f ca="1">IFERROR(IF(MAX('SORT IMPORT'!$A$13:$A$408)&gt;ROW()-ROW($A$5)-1,INDEX( PRODUKTE,  VLOOKUP(ROW()-ROW($A$5),zeilenindizes,2)+INDEX(prodRowOffset,O$3),  MATCH(O$2,OFFSET(INDEXNAMEN,O$3,0),0)),""),"")</f>
        <v>1</v>
      </c>
      <c r="P22" s="17">
        <f ca="1">IFERROR(IF(MAX('SORT IMPORT'!$A$13:$A$408)&gt;ROW()-ROW($A$5)-1,INDEX( PRODUKTE,  VLOOKUP(ROW()-ROW($A$5),zeilenindizes,2)+INDEX(prodRowOffset,P$3),  MATCH(P$2,OFFSET(INDEXNAMEN,P$3,0),0)),""),"")</f>
        <v>0</v>
      </c>
      <c r="Q22" s="17">
        <f ca="1">IFERROR(IF(MAX('SORT IMPORT'!$A$13:$A$408)&gt;ROW()-ROW($A$5)-1,INDEX( PRODUKTE,  VLOOKUP(ROW()-ROW($A$5),zeilenindizes,2)+INDEX(prodRowOffset,Q$3),  MATCH(Q$2,OFFSET(INDEXNAMEN,Q$3,0),0)),""),"")</f>
        <v>1</v>
      </c>
      <c r="R22" s="17">
        <f ca="1">IFERROR(IF(MAX('SORT IMPORT'!$A$13:$A$408)&gt;ROW()-ROW($A$5)-1,INDEX( PRODUKTE,  VLOOKUP(ROW()-ROW($A$5),zeilenindizes,2)+INDEX(prodRowOffset,R$3),  MATCH(R$2,OFFSET(INDEXNAMEN,R$3,0),0)),""),"")</f>
        <v>1</v>
      </c>
      <c r="S22" s="17">
        <f ca="1">IFERROR(IF(MAX('SORT IMPORT'!$A$13:$A$408)&gt;ROW()-ROW($A$5)-1,INDEX( PRODUKTE,  VLOOKUP(ROW()-ROW($A$5),zeilenindizes,2)+INDEX(prodRowOffset,S$3),  MATCH(S$2,OFFSET(INDEXNAMEN,S$3,0),0)),""),"")</f>
        <v>0</v>
      </c>
      <c r="T22" s="17">
        <f ca="1">IFERROR(IF(MAX('SORT IMPORT'!$A$13:$A$408)&gt;ROW()-ROW($A$5)-1,INDEX( PRODUKTE,  VLOOKUP(ROW()-ROW($A$5),zeilenindizes,2)+INDEX(prodRowOffset,T$3),  MATCH(T$2,OFFSET(INDEXNAMEN,T$3,0),0)),""),"")</f>
        <v>1</v>
      </c>
      <c r="U22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84</v>
      </c>
      <c r="V22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22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22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22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22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22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22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22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22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22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84</v>
      </c>
      <c r="AF22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16</v>
      </c>
      <c r="AG22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22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22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22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22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22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22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22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22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864</v>
      </c>
      <c r="AP22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40</v>
      </c>
      <c r="AQ22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22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20</v>
      </c>
      <c r="AS22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22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22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22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206</v>
      </c>
      <c r="AW22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22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22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22" s="17">
        <v>91</v>
      </c>
      <c r="BA22" s="17">
        <v>2</v>
      </c>
      <c r="BB22" s="17">
        <v>30</v>
      </c>
      <c r="CM22" s="182"/>
      <c r="CN22" s="182"/>
      <c r="CO22" s="182"/>
      <c r="CP22" s="182"/>
      <c r="CQ22" s="182"/>
      <c r="CR22" s="182"/>
      <c r="CS22" s="182"/>
      <c r="CT22" s="182"/>
      <c r="CU22" s="182"/>
      <c r="CV22" s="182"/>
      <c r="CW22" s="182">
        <v>57</v>
      </c>
      <c r="CX22" s="183" t="s">
        <v>1101</v>
      </c>
    </row>
    <row r="23" spans="6:102" ht="22.5" customHeight="1" x14ac:dyDescent="0.3">
      <c r="F23" s="17" t="str">
        <f ca="1">IFERROR(IF(MAX('SORT IMPORT'!$A$13:$A$408)&gt;ROW()-ROW($A$5)-1,INDEX( PRODUKTE,  VLOOKUP(ROW()-ROW($A$5),zeilenindizes,2)+INDEX(prodRowOffset,F$3),  MATCH(F$2,OFFSET(INDEXNAMEN,F$3,0),0)),""),"")</f>
        <v>TS 93 GSR EN 2-5</v>
      </c>
      <c r="G23" s="17" t="str">
        <f ca="1">IFERROR(IF(MAX('SORT IMPORT'!$A$13:$A$408)&gt;ROW()-ROW($A$5)-1,INDEX( PRODUKTE,  VLOOKUP(ROW()-ROW($A$5),zeilenindizes,2)+INDEX(prodRowOffset,G$3),  MATCH(G$2,OFFSET(INDEXNAMEN,G$3,0),0)),""),"")</f>
        <v>G</v>
      </c>
      <c r="H23" s="17" t="str">
        <f ca="1">IFERROR(IF(MAX('SORT IMPORT'!$A$13:$A$408)&gt;ROW()-ROW($A$5)-1,INDEX( PRODUKTE,  VLOOKUP(ROW()-ROW($A$5),zeilenindizes,2)+INDEX(prodRowOffset,H$3),  MATCH(H$2,OFFSET(INDEXNAMEN,H$3,0),0)),""),"")</f>
        <v>93 B</v>
      </c>
      <c r="I23" s="17" t="str">
        <f ca="1">IFERROR(IF(MAX('SORT IMPORT'!$A$13:$A$408)&gt;ROW()-ROW($A$5)-1,INDEX( PRODUKTE,  VLOOKUP(ROW()-ROW($A$5),zeilenindizes,2)+INDEX(prodRowOffset,I$3),  MATCH(I$2,OFFSET(INDEXNAMEN,I$3,0),0)),""),"")</f>
        <v>V</v>
      </c>
      <c r="J23" s="17" t="str">
        <f ca="1">IFERROR(IF(MAX('SORT IMPORT'!$A$13:$A$408)&gt;ROW()-ROW($A$5)-1,INDEX( PRODUKTE,  VLOOKUP(ROW()-ROW($A$5),zeilenindizes,2)+INDEX(prodRowOffset,J$3),  MATCH(J$2,OFFSET(INDEXNAMEN,J$3,0),0)),""),"")</f>
        <v/>
      </c>
      <c r="K23" s="17">
        <f ca="1">IFERROR(IF(MAX('SORT IMPORT'!$A$13:$A$408)&gt;ROW()-ROW($A$5)-1,INDEX( PRODUKTE,  VLOOKUP(ROW()-ROW($A$5),zeilenindizes,2)+INDEX(prodRowOffset,K$3),  MATCH(K$2,OFFSET(INDEXNAMEN,K$3,0),0)),""),"")</f>
        <v>1</v>
      </c>
      <c r="L23" s="17">
        <f ca="1">IFERROR(IF(MAX('SORT IMPORT'!$A$13:$A$408)&gt;ROW()-ROW($A$5)-1,INDEX( PRODUKTE,  VLOOKUP(ROW()-ROW($A$5),zeilenindizes,2)+INDEX(prodRowOffset,L$3),  MATCH(L$2,OFFSET(INDEXNAMEN,L$3,0),0)),""),"")</f>
        <v>16</v>
      </c>
      <c r="M23" s="17">
        <f ca="1">IFERROR(IF(MAX('SORT IMPORT'!$A$13:$A$408)&gt;ROW()-ROW($A$5)-1,INDEX( PRODUKTE,  VLOOKUP(ROW()-ROW($A$5),zeilenindizes,2)+INDEX(prodRowOffset,M$3),  MATCH(M$2,OFFSET(INDEXNAMEN,M$3,0),0)),""),"")</f>
        <v>30</v>
      </c>
      <c r="N23" s="17">
        <f ca="1">IFERROR(IF(MAX('SORT IMPORT'!$A$13:$A$408)&gt;ROW()-ROW($A$5)-1,INDEX( PRODUKTE,  VLOOKUP(ROW()-ROW($A$5),zeilenindizes,2)+INDEX(prodRowOffset,N$3),  MATCH(N$2,OFFSET(INDEXNAMEN,N$3,0),0)),""),"")</f>
        <v>2</v>
      </c>
      <c r="O23" s="17">
        <f ca="1">IFERROR(IF(MAX('SORT IMPORT'!$A$13:$A$408)&gt;ROW()-ROW($A$5)-1,INDEX( PRODUKTE,  VLOOKUP(ROW()-ROW($A$5),zeilenindizes,2)+INDEX(prodRowOffset,O$3),  MATCH(O$2,OFFSET(INDEXNAMEN,O$3,0),0)),""),"")</f>
        <v>0</v>
      </c>
      <c r="P23" s="17">
        <f ca="1">IFERROR(IF(MAX('SORT IMPORT'!$A$13:$A$408)&gt;ROW()-ROW($A$5)-1,INDEX( PRODUKTE,  VLOOKUP(ROW()-ROW($A$5),zeilenindizes,2)+INDEX(prodRowOffset,P$3),  MATCH(P$2,OFFSET(INDEXNAMEN,P$3,0),0)),""),"")</f>
        <v>0</v>
      </c>
      <c r="Q23" s="17">
        <f ca="1">IFERROR(IF(MAX('SORT IMPORT'!$A$13:$A$408)&gt;ROW()-ROW($A$5)-1,INDEX( PRODUKTE,  VLOOKUP(ROW()-ROW($A$5),zeilenindizes,2)+INDEX(prodRowOffset,Q$3),  MATCH(Q$2,OFFSET(INDEXNAMEN,Q$3,0),0)),""),"")</f>
        <v>1</v>
      </c>
      <c r="R23" s="17">
        <f ca="1">IFERROR(IF(MAX('SORT IMPORT'!$A$13:$A$408)&gt;ROW()-ROW($A$5)-1,INDEX( PRODUKTE,  VLOOKUP(ROW()-ROW($A$5),zeilenindizes,2)+INDEX(prodRowOffset,R$3),  MATCH(R$2,OFFSET(INDEXNAMEN,R$3,0),0)),""),"")</f>
        <v>1</v>
      </c>
      <c r="S23" s="17">
        <f ca="1">IFERROR(IF(MAX('SORT IMPORT'!$A$13:$A$408)&gt;ROW()-ROW($A$5)-1,INDEX( PRODUKTE,  VLOOKUP(ROW()-ROW($A$5),zeilenindizes,2)+INDEX(prodRowOffset,S$3),  MATCH(S$2,OFFSET(INDEXNAMEN,S$3,0),0)),""),"")</f>
        <v>1</v>
      </c>
      <c r="T23" s="17">
        <f ca="1">IFERROR(IF(MAX('SORT IMPORT'!$A$13:$A$408)&gt;ROW()-ROW($A$5)-1,INDEX( PRODUKTE,  VLOOKUP(ROW()-ROW($A$5),zeilenindizes,2)+INDEX(prodRowOffset,T$3),  MATCH(T$2,OFFSET(INDEXNAMEN,T$3,0),0)),""),"")</f>
        <v>1</v>
      </c>
      <c r="U23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84</v>
      </c>
      <c r="V23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23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23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23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23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23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23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23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23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23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84</v>
      </c>
      <c r="AF23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13</v>
      </c>
      <c r="AG23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23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23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23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23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23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23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23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23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23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34</v>
      </c>
      <c r="AQ23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23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17</v>
      </c>
      <c r="AS23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23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23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23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51</v>
      </c>
      <c r="AW23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23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23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23" s="17">
        <v>91</v>
      </c>
      <c r="BA23" s="17">
        <v>3</v>
      </c>
      <c r="BB23" s="17">
        <v>0</v>
      </c>
      <c r="CM23" s="182"/>
      <c r="CN23" s="182"/>
      <c r="CO23" s="182"/>
      <c r="CP23" s="182"/>
      <c r="CQ23" s="182"/>
      <c r="CR23" s="182"/>
      <c r="CS23" s="182"/>
      <c r="CT23" s="182"/>
      <c r="CU23" s="182"/>
      <c r="CV23" s="182"/>
      <c r="CW23" s="182">
        <v>57</v>
      </c>
      <c r="CX23" s="183" t="s">
        <v>1102</v>
      </c>
    </row>
    <row r="24" spans="6:102" ht="22.5" customHeight="1" x14ac:dyDescent="0.3">
      <c r="F24" s="17" t="str">
        <f ca="1">IFERROR(IF(MAX('SORT IMPORT'!$A$13:$A$408)&gt;ROW()-ROW($A$5)-1,INDEX( PRODUKTE,  VLOOKUP(ROW()-ROW($A$5),zeilenindizes,2)+INDEX(prodRowOffset,F$3),  MATCH(F$2,OFFSET(INDEXNAMEN,F$3,0),0)),""),"")</f>
        <v>TS 93 GSR RF EN 2-5</v>
      </c>
      <c r="G24" s="17" t="str">
        <f ca="1">IFERROR(IF(MAX('SORT IMPORT'!$A$13:$A$408)&gt;ROW()-ROW($A$5)-1,INDEX( PRODUKTE,  VLOOKUP(ROW()-ROW($A$5),zeilenindizes,2)+INDEX(prodRowOffset,G$3),  MATCH(G$2,OFFSET(INDEXNAMEN,G$3,0),0)),""),"")</f>
        <v>G</v>
      </c>
      <c r="H24" s="17" t="str">
        <f ca="1">IFERROR(IF(MAX('SORT IMPORT'!$A$13:$A$408)&gt;ROW()-ROW($A$5)-1,INDEX( PRODUKTE,  VLOOKUP(ROW()-ROW($A$5),zeilenindizes,2)+INDEX(prodRowOffset,H$3),  MATCH(H$2,OFFSET(INDEXNAMEN,H$3,0),0)),""),"")</f>
        <v>93 B</v>
      </c>
      <c r="I24" s="17" t="str">
        <f ca="1">IFERROR(IF(MAX('SORT IMPORT'!$A$13:$A$408)&gt;ROW()-ROW($A$5)-1,INDEX( PRODUKTE,  VLOOKUP(ROW()-ROW($A$5),zeilenindizes,2)+INDEX(prodRowOffset,I$3),  MATCH(I$2,OFFSET(INDEXNAMEN,I$3,0),0)),""),"")</f>
        <v>V</v>
      </c>
      <c r="J24" s="17" t="str">
        <f ca="1">IFERROR(IF(MAX('SORT IMPORT'!$A$13:$A$408)&gt;ROW()-ROW($A$5)-1,INDEX( PRODUKTE,  VLOOKUP(ROW()-ROW($A$5),zeilenindizes,2)+INDEX(prodRowOffset,J$3),  MATCH(J$2,OFFSET(INDEXNAMEN,J$3,0),0)),""),"")</f>
        <v/>
      </c>
      <c r="K24" s="17">
        <f ca="1">IFERROR(IF(MAX('SORT IMPORT'!$A$13:$A$408)&gt;ROW()-ROW($A$5)-1,INDEX( PRODUKTE,  VLOOKUP(ROW()-ROW($A$5),zeilenindizes,2)+INDEX(prodRowOffset,K$3),  MATCH(K$2,OFFSET(INDEXNAMEN,K$3,0),0)),""),"")</f>
        <v>1</v>
      </c>
      <c r="L24" s="17">
        <f ca="1">IFERROR(IF(MAX('SORT IMPORT'!$A$13:$A$408)&gt;ROW()-ROW($A$5)-1,INDEX( PRODUKTE,  VLOOKUP(ROW()-ROW($A$5),zeilenindizes,2)+INDEX(prodRowOffset,L$3),  MATCH(L$2,OFFSET(INDEXNAMEN,L$3,0),0)),""),"")</f>
        <v>32</v>
      </c>
      <c r="M24" s="17">
        <f ca="1">IFERROR(IF(MAX('SORT IMPORT'!$A$13:$A$408)&gt;ROW()-ROW($A$5)-1,INDEX( PRODUKTE,  VLOOKUP(ROW()-ROW($A$5),zeilenindizes,2)+INDEX(prodRowOffset,M$3),  MATCH(M$2,OFFSET(INDEXNAMEN,M$3,0),0)),""),"")</f>
        <v>30</v>
      </c>
      <c r="N24" s="17">
        <f ca="1">IFERROR(IF(MAX('SORT IMPORT'!$A$13:$A$408)&gt;ROW()-ROW($A$5)-1,INDEX( PRODUKTE,  VLOOKUP(ROW()-ROW($A$5),zeilenindizes,2)+INDEX(prodRowOffset,N$3),  MATCH(N$2,OFFSET(INDEXNAMEN,N$3,0),0)),""),"")</f>
        <v>2</v>
      </c>
      <c r="O24" s="17">
        <f ca="1">IFERROR(IF(MAX('SORT IMPORT'!$A$13:$A$408)&gt;ROW()-ROW($A$5)-1,INDEX( PRODUKTE,  VLOOKUP(ROW()-ROW($A$5),zeilenindizes,2)+INDEX(prodRowOffset,O$3),  MATCH(O$2,OFFSET(INDEXNAMEN,O$3,0),0)),""),"")</f>
        <v>0</v>
      </c>
      <c r="P24" s="17">
        <f ca="1">IFERROR(IF(MAX('SORT IMPORT'!$A$13:$A$408)&gt;ROW()-ROW($A$5)-1,INDEX( PRODUKTE,  VLOOKUP(ROW()-ROW($A$5),zeilenindizes,2)+INDEX(prodRowOffset,P$3),  MATCH(P$2,OFFSET(INDEXNAMEN,P$3,0),0)),""),"")</f>
        <v>0</v>
      </c>
      <c r="Q24" s="17">
        <f ca="1">IFERROR(IF(MAX('SORT IMPORT'!$A$13:$A$408)&gt;ROW()-ROW($A$5)-1,INDEX( PRODUKTE,  VLOOKUP(ROW()-ROW($A$5),zeilenindizes,2)+INDEX(prodRowOffset,Q$3),  MATCH(Q$2,OFFSET(INDEXNAMEN,Q$3,0),0)),""),"")</f>
        <v>0</v>
      </c>
      <c r="R24" s="17">
        <f ca="1">IFERROR(IF(MAX('SORT IMPORT'!$A$13:$A$408)&gt;ROW()-ROW($A$5)-1,INDEX( PRODUKTE,  VLOOKUP(ROW()-ROW($A$5),zeilenindizes,2)+INDEX(prodRowOffset,R$3),  MATCH(R$2,OFFSET(INDEXNAMEN,R$3,0),0)),""),"")</f>
        <v>1</v>
      </c>
      <c r="S24" s="17">
        <f ca="1">IFERROR(IF(MAX('SORT IMPORT'!$A$13:$A$408)&gt;ROW()-ROW($A$5)-1,INDEX( PRODUKTE,  VLOOKUP(ROW()-ROW($A$5),zeilenindizes,2)+INDEX(prodRowOffset,S$3),  MATCH(S$2,OFFSET(INDEXNAMEN,S$3,0),0)),""),"")</f>
        <v>1</v>
      </c>
      <c r="T24" s="17">
        <f ca="1">IFERROR(IF(MAX('SORT IMPORT'!$A$13:$A$408)&gt;ROW()-ROW($A$5)-1,INDEX( PRODUKTE,  VLOOKUP(ROW()-ROW($A$5),zeilenindizes,2)+INDEX(prodRowOffset,T$3),  MATCH(T$2,OFFSET(INDEXNAMEN,T$3,0),0)),""),"")</f>
        <v>1</v>
      </c>
      <c r="U24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84</v>
      </c>
      <c r="V24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24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24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24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24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24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24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24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24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24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84</v>
      </c>
      <c r="AF24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13</v>
      </c>
      <c r="AG24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24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24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24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24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24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24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24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24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24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34</v>
      </c>
      <c r="AQ24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24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17</v>
      </c>
      <c r="AS24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24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24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24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51</v>
      </c>
      <c r="AW24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24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24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24" s="17">
        <v>91</v>
      </c>
      <c r="BA24" s="17">
        <v>4</v>
      </c>
      <c r="BB24" s="17">
        <v>0</v>
      </c>
      <c r="CW24" s="182">
        <v>62</v>
      </c>
      <c r="CX24" s="183" t="s">
        <v>1133</v>
      </c>
    </row>
    <row r="25" spans="6:102" ht="22.5" customHeight="1" x14ac:dyDescent="0.3">
      <c r="F25" s="17" t="str">
        <f ca="1">IFERROR(IF(MAX('SORT IMPORT'!$A$13:$A$408)&gt;ROW()-ROW($A$5)-1,INDEX( PRODUKTE,  VLOOKUP(ROW()-ROW($A$5),zeilenindizes,2)+INDEX(prodRowOffset,F$3),  MATCH(F$2,OFFSET(INDEXNAMEN,F$3,0),0)),""),"")</f>
        <v>TS 93 GSR-EMF 1 EN 2-5</v>
      </c>
      <c r="G25" s="17" t="str">
        <f ca="1">IFERROR(IF(MAX('SORT IMPORT'!$A$13:$A$408)&gt;ROW()-ROW($A$5)-1,INDEX( PRODUKTE,  VLOOKUP(ROW()-ROW($A$5),zeilenindizes,2)+INDEX(prodRowOffset,G$3),  MATCH(G$2,OFFSET(INDEXNAMEN,G$3,0),0)),""),"")</f>
        <v>G</v>
      </c>
      <c r="H25" s="17" t="str">
        <f ca="1">IFERROR(IF(MAX('SORT IMPORT'!$A$13:$A$408)&gt;ROW()-ROW($A$5)-1,INDEX( PRODUKTE,  VLOOKUP(ROW()-ROW($A$5),zeilenindizes,2)+INDEX(prodRowOffset,H$3),  MATCH(H$2,OFFSET(INDEXNAMEN,H$3,0),0)),""),"")</f>
        <v>93 B</v>
      </c>
      <c r="I25" s="17" t="str">
        <f ca="1">IFERROR(IF(MAX('SORT IMPORT'!$A$13:$A$408)&gt;ROW()-ROW($A$5)-1,INDEX( PRODUKTE,  VLOOKUP(ROW()-ROW($A$5),zeilenindizes,2)+INDEX(prodRowOffset,I$3),  MATCH(I$2,OFFSET(INDEXNAMEN,I$3,0),0)),""),"")</f>
        <v>V</v>
      </c>
      <c r="J25" s="17" t="str">
        <f ca="1">IFERROR(IF(MAX('SORT IMPORT'!$A$13:$A$408)&gt;ROW()-ROW($A$5)-1,INDEX( PRODUKTE,  VLOOKUP(ROW()-ROW($A$5),zeilenindizes,2)+INDEX(prodRowOffset,J$3),  MATCH(J$2,OFFSET(INDEXNAMEN,J$3,0),0)),""),"")</f>
        <v>E</v>
      </c>
      <c r="K25" s="17">
        <f ca="1">IFERROR(IF(MAX('SORT IMPORT'!$A$13:$A$408)&gt;ROW()-ROW($A$5)-1,INDEX( PRODUKTE,  VLOOKUP(ROW()-ROW($A$5),zeilenindizes,2)+INDEX(prodRowOffset,K$3),  MATCH(K$2,OFFSET(INDEXNAMEN,K$3,0),0)),""),"")</f>
        <v>1</v>
      </c>
      <c r="L25" s="17">
        <f ca="1">IFERROR(IF(MAX('SORT IMPORT'!$A$13:$A$408)&gt;ROW()-ROW($A$5)-1,INDEX( PRODUKTE,  VLOOKUP(ROW()-ROW($A$5),zeilenindizes,2)+INDEX(prodRowOffset,L$3),  MATCH(L$2,OFFSET(INDEXNAMEN,L$3,0),0)),""),"")</f>
        <v>64</v>
      </c>
      <c r="M25" s="17">
        <f ca="1">IFERROR(IF(MAX('SORT IMPORT'!$A$13:$A$408)&gt;ROW()-ROW($A$5)-1,INDEX( PRODUKTE,  VLOOKUP(ROW()-ROW($A$5),zeilenindizes,2)+INDEX(prodRowOffset,M$3),  MATCH(M$2,OFFSET(INDEXNAMEN,M$3,0),0)),""),"")</f>
        <v>30</v>
      </c>
      <c r="N25" s="17">
        <f ca="1">IFERROR(IF(MAX('SORT IMPORT'!$A$13:$A$408)&gt;ROW()-ROW($A$5)-1,INDEX( PRODUKTE,  VLOOKUP(ROW()-ROW($A$5),zeilenindizes,2)+INDEX(prodRowOffset,N$3),  MATCH(N$2,OFFSET(INDEXNAMEN,N$3,0),0)),""),"")</f>
        <v>2</v>
      </c>
      <c r="O25" s="17">
        <f ca="1">IFERROR(IF(MAX('SORT IMPORT'!$A$13:$A$408)&gt;ROW()-ROW($A$5)-1,INDEX( PRODUKTE,  VLOOKUP(ROW()-ROW($A$5),zeilenindizes,2)+INDEX(prodRowOffset,O$3),  MATCH(O$2,OFFSET(INDEXNAMEN,O$3,0),0)),""),"")</f>
        <v>2</v>
      </c>
      <c r="P25" s="17">
        <f ca="1">IFERROR(IF(MAX('SORT IMPORT'!$A$13:$A$408)&gt;ROW()-ROW($A$5)-1,INDEX( PRODUKTE,  VLOOKUP(ROW()-ROW($A$5),zeilenindizes,2)+INDEX(prodRowOffset,P$3),  MATCH(P$2,OFFSET(INDEXNAMEN,P$3,0),0)),""),"")</f>
        <v>0</v>
      </c>
      <c r="Q25" s="17">
        <f ca="1">IFERROR(IF(MAX('SORT IMPORT'!$A$13:$A$408)&gt;ROW()-ROW($A$5)-1,INDEX( PRODUKTE,  VLOOKUP(ROW()-ROW($A$5),zeilenindizes,2)+INDEX(prodRowOffset,Q$3),  MATCH(Q$2,OFFSET(INDEXNAMEN,Q$3,0),0)),""),"")</f>
        <v>1</v>
      </c>
      <c r="R25" s="17">
        <f ca="1">IFERROR(IF(MAX('SORT IMPORT'!$A$13:$A$408)&gt;ROW()-ROW($A$5)-1,INDEX( PRODUKTE,  VLOOKUP(ROW()-ROW($A$5),zeilenindizes,2)+INDEX(prodRowOffset,R$3),  MATCH(R$2,OFFSET(INDEXNAMEN,R$3,0),0)),""),"")</f>
        <v>1</v>
      </c>
      <c r="S25" s="17">
        <f ca="1">IFERROR(IF(MAX('SORT IMPORT'!$A$13:$A$408)&gt;ROW()-ROW($A$5)-1,INDEX( PRODUKTE,  VLOOKUP(ROW()-ROW($A$5),zeilenindizes,2)+INDEX(prodRowOffset,S$3),  MATCH(S$2,OFFSET(INDEXNAMEN,S$3,0),0)),""),"")</f>
        <v>1</v>
      </c>
      <c r="T25" s="17">
        <f ca="1">IFERROR(IF(MAX('SORT IMPORT'!$A$13:$A$408)&gt;ROW()-ROW($A$5)-1,INDEX( PRODUKTE,  VLOOKUP(ROW()-ROW($A$5),zeilenindizes,2)+INDEX(prodRowOffset,T$3),  MATCH(T$2,OFFSET(INDEXNAMEN,T$3,0),0)),""),"")</f>
        <v>1</v>
      </c>
      <c r="U25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84</v>
      </c>
      <c r="V25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25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25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25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25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25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25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25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25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25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84</v>
      </c>
      <c r="AF25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13</v>
      </c>
      <c r="AG25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25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25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25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25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25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25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25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25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25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25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25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25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25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25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25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25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25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25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25" s="17">
        <v>91</v>
      </c>
      <c r="BA25" s="17">
        <v>5</v>
      </c>
      <c r="BB25" s="17">
        <v>0</v>
      </c>
      <c r="CW25" s="182">
        <v>57</v>
      </c>
      <c r="CX25" s="183" t="s">
        <v>1134</v>
      </c>
    </row>
    <row r="26" spans="6:102" ht="22.5" customHeight="1" x14ac:dyDescent="0.3">
      <c r="F26" s="17" t="str">
        <f ca="1">IFERROR(IF(MAX('SORT IMPORT'!$A$13:$A$408)&gt;ROW()-ROW($A$5)-1,INDEX( PRODUKTE,  VLOOKUP(ROW()-ROW($A$5),zeilenindizes,2)+INDEX(prodRowOffset,F$3),  MATCH(F$2,OFFSET(INDEXNAMEN,F$3,0),0)),""),"")</f>
        <v>TS 93 GSR-EMF 1G EN 2-5</v>
      </c>
      <c r="G26" s="17" t="str">
        <f ca="1">IFERROR(IF(MAX('SORT IMPORT'!$A$13:$A$408)&gt;ROW()-ROW($A$5)-1,INDEX( PRODUKTE,  VLOOKUP(ROW()-ROW($A$5),zeilenindizes,2)+INDEX(prodRowOffset,G$3),  MATCH(G$2,OFFSET(INDEXNAMEN,G$3,0),0)),""),"")</f>
        <v>G</v>
      </c>
      <c r="H26" s="17" t="str">
        <f ca="1">IFERROR(IF(MAX('SORT IMPORT'!$A$13:$A$408)&gt;ROW()-ROW($A$5)-1,INDEX( PRODUKTE,  VLOOKUP(ROW()-ROW($A$5),zeilenindizes,2)+INDEX(prodRowOffset,H$3),  MATCH(H$2,OFFSET(INDEXNAMEN,H$3,0),0)),""),"")</f>
        <v>93 B</v>
      </c>
      <c r="I26" s="17" t="str">
        <f ca="1">IFERROR(IF(MAX('SORT IMPORT'!$A$13:$A$408)&gt;ROW()-ROW($A$5)-1,INDEX( PRODUKTE,  VLOOKUP(ROW()-ROW($A$5),zeilenindizes,2)+INDEX(prodRowOffset,I$3),  MATCH(I$2,OFFSET(INDEXNAMEN,I$3,0),0)),""),"")</f>
        <v>V</v>
      </c>
      <c r="J26" s="17" t="str">
        <f ca="1">IFERROR(IF(MAX('SORT IMPORT'!$A$13:$A$408)&gt;ROW()-ROW($A$5)-1,INDEX( PRODUKTE,  VLOOKUP(ROW()-ROW($A$5),zeilenindizes,2)+INDEX(prodRowOffset,J$3),  MATCH(J$2,OFFSET(INDEXNAMEN,J$3,0),0)),""),"")</f>
        <v>E</v>
      </c>
      <c r="K26" s="17">
        <f ca="1">IFERROR(IF(MAX('SORT IMPORT'!$A$13:$A$408)&gt;ROW()-ROW($A$5)-1,INDEX( PRODUKTE,  VLOOKUP(ROW()-ROW($A$5),zeilenindizes,2)+INDEX(prodRowOffset,K$3),  MATCH(K$2,OFFSET(INDEXNAMEN,K$3,0),0)),""),"")</f>
        <v>1</v>
      </c>
      <c r="L26" s="17">
        <f ca="1">IFERROR(IF(MAX('SORT IMPORT'!$A$13:$A$408)&gt;ROW()-ROW($A$5)-1,INDEX( PRODUKTE,  VLOOKUP(ROW()-ROW($A$5),zeilenindizes,2)+INDEX(prodRowOffset,L$3),  MATCH(L$2,OFFSET(INDEXNAMEN,L$3,0),0)),""),"")</f>
        <v>128</v>
      </c>
      <c r="M26" s="17">
        <f ca="1">IFERROR(IF(MAX('SORT IMPORT'!$A$13:$A$408)&gt;ROW()-ROW($A$5)-1,INDEX( PRODUKTE,  VLOOKUP(ROW()-ROW($A$5),zeilenindizes,2)+INDEX(prodRowOffset,M$3),  MATCH(M$2,OFFSET(INDEXNAMEN,M$3,0),0)),""),"")</f>
        <v>30</v>
      </c>
      <c r="N26" s="17">
        <f ca="1">IFERROR(IF(MAX('SORT IMPORT'!$A$13:$A$408)&gt;ROW()-ROW($A$5)-1,INDEX( PRODUKTE,  VLOOKUP(ROW()-ROW($A$5),zeilenindizes,2)+INDEX(prodRowOffset,N$3),  MATCH(N$2,OFFSET(INDEXNAMEN,N$3,0),0)),""),"")</f>
        <v>2</v>
      </c>
      <c r="O26" s="17">
        <f ca="1">IFERROR(IF(MAX('SORT IMPORT'!$A$13:$A$408)&gt;ROW()-ROW($A$5)-1,INDEX( PRODUKTE,  VLOOKUP(ROW()-ROW($A$5),zeilenindizes,2)+INDEX(prodRowOffset,O$3),  MATCH(O$2,OFFSET(INDEXNAMEN,O$3,0),0)),""),"")</f>
        <v>2</v>
      </c>
      <c r="P26" s="17">
        <f ca="1">IFERROR(IF(MAX('SORT IMPORT'!$A$13:$A$408)&gt;ROW()-ROW($A$5)-1,INDEX( PRODUKTE,  VLOOKUP(ROW()-ROW($A$5),zeilenindizes,2)+INDEX(prodRowOffset,P$3),  MATCH(P$2,OFFSET(INDEXNAMEN,P$3,0),0)),""),"")</f>
        <v>0</v>
      </c>
      <c r="Q26" s="17">
        <f ca="1">IFERROR(IF(MAX('SORT IMPORT'!$A$13:$A$408)&gt;ROW()-ROW($A$5)-1,INDEX( PRODUKTE,  VLOOKUP(ROW()-ROW($A$5),zeilenindizes,2)+INDEX(prodRowOffset,Q$3),  MATCH(Q$2,OFFSET(INDEXNAMEN,Q$3,0),0)),""),"")</f>
        <v>1</v>
      </c>
      <c r="R26" s="17">
        <f ca="1">IFERROR(IF(MAX('SORT IMPORT'!$A$13:$A$408)&gt;ROW()-ROW($A$5)-1,INDEX( PRODUKTE,  VLOOKUP(ROW()-ROW($A$5),zeilenindizes,2)+INDEX(prodRowOffset,R$3),  MATCH(R$2,OFFSET(INDEXNAMEN,R$3,0),0)),""),"")</f>
        <v>1</v>
      </c>
      <c r="S26" s="17">
        <f ca="1">IFERROR(IF(MAX('SORT IMPORT'!$A$13:$A$408)&gt;ROW()-ROW($A$5)-1,INDEX( PRODUKTE,  VLOOKUP(ROW()-ROW($A$5),zeilenindizes,2)+INDEX(prodRowOffset,S$3),  MATCH(S$2,OFFSET(INDEXNAMEN,S$3,0),0)),""),"")</f>
        <v>1</v>
      </c>
      <c r="T26" s="17">
        <f ca="1">IFERROR(IF(MAX('SORT IMPORT'!$A$13:$A$408)&gt;ROW()-ROW($A$5)-1,INDEX( PRODUKTE,  VLOOKUP(ROW()-ROW($A$5),zeilenindizes,2)+INDEX(prodRowOffset,T$3),  MATCH(T$2,OFFSET(INDEXNAMEN,T$3,0),0)),""),"")</f>
        <v>1</v>
      </c>
      <c r="U26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84</v>
      </c>
      <c r="V26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26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26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26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26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26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26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26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26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26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84</v>
      </c>
      <c r="AF26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13</v>
      </c>
      <c r="AG26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26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26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26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26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26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26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26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26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26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26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26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26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26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26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26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26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26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26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26" s="17">
        <v>99</v>
      </c>
      <c r="BA26" s="17">
        <v>1</v>
      </c>
      <c r="BB26" s="17">
        <v>10</v>
      </c>
      <c r="CW26" s="182">
        <v>24</v>
      </c>
      <c r="CX26" s="183" t="s">
        <v>1135</v>
      </c>
    </row>
    <row r="27" spans="6:102" ht="22.5" customHeight="1" x14ac:dyDescent="0.3">
      <c r="F27" s="17" t="str">
        <f ca="1">IFERROR(IF(MAX('SORT IMPORT'!$A$13:$A$408)&gt;ROW()-ROW($A$5)-1,INDEX( PRODUKTE,  VLOOKUP(ROW()-ROW($A$5),zeilenindizes,2)+INDEX(prodRowOffset,F$3),  MATCH(F$2,OFFSET(INDEXNAMEN,F$3,0),0)),""),"")</f>
        <v>TS 93 GSR-EMF 2 EN 2-5</v>
      </c>
      <c r="G27" s="17" t="str">
        <f ca="1">IFERROR(IF(MAX('SORT IMPORT'!$A$13:$A$408)&gt;ROW()-ROW($A$5)-1,INDEX( PRODUKTE,  VLOOKUP(ROW()-ROW($A$5),zeilenindizes,2)+INDEX(prodRowOffset,G$3),  MATCH(G$2,OFFSET(INDEXNAMEN,G$3,0),0)),""),"")</f>
        <v>G</v>
      </c>
      <c r="H27" s="17" t="str">
        <f ca="1">IFERROR(IF(MAX('SORT IMPORT'!$A$13:$A$408)&gt;ROW()-ROW($A$5)-1,INDEX( PRODUKTE,  VLOOKUP(ROW()-ROW($A$5),zeilenindizes,2)+INDEX(prodRowOffset,H$3),  MATCH(H$2,OFFSET(INDEXNAMEN,H$3,0),0)),""),"")</f>
        <v>93 B</v>
      </c>
      <c r="I27" s="17" t="str">
        <f ca="1">IFERROR(IF(MAX('SORT IMPORT'!$A$13:$A$408)&gt;ROW()-ROW($A$5)-1,INDEX( PRODUKTE,  VLOOKUP(ROW()-ROW($A$5),zeilenindizes,2)+INDEX(prodRowOffset,I$3),  MATCH(I$2,OFFSET(INDEXNAMEN,I$3,0),0)),""),"")</f>
        <v>V</v>
      </c>
      <c r="J27" s="17" t="str">
        <f ca="1">IFERROR(IF(MAX('SORT IMPORT'!$A$13:$A$408)&gt;ROW()-ROW($A$5)-1,INDEX( PRODUKTE,  VLOOKUP(ROW()-ROW($A$5),zeilenindizes,2)+INDEX(prodRowOffset,J$3),  MATCH(J$2,OFFSET(INDEXNAMEN,J$3,0),0)),""),"")</f>
        <v>E</v>
      </c>
      <c r="K27" s="17">
        <f ca="1">IFERROR(IF(MAX('SORT IMPORT'!$A$13:$A$408)&gt;ROW()-ROW($A$5)-1,INDEX( PRODUKTE,  VLOOKUP(ROW()-ROW($A$5),zeilenindizes,2)+INDEX(prodRowOffset,K$3),  MATCH(K$2,OFFSET(INDEXNAMEN,K$3,0),0)),""),"")</f>
        <v>1</v>
      </c>
      <c r="L27" s="17">
        <f ca="1">IFERROR(IF(MAX('SORT IMPORT'!$A$13:$A$408)&gt;ROW()-ROW($A$5)-1,INDEX( PRODUKTE,  VLOOKUP(ROW()-ROW($A$5),zeilenindizes,2)+INDEX(prodRowOffset,L$3),  MATCH(L$2,OFFSET(INDEXNAMEN,L$3,0),0)),""),"")</f>
        <v>256</v>
      </c>
      <c r="M27" s="17">
        <f ca="1">IFERROR(IF(MAX('SORT IMPORT'!$A$13:$A$408)&gt;ROW()-ROW($A$5)-1,INDEX( PRODUKTE,  VLOOKUP(ROW()-ROW($A$5),zeilenindizes,2)+INDEX(prodRowOffset,M$3),  MATCH(M$2,OFFSET(INDEXNAMEN,M$3,0),0)),""),"")</f>
        <v>30</v>
      </c>
      <c r="N27" s="17">
        <f ca="1">IFERROR(IF(MAX('SORT IMPORT'!$A$13:$A$408)&gt;ROW()-ROW($A$5)-1,INDEX( PRODUKTE,  VLOOKUP(ROW()-ROW($A$5),zeilenindizes,2)+INDEX(prodRowOffset,N$3),  MATCH(N$2,OFFSET(INDEXNAMEN,N$3,0),0)),""),"")</f>
        <v>2</v>
      </c>
      <c r="O27" s="17">
        <f ca="1">IFERROR(IF(MAX('SORT IMPORT'!$A$13:$A$408)&gt;ROW()-ROW($A$5)-1,INDEX( PRODUKTE,  VLOOKUP(ROW()-ROW($A$5),zeilenindizes,2)+INDEX(prodRowOffset,O$3),  MATCH(O$2,OFFSET(INDEXNAMEN,O$3,0),0)),""),"")</f>
        <v>2</v>
      </c>
      <c r="P27" s="17">
        <f ca="1">IFERROR(IF(MAX('SORT IMPORT'!$A$13:$A$408)&gt;ROW()-ROW($A$5)-1,INDEX( PRODUKTE,  VLOOKUP(ROW()-ROW($A$5),zeilenindizes,2)+INDEX(prodRowOffset,P$3),  MATCH(P$2,OFFSET(INDEXNAMEN,P$3,0),0)),""),"")</f>
        <v>0</v>
      </c>
      <c r="Q27" s="17">
        <f ca="1">IFERROR(IF(MAX('SORT IMPORT'!$A$13:$A$408)&gt;ROW()-ROW($A$5)-1,INDEX( PRODUKTE,  VLOOKUP(ROW()-ROW($A$5),zeilenindizes,2)+INDEX(prodRowOffset,Q$3),  MATCH(Q$2,OFFSET(INDEXNAMEN,Q$3,0),0)),""),"")</f>
        <v>1</v>
      </c>
      <c r="R27" s="17">
        <f ca="1">IFERROR(IF(MAX('SORT IMPORT'!$A$13:$A$408)&gt;ROW()-ROW($A$5)-1,INDEX( PRODUKTE,  VLOOKUP(ROW()-ROW($A$5),zeilenindizes,2)+INDEX(prodRowOffset,R$3),  MATCH(R$2,OFFSET(INDEXNAMEN,R$3,0),0)),""),"")</f>
        <v>1</v>
      </c>
      <c r="S27" s="17">
        <f ca="1">IFERROR(IF(MAX('SORT IMPORT'!$A$13:$A$408)&gt;ROW()-ROW($A$5)-1,INDEX( PRODUKTE,  VLOOKUP(ROW()-ROW($A$5),zeilenindizes,2)+INDEX(prodRowOffset,S$3),  MATCH(S$2,OFFSET(INDEXNAMEN,S$3,0),0)),""),"")</f>
        <v>1</v>
      </c>
      <c r="T27" s="17">
        <f ca="1">IFERROR(IF(MAX('SORT IMPORT'!$A$13:$A$408)&gt;ROW()-ROW($A$5)-1,INDEX( PRODUKTE,  VLOOKUP(ROW()-ROW($A$5),zeilenindizes,2)+INDEX(prodRowOffset,T$3),  MATCH(T$2,OFFSET(INDEXNAMEN,T$3,0),0)),""),"")</f>
        <v>1</v>
      </c>
      <c r="U27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84</v>
      </c>
      <c r="V27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27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27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27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27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27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27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27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27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27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84</v>
      </c>
      <c r="AF27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13</v>
      </c>
      <c r="AG27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27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27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27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27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27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27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27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27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27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27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27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27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27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27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27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27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27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27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27" s="17">
        <v>99</v>
      </c>
      <c r="BA27" s="17">
        <v>2</v>
      </c>
      <c r="BB27" s="17">
        <v>0</v>
      </c>
      <c r="CW27" s="182">
        <v>24</v>
      </c>
      <c r="CX27" s="183" t="s">
        <v>1136</v>
      </c>
    </row>
    <row r="28" spans="6:102" ht="22.5" customHeight="1" x14ac:dyDescent="0.3">
      <c r="F28" s="17" t="str">
        <f ca="1">IFERROR(IF(MAX('SORT IMPORT'!$A$13:$A$408)&gt;ROW()-ROW($A$5)-1,INDEX( PRODUKTE,  VLOOKUP(ROW()-ROW($A$5),zeilenindizes,2)+INDEX(prodRowOffset,F$3),  MATCH(F$2,OFFSET(INDEXNAMEN,F$3,0),0)),""),"")</f>
        <v>TS 93 GSR-EMR 1 EN 2-5</v>
      </c>
      <c r="G28" s="17" t="str">
        <f ca="1">IFERROR(IF(MAX('SORT IMPORT'!$A$13:$A$408)&gt;ROW()-ROW($A$5)-1,INDEX( PRODUKTE,  VLOOKUP(ROW()-ROW($A$5),zeilenindizes,2)+INDEX(prodRowOffset,G$3),  MATCH(G$2,OFFSET(INDEXNAMEN,G$3,0),0)),""),"")</f>
        <v>G</v>
      </c>
      <c r="H28" s="17" t="str">
        <f ca="1">IFERROR(IF(MAX('SORT IMPORT'!$A$13:$A$408)&gt;ROW()-ROW($A$5)-1,INDEX( PRODUKTE,  VLOOKUP(ROW()-ROW($A$5),zeilenindizes,2)+INDEX(prodRowOffset,H$3),  MATCH(H$2,OFFSET(INDEXNAMEN,H$3,0),0)),""),"")</f>
        <v>93 B</v>
      </c>
      <c r="I28" s="17" t="str">
        <f ca="1">IFERROR(IF(MAX('SORT IMPORT'!$A$13:$A$408)&gt;ROW()-ROW($A$5)-1,INDEX( PRODUKTE,  VLOOKUP(ROW()-ROW($A$5),zeilenindizes,2)+INDEX(prodRowOffset,I$3),  MATCH(I$2,OFFSET(INDEXNAMEN,I$3,0),0)),""),"")</f>
        <v>V</v>
      </c>
      <c r="J28" s="17" t="str">
        <f ca="1">IFERROR(IF(MAX('SORT IMPORT'!$A$13:$A$408)&gt;ROW()-ROW($A$5)-1,INDEX( PRODUKTE,  VLOOKUP(ROW()-ROW($A$5),zeilenindizes,2)+INDEX(prodRowOffset,J$3),  MATCH(J$2,OFFSET(INDEXNAMEN,J$3,0),0)),""),"")</f>
        <v>R</v>
      </c>
      <c r="K28" s="17">
        <f ca="1">IFERROR(IF(MAX('SORT IMPORT'!$A$13:$A$408)&gt;ROW()-ROW($A$5)-1,INDEX( PRODUKTE,  VLOOKUP(ROW()-ROW($A$5),zeilenindizes,2)+INDEX(prodRowOffset,K$3),  MATCH(K$2,OFFSET(INDEXNAMEN,K$3,0),0)),""),"")</f>
        <v>1</v>
      </c>
      <c r="L28" s="17">
        <f ca="1">IFERROR(IF(MAX('SORT IMPORT'!$A$13:$A$408)&gt;ROW()-ROW($A$5)-1,INDEX( PRODUKTE,  VLOOKUP(ROW()-ROW($A$5),zeilenindizes,2)+INDEX(prodRowOffset,L$3),  MATCH(L$2,OFFSET(INDEXNAMEN,L$3,0),0)),""),"")</f>
        <v>512</v>
      </c>
      <c r="M28" s="17">
        <f ca="1">IFERROR(IF(MAX('SORT IMPORT'!$A$13:$A$408)&gt;ROW()-ROW($A$5)-1,INDEX( PRODUKTE,  VLOOKUP(ROW()-ROW($A$5),zeilenindizes,2)+INDEX(prodRowOffset,M$3),  MATCH(M$2,OFFSET(INDEXNAMEN,M$3,0),0)),""),"")</f>
        <v>30</v>
      </c>
      <c r="N28" s="17">
        <f ca="1">IFERROR(IF(MAX('SORT IMPORT'!$A$13:$A$408)&gt;ROW()-ROW($A$5)-1,INDEX( PRODUKTE,  VLOOKUP(ROW()-ROW($A$5),zeilenindizes,2)+INDEX(prodRowOffset,N$3),  MATCH(N$2,OFFSET(INDEXNAMEN,N$3,0),0)),""),"")</f>
        <v>2</v>
      </c>
      <c r="O28" s="17">
        <f ca="1">IFERROR(IF(MAX('SORT IMPORT'!$A$13:$A$408)&gt;ROW()-ROW($A$5)-1,INDEX( PRODUKTE,  VLOOKUP(ROW()-ROW($A$5),zeilenindizes,2)+INDEX(prodRowOffset,O$3),  MATCH(O$2,OFFSET(INDEXNAMEN,O$3,0),0)),""),"")</f>
        <v>1</v>
      </c>
      <c r="P28" s="17">
        <f ca="1">IFERROR(IF(MAX('SORT IMPORT'!$A$13:$A$408)&gt;ROW()-ROW($A$5)-1,INDEX( PRODUKTE,  VLOOKUP(ROW()-ROW($A$5),zeilenindizes,2)+INDEX(prodRowOffset,P$3),  MATCH(P$2,OFFSET(INDEXNAMEN,P$3,0),0)),""),"")</f>
        <v>0</v>
      </c>
      <c r="Q28" s="17">
        <f ca="1">IFERROR(IF(MAX('SORT IMPORT'!$A$13:$A$408)&gt;ROW()-ROW($A$5)-1,INDEX( PRODUKTE,  VLOOKUP(ROW()-ROW($A$5),zeilenindizes,2)+INDEX(prodRowOffset,Q$3),  MATCH(Q$2,OFFSET(INDEXNAMEN,Q$3,0),0)),""),"")</f>
        <v>1</v>
      </c>
      <c r="R28" s="17">
        <f ca="1">IFERROR(IF(MAX('SORT IMPORT'!$A$13:$A$408)&gt;ROW()-ROW($A$5)-1,INDEX( PRODUKTE,  VLOOKUP(ROW()-ROW($A$5),zeilenindizes,2)+INDEX(prodRowOffset,R$3),  MATCH(R$2,OFFSET(INDEXNAMEN,R$3,0),0)),""),"")</f>
        <v>1</v>
      </c>
      <c r="S28" s="17">
        <f ca="1">IFERROR(IF(MAX('SORT IMPORT'!$A$13:$A$408)&gt;ROW()-ROW($A$5)-1,INDEX( PRODUKTE,  VLOOKUP(ROW()-ROW($A$5),zeilenindizes,2)+INDEX(prodRowOffset,S$3),  MATCH(S$2,OFFSET(INDEXNAMEN,S$3,0),0)),""),"")</f>
        <v>1</v>
      </c>
      <c r="T28" s="17">
        <f ca="1">IFERROR(IF(MAX('SORT IMPORT'!$A$13:$A$408)&gt;ROW()-ROW($A$5)-1,INDEX( PRODUKTE,  VLOOKUP(ROW()-ROW($A$5),zeilenindizes,2)+INDEX(prodRowOffset,T$3),  MATCH(T$2,OFFSET(INDEXNAMEN,T$3,0),0)),""),"")</f>
        <v>1</v>
      </c>
      <c r="U28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84</v>
      </c>
      <c r="V28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28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28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28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28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28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28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28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28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28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84</v>
      </c>
      <c r="AF28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13</v>
      </c>
      <c r="AG28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28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28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28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28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28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28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28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28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28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28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28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28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28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28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28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28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28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28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28" s="17">
        <v>99</v>
      </c>
      <c r="BA28" s="17">
        <v>3</v>
      </c>
      <c r="BB28" s="17">
        <v>7</v>
      </c>
      <c r="CW28" s="182">
        <v>57</v>
      </c>
      <c r="CX28" s="183" t="s">
        <v>1137</v>
      </c>
    </row>
    <row r="29" spans="6:102" ht="22.5" customHeight="1" x14ac:dyDescent="0.3">
      <c r="F29" s="17" t="str">
        <f ca="1">IFERROR(IF(MAX('SORT IMPORT'!$A$13:$A$408)&gt;ROW()-ROW($A$5)-1,INDEX( PRODUKTE,  VLOOKUP(ROW()-ROW($A$5),zeilenindizes,2)+INDEX(prodRowOffset,F$3),  MATCH(F$2,OFFSET(INDEXNAMEN,F$3,0),0)),""),"")</f>
        <v>TS 93 GSR-EMR 1G EN 2-5</v>
      </c>
      <c r="G29" s="17" t="str">
        <f ca="1">IFERROR(IF(MAX('SORT IMPORT'!$A$13:$A$408)&gt;ROW()-ROW($A$5)-1,INDEX( PRODUKTE,  VLOOKUP(ROW()-ROW($A$5),zeilenindizes,2)+INDEX(prodRowOffset,G$3),  MATCH(G$2,OFFSET(INDEXNAMEN,G$3,0),0)),""),"")</f>
        <v>G</v>
      </c>
      <c r="H29" s="17" t="str">
        <f ca="1">IFERROR(IF(MAX('SORT IMPORT'!$A$13:$A$408)&gt;ROW()-ROW($A$5)-1,INDEX( PRODUKTE,  VLOOKUP(ROW()-ROW($A$5),zeilenindizes,2)+INDEX(prodRowOffset,H$3),  MATCH(H$2,OFFSET(INDEXNAMEN,H$3,0),0)),""),"")</f>
        <v>93 B</v>
      </c>
      <c r="I29" s="17" t="str">
        <f ca="1">IFERROR(IF(MAX('SORT IMPORT'!$A$13:$A$408)&gt;ROW()-ROW($A$5)-1,INDEX( PRODUKTE,  VLOOKUP(ROW()-ROW($A$5),zeilenindizes,2)+INDEX(prodRowOffset,I$3),  MATCH(I$2,OFFSET(INDEXNAMEN,I$3,0),0)),""),"")</f>
        <v>V</v>
      </c>
      <c r="J29" s="17" t="str">
        <f ca="1">IFERROR(IF(MAX('SORT IMPORT'!$A$13:$A$408)&gt;ROW()-ROW($A$5)-1,INDEX( PRODUKTE,  VLOOKUP(ROW()-ROW($A$5),zeilenindizes,2)+INDEX(prodRowOffset,J$3),  MATCH(J$2,OFFSET(INDEXNAMEN,J$3,0),0)),""),"")</f>
        <v>R</v>
      </c>
      <c r="K29" s="17">
        <f ca="1">IFERROR(IF(MAX('SORT IMPORT'!$A$13:$A$408)&gt;ROW()-ROW($A$5)-1,INDEX( PRODUKTE,  VLOOKUP(ROW()-ROW($A$5),zeilenindizes,2)+INDEX(prodRowOffset,K$3),  MATCH(K$2,OFFSET(INDEXNAMEN,K$3,0),0)),""),"")</f>
        <v>1</v>
      </c>
      <c r="L29" s="17">
        <f ca="1">IFERROR(IF(MAX('SORT IMPORT'!$A$13:$A$408)&gt;ROW()-ROW($A$5)-1,INDEX( PRODUKTE,  VLOOKUP(ROW()-ROW($A$5),zeilenindizes,2)+INDEX(prodRowOffset,L$3),  MATCH(L$2,OFFSET(INDEXNAMEN,L$3,0),0)),""),"")</f>
        <v>1024</v>
      </c>
      <c r="M29" s="17">
        <f ca="1">IFERROR(IF(MAX('SORT IMPORT'!$A$13:$A$408)&gt;ROW()-ROW($A$5)-1,INDEX( PRODUKTE,  VLOOKUP(ROW()-ROW($A$5),zeilenindizes,2)+INDEX(prodRowOffset,M$3),  MATCH(M$2,OFFSET(INDEXNAMEN,M$3,0),0)),""),"")</f>
        <v>30</v>
      </c>
      <c r="N29" s="17">
        <f ca="1">IFERROR(IF(MAX('SORT IMPORT'!$A$13:$A$408)&gt;ROW()-ROW($A$5)-1,INDEX( PRODUKTE,  VLOOKUP(ROW()-ROW($A$5),zeilenindizes,2)+INDEX(prodRowOffset,N$3),  MATCH(N$2,OFFSET(INDEXNAMEN,N$3,0),0)),""),"")</f>
        <v>2</v>
      </c>
      <c r="O29" s="17">
        <f ca="1">IFERROR(IF(MAX('SORT IMPORT'!$A$13:$A$408)&gt;ROW()-ROW($A$5)-1,INDEX( PRODUKTE,  VLOOKUP(ROW()-ROW($A$5),zeilenindizes,2)+INDEX(prodRowOffset,O$3),  MATCH(O$2,OFFSET(INDEXNAMEN,O$3,0),0)),""),"")</f>
        <v>1</v>
      </c>
      <c r="P29" s="17">
        <f ca="1">IFERROR(IF(MAX('SORT IMPORT'!$A$13:$A$408)&gt;ROW()-ROW($A$5)-1,INDEX( PRODUKTE,  VLOOKUP(ROW()-ROW($A$5),zeilenindizes,2)+INDEX(prodRowOffset,P$3),  MATCH(P$2,OFFSET(INDEXNAMEN,P$3,0),0)),""),"")</f>
        <v>0</v>
      </c>
      <c r="Q29" s="17">
        <f ca="1">IFERROR(IF(MAX('SORT IMPORT'!$A$13:$A$408)&gt;ROW()-ROW($A$5)-1,INDEX( PRODUKTE,  VLOOKUP(ROW()-ROW($A$5),zeilenindizes,2)+INDEX(prodRowOffset,Q$3),  MATCH(Q$2,OFFSET(INDEXNAMEN,Q$3,0),0)),""),"")</f>
        <v>1</v>
      </c>
      <c r="R29" s="17">
        <f ca="1">IFERROR(IF(MAX('SORT IMPORT'!$A$13:$A$408)&gt;ROW()-ROW($A$5)-1,INDEX( PRODUKTE,  VLOOKUP(ROW()-ROW($A$5),zeilenindizes,2)+INDEX(prodRowOffset,R$3),  MATCH(R$2,OFFSET(INDEXNAMEN,R$3,0),0)),""),"")</f>
        <v>1</v>
      </c>
      <c r="S29" s="17">
        <f ca="1">IFERROR(IF(MAX('SORT IMPORT'!$A$13:$A$408)&gt;ROW()-ROW($A$5)-1,INDEX( PRODUKTE,  VLOOKUP(ROW()-ROW($A$5),zeilenindizes,2)+INDEX(prodRowOffset,S$3),  MATCH(S$2,OFFSET(INDEXNAMEN,S$3,0),0)),""),"")</f>
        <v>1</v>
      </c>
      <c r="T29" s="17">
        <f ca="1">IFERROR(IF(MAX('SORT IMPORT'!$A$13:$A$408)&gt;ROW()-ROW($A$5)-1,INDEX( PRODUKTE,  VLOOKUP(ROW()-ROW($A$5),zeilenindizes,2)+INDEX(prodRowOffset,T$3),  MATCH(T$2,OFFSET(INDEXNAMEN,T$3,0),0)),""),"")</f>
        <v>1</v>
      </c>
      <c r="U29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84</v>
      </c>
      <c r="V29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29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29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29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29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29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29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29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29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29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84</v>
      </c>
      <c r="AF29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13</v>
      </c>
      <c r="AG29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29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29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29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29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29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29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29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29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29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29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29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29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29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29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29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29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29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29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29" s="17">
        <v>99</v>
      </c>
      <c r="BA29" s="17">
        <v>4</v>
      </c>
      <c r="BB29" s="17">
        <v>0</v>
      </c>
      <c r="CW29" s="182">
        <v>57</v>
      </c>
      <c r="CX29" s="183" t="s">
        <v>1138</v>
      </c>
    </row>
    <row r="30" spans="6:102" ht="22.5" customHeight="1" x14ac:dyDescent="0.3">
      <c r="F30" s="17" t="str">
        <f ca="1">IFERROR(IF(MAX('SORT IMPORT'!$A$13:$A$408)&gt;ROW()-ROW($A$5)-1,INDEX( PRODUKTE,  VLOOKUP(ROW()-ROW($A$5),zeilenindizes,2)+INDEX(prodRowOffset,F$3),  MATCH(F$2,OFFSET(INDEXNAMEN,F$3,0),0)),""),"")</f>
        <v>TS 93 GSR-EMR 2 EN 2-5</v>
      </c>
      <c r="G30" s="17" t="str">
        <f ca="1">IFERROR(IF(MAX('SORT IMPORT'!$A$13:$A$408)&gt;ROW()-ROW($A$5)-1,INDEX( PRODUKTE,  VLOOKUP(ROW()-ROW($A$5),zeilenindizes,2)+INDEX(prodRowOffset,G$3),  MATCH(G$2,OFFSET(INDEXNAMEN,G$3,0),0)),""),"")</f>
        <v>G</v>
      </c>
      <c r="H30" s="17" t="str">
        <f ca="1">IFERROR(IF(MAX('SORT IMPORT'!$A$13:$A$408)&gt;ROW()-ROW($A$5)-1,INDEX( PRODUKTE,  VLOOKUP(ROW()-ROW($A$5),zeilenindizes,2)+INDEX(prodRowOffset,H$3),  MATCH(H$2,OFFSET(INDEXNAMEN,H$3,0),0)),""),"")</f>
        <v>93 B</v>
      </c>
      <c r="I30" s="17" t="str">
        <f ca="1">IFERROR(IF(MAX('SORT IMPORT'!$A$13:$A$408)&gt;ROW()-ROW($A$5)-1,INDEX( PRODUKTE,  VLOOKUP(ROW()-ROW($A$5),zeilenindizes,2)+INDEX(prodRowOffset,I$3),  MATCH(I$2,OFFSET(INDEXNAMEN,I$3,0),0)),""),"")</f>
        <v>V</v>
      </c>
      <c r="J30" s="17" t="str">
        <f ca="1">IFERROR(IF(MAX('SORT IMPORT'!$A$13:$A$408)&gt;ROW()-ROW($A$5)-1,INDEX( PRODUKTE,  VLOOKUP(ROW()-ROW($A$5),zeilenindizes,2)+INDEX(prodRowOffset,J$3),  MATCH(J$2,OFFSET(INDEXNAMEN,J$3,0),0)),""),"")</f>
        <v>R</v>
      </c>
      <c r="K30" s="17">
        <f ca="1">IFERROR(IF(MAX('SORT IMPORT'!$A$13:$A$408)&gt;ROW()-ROW($A$5)-1,INDEX( PRODUKTE,  VLOOKUP(ROW()-ROW($A$5),zeilenindizes,2)+INDEX(prodRowOffset,K$3),  MATCH(K$2,OFFSET(INDEXNAMEN,K$3,0),0)),""),"")</f>
        <v>1</v>
      </c>
      <c r="L30" s="17">
        <f ca="1">IFERROR(IF(MAX('SORT IMPORT'!$A$13:$A$408)&gt;ROW()-ROW($A$5)-1,INDEX( PRODUKTE,  VLOOKUP(ROW()-ROW($A$5),zeilenindizes,2)+INDEX(prodRowOffset,L$3),  MATCH(L$2,OFFSET(INDEXNAMEN,L$3,0),0)),""),"")</f>
        <v>2048</v>
      </c>
      <c r="M30" s="17">
        <f ca="1">IFERROR(IF(MAX('SORT IMPORT'!$A$13:$A$408)&gt;ROW()-ROW($A$5)-1,INDEX( PRODUKTE,  VLOOKUP(ROW()-ROW($A$5),zeilenindizes,2)+INDEX(prodRowOffset,M$3),  MATCH(M$2,OFFSET(INDEXNAMEN,M$3,0),0)),""),"")</f>
        <v>30</v>
      </c>
      <c r="N30" s="17">
        <f ca="1">IFERROR(IF(MAX('SORT IMPORT'!$A$13:$A$408)&gt;ROW()-ROW($A$5)-1,INDEX( PRODUKTE,  VLOOKUP(ROW()-ROW($A$5),zeilenindizes,2)+INDEX(prodRowOffset,N$3),  MATCH(N$2,OFFSET(INDEXNAMEN,N$3,0),0)),""),"")</f>
        <v>2</v>
      </c>
      <c r="O30" s="17">
        <f ca="1">IFERROR(IF(MAX('SORT IMPORT'!$A$13:$A$408)&gt;ROW()-ROW($A$5)-1,INDEX( PRODUKTE,  VLOOKUP(ROW()-ROW($A$5),zeilenindizes,2)+INDEX(prodRowOffset,O$3),  MATCH(O$2,OFFSET(INDEXNAMEN,O$3,0),0)),""),"")</f>
        <v>1</v>
      </c>
      <c r="P30" s="17">
        <f ca="1">IFERROR(IF(MAX('SORT IMPORT'!$A$13:$A$408)&gt;ROW()-ROW($A$5)-1,INDEX( PRODUKTE,  VLOOKUP(ROW()-ROW($A$5),zeilenindizes,2)+INDEX(prodRowOffset,P$3),  MATCH(P$2,OFFSET(INDEXNAMEN,P$3,0),0)),""),"")</f>
        <v>0</v>
      </c>
      <c r="Q30" s="17">
        <f ca="1">IFERROR(IF(MAX('SORT IMPORT'!$A$13:$A$408)&gt;ROW()-ROW($A$5)-1,INDEX( PRODUKTE,  VLOOKUP(ROW()-ROW($A$5),zeilenindizes,2)+INDEX(prodRowOffset,Q$3),  MATCH(Q$2,OFFSET(INDEXNAMEN,Q$3,0),0)),""),"")</f>
        <v>1</v>
      </c>
      <c r="R30" s="17">
        <f ca="1">IFERROR(IF(MAX('SORT IMPORT'!$A$13:$A$408)&gt;ROW()-ROW($A$5)-1,INDEX( PRODUKTE,  VLOOKUP(ROW()-ROW($A$5),zeilenindizes,2)+INDEX(prodRowOffset,R$3),  MATCH(R$2,OFFSET(INDEXNAMEN,R$3,0),0)),""),"")</f>
        <v>1</v>
      </c>
      <c r="S30" s="17">
        <f ca="1">IFERROR(IF(MAX('SORT IMPORT'!$A$13:$A$408)&gt;ROW()-ROW($A$5)-1,INDEX( PRODUKTE,  VLOOKUP(ROW()-ROW($A$5),zeilenindizes,2)+INDEX(prodRowOffset,S$3),  MATCH(S$2,OFFSET(INDEXNAMEN,S$3,0),0)),""),"")</f>
        <v>1</v>
      </c>
      <c r="T30" s="17">
        <f ca="1">IFERROR(IF(MAX('SORT IMPORT'!$A$13:$A$408)&gt;ROW()-ROW($A$5)-1,INDEX( PRODUKTE,  VLOOKUP(ROW()-ROW($A$5),zeilenindizes,2)+INDEX(prodRowOffset,T$3),  MATCH(T$2,OFFSET(INDEXNAMEN,T$3,0),0)),""),"")</f>
        <v>1</v>
      </c>
      <c r="U30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84</v>
      </c>
      <c r="V30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30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30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30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30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30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30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30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30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30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84</v>
      </c>
      <c r="AF30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13</v>
      </c>
      <c r="AG30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30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30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30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30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30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30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30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30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30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30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30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30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30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30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30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30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30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30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30" s="17">
        <v>99</v>
      </c>
      <c r="BA30" s="17">
        <v>5</v>
      </c>
      <c r="BB30" s="17">
        <v>0</v>
      </c>
      <c r="CW30" s="182">
        <v>57</v>
      </c>
      <c r="CX30" s="183" t="s">
        <v>1139</v>
      </c>
    </row>
    <row r="31" spans="6:102" ht="22.5" customHeight="1" x14ac:dyDescent="0.3">
      <c r="F31" s="17" t="str">
        <f ca="1">IFERROR(IF(MAX('SORT IMPORT'!$A$13:$A$408)&gt;ROW()-ROW($A$5)-1,INDEX( PRODUKTE,  VLOOKUP(ROW()-ROW($A$5),zeilenindizes,2)+INDEX(prodRowOffset,F$3),  MATCH(F$2,OFFSET(INDEXNAMEN,F$3,0),0)),""),"")</f>
        <v>TS 93 G EN 2-5</v>
      </c>
      <c r="G31" s="17" t="str">
        <f ca="1">IFERROR(IF(MAX('SORT IMPORT'!$A$13:$A$408)&gt;ROW()-ROW($A$5)-1,INDEX( PRODUKTE,  VLOOKUP(ROW()-ROW($A$5),zeilenindizes,2)+INDEX(prodRowOffset,G$3),  MATCH(G$2,OFFSET(INDEXNAMEN,G$3,0),0)),""),"")</f>
        <v>G</v>
      </c>
      <c r="H31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31" s="17" t="str">
        <f ca="1">IFERROR(IF(MAX('SORT IMPORT'!$A$13:$A$408)&gt;ROW()-ROW($A$5)-1,INDEX( PRODUKTE,  VLOOKUP(ROW()-ROW($A$5),zeilenindizes,2)+INDEX(prodRowOffset,I$3),  MATCH(I$2,OFFSET(INDEXNAMEN,I$3,0),0)),""),"")</f>
        <v>V</v>
      </c>
      <c r="J31" s="17" t="str">
        <f ca="1">IFERROR(IF(MAX('SORT IMPORT'!$A$13:$A$408)&gt;ROW()-ROW($A$5)-1,INDEX( PRODUKTE,  VLOOKUP(ROW()-ROW($A$5),zeilenindizes,2)+INDEX(prodRowOffset,J$3),  MATCH(J$2,OFFSET(INDEXNAMEN,J$3,0),0)),""),"")</f>
        <v/>
      </c>
      <c r="K31" s="17">
        <f ca="1">IFERROR(IF(MAX('SORT IMPORT'!$A$13:$A$408)&gt;ROW()-ROW($A$5)-1,INDEX( PRODUKTE,  VLOOKUP(ROW()-ROW($A$5),zeilenindizes,2)+INDEX(prodRowOffset,K$3),  MATCH(K$2,OFFSET(INDEXNAMEN,K$3,0),0)),""),"")</f>
        <v>12</v>
      </c>
      <c r="L31" s="17">
        <f ca="1">IFERROR(IF(MAX('SORT IMPORT'!$A$13:$A$408)&gt;ROW()-ROW($A$5)-1,INDEX( PRODUKTE,  VLOOKUP(ROW()-ROW($A$5),zeilenindizes,2)+INDEX(prodRowOffset,L$3),  MATCH(L$2,OFFSET(INDEXNAMEN,L$3,0),0)),""),"")</f>
        <v>1</v>
      </c>
      <c r="M31" s="17">
        <f ca="1">IFERROR(IF(MAX('SORT IMPORT'!$A$13:$A$408)&gt;ROW()-ROW($A$5)-1,INDEX( PRODUKTE,  VLOOKUP(ROW()-ROW($A$5),zeilenindizes,2)+INDEX(prodRowOffset,M$3),  MATCH(M$2,OFFSET(INDEXNAMEN,M$3,0),0)),""),"")</f>
        <v>30</v>
      </c>
      <c r="N31" s="17">
        <f ca="1">IFERROR(IF(MAX('SORT IMPORT'!$A$13:$A$408)&gt;ROW()-ROW($A$5)-1,INDEX( PRODUKTE,  VLOOKUP(ROW()-ROW($A$5),zeilenindizes,2)+INDEX(prodRowOffset,N$3),  MATCH(N$2,OFFSET(INDEXNAMEN,N$3,0),0)),""),"")</f>
        <v>1</v>
      </c>
      <c r="O31" s="17">
        <f ca="1">IFERROR(IF(MAX('SORT IMPORT'!$A$13:$A$408)&gt;ROW()-ROW($A$5)-1,INDEX( PRODUKTE,  VLOOKUP(ROW()-ROW($A$5),zeilenindizes,2)+INDEX(prodRowOffset,O$3),  MATCH(O$2,OFFSET(INDEXNAMEN,O$3,0),0)),""),"")</f>
        <v>0</v>
      </c>
      <c r="P31" s="17">
        <f ca="1">IFERROR(IF(MAX('SORT IMPORT'!$A$13:$A$408)&gt;ROW()-ROW($A$5)-1,INDEX( PRODUKTE,  VLOOKUP(ROW()-ROW($A$5),zeilenindizes,2)+INDEX(prodRowOffset,P$3),  MATCH(P$2,OFFSET(INDEXNAMEN,P$3,0),0)),""),"")</f>
        <v>0</v>
      </c>
      <c r="Q31" s="17">
        <f ca="1">IFERROR(IF(MAX('SORT IMPORT'!$A$13:$A$408)&gt;ROW()-ROW($A$5)-1,INDEX( PRODUKTE,  VLOOKUP(ROW()-ROW($A$5),zeilenindizes,2)+INDEX(prodRowOffset,Q$3),  MATCH(Q$2,OFFSET(INDEXNAMEN,Q$3,0),0)),""),"")</f>
        <v>1</v>
      </c>
      <c r="R31" s="17">
        <f ca="1">IFERROR(IF(MAX('SORT IMPORT'!$A$13:$A$408)&gt;ROW()-ROW($A$5)-1,INDEX( PRODUKTE,  VLOOKUP(ROW()-ROW($A$5),zeilenindizes,2)+INDEX(prodRowOffset,R$3),  MATCH(R$2,OFFSET(INDEXNAMEN,R$3,0),0)),""),"")</f>
        <v>1</v>
      </c>
      <c r="S31" s="17">
        <f ca="1">IFERROR(IF(MAX('SORT IMPORT'!$A$13:$A$408)&gt;ROW()-ROW($A$5)-1,INDEX( PRODUKTE,  VLOOKUP(ROW()-ROW($A$5),zeilenindizes,2)+INDEX(prodRowOffset,S$3),  MATCH(S$2,OFFSET(INDEXNAMEN,S$3,0),0)),""),"")</f>
        <v>0</v>
      </c>
      <c r="T31" s="17">
        <f ca="1">IFERROR(IF(MAX('SORT IMPORT'!$A$13:$A$408)&gt;ROW()-ROW($A$5)-1,INDEX( PRODUKTE,  VLOOKUP(ROW()-ROW($A$5),zeilenindizes,2)+INDEX(prodRowOffset,T$3),  MATCH(T$2,OFFSET(INDEXNAMEN,T$3,0),0)),""),"")</f>
        <v>1</v>
      </c>
      <c r="U31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31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31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31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31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84</v>
      </c>
      <c r="Z31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17</v>
      </c>
      <c r="AA31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49</v>
      </c>
      <c r="AB31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31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49</v>
      </c>
      <c r="AD31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31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31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31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31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31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143</v>
      </c>
      <c r="AJ31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3</v>
      </c>
      <c r="AK31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143</v>
      </c>
      <c r="AL31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3</v>
      </c>
      <c r="AM31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143</v>
      </c>
      <c r="AN31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9999</v>
      </c>
      <c r="AO31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442</v>
      </c>
      <c r="AP31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31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23</v>
      </c>
      <c r="AR31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16</v>
      </c>
      <c r="AS31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31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31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31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46</v>
      </c>
      <c r="AW31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31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31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31" s="17">
        <v>90</v>
      </c>
      <c r="BA31" s="17">
        <v>1</v>
      </c>
      <c r="BB31" s="17">
        <v>11</v>
      </c>
      <c r="CW31" s="182">
        <v>57</v>
      </c>
      <c r="CX31" s="183" t="s">
        <v>1140</v>
      </c>
    </row>
    <row r="32" spans="6:102" ht="22.5" customHeight="1" x14ac:dyDescent="0.3">
      <c r="F32" s="17" t="str">
        <f ca="1">IFERROR(IF(MAX('SORT IMPORT'!$A$13:$A$408)&gt;ROW()-ROW($A$5)-1,INDEX( PRODUKTE,  VLOOKUP(ROW()-ROW($A$5),zeilenindizes,2)+INDEX(prodRowOffset,F$3),  MATCH(F$2,OFFSET(INDEXNAMEN,F$3,0),0)),""),"")</f>
        <v>TS 93 G RF EN 2-5</v>
      </c>
      <c r="G32" s="17" t="str">
        <f ca="1">IFERROR(IF(MAX('SORT IMPORT'!$A$13:$A$408)&gt;ROW()-ROW($A$5)-1,INDEX( PRODUKTE,  VLOOKUP(ROW()-ROW($A$5),zeilenindizes,2)+INDEX(prodRowOffset,G$3),  MATCH(G$2,OFFSET(INDEXNAMEN,G$3,0),0)),""),"")</f>
        <v>G</v>
      </c>
      <c r="H32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32" s="17" t="str">
        <f ca="1">IFERROR(IF(MAX('SORT IMPORT'!$A$13:$A$408)&gt;ROW()-ROW($A$5)-1,INDEX( PRODUKTE,  VLOOKUP(ROW()-ROW($A$5),zeilenindizes,2)+INDEX(prodRowOffset,I$3),  MATCH(I$2,OFFSET(INDEXNAMEN,I$3,0),0)),""),"")</f>
        <v>V</v>
      </c>
      <c r="J32" s="17" t="str">
        <f ca="1">IFERROR(IF(MAX('SORT IMPORT'!$A$13:$A$408)&gt;ROW()-ROW($A$5)-1,INDEX( PRODUKTE,  VLOOKUP(ROW()-ROW($A$5),zeilenindizes,2)+INDEX(prodRowOffset,J$3),  MATCH(J$2,OFFSET(INDEXNAMEN,J$3,0),0)),""),"")</f>
        <v>M</v>
      </c>
      <c r="K32" s="17">
        <f ca="1">IFERROR(IF(MAX('SORT IMPORT'!$A$13:$A$408)&gt;ROW()-ROW($A$5)-1,INDEX( PRODUKTE,  VLOOKUP(ROW()-ROW($A$5),zeilenindizes,2)+INDEX(prodRowOffset,K$3),  MATCH(K$2,OFFSET(INDEXNAMEN,K$3,0),0)),""),"")</f>
        <v>12</v>
      </c>
      <c r="L32" s="17">
        <f ca="1">IFERROR(IF(MAX('SORT IMPORT'!$A$13:$A$408)&gt;ROW()-ROW($A$5)-1,INDEX( PRODUKTE,  VLOOKUP(ROW()-ROW($A$5),zeilenindizes,2)+INDEX(prodRowOffset,L$3),  MATCH(L$2,OFFSET(INDEXNAMEN,L$3,0),0)),""),"")</f>
        <v>2</v>
      </c>
      <c r="M32" s="17">
        <f ca="1">IFERROR(IF(MAX('SORT IMPORT'!$A$13:$A$408)&gt;ROW()-ROW($A$5)-1,INDEX( PRODUKTE,  VLOOKUP(ROW()-ROW($A$5),zeilenindizes,2)+INDEX(prodRowOffset,M$3),  MATCH(M$2,OFFSET(INDEXNAMEN,M$3,0),0)),""),"")</f>
        <v>30</v>
      </c>
      <c r="N32" s="17">
        <f ca="1">IFERROR(IF(MAX('SORT IMPORT'!$A$13:$A$408)&gt;ROW()-ROW($A$5)-1,INDEX( PRODUKTE,  VLOOKUP(ROW()-ROW($A$5),zeilenindizes,2)+INDEX(prodRowOffset,N$3),  MATCH(N$2,OFFSET(INDEXNAMEN,N$3,0),0)),""),"")</f>
        <v>1</v>
      </c>
      <c r="O32" s="17">
        <f ca="1">IFERROR(IF(MAX('SORT IMPORT'!$A$13:$A$408)&gt;ROW()-ROW($A$5)-1,INDEX( PRODUKTE,  VLOOKUP(ROW()-ROW($A$5),zeilenindizes,2)+INDEX(prodRowOffset,O$3),  MATCH(O$2,OFFSET(INDEXNAMEN,O$3,0),0)),""),"")</f>
        <v>0</v>
      </c>
      <c r="P32" s="17">
        <f ca="1">IFERROR(IF(MAX('SORT IMPORT'!$A$13:$A$408)&gt;ROW()-ROW($A$5)-1,INDEX( PRODUKTE,  VLOOKUP(ROW()-ROW($A$5),zeilenindizes,2)+INDEX(prodRowOffset,P$3),  MATCH(P$2,OFFSET(INDEXNAMEN,P$3,0),0)),""),"")</f>
        <v>0</v>
      </c>
      <c r="Q32" s="17">
        <f ca="1">IFERROR(IF(MAX('SORT IMPORT'!$A$13:$A$408)&gt;ROW()-ROW($A$5)-1,INDEX( PRODUKTE,  VLOOKUP(ROW()-ROW($A$5),zeilenindizes,2)+INDEX(prodRowOffset,Q$3),  MATCH(Q$2,OFFSET(INDEXNAMEN,Q$3,0),0)),""),"")</f>
        <v>0</v>
      </c>
      <c r="R32" s="17">
        <f ca="1">IFERROR(IF(MAX('SORT IMPORT'!$A$13:$A$408)&gt;ROW()-ROW($A$5)-1,INDEX( PRODUKTE,  VLOOKUP(ROW()-ROW($A$5),zeilenindizes,2)+INDEX(prodRowOffset,R$3),  MATCH(R$2,OFFSET(INDEXNAMEN,R$3,0),0)),""),"")</f>
        <v>1</v>
      </c>
      <c r="S32" s="17">
        <f ca="1">IFERROR(IF(MAX('SORT IMPORT'!$A$13:$A$408)&gt;ROW()-ROW($A$5)-1,INDEX( PRODUKTE,  VLOOKUP(ROW()-ROW($A$5),zeilenindizes,2)+INDEX(prodRowOffset,S$3),  MATCH(S$2,OFFSET(INDEXNAMEN,S$3,0),0)),""),"")</f>
        <v>0</v>
      </c>
      <c r="T32" s="17">
        <f ca="1">IFERROR(IF(MAX('SORT IMPORT'!$A$13:$A$408)&gt;ROW()-ROW($A$5)-1,INDEX( PRODUKTE,  VLOOKUP(ROW()-ROW($A$5),zeilenindizes,2)+INDEX(prodRowOffset,T$3),  MATCH(T$2,OFFSET(INDEXNAMEN,T$3,0),0)),""),"")</f>
        <v>1</v>
      </c>
      <c r="U32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32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32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32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32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84</v>
      </c>
      <c r="Z32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17</v>
      </c>
      <c r="AA32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49</v>
      </c>
      <c r="AB32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32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49</v>
      </c>
      <c r="AD32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32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32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32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32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32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143</v>
      </c>
      <c r="AJ32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3</v>
      </c>
      <c r="AK32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143</v>
      </c>
      <c r="AL32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3</v>
      </c>
      <c r="AM32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143</v>
      </c>
      <c r="AN32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9999</v>
      </c>
      <c r="AO32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442</v>
      </c>
      <c r="AP32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32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23</v>
      </c>
      <c r="AR32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16</v>
      </c>
      <c r="AS32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32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32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32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60</v>
      </c>
      <c r="AW32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32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32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32" s="17">
        <v>90</v>
      </c>
      <c r="BA32" s="17">
        <v>2</v>
      </c>
      <c r="BB32" s="17">
        <v>30</v>
      </c>
      <c r="CW32" s="182">
        <v>40</v>
      </c>
      <c r="CX32" s="183" t="s">
        <v>1889</v>
      </c>
    </row>
    <row r="33" spans="6:102" ht="22.5" customHeight="1" x14ac:dyDescent="0.3">
      <c r="F33" s="17" t="str">
        <f ca="1">IFERROR(IF(MAX('SORT IMPORT'!$A$13:$A$408)&gt;ROW()-ROW($A$5)-1,INDEX( PRODUKTE,  VLOOKUP(ROW()-ROW($A$5),zeilenindizes,2)+INDEX(prodRowOffset,F$3),  MATCH(F$2,OFFSET(INDEXNAMEN,F$3,0),0)),""),"")</f>
        <v>TS 93 G EMF EN 2-5</v>
      </c>
      <c r="G33" s="17" t="str">
        <f ca="1">IFERROR(IF(MAX('SORT IMPORT'!$A$13:$A$408)&gt;ROW()-ROW($A$5)-1,INDEX( PRODUKTE,  VLOOKUP(ROW()-ROW($A$5),zeilenindizes,2)+INDEX(prodRowOffset,G$3),  MATCH(G$2,OFFSET(INDEXNAMEN,G$3,0),0)),""),"")</f>
        <v>G</v>
      </c>
      <c r="H33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33" s="17" t="str">
        <f ca="1">IFERROR(IF(MAX('SORT IMPORT'!$A$13:$A$408)&gt;ROW()-ROW($A$5)-1,INDEX( PRODUKTE,  VLOOKUP(ROW()-ROW($A$5),zeilenindizes,2)+INDEX(prodRowOffset,I$3),  MATCH(I$2,OFFSET(INDEXNAMEN,I$3,0),0)),""),"")</f>
        <v>V</v>
      </c>
      <c r="J33" s="17" t="str">
        <f ca="1">IFERROR(IF(MAX('SORT IMPORT'!$A$13:$A$408)&gt;ROW()-ROW($A$5)-1,INDEX( PRODUKTE,  VLOOKUP(ROW()-ROW($A$5),zeilenindizes,2)+INDEX(prodRowOffset,J$3),  MATCH(J$2,OFFSET(INDEXNAMEN,J$3,0),0)),""),"")</f>
        <v>E</v>
      </c>
      <c r="K33" s="17">
        <f ca="1">IFERROR(IF(MAX('SORT IMPORT'!$A$13:$A$408)&gt;ROW()-ROW($A$5)-1,INDEX( PRODUKTE,  VLOOKUP(ROW()-ROW($A$5),zeilenindizes,2)+INDEX(prodRowOffset,K$3),  MATCH(K$2,OFFSET(INDEXNAMEN,K$3,0),0)),""),"")</f>
        <v>8</v>
      </c>
      <c r="L33" s="17">
        <f ca="1">IFERROR(IF(MAX('SORT IMPORT'!$A$13:$A$408)&gt;ROW()-ROW($A$5)-1,INDEX( PRODUKTE,  VLOOKUP(ROW()-ROW($A$5),zeilenindizes,2)+INDEX(prodRowOffset,L$3),  MATCH(L$2,OFFSET(INDEXNAMEN,L$3,0),0)),""),"")</f>
        <v>4</v>
      </c>
      <c r="M33" s="17">
        <f ca="1">IFERROR(IF(MAX('SORT IMPORT'!$A$13:$A$408)&gt;ROW()-ROW($A$5)-1,INDEX( PRODUKTE,  VLOOKUP(ROW()-ROW($A$5),zeilenindizes,2)+INDEX(prodRowOffset,M$3),  MATCH(M$2,OFFSET(INDEXNAMEN,M$3,0),0)),""),"")</f>
        <v>30</v>
      </c>
      <c r="N33" s="17">
        <f ca="1">IFERROR(IF(MAX('SORT IMPORT'!$A$13:$A$408)&gt;ROW()-ROW($A$5)-1,INDEX( PRODUKTE,  VLOOKUP(ROW()-ROW($A$5),zeilenindizes,2)+INDEX(prodRowOffset,N$3),  MATCH(N$2,OFFSET(INDEXNAMEN,N$3,0),0)),""),"")</f>
        <v>1</v>
      </c>
      <c r="O33" s="17">
        <f ca="1">IFERROR(IF(MAX('SORT IMPORT'!$A$13:$A$408)&gt;ROW()-ROW($A$5)-1,INDEX( PRODUKTE,  VLOOKUP(ROW()-ROW($A$5),zeilenindizes,2)+INDEX(prodRowOffset,O$3),  MATCH(O$2,OFFSET(INDEXNAMEN,O$3,0),0)),""),"")</f>
        <v>2</v>
      </c>
      <c r="P33" s="17">
        <f ca="1">IFERROR(IF(MAX('SORT IMPORT'!$A$13:$A$408)&gt;ROW()-ROW($A$5)-1,INDEX( PRODUKTE,  VLOOKUP(ROW()-ROW($A$5),zeilenindizes,2)+INDEX(prodRowOffset,P$3),  MATCH(P$2,OFFSET(INDEXNAMEN,P$3,0),0)),""),"")</f>
        <v>0</v>
      </c>
      <c r="Q33" s="17">
        <f ca="1">IFERROR(IF(MAX('SORT IMPORT'!$A$13:$A$408)&gt;ROW()-ROW($A$5)-1,INDEX( PRODUKTE,  VLOOKUP(ROW()-ROW($A$5),zeilenindizes,2)+INDEX(prodRowOffset,Q$3),  MATCH(Q$2,OFFSET(INDEXNAMEN,Q$3,0),0)),""),"")</f>
        <v>1</v>
      </c>
      <c r="R33" s="17">
        <f ca="1">IFERROR(IF(MAX('SORT IMPORT'!$A$13:$A$408)&gt;ROW()-ROW($A$5)-1,INDEX( PRODUKTE,  VLOOKUP(ROW()-ROW($A$5),zeilenindizes,2)+INDEX(prodRowOffset,R$3),  MATCH(R$2,OFFSET(INDEXNAMEN,R$3,0),0)),""),"")</f>
        <v>1</v>
      </c>
      <c r="S33" s="17">
        <f ca="1">IFERROR(IF(MAX('SORT IMPORT'!$A$13:$A$408)&gt;ROW()-ROW($A$5)-1,INDEX( PRODUKTE,  VLOOKUP(ROW()-ROW($A$5),zeilenindizes,2)+INDEX(prodRowOffset,S$3),  MATCH(S$2,OFFSET(INDEXNAMEN,S$3,0),0)),""),"")</f>
        <v>0</v>
      </c>
      <c r="T33" s="17">
        <f ca="1">IFERROR(IF(MAX('SORT IMPORT'!$A$13:$A$408)&gt;ROW()-ROW($A$5)-1,INDEX( PRODUKTE,  VLOOKUP(ROW()-ROW($A$5),zeilenindizes,2)+INDEX(prodRowOffset,T$3),  MATCH(T$2,OFFSET(INDEXNAMEN,T$3,0),0)),""),"")</f>
        <v>1</v>
      </c>
      <c r="U33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33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33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33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33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33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33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49</v>
      </c>
      <c r="AB33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33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49</v>
      </c>
      <c r="AD33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33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33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33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33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33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33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33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84</v>
      </c>
      <c r="AL33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33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84</v>
      </c>
      <c r="AN33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9999</v>
      </c>
      <c r="AO33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518</v>
      </c>
      <c r="AP33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40</v>
      </c>
      <c r="AQ33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33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20</v>
      </c>
      <c r="AS33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33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33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33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160</v>
      </c>
      <c r="AW33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33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33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33" s="17">
        <v>90</v>
      </c>
      <c r="BA33" s="17">
        <v>3</v>
      </c>
      <c r="BB33" s="17">
        <v>0</v>
      </c>
      <c r="CW33" s="182">
        <v>40</v>
      </c>
      <c r="CX33" s="183" t="s">
        <v>1890</v>
      </c>
    </row>
    <row r="34" spans="6:102" ht="22.5" customHeight="1" x14ac:dyDescent="0.3">
      <c r="F34" s="17" t="str">
        <f ca="1">IFERROR(IF(MAX('SORT IMPORT'!$A$13:$A$408)&gt;ROW()-ROW($A$5)-1,INDEX( PRODUKTE,  VLOOKUP(ROW()-ROW($A$5),zeilenindizes,2)+INDEX(prodRowOffset,F$3),  MATCH(F$2,OFFSET(INDEXNAMEN,F$3,0),0)),""),"")</f>
        <v>TS 93 G EMR EN 2-5</v>
      </c>
      <c r="G34" s="17" t="str">
        <f ca="1">IFERROR(IF(MAX('SORT IMPORT'!$A$13:$A$408)&gt;ROW()-ROW($A$5)-1,INDEX( PRODUKTE,  VLOOKUP(ROW()-ROW($A$5),zeilenindizes,2)+INDEX(prodRowOffset,G$3),  MATCH(G$2,OFFSET(INDEXNAMEN,G$3,0),0)),""),"")</f>
        <v>G</v>
      </c>
      <c r="H34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34" s="17" t="str">
        <f ca="1">IFERROR(IF(MAX('SORT IMPORT'!$A$13:$A$408)&gt;ROW()-ROW($A$5)-1,INDEX( PRODUKTE,  VLOOKUP(ROW()-ROW($A$5),zeilenindizes,2)+INDEX(prodRowOffset,I$3),  MATCH(I$2,OFFSET(INDEXNAMEN,I$3,0),0)),""),"")</f>
        <v>V</v>
      </c>
      <c r="J34" s="17" t="str">
        <f ca="1">IFERROR(IF(MAX('SORT IMPORT'!$A$13:$A$408)&gt;ROW()-ROW($A$5)-1,INDEX( PRODUKTE,  VLOOKUP(ROW()-ROW($A$5),zeilenindizes,2)+INDEX(prodRowOffset,J$3),  MATCH(J$2,OFFSET(INDEXNAMEN,J$3,0),0)),""),"")</f>
        <v>R</v>
      </c>
      <c r="K34" s="17">
        <f ca="1">IFERROR(IF(MAX('SORT IMPORT'!$A$13:$A$408)&gt;ROW()-ROW($A$5)-1,INDEX( PRODUKTE,  VLOOKUP(ROW()-ROW($A$5),zeilenindizes,2)+INDEX(prodRowOffset,K$3),  MATCH(K$2,OFFSET(INDEXNAMEN,K$3,0),0)),""),"")</f>
        <v>8</v>
      </c>
      <c r="L34" s="17">
        <f ca="1">IFERROR(IF(MAX('SORT IMPORT'!$A$13:$A$408)&gt;ROW()-ROW($A$5)-1,INDEX( PRODUKTE,  VLOOKUP(ROW()-ROW($A$5),zeilenindizes,2)+INDEX(prodRowOffset,L$3),  MATCH(L$2,OFFSET(INDEXNAMEN,L$3,0),0)),""),"")</f>
        <v>8</v>
      </c>
      <c r="M34" s="17">
        <f ca="1">IFERROR(IF(MAX('SORT IMPORT'!$A$13:$A$408)&gt;ROW()-ROW($A$5)-1,INDEX( PRODUKTE,  VLOOKUP(ROW()-ROW($A$5),zeilenindizes,2)+INDEX(prodRowOffset,M$3),  MATCH(M$2,OFFSET(INDEXNAMEN,M$3,0),0)),""),"")</f>
        <v>30</v>
      </c>
      <c r="N34" s="17">
        <f ca="1">IFERROR(IF(MAX('SORT IMPORT'!$A$13:$A$408)&gt;ROW()-ROW($A$5)-1,INDEX( PRODUKTE,  VLOOKUP(ROW()-ROW($A$5),zeilenindizes,2)+INDEX(prodRowOffset,N$3),  MATCH(N$2,OFFSET(INDEXNAMEN,N$3,0),0)),""),"")</f>
        <v>1</v>
      </c>
      <c r="O34" s="17">
        <f ca="1">IFERROR(IF(MAX('SORT IMPORT'!$A$13:$A$408)&gt;ROW()-ROW($A$5)-1,INDEX( PRODUKTE,  VLOOKUP(ROW()-ROW($A$5),zeilenindizes,2)+INDEX(prodRowOffset,O$3),  MATCH(O$2,OFFSET(INDEXNAMEN,O$3,0),0)),""),"")</f>
        <v>1</v>
      </c>
      <c r="P34" s="17">
        <f ca="1">IFERROR(IF(MAX('SORT IMPORT'!$A$13:$A$408)&gt;ROW()-ROW($A$5)-1,INDEX( PRODUKTE,  VLOOKUP(ROW()-ROW($A$5),zeilenindizes,2)+INDEX(prodRowOffset,P$3),  MATCH(P$2,OFFSET(INDEXNAMEN,P$3,0),0)),""),"")</f>
        <v>0</v>
      </c>
      <c r="Q34" s="17">
        <f ca="1">IFERROR(IF(MAX('SORT IMPORT'!$A$13:$A$408)&gt;ROW()-ROW($A$5)-1,INDEX( PRODUKTE,  VLOOKUP(ROW()-ROW($A$5),zeilenindizes,2)+INDEX(prodRowOffset,Q$3),  MATCH(Q$2,OFFSET(INDEXNAMEN,Q$3,0),0)),""),"")</f>
        <v>1</v>
      </c>
      <c r="R34" s="17">
        <f ca="1">IFERROR(IF(MAX('SORT IMPORT'!$A$13:$A$408)&gt;ROW()-ROW($A$5)-1,INDEX( PRODUKTE,  VLOOKUP(ROW()-ROW($A$5),zeilenindizes,2)+INDEX(prodRowOffset,R$3),  MATCH(R$2,OFFSET(INDEXNAMEN,R$3,0),0)),""),"")</f>
        <v>1</v>
      </c>
      <c r="S34" s="17">
        <f ca="1">IFERROR(IF(MAX('SORT IMPORT'!$A$13:$A$408)&gt;ROW()-ROW($A$5)-1,INDEX( PRODUKTE,  VLOOKUP(ROW()-ROW($A$5),zeilenindizes,2)+INDEX(prodRowOffset,S$3),  MATCH(S$2,OFFSET(INDEXNAMEN,S$3,0),0)),""),"")</f>
        <v>0</v>
      </c>
      <c r="T34" s="17">
        <f ca="1">IFERROR(IF(MAX('SORT IMPORT'!$A$13:$A$408)&gt;ROW()-ROW($A$5)-1,INDEX( PRODUKTE,  VLOOKUP(ROW()-ROW($A$5),zeilenindizes,2)+INDEX(prodRowOffset,T$3),  MATCH(T$2,OFFSET(INDEXNAMEN,T$3,0),0)),""),"")</f>
        <v>1</v>
      </c>
      <c r="U34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34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34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34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34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34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34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49</v>
      </c>
      <c r="AB34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34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49</v>
      </c>
      <c r="AD34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34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34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34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34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34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34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34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84</v>
      </c>
      <c r="AL34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34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84</v>
      </c>
      <c r="AN34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44</v>
      </c>
      <c r="AO34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864</v>
      </c>
      <c r="AP34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40</v>
      </c>
      <c r="AQ34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34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20</v>
      </c>
      <c r="AS34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34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34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34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206</v>
      </c>
      <c r="AW34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34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34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34" s="17">
        <v>90</v>
      </c>
      <c r="BA34" s="17">
        <v>4</v>
      </c>
      <c r="BB34" s="17">
        <v>26</v>
      </c>
      <c r="CW34" s="182">
        <v>40</v>
      </c>
      <c r="CX34" s="183" t="s">
        <v>1245</v>
      </c>
    </row>
    <row r="35" spans="6:102" ht="22.5" customHeight="1" x14ac:dyDescent="0.3">
      <c r="F35" s="17" t="str">
        <f ca="1">IFERROR(IF(MAX('SORT IMPORT'!$A$13:$A$408)&gt;ROW()-ROW($A$5)-1,INDEX( PRODUKTE,  VLOOKUP(ROW()-ROW($A$5),zeilenindizes,2)+INDEX(prodRowOffset,F$3),  MATCH(F$2,OFFSET(INDEXNAMEN,F$3,0),0)),""),"")</f>
        <v>TS 93 G GSR /BG EN 2-5</v>
      </c>
      <c r="G35" s="17" t="str">
        <f ca="1">IFERROR(IF(MAX('SORT IMPORT'!$A$13:$A$408)&gt;ROW()-ROW($A$5)-1,INDEX( PRODUKTE,  VLOOKUP(ROW()-ROW($A$5),zeilenindizes,2)+INDEX(prodRowOffset,G$3),  MATCH(G$2,OFFSET(INDEXNAMEN,G$3,0),0)),""),"")</f>
        <v>G</v>
      </c>
      <c r="H35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35" s="17" t="str">
        <f ca="1">IFERROR(IF(MAX('SORT IMPORT'!$A$13:$A$408)&gt;ROW()-ROW($A$5)-1,INDEX( PRODUKTE,  VLOOKUP(ROW()-ROW($A$5),zeilenindizes,2)+INDEX(prodRowOffset,I$3),  MATCH(I$2,OFFSET(INDEXNAMEN,I$3,0),0)),""),"")</f>
        <v>V</v>
      </c>
      <c r="J35" s="17" t="str">
        <f ca="1">IFERROR(IF(MAX('SORT IMPORT'!$A$13:$A$408)&gt;ROW()-ROW($A$5)-1,INDEX( PRODUKTE,  VLOOKUP(ROW()-ROW($A$5),zeilenindizes,2)+INDEX(prodRowOffset,J$3),  MATCH(J$2,OFFSET(INDEXNAMEN,J$3,0),0)),""),"")</f>
        <v/>
      </c>
      <c r="K35" s="17">
        <f ca="1">IFERROR(IF(MAX('SORT IMPORT'!$A$13:$A$408)&gt;ROW()-ROW($A$5)-1,INDEX( PRODUKTE,  VLOOKUP(ROW()-ROW($A$5),zeilenindizes,2)+INDEX(prodRowOffset,K$3),  MATCH(K$2,OFFSET(INDEXNAMEN,K$3,0),0)),""),"")</f>
        <v>8</v>
      </c>
      <c r="L35" s="17">
        <f ca="1">IFERROR(IF(MAX('SORT IMPORT'!$A$13:$A$408)&gt;ROW()-ROW($A$5)-1,INDEX( PRODUKTE,  VLOOKUP(ROW()-ROW($A$5),zeilenindizes,2)+INDEX(prodRowOffset,L$3),  MATCH(L$2,OFFSET(INDEXNAMEN,L$3,0),0)),""),"")</f>
        <v>16</v>
      </c>
      <c r="M35" s="17">
        <f ca="1">IFERROR(IF(MAX('SORT IMPORT'!$A$13:$A$408)&gt;ROW()-ROW($A$5)-1,INDEX( PRODUKTE,  VLOOKUP(ROW()-ROW($A$5),zeilenindizes,2)+INDEX(prodRowOffset,M$3),  MATCH(M$2,OFFSET(INDEXNAMEN,M$3,0),0)),""),"")</f>
        <v>30</v>
      </c>
      <c r="N35" s="17">
        <f ca="1">IFERROR(IF(MAX('SORT IMPORT'!$A$13:$A$408)&gt;ROW()-ROW($A$5)-1,INDEX( PRODUKTE,  VLOOKUP(ROW()-ROW($A$5),zeilenindizes,2)+INDEX(prodRowOffset,N$3),  MATCH(N$2,OFFSET(INDEXNAMEN,N$3,0),0)),""),"")</f>
        <v>2</v>
      </c>
      <c r="O35" s="17">
        <f ca="1">IFERROR(IF(MAX('SORT IMPORT'!$A$13:$A$408)&gt;ROW()-ROW($A$5)-1,INDEX( PRODUKTE,  VLOOKUP(ROW()-ROW($A$5),zeilenindizes,2)+INDEX(prodRowOffset,O$3),  MATCH(O$2,OFFSET(INDEXNAMEN,O$3,0),0)),""),"")</f>
        <v>0</v>
      </c>
      <c r="P35" s="17">
        <f ca="1">IFERROR(IF(MAX('SORT IMPORT'!$A$13:$A$408)&gt;ROW()-ROW($A$5)-1,INDEX( PRODUKTE,  VLOOKUP(ROW()-ROW($A$5),zeilenindizes,2)+INDEX(prodRowOffset,P$3),  MATCH(P$2,OFFSET(INDEXNAMEN,P$3,0),0)),""),"")</f>
        <v>1</v>
      </c>
      <c r="Q35" s="17">
        <f ca="1">IFERROR(IF(MAX('SORT IMPORT'!$A$13:$A$408)&gt;ROW()-ROW($A$5)-1,INDEX( PRODUKTE,  VLOOKUP(ROW()-ROW($A$5),zeilenindizes,2)+INDEX(prodRowOffset,Q$3),  MATCH(Q$2,OFFSET(INDEXNAMEN,Q$3,0),0)),""),"")</f>
        <v>1</v>
      </c>
      <c r="R35" s="17">
        <f ca="1">IFERROR(IF(MAX('SORT IMPORT'!$A$13:$A$408)&gt;ROW()-ROW($A$5)-1,INDEX( PRODUKTE,  VLOOKUP(ROW()-ROW($A$5),zeilenindizes,2)+INDEX(prodRowOffset,R$3),  MATCH(R$2,OFFSET(INDEXNAMEN,R$3,0),0)),""),"")</f>
        <v>1</v>
      </c>
      <c r="S35" s="17">
        <f ca="1">IFERROR(IF(MAX('SORT IMPORT'!$A$13:$A$408)&gt;ROW()-ROW($A$5)-1,INDEX( PRODUKTE,  VLOOKUP(ROW()-ROW($A$5),zeilenindizes,2)+INDEX(prodRowOffset,S$3),  MATCH(S$2,OFFSET(INDEXNAMEN,S$3,0),0)),""),"")</f>
        <v>1</v>
      </c>
      <c r="T35" s="17">
        <f ca="1">IFERROR(IF(MAX('SORT IMPORT'!$A$13:$A$408)&gt;ROW()-ROW($A$5)-1,INDEX( PRODUKTE,  VLOOKUP(ROW()-ROW($A$5),zeilenindizes,2)+INDEX(prodRowOffset,T$3),  MATCH(T$2,OFFSET(INDEXNAMEN,T$3,0),0)),""),"")</f>
        <v>1</v>
      </c>
      <c r="U35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35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35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35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35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35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35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118</v>
      </c>
      <c r="AB35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35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118</v>
      </c>
      <c r="AD35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35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35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35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35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35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35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35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118</v>
      </c>
      <c r="AL35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35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118</v>
      </c>
      <c r="AN35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34</v>
      </c>
      <c r="AO35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35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40</v>
      </c>
      <c r="AQ35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35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20</v>
      </c>
      <c r="AS35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35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35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35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51</v>
      </c>
      <c r="AW35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35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35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35" s="17">
        <v>90</v>
      </c>
      <c r="BA35" s="17">
        <v>5</v>
      </c>
      <c r="BB35" s="17">
        <v>27</v>
      </c>
      <c r="CW35" s="182">
        <v>40</v>
      </c>
      <c r="CX35" s="183" t="s">
        <v>1333</v>
      </c>
    </row>
    <row r="36" spans="6:102" ht="22.5" customHeight="1" x14ac:dyDescent="0.3">
      <c r="F36" s="17" t="str">
        <f ca="1">IFERROR(IF(MAX('SORT IMPORT'!$A$13:$A$408)&gt;ROW()-ROW($A$5)-1,INDEX( PRODUKTE,  VLOOKUP(ROW()-ROW($A$5),zeilenindizes,2)+INDEX(prodRowOffset,F$3),  MATCH(F$2,OFFSET(INDEXNAMEN,F$3,0),0)),""),"")</f>
        <v>TS 93 G GSR RF /BG EN 2-5</v>
      </c>
      <c r="G36" s="17" t="str">
        <f ca="1">IFERROR(IF(MAX('SORT IMPORT'!$A$13:$A$408)&gt;ROW()-ROW($A$5)-1,INDEX( PRODUKTE,  VLOOKUP(ROW()-ROW($A$5),zeilenindizes,2)+INDEX(prodRowOffset,G$3),  MATCH(G$2,OFFSET(INDEXNAMEN,G$3,0),0)),""),"")</f>
        <v>G</v>
      </c>
      <c r="H36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36" s="17" t="str">
        <f ca="1">IFERROR(IF(MAX('SORT IMPORT'!$A$13:$A$408)&gt;ROW()-ROW($A$5)-1,INDEX( PRODUKTE,  VLOOKUP(ROW()-ROW($A$5),zeilenindizes,2)+INDEX(prodRowOffset,I$3),  MATCH(I$2,OFFSET(INDEXNAMEN,I$3,0),0)),""),"")</f>
        <v>V</v>
      </c>
      <c r="J36" s="17" t="str">
        <f ca="1">IFERROR(IF(MAX('SORT IMPORT'!$A$13:$A$408)&gt;ROW()-ROW($A$5)-1,INDEX( PRODUKTE,  VLOOKUP(ROW()-ROW($A$5),zeilenindizes,2)+INDEX(prodRowOffset,J$3),  MATCH(J$2,OFFSET(INDEXNAMEN,J$3,0),0)),""),"")</f>
        <v>M</v>
      </c>
      <c r="K36" s="17">
        <f ca="1">IFERROR(IF(MAX('SORT IMPORT'!$A$13:$A$408)&gt;ROW()-ROW($A$5)-1,INDEX( PRODUKTE,  VLOOKUP(ROW()-ROW($A$5),zeilenindizes,2)+INDEX(prodRowOffset,K$3),  MATCH(K$2,OFFSET(INDEXNAMEN,K$3,0),0)),""),"")</f>
        <v>8</v>
      </c>
      <c r="L36" s="17">
        <f ca="1">IFERROR(IF(MAX('SORT IMPORT'!$A$13:$A$408)&gt;ROW()-ROW($A$5)-1,INDEX( PRODUKTE,  VLOOKUP(ROW()-ROW($A$5),zeilenindizes,2)+INDEX(prodRowOffset,L$3),  MATCH(L$2,OFFSET(INDEXNAMEN,L$3,0),0)),""),"")</f>
        <v>32</v>
      </c>
      <c r="M36" s="17">
        <f ca="1">IFERROR(IF(MAX('SORT IMPORT'!$A$13:$A$408)&gt;ROW()-ROW($A$5)-1,INDEX( PRODUKTE,  VLOOKUP(ROW()-ROW($A$5),zeilenindizes,2)+INDEX(prodRowOffset,M$3),  MATCH(M$2,OFFSET(INDEXNAMEN,M$3,0),0)),""),"")</f>
        <v>30</v>
      </c>
      <c r="N36" s="17">
        <f ca="1">IFERROR(IF(MAX('SORT IMPORT'!$A$13:$A$408)&gt;ROW()-ROW($A$5)-1,INDEX( PRODUKTE,  VLOOKUP(ROW()-ROW($A$5),zeilenindizes,2)+INDEX(prodRowOffset,N$3),  MATCH(N$2,OFFSET(INDEXNAMEN,N$3,0),0)),""),"")</f>
        <v>2</v>
      </c>
      <c r="O36" s="17">
        <f ca="1">IFERROR(IF(MAX('SORT IMPORT'!$A$13:$A$408)&gt;ROW()-ROW($A$5)-1,INDEX( PRODUKTE,  VLOOKUP(ROW()-ROW($A$5),zeilenindizes,2)+INDEX(prodRowOffset,O$3),  MATCH(O$2,OFFSET(INDEXNAMEN,O$3,0),0)),""),"")</f>
        <v>0</v>
      </c>
      <c r="P36" s="17">
        <f ca="1">IFERROR(IF(MAX('SORT IMPORT'!$A$13:$A$408)&gt;ROW()-ROW($A$5)-1,INDEX( PRODUKTE,  VLOOKUP(ROW()-ROW($A$5),zeilenindizes,2)+INDEX(prodRowOffset,P$3),  MATCH(P$2,OFFSET(INDEXNAMEN,P$3,0),0)),""),"")</f>
        <v>1</v>
      </c>
      <c r="Q36" s="17">
        <f ca="1">IFERROR(IF(MAX('SORT IMPORT'!$A$13:$A$408)&gt;ROW()-ROW($A$5)-1,INDEX( PRODUKTE,  VLOOKUP(ROW()-ROW($A$5),zeilenindizes,2)+INDEX(prodRowOffset,Q$3),  MATCH(Q$2,OFFSET(INDEXNAMEN,Q$3,0),0)),""),"")</f>
        <v>0</v>
      </c>
      <c r="R36" s="17">
        <f ca="1">IFERROR(IF(MAX('SORT IMPORT'!$A$13:$A$408)&gt;ROW()-ROW($A$5)-1,INDEX( PRODUKTE,  VLOOKUP(ROW()-ROW($A$5),zeilenindizes,2)+INDEX(prodRowOffset,R$3),  MATCH(R$2,OFFSET(INDEXNAMEN,R$3,0),0)),""),"")</f>
        <v>1</v>
      </c>
      <c r="S36" s="17">
        <f ca="1">IFERROR(IF(MAX('SORT IMPORT'!$A$13:$A$408)&gt;ROW()-ROW($A$5)-1,INDEX( PRODUKTE,  VLOOKUP(ROW()-ROW($A$5),zeilenindizes,2)+INDEX(prodRowOffset,S$3),  MATCH(S$2,OFFSET(INDEXNAMEN,S$3,0),0)),""),"")</f>
        <v>1</v>
      </c>
      <c r="T36" s="17">
        <f ca="1">IFERROR(IF(MAX('SORT IMPORT'!$A$13:$A$408)&gt;ROW()-ROW($A$5)-1,INDEX( PRODUKTE,  VLOOKUP(ROW()-ROW($A$5),zeilenindizes,2)+INDEX(prodRowOffset,T$3),  MATCH(T$2,OFFSET(INDEXNAMEN,T$3,0),0)),""),"")</f>
        <v>1</v>
      </c>
      <c r="U36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36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36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36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36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36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36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118</v>
      </c>
      <c r="AB36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36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118</v>
      </c>
      <c r="AD36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36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36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36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36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36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36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36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118</v>
      </c>
      <c r="AL36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36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118</v>
      </c>
      <c r="AN36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34</v>
      </c>
      <c r="AO36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36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40</v>
      </c>
      <c r="AQ36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36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20</v>
      </c>
      <c r="AS36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36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36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36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51</v>
      </c>
      <c r="AW36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36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36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36" s="17">
        <v>97</v>
      </c>
      <c r="BA36" s="17">
        <v>1</v>
      </c>
      <c r="BB36" s="17">
        <v>8</v>
      </c>
      <c r="CW36" s="182">
        <v>40</v>
      </c>
      <c r="CX36" s="183" t="s">
        <v>1886</v>
      </c>
    </row>
    <row r="37" spans="6:102" ht="22.5" customHeight="1" x14ac:dyDescent="0.3">
      <c r="F37" s="17" t="str">
        <f ca="1">IFERROR(IF(MAX('SORT IMPORT'!$A$13:$A$408)&gt;ROW()-ROW($A$5)-1,INDEX( PRODUKTE,  VLOOKUP(ROW()-ROW($A$5),zeilenindizes,2)+INDEX(prodRowOffset,F$3),  MATCH(F$2,OFFSET(INDEXNAMEN,F$3,0),0)),""),"")</f>
        <v>TS 93 G GSR-EMF 1 /BG EN 2-5</v>
      </c>
      <c r="G37" s="17" t="str">
        <f ca="1">IFERROR(IF(MAX('SORT IMPORT'!$A$13:$A$408)&gt;ROW()-ROW($A$5)-1,INDEX( PRODUKTE,  VLOOKUP(ROW()-ROW($A$5),zeilenindizes,2)+INDEX(prodRowOffset,G$3),  MATCH(G$2,OFFSET(INDEXNAMEN,G$3,0),0)),""),"")</f>
        <v>G</v>
      </c>
      <c r="H37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37" s="17" t="str">
        <f ca="1">IFERROR(IF(MAX('SORT IMPORT'!$A$13:$A$408)&gt;ROW()-ROW($A$5)-1,INDEX( PRODUKTE,  VLOOKUP(ROW()-ROW($A$5),zeilenindizes,2)+INDEX(prodRowOffset,I$3),  MATCH(I$2,OFFSET(INDEXNAMEN,I$3,0),0)),""),"")</f>
        <v>V</v>
      </c>
      <c r="J37" s="17" t="str">
        <f ca="1">IFERROR(IF(MAX('SORT IMPORT'!$A$13:$A$408)&gt;ROW()-ROW($A$5)-1,INDEX( PRODUKTE,  VLOOKUP(ROW()-ROW($A$5),zeilenindizes,2)+INDEX(prodRowOffset,J$3),  MATCH(J$2,OFFSET(INDEXNAMEN,J$3,0),0)),""),"")</f>
        <v>E</v>
      </c>
      <c r="K37" s="17">
        <f ca="1">IFERROR(IF(MAX('SORT IMPORT'!$A$13:$A$408)&gt;ROW()-ROW($A$5)-1,INDEX( PRODUKTE,  VLOOKUP(ROW()-ROW($A$5),zeilenindizes,2)+INDEX(prodRowOffset,K$3),  MATCH(K$2,OFFSET(INDEXNAMEN,K$3,0),0)),""),"")</f>
        <v>8</v>
      </c>
      <c r="L37" s="17">
        <f ca="1">IFERROR(IF(MAX('SORT IMPORT'!$A$13:$A$408)&gt;ROW()-ROW($A$5)-1,INDEX( PRODUKTE,  VLOOKUP(ROW()-ROW($A$5),zeilenindizes,2)+INDEX(prodRowOffset,L$3),  MATCH(L$2,OFFSET(INDEXNAMEN,L$3,0),0)),""),"")</f>
        <v>64</v>
      </c>
      <c r="M37" s="17">
        <f ca="1">IFERROR(IF(MAX('SORT IMPORT'!$A$13:$A$408)&gt;ROW()-ROW($A$5)-1,INDEX( PRODUKTE,  VLOOKUP(ROW()-ROW($A$5),zeilenindizes,2)+INDEX(prodRowOffset,M$3),  MATCH(M$2,OFFSET(INDEXNAMEN,M$3,0),0)),""),"")</f>
        <v>30</v>
      </c>
      <c r="N37" s="17">
        <f ca="1">IFERROR(IF(MAX('SORT IMPORT'!$A$13:$A$408)&gt;ROW()-ROW($A$5)-1,INDEX( PRODUKTE,  VLOOKUP(ROW()-ROW($A$5),zeilenindizes,2)+INDEX(prodRowOffset,N$3),  MATCH(N$2,OFFSET(INDEXNAMEN,N$3,0),0)),""),"")</f>
        <v>2</v>
      </c>
      <c r="O37" s="17">
        <f ca="1">IFERROR(IF(MAX('SORT IMPORT'!$A$13:$A$408)&gt;ROW()-ROW($A$5)-1,INDEX( PRODUKTE,  VLOOKUP(ROW()-ROW($A$5),zeilenindizes,2)+INDEX(prodRowOffset,O$3),  MATCH(O$2,OFFSET(INDEXNAMEN,O$3,0),0)),""),"")</f>
        <v>2</v>
      </c>
      <c r="P37" s="17">
        <f ca="1">IFERROR(IF(MAX('SORT IMPORT'!$A$13:$A$408)&gt;ROW()-ROW($A$5)-1,INDEX( PRODUKTE,  VLOOKUP(ROW()-ROW($A$5),zeilenindizes,2)+INDEX(prodRowOffset,P$3),  MATCH(P$2,OFFSET(INDEXNAMEN,P$3,0),0)),""),"")</f>
        <v>1</v>
      </c>
      <c r="Q37" s="17">
        <f ca="1">IFERROR(IF(MAX('SORT IMPORT'!$A$13:$A$408)&gt;ROW()-ROW($A$5)-1,INDEX( PRODUKTE,  VLOOKUP(ROW()-ROW($A$5),zeilenindizes,2)+INDEX(prodRowOffset,Q$3),  MATCH(Q$2,OFFSET(INDEXNAMEN,Q$3,0),0)),""),"")</f>
        <v>1</v>
      </c>
      <c r="R37" s="17">
        <f ca="1">IFERROR(IF(MAX('SORT IMPORT'!$A$13:$A$408)&gt;ROW()-ROW($A$5)-1,INDEX( PRODUKTE,  VLOOKUP(ROW()-ROW($A$5),zeilenindizes,2)+INDEX(prodRowOffset,R$3),  MATCH(R$2,OFFSET(INDEXNAMEN,R$3,0),0)),""),"")</f>
        <v>1</v>
      </c>
      <c r="S37" s="17">
        <f ca="1">IFERROR(IF(MAX('SORT IMPORT'!$A$13:$A$408)&gt;ROW()-ROW($A$5)-1,INDEX( PRODUKTE,  VLOOKUP(ROW()-ROW($A$5),zeilenindizes,2)+INDEX(prodRowOffset,S$3),  MATCH(S$2,OFFSET(INDEXNAMEN,S$3,0),0)),""),"")</f>
        <v>1</v>
      </c>
      <c r="T37" s="17">
        <f ca="1">IFERROR(IF(MAX('SORT IMPORT'!$A$13:$A$408)&gt;ROW()-ROW($A$5)-1,INDEX( PRODUKTE,  VLOOKUP(ROW()-ROW($A$5),zeilenindizes,2)+INDEX(prodRowOffset,T$3),  MATCH(T$2,OFFSET(INDEXNAMEN,T$3,0),0)),""),"")</f>
        <v>1</v>
      </c>
      <c r="U37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37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37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37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37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37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37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118</v>
      </c>
      <c r="AB37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37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37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37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37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37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37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37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37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37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118</v>
      </c>
      <c r="AL37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37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37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37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37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34</v>
      </c>
      <c r="AQ37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37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17</v>
      </c>
      <c r="AS37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37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37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37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37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37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37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37" s="17">
        <v>97</v>
      </c>
      <c r="BA37" s="17">
        <v>2</v>
      </c>
      <c r="BB37" s="17">
        <v>0</v>
      </c>
      <c r="CW37" s="182">
        <v>40</v>
      </c>
      <c r="CX37" s="183" t="s">
        <v>1891</v>
      </c>
    </row>
    <row r="38" spans="6:102" ht="22.5" customHeight="1" x14ac:dyDescent="0.3">
      <c r="F38" s="17" t="str">
        <f ca="1">IFERROR(IF(MAX('SORT IMPORT'!$A$13:$A$408)&gt;ROW()-ROW($A$5)-1,INDEX( PRODUKTE,  VLOOKUP(ROW()-ROW($A$5),zeilenindizes,2)+INDEX(prodRowOffset,F$3),  MATCH(F$2,OFFSET(INDEXNAMEN,F$3,0),0)),""),"")</f>
        <v>TS 93 G GSR-EMF 1G /BG EN 2-5</v>
      </c>
      <c r="G38" s="17" t="str">
        <f ca="1">IFERROR(IF(MAX('SORT IMPORT'!$A$13:$A$408)&gt;ROW()-ROW($A$5)-1,INDEX( PRODUKTE,  VLOOKUP(ROW()-ROW($A$5),zeilenindizes,2)+INDEX(prodRowOffset,G$3),  MATCH(G$2,OFFSET(INDEXNAMEN,G$3,0),0)),""),"")</f>
        <v>G</v>
      </c>
      <c r="H38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38" s="17" t="str">
        <f ca="1">IFERROR(IF(MAX('SORT IMPORT'!$A$13:$A$408)&gt;ROW()-ROW($A$5)-1,INDEX( PRODUKTE,  VLOOKUP(ROW()-ROW($A$5),zeilenindizes,2)+INDEX(prodRowOffset,I$3),  MATCH(I$2,OFFSET(INDEXNAMEN,I$3,0),0)),""),"")</f>
        <v>V</v>
      </c>
      <c r="J38" s="17" t="str">
        <f ca="1">IFERROR(IF(MAX('SORT IMPORT'!$A$13:$A$408)&gt;ROW()-ROW($A$5)-1,INDEX( PRODUKTE,  VLOOKUP(ROW()-ROW($A$5),zeilenindizes,2)+INDEX(prodRowOffset,J$3),  MATCH(J$2,OFFSET(INDEXNAMEN,J$3,0),0)),""),"")</f>
        <v>E</v>
      </c>
      <c r="K38" s="17">
        <f ca="1">IFERROR(IF(MAX('SORT IMPORT'!$A$13:$A$408)&gt;ROW()-ROW($A$5)-1,INDEX( PRODUKTE,  VLOOKUP(ROW()-ROW($A$5),zeilenindizes,2)+INDEX(prodRowOffset,K$3),  MATCH(K$2,OFFSET(INDEXNAMEN,K$3,0),0)),""),"")</f>
        <v>8</v>
      </c>
      <c r="L38" s="17">
        <f ca="1">IFERROR(IF(MAX('SORT IMPORT'!$A$13:$A$408)&gt;ROW()-ROW($A$5)-1,INDEX( PRODUKTE,  VLOOKUP(ROW()-ROW($A$5),zeilenindizes,2)+INDEX(prodRowOffset,L$3),  MATCH(L$2,OFFSET(INDEXNAMEN,L$3,0),0)),""),"")</f>
        <v>128</v>
      </c>
      <c r="M38" s="17">
        <f ca="1">IFERROR(IF(MAX('SORT IMPORT'!$A$13:$A$408)&gt;ROW()-ROW($A$5)-1,INDEX( PRODUKTE,  VLOOKUP(ROW()-ROW($A$5),zeilenindizes,2)+INDEX(prodRowOffset,M$3),  MATCH(M$2,OFFSET(INDEXNAMEN,M$3,0),0)),""),"")</f>
        <v>30</v>
      </c>
      <c r="N38" s="17">
        <f ca="1">IFERROR(IF(MAX('SORT IMPORT'!$A$13:$A$408)&gt;ROW()-ROW($A$5)-1,INDEX( PRODUKTE,  VLOOKUP(ROW()-ROW($A$5),zeilenindizes,2)+INDEX(prodRowOffset,N$3),  MATCH(N$2,OFFSET(INDEXNAMEN,N$3,0),0)),""),"")</f>
        <v>2</v>
      </c>
      <c r="O38" s="17">
        <f ca="1">IFERROR(IF(MAX('SORT IMPORT'!$A$13:$A$408)&gt;ROW()-ROW($A$5)-1,INDEX( PRODUKTE,  VLOOKUP(ROW()-ROW($A$5),zeilenindizes,2)+INDEX(prodRowOffset,O$3),  MATCH(O$2,OFFSET(INDEXNAMEN,O$3,0),0)),""),"")</f>
        <v>2</v>
      </c>
      <c r="P38" s="17">
        <f ca="1">IFERROR(IF(MAX('SORT IMPORT'!$A$13:$A$408)&gt;ROW()-ROW($A$5)-1,INDEX( PRODUKTE,  VLOOKUP(ROW()-ROW($A$5),zeilenindizes,2)+INDEX(prodRowOffset,P$3),  MATCH(P$2,OFFSET(INDEXNAMEN,P$3,0),0)),""),"")</f>
        <v>1</v>
      </c>
      <c r="Q38" s="17">
        <f ca="1">IFERROR(IF(MAX('SORT IMPORT'!$A$13:$A$408)&gt;ROW()-ROW($A$5)-1,INDEX( PRODUKTE,  VLOOKUP(ROW()-ROW($A$5),zeilenindizes,2)+INDEX(prodRowOffset,Q$3),  MATCH(Q$2,OFFSET(INDEXNAMEN,Q$3,0),0)),""),"")</f>
        <v>1</v>
      </c>
      <c r="R38" s="17">
        <f ca="1">IFERROR(IF(MAX('SORT IMPORT'!$A$13:$A$408)&gt;ROW()-ROW($A$5)-1,INDEX( PRODUKTE,  VLOOKUP(ROW()-ROW($A$5),zeilenindizes,2)+INDEX(prodRowOffset,R$3),  MATCH(R$2,OFFSET(INDEXNAMEN,R$3,0),0)),""),"")</f>
        <v>1</v>
      </c>
      <c r="S38" s="17">
        <f ca="1">IFERROR(IF(MAX('SORT IMPORT'!$A$13:$A$408)&gt;ROW()-ROW($A$5)-1,INDEX( PRODUKTE,  VLOOKUP(ROW()-ROW($A$5),zeilenindizes,2)+INDEX(prodRowOffset,S$3),  MATCH(S$2,OFFSET(INDEXNAMEN,S$3,0),0)),""),"")</f>
        <v>1</v>
      </c>
      <c r="T38" s="17">
        <f ca="1">IFERROR(IF(MAX('SORT IMPORT'!$A$13:$A$408)&gt;ROW()-ROW($A$5)-1,INDEX( PRODUKTE,  VLOOKUP(ROW()-ROW($A$5),zeilenindizes,2)+INDEX(prodRowOffset,T$3),  MATCH(T$2,OFFSET(INDEXNAMEN,T$3,0),0)),""),"")</f>
        <v>1</v>
      </c>
      <c r="U38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38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38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38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38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38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38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118</v>
      </c>
      <c r="AB38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38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38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38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38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38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38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38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38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38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118</v>
      </c>
      <c r="AL38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38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38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38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38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34</v>
      </c>
      <c r="AQ38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38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17</v>
      </c>
      <c r="AS38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38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38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38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38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38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38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38" s="17">
        <v>97</v>
      </c>
      <c r="BA38" s="17">
        <v>3</v>
      </c>
      <c r="BB38" s="17">
        <v>0</v>
      </c>
      <c r="CW38" s="182">
        <v>40</v>
      </c>
      <c r="CX38" s="183" t="s">
        <v>1892</v>
      </c>
    </row>
    <row r="39" spans="6:102" ht="22.5" customHeight="1" x14ac:dyDescent="0.3">
      <c r="F39" s="17" t="str">
        <f ca="1">IFERROR(IF(MAX('SORT IMPORT'!$A$13:$A$408)&gt;ROW()-ROW($A$5)-1,INDEX( PRODUKTE,  VLOOKUP(ROW()-ROW($A$5),zeilenindizes,2)+INDEX(prodRowOffset,F$3),  MATCH(F$2,OFFSET(INDEXNAMEN,F$3,0),0)),""),"")</f>
        <v>TS 93 G GSR-EMF 2 /BG EN 2-5</v>
      </c>
      <c r="G39" s="17" t="str">
        <f ca="1">IFERROR(IF(MAX('SORT IMPORT'!$A$13:$A$408)&gt;ROW()-ROW($A$5)-1,INDEX( PRODUKTE,  VLOOKUP(ROW()-ROW($A$5),zeilenindizes,2)+INDEX(prodRowOffset,G$3),  MATCH(G$2,OFFSET(INDEXNAMEN,G$3,0),0)),""),"")</f>
        <v>G</v>
      </c>
      <c r="H39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39" s="17" t="str">
        <f ca="1">IFERROR(IF(MAX('SORT IMPORT'!$A$13:$A$408)&gt;ROW()-ROW($A$5)-1,INDEX( PRODUKTE,  VLOOKUP(ROW()-ROW($A$5),zeilenindizes,2)+INDEX(prodRowOffset,I$3),  MATCH(I$2,OFFSET(INDEXNAMEN,I$3,0),0)),""),"")</f>
        <v>V</v>
      </c>
      <c r="J39" s="17" t="str">
        <f ca="1">IFERROR(IF(MAX('SORT IMPORT'!$A$13:$A$408)&gt;ROW()-ROW($A$5)-1,INDEX( PRODUKTE,  VLOOKUP(ROW()-ROW($A$5),zeilenindizes,2)+INDEX(prodRowOffset,J$3),  MATCH(J$2,OFFSET(INDEXNAMEN,J$3,0),0)),""),"")</f>
        <v>E</v>
      </c>
      <c r="K39" s="17">
        <f ca="1">IFERROR(IF(MAX('SORT IMPORT'!$A$13:$A$408)&gt;ROW()-ROW($A$5)-1,INDEX( PRODUKTE,  VLOOKUP(ROW()-ROW($A$5),zeilenindizes,2)+INDEX(prodRowOffset,K$3),  MATCH(K$2,OFFSET(INDEXNAMEN,K$3,0),0)),""),"")</f>
        <v>8</v>
      </c>
      <c r="L39" s="17">
        <f ca="1">IFERROR(IF(MAX('SORT IMPORT'!$A$13:$A$408)&gt;ROW()-ROW($A$5)-1,INDEX( PRODUKTE,  VLOOKUP(ROW()-ROW($A$5),zeilenindizes,2)+INDEX(prodRowOffset,L$3),  MATCH(L$2,OFFSET(INDEXNAMEN,L$3,0),0)),""),"")</f>
        <v>256</v>
      </c>
      <c r="M39" s="17">
        <f ca="1">IFERROR(IF(MAX('SORT IMPORT'!$A$13:$A$408)&gt;ROW()-ROW($A$5)-1,INDEX( PRODUKTE,  VLOOKUP(ROW()-ROW($A$5),zeilenindizes,2)+INDEX(prodRowOffset,M$3),  MATCH(M$2,OFFSET(INDEXNAMEN,M$3,0),0)),""),"")</f>
        <v>30</v>
      </c>
      <c r="N39" s="17">
        <f ca="1">IFERROR(IF(MAX('SORT IMPORT'!$A$13:$A$408)&gt;ROW()-ROW($A$5)-1,INDEX( PRODUKTE,  VLOOKUP(ROW()-ROW($A$5),zeilenindizes,2)+INDEX(prodRowOffset,N$3),  MATCH(N$2,OFFSET(INDEXNAMEN,N$3,0),0)),""),"")</f>
        <v>2</v>
      </c>
      <c r="O39" s="17">
        <f ca="1">IFERROR(IF(MAX('SORT IMPORT'!$A$13:$A$408)&gt;ROW()-ROW($A$5)-1,INDEX( PRODUKTE,  VLOOKUP(ROW()-ROW($A$5),zeilenindizes,2)+INDEX(prodRowOffset,O$3),  MATCH(O$2,OFFSET(INDEXNAMEN,O$3,0),0)),""),"")</f>
        <v>2</v>
      </c>
      <c r="P39" s="17">
        <f ca="1">IFERROR(IF(MAX('SORT IMPORT'!$A$13:$A$408)&gt;ROW()-ROW($A$5)-1,INDEX( PRODUKTE,  VLOOKUP(ROW()-ROW($A$5),zeilenindizes,2)+INDEX(prodRowOffset,P$3),  MATCH(P$2,OFFSET(INDEXNAMEN,P$3,0),0)),""),"")</f>
        <v>1</v>
      </c>
      <c r="Q39" s="17">
        <f ca="1">IFERROR(IF(MAX('SORT IMPORT'!$A$13:$A$408)&gt;ROW()-ROW($A$5)-1,INDEX( PRODUKTE,  VLOOKUP(ROW()-ROW($A$5),zeilenindizes,2)+INDEX(prodRowOffset,Q$3),  MATCH(Q$2,OFFSET(INDEXNAMEN,Q$3,0),0)),""),"")</f>
        <v>1</v>
      </c>
      <c r="R39" s="17">
        <f ca="1">IFERROR(IF(MAX('SORT IMPORT'!$A$13:$A$408)&gt;ROW()-ROW($A$5)-1,INDEX( PRODUKTE,  VLOOKUP(ROW()-ROW($A$5),zeilenindizes,2)+INDEX(prodRowOffset,R$3),  MATCH(R$2,OFFSET(INDEXNAMEN,R$3,0),0)),""),"")</f>
        <v>1</v>
      </c>
      <c r="S39" s="17">
        <f ca="1">IFERROR(IF(MAX('SORT IMPORT'!$A$13:$A$408)&gt;ROW()-ROW($A$5)-1,INDEX( PRODUKTE,  VLOOKUP(ROW()-ROW($A$5),zeilenindizes,2)+INDEX(prodRowOffset,S$3),  MATCH(S$2,OFFSET(INDEXNAMEN,S$3,0),0)),""),"")</f>
        <v>1</v>
      </c>
      <c r="T39" s="17">
        <f ca="1">IFERROR(IF(MAX('SORT IMPORT'!$A$13:$A$408)&gt;ROW()-ROW($A$5)-1,INDEX( PRODUKTE,  VLOOKUP(ROW()-ROW($A$5),zeilenindizes,2)+INDEX(prodRowOffset,T$3),  MATCH(T$2,OFFSET(INDEXNAMEN,T$3,0),0)),""),"")</f>
        <v>1</v>
      </c>
      <c r="U39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39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39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39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39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39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39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118</v>
      </c>
      <c r="AB39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39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39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39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39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39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39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39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39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39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118</v>
      </c>
      <c r="AL39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39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39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39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39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34</v>
      </c>
      <c r="AQ39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39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17</v>
      </c>
      <c r="AS39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39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39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39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39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39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39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39" s="17">
        <v>97</v>
      </c>
      <c r="BA39" s="17">
        <v>4</v>
      </c>
      <c r="BB39" s="17">
        <v>0</v>
      </c>
      <c r="CW39" s="182">
        <v>40</v>
      </c>
      <c r="CX39" s="183" t="s">
        <v>1893</v>
      </c>
    </row>
    <row r="40" spans="6:102" ht="22.5" customHeight="1" x14ac:dyDescent="0.3">
      <c r="F40" s="17" t="str">
        <f ca="1">IFERROR(IF(MAX('SORT IMPORT'!$A$13:$A$408)&gt;ROW()-ROW($A$5)-1,INDEX( PRODUKTE,  VLOOKUP(ROW()-ROW($A$5),zeilenindizes,2)+INDEX(prodRowOffset,F$3),  MATCH(F$2,OFFSET(INDEXNAMEN,F$3,0),0)),""),"")</f>
        <v>TS 93 G GSR-EMR 1 /BG EN 2-5</v>
      </c>
      <c r="G40" s="17" t="str">
        <f ca="1">IFERROR(IF(MAX('SORT IMPORT'!$A$13:$A$408)&gt;ROW()-ROW($A$5)-1,INDEX( PRODUKTE,  VLOOKUP(ROW()-ROW($A$5),zeilenindizes,2)+INDEX(prodRowOffset,G$3),  MATCH(G$2,OFFSET(INDEXNAMEN,G$3,0),0)),""),"")</f>
        <v>G</v>
      </c>
      <c r="H40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40" s="17" t="str">
        <f ca="1">IFERROR(IF(MAX('SORT IMPORT'!$A$13:$A$408)&gt;ROW()-ROW($A$5)-1,INDEX( PRODUKTE,  VLOOKUP(ROW()-ROW($A$5),zeilenindizes,2)+INDEX(prodRowOffset,I$3),  MATCH(I$2,OFFSET(INDEXNAMEN,I$3,0),0)),""),"")</f>
        <v>V</v>
      </c>
      <c r="J40" s="17" t="str">
        <f ca="1">IFERROR(IF(MAX('SORT IMPORT'!$A$13:$A$408)&gt;ROW()-ROW($A$5)-1,INDEX( PRODUKTE,  VLOOKUP(ROW()-ROW($A$5),zeilenindizes,2)+INDEX(prodRowOffset,J$3),  MATCH(J$2,OFFSET(INDEXNAMEN,J$3,0),0)),""),"")</f>
        <v>R</v>
      </c>
      <c r="K40" s="17">
        <f ca="1">IFERROR(IF(MAX('SORT IMPORT'!$A$13:$A$408)&gt;ROW()-ROW($A$5)-1,INDEX( PRODUKTE,  VLOOKUP(ROW()-ROW($A$5),zeilenindizes,2)+INDEX(prodRowOffset,K$3),  MATCH(K$2,OFFSET(INDEXNAMEN,K$3,0),0)),""),"")</f>
        <v>8</v>
      </c>
      <c r="L40" s="17">
        <f ca="1">IFERROR(IF(MAX('SORT IMPORT'!$A$13:$A$408)&gt;ROW()-ROW($A$5)-1,INDEX( PRODUKTE,  VLOOKUP(ROW()-ROW($A$5),zeilenindizes,2)+INDEX(prodRowOffset,L$3),  MATCH(L$2,OFFSET(INDEXNAMEN,L$3,0),0)),""),"")</f>
        <v>512</v>
      </c>
      <c r="M40" s="17">
        <f ca="1">IFERROR(IF(MAX('SORT IMPORT'!$A$13:$A$408)&gt;ROW()-ROW($A$5)-1,INDEX( PRODUKTE,  VLOOKUP(ROW()-ROW($A$5),zeilenindizes,2)+INDEX(prodRowOffset,M$3),  MATCH(M$2,OFFSET(INDEXNAMEN,M$3,0),0)),""),"")</f>
        <v>30</v>
      </c>
      <c r="N40" s="17">
        <f ca="1">IFERROR(IF(MAX('SORT IMPORT'!$A$13:$A$408)&gt;ROW()-ROW($A$5)-1,INDEX( PRODUKTE,  VLOOKUP(ROW()-ROW($A$5),zeilenindizes,2)+INDEX(prodRowOffset,N$3),  MATCH(N$2,OFFSET(INDEXNAMEN,N$3,0),0)),""),"")</f>
        <v>2</v>
      </c>
      <c r="O40" s="17">
        <f ca="1">IFERROR(IF(MAX('SORT IMPORT'!$A$13:$A$408)&gt;ROW()-ROW($A$5)-1,INDEX( PRODUKTE,  VLOOKUP(ROW()-ROW($A$5),zeilenindizes,2)+INDEX(prodRowOffset,O$3),  MATCH(O$2,OFFSET(INDEXNAMEN,O$3,0),0)),""),"")</f>
        <v>1</v>
      </c>
      <c r="P40" s="17">
        <f ca="1">IFERROR(IF(MAX('SORT IMPORT'!$A$13:$A$408)&gt;ROW()-ROW($A$5)-1,INDEX( PRODUKTE,  VLOOKUP(ROW()-ROW($A$5),zeilenindizes,2)+INDEX(prodRowOffset,P$3),  MATCH(P$2,OFFSET(INDEXNAMEN,P$3,0),0)),""),"")</f>
        <v>1</v>
      </c>
      <c r="Q40" s="17">
        <f ca="1">IFERROR(IF(MAX('SORT IMPORT'!$A$13:$A$408)&gt;ROW()-ROW($A$5)-1,INDEX( PRODUKTE,  VLOOKUP(ROW()-ROW($A$5),zeilenindizes,2)+INDEX(prodRowOffset,Q$3),  MATCH(Q$2,OFFSET(INDEXNAMEN,Q$3,0),0)),""),"")</f>
        <v>1</v>
      </c>
      <c r="R40" s="17">
        <f ca="1">IFERROR(IF(MAX('SORT IMPORT'!$A$13:$A$408)&gt;ROW()-ROW($A$5)-1,INDEX( PRODUKTE,  VLOOKUP(ROW()-ROW($A$5),zeilenindizes,2)+INDEX(prodRowOffset,R$3),  MATCH(R$2,OFFSET(INDEXNAMEN,R$3,0),0)),""),"")</f>
        <v>1</v>
      </c>
      <c r="S40" s="17">
        <f ca="1">IFERROR(IF(MAX('SORT IMPORT'!$A$13:$A$408)&gt;ROW()-ROW($A$5)-1,INDEX( PRODUKTE,  VLOOKUP(ROW()-ROW($A$5),zeilenindizes,2)+INDEX(prodRowOffset,S$3),  MATCH(S$2,OFFSET(INDEXNAMEN,S$3,0),0)),""),"")</f>
        <v>1</v>
      </c>
      <c r="T40" s="17">
        <f ca="1">IFERROR(IF(MAX('SORT IMPORT'!$A$13:$A$408)&gt;ROW()-ROW($A$5)-1,INDEX( PRODUKTE,  VLOOKUP(ROW()-ROW($A$5),zeilenindizes,2)+INDEX(prodRowOffset,T$3),  MATCH(T$2,OFFSET(INDEXNAMEN,T$3,0),0)),""),"")</f>
        <v>1</v>
      </c>
      <c r="U40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40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40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40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40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40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40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118</v>
      </c>
      <c r="AB40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40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40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40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40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40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40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40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40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40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118</v>
      </c>
      <c r="AL40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40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40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40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40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40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40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40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40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40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40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40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40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40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40" s="17">
        <v>97</v>
      </c>
      <c r="BA40" s="17">
        <v>5</v>
      </c>
      <c r="BB40" s="17">
        <v>0</v>
      </c>
      <c r="CW40" s="182">
        <v>40</v>
      </c>
      <c r="CX40" s="183" t="s">
        <v>1894</v>
      </c>
    </row>
    <row r="41" spans="6:102" ht="22.5" customHeight="1" x14ac:dyDescent="0.3">
      <c r="F41" s="17" t="str">
        <f ca="1">IFERROR(IF(MAX('SORT IMPORT'!$A$13:$A$408)&gt;ROW()-ROW($A$5)-1,INDEX( PRODUKTE,  VLOOKUP(ROW()-ROW($A$5),zeilenindizes,2)+INDEX(prodRowOffset,F$3),  MATCH(F$2,OFFSET(INDEXNAMEN,F$3,0),0)),""),"")</f>
        <v>TS 93 G GSR-EMR 1G /BG EN 2-5</v>
      </c>
      <c r="G41" s="17" t="str">
        <f ca="1">IFERROR(IF(MAX('SORT IMPORT'!$A$13:$A$408)&gt;ROW()-ROW($A$5)-1,INDEX( PRODUKTE,  VLOOKUP(ROW()-ROW($A$5),zeilenindizes,2)+INDEX(prodRowOffset,G$3),  MATCH(G$2,OFFSET(INDEXNAMEN,G$3,0),0)),""),"")</f>
        <v>G</v>
      </c>
      <c r="H41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41" s="17" t="str">
        <f ca="1">IFERROR(IF(MAX('SORT IMPORT'!$A$13:$A$408)&gt;ROW()-ROW($A$5)-1,INDEX( PRODUKTE,  VLOOKUP(ROW()-ROW($A$5),zeilenindizes,2)+INDEX(prodRowOffset,I$3),  MATCH(I$2,OFFSET(INDEXNAMEN,I$3,0),0)),""),"")</f>
        <v>V</v>
      </c>
      <c r="J41" s="17" t="str">
        <f ca="1">IFERROR(IF(MAX('SORT IMPORT'!$A$13:$A$408)&gt;ROW()-ROW($A$5)-1,INDEX( PRODUKTE,  VLOOKUP(ROW()-ROW($A$5),zeilenindizes,2)+INDEX(prodRowOffset,J$3),  MATCH(J$2,OFFSET(INDEXNAMEN,J$3,0),0)),""),"")</f>
        <v>R</v>
      </c>
      <c r="K41" s="17">
        <f ca="1">IFERROR(IF(MAX('SORT IMPORT'!$A$13:$A$408)&gt;ROW()-ROW($A$5)-1,INDEX( PRODUKTE,  VLOOKUP(ROW()-ROW($A$5),zeilenindizes,2)+INDEX(prodRowOffset,K$3),  MATCH(K$2,OFFSET(INDEXNAMEN,K$3,0),0)),""),"")</f>
        <v>8</v>
      </c>
      <c r="L41" s="17">
        <f ca="1">IFERROR(IF(MAX('SORT IMPORT'!$A$13:$A$408)&gt;ROW()-ROW($A$5)-1,INDEX( PRODUKTE,  VLOOKUP(ROW()-ROW($A$5),zeilenindizes,2)+INDEX(prodRowOffset,L$3),  MATCH(L$2,OFFSET(INDEXNAMEN,L$3,0),0)),""),"")</f>
        <v>1024</v>
      </c>
      <c r="M41" s="17">
        <f ca="1">IFERROR(IF(MAX('SORT IMPORT'!$A$13:$A$408)&gt;ROW()-ROW($A$5)-1,INDEX( PRODUKTE,  VLOOKUP(ROW()-ROW($A$5),zeilenindizes,2)+INDEX(prodRowOffset,M$3),  MATCH(M$2,OFFSET(INDEXNAMEN,M$3,0),0)),""),"")</f>
        <v>30</v>
      </c>
      <c r="N41" s="17">
        <f ca="1">IFERROR(IF(MAX('SORT IMPORT'!$A$13:$A$408)&gt;ROW()-ROW($A$5)-1,INDEX( PRODUKTE,  VLOOKUP(ROW()-ROW($A$5),zeilenindizes,2)+INDEX(prodRowOffset,N$3),  MATCH(N$2,OFFSET(INDEXNAMEN,N$3,0),0)),""),"")</f>
        <v>2</v>
      </c>
      <c r="O41" s="17">
        <f ca="1">IFERROR(IF(MAX('SORT IMPORT'!$A$13:$A$408)&gt;ROW()-ROW($A$5)-1,INDEX( PRODUKTE,  VLOOKUP(ROW()-ROW($A$5),zeilenindizes,2)+INDEX(prodRowOffset,O$3),  MATCH(O$2,OFFSET(INDEXNAMEN,O$3,0),0)),""),"")</f>
        <v>1</v>
      </c>
      <c r="P41" s="17">
        <f ca="1">IFERROR(IF(MAX('SORT IMPORT'!$A$13:$A$408)&gt;ROW()-ROW($A$5)-1,INDEX( PRODUKTE,  VLOOKUP(ROW()-ROW($A$5),zeilenindizes,2)+INDEX(prodRowOffset,P$3),  MATCH(P$2,OFFSET(INDEXNAMEN,P$3,0),0)),""),"")</f>
        <v>1</v>
      </c>
      <c r="Q41" s="17">
        <f ca="1">IFERROR(IF(MAX('SORT IMPORT'!$A$13:$A$408)&gt;ROW()-ROW($A$5)-1,INDEX( PRODUKTE,  VLOOKUP(ROW()-ROW($A$5),zeilenindizes,2)+INDEX(prodRowOffset,Q$3),  MATCH(Q$2,OFFSET(INDEXNAMEN,Q$3,0),0)),""),"")</f>
        <v>1</v>
      </c>
      <c r="R41" s="17">
        <f ca="1">IFERROR(IF(MAX('SORT IMPORT'!$A$13:$A$408)&gt;ROW()-ROW($A$5)-1,INDEX( PRODUKTE,  VLOOKUP(ROW()-ROW($A$5),zeilenindizes,2)+INDEX(prodRowOffset,R$3),  MATCH(R$2,OFFSET(INDEXNAMEN,R$3,0),0)),""),"")</f>
        <v>1</v>
      </c>
      <c r="S41" s="17">
        <f ca="1">IFERROR(IF(MAX('SORT IMPORT'!$A$13:$A$408)&gt;ROW()-ROW($A$5)-1,INDEX( PRODUKTE,  VLOOKUP(ROW()-ROW($A$5),zeilenindizes,2)+INDEX(prodRowOffset,S$3),  MATCH(S$2,OFFSET(INDEXNAMEN,S$3,0),0)),""),"")</f>
        <v>1</v>
      </c>
      <c r="T41" s="17">
        <f ca="1">IFERROR(IF(MAX('SORT IMPORT'!$A$13:$A$408)&gt;ROW()-ROW($A$5)-1,INDEX( PRODUKTE,  VLOOKUP(ROW()-ROW($A$5),zeilenindizes,2)+INDEX(prodRowOffset,T$3),  MATCH(T$2,OFFSET(INDEXNAMEN,T$3,0),0)),""),"")</f>
        <v>1</v>
      </c>
      <c r="U41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41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41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41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41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41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41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118</v>
      </c>
      <c r="AB41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41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41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41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41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41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41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41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41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41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118</v>
      </c>
      <c r="AL41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41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41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41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41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41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41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41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41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41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41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41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41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41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41" s="17">
        <v>98</v>
      </c>
      <c r="BA41" s="17">
        <v>1</v>
      </c>
      <c r="BB41" s="17">
        <v>16</v>
      </c>
    </row>
    <row r="42" spans="6:102" ht="22.5" customHeight="1" x14ac:dyDescent="0.3">
      <c r="F42" s="17" t="str">
        <f ca="1">IFERROR(IF(MAX('SORT IMPORT'!$A$13:$A$408)&gt;ROW()-ROW($A$5)-1,INDEX( PRODUKTE,  VLOOKUP(ROW()-ROW($A$5),zeilenindizes,2)+INDEX(prodRowOffset,F$3),  MATCH(F$2,OFFSET(INDEXNAMEN,F$3,0),0)),""),"")</f>
        <v>TS 93 G GSR-EMR 2 /BG EN 2-5</v>
      </c>
      <c r="G42" s="17" t="str">
        <f ca="1">IFERROR(IF(MAX('SORT IMPORT'!$A$13:$A$408)&gt;ROW()-ROW($A$5)-1,INDEX( PRODUKTE,  VLOOKUP(ROW()-ROW($A$5),zeilenindizes,2)+INDEX(prodRowOffset,G$3),  MATCH(G$2,OFFSET(INDEXNAMEN,G$3,0),0)),""),"")</f>
        <v>G</v>
      </c>
      <c r="H42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42" s="17" t="str">
        <f ca="1">IFERROR(IF(MAX('SORT IMPORT'!$A$13:$A$408)&gt;ROW()-ROW($A$5)-1,INDEX( PRODUKTE,  VLOOKUP(ROW()-ROW($A$5),zeilenindizes,2)+INDEX(prodRowOffset,I$3),  MATCH(I$2,OFFSET(INDEXNAMEN,I$3,0),0)),""),"")</f>
        <v>V</v>
      </c>
      <c r="J42" s="17" t="str">
        <f ca="1">IFERROR(IF(MAX('SORT IMPORT'!$A$13:$A$408)&gt;ROW()-ROW($A$5)-1,INDEX( PRODUKTE,  VLOOKUP(ROW()-ROW($A$5),zeilenindizes,2)+INDEX(prodRowOffset,J$3),  MATCH(J$2,OFFSET(INDEXNAMEN,J$3,0),0)),""),"")</f>
        <v>R</v>
      </c>
      <c r="K42" s="17">
        <f ca="1">IFERROR(IF(MAX('SORT IMPORT'!$A$13:$A$408)&gt;ROW()-ROW($A$5)-1,INDEX( PRODUKTE,  VLOOKUP(ROW()-ROW($A$5),zeilenindizes,2)+INDEX(prodRowOffset,K$3),  MATCH(K$2,OFFSET(INDEXNAMEN,K$3,0),0)),""),"")</f>
        <v>8</v>
      </c>
      <c r="L42" s="17">
        <f ca="1">IFERROR(IF(MAX('SORT IMPORT'!$A$13:$A$408)&gt;ROW()-ROW($A$5)-1,INDEX( PRODUKTE,  VLOOKUP(ROW()-ROW($A$5),zeilenindizes,2)+INDEX(prodRowOffset,L$3),  MATCH(L$2,OFFSET(INDEXNAMEN,L$3,0),0)),""),"")</f>
        <v>2048</v>
      </c>
      <c r="M42" s="17">
        <f ca="1">IFERROR(IF(MAX('SORT IMPORT'!$A$13:$A$408)&gt;ROW()-ROW($A$5)-1,INDEX( PRODUKTE,  VLOOKUP(ROW()-ROW($A$5),zeilenindizes,2)+INDEX(prodRowOffset,M$3),  MATCH(M$2,OFFSET(INDEXNAMEN,M$3,0),0)),""),"")</f>
        <v>30</v>
      </c>
      <c r="N42" s="17">
        <f ca="1">IFERROR(IF(MAX('SORT IMPORT'!$A$13:$A$408)&gt;ROW()-ROW($A$5)-1,INDEX( PRODUKTE,  VLOOKUP(ROW()-ROW($A$5),zeilenindizes,2)+INDEX(prodRowOffset,N$3),  MATCH(N$2,OFFSET(INDEXNAMEN,N$3,0),0)),""),"")</f>
        <v>2</v>
      </c>
      <c r="O42" s="17">
        <f ca="1">IFERROR(IF(MAX('SORT IMPORT'!$A$13:$A$408)&gt;ROW()-ROW($A$5)-1,INDEX( PRODUKTE,  VLOOKUP(ROW()-ROW($A$5),zeilenindizes,2)+INDEX(prodRowOffset,O$3),  MATCH(O$2,OFFSET(INDEXNAMEN,O$3,0),0)),""),"")</f>
        <v>1</v>
      </c>
      <c r="P42" s="17">
        <f ca="1">IFERROR(IF(MAX('SORT IMPORT'!$A$13:$A$408)&gt;ROW()-ROW($A$5)-1,INDEX( PRODUKTE,  VLOOKUP(ROW()-ROW($A$5),zeilenindizes,2)+INDEX(prodRowOffset,P$3),  MATCH(P$2,OFFSET(INDEXNAMEN,P$3,0),0)),""),"")</f>
        <v>1</v>
      </c>
      <c r="Q42" s="17">
        <f ca="1">IFERROR(IF(MAX('SORT IMPORT'!$A$13:$A$408)&gt;ROW()-ROW($A$5)-1,INDEX( PRODUKTE,  VLOOKUP(ROW()-ROW($A$5),zeilenindizes,2)+INDEX(prodRowOffset,Q$3),  MATCH(Q$2,OFFSET(INDEXNAMEN,Q$3,0),0)),""),"")</f>
        <v>1</v>
      </c>
      <c r="R42" s="17">
        <f ca="1">IFERROR(IF(MAX('SORT IMPORT'!$A$13:$A$408)&gt;ROW()-ROW($A$5)-1,INDEX( PRODUKTE,  VLOOKUP(ROW()-ROW($A$5),zeilenindizes,2)+INDEX(prodRowOffset,R$3),  MATCH(R$2,OFFSET(INDEXNAMEN,R$3,0),0)),""),"")</f>
        <v>1</v>
      </c>
      <c r="S42" s="17">
        <f ca="1">IFERROR(IF(MAX('SORT IMPORT'!$A$13:$A$408)&gt;ROW()-ROW($A$5)-1,INDEX( PRODUKTE,  VLOOKUP(ROW()-ROW($A$5),zeilenindizes,2)+INDEX(prodRowOffset,S$3),  MATCH(S$2,OFFSET(INDEXNAMEN,S$3,0),0)),""),"")</f>
        <v>1</v>
      </c>
      <c r="T42" s="17">
        <f ca="1">IFERROR(IF(MAX('SORT IMPORT'!$A$13:$A$408)&gt;ROW()-ROW($A$5)-1,INDEX( PRODUKTE,  VLOOKUP(ROW()-ROW($A$5),zeilenindizes,2)+INDEX(prodRowOffset,T$3),  MATCH(T$2,OFFSET(INDEXNAMEN,T$3,0),0)),""),"")</f>
        <v>1</v>
      </c>
      <c r="U42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42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42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42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42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42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42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118</v>
      </c>
      <c r="AB42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42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42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42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42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42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42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42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42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42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118</v>
      </c>
      <c r="AL42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42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42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42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42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42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42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42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42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42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42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42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42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42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42" s="17">
        <v>98</v>
      </c>
      <c r="BA42" s="17">
        <v>2</v>
      </c>
      <c r="BB42" s="17">
        <v>30</v>
      </c>
    </row>
    <row r="43" spans="6:102" ht="22.5" customHeight="1" x14ac:dyDescent="0.3">
      <c r="F43" s="17" t="str">
        <f ca="1">IFERROR(IF(MAX('SORT IMPORT'!$A$13:$A$408)&gt;ROW()-ROW($A$5)-1,INDEX( PRODUKTE,  VLOOKUP(ROW()-ROW($A$5),zeilenindizes,2)+INDEX(prodRowOffset,F$3),  MATCH(F$2,OFFSET(INDEXNAMEN,F$3,0),0)),""),"")</f>
        <v>TS 93 G GSR /BG EN 2-5</v>
      </c>
      <c r="G43" s="17" t="str">
        <f ca="1">IFERROR(IF(MAX('SORT IMPORT'!$A$13:$A$408)&gt;ROW()-ROW($A$5)-1,INDEX( PRODUKTE,  VLOOKUP(ROW()-ROW($A$5),zeilenindizes,2)+INDEX(prodRowOffset,G$3),  MATCH(G$2,OFFSET(INDEXNAMEN,G$3,0),0)),""),"")</f>
        <v>G</v>
      </c>
      <c r="H43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43" s="17" t="str">
        <f ca="1">IFERROR(IF(MAX('SORT IMPORT'!$A$13:$A$408)&gt;ROW()-ROW($A$5)-1,INDEX( PRODUKTE,  VLOOKUP(ROW()-ROW($A$5),zeilenindizes,2)+INDEX(prodRowOffset,I$3),  MATCH(I$2,OFFSET(INDEXNAMEN,I$3,0),0)),""),"")</f>
        <v>V</v>
      </c>
      <c r="J43" s="17" t="str">
        <f ca="1">IFERROR(IF(MAX('SORT IMPORT'!$A$13:$A$408)&gt;ROW()-ROW($A$5)-1,INDEX( PRODUKTE,  VLOOKUP(ROW()-ROW($A$5),zeilenindizes,2)+INDEX(prodRowOffset,J$3),  MATCH(J$2,OFFSET(INDEXNAMEN,J$3,0),0)),""),"")</f>
        <v/>
      </c>
      <c r="K43" s="17">
        <f ca="1">IFERROR(IF(MAX('SORT IMPORT'!$A$13:$A$408)&gt;ROW()-ROW($A$5)-1,INDEX( PRODUKTE,  VLOOKUP(ROW()-ROW($A$5),zeilenindizes,2)+INDEX(prodRowOffset,K$3),  MATCH(K$2,OFFSET(INDEXNAMEN,K$3,0),0)),""),"")</f>
        <v>8</v>
      </c>
      <c r="L43" s="17">
        <f ca="1">IFERROR(IF(MAX('SORT IMPORT'!$A$13:$A$408)&gt;ROW()-ROW($A$5)-1,INDEX( PRODUKTE,  VLOOKUP(ROW()-ROW($A$5),zeilenindizes,2)+INDEX(prodRowOffset,L$3),  MATCH(L$2,OFFSET(INDEXNAMEN,L$3,0),0)),""),"")</f>
        <v>16</v>
      </c>
      <c r="M43" s="17">
        <f ca="1">IFERROR(IF(MAX('SORT IMPORT'!$A$13:$A$408)&gt;ROW()-ROW($A$5)-1,INDEX( PRODUKTE,  VLOOKUP(ROW()-ROW($A$5),zeilenindizes,2)+INDEX(prodRowOffset,M$3),  MATCH(M$2,OFFSET(INDEXNAMEN,M$3,0),0)),""),"")</f>
        <v>30</v>
      </c>
      <c r="N43" s="17">
        <f ca="1">IFERROR(IF(MAX('SORT IMPORT'!$A$13:$A$408)&gt;ROW()-ROW($A$5)-1,INDEX( PRODUKTE,  VLOOKUP(ROW()-ROW($A$5),zeilenindizes,2)+INDEX(prodRowOffset,N$3),  MATCH(N$2,OFFSET(INDEXNAMEN,N$3,0),0)),""),"")</f>
        <v>2</v>
      </c>
      <c r="O43" s="17">
        <f ca="1">IFERROR(IF(MAX('SORT IMPORT'!$A$13:$A$408)&gt;ROW()-ROW($A$5)-1,INDEX( PRODUKTE,  VLOOKUP(ROW()-ROW($A$5),zeilenindizes,2)+INDEX(prodRowOffset,O$3),  MATCH(O$2,OFFSET(INDEXNAMEN,O$3,0),0)),""),"")</f>
        <v>0</v>
      </c>
      <c r="P43" s="17">
        <f ca="1">IFERROR(IF(MAX('SORT IMPORT'!$A$13:$A$408)&gt;ROW()-ROW($A$5)-1,INDEX( PRODUKTE,  VLOOKUP(ROW()-ROW($A$5),zeilenindizes,2)+INDEX(prodRowOffset,P$3),  MATCH(P$2,OFFSET(INDEXNAMEN,P$3,0),0)),""),"")</f>
        <v>2</v>
      </c>
      <c r="Q43" s="17">
        <f ca="1">IFERROR(IF(MAX('SORT IMPORT'!$A$13:$A$408)&gt;ROW()-ROW($A$5)-1,INDEX( PRODUKTE,  VLOOKUP(ROW()-ROW($A$5),zeilenindizes,2)+INDEX(prodRowOffset,Q$3),  MATCH(Q$2,OFFSET(INDEXNAMEN,Q$3,0),0)),""),"")</f>
        <v>1</v>
      </c>
      <c r="R43" s="17">
        <f ca="1">IFERROR(IF(MAX('SORT IMPORT'!$A$13:$A$408)&gt;ROW()-ROW($A$5)-1,INDEX( PRODUKTE,  VLOOKUP(ROW()-ROW($A$5),zeilenindizes,2)+INDEX(prodRowOffset,R$3),  MATCH(R$2,OFFSET(INDEXNAMEN,R$3,0),0)),""),"")</f>
        <v>1</v>
      </c>
      <c r="S43" s="17">
        <f ca="1">IFERROR(IF(MAX('SORT IMPORT'!$A$13:$A$408)&gt;ROW()-ROW($A$5)-1,INDEX( PRODUKTE,  VLOOKUP(ROW()-ROW($A$5),zeilenindizes,2)+INDEX(prodRowOffset,S$3),  MATCH(S$2,OFFSET(INDEXNAMEN,S$3,0),0)),""),"")</f>
        <v>1</v>
      </c>
      <c r="T43" s="17">
        <f ca="1">IFERROR(IF(MAX('SORT IMPORT'!$A$13:$A$408)&gt;ROW()-ROW($A$5)-1,INDEX( PRODUKTE,  VLOOKUP(ROW()-ROW($A$5),zeilenindizes,2)+INDEX(prodRowOffset,T$3),  MATCH(T$2,OFFSET(INDEXNAMEN,T$3,0),0)),""),"")</f>
        <v>1</v>
      </c>
      <c r="U43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43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43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43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43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43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43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49</v>
      </c>
      <c r="AB43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43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49</v>
      </c>
      <c r="AD43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43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43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43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43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43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43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43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49</v>
      </c>
      <c r="AL43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43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49</v>
      </c>
      <c r="AN43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34</v>
      </c>
      <c r="AO43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43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34</v>
      </c>
      <c r="AQ43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43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17</v>
      </c>
      <c r="AS43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43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43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43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51</v>
      </c>
      <c r="AW43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43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43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43" s="17">
        <v>98</v>
      </c>
      <c r="BA43" s="17">
        <v>3</v>
      </c>
      <c r="BB43" s="17">
        <v>3</v>
      </c>
    </row>
    <row r="44" spans="6:102" ht="22.5" customHeight="1" x14ac:dyDescent="0.3">
      <c r="F44" s="17" t="str">
        <f ca="1">IFERROR(IF(MAX('SORT IMPORT'!$A$13:$A$408)&gt;ROW()-ROW($A$5)-1,INDEX( PRODUKTE,  VLOOKUP(ROW()-ROW($A$5),zeilenindizes,2)+INDEX(prodRowOffset,F$3),  MATCH(F$2,OFFSET(INDEXNAMEN,F$3,0),0)),""),"")</f>
        <v>TS 93 G GSR RF /BG EN 2-5</v>
      </c>
      <c r="G44" s="17" t="str">
        <f ca="1">IFERROR(IF(MAX('SORT IMPORT'!$A$13:$A$408)&gt;ROW()-ROW($A$5)-1,INDEX( PRODUKTE,  VLOOKUP(ROW()-ROW($A$5),zeilenindizes,2)+INDEX(prodRowOffset,G$3),  MATCH(G$2,OFFSET(INDEXNAMEN,G$3,0),0)),""),"")</f>
        <v>G</v>
      </c>
      <c r="H44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44" s="17" t="str">
        <f ca="1">IFERROR(IF(MAX('SORT IMPORT'!$A$13:$A$408)&gt;ROW()-ROW($A$5)-1,INDEX( PRODUKTE,  VLOOKUP(ROW()-ROW($A$5),zeilenindizes,2)+INDEX(prodRowOffset,I$3),  MATCH(I$2,OFFSET(INDEXNAMEN,I$3,0),0)),""),"")</f>
        <v>V</v>
      </c>
      <c r="J44" s="17" t="str">
        <f ca="1">IFERROR(IF(MAX('SORT IMPORT'!$A$13:$A$408)&gt;ROW()-ROW($A$5)-1,INDEX( PRODUKTE,  VLOOKUP(ROW()-ROW($A$5),zeilenindizes,2)+INDEX(prodRowOffset,J$3),  MATCH(J$2,OFFSET(INDEXNAMEN,J$3,0),0)),""),"")</f>
        <v>M</v>
      </c>
      <c r="K44" s="17">
        <f ca="1">IFERROR(IF(MAX('SORT IMPORT'!$A$13:$A$408)&gt;ROW()-ROW($A$5)-1,INDEX( PRODUKTE,  VLOOKUP(ROW()-ROW($A$5),zeilenindizes,2)+INDEX(prodRowOffset,K$3),  MATCH(K$2,OFFSET(INDEXNAMEN,K$3,0),0)),""),"")</f>
        <v>8</v>
      </c>
      <c r="L44" s="17">
        <f ca="1">IFERROR(IF(MAX('SORT IMPORT'!$A$13:$A$408)&gt;ROW()-ROW($A$5)-1,INDEX( PRODUKTE,  VLOOKUP(ROW()-ROW($A$5),zeilenindizes,2)+INDEX(prodRowOffset,L$3),  MATCH(L$2,OFFSET(INDEXNAMEN,L$3,0),0)),""),"")</f>
        <v>32</v>
      </c>
      <c r="M44" s="17">
        <f ca="1">IFERROR(IF(MAX('SORT IMPORT'!$A$13:$A$408)&gt;ROW()-ROW($A$5)-1,INDEX( PRODUKTE,  VLOOKUP(ROW()-ROW($A$5),zeilenindizes,2)+INDEX(prodRowOffset,M$3),  MATCH(M$2,OFFSET(INDEXNAMEN,M$3,0),0)),""),"")</f>
        <v>30</v>
      </c>
      <c r="N44" s="17">
        <f ca="1">IFERROR(IF(MAX('SORT IMPORT'!$A$13:$A$408)&gt;ROW()-ROW($A$5)-1,INDEX( PRODUKTE,  VLOOKUP(ROW()-ROW($A$5),zeilenindizes,2)+INDEX(prodRowOffset,N$3),  MATCH(N$2,OFFSET(INDEXNAMEN,N$3,0),0)),""),"")</f>
        <v>2</v>
      </c>
      <c r="O44" s="17">
        <f ca="1">IFERROR(IF(MAX('SORT IMPORT'!$A$13:$A$408)&gt;ROW()-ROW($A$5)-1,INDEX( PRODUKTE,  VLOOKUP(ROW()-ROW($A$5),zeilenindizes,2)+INDEX(prodRowOffset,O$3),  MATCH(O$2,OFFSET(INDEXNAMEN,O$3,0),0)),""),"")</f>
        <v>0</v>
      </c>
      <c r="P44" s="17">
        <f ca="1">IFERROR(IF(MAX('SORT IMPORT'!$A$13:$A$408)&gt;ROW()-ROW($A$5)-1,INDEX( PRODUKTE,  VLOOKUP(ROW()-ROW($A$5),zeilenindizes,2)+INDEX(prodRowOffset,P$3),  MATCH(P$2,OFFSET(INDEXNAMEN,P$3,0),0)),""),"")</f>
        <v>2</v>
      </c>
      <c r="Q44" s="17">
        <f ca="1">IFERROR(IF(MAX('SORT IMPORT'!$A$13:$A$408)&gt;ROW()-ROW($A$5)-1,INDEX( PRODUKTE,  VLOOKUP(ROW()-ROW($A$5),zeilenindizes,2)+INDEX(prodRowOffset,Q$3),  MATCH(Q$2,OFFSET(INDEXNAMEN,Q$3,0),0)),""),"")</f>
        <v>0</v>
      </c>
      <c r="R44" s="17">
        <f ca="1">IFERROR(IF(MAX('SORT IMPORT'!$A$13:$A$408)&gt;ROW()-ROW($A$5)-1,INDEX( PRODUKTE,  VLOOKUP(ROW()-ROW($A$5),zeilenindizes,2)+INDEX(prodRowOffset,R$3),  MATCH(R$2,OFFSET(INDEXNAMEN,R$3,0),0)),""),"")</f>
        <v>1</v>
      </c>
      <c r="S44" s="17">
        <f ca="1">IFERROR(IF(MAX('SORT IMPORT'!$A$13:$A$408)&gt;ROW()-ROW($A$5)-1,INDEX( PRODUKTE,  VLOOKUP(ROW()-ROW($A$5),zeilenindizes,2)+INDEX(prodRowOffset,S$3),  MATCH(S$2,OFFSET(INDEXNAMEN,S$3,0),0)),""),"")</f>
        <v>1</v>
      </c>
      <c r="T44" s="17">
        <f ca="1">IFERROR(IF(MAX('SORT IMPORT'!$A$13:$A$408)&gt;ROW()-ROW($A$5)-1,INDEX( PRODUKTE,  VLOOKUP(ROW()-ROW($A$5),zeilenindizes,2)+INDEX(prodRowOffset,T$3),  MATCH(T$2,OFFSET(INDEXNAMEN,T$3,0),0)),""),"")</f>
        <v>1</v>
      </c>
      <c r="U44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44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44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44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44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44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44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49</v>
      </c>
      <c r="AB44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44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49</v>
      </c>
      <c r="AD44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44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44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44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44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44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44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44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49</v>
      </c>
      <c r="AL44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44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49</v>
      </c>
      <c r="AN44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34</v>
      </c>
      <c r="AO44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44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34</v>
      </c>
      <c r="AQ44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44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17</v>
      </c>
      <c r="AS44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44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44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44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51</v>
      </c>
      <c r="AW44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44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44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44" s="17">
        <v>98</v>
      </c>
      <c r="BA44" s="17">
        <v>4</v>
      </c>
      <c r="BB44" s="17">
        <v>26</v>
      </c>
    </row>
    <row r="45" spans="6:102" ht="22.5" customHeight="1" x14ac:dyDescent="0.3">
      <c r="F45" s="17" t="str">
        <f ca="1">IFERROR(IF(MAX('SORT IMPORT'!$A$13:$A$408)&gt;ROW()-ROW($A$5)-1,INDEX( PRODUKTE,  VLOOKUP(ROW()-ROW($A$5),zeilenindizes,2)+INDEX(prodRowOffset,F$3),  MATCH(F$2,OFFSET(INDEXNAMEN,F$3,0),0)),""),"")</f>
        <v>TS 93 G GSR-EMF 1 /BG EN 2-5</v>
      </c>
      <c r="G45" s="17" t="str">
        <f ca="1">IFERROR(IF(MAX('SORT IMPORT'!$A$13:$A$408)&gt;ROW()-ROW($A$5)-1,INDEX( PRODUKTE,  VLOOKUP(ROW()-ROW($A$5),zeilenindizes,2)+INDEX(prodRowOffset,G$3),  MATCH(G$2,OFFSET(INDEXNAMEN,G$3,0),0)),""),"")</f>
        <v>G</v>
      </c>
      <c r="H45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45" s="17" t="str">
        <f ca="1">IFERROR(IF(MAX('SORT IMPORT'!$A$13:$A$408)&gt;ROW()-ROW($A$5)-1,INDEX( PRODUKTE,  VLOOKUP(ROW()-ROW($A$5),zeilenindizes,2)+INDEX(prodRowOffset,I$3),  MATCH(I$2,OFFSET(INDEXNAMEN,I$3,0),0)),""),"")</f>
        <v>V</v>
      </c>
      <c r="J45" s="17" t="str">
        <f ca="1">IFERROR(IF(MAX('SORT IMPORT'!$A$13:$A$408)&gt;ROW()-ROW($A$5)-1,INDEX( PRODUKTE,  VLOOKUP(ROW()-ROW($A$5),zeilenindizes,2)+INDEX(prodRowOffset,J$3),  MATCH(J$2,OFFSET(INDEXNAMEN,J$3,0),0)),""),"")</f>
        <v>E</v>
      </c>
      <c r="K45" s="17">
        <f ca="1">IFERROR(IF(MAX('SORT IMPORT'!$A$13:$A$408)&gt;ROW()-ROW($A$5)-1,INDEX( PRODUKTE,  VLOOKUP(ROW()-ROW($A$5),zeilenindizes,2)+INDEX(prodRowOffset,K$3),  MATCH(K$2,OFFSET(INDEXNAMEN,K$3,0),0)),""),"")</f>
        <v>8</v>
      </c>
      <c r="L45" s="17">
        <f ca="1">IFERROR(IF(MAX('SORT IMPORT'!$A$13:$A$408)&gt;ROW()-ROW($A$5)-1,INDEX( PRODUKTE,  VLOOKUP(ROW()-ROW($A$5),zeilenindizes,2)+INDEX(prodRowOffset,L$3),  MATCH(L$2,OFFSET(INDEXNAMEN,L$3,0),0)),""),"")</f>
        <v>64</v>
      </c>
      <c r="M45" s="17">
        <f ca="1">IFERROR(IF(MAX('SORT IMPORT'!$A$13:$A$408)&gt;ROW()-ROW($A$5)-1,INDEX( PRODUKTE,  VLOOKUP(ROW()-ROW($A$5),zeilenindizes,2)+INDEX(prodRowOffset,M$3),  MATCH(M$2,OFFSET(INDEXNAMEN,M$3,0),0)),""),"")</f>
        <v>30</v>
      </c>
      <c r="N45" s="17">
        <f ca="1">IFERROR(IF(MAX('SORT IMPORT'!$A$13:$A$408)&gt;ROW()-ROW($A$5)-1,INDEX( PRODUKTE,  VLOOKUP(ROW()-ROW($A$5),zeilenindizes,2)+INDEX(prodRowOffset,N$3),  MATCH(N$2,OFFSET(INDEXNAMEN,N$3,0),0)),""),"")</f>
        <v>2</v>
      </c>
      <c r="O45" s="17">
        <f ca="1">IFERROR(IF(MAX('SORT IMPORT'!$A$13:$A$408)&gt;ROW()-ROW($A$5)-1,INDEX( PRODUKTE,  VLOOKUP(ROW()-ROW($A$5),zeilenindizes,2)+INDEX(prodRowOffset,O$3),  MATCH(O$2,OFFSET(INDEXNAMEN,O$3,0),0)),""),"")</f>
        <v>2</v>
      </c>
      <c r="P45" s="17">
        <f ca="1">IFERROR(IF(MAX('SORT IMPORT'!$A$13:$A$408)&gt;ROW()-ROW($A$5)-1,INDEX( PRODUKTE,  VLOOKUP(ROW()-ROW($A$5),zeilenindizes,2)+INDEX(prodRowOffset,P$3),  MATCH(P$2,OFFSET(INDEXNAMEN,P$3,0),0)),""),"")</f>
        <v>2</v>
      </c>
      <c r="Q45" s="17">
        <f ca="1">IFERROR(IF(MAX('SORT IMPORT'!$A$13:$A$408)&gt;ROW()-ROW($A$5)-1,INDEX( PRODUKTE,  VLOOKUP(ROW()-ROW($A$5),zeilenindizes,2)+INDEX(prodRowOffset,Q$3),  MATCH(Q$2,OFFSET(INDEXNAMEN,Q$3,0),0)),""),"")</f>
        <v>1</v>
      </c>
      <c r="R45" s="17">
        <f ca="1">IFERROR(IF(MAX('SORT IMPORT'!$A$13:$A$408)&gt;ROW()-ROW($A$5)-1,INDEX( PRODUKTE,  VLOOKUP(ROW()-ROW($A$5),zeilenindizes,2)+INDEX(prodRowOffset,R$3),  MATCH(R$2,OFFSET(INDEXNAMEN,R$3,0),0)),""),"")</f>
        <v>1</v>
      </c>
      <c r="S45" s="17">
        <f ca="1">IFERROR(IF(MAX('SORT IMPORT'!$A$13:$A$408)&gt;ROW()-ROW($A$5)-1,INDEX( PRODUKTE,  VLOOKUP(ROW()-ROW($A$5),zeilenindizes,2)+INDEX(prodRowOffset,S$3),  MATCH(S$2,OFFSET(INDEXNAMEN,S$3,0),0)),""),"")</f>
        <v>1</v>
      </c>
      <c r="T45" s="17">
        <f ca="1">IFERROR(IF(MAX('SORT IMPORT'!$A$13:$A$408)&gt;ROW()-ROW($A$5)-1,INDEX( PRODUKTE,  VLOOKUP(ROW()-ROW($A$5),zeilenindizes,2)+INDEX(prodRowOffset,T$3),  MATCH(T$2,OFFSET(INDEXNAMEN,T$3,0),0)),""),"")</f>
        <v>1</v>
      </c>
      <c r="U45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45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45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45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45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45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45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49</v>
      </c>
      <c r="AB45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45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45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45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45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45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45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45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45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45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49</v>
      </c>
      <c r="AL45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45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45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45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45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45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45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45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45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45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45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45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45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45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45" s="17">
        <v>98</v>
      </c>
      <c r="BA45" s="17">
        <v>5</v>
      </c>
      <c r="BB45" s="17">
        <v>27</v>
      </c>
    </row>
    <row r="46" spans="6:102" ht="22.5" customHeight="1" x14ac:dyDescent="0.3">
      <c r="F46" s="17" t="str">
        <f ca="1">IFERROR(IF(MAX('SORT IMPORT'!$A$13:$A$408)&gt;ROW()-ROW($A$5)-1,INDEX( PRODUKTE,  VLOOKUP(ROW()-ROW($A$5),zeilenindizes,2)+INDEX(prodRowOffset,F$3),  MATCH(F$2,OFFSET(INDEXNAMEN,F$3,0),0)),""),"")</f>
        <v>TS 93 G GSR-EMF 1G /BG EN 2-5</v>
      </c>
      <c r="G46" s="17" t="str">
        <f ca="1">IFERROR(IF(MAX('SORT IMPORT'!$A$13:$A$408)&gt;ROW()-ROW($A$5)-1,INDEX( PRODUKTE,  VLOOKUP(ROW()-ROW($A$5),zeilenindizes,2)+INDEX(prodRowOffset,G$3),  MATCH(G$2,OFFSET(INDEXNAMEN,G$3,0),0)),""),"")</f>
        <v>G</v>
      </c>
      <c r="H46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46" s="17" t="str">
        <f ca="1">IFERROR(IF(MAX('SORT IMPORT'!$A$13:$A$408)&gt;ROW()-ROW($A$5)-1,INDEX( PRODUKTE,  VLOOKUP(ROW()-ROW($A$5),zeilenindizes,2)+INDEX(prodRowOffset,I$3),  MATCH(I$2,OFFSET(INDEXNAMEN,I$3,0),0)),""),"")</f>
        <v>V</v>
      </c>
      <c r="J46" s="17" t="str">
        <f ca="1">IFERROR(IF(MAX('SORT IMPORT'!$A$13:$A$408)&gt;ROW()-ROW($A$5)-1,INDEX( PRODUKTE,  VLOOKUP(ROW()-ROW($A$5),zeilenindizes,2)+INDEX(prodRowOffset,J$3),  MATCH(J$2,OFFSET(INDEXNAMEN,J$3,0),0)),""),"")</f>
        <v>E</v>
      </c>
      <c r="K46" s="17">
        <f ca="1">IFERROR(IF(MAX('SORT IMPORT'!$A$13:$A$408)&gt;ROW()-ROW($A$5)-1,INDEX( PRODUKTE,  VLOOKUP(ROW()-ROW($A$5),zeilenindizes,2)+INDEX(prodRowOffset,K$3),  MATCH(K$2,OFFSET(INDEXNAMEN,K$3,0),0)),""),"")</f>
        <v>8</v>
      </c>
      <c r="L46" s="17">
        <f ca="1">IFERROR(IF(MAX('SORT IMPORT'!$A$13:$A$408)&gt;ROW()-ROW($A$5)-1,INDEX( PRODUKTE,  VLOOKUP(ROW()-ROW($A$5),zeilenindizes,2)+INDEX(prodRowOffset,L$3),  MATCH(L$2,OFFSET(INDEXNAMEN,L$3,0),0)),""),"")</f>
        <v>128</v>
      </c>
      <c r="M46" s="17">
        <f ca="1">IFERROR(IF(MAX('SORT IMPORT'!$A$13:$A$408)&gt;ROW()-ROW($A$5)-1,INDEX( PRODUKTE,  VLOOKUP(ROW()-ROW($A$5),zeilenindizes,2)+INDEX(prodRowOffset,M$3),  MATCH(M$2,OFFSET(INDEXNAMEN,M$3,0),0)),""),"")</f>
        <v>30</v>
      </c>
      <c r="N46" s="17">
        <f ca="1">IFERROR(IF(MAX('SORT IMPORT'!$A$13:$A$408)&gt;ROW()-ROW($A$5)-1,INDEX( PRODUKTE,  VLOOKUP(ROW()-ROW($A$5),zeilenindizes,2)+INDEX(prodRowOffset,N$3),  MATCH(N$2,OFFSET(INDEXNAMEN,N$3,0),0)),""),"")</f>
        <v>2</v>
      </c>
      <c r="O46" s="17">
        <f ca="1">IFERROR(IF(MAX('SORT IMPORT'!$A$13:$A$408)&gt;ROW()-ROW($A$5)-1,INDEX( PRODUKTE,  VLOOKUP(ROW()-ROW($A$5),zeilenindizes,2)+INDEX(prodRowOffset,O$3),  MATCH(O$2,OFFSET(INDEXNAMEN,O$3,0),0)),""),"")</f>
        <v>2</v>
      </c>
      <c r="P46" s="17">
        <f ca="1">IFERROR(IF(MAX('SORT IMPORT'!$A$13:$A$408)&gt;ROW()-ROW($A$5)-1,INDEX( PRODUKTE,  VLOOKUP(ROW()-ROW($A$5),zeilenindizes,2)+INDEX(prodRowOffset,P$3),  MATCH(P$2,OFFSET(INDEXNAMEN,P$3,0),0)),""),"")</f>
        <v>2</v>
      </c>
      <c r="Q46" s="17">
        <f ca="1">IFERROR(IF(MAX('SORT IMPORT'!$A$13:$A$408)&gt;ROW()-ROW($A$5)-1,INDEX( PRODUKTE,  VLOOKUP(ROW()-ROW($A$5),zeilenindizes,2)+INDEX(prodRowOffset,Q$3),  MATCH(Q$2,OFFSET(INDEXNAMEN,Q$3,0),0)),""),"")</f>
        <v>1</v>
      </c>
      <c r="R46" s="17">
        <f ca="1">IFERROR(IF(MAX('SORT IMPORT'!$A$13:$A$408)&gt;ROW()-ROW($A$5)-1,INDEX( PRODUKTE,  VLOOKUP(ROW()-ROW($A$5),zeilenindizes,2)+INDEX(prodRowOffset,R$3),  MATCH(R$2,OFFSET(INDEXNAMEN,R$3,0),0)),""),"")</f>
        <v>1</v>
      </c>
      <c r="S46" s="17">
        <f ca="1">IFERROR(IF(MAX('SORT IMPORT'!$A$13:$A$408)&gt;ROW()-ROW($A$5)-1,INDEX( PRODUKTE,  VLOOKUP(ROW()-ROW($A$5),zeilenindizes,2)+INDEX(prodRowOffset,S$3),  MATCH(S$2,OFFSET(INDEXNAMEN,S$3,0),0)),""),"")</f>
        <v>1</v>
      </c>
      <c r="T46" s="17">
        <f ca="1">IFERROR(IF(MAX('SORT IMPORT'!$A$13:$A$408)&gt;ROW()-ROW($A$5)-1,INDEX( PRODUKTE,  VLOOKUP(ROW()-ROW($A$5),zeilenindizes,2)+INDEX(prodRowOffset,T$3),  MATCH(T$2,OFFSET(INDEXNAMEN,T$3,0),0)),""),"")</f>
        <v>1</v>
      </c>
      <c r="U46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46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46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46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46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46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46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49</v>
      </c>
      <c r="AB46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46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46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46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46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46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46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46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46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46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49</v>
      </c>
      <c r="AL46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46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46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46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46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46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46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46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46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46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46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46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46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46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46" s="17">
        <v>92</v>
      </c>
      <c r="BA46" s="17">
        <v>1</v>
      </c>
      <c r="BB46" s="17">
        <v>16</v>
      </c>
    </row>
    <row r="47" spans="6:102" ht="22.5" customHeight="1" x14ac:dyDescent="0.3">
      <c r="F47" s="17" t="str">
        <f ca="1">IFERROR(IF(MAX('SORT IMPORT'!$A$13:$A$408)&gt;ROW()-ROW($A$5)-1,INDEX( PRODUKTE,  VLOOKUP(ROW()-ROW($A$5),zeilenindizes,2)+INDEX(prodRowOffset,F$3),  MATCH(F$2,OFFSET(INDEXNAMEN,F$3,0),0)),""),"")</f>
        <v>TS 93 G GSR-EMF 2 /BG EN 2-5</v>
      </c>
      <c r="G47" s="17" t="str">
        <f ca="1">IFERROR(IF(MAX('SORT IMPORT'!$A$13:$A$408)&gt;ROW()-ROW($A$5)-1,INDEX( PRODUKTE,  VLOOKUP(ROW()-ROW($A$5),zeilenindizes,2)+INDEX(prodRowOffset,G$3),  MATCH(G$2,OFFSET(INDEXNAMEN,G$3,0),0)),""),"")</f>
        <v>G</v>
      </c>
      <c r="H47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47" s="17" t="str">
        <f ca="1">IFERROR(IF(MAX('SORT IMPORT'!$A$13:$A$408)&gt;ROW()-ROW($A$5)-1,INDEX( PRODUKTE,  VLOOKUP(ROW()-ROW($A$5),zeilenindizes,2)+INDEX(prodRowOffset,I$3),  MATCH(I$2,OFFSET(INDEXNAMEN,I$3,0),0)),""),"")</f>
        <v>V</v>
      </c>
      <c r="J47" s="17" t="str">
        <f ca="1">IFERROR(IF(MAX('SORT IMPORT'!$A$13:$A$408)&gt;ROW()-ROW($A$5)-1,INDEX( PRODUKTE,  VLOOKUP(ROW()-ROW($A$5),zeilenindizes,2)+INDEX(prodRowOffset,J$3),  MATCH(J$2,OFFSET(INDEXNAMEN,J$3,0),0)),""),"")</f>
        <v>E</v>
      </c>
      <c r="K47" s="17">
        <f ca="1">IFERROR(IF(MAX('SORT IMPORT'!$A$13:$A$408)&gt;ROW()-ROW($A$5)-1,INDEX( PRODUKTE,  VLOOKUP(ROW()-ROW($A$5),zeilenindizes,2)+INDEX(prodRowOffset,K$3),  MATCH(K$2,OFFSET(INDEXNAMEN,K$3,0),0)),""),"")</f>
        <v>8</v>
      </c>
      <c r="L47" s="17">
        <f ca="1">IFERROR(IF(MAX('SORT IMPORT'!$A$13:$A$408)&gt;ROW()-ROW($A$5)-1,INDEX( PRODUKTE,  VLOOKUP(ROW()-ROW($A$5),zeilenindizes,2)+INDEX(prodRowOffset,L$3),  MATCH(L$2,OFFSET(INDEXNAMEN,L$3,0),0)),""),"")</f>
        <v>256</v>
      </c>
      <c r="M47" s="17">
        <f ca="1">IFERROR(IF(MAX('SORT IMPORT'!$A$13:$A$408)&gt;ROW()-ROW($A$5)-1,INDEX( PRODUKTE,  VLOOKUP(ROW()-ROW($A$5),zeilenindizes,2)+INDEX(prodRowOffset,M$3),  MATCH(M$2,OFFSET(INDEXNAMEN,M$3,0),0)),""),"")</f>
        <v>30</v>
      </c>
      <c r="N47" s="17">
        <f ca="1">IFERROR(IF(MAX('SORT IMPORT'!$A$13:$A$408)&gt;ROW()-ROW($A$5)-1,INDEX( PRODUKTE,  VLOOKUP(ROW()-ROW($A$5),zeilenindizes,2)+INDEX(prodRowOffset,N$3),  MATCH(N$2,OFFSET(INDEXNAMEN,N$3,0),0)),""),"")</f>
        <v>2</v>
      </c>
      <c r="O47" s="17">
        <f ca="1">IFERROR(IF(MAX('SORT IMPORT'!$A$13:$A$408)&gt;ROW()-ROW($A$5)-1,INDEX( PRODUKTE,  VLOOKUP(ROW()-ROW($A$5),zeilenindizes,2)+INDEX(prodRowOffset,O$3),  MATCH(O$2,OFFSET(INDEXNAMEN,O$3,0),0)),""),"")</f>
        <v>2</v>
      </c>
      <c r="P47" s="17">
        <f ca="1">IFERROR(IF(MAX('SORT IMPORT'!$A$13:$A$408)&gt;ROW()-ROW($A$5)-1,INDEX( PRODUKTE,  VLOOKUP(ROW()-ROW($A$5),zeilenindizes,2)+INDEX(prodRowOffset,P$3),  MATCH(P$2,OFFSET(INDEXNAMEN,P$3,0),0)),""),"")</f>
        <v>2</v>
      </c>
      <c r="Q47" s="17">
        <f ca="1">IFERROR(IF(MAX('SORT IMPORT'!$A$13:$A$408)&gt;ROW()-ROW($A$5)-1,INDEX( PRODUKTE,  VLOOKUP(ROW()-ROW($A$5),zeilenindizes,2)+INDEX(prodRowOffset,Q$3),  MATCH(Q$2,OFFSET(INDEXNAMEN,Q$3,0),0)),""),"")</f>
        <v>1</v>
      </c>
      <c r="R47" s="17">
        <f ca="1">IFERROR(IF(MAX('SORT IMPORT'!$A$13:$A$408)&gt;ROW()-ROW($A$5)-1,INDEX( PRODUKTE,  VLOOKUP(ROW()-ROW($A$5),zeilenindizes,2)+INDEX(prodRowOffset,R$3),  MATCH(R$2,OFFSET(INDEXNAMEN,R$3,0),0)),""),"")</f>
        <v>1</v>
      </c>
      <c r="S47" s="17">
        <f ca="1">IFERROR(IF(MAX('SORT IMPORT'!$A$13:$A$408)&gt;ROW()-ROW($A$5)-1,INDEX( PRODUKTE,  VLOOKUP(ROW()-ROW($A$5),zeilenindizes,2)+INDEX(prodRowOffset,S$3),  MATCH(S$2,OFFSET(INDEXNAMEN,S$3,0),0)),""),"")</f>
        <v>1</v>
      </c>
      <c r="T47" s="17">
        <f ca="1">IFERROR(IF(MAX('SORT IMPORT'!$A$13:$A$408)&gt;ROW()-ROW($A$5)-1,INDEX( PRODUKTE,  VLOOKUP(ROW()-ROW($A$5),zeilenindizes,2)+INDEX(prodRowOffset,T$3),  MATCH(T$2,OFFSET(INDEXNAMEN,T$3,0),0)),""),"")</f>
        <v>1</v>
      </c>
      <c r="U47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47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47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47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47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47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47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49</v>
      </c>
      <c r="AB47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47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47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47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47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47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47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47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47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47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49</v>
      </c>
      <c r="AL47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47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47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47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47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47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47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47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47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47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47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47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47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47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47" s="17">
        <v>92</v>
      </c>
      <c r="BA47" s="17">
        <v>2</v>
      </c>
      <c r="BB47" s="17">
        <v>30</v>
      </c>
    </row>
    <row r="48" spans="6:102" ht="22.5" customHeight="1" x14ac:dyDescent="0.3">
      <c r="F48" s="17" t="str">
        <f ca="1">IFERROR(IF(MAX('SORT IMPORT'!$A$13:$A$408)&gt;ROW()-ROW($A$5)-1,INDEX( PRODUKTE,  VLOOKUP(ROW()-ROW($A$5),zeilenindizes,2)+INDEX(prodRowOffset,F$3),  MATCH(F$2,OFFSET(INDEXNAMEN,F$3,0),0)),""),"")</f>
        <v>TS 93 G GSR-EMR 1 /BG EN 2-5</v>
      </c>
      <c r="G48" s="17" t="str">
        <f ca="1">IFERROR(IF(MAX('SORT IMPORT'!$A$13:$A$408)&gt;ROW()-ROW($A$5)-1,INDEX( PRODUKTE,  VLOOKUP(ROW()-ROW($A$5),zeilenindizes,2)+INDEX(prodRowOffset,G$3),  MATCH(G$2,OFFSET(INDEXNAMEN,G$3,0),0)),""),"")</f>
        <v>G</v>
      </c>
      <c r="H48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48" s="17" t="str">
        <f ca="1">IFERROR(IF(MAX('SORT IMPORT'!$A$13:$A$408)&gt;ROW()-ROW($A$5)-1,INDEX( PRODUKTE,  VLOOKUP(ROW()-ROW($A$5),zeilenindizes,2)+INDEX(prodRowOffset,I$3),  MATCH(I$2,OFFSET(INDEXNAMEN,I$3,0),0)),""),"")</f>
        <v>V</v>
      </c>
      <c r="J48" s="17" t="str">
        <f ca="1">IFERROR(IF(MAX('SORT IMPORT'!$A$13:$A$408)&gt;ROW()-ROW($A$5)-1,INDEX( PRODUKTE,  VLOOKUP(ROW()-ROW($A$5),zeilenindizes,2)+INDEX(prodRowOffset,J$3),  MATCH(J$2,OFFSET(INDEXNAMEN,J$3,0),0)),""),"")</f>
        <v>R</v>
      </c>
      <c r="K48" s="17">
        <f ca="1">IFERROR(IF(MAX('SORT IMPORT'!$A$13:$A$408)&gt;ROW()-ROW($A$5)-1,INDEX( PRODUKTE,  VLOOKUP(ROW()-ROW($A$5),zeilenindizes,2)+INDEX(prodRowOffset,K$3),  MATCH(K$2,OFFSET(INDEXNAMEN,K$3,0),0)),""),"")</f>
        <v>8</v>
      </c>
      <c r="L48" s="17">
        <f ca="1">IFERROR(IF(MAX('SORT IMPORT'!$A$13:$A$408)&gt;ROW()-ROW($A$5)-1,INDEX( PRODUKTE,  VLOOKUP(ROW()-ROW($A$5),zeilenindizes,2)+INDEX(prodRowOffset,L$3),  MATCH(L$2,OFFSET(INDEXNAMEN,L$3,0),0)),""),"")</f>
        <v>512</v>
      </c>
      <c r="M48" s="17">
        <f ca="1">IFERROR(IF(MAX('SORT IMPORT'!$A$13:$A$408)&gt;ROW()-ROW($A$5)-1,INDEX( PRODUKTE,  VLOOKUP(ROW()-ROW($A$5),zeilenindizes,2)+INDEX(prodRowOffset,M$3),  MATCH(M$2,OFFSET(INDEXNAMEN,M$3,0),0)),""),"")</f>
        <v>30</v>
      </c>
      <c r="N48" s="17">
        <f ca="1">IFERROR(IF(MAX('SORT IMPORT'!$A$13:$A$408)&gt;ROW()-ROW($A$5)-1,INDEX( PRODUKTE,  VLOOKUP(ROW()-ROW($A$5),zeilenindizes,2)+INDEX(prodRowOffset,N$3),  MATCH(N$2,OFFSET(INDEXNAMEN,N$3,0),0)),""),"")</f>
        <v>2</v>
      </c>
      <c r="O48" s="17">
        <f ca="1">IFERROR(IF(MAX('SORT IMPORT'!$A$13:$A$408)&gt;ROW()-ROW($A$5)-1,INDEX( PRODUKTE,  VLOOKUP(ROW()-ROW($A$5),zeilenindizes,2)+INDEX(prodRowOffset,O$3),  MATCH(O$2,OFFSET(INDEXNAMEN,O$3,0),0)),""),"")</f>
        <v>1</v>
      </c>
      <c r="P48" s="17">
        <f ca="1">IFERROR(IF(MAX('SORT IMPORT'!$A$13:$A$408)&gt;ROW()-ROW($A$5)-1,INDEX( PRODUKTE,  VLOOKUP(ROW()-ROW($A$5),zeilenindizes,2)+INDEX(prodRowOffset,P$3),  MATCH(P$2,OFFSET(INDEXNAMEN,P$3,0),0)),""),"")</f>
        <v>2</v>
      </c>
      <c r="Q48" s="17">
        <f ca="1">IFERROR(IF(MAX('SORT IMPORT'!$A$13:$A$408)&gt;ROW()-ROW($A$5)-1,INDEX( PRODUKTE,  VLOOKUP(ROW()-ROW($A$5),zeilenindizes,2)+INDEX(prodRowOffset,Q$3),  MATCH(Q$2,OFFSET(INDEXNAMEN,Q$3,0),0)),""),"")</f>
        <v>1</v>
      </c>
      <c r="R48" s="17">
        <f ca="1">IFERROR(IF(MAX('SORT IMPORT'!$A$13:$A$408)&gt;ROW()-ROW($A$5)-1,INDEX( PRODUKTE,  VLOOKUP(ROW()-ROW($A$5),zeilenindizes,2)+INDEX(prodRowOffset,R$3),  MATCH(R$2,OFFSET(INDEXNAMEN,R$3,0),0)),""),"")</f>
        <v>1</v>
      </c>
      <c r="S48" s="17">
        <f ca="1">IFERROR(IF(MAX('SORT IMPORT'!$A$13:$A$408)&gt;ROW()-ROW($A$5)-1,INDEX( PRODUKTE,  VLOOKUP(ROW()-ROW($A$5),zeilenindizes,2)+INDEX(prodRowOffset,S$3),  MATCH(S$2,OFFSET(INDEXNAMEN,S$3,0),0)),""),"")</f>
        <v>1</v>
      </c>
      <c r="T48" s="17">
        <f ca="1">IFERROR(IF(MAX('SORT IMPORT'!$A$13:$A$408)&gt;ROW()-ROW($A$5)-1,INDEX( PRODUKTE,  VLOOKUP(ROW()-ROW($A$5),zeilenindizes,2)+INDEX(prodRowOffset,T$3),  MATCH(T$2,OFFSET(INDEXNAMEN,T$3,0),0)),""),"")</f>
        <v>1</v>
      </c>
      <c r="U48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48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48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48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48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48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48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49</v>
      </c>
      <c r="AB48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48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48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48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48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48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48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48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48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48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49</v>
      </c>
      <c r="AL48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48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48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48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48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48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48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48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48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48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48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48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48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48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48" s="17">
        <v>92</v>
      </c>
      <c r="BA48" s="17">
        <v>3</v>
      </c>
      <c r="BB48" s="17">
        <v>3</v>
      </c>
    </row>
    <row r="49" spans="6:54" ht="22.5" customHeight="1" x14ac:dyDescent="0.3">
      <c r="F49" s="17" t="str">
        <f ca="1">IFERROR(IF(MAX('SORT IMPORT'!$A$13:$A$408)&gt;ROW()-ROW($A$5)-1,INDEX( PRODUKTE,  VLOOKUP(ROW()-ROW($A$5),zeilenindizes,2)+INDEX(prodRowOffset,F$3),  MATCH(F$2,OFFSET(INDEXNAMEN,F$3,0),0)),""),"")</f>
        <v>TS 93 G GSR-EMR 1G /BG EN 2-5</v>
      </c>
      <c r="G49" s="17" t="str">
        <f ca="1">IFERROR(IF(MAX('SORT IMPORT'!$A$13:$A$408)&gt;ROW()-ROW($A$5)-1,INDEX( PRODUKTE,  VLOOKUP(ROW()-ROW($A$5),zeilenindizes,2)+INDEX(prodRowOffset,G$3),  MATCH(G$2,OFFSET(INDEXNAMEN,G$3,0),0)),""),"")</f>
        <v>G</v>
      </c>
      <c r="H49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49" s="17" t="str">
        <f ca="1">IFERROR(IF(MAX('SORT IMPORT'!$A$13:$A$408)&gt;ROW()-ROW($A$5)-1,INDEX( PRODUKTE,  VLOOKUP(ROW()-ROW($A$5),zeilenindizes,2)+INDEX(prodRowOffset,I$3),  MATCH(I$2,OFFSET(INDEXNAMEN,I$3,0),0)),""),"")</f>
        <v>V</v>
      </c>
      <c r="J49" s="17" t="str">
        <f ca="1">IFERROR(IF(MAX('SORT IMPORT'!$A$13:$A$408)&gt;ROW()-ROW($A$5)-1,INDEX( PRODUKTE,  VLOOKUP(ROW()-ROW($A$5),zeilenindizes,2)+INDEX(prodRowOffset,J$3),  MATCH(J$2,OFFSET(INDEXNAMEN,J$3,0),0)),""),"")</f>
        <v>R</v>
      </c>
      <c r="K49" s="17">
        <f ca="1">IFERROR(IF(MAX('SORT IMPORT'!$A$13:$A$408)&gt;ROW()-ROW($A$5)-1,INDEX( PRODUKTE,  VLOOKUP(ROW()-ROW($A$5),zeilenindizes,2)+INDEX(prodRowOffset,K$3),  MATCH(K$2,OFFSET(INDEXNAMEN,K$3,0),0)),""),"")</f>
        <v>8</v>
      </c>
      <c r="L49" s="17">
        <f ca="1">IFERROR(IF(MAX('SORT IMPORT'!$A$13:$A$408)&gt;ROW()-ROW($A$5)-1,INDEX( PRODUKTE,  VLOOKUP(ROW()-ROW($A$5),zeilenindizes,2)+INDEX(prodRowOffset,L$3),  MATCH(L$2,OFFSET(INDEXNAMEN,L$3,0),0)),""),"")</f>
        <v>1024</v>
      </c>
      <c r="M49" s="17">
        <f ca="1">IFERROR(IF(MAX('SORT IMPORT'!$A$13:$A$408)&gt;ROW()-ROW($A$5)-1,INDEX( PRODUKTE,  VLOOKUP(ROW()-ROW($A$5),zeilenindizes,2)+INDEX(prodRowOffset,M$3),  MATCH(M$2,OFFSET(INDEXNAMEN,M$3,0),0)),""),"")</f>
        <v>30</v>
      </c>
      <c r="N49" s="17">
        <f ca="1">IFERROR(IF(MAX('SORT IMPORT'!$A$13:$A$408)&gt;ROW()-ROW($A$5)-1,INDEX( PRODUKTE,  VLOOKUP(ROW()-ROW($A$5),zeilenindizes,2)+INDEX(prodRowOffset,N$3),  MATCH(N$2,OFFSET(INDEXNAMEN,N$3,0),0)),""),"")</f>
        <v>2</v>
      </c>
      <c r="O49" s="17">
        <f ca="1">IFERROR(IF(MAX('SORT IMPORT'!$A$13:$A$408)&gt;ROW()-ROW($A$5)-1,INDEX( PRODUKTE,  VLOOKUP(ROW()-ROW($A$5),zeilenindizes,2)+INDEX(prodRowOffset,O$3),  MATCH(O$2,OFFSET(INDEXNAMEN,O$3,0),0)),""),"")</f>
        <v>1</v>
      </c>
      <c r="P49" s="17">
        <f ca="1">IFERROR(IF(MAX('SORT IMPORT'!$A$13:$A$408)&gt;ROW()-ROW($A$5)-1,INDEX( PRODUKTE,  VLOOKUP(ROW()-ROW($A$5),zeilenindizes,2)+INDEX(prodRowOffset,P$3),  MATCH(P$2,OFFSET(INDEXNAMEN,P$3,0),0)),""),"")</f>
        <v>2</v>
      </c>
      <c r="Q49" s="17">
        <f ca="1">IFERROR(IF(MAX('SORT IMPORT'!$A$13:$A$408)&gt;ROW()-ROW($A$5)-1,INDEX( PRODUKTE,  VLOOKUP(ROW()-ROW($A$5),zeilenindizes,2)+INDEX(prodRowOffset,Q$3),  MATCH(Q$2,OFFSET(INDEXNAMEN,Q$3,0),0)),""),"")</f>
        <v>1</v>
      </c>
      <c r="R49" s="17">
        <f ca="1">IFERROR(IF(MAX('SORT IMPORT'!$A$13:$A$408)&gt;ROW()-ROW($A$5)-1,INDEX( PRODUKTE,  VLOOKUP(ROW()-ROW($A$5),zeilenindizes,2)+INDEX(prodRowOffset,R$3),  MATCH(R$2,OFFSET(INDEXNAMEN,R$3,0),0)),""),"")</f>
        <v>1</v>
      </c>
      <c r="S49" s="17">
        <f ca="1">IFERROR(IF(MAX('SORT IMPORT'!$A$13:$A$408)&gt;ROW()-ROW($A$5)-1,INDEX( PRODUKTE,  VLOOKUP(ROW()-ROW($A$5),zeilenindizes,2)+INDEX(prodRowOffset,S$3),  MATCH(S$2,OFFSET(INDEXNAMEN,S$3,0),0)),""),"")</f>
        <v>1</v>
      </c>
      <c r="T49" s="17">
        <f ca="1">IFERROR(IF(MAX('SORT IMPORT'!$A$13:$A$408)&gt;ROW()-ROW($A$5)-1,INDEX( PRODUKTE,  VLOOKUP(ROW()-ROW($A$5),zeilenindizes,2)+INDEX(prodRowOffset,T$3),  MATCH(T$2,OFFSET(INDEXNAMEN,T$3,0),0)),""),"")</f>
        <v>1</v>
      </c>
      <c r="U49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49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49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49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49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49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49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49</v>
      </c>
      <c r="AB49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49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49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49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49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49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49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49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49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49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49</v>
      </c>
      <c r="AL49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49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49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49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49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49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49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49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49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49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49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49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49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49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49" s="17">
        <v>92</v>
      </c>
      <c r="BA49" s="17">
        <v>4</v>
      </c>
      <c r="BB49" s="17">
        <v>26</v>
      </c>
    </row>
    <row r="50" spans="6:54" ht="22.5" customHeight="1" x14ac:dyDescent="0.3">
      <c r="F50" s="17" t="str">
        <f ca="1">IFERROR(IF(MAX('SORT IMPORT'!$A$13:$A$408)&gt;ROW()-ROW($A$5)-1,INDEX( PRODUKTE,  VLOOKUP(ROW()-ROW($A$5),zeilenindizes,2)+INDEX(prodRowOffset,F$3),  MATCH(F$2,OFFSET(INDEXNAMEN,F$3,0),0)),""),"")</f>
        <v>TS 93 G GSR-EMR 2 /BG EN 2-5</v>
      </c>
      <c r="G50" s="17" t="str">
        <f ca="1">IFERROR(IF(MAX('SORT IMPORT'!$A$13:$A$408)&gt;ROW()-ROW($A$5)-1,INDEX( PRODUKTE,  VLOOKUP(ROW()-ROW($A$5),zeilenindizes,2)+INDEX(prodRowOffset,G$3),  MATCH(G$2,OFFSET(INDEXNAMEN,G$3,0),0)),""),"")</f>
        <v>G</v>
      </c>
      <c r="H50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50" s="17" t="str">
        <f ca="1">IFERROR(IF(MAX('SORT IMPORT'!$A$13:$A$408)&gt;ROW()-ROW($A$5)-1,INDEX( PRODUKTE,  VLOOKUP(ROW()-ROW($A$5),zeilenindizes,2)+INDEX(prodRowOffset,I$3),  MATCH(I$2,OFFSET(INDEXNAMEN,I$3,0),0)),""),"")</f>
        <v>V</v>
      </c>
      <c r="J50" s="17" t="str">
        <f ca="1">IFERROR(IF(MAX('SORT IMPORT'!$A$13:$A$408)&gt;ROW()-ROW($A$5)-1,INDEX( PRODUKTE,  VLOOKUP(ROW()-ROW($A$5),zeilenindizes,2)+INDEX(prodRowOffset,J$3),  MATCH(J$2,OFFSET(INDEXNAMEN,J$3,0),0)),""),"")</f>
        <v>R</v>
      </c>
      <c r="K50" s="17">
        <f ca="1">IFERROR(IF(MAX('SORT IMPORT'!$A$13:$A$408)&gt;ROW()-ROW($A$5)-1,INDEX( PRODUKTE,  VLOOKUP(ROW()-ROW($A$5),zeilenindizes,2)+INDEX(prodRowOffset,K$3),  MATCH(K$2,OFFSET(INDEXNAMEN,K$3,0),0)),""),"")</f>
        <v>8</v>
      </c>
      <c r="L50" s="17">
        <f ca="1">IFERROR(IF(MAX('SORT IMPORT'!$A$13:$A$408)&gt;ROW()-ROW($A$5)-1,INDEX( PRODUKTE,  VLOOKUP(ROW()-ROW($A$5),zeilenindizes,2)+INDEX(prodRowOffset,L$3),  MATCH(L$2,OFFSET(INDEXNAMEN,L$3,0),0)),""),"")</f>
        <v>2048</v>
      </c>
      <c r="M50" s="17">
        <f ca="1">IFERROR(IF(MAX('SORT IMPORT'!$A$13:$A$408)&gt;ROW()-ROW($A$5)-1,INDEX( PRODUKTE,  VLOOKUP(ROW()-ROW($A$5),zeilenindizes,2)+INDEX(prodRowOffset,M$3),  MATCH(M$2,OFFSET(INDEXNAMEN,M$3,0),0)),""),"")</f>
        <v>30</v>
      </c>
      <c r="N50" s="17">
        <f ca="1">IFERROR(IF(MAX('SORT IMPORT'!$A$13:$A$408)&gt;ROW()-ROW($A$5)-1,INDEX( PRODUKTE,  VLOOKUP(ROW()-ROW($A$5),zeilenindizes,2)+INDEX(prodRowOffset,N$3),  MATCH(N$2,OFFSET(INDEXNAMEN,N$3,0),0)),""),"")</f>
        <v>2</v>
      </c>
      <c r="O50" s="17">
        <f ca="1">IFERROR(IF(MAX('SORT IMPORT'!$A$13:$A$408)&gt;ROW()-ROW($A$5)-1,INDEX( PRODUKTE,  VLOOKUP(ROW()-ROW($A$5),zeilenindizes,2)+INDEX(prodRowOffset,O$3),  MATCH(O$2,OFFSET(INDEXNAMEN,O$3,0),0)),""),"")</f>
        <v>1</v>
      </c>
      <c r="P50" s="17">
        <f ca="1">IFERROR(IF(MAX('SORT IMPORT'!$A$13:$A$408)&gt;ROW()-ROW($A$5)-1,INDEX( PRODUKTE,  VLOOKUP(ROW()-ROW($A$5),zeilenindizes,2)+INDEX(prodRowOffset,P$3),  MATCH(P$2,OFFSET(INDEXNAMEN,P$3,0),0)),""),"")</f>
        <v>2</v>
      </c>
      <c r="Q50" s="17">
        <f ca="1">IFERROR(IF(MAX('SORT IMPORT'!$A$13:$A$408)&gt;ROW()-ROW($A$5)-1,INDEX( PRODUKTE,  VLOOKUP(ROW()-ROW($A$5),zeilenindizes,2)+INDEX(prodRowOffset,Q$3),  MATCH(Q$2,OFFSET(INDEXNAMEN,Q$3,0),0)),""),"")</f>
        <v>1</v>
      </c>
      <c r="R50" s="17">
        <f ca="1">IFERROR(IF(MAX('SORT IMPORT'!$A$13:$A$408)&gt;ROW()-ROW($A$5)-1,INDEX( PRODUKTE,  VLOOKUP(ROW()-ROW($A$5),zeilenindizes,2)+INDEX(prodRowOffset,R$3),  MATCH(R$2,OFFSET(INDEXNAMEN,R$3,0),0)),""),"")</f>
        <v>1</v>
      </c>
      <c r="S50" s="17">
        <f ca="1">IFERROR(IF(MAX('SORT IMPORT'!$A$13:$A$408)&gt;ROW()-ROW($A$5)-1,INDEX( PRODUKTE,  VLOOKUP(ROW()-ROW($A$5),zeilenindizes,2)+INDEX(prodRowOffset,S$3),  MATCH(S$2,OFFSET(INDEXNAMEN,S$3,0),0)),""),"")</f>
        <v>1</v>
      </c>
      <c r="T50" s="17">
        <f ca="1">IFERROR(IF(MAX('SORT IMPORT'!$A$13:$A$408)&gt;ROW()-ROW($A$5)-1,INDEX( PRODUKTE,  VLOOKUP(ROW()-ROW($A$5),zeilenindizes,2)+INDEX(prodRowOffset,T$3),  MATCH(T$2,OFFSET(INDEXNAMEN,T$3,0),0)),""),"")</f>
        <v>1</v>
      </c>
      <c r="U50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50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50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50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50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50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50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49</v>
      </c>
      <c r="AB50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50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50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50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50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50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50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50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50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50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49</v>
      </c>
      <c r="AL50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50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50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50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50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50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50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50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50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91</v>
      </c>
      <c r="AU50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50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50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275</v>
      </c>
      <c r="AX50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53</v>
      </c>
      <c r="AY50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  <c r="AZ50" s="17">
        <v>92</v>
      </c>
      <c r="BA50" s="17">
        <v>5</v>
      </c>
      <c r="BB50" s="17">
        <v>27</v>
      </c>
    </row>
    <row r="51" spans="6:54" ht="22.5" customHeight="1" x14ac:dyDescent="0.3">
      <c r="F51" s="17" t="str">
        <f ca="1">IFERROR(IF(MAX('SORT IMPORT'!$A$13:$A$408)&gt;ROW()-ROW($A$5)-1,INDEX( PRODUKTE,  VLOOKUP(ROW()-ROW($A$5),zeilenindizes,2)+INDEX(prodRowOffset,F$3),  MATCH(F$2,OFFSET(INDEXNAMEN,F$3,0),0)),""),"")</f>
        <v>TS 93 EN 5-7</v>
      </c>
      <c r="G51" s="17" t="str">
        <f ca="1">IFERROR(IF(MAX('SORT IMPORT'!$A$13:$A$408)&gt;ROW()-ROW($A$5)-1,INDEX( PRODUKTE,  VLOOKUP(ROW()-ROW($A$5),zeilenindizes,2)+INDEX(prodRowOffset,G$3),  MATCH(G$2,OFFSET(INDEXNAMEN,G$3,0),0)),""),"")</f>
        <v>G</v>
      </c>
      <c r="H51" s="17" t="str">
        <f ca="1">IFERROR(IF(MAX('SORT IMPORT'!$A$13:$A$408)&gt;ROW()-ROW($A$5)-1,INDEX( PRODUKTE,  VLOOKUP(ROW()-ROW($A$5),zeilenindizes,2)+INDEX(prodRowOffset,H$3),  MATCH(H$2,OFFSET(INDEXNAMEN,H$3,0),0)),""),"")</f>
        <v>93 B</v>
      </c>
      <c r="I51" s="17" t="str">
        <f ca="1">IFERROR(IF(MAX('SORT IMPORT'!$A$13:$A$408)&gt;ROW()-ROW($A$5)-1,INDEX( PRODUKTE,  VLOOKUP(ROW()-ROW($A$5),zeilenindizes,2)+INDEX(prodRowOffset,I$3),  MATCH(I$2,OFFSET(INDEXNAMEN,I$3,0),0)),""),"")</f>
        <v>V</v>
      </c>
      <c r="J51" s="17" t="str">
        <f ca="1">IFERROR(IF(MAX('SORT IMPORT'!$A$13:$A$408)&gt;ROW()-ROW($A$5)-1,INDEX( PRODUKTE,  VLOOKUP(ROW()-ROW($A$5),zeilenindizes,2)+INDEX(prodRowOffset,J$3),  MATCH(J$2,OFFSET(INDEXNAMEN,J$3,0),0)),""),"")</f>
        <v/>
      </c>
      <c r="K51" s="17">
        <f ca="1">IFERROR(IF(MAX('SORT IMPORT'!$A$13:$A$408)&gt;ROW()-ROW($A$5)-1,INDEX( PRODUKTE,  VLOOKUP(ROW()-ROW($A$5),zeilenindizes,2)+INDEX(prodRowOffset,K$3),  MATCH(K$2,OFFSET(INDEXNAMEN,K$3,0),0)),""),"")</f>
        <v>3</v>
      </c>
      <c r="L51" s="17">
        <f ca="1">IFERROR(IF(MAX('SORT IMPORT'!$A$13:$A$408)&gt;ROW()-ROW($A$5)-1,INDEX( PRODUKTE,  VLOOKUP(ROW()-ROW($A$5),zeilenindizes,2)+INDEX(prodRowOffset,L$3),  MATCH(L$2,OFFSET(INDEXNAMEN,L$3,0),0)),""),"")</f>
        <v>1</v>
      </c>
      <c r="M51" s="17">
        <f ca="1">IFERROR(IF(MAX('SORT IMPORT'!$A$13:$A$408)&gt;ROW()-ROW($A$5)-1,INDEX( PRODUKTE,  VLOOKUP(ROW()-ROW($A$5),zeilenindizes,2)+INDEX(prodRowOffset,M$3),  MATCH(M$2,OFFSET(INDEXNAMEN,M$3,0),0)),""),"")</f>
        <v>112</v>
      </c>
      <c r="N51" s="17">
        <f ca="1">IFERROR(IF(MAX('SORT IMPORT'!$A$13:$A$408)&gt;ROW()-ROW($A$5)-1,INDEX( PRODUKTE,  VLOOKUP(ROW()-ROW($A$5),zeilenindizes,2)+INDEX(prodRowOffset,N$3),  MATCH(N$2,OFFSET(INDEXNAMEN,N$3,0),0)),""),"")</f>
        <v>1</v>
      </c>
      <c r="O51" s="17">
        <f ca="1">IFERROR(IF(MAX('SORT IMPORT'!$A$13:$A$408)&gt;ROW()-ROW($A$5)-1,INDEX( PRODUKTE,  VLOOKUP(ROW()-ROW($A$5),zeilenindizes,2)+INDEX(prodRowOffset,O$3),  MATCH(O$2,OFFSET(INDEXNAMEN,O$3,0),0)),""),"")</f>
        <v>0</v>
      </c>
      <c r="P51" s="17">
        <f ca="1">IFERROR(IF(MAX('SORT IMPORT'!$A$13:$A$408)&gt;ROW()-ROW($A$5)-1,INDEX( PRODUKTE,  VLOOKUP(ROW()-ROW($A$5),zeilenindizes,2)+INDEX(prodRowOffset,P$3),  MATCH(P$2,OFFSET(INDEXNAMEN,P$3,0),0)),""),"")</f>
        <v>0</v>
      </c>
      <c r="Q51" s="17">
        <f ca="1">IFERROR(IF(MAX('SORT IMPORT'!$A$13:$A$408)&gt;ROW()-ROW($A$5)-1,INDEX( PRODUKTE,  VLOOKUP(ROW()-ROW($A$5),zeilenindizes,2)+INDEX(prodRowOffset,Q$3),  MATCH(Q$2,OFFSET(INDEXNAMEN,Q$3,0),0)),""),"")</f>
        <v>1</v>
      </c>
      <c r="R51" s="17">
        <f ca="1">IFERROR(IF(MAX('SORT IMPORT'!$A$13:$A$408)&gt;ROW()-ROW($A$5)-1,INDEX( PRODUKTE,  VLOOKUP(ROW()-ROW($A$5),zeilenindizes,2)+INDEX(prodRowOffset,R$3),  MATCH(R$2,OFFSET(INDEXNAMEN,R$3,0),0)),""),"")</f>
        <v>0</v>
      </c>
      <c r="S51" s="17">
        <f ca="1">IFERROR(IF(MAX('SORT IMPORT'!$A$13:$A$408)&gt;ROW()-ROW($A$5)-1,INDEX( PRODUKTE,  VLOOKUP(ROW()-ROW($A$5),zeilenindizes,2)+INDEX(prodRowOffset,S$3),  MATCH(S$2,OFFSET(INDEXNAMEN,S$3,0),0)),""),"")</f>
        <v>0</v>
      </c>
      <c r="T51" s="17">
        <f ca="1">IFERROR(IF(MAX('SORT IMPORT'!$A$13:$A$408)&gt;ROW()-ROW($A$5)-1,INDEX( PRODUKTE,  VLOOKUP(ROW()-ROW($A$5),zeilenindizes,2)+INDEX(prodRowOffset,T$3),  MATCH(T$2,OFFSET(INDEXNAMEN,T$3,0),0)),""),"")</f>
        <v>1</v>
      </c>
      <c r="U51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80</v>
      </c>
      <c r="V51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51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80</v>
      </c>
      <c r="X51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4</v>
      </c>
      <c r="Y51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51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51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51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51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51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51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143</v>
      </c>
      <c r="AF51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16</v>
      </c>
      <c r="AG51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143</v>
      </c>
      <c r="AH51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16</v>
      </c>
      <c r="AI51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51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51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51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51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51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51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442</v>
      </c>
      <c r="AP51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51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23</v>
      </c>
      <c r="AR51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16</v>
      </c>
      <c r="AS51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51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51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51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46</v>
      </c>
      <c r="AW51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51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51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52" spans="6:54" ht="22.5" customHeight="1" x14ac:dyDescent="0.3">
      <c r="F52" s="17" t="str">
        <f ca="1">IFERROR(IF(MAX('SORT IMPORT'!$A$13:$A$408)&gt;ROW()-ROW($A$5)-1,INDEX( PRODUKTE,  VLOOKUP(ROW()-ROW($A$5),zeilenindizes,2)+INDEX(prodRowOffset,F$3),  MATCH(F$2,OFFSET(INDEXNAMEN,F$3,0),0)),""),"")</f>
        <v>TS 93 RF EN 5-7</v>
      </c>
      <c r="G52" s="17" t="str">
        <f ca="1">IFERROR(IF(MAX('SORT IMPORT'!$A$13:$A$408)&gt;ROW()-ROW($A$5)-1,INDEX( PRODUKTE,  VLOOKUP(ROW()-ROW($A$5),zeilenindizes,2)+INDEX(prodRowOffset,G$3),  MATCH(G$2,OFFSET(INDEXNAMEN,G$3,0),0)),""),"")</f>
        <v>G</v>
      </c>
      <c r="H52" s="17" t="str">
        <f ca="1">IFERROR(IF(MAX('SORT IMPORT'!$A$13:$A$408)&gt;ROW()-ROW($A$5)-1,INDEX( PRODUKTE,  VLOOKUP(ROW()-ROW($A$5),zeilenindizes,2)+INDEX(prodRowOffset,H$3),  MATCH(H$2,OFFSET(INDEXNAMEN,H$3,0),0)),""),"")</f>
        <v>93 B</v>
      </c>
      <c r="I52" s="17" t="str">
        <f ca="1">IFERROR(IF(MAX('SORT IMPORT'!$A$13:$A$408)&gt;ROW()-ROW($A$5)-1,INDEX( PRODUKTE,  VLOOKUP(ROW()-ROW($A$5),zeilenindizes,2)+INDEX(prodRowOffset,I$3),  MATCH(I$2,OFFSET(INDEXNAMEN,I$3,0),0)),""),"")</f>
        <v>V</v>
      </c>
      <c r="J52" s="17" t="str">
        <f ca="1">IFERROR(IF(MAX('SORT IMPORT'!$A$13:$A$408)&gt;ROW()-ROW($A$5)-1,INDEX( PRODUKTE,  VLOOKUP(ROW()-ROW($A$5),zeilenindizes,2)+INDEX(prodRowOffset,J$3),  MATCH(J$2,OFFSET(INDEXNAMEN,J$3,0),0)),""),"")</f>
        <v>M</v>
      </c>
      <c r="K52" s="17">
        <f ca="1">IFERROR(IF(MAX('SORT IMPORT'!$A$13:$A$408)&gt;ROW()-ROW($A$5)-1,INDEX( PRODUKTE,  VLOOKUP(ROW()-ROW($A$5),zeilenindizes,2)+INDEX(prodRowOffset,K$3),  MATCH(K$2,OFFSET(INDEXNAMEN,K$3,0),0)),""),"")</f>
        <v>3</v>
      </c>
      <c r="L52" s="17">
        <f ca="1">IFERROR(IF(MAX('SORT IMPORT'!$A$13:$A$408)&gt;ROW()-ROW($A$5)-1,INDEX( PRODUKTE,  VLOOKUP(ROW()-ROW($A$5),zeilenindizes,2)+INDEX(prodRowOffset,L$3),  MATCH(L$2,OFFSET(INDEXNAMEN,L$3,0),0)),""),"")</f>
        <v>2</v>
      </c>
      <c r="M52" s="17">
        <f ca="1">IFERROR(IF(MAX('SORT IMPORT'!$A$13:$A$408)&gt;ROW()-ROW($A$5)-1,INDEX( PRODUKTE,  VLOOKUP(ROW()-ROW($A$5),zeilenindizes,2)+INDEX(prodRowOffset,M$3),  MATCH(M$2,OFFSET(INDEXNAMEN,M$3,0),0)),""),"")</f>
        <v>112</v>
      </c>
      <c r="N52" s="17">
        <f ca="1">IFERROR(IF(MAX('SORT IMPORT'!$A$13:$A$408)&gt;ROW()-ROW($A$5)-1,INDEX( PRODUKTE,  VLOOKUP(ROW()-ROW($A$5),zeilenindizes,2)+INDEX(prodRowOffset,N$3),  MATCH(N$2,OFFSET(INDEXNAMEN,N$3,0),0)),""),"")</f>
        <v>1</v>
      </c>
      <c r="O52" s="17">
        <f ca="1">IFERROR(IF(MAX('SORT IMPORT'!$A$13:$A$408)&gt;ROW()-ROW($A$5)-1,INDEX( PRODUKTE,  VLOOKUP(ROW()-ROW($A$5),zeilenindizes,2)+INDEX(prodRowOffset,O$3),  MATCH(O$2,OFFSET(INDEXNAMEN,O$3,0),0)),""),"")</f>
        <v>0</v>
      </c>
      <c r="P52" s="17">
        <f ca="1">IFERROR(IF(MAX('SORT IMPORT'!$A$13:$A$408)&gt;ROW()-ROW($A$5)-1,INDEX( PRODUKTE,  VLOOKUP(ROW()-ROW($A$5),zeilenindizes,2)+INDEX(prodRowOffset,P$3),  MATCH(P$2,OFFSET(INDEXNAMEN,P$3,0),0)),""),"")</f>
        <v>0</v>
      </c>
      <c r="Q52" s="17">
        <f ca="1">IFERROR(IF(MAX('SORT IMPORT'!$A$13:$A$408)&gt;ROW()-ROW($A$5)-1,INDEX( PRODUKTE,  VLOOKUP(ROW()-ROW($A$5),zeilenindizes,2)+INDEX(prodRowOffset,Q$3),  MATCH(Q$2,OFFSET(INDEXNAMEN,Q$3,0),0)),""),"")</f>
        <v>0</v>
      </c>
      <c r="R52" s="17">
        <f ca="1">IFERROR(IF(MAX('SORT IMPORT'!$A$13:$A$408)&gt;ROW()-ROW($A$5)-1,INDEX( PRODUKTE,  VLOOKUP(ROW()-ROW($A$5),zeilenindizes,2)+INDEX(prodRowOffset,R$3),  MATCH(R$2,OFFSET(INDEXNAMEN,R$3,0),0)),""),"")</f>
        <v>0</v>
      </c>
      <c r="S52" s="17">
        <f ca="1">IFERROR(IF(MAX('SORT IMPORT'!$A$13:$A$408)&gt;ROW()-ROW($A$5)-1,INDEX( PRODUKTE,  VLOOKUP(ROW()-ROW($A$5),zeilenindizes,2)+INDEX(prodRowOffset,S$3),  MATCH(S$2,OFFSET(INDEXNAMEN,S$3,0),0)),""),"")</f>
        <v>0</v>
      </c>
      <c r="T52" s="17">
        <f ca="1">IFERROR(IF(MAX('SORT IMPORT'!$A$13:$A$408)&gt;ROW()-ROW($A$5)-1,INDEX( PRODUKTE,  VLOOKUP(ROW()-ROW($A$5),zeilenindizes,2)+INDEX(prodRowOffset,T$3),  MATCH(T$2,OFFSET(INDEXNAMEN,T$3,0),0)),""),"")</f>
        <v>1</v>
      </c>
      <c r="U52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80</v>
      </c>
      <c r="V52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52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80</v>
      </c>
      <c r="X52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4</v>
      </c>
      <c r="Y52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52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52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52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52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52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52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143</v>
      </c>
      <c r="AF52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16</v>
      </c>
      <c r="AG52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143</v>
      </c>
      <c r="AH52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16</v>
      </c>
      <c r="AI52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52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52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52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52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52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52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442</v>
      </c>
      <c r="AP52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52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23</v>
      </c>
      <c r="AR52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16</v>
      </c>
      <c r="AS52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52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52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52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60</v>
      </c>
      <c r="AW52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52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52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53" spans="6:54" ht="22.5" customHeight="1" x14ac:dyDescent="0.3">
      <c r="F53" s="17" t="str">
        <f ca="1">IFERROR(IF(MAX('SORT IMPORT'!$A$13:$A$408)&gt;ROW()-ROW($A$5)-1,INDEX( PRODUKTE,  VLOOKUP(ROW()-ROW($A$5),zeilenindizes,2)+INDEX(prodRowOffset,F$3),  MATCH(F$2,OFFSET(INDEXNAMEN,F$3,0),0)),""),"")</f>
        <v>TS 93 EMF EN 5-7</v>
      </c>
      <c r="G53" s="17" t="str">
        <f ca="1">IFERROR(IF(MAX('SORT IMPORT'!$A$13:$A$408)&gt;ROW()-ROW($A$5)-1,INDEX( PRODUKTE,  VLOOKUP(ROW()-ROW($A$5),zeilenindizes,2)+INDEX(prodRowOffset,G$3),  MATCH(G$2,OFFSET(INDEXNAMEN,G$3,0),0)),""),"")</f>
        <v>G</v>
      </c>
      <c r="H53" s="17" t="str">
        <f ca="1">IFERROR(IF(MAX('SORT IMPORT'!$A$13:$A$408)&gt;ROW()-ROW($A$5)-1,INDEX( PRODUKTE,  VLOOKUP(ROW()-ROW($A$5),zeilenindizes,2)+INDEX(prodRowOffset,H$3),  MATCH(H$2,OFFSET(INDEXNAMEN,H$3,0),0)),""),"")</f>
        <v>93 B</v>
      </c>
      <c r="I53" s="17" t="str">
        <f ca="1">IFERROR(IF(MAX('SORT IMPORT'!$A$13:$A$408)&gt;ROW()-ROW($A$5)-1,INDEX( PRODUKTE,  VLOOKUP(ROW()-ROW($A$5),zeilenindizes,2)+INDEX(prodRowOffset,I$3),  MATCH(I$2,OFFSET(INDEXNAMEN,I$3,0),0)),""),"")</f>
        <v>V</v>
      </c>
      <c r="J53" s="17" t="str">
        <f ca="1">IFERROR(IF(MAX('SORT IMPORT'!$A$13:$A$408)&gt;ROW()-ROW($A$5)-1,INDEX( PRODUKTE,  VLOOKUP(ROW()-ROW($A$5),zeilenindizes,2)+INDEX(prodRowOffset,J$3),  MATCH(J$2,OFFSET(INDEXNAMEN,J$3,0),0)),""),"")</f>
        <v>E</v>
      </c>
      <c r="K53" s="17">
        <f ca="1">IFERROR(IF(MAX('SORT IMPORT'!$A$13:$A$408)&gt;ROW()-ROW($A$5)-1,INDEX( PRODUKTE,  VLOOKUP(ROW()-ROW($A$5),zeilenindizes,2)+INDEX(prodRowOffset,K$3),  MATCH(K$2,OFFSET(INDEXNAMEN,K$3,0),0)),""),"")</f>
        <v>1</v>
      </c>
      <c r="L53" s="17">
        <f ca="1">IFERROR(IF(MAX('SORT IMPORT'!$A$13:$A$408)&gt;ROW()-ROW($A$5)-1,INDEX( PRODUKTE,  VLOOKUP(ROW()-ROW($A$5),zeilenindizes,2)+INDEX(prodRowOffset,L$3),  MATCH(L$2,OFFSET(INDEXNAMEN,L$3,0),0)),""),"")</f>
        <v>4</v>
      </c>
      <c r="M53" s="17">
        <f ca="1">IFERROR(IF(MAX('SORT IMPORT'!$A$13:$A$408)&gt;ROW()-ROW($A$5)-1,INDEX( PRODUKTE,  VLOOKUP(ROW()-ROW($A$5),zeilenindizes,2)+INDEX(prodRowOffset,M$3),  MATCH(M$2,OFFSET(INDEXNAMEN,M$3,0),0)),""),"")</f>
        <v>112</v>
      </c>
      <c r="N53" s="17">
        <f ca="1">IFERROR(IF(MAX('SORT IMPORT'!$A$13:$A$408)&gt;ROW()-ROW($A$5)-1,INDEX( PRODUKTE,  VLOOKUP(ROW()-ROW($A$5),zeilenindizes,2)+INDEX(prodRowOffset,N$3),  MATCH(N$2,OFFSET(INDEXNAMEN,N$3,0),0)),""),"")</f>
        <v>1</v>
      </c>
      <c r="O53" s="17">
        <f ca="1">IFERROR(IF(MAX('SORT IMPORT'!$A$13:$A$408)&gt;ROW()-ROW($A$5)-1,INDEX( PRODUKTE,  VLOOKUP(ROW()-ROW($A$5),zeilenindizes,2)+INDEX(prodRowOffset,O$3),  MATCH(O$2,OFFSET(INDEXNAMEN,O$3,0),0)),""),"")</f>
        <v>2</v>
      </c>
      <c r="P53" s="17">
        <f ca="1">IFERROR(IF(MAX('SORT IMPORT'!$A$13:$A$408)&gt;ROW()-ROW($A$5)-1,INDEX( PRODUKTE,  VLOOKUP(ROW()-ROW($A$5),zeilenindizes,2)+INDEX(prodRowOffset,P$3),  MATCH(P$2,OFFSET(INDEXNAMEN,P$3,0),0)),""),"")</f>
        <v>0</v>
      </c>
      <c r="Q53" s="17">
        <f ca="1">IFERROR(IF(MAX('SORT IMPORT'!$A$13:$A$408)&gt;ROW()-ROW($A$5)-1,INDEX( PRODUKTE,  VLOOKUP(ROW()-ROW($A$5),zeilenindizes,2)+INDEX(prodRowOffset,Q$3),  MATCH(Q$2,OFFSET(INDEXNAMEN,Q$3,0),0)),""),"")</f>
        <v>1</v>
      </c>
      <c r="R53" s="17">
        <f ca="1">IFERROR(IF(MAX('SORT IMPORT'!$A$13:$A$408)&gt;ROW()-ROW($A$5)-1,INDEX( PRODUKTE,  VLOOKUP(ROW()-ROW($A$5),zeilenindizes,2)+INDEX(prodRowOffset,R$3),  MATCH(R$2,OFFSET(INDEXNAMEN,R$3,0),0)),""),"")</f>
        <v>0</v>
      </c>
      <c r="S53" s="17">
        <f ca="1">IFERROR(IF(MAX('SORT IMPORT'!$A$13:$A$408)&gt;ROW()-ROW($A$5)-1,INDEX( PRODUKTE,  VLOOKUP(ROW()-ROW($A$5),zeilenindizes,2)+INDEX(prodRowOffset,S$3),  MATCH(S$2,OFFSET(INDEXNAMEN,S$3,0),0)),""),"")</f>
        <v>0</v>
      </c>
      <c r="T53" s="17">
        <f ca="1">IFERROR(IF(MAX('SORT IMPORT'!$A$13:$A$408)&gt;ROW()-ROW($A$5)-1,INDEX( PRODUKTE,  VLOOKUP(ROW()-ROW($A$5),zeilenindizes,2)+INDEX(prodRowOffset,T$3),  MATCH(T$2,OFFSET(INDEXNAMEN,T$3,0),0)),""),"")</f>
        <v>1</v>
      </c>
      <c r="U53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80</v>
      </c>
      <c r="V53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53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53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53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53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53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53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53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53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53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84</v>
      </c>
      <c r="AF53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16</v>
      </c>
      <c r="AG53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53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53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53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53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53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53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53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53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518</v>
      </c>
      <c r="AP53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40</v>
      </c>
      <c r="AQ53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53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20</v>
      </c>
      <c r="AS53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53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53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53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160</v>
      </c>
      <c r="AW53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53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53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54" spans="6:54" ht="22.5" customHeight="1" x14ac:dyDescent="0.3">
      <c r="F54" s="17" t="str">
        <f ca="1">IFERROR(IF(MAX('SORT IMPORT'!$A$13:$A$408)&gt;ROW()-ROW($A$5)-1,INDEX( PRODUKTE,  VLOOKUP(ROW()-ROW($A$5),zeilenindizes,2)+INDEX(prodRowOffset,F$3),  MATCH(F$2,OFFSET(INDEXNAMEN,F$3,0),0)),""),"")</f>
        <v>TS 93 EMR EN 5-7</v>
      </c>
      <c r="G54" s="17" t="str">
        <f ca="1">IFERROR(IF(MAX('SORT IMPORT'!$A$13:$A$408)&gt;ROW()-ROW($A$5)-1,INDEX( PRODUKTE,  VLOOKUP(ROW()-ROW($A$5),zeilenindizes,2)+INDEX(prodRowOffset,G$3),  MATCH(G$2,OFFSET(INDEXNAMEN,G$3,0),0)),""),"")</f>
        <v>G</v>
      </c>
      <c r="H54" s="17" t="str">
        <f ca="1">IFERROR(IF(MAX('SORT IMPORT'!$A$13:$A$408)&gt;ROW()-ROW($A$5)-1,INDEX( PRODUKTE,  VLOOKUP(ROW()-ROW($A$5),zeilenindizes,2)+INDEX(prodRowOffset,H$3),  MATCH(H$2,OFFSET(INDEXNAMEN,H$3,0),0)),""),"")</f>
        <v>93 B</v>
      </c>
      <c r="I54" s="17" t="str">
        <f ca="1">IFERROR(IF(MAX('SORT IMPORT'!$A$13:$A$408)&gt;ROW()-ROW($A$5)-1,INDEX( PRODUKTE,  VLOOKUP(ROW()-ROW($A$5),zeilenindizes,2)+INDEX(prodRowOffset,I$3),  MATCH(I$2,OFFSET(INDEXNAMEN,I$3,0),0)),""),"")</f>
        <v>V</v>
      </c>
      <c r="J54" s="17" t="str">
        <f ca="1">IFERROR(IF(MAX('SORT IMPORT'!$A$13:$A$408)&gt;ROW()-ROW($A$5)-1,INDEX( PRODUKTE,  VLOOKUP(ROW()-ROW($A$5),zeilenindizes,2)+INDEX(prodRowOffset,J$3),  MATCH(J$2,OFFSET(INDEXNAMEN,J$3,0),0)),""),"")</f>
        <v>R</v>
      </c>
      <c r="K54" s="17">
        <f ca="1">IFERROR(IF(MAX('SORT IMPORT'!$A$13:$A$408)&gt;ROW()-ROW($A$5)-1,INDEX( PRODUKTE,  VLOOKUP(ROW()-ROW($A$5),zeilenindizes,2)+INDEX(prodRowOffset,K$3),  MATCH(K$2,OFFSET(INDEXNAMEN,K$3,0),0)),""),"")</f>
        <v>1</v>
      </c>
      <c r="L54" s="17">
        <f ca="1">IFERROR(IF(MAX('SORT IMPORT'!$A$13:$A$408)&gt;ROW()-ROW($A$5)-1,INDEX( PRODUKTE,  VLOOKUP(ROW()-ROW($A$5),zeilenindizes,2)+INDEX(prodRowOffset,L$3),  MATCH(L$2,OFFSET(INDEXNAMEN,L$3,0),0)),""),"")</f>
        <v>8</v>
      </c>
      <c r="M54" s="17">
        <f ca="1">IFERROR(IF(MAX('SORT IMPORT'!$A$13:$A$408)&gt;ROW()-ROW($A$5)-1,INDEX( PRODUKTE,  VLOOKUP(ROW()-ROW($A$5),zeilenindizes,2)+INDEX(prodRowOffset,M$3),  MATCH(M$2,OFFSET(INDEXNAMEN,M$3,0),0)),""),"")</f>
        <v>112</v>
      </c>
      <c r="N54" s="17">
        <f ca="1">IFERROR(IF(MAX('SORT IMPORT'!$A$13:$A$408)&gt;ROW()-ROW($A$5)-1,INDEX( PRODUKTE,  VLOOKUP(ROW()-ROW($A$5),zeilenindizes,2)+INDEX(prodRowOffset,N$3),  MATCH(N$2,OFFSET(INDEXNAMEN,N$3,0),0)),""),"")</f>
        <v>1</v>
      </c>
      <c r="O54" s="17">
        <f ca="1">IFERROR(IF(MAX('SORT IMPORT'!$A$13:$A$408)&gt;ROW()-ROW($A$5)-1,INDEX( PRODUKTE,  VLOOKUP(ROW()-ROW($A$5),zeilenindizes,2)+INDEX(prodRowOffset,O$3),  MATCH(O$2,OFFSET(INDEXNAMEN,O$3,0),0)),""),"")</f>
        <v>1</v>
      </c>
      <c r="P54" s="17">
        <f ca="1">IFERROR(IF(MAX('SORT IMPORT'!$A$13:$A$408)&gt;ROW()-ROW($A$5)-1,INDEX( PRODUKTE,  VLOOKUP(ROW()-ROW($A$5),zeilenindizes,2)+INDEX(prodRowOffset,P$3),  MATCH(P$2,OFFSET(INDEXNAMEN,P$3,0),0)),""),"")</f>
        <v>0</v>
      </c>
      <c r="Q54" s="17">
        <f ca="1">IFERROR(IF(MAX('SORT IMPORT'!$A$13:$A$408)&gt;ROW()-ROW($A$5)-1,INDEX( PRODUKTE,  VLOOKUP(ROW()-ROW($A$5),zeilenindizes,2)+INDEX(prodRowOffset,Q$3),  MATCH(Q$2,OFFSET(INDEXNAMEN,Q$3,0),0)),""),"")</f>
        <v>1</v>
      </c>
      <c r="R54" s="17">
        <f ca="1">IFERROR(IF(MAX('SORT IMPORT'!$A$13:$A$408)&gt;ROW()-ROW($A$5)-1,INDEX( PRODUKTE,  VLOOKUP(ROW()-ROW($A$5),zeilenindizes,2)+INDEX(prodRowOffset,R$3),  MATCH(R$2,OFFSET(INDEXNAMEN,R$3,0),0)),""),"")</f>
        <v>0</v>
      </c>
      <c r="S54" s="17">
        <f ca="1">IFERROR(IF(MAX('SORT IMPORT'!$A$13:$A$408)&gt;ROW()-ROW($A$5)-1,INDEX( PRODUKTE,  VLOOKUP(ROW()-ROW($A$5),zeilenindizes,2)+INDEX(prodRowOffset,S$3),  MATCH(S$2,OFFSET(INDEXNAMEN,S$3,0),0)),""),"")</f>
        <v>0</v>
      </c>
      <c r="T54" s="17">
        <f ca="1">IFERROR(IF(MAX('SORT IMPORT'!$A$13:$A$408)&gt;ROW()-ROW($A$5)-1,INDEX( PRODUKTE,  VLOOKUP(ROW()-ROW($A$5),zeilenindizes,2)+INDEX(prodRowOffset,T$3),  MATCH(T$2,OFFSET(INDEXNAMEN,T$3,0),0)),""),"")</f>
        <v>1</v>
      </c>
      <c r="U54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80</v>
      </c>
      <c r="V54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54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54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54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54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54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54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54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54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54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84</v>
      </c>
      <c r="AF54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16</v>
      </c>
      <c r="AG54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54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54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54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54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54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54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54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54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864</v>
      </c>
      <c r="AP54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40</v>
      </c>
      <c r="AQ54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54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20</v>
      </c>
      <c r="AS54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54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54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54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206</v>
      </c>
      <c r="AW54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54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54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55" spans="6:54" ht="22.5" customHeight="1" x14ac:dyDescent="0.3">
      <c r="F55" s="17" t="str">
        <f ca="1">IFERROR(IF(MAX('SORT IMPORT'!$A$13:$A$408)&gt;ROW()-ROW($A$5)-1,INDEX( PRODUKTE,  VLOOKUP(ROW()-ROW($A$5),zeilenindizes,2)+INDEX(prodRowOffset,F$3),  MATCH(F$2,OFFSET(INDEXNAMEN,F$3,0),0)),""),"")</f>
        <v>TS 93 GSR EN 5-7</v>
      </c>
      <c r="G55" s="17" t="str">
        <f ca="1">IFERROR(IF(MAX('SORT IMPORT'!$A$13:$A$408)&gt;ROW()-ROW($A$5)-1,INDEX( PRODUKTE,  VLOOKUP(ROW()-ROW($A$5),zeilenindizes,2)+INDEX(prodRowOffset,G$3),  MATCH(G$2,OFFSET(INDEXNAMEN,G$3,0),0)),""),"")</f>
        <v>G</v>
      </c>
      <c r="H55" s="17" t="str">
        <f ca="1">IFERROR(IF(MAX('SORT IMPORT'!$A$13:$A$408)&gt;ROW()-ROW($A$5)-1,INDEX( PRODUKTE,  VLOOKUP(ROW()-ROW($A$5),zeilenindizes,2)+INDEX(prodRowOffset,H$3),  MATCH(H$2,OFFSET(INDEXNAMEN,H$3,0),0)),""),"")</f>
        <v>93 B</v>
      </c>
      <c r="I55" s="17" t="str">
        <f ca="1">IFERROR(IF(MAX('SORT IMPORT'!$A$13:$A$408)&gt;ROW()-ROW($A$5)-1,INDEX( PRODUKTE,  VLOOKUP(ROW()-ROW($A$5),zeilenindizes,2)+INDEX(prodRowOffset,I$3),  MATCH(I$2,OFFSET(INDEXNAMEN,I$3,0),0)),""),"")</f>
        <v>V</v>
      </c>
      <c r="J55" s="17" t="str">
        <f ca="1">IFERROR(IF(MAX('SORT IMPORT'!$A$13:$A$408)&gt;ROW()-ROW($A$5)-1,INDEX( PRODUKTE,  VLOOKUP(ROW()-ROW($A$5),zeilenindizes,2)+INDEX(prodRowOffset,J$3),  MATCH(J$2,OFFSET(INDEXNAMEN,J$3,0),0)),""),"")</f>
        <v/>
      </c>
      <c r="K55" s="17">
        <f ca="1">IFERROR(IF(MAX('SORT IMPORT'!$A$13:$A$408)&gt;ROW()-ROW($A$5)-1,INDEX( PRODUKTE,  VLOOKUP(ROW()-ROW($A$5),zeilenindizes,2)+INDEX(prodRowOffset,K$3),  MATCH(K$2,OFFSET(INDEXNAMEN,K$3,0),0)),""),"")</f>
        <v>1</v>
      </c>
      <c r="L55" s="17">
        <f ca="1">IFERROR(IF(MAX('SORT IMPORT'!$A$13:$A$408)&gt;ROW()-ROW($A$5)-1,INDEX( PRODUKTE,  VLOOKUP(ROW()-ROW($A$5),zeilenindizes,2)+INDEX(prodRowOffset,L$3),  MATCH(L$2,OFFSET(INDEXNAMEN,L$3,0),0)),""),"")</f>
        <v>16</v>
      </c>
      <c r="M55" s="17">
        <f ca="1">IFERROR(IF(MAX('SORT IMPORT'!$A$13:$A$408)&gt;ROW()-ROW($A$5)-1,INDEX( PRODUKTE,  VLOOKUP(ROW()-ROW($A$5),zeilenindizes,2)+INDEX(prodRowOffset,M$3),  MATCH(M$2,OFFSET(INDEXNAMEN,M$3,0),0)),""),"")</f>
        <v>112</v>
      </c>
      <c r="N55" s="17">
        <f ca="1">IFERROR(IF(MAX('SORT IMPORT'!$A$13:$A$408)&gt;ROW()-ROW($A$5)-1,INDEX( PRODUKTE,  VLOOKUP(ROW()-ROW($A$5),zeilenindizes,2)+INDEX(prodRowOffset,N$3),  MATCH(N$2,OFFSET(INDEXNAMEN,N$3,0),0)),""),"")</f>
        <v>2</v>
      </c>
      <c r="O55" s="17">
        <f ca="1">IFERROR(IF(MAX('SORT IMPORT'!$A$13:$A$408)&gt;ROW()-ROW($A$5)-1,INDEX( PRODUKTE,  VLOOKUP(ROW()-ROW($A$5),zeilenindizes,2)+INDEX(prodRowOffset,O$3),  MATCH(O$2,OFFSET(INDEXNAMEN,O$3,0),0)),""),"")</f>
        <v>0</v>
      </c>
      <c r="P55" s="17">
        <f ca="1">IFERROR(IF(MAX('SORT IMPORT'!$A$13:$A$408)&gt;ROW()-ROW($A$5)-1,INDEX( PRODUKTE,  VLOOKUP(ROW()-ROW($A$5),zeilenindizes,2)+INDEX(prodRowOffset,P$3),  MATCH(P$2,OFFSET(INDEXNAMEN,P$3,0),0)),""),"")</f>
        <v>0</v>
      </c>
      <c r="Q55" s="17">
        <f ca="1">IFERROR(IF(MAX('SORT IMPORT'!$A$13:$A$408)&gt;ROW()-ROW($A$5)-1,INDEX( PRODUKTE,  VLOOKUP(ROW()-ROW($A$5),zeilenindizes,2)+INDEX(prodRowOffset,Q$3),  MATCH(Q$2,OFFSET(INDEXNAMEN,Q$3,0),0)),""),"")</f>
        <v>1</v>
      </c>
      <c r="R55" s="17">
        <f ca="1">IFERROR(IF(MAX('SORT IMPORT'!$A$13:$A$408)&gt;ROW()-ROW($A$5)-1,INDEX( PRODUKTE,  VLOOKUP(ROW()-ROW($A$5),zeilenindizes,2)+INDEX(prodRowOffset,R$3),  MATCH(R$2,OFFSET(INDEXNAMEN,R$3,0),0)),""),"")</f>
        <v>0</v>
      </c>
      <c r="S55" s="17">
        <f ca="1">IFERROR(IF(MAX('SORT IMPORT'!$A$13:$A$408)&gt;ROW()-ROW($A$5)-1,INDEX( PRODUKTE,  VLOOKUP(ROW()-ROW($A$5),zeilenindizes,2)+INDEX(prodRowOffset,S$3),  MATCH(S$2,OFFSET(INDEXNAMEN,S$3,0),0)),""),"")</f>
        <v>1</v>
      </c>
      <c r="T55" s="17">
        <f ca="1">IFERROR(IF(MAX('SORT IMPORT'!$A$13:$A$408)&gt;ROW()-ROW($A$5)-1,INDEX( PRODUKTE,  VLOOKUP(ROW()-ROW($A$5),zeilenindizes,2)+INDEX(prodRowOffset,T$3),  MATCH(T$2,OFFSET(INDEXNAMEN,T$3,0),0)),""),"")</f>
        <v>1</v>
      </c>
      <c r="U55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80</v>
      </c>
      <c r="V55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55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55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55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55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55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55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55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55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55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84</v>
      </c>
      <c r="AF55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13</v>
      </c>
      <c r="AG55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55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55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55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55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55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55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55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55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55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34</v>
      </c>
      <c r="AQ55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55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17</v>
      </c>
      <c r="AS55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55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55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55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51</v>
      </c>
      <c r="AW55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55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55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56" spans="6:54" ht="22.5" customHeight="1" x14ac:dyDescent="0.3">
      <c r="F56" s="17" t="str">
        <f ca="1">IFERROR(IF(MAX('SORT IMPORT'!$A$13:$A$408)&gt;ROW()-ROW($A$5)-1,INDEX( PRODUKTE,  VLOOKUP(ROW()-ROW($A$5),zeilenindizes,2)+INDEX(prodRowOffset,F$3),  MATCH(F$2,OFFSET(INDEXNAMEN,F$3,0),0)),""),"")</f>
        <v>TS 93 GSR RF EN 5-7</v>
      </c>
      <c r="G56" s="17" t="str">
        <f ca="1">IFERROR(IF(MAX('SORT IMPORT'!$A$13:$A$408)&gt;ROW()-ROW($A$5)-1,INDEX( PRODUKTE,  VLOOKUP(ROW()-ROW($A$5),zeilenindizes,2)+INDEX(prodRowOffset,G$3),  MATCH(G$2,OFFSET(INDEXNAMEN,G$3,0),0)),""),"")</f>
        <v>G</v>
      </c>
      <c r="H56" s="17" t="str">
        <f ca="1">IFERROR(IF(MAX('SORT IMPORT'!$A$13:$A$408)&gt;ROW()-ROW($A$5)-1,INDEX( PRODUKTE,  VLOOKUP(ROW()-ROW($A$5),zeilenindizes,2)+INDEX(prodRowOffset,H$3),  MATCH(H$2,OFFSET(INDEXNAMEN,H$3,0),0)),""),"")</f>
        <v>93 B</v>
      </c>
      <c r="I56" s="17" t="str">
        <f ca="1">IFERROR(IF(MAX('SORT IMPORT'!$A$13:$A$408)&gt;ROW()-ROW($A$5)-1,INDEX( PRODUKTE,  VLOOKUP(ROW()-ROW($A$5),zeilenindizes,2)+INDEX(prodRowOffset,I$3),  MATCH(I$2,OFFSET(INDEXNAMEN,I$3,0),0)),""),"")</f>
        <v>V</v>
      </c>
      <c r="J56" s="17" t="str">
        <f ca="1">IFERROR(IF(MAX('SORT IMPORT'!$A$13:$A$408)&gt;ROW()-ROW($A$5)-1,INDEX( PRODUKTE,  VLOOKUP(ROW()-ROW($A$5),zeilenindizes,2)+INDEX(prodRowOffset,J$3),  MATCH(J$2,OFFSET(INDEXNAMEN,J$3,0),0)),""),"")</f>
        <v/>
      </c>
      <c r="K56" s="17">
        <f ca="1">IFERROR(IF(MAX('SORT IMPORT'!$A$13:$A$408)&gt;ROW()-ROW($A$5)-1,INDEX( PRODUKTE,  VLOOKUP(ROW()-ROW($A$5),zeilenindizes,2)+INDEX(prodRowOffset,K$3),  MATCH(K$2,OFFSET(INDEXNAMEN,K$3,0),0)),""),"")</f>
        <v>1</v>
      </c>
      <c r="L56" s="17">
        <f ca="1">IFERROR(IF(MAX('SORT IMPORT'!$A$13:$A$408)&gt;ROW()-ROW($A$5)-1,INDEX( PRODUKTE,  VLOOKUP(ROW()-ROW($A$5),zeilenindizes,2)+INDEX(prodRowOffset,L$3),  MATCH(L$2,OFFSET(INDEXNAMEN,L$3,0),0)),""),"")</f>
        <v>32</v>
      </c>
      <c r="M56" s="17">
        <f ca="1">IFERROR(IF(MAX('SORT IMPORT'!$A$13:$A$408)&gt;ROW()-ROW($A$5)-1,INDEX( PRODUKTE,  VLOOKUP(ROW()-ROW($A$5),zeilenindizes,2)+INDEX(prodRowOffset,M$3),  MATCH(M$2,OFFSET(INDEXNAMEN,M$3,0),0)),""),"")</f>
        <v>112</v>
      </c>
      <c r="N56" s="17">
        <f ca="1">IFERROR(IF(MAX('SORT IMPORT'!$A$13:$A$408)&gt;ROW()-ROW($A$5)-1,INDEX( PRODUKTE,  VLOOKUP(ROW()-ROW($A$5),zeilenindizes,2)+INDEX(prodRowOffset,N$3),  MATCH(N$2,OFFSET(INDEXNAMEN,N$3,0),0)),""),"")</f>
        <v>2</v>
      </c>
      <c r="O56" s="17">
        <f ca="1">IFERROR(IF(MAX('SORT IMPORT'!$A$13:$A$408)&gt;ROW()-ROW($A$5)-1,INDEX( PRODUKTE,  VLOOKUP(ROW()-ROW($A$5),zeilenindizes,2)+INDEX(prodRowOffset,O$3),  MATCH(O$2,OFFSET(INDEXNAMEN,O$3,0),0)),""),"")</f>
        <v>0</v>
      </c>
      <c r="P56" s="17">
        <f ca="1">IFERROR(IF(MAX('SORT IMPORT'!$A$13:$A$408)&gt;ROW()-ROW($A$5)-1,INDEX( PRODUKTE,  VLOOKUP(ROW()-ROW($A$5),zeilenindizes,2)+INDEX(prodRowOffset,P$3),  MATCH(P$2,OFFSET(INDEXNAMEN,P$3,0),0)),""),"")</f>
        <v>0</v>
      </c>
      <c r="Q56" s="17">
        <f ca="1">IFERROR(IF(MAX('SORT IMPORT'!$A$13:$A$408)&gt;ROW()-ROW($A$5)-1,INDEX( PRODUKTE,  VLOOKUP(ROW()-ROW($A$5),zeilenindizes,2)+INDEX(prodRowOffset,Q$3),  MATCH(Q$2,OFFSET(INDEXNAMEN,Q$3,0),0)),""),"")</f>
        <v>1</v>
      </c>
      <c r="R56" s="17">
        <f ca="1">IFERROR(IF(MAX('SORT IMPORT'!$A$13:$A$408)&gt;ROW()-ROW($A$5)-1,INDEX( PRODUKTE,  VLOOKUP(ROW()-ROW($A$5),zeilenindizes,2)+INDEX(prodRowOffset,R$3),  MATCH(R$2,OFFSET(INDEXNAMEN,R$3,0),0)),""),"")</f>
        <v>0</v>
      </c>
      <c r="S56" s="17">
        <f ca="1">IFERROR(IF(MAX('SORT IMPORT'!$A$13:$A$408)&gt;ROW()-ROW($A$5)-1,INDEX( PRODUKTE,  VLOOKUP(ROW()-ROW($A$5),zeilenindizes,2)+INDEX(prodRowOffset,S$3),  MATCH(S$2,OFFSET(INDEXNAMEN,S$3,0),0)),""),"")</f>
        <v>1</v>
      </c>
      <c r="T56" s="17">
        <f ca="1">IFERROR(IF(MAX('SORT IMPORT'!$A$13:$A$408)&gt;ROW()-ROW($A$5)-1,INDEX( PRODUKTE,  VLOOKUP(ROW()-ROW($A$5),zeilenindizes,2)+INDEX(prodRowOffset,T$3),  MATCH(T$2,OFFSET(INDEXNAMEN,T$3,0),0)),""),"")</f>
        <v>1</v>
      </c>
      <c r="U56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80</v>
      </c>
      <c r="V56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56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56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56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56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56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56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56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56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56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84</v>
      </c>
      <c r="AF56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13</v>
      </c>
      <c r="AG56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56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56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56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56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56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56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56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56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56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34</v>
      </c>
      <c r="AQ56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56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17</v>
      </c>
      <c r="AS56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56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56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56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51</v>
      </c>
      <c r="AW56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56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56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57" spans="6:54" ht="22.5" customHeight="1" x14ac:dyDescent="0.3">
      <c r="F57" s="17" t="str">
        <f ca="1">IFERROR(IF(MAX('SORT IMPORT'!$A$13:$A$408)&gt;ROW()-ROW($A$5)-1,INDEX( PRODUKTE,  VLOOKUP(ROW()-ROW($A$5),zeilenindizes,2)+INDEX(prodRowOffset,F$3),  MATCH(F$2,OFFSET(INDEXNAMEN,F$3,0),0)),""),"")</f>
        <v>TS 93 GSR-EMF 1 EN 5-7</v>
      </c>
      <c r="G57" s="17" t="str">
        <f ca="1">IFERROR(IF(MAX('SORT IMPORT'!$A$13:$A$408)&gt;ROW()-ROW($A$5)-1,INDEX( PRODUKTE,  VLOOKUP(ROW()-ROW($A$5),zeilenindizes,2)+INDEX(prodRowOffset,G$3),  MATCH(G$2,OFFSET(INDEXNAMEN,G$3,0),0)),""),"")</f>
        <v>G</v>
      </c>
      <c r="H57" s="17" t="str">
        <f ca="1">IFERROR(IF(MAX('SORT IMPORT'!$A$13:$A$408)&gt;ROW()-ROW($A$5)-1,INDEX( PRODUKTE,  VLOOKUP(ROW()-ROW($A$5),zeilenindizes,2)+INDEX(prodRowOffset,H$3),  MATCH(H$2,OFFSET(INDEXNAMEN,H$3,0),0)),""),"")</f>
        <v>93 B</v>
      </c>
      <c r="I57" s="17" t="str">
        <f ca="1">IFERROR(IF(MAX('SORT IMPORT'!$A$13:$A$408)&gt;ROW()-ROW($A$5)-1,INDEX( PRODUKTE,  VLOOKUP(ROW()-ROW($A$5),zeilenindizes,2)+INDEX(prodRowOffset,I$3),  MATCH(I$2,OFFSET(INDEXNAMEN,I$3,0),0)),""),"")</f>
        <v>V</v>
      </c>
      <c r="J57" s="17" t="str">
        <f ca="1">IFERROR(IF(MAX('SORT IMPORT'!$A$13:$A$408)&gt;ROW()-ROW($A$5)-1,INDEX( PRODUKTE,  VLOOKUP(ROW()-ROW($A$5),zeilenindizes,2)+INDEX(prodRowOffset,J$3),  MATCH(J$2,OFFSET(INDEXNAMEN,J$3,0),0)),""),"")</f>
        <v>E</v>
      </c>
      <c r="K57" s="17">
        <f ca="1">IFERROR(IF(MAX('SORT IMPORT'!$A$13:$A$408)&gt;ROW()-ROW($A$5)-1,INDEX( PRODUKTE,  VLOOKUP(ROW()-ROW($A$5),zeilenindizes,2)+INDEX(prodRowOffset,K$3),  MATCH(K$2,OFFSET(INDEXNAMEN,K$3,0),0)),""),"")</f>
        <v>1</v>
      </c>
      <c r="L57" s="17">
        <f ca="1">IFERROR(IF(MAX('SORT IMPORT'!$A$13:$A$408)&gt;ROW()-ROW($A$5)-1,INDEX( PRODUKTE,  VLOOKUP(ROW()-ROW($A$5),zeilenindizes,2)+INDEX(prodRowOffset,L$3),  MATCH(L$2,OFFSET(INDEXNAMEN,L$3,0),0)),""),"")</f>
        <v>64</v>
      </c>
      <c r="M57" s="17">
        <f ca="1">IFERROR(IF(MAX('SORT IMPORT'!$A$13:$A$408)&gt;ROW()-ROW($A$5)-1,INDEX( PRODUKTE,  VLOOKUP(ROW()-ROW($A$5),zeilenindizes,2)+INDEX(prodRowOffset,M$3),  MATCH(M$2,OFFSET(INDEXNAMEN,M$3,0),0)),""),"")</f>
        <v>112</v>
      </c>
      <c r="N57" s="17">
        <f ca="1">IFERROR(IF(MAX('SORT IMPORT'!$A$13:$A$408)&gt;ROW()-ROW($A$5)-1,INDEX( PRODUKTE,  VLOOKUP(ROW()-ROW($A$5),zeilenindizes,2)+INDEX(prodRowOffset,N$3),  MATCH(N$2,OFFSET(INDEXNAMEN,N$3,0),0)),""),"")</f>
        <v>2</v>
      </c>
      <c r="O57" s="17">
        <f ca="1">IFERROR(IF(MAX('SORT IMPORT'!$A$13:$A$408)&gt;ROW()-ROW($A$5)-1,INDEX( PRODUKTE,  VLOOKUP(ROW()-ROW($A$5),zeilenindizes,2)+INDEX(prodRowOffset,O$3),  MATCH(O$2,OFFSET(INDEXNAMEN,O$3,0),0)),""),"")</f>
        <v>2</v>
      </c>
      <c r="P57" s="17">
        <f ca="1">IFERROR(IF(MAX('SORT IMPORT'!$A$13:$A$408)&gt;ROW()-ROW($A$5)-1,INDEX( PRODUKTE,  VLOOKUP(ROW()-ROW($A$5),zeilenindizes,2)+INDEX(prodRowOffset,P$3),  MATCH(P$2,OFFSET(INDEXNAMEN,P$3,0),0)),""),"")</f>
        <v>0</v>
      </c>
      <c r="Q57" s="17">
        <f ca="1">IFERROR(IF(MAX('SORT IMPORT'!$A$13:$A$408)&gt;ROW()-ROW($A$5)-1,INDEX( PRODUKTE,  VLOOKUP(ROW()-ROW($A$5),zeilenindizes,2)+INDEX(prodRowOffset,Q$3),  MATCH(Q$2,OFFSET(INDEXNAMEN,Q$3,0),0)),""),"")</f>
        <v>1</v>
      </c>
      <c r="R57" s="17">
        <f ca="1">IFERROR(IF(MAX('SORT IMPORT'!$A$13:$A$408)&gt;ROW()-ROW($A$5)-1,INDEX( PRODUKTE,  VLOOKUP(ROW()-ROW($A$5),zeilenindizes,2)+INDEX(prodRowOffset,R$3),  MATCH(R$2,OFFSET(INDEXNAMEN,R$3,0),0)),""),"")</f>
        <v>0</v>
      </c>
      <c r="S57" s="17">
        <f ca="1">IFERROR(IF(MAX('SORT IMPORT'!$A$13:$A$408)&gt;ROW()-ROW($A$5)-1,INDEX( PRODUKTE,  VLOOKUP(ROW()-ROW($A$5),zeilenindizes,2)+INDEX(prodRowOffset,S$3),  MATCH(S$2,OFFSET(INDEXNAMEN,S$3,0),0)),""),"")</f>
        <v>1</v>
      </c>
      <c r="T57" s="17">
        <f ca="1">IFERROR(IF(MAX('SORT IMPORT'!$A$13:$A$408)&gt;ROW()-ROW($A$5)-1,INDEX( PRODUKTE,  VLOOKUP(ROW()-ROW($A$5),zeilenindizes,2)+INDEX(prodRowOffset,T$3),  MATCH(T$2,OFFSET(INDEXNAMEN,T$3,0),0)),""),"")</f>
        <v>1</v>
      </c>
      <c r="U57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80</v>
      </c>
      <c r="V57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57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57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57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57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57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57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57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57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57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84</v>
      </c>
      <c r="AF57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13</v>
      </c>
      <c r="AG57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57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57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57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57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57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57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57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57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57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57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57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57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57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57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57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57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57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57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58" spans="6:54" ht="22.5" customHeight="1" x14ac:dyDescent="0.3">
      <c r="F58" s="17" t="str">
        <f ca="1">IFERROR(IF(MAX('SORT IMPORT'!$A$13:$A$408)&gt;ROW()-ROW($A$5)-1,INDEX( PRODUKTE,  VLOOKUP(ROW()-ROW($A$5),zeilenindizes,2)+INDEX(prodRowOffset,F$3),  MATCH(F$2,OFFSET(INDEXNAMEN,F$3,0),0)),""),"")</f>
        <v>TS 93 GSR-EMF 1G EN 5-7</v>
      </c>
      <c r="G58" s="17" t="str">
        <f ca="1">IFERROR(IF(MAX('SORT IMPORT'!$A$13:$A$408)&gt;ROW()-ROW($A$5)-1,INDEX( PRODUKTE,  VLOOKUP(ROW()-ROW($A$5),zeilenindizes,2)+INDEX(prodRowOffset,G$3),  MATCH(G$2,OFFSET(INDEXNAMEN,G$3,0),0)),""),"")</f>
        <v>G</v>
      </c>
      <c r="H58" s="17" t="str">
        <f ca="1">IFERROR(IF(MAX('SORT IMPORT'!$A$13:$A$408)&gt;ROW()-ROW($A$5)-1,INDEX( PRODUKTE,  VLOOKUP(ROW()-ROW($A$5),zeilenindizes,2)+INDEX(prodRowOffset,H$3),  MATCH(H$2,OFFSET(INDEXNAMEN,H$3,0),0)),""),"")</f>
        <v>93 B</v>
      </c>
      <c r="I58" s="17" t="str">
        <f ca="1">IFERROR(IF(MAX('SORT IMPORT'!$A$13:$A$408)&gt;ROW()-ROW($A$5)-1,INDEX( PRODUKTE,  VLOOKUP(ROW()-ROW($A$5),zeilenindizes,2)+INDEX(prodRowOffset,I$3),  MATCH(I$2,OFFSET(INDEXNAMEN,I$3,0),0)),""),"")</f>
        <v>V</v>
      </c>
      <c r="J58" s="17" t="str">
        <f ca="1">IFERROR(IF(MAX('SORT IMPORT'!$A$13:$A$408)&gt;ROW()-ROW($A$5)-1,INDEX( PRODUKTE,  VLOOKUP(ROW()-ROW($A$5),zeilenindizes,2)+INDEX(prodRowOffset,J$3),  MATCH(J$2,OFFSET(INDEXNAMEN,J$3,0),0)),""),"")</f>
        <v>E</v>
      </c>
      <c r="K58" s="17">
        <f ca="1">IFERROR(IF(MAX('SORT IMPORT'!$A$13:$A$408)&gt;ROW()-ROW($A$5)-1,INDEX( PRODUKTE,  VLOOKUP(ROW()-ROW($A$5),zeilenindizes,2)+INDEX(prodRowOffset,K$3),  MATCH(K$2,OFFSET(INDEXNAMEN,K$3,0),0)),""),"")</f>
        <v>1</v>
      </c>
      <c r="L58" s="17">
        <f ca="1">IFERROR(IF(MAX('SORT IMPORT'!$A$13:$A$408)&gt;ROW()-ROW($A$5)-1,INDEX( PRODUKTE,  VLOOKUP(ROW()-ROW($A$5),zeilenindizes,2)+INDEX(prodRowOffset,L$3),  MATCH(L$2,OFFSET(INDEXNAMEN,L$3,0),0)),""),"")</f>
        <v>128</v>
      </c>
      <c r="M58" s="17">
        <f ca="1">IFERROR(IF(MAX('SORT IMPORT'!$A$13:$A$408)&gt;ROW()-ROW($A$5)-1,INDEX( PRODUKTE,  VLOOKUP(ROW()-ROW($A$5),zeilenindizes,2)+INDEX(prodRowOffset,M$3),  MATCH(M$2,OFFSET(INDEXNAMEN,M$3,0),0)),""),"")</f>
        <v>112</v>
      </c>
      <c r="N58" s="17">
        <f ca="1">IFERROR(IF(MAX('SORT IMPORT'!$A$13:$A$408)&gt;ROW()-ROW($A$5)-1,INDEX( PRODUKTE,  VLOOKUP(ROW()-ROW($A$5),zeilenindizes,2)+INDEX(prodRowOffset,N$3),  MATCH(N$2,OFFSET(INDEXNAMEN,N$3,0),0)),""),"")</f>
        <v>2</v>
      </c>
      <c r="O58" s="17">
        <f ca="1">IFERROR(IF(MAX('SORT IMPORT'!$A$13:$A$408)&gt;ROW()-ROW($A$5)-1,INDEX( PRODUKTE,  VLOOKUP(ROW()-ROW($A$5),zeilenindizes,2)+INDEX(prodRowOffset,O$3),  MATCH(O$2,OFFSET(INDEXNAMEN,O$3,0),0)),""),"")</f>
        <v>2</v>
      </c>
      <c r="P58" s="17">
        <f ca="1">IFERROR(IF(MAX('SORT IMPORT'!$A$13:$A$408)&gt;ROW()-ROW($A$5)-1,INDEX( PRODUKTE,  VLOOKUP(ROW()-ROW($A$5),zeilenindizes,2)+INDEX(prodRowOffset,P$3),  MATCH(P$2,OFFSET(INDEXNAMEN,P$3,0),0)),""),"")</f>
        <v>0</v>
      </c>
      <c r="Q58" s="17">
        <f ca="1">IFERROR(IF(MAX('SORT IMPORT'!$A$13:$A$408)&gt;ROW()-ROW($A$5)-1,INDEX( PRODUKTE,  VLOOKUP(ROW()-ROW($A$5),zeilenindizes,2)+INDEX(prodRowOffset,Q$3),  MATCH(Q$2,OFFSET(INDEXNAMEN,Q$3,0),0)),""),"")</f>
        <v>1</v>
      </c>
      <c r="R58" s="17">
        <f ca="1">IFERROR(IF(MAX('SORT IMPORT'!$A$13:$A$408)&gt;ROW()-ROW($A$5)-1,INDEX( PRODUKTE,  VLOOKUP(ROW()-ROW($A$5),zeilenindizes,2)+INDEX(prodRowOffset,R$3),  MATCH(R$2,OFFSET(INDEXNAMEN,R$3,0),0)),""),"")</f>
        <v>0</v>
      </c>
      <c r="S58" s="17">
        <f ca="1">IFERROR(IF(MAX('SORT IMPORT'!$A$13:$A$408)&gt;ROW()-ROW($A$5)-1,INDEX( PRODUKTE,  VLOOKUP(ROW()-ROW($A$5),zeilenindizes,2)+INDEX(prodRowOffset,S$3),  MATCH(S$2,OFFSET(INDEXNAMEN,S$3,0),0)),""),"")</f>
        <v>1</v>
      </c>
      <c r="T58" s="17">
        <f ca="1">IFERROR(IF(MAX('SORT IMPORT'!$A$13:$A$408)&gt;ROW()-ROW($A$5)-1,INDEX( PRODUKTE,  VLOOKUP(ROW()-ROW($A$5),zeilenindizes,2)+INDEX(prodRowOffset,T$3),  MATCH(T$2,OFFSET(INDEXNAMEN,T$3,0),0)),""),"")</f>
        <v>1</v>
      </c>
      <c r="U58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80</v>
      </c>
      <c r="V58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58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58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58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58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58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58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58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58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58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84</v>
      </c>
      <c r="AF58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13</v>
      </c>
      <c r="AG58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58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58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58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58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58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58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58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58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58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58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58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58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58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58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58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58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58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58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59" spans="6:54" ht="22.5" customHeight="1" x14ac:dyDescent="0.3">
      <c r="F59" s="17" t="str">
        <f ca="1">IFERROR(IF(MAX('SORT IMPORT'!$A$13:$A$408)&gt;ROW()-ROW($A$5)-1,INDEX( PRODUKTE,  VLOOKUP(ROW()-ROW($A$5),zeilenindizes,2)+INDEX(prodRowOffset,F$3),  MATCH(F$2,OFFSET(INDEXNAMEN,F$3,0),0)),""),"")</f>
        <v>TS 93 GSR-EMF 2 EN 5-7</v>
      </c>
      <c r="G59" s="17" t="str">
        <f ca="1">IFERROR(IF(MAX('SORT IMPORT'!$A$13:$A$408)&gt;ROW()-ROW($A$5)-1,INDEX( PRODUKTE,  VLOOKUP(ROW()-ROW($A$5),zeilenindizes,2)+INDEX(prodRowOffset,G$3),  MATCH(G$2,OFFSET(INDEXNAMEN,G$3,0),0)),""),"")</f>
        <v>G</v>
      </c>
      <c r="H59" s="17" t="str">
        <f ca="1">IFERROR(IF(MAX('SORT IMPORT'!$A$13:$A$408)&gt;ROW()-ROW($A$5)-1,INDEX( PRODUKTE,  VLOOKUP(ROW()-ROW($A$5),zeilenindizes,2)+INDEX(prodRowOffset,H$3),  MATCH(H$2,OFFSET(INDEXNAMEN,H$3,0),0)),""),"")</f>
        <v>93 B</v>
      </c>
      <c r="I59" s="17" t="str">
        <f ca="1">IFERROR(IF(MAX('SORT IMPORT'!$A$13:$A$408)&gt;ROW()-ROW($A$5)-1,INDEX( PRODUKTE,  VLOOKUP(ROW()-ROW($A$5),zeilenindizes,2)+INDEX(prodRowOffset,I$3),  MATCH(I$2,OFFSET(INDEXNAMEN,I$3,0),0)),""),"")</f>
        <v>V</v>
      </c>
      <c r="J59" s="17" t="str">
        <f ca="1">IFERROR(IF(MAX('SORT IMPORT'!$A$13:$A$408)&gt;ROW()-ROW($A$5)-1,INDEX( PRODUKTE,  VLOOKUP(ROW()-ROW($A$5),zeilenindizes,2)+INDEX(prodRowOffset,J$3),  MATCH(J$2,OFFSET(INDEXNAMEN,J$3,0),0)),""),"")</f>
        <v>E</v>
      </c>
      <c r="K59" s="17">
        <f ca="1">IFERROR(IF(MAX('SORT IMPORT'!$A$13:$A$408)&gt;ROW()-ROW($A$5)-1,INDEX( PRODUKTE,  VLOOKUP(ROW()-ROW($A$5),zeilenindizes,2)+INDEX(prodRowOffset,K$3),  MATCH(K$2,OFFSET(INDEXNAMEN,K$3,0),0)),""),"")</f>
        <v>1</v>
      </c>
      <c r="L59" s="17">
        <f ca="1">IFERROR(IF(MAX('SORT IMPORT'!$A$13:$A$408)&gt;ROW()-ROW($A$5)-1,INDEX( PRODUKTE,  VLOOKUP(ROW()-ROW($A$5),zeilenindizes,2)+INDEX(prodRowOffset,L$3),  MATCH(L$2,OFFSET(INDEXNAMEN,L$3,0),0)),""),"")</f>
        <v>256</v>
      </c>
      <c r="M59" s="17">
        <f ca="1">IFERROR(IF(MAX('SORT IMPORT'!$A$13:$A$408)&gt;ROW()-ROW($A$5)-1,INDEX( PRODUKTE,  VLOOKUP(ROW()-ROW($A$5),zeilenindizes,2)+INDEX(prodRowOffset,M$3),  MATCH(M$2,OFFSET(INDEXNAMEN,M$3,0),0)),""),"")</f>
        <v>112</v>
      </c>
      <c r="N59" s="17">
        <f ca="1">IFERROR(IF(MAX('SORT IMPORT'!$A$13:$A$408)&gt;ROW()-ROW($A$5)-1,INDEX( PRODUKTE,  VLOOKUP(ROW()-ROW($A$5),zeilenindizes,2)+INDEX(prodRowOffset,N$3),  MATCH(N$2,OFFSET(INDEXNAMEN,N$3,0),0)),""),"")</f>
        <v>2</v>
      </c>
      <c r="O59" s="17">
        <f ca="1">IFERROR(IF(MAX('SORT IMPORT'!$A$13:$A$408)&gt;ROW()-ROW($A$5)-1,INDEX( PRODUKTE,  VLOOKUP(ROW()-ROW($A$5),zeilenindizes,2)+INDEX(prodRowOffset,O$3),  MATCH(O$2,OFFSET(INDEXNAMEN,O$3,0),0)),""),"")</f>
        <v>2</v>
      </c>
      <c r="P59" s="17">
        <f ca="1">IFERROR(IF(MAX('SORT IMPORT'!$A$13:$A$408)&gt;ROW()-ROW($A$5)-1,INDEX( PRODUKTE,  VLOOKUP(ROW()-ROW($A$5),zeilenindizes,2)+INDEX(prodRowOffset,P$3),  MATCH(P$2,OFFSET(INDEXNAMEN,P$3,0),0)),""),"")</f>
        <v>0</v>
      </c>
      <c r="Q59" s="17">
        <f ca="1">IFERROR(IF(MAX('SORT IMPORT'!$A$13:$A$408)&gt;ROW()-ROW($A$5)-1,INDEX( PRODUKTE,  VLOOKUP(ROW()-ROW($A$5),zeilenindizes,2)+INDEX(prodRowOffset,Q$3),  MATCH(Q$2,OFFSET(INDEXNAMEN,Q$3,0),0)),""),"")</f>
        <v>1</v>
      </c>
      <c r="R59" s="17">
        <f ca="1">IFERROR(IF(MAX('SORT IMPORT'!$A$13:$A$408)&gt;ROW()-ROW($A$5)-1,INDEX( PRODUKTE,  VLOOKUP(ROW()-ROW($A$5),zeilenindizes,2)+INDEX(prodRowOffset,R$3),  MATCH(R$2,OFFSET(INDEXNAMEN,R$3,0),0)),""),"")</f>
        <v>0</v>
      </c>
      <c r="S59" s="17">
        <f ca="1">IFERROR(IF(MAX('SORT IMPORT'!$A$13:$A$408)&gt;ROW()-ROW($A$5)-1,INDEX( PRODUKTE,  VLOOKUP(ROW()-ROW($A$5),zeilenindizes,2)+INDEX(prodRowOffset,S$3),  MATCH(S$2,OFFSET(INDEXNAMEN,S$3,0),0)),""),"")</f>
        <v>1</v>
      </c>
      <c r="T59" s="17">
        <f ca="1">IFERROR(IF(MAX('SORT IMPORT'!$A$13:$A$408)&gt;ROW()-ROW($A$5)-1,INDEX( PRODUKTE,  VLOOKUP(ROW()-ROW($A$5),zeilenindizes,2)+INDEX(prodRowOffset,T$3),  MATCH(T$2,OFFSET(INDEXNAMEN,T$3,0),0)),""),"")</f>
        <v>1</v>
      </c>
      <c r="U59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80</v>
      </c>
      <c r="V59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59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59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59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59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59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59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59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59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59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84</v>
      </c>
      <c r="AF59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13</v>
      </c>
      <c r="AG59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59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59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59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59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59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59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59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59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59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59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59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59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59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59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59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59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59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59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60" spans="6:54" ht="22.5" customHeight="1" x14ac:dyDescent="0.3">
      <c r="F60" s="17" t="str">
        <f ca="1">IFERROR(IF(MAX('SORT IMPORT'!$A$13:$A$408)&gt;ROW()-ROW($A$5)-1,INDEX( PRODUKTE,  VLOOKUP(ROW()-ROW($A$5),zeilenindizes,2)+INDEX(prodRowOffset,F$3),  MATCH(F$2,OFFSET(INDEXNAMEN,F$3,0),0)),""),"")</f>
        <v>TS 93 GSR-EMR 1 EN 5-7</v>
      </c>
      <c r="G60" s="17" t="str">
        <f ca="1">IFERROR(IF(MAX('SORT IMPORT'!$A$13:$A$408)&gt;ROW()-ROW($A$5)-1,INDEX( PRODUKTE,  VLOOKUP(ROW()-ROW($A$5),zeilenindizes,2)+INDEX(prodRowOffset,G$3),  MATCH(G$2,OFFSET(INDEXNAMEN,G$3,0),0)),""),"")</f>
        <v>G</v>
      </c>
      <c r="H60" s="17" t="str">
        <f ca="1">IFERROR(IF(MAX('SORT IMPORT'!$A$13:$A$408)&gt;ROW()-ROW($A$5)-1,INDEX( PRODUKTE,  VLOOKUP(ROW()-ROW($A$5),zeilenindizes,2)+INDEX(prodRowOffset,H$3),  MATCH(H$2,OFFSET(INDEXNAMEN,H$3,0),0)),""),"")</f>
        <v>93 B</v>
      </c>
      <c r="I60" s="17" t="str">
        <f ca="1">IFERROR(IF(MAX('SORT IMPORT'!$A$13:$A$408)&gt;ROW()-ROW($A$5)-1,INDEX( PRODUKTE,  VLOOKUP(ROW()-ROW($A$5),zeilenindizes,2)+INDEX(prodRowOffset,I$3),  MATCH(I$2,OFFSET(INDEXNAMEN,I$3,0),0)),""),"")</f>
        <v>V</v>
      </c>
      <c r="J60" s="17" t="str">
        <f ca="1">IFERROR(IF(MAX('SORT IMPORT'!$A$13:$A$408)&gt;ROW()-ROW($A$5)-1,INDEX( PRODUKTE,  VLOOKUP(ROW()-ROW($A$5),zeilenindizes,2)+INDEX(prodRowOffset,J$3),  MATCH(J$2,OFFSET(INDEXNAMEN,J$3,0),0)),""),"")</f>
        <v>R</v>
      </c>
      <c r="K60" s="17">
        <f ca="1">IFERROR(IF(MAX('SORT IMPORT'!$A$13:$A$408)&gt;ROW()-ROW($A$5)-1,INDEX( PRODUKTE,  VLOOKUP(ROW()-ROW($A$5),zeilenindizes,2)+INDEX(prodRowOffset,K$3),  MATCH(K$2,OFFSET(INDEXNAMEN,K$3,0),0)),""),"")</f>
        <v>1</v>
      </c>
      <c r="L60" s="17">
        <f ca="1">IFERROR(IF(MAX('SORT IMPORT'!$A$13:$A$408)&gt;ROW()-ROW($A$5)-1,INDEX( PRODUKTE,  VLOOKUP(ROW()-ROW($A$5),zeilenindizes,2)+INDEX(prodRowOffset,L$3),  MATCH(L$2,OFFSET(INDEXNAMEN,L$3,0),0)),""),"")</f>
        <v>512</v>
      </c>
      <c r="M60" s="17">
        <f ca="1">IFERROR(IF(MAX('SORT IMPORT'!$A$13:$A$408)&gt;ROW()-ROW($A$5)-1,INDEX( PRODUKTE,  VLOOKUP(ROW()-ROW($A$5),zeilenindizes,2)+INDEX(prodRowOffset,M$3),  MATCH(M$2,OFFSET(INDEXNAMEN,M$3,0),0)),""),"")</f>
        <v>112</v>
      </c>
      <c r="N60" s="17">
        <f ca="1">IFERROR(IF(MAX('SORT IMPORT'!$A$13:$A$408)&gt;ROW()-ROW($A$5)-1,INDEX( PRODUKTE,  VLOOKUP(ROW()-ROW($A$5),zeilenindizes,2)+INDEX(prodRowOffset,N$3),  MATCH(N$2,OFFSET(INDEXNAMEN,N$3,0),0)),""),"")</f>
        <v>2</v>
      </c>
      <c r="O60" s="17">
        <f ca="1">IFERROR(IF(MAX('SORT IMPORT'!$A$13:$A$408)&gt;ROW()-ROW($A$5)-1,INDEX( PRODUKTE,  VLOOKUP(ROW()-ROW($A$5),zeilenindizes,2)+INDEX(prodRowOffset,O$3),  MATCH(O$2,OFFSET(INDEXNAMEN,O$3,0),0)),""),"")</f>
        <v>1</v>
      </c>
      <c r="P60" s="17">
        <f ca="1">IFERROR(IF(MAX('SORT IMPORT'!$A$13:$A$408)&gt;ROW()-ROW($A$5)-1,INDEX( PRODUKTE,  VLOOKUP(ROW()-ROW($A$5),zeilenindizes,2)+INDEX(prodRowOffset,P$3),  MATCH(P$2,OFFSET(INDEXNAMEN,P$3,0),0)),""),"")</f>
        <v>0</v>
      </c>
      <c r="Q60" s="17">
        <f ca="1">IFERROR(IF(MAX('SORT IMPORT'!$A$13:$A$408)&gt;ROW()-ROW($A$5)-1,INDEX( PRODUKTE,  VLOOKUP(ROW()-ROW($A$5),zeilenindizes,2)+INDEX(prodRowOffset,Q$3),  MATCH(Q$2,OFFSET(INDEXNAMEN,Q$3,0),0)),""),"")</f>
        <v>1</v>
      </c>
      <c r="R60" s="17">
        <f ca="1">IFERROR(IF(MAX('SORT IMPORT'!$A$13:$A$408)&gt;ROW()-ROW($A$5)-1,INDEX( PRODUKTE,  VLOOKUP(ROW()-ROW($A$5),zeilenindizes,2)+INDEX(prodRowOffset,R$3),  MATCH(R$2,OFFSET(INDEXNAMEN,R$3,0),0)),""),"")</f>
        <v>0</v>
      </c>
      <c r="S60" s="17">
        <f ca="1">IFERROR(IF(MAX('SORT IMPORT'!$A$13:$A$408)&gt;ROW()-ROW($A$5)-1,INDEX( PRODUKTE,  VLOOKUP(ROW()-ROW($A$5),zeilenindizes,2)+INDEX(prodRowOffset,S$3),  MATCH(S$2,OFFSET(INDEXNAMEN,S$3,0),0)),""),"")</f>
        <v>1</v>
      </c>
      <c r="T60" s="17">
        <f ca="1">IFERROR(IF(MAX('SORT IMPORT'!$A$13:$A$408)&gt;ROW()-ROW($A$5)-1,INDEX( PRODUKTE,  VLOOKUP(ROW()-ROW($A$5),zeilenindizes,2)+INDEX(prodRowOffset,T$3),  MATCH(T$2,OFFSET(INDEXNAMEN,T$3,0),0)),""),"")</f>
        <v>1</v>
      </c>
      <c r="U60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80</v>
      </c>
      <c r="V60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60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60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60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60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60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60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60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60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60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84</v>
      </c>
      <c r="AF60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13</v>
      </c>
      <c r="AG60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60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60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60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60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60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60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60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60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60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60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60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60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60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60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60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60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60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60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61" spans="6:54" ht="22.5" customHeight="1" x14ac:dyDescent="0.3">
      <c r="F61" s="17" t="str">
        <f ca="1">IFERROR(IF(MAX('SORT IMPORT'!$A$13:$A$408)&gt;ROW()-ROW($A$5)-1,INDEX( PRODUKTE,  VLOOKUP(ROW()-ROW($A$5),zeilenindizes,2)+INDEX(prodRowOffset,F$3),  MATCH(F$2,OFFSET(INDEXNAMEN,F$3,0),0)),""),"")</f>
        <v>TS 93 GSR-EMR 1G EN 5-7</v>
      </c>
      <c r="G61" s="17" t="str">
        <f ca="1">IFERROR(IF(MAX('SORT IMPORT'!$A$13:$A$408)&gt;ROW()-ROW($A$5)-1,INDEX( PRODUKTE,  VLOOKUP(ROW()-ROW($A$5),zeilenindizes,2)+INDEX(prodRowOffset,G$3),  MATCH(G$2,OFFSET(INDEXNAMEN,G$3,0),0)),""),"")</f>
        <v>G</v>
      </c>
      <c r="H61" s="17" t="str">
        <f ca="1">IFERROR(IF(MAX('SORT IMPORT'!$A$13:$A$408)&gt;ROW()-ROW($A$5)-1,INDEX( PRODUKTE,  VLOOKUP(ROW()-ROW($A$5),zeilenindizes,2)+INDEX(prodRowOffset,H$3),  MATCH(H$2,OFFSET(INDEXNAMEN,H$3,0),0)),""),"")</f>
        <v>93 B</v>
      </c>
      <c r="I61" s="17" t="str">
        <f ca="1">IFERROR(IF(MAX('SORT IMPORT'!$A$13:$A$408)&gt;ROW()-ROW($A$5)-1,INDEX( PRODUKTE,  VLOOKUP(ROW()-ROW($A$5),zeilenindizes,2)+INDEX(prodRowOffset,I$3),  MATCH(I$2,OFFSET(INDEXNAMEN,I$3,0),0)),""),"")</f>
        <v>V</v>
      </c>
      <c r="J61" s="17" t="str">
        <f ca="1">IFERROR(IF(MAX('SORT IMPORT'!$A$13:$A$408)&gt;ROW()-ROW($A$5)-1,INDEX( PRODUKTE,  VLOOKUP(ROW()-ROW($A$5),zeilenindizes,2)+INDEX(prodRowOffset,J$3),  MATCH(J$2,OFFSET(INDEXNAMEN,J$3,0),0)),""),"")</f>
        <v>R</v>
      </c>
      <c r="K61" s="17">
        <f ca="1">IFERROR(IF(MAX('SORT IMPORT'!$A$13:$A$408)&gt;ROW()-ROW($A$5)-1,INDEX( PRODUKTE,  VLOOKUP(ROW()-ROW($A$5),zeilenindizes,2)+INDEX(prodRowOffset,K$3),  MATCH(K$2,OFFSET(INDEXNAMEN,K$3,0),0)),""),"")</f>
        <v>1</v>
      </c>
      <c r="L61" s="17">
        <f ca="1">IFERROR(IF(MAX('SORT IMPORT'!$A$13:$A$408)&gt;ROW()-ROW($A$5)-1,INDEX( PRODUKTE,  VLOOKUP(ROW()-ROW($A$5),zeilenindizes,2)+INDEX(prodRowOffset,L$3),  MATCH(L$2,OFFSET(INDEXNAMEN,L$3,0),0)),""),"")</f>
        <v>1024</v>
      </c>
      <c r="M61" s="17">
        <f ca="1">IFERROR(IF(MAX('SORT IMPORT'!$A$13:$A$408)&gt;ROW()-ROW($A$5)-1,INDEX( PRODUKTE,  VLOOKUP(ROW()-ROW($A$5),zeilenindizes,2)+INDEX(prodRowOffset,M$3),  MATCH(M$2,OFFSET(INDEXNAMEN,M$3,0),0)),""),"")</f>
        <v>112</v>
      </c>
      <c r="N61" s="17">
        <f ca="1">IFERROR(IF(MAX('SORT IMPORT'!$A$13:$A$408)&gt;ROW()-ROW($A$5)-1,INDEX( PRODUKTE,  VLOOKUP(ROW()-ROW($A$5),zeilenindizes,2)+INDEX(prodRowOffset,N$3),  MATCH(N$2,OFFSET(INDEXNAMEN,N$3,0),0)),""),"")</f>
        <v>2</v>
      </c>
      <c r="O61" s="17">
        <f ca="1">IFERROR(IF(MAX('SORT IMPORT'!$A$13:$A$408)&gt;ROW()-ROW($A$5)-1,INDEX( PRODUKTE,  VLOOKUP(ROW()-ROW($A$5),zeilenindizes,2)+INDEX(prodRowOffset,O$3),  MATCH(O$2,OFFSET(INDEXNAMEN,O$3,0),0)),""),"")</f>
        <v>1</v>
      </c>
      <c r="P61" s="17">
        <f ca="1">IFERROR(IF(MAX('SORT IMPORT'!$A$13:$A$408)&gt;ROW()-ROW($A$5)-1,INDEX( PRODUKTE,  VLOOKUP(ROW()-ROW($A$5),zeilenindizes,2)+INDEX(prodRowOffset,P$3),  MATCH(P$2,OFFSET(INDEXNAMEN,P$3,0),0)),""),"")</f>
        <v>0</v>
      </c>
      <c r="Q61" s="17">
        <f ca="1">IFERROR(IF(MAX('SORT IMPORT'!$A$13:$A$408)&gt;ROW()-ROW($A$5)-1,INDEX( PRODUKTE,  VLOOKUP(ROW()-ROW($A$5),zeilenindizes,2)+INDEX(prodRowOffset,Q$3),  MATCH(Q$2,OFFSET(INDEXNAMEN,Q$3,0),0)),""),"")</f>
        <v>1</v>
      </c>
      <c r="R61" s="17">
        <f ca="1">IFERROR(IF(MAX('SORT IMPORT'!$A$13:$A$408)&gt;ROW()-ROW($A$5)-1,INDEX( PRODUKTE,  VLOOKUP(ROW()-ROW($A$5),zeilenindizes,2)+INDEX(prodRowOffset,R$3),  MATCH(R$2,OFFSET(INDEXNAMEN,R$3,0),0)),""),"")</f>
        <v>0</v>
      </c>
      <c r="S61" s="17">
        <f ca="1">IFERROR(IF(MAX('SORT IMPORT'!$A$13:$A$408)&gt;ROW()-ROW($A$5)-1,INDEX( PRODUKTE,  VLOOKUP(ROW()-ROW($A$5),zeilenindizes,2)+INDEX(prodRowOffset,S$3),  MATCH(S$2,OFFSET(INDEXNAMEN,S$3,0),0)),""),"")</f>
        <v>1</v>
      </c>
      <c r="T61" s="17">
        <f ca="1">IFERROR(IF(MAX('SORT IMPORT'!$A$13:$A$408)&gt;ROW()-ROW($A$5)-1,INDEX( PRODUKTE,  VLOOKUP(ROW()-ROW($A$5),zeilenindizes,2)+INDEX(prodRowOffset,T$3),  MATCH(T$2,OFFSET(INDEXNAMEN,T$3,0),0)),""),"")</f>
        <v>1</v>
      </c>
      <c r="U61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80</v>
      </c>
      <c r="V61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61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61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61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61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61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61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61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61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61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84</v>
      </c>
      <c r="AF61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13</v>
      </c>
      <c r="AG61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61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61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61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61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61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61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61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61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61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61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61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61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61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61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61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61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61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61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62" spans="6:54" ht="22.5" customHeight="1" x14ac:dyDescent="0.3">
      <c r="F62" s="17" t="str">
        <f ca="1">IFERROR(IF(MAX('SORT IMPORT'!$A$13:$A$408)&gt;ROW()-ROW($A$5)-1,INDEX( PRODUKTE,  VLOOKUP(ROW()-ROW($A$5),zeilenindizes,2)+INDEX(prodRowOffset,F$3),  MATCH(F$2,OFFSET(INDEXNAMEN,F$3,0),0)),""),"")</f>
        <v>TS 93 GSR-EMR 2 EN 5-7</v>
      </c>
      <c r="G62" s="17" t="str">
        <f ca="1">IFERROR(IF(MAX('SORT IMPORT'!$A$13:$A$408)&gt;ROW()-ROW($A$5)-1,INDEX( PRODUKTE,  VLOOKUP(ROW()-ROW($A$5),zeilenindizes,2)+INDEX(prodRowOffset,G$3),  MATCH(G$2,OFFSET(INDEXNAMEN,G$3,0),0)),""),"")</f>
        <v>G</v>
      </c>
      <c r="H62" s="17" t="str">
        <f ca="1">IFERROR(IF(MAX('SORT IMPORT'!$A$13:$A$408)&gt;ROW()-ROW($A$5)-1,INDEX( PRODUKTE,  VLOOKUP(ROW()-ROW($A$5),zeilenindizes,2)+INDEX(prodRowOffset,H$3),  MATCH(H$2,OFFSET(INDEXNAMEN,H$3,0),0)),""),"")</f>
        <v>93 B</v>
      </c>
      <c r="I62" s="17" t="str">
        <f ca="1">IFERROR(IF(MAX('SORT IMPORT'!$A$13:$A$408)&gt;ROW()-ROW($A$5)-1,INDEX( PRODUKTE,  VLOOKUP(ROW()-ROW($A$5),zeilenindizes,2)+INDEX(prodRowOffset,I$3),  MATCH(I$2,OFFSET(INDEXNAMEN,I$3,0),0)),""),"")</f>
        <v>V</v>
      </c>
      <c r="J62" s="17" t="str">
        <f ca="1">IFERROR(IF(MAX('SORT IMPORT'!$A$13:$A$408)&gt;ROW()-ROW($A$5)-1,INDEX( PRODUKTE,  VLOOKUP(ROW()-ROW($A$5),zeilenindizes,2)+INDEX(prodRowOffset,J$3),  MATCH(J$2,OFFSET(INDEXNAMEN,J$3,0),0)),""),"")</f>
        <v>R</v>
      </c>
      <c r="K62" s="17">
        <f ca="1">IFERROR(IF(MAX('SORT IMPORT'!$A$13:$A$408)&gt;ROW()-ROW($A$5)-1,INDEX( PRODUKTE,  VLOOKUP(ROW()-ROW($A$5),zeilenindizes,2)+INDEX(prodRowOffset,K$3),  MATCH(K$2,OFFSET(INDEXNAMEN,K$3,0),0)),""),"")</f>
        <v>1</v>
      </c>
      <c r="L62" s="17">
        <f ca="1">IFERROR(IF(MAX('SORT IMPORT'!$A$13:$A$408)&gt;ROW()-ROW($A$5)-1,INDEX( PRODUKTE,  VLOOKUP(ROW()-ROW($A$5),zeilenindizes,2)+INDEX(prodRowOffset,L$3),  MATCH(L$2,OFFSET(INDEXNAMEN,L$3,0),0)),""),"")</f>
        <v>2048</v>
      </c>
      <c r="M62" s="17">
        <f ca="1">IFERROR(IF(MAX('SORT IMPORT'!$A$13:$A$408)&gt;ROW()-ROW($A$5)-1,INDEX( PRODUKTE,  VLOOKUP(ROW()-ROW($A$5),zeilenindizes,2)+INDEX(prodRowOffset,M$3),  MATCH(M$2,OFFSET(INDEXNAMEN,M$3,0),0)),""),"")</f>
        <v>112</v>
      </c>
      <c r="N62" s="17">
        <f ca="1">IFERROR(IF(MAX('SORT IMPORT'!$A$13:$A$408)&gt;ROW()-ROW($A$5)-1,INDEX( PRODUKTE,  VLOOKUP(ROW()-ROW($A$5),zeilenindizes,2)+INDEX(prodRowOffset,N$3),  MATCH(N$2,OFFSET(INDEXNAMEN,N$3,0),0)),""),"")</f>
        <v>2</v>
      </c>
      <c r="O62" s="17">
        <f ca="1">IFERROR(IF(MAX('SORT IMPORT'!$A$13:$A$408)&gt;ROW()-ROW($A$5)-1,INDEX( PRODUKTE,  VLOOKUP(ROW()-ROW($A$5),zeilenindizes,2)+INDEX(prodRowOffset,O$3),  MATCH(O$2,OFFSET(INDEXNAMEN,O$3,0),0)),""),"")</f>
        <v>1</v>
      </c>
      <c r="P62" s="17">
        <f ca="1">IFERROR(IF(MAX('SORT IMPORT'!$A$13:$A$408)&gt;ROW()-ROW($A$5)-1,INDEX( PRODUKTE,  VLOOKUP(ROW()-ROW($A$5),zeilenindizes,2)+INDEX(prodRowOffset,P$3),  MATCH(P$2,OFFSET(INDEXNAMEN,P$3,0),0)),""),"")</f>
        <v>0</v>
      </c>
      <c r="Q62" s="17">
        <f ca="1">IFERROR(IF(MAX('SORT IMPORT'!$A$13:$A$408)&gt;ROW()-ROW($A$5)-1,INDEX( PRODUKTE,  VLOOKUP(ROW()-ROW($A$5),zeilenindizes,2)+INDEX(prodRowOffset,Q$3),  MATCH(Q$2,OFFSET(INDEXNAMEN,Q$3,0),0)),""),"")</f>
        <v>1</v>
      </c>
      <c r="R62" s="17">
        <f ca="1">IFERROR(IF(MAX('SORT IMPORT'!$A$13:$A$408)&gt;ROW()-ROW($A$5)-1,INDEX( PRODUKTE,  VLOOKUP(ROW()-ROW($A$5),zeilenindizes,2)+INDEX(prodRowOffset,R$3),  MATCH(R$2,OFFSET(INDEXNAMEN,R$3,0),0)),""),"")</f>
        <v>0</v>
      </c>
      <c r="S62" s="17">
        <f ca="1">IFERROR(IF(MAX('SORT IMPORT'!$A$13:$A$408)&gt;ROW()-ROW($A$5)-1,INDEX( PRODUKTE,  VLOOKUP(ROW()-ROW($A$5),zeilenindizes,2)+INDEX(prodRowOffset,S$3),  MATCH(S$2,OFFSET(INDEXNAMEN,S$3,0),0)),""),"")</f>
        <v>1</v>
      </c>
      <c r="T62" s="17">
        <f ca="1">IFERROR(IF(MAX('SORT IMPORT'!$A$13:$A$408)&gt;ROW()-ROW($A$5)-1,INDEX( PRODUKTE,  VLOOKUP(ROW()-ROW($A$5),zeilenindizes,2)+INDEX(prodRowOffset,T$3),  MATCH(T$2,OFFSET(INDEXNAMEN,T$3,0),0)),""),"")</f>
        <v>1</v>
      </c>
      <c r="U62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80</v>
      </c>
      <c r="V62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62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62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62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62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62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62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62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62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62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84</v>
      </c>
      <c r="AF62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13</v>
      </c>
      <c r="AG62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62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62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62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62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62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62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62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62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62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62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62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62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62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62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62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62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62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62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63" spans="6:54" ht="22.5" customHeight="1" x14ac:dyDescent="0.3">
      <c r="F63" s="17" t="str">
        <f ca="1">IFERROR(IF(MAX('SORT IMPORT'!$A$13:$A$408)&gt;ROW()-ROW($A$5)-1,INDEX( PRODUKTE,  VLOOKUP(ROW()-ROW($A$5),zeilenindizes,2)+INDEX(prodRowOffset,F$3),  MATCH(F$2,OFFSET(INDEXNAMEN,F$3,0),0)),""),"")</f>
        <v>TS 93 G EN 5-7</v>
      </c>
      <c r="G63" s="17" t="str">
        <f ca="1">IFERROR(IF(MAX('SORT IMPORT'!$A$13:$A$408)&gt;ROW()-ROW($A$5)-1,INDEX( PRODUKTE,  VLOOKUP(ROW()-ROW($A$5),zeilenindizes,2)+INDEX(prodRowOffset,G$3),  MATCH(G$2,OFFSET(INDEXNAMEN,G$3,0),0)),""),"")</f>
        <v>G</v>
      </c>
      <c r="H63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63" s="17" t="str">
        <f ca="1">IFERROR(IF(MAX('SORT IMPORT'!$A$13:$A$408)&gt;ROW()-ROW($A$5)-1,INDEX( PRODUKTE,  VLOOKUP(ROW()-ROW($A$5),zeilenindizes,2)+INDEX(prodRowOffset,I$3),  MATCH(I$2,OFFSET(INDEXNAMEN,I$3,0),0)),""),"")</f>
        <v>V</v>
      </c>
      <c r="J63" s="17" t="str">
        <f ca="1">IFERROR(IF(MAX('SORT IMPORT'!$A$13:$A$408)&gt;ROW()-ROW($A$5)-1,INDEX( PRODUKTE,  VLOOKUP(ROW()-ROW($A$5),zeilenindizes,2)+INDEX(prodRowOffset,J$3),  MATCH(J$2,OFFSET(INDEXNAMEN,J$3,0),0)),""),"")</f>
        <v/>
      </c>
      <c r="K63" s="17">
        <f ca="1">IFERROR(IF(MAX('SORT IMPORT'!$A$13:$A$408)&gt;ROW()-ROW($A$5)-1,INDEX( PRODUKTE,  VLOOKUP(ROW()-ROW($A$5),zeilenindizes,2)+INDEX(prodRowOffset,K$3),  MATCH(K$2,OFFSET(INDEXNAMEN,K$3,0),0)),""),"")</f>
        <v>12</v>
      </c>
      <c r="L63" s="17">
        <f ca="1">IFERROR(IF(MAX('SORT IMPORT'!$A$13:$A$408)&gt;ROW()-ROW($A$5)-1,INDEX( PRODUKTE,  VLOOKUP(ROW()-ROW($A$5),zeilenindizes,2)+INDEX(prodRowOffset,L$3),  MATCH(L$2,OFFSET(INDEXNAMEN,L$3,0),0)),""),"")</f>
        <v>1</v>
      </c>
      <c r="M63" s="17">
        <f ca="1">IFERROR(IF(MAX('SORT IMPORT'!$A$13:$A$408)&gt;ROW()-ROW($A$5)-1,INDEX( PRODUKTE,  VLOOKUP(ROW()-ROW($A$5),zeilenindizes,2)+INDEX(prodRowOffset,M$3),  MATCH(M$2,OFFSET(INDEXNAMEN,M$3,0),0)),""),"")</f>
        <v>112</v>
      </c>
      <c r="N63" s="17">
        <f ca="1">IFERROR(IF(MAX('SORT IMPORT'!$A$13:$A$408)&gt;ROW()-ROW($A$5)-1,INDEX( PRODUKTE,  VLOOKUP(ROW()-ROW($A$5),zeilenindizes,2)+INDEX(prodRowOffset,N$3),  MATCH(N$2,OFFSET(INDEXNAMEN,N$3,0),0)),""),"")</f>
        <v>1</v>
      </c>
      <c r="O63" s="17">
        <f ca="1">IFERROR(IF(MAX('SORT IMPORT'!$A$13:$A$408)&gt;ROW()-ROW($A$5)-1,INDEX( PRODUKTE,  VLOOKUP(ROW()-ROW($A$5),zeilenindizes,2)+INDEX(prodRowOffset,O$3),  MATCH(O$2,OFFSET(INDEXNAMEN,O$3,0),0)),""),"")</f>
        <v>0</v>
      </c>
      <c r="P63" s="17">
        <f ca="1">IFERROR(IF(MAX('SORT IMPORT'!$A$13:$A$408)&gt;ROW()-ROW($A$5)-1,INDEX( PRODUKTE,  VLOOKUP(ROW()-ROW($A$5),zeilenindizes,2)+INDEX(prodRowOffset,P$3),  MATCH(P$2,OFFSET(INDEXNAMEN,P$3,0),0)),""),"")</f>
        <v>0</v>
      </c>
      <c r="Q63" s="17">
        <f ca="1">IFERROR(IF(MAX('SORT IMPORT'!$A$13:$A$408)&gt;ROW()-ROW($A$5)-1,INDEX( PRODUKTE,  VLOOKUP(ROW()-ROW($A$5),zeilenindizes,2)+INDEX(prodRowOffset,Q$3),  MATCH(Q$2,OFFSET(INDEXNAMEN,Q$3,0),0)),""),"")</f>
        <v>1</v>
      </c>
      <c r="R63" s="17">
        <f ca="1">IFERROR(IF(MAX('SORT IMPORT'!$A$13:$A$408)&gt;ROW()-ROW($A$5)-1,INDEX( PRODUKTE,  VLOOKUP(ROW()-ROW($A$5),zeilenindizes,2)+INDEX(prodRowOffset,R$3),  MATCH(R$2,OFFSET(INDEXNAMEN,R$3,0),0)),""),"")</f>
        <v>0</v>
      </c>
      <c r="S63" s="17">
        <f ca="1">IFERROR(IF(MAX('SORT IMPORT'!$A$13:$A$408)&gt;ROW()-ROW($A$5)-1,INDEX( PRODUKTE,  VLOOKUP(ROW()-ROW($A$5),zeilenindizes,2)+INDEX(prodRowOffset,S$3),  MATCH(S$2,OFFSET(INDEXNAMEN,S$3,0),0)),""),"")</f>
        <v>0</v>
      </c>
      <c r="T63" s="17">
        <f ca="1">IFERROR(IF(MAX('SORT IMPORT'!$A$13:$A$408)&gt;ROW()-ROW($A$5)-1,INDEX( PRODUKTE,  VLOOKUP(ROW()-ROW($A$5),zeilenindizes,2)+INDEX(prodRowOffset,T$3),  MATCH(T$2,OFFSET(INDEXNAMEN,T$3,0),0)),""),"")</f>
        <v>1</v>
      </c>
      <c r="U63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63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63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63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63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80</v>
      </c>
      <c r="Z63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17</v>
      </c>
      <c r="AA63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45</v>
      </c>
      <c r="AB63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63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45</v>
      </c>
      <c r="AD63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63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63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63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63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63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143</v>
      </c>
      <c r="AJ63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3</v>
      </c>
      <c r="AK63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143</v>
      </c>
      <c r="AL63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3</v>
      </c>
      <c r="AM63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143</v>
      </c>
      <c r="AN63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9999</v>
      </c>
      <c r="AO63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442</v>
      </c>
      <c r="AP63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63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23</v>
      </c>
      <c r="AR63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16</v>
      </c>
      <c r="AS63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63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63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63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46</v>
      </c>
      <c r="AW63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63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63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64" spans="6:54" ht="22.5" customHeight="1" x14ac:dyDescent="0.3">
      <c r="F64" s="17" t="str">
        <f ca="1">IFERROR(IF(MAX('SORT IMPORT'!$A$13:$A$408)&gt;ROW()-ROW($A$5)-1,INDEX( PRODUKTE,  VLOOKUP(ROW()-ROW($A$5),zeilenindizes,2)+INDEX(prodRowOffset,F$3),  MATCH(F$2,OFFSET(INDEXNAMEN,F$3,0),0)),""),"")</f>
        <v>TS 93 G RF EN 5-7</v>
      </c>
      <c r="G64" s="17" t="str">
        <f ca="1">IFERROR(IF(MAX('SORT IMPORT'!$A$13:$A$408)&gt;ROW()-ROW($A$5)-1,INDEX( PRODUKTE,  VLOOKUP(ROW()-ROW($A$5),zeilenindizes,2)+INDEX(prodRowOffset,G$3),  MATCH(G$2,OFFSET(INDEXNAMEN,G$3,0),0)),""),"")</f>
        <v>G</v>
      </c>
      <c r="H64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64" s="17" t="str">
        <f ca="1">IFERROR(IF(MAX('SORT IMPORT'!$A$13:$A$408)&gt;ROW()-ROW($A$5)-1,INDEX( PRODUKTE,  VLOOKUP(ROW()-ROW($A$5),zeilenindizes,2)+INDEX(prodRowOffset,I$3),  MATCH(I$2,OFFSET(INDEXNAMEN,I$3,0),0)),""),"")</f>
        <v>V</v>
      </c>
      <c r="J64" s="17" t="str">
        <f ca="1">IFERROR(IF(MAX('SORT IMPORT'!$A$13:$A$408)&gt;ROW()-ROW($A$5)-1,INDEX( PRODUKTE,  VLOOKUP(ROW()-ROW($A$5),zeilenindizes,2)+INDEX(prodRowOffset,J$3),  MATCH(J$2,OFFSET(INDEXNAMEN,J$3,0),0)),""),"")</f>
        <v>M</v>
      </c>
      <c r="K64" s="17">
        <f ca="1">IFERROR(IF(MAX('SORT IMPORT'!$A$13:$A$408)&gt;ROW()-ROW($A$5)-1,INDEX( PRODUKTE,  VLOOKUP(ROW()-ROW($A$5),zeilenindizes,2)+INDEX(prodRowOffset,K$3),  MATCH(K$2,OFFSET(INDEXNAMEN,K$3,0),0)),""),"")</f>
        <v>12</v>
      </c>
      <c r="L64" s="17">
        <f ca="1">IFERROR(IF(MAX('SORT IMPORT'!$A$13:$A$408)&gt;ROW()-ROW($A$5)-1,INDEX( PRODUKTE,  VLOOKUP(ROW()-ROW($A$5),zeilenindizes,2)+INDEX(prodRowOffset,L$3),  MATCH(L$2,OFFSET(INDEXNAMEN,L$3,0),0)),""),"")</f>
        <v>2</v>
      </c>
      <c r="M64" s="17">
        <f ca="1">IFERROR(IF(MAX('SORT IMPORT'!$A$13:$A$408)&gt;ROW()-ROW($A$5)-1,INDEX( PRODUKTE,  VLOOKUP(ROW()-ROW($A$5),zeilenindizes,2)+INDEX(prodRowOffset,M$3),  MATCH(M$2,OFFSET(INDEXNAMEN,M$3,0),0)),""),"")</f>
        <v>112</v>
      </c>
      <c r="N64" s="17">
        <f ca="1">IFERROR(IF(MAX('SORT IMPORT'!$A$13:$A$408)&gt;ROW()-ROW($A$5)-1,INDEX( PRODUKTE,  VLOOKUP(ROW()-ROW($A$5),zeilenindizes,2)+INDEX(prodRowOffset,N$3),  MATCH(N$2,OFFSET(INDEXNAMEN,N$3,0),0)),""),"")</f>
        <v>1</v>
      </c>
      <c r="O64" s="17">
        <f ca="1">IFERROR(IF(MAX('SORT IMPORT'!$A$13:$A$408)&gt;ROW()-ROW($A$5)-1,INDEX( PRODUKTE,  VLOOKUP(ROW()-ROW($A$5),zeilenindizes,2)+INDEX(prodRowOffset,O$3),  MATCH(O$2,OFFSET(INDEXNAMEN,O$3,0),0)),""),"")</f>
        <v>0</v>
      </c>
      <c r="P64" s="17">
        <f ca="1">IFERROR(IF(MAX('SORT IMPORT'!$A$13:$A$408)&gt;ROW()-ROW($A$5)-1,INDEX( PRODUKTE,  VLOOKUP(ROW()-ROW($A$5),zeilenindizes,2)+INDEX(prodRowOffset,P$3),  MATCH(P$2,OFFSET(INDEXNAMEN,P$3,0),0)),""),"")</f>
        <v>0</v>
      </c>
      <c r="Q64" s="17">
        <f ca="1">IFERROR(IF(MAX('SORT IMPORT'!$A$13:$A$408)&gt;ROW()-ROW($A$5)-1,INDEX( PRODUKTE,  VLOOKUP(ROW()-ROW($A$5),zeilenindizes,2)+INDEX(prodRowOffset,Q$3),  MATCH(Q$2,OFFSET(INDEXNAMEN,Q$3,0),0)),""),"")</f>
        <v>0</v>
      </c>
      <c r="R64" s="17">
        <f ca="1">IFERROR(IF(MAX('SORT IMPORT'!$A$13:$A$408)&gt;ROW()-ROW($A$5)-1,INDEX( PRODUKTE,  VLOOKUP(ROW()-ROW($A$5),zeilenindizes,2)+INDEX(prodRowOffset,R$3),  MATCH(R$2,OFFSET(INDEXNAMEN,R$3,0),0)),""),"")</f>
        <v>0</v>
      </c>
      <c r="S64" s="17">
        <f ca="1">IFERROR(IF(MAX('SORT IMPORT'!$A$13:$A$408)&gt;ROW()-ROW($A$5)-1,INDEX( PRODUKTE,  VLOOKUP(ROW()-ROW($A$5),zeilenindizes,2)+INDEX(prodRowOffset,S$3),  MATCH(S$2,OFFSET(INDEXNAMEN,S$3,0),0)),""),"")</f>
        <v>0</v>
      </c>
      <c r="T64" s="17">
        <f ca="1">IFERROR(IF(MAX('SORT IMPORT'!$A$13:$A$408)&gt;ROW()-ROW($A$5)-1,INDEX( PRODUKTE,  VLOOKUP(ROW()-ROW($A$5),zeilenindizes,2)+INDEX(prodRowOffset,T$3),  MATCH(T$2,OFFSET(INDEXNAMEN,T$3,0),0)),""),"")</f>
        <v>1</v>
      </c>
      <c r="U64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64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64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64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64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80</v>
      </c>
      <c r="Z64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17</v>
      </c>
      <c r="AA64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45</v>
      </c>
      <c r="AB64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64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45</v>
      </c>
      <c r="AD64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64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64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64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64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64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143</v>
      </c>
      <c r="AJ64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3</v>
      </c>
      <c r="AK64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143</v>
      </c>
      <c r="AL64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3</v>
      </c>
      <c r="AM64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143</v>
      </c>
      <c r="AN64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9999</v>
      </c>
      <c r="AO64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442</v>
      </c>
      <c r="AP64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64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23</v>
      </c>
      <c r="AR64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16</v>
      </c>
      <c r="AS64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64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64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64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60</v>
      </c>
      <c r="AW64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64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64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65" spans="6:51" ht="22.5" customHeight="1" x14ac:dyDescent="0.3">
      <c r="F65" s="17" t="str">
        <f ca="1">IFERROR(IF(MAX('SORT IMPORT'!$A$13:$A$408)&gt;ROW()-ROW($A$5)-1,INDEX( PRODUKTE,  VLOOKUP(ROW()-ROW($A$5),zeilenindizes,2)+INDEX(prodRowOffset,F$3),  MATCH(F$2,OFFSET(INDEXNAMEN,F$3,0),0)),""),"")</f>
        <v>TS 93 G EMF EN 5-7</v>
      </c>
      <c r="G65" s="17" t="str">
        <f ca="1">IFERROR(IF(MAX('SORT IMPORT'!$A$13:$A$408)&gt;ROW()-ROW($A$5)-1,INDEX( PRODUKTE,  VLOOKUP(ROW()-ROW($A$5),zeilenindizes,2)+INDEX(prodRowOffset,G$3),  MATCH(G$2,OFFSET(INDEXNAMEN,G$3,0),0)),""),"")</f>
        <v>G</v>
      </c>
      <c r="H65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65" s="17" t="str">
        <f ca="1">IFERROR(IF(MAX('SORT IMPORT'!$A$13:$A$408)&gt;ROW()-ROW($A$5)-1,INDEX( PRODUKTE,  VLOOKUP(ROW()-ROW($A$5),zeilenindizes,2)+INDEX(prodRowOffset,I$3),  MATCH(I$2,OFFSET(INDEXNAMEN,I$3,0),0)),""),"")</f>
        <v>V</v>
      </c>
      <c r="J65" s="17" t="str">
        <f ca="1">IFERROR(IF(MAX('SORT IMPORT'!$A$13:$A$408)&gt;ROW()-ROW($A$5)-1,INDEX( PRODUKTE,  VLOOKUP(ROW()-ROW($A$5),zeilenindizes,2)+INDEX(prodRowOffset,J$3),  MATCH(J$2,OFFSET(INDEXNAMEN,J$3,0),0)),""),"")</f>
        <v>E</v>
      </c>
      <c r="K65" s="17">
        <f ca="1">IFERROR(IF(MAX('SORT IMPORT'!$A$13:$A$408)&gt;ROW()-ROW($A$5)-1,INDEX( PRODUKTE,  VLOOKUP(ROW()-ROW($A$5),zeilenindizes,2)+INDEX(prodRowOffset,K$3),  MATCH(K$2,OFFSET(INDEXNAMEN,K$3,0),0)),""),"")</f>
        <v>8</v>
      </c>
      <c r="L65" s="17">
        <f ca="1">IFERROR(IF(MAX('SORT IMPORT'!$A$13:$A$408)&gt;ROW()-ROW($A$5)-1,INDEX( PRODUKTE,  VLOOKUP(ROW()-ROW($A$5),zeilenindizes,2)+INDEX(prodRowOffset,L$3),  MATCH(L$2,OFFSET(INDEXNAMEN,L$3,0),0)),""),"")</f>
        <v>4</v>
      </c>
      <c r="M65" s="17">
        <f ca="1">IFERROR(IF(MAX('SORT IMPORT'!$A$13:$A$408)&gt;ROW()-ROW($A$5)-1,INDEX( PRODUKTE,  VLOOKUP(ROW()-ROW($A$5),zeilenindizes,2)+INDEX(prodRowOffset,M$3),  MATCH(M$2,OFFSET(INDEXNAMEN,M$3,0),0)),""),"")</f>
        <v>112</v>
      </c>
      <c r="N65" s="17">
        <f ca="1">IFERROR(IF(MAX('SORT IMPORT'!$A$13:$A$408)&gt;ROW()-ROW($A$5)-1,INDEX( PRODUKTE,  VLOOKUP(ROW()-ROW($A$5),zeilenindizes,2)+INDEX(prodRowOffset,N$3),  MATCH(N$2,OFFSET(INDEXNAMEN,N$3,0),0)),""),"")</f>
        <v>1</v>
      </c>
      <c r="O65" s="17">
        <f ca="1">IFERROR(IF(MAX('SORT IMPORT'!$A$13:$A$408)&gt;ROW()-ROW($A$5)-1,INDEX( PRODUKTE,  VLOOKUP(ROW()-ROW($A$5),zeilenindizes,2)+INDEX(prodRowOffset,O$3),  MATCH(O$2,OFFSET(INDEXNAMEN,O$3,0),0)),""),"")</f>
        <v>2</v>
      </c>
      <c r="P65" s="17">
        <f ca="1">IFERROR(IF(MAX('SORT IMPORT'!$A$13:$A$408)&gt;ROW()-ROW($A$5)-1,INDEX( PRODUKTE,  VLOOKUP(ROW()-ROW($A$5),zeilenindizes,2)+INDEX(prodRowOffset,P$3),  MATCH(P$2,OFFSET(INDEXNAMEN,P$3,0),0)),""),"")</f>
        <v>0</v>
      </c>
      <c r="Q65" s="17">
        <f ca="1">IFERROR(IF(MAX('SORT IMPORT'!$A$13:$A$408)&gt;ROW()-ROW($A$5)-1,INDEX( PRODUKTE,  VLOOKUP(ROW()-ROW($A$5),zeilenindizes,2)+INDEX(prodRowOffset,Q$3),  MATCH(Q$2,OFFSET(INDEXNAMEN,Q$3,0),0)),""),"")</f>
        <v>1</v>
      </c>
      <c r="R65" s="17">
        <f ca="1">IFERROR(IF(MAX('SORT IMPORT'!$A$13:$A$408)&gt;ROW()-ROW($A$5)-1,INDEX( PRODUKTE,  VLOOKUP(ROW()-ROW($A$5),zeilenindizes,2)+INDEX(prodRowOffset,R$3),  MATCH(R$2,OFFSET(INDEXNAMEN,R$3,0),0)),""),"")</f>
        <v>0</v>
      </c>
      <c r="S65" s="17">
        <f ca="1">IFERROR(IF(MAX('SORT IMPORT'!$A$13:$A$408)&gt;ROW()-ROW($A$5)-1,INDEX( PRODUKTE,  VLOOKUP(ROW()-ROW($A$5),zeilenindizes,2)+INDEX(prodRowOffset,S$3),  MATCH(S$2,OFFSET(INDEXNAMEN,S$3,0),0)),""),"")</f>
        <v>0</v>
      </c>
      <c r="T65" s="17">
        <f ca="1">IFERROR(IF(MAX('SORT IMPORT'!$A$13:$A$408)&gt;ROW()-ROW($A$5)-1,INDEX( PRODUKTE,  VLOOKUP(ROW()-ROW($A$5),zeilenindizes,2)+INDEX(prodRowOffset,T$3),  MATCH(T$2,OFFSET(INDEXNAMEN,T$3,0),0)),""),"")</f>
        <v>1</v>
      </c>
      <c r="U65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65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65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65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65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65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65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45</v>
      </c>
      <c r="AB65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65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45</v>
      </c>
      <c r="AD65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65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65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65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65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65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65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65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84</v>
      </c>
      <c r="AL65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65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84</v>
      </c>
      <c r="AN65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9999</v>
      </c>
      <c r="AO65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518</v>
      </c>
      <c r="AP65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40</v>
      </c>
      <c r="AQ65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65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20</v>
      </c>
      <c r="AS65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65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65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65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160</v>
      </c>
      <c r="AW65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65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65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66" spans="6:51" ht="22.5" customHeight="1" x14ac:dyDescent="0.3">
      <c r="F66" s="17" t="str">
        <f ca="1">IFERROR(IF(MAX('SORT IMPORT'!$A$13:$A$408)&gt;ROW()-ROW($A$5)-1,INDEX( PRODUKTE,  VLOOKUP(ROW()-ROW($A$5),zeilenindizes,2)+INDEX(prodRowOffset,F$3),  MATCH(F$2,OFFSET(INDEXNAMEN,F$3,0),0)),""),"")</f>
        <v>TS 93 G EMR EN 5-7</v>
      </c>
      <c r="G66" s="17" t="str">
        <f ca="1">IFERROR(IF(MAX('SORT IMPORT'!$A$13:$A$408)&gt;ROW()-ROW($A$5)-1,INDEX( PRODUKTE,  VLOOKUP(ROW()-ROW($A$5),zeilenindizes,2)+INDEX(prodRowOffset,G$3),  MATCH(G$2,OFFSET(INDEXNAMEN,G$3,0),0)),""),"")</f>
        <v>G</v>
      </c>
      <c r="H66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66" s="17" t="str">
        <f ca="1">IFERROR(IF(MAX('SORT IMPORT'!$A$13:$A$408)&gt;ROW()-ROW($A$5)-1,INDEX( PRODUKTE,  VLOOKUP(ROW()-ROW($A$5),zeilenindizes,2)+INDEX(prodRowOffset,I$3),  MATCH(I$2,OFFSET(INDEXNAMEN,I$3,0),0)),""),"")</f>
        <v>V</v>
      </c>
      <c r="J66" s="17" t="str">
        <f ca="1">IFERROR(IF(MAX('SORT IMPORT'!$A$13:$A$408)&gt;ROW()-ROW($A$5)-1,INDEX( PRODUKTE,  VLOOKUP(ROW()-ROW($A$5),zeilenindizes,2)+INDEX(prodRowOffset,J$3),  MATCH(J$2,OFFSET(INDEXNAMEN,J$3,0),0)),""),"")</f>
        <v>R</v>
      </c>
      <c r="K66" s="17">
        <f ca="1">IFERROR(IF(MAX('SORT IMPORT'!$A$13:$A$408)&gt;ROW()-ROW($A$5)-1,INDEX( PRODUKTE,  VLOOKUP(ROW()-ROW($A$5),zeilenindizes,2)+INDEX(prodRowOffset,K$3),  MATCH(K$2,OFFSET(INDEXNAMEN,K$3,0),0)),""),"")</f>
        <v>8</v>
      </c>
      <c r="L66" s="17">
        <f ca="1">IFERROR(IF(MAX('SORT IMPORT'!$A$13:$A$408)&gt;ROW()-ROW($A$5)-1,INDEX( PRODUKTE,  VLOOKUP(ROW()-ROW($A$5),zeilenindizes,2)+INDEX(prodRowOffset,L$3),  MATCH(L$2,OFFSET(INDEXNAMEN,L$3,0),0)),""),"")</f>
        <v>8</v>
      </c>
      <c r="M66" s="17">
        <f ca="1">IFERROR(IF(MAX('SORT IMPORT'!$A$13:$A$408)&gt;ROW()-ROW($A$5)-1,INDEX( PRODUKTE,  VLOOKUP(ROW()-ROW($A$5),zeilenindizes,2)+INDEX(prodRowOffset,M$3),  MATCH(M$2,OFFSET(INDEXNAMEN,M$3,0),0)),""),"")</f>
        <v>112</v>
      </c>
      <c r="N66" s="17">
        <f ca="1">IFERROR(IF(MAX('SORT IMPORT'!$A$13:$A$408)&gt;ROW()-ROW($A$5)-1,INDEX( PRODUKTE,  VLOOKUP(ROW()-ROW($A$5),zeilenindizes,2)+INDEX(prodRowOffset,N$3),  MATCH(N$2,OFFSET(INDEXNAMEN,N$3,0),0)),""),"")</f>
        <v>1</v>
      </c>
      <c r="O66" s="17">
        <f ca="1">IFERROR(IF(MAX('SORT IMPORT'!$A$13:$A$408)&gt;ROW()-ROW($A$5)-1,INDEX( PRODUKTE,  VLOOKUP(ROW()-ROW($A$5),zeilenindizes,2)+INDEX(prodRowOffset,O$3),  MATCH(O$2,OFFSET(INDEXNAMEN,O$3,0),0)),""),"")</f>
        <v>1</v>
      </c>
      <c r="P66" s="17">
        <f ca="1">IFERROR(IF(MAX('SORT IMPORT'!$A$13:$A$408)&gt;ROW()-ROW($A$5)-1,INDEX( PRODUKTE,  VLOOKUP(ROW()-ROW($A$5),zeilenindizes,2)+INDEX(prodRowOffset,P$3),  MATCH(P$2,OFFSET(INDEXNAMEN,P$3,0),0)),""),"")</f>
        <v>0</v>
      </c>
      <c r="Q66" s="17">
        <f ca="1">IFERROR(IF(MAX('SORT IMPORT'!$A$13:$A$408)&gt;ROW()-ROW($A$5)-1,INDEX( PRODUKTE,  VLOOKUP(ROW()-ROW($A$5),zeilenindizes,2)+INDEX(prodRowOffset,Q$3),  MATCH(Q$2,OFFSET(INDEXNAMEN,Q$3,0),0)),""),"")</f>
        <v>1</v>
      </c>
      <c r="R66" s="17">
        <f ca="1">IFERROR(IF(MAX('SORT IMPORT'!$A$13:$A$408)&gt;ROW()-ROW($A$5)-1,INDEX( PRODUKTE,  VLOOKUP(ROW()-ROW($A$5),zeilenindizes,2)+INDEX(prodRowOffset,R$3),  MATCH(R$2,OFFSET(INDEXNAMEN,R$3,0),0)),""),"")</f>
        <v>0</v>
      </c>
      <c r="S66" s="17">
        <f ca="1">IFERROR(IF(MAX('SORT IMPORT'!$A$13:$A$408)&gt;ROW()-ROW($A$5)-1,INDEX( PRODUKTE,  VLOOKUP(ROW()-ROW($A$5),zeilenindizes,2)+INDEX(prodRowOffset,S$3),  MATCH(S$2,OFFSET(INDEXNAMEN,S$3,0),0)),""),"")</f>
        <v>0</v>
      </c>
      <c r="T66" s="17">
        <f ca="1">IFERROR(IF(MAX('SORT IMPORT'!$A$13:$A$408)&gt;ROW()-ROW($A$5)-1,INDEX( PRODUKTE,  VLOOKUP(ROW()-ROW($A$5),zeilenindizes,2)+INDEX(prodRowOffset,T$3),  MATCH(T$2,OFFSET(INDEXNAMEN,T$3,0),0)),""),"")</f>
        <v>1</v>
      </c>
      <c r="U66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66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66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66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66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66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66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45</v>
      </c>
      <c r="AB66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66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45</v>
      </c>
      <c r="AD66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66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66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66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66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66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66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66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84</v>
      </c>
      <c r="AL66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66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84</v>
      </c>
      <c r="AN66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44</v>
      </c>
      <c r="AO66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864</v>
      </c>
      <c r="AP66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40</v>
      </c>
      <c r="AQ66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66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20</v>
      </c>
      <c r="AS66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66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66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66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206</v>
      </c>
      <c r="AW66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66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66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67" spans="6:51" ht="22.5" customHeight="1" x14ac:dyDescent="0.3">
      <c r="F67" s="17" t="str">
        <f ca="1">IFERROR(IF(MAX('SORT IMPORT'!$A$13:$A$408)&gt;ROW()-ROW($A$5)-1,INDEX( PRODUKTE,  VLOOKUP(ROW()-ROW($A$5),zeilenindizes,2)+INDEX(prodRowOffset,F$3),  MATCH(F$2,OFFSET(INDEXNAMEN,F$3,0),0)),""),"")</f>
        <v>TS 93 G GSR /BG EN 5-7</v>
      </c>
      <c r="G67" s="17" t="str">
        <f ca="1">IFERROR(IF(MAX('SORT IMPORT'!$A$13:$A$408)&gt;ROW()-ROW($A$5)-1,INDEX( PRODUKTE,  VLOOKUP(ROW()-ROW($A$5),zeilenindizes,2)+INDEX(prodRowOffset,G$3),  MATCH(G$2,OFFSET(INDEXNAMEN,G$3,0),0)),""),"")</f>
        <v>G</v>
      </c>
      <c r="H67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67" s="17" t="str">
        <f ca="1">IFERROR(IF(MAX('SORT IMPORT'!$A$13:$A$408)&gt;ROW()-ROW($A$5)-1,INDEX( PRODUKTE,  VLOOKUP(ROW()-ROW($A$5),zeilenindizes,2)+INDEX(prodRowOffset,I$3),  MATCH(I$2,OFFSET(INDEXNAMEN,I$3,0),0)),""),"")</f>
        <v>V</v>
      </c>
      <c r="J67" s="17" t="str">
        <f ca="1">IFERROR(IF(MAX('SORT IMPORT'!$A$13:$A$408)&gt;ROW()-ROW($A$5)-1,INDEX( PRODUKTE,  VLOOKUP(ROW()-ROW($A$5),zeilenindizes,2)+INDEX(prodRowOffset,J$3),  MATCH(J$2,OFFSET(INDEXNAMEN,J$3,0),0)),""),"")</f>
        <v/>
      </c>
      <c r="K67" s="17">
        <f ca="1">IFERROR(IF(MAX('SORT IMPORT'!$A$13:$A$408)&gt;ROW()-ROW($A$5)-1,INDEX( PRODUKTE,  VLOOKUP(ROW()-ROW($A$5),zeilenindizes,2)+INDEX(prodRowOffset,K$3),  MATCH(K$2,OFFSET(INDEXNAMEN,K$3,0),0)),""),"")</f>
        <v>8</v>
      </c>
      <c r="L67" s="17">
        <f ca="1">IFERROR(IF(MAX('SORT IMPORT'!$A$13:$A$408)&gt;ROW()-ROW($A$5)-1,INDEX( PRODUKTE,  VLOOKUP(ROW()-ROW($A$5),zeilenindizes,2)+INDEX(prodRowOffset,L$3),  MATCH(L$2,OFFSET(INDEXNAMEN,L$3,0),0)),""),"")</f>
        <v>16</v>
      </c>
      <c r="M67" s="17">
        <f ca="1">IFERROR(IF(MAX('SORT IMPORT'!$A$13:$A$408)&gt;ROW()-ROW($A$5)-1,INDEX( PRODUKTE,  VLOOKUP(ROW()-ROW($A$5),zeilenindizes,2)+INDEX(prodRowOffset,M$3),  MATCH(M$2,OFFSET(INDEXNAMEN,M$3,0),0)),""),"")</f>
        <v>112</v>
      </c>
      <c r="N67" s="17">
        <f ca="1">IFERROR(IF(MAX('SORT IMPORT'!$A$13:$A$408)&gt;ROW()-ROW($A$5)-1,INDEX( PRODUKTE,  VLOOKUP(ROW()-ROW($A$5),zeilenindizes,2)+INDEX(prodRowOffset,N$3),  MATCH(N$2,OFFSET(INDEXNAMEN,N$3,0),0)),""),"")</f>
        <v>2</v>
      </c>
      <c r="O67" s="17">
        <f ca="1">IFERROR(IF(MAX('SORT IMPORT'!$A$13:$A$408)&gt;ROW()-ROW($A$5)-1,INDEX( PRODUKTE,  VLOOKUP(ROW()-ROW($A$5),zeilenindizes,2)+INDEX(prodRowOffset,O$3),  MATCH(O$2,OFFSET(INDEXNAMEN,O$3,0),0)),""),"")</f>
        <v>0</v>
      </c>
      <c r="P67" s="17">
        <f ca="1">IFERROR(IF(MAX('SORT IMPORT'!$A$13:$A$408)&gt;ROW()-ROW($A$5)-1,INDEX( PRODUKTE,  VLOOKUP(ROW()-ROW($A$5),zeilenindizes,2)+INDEX(prodRowOffset,P$3),  MATCH(P$2,OFFSET(INDEXNAMEN,P$3,0),0)),""),"")</f>
        <v>1</v>
      </c>
      <c r="Q67" s="17">
        <f ca="1">IFERROR(IF(MAX('SORT IMPORT'!$A$13:$A$408)&gt;ROW()-ROW($A$5)-1,INDEX( PRODUKTE,  VLOOKUP(ROW()-ROW($A$5),zeilenindizes,2)+INDEX(prodRowOffset,Q$3),  MATCH(Q$2,OFFSET(INDEXNAMEN,Q$3,0),0)),""),"")</f>
        <v>1</v>
      </c>
      <c r="R67" s="17">
        <f ca="1">IFERROR(IF(MAX('SORT IMPORT'!$A$13:$A$408)&gt;ROW()-ROW($A$5)-1,INDEX( PRODUKTE,  VLOOKUP(ROW()-ROW($A$5),zeilenindizes,2)+INDEX(prodRowOffset,R$3),  MATCH(R$2,OFFSET(INDEXNAMEN,R$3,0),0)),""),"")</f>
        <v>0</v>
      </c>
      <c r="S67" s="17">
        <f ca="1">IFERROR(IF(MAX('SORT IMPORT'!$A$13:$A$408)&gt;ROW()-ROW($A$5)-1,INDEX( PRODUKTE,  VLOOKUP(ROW()-ROW($A$5),zeilenindizes,2)+INDEX(prodRowOffset,S$3),  MATCH(S$2,OFFSET(INDEXNAMEN,S$3,0),0)),""),"")</f>
        <v>1</v>
      </c>
      <c r="T67" s="17">
        <f ca="1">IFERROR(IF(MAX('SORT IMPORT'!$A$13:$A$408)&gt;ROW()-ROW($A$5)-1,INDEX( PRODUKTE,  VLOOKUP(ROW()-ROW($A$5),zeilenindizes,2)+INDEX(prodRowOffset,T$3),  MATCH(T$2,OFFSET(INDEXNAMEN,T$3,0),0)),""),"")</f>
        <v>1</v>
      </c>
      <c r="U67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67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67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67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67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67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67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114</v>
      </c>
      <c r="AB67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67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114</v>
      </c>
      <c r="AD67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67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67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67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67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67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67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67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114</v>
      </c>
      <c r="AL67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11</v>
      </c>
      <c r="AM67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114</v>
      </c>
      <c r="AN67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34</v>
      </c>
      <c r="AO67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67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40</v>
      </c>
      <c r="AQ67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67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20</v>
      </c>
      <c r="AS67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67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67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67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51</v>
      </c>
      <c r="AW67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67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67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68" spans="6:51" ht="22.5" customHeight="1" x14ac:dyDescent="0.3">
      <c r="F68" s="17" t="str">
        <f ca="1">IFERROR(IF(MAX('SORT IMPORT'!$A$13:$A$408)&gt;ROW()-ROW($A$5)-1,INDEX( PRODUKTE,  VLOOKUP(ROW()-ROW($A$5),zeilenindizes,2)+INDEX(prodRowOffset,F$3),  MATCH(F$2,OFFSET(INDEXNAMEN,F$3,0),0)),""),"")</f>
        <v>TS 93 G GSR RF /BG EN 5-7</v>
      </c>
      <c r="G68" s="17" t="str">
        <f ca="1">IFERROR(IF(MAX('SORT IMPORT'!$A$13:$A$408)&gt;ROW()-ROW($A$5)-1,INDEX( PRODUKTE,  VLOOKUP(ROW()-ROW($A$5),zeilenindizes,2)+INDEX(prodRowOffset,G$3),  MATCH(G$2,OFFSET(INDEXNAMEN,G$3,0),0)),""),"")</f>
        <v>G</v>
      </c>
      <c r="H68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68" s="17" t="str">
        <f ca="1">IFERROR(IF(MAX('SORT IMPORT'!$A$13:$A$408)&gt;ROW()-ROW($A$5)-1,INDEX( PRODUKTE,  VLOOKUP(ROW()-ROW($A$5),zeilenindizes,2)+INDEX(prodRowOffset,I$3),  MATCH(I$2,OFFSET(INDEXNAMEN,I$3,0),0)),""),"")</f>
        <v>V</v>
      </c>
      <c r="J68" s="17" t="str">
        <f ca="1">IFERROR(IF(MAX('SORT IMPORT'!$A$13:$A$408)&gt;ROW()-ROW($A$5)-1,INDEX( PRODUKTE,  VLOOKUP(ROW()-ROW($A$5),zeilenindizes,2)+INDEX(prodRowOffset,J$3),  MATCH(J$2,OFFSET(INDEXNAMEN,J$3,0),0)),""),"")</f>
        <v>M</v>
      </c>
      <c r="K68" s="17">
        <f ca="1">IFERROR(IF(MAX('SORT IMPORT'!$A$13:$A$408)&gt;ROW()-ROW($A$5)-1,INDEX( PRODUKTE,  VLOOKUP(ROW()-ROW($A$5),zeilenindizes,2)+INDEX(prodRowOffset,K$3),  MATCH(K$2,OFFSET(INDEXNAMEN,K$3,0),0)),""),"")</f>
        <v>8</v>
      </c>
      <c r="L68" s="17">
        <f ca="1">IFERROR(IF(MAX('SORT IMPORT'!$A$13:$A$408)&gt;ROW()-ROW($A$5)-1,INDEX( PRODUKTE,  VLOOKUP(ROW()-ROW($A$5),zeilenindizes,2)+INDEX(prodRowOffset,L$3),  MATCH(L$2,OFFSET(INDEXNAMEN,L$3,0),0)),""),"")</f>
        <v>32</v>
      </c>
      <c r="M68" s="17">
        <f ca="1">IFERROR(IF(MAX('SORT IMPORT'!$A$13:$A$408)&gt;ROW()-ROW($A$5)-1,INDEX( PRODUKTE,  VLOOKUP(ROW()-ROW($A$5),zeilenindizes,2)+INDEX(prodRowOffset,M$3),  MATCH(M$2,OFFSET(INDEXNAMEN,M$3,0),0)),""),"")</f>
        <v>112</v>
      </c>
      <c r="N68" s="17">
        <f ca="1">IFERROR(IF(MAX('SORT IMPORT'!$A$13:$A$408)&gt;ROW()-ROW($A$5)-1,INDEX( PRODUKTE,  VLOOKUP(ROW()-ROW($A$5),zeilenindizes,2)+INDEX(prodRowOffset,N$3),  MATCH(N$2,OFFSET(INDEXNAMEN,N$3,0),0)),""),"")</f>
        <v>2</v>
      </c>
      <c r="O68" s="17">
        <f ca="1">IFERROR(IF(MAX('SORT IMPORT'!$A$13:$A$408)&gt;ROW()-ROW($A$5)-1,INDEX( PRODUKTE,  VLOOKUP(ROW()-ROW($A$5),zeilenindizes,2)+INDEX(prodRowOffset,O$3),  MATCH(O$2,OFFSET(INDEXNAMEN,O$3,0),0)),""),"")</f>
        <v>0</v>
      </c>
      <c r="P68" s="17">
        <f ca="1">IFERROR(IF(MAX('SORT IMPORT'!$A$13:$A$408)&gt;ROW()-ROW($A$5)-1,INDEX( PRODUKTE,  VLOOKUP(ROW()-ROW($A$5),zeilenindizes,2)+INDEX(prodRowOffset,P$3),  MATCH(P$2,OFFSET(INDEXNAMEN,P$3,0),0)),""),"")</f>
        <v>1</v>
      </c>
      <c r="Q68" s="17">
        <f ca="1">IFERROR(IF(MAX('SORT IMPORT'!$A$13:$A$408)&gt;ROW()-ROW($A$5)-1,INDEX( PRODUKTE,  VLOOKUP(ROW()-ROW($A$5),zeilenindizes,2)+INDEX(prodRowOffset,Q$3),  MATCH(Q$2,OFFSET(INDEXNAMEN,Q$3,0),0)),""),"")</f>
        <v>0</v>
      </c>
      <c r="R68" s="17">
        <f ca="1">IFERROR(IF(MAX('SORT IMPORT'!$A$13:$A$408)&gt;ROW()-ROW($A$5)-1,INDEX( PRODUKTE,  VLOOKUP(ROW()-ROW($A$5),zeilenindizes,2)+INDEX(prodRowOffset,R$3),  MATCH(R$2,OFFSET(INDEXNAMEN,R$3,0),0)),""),"")</f>
        <v>0</v>
      </c>
      <c r="S68" s="17">
        <f ca="1">IFERROR(IF(MAX('SORT IMPORT'!$A$13:$A$408)&gt;ROW()-ROW($A$5)-1,INDEX( PRODUKTE,  VLOOKUP(ROW()-ROW($A$5),zeilenindizes,2)+INDEX(prodRowOffset,S$3),  MATCH(S$2,OFFSET(INDEXNAMEN,S$3,0),0)),""),"")</f>
        <v>1</v>
      </c>
      <c r="T68" s="17">
        <f ca="1">IFERROR(IF(MAX('SORT IMPORT'!$A$13:$A$408)&gt;ROW()-ROW($A$5)-1,INDEX( PRODUKTE,  VLOOKUP(ROW()-ROW($A$5),zeilenindizes,2)+INDEX(prodRowOffset,T$3),  MATCH(T$2,OFFSET(INDEXNAMEN,T$3,0),0)),""),"")</f>
        <v>1</v>
      </c>
      <c r="U68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68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68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68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68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68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68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114</v>
      </c>
      <c r="AB68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68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114</v>
      </c>
      <c r="AD68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68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68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68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68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68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68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68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114</v>
      </c>
      <c r="AL68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11</v>
      </c>
      <c r="AM68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114</v>
      </c>
      <c r="AN68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34</v>
      </c>
      <c r="AO68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68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40</v>
      </c>
      <c r="AQ68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68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20</v>
      </c>
      <c r="AS68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68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68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68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51</v>
      </c>
      <c r="AW68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68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68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69" spans="6:51" ht="22.5" customHeight="1" x14ac:dyDescent="0.3">
      <c r="F69" s="17" t="str">
        <f ca="1">IFERROR(IF(MAX('SORT IMPORT'!$A$13:$A$408)&gt;ROW()-ROW($A$5)-1,INDEX( PRODUKTE,  VLOOKUP(ROW()-ROW($A$5),zeilenindizes,2)+INDEX(prodRowOffset,F$3),  MATCH(F$2,OFFSET(INDEXNAMEN,F$3,0),0)),""),"")</f>
        <v>TS 93 G GSR-EMF 1 /BG EN 5-7</v>
      </c>
      <c r="G69" s="17" t="str">
        <f ca="1">IFERROR(IF(MAX('SORT IMPORT'!$A$13:$A$408)&gt;ROW()-ROW($A$5)-1,INDEX( PRODUKTE,  VLOOKUP(ROW()-ROW($A$5),zeilenindizes,2)+INDEX(prodRowOffset,G$3),  MATCH(G$2,OFFSET(INDEXNAMEN,G$3,0),0)),""),"")</f>
        <v>G</v>
      </c>
      <c r="H69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69" s="17" t="str">
        <f ca="1">IFERROR(IF(MAX('SORT IMPORT'!$A$13:$A$408)&gt;ROW()-ROW($A$5)-1,INDEX( PRODUKTE,  VLOOKUP(ROW()-ROW($A$5),zeilenindizes,2)+INDEX(prodRowOffset,I$3),  MATCH(I$2,OFFSET(INDEXNAMEN,I$3,0),0)),""),"")</f>
        <v>V</v>
      </c>
      <c r="J69" s="17" t="str">
        <f ca="1">IFERROR(IF(MAX('SORT IMPORT'!$A$13:$A$408)&gt;ROW()-ROW($A$5)-1,INDEX( PRODUKTE,  VLOOKUP(ROW()-ROW($A$5),zeilenindizes,2)+INDEX(prodRowOffset,J$3),  MATCH(J$2,OFFSET(INDEXNAMEN,J$3,0),0)),""),"")</f>
        <v>E</v>
      </c>
      <c r="K69" s="17">
        <f ca="1">IFERROR(IF(MAX('SORT IMPORT'!$A$13:$A$408)&gt;ROW()-ROW($A$5)-1,INDEX( PRODUKTE,  VLOOKUP(ROW()-ROW($A$5),zeilenindizes,2)+INDEX(prodRowOffset,K$3),  MATCH(K$2,OFFSET(INDEXNAMEN,K$3,0),0)),""),"")</f>
        <v>8</v>
      </c>
      <c r="L69" s="17">
        <f ca="1">IFERROR(IF(MAX('SORT IMPORT'!$A$13:$A$408)&gt;ROW()-ROW($A$5)-1,INDEX( PRODUKTE,  VLOOKUP(ROW()-ROW($A$5),zeilenindizes,2)+INDEX(prodRowOffset,L$3),  MATCH(L$2,OFFSET(INDEXNAMEN,L$3,0),0)),""),"")</f>
        <v>64</v>
      </c>
      <c r="M69" s="17">
        <f ca="1">IFERROR(IF(MAX('SORT IMPORT'!$A$13:$A$408)&gt;ROW()-ROW($A$5)-1,INDEX( PRODUKTE,  VLOOKUP(ROW()-ROW($A$5),zeilenindizes,2)+INDEX(prodRowOffset,M$3),  MATCH(M$2,OFFSET(INDEXNAMEN,M$3,0),0)),""),"")</f>
        <v>112</v>
      </c>
      <c r="N69" s="17">
        <f ca="1">IFERROR(IF(MAX('SORT IMPORT'!$A$13:$A$408)&gt;ROW()-ROW($A$5)-1,INDEX( PRODUKTE,  VLOOKUP(ROW()-ROW($A$5),zeilenindizes,2)+INDEX(prodRowOffset,N$3),  MATCH(N$2,OFFSET(INDEXNAMEN,N$3,0),0)),""),"")</f>
        <v>2</v>
      </c>
      <c r="O69" s="17">
        <f ca="1">IFERROR(IF(MAX('SORT IMPORT'!$A$13:$A$408)&gt;ROW()-ROW($A$5)-1,INDEX( PRODUKTE,  VLOOKUP(ROW()-ROW($A$5),zeilenindizes,2)+INDEX(prodRowOffset,O$3),  MATCH(O$2,OFFSET(INDEXNAMEN,O$3,0),0)),""),"")</f>
        <v>2</v>
      </c>
      <c r="P69" s="17">
        <f ca="1">IFERROR(IF(MAX('SORT IMPORT'!$A$13:$A$408)&gt;ROW()-ROW($A$5)-1,INDEX( PRODUKTE,  VLOOKUP(ROW()-ROW($A$5),zeilenindizes,2)+INDEX(prodRowOffset,P$3),  MATCH(P$2,OFFSET(INDEXNAMEN,P$3,0),0)),""),"")</f>
        <v>1</v>
      </c>
      <c r="Q69" s="17">
        <f ca="1">IFERROR(IF(MAX('SORT IMPORT'!$A$13:$A$408)&gt;ROW()-ROW($A$5)-1,INDEX( PRODUKTE,  VLOOKUP(ROW()-ROW($A$5),zeilenindizes,2)+INDEX(prodRowOffset,Q$3),  MATCH(Q$2,OFFSET(INDEXNAMEN,Q$3,0),0)),""),"")</f>
        <v>1</v>
      </c>
      <c r="R69" s="17">
        <f ca="1">IFERROR(IF(MAX('SORT IMPORT'!$A$13:$A$408)&gt;ROW()-ROW($A$5)-1,INDEX( PRODUKTE,  VLOOKUP(ROW()-ROW($A$5),zeilenindizes,2)+INDEX(prodRowOffset,R$3),  MATCH(R$2,OFFSET(INDEXNAMEN,R$3,0),0)),""),"")</f>
        <v>0</v>
      </c>
      <c r="S69" s="17">
        <f ca="1">IFERROR(IF(MAX('SORT IMPORT'!$A$13:$A$408)&gt;ROW()-ROW($A$5)-1,INDEX( PRODUKTE,  VLOOKUP(ROW()-ROW($A$5),zeilenindizes,2)+INDEX(prodRowOffset,S$3),  MATCH(S$2,OFFSET(INDEXNAMEN,S$3,0),0)),""),"")</f>
        <v>1</v>
      </c>
      <c r="T69" s="17">
        <f ca="1">IFERROR(IF(MAX('SORT IMPORT'!$A$13:$A$408)&gt;ROW()-ROW($A$5)-1,INDEX( PRODUKTE,  VLOOKUP(ROW()-ROW($A$5),zeilenindizes,2)+INDEX(prodRowOffset,T$3),  MATCH(T$2,OFFSET(INDEXNAMEN,T$3,0),0)),""),"")</f>
        <v>1</v>
      </c>
      <c r="U69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69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69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69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69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69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69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114</v>
      </c>
      <c r="AB69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69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69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69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69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69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69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69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69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69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114</v>
      </c>
      <c r="AL69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69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69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69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69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34</v>
      </c>
      <c r="AQ69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69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17</v>
      </c>
      <c r="AS69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69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69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69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69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69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69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70" spans="6:51" ht="22.5" customHeight="1" x14ac:dyDescent="0.3">
      <c r="F70" s="17" t="str">
        <f ca="1">IFERROR(IF(MAX('SORT IMPORT'!$A$13:$A$408)&gt;ROW()-ROW($A$5)-1,INDEX( PRODUKTE,  VLOOKUP(ROW()-ROW($A$5),zeilenindizes,2)+INDEX(prodRowOffset,F$3),  MATCH(F$2,OFFSET(INDEXNAMEN,F$3,0),0)),""),"")</f>
        <v>TS 93 G GSR-EMF 1G /BG EN 5-7</v>
      </c>
      <c r="G70" s="17" t="str">
        <f ca="1">IFERROR(IF(MAX('SORT IMPORT'!$A$13:$A$408)&gt;ROW()-ROW($A$5)-1,INDEX( PRODUKTE,  VLOOKUP(ROW()-ROW($A$5),zeilenindizes,2)+INDEX(prodRowOffset,G$3),  MATCH(G$2,OFFSET(INDEXNAMEN,G$3,0),0)),""),"")</f>
        <v>G</v>
      </c>
      <c r="H70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70" s="17" t="str">
        <f ca="1">IFERROR(IF(MAX('SORT IMPORT'!$A$13:$A$408)&gt;ROW()-ROW($A$5)-1,INDEX( PRODUKTE,  VLOOKUP(ROW()-ROW($A$5),zeilenindizes,2)+INDEX(prodRowOffset,I$3),  MATCH(I$2,OFFSET(INDEXNAMEN,I$3,0),0)),""),"")</f>
        <v>V</v>
      </c>
      <c r="J70" s="17" t="str">
        <f ca="1">IFERROR(IF(MAX('SORT IMPORT'!$A$13:$A$408)&gt;ROW()-ROW($A$5)-1,INDEX( PRODUKTE,  VLOOKUP(ROW()-ROW($A$5),zeilenindizes,2)+INDEX(prodRowOffset,J$3),  MATCH(J$2,OFFSET(INDEXNAMEN,J$3,0),0)),""),"")</f>
        <v>E</v>
      </c>
      <c r="K70" s="17">
        <f ca="1">IFERROR(IF(MAX('SORT IMPORT'!$A$13:$A$408)&gt;ROW()-ROW($A$5)-1,INDEX( PRODUKTE,  VLOOKUP(ROW()-ROW($A$5),zeilenindizes,2)+INDEX(prodRowOffset,K$3),  MATCH(K$2,OFFSET(INDEXNAMEN,K$3,0),0)),""),"")</f>
        <v>8</v>
      </c>
      <c r="L70" s="17">
        <f ca="1">IFERROR(IF(MAX('SORT IMPORT'!$A$13:$A$408)&gt;ROW()-ROW($A$5)-1,INDEX( PRODUKTE,  VLOOKUP(ROW()-ROW($A$5),zeilenindizes,2)+INDEX(prodRowOffset,L$3),  MATCH(L$2,OFFSET(INDEXNAMEN,L$3,0),0)),""),"")</f>
        <v>128</v>
      </c>
      <c r="M70" s="17">
        <f ca="1">IFERROR(IF(MAX('SORT IMPORT'!$A$13:$A$408)&gt;ROW()-ROW($A$5)-1,INDEX( PRODUKTE,  VLOOKUP(ROW()-ROW($A$5),zeilenindizes,2)+INDEX(prodRowOffset,M$3),  MATCH(M$2,OFFSET(INDEXNAMEN,M$3,0),0)),""),"")</f>
        <v>112</v>
      </c>
      <c r="N70" s="17">
        <f ca="1">IFERROR(IF(MAX('SORT IMPORT'!$A$13:$A$408)&gt;ROW()-ROW($A$5)-1,INDEX( PRODUKTE,  VLOOKUP(ROW()-ROW($A$5),zeilenindizes,2)+INDEX(prodRowOffset,N$3),  MATCH(N$2,OFFSET(INDEXNAMEN,N$3,0),0)),""),"")</f>
        <v>2</v>
      </c>
      <c r="O70" s="17">
        <f ca="1">IFERROR(IF(MAX('SORT IMPORT'!$A$13:$A$408)&gt;ROW()-ROW($A$5)-1,INDEX( PRODUKTE,  VLOOKUP(ROW()-ROW($A$5),zeilenindizes,2)+INDEX(prodRowOffset,O$3),  MATCH(O$2,OFFSET(INDEXNAMEN,O$3,0),0)),""),"")</f>
        <v>2</v>
      </c>
      <c r="P70" s="17">
        <f ca="1">IFERROR(IF(MAX('SORT IMPORT'!$A$13:$A$408)&gt;ROW()-ROW($A$5)-1,INDEX( PRODUKTE,  VLOOKUP(ROW()-ROW($A$5),zeilenindizes,2)+INDEX(prodRowOffset,P$3),  MATCH(P$2,OFFSET(INDEXNAMEN,P$3,0),0)),""),"")</f>
        <v>1</v>
      </c>
      <c r="Q70" s="17">
        <f ca="1">IFERROR(IF(MAX('SORT IMPORT'!$A$13:$A$408)&gt;ROW()-ROW($A$5)-1,INDEX( PRODUKTE,  VLOOKUP(ROW()-ROW($A$5),zeilenindizes,2)+INDEX(prodRowOffset,Q$3),  MATCH(Q$2,OFFSET(INDEXNAMEN,Q$3,0),0)),""),"")</f>
        <v>1</v>
      </c>
      <c r="R70" s="17">
        <f ca="1">IFERROR(IF(MAX('SORT IMPORT'!$A$13:$A$408)&gt;ROW()-ROW($A$5)-1,INDEX( PRODUKTE,  VLOOKUP(ROW()-ROW($A$5),zeilenindizes,2)+INDEX(prodRowOffset,R$3),  MATCH(R$2,OFFSET(INDEXNAMEN,R$3,0),0)),""),"")</f>
        <v>0</v>
      </c>
      <c r="S70" s="17">
        <f ca="1">IFERROR(IF(MAX('SORT IMPORT'!$A$13:$A$408)&gt;ROW()-ROW($A$5)-1,INDEX( PRODUKTE,  VLOOKUP(ROW()-ROW($A$5),zeilenindizes,2)+INDEX(prodRowOffset,S$3),  MATCH(S$2,OFFSET(INDEXNAMEN,S$3,0),0)),""),"")</f>
        <v>1</v>
      </c>
      <c r="T70" s="17">
        <f ca="1">IFERROR(IF(MAX('SORT IMPORT'!$A$13:$A$408)&gt;ROW()-ROW($A$5)-1,INDEX( PRODUKTE,  VLOOKUP(ROW()-ROW($A$5),zeilenindizes,2)+INDEX(prodRowOffset,T$3),  MATCH(T$2,OFFSET(INDEXNAMEN,T$3,0),0)),""),"")</f>
        <v>1</v>
      </c>
      <c r="U70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70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70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70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70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70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70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114</v>
      </c>
      <c r="AB70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70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70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70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70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70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70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70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70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70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114</v>
      </c>
      <c r="AL70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70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70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70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70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34</v>
      </c>
      <c r="AQ70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70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17</v>
      </c>
      <c r="AS70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70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70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70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70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70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70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71" spans="6:51" ht="22.5" customHeight="1" x14ac:dyDescent="0.3">
      <c r="F71" s="17" t="str">
        <f ca="1">IFERROR(IF(MAX('SORT IMPORT'!$A$13:$A$408)&gt;ROW()-ROW($A$5)-1,INDEX( PRODUKTE,  VLOOKUP(ROW()-ROW($A$5),zeilenindizes,2)+INDEX(prodRowOffset,F$3),  MATCH(F$2,OFFSET(INDEXNAMEN,F$3,0),0)),""),"")</f>
        <v>TS 93 G GSR-EMF 2 /BG EN 5-7</v>
      </c>
      <c r="G71" s="17" t="str">
        <f ca="1">IFERROR(IF(MAX('SORT IMPORT'!$A$13:$A$408)&gt;ROW()-ROW($A$5)-1,INDEX( PRODUKTE,  VLOOKUP(ROW()-ROW($A$5),zeilenindizes,2)+INDEX(prodRowOffset,G$3),  MATCH(G$2,OFFSET(INDEXNAMEN,G$3,0),0)),""),"")</f>
        <v>G</v>
      </c>
      <c r="H71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71" s="17" t="str">
        <f ca="1">IFERROR(IF(MAX('SORT IMPORT'!$A$13:$A$408)&gt;ROW()-ROW($A$5)-1,INDEX( PRODUKTE,  VLOOKUP(ROW()-ROW($A$5),zeilenindizes,2)+INDEX(prodRowOffset,I$3),  MATCH(I$2,OFFSET(INDEXNAMEN,I$3,0),0)),""),"")</f>
        <v>V</v>
      </c>
      <c r="J71" s="17" t="str">
        <f ca="1">IFERROR(IF(MAX('SORT IMPORT'!$A$13:$A$408)&gt;ROW()-ROW($A$5)-1,INDEX( PRODUKTE,  VLOOKUP(ROW()-ROW($A$5),zeilenindizes,2)+INDEX(prodRowOffset,J$3),  MATCH(J$2,OFFSET(INDEXNAMEN,J$3,0),0)),""),"")</f>
        <v>E</v>
      </c>
      <c r="K71" s="17">
        <f ca="1">IFERROR(IF(MAX('SORT IMPORT'!$A$13:$A$408)&gt;ROW()-ROW($A$5)-1,INDEX( PRODUKTE,  VLOOKUP(ROW()-ROW($A$5),zeilenindizes,2)+INDEX(prodRowOffset,K$3),  MATCH(K$2,OFFSET(INDEXNAMEN,K$3,0),0)),""),"")</f>
        <v>8</v>
      </c>
      <c r="L71" s="17">
        <f ca="1">IFERROR(IF(MAX('SORT IMPORT'!$A$13:$A$408)&gt;ROW()-ROW($A$5)-1,INDEX( PRODUKTE,  VLOOKUP(ROW()-ROW($A$5),zeilenindizes,2)+INDEX(prodRowOffset,L$3),  MATCH(L$2,OFFSET(INDEXNAMEN,L$3,0),0)),""),"")</f>
        <v>256</v>
      </c>
      <c r="M71" s="17">
        <f ca="1">IFERROR(IF(MAX('SORT IMPORT'!$A$13:$A$408)&gt;ROW()-ROW($A$5)-1,INDEX( PRODUKTE,  VLOOKUP(ROW()-ROW($A$5),zeilenindizes,2)+INDEX(prodRowOffset,M$3),  MATCH(M$2,OFFSET(INDEXNAMEN,M$3,0),0)),""),"")</f>
        <v>112</v>
      </c>
      <c r="N71" s="17">
        <f ca="1">IFERROR(IF(MAX('SORT IMPORT'!$A$13:$A$408)&gt;ROW()-ROW($A$5)-1,INDEX( PRODUKTE,  VLOOKUP(ROW()-ROW($A$5),zeilenindizes,2)+INDEX(prodRowOffset,N$3),  MATCH(N$2,OFFSET(INDEXNAMEN,N$3,0),0)),""),"")</f>
        <v>2</v>
      </c>
      <c r="O71" s="17">
        <f ca="1">IFERROR(IF(MAX('SORT IMPORT'!$A$13:$A$408)&gt;ROW()-ROW($A$5)-1,INDEX( PRODUKTE,  VLOOKUP(ROW()-ROW($A$5),zeilenindizes,2)+INDEX(prodRowOffset,O$3),  MATCH(O$2,OFFSET(INDEXNAMEN,O$3,0),0)),""),"")</f>
        <v>2</v>
      </c>
      <c r="P71" s="17">
        <f ca="1">IFERROR(IF(MAX('SORT IMPORT'!$A$13:$A$408)&gt;ROW()-ROW($A$5)-1,INDEX( PRODUKTE,  VLOOKUP(ROW()-ROW($A$5),zeilenindizes,2)+INDEX(prodRowOffset,P$3),  MATCH(P$2,OFFSET(INDEXNAMEN,P$3,0),0)),""),"")</f>
        <v>1</v>
      </c>
      <c r="Q71" s="17">
        <f ca="1">IFERROR(IF(MAX('SORT IMPORT'!$A$13:$A$408)&gt;ROW()-ROW($A$5)-1,INDEX( PRODUKTE,  VLOOKUP(ROW()-ROW($A$5),zeilenindizes,2)+INDEX(prodRowOffset,Q$3),  MATCH(Q$2,OFFSET(INDEXNAMEN,Q$3,0),0)),""),"")</f>
        <v>1</v>
      </c>
      <c r="R71" s="17">
        <f ca="1">IFERROR(IF(MAX('SORT IMPORT'!$A$13:$A$408)&gt;ROW()-ROW($A$5)-1,INDEX( PRODUKTE,  VLOOKUP(ROW()-ROW($A$5),zeilenindizes,2)+INDEX(prodRowOffset,R$3),  MATCH(R$2,OFFSET(INDEXNAMEN,R$3,0),0)),""),"")</f>
        <v>0</v>
      </c>
      <c r="S71" s="17">
        <f ca="1">IFERROR(IF(MAX('SORT IMPORT'!$A$13:$A$408)&gt;ROW()-ROW($A$5)-1,INDEX( PRODUKTE,  VLOOKUP(ROW()-ROW($A$5),zeilenindizes,2)+INDEX(prodRowOffset,S$3),  MATCH(S$2,OFFSET(INDEXNAMEN,S$3,0),0)),""),"")</f>
        <v>1</v>
      </c>
      <c r="T71" s="17">
        <f ca="1">IFERROR(IF(MAX('SORT IMPORT'!$A$13:$A$408)&gt;ROW()-ROW($A$5)-1,INDEX( PRODUKTE,  VLOOKUP(ROW()-ROW($A$5),zeilenindizes,2)+INDEX(prodRowOffset,T$3),  MATCH(T$2,OFFSET(INDEXNAMEN,T$3,0),0)),""),"")</f>
        <v>1</v>
      </c>
      <c r="U71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71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71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71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71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71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71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114</v>
      </c>
      <c r="AB71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71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71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71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71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71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71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71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71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71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114</v>
      </c>
      <c r="AL71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71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71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71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71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34</v>
      </c>
      <c r="AQ71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71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17</v>
      </c>
      <c r="AS71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71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71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71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71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71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71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72" spans="6:51" ht="22.5" customHeight="1" x14ac:dyDescent="0.3">
      <c r="F72" s="17" t="str">
        <f ca="1">IFERROR(IF(MAX('SORT IMPORT'!$A$13:$A$408)&gt;ROW()-ROW($A$5)-1,INDEX( PRODUKTE,  VLOOKUP(ROW()-ROW($A$5),zeilenindizes,2)+INDEX(prodRowOffset,F$3),  MATCH(F$2,OFFSET(INDEXNAMEN,F$3,0),0)),""),"")</f>
        <v>TS 93 G GSR-EMR 1 /BG EN 5-7</v>
      </c>
      <c r="G72" s="17" t="str">
        <f ca="1">IFERROR(IF(MAX('SORT IMPORT'!$A$13:$A$408)&gt;ROW()-ROW($A$5)-1,INDEX( PRODUKTE,  VLOOKUP(ROW()-ROW($A$5),zeilenindizes,2)+INDEX(prodRowOffset,G$3),  MATCH(G$2,OFFSET(INDEXNAMEN,G$3,0),0)),""),"")</f>
        <v>G</v>
      </c>
      <c r="H72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72" s="17" t="str">
        <f ca="1">IFERROR(IF(MAX('SORT IMPORT'!$A$13:$A$408)&gt;ROW()-ROW($A$5)-1,INDEX( PRODUKTE,  VLOOKUP(ROW()-ROW($A$5),zeilenindizes,2)+INDEX(prodRowOffset,I$3),  MATCH(I$2,OFFSET(INDEXNAMEN,I$3,0),0)),""),"")</f>
        <v>V</v>
      </c>
      <c r="J72" s="17" t="str">
        <f ca="1">IFERROR(IF(MAX('SORT IMPORT'!$A$13:$A$408)&gt;ROW()-ROW($A$5)-1,INDEX( PRODUKTE,  VLOOKUP(ROW()-ROW($A$5),zeilenindizes,2)+INDEX(prodRowOffset,J$3),  MATCH(J$2,OFFSET(INDEXNAMEN,J$3,0),0)),""),"")</f>
        <v>R</v>
      </c>
      <c r="K72" s="17">
        <f ca="1">IFERROR(IF(MAX('SORT IMPORT'!$A$13:$A$408)&gt;ROW()-ROW($A$5)-1,INDEX( PRODUKTE,  VLOOKUP(ROW()-ROW($A$5),zeilenindizes,2)+INDEX(prodRowOffset,K$3),  MATCH(K$2,OFFSET(INDEXNAMEN,K$3,0),0)),""),"")</f>
        <v>8</v>
      </c>
      <c r="L72" s="17">
        <f ca="1">IFERROR(IF(MAX('SORT IMPORT'!$A$13:$A$408)&gt;ROW()-ROW($A$5)-1,INDEX( PRODUKTE,  VLOOKUP(ROW()-ROW($A$5),zeilenindizes,2)+INDEX(prodRowOffset,L$3),  MATCH(L$2,OFFSET(INDEXNAMEN,L$3,0),0)),""),"")</f>
        <v>512</v>
      </c>
      <c r="M72" s="17">
        <f ca="1">IFERROR(IF(MAX('SORT IMPORT'!$A$13:$A$408)&gt;ROW()-ROW($A$5)-1,INDEX( PRODUKTE,  VLOOKUP(ROW()-ROW($A$5),zeilenindizes,2)+INDEX(prodRowOffset,M$3),  MATCH(M$2,OFFSET(INDEXNAMEN,M$3,0),0)),""),"")</f>
        <v>112</v>
      </c>
      <c r="N72" s="17">
        <f ca="1">IFERROR(IF(MAX('SORT IMPORT'!$A$13:$A$408)&gt;ROW()-ROW($A$5)-1,INDEX( PRODUKTE,  VLOOKUP(ROW()-ROW($A$5),zeilenindizes,2)+INDEX(prodRowOffset,N$3),  MATCH(N$2,OFFSET(INDEXNAMEN,N$3,0),0)),""),"")</f>
        <v>2</v>
      </c>
      <c r="O72" s="17">
        <f ca="1">IFERROR(IF(MAX('SORT IMPORT'!$A$13:$A$408)&gt;ROW()-ROW($A$5)-1,INDEX( PRODUKTE,  VLOOKUP(ROW()-ROW($A$5),zeilenindizes,2)+INDEX(prodRowOffset,O$3),  MATCH(O$2,OFFSET(INDEXNAMEN,O$3,0),0)),""),"")</f>
        <v>1</v>
      </c>
      <c r="P72" s="17">
        <f ca="1">IFERROR(IF(MAX('SORT IMPORT'!$A$13:$A$408)&gt;ROW()-ROW($A$5)-1,INDEX( PRODUKTE,  VLOOKUP(ROW()-ROW($A$5),zeilenindizes,2)+INDEX(prodRowOffset,P$3),  MATCH(P$2,OFFSET(INDEXNAMEN,P$3,0),0)),""),"")</f>
        <v>1</v>
      </c>
      <c r="Q72" s="17">
        <f ca="1">IFERROR(IF(MAX('SORT IMPORT'!$A$13:$A$408)&gt;ROW()-ROW($A$5)-1,INDEX( PRODUKTE,  VLOOKUP(ROW()-ROW($A$5),zeilenindizes,2)+INDEX(prodRowOffset,Q$3),  MATCH(Q$2,OFFSET(INDEXNAMEN,Q$3,0),0)),""),"")</f>
        <v>1</v>
      </c>
      <c r="R72" s="17">
        <f ca="1">IFERROR(IF(MAX('SORT IMPORT'!$A$13:$A$408)&gt;ROW()-ROW($A$5)-1,INDEX( PRODUKTE,  VLOOKUP(ROW()-ROW($A$5),zeilenindizes,2)+INDEX(prodRowOffset,R$3),  MATCH(R$2,OFFSET(INDEXNAMEN,R$3,0),0)),""),"")</f>
        <v>0</v>
      </c>
      <c r="S72" s="17">
        <f ca="1">IFERROR(IF(MAX('SORT IMPORT'!$A$13:$A$408)&gt;ROW()-ROW($A$5)-1,INDEX( PRODUKTE,  VLOOKUP(ROW()-ROW($A$5),zeilenindizes,2)+INDEX(prodRowOffset,S$3),  MATCH(S$2,OFFSET(INDEXNAMEN,S$3,0),0)),""),"")</f>
        <v>1</v>
      </c>
      <c r="T72" s="17">
        <f ca="1">IFERROR(IF(MAX('SORT IMPORT'!$A$13:$A$408)&gt;ROW()-ROW($A$5)-1,INDEX( PRODUKTE,  VLOOKUP(ROW()-ROW($A$5),zeilenindizes,2)+INDEX(prodRowOffset,T$3),  MATCH(T$2,OFFSET(INDEXNAMEN,T$3,0),0)),""),"")</f>
        <v>1</v>
      </c>
      <c r="U72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72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72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72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72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72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72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114</v>
      </c>
      <c r="AB72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72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72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72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72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72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72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72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72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72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114</v>
      </c>
      <c r="AL72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72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72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72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72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72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72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72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72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72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72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72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72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72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73" spans="6:51" ht="22.5" customHeight="1" x14ac:dyDescent="0.3">
      <c r="F73" s="17" t="str">
        <f ca="1">IFERROR(IF(MAX('SORT IMPORT'!$A$13:$A$408)&gt;ROW()-ROW($A$5)-1,INDEX( PRODUKTE,  VLOOKUP(ROW()-ROW($A$5),zeilenindizes,2)+INDEX(prodRowOffset,F$3),  MATCH(F$2,OFFSET(INDEXNAMEN,F$3,0),0)),""),"")</f>
        <v>TS 93 G GSR-EMR 1G /BG EN 5-7</v>
      </c>
      <c r="G73" s="17" t="str">
        <f ca="1">IFERROR(IF(MAX('SORT IMPORT'!$A$13:$A$408)&gt;ROW()-ROW($A$5)-1,INDEX( PRODUKTE,  VLOOKUP(ROW()-ROW($A$5),zeilenindizes,2)+INDEX(prodRowOffset,G$3),  MATCH(G$2,OFFSET(INDEXNAMEN,G$3,0),0)),""),"")</f>
        <v>G</v>
      </c>
      <c r="H73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73" s="17" t="str">
        <f ca="1">IFERROR(IF(MAX('SORT IMPORT'!$A$13:$A$408)&gt;ROW()-ROW($A$5)-1,INDEX( PRODUKTE,  VLOOKUP(ROW()-ROW($A$5),zeilenindizes,2)+INDEX(prodRowOffset,I$3),  MATCH(I$2,OFFSET(INDEXNAMEN,I$3,0),0)),""),"")</f>
        <v>V</v>
      </c>
      <c r="J73" s="17" t="str">
        <f ca="1">IFERROR(IF(MAX('SORT IMPORT'!$A$13:$A$408)&gt;ROW()-ROW($A$5)-1,INDEX( PRODUKTE,  VLOOKUP(ROW()-ROW($A$5),zeilenindizes,2)+INDEX(prodRowOffset,J$3),  MATCH(J$2,OFFSET(INDEXNAMEN,J$3,0),0)),""),"")</f>
        <v>R</v>
      </c>
      <c r="K73" s="17">
        <f ca="1">IFERROR(IF(MAX('SORT IMPORT'!$A$13:$A$408)&gt;ROW()-ROW($A$5)-1,INDEX( PRODUKTE,  VLOOKUP(ROW()-ROW($A$5),zeilenindizes,2)+INDEX(prodRowOffset,K$3),  MATCH(K$2,OFFSET(INDEXNAMEN,K$3,0),0)),""),"")</f>
        <v>8</v>
      </c>
      <c r="L73" s="17">
        <f ca="1">IFERROR(IF(MAX('SORT IMPORT'!$A$13:$A$408)&gt;ROW()-ROW($A$5)-1,INDEX( PRODUKTE,  VLOOKUP(ROW()-ROW($A$5),zeilenindizes,2)+INDEX(prodRowOffset,L$3),  MATCH(L$2,OFFSET(INDEXNAMEN,L$3,0),0)),""),"")</f>
        <v>1024</v>
      </c>
      <c r="M73" s="17">
        <f ca="1">IFERROR(IF(MAX('SORT IMPORT'!$A$13:$A$408)&gt;ROW()-ROW($A$5)-1,INDEX( PRODUKTE,  VLOOKUP(ROW()-ROW($A$5),zeilenindizes,2)+INDEX(prodRowOffset,M$3),  MATCH(M$2,OFFSET(INDEXNAMEN,M$3,0),0)),""),"")</f>
        <v>112</v>
      </c>
      <c r="N73" s="17">
        <f ca="1">IFERROR(IF(MAX('SORT IMPORT'!$A$13:$A$408)&gt;ROW()-ROW($A$5)-1,INDEX( PRODUKTE,  VLOOKUP(ROW()-ROW($A$5),zeilenindizes,2)+INDEX(prodRowOffset,N$3),  MATCH(N$2,OFFSET(INDEXNAMEN,N$3,0),0)),""),"")</f>
        <v>2</v>
      </c>
      <c r="O73" s="17">
        <f ca="1">IFERROR(IF(MAX('SORT IMPORT'!$A$13:$A$408)&gt;ROW()-ROW($A$5)-1,INDEX( PRODUKTE,  VLOOKUP(ROW()-ROW($A$5),zeilenindizes,2)+INDEX(prodRowOffset,O$3),  MATCH(O$2,OFFSET(INDEXNAMEN,O$3,0),0)),""),"")</f>
        <v>1</v>
      </c>
      <c r="P73" s="17">
        <f ca="1">IFERROR(IF(MAX('SORT IMPORT'!$A$13:$A$408)&gt;ROW()-ROW($A$5)-1,INDEX( PRODUKTE,  VLOOKUP(ROW()-ROW($A$5),zeilenindizes,2)+INDEX(prodRowOffset,P$3),  MATCH(P$2,OFFSET(INDEXNAMEN,P$3,0),0)),""),"")</f>
        <v>1</v>
      </c>
      <c r="Q73" s="17">
        <f ca="1">IFERROR(IF(MAX('SORT IMPORT'!$A$13:$A$408)&gt;ROW()-ROW($A$5)-1,INDEX( PRODUKTE,  VLOOKUP(ROW()-ROW($A$5),zeilenindizes,2)+INDEX(prodRowOffset,Q$3),  MATCH(Q$2,OFFSET(INDEXNAMEN,Q$3,0),0)),""),"")</f>
        <v>1</v>
      </c>
      <c r="R73" s="17">
        <f ca="1">IFERROR(IF(MAX('SORT IMPORT'!$A$13:$A$408)&gt;ROW()-ROW($A$5)-1,INDEX( PRODUKTE,  VLOOKUP(ROW()-ROW($A$5),zeilenindizes,2)+INDEX(prodRowOffset,R$3),  MATCH(R$2,OFFSET(INDEXNAMEN,R$3,0),0)),""),"")</f>
        <v>0</v>
      </c>
      <c r="S73" s="17">
        <f ca="1">IFERROR(IF(MAX('SORT IMPORT'!$A$13:$A$408)&gt;ROW()-ROW($A$5)-1,INDEX( PRODUKTE,  VLOOKUP(ROW()-ROW($A$5),zeilenindizes,2)+INDEX(prodRowOffset,S$3),  MATCH(S$2,OFFSET(INDEXNAMEN,S$3,0),0)),""),"")</f>
        <v>1</v>
      </c>
      <c r="T73" s="17">
        <f ca="1">IFERROR(IF(MAX('SORT IMPORT'!$A$13:$A$408)&gt;ROW()-ROW($A$5)-1,INDEX( PRODUKTE,  VLOOKUP(ROW()-ROW($A$5),zeilenindizes,2)+INDEX(prodRowOffset,T$3),  MATCH(T$2,OFFSET(INDEXNAMEN,T$3,0),0)),""),"")</f>
        <v>1</v>
      </c>
      <c r="U73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73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73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73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73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73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73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114</v>
      </c>
      <c r="AB73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73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73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73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73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73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73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73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73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73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114</v>
      </c>
      <c r="AL73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73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73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73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73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73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73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73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73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73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73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73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73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73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74" spans="6:51" ht="22.5" customHeight="1" x14ac:dyDescent="0.3">
      <c r="F74" s="17" t="str">
        <f ca="1">IFERROR(IF(MAX('SORT IMPORT'!$A$13:$A$408)&gt;ROW()-ROW($A$5)-1,INDEX( PRODUKTE,  VLOOKUP(ROW()-ROW($A$5),zeilenindizes,2)+INDEX(prodRowOffset,F$3),  MATCH(F$2,OFFSET(INDEXNAMEN,F$3,0),0)),""),"")</f>
        <v>TS 93 G GSR-EMR 2 /BG EN 5-7</v>
      </c>
      <c r="G74" s="17" t="str">
        <f ca="1">IFERROR(IF(MAX('SORT IMPORT'!$A$13:$A$408)&gt;ROW()-ROW($A$5)-1,INDEX( PRODUKTE,  VLOOKUP(ROW()-ROW($A$5),zeilenindizes,2)+INDEX(prodRowOffset,G$3),  MATCH(G$2,OFFSET(INDEXNAMEN,G$3,0),0)),""),"")</f>
        <v>G</v>
      </c>
      <c r="H74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74" s="17" t="str">
        <f ca="1">IFERROR(IF(MAX('SORT IMPORT'!$A$13:$A$408)&gt;ROW()-ROW($A$5)-1,INDEX( PRODUKTE,  VLOOKUP(ROW()-ROW($A$5),zeilenindizes,2)+INDEX(prodRowOffset,I$3),  MATCH(I$2,OFFSET(INDEXNAMEN,I$3,0),0)),""),"")</f>
        <v>V</v>
      </c>
      <c r="J74" s="17" t="str">
        <f ca="1">IFERROR(IF(MAX('SORT IMPORT'!$A$13:$A$408)&gt;ROW()-ROW($A$5)-1,INDEX( PRODUKTE,  VLOOKUP(ROW()-ROW($A$5),zeilenindizes,2)+INDEX(prodRowOffset,J$3),  MATCH(J$2,OFFSET(INDEXNAMEN,J$3,0),0)),""),"")</f>
        <v>R</v>
      </c>
      <c r="K74" s="17">
        <f ca="1">IFERROR(IF(MAX('SORT IMPORT'!$A$13:$A$408)&gt;ROW()-ROW($A$5)-1,INDEX( PRODUKTE,  VLOOKUP(ROW()-ROW($A$5),zeilenindizes,2)+INDEX(prodRowOffset,K$3),  MATCH(K$2,OFFSET(INDEXNAMEN,K$3,0),0)),""),"")</f>
        <v>8</v>
      </c>
      <c r="L74" s="17">
        <f ca="1">IFERROR(IF(MAX('SORT IMPORT'!$A$13:$A$408)&gt;ROW()-ROW($A$5)-1,INDEX( PRODUKTE,  VLOOKUP(ROW()-ROW($A$5),zeilenindizes,2)+INDEX(prodRowOffset,L$3),  MATCH(L$2,OFFSET(INDEXNAMEN,L$3,0),0)),""),"")</f>
        <v>2048</v>
      </c>
      <c r="M74" s="17">
        <f ca="1">IFERROR(IF(MAX('SORT IMPORT'!$A$13:$A$408)&gt;ROW()-ROW($A$5)-1,INDEX( PRODUKTE,  VLOOKUP(ROW()-ROW($A$5),zeilenindizes,2)+INDEX(prodRowOffset,M$3),  MATCH(M$2,OFFSET(INDEXNAMEN,M$3,0),0)),""),"")</f>
        <v>112</v>
      </c>
      <c r="N74" s="17">
        <f ca="1">IFERROR(IF(MAX('SORT IMPORT'!$A$13:$A$408)&gt;ROW()-ROW($A$5)-1,INDEX( PRODUKTE,  VLOOKUP(ROW()-ROW($A$5),zeilenindizes,2)+INDEX(prodRowOffset,N$3),  MATCH(N$2,OFFSET(INDEXNAMEN,N$3,0),0)),""),"")</f>
        <v>2</v>
      </c>
      <c r="O74" s="17">
        <f ca="1">IFERROR(IF(MAX('SORT IMPORT'!$A$13:$A$408)&gt;ROW()-ROW($A$5)-1,INDEX( PRODUKTE,  VLOOKUP(ROW()-ROW($A$5),zeilenindizes,2)+INDEX(prodRowOffset,O$3),  MATCH(O$2,OFFSET(INDEXNAMEN,O$3,0),0)),""),"")</f>
        <v>1</v>
      </c>
      <c r="P74" s="17">
        <f ca="1">IFERROR(IF(MAX('SORT IMPORT'!$A$13:$A$408)&gt;ROW()-ROW($A$5)-1,INDEX( PRODUKTE,  VLOOKUP(ROW()-ROW($A$5),zeilenindizes,2)+INDEX(prodRowOffset,P$3),  MATCH(P$2,OFFSET(INDEXNAMEN,P$3,0),0)),""),"")</f>
        <v>1</v>
      </c>
      <c r="Q74" s="17">
        <f ca="1">IFERROR(IF(MAX('SORT IMPORT'!$A$13:$A$408)&gt;ROW()-ROW($A$5)-1,INDEX( PRODUKTE,  VLOOKUP(ROW()-ROW($A$5),zeilenindizes,2)+INDEX(prodRowOffset,Q$3),  MATCH(Q$2,OFFSET(INDEXNAMEN,Q$3,0),0)),""),"")</f>
        <v>1</v>
      </c>
      <c r="R74" s="17">
        <f ca="1">IFERROR(IF(MAX('SORT IMPORT'!$A$13:$A$408)&gt;ROW()-ROW($A$5)-1,INDEX( PRODUKTE,  VLOOKUP(ROW()-ROW($A$5),zeilenindizes,2)+INDEX(prodRowOffset,R$3),  MATCH(R$2,OFFSET(INDEXNAMEN,R$3,0),0)),""),"")</f>
        <v>0</v>
      </c>
      <c r="S74" s="17">
        <f ca="1">IFERROR(IF(MAX('SORT IMPORT'!$A$13:$A$408)&gt;ROW()-ROW($A$5)-1,INDEX( PRODUKTE,  VLOOKUP(ROW()-ROW($A$5),zeilenindizes,2)+INDEX(prodRowOffset,S$3),  MATCH(S$2,OFFSET(INDEXNAMEN,S$3,0),0)),""),"")</f>
        <v>1</v>
      </c>
      <c r="T74" s="17">
        <f ca="1">IFERROR(IF(MAX('SORT IMPORT'!$A$13:$A$408)&gt;ROW()-ROW($A$5)-1,INDEX( PRODUKTE,  VLOOKUP(ROW()-ROW($A$5),zeilenindizes,2)+INDEX(prodRowOffset,T$3),  MATCH(T$2,OFFSET(INDEXNAMEN,T$3,0),0)),""),"")</f>
        <v>1</v>
      </c>
      <c r="U74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74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74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74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74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74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74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114</v>
      </c>
      <c r="AB74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74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74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74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74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74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74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74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74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74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114</v>
      </c>
      <c r="AL74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74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74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74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74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74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74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74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74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74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74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74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74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74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75" spans="6:51" ht="22.5" customHeight="1" x14ac:dyDescent="0.3">
      <c r="F75" s="17" t="str">
        <f ca="1">IFERROR(IF(MAX('SORT IMPORT'!$A$13:$A$408)&gt;ROW()-ROW($A$5)-1,INDEX( PRODUKTE,  VLOOKUP(ROW()-ROW($A$5),zeilenindizes,2)+INDEX(prodRowOffset,F$3),  MATCH(F$2,OFFSET(INDEXNAMEN,F$3,0),0)),""),"")</f>
        <v>TS 93 G GSR /BG EN 5-7</v>
      </c>
      <c r="G75" s="17" t="str">
        <f ca="1">IFERROR(IF(MAX('SORT IMPORT'!$A$13:$A$408)&gt;ROW()-ROW($A$5)-1,INDEX( PRODUKTE,  VLOOKUP(ROW()-ROW($A$5),zeilenindizes,2)+INDEX(prodRowOffset,G$3),  MATCH(G$2,OFFSET(INDEXNAMEN,G$3,0),0)),""),"")</f>
        <v>G</v>
      </c>
      <c r="H75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75" s="17" t="str">
        <f ca="1">IFERROR(IF(MAX('SORT IMPORT'!$A$13:$A$408)&gt;ROW()-ROW($A$5)-1,INDEX( PRODUKTE,  VLOOKUP(ROW()-ROW($A$5),zeilenindizes,2)+INDEX(prodRowOffset,I$3),  MATCH(I$2,OFFSET(INDEXNAMEN,I$3,0),0)),""),"")</f>
        <v>V</v>
      </c>
      <c r="J75" s="17" t="str">
        <f ca="1">IFERROR(IF(MAX('SORT IMPORT'!$A$13:$A$408)&gt;ROW()-ROW($A$5)-1,INDEX( PRODUKTE,  VLOOKUP(ROW()-ROW($A$5),zeilenindizes,2)+INDEX(prodRowOffset,J$3),  MATCH(J$2,OFFSET(INDEXNAMEN,J$3,0),0)),""),"")</f>
        <v/>
      </c>
      <c r="K75" s="17">
        <f ca="1">IFERROR(IF(MAX('SORT IMPORT'!$A$13:$A$408)&gt;ROW()-ROW($A$5)-1,INDEX( PRODUKTE,  VLOOKUP(ROW()-ROW($A$5),zeilenindizes,2)+INDEX(prodRowOffset,K$3),  MATCH(K$2,OFFSET(INDEXNAMEN,K$3,0),0)),""),"")</f>
        <v>8</v>
      </c>
      <c r="L75" s="17">
        <f ca="1">IFERROR(IF(MAX('SORT IMPORT'!$A$13:$A$408)&gt;ROW()-ROW($A$5)-1,INDEX( PRODUKTE,  VLOOKUP(ROW()-ROW($A$5),zeilenindizes,2)+INDEX(prodRowOffset,L$3),  MATCH(L$2,OFFSET(INDEXNAMEN,L$3,0),0)),""),"")</f>
        <v>16</v>
      </c>
      <c r="M75" s="17">
        <f ca="1">IFERROR(IF(MAX('SORT IMPORT'!$A$13:$A$408)&gt;ROW()-ROW($A$5)-1,INDEX( PRODUKTE,  VLOOKUP(ROW()-ROW($A$5),zeilenindizes,2)+INDEX(prodRowOffset,M$3),  MATCH(M$2,OFFSET(INDEXNAMEN,M$3,0),0)),""),"")</f>
        <v>112</v>
      </c>
      <c r="N75" s="17">
        <f ca="1">IFERROR(IF(MAX('SORT IMPORT'!$A$13:$A$408)&gt;ROW()-ROW($A$5)-1,INDEX( PRODUKTE,  VLOOKUP(ROW()-ROW($A$5),zeilenindizes,2)+INDEX(prodRowOffset,N$3),  MATCH(N$2,OFFSET(INDEXNAMEN,N$3,0),0)),""),"")</f>
        <v>2</v>
      </c>
      <c r="O75" s="17">
        <f ca="1">IFERROR(IF(MAX('SORT IMPORT'!$A$13:$A$408)&gt;ROW()-ROW($A$5)-1,INDEX( PRODUKTE,  VLOOKUP(ROW()-ROW($A$5),zeilenindizes,2)+INDEX(prodRowOffset,O$3),  MATCH(O$2,OFFSET(INDEXNAMEN,O$3,0),0)),""),"")</f>
        <v>0</v>
      </c>
      <c r="P75" s="17">
        <f ca="1">IFERROR(IF(MAX('SORT IMPORT'!$A$13:$A$408)&gt;ROW()-ROW($A$5)-1,INDEX( PRODUKTE,  VLOOKUP(ROW()-ROW($A$5),zeilenindizes,2)+INDEX(prodRowOffset,P$3),  MATCH(P$2,OFFSET(INDEXNAMEN,P$3,0),0)),""),"")</f>
        <v>2</v>
      </c>
      <c r="Q75" s="17">
        <f ca="1">IFERROR(IF(MAX('SORT IMPORT'!$A$13:$A$408)&gt;ROW()-ROW($A$5)-1,INDEX( PRODUKTE,  VLOOKUP(ROW()-ROW($A$5),zeilenindizes,2)+INDEX(prodRowOffset,Q$3),  MATCH(Q$2,OFFSET(INDEXNAMEN,Q$3,0),0)),""),"")</f>
        <v>1</v>
      </c>
      <c r="R75" s="17">
        <f ca="1">IFERROR(IF(MAX('SORT IMPORT'!$A$13:$A$408)&gt;ROW()-ROW($A$5)-1,INDEX( PRODUKTE,  VLOOKUP(ROW()-ROW($A$5),zeilenindizes,2)+INDEX(prodRowOffset,R$3),  MATCH(R$2,OFFSET(INDEXNAMEN,R$3,0),0)),""),"")</f>
        <v>0</v>
      </c>
      <c r="S75" s="17">
        <f ca="1">IFERROR(IF(MAX('SORT IMPORT'!$A$13:$A$408)&gt;ROW()-ROW($A$5)-1,INDEX( PRODUKTE,  VLOOKUP(ROW()-ROW($A$5),zeilenindizes,2)+INDEX(prodRowOffset,S$3),  MATCH(S$2,OFFSET(INDEXNAMEN,S$3,0),0)),""),"")</f>
        <v>1</v>
      </c>
      <c r="T75" s="17">
        <f ca="1">IFERROR(IF(MAX('SORT IMPORT'!$A$13:$A$408)&gt;ROW()-ROW($A$5)-1,INDEX( PRODUKTE,  VLOOKUP(ROW()-ROW($A$5),zeilenindizes,2)+INDEX(prodRowOffset,T$3),  MATCH(T$2,OFFSET(INDEXNAMEN,T$3,0),0)),""),"")</f>
        <v>1</v>
      </c>
      <c r="U75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75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75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75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75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75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75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45</v>
      </c>
      <c r="AB75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75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45</v>
      </c>
      <c r="AD75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75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75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75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75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75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75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75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45</v>
      </c>
      <c r="AL75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75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45</v>
      </c>
      <c r="AN75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34</v>
      </c>
      <c r="AO75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75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34</v>
      </c>
      <c r="AQ75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75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17</v>
      </c>
      <c r="AS75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75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75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75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51</v>
      </c>
      <c r="AW75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75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75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76" spans="6:51" ht="22.5" customHeight="1" x14ac:dyDescent="0.3">
      <c r="F76" s="17" t="str">
        <f ca="1">IFERROR(IF(MAX('SORT IMPORT'!$A$13:$A$408)&gt;ROW()-ROW($A$5)-1,INDEX( PRODUKTE,  VLOOKUP(ROW()-ROW($A$5),zeilenindizes,2)+INDEX(prodRowOffset,F$3),  MATCH(F$2,OFFSET(INDEXNAMEN,F$3,0),0)),""),"")</f>
        <v>TS 93 G GSR RF /BG EN 5-7</v>
      </c>
      <c r="G76" s="17" t="str">
        <f ca="1">IFERROR(IF(MAX('SORT IMPORT'!$A$13:$A$408)&gt;ROW()-ROW($A$5)-1,INDEX( PRODUKTE,  VLOOKUP(ROW()-ROW($A$5),zeilenindizes,2)+INDEX(prodRowOffset,G$3),  MATCH(G$2,OFFSET(INDEXNAMEN,G$3,0),0)),""),"")</f>
        <v>G</v>
      </c>
      <c r="H76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76" s="17" t="str">
        <f ca="1">IFERROR(IF(MAX('SORT IMPORT'!$A$13:$A$408)&gt;ROW()-ROW($A$5)-1,INDEX( PRODUKTE,  VLOOKUP(ROW()-ROW($A$5),zeilenindizes,2)+INDEX(prodRowOffset,I$3),  MATCH(I$2,OFFSET(INDEXNAMEN,I$3,0),0)),""),"")</f>
        <v>V</v>
      </c>
      <c r="J76" s="17" t="str">
        <f ca="1">IFERROR(IF(MAX('SORT IMPORT'!$A$13:$A$408)&gt;ROW()-ROW($A$5)-1,INDEX( PRODUKTE,  VLOOKUP(ROW()-ROW($A$5),zeilenindizes,2)+INDEX(prodRowOffset,J$3),  MATCH(J$2,OFFSET(INDEXNAMEN,J$3,0),0)),""),"")</f>
        <v>M</v>
      </c>
      <c r="K76" s="17">
        <f ca="1">IFERROR(IF(MAX('SORT IMPORT'!$A$13:$A$408)&gt;ROW()-ROW($A$5)-1,INDEX( PRODUKTE,  VLOOKUP(ROW()-ROW($A$5),zeilenindizes,2)+INDEX(prodRowOffset,K$3),  MATCH(K$2,OFFSET(INDEXNAMEN,K$3,0),0)),""),"")</f>
        <v>8</v>
      </c>
      <c r="L76" s="17">
        <f ca="1">IFERROR(IF(MAX('SORT IMPORT'!$A$13:$A$408)&gt;ROW()-ROW($A$5)-1,INDEX( PRODUKTE,  VLOOKUP(ROW()-ROW($A$5),zeilenindizes,2)+INDEX(prodRowOffset,L$3),  MATCH(L$2,OFFSET(INDEXNAMEN,L$3,0),0)),""),"")</f>
        <v>32</v>
      </c>
      <c r="M76" s="17">
        <f ca="1">IFERROR(IF(MAX('SORT IMPORT'!$A$13:$A$408)&gt;ROW()-ROW($A$5)-1,INDEX( PRODUKTE,  VLOOKUP(ROW()-ROW($A$5),zeilenindizes,2)+INDEX(prodRowOffset,M$3),  MATCH(M$2,OFFSET(INDEXNAMEN,M$3,0),0)),""),"")</f>
        <v>112</v>
      </c>
      <c r="N76" s="17">
        <f ca="1">IFERROR(IF(MAX('SORT IMPORT'!$A$13:$A$408)&gt;ROW()-ROW($A$5)-1,INDEX( PRODUKTE,  VLOOKUP(ROW()-ROW($A$5),zeilenindizes,2)+INDEX(prodRowOffset,N$3),  MATCH(N$2,OFFSET(INDEXNAMEN,N$3,0),0)),""),"")</f>
        <v>2</v>
      </c>
      <c r="O76" s="17">
        <f ca="1">IFERROR(IF(MAX('SORT IMPORT'!$A$13:$A$408)&gt;ROW()-ROW($A$5)-1,INDEX( PRODUKTE,  VLOOKUP(ROW()-ROW($A$5),zeilenindizes,2)+INDEX(prodRowOffset,O$3),  MATCH(O$2,OFFSET(INDEXNAMEN,O$3,0),0)),""),"")</f>
        <v>0</v>
      </c>
      <c r="P76" s="17">
        <f ca="1">IFERROR(IF(MAX('SORT IMPORT'!$A$13:$A$408)&gt;ROW()-ROW($A$5)-1,INDEX( PRODUKTE,  VLOOKUP(ROW()-ROW($A$5),zeilenindizes,2)+INDEX(prodRowOffset,P$3),  MATCH(P$2,OFFSET(INDEXNAMEN,P$3,0),0)),""),"")</f>
        <v>2</v>
      </c>
      <c r="Q76" s="17">
        <f ca="1">IFERROR(IF(MAX('SORT IMPORT'!$A$13:$A$408)&gt;ROW()-ROW($A$5)-1,INDEX( PRODUKTE,  VLOOKUP(ROW()-ROW($A$5),zeilenindizes,2)+INDEX(prodRowOffset,Q$3),  MATCH(Q$2,OFFSET(INDEXNAMEN,Q$3,0),0)),""),"")</f>
        <v>0</v>
      </c>
      <c r="R76" s="17">
        <f ca="1">IFERROR(IF(MAX('SORT IMPORT'!$A$13:$A$408)&gt;ROW()-ROW($A$5)-1,INDEX( PRODUKTE,  VLOOKUP(ROW()-ROW($A$5),zeilenindizes,2)+INDEX(prodRowOffset,R$3),  MATCH(R$2,OFFSET(INDEXNAMEN,R$3,0),0)),""),"")</f>
        <v>0</v>
      </c>
      <c r="S76" s="17">
        <f ca="1">IFERROR(IF(MAX('SORT IMPORT'!$A$13:$A$408)&gt;ROW()-ROW($A$5)-1,INDEX( PRODUKTE,  VLOOKUP(ROW()-ROW($A$5),zeilenindizes,2)+INDEX(prodRowOffset,S$3),  MATCH(S$2,OFFSET(INDEXNAMEN,S$3,0),0)),""),"")</f>
        <v>1</v>
      </c>
      <c r="T76" s="17">
        <f ca="1">IFERROR(IF(MAX('SORT IMPORT'!$A$13:$A$408)&gt;ROW()-ROW($A$5)-1,INDEX( PRODUKTE,  VLOOKUP(ROW()-ROW($A$5),zeilenindizes,2)+INDEX(prodRowOffset,T$3),  MATCH(T$2,OFFSET(INDEXNAMEN,T$3,0),0)),""),"")</f>
        <v>1</v>
      </c>
      <c r="U76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76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76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76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76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76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76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45</v>
      </c>
      <c r="AB76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76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45</v>
      </c>
      <c r="AD76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76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76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76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76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76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76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76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45</v>
      </c>
      <c r="AL76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76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45</v>
      </c>
      <c r="AN76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34</v>
      </c>
      <c r="AO76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76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34</v>
      </c>
      <c r="AQ76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76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17</v>
      </c>
      <c r="AS76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76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76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76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51</v>
      </c>
      <c r="AW76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76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76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77" spans="6:51" ht="22.5" customHeight="1" x14ac:dyDescent="0.3">
      <c r="F77" s="17" t="str">
        <f ca="1">IFERROR(IF(MAX('SORT IMPORT'!$A$13:$A$408)&gt;ROW()-ROW($A$5)-1,INDEX( PRODUKTE,  VLOOKUP(ROW()-ROW($A$5),zeilenindizes,2)+INDEX(prodRowOffset,F$3),  MATCH(F$2,OFFSET(INDEXNAMEN,F$3,0),0)),""),"")</f>
        <v>TS 93 G GSR-EMF 1 /BG EN 5-7</v>
      </c>
      <c r="G77" s="17" t="str">
        <f ca="1">IFERROR(IF(MAX('SORT IMPORT'!$A$13:$A$408)&gt;ROW()-ROW($A$5)-1,INDEX( PRODUKTE,  VLOOKUP(ROW()-ROW($A$5),zeilenindizes,2)+INDEX(prodRowOffset,G$3),  MATCH(G$2,OFFSET(INDEXNAMEN,G$3,0),0)),""),"")</f>
        <v>G</v>
      </c>
      <c r="H77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77" s="17" t="str">
        <f ca="1">IFERROR(IF(MAX('SORT IMPORT'!$A$13:$A$408)&gt;ROW()-ROW($A$5)-1,INDEX( PRODUKTE,  VLOOKUP(ROW()-ROW($A$5),zeilenindizes,2)+INDEX(prodRowOffset,I$3),  MATCH(I$2,OFFSET(INDEXNAMEN,I$3,0),0)),""),"")</f>
        <v>V</v>
      </c>
      <c r="J77" s="17" t="str">
        <f ca="1">IFERROR(IF(MAX('SORT IMPORT'!$A$13:$A$408)&gt;ROW()-ROW($A$5)-1,INDEX( PRODUKTE,  VLOOKUP(ROW()-ROW($A$5),zeilenindizes,2)+INDEX(prodRowOffset,J$3),  MATCH(J$2,OFFSET(INDEXNAMEN,J$3,0),0)),""),"")</f>
        <v>E</v>
      </c>
      <c r="K77" s="17">
        <f ca="1">IFERROR(IF(MAX('SORT IMPORT'!$A$13:$A$408)&gt;ROW()-ROW($A$5)-1,INDEX( PRODUKTE,  VLOOKUP(ROW()-ROW($A$5),zeilenindizes,2)+INDEX(prodRowOffset,K$3),  MATCH(K$2,OFFSET(INDEXNAMEN,K$3,0),0)),""),"")</f>
        <v>8</v>
      </c>
      <c r="L77" s="17">
        <f ca="1">IFERROR(IF(MAX('SORT IMPORT'!$A$13:$A$408)&gt;ROW()-ROW($A$5)-1,INDEX( PRODUKTE,  VLOOKUP(ROW()-ROW($A$5),zeilenindizes,2)+INDEX(prodRowOffset,L$3),  MATCH(L$2,OFFSET(INDEXNAMEN,L$3,0),0)),""),"")</f>
        <v>64</v>
      </c>
      <c r="M77" s="17">
        <f ca="1">IFERROR(IF(MAX('SORT IMPORT'!$A$13:$A$408)&gt;ROW()-ROW($A$5)-1,INDEX( PRODUKTE,  VLOOKUP(ROW()-ROW($A$5),zeilenindizes,2)+INDEX(prodRowOffset,M$3),  MATCH(M$2,OFFSET(INDEXNAMEN,M$3,0),0)),""),"")</f>
        <v>112</v>
      </c>
      <c r="N77" s="17">
        <f ca="1">IFERROR(IF(MAX('SORT IMPORT'!$A$13:$A$408)&gt;ROW()-ROW($A$5)-1,INDEX( PRODUKTE,  VLOOKUP(ROW()-ROW($A$5),zeilenindizes,2)+INDEX(prodRowOffset,N$3),  MATCH(N$2,OFFSET(INDEXNAMEN,N$3,0),0)),""),"")</f>
        <v>2</v>
      </c>
      <c r="O77" s="17">
        <f ca="1">IFERROR(IF(MAX('SORT IMPORT'!$A$13:$A$408)&gt;ROW()-ROW($A$5)-1,INDEX( PRODUKTE,  VLOOKUP(ROW()-ROW($A$5),zeilenindizes,2)+INDEX(prodRowOffset,O$3),  MATCH(O$2,OFFSET(INDEXNAMEN,O$3,0),0)),""),"")</f>
        <v>2</v>
      </c>
      <c r="P77" s="17">
        <f ca="1">IFERROR(IF(MAX('SORT IMPORT'!$A$13:$A$408)&gt;ROW()-ROW($A$5)-1,INDEX( PRODUKTE,  VLOOKUP(ROW()-ROW($A$5),zeilenindizes,2)+INDEX(prodRowOffset,P$3),  MATCH(P$2,OFFSET(INDEXNAMEN,P$3,0),0)),""),"")</f>
        <v>2</v>
      </c>
      <c r="Q77" s="17">
        <f ca="1">IFERROR(IF(MAX('SORT IMPORT'!$A$13:$A$408)&gt;ROW()-ROW($A$5)-1,INDEX( PRODUKTE,  VLOOKUP(ROW()-ROW($A$5),zeilenindizes,2)+INDEX(prodRowOffset,Q$3),  MATCH(Q$2,OFFSET(INDEXNAMEN,Q$3,0),0)),""),"")</f>
        <v>1</v>
      </c>
      <c r="R77" s="17">
        <f ca="1">IFERROR(IF(MAX('SORT IMPORT'!$A$13:$A$408)&gt;ROW()-ROW($A$5)-1,INDEX( PRODUKTE,  VLOOKUP(ROW()-ROW($A$5),zeilenindizes,2)+INDEX(prodRowOffset,R$3),  MATCH(R$2,OFFSET(INDEXNAMEN,R$3,0),0)),""),"")</f>
        <v>0</v>
      </c>
      <c r="S77" s="17">
        <f ca="1">IFERROR(IF(MAX('SORT IMPORT'!$A$13:$A$408)&gt;ROW()-ROW($A$5)-1,INDEX( PRODUKTE,  VLOOKUP(ROW()-ROW($A$5),zeilenindizes,2)+INDEX(prodRowOffset,S$3),  MATCH(S$2,OFFSET(INDEXNAMEN,S$3,0),0)),""),"")</f>
        <v>1</v>
      </c>
      <c r="T77" s="17">
        <f ca="1">IFERROR(IF(MAX('SORT IMPORT'!$A$13:$A$408)&gt;ROW()-ROW($A$5)-1,INDEX( PRODUKTE,  VLOOKUP(ROW()-ROW($A$5),zeilenindizes,2)+INDEX(prodRowOffset,T$3),  MATCH(T$2,OFFSET(INDEXNAMEN,T$3,0),0)),""),"")</f>
        <v>1</v>
      </c>
      <c r="U77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77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77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77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77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77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77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45</v>
      </c>
      <c r="AB77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77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77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77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77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77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77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77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77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77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45</v>
      </c>
      <c r="AL77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77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77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77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77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77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77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77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77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77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77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77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77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77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78" spans="6:51" ht="22.5" customHeight="1" x14ac:dyDescent="0.3">
      <c r="F78" s="17" t="str">
        <f ca="1">IFERROR(IF(MAX('SORT IMPORT'!$A$13:$A$408)&gt;ROW()-ROW($A$5)-1,INDEX( PRODUKTE,  VLOOKUP(ROW()-ROW($A$5),zeilenindizes,2)+INDEX(prodRowOffset,F$3),  MATCH(F$2,OFFSET(INDEXNAMEN,F$3,0),0)),""),"")</f>
        <v>TS 93 G GSR-EMF 1G /BG EN 5-7</v>
      </c>
      <c r="G78" s="17" t="str">
        <f ca="1">IFERROR(IF(MAX('SORT IMPORT'!$A$13:$A$408)&gt;ROW()-ROW($A$5)-1,INDEX( PRODUKTE,  VLOOKUP(ROW()-ROW($A$5),zeilenindizes,2)+INDEX(prodRowOffset,G$3),  MATCH(G$2,OFFSET(INDEXNAMEN,G$3,0),0)),""),"")</f>
        <v>G</v>
      </c>
      <c r="H78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78" s="17" t="str">
        <f ca="1">IFERROR(IF(MAX('SORT IMPORT'!$A$13:$A$408)&gt;ROW()-ROW($A$5)-1,INDEX( PRODUKTE,  VLOOKUP(ROW()-ROW($A$5),zeilenindizes,2)+INDEX(prodRowOffset,I$3),  MATCH(I$2,OFFSET(INDEXNAMEN,I$3,0),0)),""),"")</f>
        <v>V</v>
      </c>
      <c r="J78" s="17" t="str">
        <f ca="1">IFERROR(IF(MAX('SORT IMPORT'!$A$13:$A$408)&gt;ROW()-ROW($A$5)-1,INDEX( PRODUKTE,  VLOOKUP(ROW()-ROW($A$5),zeilenindizes,2)+INDEX(prodRowOffset,J$3),  MATCH(J$2,OFFSET(INDEXNAMEN,J$3,0),0)),""),"")</f>
        <v>E</v>
      </c>
      <c r="K78" s="17">
        <f ca="1">IFERROR(IF(MAX('SORT IMPORT'!$A$13:$A$408)&gt;ROW()-ROW($A$5)-1,INDEX( PRODUKTE,  VLOOKUP(ROW()-ROW($A$5),zeilenindizes,2)+INDEX(prodRowOffset,K$3),  MATCH(K$2,OFFSET(INDEXNAMEN,K$3,0),0)),""),"")</f>
        <v>8</v>
      </c>
      <c r="L78" s="17">
        <f ca="1">IFERROR(IF(MAX('SORT IMPORT'!$A$13:$A$408)&gt;ROW()-ROW($A$5)-1,INDEX( PRODUKTE,  VLOOKUP(ROW()-ROW($A$5),zeilenindizes,2)+INDEX(prodRowOffset,L$3),  MATCH(L$2,OFFSET(INDEXNAMEN,L$3,0),0)),""),"")</f>
        <v>128</v>
      </c>
      <c r="M78" s="17">
        <f ca="1">IFERROR(IF(MAX('SORT IMPORT'!$A$13:$A$408)&gt;ROW()-ROW($A$5)-1,INDEX( PRODUKTE,  VLOOKUP(ROW()-ROW($A$5),zeilenindizes,2)+INDEX(prodRowOffset,M$3),  MATCH(M$2,OFFSET(INDEXNAMEN,M$3,0),0)),""),"")</f>
        <v>112</v>
      </c>
      <c r="N78" s="17">
        <f ca="1">IFERROR(IF(MAX('SORT IMPORT'!$A$13:$A$408)&gt;ROW()-ROW($A$5)-1,INDEX( PRODUKTE,  VLOOKUP(ROW()-ROW($A$5),zeilenindizes,2)+INDEX(prodRowOffset,N$3),  MATCH(N$2,OFFSET(INDEXNAMEN,N$3,0),0)),""),"")</f>
        <v>2</v>
      </c>
      <c r="O78" s="17">
        <f ca="1">IFERROR(IF(MAX('SORT IMPORT'!$A$13:$A$408)&gt;ROW()-ROW($A$5)-1,INDEX( PRODUKTE,  VLOOKUP(ROW()-ROW($A$5),zeilenindizes,2)+INDEX(prodRowOffset,O$3),  MATCH(O$2,OFFSET(INDEXNAMEN,O$3,0),0)),""),"")</f>
        <v>2</v>
      </c>
      <c r="P78" s="17">
        <f ca="1">IFERROR(IF(MAX('SORT IMPORT'!$A$13:$A$408)&gt;ROW()-ROW($A$5)-1,INDEX( PRODUKTE,  VLOOKUP(ROW()-ROW($A$5),zeilenindizes,2)+INDEX(prodRowOffset,P$3),  MATCH(P$2,OFFSET(INDEXNAMEN,P$3,0),0)),""),"")</f>
        <v>2</v>
      </c>
      <c r="Q78" s="17">
        <f ca="1">IFERROR(IF(MAX('SORT IMPORT'!$A$13:$A$408)&gt;ROW()-ROW($A$5)-1,INDEX( PRODUKTE,  VLOOKUP(ROW()-ROW($A$5),zeilenindizes,2)+INDEX(prodRowOffset,Q$3),  MATCH(Q$2,OFFSET(INDEXNAMEN,Q$3,0),0)),""),"")</f>
        <v>1</v>
      </c>
      <c r="R78" s="17">
        <f ca="1">IFERROR(IF(MAX('SORT IMPORT'!$A$13:$A$408)&gt;ROW()-ROW($A$5)-1,INDEX( PRODUKTE,  VLOOKUP(ROW()-ROW($A$5),zeilenindizes,2)+INDEX(prodRowOffset,R$3),  MATCH(R$2,OFFSET(INDEXNAMEN,R$3,0),0)),""),"")</f>
        <v>0</v>
      </c>
      <c r="S78" s="17">
        <f ca="1">IFERROR(IF(MAX('SORT IMPORT'!$A$13:$A$408)&gt;ROW()-ROW($A$5)-1,INDEX( PRODUKTE,  VLOOKUP(ROW()-ROW($A$5),zeilenindizes,2)+INDEX(prodRowOffset,S$3),  MATCH(S$2,OFFSET(INDEXNAMEN,S$3,0),0)),""),"")</f>
        <v>1</v>
      </c>
      <c r="T78" s="17">
        <f ca="1">IFERROR(IF(MAX('SORT IMPORT'!$A$13:$A$408)&gt;ROW()-ROW($A$5)-1,INDEX( PRODUKTE,  VLOOKUP(ROW()-ROW($A$5),zeilenindizes,2)+INDEX(prodRowOffset,T$3),  MATCH(T$2,OFFSET(INDEXNAMEN,T$3,0),0)),""),"")</f>
        <v>1</v>
      </c>
      <c r="U78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78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78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78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78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78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78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45</v>
      </c>
      <c r="AB78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78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78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78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78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78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78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78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78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78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45</v>
      </c>
      <c r="AL78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78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78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78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78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78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78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78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78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78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78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78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78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78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79" spans="6:51" ht="22.5" customHeight="1" x14ac:dyDescent="0.3">
      <c r="F79" s="17" t="str">
        <f ca="1">IFERROR(IF(MAX('SORT IMPORT'!$A$13:$A$408)&gt;ROW()-ROW($A$5)-1,INDEX( PRODUKTE,  VLOOKUP(ROW()-ROW($A$5),zeilenindizes,2)+INDEX(prodRowOffset,F$3),  MATCH(F$2,OFFSET(INDEXNAMEN,F$3,0),0)),""),"")</f>
        <v>TS 93 G GSR-EMF 2 /BG EN 5-7</v>
      </c>
      <c r="G79" s="17" t="str">
        <f ca="1">IFERROR(IF(MAX('SORT IMPORT'!$A$13:$A$408)&gt;ROW()-ROW($A$5)-1,INDEX( PRODUKTE,  VLOOKUP(ROW()-ROW($A$5),zeilenindizes,2)+INDEX(prodRowOffset,G$3),  MATCH(G$2,OFFSET(INDEXNAMEN,G$3,0),0)),""),"")</f>
        <v>G</v>
      </c>
      <c r="H79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79" s="17" t="str">
        <f ca="1">IFERROR(IF(MAX('SORT IMPORT'!$A$13:$A$408)&gt;ROW()-ROW($A$5)-1,INDEX( PRODUKTE,  VLOOKUP(ROW()-ROW($A$5),zeilenindizes,2)+INDEX(prodRowOffset,I$3),  MATCH(I$2,OFFSET(INDEXNAMEN,I$3,0),0)),""),"")</f>
        <v>V</v>
      </c>
      <c r="J79" s="17" t="str">
        <f ca="1">IFERROR(IF(MAX('SORT IMPORT'!$A$13:$A$408)&gt;ROW()-ROW($A$5)-1,INDEX( PRODUKTE,  VLOOKUP(ROW()-ROW($A$5),zeilenindizes,2)+INDEX(prodRowOffset,J$3),  MATCH(J$2,OFFSET(INDEXNAMEN,J$3,0),0)),""),"")</f>
        <v>E</v>
      </c>
      <c r="K79" s="17">
        <f ca="1">IFERROR(IF(MAX('SORT IMPORT'!$A$13:$A$408)&gt;ROW()-ROW($A$5)-1,INDEX( PRODUKTE,  VLOOKUP(ROW()-ROW($A$5),zeilenindizes,2)+INDEX(prodRowOffset,K$3),  MATCH(K$2,OFFSET(INDEXNAMEN,K$3,0),0)),""),"")</f>
        <v>8</v>
      </c>
      <c r="L79" s="17">
        <f ca="1">IFERROR(IF(MAX('SORT IMPORT'!$A$13:$A$408)&gt;ROW()-ROW($A$5)-1,INDEX( PRODUKTE,  VLOOKUP(ROW()-ROW($A$5),zeilenindizes,2)+INDEX(prodRowOffset,L$3),  MATCH(L$2,OFFSET(INDEXNAMEN,L$3,0),0)),""),"")</f>
        <v>256</v>
      </c>
      <c r="M79" s="17">
        <f ca="1">IFERROR(IF(MAX('SORT IMPORT'!$A$13:$A$408)&gt;ROW()-ROW($A$5)-1,INDEX( PRODUKTE,  VLOOKUP(ROW()-ROW($A$5),zeilenindizes,2)+INDEX(prodRowOffset,M$3),  MATCH(M$2,OFFSET(INDEXNAMEN,M$3,0),0)),""),"")</f>
        <v>112</v>
      </c>
      <c r="N79" s="17">
        <f ca="1">IFERROR(IF(MAX('SORT IMPORT'!$A$13:$A$408)&gt;ROW()-ROW($A$5)-1,INDEX( PRODUKTE,  VLOOKUP(ROW()-ROW($A$5),zeilenindizes,2)+INDEX(prodRowOffset,N$3),  MATCH(N$2,OFFSET(INDEXNAMEN,N$3,0),0)),""),"")</f>
        <v>2</v>
      </c>
      <c r="O79" s="17">
        <f ca="1">IFERROR(IF(MAX('SORT IMPORT'!$A$13:$A$408)&gt;ROW()-ROW($A$5)-1,INDEX( PRODUKTE,  VLOOKUP(ROW()-ROW($A$5),zeilenindizes,2)+INDEX(prodRowOffset,O$3),  MATCH(O$2,OFFSET(INDEXNAMEN,O$3,0),0)),""),"")</f>
        <v>2</v>
      </c>
      <c r="P79" s="17">
        <f ca="1">IFERROR(IF(MAX('SORT IMPORT'!$A$13:$A$408)&gt;ROW()-ROW($A$5)-1,INDEX( PRODUKTE,  VLOOKUP(ROW()-ROW($A$5),zeilenindizes,2)+INDEX(prodRowOffset,P$3),  MATCH(P$2,OFFSET(INDEXNAMEN,P$3,0),0)),""),"")</f>
        <v>2</v>
      </c>
      <c r="Q79" s="17">
        <f ca="1">IFERROR(IF(MAX('SORT IMPORT'!$A$13:$A$408)&gt;ROW()-ROW($A$5)-1,INDEX( PRODUKTE,  VLOOKUP(ROW()-ROW($A$5),zeilenindizes,2)+INDEX(prodRowOffset,Q$3),  MATCH(Q$2,OFFSET(INDEXNAMEN,Q$3,0),0)),""),"")</f>
        <v>1</v>
      </c>
      <c r="R79" s="17">
        <f ca="1">IFERROR(IF(MAX('SORT IMPORT'!$A$13:$A$408)&gt;ROW()-ROW($A$5)-1,INDEX( PRODUKTE,  VLOOKUP(ROW()-ROW($A$5),zeilenindizes,2)+INDEX(prodRowOffset,R$3),  MATCH(R$2,OFFSET(INDEXNAMEN,R$3,0),0)),""),"")</f>
        <v>0</v>
      </c>
      <c r="S79" s="17">
        <f ca="1">IFERROR(IF(MAX('SORT IMPORT'!$A$13:$A$408)&gt;ROW()-ROW($A$5)-1,INDEX( PRODUKTE,  VLOOKUP(ROW()-ROW($A$5),zeilenindizes,2)+INDEX(prodRowOffset,S$3),  MATCH(S$2,OFFSET(INDEXNAMEN,S$3,0),0)),""),"")</f>
        <v>1</v>
      </c>
      <c r="T79" s="17">
        <f ca="1">IFERROR(IF(MAX('SORT IMPORT'!$A$13:$A$408)&gt;ROW()-ROW($A$5)-1,INDEX( PRODUKTE,  VLOOKUP(ROW()-ROW($A$5),zeilenindizes,2)+INDEX(prodRowOffset,T$3),  MATCH(T$2,OFFSET(INDEXNAMEN,T$3,0),0)),""),"")</f>
        <v>1</v>
      </c>
      <c r="U79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79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79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79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79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79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79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45</v>
      </c>
      <c r="AB79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79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79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79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79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79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79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79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79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79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45</v>
      </c>
      <c r="AL79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79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79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79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79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79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79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79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79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79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79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79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79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79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80" spans="6:51" ht="22.5" customHeight="1" x14ac:dyDescent="0.3">
      <c r="F80" s="17" t="str">
        <f ca="1">IFERROR(IF(MAX('SORT IMPORT'!$A$13:$A$408)&gt;ROW()-ROW($A$5)-1,INDEX( PRODUKTE,  VLOOKUP(ROW()-ROW($A$5),zeilenindizes,2)+INDEX(prodRowOffset,F$3),  MATCH(F$2,OFFSET(INDEXNAMEN,F$3,0),0)),""),"")</f>
        <v>TS 93 G GSR-EMR 1 /BG EN 5-7</v>
      </c>
      <c r="G80" s="17" t="str">
        <f ca="1">IFERROR(IF(MAX('SORT IMPORT'!$A$13:$A$408)&gt;ROW()-ROW($A$5)-1,INDEX( PRODUKTE,  VLOOKUP(ROW()-ROW($A$5),zeilenindizes,2)+INDEX(prodRowOffset,G$3),  MATCH(G$2,OFFSET(INDEXNAMEN,G$3,0),0)),""),"")</f>
        <v>G</v>
      </c>
      <c r="H80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80" s="17" t="str">
        <f ca="1">IFERROR(IF(MAX('SORT IMPORT'!$A$13:$A$408)&gt;ROW()-ROW($A$5)-1,INDEX( PRODUKTE,  VLOOKUP(ROW()-ROW($A$5),zeilenindizes,2)+INDEX(prodRowOffset,I$3),  MATCH(I$2,OFFSET(INDEXNAMEN,I$3,0),0)),""),"")</f>
        <v>V</v>
      </c>
      <c r="J80" s="17" t="str">
        <f ca="1">IFERROR(IF(MAX('SORT IMPORT'!$A$13:$A$408)&gt;ROW()-ROW($A$5)-1,INDEX( PRODUKTE,  VLOOKUP(ROW()-ROW($A$5),zeilenindizes,2)+INDEX(prodRowOffset,J$3),  MATCH(J$2,OFFSET(INDEXNAMEN,J$3,0),0)),""),"")</f>
        <v>R</v>
      </c>
      <c r="K80" s="17">
        <f ca="1">IFERROR(IF(MAX('SORT IMPORT'!$A$13:$A$408)&gt;ROW()-ROW($A$5)-1,INDEX( PRODUKTE,  VLOOKUP(ROW()-ROW($A$5),zeilenindizes,2)+INDEX(prodRowOffset,K$3),  MATCH(K$2,OFFSET(INDEXNAMEN,K$3,0),0)),""),"")</f>
        <v>8</v>
      </c>
      <c r="L80" s="17">
        <f ca="1">IFERROR(IF(MAX('SORT IMPORT'!$A$13:$A$408)&gt;ROW()-ROW($A$5)-1,INDEX( PRODUKTE,  VLOOKUP(ROW()-ROW($A$5),zeilenindizes,2)+INDEX(prodRowOffset,L$3),  MATCH(L$2,OFFSET(INDEXNAMEN,L$3,0),0)),""),"")</f>
        <v>512</v>
      </c>
      <c r="M80" s="17">
        <f ca="1">IFERROR(IF(MAX('SORT IMPORT'!$A$13:$A$408)&gt;ROW()-ROW($A$5)-1,INDEX( PRODUKTE,  VLOOKUP(ROW()-ROW($A$5),zeilenindizes,2)+INDEX(prodRowOffset,M$3),  MATCH(M$2,OFFSET(INDEXNAMEN,M$3,0),0)),""),"")</f>
        <v>112</v>
      </c>
      <c r="N80" s="17">
        <f ca="1">IFERROR(IF(MAX('SORT IMPORT'!$A$13:$A$408)&gt;ROW()-ROW($A$5)-1,INDEX( PRODUKTE,  VLOOKUP(ROW()-ROW($A$5),zeilenindizes,2)+INDEX(prodRowOffset,N$3),  MATCH(N$2,OFFSET(INDEXNAMEN,N$3,0),0)),""),"")</f>
        <v>2</v>
      </c>
      <c r="O80" s="17">
        <f ca="1">IFERROR(IF(MAX('SORT IMPORT'!$A$13:$A$408)&gt;ROW()-ROW($A$5)-1,INDEX( PRODUKTE,  VLOOKUP(ROW()-ROW($A$5),zeilenindizes,2)+INDEX(prodRowOffset,O$3),  MATCH(O$2,OFFSET(INDEXNAMEN,O$3,0),0)),""),"")</f>
        <v>1</v>
      </c>
      <c r="P80" s="17">
        <f ca="1">IFERROR(IF(MAX('SORT IMPORT'!$A$13:$A$408)&gt;ROW()-ROW($A$5)-1,INDEX( PRODUKTE,  VLOOKUP(ROW()-ROW($A$5),zeilenindizes,2)+INDEX(prodRowOffset,P$3),  MATCH(P$2,OFFSET(INDEXNAMEN,P$3,0),0)),""),"")</f>
        <v>2</v>
      </c>
      <c r="Q80" s="17">
        <f ca="1">IFERROR(IF(MAX('SORT IMPORT'!$A$13:$A$408)&gt;ROW()-ROW($A$5)-1,INDEX( PRODUKTE,  VLOOKUP(ROW()-ROW($A$5),zeilenindizes,2)+INDEX(prodRowOffset,Q$3),  MATCH(Q$2,OFFSET(INDEXNAMEN,Q$3,0),0)),""),"")</f>
        <v>1</v>
      </c>
      <c r="R80" s="17">
        <f ca="1">IFERROR(IF(MAX('SORT IMPORT'!$A$13:$A$408)&gt;ROW()-ROW($A$5)-1,INDEX( PRODUKTE,  VLOOKUP(ROW()-ROW($A$5),zeilenindizes,2)+INDEX(prodRowOffset,R$3),  MATCH(R$2,OFFSET(INDEXNAMEN,R$3,0),0)),""),"")</f>
        <v>0</v>
      </c>
      <c r="S80" s="17">
        <f ca="1">IFERROR(IF(MAX('SORT IMPORT'!$A$13:$A$408)&gt;ROW()-ROW($A$5)-1,INDEX( PRODUKTE,  VLOOKUP(ROW()-ROW($A$5),zeilenindizes,2)+INDEX(prodRowOffset,S$3),  MATCH(S$2,OFFSET(INDEXNAMEN,S$3,0),0)),""),"")</f>
        <v>1</v>
      </c>
      <c r="T80" s="17">
        <f ca="1">IFERROR(IF(MAX('SORT IMPORT'!$A$13:$A$408)&gt;ROW()-ROW($A$5)-1,INDEX( PRODUKTE,  VLOOKUP(ROW()-ROW($A$5),zeilenindizes,2)+INDEX(prodRowOffset,T$3),  MATCH(T$2,OFFSET(INDEXNAMEN,T$3,0),0)),""),"")</f>
        <v>1</v>
      </c>
      <c r="U80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80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80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80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80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80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80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45</v>
      </c>
      <c r="AB80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80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80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80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80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80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80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80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80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80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45</v>
      </c>
      <c r="AL80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80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80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80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80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80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80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80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80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80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80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80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80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80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81" spans="6:51" ht="22.5" customHeight="1" x14ac:dyDescent="0.3">
      <c r="F81" s="17" t="str">
        <f ca="1">IFERROR(IF(MAX('SORT IMPORT'!$A$13:$A$408)&gt;ROW()-ROW($A$5)-1,INDEX( PRODUKTE,  VLOOKUP(ROW()-ROW($A$5),zeilenindizes,2)+INDEX(prodRowOffset,F$3),  MATCH(F$2,OFFSET(INDEXNAMEN,F$3,0),0)),""),"")</f>
        <v>TS 93 G GSR-EMR 1G /BG EN 5-7</v>
      </c>
      <c r="G81" s="17" t="str">
        <f ca="1">IFERROR(IF(MAX('SORT IMPORT'!$A$13:$A$408)&gt;ROW()-ROW($A$5)-1,INDEX( PRODUKTE,  VLOOKUP(ROW()-ROW($A$5),zeilenindizes,2)+INDEX(prodRowOffset,G$3),  MATCH(G$2,OFFSET(INDEXNAMEN,G$3,0),0)),""),"")</f>
        <v>G</v>
      </c>
      <c r="H81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81" s="17" t="str">
        <f ca="1">IFERROR(IF(MAX('SORT IMPORT'!$A$13:$A$408)&gt;ROW()-ROW($A$5)-1,INDEX( PRODUKTE,  VLOOKUP(ROW()-ROW($A$5),zeilenindizes,2)+INDEX(prodRowOffset,I$3),  MATCH(I$2,OFFSET(INDEXNAMEN,I$3,0),0)),""),"")</f>
        <v>V</v>
      </c>
      <c r="J81" s="17" t="str">
        <f ca="1">IFERROR(IF(MAX('SORT IMPORT'!$A$13:$A$408)&gt;ROW()-ROW($A$5)-1,INDEX( PRODUKTE,  VLOOKUP(ROW()-ROW($A$5),zeilenindizes,2)+INDEX(prodRowOffset,J$3),  MATCH(J$2,OFFSET(INDEXNAMEN,J$3,0),0)),""),"")</f>
        <v>R</v>
      </c>
      <c r="K81" s="17">
        <f ca="1">IFERROR(IF(MAX('SORT IMPORT'!$A$13:$A$408)&gt;ROW()-ROW($A$5)-1,INDEX( PRODUKTE,  VLOOKUP(ROW()-ROW($A$5),zeilenindizes,2)+INDEX(prodRowOffset,K$3),  MATCH(K$2,OFFSET(INDEXNAMEN,K$3,0),0)),""),"")</f>
        <v>8</v>
      </c>
      <c r="L81" s="17">
        <f ca="1">IFERROR(IF(MAX('SORT IMPORT'!$A$13:$A$408)&gt;ROW()-ROW($A$5)-1,INDEX( PRODUKTE,  VLOOKUP(ROW()-ROW($A$5),zeilenindizes,2)+INDEX(prodRowOffset,L$3),  MATCH(L$2,OFFSET(INDEXNAMEN,L$3,0),0)),""),"")</f>
        <v>1024</v>
      </c>
      <c r="M81" s="17">
        <f ca="1">IFERROR(IF(MAX('SORT IMPORT'!$A$13:$A$408)&gt;ROW()-ROW($A$5)-1,INDEX( PRODUKTE,  VLOOKUP(ROW()-ROW($A$5),zeilenindizes,2)+INDEX(prodRowOffset,M$3),  MATCH(M$2,OFFSET(INDEXNAMEN,M$3,0),0)),""),"")</f>
        <v>112</v>
      </c>
      <c r="N81" s="17">
        <f ca="1">IFERROR(IF(MAX('SORT IMPORT'!$A$13:$A$408)&gt;ROW()-ROW($A$5)-1,INDEX( PRODUKTE,  VLOOKUP(ROW()-ROW($A$5),zeilenindizes,2)+INDEX(prodRowOffset,N$3),  MATCH(N$2,OFFSET(INDEXNAMEN,N$3,0),0)),""),"")</f>
        <v>2</v>
      </c>
      <c r="O81" s="17">
        <f ca="1">IFERROR(IF(MAX('SORT IMPORT'!$A$13:$A$408)&gt;ROW()-ROW($A$5)-1,INDEX( PRODUKTE,  VLOOKUP(ROW()-ROW($A$5),zeilenindizes,2)+INDEX(prodRowOffset,O$3),  MATCH(O$2,OFFSET(INDEXNAMEN,O$3,0),0)),""),"")</f>
        <v>1</v>
      </c>
      <c r="P81" s="17">
        <f ca="1">IFERROR(IF(MAX('SORT IMPORT'!$A$13:$A$408)&gt;ROW()-ROW($A$5)-1,INDEX( PRODUKTE,  VLOOKUP(ROW()-ROW($A$5),zeilenindizes,2)+INDEX(prodRowOffset,P$3),  MATCH(P$2,OFFSET(INDEXNAMEN,P$3,0),0)),""),"")</f>
        <v>2</v>
      </c>
      <c r="Q81" s="17">
        <f ca="1">IFERROR(IF(MAX('SORT IMPORT'!$A$13:$A$408)&gt;ROW()-ROW($A$5)-1,INDEX( PRODUKTE,  VLOOKUP(ROW()-ROW($A$5),zeilenindizes,2)+INDEX(prodRowOffset,Q$3),  MATCH(Q$2,OFFSET(INDEXNAMEN,Q$3,0),0)),""),"")</f>
        <v>1</v>
      </c>
      <c r="R81" s="17">
        <f ca="1">IFERROR(IF(MAX('SORT IMPORT'!$A$13:$A$408)&gt;ROW()-ROW($A$5)-1,INDEX( PRODUKTE,  VLOOKUP(ROW()-ROW($A$5),zeilenindizes,2)+INDEX(prodRowOffset,R$3),  MATCH(R$2,OFFSET(INDEXNAMEN,R$3,0),0)),""),"")</f>
        <v>0</v>
      </c>
      <c r="S81" s="17">
        <f ca="1">IFERROR(IF(MAX('SORT IMPORT'!$A$13:$A$408)&gt;ROW()-ROW($A$5)-1,INDEX( PRODUKTE,  VLOOKUP(ROW()-ROW($A$5),zeilenindizes,2)+INDEX(prodRowOffset,S$3),  MATCH(S$2,OFFSET(INDEXNAMEN,S$3,0),0)),""),"")</f>
        <v>1</v>
      </c>
      <c r="T81" s="17">
        <f ca="1">IFERROR(IF(MAX('SORT IMPORT'!$A$13:$A$408)&gt;ROW()-ROW($A$5)-1,INDEX( PRODUKTE,  VLOOKUP(ROW()-ROW($A$5),zeilenindizes,2)+INDEX(prodRowOffset,T$3),  MATCH(T$2,OFFSET(INDEXNAMEN,T$3,0),0)),""),"")</f>
        <v>1</v>
      </c>
      <c r="U81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81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81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81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81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81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81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45</v>
      </c>
      <c r="AB81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81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81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81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81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81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81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81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81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81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45</v>
      </c>
      <c r="AL81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81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81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81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81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81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81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81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81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81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81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81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81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81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82" spans="6:51" ht="22.5" customHeight="1" x14ac:dyDescent="0.3">
      <c r="F82" s="17" t="str">
        <f ca="1">IFERROR(IF(MAX('SORT IMPORT'!$A$13:$A$408)&gt;ROW()-ROW($A$5)-1,INDEX( PRODUKTE,  VLOOKUP(ROW()-ROW($A$5),zeilenindizes,2)+INDEX(prodRowOffset,F$3),  MATCH(F$2,OFFSET(INDEXNAMEN,F$3,0),0)),""),"")</f>
        <v>TS 93 G GSR-EMR 2 /BG EN 5-7</v>
      </c>
      <c r="G82" s="17" t="str">
        <f ca="1">IFERROR(IF(MAX('SORT IMPORT'!$A$13:$A$408)&gt;ROW()-ROW($A$5)-1,INDEX( PRODUKTE,  VLOOKUP(ROW()-ROW($A$5),zeilenindizes,2)+INDEX(prodRowOffset,G$3),  MATCH(G$2,OFFSET(INDEXNAMEN,G$3,0),0)),""),"")</f>
        <v>G</v>
      </c>
      <c r="H82" s="17" t="str">
        <f ca="1">IFERROR(IF(MAX('SORT IMPORT'!$A$13:$A$408)&gt;ROW()-ROW($A$5)-1,INDEX( PRODUKTE,  VLOOKUP(ROW()-ROW($A$5),zeilenindizes,2)+INDEX(prodRowOffset,H$3),  MATCH(H$2,OFFSET(INDEXNAMEN,H$3,0),0)),""),"")</f>
        <v>93 G</v>
      </c>
      <c r="I82" s="17" t="str">
        <f ca="1">IFERROR(IF(MAX('SORT IMPORT'!$A$13:$A$408)&gt;ROW()-ROW($A$5)-1,INDEX( PRODUKTE,  VLOOKUP(ROW()-ROW($A$5),zeilenindizes,2)+INDEX(prodRowOffset,I$3),  MATCH(I$2,OFFSET(INDEXNAMEN,I$3,0),0)),""),"")</f>
        <v>V</v>
      </c>
      <c r="J82" s="17" t="str">
        <f ca="1">IFERROR(IF(MAX('SORT IMPORT'!$A$13:$A$408)&gt;ROW()-ROW($A$5)-1,INDEX( PRODUKTE,  VLOOKUP(ROW()-ROW($A$5),zeilenindizes,2)+INDEX(prodRowOffset,J$3),  MATCH(J$2,OFFSET(INDEXNAMEN,J$3,0),0)),""),"")</f>
        <v>R</v>
      </c>
      <c r="K82" s="17">
        <f ca="1">IFERROR(IF(MAX('SORT IMPORT'!$A$13:$A$408)&gt;ROW()-ROW($A$5)-1,INDEX( PRODUKTE,  VLOOKUP(ROW()-ROW($A$5),zeilenindizes,2)+INDEX(prodRowOffset,K$3),  MATCH(K$2,OFFSET(INDEXNAMEN,K$3,0),0)),""),"")</f>
        <v>8</v>
      </c>
      <c r="L82" s="17">
        <f ca="1">IFERROR(IF(MAX('SORT IMPORT'!$A$13:$A$408)&gt;ROW()-ROW($A$5)-1,INDEX( PRODUKTE,  VLOOKUP(ROW()-ROW($A$5),zeilenindizes,2)+INDEX(prodRowOffset,L$3),  MATCH(L$2,OFFSET(INDEXNAMEN,L$3,0),0)),""),"")</f>
        <v>2048</v>
      </c>
      <c r="M82" s="17">
        <f ca="1">IFERROR(IF(MAX('SORT IMPORT'!$A$13:$A$408)&gt;ROW()-ROW($A$5)-1,INDEX( PRODUKTE,  VLOOKUP(ROW()-ROW($A$5),zeilenindizes,2)+INDEX(prodRowOffset,M$3),  MATCH(M$2,OFFSET(INDEXNAMEN,M$3,0),0)),""),"")</f>
        <v>112</v>
      </c>
      <c r="N82" s="17">
        <f ca="1">IFERROR(IF(MAX('SORT IMPORT'!$A$13:$A$408)&gt;ROW()-ROW($A$5)-1,INDEX( PRODUKTE,  VLOOKUP(ROW()-ROW($A$5),zeilenindizes,2)+INDEX(prodRowOffset,N$3),  MATCH(N$2,OFFSET(INDEXNAMEN,N$3,0),0)),""),"")</f>
        <v>2</v>
      </c>
      <c r="O82" s="17">
        <f ca="1">IFERROR(IF(MAX('SORT IMPORT'!$A$13:$A$408)&gt;ROW()-ROW($A$5)-1,INDEX( PRODUKTE,  VLOOKUP(ROW()-ROW($A$5),zeilenindizes,2)+INDEX(prodRowOffset,O$3),  MATCH(O$2,OFFSET(INDEXNAMEN,O$3,0),0)),""),"")</f>
        <v>1</v>
      </c>
      <c r="P82" s="17">
        <f ca="1">IFERROR(IF(MAX('SORT IMPORT'!$A$13:$A$408)&gt;ROW()-ROW($A$5)-1,INDEX( PRODUKTE,  VLOOKUP(ROW()-ROW($A$5),zeilenindizes,2)+INDEX(prodRowOffset,P$3),  MATCH(P$2,OFFSET(INDEXNAMEN,P$3,0),0)),""),"")</f>
        <v>2</v>
      </c>
      <c r="Q82" s="17">
        <f ca="1">IFERROR(IF(MAX('SORT IMPORT'!$A$13:$A$408)&gt;ROW()-ROW($A$5)-1,INDEX( PRODUKTE,  VLOOKUP(ROW()-ROW($A$5),zeilenindizes,2)+INDEX(prodRowOffset,Q$3),  MATCH(Q$2,OFFSET(INDEXNAMEN,Q$3,0),0)),""),"")</f>
        <v>1</v>
      </c>
      <c r="R82" s="17">
        <f ca="1">IFERROR(IF(MAX('SORT IMPORT'!$A$13:$A$408)&gt;ROW()-ROW($A$5)-1,INDEX( PRODUKTE,  VLOOKUP(ROW()-ROW($A$5),zeilenindizes,2)+INDEX(prodRowOffset,R$3),  MATCH(R$2,OFFSET(INDEXNAMEN,R$3,0),0)),""),"")</f>
        <v>0</v>
      </c>
      <c r="S82" s="17">
        <f ca="1">IFERROR(IF(MAX('SORT IMPORT'!$A$13:$A$408)&gt;ROW()-ROW($A$5)-1,INDEX( PRODUKTE,  VLOOKUP(ROW()-ROW($A$5),zeilenindizes,2)+INDEX(prodRowOffset,S$3),  MATCH(S$2,OFFSET(INDEXNAMEN,S$3,0),0)),""),"")</f>
        <v>1</v>
      </c>
      <c r="T82" s="17">
        <f ca="1">IFERROR(IF(MAX('SORT IMPORT'!$A$13:$A$408)&gt;ROW()-ROW($A$5)-1,INDEX( PRODUKTE,  VLOOKUP(ROW()-ROW($A$5),zeilenindizes,2)+INDEX(prodRowOffset,T$3),  MATCH(T$2,OFFSET(INDEXNAMEN,T$3,0),0)),""),"")</f>
        <v>1</v>
      </c>
      <c r="U82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82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82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82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82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82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82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45</v>
      </c>
      <c r="AB82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82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82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82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82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82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82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82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82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82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45</v>
      </c>
      <c r="AL82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82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82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82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82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82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82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82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82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95</v>
      </c>
      <c r="AU82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34</v>
      </c>
      <c r="AV82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164</v>
      </c>
      <c r="AW82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82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62</v>
      </c>
      <c r="AY82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83" spans="6:51" ht="22.5" customHeight="1" x14ac:dyDescent="0.3">
      <c r="F83" s="17" t="str">
        <f ca="1">IFERROR(IF(MAX('SORT IMPORT'!$A$13:$A$408)&gt;ROW()-ROW($A$5)-1,INDEX( PRODUKTE,  VLOOKUP(ROW()-ROW($A$5),zeilenindizes,2)+INDEX(prodRowOffset,F$3),  MATCH(F$2,OFFSET(INDEXNAMEN,F$3,0),0)),""),"")</f>
        <v>TS 97 EN 2-4</v>
      </c>
      <c r="G83" s="17" t="str">
        <f ca="1">IFERROR(IF(MAX('SORT IMPORT'!$A$13:$A$408)&gt;ROW()-ROW($A$5)-1,INDEX( PRODUKTE,  VLOOKUP(ROW()-ROW($A$5),zeilenindizes,2)+INDEX(prodRowOffset,G$3),  MATCH(G$2,OFFSET(INDEXNAMEN,G$3,0),0)),""),"")</f>
        <v>G</v>
      </c>
      <c r="H83" s="17" t="str">
        <f ca="1">IFERROR(IF(MAX('SORT IMPORT'!$A$13:$A$408)&gt;ROW()-ROW($A$5)-1,INDEX( PRODUKTE,  VLOOKUP(ROW()-ROW($A$5),zeilenindizes,2)+INDEX(prodRowOffset,H$3),  MATCH(H$2,OFFSET(INDEXNAMEN,H$3,0),0)),""),"")</f>
        <v>97 B</v>
      </c>
      <c r="I83" s="17" t="str">
        <f ca="1">IFERROR(IF(MAX('SORT IMPORT'!$A$13:$A$408)&gt;ROW()-ROW($A$5)-1,INDEX( PRODUKTE,  VLOOKUP(ROW()-ROW($A$5),zeilenindizes,2)+INDEX(prodRowOffset,I$3),  MATCH(I$2,OFFSET(INDEXNAMEN,I$3,0),0)),""),"")</f>
        <v/>
      </c>
      <c r="J83" s="17" t="str">
        <f ca="1">IFERROR(IF(MAX('SORT IMPORT'!$A$13:$A$408)&gt;ROW()-ROW($A$5)-1,INDEX( PRODUKTE,  VLOOKUP(ROW()-ROW($A$5),zeilenindizes,2)+INDEX(prodRowOffset,J$3),  MATCH(J$2,OFFSET(INDEXNAMEN,J$3,0),0)),""),"")</f>
        <v/>
      </c>
      <c r="K83" s="17">
        <f ca="1">IFERROR(IF(MAX('SORT IMPORT'!$A$13:$A$408)&gt;ROW()-ROW($A$5)-1,INDEX( PRODUKTE,  VLOOKUP(ROW()-ROW($A$5),zeilenindizes,2)+INDEX(prodRowOffset,K$3),  MATCH(K$2,OFFSET(INDEXNAMEN,K$3,0),0)),""),"")</f>
        <v>5</v>
      </c>
      <c r="L83" s="17">
        <f ca="1">IFERROR(IF(MAX('SORT IMPORT'!$A$13:$A$408)&gt;ROW()-ROW($A$5)-1,INDEX( PRODUKTE,  VLOOKUP(ROW()-ROW($A$5),zeilenindizes,2)+INDEX(prodRowOffset,L$3),  MATCH(L$2,OFFSET(INDEXNAMEN,L$3,0),0)),""),"")</f>
        <v>1</v>
      </c>
      <c r="M83" s="17">
        <f ca="1">IFERROR(IF(MAX('SORT IMPORT'!$A$13:$A$408)&gt;ROW()-ROW($A$5)-1,INDEX( PRODUKTE,  VLOOKUP(ROW()-ROW($A$5),zeilenindizes,2)+INDEX(prodRowOffset,M$3),  MATCH(M$2,OFFSET(INDEXNAMEN,M$3,0),0)),""),"")</f>
        <v>14</v>
      </c>
      <c r="N83" s="17">
        <f ca="1">IFERROR(IF(MAX('SORT IMPORT'!$A$13:$A$408)&gt;ROW()-ROW($A$5)-1,INDEX( PRODUKTE,  VLOOKUP(ROW()-ROW($A$5),zeilenindizes,2)+INDEX(prodRowOffset,N$3),  MATCH(N$2,OFFSET(INDEXNAMEN,N$3,0),0)),""),"")</f>
        <v>1</v>
      </c>
      <c r="O83" s="17">
        <f ca="1">IFERROR(IF(MAX('SORT IMPORT'!$A$13:$A$408)&gt;ROW()-ROW($A$5)-1,INDEX( PRODUKTE,  VLOOKUP(ROW()-ROW($A$5),zeilenindizes,2)+INDEX(prodRowOffset,O$3),  MATCH(O$2,OFFSET(INDEXNAMEN,O$3,0),0)),""),"")</f>
        <v>0</v>
      </c>
      <c r="P83" s="17">
        <f ca="1">IFERROR(IF(MAX('SORT IMPORT'!$A$13:$A$408)&gt;ROW()-ROW($A$5)-1,INDEX( PRODUKTE,  VLOOKUP(ROW()-ROW($A$5),zeilenindizes,2)+INDEX(prodRowOffset,P$3),  MATCH(P$2,OFFSET(INDEXNAMEN,P$3,0),0)),""),"")</f>
        <v>0</v>
      </c>
      <c r="Q83" s="17">
        <f ca="1">IFERROR(IF(MAX('SORT IMPORT'!$A$13:$A$408)&gt;ROW()-ROW($A$5)-1,INDEX( PRODUKTE,  VLOOKUP(ROW()-ROW($A$5),zeilenindizes,2)+INDEX(prodRowOffset,Q$3),  MATCH(Q$2,OFFSET(INDEXNAMEN,Q$3,0),0)),""),"")</f>
        <v>0</v>
      </c>
      <c r="R83" s="17">
        <f ca="1">IFERROR(IF(MAX('SORT IMPORT'!$A$13:$A$408)&gt;ROW()-ROW($A$5)-1,INDEX( PRODUKTE,  VLOOKUP(ROW()-ROW($A$5),zeilenindizes,2)+INDEX(prodRowOffset,R$3),  MATCH(R$2,OFFSET(INDEXNAMEN,R$3,0),0)),""),"")</f>
        <v>0</v>
      </c>
      <c r="S83" s="17">
        <f ca="1">IFERROR(IF(MAX('SORT IMPORT'!$A$13:$A$408)&gt;ROW()-ROW($A$5)-1,INDEX( PRODUKTE,  VLOOKUP(ROW()-ROW($A$5),zeilenindizes,2)+INDEX(prodRowOffset,S$3),  MATCH(S$2,OFFSET(INDEXNAMEN,S$3,0),0)),""),"")</f>
        <v>0</v>
      </c>
      <c r="T83" s="17">
        <f ca="1">IFERROR(IF(MAX('SORT IMPORT'!$A$13:$A$408)&gt;ROW()-ROW($A$5)-1,INDEX( PRODUKTE,  VLOOKUP(ROW()-ROW($A$5),zeilenindizes,2)+INDEX(prodRowOffset,T$3),  MATCH(T$2,OFFSET(INDEXNAMEN,T$3,0),0)),""),"")</f>
        <v>0</v>
      </c>
      <c r="U83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26</v>
      </c>
      <c r="V83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83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83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83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26</v>
      </c>
      <c r="Z83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11</v>
      </c>
      <c r="AA83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83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83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83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83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26</v>
      </c>
      <c r="AF83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11</v>
      </c>
      <c r="AG83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83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83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26</v>
      </c>
      <c r="AJ83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1</v>
      </c>
      <c r="AK83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83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83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83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83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340</v>
      </c>
      <c r="AP83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24</v>
      </c>
      <c r="AQ83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16</v>
      </c>
      <c r="AR83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12</v>
      </c>
      <c r="AS83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210</v>
      </c>
      <c r="AT83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84</v>
      </c>
      <c r="AU83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20</v>
      </c>
      <c r="AV83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43</v>
      </c>
      <c r="AW83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340</v>
      </c>
      <c r="AX83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37</v>
      </c>
      <c r="AY83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49</v>
      </c>
    </row>
    <row r="84" spans="6:51" ht="22.5" customHeight="1" x14ac:dyDescent="0.3">
      <c r="F84" s="17" t="str">
        <f ca="1">IFERROR(IF(MAX('SORT IMPORT'!$A$13:$A$408)&gt;ROW()-ROW($A$5)-1,INDEX( PRODUKTE,  VLOOKUP(ROW()-ROW($A$5),zeilenindizes,2)+INDEX(prodRowOffset,F$3),  MATCH(F$2,OFFSET(INDEXNAMEN,F$3,0),0)),""),"")</f>
        <v>TS 97 RF EN 2-4</v>
      </c>
      <c r="G84" s="17" t="str">
        <f ca="1">IFERROR(IF(MAX('SORT IMPORT'!$A$13:$A$408)&gt;ROW()-ROW($A$5)-1,INDEX( PRODUKTE,  VLOOKUP(ROW()-ROW($A$5),zeilenindizes,2)+INDEX(prodRowOffset,G$3),  MATCH(G$2,OFFSET(INDEXNAMEN,G$3,0),0)),""),"")</f>
        <v>G</v>
      </c>
      <c r="H84" s="17" t="str">
        <f ca="1">IFERROR(IF(MAX('SORT IMPORT'!$A$13:$A$408)&gt;ROW()-ROW($A$5)-1,INDEX( PRODUKTE,  VLOOKUP(ROW()-ROW($A$5),zeilenindizes,2)+INDEX(prodRowOffset,H$3),  MATCH(H$2,OFFSET(INDEXNAMEN,H$3,0),0)),""),"")</f>
        <v>97 B</v>
      </c>
      <c r="I84" s="17" t="str">
        <f ca="1">IFERROR(IF(MAX('SORT IMPORT'!$A$13:$A$408)&gt;ROW()-ROW($A$5)-1,INDEX( PRODUKTE,  VLOOKUP(ROW()-ROW($A$5),zeilenindizes,2)+INDEX(prodRowOffset,I$3),  MATCH(I$2,OFFSET(INDEXNAMEN,I$3,0),0)),""),"")</f>
        <v/>
      </c>
      <c r="J84" s="17" t="str">
        <f ca="1">IFERROR(IF(MAX('SORT IMPORT'!$A$13:$A$408)&gt;ROW()-ROW($A$5)-1,INDEX( PRODUKTE,  VLOOKUP(ROW()-ROW($A$5),zeilenindizes,2)+INDEX(prodRowOffset,J$3),  MATCH(J$2,OFFSET(INDEXNAMEN,J$3,0),0)),""),"")</f>
        <v>M</v>
      </c>
      <c r="K84" s="17">
        <f ca="1">IFERROR(IF(MAX('SORT IMPORT'!$A$13:$A$408)&gt;ROW()-ROW($A$5)-1,INDEX( PRODUKTE,  VLOOKUP(ROW()-ROW($A$5),zeilenindizes,2)+INDEX(prodRowOffset,K$3),  MATCH(K$2,OFFSET(INDEXNAMEN,K$3,0),0)),""),"")</f>
        <v>5</v>
      </c>
      <c r="L84" s="17">
        <f ca="1">IFERROR(IF(MAX('SORT IMPORT'!$A$13:$A$408)&gt;ROW()-ROW($A$5)-1,INDEX( PRODUKTE,  VLOOKUP(ROW()-ROW($A$5),zeilenindizes,2)+INDEX(prodRowOffset,L$3),  MATCH(L$2,OFFSET(INDEXNAMEN,L$3,0),0)),""),"")</f>
        <v>2</v>
      </c>
      <c r="M84" s="17">
        <f ca="1">IFERROR(IF(MAX('SORT IMPORT'!$A$13:$A$408)&gt;ROW()-ROW($A$5)-1,INDEX( PRODUKTE,  VLOOKUP(ROW()-ROW($A$5),zeilenindizes,2)+INDEX(prodRowOffset,M$3),  MATCH(M$2,OFFSET(INDEXNAMEN,M$3,0),0)),""),"")</f>
        <v>14</v>
      </c>
      <c r="N84" s="17">
        <f ca="1">IFERROR(IF(MAX('SORT IMPORT'!$A$13:$A$408)&gt;ROW()-ROW($A$5)-1,INDEX( PRODUKTE,  VLOOKUP(ROW()-ROW($A$5),zeilenindizes,2)+INDEX(prodRowOffset,N$3),  MATCH(N$2,OFFSET(INDEXNAMEN,N$3,0),0)),""),"")</f>
        <v>1</v>
      </c>
      <c r="O84" s="17">
        <f ca="1">IFERROR(IF(MAX('SORT IMPORT'!$A$13:$A$408)&gt;ROW()-ROW($A$5)-1,INDEX( PRODUKTE,  VLOOKUP(ROW()-ROW($A$5),zeilenindizes,2)+INDEX(prodRowOffset,O$3),  MATCH(O$2,OFFSET(INDEXNAMEN,O$3,0),0)),""),"")</f>
        <v>0</v>
      </c>
      <c r="P84" s="17">
        <f ca="1">IFERROR(IF(MAX('SORT IMPORT'!$A$13:$A$408)&gt;ROW()-ROW($A$5)-1,INDEX( PRODUKTE,  VLOOKUP(ROW()-ROW($A$5),zeilenindizes,2)+INDEX(prodRowOffset,P$3),  MATCH(P$2,OFFSET(INDEXNAMEN,P$3,0),0)),""),"")</f>
        <v>0</v>
      </c>
      <c r="Q84" s="17">
        <f ca="1">IFERROR(IF(MAX('SORT IMPORT'!$A$13:$A$408)&gt;ROW()-ROW($A$5)-1,INDEX( PRODUKTE,  VLOOKUP(ROW()-ROW($A$5),zeilenindizes,2)+INDEX(prodRowOffset,Q$3),  MATCH(Q$2,OFFSET(INDEXNAMEN,Q$3,0),0)),""),"")</f>
        <v>0</v>
      </c>
      <c r="R84" s="17">
        <f ca="1">IFERROR(IF(MAX('SORT IMPORT'!$A$13:$A$408)&gt;ROW()-ROW($A$5)-1,INDEX( PRODUKTE,  VLOOKUP(ROW()-ROW($A$5),zeilenindizes,2)+INDEX(prodRowOffset,R$3),  MATCH(R$2,OFFSET(INDEXNAMEN,R$3,0),0)),""),"")</f>
        <v>0</v>
      </c>
      <c r="S84" s="17">
        <f ca="1">IFERROR(IF(MAX('SORT IMPORT'!$A$13:$A$408)&gt;ROW()-ROW($A$5)-1,INDEX( PRODUKTE,  VLOOKUP(ROW()-ROW($A$5),zeilenindizes,2)+INDEX(prodRowOffset,S$3),  MATCH(S$2,OFFSET(INDEXNAMEN,S$3,0),0)),""),"")</f>
        <v>0</v>
      </c>
      <c r="T84" s="17">
        <f ca="1">IFERROR(IF(MAX('SORT IMPORT'!$A$13:$A$408)&gt;ROW()-ROW($A$5)-1,INDEX( PRODUKTE,  VLOOKUP(ROW()-ROW($A$5),zeilenindizes,2)+INDEX(prodRowOffset,T$3),  MATCH(T$2,OFFSET(INDEXNAMEN,T$3,0),0)),""),"")</f>
        <v>0</v>
      </c>
      <c r="U84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26</v>
      </c>
      <c r="V84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84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84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84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26</v>
      </c>
      <c r="Z84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11</v>
      </c>
      <c r="AA84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84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84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84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84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26</v>
      </c>
      <c r="AF84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11</v>
      </c>
      <c r="AG84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84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84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26</v>
      </c>
      <c r="AJ84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1</v>
      </c>
      <c r="AK84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84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84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84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84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340</v>
      </c>
      <c r="AP84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24</v>
      </c>
      <c r="AQ84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16</v>
      </c>
      <c r="AR84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12</v>
      </c>
      <c r="AS84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210</v>
      </c>
      <c r="AT84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84</v>
      </c>
      <c r="AU84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20</v>
      </c>
      <c r="AV84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106</v>
      </c>
      <c r="AW84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340</v>
      </c>
      <c r="AX84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37</v>
      </c>
      <c r="AY84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49</v>
      </c>
    </row>
    <row r="85" spans="6:51" ht="22.5" customHeight="1" x14ac:dyDescent="0.3">
      <c r="F85" s="17" t="str">
        <f ca="1">IFERROR(IF(MAX('SORT IMPORT'!$A$13:$A$408)&gt;ROW()-ROW($A$5)-1,INDEX( PRODUKTE,  VLOOKUP(ROW()-ROW($A$5),zeilenindizes,2)+INDEX(prodRowOffset,F$3),  MATCH(F$2,OFFSET(INDEXNAMEN,F$3,0),0)),""),"")</f>
        <v>TS 98 XEA EN 1-6</v>
      </c>
      <c r="G85" s="17" t="str">
        <f ca="1">IFERROR(IF(MAX('SORT IMPORT'!$A$13:$A$408)&gt;ROW()-ROW($A$5)-1,INDEX( PRODUKTE,  VLOOKUP(ROW()-ROW($A$5),zeilenindizes,2)+INDEX(prodRowOffset,G$3),  MATCH(G$2,OFFSET(INDEXNAMEN,G$3,0),0)),""),"")</f>
        <v>X</v>
      </c>
      <c r="H85" s="17" t="str">
        <f ca="1">IFERROR(IF(MAX('SORT IMPORT'!$A$13:$A$408)&gt;ROW()-ROW($A$5)-1,INDEX( PRODUKTE,  VLOOKUP(ROW()-ROW($A$5),zeilenindizes,2)+INDEX(prodRowOffset,H$3),  MATCH(H$2,OFFSET(INDEXNAMEN,H$3,0),0)),""),"")</f>
        <v>98</v>
      </c>
      <c r="I85" s="17" t="str">
        <f ca="1">IFERROR(IF(MAX('SORT IMPORT'!$A$13:$A$408)&gt;ROW()-ROW($A$5)-1,INDEX( PRODUKTE,  VLOOKUP(ROW()-ROW($A$5),zeilenindizes,2)+INDEX(prodRowOffset,I$3),  MATCH(I$2,OFFSET(INDEXNAMEN,I$3,0),0)),""),"")</f>
        <v>V</v>
      </c>
      <c r="J85" s="17" t="str">
        <f ca="1">IFERROR(IF(MAX('SORT IMPORT'!$A$13:$A$408)&gt;ROW()-ROW($A$5)-1,INDEX( PRODUKTE,  VLOOKUP(ROW()-ROW($A$5),zeilenindizes,2)+INDEX(prodRowOffset,J$3),  MATCH(J$2,OFFSET(INDEXNAMEN,J$3,0),0)),""),"")</f>
        <v/>
      </c>
      <c r="K85" s="17">
        <f ca="1">IFERROR(IF(MAX('SORT IMPORT'!$A$13:$A$408)&gt;ROW()-ROW($A$5)-1,INDEX( PRODUKTE,  VLOOKUP(ROW()-ROW($A$5),zeilenindizes,2)+INDEX(prodRowOffset,K$3),  MATCH(K$2,OFFSET(INDEXNAMEN,K$3,0),0)),""),"")</f>
        <v>15</v>
      </c>
      <c r="L85" s="17">
        <f ca="1">IFERROR(IF(MAX('SORT IMPORT'!$A$13:$A$408)&gt;ROW()-ROW($A$5)-1,INDEX( PRODUKTE,  VLOOKUP(ROW()-ROW($A$5),zeilenindizes,2)+INDEX(prodRowOffset,L$3),  MATCH(L$2,OFFSET(INDEXNAMEN,L$3,0),0)),""),"")</f>
        <v>1</v>
      </c>
      <c r="M85" s="17">
        <f ca="1">IFERROR(IF(MAX('SORT IMPORT'!$A$13:$A$408)&gt;ROW()-ROW($A$5)-1,INDEX( PRODUKTE,  VLOOKUP(ROW()-ROW($A$5),zeilenindizes,2)+INDEX(prodRowOffset,M$3),  MATCH(M$2,OFFSET(INDEXNAMEN,M$3,0),0)),""),"")</f>
        <v>63</v>
      </c>
      <c r="N85" s="17">
        <f ca="1">IFERROR(IF(MAX('SORT IMPORT'!$A$13:$A$408)&gt;ROW()-ROW($A$5)-1,INDEX( PRODUKTE,  VLOOKUP(ROW()-ROW($A$5),zeilenindizes,2)+INDEX(prodRowOffset,N$3),  MATCH(N$2,OFFSET(INDEXNAMEN,N$3,0),0)),""),"")</f>
        <v>1</v>
      </c>
      <c r="O85" s="17">
        <f ca="1">IFERROR(IF(MAX('SORT IMPORT'!$A$13:$A$408)&gt;ROW()-ROW($A$5)-1,INDEX( PRODUKTE,  VLOOKUP(ROW()-ROW($A$5),zeilenindizes,2)+INDEX(prodRowOffset,O$3),  MATCH(O$2,OFFSET(INDEXNAMEN,O$3,0),0)),""),"")</f>
        <v>0</v>
      </c>
      <c r="P85" s="17">
        <f ca="1">IFERROR(IF(MAX('SORT IMPORT'!$A$13:$A$408)&gt;ROW()-ROW($A$5)-1,INDEX( PRODUKTE,  VLOOKUP(ROW()-ROW($A$5),zeilenindizes,2)+INDEX(prodRowOffset,P$3),  MATCH(P$2,OFFSET(INDEXNAMEN,P$3,0),0)),""),"")</f>
        <v>0</v>
      </c>
      <c r="Q85" s="17">
        <f ca="1">IFERROR(IF(MAX('SORT IMPORT'!$A$13:$A$408)&gt;ROW()-ROW($A$5)-1,INDEX( PRODUKTE,  VLOOKUP(ROW()-ROW($A$5),zeilenindizes,2)+INDEX(prodRowOffset,Q$3),  MATCH(Q$2,OFFSET(INDEXNAMEN,Q$3,0),0)),""),"")</f>
        <v>1</v>
      </c>
      <c r="R85" s="17">
        <f ca="1">IFERROR(IF(MAX('SORT IMPORT'!$A$13:$A$408)&gt;ROW()-ROW($A$5)-1,INDEX( PRODUKTE,  VLOOKUP(ROW()-ROW($A$5),zeilenindizes,2)+INDEX(prodRowOffset,R$3),  MATCH(R$2,OFFSET(INDEXNAMEN,R$3,0),0)),""),"")</f>
        <v>1</v>
      </c>
      <c r="S85" s="17">
        <f ca="1">IFERROR(IF(MAX('SORT IMPORT'!$A$13:$A$408)&gt;ROW()-ROW($A$5)-1,INDEX( PRODUKTE,  VLOOKUP(ROW()-ROW($A$5),zeilenindizes,2)+INDEX(prodRowOffset,S$3),  MATCH(S$2,OFFSET(INDEXNAMEN,S$3,0),0)),""),"")</f>
        <v>0</v>
      </c>
      <c r="T85" s="17">
        <f ca="1">IFERROR(IF(MAX('SORT IMPORT'!$A$13:$A$408)&gt;ROW()-ROW($A$5)-1,INDEX( PRODUKTE,  VLOOKUP(ROW()-ROW($A$5),zeilenindizes,2)+INDEX(prodRowOffset,T$3),  MATCH(T$2,OFFSET(INDEXNAMEN,T$3,0),0)),""),"")</f>
        <v>1</v>
      </c>
      <c r="U85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74</v>
      </c>
      <c r="V85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85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74</v>
      </c>
      <c r="X85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4</v>
      </c>
      <c r="Y85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74</v>
      </c>
      <c r="Z85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17</v>
      </c>
      <c r="AA85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74</v>
      </c>
      <c r="AB85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85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74</v>
      </c>
      <c r="AD85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85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74</v>
      </c>
      <c r="AF85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12</v>
      </c>
      <c r="AG85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74</v>
      </c>
      <c r="AH85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12</v>
      </c>
      <c r="AI85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74</v>
      </c>
      <c r="AJ85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85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74</v>
      </c>
      <c r="AL85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85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74</v>
      </c>
      <c r="AN85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9999</v>
      </c>
      <c r="AO85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518</v>
      </c>
      <c r="AP85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32</v>
      </c>
      <c r="AQ85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23</v>
      </c>
      <c r="AR85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16</v>
      </c>
      <c r="AS85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85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101</v>
      </c>
      <c r="AU85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85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45</v>
      </c>
      <c r="AW85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327</v>
      </c>
      <c r="AX85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59</v>
      </c>
      <c r="AY85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86" spans="6:51" ht="22.5" customHeight="1" x14ac:dyDescent="0.3">
      <c r="F86" s="17" t="str">
        <f ca="1">IFERROR(IF(MAX('SORT IMPORT'!$A$13:$A$408)&gt;ROW()-ROW($A$5)-1,INDEX( PRODUKTE,  VLOOKUP(ROW()-ROW($A$5),zeilenindizes,2)+INDEX(prodRowOffset,F$3),  MATCH(F$2,OFFSET(INDEXNAMEN,F$3,0),0)),""),"")</f>
        <v>TS 98 RF XEA EN 1-6</v>
      </c>
      <c r="G86" s="17" t="str">
        <f ca="1">IFERROR(IF(MAX('SORT IMPORT'!$A$13:$A$408)&gt;ROW()-ROW($A$5)-1,INDEX( PRODUKTE,  VLOOKUP(ROW()-ROW($A$5),zeilenindizes,2)+INDEX(prodRowOffset,G$3),  MATCH(G$2,OFFSET(INDEXNAMEN,G$3,0),0)),""),"")</f>
        <v>X</v>
      </c>
      <c r="H86" s="17" t="str">
        <f ca="1">IFERROR(IF(MAX('SORT IMPORT'!$A$13:$A$408)&gt;ROW()-ROW($A$5)-1,INDEX( PRODUKTE,  VLOOKUP(ROW()-ROW($A$5),zeilenindizes,2)+INDEX(prodRowOffset,H$3),  MATCH(H$2,OFFSET(INDEXNAMEN,H$3,0),0)),""),"")</f>
        <v>98</v>
      </c>
      <c r="I86" s="17" t="str">
        <f ca="1">IFERROR(IF(MAX('SORT IMPORT'!$A$13:$A$408)&gt;ROW()-ROW($A$5)-1,INDEX( PRODUKTE,  VLOOKUP(ROW()-ROW($A$5),zeilenindizes,2)+INDEX(prodRowOffset,I$3),  MATCH(I$2,OFFSET(INDEXNAMEN,I$3,0),0)),""),"")</f>
        <v>V</v>
      </c>
      <c r="J86" s="17" t="str">
        <f ca="1">IFERROR(IF(MAX('SORT IMPORT'!$A$13:$A$408)&gt;ROW()-ROW($A$5)-1,INDEX( PRODUKTE,  VLOOKUP(ROW()-ROW($A$5),zeilenindizes,2)+INDEX(prodRowOffset,J$3),  MATCH(J$2,OFFSET(INDEXNAMEN,J$3,0),0)),""),"")</f>
        <v>M</v>
      </c>
      <c r="K86" s="17">
        <f ca="1">IFERROR(IF(MAX('SORT IMPORT'!$A$13:$A$408)&gt;ROW()-ROW($A$5)-1,INDEX( PRODUKTE,  VLOOKUP(ROW()-ROW($A$5),zeilenindizes,2)+INDEX(prodRowOffset,K$3),  MATCH(K$2,OFFSET(INDEXNAMEN,K$3,0),0)),""),"")</f>
        <v>15</v>
      </c>
      <c r="L86" s="17">
        <f ca="1">IFERROR(IF(MAX('SORT IMPORT'!$A$13:$A$408)&gt;ROW()-ROW($A$5)-1,INDEX( PRODUKTE,  VLOOKUP(ROW()-ROW($A$5),zeilenindizes,2)+INDEX(prodRowOffset,L$3),  MATCH(L$2,OFFSET(INDEXNAMEN,L$3,0),0)),""),"")</f>
        <v>2</v>
      </c>
      <c r="M86" s="17">
        <f ca="1">IFERROR(IF(MAX('SORT IMPORT'!$A$13:$A$408)&gt;ROW()-ROW($A$5)-1,INDEX( PRODUKTE,  VLOOKUP(ROW()-ROW($A$5),zeilenindizes,2)+INDEX(prodRowOffset,M$3),  MATCH(M$2,OFFSET(INDEXNAMEN,M$3,0),0)),""),"")</f>
        <v>63</v>
      </c>
      <c r="N86" s="17">
        <f ca="1">IFERROR(IF(MAX('SORT IMPORT'!$A$13:$A$408)&gt;ROW()-ROW($A$5)-1,INDEX( PRODUKTE,  VLOOKUP(ROW()-ROW($A$5),zeilenindizes,2)+INDEX(prodRowOffset,N$3),  MATCH(N$2,OFFSET(INDEXNAMEN,N$3,0),0)),""),"")</f>
        <v>1</v>
      </c>
      <c r="O86" s="17">
        <f ca="1">IFERROR(IF(MAX('SORT IMPORT'!$A$13:$A$408)&gt;ROW()-ROW($A$5)-1,INDEX( PRODUKTE,  VLOOKUP(ROW()-ROW($A$5),zeilenindizes,2)+INDEX(prodRowOffset,O$3),  MATCH(O$2,OFFSET(INDEXNAMEN,O$3,0),0)),""),"")</f>
        <v>0</v>
      </c>
      <c r="P86" s="17">
        <f ca="1">IFERROR(IF(MAX('SORT IMPORT'!$A$13:$A$408)&gt;ROW()-ROW($A$5)-1,INDEX( PRODUKTE,  VLOOKUP(ROW()-ROW($A$5),zeilenindizes,2)+INDEX(prodRowOffset,P$3),  MATCH(P$2,OFFSET(INDEXNAMEN,P$3,0),0)),""),"")</f>
        <v>0</v>
      </c>
      <c r="Q86" s="17">
        <f ca="1">IFERROR(IF(MAX('SORT IMPORT'!$A$13:$A$408)&gt;ROW()-ROW($A$5)-1,INDEX( PRODUKTE,  VLOOKUP(ROW()-ROW($A$5),zeilenindizes,2)+INDEX(prodRowOffset,Q$3),  MATCH(Q$2,OFFSET(INDEXNAMEN,Q$3,0),0)),""),"")</f>
        <v>0</v>
      </c>
      <c r="R86" s="17">
        <f ca="1">IFERROR(IF(MAX('SORT IMPORT'!$A$13:$A$408)&gt;ROW()-ROW($A$5)-1,INDEX( PRODUKTE,  VLOOKUP(ROW()-ROW($A$5),zeilenindizes,2)+INDEX(prodRowOffset,R$3),  MATCH(R$2,OFFSET(INDEXNAMEN,R$3,0),0)),""),"")</f>
        <v>1</v>
      </c>
      <c r="S86" s="17">
        <f ca="1">IFERROR(IF(MAX('SORT IMPORT'!$A$13:$A$408)&gt;ROW()-ROW($A$5)-1,INDEX( PRODUKTE,  VLOOKUP(ROW()-ROW($A$5),zeilenindizes,2)+INDEX(prodRowOffset,S$3),  MATCH(S$2,OFFSET(INDEXNAMEN,S$3,0),0)),""),"")</f>
        <v>0</v>
      </c>
      <c r="T86" s="17">
        <f ca="1">IFERROR(IF(MAX('SORT IMPORT'!$A$13:$A$408)&gt;ROW()-ROW($A$5)-1,INDEX( PRODUKTE,  VLOOKUP(ROW()-ROW($A$5),zeilenindizes,2)+INDEX(prodRowOffset,T$3),  MATCH(T$2,OFFSET(INDEXNAMEN,T$3,0),0)),""),"")</f>
        <v>1</v>
      </c>
      <c r="U86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74</v>
      </c>
      <c r="V86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86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74</v>
      </c>
      <c r="X86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4</v>
      </c>
      <c r="Y86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74</v>
      </c>
      <c r="Z86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17</v>
      </c>
      <c r="AA86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74</v>
      </c>
      <c r="AB86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86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74</v>
      </c>
      <c r="AD86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86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74</v>
      </c>
      <c r="AF86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12</v>
      </c>
      <c r="AG86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74</v>
      </c>
      <c r="AH86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12</v>
      </c>
      <c r="AI86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74</v>
      </c>
      <c r="AJ86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86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74</v>
      </c>
      <c r="AL86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86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74</v>
      </c>
      <c r="AN86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9999</v>
      </c>
      <c r="AO86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518</v>
      </c>
      <c r="AP86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32</v>
      </c>
      <c r="AQ86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23</v>
      </c>
      <c r="AR86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16</v>
      </c>
      <c r="AS86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86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101</v>
      </c>
      <c r="AU86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86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45</v>
      </c>
      <c r="AW86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327</v>
      </c>
      <c r="AX86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59</v>
      </c>
      <c r="AY86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87" spans="6:51" ht="22.5" customHeight="1" x14ac:dyDescent="0.3">
      <c r="F87" s="17" t="str">
        <f ca="1">IFERROR(IF(MAX('SORT IMPORT'!$A$13:$A$408)&gt;ROW()-ROW($A$5)-1,INDEX( PRODUKTE,  VLOOKUP(ROW()-ROW($A$5),zeilenindizes,2)+INDEX(prodRowOffset,F$3),  MATCH(F$2,OFFSET(INDEXNAMEN,F$3,0),0)),""),"")</f>
        <v>TS 98 EMF XEA EN 1-6</v>
      </c>
      <c r="G87" s="17" t="str">
        <f ca="1">IFERROR(IF(MAX('SORT IMPORT'!$A$13:$A$408)&gt;ROW()-ROW($A$5)-1,INDEX( PRODUKTE,  VLOOKUP(ROW()-ROW($A$5),zeilenindizes,2)+INDEX(prodRowOffset,G$3),  MATCH(G$2,OFFSET(INDEXNAMEN,G$3,0),0)),""),"")</f>
        <v>X</v>
      </c>
      <c r="H87" s="17" t="str">
        <f ca="1">IFERROR(IF(MAX('SORT IMPORT'!$A$13:$A$408)&gt;ROW()-ROW($A$5)-1,INDEX( PRODUKTE,  VLOOKUP(ROW()-ROW($A$5),zeilenindizes,2)+INDEX(prodRowOffset,H$3),  MATCH(H$2,OFFSET(INDEXNAMEN,H$3,0),0)),""),"")</f>
        <v>98</v>
      </c>
      <c r="I87" s="17" t="str">
        <f ca="1">IFERROR(IF(MAX('SORT IMPORT'!$A$13:$A$408)&gt;ROW()-ROW($A$5)-1,INDEX( PRODUKTE,  VLOOKUP(ROW()-ROW($A$5),zeilenindizes,2)+INDEX(prodRowOffset,I$3),  MATCH(I$2,OFFSET(INDEXNAMEN,I$3,0),0)),""),"")</f>
        <v>V</v>
      </c>
      <c r="J87" s="17" t="str">
        <f ca="1">IFERROR(IF(MAX('SORT IMPORT'!$A$13:$A$408)&gt;ROW()-ROW($A$5)-1,INDEX( PRODUKTE,  VLOOKUP(ROW()-ROW($A$5),zeilenindizes,2)+INDEX(prodRowOffset,J$3),  MATCH(J$2,OFFSET(INDEXNAMEN,J$3,0),0)),""),"")</f>
        <v>E</v>
      </c>
      <c r="K87" s="17">
        <f ca="1">IFERROR(IF(MAX('SORT IMPORT'!$A$13:$A$408)&gt;ROW()-ROW($A$5)-1,INDEX( PRODUKTE,  VLOOKUP(ROW()-ROW($A$5),zeilenindizes,2)+INDEX(prodRowOffset,K$3),  MATCH(K$2,OFFSET(INDEXNAMEN,K$3,0),0)),""),"")</f>
        <v>9</v>
      </c>
      <c r="L87" s="17">
        <f ca="1">IFERROR(IF(MAX('SORT IMPORT'!$A$13:$A$408)&gt;ROW()-ROW($A$5)-1,INDEX( PRODUKTE,  VLOOKUP(ROW()-ROW($A$5),zeilenindizes,2)+INDEX(prodRowOffset,L$3),  MATCH(L$2,OFFSET(INDEXNAMEN,L$3,0),0)),""),"")</f>
        <v>4</v>
      </c>
      <c r="M87" s="17">
        <f ca="1">IFERROR(IF(MAX('SORT IMPORT'!$A$13:$A$408)&gt;ROW()-ROW($A$5)-1,INDEX( PRODUKTE,  VLOOKUP(ROW()-ROW($A$5),zeilenindizes,2)+INDEX(prodRowOffset,M$3),  MATCH(M$2,OFFSET(INDEXNAMEN,M$3,0),0)),""),"")</f>
        <v>63</v>
      </c>
      <c r="N87" s="17">
        <f ca="1">IFERROR(IF(MAX('SORT IMPORT'!$A$13:$A$408)&gt;ROW()-ROW($A$5)-1,INDEX( PRODUKTE,  VLOOKUP(ROW()-ROW($A$5),zeilenindizes,2)+INDEX(prodRowOffset,N$3),  MATCH(N$2,OFFSET(INDEXNAMEN,N$3,0),0)),""),"")</f>
        <v>1</v>
      </c>
      <c r="O87" s="17">
        <f ca="1">IFERROR(IF(MAX('SORT IMPORT'!$A$13:$A$408)&gt;ROW()-ROW($A$5)-1,INDEX( PRODUKTE,  VLOOKUP(ROW()-ROW($A$5),zeilenindizes,2)+INDEX(prodRowOffset,O$3),  MATCH(O$2,OFFSET(INDEXNAMEN,O$3,0),0)),""),"")</f>
        <v>2</v>
      </c>
      <c r="P87" s="17">
        <f ca="1">IFERROR(IF(MAX('SORT IMPORT'!$A$13:$A$408)&gt;ROW()-ROW($A$5)-1,INDEX( PRODUKTE,  VLOOKUP(ROW()-ROW($A$5),zeilenindizes,2)+INDEX(prodRowOffset,P$3),  MATCH(P$2,OFFSET(INDEXNAMEN,P$3,0),0)),""),"")</f>
        <v>0</v>
      </c>
      <c r="Q87" s="17">
        <f ca="1">IFERROR(IF(MAX('SORT IMPORT'!$A$13:$A$408)&gt;ROW()-ROW($A$5)-1,INDEX( PRODUKTE,  VLOOKUP(ROW()-ROW($A$5),zeilenindizes,2)+INDEX(prodRowOffset,Q$3),  MATCH(Q$2,OFFSET(INDEXNAMEN,Q$3,0),0)),""),"")</f>
        <v>1</v>
      </c>
      <c r="R87" s="17">
        <f ca="1">IFERROR(IF(MAX('SORT IMPORT'!$A$13:$A$408)&gt;ROW()-ROW($A$5)-1,INDEX( PRODUKTE,  VLOOKUP(ROW()-ROW($A$5),zeilenindizes,2)+INDEX(prodRowOffset,R$3),  MATCH(R$2,OFFSET(INDEXNAMEN,R$3,0),0)),""),"")</f>
        <v>1</v>
      </c>
      <c r="S87" s="17">
        <f ca="1">IFERROR(IF(MAX('SORT IMPORT'!$A$13:$A$408)&gt;ROW()-ROW($A$5)-1,INDEX( PRODUKTE,  VLOOKUP(ROW()-ROW($A$5),zeilenindizes,2)+INDEX(prodRowOffset,S$3),  MATCH(S$2,OFFSET(INDEXNAMEN,S$3,0),0)),""),"")</f>
        <v>0</v>
      </c>
      <c r="T87" s="17">
        <f ca="1">IFERROR(IF(MAX('SORT IMPORT'!$A$13:$A$408)&gt;ROW()-ROW($A$5)-1,INDEX( PRODUKTE,  VLOOKUP(ROW()-ROW($A$5),zeilenindizes,2)+INDEX(prodRowOffset,T$3),  MATCH(T$2,OFFSET(INDEXNAMEN,T$3,0),0)),""),"")</f>
        <v>1</v>
      </c>
      <c r="U87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74</v>
      </c>
      <c r="V87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87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87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87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87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87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74</v>
      </c>
      <c r="AB87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87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74</v>
      </c>
      <c r="AD87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87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74</v>
      </c>
      <c r="AF87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12</v>
      </c>
      <c r="AG87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87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87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87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87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74</v>
      </c>
      <c r="AL87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87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74</v>
      </c>
      <c r="AN87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9999</v>
      </c>
      <c r="AO87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537</v>
      </c>
      <c r="AP87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39</v>
      </c>
      <c r="AQ87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87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20</v>
      </c>
      <c r="AS87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87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101</v>
      </c>
      <c r="AU87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87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166</v>
      </c>
      <c r="AW87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327</v>
      </c>
      <c r="AX87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59</v>
      </c>
      <c r="AY87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88" spans="6:51" ht="22.5" customHeight="1" x14ac:dyDescent="0.3">
      <c r="F88" s="17" t="str">
        <f ca="1">IFERROR(IF(MAX('SORT IMPORT'!$A$13:$A$408)&gt;ROW()-ROW($A$5)-1,INDEX( PRODUKTE,  VLOOKUP(ROW()-ROW($A$5),zeilenindizes,2)+INDEX(prodRowOffset,F$3),  MATCH(F$2,OFFSET(INDEXNAMEN,F$3,0),0)),""),"")</f>
        <v>TS 98 EMR XEA EN 1-6</v>
      </c>
      <c r="G88" s="17" t="str">
        <f ca="1">IFERROR(IF(MAX('SORT IMPORT'!$A$13:$A$408)&gt;ROW()-ROW($A$5)-1,INDEX( PRODUKTE,  VLOOKUP(ROW()-ROW($A$5),zeilenindizes,2)+INDEX(prodRowOffset,G$3),  MATCH(G$2,OFFSET(INDEXNAMEN,G$3,0),0)),""),"")</f>
        <v>X</v>
      </c>
      <c r="H88" s="17" t="str">
        <f ca="1">IFERROR(IF(MAX('SORT IMPORT'!$A$13:$A$408)&gt;ROW()-ROW($A$5)-1,INDEX( PRODUKTE,  VLOOKUP(ROW()-ROW($A$5),zeilenindizes,2)+INDEX(prodRowOffset,H$3),  MATCH(H$2,OFFSET(INDEXNAMEN,H$3,0),0)),""),"")</f>
        <v>98</v>
      </c>
      <c r="I88" s="17" t="str">
        <f ca="1">IFERROR(IF(MAX('SORT IMPORT'!$A$13:$A$408)&gt;ROW()-ROW($A$5)-1,INDEX( PRODUKTE,  VLOOKUP(ROW()-ROW($A$5),zeilenindizes,2)+INDEX(prodRowOffset,I$3),  MATCH(I$2,OFFSET(INDEXNAMEN,I$3,0),0)),""),"")</f>
        <v>V</v>
      </c>
      <c r="J88" s="17" t="str">
        <f ca="1">IFERROR(IF(MAX('SORT IMPORT'!$A$13:$A$408)&gt;ROW()-ROW($A$5)-1,INDEX( PRODUKTE,  VLOOKUP(ROW()-ROW($A$5),zeilenindizes,2)+INDEX(prodRowOffset,J$3),  MATCH(J$2,OFFSET(INDEXNAMEN,J$3,0),0)),""),"")</f>
        <v>R</v>
      </c>
      <c r="K88" s="17">
        <f ca="1">IFERROR(IF(MAX('SORT IMPORT'!$A$13:$A$408)&gt;ROW()-ROW($A$5)-1,INDEX( PRODUKTE,  VLOOKUP(ROW()-ROW($A$5),zeilenindizes,2)+INDEX(prodRowOffset,K$3),  MATCH(K$2,OFFSET(INDEXNAMEN,K$3,0),0)),""),"")</f>
        <v>9</v>
      </c>
      <c r="L88" s="17">
        <f ca="1">IFERROR(IF(MAX('SORT IMPORT'!$A$13:$A$408)&gt;ROW()-ROW($A$5)-1,INDEX( PRODUKTE,  VLOOKUP(ROW()-ROW($A$5),zeilenindizes,2)+INDEX(prodRowOffset,L$3),  MATCH(L$2,OFFSET(INDEXNAMEN,L$3,0),0)),""),"")</f>
        <v>8</v>
      </c>
      <c r="M88" s="17">
        <f ca="1">IFERROR(IF(MAX('SORT IMPORT'!$A$13:$A$408)&gt;ROW()-ROW($A$5)-1,INDEX( PRODUKTE,  VLOOKUP(ROW()-ROW($A$5),zeilenindizes,2)+INDEX(prodRowOffset,M$3),  MATCH(M$2,OFFSET(INDEXNAMEN,M$3,0),0)),""),"")</f>
        <v>63</v>
      </c>
      <c r="N88" s="17">
        <f ca="1">IFERROR(IF(MAX('SORT IMPORT'!$A$13:$A$408)&gt;ROW()-ROW($A$5)-1,INDEX( PRODUKTE,  VLOOKUP(ROW()-ROW($A$5),zeilenindizes,2)+INDEX(prodRowOffset,N$3),  MATCH(N$2,OFFSET(INDEXNAMEN,N$3,0),0)),""),"")</f>
        <v>1</v>
      </c>
      <c r="O88" s="17">
        <f ca="1">IFERROR(IF(MAX('SORT IMPORT'!$A$13:$A$408)&gt;ROW()-ROW($A$5)-1,INDEX( PRODUKTE,  VLOOKUP(ROW()-ROW($A$5),zeilenindizes,2)+INDEX(prodRowOffset,O$3),  MATCH(O$2,OFFSET(INDEXNAMEN,O$3,0),0)),""),"")</f>
        <v>1</v>
      </c>
      <c r="P88" s="17">
        <f ca="1">IFERROR(IF(MAX('SORT IMPORT'!$A$13:$A$408)&gt;ROW()-ROW($A$5)-1,INDEX( PRODUKTE,  VLOOKUP(ROW()-ROW($A$5),zeilenindizes,2)+INDEX(prodRowOffset,P$3),  MATCH(P$2,OFFSET(INDEXNAMEN,P$3,0),0)),""),"")</f>
        <v>0</v>
      </c>
      <c r="Q88" s="17">
        <f ca="1">IFERROR(IF(MAX('SORT IMPORT'!$A$13:$A$408)&gt;ROW()-ROW($A$5)-1,INDEX( PRODUKTE,  VLOOKUP(ROW()-ROW($A$5),zeilenindizes,2)+INDEX(prodRowOffset,Q$3),  MATCH(Q$2,OFFSET(INDEXNAMEN,Q$3,0),0)),""),"")</f>
        <v>1</v>
      </c>
      <c r="R88" s="17">
        <f ca="1">IFERROR(IF(MAX('SORT IMPORT'!$A$13:$A$408)&gt;ROW()-ROW($A$5)-1,INDEX( PRODUKTE,  VLOOKUP(ROW()-ROW($A$5),zeilenindizes,2)+INDEX(prodRowOffset,R$3),  MATCH(R$2,OFFSET(INDEXNAMEN,R$3,0),0)),""),"")</f>
        <v>1</v>
      </c>
      <c r="S88" s="17">
        <f ca="1">IFERROR(IF(MAX('SORT IMPORT'!$A$13:$A$408)&gt;ROW()-ROW($A$5)-1,INDEX( PRODUKTE,  VLOOKUP(ROW()-ROW($A$5),zeilenindizes,2)+INDEX(prodRowOffset,S$3),  MATCH(S$2,OFFSET(INDEXNAMEN,S$3,0),0)),""),"")</f>
        <v>0</v>
      </c>
      <c r="T88" s="17">
        <f ca="1">IFERROR(IF(MAX('SORT IMPORT'!$A$13:$A$408)&gt;ROW()-ROW($A$5)-1,INDEX( PRODUKTE,  VLOOKUP(ROW()-ROW($A$5),zeilenindizes,2)+INDEX(prodRowOffset,T$3),  MATCH(T$2,OFFSET(INDEXNAMEN,T$3,0),0)),""),"")</f>
        <v>1</v>
      </c>
      <c r="U88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74</v>
      </c>
      <c r="V88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88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88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88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88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88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74</v>
      </c>
      <c r="AB88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88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88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88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74</v>
      </c>
      <c r="AF88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13</v>
      </c>
      <c r="AG88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88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88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88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88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74</v>
      </c>
      <c r="AL88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88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88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88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883</v>
      </c>
      <c r="AP88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39</v>
      </c>
      <c r="AQ88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88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20</v>
      </c>
      <c r="AS88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88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101</v>
      </c>
      <c r="AU88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88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166</v>
      </c>
      <c r="AW88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327</v>
      </c>
      <c r="AX88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59</v>
      </c>
      <c r="AY88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89" spans="6:51" ht="22.5" customHeight="1" x14ac:dyDescent="0.3">
      <c r="F89" s="17" t="str">
        <f ca="1">IFERROR(IF(MAX('SORT IMPORT'!$A$13:$A$408)&gt;ROW()-ROW($A$5)-1,INDEX( PRODUKTE,  VLOOKUP(ROW()-ROW($A$5),zeilenindizes,2)+INDEX(prodRowOffset,F$3),  MATCH(F$2,OFFSET(INDEXNAMEN,F$3,0),0)),""),"")</f>
        <v>TS 98 UVIBIS XEA EN 1-6</v>
      </c>
      <c r="G89" s="17" t="str">
        <f ca="1">IFERROR(IF(MAX('SORT IMPORT'!$A$13:$A$408)&gt;ROW()-ROW($A$5)-1,INDEX( PRODUKTE,  VLOOKUP(ROW()-ROW($A$5),zeilenindizes,2)+INDEX(prodRowOffset,G$3),  MATCH(G$2,OFFSET(INDEXNAMEN,G$3,0),0)),""),"")</f>
        <v>X</v>
      </c>
      <c r="H89" s="17" t="str">
        <f ca="1">IFERROR(IF(MAX('SORT IMPORT'!$A$13:$A$408)&gt;ROW()-ROW($A$5)-1,INDEX( PRODUKTE,  VLOOKUP(ROW()-ROW($A$5),zeilenindizes,2)+INDEX(prodRowOffset,H$3),  MATCH(H$2,OFFSET(INDEXNAMEN,H$3,0),0)),""),"")</f>
        <v>98</v>
      </c>
      <c r="I89" s="17" t="str">
        <f ca="1">IFERROR(IF(MAX('SORT IMPORT'!$A$13:$A$408)&gt;ROW()-ROW($A$5)-1,INDEX( PRODUKTE,  VLOOKUP(ROW()-ROW($A$5),zeilenindizes,2)+INDEX(prodRowOffset,I$3),  MATCH(I$2,OFFSET(INDEXNAMEN,I$3,0),0)),""),"")</f>
        <v>V</v>
      </c>
      <c r="J89" s="17" t="str">
        <f ca="1">IFERROR(IF(MAX('SORT IMPORT'!$A$13:$A$408)&gt;ROW()-ROW($A$5)-1,INDEX( PRODUKTE,  VLOOKUP(ROW()-ROW($A$5),zeilenindizes,2)+INDEX(prodRowOffset,J$3),  MATCH(J$2,OFFSET(INDEXNAMEN,J$3,0),0)),""),"")</f>
        <v>B</v>
      </c>
      <c r="K89" s="17">
        <f ca="1">IFERROR(IF(MAX('SORT IMPORT'!$A$13:$A$408)&gt;ROW()-ROW($A$5)-1,INDEX( PRODUKTE,  VLOOKUP(ROW()-ROW($A$5),zeilenindizes,2)+INDEX(prodRowOffset,K$3),  MATCH(K$2,OFFSET(INDEXNAMEN,K$3,0),0)),""),"")</f>
        <v>9</v>
      </c>
      <c r="L89" s="17">
        <f ca="1">IFERROR(IF(MAX('SORT IMPORT'!$A$13:$A$408)&gt;ROW()-ROW($A$5)-1,INDEX( PRODUKTE,  VLOOKUP(ROW()-ROW($A$5),zeilenindizes,2)+INDEX(prodRowOffset,L$3),  MATCH(L$2,OFFSET(INDEXNAMEN,L$3,0),0)),""),"")</f>
        <v>16</v>
      </c>
      <c r="M89" s="17">
        <f ca="1">IFERROR(IF(MAX('SORT IMPORT'!$A$13:$A$408)&gt;ROW()-ROW($A$5)-1,INDEX( PRODUKTE,  VLOOKUP(ROW()-ROW($A$5),zeilenindizes,2)+INDEX(prodRowOffset,M$3),  MATCH(M$2,OFFSET(INDEXNAMEN,M$3,0),0)),""),"")</f>
        <v>63</v>
      </c>
      <c r="N89" s="17">
        <f ca="1">IFERROR(IF(MAX('SORT IMPORT'!$A$13:$A$408)&gt;ROW()-ROW($A$5)-1,INDEX( PRODUKTE,  VLOOKUP(ROW()-ROW($A$5),zeilenindizes,2)+INDEX(prodRowOffset,N$3),  MATCH(N$2,OFFSET(INDEXNAMEN,N$3,0),0)),""),"")</f>
        <v>1</v>
      </c>
      <c r="O89" s="17">
        <f ca="1">IFERROR(IF(MAX('SORT IMPORT'!$A$13:$A$408)&gt;ROW()-ROW($A$5)-1,INDEX( PRODUKTE,  VLOOKUP(ROW()-ROW($A$5),zeilenindizes,2)+INDEX(prodRowOffset,O$3),  MATCH(O$2,OFFSET(INDEXNAMEN,O$3,0),0)),""),"")</f>
        <v>1</v>
      </c>
      <c r="P89" s="17">
        <f ca="1">IFERROR(IF(MAX('SORT IMPORT'!$A$13:$A$408)&gt;ROW()-ROW($A$5)-1,INDEX( PRODUKTE,  VLOOKUP(ROW()-ROW($A$5),zeilenindizes,2)+INDEX(prodRowOffset,P$3),  MATCH(P$2,OFFSET(INDEXNAMEN,P$3,0),0)),""),"")</f>
        <v>0</v>
      </c>
      <c r="Q89" s="17">
        <f ca="1">IFERROR(IF(MAX('SORT IMPORT'!$A$13:$A$408)&gt;ROW()-ROW($A$5)-1,INDEX( PRODUKTE,  VLOOKUP(ROW()-ROW($A$5),zeilenindizes,2)+INDEX(prodRowOffset,Q$3),  MATCH(Q$2,OFFSET(INDEXNAMEN,Q$3,0),0)),""),"")</f>
        <v>1</v>
      </c>
      <c r="R89" s="17">
        <f ca="1">IFERROR(IF(MAX('SORT IMPORT'!$A$13:$A$408)&gt;ROW()-ROW($A$5)-1,INDEX( PRODUKTE,  VLOOKUP(ROW()-ROW($A$5),zeilenindizes,2)+INDEX(prodRowOffset,R$3),  MATCH(R$2,OFFSET(INDEXNAMEN,R$3,0),0)),""),"")</f>
        <v>1</v>
      </c>
      <c r="S89" s="17">
        <f ca="1">IFERROR(IF(MAX('SORT IMPORT'!$A$13:$A$408)&gt;ROW()-ROW($A$5)-1,INDEX( PRODUKTE,  VLOOKUP(ROW()-ROW($A$5),zeilenindizes,2)+INDEX(prodRowOffset,S$3),  MATCH(S$2,OFFSET(INDEXNAMEN,S$3,0),0)),""),"")</f>
        <v>0</v>
      </c>
      <c r="T89" s="17">
        <f ca="1">IFERROR(IF(MAX('SORT IMPORT'!$A$13:$A$408)&gt;ROW()-ROW($A$5)-1,INDEX( PRODUKTE,  VLOOKUP(ROW()-ROW($A$5),zeilenindizes,2)+INDEX(prodRowOffset,T$3),  MATCH(T$2,OFFSET(INDEXNAMEN,T$3,0),0)),""),"")</f>
        <v>1</v>
      </c>
      <c r="U89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74</v>
      </c>
      <c r="V89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89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89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89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89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89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74</v>
      </c>
      <c r="AB89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89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89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89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74</v>
      </c>
      <c r="AF89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13</v>
      </c>
      <c r="AG89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89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89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89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89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74</v>
      </c>
      <c r="AL89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89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89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89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890</v>
      </c>
      <c r="AP89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75</v>
      </c>
      <c r="AQ89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34</v>
      </c>
      <c r="AR89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15</v>
      </c>
      <c r="AS89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89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101</v>
      </c>
      <c r="AU89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89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170</v>
      </c>
      <c r="AW89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327</v>
      </c>
      <c r="AX89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59</v>
      </c>
      <c r="AY89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90" spans="6:51" ht="22.5" customHeight="1" x14ac:dyDescent="0.3">
      <c r="F90" s="17" t="str">
        <f ca="1">IFERROR(IF(MAX('SORT IMPORT'!$A$13:$A$408)&gt;ROW()-ROW($A$5)-1,INDEX( PRODUKTE,  VLOOKUP(ROW()-ROW($A$5),zeilenindizes,2)+INDEX(prodRowOffset,F$3),  MATCH(F$2,OFFSET(INDEXNAMEN,F$3,0),0)),""),"")</f>
        <v xml:space="preserve">TS 98 GSR XEA EN 1-6 </v>
      </c>
      <c r="G90" s="17" t="str">
        <f ca="1">IFERROR(IF(MAX('SORT IMPORT'!$A$13:$A$408)&gt;ROW()-ROW($A$5)-1,INDEX( PRODUKTE,  VLOOKUP(ROW()-ROW($A$5),zeilenindizes,2)+INDEX(prodRowOffset,G$3),  MATCH(G$2,OFFSET(INDEXNAMEN,G$3,0),0)),""),"")</f>
        <v>X</v>
      </c>
      <c r="H90" s="17" t="str">
        <f ca="1">IFERROR(IF(MAX('SORT IMPORT'!$A$13:$A$408)&gt;ROW()-ROW($A$5)-1,INDEX( PRODUKTE,  VLOOKUP(ROW()-ROW($A$5),zeilenindizes,2)+INDEX(prodRowOffset,H$3),  MATCH(H$2,OFFSET(INDEXNAMEN,H$3,0),0)),""),"")</f>
        <v>98</v>
      </c>
      <c r="I90" s="17" t="str">
        <f ca="1">IFERROR(IF(MAX('SORT IMPORT'!$A$13:$A$408)&gt;ROW()-ROW($A$5)-1,INDEX( PRODUKTE,  VLOOKUP(ROW()-ROW($A$5),zeilenindizes,2)+INDEX(prodRowOffset,I$3),  MATCH(I$2,OFFSET(INDEXNAMEN,I$3,0),0)),""),"")</f>
        <v>V</v>
      </c>
      <c r="J90" s="17" t="str">
        <f ca="1">IFERROR(IF(MAX('SORT IMPORT'!$A$13:$A$408)&gt;ROW()-ROW($A$5)-1,INDEX( PRODUKTE,  VLOOKUP(ROW()-ROW($A$5),zeilenindizes,2)+INDEX(prodRowOffset,J$3),  MATCH(J$2,OFFSET(INDEXNAMEN,J$3,0),0)),""),"")</f>
        <v/>
      </c>
      <c r="K90" s="17">
        <f ca="1">IFERROR(IF(MAX('SORT IMPORT'!$A$13:$A$408)&gt;ROW()-ROW($A$5)-1,INDEX( PRODUKTE,  VLOOKUP(ROW()-ROW($A$5),zeilenindizes,2)+INDEX(prodRowOffset,K$3),  MATCH(K$2,OFFSET(INDEXNAMEN,K$3,0),0)),""),"")</f>
        <v>9</v>
      </c>
      <c r="L90" s="17">
        <f ca="1">IFERROR(IF(MAX('SORT IMPORT'!$A$13:$A$408)&gt;ROW()-ROW($A$5)-1,INDEX( PRODUKTE,  VLOOKUP(ROW()-ROW($A$5),zeilenindizes,2)+INDEX(prodRowOffset,L$3),  MATCH(L$2,OFFSET(INDEXNAMEN,L$3,0),0)),""),"")</f>
        <v>32</v>
      </c>
      <c r="M90" s="17">
        <f ca="1">IFERROR(IF(MAX('SORT IMPORT'!$A$13:$A$408)&gt;ROW()-ROW($A$5)-1,INDEX( PRODUKTE,  VLOOKUP(ROW()-ROW($A$5),zeilenindizes,2)+INDEX(prodRowOffset,M$3),  MATCH(M$2,OFFSET(INDEXNAMEN,M$3,0),0)),""),"")</f>
        <v>63</v>
      </c>
      <c r="N90" s="17">
        <f ca="1">IFERROR(IF(MAX('SORT IMPORT'!$A$13:$A$408)&gt;ROW()-ROW($A$5)-1,INDEX( PRODUKTE,  VLOOKUP(ROW()-ROW($A$5),zeilenindizes,2)+INDEX(prodRowOffset,N$3),  MATCH(N$2,OFFSET(INDEXNAMEN,N$3,0),0)),""),"")</f>
        <v>2</v>
      </c>
      <c r="O90" s="17">
        <f ca="1">IFERROR(IF(MAX('SORT IMPORT'!$A$13:$A$408)&gt;ROW()-ROW($A$5)-1,INDEX( PRODUKTE,  VLOOKUP(ROW()-ROW($A$5),zeilenindizes,2)+INDEX(prodRowOffset,O$3),  MATCH(O$2,OFFSET(INDEXNAMEN,O$3,0),0)),""),"")</f>
        <v>0</v>
      </c>
      <c r="P90" s="17">
        <f ca="1">IFERROR(IF(MAX('SORT IMPORT'!$A$13:$A$408)&gt;ROW()-ROW($A$5)-1,INDEX( PRODUKTE,  VLOOKUP(ROW()-ROW($A$5),zeilenindizes,2)+INDEX(prodRowOffset,P$3),  MATCH(P$2,OFFSET(INDEXNAMEN,P$3,0),0)),""),"")</f>
        <v>0</v>
      </c>
      <c r="Q90" s="17">
        <f ca="1">IFERROR(IF(MAX('SORT IMPORT'!$A$13:$A$408)&gt;ROW()-ROW($A$5)-1,INDEX( PRODUKTE,  VLOOKUP(ROW()-ROW($A$5),zeilenindizes,2)+INDEX(prodRowOffset,Q$3),  MATCH(Q$2,OFFSET(INDEXNAMEN,Q$3,0),0)),""),"")</f>
        <v>1</v>
      </c>
      <c r="R90" s="17">
        <f ca="1">IFERROR(IF(MAX('SORT IMPORT'!$A$13:$A$408)&gt;ROW()-ROW($A$5)-1,INDEX( PRODUKTE,  VLOOKUP(ROW()-ROW($A$5),zeilenindizes,2)+INDEX(prodRowOffset,R$3),  MATCH(R$2,OFFSET(INDEXNAMEN,R$3,0),0)),""),"")</f>
        <v>1</v>
      </c>
      <c r="S90" s="17">
        <f ca="1">IFERROR(IF(MAX('SORT IMPORT'!$A$13:$A$408)&gt;ROW()-ROW($A$5)-1,INDEX( PRODUKTE,  VLOOKUP(ROW()-ROW($A$5),zeilenindizes,2)+INDEX(prodRowOffset,S$3),  MATCH(S$2,OFFSET(INDEXNAMEN,S$3,0),0)),""),"")</f>
        <v>1</v>
      </c>
      <c r="T90" s="17">
        <f ca="1">IFERROR(IF(MAX('SORT IMPORT'!$A$13:$A$408)&gt;ROW()-ROW($A$5)-1,INDEX( PRODUKTE,  VLOOKUP(ROW()-ROW($A$5),zeilenindizes,2)+INDEX(prodRowOffset,T$3),  MATCH(T$2,OFFSET(INDEXNAMEN,T$3,0),0)),""),"")</f>
        <v>1</v>
      </c>
      <c r="U90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74</v>
      </c>
      <c r="V90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90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90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90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90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90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90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90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90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90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74</v>
      </c>
      <c r="AF90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13</v>
      </c>
      <c r="AG90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90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90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90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90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90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90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90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90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90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35</v>
      </c>
      <c r="AQ90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90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18</v>
      </c>
      <c r="AS90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90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101</v>
      </c>
      <c r="AU90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90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53</v>
      </c>
      <c r="AW90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327</v>
      </c>
      <c r="AX90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59</v>
      </c>
      <c r="AY90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91" spans="6:51" ht="22.5" customHeight="1" x14ac:dyDescent="0.3">
      <c r="F91" s="17" t="str">
        <f ca="1">IFERROR(IF(MAX('SORT IMPORT'!$A$13:$A$408)&gt;ROW()-ROW($A$5)-1,INDEX( PRODUKTE,  VLOOKUP(ROW()-ROW($A$5),zeilenindizes,2)+INDEX(prodRowOffset,F$3),  MATCH(F$2,OFFSET(INDEXNAMEN,F$3,0),0)),""),"")</f>
        <v xml:space="preserve">TS 98 GSR-EMF XEA EN 1-6 </v>
      </c>
      <c r="G91" s="17" t="str">
        <f ca="1">IFERROR(IF(MAX('SORT IMPORT'!$A$13:$A$408)&gt;ROW()-ROW($A$5)-1,INDEX( PRODUKTE,  VLOOKUP(ROW()-ROW($A$5),zeilenindizes,2)+INDEX(prodRowOffset,G$3),  MATCH(G$2,OFFSET(INDEXNAMEN,G$3,0),0)),""),"")</f>
        <v>X</v>
      </c>
      <c r="H91" s="17" t="str">
        <f ca="1">IFERROR(IF(MAX('SORT IMPORT'!$A$13:$A$408)&gt;ROW()-ROW($A$5)-1,INDEX( PRODUKTE,  VLOOKUP(ROW()-ROW($A$5),zeilenindizes,2)+INDEX(prodRowOffset,H$3),  MATCH(H$2,OFFSET(INDEXNAMEN,H$3,0),0)),""),"")</f>
        <v>98</v>
      </c>
      <c r="I91" s="17" t="str">
        <f ca="1">IFERROR(IF(MAX('SORT IMPORT'!$A$13:$A$408)&gt;ROW()-ROW($A$5)-1,INDEX( PRODUKTE,  VLOOKUP(ROW()-ROW($A$5),zeilenindizes,2)+INDEX(prodRowOffset,I$3),  MATCH(I$2,OFFSET(INDEXNAMEN,I$3,0),0)),""),"")</f>
        <v>V</v>
      </c>
      <c r="J91" s="17" t="str">
        <f ca="1">IFERROR(IF(MAX('SORT IMPORT'!$A$13:$A$408)&gt;ROW()-ROW($A$5)-1,INDEX( PRODUKTE,  VLOOKUP(ROW()-ROW($A$5),zeilenindizes,2)+INDEX(prodRowOffset,J$3),  MATCH(J$2,OFFSET(INDEXNAMEN,J$3,0),0)),""),"")</f>
        <v>E</v>
      </c>
      <c r="K91" s="17">
        <f ca="1">IFERROR(IF(MAX('SORT IMPORT'!$A$13:$A$408)&gt;ROW()-ROW($A$5)-1,INDEX( PRODUKTE,  VLOOKUP(ROW()-ROW($A$5),zeilenindizes,2)+INDEX(prodRowOffset,K$3),  MATCH(K$2,OFFSET(INDEXNAMEN,K$3,0),0)),""),"")</f>
        <v>9</v>
      </c>
      <c r="L91" s="17">
        <f ca="1">IFERROR(IF(MAX('SORT IMPORT'!$A$13:$A$408)&gt;ROW()-ROW($A$5)-1,INDEX( PRODUKTE,  VLOOKUP(ROW()-ROW($A$5),zeilenindizes,2)+INDEX(prodRowOffset,L$3),  MATCH(L$2,OFFSET(INDEXNAMEN,L$3,0),0)),""),"")</f>
        <v>64</v>
      </c>
      <c r="M91" s="17">
        <f ca="1">IFERROR(IF(MAX('SORT IMPORT'!$A$13:$A$408)&gt;ROW()-ROW($A$5)-1,INDEX( PRODUKTE,  VLOOKUP(ROW()-ROW($A$5),zeilenindizes,2)+INDEX(prodRowOffset,M$3),  MATCH(M$2,OFFSET(INDEXNAMEN,M$3,0),0)),""),"")</f>
        <v>63</v>
      </c>
      <c r="N91" s="17">
        <f ca="1">IFERROR(IF(MAX('SORT IMPORT'!$A$13:$A$408)&gt;ROW()-ROW($A$5)-1,INDEX( PRODUKTE,  VLOOKUP(ROW()-ROW($A$5),zeilenindizes,2)+INDEX(prodRowOffset,N$3),  MATCH(N$2,OFFSET(INDEXNAMEN,N$3,0),0)),""),"")</f>
        <v>2</v>
      </c>
      <c r="O91" s="17">
        <f ca="1">IFERROR(IF(MAX('SORT IMPORT'!$A$13:$A$408)&gt;ROW()-ROW($A$5)-1,INDEX( PRODUKTE,  VLOOKUP(ROW()-ROW($A$5),zeilenindizes,2)+INDEX(prodRowOffset,O$3),  MATCH(O$2,OFFSET(INDEXNAMEN,O$3,0),0)),""),"")</f>
        <v>2</v>
      </c>
      <c r="P91" s="17">
        <f ca="1">IFERROR(IF(MAX('SORT IMPORT'!$A$13:$A$408)&gt;ROW()-ROW($A$5)-1,INDEX( PRODUKTE,  VLOOKUP(ROW()-ROW($A$5),zeilenindizes,2)+INDEX(prodRowOffset,P$3),  MATCH(P$2,OFFSET(INDEXNAMEN,P$3,0),0)),""),"")</f>
        <v>0</v>
      </c>
      <c r="Q91" s="17">
        <f ca="1">IFERROR(IF(MAX('SORT IMPORT'!$A$13:$A$408)&gt;ROW()-ROW($A$5)-1,INDEX( PRODUKTE,  VLOOKUP(ROW()-ROW($A$5),zeilenindizes,2)+INDEX(prodRowOffset,Q$3),  MATCH(Q$2,OFFSET(INDEXNAMEN,Q$3,0),0)),""),"")</f>
        <v>1</v>
      </c>
      <c r="R91" s="17">
        <f ca="1">IFERROR(IF(MAX('SORT IMPORT'!$A$13:$A$408)&gt;ROW()-ROW($A$5)-1,INDEX( PRODUKTE,  VLOOKUP(ROW()-ROW($A$5),zeilenindizes,2)+INDEX(prodRowOffset,R$3),  MATCH(R$2,OFFSET(INDEXNAMEN,R$3,0),0)),""),"")</f>
        <v>1</v>
      </c>
      <c r="S91" s="17">
        <f ca="1">IFERROR(IF(MAX('SORT IMPORT'!$A$13:$A$408)&gt;ROW()-ROW($A$5)-1,INDEX( PRODUKTE,  VLOOKUP(ROW()-ROW($A$5),zeilenindizes,2)+INDEX(prodRowOffset,S$3),  MATCH(S$2,OFFSET(INDEXNAMEN,S$3,0),0)),""),"")</f>
        <v>1</v>
      </c>
      <c r="T91" s="17">
        <f ca="1">IFERROR(IF(MAX('SORT IMPORT'!$A$13:$A$408)&gt;ROW()-ROW($A$5)-1,INDEX( PRODUKTE,  VLOOKUP(ROW()-ROW($A$5),zeilenindizes,2)+INDEX(prodRowOffset,T$3),  MATCH(T$2,OFFSET(INDEXNAMEN,T$3,0),0)),""),"")</f>
        <v>1</v>
      </c>
      <c r="U91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74</v>
      </c>
      <c r="V91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91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91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91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91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91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91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91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91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91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74</v>
      </c>
      <c r="AF91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13</v>
      </c>
      <c r="AG91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91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91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91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91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91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91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91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91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91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35</v>
      </c>
      <c r="AQ91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91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18</v>
      </c>
      <c r="AS91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91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101</v>
      </c>
      <c r="AU91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91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166</v>
      </c>
      <c r="AW91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327</v>
      </c>
      <c r="AX91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59</v>
      </c>
      <c r="AY91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92" spans="6:51" ht="22.5" customHeight="1" x14ac:dyDescent="0.3">
      <c r="F92" s="17" t="str">
        <f ca="1">IFERROR(IF(MAX('SORT IMPORT'!$A$13:$A$408)&gt;ROW()-ROW($A$5)-1,INDEX( PRODUKTE,  VLOOKUP(ROW()-ROW($A$5),zeilenindizes,2)+INDEX(prodRowOffset,F$3),  MATCH(F$2,OFFSET(INDEXNAMEN,F$3,0),0)),""),"")</f>
        <v xml:space="preserve">TS 98 GSR-EMR XEA EN 1-6 </v>
      </c>
      <c r="G92" s="17" t="str">
        <f ca="1">IFERROR(IF(MAX('SORT IMPORT'!$A$13:$A$408)&gt;ROW()-ROW($A$5)-1,INDEX( PRODUKTE,  VLOOKUP(ROW()-ROW($A$5),zeilenindizes,2)+INDEX(prodRowOffset,G$3),  MATCH(G$2,OFFSET(INDEXNAMEN,G$3,0),0)),""),"")</f>
        <v>X</v>
      </c>
      <c r="H92" s="17" t="str">
        <f ca="1">IFERROR(IF(MAX('SORT IMPORT'!$A$13:$A$408)&gt;ROW()-ROW($A$5)-1,INDEX( PRODUKTE,  VLOOKUP(ROW()-ROW($A$5),zeilenindizes,2)+INDEX(prodRowOffset,H$3),  MATCH(H$2,OFFSET(INDEXNAMEN,H$3,0),0)),""),"")</f>
        <v>98</v>
      </c>
      <c r="I92" s="17" t="str">
        <f ca="1">IFERROR(IF(MAX('SORT IMPORT'!$A$13:$A$408)&gt;ROW()-ROW($A$5)-1,INDEX( PRODUKTE,  VLOOKUP(ROW()-ROW($A$5),zeilenindizes,2)+INDEX(prodRowOffset,I$3),  MATCH(I$2,OFFSET(INDEXNAMEN,I$3,0),0)),""),"")</f>
        <v>V</v>
      </c>
      <c r="J92" s="17" t="str">
        <f ca="1">IFERROR(IF(MAX('SORT IMPORT'!$A$13:$A$408)&gt;ROW()-ROW($A$5)-1,INDEX( PRODUKTE,  VLOOKUP(ROW()-ROW($A$5),zeilenindizes,2)+INDEX(prodRowOffset,J$3),  MATCH(J$2,OFFSET(INDEXNAMEN,J$3,0),0)),""),"")</f>
        <v>R</v>
      </c>
      <c r="K92" s="17">
        <f ca="1">IFERROR(IF(MAX('SORT IMPORT'!$A$13:$A$408)&gt;ROW()-ROW($A$5)-1,INDEX( PRODUKTE,  VLOOKUP(ROW()-ROW($A$5),zeilenindizes,2)+INDEX(prodRowOffset,K$3),  MATCH(K$2,OFFSET(INDEXNAMEN,K$3,0),0)),""),"")</f>
        <v>9</v>
      </c>
      <c r="L92" s="17">
        <f ca="1">IFERROR(IF(MAX('SORT IMPORT'!$A$13:$A$408)&gt;ROW()-ROW($A$5)-1,INDEX( PRODUKTE,  VLOOKUP(ROW()-ROW($A$5),zeilenindizes,2)+INDEX(prodRowOffset,L$3),  MATCH(L$2,OFFSET(INDEXNAMEN,L$3,0),0)),""),"")</f>
        <v>128</v>
      </c>
      <c r="M92" s="17">
        <f ca="1">IFERROR(IF(MAX('SORT IMPORT'!$A$13:$A$408)&gt;ROW()-ROW($A$5)-1,INDEX( PRODUKTE,  VLOOKUP(ROW()-ROW($A$5),zeilenindizes,2)+INDEX(prodRowOffset,M$3),  MATCH(M$2,OFFSET(INDEXNAMEN,M$3,0),0)),""),"")</f>
        <v>63</v>
      </c>
      <c r="N92" s="17">
        <f ca="1">IFERROR(IF(MAX('SORT IMPORT'!$A$13:$A$408)&gt;ROW()-ROW($A$5)-1,INDEX( PRODUKTE,  VLOOKUP(ROW()-ROW($A$5),zeilenindizes,2)+INDEX(prodRowOffset,N$3),  MATCH(N$2,OFFSET(INDEXNAMEN,N$3,0),0)),""),"")</f>
        <v>2</v>
      </c>
      <c r="O92" s="17">
        <f ca="1">IFERROR(IF(MAX('SORT IMPORT'!$A$13:$A$408)&gt;ROW()-ROW($A$5)-1,INDEX( PRODUKTE,  VLOOKUP(ROW()-ROW($A$5),zeilenindizes,2)+INDEX(prodRowOffset,O$3),  MATCH(O$2,OFFSET(INDEXNAMEN,O$3,0),0)),""),"")</f>
        <v>1</v>
      </c>
      <c r="P92" s="17">
        <f ca="1">IFERROR(IF(MAX('SORT IMPORT'!$A$13:$A$408)&gt;ROW()-ROW($A$5)-1,INDEX( PRODUKTE,  VLOOKUP(ROW()-ROW($A$5),zeilenindizes,2)+INDEX(prodRowOffset,P$3),  MATCH(P$2,OFFSET(INDEXNAMEN,P$3,0),0)),""),"")</f>
        <v>0</v>
      </c>
      <c r="Q92" s="17">
        <f ca="1">IFERROR(IF(MAX('SORT IMPORT'!$A$13:$A$408)&gt;ROW()-ROW($A$5)-1,INDEX( PRODUKTE,  VLOOKUP(ROW()-ROW($A$5),zeilenindizes,2)+INDEX(prodRowOffset,Q$3),  MATCH(Q$2,OFFSET(INDEXNAMEN,Q$3,0),0)),""),"")</f>
        <v>1</v>
      </c>
      <c r="R92" s="17">
        <f ca="1">IFERROR(IF(MAX('SORT IMPORT'!$A$13:$A$408)&gt;ROW()-ROW($A$5)-1,INDEX( PRODUKTE,  VLOOKUP(ROW()-ROW($A$5),zeilenindizes,2)+INDEX(prodRowOffset,R$3),  MATCH(R$2,OFFSET(INDEXNAMEN,R$3,0),0)),""),"")</f>
        <v>1</v>
      </c>
      <c r="S92" s="17">
        <f ca="1">IFERROR(IF(MAX('SORT IMPORT'!$A$13:$A$408)&gt;ROW()-ROW($A$5)-1,INDEX( PRODUKTE,  VLOOKUP(ROW()-ROW($A$5),zeilenindizes,2)+INDEX(prodRowOffset,S$3),  MATCH(S$2,OFFSET(INDEXNAMEN,S$3,0),0)),""),"")</f>
        <v>1</v>
      </c>
      <c r="T92" s="17">
        <f ca="1">IFERROR(IF(MAX('SORT IMPORT'!$A$13:$A$408)&gt;ROW()-ROW($A$5)-1,INDEX( PRODUKTE,  VLOOKUP(ROW()-ROW($A$5),zeilenindizes,2)+INDEX(prodRowOffset,T$3),  MATCH(T$2,OFFSET(INDEXNAMEN,T$3,0),0)),""),"")</f>
        <v>1</v>
      </c>
      <c r="U92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74</v>
      </c>
      <c r="V92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4</v>
      </c>
      <c r="W92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92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92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92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92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92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92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92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92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74</v>
      </c>
      <c r="AF92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13</v>
      </c>
      <c r="AG92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92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92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92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92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92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92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92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92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92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92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92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18</v>
      </c>
      <c r="AS92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92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101</v>
      </c>
      <c r="AU92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92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166</v>
      </c>
      <c r="AW92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327</v>
      </c>
      <c r="AX92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59</v>
      </c>
      <c r="AY92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93" spans="6:51" ht="22.5" customHeight="1" x14ac:dyDescent="0.3">
      <c r="F93" s="17" t="str">
        <f ca="1">IFERROR(IF(MAX('SORT IMPORT'!$A$13:$A$408)&gt;ROW()-ROW($A$5)-1,INDEX( PRODUKTE,  VLOOKUP(ROW()-ROW($A$5),zeilenindizes,2)+INDEX(prodRowOffset,F$3),  MATCH(F$2,OFFSET(INDEXNAMEN,F$3,0),0)),""),"")</f>
        <v>TS 98 GSR BG XEA EN 1-6</v>
      </c>
      <c r="G93" s="17" t="str">
        <f ca="1">IFERROR(IF(MAX('SORT IMPORT'!$A$13:$A$408)&gt;ROW()-ROW($A$5)-1,INDEX( PRODUKTE,  VLOOKUP(ROW()-ROW($A$5),zeilenindizes,2)+INDEX(prodRowOffset,G$3),  MATCH(G$2,OFFSET(INDEXNAMEN,G$3,0),0)),""),"")</f>
        <v>X</v>
      </c>
      <c r="H93" s="17" t="str">
        <f ca="1">IFERROR(IF(MAX('SORT IMPORT'!$A$13:$A$408)&gt;ROW()-ROW($A$5)-1,INDEX( PRODUKTE,  VLOOKUP(ROW()-ROW($A$5),zeilenindizes,2)+INDEX(prodRowOffset,H$3),  MATCH(H$2,OFFSET(INDEXNAMEN,H$3,0),0)),""),"")</f>
        <v>98</v>
      </c>
      <c r="I93" s="17" t="str">
        <f ca="1">IFERROR(IF(MAX('SORT IMPORT'!$A$13:$A$408)&gt;ROW()-ROW($A$5)-1,INDEX( PRODUKTE,  VLOOKUP(ROW()-ROW($A$5),zeilenindizes,2)+INDEX(prodRowOffset,I$3),  MATCH(I$2,OFFSET(INDEXNAMEN,I$3,0),0)),""),"")</f>
        <v>V</v>
      </c>
      <c r="J93" s="17" t="str">
        <f ca="1">IFERROR(IF(MAX('SORT IMPORT'!$A$13:$A$408)&gt;ROW()-ROW($A$5)-1,INDEX( PRODUKTE,  VLOOKUP(ROW()-ROW($A$5),zeilenindizes,2)+INDEX(prodRowOffset,J$3),  MATCH(J$2,OFFSET(INDEXNAMEN,J$3,0),0)),""),"")</f>
        <v/>
      </c>
      <c r="K93" s="17">
        <f ca="1">IFERROR(IF(MAX('SORT IMPORT'!$A$13:$A$408)&gt;ROW()-ROW($A$5)-1,INDEX( PRODUKTE,  VLOOKUP(ROW()-ROW($A$5),zeilenindizes,2)+INDEX(prodRowOffset,K$3),  MATCH(K$2,OFFSET(INDEXNAMEN,K$3,0),0)),""),"")</f>
        <v>9</v>
      </c>
      <c r="L93" s="17">
        <f ca="1">IFERROR(IF(MAX('SORT IMPORT'!$A$13:$A$408)&gt;ROW()-ROW($A$5)-1,INDEX( PRODUKTE,  VLOOKUP(ROW()-ROW($A$5),zeilenindizes,2)+INDEX(prodRowOffset,L$3),  MATCH(L$2,OFFSET(INDEXNAMEN,L$3,0),0)),""),"")</f>
        <v>32</v>
      </c>
      <c r="M93" s="17">
        <f ca="1">IFERROR(IF(MAX('SORT IMPORT'!$A$13:$A$408)&gt;ROW()-ROW($A$5)-1,INDEX( PRODUKTE,  VLOOKUP(ROW()-ROW($A$5),zeilenindizes,2)+INDEX(prodRowOffset,M$3),  MATCH(M$2,OFFSET(INDEXNAMEN,M$3,0),0)),""),"")</f>
        <v>63</v>
      </c>
      <c r="N93" s="17">
        <f ca="1">IFERROR(IF(MAX('SORT IMPORT'!$A$13:$A$408)&gt;ROW()-ROW($A$5)-1,INDEX( PRODUKTE,  VLOOKUP(ROW()-ROW($A$5),zeilenindizes,2)+INDEX(prodRowOffset,N$3),  MATCH(N$2,OFFSET(INDEXNAMEN,N$3,0),0)),""),"")</f>
        <v>2</v>
      </c>
      <c r="O93" s="17">
        <f ca="1">IFERROR(IF(MAX('SORT IMPORT'!$A$13:$A$408)&gt;ROW()-ROW($A$5)-1,INDEX( PRODUKTE,  VLOOKUP(ROW()-ROW($A$5),zeilenindizes,2)+INDEX(prodRowOffset,O$3),  MATCH(O$2,OFFSET(INDEXNAMEN,O$3,0),0)),""),"")</f>
        <v>0</v>
      </c>
      <c r="P93" s="17">
        <f ca="1">IFERROR(IF(MAX('SORT IMPORT'!$A$13:$A$408)&gt;ROW()-ROW($A$5)-1,INDEX( PRODUKTE,  VLOOKUP(ROW()-ROW($A$5),zeilenindizes,2)+INDEX(prodRowOffset,P$3),  MATCH(P$2,OFFSET(INDEXNAMEN,P$3,0),0)),""),"")</f>
        <v>1</v>
      </c>
      <c r="Q93" s="17">
        <f ca="1">IFERROR(IF(MAX('SORT IMPORT'!$A$13:$A$408)&gt;ROW()-ROW($A$5)-1,INDEX( PRODUKTE,  VLOOKUP(ROW()-ROW($A$5),zeilenindizes,2)+INDEX(prodRowOffset,Q$3),  MATCH(Q$2,OFFSET(INDEXNAMEN,Q$3,0),0)),""),"")</f>
        <v>1</v>
      </c>
      <c r="R93" s="17">
        <f ca="1">IFERROR(IF(MAX('SORT IMPORT'!$A$13:$A$408)&gt;ROW()-ROW($A$5)-1,INDEX( PRODUKTE,  VLOOKUP(ROW()-ROW($A$5),zeilenindizes,2)+INDEX(prodRowOffset,R$3),  MATCH(R$2,OFFSET(INDEXNAMEN,R$3,0),0)),""),"")</f>
        <v>1</v>
      </c>
      <c r="S93" s="17">
        <f ca="1">IFERROR(IF(MAX('SORT IMPORT'!$A$13:$A$408)&gt;ROW()-ROW($A$5)-1,INDEX( PRODUKTE,  VLOOKUP(ROW()-ROW($A$5),zeilenindizes,2)+INDEX(prodRowOffset,S$3),  MATCH(S$2,OFFSET(INDEXNAMEN,S$3,0),0)),""),"")</f>
        <v>1</v>
      </c>
      <c r="T93" s="17">
        <f ca="1">IFERROR(IF(MAX('SORT IMPORT'!$A$13:$A$408)&gt;ROW()-ROW($A$5)-1,INDEX( PRODUKTE,  VLOOKUP(ROW()-ROW($A$5),zeilenindizes,2)+INDEX(prodRowOffset,T$3),  MATCH(T$2,OFFSET(INDEXNAMEN,T$3,0),0)),""),"")</f>
        <v>1</v>
      </c>
      <c r="U93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93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93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93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93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93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93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108</v>
      </c>
      <c r="AB93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93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108</v>
      </c>
      <c r="AD93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93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93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93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93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93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93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93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108</v>
      </c>
      <c r="AL93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93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108</v>
      </c>
      <c r="AN93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9999</v>
      </c>
      <c r="AO93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93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35</v>
      </c>
      <c r="AQ93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93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18</v>
      </c>
      <c r="AS93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93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101</v>
      </c>
      <c r="AU93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93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53</v>
      </c>
      <c r="AW93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327</v>
      </c>
      <c r="AX93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59</v>
      </c>
      <c r="AY93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94" spans="6:51" ht="22.5" customHeight="1" x14ac:dyDescent="0.3">
      <c r="F94" s="17" t="str">
        <f ca="1">IFERROR(IF(MAX('SORT IMPORT'!$A$13:$A$408)&gt;ROW()-ROW($A$5)-1,INDEX( PRODUKTE,  VLOOKUP(ROW()-ROW($A$5),zeilenindizes,2)+INDEX(prodRowOffset,F$3),  MATCH(F$2,OFFSET(INDEXNAMEN,F$3,0),0)),""),"")</f>
        <v>TS 98 GSR-EMF BG XEA EN 1-6</v>
      </c>
      <c r="G94" s="17" t="str">
        <f ca="1">IFERROR(IF(MAX('SORT IMPORT'!$A$13:$A$408)&gt;ROW()-ROW($A$5)-1,INDEX( PRODUKTE,  VLOOKUP(ROW()-ROW($A$5),zeilenindizes,2)+INDEX(prodRowOffset,G$3),  MATCH(G$2,OFFSET(INDEXNAMEN,G$3,0),0)),""),"")</f>
        <v>X</v>
      </c>
      <c r="H94" s="17" t="str">
        <f ca="1">IFERROR(IF(MAX('SORT IMPORT'!$A$13:$A$408)&gt;ROW()-ROW($A$5)-1,INDEX( PRODUKTE,  VLOOKUP(ROW()-ROW($A$5),zeilenindizes,2)+INDEX(prodRowOffset,H$3),  MATCH(H$2,OFFSET(INDEXNAMEN,H$3,0),0)),""),"")</f>
        <v>98</v>
      </c>
      <c r="I94" s="17" t="str">
        <f ca="1">IFERROR(IF(MAX('SORT IMPORT'!$A$13:$A$408)&gt;ROW()-ROW($A$5)-1,INDEX( PRODUKTE,  VLOOKUP(ROW()-ROW($A$5),zeilenindizes,2)+INDEX(prodRowOffset,I$3),  MATCH(I$2,OFFSET(INDEXNAMEN,I$3,0),0)),""),"")</f>
        <v>V</v>
      </c>
      <c r="J94" s="17" t="str">
        <f ca="1">IFERROR(IF(MAX('SORT IMPORT'!$A$13:$A$408)&gt;ROW()-ROW($A$5)-1,INDEX( PRODUKTE,  VLOOKUP(ROW()-ROW($A$5),zeilenindizes,2)+INDEX(prodRowOffset,J$3),  MATCH(J$2,OFFSET(INDEXNAMEN,J$3,0),0)),""),"")</f>
        <v>E</v>
      </c>
      <c r="K94" s="17">
        <f ca="1">IFERROR(IF(MAX('SORT IMPORT'!$A$13:$A$408)&gt;ROW()-ROW($A$5)-1,INDEX( PRODUKTE,  VLOOKUP(ROW()-ROW($A$5),zeilenindizes,2)+INDEX(prodRowOffset,K$3),  MATCH(K$2,OFFSET(INDEXNAMEN,K$3,0),0)),""),"")</f>
        <v>9</v>
      </c>
      <c r="L94" s="17">
        <f ca="1">IFERROR(IF(MAX('SORT IMPORT'!$A$13:$A$408)&gt;ROW()-ROW($A$5)-1,INDEX( PRODUKTE,  VLOOKUP(ROW()-ROW($A$5),zeilenindizes,2)+INDEX(prodRowOffset,L$3),  MATCH(L$2,OFFSET(INDEXNAMEN,L$3,0),0)),""),"")</f>
        <v>64</v>
      </c>
      <c r="M94" s="17">
        <f ca="1">IFERROR(IF(MAX('SORT IMPORT'!$A$13:$A$408)&gt;ROW()-ROW($A$5)-1,INDEX( PRODUKTE,  VLOOKUP(ROW()-ROW($A$5),zeilenindizes,2)+INDEX(prodRowOffset,M$3),  MATCH(M$2,OFFSET(INDEXNAMEN,M$3,0),0)),""),"")</f>
        <v>63</v>
      </c>
      <c r="N94" s="17">
        <f ca="1">IFERROR(IF(MAX('SORT IMPORT'!$A$13:$A$408)&gt;ROW()-ROW($A$5)-1,INDEX( PRODUKTE,  VLOOKUP(ROW()-ROW($A$5),zeilenindizes,2)+INDEX(prodRowOffset,N$3),  MATCH(N$2,OFFSET(INDEXNAMEN,N$3,0),0)),""),"")</f>
        <v>2</v>
      </c>
      <c r="O94" s="17">
        <f ca="1">IFERROR(IF(MAX('SORT IMPORT'!$A$13:$A$408)&gt;ROW()-ROW($A$5)-1,INDEX( PRODUKTE,  VLOOKUP(ROW()-ROW($A$5),zeilenindizes,2)+INDEX(prodRowOffset,O$3),  MATCH(O$2,OFFSET(INDEXNAMEN,O$3,0),0)),""),"")</f>
        <v>2</v>
      </c>
      <c r="P94" s="17">
        <f ca="1">IFERROR(IF(MAX('SORT IMPORT'!$A$13:$A$408)&gt;ROW()-ROW($A$5)-1,INDEX( PRODUKTE,  VLOOKUP(ROW()-ROW($A$5),zeilenindizes,2)+INDEX(prodRowOffset,P$3),  MATCH(P$2,OFFSET(INDEXNAMEN,P$3,0),0)),""),"")</f>
        <v>1</v>
      </c>
      <c r="Q94" s="17">
        <f ca="1">IFERROR(IF(MAX('SORT IMPORT'!$A$13:$A$408)&gt;ROW()-ROW($A$5)-1,INDEX( PRODUKTE,  VLOOKUP(ROW()-ROW($A$5),zeilenindizes,2)+INDEX(prodRowOffset,Q$3),  MATCH(Q$2,OFFSET(INDEXNAMEN,Q$3,0),0)),""),"")</f>
        <v>1</v>
      </c>
      <c r="R94" s="17">
        <f ca="1">IFERROR(IF(MAX('SORT IMPORT'!$A$13:$A$408)&gt;ROW()-ROW($A$5)-1,INDEX( PRODUKTE,  VLOOKUP(ROW()-ROW($A$5),zeilenindizes,2)+INDEX(prodRowOffset,R$3),  MATCH(R$2,OFFSET(INDEXNAMEN,R$3,0),0)),""),"")</f>
        <v>1</v>
      </c>
      <c r="S94" s="17">
        <f ca="1">IFERROR(IF(MAX('SORT IMPORT'!$A$13:$A$408)&gt;ROW()-ROW($A$5)-1,INDEX( PRODUKTE,  VLOOKUP(ROW()-ROW($A$5),zeilenindizes,2)+INDEX(prodRowOffset,S$3),  MATCH(S$2,OFFSET(INDEXNAMEN,S$3,0),0)),""),"")</f>
        <v>1</v>
      </c>
      <c r="T94" s="17">
        <f ca="1">IFERROR(IF(MAX('SORT IMPORT'!$A$13:$A$408)&gt;ROW()-ROW($A$5)-1,INDEX( PRODUKTE,  VLOOKUP(ROW()-ROW($A$5),zeilenindizes,2)+INDEX(prodRowOffset,T$3),  MATCH(T$2,OFFSET(INDEXNAMEN,T$3,0),0)),""),"")</f>
        <v>1</v>
      </c>
      <c r="U94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94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94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94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94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94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94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108</v>
      </c>
      <c r="AB94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94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108</v>
      </c>
      <c r="AD94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94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94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94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94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94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94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94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108</v>
      </c>
      <c r="AL94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94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108</v>
      </c>
      <c r="AN94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9999</v>
      </c>
      <c r="AO94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94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35</v>
      </c>
      <c r="AQ94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94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18</v>
      </c>
      <c r="AS94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94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101</v>
      </c>
      <c r="AU94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94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166</v>
      </c>
      <c r="AW94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327</v>
      </c>
      <c r="AX94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59</v>
      </c>
      <c r="AY94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95" spans="6:51" ht="22.5" customHeight="1" x14ac:dyDescent="0.3">
      <c r="F95" s="17" t="str">
        <f ca="1">IFERROR(IF(MAX('SORT IMPORT'!$A$13:$A$408)&gt;ROW()-ROW($A$5)-1,INDEX( PRODUKTE,  VLOOKUP(ROW()-ROW($A$5),zeilenindizes,2)+INDEX(prodRowOffset,F$3),  MATCH(F$2,OFFSET(INDEXNAMEN,F$3,0),0)),""),"")</f>
        <v>TS 98 GSR-EMR BG XEA EN 1-6</v>
      </c>
      <c r="G95" s="17" t="str">
        <f ca="1">IFERROR(IF(MAX('SORT IMPORT'!$A$13:$A$408)&gt;ROW()-ROW($A$5)-1,INDEX( PRODUKTE,  VLOOKUP(ROW()-ROW($A$5),zeilenindizes,2)+INDEX(prodRowOffset,G$3),  MATCH(G$2,OFFSET(INDEXNAMEN,G$3,0),0)),""),"")</f>
        <v>X</v>
      </c>
      <c r="H95" s="17" t="str">
        <f ca="1">IFERROR(IF(MAX('SORT IMPORT'!$A$13:$A$408)&gt;ROW()-ROW($A$5)-1,INDEX( PRODUKTE,  VLOOKUP(ROW()-ROW($A$5),zeilenindizes,2)+INDEX(prodRowOffset,H$3),  MATCH(H$2,OFFSET(INDEXNAMEN,H$3,0),0)),""),"")</f>
        <v>98</v>
      </c>
      <c r="I95" s="17" t="str">
        <f ca="1">IFERROR(IF(MAX('SORT IMPORT'!$A$13:$A$408)&gt;ROW()-ROW($A$5)-1,INDEX( PRODUKTE,  VLOOKUP(ROW()-ROW($A$5),zeilenindizes,2)+INDEX(prodRowOffset,I$3),  MATCH(I$2,OFFSET(INDEXNAMEN,I$3,0),0)),""),"")</f>
        <v>V</v>
      </c>
      <c r="J95" s="17" t="str">
        <f ca="1">IFERROR(IF(MAX('SORT IMPORT'!$A$13:$A$408)&gt;ROW()-ROW($A$5)-1,INDEX( PRODUKTE,  VLOOKUP(ROW()-ROW($A$5),zeilenindizes,2)+INDEX(prodRowOffset,J$3),  MATCH(J$2,OFFSET(INDEXNAMEN,J$3,0),0)),""),"")</f>
        <v>R</v>
      </c>
      <c r="K95" s="17">
        <f ca="1">IFERROR(IF(MAX('SORT IMPORT'!$A$13:$A$408)&gt;ROW()-ROW($A$5)-1,INDEX( PRODUKTE,  VLOOKUP(ROW()-ROW($A$5),zeilenindizes,2)+INDEX(prodRowOffset,K$3),  MATCH(K$2,OFFSET(INDEXNAMEN,K$3,0),0)),""),"")</f>
        <v>9</v>
      </c>
      <c r="L95" s="17">
        <f ca="1">IFERROR(IF(MAX('SORT IMPORT'!$A$13:$A$408)&gt;ROW()-ROW($A$5)-1,INDEX( PRODUKTE,  VLOOKUP(ROW()-ROW($A$5),zeilenindizes,2)+INDEX(prodRowOffset,L$3),  MATCH(L$2,OFFSET(INDEXNAMEN,L$3,0),0)),""),"")</f>
        <v>128</v>
      </c>
      <c r="M95" s="17">
        <f ca="1">IFERROR(IF(MAX('SORT IMPORT'!$A$13:$A$408)&gt;ROW()-ROW($A$5)-1,INDEX( PRODUKTE,  VLOOKUP(ROW()-ROW($A$5),zeilenindizes,2)+INDEX(prodRowOffset,M$3),  MATCH(M$2,OFFSET(INDEXNAMEN,M$3,0),0)),""),"")</f>
        <v>63</v>
      </c>
      <c r="N95" s="17">
        <f ca="1">IFERROR(IF(MAX('SORT IMPORT'!$A$13:$A$408)&gt;ROW()-ROW($A$5)-1,INDEX( PRODUKTE,  VLOOKUP(ROW()-ROW($A$5),zeilenindizes,2)+INDEX(prodRowOffset,N$3),  MATCH(N$2,OFFSET(INDEXNAMEN,N$3,0),0)),""),"")</f>
        <v>2</v>
      </c>
      <c r="O95" s="17">
        <f ca="1">IFERROR(IF(MAX('SORT IMPORT'!$A$13:$A$408)&gt;ROW()-ROW($A$5)-1,INDEX( PRODUKTE,  VLOOKUP(ROW()-ROW($A$5),zeilenindizes,2)+INDEX(prodRowOffset,O$3),  MATCH(O$2,OFFSET(INDEXNAMEN,O$3,0),0)),""),"")</f>
        <v>1</v>
      </c>
      <c r="P95" s="17">
        <f ca="1">IFERROR(IF(MAX('SORT IMPORT'!$A$13:$A$408)&gt;ROW()-ROW($A$5)-1,INDEX( PRODUKTE,  VLOOKUP(ROW()-ROW($A$5),zeilenindizes,2)+INDEX(prodRowOffset,P$3),  MATCH(P$2,OFFSET(INDEXNAMEN,P$3,0),0)),""),"")</f>
        <v>1</v>
      </c>
      <c r="Q95" s="17">
        <f ca="1">IFERROR(IF(MAX('SORT IMPORT'!$A$13:$A$408)&gt;ROW()-ROW($A$5)-1,INDEX( PRODUKTE,  VLOOKUP(ROW()-ROW($A$5),zeilenindizes,2)+INDEX(prodRowOffset,Q$3),  MATCH(Q$2,OFFSET(INDEXNAMEN,Q$3,0),0)),""),"")</f>
        <v>1</v>
      </c>
      <c r="R95" s="17">
        <f ca="1">IFERROR(IF(MAX('SORT IMPORT'!$A$13:$A$408)&gt;ROW()-ROW($A$5)-1,INDEX( PRODUKTE,  VLOOKUP(ROW()-ROW($A$5),zeilenindizes,2)+INDEX(prodRowOffset,R$3),  MATCH(R$2,OFFSET(INDEXNAMEN,R$3,0),0)),""),"")</f>
        <v>1</v>
      </c>
      <c r="S95" s="17">
        <f ca="1">IFERROR(IF(MAX('SORT IMPORT'!$A$13:$A$408)&gt;ROW()-ROW($A$5)-1,INDEX( PRODUKTE,  VLOOKUP(ROW()-ROW($A$5),zeilenindizes,2)+INDEX(prodRowOffset,S$3),  MATCH(S$2,OFFSET(INDEXNAMEN,S$3,0),0)),""),"")</f>
        <v>1</v>
      </c>
      <c r="T95" s="17">
        <f ca="1">IFERROR(IF(MAX('SORT IMPORT'!$A$13:$A$408)&gt;ROW()-ROW($A$5)-1,INDEX( PRODUKTE,  VLOOKUP(ROW()-ROW($A$5),zeilenindizes,2)+INDEX(prodRowOffset,T$3),  MATCH(T$2,OFFSET(INDEXNAMEN,T$3,0),0)),""),"")</f>
        <v>1</v>
      </c>
      <c r="U95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95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95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95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95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95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95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108</v>
      </c>
      <c r="AB95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95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108</v>
      </c>
      <c r="AD95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95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95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95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95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95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95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95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108</v>
      </c>
      <c r="AL95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95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108</v>
      </c>
      <c r="AN95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9999</v>
      </c>
      <c r="AO95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95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95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95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18</v>
      </c>
      <c r="AS95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95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101</v>
      </c>
      <c r="AU95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95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166</v>
      </c>
      <c r="AW95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327</v>
      </c>
      <c r="AX95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59</v>
      </c>
      <c r="AY95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96" spans="6:51" ht="22.5" customHeight="1" x14ac:dyDescent="0.3">
      <c r="F96" s="17" t="str">
        <f ca="1">IFERROR(IF(MAX('SORT IMPORT'!$A$13:$A$408)&gt;ROW()-ROW($A$5)-1,INDEX( PRODUKTE,  VLOOKUP(ROW()-ROW($A$5),zeilenindizes,2)+INDEX(prodRowOffset,F$3),  MATCH(F$2,OFFSET(INDEXNAMEN,F$3,0),0)),""),"")</f>
        <v>TS 98 GSR BG XEA EN 1-6</v>
      </c>
      <c r="G96" s="17" t="str">
        <f ca="1">IFERROR(IF(MAX('SORT IMPORT'!$A$13:$A$408)&gt;ROW()-ROW($A$5)-1,INDEX( PRODUKTE,  VLOOKUP(ROW()-ROW($A$5),zeilenindizes,2)+INDEX(prodRowOffset,G$3),  MATCH(G$2,OFFSET(INDEXNAMEN,G$3,0),0)),""),"")</f>
        <v>X</v>
      </c>
      <c r="H96" s="17" t="str">
        <f ca="1">IFERROR(IF(MAX('SORT IMPORT'!$A$13:$A$408)&gt;ROW()-ROW($A$5)-1,INDEX( PRODUKTE,  VLOOKUP(ROW()-ROW($A$5),zeilenindizes,2)+INDEX(prodRowOffset,H$3),  MATCH(H$2,OFFSET(INDEXNAMEN,H$3,0),0)),""),"")</f>
        <v>98</v>
      </c>
      <c r="I96" s="17" t="str">
        <f ca="1">IFERROR(IF(MAX('SORT IMPORT'!$A$13:$A$408)&gt;ROW()-ROW($A$5)-1,INDEX( PRODUKTE,  VLOOKUP(ROW()-ROW($A$5),zeilenindizes,2)+INDEX(prodRowOffset,I$3),  MATCH(I$2,OFFSET(INDEXNAMEN,I$3,0),0)),""),"")</f>
        <v>V</v>
      </c>
      <c r="J96" s="17" t="str">
        <f ca="1">IFERROR(IF(MAX('SORT IMPORT'!$A$13:$A$408)&gt;ROW()-ROW($A$5)-1,INDEX( PRODUKTE,  VLOOKUP(ROW()-ROW($A$5),zeilenindizes,2)+INDEX(prodRowOffset,J$3),  MATCH(J$2,OFFSET(INDEXNAMEN,J$3,0),0)),""),"")</f>
        <v/>
      </c>
      <c r="K96" s="17">
        <f ca="1">IFERROR(IF(MAX('SORT IMPORT'!$A$13:$A$408)&gt;ROW()-ROW($A$5)-1,INDEX( PRODUKTE,  VLOOKUP(ROW()-ROW($A$5),zeilenindizes,2)+INDEX(prodRowOffset,K$3),  MATCH(K$2,OFFSET(INDEXNAMEN,K$3,0),0)),""),"")</f>
        <v>9</v>
      </c>
      <c r="L96" s="17">
        <f ca="1">IFERROR(IF(MAX('SORT IMPORT'!$A$13:$A$408)&gt;ROW()-ROW($A$5)-1,INDEX( PRODUKTE,  VLOOKUP(ROW()-ROW($A$5),zeilenindizes,2)+INDEX(prodRowOffset,L$3),  MATCH(L$2,OFFSET(INDEXNAMEN,L$3,0),0)),""),"")</f>
        <v>32</v>
      </c>
      <c r="M96" s="17">
        <f ca="1">IFERROR(IF(MAX('SORT IMPORT'!$A$13:$A$408)&gt;ROW()-ROW($A$5)-1,INDEX( PRODUKTE,  VLOOKUP(ROW()-ROW($A$5),zeilenindizes,2)+INDEX(prodRowOffset,M$3),  MATCH(M$2,OFFSET(INDEXNAMEN,M$3,0),0)),""),"")</f>
        <v>63</v>
      </c>
      <c r="N96" s="17">
        <f ca="1">IFERROR(IF(MAX('SORT IMPORT'!$A$13:$A$408)&gt;ROW()-ROW($A$5)-1,INDEX( PRODUKTE,  VLOOKUP(ROW()-ROW($A$5),zeilenindizes,2)+INDEX(prodRowOffset,N$3),  MATCH(N$2,OFFSET(INDEXNAMEN,N$3,0),0)),""),"")</f>
        <v>2</v>
      </c>
      <c r="O96" s="17">
        <f ca="1">IFERROR(IF(MAX('SORT IMPORT'!$A$13:$A$408)&gt;ROW()-ROW($A$5)-1,INDEX( PRODUKTE,  VLOOKUP(ROW()-ROW($A$5),zeilenindizes,2)+INDEX(prodRowOffset,O$3),  MATCH(O$2,OFFSET(INDEXNAMEN,O$3,0),0)),""),"")</f>
        <v>0</v>
      </c>
      <c r="P96" s="17">
        <f ca="1">IFERROR(IF(MAX('SORT IMPORT'!$A$13:$A$408)&gt;ROW()-ROW($A$5)-1,INDEX( PRODUKTE,  VLOOKUP(ROW()-ROW($A$5),zeilenindizes,2)+INDEX(prodRowOffset,P$3),  MATCH(P$2,OFFSET(INDEXNAMEN,P$3,0),0)),""),"")</f>
        <v>2</v>
      </c>
      <c r="Q96" s="17">
        <f ca="1">IFERROR(IF(MAX('SORT IMPORT'!$A$13:$A$408)&gt;ROW()-ROW($A$5)-1,INDEX( PRODUKTE,  VLOOKUP(ROW()-ROW($A$5),zeilenindizes,2)+INDEX(prodRowOffset,Q$3),  MATCH(Q$2,OFFSET(INDEXNAMEN,Q$3,0),0)),""),"")</f>
        <v>1</v>
      </c>
      <c r="R96" s="17">
        <f ca="1">IFERROR(IF(MAX('SORT IMPORT'!$A$13:$A$408)&gt;ROW()-ROW($A$5)-1,INDEX( PRODUKTE,  VLOOKUP(ROW()-ROW($A$5),zeilenindizes,2)+INDEX(prodRowOffset,R$3),  MATCH(R$2,OFFSET(INDEXNAMEN,R$3,0),0)),""),"")</f>
        <v>1</v>
      </c>
      <c r="S96" s="17">
        <f ca="1">IFERROR(IF(MAX('SORT IMPORT'!$A$13:$A$408)&gt;ROW()-ROW($A$5)-1,INDEX( PRODUKTE,  VLOOKUP(ROW()-ROW($A$5),zeilenindizes,2)+INDEX(prodRowOffset,S$3),  MATCH(S$2,OFFSET(INDEXNAMEN,S$3,0),0)),""),"")</f>
        <v>1</v>
      </c>
      <c r="T96" s="17">
        <f ca="1">IFERROR(IF(MAX('SORT IMPORT'!$A$13:$A$408)&gt;ROW()-ROW($A$5)-1,INDEX( PRODUKTE,  VLOOKUP(ROW()-ROW($A$5),zeilenindizes,2)+INDEX(prodRowOffset,T$3),  MATCH(T$2,OFFSET(INDEXNAMEN,T$3,0),0)),""),"")</f>
        <v>1</v>
      </c>
      <c r="U96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96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96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96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96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96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96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40</v>
      </c>
      <c r="AB96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96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40</v>
      </c>
      <c r="AD96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96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96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96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96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96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96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96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40</v>
      </c>
      <c r="AL96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96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40</v>
      </c>
      <c r="AN96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9999</v>
      </c>
      <c r="AO96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96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35</v>
      </c>
      <c r="AQ96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96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18</v>
      </c>
      <c r="AS96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96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101</v>
      </c>
      <c r="AU96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96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53</v>
      </c>
      <c r="AW96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327</v>
      </c>
      <c r="AX96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59</v>
      </c>
      <c r="AY96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97" spans="6:51" ht="22.5" customHeight="1" x14ac:dyDescent="0.3">
      <c r="F97" s="17" t="str">
        <f ca="1">IFERROR(IF(MAX('SORT IMPORT'!$A$13:$A$408)&gt;ROW()-ROW($A$5)-1,INDEX( PRODUKTE,  VLOOKUP(ROW()-ROW($A$5),zeilenindizes,2)+INDEX(prodRowOffset,F$3),  MATCH(F$2,OFFSET(INDEXNAMEN,F$3,0),0)),""),"")</f>
        <v>TS 98 GSR-EMF BG XEA EN 1-6</v>
      </c>
      <c r="G97" s="17" t="str">
        <f ca="1">IFERROR(IF(MAX('SORT IMPORT'!$A$13:$A$408)&gt;ROW()-ROW($A$5)-1,INDEX( PRODUKTE,  VLOOKUP(ROW()-ROW($A$5),zeilenindizes,2)+INDEX(prodRowOffset,G$3),  MATCH(G$2,OFFSET(INDEXNAMEN,G$3,0),0)),""),"")</f>
        <v>X</v>
      </c>
      <c r="H97" s="17" t="str">
        <f ca="1">IFERROR(IF(MAX('SORT IMPORT'!$A$13:$A$408)&gt;ROW()-ROW($A$5)-1,INDEX( PRODUKTE,  VLOOKUP(ROW()-ROW($A$5),zeilenindizes,2)+INDEX(prodRowOffset,H$3),  MATCH(H$2,OFFSET(INDEXNAMEN,H$3,0),0)),""),"")</f>
        <v>98</v>
      </c>
      <c r="I97" s="17" t="str">
        <f ca="1">IFERROR(IF(MAX('SORT IMPORT'!$A$13:$A$408)&gt;ROW()-ROW($A$5)-1,INDEX( PRODUKTE,  VLOOKUP(ROW()-ROW($A$5),zeilenindizes,2)+INDEX(prodRowOffset,I$3),  MATCH(I$2,OFFSET(INDEXNAMEN,I$3,0),0)),""),"")</f>
        <v>V</v>
      </c>
      <c r="J97" s="17" t="str">
        <f ca="1">IFERROR(IF(MAX('SORT IMPORT'!$A$13:$A$408)&gt;ROW()-ROW($A$5)-1,INDEX( PRODUKTE,  VLOOKUP(ROW()-ROW($A$5),zeilenindizes,2)+INDEX(prodRowOffset,J$3),  MATCH(J$2,OFFSET(INDEXNAMEN,J$3,0),0)),""),"")</f>
        <v>E</v>
      </c>
      <c r="K97" s="17">
        <f ca="1">IFERROR(IF(MAX('SORT IMPORT'!$A$13:$A$408)&gt;ROW()-ROW($A$5)-1,INDEX( PRODUKTE,  VLOOKUP(ROW()-ROW($A$5),zeilenindizes,2)+INDEX(prodRowOffset,K$3),  MATCH(K$2,OFFSET(INDEXNAMEN,K$3,0),0)),""),"")</f>
        <v>9</v>
      </c>
      <c r="L97" s="17">
        <f ca="1">IFERROR(IF(MAX('SORT IMPORT'!$A$13:$A$408)&gt;ROW()-ROW($A$5)-1,INDEX( PRODUKTE,  VLOOKUP(ROW()-ROW($A$5),zeilenindizes,2)+INDEX(prodRowOffset,L$3),  MATCH(L$2,OFFSET(INDEXNAMEN,L$3,0),0)),""),"")</f>
        <v>64</v>
      </c>
      <c r="M97" s="17">
        <f ca="1">IFERROR(IF(MAX('SORT IMPORT'!$A$13:$A$408)&gt;ROW()-ROW($A$5)-1,INDEX( PRODUKTE,  VLOOKUP(ROW()-ROW($A$5),zeilenindizes,2)+INDEX(prodRowOffset,M$3),  MATCH(M$2,OFFSET(INDEXNAMEN,M$3,0),0)),""),"")</f>
        <v>63</v>
      </c>
      <c r="N97" s="17">
        <f ca="1">IFERROR(IF(MAX('SORT IMPORT'!$A$13:$A$408)&gt;ROW()-ROW($A$5)-1,INDEX( PRODUKTE,  VLOOKUP(ROW()-ROW($A$5),zeilenindizes,2)+INDEX(prodRowOffset,N$3),  MATCH(N$2,OFFSET(INDEXNAMEN,N$3,0),0)),""),"")</f>
        <v>2</v>
      </c>
      <c r="O97" s="17">
        <f ca="1">IFERROR(IF(MAX('SORT IMPORT'!$A$13:$A$408)&gt;ROW()-ROW($A$5)-1,INDEX( PRODUKTE,  VLOOKUP(ROW()-ROW($A$5),zeilenindizes,2)+INDEX(prodRowOffset,O$3),  MATCH(O$2,OFFSET(INDEXNAMEN,O$3,0),0)),""),"")</f>
        <v>2</v>
      </c>
      <c r="P97" s="17">
        <f ca="1">IFERROR(IF(MAX('SORT IMPORT'!$A$13:$A$408)&gt;ROW()-ROW($A$5)-1,INDEX( PRODUKTE,  VLOOKUP(ROW()-ROW($A$5),zeilenindizes,2)+INDEX(prodRowOffset,P$3),  MATCH(P$2,OFFSET(INDEXNAMEN,P$3,0),0)),""),"")</f>
        <v>2</v>
      </c>
      <c r="Q97" s="17">
        <f ca="1">IFERROR(IF(MAX('SORT IMPORT'!$A$13:$A$408)&gt;ROW()-ROW($A$5)-1,INDEX( PRODUKTE,  VLOOKUP(ROW()-ROW($A$5),zeilenindizes,2)+INDEX(prodRowOffset,Q$3),  MATCH(Q$2,OFFSET(INDEXNAMEN,Q$3,0),0)),""),"")</f>
        <v>1</v>
      </c>
      <c r="R97" s="17">
        <f ca="1">IFERROR(IF(MAX('SORT IMPORT'!$A$13:$A$408)&gt;ROW()-ROW($A$5)-1,INDEX( PRODUKTE,  VLOOKUP(ROW()-ROW($A$5),zeilenindizes,2)+INDEX(prodRowOffset,R$3),  MATCH(R$2,OFFSET(INDEXNAMEN,R$3,0),0)),""),"")</f>
        <v>1</v>
      </c>
      <c r="S97" s="17">
        <f ca="1">IFERROR(IF(MAX('SORT IMPORT'!$A$13:$A$408)&gt;ROW()-ROW($A$5)-1,INDEX( PRODUKTE,  VLOOKUP(ROW()-ROW($A$5),zeilenindizes,2)+INDEX(prodRowOffset,S$3),  MATCH(S$2,OFFSET(INDEXNAMEN,S$3,0),0)),""),"")</f>
        <v>1</v>
      </c>
      <c r="T97" s="17">
        <f ca="1">IFERROR(IF(MAX('SORT IMPORT'!$A$13:$A$408)&gt;ROW()-ROW($A$5)-1,INDEX( PRODUKTE,  VLOOKUP(ROW()-ROW($A$5),zeilenindizes,2)+INDEX(prodRowOffset,T$3),  MATCH(T$2,OFFSET(INDEXNAMEN,T$3,0),0)),""),"")</f>
        <v>1</v>
      </c>
      <c r="U97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97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97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97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97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97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97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40</v>
      </c>
      <c r="AB97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97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40</v>
      </c>
      <c r="AD97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97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97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97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97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97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97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97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40</v>
      </c>
      <c r="AL97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97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40</v>
      </c>
      <c r="AN97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9999</v>
      </c>
      <c r="AO97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97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35</v>
      </c>
      <c r="AQ97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97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18</v>
      </c>
      <c r="AS97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97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101</v>
      </c>
      <c r="AU97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97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166</v>
      </c>
      <c r="AW97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327</v>
      </c>
      <c r="AX97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59</v>
      </c>
      <c r="AY97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98" spans="6:51" ht="22.5" customHeight="1" x14ac:dyDescent="0.3">
      <c r="F98" s="17" t="str">
        <f ca="1">IFERROR(IF(MAX('SORT IMPORT'!$A$13:$A$408)&gt;ROW()-ROW($A$5)-1,INDEX( PRODUKTE,  VLOOKUP(ROW()-ROW($A$5),zeilenindizes,2)+INDEX(prodRowOffset,F$3),  MATCH(F$2,OFFSET(INDEXNAMEN,F$3,0),0)),""),"")</f>
        <v>TS 98 GSR-EMR BG XEA EN 1-6</v>
      </c>
      <c r="G98" s="17" t="str">
        <f ca="1">IFERROR(IF(MAX('SORT IMPORT'!$A$13:$A$408)&gt;ROW()-ROW($A$5)-1,INDEX( PRODUKTE,  VLOOKUP(ROW()-ROW($A$5),zeilenindizes,2)+INDEX(prodRowOffset,G$3),  MATCH(G$2,OFFSET(INDEXNAMEN,G$3,0),0)),""),"")</f>
        <v>X</v>
      </c>
      <c r="H98" s="17" t="str">
        <f ca="1">IFERROR(IF(MAX('SORT IMPORT'!$A$13:$A$408)&gt;ROW()-ROW($A$5)-1,INDEX( PRODUKTE,  VLOOKUP(ROW()-ROW($A$5),zeilenindizes,2)+INDEX(prodRowOffset,H$3),  MATCH(H$2,OFFSET(INDEXNAMEN,H$3,0),0)),""),"")</f>
        <v>98</v>
      </c>
      <c r="I98" s="17" t="str">
        <f ca="1">IFERROR(IF(MAX('SORT IMPORT'!$A$13:$A$408)&gt;ROW()-ROW($A$5)-1,INDEX( PRODUKTE,  VLOOKUP(ROW()-ROW($A$5),zeilenindizes,2)+INDEX(prodRowOffset,I$3),  MATCH(I$2,OFFSET(INDEXNAMEN,I$3,0),0)),""),"")</f>
        <v>V</v>
      </c>
      <c r="J98" s="17" t="str">
        <f ca="1">IFERROR(IF(MAX('SORT IMPORT'!$A$13:$A$408)&gt;ROW()-ROW($A$5)-1,INDEX( PRODUKTE,  VLOOKUP(ROW()-ROW($A$5),zeilenindizes,2)+INDEX(prodRowOffset,J$3),  MATCH(J$2,OFFSET(INDEXNAMEN,J$3,0),0)),""),"")</f>
        <v>R</v>
      </c>
      <c r="K98" s="17">
        <f ca="1">IFERROR(IF(MAX('SORT IMPORT'!$A$13:$A$408)&gt;ROW()-ROW($A$5)-1,INDEX( PRODUKTE,  VLOOKUP(ROW()-ROW($A$5),zeilenindizes,2)+INDEX(prodRowOffset,K$3),  MATCH(K$2,OFFSET(INDEXNAMEN,K$3,0),0)),""),"")</f>
        <v>9</v>
      </c>
      <c r="L98" s="17">
        <f ca="1">IFERROR(IF(MAX('SORT IMPORT'!$A$13:$A$408)&gt;ROW()-ROW($A$5)-1,INDEX( PRODUKTE,  VLOOKUP(ROW()-ROW($A$5),zeilenindizes,2)+INDEX(prodRowOffset,L$3),  MATCH(L$2,OFFSET(INDEXNAMEN,L$3,0),0)),""),"")</f>
        <v>128</v>
      </c>
      <c r="M98" s="17">
        <f ca="1">IFERROR(IF(MAX('SORT IMPORT'!$A$13:$A$408)&gt;ROW()-ROW($A$5)-1,INDEX( PRODUKTE,  VLOOKUP(ROW()-ROW($A$5),zeilenindizes,2)+INDEX(prodRowOffset,M$3),  MATCH(M$2,OFFSET(INDEXNAMEN,M$3,0),0)),""),"")</f>
        <v>63</v>
      </c>
      <c r="N98" s="17">
        <f ca="1">IFERROR(IF(MAX('SORT IMPORT'!$A$13:$A$408)&gt;ROW()-ROW($A$5)-1,INDEX( PRODUKTE,  VLOOKUP(ROW()-ROW($A$5),zeilenindizes,2)+INDEX(prodRowOffset,N$3),  MATCH(N$2,OFFSET(INDEXNAMEN,N$3,0),0)),""),"")</f>
        <v>2</v>
      </c>
      <c r="O98" s="17">
        <f ca="1">IFERROR(IF(MAX('SORT IMPORT'!$A$13:$A$408)&gt;ROW()-ROW($A$5)-1,INDEX( PRODUKTE,  VLOOKUP(ROW()-ROW($A$5),zeilenindizes,2)+INDEX(prodRowOffset,O$3),  MATCH(O$2,OFFSET(INDEXNAMEN,O$3,0),0)),""),"")</f>
        <v>1</v>
      </c>
      <c r="P98" s="17">
        <f ca="1">IFERROR(IF(MAX('SORT IMPORT'!$A$13:$A$408)&gt;ROW()-ROW($A$5)-1,INDEX( PRODUKTE,  VLOOKUP(ROW()-ROW($A$5),zeilenindizes,2)+INDEX(prodRowOffset,P$3),  MATCH(P$2,OFFSET(INDEXNAMEN,P$3,0),0)),""),"")</f>
        <v>2</v>
      </c>
      <c r="Q98" s="17">
        <f ca="1">IFERROR(IF(MAX('SORT IMPORT'!$A$13:$A$408)&gt;ROW()-ROW($A$5)-1,INDEX( PRODUKTE,  VLOOKUP(ROW()-ROW($A$5),zeilenindizes,2)+INDEX(prodRowOffset,Q$3),  MATCH(Q$2,OFFSET(INDEXNAMEN,Q$3,0),0)),""),"")</f>
        <v>1</v>
      </c>
      <c r="R98" s="17">
        <f ca="1">IFERROR(IF(MAX('SORT IMPORT'!$A$13:$A$408)&gt;ROW()-ROW($A$5)-1,INDEX( PRODUKTE,  VLOOKUP(ROW()-ROW($A$5),zeilenindizes,2)+INDEX(prodRowOffset,R$3),  MATCH(R$2,OFFSET(INDEXNAMEN,R$3,0),0)),""),"")</f>
        <v>1</v>
      </c>
      <c r="S98" s="17">
        <f ca="1">IFERROR(IF(MAX('SORT IMPORT'!$A$13:$A$408)&gt;ROW()-ROW($A$5)-1,INDEX( PRODUKTE,  VLOOKUP(ROW()-ROW($A$5),zeilenindizes,2)+INDEX(prodRowOffset,S$3),  MATCH(S$2,OFFSET(INDEXNAMEN,S$3,0),0)),""),"")</f>
        <v>1</v>
      </c>
      <c r="T98" s="17">
        <f ca="1">IFERROR(IF(MAX('SORT IMPORT'!$A$13:$A$408)&gt;ROW()-ROW($A$5)-1,INDEX( PRODUKTE,  VLOOKUP(ROW()-ROW($A$5),zeilenindizes,2)+INDEX(prodRowOffset,T$3),  MATCH(T$2,OFFSET(INDEXNAMEN,T$3,0),0)),""),"")</f>
        <v>1</v>
      </c>
      <c r="U98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98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98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98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98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98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98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40</v>
      </c>
      <c r="AB98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17</v>
      </c>
      <c r="AC98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40</v>
      </c>
      <c r="AD98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9999</v>
      </c>
      <c r="AE98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98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98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98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98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98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98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40</v>
      </c>
      <c r="AL98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98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40</v>
      </c>
      <c r="AN98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9999</v>
      </c>
      <c r="AO98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98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98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98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98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98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101</v>
      </c>
      <c r="AU98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30</v>
      </c>
      <c r="AV98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166</v>
      </c>
      <c r="AW98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327</v>
      </c>
      <c r="AX98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59</v>
      </c>
      <c r="AY98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99" spans="6:51" ht="22.5" customHeight="1" x14ac:dyDescent="0.3">
      <c r="F99" s="17" t="str">
        <f ca="1">IFERROR(IF(MAX('SORT IMPORT'!$A$13:$A$408)&gt;ROW()-ROW($A$5)-1,INDEX( PRODUKTE,  VLOOKUP(ROW()-ROW($A$5),zeilenindizes,2)+INDEX(prodRowOffset,F$3),  MATCH(F$2,OFFSET(INDEXNAMEN,F$3,0),0)),""),"")</f>
        <v>TS 99 FL EN 2-5</v>
      </c>
      <c r="G99" s="17" t="str">
        <f ca="1">IFERROR(IF(MAX('SORT IMPORT'!$A$13:$A$408)&gt;ROW()-ROW($A$5)-1,INDEX( PRODUKTE,  VLOOKUP(ROW()-ROW($A$5),zeilenindizes,2)+INDEX(prodRowOffset,G$3),  MATCH(G$2,OFFSET(INDEXNAMEN,G$3,0),0)),""),"")</f>
        <v>G</v>
      </c>
      <c r="H99" s="17" t="str">
        <f ca="1">IFERROR(IF(MAX('SORT IMPORT'!$A$13:$A$408)&gt;ROW()-ROW($A$5)-1,INDEX( PRODUKTE,  VLOOKUP(ROW()-ROW($A$5),zeilenindizes,2)+INDEX(prodRowOffset,H$3),  MATCH(H$2,OFFSET(INDEXNAMEN,H$3,0),0)),""),"")</f>
        <v>99 B</v>
      </c>
      <c r="I99" s="17" t="str">
        <f ca="1">IFERROR(IF(MAX('SORT IMPORT'!$A$13:$A$408)&gt;ROW()-ROW($A$5)-1,INDEX( PRODUKTE,  VLOOKUP(ROW()-ROW($A$5),zeilenindizes,2)+INDEX(prodRowOffset,I$3),  MATCH(I$2,OFFSET(INDEXNAMEN,I$3,0),0)),""),"")</f>
        <v>F</v>
      </c>
      <c r="J99" s="17" t="str">
        <f ca="1">IFERROR(IF(MAX('SORT IMPORT'!$A$13:$A$408)&gt;ROW()-ROW($A$5)-1,INDEX( PRODUKTE,  VLOOKUP(ROW()-ROW($A$5),zeilenindizes,2)+INDEX(prodRowOffset,J$3),  MATCH(J$2,OFFSET(INDEXNAMEN,J$3,0),0)),""),"")</f>
        <v>E</v>
      </c>
      <c r="K99" s="17">
        <f ca="1">IFERROR(IF(MAX('SORT IMPORT'!$A$13:$A$408)&gt;ROW()-ROW($A$5)-1,INDEX( PRODUKTE,  VLOOKUP(ROW()-ROW($A$5),zeilenindizes,2)+INDEX(prodRowOffset,K$3),  MATCH(K$2,OFFSET(INDEXNAMEN,K$3,0),0)),""),"")</f>
        <v>1</v>
      </c>
      <c r="L99" s="17">
        <f ca="1">IFERROR(IF(MAX('SORT IMPORT'!$A$13:$A$408)&gt;ROW()-ROW($A$5)-1,INDEX( PRODUKTE,  VLOOKUP(ROW()-ROW($A$5),zeilenindizes,2)+INDEX(prodRowOffset,L$3),  MATCH(L$2,OFFSET(INDEXNAMEN,L$3,0),0)),""),"")</f>
        <v>0</v>
      </c>
      <c r="M99" s="17">
        <f ca="1">IFERROR(IF(MAX('SORT IMPORT'!$A$13:$A$408)&gt;ROW()-ROW($A$5)-1,INDEX( PRODUKTE,  VLOOKUP(ROW()-ROW($A$5),zeilenindizes,2)+INDEX(prodRowOffset,M$3),  MATCH(M$2,OFFSET(INDEXNAMEN,M$3,0),0)),""),"")</f>
        <v>30</v>
      </c>
      <c r="N99" s="17">
        <f ca="1">IFERROR(IF(MAX('SORT IMPORT'!$A$13:$A$408)&gt;ROW()-ROW($A$5)-1,INDEX( PRODUKTE,  VLOOKUP(ROW()-ROW($A$5),zeilenindizes,2)+INDEX(prodRowOffset,N$3),  MATCH(N$2,OFFSET(INDEXNAMEN,N$3,0),0)),""),"")</f>
        <v>1</v>
      </c>
      <c r="O99" s="17">
        <f ca="1">IFERROR(IF(MAX('SORT IMPORT'!$A$13:$A$408)&gt;ROW()-ROW($A$5)-1,INDEX( PRODUKTE,  VLOOKUP(ROW()-ROW($A$5),zeilenindizes,2)+INDEX(prodRowOffset,O$3),  MATCH(O$2,OFFSET(INDEXNAMEN,O$3,0),0)),""),"")</f>
        <v>2</v>
      </c>
      <c r="P99" s="17">
        <f ca="1">IFERROR(IF(MAX('SORT IMPORT'!$A$13:$A$408)&gt;ROW()-ROW($A$5)-1,INDEX( PRODUKTE,  VLOOKUP(ROW()-ROW($A$5),zeilenindizes,2)+INDEX(prodRowOffset,P$3),  MATCH(P$2,OFFSET(INDEXNAMEN,P$3,0),0)),""),"")</f>
        <v>0</v>
      </c>
      <c r="Q99" s="17">
        <f ca="1">IFERROR(IF(MAX('SORT IMPORT'!$A$13:$A$408)&gt;ROW()-ROW($A$5)-1,INDEX( PRODUKTE,  VLOOKUP(ROW()-ROW($A$5),zeilenindizes,2)+INDEX(prodRowOffset,Q$3),  MATCH(Q$2,OFFSET(INDEXNAMEN,Q$3,0),0)),""),"")</f>
        <v>1</v>
      </c>
      <c r="R99" s="17">
        <f ca="1">IFERROR(IF(MAX('SORT IMPORT'!$A$13:$A$408)&gt;ROW()-ROW($A$5)-1,INDEX( PRODUKTE,  VLOOKUP(ROW()-ROW($A$5),zeilenindizes,2)+INDEX(prodRowOffset,R$3),  MATCH(R$2,OFFSET(INDEXNAMEN,R$3,0),0)),""),"")</f>
        <v>1</v>
      </c>
      <c r="S99" s="17">
        <f ca="1">IFERROR(IF(MAX('SORT IMPORT'!$A$13:$A$408)&gt;ROW()-ROW($A$5)-1,INDEX( PRODUKTE,  VLOOKUP(ROW()-ROW($A$5),zeilenindizes,2)+INDEX(prodRowOffset,S$3),  MATCH(S$2,OFFSET(INDEXNAMEN,S$3,0),0)),""),"")</f>
        <v>0</v>
      </c>
      <c r="T99" s="17">
        <f ca="1">IFERROR(IF(MAX('SORT IMPORT'!$A$13:$A$408)&gt;ROW()-ROW($A$5)-1,INDEX( PRODUKTE,  VLOOKUP(ROW()-ROW($A$5),zeilenindizes,2)+INDEX(prodRowOffset,T$3),  MATCH(T$2,OFFSET(INDEXNAMEN,T$3,0),0)),""),"")</f>
        <v>0</v>
      </c>
      <c r="U99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78</v>
      </c>
      <c r="V99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1</v>
      </c>
      <c r="W99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99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99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99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99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99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99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99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99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143</v>
      </c>
      <c r="AF99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11</v>
      </c>
      <c r="AG99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99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99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99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99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99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99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99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99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442</v>
      </c>
      <c r="AP99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99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23</v>
      </c>
      <c r="AR99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16</v>
      </c>
      <c r="AS99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99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97</v>
      </c>
      <c r="AU99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27</v>
      </c>
      <c r="AV99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43</v>
      </c>
      <c r="AW99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413</v>
      </c>
      <c r="AX99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52</v>
      </c>
      <c r="AY99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100" spans="6:51" ht="22.5" customHeight="1" x14ac:dyDescent="0.3">
      <c r="F100" s="17" t="str">
        <f ca="1">IFERROR(IF(MAX('SORT IMPORT'!$A$13:$A$408)&gt;ROW()-ROW($A$5)-1,INDEX( PRODUKTE,  VLOOKUP(ROW()-ROW($A$5),zeilenindizes,2)+INDEX(prodRowOffset,F$3),  MATCH(F$2,OFFSET(INDEXNAMEN,F$3,0),0)),""),"")</f>
        <v>TS 99 G FL EN 2-5</v>
      </c>
      <c r="G100" s="17" t="str">
        <f ca="1">IFERROR(IF(MAX('SORT IMPORT'!$A$13:$A$408)&gt;ROW()-ROW($A$5)-1,INDEX( PRODUKTE,  VLOOKUP(ROW()-ROW($A$5),zeilenindizes,2)+INDEX(prodRowOffset,G$3),  MATCH(G$2,OFFSET(INDEXNAMEN,G$3,0),0)),""),"")</f>
        <v>G</v>
      </c>
      <c r="H100" s="17" t="str">
        <f ca="1">IFERROR(IF(MAX('SORT IMPORT'!$A$13:$A$408)&gt;ROW()-ROW($A$5)-1,INDEX( PRODUKTE,  VLOOKUP(ROW()-ROW($A$5),zeilenindizes,2)+INDEX(prodRowOffset,H$3),  MATCH(H$2,OFFSET(INDEXNAMEN,H$3,0),0)),""),"")</f>
        <v>99 B</v>
      </c>
      <c r="I100" s="17" t="str">
        <f ca="1">IFERROR(IF(MAX('SORT IMPORT'!$A$13:$A$408)&gt;ROW()-ROW($A$5)-1,INDEX( PRODUKTE,  VLOOKUP(ROW()-ROW($A$5),zeilenindizes,2)+INDEX(prodRowOffset,I$3),  MATCH(I$2,OFFSET(INDEXNAMEN,I$3,0),0)),""),"")</f>
        <v>F</v>
      </c>
      <c r="J100" s="17" t="str">
        <f ca="1">IFERROR(IF(MAX('SORT IMPORT'!$A$13:$A$408)&gt;ROW()-ROW($A$5)-1,INDEX( PRODUKTE,  VLOOKUP(ROW()-ROW($A$5),zeilenindizes,2)+INDEX(prodRowOffset,J$3),  MATCH(J$2,OFFSET(INDEXNAMEN,J$3,0),0)),""),"")</f>
        <v>E</v>
      </c>
      <c r="K100" s="17">
        <f ca="1">IFERROR(IF(MAX('SORT IMPORT'!$A$13:$A$408)&gt;ROW()-ROW($A$5)-1,INDEX( PRODUKTE,  VLOOKUP(ROW()-ROW($A$5),zeilenindizes,2)+INDEX(prodRowOffset,K$3),  MATCH(K$2,OFFSET(INDEXNAMEN,K$3,0),0)),""),"")</f>
        <v>4</v>
      </c>
      <c r="L100" s="17">
        <f ca="1">IFERROR(IF(MAX('SORT IMPORT'!$A$13:$A$408)&gt;ROW()-ROW($A$5)-1,INDEX( PRODUKTE,  VLOOKUP(ROW()-ROW($A$5),zeilenindizes,2)+INDEX(prodRowOffset,L$3),  MATCH(L$2,OFFSET(INDEXNAMEN,L$3,0),0)),""),"")</f>
        <v>0</v>
      </c>
      <c r="M100" s="17">
        <f ca="1">IFERROR(IF(MAX('SORT IMPORT'!$A$13:$A$408)&gt;ROW()-ROW($A$5)-1,INDEX( PRODUKTE,  VLOOKUP(ROW()-ROW($A$5),zeilenindizes,2)+INDEX(prodRowOffset,M$3),  MATCH(M$2,OFFSET(INDEXNAMEN,M$3,0),0)),""),"")</f>
        <v>30</v>
      </c>
      <c r="N100" s="17">
        <f ca="1">IFERROR(IF(MAX('SORT IMPORT'!$A$13:$A$408)&gt;ROW()-ROW($A$5)-1,INDEX( PRODUKTE,  VLOOKUP(ROW()-ROW($A$5),zeilenindizes,2)+INDEX(prodRowOffset,N$3),  MATCH(N$2,OFFSET(INDEXNAMEN,N$3,0),0)),""),"")</f>
        <v>1</v>
      </c>
      <c r="O100" s="17">
        <f ca="1">IFERROR(IF(MAX('SORT IMPORT'!$A$13:$A$408)&gt;ROW()-ROW($A$5)-1,INDEX( PRODUKTE,  VLOOKUP(ROW()-ROW($A$5),zeilenindizes,2)+INDEX(prodRowOffset,O$3),  MATCH(O$2,OFFSET(INDEXNAMEN,O$3,0),0)),""),"")</f>
        <v>2</v>
      </c>
      <c r="P100" s="17">
        <f ca="1">IFERROR(IF(MAX('SORT IMPORT'!$A$13:$A$408)&gt;ROW()-ROW($A$5)-1,INDEX( PRODUKTE,  VLOOKUP(ROW()-ROW($A$5),zeilenindizes,2)+INDEX(prodRowOffset,P$3),  MATCH(P$2,OFFSET(INDEXNAMEN,P$3,0),0)),""),"")</f>
        <v>0</v>
      </c>
      <c r="Q100" s="17">
        <f ca="1">IFERROR(IF(MAX('SORT IMPORT'!$A$13:$A$408)&gt;ROW()-ROW($A$5)-1,INDEX( PRODUKTE,  VLOOKUP(ROW()-ROW($A$5),zeilenindizes,2)+INDEX(prodRowOffset,Q$3),  MATCH(Q$2,OFFSET(INDEXNAMEN,Q$3,0),0)),""),"")</f>
        <v>1</v>
      </c>
      <c r="R100" s="17">
        <f ca="1">IFERROR(IF(MAX('SORT IMPORT'!$A$13:$A$408)&gt;ROW()-ROW($A$5)-1,INDEX( PRODUKTE,  VLOOKUP(ROW()-ROW($A$5),zeilenindizes,2)+INDEX(prodRowOffset,R$3),  MATCH(R$2,OFFSET(INDEXNAMEN,R$3,0),0)),""),"")</f>
        <v>1</v>
      </c>
      <c r="S100" s="17">
        <f ca="1">IFERROR(IF(MAX('SORT IMPORT'!$A$13:$A$408)&gt;ROW()-ROW($A$5)-1,INDEX( PRODUKTE,  VLOOKUP(ROW()-ROW($A$5),zeilenindizes,2)+INDEX(prodRowOffset,S$3),  MATCH(S$2,OFFSET(INDEXNAMEN,S$3,0),0)),""),"")</f>
        <v>0</v>
      </c>
      <c r="T100" s="17">
        <f ca="1">IFERROR(IF(MAX('SORT IMPORT'!$A$13:$A$408)&gt;ROW()-ROW($A$5)-1,INDEX( PRODUKTE,  VLOOKUP(ROW()-ROW($A$5),zeilenindizes,2)+INDEX(prodRowOffset,T$3),  MATCH(T$2,OFFSET(INDEXNAMEN,T$3,0),0)),""),"")</f>
        <v>0</v>
      </c>
      <c r="U100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100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100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00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00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78</v>
      </c>
      <c r="Z100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13</v>
      </c>
      <c r="AA100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00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00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00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00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100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00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00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00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143</v>
      </c>
      <c r="AJ100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00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00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00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00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00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442</v>
      </c>
      <c r="AP100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100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23</v>
      </c>
      <c r="AR100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16</v>
      </c>
      <c r="AS100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00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97</v>
      </c>
      <c r="AU100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27</v>
      </c>
      <c r="AV100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43</v>
      </c>
      <c r="AW100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413</v>
      </c>
      <c r="AX100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52</v>
      </c>
      <c r="AY100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101" spans="6:51" ht="22.5" customHeight="1" x14ac:dyDescent="0.3">
      <c r="F101" s="17" t="str">
        <f ca="1">IFERROR(IF(MAX('SORT IMPORT'!$A$13:$A$408)&gt;ROW()-ROW($A$5)-1,INDEX( PRODUKTE,  VLOOKUP(ROW()-ROW($A$5),zeilenindizes,2)+INDEX(prodRowOffset,F$3),  MATCH(F$2,OFFSET(INDEXNAMEN,F$3,0),0)),""),"")</f>
        <v>TS 99 FLR EN 2-5</v>
      </c>
      <c r="G101" s="17" t="str">
        <f ca="1">IFERROR(IF(MAX('SORT IMPORT'!$A$13:$A$408)&gt;ROW()-ROW($A$5)-1,INDEX( PRODUKTE,  VLOOKUP(ROW()-ROW($A$5),zeilenindizes,2)+INDEX(prodRowOffset,G$3),  MATCH(G$2,OFFSET(INDEXNAMEN,G$3,0),0)),""),"")</f>
        <v>G</v>
      </c>
      <c r="H101" s="17" t="str">
        <f ca="1">IFERROR(IF(MAX('SORT IMPORT'!$A$13:$A$408)&gt;ROW()-ROW($A$5)-1,INDEX( PRODUKTE,  VLOOKUP(ROW()-ROW($A$5),zeilenindizes,2)+INDEX(prodRowOffset,H$3),  MATCH(H$2,OFFSET(INDEXNAMEN,H$3,0),0)),""),"")</f>
        <v>99 B</v>
      </c>
      <c r="I101" s="17" t="str">
        <f ca="1">IFERROR(IF(MAX('SORT IMPORT'!$A$13:$A$408)&gt;ROW()-ROW($A$5)-1,INDEX( PRODUKTE,  VLOOKUP(ROW()-ROW($A$5),zeilenindizes,2)+INDEX(prodRowOffset,I$3),  MATCH(I$2,OFFSET(INDEXNAMEN,I$3,0),0)),""),"")</f>
        <v>F</v>
      </c>
      <c r="J101" s="17" t="str">
        <f ca="1">IFERROR(IF(MAX('SORT IMPORT'!$A$13:$A$408)&gt;ROW()-ROW($A$5)-1,INDEX( PRODUKTE,  VLOOKUP(ROW()-ROW($A$5),zeilenindizes,2)+INDEX(prodRowOffset,J$3),  MATCH(J$2,OFFSET(INDEXNAMEN,J$3,0),0)),""),"")</f>
        <v>R</v>
      </c>
      <c r="K101" s="17">
        <f ca="1">IFERROR(IF(MAX('SORT IMPORT'!$A$13:$A$408)&gt;ROW()-ROW($A$5)-1,INDEX( PRODUKTE,  VLOOKUP(ROW()-ROW($A$5),zeilenindizes,2)+INDEX(prodRowOffset,K$3),  MATCH(K$2,OFFSET(INDEXNAMEN,K$3,0),0)),""),"")</f>
        <v>4</v>
      </c>
      <c r="L101" s="17">
        <f ca="1">IFERROR(IF(MAX('SORT IMPORT'!$A$13:$A$408)&gt;ROW()-ROW($A$5)-1,INDEX( PRODUKTE,  VLOOKUP(ROW()-ROW($A$5),zeilenindizes,2)+INDEX(prodRowOffset,L$3),  MATCH(L$2,OFFSET(INDEXNAMEN,L$3,0),0)),""),"")</f>
        <v>0</v>
      </c>
      <c r="M101" s="17">
        <f ca="1">IFERROR(IF(MAX('SORT IMPORT'!$A$13:$A$408)&gt;ROW()-ROW($A$5)-1,INDEX( PRODUKTE,  VLOOKUP(ROW()-ROW($A$5),zeilenindizes,2)+INDEX(prodRowOffset,M$3),  MATCH(M$2,OFFSET(INDEXNAMEN,M$3,0),0)),""),"")</f>
        <v>30</v>
      </c>
      <c r="N101" s="17">
        <f ca="1">IFERROR(IF(MAX('SORT IMPORT'!$A$13:$A$408)&gt;ROW()-ROW($A$5)-1,INDEX( PRODUKTE,  VLOOKUP(ROW()-ROW($A$5),zeilenindizes,2)+INDEX(prodRowOffset,N$3),  MATCH(N$2,OFFSET(INDEXNAMEN,N$3,0),0)),""),"")</f>
        <v>1</v>
      </c>
      <c r="O101" s="17">
        <f ca="1">IFERROR(IF(MAX('SORT IMPORT'!$A$13:$A$408)&gt;ROW()-ROW($A$5)-1,INDEX( PRODUKTE,  VLOOKUP(ROW()-ROW($A$5),zeilenindizes,2)+INDEX(prodRowOffset,O$3),  MATCH(O$2,OFFSET(INDEXNAMEN,O$3,0),0)),""),"")</f>
        <v>1</v>
      </c>
      <c r="P101" s="17">
        <f ca="1">IFERROR(IF(MAX('SORT IMPORT'!$A$13:$A$408)&gt;ROW()-ROW($A$5)-1,INDEX( PRODUKTE,  VLOOKUP(ROW()-ROW($A$5),zeilenindizes,2)+INDEX(prodRowOffset,P$3),  MATCH(P$2,OFFSET(INDEXNAMEN,P$3,0),0)),""),"")</f>
        <v>0</v>
      </c>
      <c r="Q101" s="17">
        <f ca="1">IFERROR(IF(MAX('SORT IMPORT'!$A$13:$A$408)&gt;ROW()-ROW($A$5)-1,INDEX( PRODUKTE,  VLOOKUP(ROW()-ROW($A$5),zeilenindizes,2)+INDEX(prodRowOffset,Q$3),  MATCH(Q$2,OFFSET(INDEXNAMEN,Q$3,0),0)),""),"")</f>
        <v>1</v>
      </c>
      <c r="R101" s="17">
        <f ca="1">IFERROR(IF(MAX('SORT IMPORT'!$A$13:$A$408)&gt;ROW()-ROW($A$5)-1,INDEX( PRODUKTE,  VLOOKUP(ROW()-ROW($A$5),zeilenindizes,2)+INDEX(prodRowOffset,R$3),  MATCH(R$2,OFFSET(INDEXNAMEN,R$3,0),0)),""),"")</f>
        <v>1</v>
      </c>
      <c r="S101" s="17">
        <f ca="1">IFERROR(IF(MAX('SORT IMPORT'!$A$13:$A$408)&gt;ROW()-ROW($A$5)-1,INDEX( PRODUKTE,  VLOOKUP(ROW()-ROW($A$5),zeilenindizes,2)+INDEX(prodRowOffset,S$3),  MATCH(S$2,OFFSET(INDEXNAMEN,S$3,0),0)),""),"")</f>
        <v>0</v>
      </c>
      <c r="T101" s="17">
        <f ca="1">IFERROR(IF(MAX('SORT IMPORT'!$A$13:$A$408)&gt;ROW()-ROW($A$5)-1,INDEX( PRODUKTE,  VLOOKUP(ROW()-ROW($A$5),zeilenindizes,2)+INDEX(prodRowOffset,T$3),  MATCH(T$2,OFFSET(INDEXNAMEN,T$3,0),0)),""),"")</f>
        <v>0</v>
      </c>
      <c r="U101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101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101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01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01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78</v>
      </c>
      <c r="Z101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1</v>
      </c>
      <c r="AA101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01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01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01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01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101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01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01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01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143</v>
      </c>
      <c r="AJ101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01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01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01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01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01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442</v>
      </c>
      <c r="AP101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101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23</v>
      </c>
      <c r="AR101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16</v>
      </c>
      <c r="AS101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01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97</v>
      </c>
      <c r="AU101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27</v>
      </c>
      <c r="AV101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43</v>
      </c>
      <c r="AW101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785</v>
      </c>
      <c r="AX101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52</v>
      </c>
      <c r="AY101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102" spans="6:51" ht="22.5" customHeight="1" x14ac:dyDescent="0.3">
      <c r="F102" s="17" t="str">
        <f ca="1">IFERROR(IF(MAX('SORT IMPORT'!$A$13:$A$408)&gt;ROW()-ROW($A$5)-1,INDEX( PRODUKTE,  VLOOKUP(ROW()-ROW($A$5),zeilenindizes,2)+INDEX(prodRowOffset,F$3),  MATCH(F$2,OFFSET(INDEXNAMEN,F$3,0),0)),""),"")</f>
        <v>TS 99 FLR-K EN 2-5</v>
      </c>
      <c r="G102" s="17" t="str">
        <f ca="1">IFERROR(IF(MAX('SORT IMPORT'!$A$13:$A$408)&gt;ROW()-ROW($A$5)-1,INDEX( PRODUKTE,  VLOOKUP(ROW()-ROW($A$5),zeilenindizes,2)+INDEX(prodRowOffset,G$3),  MATCH(G$2,OFFSET(INDEXNAMEN,G$3,0),0)),""),"")</f>
        <v>G</v>
      </c>
      <c r="H102" s="17" t="str">
        <f ca="1">IFERROR(IF(MAX('SORT IMPORT'!$A$13:$A$408)&gt;ROW()-ROW($A$5)-1,INDEX( PRODUKTE,  VLOOKUP(ROW()-ROW($A$5),zeilenindizes,2)+INDEX(prodRowOffset,H$3),  MATCH(H$2,OFFSET(INDEXNAMEN,H$3,0),0)),""),"")</f>
        <v>99 B</v>
      </c>
      <c r="I102" s="17" t="str">
        <f ca="1">IFERROR(IF(MAX('SORT IMPORT'!$A$13:$A$408)&gt;ROW()-ROW($A$5)-1,INDEX( PRODUKTE,  VLOOKUP(ROW()-ROW($A$5),zeilenindizes,2)+INDEX(prodRowOffset,I$3),  MATCH(I$2,OFFSET(INDEXNAMEN,I$3,0),0)),""),"")</f>
        <v>F</v>
      </c>
      <c r="J102" s="17" t="str">
        <f ca="1">IFERROR(IF(MAX('SORT IMPORT'!$A$13:$A$408)&gt;ROW()-ROW($A$5)-1,INDEX( PRODUKTE,  VLOOKUP(ROW()-ROW($A$5),zeilenindizes,2)+INDEX(prodRowOffset,J$3),  MATCH(J$2,OFFSET(INDEXNAMEN,J$3,0),0)),""),"")</f>
        <v>R</v>
      </c>
      <c r="K102" s="17">
        <f ca="1">IFERROR(IF(MAX('SORT IMPORT'!$A$13:$A$408)&gt;ROW()-ROW($A$5)-1,INDEX( PRODUKTE,  VLOOKUP(ROW()-ROW($A$5),zeilenindizes,2)+INDEX(prodRowOffset,K$3),  MATCH(K$2,OFFSET(INDEXNAMEN,K$3,0),0)),""),"")</f>
        <v>1</v>
      </c>
      <c r="L102" s="17">
        <f ca="1">IFERROR(IF(MAX('SORT IMPORT'!$A$13:$A$408)&gt;ROW()-ROW($A$5)-1,INDEX( PRODUKTE,  VLOOKUP(ROW()-ROW($A$5),zeilenindizes,2)+INDEX(prodRowOffset,L$3),  MATCH(L$2,OFFSET(INDEXNAMEN,L$3,0),0)),""),"")</f>
        <v>0</v>
      </c>
      <c r="M102" s="17">
        <f ca="1">IFERROR(IF(MAX('SORT IMPORT'!$A$13:$A$408)&gt;ROW()-ROW($A$5)-1,INDEX( PRODUKTE,  VLOOKUP(ROW()-ROW($A$5),zeilenindizes,2)+INDEX(prodRowOffset,M$3),  MATCH(M$2,OFFSET(INDEXNAMEN,M$3,0),0)),""),"")</f>
        <v>30</v>
      </c>
      <c r="N102" s="17">
        <f ca="1">IFERROR(IF(MAX('SORT IMPORT'!$A$13:$A$408)&gt;ROW()-ROW($A$5)-1,INDEX( PRODUKTE,  VLOOKUP(ROW()-ROW($A$5),zeilenindizes,2)+INDEX(prodRowOffset,N$3),  MATCH(N$2,OFFSET(INDEXNAMEN,N$3,0),0)),""),"")</f>
        <v>1</v>
      </c>
      <c r="O102" s="17">
        <f ca="1">IFERROR(IF(MAX('SORT IMPORT'!$A$13:$A$408)&gt;ROW()-ROW($A$5)-1,INDEX( PRODUKTE,  VLOOKUP(ROW()-ROW($A$5),zeilenindizes,2)+INDEX(prodRowOffset,O$3),  MATCH(O$2,OFFSET(INDEXNAMEN,O$3,0),0)),""),"")</f>
        <v>1</v>
      </c>
      <c r="P102" s="17">
        <f ca="1">IFERROR(IF(MAX('SORT IMPORT'!$A$13:$A$408)&gt;ROW()-ROW($A$5)-1,INDEX( PRODUKTE,  VLOOKUP(ROW()-ROW($A$5),zeilenindizes,2)+INDEX(prodRowOffset,P$3),  MATCH(P$2,OFFSET(INDEXNAMEN,P$3,0),0)),""),"")</f>
        <v>0</v>
      </c>
      <c r="Q102" s="17">
        <f ca="1">IFERROR(IF(MAX('SORT IMPORT'!$A$13:$A$408)&gt;ROW()-ROW($A$5)-1,INDEX( PRODUKTE,  VLOOKUP(ROW()-ROW($A$5),zeilenindizes,2)+INDEX(prodRowOffset,Q$3),  MATCH(Q$2,OFFSET(INDEXNAMEN,Q$3,0),0)),""),"")</f>
        <v>1</v>
      </c>
      <c r="R102" s="17">
        <f ca="1">IFERROR(IF(MAX('SORT IMPORT'!$A$13:$A$408)&gt;ROW()-ROW($A$5)-1,INDEX( PRODUKTE,  VLOOKUP(ROW()-ROW($A$5),zeilenindizes,2)+INDEX(prodRowOffset,R$3),  MATCH(R$2,OFFSET(INDEXNAMEN,R$3,0),0)),""),"")</f>
        <v>1</v>
      </c>
      <c r="S102" s="17">
        <f ca="1">IFERROR(IF(MAX('SORT IMPORT'!$A$13:$A$408)&gt;ROW()-ROW($A$5)-1,INDEX( PRODUKTE,  VLOOKUP(ROW()-ROW($A$5),zeilenindizes,2)+INDEX(prodRowOffset,S$3),  MATCH(S$2,OFFSET(INDEXNAMEN,S$3,0),0)),""),"")</f>
        <v>0</v>
      </c>
      <c r="T102" s="17">
        <f ca="1">IFERROR(IF(MAX('SORT IMPORT'!$A$13:$A$408)&gt;ROW()-ROW($A$5)-1,INDEX( PRODUKTE,  VLOOKUP(ROW()-ROW($A$5),zeilenindizes,2)+INDEX(prodRowOffset,T$3),  MATCH(T$2,OFFSET(INDEXNAMEN,T$3,0),0)),""),"")</f>
        <v>0</v>
      </c>
      <c r="U102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78</v>
      </c>
      <c r="V102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1</v>
      </c>
      <c r="W102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02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02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02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02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02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02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02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02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143</v>
      </c>
      <c r="AF102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13</v>
      </c>
      <c r="AG102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02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02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02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02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02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02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02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02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864</v>
      </c>
      <c r="AP102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40</v>
      </c>
      <c r="AQ102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102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20</v>
      </c>
      <c r="AS102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02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97</v>
      </c>
      <c r="AU102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27</v>
      </c>
      <c r="AV102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51</v>
      </c>
      <c r="AW102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413</v>
      </c>
      <c r="AX102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52</v>
      </c>
      <c r="AY102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103" spans="6:51" ht="22.5" customHeight="1" x14ac:dyDescent="0.3">
      <c r="F103" s="17" t="str">
        <f ca="1">IFERROR(IF(MAX('SORT IMPORT'!$A$13:$A$408)&gt;ROW()-ROW($A$5)-1,INDEX( PRODUKTE,  VLOOKUP(ROW()-ROW($A$5),zeilenindizes,2)+INDEX(prodRowOffset,F$3),  MATCH(F$2,OFFSET(INDEXNAMEN,F$3,0),0)),""),"")</f>
        <v>TS 99  FL GSR-EMR 0 EN 2-5</v>
      </c>
      <c r="G103" s="17" t="str">
        <f ca="1">IFERROR(IF(MAX('SORT IMPORT'!$A$13:$A$408)&gt;ROW()-ROW($A$5)-1,INDEX( PRODUKTE,  VLOOKUP(ROW()-ROW($A$5),zeilenindizes,2)+INDEX(prodRowOffset,G$3),  MATCH(G$2,OFFSET(INDEXNAMEN,G$3,0),0)),""),"")</f>
        <v>G</v>
      </c>
      <c r="H103" s="17" t="str">
        <f ca="1">IFERROR(IF(MAX('SORT IMPORT'!$A$13:$A$408)&gt;ROW()-ROW($A$5)-1,INDEX( PRODUKTE,  VLOOKUP(ROW()-ROW($A$5),zeilenindizes,2)+INDEX(prodRowOffset,H$3),  MATCH(H$2,OFFSET(INDEXNAMEN,H$3,0),0)),""),"")</f>
        <v>99 B</v>
      </c>
      <c r="I103" s="17" t="str">
        <f ca="1">IFERROR(IF(MAX('SORT IMPORT'!$A$13:$A$408)&gt;ROW()-ROW($A$5)-1,INDEX( PRODUKTE,  VLOOKUP(ROW()-ROW($A$5),zeilenindizes,2)+INDEX(prodRowOffset,I$3),  MATCH(I$2,OFFSET(INDEXNAMEN,I$3,0),0)),""),"")</f>
        <v>F</v>
      </c>
      <c r="J103" s="17" t="str">
        <f ca="1">IFERROR(IF(MAX('SORT IMPORT'!$A$13:$A$408)&gt;ROW()-ROW($A$5)-1,INDEX( PRODUKTE,  VLOOKUP(ROW()-ROW($A$5),zeilenindizes,2)+INDEX(prodRowOffset,J$3),  MATCH(J$2,OFFSET(INDEXNAMEN,J$3,0),0)),""),"")</f>
        <v>R</v>
      </c>
      <c r="K103" s="17">
        <f ca="1">IFERROR(IF(MAX('SORT IMPORT'!$A$13:$A$408)&gt;ROW()-ROW($A$5)-1,INDEX( PRODUKTE,  VLOOKUP(ROW()-ROW($A$5),zeilenindizes,2)+INDEX(prodRowOffset,K$3),  MATCH(K$2,OFFSET(INDEXNAMEN,K$3,0),0)),""),"")</f>
        <v>1</v>
      </c>
      <c r="L103" s="17">
        <f ca="1">IFERROR(IF(MAX('SORT IMPORT'!$A$13:$A$408)&gt;ROW()-ROW($A$5)-1,INDEX( PRODUKTE,  VLOOKUP(ROW()-ROW($A$5),zeilenindizes,2)+INDEX(prodRowOffset,L$3),  MATCH(L$2,OFFSET(INDEXNAMEN,L$3,0),0)),""),"")</f>
        <v>0</v>
      </c>
      <c r="M103" s="17">
        <f ca="1">IFERROR(IF(MAX('SORT IMPORT'!$A$13:$A$408)&gt;ROW()-ROW($A$5)-1,INDEX( PRODUKTE,  VLOOKUP(ROW()-ROW($A$5),zeilenindizes,2)+INDEX(prodRowOffset,M$3),  MATCH(M$2,OFFSET(INDEXNAMEN,M$3,0),0)),""),"")</f>
        <v>30</v>
      </c>
      <c r="N103" s="17">
        <f ca="1">IFERROR(IF(MAX('SORT IMPORT'!$A$13:$A$408)&gt;ROW()-ROW($A$5)-1,INDEX( PRODUKTE,  VLOOKUP(ROW()-ROW($A$5),zeilenindizes,2)+INDEX(prodRowOffset,N$3),  MATCH(N$2,OFFSET(INDEXNAMEN,N$3,0),0)),""),"")</f>
        <v>2</v>
      </c>
      <c r="O103" s="17">
        <f ca="1">IFERROR(IF(MAX('SORT IMPORT'!$A$13:$A$408)&gt;ROW()-ROW($A$5)-1,INDEX( PRODUKTE,  VLOOKUP(ROW()-ROW($A$5),zeilenindizes,2)+INDEX(prodRowOffset,O$3),  MATCH(O$2,OFFSET(INDEXNAMEN,O$3,0),0)),""),"")</f>
        <v>1</v>
      </c>
      <c r="P103" s="17">
        <f ca="1">IFERROR(IF(MAX('SORT IMPORT'!$A$13:$A$408)&gt;ROW()-ROW($A$5)-1,INDEX( PRODUKTE,  VLOOKUP(ROW()-ROW($A$5),zeilenindizes,2)+INDEX(prodRowOffset,P$3),  MATCH(P$2,OFFSET(INDEXNAMEN,P$3,0),0)),""),"")</f>
        <v>0</v>
      </c>
      <c r="Q103" s="17">
        <f ca="1">IFERROR(IF(MAX('SORT IMPORT'!$A$13:$A$408)&gt;ROW()-ROW($A$5)-1,INDEX( PRODUKTE,  VLOOKUP(ROW()-ROW($A$5),zeilenindizes,2)+INDEX(prodRowOffset,Q$3),  MATCH(Q$2,OFFSET(INDEXNAMEN,Q$3,0),0)),""),"")</f>
        <v>1</v>
      </c>
      <c r="R103" s="17">
        <f ca="1">IFERROR(IF(MAX('SORT IMPORT'!$A$13:$A$408)&gt;ROW()-ROW($A$5)-1,INDEX( PRODUKTE,  VLOOKUP(ROW()-ROW($A$5),zeilenindizes,2)+INDEX(prodRowOffset,R$3),  MATCH(R$2,OFFSET(INDEXNAMEN,R$3,0),0)),""),"")</f>
        <v>1</v>
      </c>
      <c r="S103" s="17">
        <f ca="1">IFERROR(IF(MAX('SORT IMPORT'!$A$13:$A$408)&gt;ROW()-ROW($A$5)-1,INDEX( PRODUKTE,  VLOOKUP(ROW()-ROW($A$5),zeilenindizes,2)+INDEX(prodRowOffset,S$3),  MATCH(S$2,OFFSET(INDEXNAMEN,S$3,0),0)),""),"")</f>
        <v>0</v>
      </c>
      <c r="T103" s="17">
        <f ca="1">IFERROR(IF(MAX('SORT IMPORT'!$A$13:$A$408)&gt;ROW()-ROW($A$5)-1,INDEX( PRODUKTE,  VLOOKUP(ROW()-ROW($A$5),zeilenindizes,2)+INDEX(prodRowOffset,T$3),  MATCH(T$2,OFFSET(INDEXNAMEN,T$3,0),0)),""),"")</f>
        <v>1</v>
      </c>
      <c r="U103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78</v>
      </c>
      <c r="V103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1</v>
      </c>
      <c r="W103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03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03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03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03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03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03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03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03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84</v>
      </c>
      <c r="AF103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13</v>
      </c>
      <c r="AG103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03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03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03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03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03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03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03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03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103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103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103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103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03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97</v>
      </c>
      <c r="AU103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27</v>
      </c>
      <c r="AV103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51</v>
      </c>
      <c r="AW103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413</v>
      </c>
      <c r="AX103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52</v>
      </c>
      <c r="AY103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104" spans="6:51" ht="22.5" customHeight="1" x14ac:dyDescent="0.3">
      <c r="F104" s="17" t="str">
        <f ca="1">IFERROR(IF(MAX('SORT IMPORT'!$A$13:$A$408)&gt;ROW()-ROW($A$5)-1,INDEX( PRODUKTE,  VLOOKUP(ROW()-ROW($A$5),zeilenindizes,2)+INDEX(prodRowOffset,F$3),  MATCH(F$2,OFFSET(INDEXNAMEN,F$3,0),0)),""),"")</f>
        <v>TS 99  FL GSR-EMR 1 EN 2-5</v>
      </c>
      <c r="G104" s="17" t="str">
        <f ca="1">IFERROR(IF(MAX('SORT IMPORT'!$A$13:$A$408)&gt;ROW()-ROW($A$5)-1,INDEX( PRODUKTE,  VLOOKUP(ROW()-ROW($A$5),zeilenindizes,2)+INDEX(prodRowOffset,G$3),  MATCH(G$2,OFFSET(INDEXNAMEN,G$3,0),0)),""),"")</f>
        <v>G</v>
      </c>
      <c r="H104" s="17" t="str">
        <f ca="1">IFERROR(IF(MAX('SORT IMPORT'!$A$13:$A$408)&gt;ROW()-ROW($A$5)-1,INDEX( PRODUKTE,  VLOOKUP(ROW()-ROW($A$5),zeilenindizes,2)+INDEX(prodRowOffset,H$3),  MATCH(H$2,OFFSET(INDEXNAMEN,H$3,0),0)),""),"")</f>
        <v>99 B</v>
      </c>
      <c r="I104" s="17" t="str">
        <f ca="1">IFERROR(IF(MAX('SORT IMPORT'!$A$13:$A$408)&gt;ROW()-ROW($A$5)-1,INDEX( PRODUKTE,  VLOOKUP(ROW()-ROW($A$5),zeilenindizes,2)+INDEX(prodRowOffset,I$3),  MATCH(I$2,OFFSET(INDEXNAMEN,I$3,0),0)),""),"")</f>
        <v>F</v>
      </c>
      <c r="J104" s="17" t="str">
        <f ca="1">IFERROR(IF(MAX('SORT IMPORT'!$A$13:$A$408)&gt;ROW()-ROW($A$5)-1,INDEX( PRODUKTE,  VLOOKUP(ROW()-ROW($A$5),zeilenindizes,2)+INDEX(prodRowOffset,J$3),  MATCH(J$2,OFFSET(INDEXNAMEN,J$3,0),0)),""),"")</f>
        <v>R</v>
      </c>
      <c r="K104" s="17">
        <f ca="1">IFERROR(IF(MAX('SORT IMPORT'!$A$13:$A$408)&gt;ROW()-ROW($A$5)-1,INDEX( PRODUKTE,  VLOOKUP(ROW()-ROW($A$5),zeilenindizes,2)+INDEX(prodRowOffset,K$3),  MATCH(K$2,OFFSET(INDEXNAMEN,K$3,0),0)),""),"")</f>
        <v>1</v>
      </c>
      <c r="L104" s="17">
        <f ca="1">IFERROR(IF(MAX('SORT IMPORT'!$A$13:$A$408)&gt;ROW()-ROW($A$5)-1,INDEX( PRODUKTE,  VLOOKUP(ROW()-ROW($A$5),zeilenindizes,2)+INDEX(prodRowOffset,L$3),  MATCH(L$2,OFFSET(INDEXNAMEN,L$3,0),0)),""),"")</f>
        <v>0</v>
      </c>
      <c r="M104" s="17">
        <f ca="1">IFERROR(IF(MAX('SORT IMPORT'!$A$13:$A$408)&gt;ROW()-ROW($A$5)-1,INDEX( PRODUKTE,  VLOOKUP(ROW()-ROW($A$5),zeilenindizes,2)+INDEX(prodRowOffset,M$3),  MATCH(M$2,OFFSET(INDEXNAMEN,M$3,0),0)),""),"")</f>
        <v>30</v>
      </c>
      <c r="N104" s="17">
        <f ca="1">IFERROR(IF(MAX('SORT IMPORT'!$A$13:$A$408)&gt;ROW()-ROW($A$5)-1,INDEX( PRODUKTE,  VLOOKUP(ROW()-ROW($A$5),zeilenindizes,2)+INDEX(prodRowOffset,N$3),  MATCH(N$2,OFFSET(INDEXNAMEN,N$3,0),0)),""),"")</f>
        <v>2</v>
      </c>
      <c r="O104" s="17">
        <f ca="1">IFERROR(IF(MAX('SORT IMPORT'!$A$13:$A$408)&gt;ROW()-ROW($A$5)-1,INDEX( PRODUKTE,  VLOOKUP(ROW()-ROW($A$5),zeilenindizes,2)+INDEX(prodRowOffset,O$3),  MATCH(O$2,OFFSET(INDEXNAMEN,O$3,0),0)),""),"")</f>
        <v>1</v>
      </c>
      <c r="P104" s="17">
        <f ca="1">IFERROR(IF(MAX('SORT IMPORT'!$A$13:$A$408)&gt;ROW()-ROW($A$5)-1,INDEX( PRODUKTE,  VLOOKUP(ROW()-ROW($A$5),zeilenindizes,2)+INDEX(prodRowOffset,P$3),  MATCH(P$2,OFFSET(INDEXNAMEN,P$3,0),0)),""),"")</f>
        <v>0</v>
      </c>
      <c r="Q104" s="17">
        <f ca="1">IFERROR(IF(MAX('SORT IMPORT'!$A$13:$A$408)&gt;ROW()-ROW($A$5)-1,INDEX( PRODUKTE,  VLOOKUP(ROW()-ROW($A$5),zeilenindizes,2)+INDEX(prodRowOffset,Q$3),  MATCH(Q$2,OFFSET(INDEXNAMEN,Q$3,0),0)),""),"")</f>
        <v>1</v>
      </c>
      <c r="R104" s="17">
        <f ca="1">IFERROR(IF(MAX('SORT IMPORT'!$A$13:$A$408)&gt;ROW()-ROW($A$5)-1,INDEX( PRODUKTE,  VLOOKUP(ROW()-ROW($A$5),zeilenindizes,2)+INDEX(prodRowOffset,R$3),  MATCH(R$2,OFFSET(INDEXNAMEN,R$3,0),0)),""),"")</f>
        <v>1</v>
      </c>
      <c r="S104" s="17">
        <f ca="1">IFERROR(IF(MAX('SORT IMPORT'!$A$13:$A$408)&gt;ROW()-ROW($A$5)-1,INDEX( PRODUKTE,  VLOOKUP(ROW()-ROW($A$5),zeilenindizes,2)+INDEX(prodRowOffset,S$3),  MATCH(S$2,OFFSET(INDEXNAMEN,S$3,0),0)),""),"")</f>
        <v>0</v>
      </c>
      <c r="T104" s="17">
        <f ca="1">IFERROR(IF(MAX('SORT IMPORT'!$A$13:$A$408)&gt;ROW()-ROW($A$5)-1,INDEX( PRODUKTE,  VLOOKUP(ROW()-ROW($A$5),zeilenindizes,2)+INDEX(prodRowOffset,T$3),  MATCH(T$2,OFFSET(INDEXNAMEN,T$3,0),0)),""),"")</f>
        <v>1</v>
      </c>
      <c r="U104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78</v>
      </c>
      <c r="V104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1</v>
      </c>
      <c r="W104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04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04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04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04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04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04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04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04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84</v>
      </c>
      <c r="AF104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13</v>
      </c>
      <c r="AG104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04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04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04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04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04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04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04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04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104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55</v>
      </c>
      <c r="AQ104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104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28</v>
      </c>
      <c r="AS104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04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97</v>
      </c>
      <c r="AU104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27</v>
      </c>
      <c r="AV104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51</v>
      </c>
      <c r="AW104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413</v>
      </c>
      <c r="AX104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52</v>
      </c>
      <c r="AY104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71</v>
      </c>
    </row>
    <row r="105" spans="6:51" ht="22.5" customHeight="1" x14ac:dyDescent="0.3">
      <c r="F105" s="17" t="str">
        <f ca="1">IFERROR(IF(MAX('SORT IMPORT'!$A$13:$A$408)&gt;ROW()-ROW($A$5)-1,INDEX( PRODUKTE,  VLOOKUP(ROW()-ROW($A$5),zeilenindizes,2)+INDEX(prodRowOffset,F$3),  MATCH(F$2,OFFSET(INDEXNAMEN,F$3,0),0)),""),"")</f>
        <v>TS 71 EN 4</v>
      </c>
      <c r="G105" s="17" t="str">
        <f ca="1">IFERROR(IF(MAX('SORT IMPORT'!$A$13:$A$408)&gt;ROW()-ROW($A$5)-1,INDEX( PRODUKTE,  VLOOKUP(ROW()-ROW($A$5),zeilenindizes,2)+INDEX(prodRowOffset,G$3),  MATCH(G$2,OFFSET(INDEXNAMEN,G$3,0),0)),""),"")</f>
        <v>S</v>
      </c>
      <c r="H105" s="17" t="str">
        <f ca="1">IFERROR(IF(MAX('SORT IMPORT'!$A$13:$A$408)&gt;ROW()-ROW($A$5)-1,INDEX( PRODUKTE,  VLOOKUP(ROW()-ROW($A$5),zeilenindizes,2)+INDEX(prodRowOffset,H$3),  MATCH(H$2,OFFSET(INDEXNAMEN,H$3,0),0)),""),"")</f>
        <v>71 B</v>
      </c>
      <c r="I105" s="17" t="str">
        <f ca="1">IFERROR(IF(MAX('SORT IMPORT'!$A$13:$A$408)&gt;ROW()-ROW($A$5)-1,INDEX( PRODUKTE,  VLOOKUP(ROW()-ROW($A$5),zeilenindizes,2)+INDEX(prodRowOffset,I$3),  MATCH(I$2,OFFSET(INDEXNAMEN,I$3,0),0)),""),"")</f>
        <v/>
      </c>
      <c r="J105" s="17" t="str">
        <f ca="1">IFERROR(IF(MAX('SORT IMPORT'!$A$13:$A$408)&gt;ROW()-ROW($A$5)-1,INDEX( PRODUKTE,  VLOOKUP(ROW()-ROW($A$5),zeilenindizes,2)+INDEX(prodRowOffset,J$3),  MATCH(J$2,OFFSET(INDEXNAMEN,J$3,0),0)),""),"")</f>
        <v/>
      </c>
      <c r="K105" s="17">
        <f ca="1">IFERROR(IF(MAX('SORT IMPORT'!$A$13:$A$408)&gt;ROW()-ROW($A$5)-1,INDEX( PRODUKTE,  VLOOKUP(ROW()-ROW($A$5),zeilenindizes,2)+INDEX(prodRowOffset,K$3),  MATCH(K$2,OFFSET(INDEXNAMEN,K$3,0),0)),""),"")</f>
        <v>3</v>
      </c>
      <c r="L105" s="17">
        <f ca="1">IFERROR(IF(MAX('SORT IMPORT'!$A$13:$A$408)&gt;ROW()-ROW($A$5)-1,INDEX( PRODUKTE,  VLOOKUP(ROW()-ROW($A$5),zeilenindizes,2)+INDEX(prodRowOffset,L$3),  MATCH(L$2,OFFSET(INDEXNAMEN,L$3,0),0)),""),"")</f>
        <v>0</v>
      </c>
      <c r="M105" s="17">
        <f ca="1">IFERROR(IF(MAX('SORT IMPORT'!$A$13:$A$408)&gt;ROW()-ROW($A$5)-1,INDEX( PRODUKTE,  VLOOKUP(ROW()-ROW($A$5),zeilenindizes,2)+INDEX(prodRowOffset,M$3),  MATCH(M$2,OFFSET(INDEXNAMEN,M$3,0),0)),""),"")</f>
        <v>8</v>
      </c>
      <c r="N105" s="17">
        <f ca="1">IFERROR(IF(MAX('SORT IMPORT'!$A$13:$A$408)&gt;ROW()-ROW($A$5)-1,INDEX( PRODUKTE,  VLOOKUP(ROW()-ROW($A$5),zeilenindizes,2)+INDEX(prodRowOffset,N$3),  MATCH(N$2,OFFSET(INDEXNAMEN,N$3,0),0)),""),"")</f>
        <v>1</v>
      </c>
      <c r="O105" s="17">
        <f ca="1">IFERROR(IF(MAX('SORT IMPORT'!$A$13:$A$408)&gt;ROW()-ROW($A$5)-1,INDEX( PRODUKTE,  VLOOKUP(ROW()-ROW($A$5),zeilenindizes,2)+INDEX(prodRowOffset,O$3),  MATCH(O$2,OFFSET(INDEXNAMEN,O$3,0),0)),""),"")</f>
        <v>0</v>
      </c>
      <c r="P105" s="17">
        <f ca="1">IFERROR(IF(MAX('SORT IMPORT'!$A$13:$A$408)&gt;ROW()-ROW($A$5)-1,INDEX( PRODUKTE,  VLOOKUP(ROW()-ROW($A$5),zeilenindizes,2)+INDEX(prodRowOffset,P$3),  MATCH(P$2,OFFSET(INDEXNAMEN,P$3,0),0)),""),"")</f>
        <v>0</v>
      </c>
      <c r="Q105" s="17">
        <f ca="1">IFERROR(IF(MAX('SORT IMPORT'!$A$13:$A$408)&gt;ROW()-ROW($A$5)-1,INDEX( PRODUKTE,  VLOOKUP(ROW()-ROW($A$5),zeilenindizes,2)+INDEX(prodRowOffset,Q$3),  MATCH(Q$2,OFFSET(INDEXNAMEN,Q$3,0),0)),""),"")</f>
        <v>1</v>
      </c>
      <c r="R105" s="17">
        <f ca="1">IFERROR(IF(MAX('SORT IMPORT'!$A$13:$A$408)&gt;ROW()-ROW($A$5)-1,INDEX( PRODUKTE,  VLOOKUP(ROW()-ROW($A$5),zeilenindizes,2)+INDEX(prodRowOffset,R$3),  MATCH(R$2,OFFSET(INDEXNAMEN,R$3,0),0)),""),"")</f>
        <v>0</v>
      </c>
      <c r="S105" s="17">
        <f ca="1">IFERROR(IF(MAX('SORT IMPORT'!$A$13:$A$408)&gt;ROW()-ROW($A$5)-1,INDEX( PRODUKTE,  VLOOKUP(ROW()-ROW($A$5),zeilenindizes,2)+INDEX(prodRowOffset,S$3),  MATCH(S$2,OFFSET(INDEXNAMEN,S$3,0),0)),""),"")</f>
        <v>0</v>
      </c>
      <c r="T105" s="17">
        <f ca="1">IFERROR(IF(MAX('SORT IMPORT'!$A$13:$A$408)&gt;ROW()-ROW($A$5)-1,INDEX( PRODUKTE,  VLOOKUP(ROW()-ROW($A$5),zeilenindizes,2)+INDEX(prodRowOffset,T$3),  MATCH(T$2,OFFSET(INDEXNAMEN,T$3,0),0)),""),"")</f>
        <v>0</v>
      </c>
      <c r="U105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77</v>
      </c>
      <c r="V105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6</v>
      </c>
      <c r="W105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77</v>
      </c>
      <c r="X105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6</v>
      </c>
      <c r="Y105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05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05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05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05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05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05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245</v>
      </c>
      <c r="AF105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22</v>
      </c>
      <c r="AG105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245</v>
      </c>
      <c r="AH105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22</v>
      </c>
      <c r="AI105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05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05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05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05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05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05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305</v>
      </c>
      <c r="AP105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05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20</v>
      </c>
      <c r="AR105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0</v>
      </c>
      <c r="AS105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250</v>
      </c>
      <c r="AT105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117</v>
      </c>
      <c r="AU105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22</v>
      </c>
      <c r="AV105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05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232</v>
      </c>
      <c r="AX105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45</v>
      </c>
      <c r="AY105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68</v>
      </c>
    </row>
    <row r="106" spans="6:51" ht="22.5" customHeight="1" x14ac:dyDescent="0.3">
      <c r="F106" s="17" t="str">
        <f ca="1">IFERROR(IF(MAX('SORT IMPORT'!$A$13:$A$408)&gt;ROW()-ROW($A$5)-1,INDEX( PRODUKTE,  VLOOKUP(ROW()-ROW($A$5),zeilenindizes,2)+INDEX(prodRowOffset,F$3),  MATCH(F$2,OFFSET(INDEXNAMEN,F$3,0),0)),""),"")</f>
        <v>TS 71 RF EN 4</v>
      </c>
      <c r="G106" s="17" t="str">
        <f ca="1">IFERROR(IF(MAX('SORT IMPORT'!$A$13:$A$408)&gt;ROW()-ROW($A$5)-1,INDEX( PRODUKTE,  VLOOKUP(ROW()-ROW($A$5),zeilenindizes,2)+INDEX(prodRowOffset,G$3),  MATCH(G$2,OFFSET(INDEXNAMEN,G$3,0),0)),""),"")</f>
        <v>S</v>
      </c>
      <c r="H106" s="17" t="str">
        <f ca="1">IFERROR(IF(MAX('SORT IMPORT'!$A$13:$A$408)&gt;ROW()-ROW($A$5)-1,INDEX( PRODUKTE,  VLOOKUP(ROW()-ROW($A$5),zeilenindizes,2)+INDEX(prodRowOffset,H$3),  MATCH(H$2,OFFSET(INDEXNAMEN,H$3,0),0)),""),"")</f>
        <v>71 B</v>
      </c>
      <c r="I106" s="17" t="str">
        <f ca="1">IFERROR(IF(MAX('SORT IMPORT'!$A$13:$A$408)&gt;ROW()-ROW($A$5)-1,INDEX( PRODUKTE,  VLOOKUP(ROW()-ROW($A$5),zeilenindizes,2)+INDEX(prodRowOffset,I$3),  MATCH(I$2,OFFSET(INDEXNAMEN,I$3,0),0)),""),"")</f>
        <v/>
      </c>
      <c r="J106" s="17" t="str">
        <f ca="1">IFERROR(IF(MAX('SORT IMPORT'!$A$13:$A$408)&gt;ROW()-ROW($A$5)-1,INDEX( PRODUKTE,  VLOOKUP(ROW()-ROW($A$5),zeilenindizes,2)+INDEX(prodRowOffset,J$3),  MATCH(J$2,OFFSET(INDEXNAMEN,J$3,0),0)),""),"")</f>
        <v>M</v>
      </c>
      <c r="K106" s="17">
        <f ca="1">IFERROR(IF(MAX('SORT IMPORT'!$A$13:$A$408)&gt;ROW()-ROW($A$5)-1,INDEX( PRODUKTE,  VLOOKUP(ROW()-ROW($A$5),zeilenindizes,2)+INDEX(prodRowOffset,K$3),  MATCH(K$2,OFFSET(INDEXNAMEN,K$3,0),0)),""),"")</f>
        <v>3</v>
      </c>
      <c r="L106" s="17">
        <f ca="1">IFERROR(IF(MAX('SORT IMPORT'!$A$13:$A$408)&gt;ROW()-ROW($A$5)-1,INDEX( PRODUKTE,  VLOOKUP(ROW()-ROW($A$5),zeilenindizes,2)+INDEX(prodRowOffset,L$3),  MATCH(L$2,OFFSET(INDEXNAMEN,L$3,0),0)),""),"")</f>
        <v>0</v>
      </c>
      <c r="M106" s="17">
        <f ca="1">IFERROR(IF(MAX('SORT IMPORT'!$A$13:$A$408)&gt;ROW()-ROW($A$5)-1,INDEX( PRODUKTE,  VLOOKUP(ROW()-ROW($A$5),zeilenindizes,2)+INDEX(prodRowOffset,M$3),  MATCH(M$2,OFFSET(INDEXNAMEN,M$3,0),0)),""),"")</f>
        <v>8</v>
      </c>
      <c r="N106" s="17">
        <f ca="1">IFERROR(IF(MAX('SORT IMPORT'!$A$13:$A$408)&gt;ROW()-ROW($A$5)-1,INDEX( PRODUKTE,  VLOOKUP(ROW()-ROW($A$5),zeilenindizes,2)+INDEX(prodRowOffset,N$3),  MATCH(N$2,OFFSET(INDEXNAMEN,N$3,0),0)),""),"")</f>
        <v>1</v>
      </c>
      <c r="O106" s="17">
        <f ca="1">IFERROR(IF(MAX('SORT IMPORT'!$A$13:$A$408)&gt;ROW()-ROW($A$5)-1,INDEX( PRODUKTE,  VLOOKUP(ROW()-ROW($A$5),zeilenindizes,2)+INDEX(prodRowOffset,O$3),  MATCH(O$2,OFFSET(INDEXNAMEN,O$3,0),0)),""),"")</f>
        <v>0</v>
      </c>
      <c r="P106" s="17">
        <f ca="1">IFERROR(IF(MAX('SORT IMPORT'!$A$13:$A$408)&gt;ROW()-ROW($A$5)-1,INDEX( PRODUKTE,  VLOOKUP(ROW()-ROW($A$5),zeilenindizes,2)+INDEX(prodRowOffset,P$3),  MATCH(P$2,OFFSET(INDEXNAMEN,P$3,0),0)),""),"")</f>
        <v>0</v>
      </c>
      <c r="Q106" s="17">
        <f ca="1">IFERROR(IF(MAX('SORT IMPORT'!$A$13:$A$408)&gt;ROW()-ROW($A$5)-1,INDEX( PRODUKTE,  VLOOKUP(ROW()-ROW($A$5),zeilenindizes,2)+INDEX(prodRowOffset,Q$3),  MATCH(Q$2,OFFSET(INDEXNAMEN,Q$3,0),0)),""),"")</f>
        <v>0</v>
      </c>
      <c r="R106" s="17">
        <f ca="1">IFERROR(IF(MAX('SORT IMPORT'!$A$13:$A$408)&gt;ROW()-ROW($A$5)-1,INDEX( PRODUKTE,  VLOOKUP(ROW()-ROW($A$5),zeilenindizes,2)+INDEX(prodRowOffset,R$3),  MATCH(R$2,OFFSET(INDEXNAMEN,R$3,0),0)),""),"")</f>
        <v>0</v>
      </c>
      <c r="S106" s="17">
        <f ca="1">IFERROR(IF(MAX('SORT IMPORT'!$A$13:$A$408)&gt;ROW()-ROW($A$5)-1,INDEX( PRODUKTE,  VLOOKUP(ROW()-ROW($A$5),zeilenindizes,2)+INDEX(prodRowOffset,S$3),  MATCH(S$2,OFFSET(INDEXNAMEN,S$3,0),0)),""),"")</f>
        <v>0</v>
      </c>
      <c r="T106" s="17">
        <f ca="1">IFERROR(IF(MAX('SORT IMPORT'!$A$13:$A$408)&gt;ROW()-ROW($A$5)-1,INDEX( PRODUKTE,  VLOOKUP(ROW()-ROW($A$5),zeilenindizes,2)+INDEX(prodRowOffset,T$3),  MATCH(T$2,OFFSET(INDEXNAMEN,T$3,0),0)),""),"")</f>
        <v>0</v>
      </c>
      <c r="U106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77</v>
      </c>
      <c r="V106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6</v>
      </c>
      <c r="W106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77</v>
      </c>
      <c r="X106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6</v>
      </c>
      <c r="Y106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06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06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06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06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06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06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245</v>
      </c>
      <c r="AF106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22</v>
      </c>
      <c r="AG106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245</v>
      </c>
      <c r="AH106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22</v>
      </c>
      <c r="AI106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06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06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06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06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06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06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305</v>
      </c>
      <c r="AP106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06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106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0</v>
      </c>
      <c r="AS106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250</v>
      </c>
      <c r="AT106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117</v>
      </c>
      <c r="AU106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22</v>
      </c>
      <c r="AV106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06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232</v>
      </c>
      <c r="AX106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45</v>
      </c>
      <c r="AY106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68</v>
      </c>
    </row>
    <row r="107" spans="6:51" ht="22.5" customHeight="1" x14ac:dyDescent="0.3">
      <c r="F107" s="17" t="str">
        <f ca="1">IFERROR(IF(MAX('SORT IMPORT'!$A$13:$A$408)&gt;ROW()-ROW($A$5)-1,INDEX( PRODUKTE,  VLOOKUP(ROW()-ROW($A$5),zeilenindizes,2)+INDEX(prodRowOffset,F$3),  MATCH(F$2,OFFSET(INDEXNAMEN,F$3,0),0)),""),"")</f>
        <v>TS 72 EN 2-4</v>
      </c>
      <c r="G107" s="17" t="str">
        <f ca="1">IFERROR(IF(MAX('SORT IMPORT'!$A$13:$A$408)&gt;ROW()-ROW($A$5)-1,INDEX( PRODUKTE,  VLOOKUP(ROW()-ROW($A$5),zeilenindizes,2)+INDEX(prodRowOffset,G$3),  MATCH(G$2,OFFSET(INDEXNAMEN,G$3,0),0)),""),"")</f>
        <v>S</v>
      </c>
      <c r="H107" s="17" t="str">
        <f ca="1">IFERROR(IF(MAX('SORT IMPORT'!$A$13:$A$408)&gt;ROW()-ROW($A$5)-1,INDEX( PRODUKTE,  VLOOKUP(ROW()-ROW($A$5),zeilenindizes,2)+INDEX(prodRowOffset,H$3),  MATCH(H$2,OFFSET(INDEXNAMEN,H$3,0),0)),""),"")</f>
        <v>72 B</v>
      </c>
      <c r="I107" s="17" t="str">
        <f ca="1">IFERROR(IF(MAX('SORT IMPORT'!$A$13:$A$408)&gt;ROW()-ROW($A$5)-1,INDEX( PRODUKTE,  VLOOKUP(ROW()-ROW($A$5),zeilenindizes,2)+INDEX(prodRowOffset,I$3),  MATCH(I$2,OFFSET(INDEXNAMEN,I$3,0),0)),""),"")</f>
        <v/>
      </c>
      <c r="J107" s="17" t="str">
        <f ca="1">IFERROR(IF(MAX('SORT IMPORT'!$A$13:$A$408)&gt;ROW()-ROW($A$5)-1,INDEX( PRODUKTE,  VLOOKUP(ROW()-ROW($A$5),zeilenindizes,2)+INDEX(prodRowOffset,J$3),  MATCH(J$2,OFFSET(INDEXNAMEN,J$3,0),0)),""),"")</f>
        <v/>
      </c>
      <c r="K107" s="17">
        <f ca="1">IFERROR(IF(MAX('SORT IMPORT'!$A$13:$A$408)&gt;ROW()-ROW($A$5)-1,INDEX( PRODUKTE,  VLOOKUP(ROW()-ROW($A$5),zeilenindizes,2)+INDEX(prodRowOffset,K$3),  MATCH(K$2,OFFSET(INDEXNAMEN,K$3,0),0)),""),"")</f>
        <v>3</v>
      </c>
      <c r="L107" s="17">
        <f ca="1">IFERROR(IF(MAX('SORT IMPORT'!$A$13:$A$408)&gt;ROW()-ROW($A$5)-1,INDEX( PRODUKTE,  VLOOKUP(ROW()-ROW($A$5),zeilenindizes,2)+INDEX(prodRowOffset,L$3),  MATCH(L$2,OFFSET(INDEXNAMEN,L$3,0),0)),""),"")</f>
        <v>0</v>
      </c>
      <c r="M107" s="17">
        <f ca="1">IFERROR(IF(MAX('SORT IMPORT'!$A$13:$A$408)&gt;ROW()-ROW($A$5)-1,INDEX( PRODUKTE,  VLOOKUP(ROW()-ROW($A$5),zeilenindizes,2)+INDEX(prodRowOffset,M$3),  MATCH(M$2,OFFSET(INDEXNAMEN,M$3,0),0)),""),"")</f>
        <v>14</v>
      </c>
      <c r="N107" s="17">
        <f ca="1">IFERROR(IF(MAX('SORT IMPORT'!$A$13:$A$408)&gt;ROW()-ROW($A$5)-1,INDEX( PRODUKTE,  VLOOKUP(ROW()-ROW($A$5),zeilenindizes,2)+INDEX(prodRowOffset,N$3),  MATCH(N$2,OFFSET(INDEXNAMEN,N$3,0),0)),""),"")</f>
        <v>1</v>
      </c>
      <c r="O107" s="17">
        <f ca="1">IFERROR(IF(MAX('SORT IMPORT'!$A$13:$A$408)&gt;ROW()-ROW($A$5)-1,INDEX( PRODUKTE,  VLOOKUP(ROW()-ROW($A$5),zeilenindizes,2)+INDEX(prodRowOffset,O$3),  MATCH(O$2,OFFSET(INDEXNAMEN,O$3,0),0)),""),"")</f>
        <v>0</v>
      </c>
      <c r="P107" s="17">
        <f ca="1">IFERROR(IF(MAX('SORT IMPORT'!$A$13:$A$408)&gt;ROW()-ROW($A$5)-1,INDEX( PRODUKTE,  VLOOKUP(ROW()-ROW($A$5),zeilenindizes,2)+INDEX(prodRowOffset,P$3),  MATCH(P$2,OFFSET(INDEXNAMEN,P$3,0),0)),""),"")</f>
        <v>0</v>
      </c>
      <c r="Q107" s="17">
        <f ca="1">IFERROR(IF(MAX('SORT IMPORT'!$A$13:$A$408)&gt;ROW()-ROW($A$5)-1,INDEX( PRODUKTE,  VLOOKUP(ROW()-ROW($A$5),zeilenindizes,2)+INDEX(prodRowOffset,Q$3),  MATCH(Q$2,OFFSET(INDEXNAMEN,Q$3,0),0)),""),"")</f>
        <v>1</v>
      </c>
      <c r="R107" s="17">
        <f ca="1">IFERROR(IF(MAX('SORT IMPORT'!$A$13:$A$408)&gt;ROW()-ROW($A$5)-1,INDEX( PRODUKTE,  VLOOKUP(ROW()-ROW($A$5),zeilenindizes,2)+INDEX(prodRowOffset,R$3),  MATCH(R$2,OFFSET(INDEXNAMEN,R$3,0),0)),""),"")</f>
        <v>0</v>
      </c>
      <c r="S107" s="17">
        <f ca="1">IFERROR(IF(MAX('SORT IMPORT'!$A$13:$A$408)&gt;ROW()-ROW($A$5)-1,INDEX( PRODUKTE,  VLOOKUP(ROW()-ROW($A$5),zeilenindizes,2)+INDEX(prodRowOffset,S$3),  MATCH(S$2,OFFSET(INDEXNAMEN,S$3,0),0)),""),"")</f>
        <v>0</v>
      </c>
      <c r="T107" s="17">
        <f ca="1">IFERROR(IF(MAX('SORT IMPORT'!$A$13:$A$408)&gt;ROW()-ROW($A$5)-1,INDEX( PRODUKTE,  VLOOKUP(ROW()-ROW($A$5),zeilenindizes,2)+INDEX(prodRowOffset,T$3),  MATCH(T$2,OFFSET(INDEXNAMEN,T$3,0),0)),""),"")</f>
        <v>0</v>
      </c>
      <c r="U107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77</v>
      </c>
      <c r="V107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6</v>
      </c>
      <c r="W107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77</v>
      </c>
      <c r="X107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6</v>
      </c>
      <c r="Y107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07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07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07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07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07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07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245</v>
      </c>
      <c r="AF107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22</v>
      </c>
      <c r="AG107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245</v>
      </c>
      <c r="AH107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22</v>
      </c>
      <c r="AI107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07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07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07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07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07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07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305</v>
      </c>
      <c r="AP107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07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20</v>
      </c>
      <c r="AR107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0</v>
      </c>
      <c r="AS107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250</v>
      </c>
      <c r="AT107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117</v>
      </c>
      <c r="AU107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22</v>
      </c>
      <c r="AV107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07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232</v>
      </c>
      <c r="AX107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45</v>
      </c>
      <c r="AY107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68</v>
      </c>
    </row>
    <row r="108" spans="6:51" ht="22.5" customHeight="1" x14ac:dyDescent="0.3">
      <c r="F108" s="17" t="str">
        <f ca="1">IFERROR(IF(MAX('SORT IMPORT'!$A$13:$A$408)&gt;ROW()-ROW($A$5)-1,INDEX( PRODUKTE,  VLOOKUP(ROW()-ROW($A$5),zeilenindizes,2)+INDEX(prodRowOffset,F$3),  MATCH(F$2,OFFSET(INDEXNAMEN,F$3,0),0)),""),"")</f>
        <v>TS 72 RF EN 2-4</v>
      </c>
      <c r="G108" s="17" t="str">
        <f ca="1">IFERROR(IF(MAX('SORT IMPORT'!$A$13:$A$408)&gt;ROW()-ROW($A$5)-1,INDEX( PRODUKTE,  VLOOKUP(ROW()-ROW($A$5),zeilenindizes,2)+INDEX(prodRowOffset,G$3),  MATCH(G$2,OFFSET(INDEXNAMEN,G$3,0),0)),""),"")</f>
        <v>S</v>
      </c>
      <c r="H108" s="17" t="str">
        <f ca="1">IFERROR(IF(MAX('SORT IMPORT'!$A$13:$A$408)&gt;ROW()-ROW($A$5)-1,INDEX( PRODUKTE,  VLOOKUP(ROW()-ROW($A$5),zeilenindizes,2)+INDEX(prodRowOffset,H$3),  MATCH(H$2,OFFSET(INDEXNAMEN,H$3,0),0)),""),"")</f>
        <v>72 B</v>
      </c>
      <c r="I108" s="17" t="str">
        <f ca="1">IFERROR(IF(MAX('SORT IMPORT'!$A$13:$A$408)&gt;ROW()-ROW($A$5)-1,INDEX( PRODUKTE,  VLOOKUP(ROW()-ROW($A$5),zeilenindizes,2)+INDEX(prodRowOffset,I$3),  MATCH(I$2,OFFSET(INDEXNAMEN,I$3,0),0)),""),"")</f>
        <v/>
      </c>
      <c r="J108" s="17" t="str">
        <f ca="1">IFERROR(IF(MAX('SORT IMPORT'!$A$13:$A$408)&gt;ROW()-ROW($A$5)-1,INDEX( PRODUKTE,  VLOOKUP(ROW()-ROW($A$5),zeilenindizes,2)+INDEX(prodRowOffset,J$3),  MATCH(J$2,OFFSET(INDEXNAMEN,J$3,0),0)),""),"")</f>
        <v>M</v>
      </c>
      <c r="K108" s="17">
        <f ca="1">IFERROR(IF(MAX('SORT IMPORT'!$A$13:$A$408)&gt;ROW()-ROW($A$5)-1,INDEX( PRODUKTE,  VLOOKUP(ROW()-ROW($A$5),zeilenindizes,2)+INDEX(prodRowOffset,K$3),  MATCH(K$2,OFFSET(INDEXNAMEN,K$3,0),0)),""),"")</f>
        <v>3</v>
      </c>
      <c r="L108" s="17">
        <f ca="1">IFERROR(IF(MAX('SORT IMPORT'!$A$13:$A$408)&gt;ROW()-ROW($A$5)-1,INDEX( PRODUKTE,  VLOOKUP(ROW()-ROW($A$5),zeilenindizes,2)+INDEX(prodRowOffset,L$3),  MATCH(L$2,OFFSET(INDEXNAMEN,L$3,0),0)),""),"")</f>
        <v>0</v>
      </c>
      <c r="M108" s="17">
        <f ca="1">IFERROR(IF(MAX('SORT IMPORT'!$A$13:$A$408)&gt;ROW()-ROW($A$5)-1,INDEX( PRODUKTE,  VLOOKUP(ROW()-ROW($A$5),zeilenindizes,2)+INDEX(prodRowOffset,M$3),  MATCH(M$2,OFFSET(INDEXNAMEN,M$3,0),0)),""),"")</f>
        <v>14</v>
      </c>
      <c r="N108" s="17">
        <f ca="1">IFERROR(IF(MAX('SORT IMPORT'!$A$13:$A$408)&gt;ROW()-ROW($A$5)-1,INDEX( PRODUKTE,  VLOOKUP(ROW()-ROW($A$5),zeilenindizes,2)+INDEX(prodRowOffset,N$3),  MATCH(N$2,OFFSET(INDEXNAMEN,N$3,0),0)),""),"")</f>
        <v>1</v>
      </c>
      <c r="O108" s="17">
        <f ca="1">IFERROR(IF(MAX('SORT IMPORT'!$A$13:$A$408)&gt;ROW()-ROW($A$5)-1,INDEX( PRODUKTE,  VLOOKUP(ROW()-ROW($A$5),zeilenindizes,2)+INDEX(prodRowOffset,O$3),  MATCH(O$2,OFFSET(INDEXNAMEN,O$3,0),0)),""),"")</f>
        <v>0</v>
      </c>
      <c r="P108" s="17">
        <f ca="1">IFERROR(IF(MAX('SORT IMPORT'!$A$13:$A$408)&gt;ROW()-ROW($A$5)-1,INDEX( PRODUKTE,  VLOOKUP(ROW()-ROW($A$5),zeilenindizes,2)+INDEX(prodRowOffset,P$3),  MATCH(P$2,OFFSET(INDEXNAMEN,P$3,0),0)),""),"")</f>
        <v>0</v>
      </c>
      <c r="Q108" s="17">
        <f ca="1">IFERROR(IF(MAX('SORT IMPORT'!$A$13:$A$408)&gt;ROW()-ROW($A$5)-1,INDEX( PRODUKTE,  VLOOKUP(ROW()-ROW($A$5),zeilenindizes,2)+INDEX(prodRowOffset,Q$3),  MATCH(Q$2,OFFSET(INDEXNAMEN,Q$3,0),0)),""),"")</f>
        <v>0</v>
      </c>
      <c r="R108" s="17">
        <f ca="1">IFERROR(IF(MAX('SORT IMPORT'!$A$13:$A$408)&gt;ROW()-ROW($A$5)-1,INDEX( PRODUKTE,  VLOOKUP(ROW()-ROW($A$5),zeilenindizes,2)+INDEX(prodRowOffset,R$3),  MATCH(R$2,OFFSET(INDEXNAMEN,R$3,0),0)),""),"")</f>
        <v>0</v>
      </c>
      <c r="S108" s="17">
        <f ca="1">IFERROR(IF(MAX('SORT IMPORT'!$A$13:$A$408)&gt;ROW()-ROW($A$5)-1,INDEX( PRODUKTE,  VLOOKUP(ROW()-ROW($A$5),zeilenindizes,2)+INDEX(prodRowOffset,S$3),  MATCH(S$2,OFFSET(INDEXNAMEN,S$3,0),0)),""),"")</f>
        <v>0</v>
      </c>
      <c r="T108" s="17">
        <f ca="1">IFERROR(IF(MAX('SORT IMPORT'!$A$13:$A$408)&gt;ROW()-ROW($A$5)-1,INDEX( PRODUKTE,  VLOOKUP(ROW()-ROW($A$5),zeilenindizes,2)+INDEX(prodRowOffset,T$3),  MATCH(T$2,OFFSET(INDEXNAMEN,T$3,0),0)),""),"")</f>
        <v>0</v>
      </c>
      <c r="U108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77</v>
      </c>
      <c r="V108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6</v>
      </c>
      <c r="W108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77</v>
      </c>
      <c r="X108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6</v>
      </c>
      <c r="Y108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08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08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08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08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08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08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245</v>
      </c>
      <c r="AF108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22</v>
      </c>
      <c r="AG108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245</v>
      </c>
      <c r="AH108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22</v>
      </c>
      <c r="AI108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08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08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08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08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08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08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305</v>
      </c>
      <c r="AP108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08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108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0</v>
      </c>
      <c r="AS108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250</v>
      </c>
      <c r="AT108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117</v>
      </c>
      <c r="AU108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22</v>
      </c>
      <c r="AV108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08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232</v>
      </c>
      <c r="AX108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45</v>
      </c>
      <c r="AY108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68</v>
      </c>
    </row>
    <row r="109" spans="6:51" ht="22.5" customHeight="1" x14ac:dyDescent="0.3">
      <c r="F109" s="17" t="str">
        <f ca="1">IFERROR(IF(MAX('SORT IMPORT'!$A$13:$A$408)&gt;ROW()-ROW($A$5)-1,INDEX( PRODUKTE,  VLOOKUP(ROW()-ROW($A$5),zeilenindizes,2)+INDEX(prodRowOffset,F$3),  MATCH(F$2,OFFSET(INDEXNAMEN,F$3,0),0)),""),"")</f>
        <v>TS 73V EN 2-4</v>
      </c>
      <c r="G109" s="17" t="str">
        <f ca="1">IFERROR(IF(MAX('SORT IMPORT'!$A$13:$A$408)&gt;ROW()-ROW($A$5)-1,INDEX( PRODUKTE,  VLOOKUP(ROW()-ROW($A$5),zeilenindizes,2)+INDEX(prodRowOffset,G$3),  MATCH(G$2,OFFSET(INDEXNAMEN,G$3,0),0)),""),"")</f>
        <v>S</v>
      </c>
      <c r="H109" s="17" t="str">
        <f ca="1">IFERROR(IF(MAX('SORT IMPORT'!$A$13:$A$408)&gt;ROW()-ROW($A$5)-1,INDEX( PRODUKTE,  VLOOKUP(ROW()-ROW($A$5),zeilenindizes,2)+INDEX(prodRowOffset,H$3),  MATCH(H$2,OFFSET(INDEXNAMEN,H$3,0),0)),""),"")</f>
        <v>73V B</v>
      </c>
      <c r="I109" s="17" t="str">
        <f ca="1">IFERROR(IF(MAX('SORT IMPORT'!$A$13:$A$408)&gt;ROW()-ROW($A$5)-1,INDEX( PRODUKTE,  VLOOKUP(ROW()-ROW($A$5),zeilenindizes,2)+INDEX(prodRowOffset,I$3),  MATCH(I$2,OFFSET(INDEXNAMEN,I$3,0),0)),""),"")</f>
        <v/>
      </c>
      <c r="J109" s="17" t="str">
        <f ca="1">IFERROR(IF(MAX('SORT IMPORT'!$A$13:$A$408)&gt;ROW()-ROW($A$5)-1,INDEX( PRODUKTE,  VLOOKUP(ROW()-ROW($A$5),zeilenindizes,2)+INDEX(prodRowOffset,J$3),  MATCH(J$2,OFFSET(INDEXNAMEN,J$3,0),0)),""),"")</f>
        <v/>
      </c>
      <c r="K109" s="17">
        <f ca="1">IFERROR(IF(MAX('SORT IMPORT'!$A$13:$A$408)&gt;ROW()-ROW($A$5)-1,INDEX( PRODUKTE,  VLOOKUP(ROW()-ROW($A$5),zeilenindizes,2)+INDEX(prodRowOffset,K$3),  MATCH(K$2,OFFSET(INDEXNAMEN,K$3,0),0)),""),"")</f>
        <v>3</v>
      </c>
      <c r="L109" s="17">
        <f ca="1">IFERROR(IF(MAX('SORT IMPORT'!$A$13:$A$408)&gt;ROW()-ROW($A$5)-1,INDEX( PRODUKTE,  VLOOKUP(ROW()-ROW($A$5),zeilenindizes,2)+INDEX(prodRowOffset,L$3),  MATCH(L$2,OFFSET(INDEXNAMEN,L$3,0),0)),""),"")</f>
        <v>0</v>
      </c>
      <c r="M109" s="17">
        <f ca="1">IFERROR(IF(MAX('SORT IMPORT'!$A$13:$A$408)&gt;ROW()-ROW($A$5)-1,INDEX( PRODUKTE,  VLOOKUP(ROW()-ROW($A$5),zeilenindizes,2)+INDEX(prodRowOffset,M$3),  MATCH(M$2,OFFSET(INDEXNAMEN,M$3,0),0)),""),"")</f>
        <v>14</v>
      </c>
      <c r="N109" s="17">
        <f ca="1">IFERROR(IF(MAX('SORT IMPORT'!$A$13:$A$408)&gt;ROW()-ROW($A$5)-1,INDEX( PRODUKTE,  VLOOKUP(ROW()-ROW($A$5),zeilenindizes,2)+INDEX(prodRowOffset,N$3),  MATCH(N$2,OFFSET(INDEXNAMEN,N$3,0),0)),""),"")</f>
        <v>1</v>
      </c>
      <c r="O109" s="17">
        <f ca="1">IFERROR(IF(MAX('SORT IMPORT'!$A$13:$A$408)&gt;ROW()-ROW($A$5)-1,INDEX( PRODUKTE,  VLOOKUP(ROW()-ROW($A$5),zeilenindizes,2)+INDEX(prodRowOffset,O$3),  MATCH(O$2,OFFSET(INDEXNAMEN,O$3,0),0)),""),"")</f>
        <v>0</v>
      </c>
      <c r="P109" s="17">
        <f ca="1">IFERROR(IF(MAX('SORT IMPORT'!$A$13:$A$408)&gt;ROW()-ROW($A$5)-1,INDEX( PRODUKTE,  VLOOKUP(ROW()-ROW($A$5),zeilenindizes,2)+INDEX(prodRowOffset,P$3),  MATCH(P$2,OFFSET(INDEXNAMEN,P$3,0),0)),""),"")</f>
        <v>0</v>
      </c>
      <c r="Q109" s="17">
        <f ca="1">IFERROR(IF(MAX('SORT IMPORT'!$A$13:$A$408)&gt;ROW()-ROW($A$5)-1,INDEX( PRODUKTE,  VLOOKUP(ROW()-ROW($A$5),zeilenindizes,2)+INDEX(prodRowOffset,Q$3),  MATCH(Q$2,OFFSET(INDEXNAMEN,Q$3,0),0)),""),"")</f>
        <v>1</v>
      </c>
      <c r="R109" s="17">
        <f ca="1">IFERROR(IF(MAX('SORT IMPORT'!$A$13:$A$408)&gt;ROW()-ROW($A$5)-1,INDEX( PRODUKTE,  VLOOKUP(ROW()-ROW($A$5),zeilenindizes,2)+INDEX(prodRowOffset,R$3),  MATCH(R$2,OFFSET(INDEXNAMEN,R$3,0),0)),""),"")</f>
        <v>0</v>
      </c>
      <c r="S109" s="17">
        <f ca="1">IFERROR(IF(MAX('SORT IMPORT'!$A$13:$A$408)&gt;ROW()-ROW($A$5)-1,INDEX( PRODUKTE,  VLOOKUP(ROW()-ROW($A$5),zeilenindizes,2)+INDEX(prodRowOffset,S$3),  MATCH(S$2,OFFSET(INDEXNAMEN,S$3,0),0)),""),"")</f>
        <v>0</v>
      </c>
      <c r="T109" s="17">
        <f ca="1">IFERROR(IF(MAX('SORT IMPORT'!$A$13:$A$408)&gt;ROW()-ROW($A$5)-1,INDEX( PRODUKTE,  VLOOKUP(ROW()-ROW($A$5),zeilenindizes,2)+INDEX(prodRowOffset,T$3),  MATCH(T$2,OFFSET(INDEXNAMEN,T$3,0),0)),""),"")</f>
        <v>0</v>
      </c>
      <c r="U109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120</v>
      </c>
      <c r="V109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</v>
      </c>
      <c r="W109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120</v>
      </c>
      <c r="X109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8</v>
      </c>
      <c r="Y109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09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09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09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09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09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09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245</v>
      </c>
      <c r="AF109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22</v>
      </c>
      <c r="AG109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245</v>
      </c>
      <c r="AH109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22</v>
      </c>
      <c r="AI109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09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09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09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09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09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09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305</v>
      </c>
      <c r="AP109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09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20</v>
      </c>
      <c r="AR109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0</v>
      </c>
      <c r="AS109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250</v>
      </c>
      <c r="AT109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74</v>
      </c>
      <c r="AU109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20</v>
      </c>
      <c r="AV109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09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225</v>
      </c>
      <c r="AX109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40</v>
      </c>
      <c r="AY109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10" spans="6:51" ht="22.5" customHeight="1" x14ac:dyDescent="0.3">
      <c r="F110" s="17" t="str">
        <f ca="1">IFERROR(IF(MAX('SORT IMPORT'!$A$13:$A$408)&gt;ROW()-ROW($A$5)-1,INDEX( PRODUKTE,  VLOOKUP(ROW()-ROW($A$5),zeilenindizes,2)+INDEX(prodRowOffset,F$3),  MATCH(F$2,OFFSET(INDEXNAMEN,F$3,0),0)),""),"")</f>
        <v>TS 73V EN 2-4 + SR</v>
      </c>
      <c r="G110" s="17" t="str">
        <f ca="1">IFERROR(IF(MAX('SORT IMPORT'!$A$13:$A$408)&gt;ROW()-ROW($A$5)-1,INDEX( PRODUKTE,  VLOOKUP(ROW()-ROW($A$5),zeilenindizes,2)+INDEX(prodRowOffset,G$3),  MATCH(G$2,OFFSET(INDEXNAMEN,G$3,0),0)),""),"")</f>
        <v>S</v>
      </c>
      <c r="H110" s="17" t="str">
        <f ca="1">IFERROR(IF(MAX('SORT IMPORT'!$A$13:$A$408)&gt;ROW()-ROW($A$5)-1,INDEX( PRODUKTE,  VLOOKUP(ROW()-ROW($A$5),zeilenindizes,2)+INDEX(prodRowOffset,H$3),  MATCH(H$2,OFFSET(INDEXNAMEN,H$3,0),0)),""),"")</f>
        <v>73V B</v>
      </c>
      <c r="I110" s="17" t="str">
        <f ca="1">IFERROR(IF(MAX('SORT IMPORT'!$A$13:$A$408)&gt;ROW()-ROW($A$5)-1,INDEX( PRODUKTE,  VLOOKUP(ROW()-ROW($A$5),zeilenindizes,2)+INDEX(prodRowOffset,I$3),  MATCH(I$2,OFFSET(INDEXNAMEN,I$3,0),0)),""),"")</f>
        <v/>
      </c>
      <c r="J110" s="17" t="str">
        <f ca="1">IFERROR(IF(MAX('SORT IMPORT'!$A$13:$A$408)&gt;ROW()-ROW($A$5)-1,INDEX( PRODUKTE,  VLOOKUP(ROW()-ROW($A$5),zeilenindizes,2)+INDEX(prodRowOffset,J$3),  MATCH(J$2,OFFSET(INDEXNAMEN,J$3,0),0)),""),"")</f>
        <v/>
      </c>
      <c r="K110" s="17">
        <f ca="1">IFERROR(IF(MAX('SORT IMPORT'!$A$13:$A$408)&gt;ROW()-ROW($A$5)-1,INDEX( PRODUKTE,  VLOOKUP(ROW()-ROW($A$5),zeilenindizes,2)+INDEX(prodRowOffset,K$3),  MATCH(K$2,OFFSET(INDEXNAMEN,K$3,0),0)),""),"")</f>
        <v>1</v>
      </c>
      <c r="L110" s="17">
        <f ca="1">IFERROR(IF(MAX('SORT IMPORT'!$A$13:$A$408)&gt;ROW()-ROW($A$5)-1,INDEX( PRODUKTE,  VLOOKUP(ROW()-ROW($A$5),zeilenindizes,2)+INDEX(prodRowOffset,L$3),  MATCH(L$2,OFFSET(INDEXNAMEN,L$3,0),0)),""),"")</f>
        <v>0</v>
      </c>
      <c r="M110" s="17">
        <f ca="1">IFERROR(IF(MAX('SORT IMPORT'!$A$13:$A$408)&gt;ROW()-ROW($A$5)-1,INDEX( PRODUKTE,  VLOOKUP(ROW()-ROW($A$5),zeilenindizes,2)+INDEX(prodRowOffset,M$3),  MATCH(M$2,OFFSET(INDEXNAMEN,M$3,0),0)),""),"")</f>
        <v>14</v>
      </c>
      <c r="N110" s="17">
        <f ca="1">IFERROR(IF(MAX('SORT IMPORT'!$A$13:$A$408)&gt;ROW()-ROW($A$5)-1,INDEX( PRODUKTE,  VLOOKUP(ROW()-ROW($A$5),zeilenindizes,2)+INDEX(prodRowOffset,N$3),  MATCH(N$2,OFFSET(INDEXNAMEN,N$3,0),0)),""),"")</f>
        <v>2</v>
      </c>
      <c r="O110" s="17">
        <f ca="1">IFERROR(IF(MAX('SORT IMPORT'!$A$13:$A$408)&gt;ROW()-ROW($A$5)-1,INDEX( PRODUKTE,  VLOOKUP(ROW()-ROW($A$5),zeilenindizes,2)+INDEX(prodRowOffset,O$3),  MATCH(O$2,OFFSET(INDEXNAMEN,O$3,0),0)),""),"")</f>
        <v>0</v>
      </c>
      <c r="P110" s="17">
        <f ca="1">IFERROR(IF(MAX('SORT IMPORT'!$A$13:$A$408)&gt;ROW()-ROW($A$5)-1,INDEX( PRODUKTE,  VLOOKUP(ROW()-ROW($A$5),zeilenindizes,2)+INDEX(prodRowOffset,P$3),  MATCH(P$2,OFFSET(INDEXNAMEN,P$3,0),0)),""),"")</f>
        <v>0</v>
      </c>
      <c r="Q110" s="17">
        <f ca="1">IFERROR(IF(MAX('SORT IMPORT'!$A$13:$A$408)&gt;ROW()-ROW($A$5)-1,INDEX( PRODUKTE,  VLOOKUP(ROW()-ROW($A$5),zeilenindizes,2)+INDEX(prodRowOffset,Q$3),  MATCH(Q$2,OFFSET(INDEXNAMEN,Q$3,0),0)),""),"")</f>
        <v>1</v>
      </c>
      <c r="R110" s="17">
        <f ca="1">IFERROR(IF(MAX('SORT IMPORT'!$A$13:$A$408)&gt;ROW()-ROW($A$5)-1,INDEX( PRODUKTE,  VLOOKUP(ROW()-ROW($A$5),zeilenindizes,2)+INDEX(prodRowOffset,R$3),  MATCH(R$2,OFFSET(INDEXNAMEN,R$3,0),0)),""),"")</f>
        <v>0</v>
      </c>
      <c r="S110" s="17">
        <f ca="1">IFERROR(IF(MAX('SORT IMPORT'!$A$13:$A$408)&gt;ROW()-ROW($A$5)-1,INDEX( PRODUKTE,  VLOOKUP(ROW()-ROW($A$5),zeilenindizes,2)+INDEX(prodRowOffset,S$3),  MATCH(S$2,OFFSET(INDEXNAMEN,S$3,0),0)),""),"")</f>
        <v>1</v>
      </c>
      <c r="T110" s="17">
        <f ca="1">IFERROR(IF(MAX('SORT IMPORT'!$A$13:$A$408)&gt;ROW()-ROW($A$5)-1,INDEX( PRODUKTE,  VLOOKUP(ROW()-ROW($A$5),zeilenindizes,2)+INDEX(prodRowOffset,T$3),  MATCH(T$2,OFFSET(INDEXNAMEN,T$3,0),0)),""),"")</f>
        <v>0</v>
      </c>
      <c r="U110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120</v>
      </c>
      <c r="V110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</v>
      </c>
      <c r="W110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10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10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10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10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10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10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10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10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245</v>
      </c>
      <c r="AF110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22</v>
      </c>
      <c r="AG110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10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10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10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10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10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10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10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10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305</v>
      </c>
      <c r="AP110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10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20</v>
      </c>
      <c r="AR110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0</v>
      </c>
      <c r="AS110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250</v>
      </c>
      <c r="AT110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74</v>
      </c>
      <c r="AU110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20</v>
      </c>
      <c r="AV110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10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225</v>
      </c>
      <c r="AX110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40</v>
      </c>
      <c r="AY110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11" spans="6:51" ht="22.5" customHeight="1" x14ac:dyDescent="0.3">
      <c r="F111" s="17" t="str">
        <f ca="1">IFERROR(IF(MAX('SORT IMPORT'!$A$13:$A$408)&gt;ROW()-ROW($A$5)-1,INDEX( PRODUKTE,  VLOOKUP(ROW()-ROW($A$5),zeilenindizes,2)+INDEX(prodRowOffset,F$3),  MATCH(F$2,OFFSET(INDEXNAMEN,F$3,0),0)),""),"")</f>
        <v>TS 73V RF EN 2-4</v>
      </c>
      <c r="G111" s="17" t="str">
        <f ca="1">IFERROR(IF(MAX('SORT IMPORT'!$A$13:$A$408)&gt;ROW()-ROW($A$5)-1,INDEX( PRODUKTE,  VLOOKUP(ROW()-ROW($A$5),zeilenindizes,2)+INDEX(prodRowOffset,G$3),  MATCH(G$2,OFFSET(INDEXNAMEN,G$3,0),0)),""),"")</f>
        <v>S</v>
      </c>
      <c r="H111" s="17" t="str">
        <f ca="1">IFERROR(IF(MAX('SORT IMPORT'!$A$13:$A$408)&gt;ROW()-ROW($A$5)-1,INDEX( PRODUKTE,  VLOOKUP(ROW()-ROW($A$5),zeilenindizes,2)+INDEX(prodRowOffset,H$3),  MATCH(H$2,OFFSET(INDEXNAMEN,H$3,0),0)),""),"")</f>
        <v>73V B</v>
      </c>
      <c r="I111" s="17" t="str">
        <f ca="1">IFERROR(IF(MAX('SORT IMPORT'!$A$13:$A$408)&gt;ROW()-ROW($A$5)-1,INDEX( PRODUKTE,  VLOOKUP(ROW()-ROW($A$5),zeilenindizes,2)+INDEX(prodRowOffset,I$3),  MATCH(I$2,OFFSET(INDEXNAMEN,I$3,0),0)),""),"")</f>
        <v/>
      </c>
      <c r="J111" s="17" t="str">
        <f ca="1">IFERROR(IF(MAX('SORT IMPORT'!$A$13:$A$408)&gt;ROW()-ROW($A$5)-1,INDEX( PRODUKTE,  VLOOKUP(ROW()-ROW($A$5),zeilenindizes,2)+INDEX(prodRowOffset,J$3),  MATCH(J$2,OFFSET(INDEXNAMEN,J$3,0),0)),""),"")</f>
        <v>M</v>
      </c>
      <c r="K111" s="17">
        <f ca="1">IFERROR(IF(MAX('SORT IMPORT'!$A$13:$A$408)&gt;ROW()-ROW($A$5)-1,INDEX( PRODUKTE,  VLOOKUP(ROW()-ROW($A$5),zeilenindizes,2)+INDEX(prodRowOffset,K$3),  MATCH(K$2,OFFSET(INDEXNAMEN,K$3,0),0)),""),"")</f>
        <v>3</v>
      </c>
      <c r="L111" s="17">
        <f ca="1">IFERROR(IF(MAX('SORT IMPORT'!$A$13:$A$408)&gt;ROW()-ROW($A$5)-1,INDEX( PRODUKTE,  VLOOKUP(ROW()-ROW($A$5),zeilenindizes,2)+INDEX(prodRowOffset,L$3),  MATCH(L$2,OFFSET(INDEXNAMEN,L$3,0),0)),""),"")</f>
        <v>0</v>
      </c>
      <c r="M111" s="17">
        <f ca="1">IFERROR(IF(MAX('SORT IMPORT'!$A$13:$A$408)&gt;ROW()-ROW($A$5)-1,INDEX( PRODUKTE,  VLOOKUP(ROW()-ROW($A$5),zeilenindizes,2)+INDEX(prodRowOffset,M$3),  MATCH(M$2,OFFSET(INDEXNAMEN,M$3,0),0)),""),"")</f>
        <v>14</v>
      </c>
      <c r="N111" s="17">
        <f ca="1">IFERROR(IF(MAX('SORT IMPORT'!$A$13:$A$408)&gt;ROW()-ROW($A$5)-1,INDEX( PRODUKTE,  VLOOKUP(ROW()-ROW($A$5),zeilenindizes,2)+INDEX(prodRowOffset,N$3),  MATCH(N$2,OFFSET(INDEXNAMEN,N$3,0),0)),""),"")</f>
        <v>1</v>
      </c>
      <c r="O111" s="17">
        <f ca="1">IFERROR(IF(MAX('SORT IMPORT'!$A$13:$A$408)&gt;ROW()-ROW($A$5)-1,INDEX( PRODUKTE,  VLOOKUP(ROW()-ROW($A$5),zeilenindizes,2)+INDEX(prodRowOffset,O$3),  MATCH(O$2,OFFSET(INDEXNAMEN,O$3,0),0)),""),"")</f>
        <v>0</v>
      </c>
      <c r="P111" s="17">
        <f ca="1">IFERROR(IF(MAX('SORT IMPORT'!$A$13:$A$408)&gt;ROW()-ROW($A$5)-1,INDEX( PRODUKTE,  VLOOKUP(ROW()-ROW($A$5),zeilenindizes,2)+INDEX(prodRowOffset,P$3),  MATCH(P$2,OFFSET(INDEXNAMEN,P$3,0),0)),""),"")</f>
        <v>0</v>
      </c>
      <c r="Q111" s="17">
        <f ca="1">IFERROR(IF(MAX('SORT IMPORT'!$A$13:$A$408)&gt;ROW()-ROW($A$5)-1,INDEX( PRODUKTE,  VLOOKUP(ROW()-ROW($A$5),zeilenindizes,2)+INDEX(prodRowOffset,Q$3),  MATCH(Q$2,OFFSET(INDEXNAMEN,Q$3,0),0)),""),"")</f>
        <v>0</v>
      </c>
      <c r="R111" s="17">
        <f ca="1">IFERROR(IF(MAX('SORT IMPORT'!$A$13:$A$408)&gt;ROW()-ROW($A$5)-1,INDEX( PRODUKTE,  VLOOKUP(ROW()-ROW($A$5),zeilenindizes,2)+INDEX(prodRowOffset,R$3),  MATCH(R$2,OFFSET(INDEXNAMEN,R$3,0),0)),""),"")</f>
        <v>0</v>
      </c>
      <c r="S111" s="17">
        <f ca="1">IFERROR(IF(MAX('SORT IMPORT'!$A$13:$A$408)&gt;ROW()-ROW($A$5)-1,INDEX( PRODUKTE,  VLOOKUP(ROW()-ROW($A$5),zeilenindizes,2)+INDEX(prodRowOffset,S$3),  MATCH(S$2,OFFSET(INDEXNAMEN,S$3,0),0)),""),"")</f>
        <v>0</v>
      </c>
      <c r="T111" s="17">
        <f ca="1">IFERROR(IF(MAX('SORT IMPORT'!$A$13:$A$408)&gt;ROW()-ROW($A$5)-1,INDEX( PRODUKTE,  VLOOKUP(ROW()-ROW($A$5),zeilenindizes,2)+INDEX(prodRowOffset,T$3),  MATCH(T$2,OFFSET(INDEXNAMEN,T$3,0),0)),""),"")</f>
        <v>0</v>
      </c>
      <c r="U111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120</v>
      </c>
      <c r="V111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</v>
      </c>
      <c r="W111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120</v>
      </c>
      <c r="X111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8</v>
      </c>
      <c r="Y111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11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11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11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11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11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11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245</v>
      </c>
      <c r="AF111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22</v>
      </c>
      <c r="AG111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245</v>
      </c>
      <c r="AH111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22</v>
      </c>
      <c r="AI111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11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11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11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11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11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11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305</v>
      </c>
      <c r="AP111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11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111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0</v>
      </c>
      <c r="AS111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250</v>
      </c>
      <c r="AT111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74</v>
      </c>
      <c r="AU111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20</v>
      </c>
      <c r="AV111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11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225</v>
      </c>
      <c r="AX111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40</v>
      </c>
      <c r="AY111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12" spans="6:51" ht="22.5" customHeight="1" x14ac:dyDescent="0.3">
      <c r="F112" s="17" t="str">
        <f ca="1">IFERROR(IF(MAX('SORT IMPORT'!$A$13:$A$408)&gt;ROW()-ROW($A$5)-1,INDEX( PRODUKTE,  VLOOKUP(ROW()-ROW($A$5),zeilenindizes,2)+INDEX(prodRowOffset,F$3),  MATCH(F$2,OFFSET(INDEXNAMEN,F$3,0),0)),""),"")</f>
        <v>TS 73 EMF EN 4</v>
      </c>
      <c r="G112" s="17" t="str">
        <f ca="1">IFERROR(IF(MAX('SORT IMPORT'!$A$13:$A$408)&gt;ROW()-ROW($A$5)-1,INDEX( PRODUKTE,  VLOOKUP(ROW()-ROW($A$5),zeilenindizes,2)+INDEX(prodRowOffset,G$3),  MATCH(G$2,OFFSET(INDEXNAMEN,G$3,0),0)),""),"")</f>
        <v>S</v>
      </c>
      <c r="H112" s="17" t="str">
        <f ca="1">IFERROR(IF(MAX('SORT IMPORT'!$A$13:$A$408)&gt;ROW()-ROW($A$5)-1,INDEX( PRODUKTE,  VLOOKUP(ROW()-ROW($A$5),zeilenindizes,2)+INDEX(prodRowOffset,H$3),  MATCH(H$2,OFFSET(INDEXNAMEN,H$3,0),0)),""),"")</f>
        <v>73 B</v>
      </c>
      <c r="I112" s="17" t="str">
        <f ca="1">IFERROR(IF(MAX('SORT IMPORT'!$A$13:$A$408)&gt;ROW()-ROW($A$5)-1,INDEX( PRODUKTE,  VLOOKUP(ROW()-ROW($A$5),zeilenindizes,2)+INDEX(prodRowOffset,I$3),  MATCH(I$2,OFFSET(INDEXNAMEN,I$3,0),0)),""),"")</f>
        <v/>
      </c>
      <c r="J112" s="17" t="str">
        <f ca="1">IFERROR(IF(MAX('SORT IMPORT'!$A$13:$A$408)&gt;ROW()-ROW($A$5)-1,INDEX( PRODUKTE,  VLOOKUP(ROW()-ROW($A$5),zeilenindizes,2)+INDEX(prodRowOffset,J$3),  MATCH(J$2,OFFSET(INDEXNAMEN,J$3,0),0)),""),"")</f>
        <v>E</v>
      </c>
      <c r="K112" s="17">
        <f ca="1">IFERROR(IF(MAX('SORT IMPORT'!$A$13:$A$408)&gt;ROW()-ROW($A$5)-1,INDEX( PRODUKTE,  VLOOKUP(ROW()-ROW($A$5),zeilenindizes,2)+INDEX(prodRowOffset,K$3),  MATCH(K$2,OFFSET(INDEXNAMEN,K$3,0),0)),""),"")</f>
        <v>3</v>
      </c>
      <c r="L112" s="17">
        <f ca="1">IFERROR(IF(MAX('SORT IMPORT'!$A$13:$A$408)&gt;ROW()-ROW($A$5)-1,INDEX( PRODUKTE,  VLOOKUP(ROW()-ROW($A$5),zeilenindizes,2)+INDEX(prodRowOffset,L$3),  MATCH(L$2,OFFSET(INDEXNAMEN,L$3,0),0)),""),"")</f>
        <v>0</v>
      </c>
      <c r="M112" s="17">
        <f ca="1">IFERROR(IF(MAX('SORT IMPORT'!$A$13:$A$408)&gt;ROW()-ROW($A$5)-1,INDEX( PRODUKTE,  VLOOKUP(ROW()-ROW($A$5),zeilenindizes,2)+INDEX(prodRowOffset,M$3),  MATCH(M$2,OFFSET(INDEXNAMEN,M$3,0),0)),""),"")</f>
        <v>8</v>
      </c>
      <c r="N112" s="17">
        <f ca="1">IFERROR(IF(MAX('SORT IMPORT'!$A$13:$A$408)&gt;ROW()-ROW($A$5)-1,INDEX( PRODUKTE,  VLOOKUP(ROW()-ROW($A$5),zeilenindizes,2)+INDEX(prodRowOffset,N$3),  MATCH(N$2,OFFSET(INDEXNAMEN,N$3,0),0)),""),"")</f>
        <v>1</v>
      </c>
      <c r="O112" s="17">
        <f ca="1">IFERROR(IF(MAX('SORT IMPORT'!$A$13:$A$408)&gt;ROW()-ROW($A$5)-1,INDEX( PRODUKTE,  VLOOKUP(ROW()-ROW($A$5),zeilenindizes,2)+INDEX(prodRowOffset,O$3),  MATCH(O$2,OFFSET(INDEXNAMEN,O$3,0),0)),""),"")</f>
        <v>2</v>
      </c>
      <c r="P112" s="17">
        <f ca="1">IFERROR(IF(MAX('SORT IMPORT'!$A$13:$A$408)&gt;ROW()-ROW($A$5)-1,INDEX( PRODUKTE,  VLOOKUP(ROW()-ROW($A$5),zeilenindizes,2)+INDEX(prodRowOffset,P$3),  MATCH(P$2,OFFSET(INDEXNAMEN,P$3,0),0)),""),"")</f>
        <v>0</v>
      </c>
      <c r="Q112" s="17">
        <f ca="1">IFERROR(IF(MAX('SORT IMPORT'!$A$13:$A$408)&gt;ROW()-ROW($A$5)-1,INDEX( PRODUKTE,  VLOOKUP(ROW()-ROW($A$5),zeilenindizes,2)+INDEX(prodRowOffset,Q$3),  MATCH(Q$2,OFFSET(INDEXNAMEN,Q$3,0),0)),""),"")</f>
        <v>1</v>
      </c>
      <c r="R112" s="17">
        <f ca="1">IFERROR(IF(MAX('SORT IMPORT'!$A$13:$A$408)&gt;ROW()-ROW($A$5)-1,INDEX( PRODUKTE,  VLOOKUP(ROW()-ROW($A$5),zeilenindizes,2)+INDEX(prodRowOffset,R$3),  MATCH(R$2,OFFSET(INDEXNAMEN,R$3,0),0)),""),"")</f>
        <v>0</v>
      </c>
      <c r="S112" s="17">
        <f ca="1">IFERROR(IF(MAX('SORT IMPORT'!$A$13:$A$408)&gt;ROW()-ROW($A$5)-1,INDEX( PRODUKTE,  VLOOKUP(ROW()-ROW($A$5),zeilenindizes,2)+INDEX(prodRowOffset,S$3),  MATCH(S$2,OFFSET(INDEXNAMEN,S$3,0),0)),""),"")</f>
        <v>0</v>
      </c>
      <c r="T112" s="17">
        <f ca="1">IFERROR(IF(MAX('SORT IMPORT'!$A$13:$A$408)&gt;ROW()-ROW($A$5)-1,INDEX( PRODUKTE,  VLOOKUP(ROW()-ROW($A$5),zeilenindizes,2)+INDEX(prodRowOffset,T$3),  MATCH(T$2,OFFSET(INDEXNAMEN,T$3,0),0)),""),"")</f>
        <v>0</v>
      </c>
      <c r="U112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110</v>
      </c>
      <c r="V112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</v>
      </c>
      <c r="W112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110</v>
      </c>
      <c r="X112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8</v>
      </c>
      <c r="Y112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12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12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12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12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12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12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245</v>
      </c>
      <c r="AF112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22</v>
      </c>
      <c r="AG112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245</v>
      </c>
      <c r="AH112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22</v>
      </c>
      <c r="AI112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12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12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12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12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12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12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305</v>
      </c>
      <c r="AP112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12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20</v>
      </c>
      <c r="AR112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0</v>
      </c>
      <c r="AS112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250</v>
      </c>
      <c r="AT112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84</v>
      </c>
      <c r="AU112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22</v>
      </c>
      <c r="AV112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12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320</v>
      </c>
      <c r="AX112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46</v>
      </c>
      <c r="AY112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13" spans="6:51" ht="22.5" customHeight="1" x14ac:dyDescent="0.3">
      <c r="F113" s="17" t="str">
        <f ca="1">IFERROR(IF(MAX('SORT IMPORT'!$A$13:$A$408)&gt;ROW()-ROW($A$5)-1,INDEX( PRODUKTE,  VLOOKUP(ROW()-ROW($A$5),zeilenindizes,2)+INDEX(prodRowOffset,F$3),  MATCH(F$2,OFFSET(INDEXNAMEN,F$3,0),0)),""),"")</f>
        <v>TS 73 EMF EN 5</v>
      </c>
      <c r="G113" s="17" t="str">
        <f ca="1">IFERROR(IF(MAX('SORT IMPORT'!$A$13:$A$408)&gt;ROW()-ROW($A$5)-1,INDEX( PRODUKTE,  VLOOKUP(ROW()-ROW($A$5),zeilenindizes,2)+INDEX(prodRowOffset,G$3),  MATCH(G$2,OFFSET(INDEXNAMEN,G$3,0),0)),""),"")</f>
        <v>S</v>
      </c>
      <c r="H113" s="17" t="str">
        <f ca="1">IFERROR(IF(MAX('SORT IMPORT'!$A$13:$A$408)&gt;ROW()-ROW($A$5)-1,INDEX( PRODUKTE,  VLOOKUP(ROW()-ROW($A$5),zeilenindizes,2)+INDEX(prodRowOffset,H$3),  MATCH(H$2,OFFSET(INDEXNAMEN,H$3,0),0)),""),"")</f>
        <v>73 B</v>
      </c>
      <c r="I113" s="17" t="str">
        <f ca="1">IFERROR(IF(MAX('SORT IMPORT'!$A$13:$A$408)&gt;ROW()-ROW($A$5)-1,INDEX( PRODUKTE,  VLOOKUP(ROW()-ROW($A$5),zeilenindizes,2)+INDEX(prodRowOffset,I$3),  MATCH(I$2,OFFSET(INDEXNAMEN,I$3,0),0)),""),"")</f>
        <v/>
      </c>
      <c r="J113" s="17" t="str">
        <f ca="1">IFERROR(IF(MAX('SORT IMPORT'!$A$13:$A$408)&gt;ROW()-ROW($A$5)-1,INDEX( PRODUKTE,  VLOOKUP(ROW()-ROW($A$5),zeilenindizes,2)+INDEX(prodRowOffset,J$3),  MATCH(J$2,OFFSET(INDEXNAMEN,J$3,0),0)),""),"")</f>
        <v>E</v>
      </c>
      <c r="K113" s="17">
        <f ca="1">IFERROR(IF(MAX('SORT IMPORT'!$A$13:$A$408)&gt;ROW()-ROW($A$5)-1,INDEX( PRODUKTE,  VLOOKUP(ROW()-ROW($A$5),zeilenindizes,2)+INDEX(prodRowOffset,K$3),  MATCH(K$2,OFFSET(INDEXNAMEN,K$3,0),0)),""),"")</f>
        <v>3</v>
      </c>
      <c r="L113" s="17">
        <f ca="1">IFERROR(IF(MAX('SORT IMPORT'!$A$13:$A$408)&gt;ROW()-ROW($A$5)-1,INDEX( PRODUKTE,  VLOOKUP(ROW()-ROW($A$5),zeilenindizes,2)+INDEX(prodRowOffset,L$3),  MATCH(L$2,OFFSET(INDEXNAMEN,L$3,0),0)),""),"")</f>
        <v>0</v>
      </c>
      <c r="M113" s="17">
        <f ca="1">IFERROR(IF(MAX('SORT IMPORT'!$A$13:$A$408)&gt;ROW()-ROW($A$5)-1,INDEX( PRODUKTE,  VLOOKUP(ROW()-ROW($A$5),zeilenindizes,2)+INDEX(prodRowOffset,M$3),  MATCH(M$2,OFFSET(INDEXNAMEN,M$3,0),0)),""),"")</f>
        <v>16</v>
      </c>
      <c r="N113" s="17">
        <f ca="1">IFERROR(IF(MAX('SORT IMPORT'!$A$13:$A$408)&gt;ROW()-ROW($A$5)-1,INDEX( PRODUKTE,  VLOOKUP(ROW()-ROW($A$5),zeilenindizes,2)+INDEX(prodRowOffset,N$3),  MATCH(N$2,OFFSET(INDEXNAMEN,N$3,0),0)),""),"")</f>
        <v>1</v>
      </c>
      <c r="O113" s="17">
        <f ca="1">IFERROR(IF(MAX('SORT IMPORT'!$A$13:$A$408)&gt;ROW()-ROW($A$5)-1,INDEX( PRODUKTE,  VLOOKUP(ROW()-ROW($A$5),zeilenindizes,2)+INDEX(prodRowOffset,O$3),  MATCH(O$2,OFFSET(INDEXNAMEN,O$3,0),0)),""),"")</f>
        <v>2</v>
      </c>
      <c r="P113" s="17">
        <f ca="1">IFERROR(IF(MAX('SORT IMPORT'!$A$13:$A$408)&gt;ROW()-ROW($A$5)-1,INDEX( PRODUKTE,  VLOOKUP(ROW()-ROW($A$5),zeilenindizes,2)+INDEX(prodRowOffset,P$3),  MATCH(P$2,OFFSET(INDEXNAMEN,P$3,0),0)),""),"")</f>
        <v>0</v>
      </c>
      <c r="Q113" s="17">
        <f ca="1">IFERROR(IF(MAX('SORT IMPORT'!$A$13:$A$408)&gt;ROW()-ROW($A$5)-1,INDEX( PRODUKTE,  VLOOKUP(ROW()-ROW($A$5),zeilenindizes,2)+INDEX(prodRowOffset,Q$3),  MATCH(Q$2,OFFSET(INDEXNAMEN,Q$3,0),0)),""),"")</f>
        <v>1</v>
      </c>
      <c r="R113" s="17">
        <f ca="1">IFERROR(IF(MAX('SORT IMPORT'!$A$13:$A$408)&gt;ROW()-ROW($A$5)-1,INDEX( PRODUKTE,  VLOOKUP(ROW()-ROW($A$5),zeilenindizes,2)+INDEX(prodRowOffset,R$3),  MATCH(R$2,OFFSET(INDEXNAMEN,R$3,0),0)),""),"")</f>
        <v>0</v>
      </c>
      <c r="S113" s="17">
        <f ca="1">IFERROR(IF(MAX('SORT IMPORT'!$A$13:$A$408)&gt;ROW()-ROW($A$5)-1,INDEX( PRODUKTE,  VLOOKUP(ROW()-ROW($A$5),zeilenindizes,2)+INDEX(prodRowOffset,S$3),  MATCH(S$2,OFFSET(INDEXNAMEN,S$3,0),0)),""),"")</f>
        <v>0</v>
      </c>
      <c r="T113" s="17">
        <f ca="1">IFERROR(IF(MAX('SORT IMPORT'!$A$13:$A$408)&gt;ROW()-ROW($A$5)-1,INDEX( PRODUKTE,  VLOOKUP(ROW()-ROW($A$5),zeilenindizes,2)+INDEX(prodRowOffset,T$3),  MATCH(T$2,OFFSET(INDEXNAMEN,T$3,0),0)),""),"")</f>
        <v>0</v>
      </c>
      <c r="U113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110</v>
      </c>
      <c r="V113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</v>
      </c>
      <c r="W113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110</v>
      </c>
      <c r="X113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8</v>
      </c>
      <c r="Y113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13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13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13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13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13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13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245</v>
      </c>
      <c r="AF113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22</v>
      </c>
      <c r="AG113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245</v>
      </c>
      <c r="AH113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22</v>
      </c>
      <c r="AI113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13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13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13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13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13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13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305</v>
      </c>
      <c r="AP113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13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20</v>
      </c>
      <c r="AR113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0</v>
      </c>
      <c r="AS113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250</v>
      </c>
      <c r="AT113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84</v>
      </c>
      <c r="AU113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22</v>
      </c>
      <c r="AV113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13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320</v>
      </c>
      <c r="AX113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46</v>
      </c>
      <c r="AY113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14" spans="6:51" ht="22.5" customHeight="1" x14ac:dyDescent="0.3">
      <c r="F114" s="17" t="str">
        <f ca="1">IFERROR(IF(MAX('SORT IMPORT'!$A$13:$A$408)&gt;ROW()-ROW($A$5)-1,INDEX( PRODUKTE,  VLOOKUP(ROW()-ROW($A$5),zeilenindizes,2)+INDEX(prodRowOffset,F$3),  MATCH(F$2,OFFSET(INDEXNAMEN,F$3,0),0)),""),"")</f>
        <v>TS 73 EMF EN 6</v>
      </c>
      <c r="G114" s="17" t="str">
        <f ca="1">IFERROR(IF(MAX('SORT IMPORT'!$A$13:$A$408)&gt;ROW()-ROW($A$5)-1,INDEX( PRODUKTE,  VLOOKUP(ROW()-ROW($A$5),zeilenindizes,2)+INDEX(prodRowOffset,G$3),  MATCH(G$2,OFFSET(INDEXNAMEN,G$3,0),0)),""),"")</f>
        <v>S</v>
      </c>
      <c r="H114" s="17" t="str">
        <f ca="1">IFERROR(IF(MAX('SORT IMPORT'!$A$13:$A$408)&gt;ROW()-ROW($A$5)-1,INDEX( PRODUKTE,  VLOOKUP(ROW()-ROW($A$5),zeilenindizes,2)+INDEX(prodRowOffset,H$3),  MATCH(H$2,OFFSET(INDEXNAMEN,H$3,0),0)),""),"")</f>
        <v>73 B</v>
      </c>
      <c r="I114" s="17" t="str">
        <f ca="1">IFERROR(IF(MAX('SORT IMPORT'!$A$13:$A$408)&gt;ROW()-ROW($A$5)-1,INDEX( PRODUKTE,  VLOOKUP(ROW()-ROW($A$5),zeilenindizes,2)+INDEX(prodRowOffset,I$3),  MATCH(I$2,OFFSET(INDEXNAMEN,I$3,0),0)),""),"")</f>
        <v/>
      </c>
      <c r="J114" s="17" t="str">
        <f ca="1">IFERROR(IF(MAX('SORT IMPORT'!$A$13:$A$408)&gt;ROW()-ROW($A$5)-1,INDEX( PRODUKTE,  VLOOKUP(ROW()-ROW($A$5),zeilenindizes,2)+INDEX(prodRowOffset,J$3),  MATCH(J$2,OFFSET(INDEXNAMEN,J$3,0),0)),""),"")</f>
        <v>E</v>
      </c>
      <c r="K114" s="17">
        <f ca="1">IFERROR(IF(MAX('SORT IMPORT'!$A$13:$A$408)&gt;ROW()-ROW($A$5)-1,INDEX( PRODUKTE,  VLOOKUP(ROW()-ROW($A$5),zeilenindizes,2)+INDEX(prodRowOffset,K$3),  MATCH(K$2,OFFSET(INDEXNAMEN,K$3,0),0)),""),"")</f>
        <v>3</v>
      </c>
      <c r="L114" s="17">
        <f ca="1">IFERROR(IF(MAX('SORT IMPORT'!$A$13:$A$408)&gt;ROW()-ROW($A$5)-1,INDEX( PRODUKTE,  VLOOKUP(ROW()-ROW($A$5),zeilenindizes,2)+INDEX(prodRowOffset,L$3),  MATCH(L$2,OFFSET(INDEXNAMEN,L$3,0),0)),""),"")</f>
        <v>0</v>
      </c>
      <c r="M114" s="17">
        <f ca="1">IFERROR(IF(MAX('SORT IMPORT'!$A$13:$A$408)&gt;ROW()-ROW($A$5)-1,INDEX( PRODUKTE,  VLOOKUP(ROW()-ROW($A$5),zeilenindizes,2)+INDEX(prodRowOffset,M$3),  MATCH(M$2,OFFSET(INDEXNAMEN,M$3,0),0)),""),"")</f>
        <v>32</v>
      </c>
      <c r="N114" s="17">
        <f ca="1">IFERROR(IF(MAX('SORT IMPORT'!$A$13:$A$408)&gt;ROW()-ROW($A$5)-1,INDEX( PRODUKTE,  VLOOKUP(ROW()-ROW($A$5),zeilenindizes,2)+INDEX(prodRowOffset,N$3),  MATCH(N$2,OFFSET(INDEXNAMEN,N$3,0),0)),""),"")</f>
        <v>1</v>
      </c>
      <c r="O114" s="17">
        <f ca="1">IFERROR(IF(MAX('SORT IMPORT'!$A$13:$A$408)&gt;ROW()-ROW($A$5)-1,INDEX( PRODUKTE,  VLOOKUP(ROW()-ROW($A$5),zeilenindizes,2)+INDEX(prodRowOffset,O$3),  MATCH(O$2,OFFSET(INDEXNAMEN,O$3,0),0)),""),"")</f>
        <v>2</v>
      </c>
      <c r="P114" s="17">
        <f ca="1">IFERROR(IF(MAX('SORT IMPORT'!$A$13:$A$408)&gt;ROW()-ROW($A$5)-1,INDEX( PRODUKTE,  VLOOKUP(ROW()-ROW($A$5),zeilenindizes,2)+INDEX(prodRowOffset,P$3),  MATCH(P$2,OFFSET(INDEXNAMEN,P$3,0),0)),""),"")</f>
        <v>0</v>
      </c>
      <c r="Q114" s="17">
        <f ca="1">IFERROR(IF(MAX('SORT IMPORT'!$A$13:$A$408)&gt;ROW()-ROW($A$5)-1,INDEX( PRODUKTE,  VLOOKUP(ROW()-ROW($A$5),zeilenindizes,2)+INDEX(prodRowOffset,Q$3),  MATCH(Q$2,OFFSET(INDEXNAMEN,Q$3,0),0)),""),"")</f>
        <v>1</v>
      </c>
      <c r="R114" s="17">
        <f ca="1">IFERROR(IF(MAX('SORT IMPORT'!$A$13:$A$408)&gt;ROW()-ROW($A$5)-1,INDEX( PRODUKTE,  VLOOKUP(ROW()-ROW($A$5),zeilenindizes,2)+INDEX(prodRowOffset,R$3),  MATCH(R$2,OFFSET(INDEXNAMEN,R$3,0),0)),""),"")</f>
        <v>0</v>
      </c>
      <c r="S114" s="17">
        <f ca="1">IFERROR(IF(MAX('SORT IMPORT'!$A$13:$A$408)&gt;ROW()-ROW($A$5)-1,INDEX( PRODUKTE,  VLOOKUP(ROW()-ROW($A$5),zeilenindizes,2)+INDEX(prodRowOffset,S$3),  MATCH(S$2,OFFSET(INDEXNAMEN,S$3,0),0)),""),"")</f>
        <v>0</v>
      </c>
      <c r="T114" s="17">
        <f ca="1">IFERROR(IF(MAX('SORT IMPORT'!$A$13:$A$408)&gt;ROW()-ROW($A$5)-1,INDEX( PRODUKTE,  VLOOKUP(ROW()-ROW($A$5),zeilenindizes,2)+INDEX(prodRowOffset,T$3),  MATCH(T$2,OFFSET(INDEXNAMEN,T$3,0),0)),""),"")</f>
        <v>0</v>
      </c>
      <c r="U114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110</v>
      </c>
      <c r="V114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</v>
      </c>
      <c r="W114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110</v>
      </c>
      <c r="X114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8</v>
      </c>
      <c r="Y114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14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14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14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14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14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14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245</v>
      </c>
      <c r="AF114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22</v>
      </c>
      <c r="AG114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245</v>
      </c>
      <c r="AH114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22</v>
      </c>
      <c r="AI114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14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14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14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14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14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14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305</v>
      </c>
      <c r="AP114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14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20</v>
      </c>
      <c r="AR114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0</v>
      </c>
      <c r="AS114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250</v>
      </c>
      <c r="AT114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84</v>
      </c>
      <c r="AU114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22</v>
      </c>
      <c r="AV114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14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320</v>
      </c>
      <c r="AX114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46</v>
      </c>
      <c r="AY114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15" spans="6:51" ht="22.5" customHeight="1" x14ac:dyDescent="0.3">
      <c r="F115" s="17" t="str">
        <f ca="1">IFERROR(IF(MAX('SORT IMPORT'!$A$13:$A$408)&gt;ROW()-ROW($A$5)-1,INDEX( PRODUKTE,  VLOOKUP(ROW()-ROW($A$5),zeilenindizes,2)+INDEX(prodRowOffset,F$3),  MATCH(F$2,OFFSET(INDEXNAMEN,F$3,0),0)),""),"")</f>
        <v>TS 73 FL EN 4</v>
      </c>
      <c r="G115" s="17" t="str">
        <f ca="1">IFERROR(IF(MAX('SORT IMPORT'!$A$13:$A$408)&gt;ROW()-ROW($A$5)-1,INDEX( PRODUKTE,  VLOOKUP(ROW()-ROW($A$5),zeilenindizes,2)+INDEX(prodRowOffset,G$3),  MATCH(G$2,OFFSET(INDEXNAMEN,G$3,0),0)),""),"")</f>
        <v>S</v>
      </c>
      <c r="H115" s="17" t="str">
        <f ca="1">IFERROR(IF(MAX('SORT IMPORT'!$A$13:$A$408)&gt;ROW()-ROW($A$5)-1,INDEX( PRODUKTE,  VLOOKUP(ROW()-ROW($A$5),zeilenindizes,2)+INDEX(prodRowOffset,H$3),  MATCH(H$2,OFFSET(INDEXNAMEN,H$3,0),0)),""),"")</f>
        <v>73 B</v>
      </c>
      <c r="I115" s="17" t="str">
        <f ca="1">IFERROR(IF(MAX('SORT IMPORT'!$A$13:$A$408)&gt;ROW()-ROW($A$5)-1,INDEX( PRODUKTE,  VLOOKUP(ROW()-ROW($A$5),zeilenindizes,2)+INDEX(prodRowOffset,I$3),  MATCH(I$2,OFFSET(INDEXNAMEN,I$3,0),0)),""),"")</f>
        <v>F</v>
      </c>
      <c r="J115" s="17" t="str">
        <f ca="1">IFERROR(IF(MAX('SORT IMPORT'!$A$13:$A$408)&gt;ROW()-ROW($A$5)-1,INDEX( PRODUKTE,  VLOOKUP(ROW()-ROW($A$5),zeilenindizes,2)+INDEX(prodRowOffset,J$3),  MATCH(J$2,OFFSET(INDEXNAMEN,J$3,0),0)),""),"")</f>
        <v>E</v>
      </c>
      <c r="K115" s="17">
        <f ca="1">IFERROR(IF(MAX('SORT IMPORT'!$A$13:$A$408)&gt;ROW()-ROW($A$5)-1,INDEX( PRODUKTE,  VLOOKUP(ROW()-ROW($A$5),zeilenindizes,2)+INDEX(prodRowOffset,K$3),  MATCH(K$2,OFFSET(INDEXNAMEN,K$3,0),0)),""),"")</f>
        <v>3</v>
      </c>
      <c r="L115" s="17">
        <f ca="1">IFERROR(IF(MAX('SORT IMPORT'!$A$13:$A$408)&gt;ROW()-ROW($A$5)-1,INDEX( PRODUKTE,  VLOOKUP(ROW()-ROW($A$5),zeilenindizes,2)+INDEX(prodRowOffset,L$3),  MATCH(L$2,OFFSET(INDEXNAMEN,L$3,0),0)),""),"")</f>
        <v>0</v>
      </c>
      <c r="M115" s="17">
        <f ca="1">IFERROR(IF(MAX('SORT IMPORT'!$A$13:$A$408)&gt;ROW()-ROW($A$5)-1,INDEX( PRODUKTE,  VLOOKUP(ROW()-ROW($A$5),zeilenindizes,2)+INDEX(prodRowOffset,M$3),  MATCH(M$2,OFFSET(INDEXNAMEN,M$3,0),0)),""),"")</f>
        <v>8</v>
      </c>
      <c r="N115" s="17">
        <f ca="1">IFERROR(IF(MAX('SORT IMPORT'!$A$13:$A$408)&gt;ROW()-ROW($A$5)-1,INDEX( PRODUKTE,  VLOOKUP(ROW()-ROW($A$5),zeilenindizes,2)+INDEX(prodRowOffset,N$3),  MATCH(N$2,OFFSET(INDEXNAMEN,N$3,0),0)),""),"")</f>
        <v>1</v>
      </c>
      <c r="O115" s="17">
        <f ca="1">IFERROR(IF(MAX('SORT IMPORT'!$A$13:$A$408)&gt;ROW()-ROW($A$5)-1,INDEX( PRODUKTE,  VLOOKUP(ROW()-ROW($A$5),zeilenindizes,2)+INDEX(prodRowOffset,O$3),  MATCH(O$2,OFFSET(INDEXNAMEN,O$3,0),0)),""),"")</f>
        <v>2</v>
      </c>
      <c r="P115" s="17">
        <f ca="1">IFERROR(IF(MAX('SORT IMPORT'!$A$13:$A$408)&gt;ROW()-ROW($A$5)-1,INDEX( PRODUKTE,  VLOOKUP(ROW()-ROW($A$5),zeilenindizes,2)+INDEX(prodRowOffset,P$3),  MATCH(P$2,OFFSET(INDEXNAMEN,P$3,0),0)),""),"")</f>
        <v>0</v>
      </c>
      <c r="Q115" s="17">
        <f ca="1">IFERROR(IF(MAX('SORT IMPORT'!$A$13:$A$408)&gt;ROW()-ROW($A$5)-1,INDEX( PRODUKTE,  VLOOKUP(ROW()-ROW($A$5),zeilenindizes,2)+INDEX(prodRowOffset,Q$3),  MATCH(Q$2,OFFSET(INDEXNAMEN,Q$3,0),0)),""),"")</f>
        <v>1</v>
      </c>
      <c r="R115" s="17">
        <f ca="1">IFERROR(IF(MAX('SORT IMPORT'!$A$13:$A$408)&gt;ROW()-ROW($A$5)-1,INDEX( PRODUKTE,  VLOOKUP(ROW()-ROW($A$5),zeilenindizes,2)+INDEX(prodRowOffset,R$3),  MATCH(R$2,OFFSET(INDEXNAMEN,R$3,0),0)),""),"")</f>
        <v>0</v>
      </c>
      <c r="S115" s="17">
        <f ca="1">IFERROR(IF(MAX('SORT IMPORT'!$A$13:$A$408)&gt;ROW()-ROW($A$5)-1,INDEX( PRODUKTE,  VLOOKUP(ROW()-ROW($A$5),zeilenindizes,2)+INDEX(prodRowOffset,S$3),  MATCH(S$2,OFFSET(INDEXNAMEN,S$3,0),0)),""),"")</f>
        <v>0</v>
      </c>
      <c r="T115" s="17">
        <f ca="1">IFERROR(IF(MAX('SORT IMPORT'!$A$13:$A$408)&gt;ROW()-ROW($A$5)-1,INDEX( PRODUKTE,  VLOOKUP(ROW()-ROW($A$5),zeilenindizes,2)+INDEX(prodRowOffset,T$3),  MATCH(T$2,OFFSET(INDEXNAMEN,T$3,0),0)),""),"")</f>
        <v>0</v>
      </c>
      <c r="U115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110</v>
      </c>
      <c r="V115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</v>
      </c>
      <c r="W115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110</v>
      </c>
      <c r="X115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8</v>
      </c>
      <c r="Y115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15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15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15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15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15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15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245</v>
      </c>
      <c r="AF115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22</v>
      </c>
      <c r="AG115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245</v>
      </c>
      <c r="AH115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22</v>
      </c>
      <c r="AI115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15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15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15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15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15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15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305</v>
      </c>
      <c r="AP115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15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115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0</v>
      </c>
      <c r="AS115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250</v>
      </c>
      <c r="AT115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84</v>
      </c>
      <c r="AU115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22</v>
      </c>
      <c r="AV115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15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320</v>
      </c>
      <c r="AX115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46</v>
      </c>
      <c r="AY115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16" spans="6:51" ht="22.5" customHeight="1" x14ac:dyDescent="0.3">
      <c r="F116" s="17" t="str">
        <f ca="1">IFERROR(IF(MAX('SORT IMPORT'!$A$13:$A$408)&gt;ROW()-ROW($A$5)-1,INDEX( PRODUKTE,  VLOOKUP(ROW()-ROW($A$5),zeilenindizes,2)+INDEX(prodRowOffset,F$3),  MATCH(F$2,OFFSET(INDEXNAMEN,F$3,0),0)),""),"")</f>
        <v>TS 73 FL EN 5</v>
      </c>
      <c r="G116" s="17" t="str">
        <f ca="1">IFERROR(IF(MAX('SORT IMPORT'!$A$13:$A$408)&gt;ROW()-ROW($A$5)-1,INDEX( PRODUKTE,  VLOOKUP(ROW()-ROW($A$5),zeilenindizes,2)+INDEX(prodRowOffset,G$3),  MATCH(G$2,OFFSET(INDEXNAMEN,G$3,0),0)),""),"")</f>
        <v>S</v>
      </c>
      <c r="H116" s="17" t="str">
        <f ca="1">IFERROR(IF(MAX('SORT IMPORT'!$A$13:$A$408)&gt;ROW()-ROW($A$5)-1,INDEX( PRODUKTE,  VLOOKUP(ROW()-ROW($A$5),zeilenindizes,2)+INDEX(prodRowOffset,H$3),  MATCH(H$2,OFFSET(INDEXNAMEN,H$3,0),0)),""),"")</f>
        <v>73 B</v>
      </c>
      <c r="I116" s="17" t="str">
        <f ca="1">IFERROR(IF(MAX('SORT IMPORT'!$A$13:$A$408)&gt;ROW()-ROW($A$5)-1,INDEX( PRODUKTE,  VLOOKUP(ROW()-ROW($A$5),zeilenindizes,2)+INDEX(prodRowOffset,I$3),  MATCH(I$2,OFFSET(INDEXNAMEN,I$3,0),0)),""),"")</f>
        <v>F</v>
      </c>
      <c r="J116" s="17" t="str">
        <f ca="1">IFERROR(IF(MAX('SORT IMPORT'!$A$13:$A$408)&gt;ROW()-ROW($A$5)-1,INDEX( PRODUKTE,  VLOOKUP(ROW()-ROW($A$5),zeilenindizes,2)+INDEX(prodRowOffset,J$3),  MATCH(J$2,OFFSET(INDEXNAMEN,J$3,0),0)),""),"")</f>
        <v>E</v>
      </c>
      <c r="K116" s="17">
        <f ca="1">IFERROR(IF(MAX('SORT IMPORT'!$A$13:$A$408)&gt;ROW()-ROW($A$5)-1,INDEX( PRODUKTE,  VLOOKUP(ROW()-ROW($A$5),zeilenindizes,2)+INDEX(prodRowOffset,K$3),  MATCH(K$2,OFFSET(INDEXNAMEN,K$3,0),0)),""),"")</f>
        <v>3</v>
      </c>
      <c r="L116" s="17">
        <f ca="1">IFERROR(IF(MAX('SORT IMPORT'!$A$13:$A$408)&gt;ROW()-ROW($A$5)-1,INDEX( PRODUKTE,  VLOOKUP(ROW()-ROW($A$5),zeilenindizes,2)+INDEX(prodRowOffset,L$3),  MATCH(L$2,OFFSET(INDEXNAMEN,L$3,0),0)),""),"")</f>
        <v>0</v>
      </c>
      <c r="M116" s="17">
        <f ca="1">IFERROR(IF(MAX('SORT IMPORT'!$A$13:$A$408)&gt;ROW()-ROW($A$5)-1,INDEX( PRODUKTE,  VLOOKUP(ROW()-ROW($A$5),zeilenindizes,2)+INDEX(prodRowOffset,M$3),  MATCH(M$2,OFFSET(INDEXNAMEN,M$3,0),0)),""),"")</f>
        <v>16</v>
      </c>
      <c r="N116" s="17">
        <f ca="1">IFERROR(IF(MAX('SORT IMPORT'!$A$13:$A$408)&gt;ROW()-ROW($A$5)-1,INDEX( PRODUKTE,  VLOOKUP(ROW()-ROW($A$5),zeilenindizes,2)+INDEX(prodRowOffset,N$3),  MATCH(N$2,OFFSET(INDEXNAMEN,N$3,0),0)),""),"")</f>
        <v>1</v>
      </c>
      <c r="O116" s="17">
        <f ca="1">IFERROR(IF(MAX('SORT IMPORT'!$A$13:$A$408)&gt;ROW()-ROW($A$5)-1,INDEX( PRODUKTE,  VLOOKUP(ROW()-ROW($A$5),zeilenindizes,2)+INDEX(prodRowOffset,O$3),  MATCH(O$2,OFFSET(INDEXNAMEN,O$3,0),0)),""),"")</f>
        <v>2</v>
      </c>
      <c r="P116" s="17">
        <f ca="1">IFERROR(IF(MAX('SORT IMPORT'!$A$13:$A$408)&gt;ROW()-ROW($A$5)-1,INDEX( PRODUKTE,  VLOOKUP(ROW()-ROW($A$5),zeilenindizes,2)+INDEX(prodRowOffset,P$3),  MATCH(P$2,OFFSET(INDEXNAMEN,P$3,0),0)),""),"")</f>
        <v>0</v>
      </c>
      <c r="Q116" s="17">
        <f ca="1">IFERROR(IF(MAX('SORT IMPORT'!$A$13:$A$408)&gt;ROW()-ROW($A$5)-1,INDEX( PRODUKTE,  VLOOKUP(ROW()-ROW($A$5),zeilenindizes,2)+INDEX(prodRowOffset,Q$3),  MATCH(Q$2,OFFSET(INDEXNAMEN,Q$3,0),0)),""),"")</f>
        <v>1</v>
      </c>
      <c r="R116" s="17">
        <f ca="1">IFERROR(IF(MAX('SORT IMPORT'!$A$13:$A$408)&gt;ROW()-ROW($A$5)-1,INDEX( PRODUKTE,  VLOOKUP(ROW()-ROW($A$5),zeilenindizes,2)+INDEX(prodRowOffset,R$3),  MATCH(R$2,OFFSET(INDEXNAMEN,R$3,0),0)),""),"")</f>
        <v>0</v>
      </c>
      <c r="S116" s="17">
        <f ca="1">IFERROR(IF(MAX('SORT IMPORT'!$A$13:$A$408)&gt;ROW()-ROW($A$5)-1,INDEX( PRODUKTE,  VLOOKUP(ROW()-ROW($A$5),zeilenindizes,2)+INDEX(prodRowOffset,S$3),  MATCH(S$2,OFFSET(INDEXNAMEN,S$3,0),0)),""),"")</f>
        <v>0</v>
      </c>
      <c r="T116" s="17">
        <f ca="1">IFERROR(IF(MAX('SORT IMPORT'!$A$13:$A$408)&gt;ROW()-ROW($A$5)-1,INDEX( PRODUKTE,  VLOOKUP(ROW()-ROW($A$5),zeilenindizes,2)+INDEX(prodRowOffset,T$3),  MATCH(T$2,OFFSET(INDEXNAMEN,T$3,0),0)),""),"")</f>
        <v>0</v>
      </c>
      <c r="U116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110</v>
      </c>
      <c r="V116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</v>
      </c>
      <c r="W116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110</v>
      </c>
      <c r="X116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8</v>
      </c>
      <c r="Y116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16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16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16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16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16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16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245</v>
      </c>
      <c r="AF116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22</v>
      </c>
      <c r="AG116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245</v>
      </c>
      <c r="AH116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22</v>
      </c>
      <c r="AI116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16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16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16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16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16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16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305</v>
      </c>
      <c r="AP116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16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116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0</v>
      </c>
      <c r="AS116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250</v>
      </c>
      <c r="AT116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84</v>
      </c>
      <c r="AU116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22</v>
      </c>
      <c r="AV116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16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320</v>
      </c>
      <c r="AX116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46</v>
      </c>
      <c r="AY116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17" spans="6:51" ht="22.5" customHeight="1" x14ac:dyDescent="0.3">
      <c r="F117" s="17" t="str">
        <f ca="1">IFERROR(IF(MAX('SORT IMPORT'!$A$13:$A$408)&gt;ROW()-ROW($A$5)-1,INDEX( PRODUKTE,  VLOOKUP(ROW()-ROW($A$5),zeilenindizes,2)+INDEX(prodRowOffset,F$3),  MATCH(F$2,OFFSET(INDEXNAMEN,F$3,0),0)),""),"")</f>
        <v>TS 73 FL EN 6</v>
      </c>
      <c r="G117" s="17" t="str">
        <f ca="1">IFERROR(IF(MAX('SORT IMPORT'!$A$13:$A$408)&gt;ROW()-ROW($A$5)-1,INDEX( PRODUKTE,  VLOOKUP(ROW()-ROW($A$5),zeilenindizes,2)+INDEX(prodRowOffset,G$3),  MATCH(G$2,OFFSET(INDEXNAMEN,G$3,0),0)),""),"")</f>
        <v>S</v>
      </c>
      <c r="H117" s="17" t="str">
        <f ca="1">IFERROR(IF(MAX('SORT IMPORT'!$A$13:$A$408)&gt;ROW()-ROW($A$5)-1,INDEX( PRODUKTE,  VLOOKUP(ROW()-ROW($A$5),zeilenindizes,2)+INDEX(prodRowOffset,H$3),  MATCH(H$2,OFFSET(INDEXNAMEN,H$3,0),0)),""),"")</f>
        <v>73 B</v>
      </c>
      <c r="I117" s="17" t="str">
        <f ca="1">IFERROR(IF(MAX('SORT IMPORT'!$A$13:$A$408)&gt;ROW()-ROW($A$5)-1,INDEX( PRODUKTE,  VLOOKUP(ROW()-ROW($A$5),zeilenindizes,2)+INDEX(prodRowOffset,I$3),  MATCH(I$2,OFFSET(INDEXNAMEN,I$3,0),0)),""),"")</f>
        <v>F</v>
      </c>
      <c r="J117" s="17" t="str">
        <f ca="1">IFERROR(IF(MAX('SORT IMPORT'!$A$13:$A$408)&gt;ROW()-ROW($A$5)-1,INDEX( PRODUKTE,  VLOOKUP(ROW()-ROW($A$5),zeilenindizes,2)+INDEX(prodRowOffset,J$3),  MATCH(J$2,OFFSET(INDEXNAMEN,J$3,0),0)),""),"")</f>
        <v>E</v>
      </c>
      <c r="K117" s="17">
        <f ca="1">IFERROR(IF(MAX('SORT IMPORT'!$A$13:$A$408)&gt;ROW()-ROW($A$5)-1,INDEX( PRODUKTE,  VLOOKUP(ROW()-ROW($A$5),zeilenindizes,2)+INDEX(prodRowOffset,K$3),  MATCH(K$2,OFFSET(INDEXNAMEN,K$3,0),0)),""),"")</f>
        <v>3</v>
      </c>
      <c r="L117" s="17">
        <f ca="1">IFERROR(IF(MAX('SORT IMPORT'!$A$13:$A$408)&gt;ROW()-ROW($A$5)-1,INDEX( PRODUKTE,  VLOOKUP(ROW()-ROW($A$5),zeilenindizes,2)+INDEX(prodRowOffset,L$3),  MATCH(L$2,OFFSET(INDEXNAMEN,L$3,0),0)),""),"")</f>
        <v>0</v>
      </c>
      <c r="M117" s="17">
        <f ca="1">IFERROR(IF(MAX('SORT IMPORT'!$A$13:$A$408)&gt;ROW()-ROW($A$5)-1,INDEX( PRODUKTE,  VLOOKUP(ROW()-ROW($A$5),zeilenindizes,2)+INDEX(prodRowOffset,M$3),  MATCH(M$2,OFFSET(INDEXNAMEN,M$3,0),0)),""),"")</f>
        <v>32</v>
      </c>
      <c r="N117" s="17">
        <f ca="1">IFERROR(IF(MAX('SORT IMPORT'!$A$13:$A$408)&gt;ROW()-ROW($A$5)-1,INDEX( PRODUKTE,  VLOOKUP(ROW()-ROW($A$5),zeilenindizes,2)+INDEX(prodRowOffset,N$3),  MATCH(N$2,OFFSET(INDEXNAMEN,N$3,0),0)),""),"")</f>
        <v>1</v>
      </c>
      <c r="O117" s="17">
        <f ca="1">IFERROR(IF(MAX('SORT IMPORT'!$A$13:$A$408)&gt;ROW()-ROW($A$5)-1,INDEX( PRODUKTE,  VLOOKUP(ROW()-ROW($A$5),zeilenindizes,2)+INDEX(prodRowOffset,O$3),  MATCH(O$2,OFFSET(INDEXNAMEN,O$3,0),0)),""),"")</f>
        <v>2</v>
      </c>
      <c r="P117" s="17">
        <f ca="1">IFERROR(IF(MAX('SORT IMPORT'!$A$13:$A$408)&gt;ROW()-ROW($A$5)-1,INDEX( PRODUKTE,  VLOOKUP(ROW()-ROW($A$5),zeilenindizes,2)+INDEX(prodRowOffset,P$3),  MATCH(P$2,OFFSET(INDEXNAMEN,P$3,0),0)),""),"")</f>
        <v>0</v>
      </c>
      <c r="Q117" s="17">
        <f ca="1">IFERROR(IF(MAX('SORT IMPORT'!$A$13:$A$408)&gt;ROW()-ROW($A$5)-1,INDEX( PRODUKTE,  VLOOKUP(ROW()-ROW($A$5),zeilenindizes,2)+INDEX(prodRowOffset,Q$3),  MATCH(Q$2,OFFSET(INDEXNAMEN,Q$3,0),0)),""),"")</f>
        <v>1</v>
      </c>
      <c r="R117" s="17">
        <f ca="1">IFERROR(IF(MAX('SORT IMPORT'!$A$13:$A$408)&gt;ROW()-ROW($A$5)-1,INDEX( PRODUKTE,  VLOOKUP(ROW()-ROW($A$5),zeilenindizes,2)+INDEX(prodRowOffset,R$3),  MATCH(R$2,OFFSET(INDEXNAMEN,R$3,0),0)),""),"")</f>
        <v>0</v>
      </c>
      <c r="S117" s="17">
        <f ca="1">IFERROR(IF(MAX('SORT IMPORT'!$A$13:$A$408)&gt;ROW()-ROW($A$5)-1,INDEX( PRODUKTE,  VLOOKUP(ROW()-ROW($A$5),zeilenindizes,2)+INDEX(prodRowOffset,S$3),  MATCH(S$2,OFFSET(INDEXNAMEN,S$3,0),0)),""),"")</f>
        <v>0</v>
      </c>
      <c r="T117" s="17">
        <f ca="1">IFERROR(IF(MAX('SORT IMPORT'!$A$13:$A$408)&gt;ROW()-ROW($A$5)-1,INDEX( PRODUKTE,  VLOOKUP(ROW()-ROW($A$5),zeilenindizes,2)+INDEX(prodRowOffset,T$3),  MATCH(T$2,OFFSET(INDEXNAMEN,T$3,0),0)),""),"")</f>
        <v>0</v>
      </c>
      <c r="U117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110</v>
      </c>
      <c r="V117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</v>
      </c>
      <c r="W117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110</v>
      </c>
      <c r="X117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8</v>
      </c>
      <c r="Y117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17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17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17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17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17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17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245</v>
      </c>
      <c r="AF117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22</v>
      </c>
      <c r="AG117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245</v>
      </c>
      <c r="AH117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22</v>
      </c>
      <c r="AI117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17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17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17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17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17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17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305</v>
      </c>
      <c r="AP117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17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117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0</v>
      </c>
      <c r="AS117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250</v>
      </c>
      <c r="AT117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84</v>
      </c>
      <c r="AU117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22</v>
      </c>
      <c r="AV117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17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320</v>
      </c>
      <c r="AX117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46</v>
      </c>
      <c r="AY117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18" spans="6:51" ht="22.5" customHeight="1" x14ac:dyDescent="0.3">
      <c r="F118" s="17" t="str">
        <f ca="1">IFERROR(IF(MAX('SORT IMPORT'!$A$13:$A$408)&gt;ROW()-ROW($A$5)-1,INDEX( PRODUKTE,  VLOOKUP(ROW()-ROW($A$5),zeilenindizes,2)+INDEX(prodRowOffset,F$3),  MATCH(F$2,OFFSET(INDEXNAMEN,F$3,0),0)),""),"")</f>
        <v>TS 83 EN 2-6</v>
      </c>
      <c r="G118" s="17" t="str">
        <f ca="1">IFERROR(IF(MAX('SORT IMPORT'!$A$13:$A$408)&gt;ROW()-ROW($A$5)-1,INDEX( PRODUKTE,  VLOOKUP(ROW()-ROW($A$5),zeilenindizes,2)+INDEX(prodRowOffset,G$3),  MATCH(G$2,OFFSET(INDEXNAMEN,G$3,0),0)),""),"")</f>
        <v>S</v>
      </c>
      <c r="H118" s="17" t="str">
        <f ca="1">IFERROR(IF(MAX('SORT IMPORT'!$A$13:$A$408)&gt;ROW()-ROW($A$5)-1,INDEX( PRODUKTE,  VLOOKUP(ROW()-ROW($A$5),zeilenindizes,2)+INDEX(prodRowOffset,H$3),  MATCH(H$2,OFFSET(INDEXNAMEN,H$3,0),0)),""),"")</f>
        <v>83 B</v>
      </c>
      <c r="I118" s="17" t="str">
        <f ca="1">IFERROR(IF(MAX('SORT IMPORT'!$A$13:$A$408)&gt;ROW()-ROW($A$5)-1,INDEX( PRODUKTE,  VLOOKUP(ROW()-ROW($A$5),zeilenindizes,2)+INDEX(prodRowOffset,I$3),  MATCH(I$2,OFFSET(INDEXNAMEN,I$3,0),0)),""),"")</f>
        <v/>
      </c>
      <c r="J118" s="17" t="str">
        <f ca="1">IFERROR(IF(MAX('SORT IMPORT'!$A$13:$A$408)&gt;ROW()-ROW($A$5)-1,INDEX( PRODUKTE,  VLOOKUP(ROW()-ROW($A$5),zeilenindizes,2)+INDEX(prodRowOffset,J$3),  MATCH(J$2,OFFSET(INDEXNAMEN,J$3,0),0)),""),"")</f>
        <v/>
      </c>
      <c r="K118" s="17">
        <f ca="1">IFERROR(IF(MAX('SORT IMPORT'!$A$13:$A$408)&gt;ROW()-ROW($A$5)-1,INDEX( PRODUKTE,  VLOOKUP(ROW()-ROW($A$5),zeilenindizes,2)+INDEX(prodRowOffset,K$3),  MATCH(K$2,OFFSET(INDEXNAMEN,K$3,0),0)),""),"")</f>
        <v>3</v>
      </c>
      <c r="L118" s="17">
        <f ca="1">IFERROR(IF(MAX('SORT IMPORT'!$A$13:$A$408)&gt;ROW()-ROW($A$5)-1,INDEX( PRODUKTE,  VLOOKUP(ROW()-ROW($A$5),zeilenindizes,2)+INDEX(prodRowOffset,L$3),  MATCH(L$2,OFFSET(INDEXNAMEN,L$3,0),0)),""),"")</f>
        <v>0</v>
      </c>
      <c r="M118" s="17">
        <f ca="1">IFERROR(IF(MAX('SORT IMPORT'!$A$13:$A$408)&gt;ROW()-ROW($A$5)-1,INDEX( PRODUKTE,  VLOOKUP(ROW()-ROW($A$5),zeilenindizes,2)+INDEX(prodRowOffset,M$3),  MATCH(M$2,OFFSET(INDEXNAMEN,M$3,0),0)),""),"")</f>
        <v>62</v>
      </c>
      <c r="N118" s="17">
        <f ca="1">IFERROR(IF(MAX('SORT IMPORT'!$A$13:$A$408)&gt;ROW()-ROW($A$5)-1,INDEX( PRODUKTE,  VLOOKUP(ROW()-ROW($A$5),zeilenindizes,2)+INDEX(prodRowOffset,N$3),  MATCH(N$2,OFFSET(INDEXNAMEN,N$3,0),0)),""),"")</f>
        <v>1</v>
      </c>
      <c r="O118" s="17">
        <f ca="1">IFERROR(IF(MAX('SORT IMPORT'!$A$13:$A$408)&gt;ROW()-ROW($A$5)-1,INDEX( PRODUKTE,  VLOOKUP(ROW()-ROW($A$5),zeilenindizes,2)+INDEX(prodRowOffset,O$3),  MATCH(O$2,OFFSET(INDEXNAMEN,O$3,0),0)),""),"")</f>
        <v>0</v>
      </c>
      <c r="P118" s="17">
        <f ca="1">IFERROR(IF(MAX('SORT IMPORT'!$A$13:$A$408)&gt;ROW()-ROW($A$5)-1,INDEX( PRODUKTE,  VLOOKUP(ROW()-ROW($A$5),zeilenindizes,2)+INDEX(prodRowOffset,P$3),  MATCH(P$2,OFFSET(INDEXNAMEN,P$3,0),0)),""),"")</f>
        <v>0</v>
      </c>
      <c r="Q118" s="17">
        <f ca="1">IFERROR(IF(MAX('SORT IMPORT'!$A$13:$A$408)&gt;ROW()-ROW($A$5)-1,INDEX( PRODUKTE,  VLOOKUP(ROW()-ROW($A$5),zeilenindizes,2)+INDEX(prodRowOffset,Q$3),  MATCH(Q$2,OFFSET(INDEXNAMEN,Q$3,0),0)),""),"")</f>
        <v>1</v>
      </c>
      <c r="R118" s="17">
        <f ca="1">IFERROR(IF(MAX('SORT IMPORT'!$A$13:$A$408)&gt;ROW()-ROW($A$5)-1,INDEX( PRODUKTE,  VLOOKUP(ROW()-ROW($A$5),zeilenindizes,2)+INDEX(prodRowOffset,R$3),  MATCH(R$2,OFFSET(INDEXNAMEN,R$3,0),0)),""),"")</f>
        <v>0</v>
      </c>
      <c r="S118" s="17">
        <f ca="1">IFERROR(IF(MAX('SORT IMPORT'!$A$13:$A$408)&gt;ROW()-ROW($A$5)-1,INDEX( PRODUKTE,  VLOOKUP(ROW()-ROW($A$5),zeilenindizes,2)+INDEX(prodRowOffset,S$3),  MATCH(S$2,OFFSET(INDEXNAMEN,S$3,0),0)),""),"")</f>
        <v>0</v>
      </c>
      <c r="T118" s="17">
        <f ca="1">IFERROR(IF(MAX('SORT IMPORT'!$A$13:$A$408)&gt;ROW()-ROW($A$5)-1,INDEX( PRODUKTE,  VLOOKUP(ROW()-ROW($A$5),zeilenindizes,2)+INDEX(prodRowOffset,T$3),  MATCH(T$2,OFFSET(INDEXNAMEN,T$3,0),0)),""),"")</f>
        <v>1</v>
      </c>
      <c r="U118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107</v>
      </c>
      <c r="V118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</v>
      </c>
      <c r="W118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107</v>
      </c>
      <c r="X118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8</v>
      </c>
      <c r="Y118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18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18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18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18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18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18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245</v>
      </c>
      <c r="AF118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22</v>
      </c>
      <c r="AG118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245</v>
      </c>
      <c r="AH118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22</v>
      </c>
      <c r="AI118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18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18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18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18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18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18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305</v>
      </c>
      <c r="AP118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18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20</v>
      </c>
      <c r="AR118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0</v>
      </c>
      <c r="AS118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250</v>
      </c>
      <c r="AT118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87</v>
      </c>
      <c r="AU118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25</v>
      </c>
      <c r="AV118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18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245</v>
      </c>
      <c r="AX118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46</v>
      </c>
      <c r="AY118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19" spans="6:51" ht="22.5" customHeight="1" x14ac:dyDescent="0.3">
      <c r="F119" s="17" t="str">
        <f ca="1">IFERROR(IF(MAX('SORT IMPORT'!$A$13:$A$408)&gt;ROW()-ROW($A$5)-1,INDEX( PRODUKTE,  VLOOKUP(ROW()-ROW($A$5),zeilenindizes,2)+INDEX(prodRowOffset,F$3),  MATCH(F$2,OFFSET(INDEXNAMEN,F$3,0),0)),""),"")</f>
        <v>TS 83 EN 2-6 + SR</v>
      </c>
      <c r="G119" s="17" t="str">
        <f ca="1">IFERROR(IF(MAX('SORT IMPORT'!$A$13:$A$408)&gt;ROW()-ROW($A$5)-1,INDEX( PRODUKTE,  VLOOKUP(ROW()-ROW($A$5),zeilenindizes,2)+INDEX(prodRowOffset,G$3),  MATCH(G$2,OFFSET(INDEXNAMEN,G$3,0),0)),""),"")</f>
        <v>S</v>
      </c>
      <c r="H119" s="17" t="str">
        <f ca="1">IFERROR(IF(MAX('SORT IMPORT'!$A$13:$A$408)&gt;ROW()-ROW($A$5)-1,INDEX( PRODUKTE,  VLOOKUP(ROW()-ROW($A$5),zeilenindizes,2)+INDEX(prodRowOffset,H$3),  MATCH(H$2,OFFSET(INDEXNAMEN,H$3,0),0)),""),"")</f>
        <v>83 B</v>
      </c>
      <c r="I119" s="17" t="str">
        <f ca="1">IFERROR(IF(MAX('SORT IMPORT'!$A$13:$A$408)&gt;ROW()-ROW($A$5)-1,INDEX( PRODUKTE,  VLOOKUP(ROW()-ROW($A$5),zeilenindizes,2)+INDEX(prodRowOffset,I$3),  MATCH(I$2,OFFSET(INDEXNAMEN,I$3,0),0)),""),"")</f>
        <v/>
      </c>
      <c r="J119" s="17" t="str">
        <f ca="1">IFERROR(IF(MAX('SORT IMPORT'!$A$13:$A$408)&gt;ROW()-ROW($A$5)-1,INDEX( PRODUKTE,  VLOOKUP(ROW()-ROW($A$5),zeilenindizes,2)+INDEX(prodRowOffset,J$3),  MATCH(J$2,OFFSET(INDEXNAMEN,J$3,0),0)),""),"")</f>
        <v/>
      </c>
      <c r="K119" s="17">
        <f ca="1">IFERROR(IF(MAX('SORT IMPORT'!$A$13:$A$408)&gt;ROW()-ROW($A$5)-1,INDEX( PRODUKTE,  VLOOKUP(ROW()-ROW($A$5),zeilenindizes,2)+INDEX(prodRowOffset,K$3),  MATCH(K$2,OFFSET(INDEXNAMEN,K$3,0),0)),""),"")</f>
        <v>1</v>
      </c>
      <c r="L119" s="17">
        <f ca="1">IFERROR(IF(MAX('SORT IMPORT'!$A$13:$A$408)&gt;ROW()-ROW($A$5)-1,INDEX( PRODUKTE,  VLOOKUP(ROW()-ROW($A$5),zeilenindizes,2)+INDEX(prodRowOffset,L$3),  MATCH(L$2,OFFSET(INDEXNAMEN,L$3,0),0)),""),"")</f>
        <v>0</v>
      </c>
      <c r="M119" s="17">
        <f ca="1">IFERROR(IF(MAX('SORT IMPORT'!$A$13:$A$408)&gt;ROW()-ROW($A$5)-1,INDEX( PRODUKTE,  VLOOKUP(ROW()-ROW($A$5),zeilenindizes,2)+INDEX(prodRowOffset,M$3),  MATCH(M$2,OFFSET(INDEXNAMEN,M$3,0),0)),""),"")</f>
        <v>62</v>
      </c>
      <c r="N119" s="17">
        <f ca="1">IFERROR(IF(MAX('SORT IMPORT'!$A$13:$A$408)&gt;ROW()-ROW($A$5)-1,INDEX( PRODUKTE,  VLOOKUP(ROW()-ROW($A$5),zeilenindizes,2)+INDEX(prodRowOffset,N$3),  MATCH(N$2,OFFSET(INDEXNAMEN,N$3,0),0)),""),"")</f>
        <v>2</v>
      </c>
      <c r="O119" s="17">
        <f ca="1">IFERROR(IF(MAX('SORT IMPORT'!$A$13:$A$408)&gt;ROW()-ROW($A$5)-1,INDEX( PRODUKTE,  VLOOKUP(ROW()-ROW($A$5),zeilenindizes,2)+INDEX(prodRowOffset,O$3),  MATCH(O$2,OFFSET(INDEXNAMEN,O$3,0),0)),""),"")</f>
        <v>0</v>
      </c>
      <c r="P119" s="17">
        <f ca="1">IFERROR(IF(MAX('SORT IMPORT'!$A$13:$A$408)&gt;ROW()-ROW($A$5)-1,INDEX( PRODUKTE,  VLOOKUP(ROW()-ROW($A$5),zeilenindizes,2)+INDEX(prodRowOffset,P$3),  MATCH(P$2,OFFSET(INDEXNAMEN,P$3,0),0)),""),"")</f>
        <v>0</v>
      </c>
      <c r="Q119" s="17">
        <f ca="1">IFERROR(IF(MAX('SORT IMPORT'!$A$13:$A$408)&gt;ROW()-ROW($A$5)-1,INDEX( PRODUKTE,  VLOOKUP(ROW()-ROW($A$5),zeilenindizes,2)+INDEX(prodRowOffset,Q$3),  MATCH(Q$2,OFFSET(INDEXNAMEN,Q$3,0),0)),""),"")</f>
        <v>1</v>
      </c>
      <c r="R119" s="17">
        <f ca="1">IFERROR(IF(MAX('SORT IMPORT'!$A$13:$A$408)&gt;ROW()-ROW($A$5)-1,INDEX( PRODUKTE,  VLOOKUP(ROW()-ROW($A$5),zeilenindizes,2)+INDEX(prodRowOffset,R$3),  MATCH(R$2,OFFSET(INDEXNAMEN,R$3,0),0)),""),"")</f>
        <v>0</v>
      </c>
      <c r="S119" s="17">
        <f ca="1">IFERROR(IF(MAX('SORT IMPORT'!$A$13:$A$408)&gt;ROW()-ROW($A$5)-1,INDEX( PRODUKTE,  VLOOKUP(ROW()-ROW($A$5),zeilenindizes,2)+INDEX(prodRowOffset,S$3),  MATCH(S$2,OFFSET(INDEXNAMEN,S$3,0),0)),""),"")</f>
        <v>1</v>
      </c>
      <c r="T119" s="17">
        <f ca="1">IFERROR(IF(MAX('SORT IMPORT'!$A$13:$A$408)&gt;ROW()-ROW($A$5)-1,INDEX( PRODUKTE,  VLOOKUP(ROW()-ROW($A$5),zeilenindizes,2)+INDEX(prodRowOffset,T$3),  MATCH(T$2,OFFSET(INDEXNAMEN,T$3,0),0)),""),"")</f>
        <v>1</v>
      </c>
      <c r="U119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107</v>
      </c>
      <c r="V119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</v>
      </c>
      <c r="W119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19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19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19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19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19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19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19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19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245</v>
      </c>
      <c r="AF119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22</v>
      </c>
      <c r="AG119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19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19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19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19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19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19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19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19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305</v>
      </c>
      <c r="AP119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19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20</v>
      </c>
      <c r="AR119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0</v>
      </c>
      <c r="AS119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250</v>
      </c>
      <c r="AT119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87</v>
      </c>
      <c r="AU119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25</v>
      </c>
      <c r="AV119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19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245</v>
      </c>
      <c r="AX119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46</v>
      </c>
      <c r="AY119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20" spans="6:51" ht="22.5" customHeight="1" x14ac:dyDescent="0.3">
      <c r="F120" s="17" t="str">
        <f ca="1">IFERROR(IF(MAX('SORT IMPORT'!$A$13:$A$408)&gt;ROW()-ROW($A$5)-1,INDEX( PRODUKTE,  VLOOKUP(ROW()-ROW($A$5),zeilenindizes,2)+INDEX(prodRowOffset,F$3),  MATCH(F$2,OFFSET(INDEXNAMEN,F$3,0),0)),""),"")</f>
        <v>TS 83 RF EN 2-6</v>
      </c>
      <c r="G120" s="17" t="str">
        <f ca="1">IFERROR(IF(MAX('SORT IMPORT'!$A$13:$A$408)&gt;ROW()-ROW($A$5)-1,INDEX( PRODUKTE,  VLOOKUP(ROW()-ROW($A$5),zeilenindizes,2)+INDEX(prodRowOffset,G$3),  MATCH(G$2,OFFSET(INDEXNAMEN,G$3,0),0)),""),"")</f>
        <v>S</v>
      </c>
      <c r="H120" s="17" t="str">
        <f ca="1">IFERROR(IF(MAX('SORT IMPORT'!$A$13:$A$408)&gt;ROW()-ROW($A$5)-1,INDEX( PRODUKTE,  VLOOKUP(ROW()-ROW($A$5),zeilenindizes,2)+INDEX(prodRowOffset,H$3),  MATCH(H$2,OFFSET(INDEXNAMEN,H$3,0),0)),""),"")</f>
        <v>83 B</v>
      </c>
      <c r="I120" s="17" t="str">
        <f ca="1">IFERROR(IF(MAX('SORT IMPORT'!$A$13:$A$408)&gt;ROW()-ROW($A$5)-1,INDEX( PRODUKTE,  VLOOKUP(ROW()-ROW($A$5),zeilenindizes,2)+INDEX(prodRowOffset,I$3),  MATCH(I$2,OFFSET(INDEXNAMEN,I$3,0),0)),""),"")</f>
        <v/>
      </c>
      <c r="J120" s="17" t="str">
        <f ca="1">IFERROR(IF(MAX('SORT IMPORT'!$A$13:$A$408)&gt;ROW()-ROW($A$5)-1,INDEX( PRODUKTE,  VLOOKUP(ROW()-ROW($A$5),zeilenindizes,2)+INDEX(prodRowOffset,J$3),  MATCH(J$2,OFFSET(INDEXNAMEN,J$3,0),0)),""),"")</f>
        <v>M</v>
      </c>
      <c r="K120" s="17">
        <f ca="1">IFERROR(IF(MAX('SORT IMPORT'!$A$13:$A$408)&gt;ROW()-ROW($A$5)-1,INDEX( PRODUKTE,  VLOOKUP(ROW()-ROW($A$5),zeilenindizes,2)+INDEX(prodRowOffset,K$3),  MATCH(K$2,OFFSET(INDEXNAMEN,K$3,0),0)),""),"")</f>
        <v>3</v>
      </c>
      <c r="L120" s="17">
        <f ca="1">IFERROR(IF(MAX('SORT IMPORT'!$A$13:$A$408)&gt;ROW()-ROW($A$5)-1,INDEX( PRODUKTE,  VLOOKUP(ROW()-ROW($A$5),zeilenindizes,2)+INDEX(prodRowOffset,L$3),  MATCH(L$2,OFFSET(INDEXNAMEN,L$3,0),0)),""),"")</f>
        <v>0</v>
      </c>
      <c r="M120" s="17">
        <f ca="1">IFERROR(IF(MAX('SORT IMPORT'!$A$13:$A$408)&gt;ROW()-ROW($A$5)-1,INDEX( PRODUKTE,  VLOOKUP(ROW()-ROW($A$5),zeilenindizes,2)+INDEX(prodRowOffset,M$3),  MATCH(M$2,OFFSET(INDEXNAMEN,M$3,0),0)),""),"")</f>
        <v>62</v>
      </c>
      <c r="N120" s="17">
        <f ca="1">IFERROR(IF(MAX('SORT IMPORT'!$A$13:$A$408)&gt;ROW()-ROW($A$5)-1,INDEX( PRODUKTE,  VLOOKUP(ROW()-ROW($A$5),zeilenindizes,2)+INDEX(prodRowOffset,N$3),  MATCH(N$2,OFFSET(INDEXNAMEN,N$3,0),0)),""),"")</f>
        <v>1</v>
      </c>
      <c r="O120" s="17">
        <f ca="1">IFERROR(IF(MAX('SORT IMPORT'!$A$13:$A$408)&gt;ROW()-ROW($A$5)-1,INDEX( PRODUKTE,  VLOOKUP(ROW()-ROW($A$5),zeilenindizes,2)+INDEX(prodRowOffset,O$3),  MATCH(O$2,OFFSET(INDEXNAMEN,O$3,0),0)),""),"")</f>
        <v>0</v>
      </c>
      <c r="P120" s="17">
        <f ca="1">IFERROR(IF(MAX('SORT IMPORT'!$A$13:$A$408)&gt;ROW()-ROW($A$5)-1,INDEX( PRODUKTE,  VLOOKUP(ROW()-ROW($A$5),zeilenindizes,2)+INDEX(prodRowOffset,P$3),  MATCH(P$2,OFFSET(INDEXNAMEN,P$3,0),0)),""),"")</f>
        <v>0</v>
      </c>
      <c r="Q120" s="17">
        <f ca="1">IFERROR(IF(MAX('SORT IMPORT'!$A$13:$A$408)&gt;ROW()-ROW($A$5)-1,INDEX( PRODUKTE,  VLOOKUP(ROW()-ROW($A$5),zeilenindizes,2)+INDEX(prodRowOffset,Q$3),  MATCH(Q$2,OFFSET(INDEXNAMEN,Q$3,0),0)),""),"")</f>
        <v>0</v>
      </c>
      <c r="R120" s="17">
        <f ca="1">IFERROR(IF(MAX('SORT IMPORT'!$A$13:$A$408)&gt;ROW()-ROW($A$5)-1,INDEX( PRODUKTE,  VLOOKUP(ROW()-ROW($A$5),zeilenindizes,2)+INDEX(prodRowOffset,R$3),  MATCH(R$2,OFFSET(INDEXNAMEN,R$3,0),0)),""),"")</f>
        <v>0</v>
      </c>
      <c r="S120" s="17">
        <f ca="1">IFERROR(IF(MAX('SORT IMPORT'!$A$13:$A$408)&gt;ROW()-ROW($A$5)-1,INDEX( PRODUKTE,  VLOOKUP(ROW()-ROW($A$5),zeilenindizes,2)+INDEX(prodRowOffset,S$3),  MATCH(S$2,OFFSET(INDEXNAMEN,S$3,0),0)),""),"")</f>
        <v>0</v>
      </c>
      <c r="T120" s="17">
        <f ca="1">IFERROR(IF(MAX('SORT IMPORT'!$A$13:$A$408)&gt;ROW()-ROW($A$5)-1,INDEX( PRODUKTE,  VLOOKUP(ROW()-ROW($A$5),zeilenindizes,2)+INDEX(prodRowOffset,T$3),  MATCH(T$2,OFFSET(INDEXNAMEN,T$3,0),0)),""),"")</f>
        <v>1</v>
      </c>
      <c r="U120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107</v>
      </c>
      <c r="V120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</v>
      </c>
      <c r="W120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107</v>
      </c>
      <c r="X120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8</v>
      </c>
      <c r="Y120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20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20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20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20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20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20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245</v>
      </c>
      <c r="AF120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22</v>
      </c>
      <c r="AG120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245</v>
      </c>
      <c r="AH120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22</v>
      </c>
      <c r="AI120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20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20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20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20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20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20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305</v>
      </c>
      <c r="AP120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20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120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0</v>
      </c>
      <c r="AS120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250</v>
      </c>
      <c r="AT120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87</v>
      </c>
      <c r="AU120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25</v>
      </c>
      <c r="AV120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20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245</v>
      </c>
      <c r="AX120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46</v>
      </c>
      <c r="AY120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21" spans="6:51" ht="22.5" customHeight="1" x14ac:dyDescent="0.3">
      <c r="F121" s="17" t="str">
        <f ca="1">IFERROR(IF(MAX('SORT IMPORT'!$A$13:$A$408)&gt;ROW()-ROW($A$5)-1,INDEX( PRODUKTE,  VLOOKUP(ROW()-ROW($A$5),zeilenindizes,2)+INDEX(prodRowOffset,F$3),  MATCH(F$2,OFFSET(INDEXNAMEN,F$3,0),0)),""),"")</f>
        <v>TS 83 SV EN 2-6</v>
      </c>
      <c r="G121" s="17" t="str">
        <f ca="1">IFERROR(IF(MAX('SORT IMPORT'!$A$13:$A$408)&gt;ROW()-ROW($A$5)-1,INDEX( PRODUKTE,  VLOOKUP(ROW()-ROW($A$5),zeilenindizes,2)+INDEX(prodRowOffset,G$3),  MATCH(G$2,OFFSET(INDEXNAMEN,G$3,0),0)),""),"")</f>
        <v>S</v>
      </c>
      <c r="H121" s="17" t="str">
        <f ca="1">IFERROR(IF(MAX('SORT IMPORT'!$A$13:$A$408)&gt;ROW()-ROW($A$5)-1,INDEX( PRODUKTE,  VLOOKUP(ROW()-ROW($A$5),zeilenindizes,2)+INDEX(prodRowOffset,H$3),  MATCH(H$2,OFFSET(INDEXNAMEN,H$3,0),0)),""),"")</f>
        <v>83 B</v>
      </c>
      <c r="I121" s="17" t="str">
        <f ca="1">IFERROR(IF(MAX('SORT IMPORT'!$A$13:$A$408)&gt;ROW()-ROW($A$5)-1,INDEX( PRODUKTE,  VLOOKUP(ROW()-ROW($A$5),zeilenindizes,2)+INDEX(prodRowOffset,I$3),  MATCH(I$2,OFFSET(INDEXNAMEN,I$3,0),0)),""),"")</f>
        <v>V</v>
      </c>
      <c r="J121" s="17" t="str">
        <f ca="1">IFERROR(IF(MAX('SORT IMPORT'!$A$13:$A$408)&gt;ROW()-ROW($A$5)-1,INDEX( PRODUKTE,  VLOOKUP(ROW()-ROW($A$5),zeilenindizes,2)+INDEX(prodRowOffset,J$3),  MATCH(J$2,OFFSET(INDEXNAMEN,J$3,0),0)),""),"")</f>
        <v/>
      </c>
      <c r="K121" s="17">
        <f ca="1">IFERROR(IF(MAX('SORT IMPORT'!$A$13:$A$408)&gt;ROW()-ROW($A$5)-1,INDEX( PRODUKTE,  VLOOKUP(ROW()-ROW($A$5),zeilenindizes,2)+INDEX(prodRowOffset,K$3),  MATCH(K$2,OFFSET(INDEXNAMEN,K$3,0),0)),""),"")</f>
        <v>3</v>
      </c>
      <c r="L121" s="17">
        <f ca="1">IFERROR(IF(MAX('SORT IMPORT'!$A$13:$A$408)&gt;ROW()-ROW($A$5)-1,INDEX( PRODUKTE,  VLOOKUP(ROW()-ROW($A$5),zeilenindizes,2)+INDEX(prodRowOffset,L$3),  MATCH(L$2,OFFSET(INDEXNAMEN,L$3,0),0)),""),"")</f>
        <v>0</v>
      </c>
      <c r="M121" s="17">
        <f ca="1">IFERROR(IF(MAX('SORT IMPORT'!$A$13:$A$408)&gt;ROW()-ROW($A$5)-1,INDEX( PRODUKTE,  VLOOKUP(ROW()-ROW($A$5),zeilenindizes,2)+INDEX(prodRowOffset,M$3),  MATCH(M$2,OFFSET(INDEXNAMEN,M$3,0),0)),""),"")</f>
        <v>62</v>
      </c>
      <c r="N121" s="17">
        <f ca="1">IFERROR(IF(MAX('SORT IMPORT'!$A$13:$A$408)&gt;ROW()-ROW($A$5)-1,INDEX( PRODUKTE,  VLOOKUP(ROW()-ROW($A$5),zeilenindizes,2)+INDEX(prodRowOffset,N$3),  MATCH(N$2,OFFSET(INDEXNAMEN,N$3,0),0)),""),"")</f>
        <v>1</v>
      </c>
      <c r="O121" s="17">
        <f ca="1">IFERROR(IF(MAX('SORT IMPORT'!$A$13:$A$408)&gt;ROW()-ROW($A$5)-1,INDEX( PRODUKTE,  VLOOKUP(ROW()-ROW($A$5),zeilenindizes,2)+INDEX(prodRowOffset,O$3),  MATCH(O$2,OFFSET(INDEXNAMEN,O$3,0),0)),""),"")</f>
        <v>0</v>
      </c>
      <c r="P121" s="17">
        <f ca="1">IFERROR(IF(MAX('SORT IMPORT'!$A$13:$A$408)&gt;ROW()-ROW($A$5)-1,INDEX( PRODUKTE,  VLOOKUP(ROW()-ROW($A$5),zeilenindizes,2)+INDEX(prodRowOffset,P$3),  MATCH(P$2,OFFSET(INDEXNAMEN,P$3,0),0)),""),"")</f>
        <v>0</v>
      </c>
      <c r="Q121" s="17">
        <f ca="1">IFERROR(IF(MAX('SORT IMPORT'!$A$13:$A$408)&gt;ROW()-ROW($A$5)-1,INDEX( PRODUKTE,  VLOOKUP(ROW()-ROW($A$5),zeilenindizes,2)+INDEX(prodRowOffset,Q$3),  MATCH(Q$2,OFFSET(INDEXNAMEN,Q$3,0),0)),""),"")</f>
        <v>1</v>
      </c>
      <c r="R121" s="17">
        <f ca="1">IFERROR(IF(MAX('SORT IMPORT'!$A$13:$A$408)&gt;ROW()-ROW($A$5)-1,INDEX( PRODUKTE,  VLOOKUP(ROW()-ROW($A$5),zeilenindizes,2)+INDEX(prodRowOffset,R$3),  MATCH(R$2,OFFSET(INDEXNAMEN,R$3,0),0)),""),"")</f>
        <v>0</v>
      </c>
      <c r="S121" s="17">
        <f ca="1">IFERROR(IF(MAX('SORT IMPORT'!$A$13:$A$408)&gt;ROW()-ROW($A$5)-1,INDEX( PRODUKTE,  VLOOKUP(ROW()-ROW($A$5),zeilenindizes,2)+INDEX(prodRowOffset,S$3),  MATCH(S$2,OFFSET(INDEXNAMEN,S$3,0),0)),""),"")</f>
        <v>0</v>
      </c>
      <c r="T121" s="17">
        <f ca="1">IFERROR(IF(MAX('SORT IMPORT'!$A$13:$A$408)&gt;ROW()-ROW($A$5)-1,INDEX( PRODUKTE,  VLOOKUP(ROW()-ROW($A$5),zeilenindizes,2)+INDEX(prodRowOffset,T$3),  MATCH(T$2,OFFSET(INDEXNAMEN,T$3,0),0)),""),"")</f>
        <v>1</v>
      </c>
      <c r="U121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107</v>
      </c>
      <c r="V121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</v>
      </c>
      <c r="W121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107</v>
      </c>
      <c r="X121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8</v>
      </c>
      <c r="Y121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21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21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21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21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21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21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245</v>
      </c>
      <c r="AF121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22</v>
      </c>
      <c r="AG121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245</v>
      </c>
      <c r="AH121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22</v>
      </c>
      <c r="AI121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21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21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21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21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21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21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305</v>
      </c>
      <c r="AP121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21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20</v>
      </c>
      <c r="AR121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0</v>
      </c>
      <c r="AS121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250</v>
      </c>
      <c r="AT121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87</v>
      </c>
      <c r="AU121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25</v>
      </c>
      <c r="AV121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21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245</v>
      </c>
      <c r="AX121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46</v>
      </c>
      <c r="AY121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22" spans="6:51" ht="22.5" customHeight="1" x14ac:dyDescent="0.3">
      <c r="F122" s="17" t="str">
        <f ca="1">IFERROR(IF(MAX('SORT IMPORT'!$A$13:$A$408)&gt;ROW()-ROW($A$5)-1,INDEX( PRODUKTE,  VLOOKUP(ROW()-ROW($A$5),zeilenindizes,2)+INDEX(prodRowOffset,F$3),  MATCH(F$2,OFFSET(INDEXNAMEN,F$3,0),0)),""),"")</f>
        <v>TS 83 EN 5-7</v>
      </c>
      <c r="G122" s="17" t="str">
        <f ca="1">IFERROR(IF(MAX('SORT IMPORT'!$A$13:$A$408)&gt;ROW()-ROW($A$5)-1,INDEX( PRODUKTE,  VLOOKUP(ROW()-ROW($A$5),zeilenindizes,2)+INDEX(prodRowOffset,G$3),  MATCH(G$2,OFFSET(INDEXNAMEN,G$3,0),0)),""),"")</f>
        <v>S</v>
      </c>
      <c r="H122" s="17" t="str">
        <f ca="1">IFERROR(IF(MAX('SORT IMPORT'!$A$13:$A$408)&gt;ROW()-ROW($A$5)-1,INDEX( PRODUKTE,  VLOOKUP(ROW()-ROW($A$5),zeilenindizes,2)+INDEX(prodRowOffset,H$3),  MATCH(H$2,OFFSET(INDEXNAMEN,H$3,0),0)),""),"")</f>
        <v>83 B</v>
      </c>
      <c r="I122" s="17" t="str">
        <f ca="1">IFERROR(IF(MAX('SORT IMPORT'!$A$13:$A$408)&gt;ROW()-ROW($A$5)-1,INDEX( PRODUKTE,  VLOOKUP(ROW()-ROW($A$5),zeilenindizes,2)+INDEX(prodRowOffset,I$3),  MATCH(I$2,OFFSET(INDEXNAMEN,I$3,0),0)),""),"")</f>
        <v/>
      </c>
      <c r="J122" s="17" t="str">
        <f ca="1">IFERROR(IF(MAX('SORT IMPORT'!$A$13:$A$408)&gt;ROW()-ROW($A$5)-1,INDEX( PRODUKTE,  VLOOKUP(ROW()-ROW($A$5),zeilenindizes,2)+INDEX(prodRowOffset,J$3),  MATCH(J$2,OFFSET(INDEXNAMEN,J$3,0),0)),""),"")</f>
        <v/>
      </c>
      <c r="K122" s="17">
        <f ca="1">IFERROR(IF(MAX('SORT IMPORT'!$A$13:$A$408)&gt;ROW()-ROW($A$5)-1,INDEX( PRODUKTE,  VLOOKUP(ROW()-ROW($A$5),zeilenindizes,2)+INDEX(prodRowOffset,K$3),  MATCH(K$2,OFFSET(INDEXNAMEN,K$3,0),0)),""),"")</f>
        <v>3</v>
      </c>
      <c r="L122" s="17">
        <f ca="1">IFERROR(IF(MAX('SORT IMPORT'!$A$13:$A$408)&gt;ROW()-ROW($A$5)-1,INDEX( PRODUKTE,  VLOOKUP(ROW()-ROW($A$5),zeilenindizes,2)+INDEX(prodRowOffset,L$3),  MATCH(L$2,OFFSET(INDEXNAMEN,L$3,0),0)),""),"")</f>
        <v>0</v>
      </c>
      <c r="M122" s="17">
        <f ca="1">IFERROR(IF(MAX('SORT IMPORT'!$A$13:$A$408)&gt;ROW()-ROW($A$5)-1,INDEX( PRODUKTE,  VLOOKUP(ROW()-ROW($A$5),zeilenindizes,2)+INDEX(prodRowOffset,M$3),  MATCH(M$2,OFFSET(INDEXNAMEN,M$3,0),0)),""),"")</f>
        <v>112</v>
      </c>
      <c r="N122" s="17">
        <f ca="1">IFERROR(IF(MAX('SORT IMPORT'!$A$13:$A$408)&gt;ROW()-ROW($A$5)-1,INDEX( PRODUKTE,  VLOOKUP(ROW()-ROW($A$5),zeilenindizes,2)+INDEX(prodRowOffset,N$3),  MATCH(N$2,OFFSET(INDEXNAMEN,N$3,0),0)),""),"")</f>
        <v>1</v>
      </c>
      <c r="O122" s="17">
        <f ca="1">IFERROR(IF(MAX('SORT IMPORT'!$A$13:$A$408)&gt;ROW()-ROW($A$5)-1,INDEX( PRODUKTE,  VLOOKUP(ROW()-ROW($A$5),zeilenindizes,2)+INDEX(prodRowOffset,O$3),  MATCH(O$2,OFFSET(INDEXNAMEN,O$3,0),0)),""),"")</f>
        <v>0</v>
      </c>
      <c r="P122" s="17">
        <f ca="1">IFERROR(IF(MAX('SORT IMPORT'!$A$13:$A$408)&gt;ROW()-ROW($A$5)-1,INDEX( PRODUKTE,  VLOOKUP(ROW()-ROW($A$5),zeilenindizes,2)+INDEX(prodRowOffset,P$3),  MATCH(P$2,OFFSET(INDEXNAMEN,P$3,0),0)),""),"")</f>
        <v>0</v>
      </c>
      <c r="Q122" s="17">
        <f ca="1">IFERROR(IF(MAX('SORT IMPORT'!$A$13:$A$408)&gt;ROW()-ROW($A$5)-1,INDEX( PRODUKTE,  VLOOKUP(ROW()-ROW($A$5),zeilenindizes,2)+INDEX(prodRowOffset,Q$3),  MATCH(Q$2,OFFSET(INDEXNAMEN,Q$3,0),0)),""),"")</f>
        <v>1</v>
      </c>
      <c r="R122" s="17">
        <f ca="1">IFERROR(IF(MAX('SORT IMPORT'!$A$13:$A$408)&gt;ROW()-ROW($A$5)-1,INDEX( PRODUKTE,  VLOOKUP(ROW()-ROW($A$5),zeilenindizes,2)+INDEX(prodRowOffset,R$3),  MATCH(R$2,OFFSET(INDEXNAMEN,R$3,0),0)),""),"")</f>
        <v>0</v>
      </c>
      <c r="S122" s="17">
        <f ca="1">IFERROR(IF(MAX('SORT IMPORT'!$A$13:$A$408)&gt;ROW()-ROW($A$5)-1,INDEX( PRODUKTE,  VLOOKUP(ROW()-ROW($A$5),zeilenindizes,2)+INDEX(prodRowOffset,S$3),  MATCH(S$2,OFFSET(INDEXNAMEN,S$3,0),0)),""),"")</f>
        <v>0</v>
      </c>
      <c r="T122" s="17">
        <f ca="1">IFERROR(IF(MAX('SORT IMPORT'!$A$13:$A$408)&gt;ROW()-ROW($A$5)-1,INDEX( PRODUKTE,  VLOOKUP(ROW()-ROW($A$5),zeilenindizes,2)+INDEX(prodRowOffset,T$3),  MATCH(T$2,OFFSET(INDEXNAMEN,T$3,0),0)),""),"")</f>
        <v>1</v>
      </c>
      <c r="U122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102</v>
      </c>
      <c r="V122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</v>
      </c>
      <c r="W122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102</v>
      </c>
      <c r="X122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8</v>
      </c>
      <c r="Y122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22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22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22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22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22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22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245</v>
      </c>
      <c r="AF122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22</v>
      </c>
      <c r="AG122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245</v>
      </c>
      <c r="AH122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22</v>
      </c>
      <c r="AI122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22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22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22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22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22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22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305</v>
      </c>
      <c r="AP122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22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20</v>
      </c>
      <c r="AR122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0</v>
      </c>
      <c r="AS122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250</v>
      </c>
      <c r="AT122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92</v>
      </c>
      <c r="AU122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25</v>
      </c>
      <c r="AV122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22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293</v>
      </c>
      <c r="AX122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48</v>
      </c>
      <c r="AY122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23" spans="6:51" ht="22.5" customHeight="1" x14ac:dyDescent="0.3">
      <c r="F123" s="17" t="str">
        <f ca="1">IFERROR(IF(MAX('SORT IMPORT'!$A$13:$A$408)&gt;ROW()-ROW($A$5)-1,INDEX( PRODUKTE,  VLOOKUP(ROW()-ROW($A$5),zeilenindizes,2)+INDEX(prodRowOffset,F$3),  MATCH(F$2,OFFSET(INDEXNAMEN,F$3,0),0)),""),"")</f>
        <v>TS 83 EN 5-7 + SR</v>
      </c>
      <c r="G123" s="17" t="str">
        <f ca="1">IFERROR(IF(MAX('SORT IMPORT'!$A$13:$A$408)&gt;ROW()-ROW($A$5)-1,INDEX( PRODUKTE,  VLOOKUP(ROW()-ROW($A$5),zeilenindizes,2)+INDEX(prodRowOffset,G$3),  MATCH(G$2,OFFSET(INDEXNAMEN,G$3,0),0)),""),"")</f>
        <v>S</v>
      </c>
      <c r="H123" s="17" t="str">
        <f ca="1">IFERROR(IF(MAX('SORT IMPORT'!$A$13:$A$408)&gt;ROW()-ROW($A$5)-1,INDEX( PRODUKTE,  VLOOKUP(ROW()-ROW($A$5),zeilenindizes,2)+INDEX(prodRowOffset,H$3),  MATCH(H$2,OFFSET(INDEXNAMEN,H$3,0),0)),""),"")</f>
        <v>83 B</v>
      </c>
      <c r="I123" s="17" t="str">
        <f ca="1">IFERROR(IF(MAX('SORT IMPORT'!$A$13:$A$408)&gt;ROW()-ROW($A$5)-1,INDEX( PRODUKTE,  VLOOKUP(ROW()-ROW($A$5),zeilenindizes,2)+INDEX(prodRowOffset,I$3),  MATCH(I$2,OFFSET(INDEXNAMEN,I$3,0),0)),""),"")</f>
        <v/>
      </c>
      <c r="J123" s="17" t="str">
        <f ca="1">IFERROR(IF(MAX('SORT IMPORT'!$A$13:$A$408)&gt;ROW()-ROW($A$5)-1,INDEX( PRODUKTE,  VLOOKUP(ROW()-ROW($A$5),zeilenindizes,2)+INDEX(prodRowOffset,J$3),  MATCH(J$2,OFFSET(INDEXNAMEN,J$3,0),0)),""),"")</f>
        <v/>
      </c>
      <c r="K123" s="17">
        <f ca="1">IFERROR(IF(MAX('SORT IMPORT'!$A$13:$A$408)&gt;ROW()-ROW($A$5)-1,INDEX( PRODUKTE,  VLOOKUP(ROW()-ROW($A$5),zeilenindizes,2)+INDEX(prodRowOffset,K$3),  MATCH(K$2,OFFSET(INDEXNAMEN,K$3,0),0)),""),"")</f>
        <v>9</v>
      </c>
      <c r="L123" s="17">
        <f ca="1">IFERROR(IF(MAX('SORT IMPORT'!$A$13:$A$408)&gt;ROW()-ROW($A$5)-1,INDEX( PRODUKTE,  VLOOKUP(ROW()-ROW($A$5),zeilenindizes,2)+INDEX(prodRowOffset,L$3),  MATCH(L$2,OFFSET(INDEXNAMEN,L$3,0),0)),""),"")</f>
        <v>0</v>
      </c>
      <c r="M123" s="17">
        <f ca="1">IFERROR(IF(MAX('SORT IMPORT'!$A$13:$A$408)&gt;ROW()-ROW($A$5)-1,INDEX( PRODUKTE,  VLOOKUP(ROW()-ROW($A$5),zeilenindizes,2)+INDEX(prodRowOffset,M$3),  MATCH(M$2,OFFSET(INDEXNAMEN,M$3,0),0)),""),"")</f>
        <v>112</v>
      </c>
      <c r="N123" s="17">
        <f ca="1">IFERROR(IF(MAX('SORT IMPORT'!$A$13:$A$408)&gt;ROW()-ROW($A$5)-1,INDEX( PRODUKTE,  VLOOKUP(ROW()-ROW($A$5),zeilenindizes,2)+INDEX(prodRowOffset,N$3),  MATCH(N$2,OFFSET(INDEXNAMEN,N$3,0),0)),""),"")</f>
        <v>2</v>
      </c>
      <c r="O123" s="17">
        <f ca="1">IFERROR(IF(MAX('SORT IMPORT'!$A$13:$A$408)&gt;ROW()-ROW($A$5)-1,INDEX( PRODUKTE,  VLOOKUP(ROW()-ROW($A$5),zeilenindizes,2)+INDEX(prodRowOffset,O$3),  MATCH(O$2,OFFSET(INDEXNAMEN,O$3,0),0)),""),"")</f>
        <v>0</v>
      </c>
      <c r="P123" s="17">
        <f ca="1">IFERROR(IF(MAX('SORT IMPORT'!$A$13:$A$408)&gt;ROW()-ROW($A$5)-1,INDEX( PRODUKTE,  VLOOKUP(ROW()-ROW($A$5),zeilenindizes,2)+INDEX(prodRowOffset,P$3),  MATCH(P$2,OFFSET(INDEXNAMEN,P$3,0),0)),""),"")</f>
        <v>0</v>
      </c>
      <c r="Q123" s="17">
        <f ca="1">IFERROR(IF(MAX('SORT IMPORT'!$A$13:$A$408)&gt;ROW()-ROW($A$5)-1,INDEX( PRODUKTE,  VLOOKUP(ROW()-ROW($A$5),zeilenindizes,2)+INDEX(prodRowOffset,Q$3),  MATCH(Q$2,OFFSET(INDEXNAMEN,Q$3,0),0)),""),"")</f>
        <v>1</v>
      </c>
      <c r="R123" s="17">
        <f ca="1">IFERROR(IF(MAX('SORT IMPORT'!$A$13:$A$408)&gt;ROW()-ROW($A$5)-1,INDEX( PRODUKTE,  VLOOKUP(ROW()-ROW($A$5),zeilenindizes,2)+INDEX(prodRowOffset,R$3),  MATCH(R$2,OFFSET(INDEXNAMEN,R$3,0),0)),""),"")</f>
        <v>0</v>
      </c>
      <c r="S123" s="17">
        <f ca="1">IFERROR(IF(MAX('SORT IMPORT'!$A$13:$A$408)&gt;ROW()-ROW($A$5)-1,INDEX( PRODUKTE,  VLOOKUP(ROW()-ROW($A$5),zeilenindizes,2)+INDEX(prodRowOffset,S$3),  MATCH(S$2,OFFSET(INDEXNAMEN,S$3,0),0)),""),"")</f>
        <v>1</v>
      </c>
      <c r="T123" s="17">
        <f ca="1">IFERROR(IF(MAX('SORT IMPORT'!$A$13:$A$408)&gt;ROW()-ROW($A$5)-1,INDEX( PRODUKTE,  VLOOKUP(ROW()-ROW($A$5),zeilenindizes,2)+INDEX(prodRowOffset,T$3),  MATCH(T$2,OFFSET(INDEXNAMEN,T$3,0),0)),""),"")</f>
        <v>1</v>
      </c>
      <c r="U123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102</v>
      </c>
      <c r="V123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</v>
      </c>
      <c r="W123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23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23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23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23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23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23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23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23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245</v>
      </c>
      <c r="AF123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22</v>
      </c>
      <c r="AG123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23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23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23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23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23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23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23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23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305</v>
      </c>
      <c r="AP123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23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20</v>
      </c>
      <c r="AR123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0</v>
      </c>
      <c r="AS123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250</v>
      </c>
      <c r="AT123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92</v>
      </c>
      <c r="AU123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25</v>
      </c>
      <c r="AV123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23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293</v>
      </c>
      <c r="AX123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48</v>
      </c>
      <c r="AY123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24" spans="6:51" ht="22.5" customHeight="1" x14ac:dyDescent="0.3">
      <c r="F124" s="17" t="str">
        <f ca="1">IFERROR(IF(MAX('SORT IMPORT'!$A$13:$A$408)&gt;ROW()-ROW($A$5)-1,INDEX( PRODUKTE,  VLOOKUP(ROW()-ROW($A$5),zeilenindizes,2)+INDEX(prodRowOffset,F$3),  MATCH(F$2,OFFSET(INDEXNAMEN,F$3,0),0)),""),"")</f>
        <v>TS 83 RF EN 5-7</v>
      </c>
      <c r="G124" s="17" t="str">
        <f ca="1">IFERROR(IF(MAX('SORT IMPORT'!$A$13:$A$408)&gt;ROW()-ROW($A$5)-1,INDEX( PRODUKTE,  VLOOKUP(ROW()-ROW($A$5),zeilenindizes,2)+INDEX(prodRowOffset,G$3),  MATCH(G$2,OFFSET(INDEXNAMEN,G$3,0),0)),""),"")</f>
        <v>S</v>
      </c>
      <c r="H124" s="17" t="str">
        <f ca="1">IFERROR(IF(MAX('SORT IMPORT'!$A$13:$A$408)&gt;ROW()-ROW($A$5)-1,INDEX( PRODUKTE,  VLOOKUP(ROW()-ROW($A$5),zeilenindizes,2)+INDEX(prodRowOffset,H$3),  MATCH(H$2,OFFSET(INDEXNAMEN,H$3,0),0)),""),"")</f>
        <v>83 B</v>
      </c>
      <c r="I124" s="17" t="str">
        <f ca="1">IFERROR(IF(MAX('SORT IMPORT'!$A$13:$A$408)&gt;ROW()-ROW($A$5)-1,INDEX( PRODUKTE,  VLOOKUP(ROW()-ROW($A$5),zeilenindizes,2)+INDEX(prodRowOffset,I$3),  MATCH(I$2,OFFSET(INDEXNAMEN,I$3,0),0)),""),"")</f>
        <v/>
      </c>
      <c r="J124" s="17" t="str">
        <f ca="1">IFERROR(IF(MAX('SORT IMPORT'!$A$13:$A$408)&gt;ROW()-ROW($A$5)-1,INDEX( PRODUKTE,  VLOOKUP(ROW()-ROW($A$5),zeilenindizes,2)+INDEX(prodRowOffset,J$3),  MATCH(J$2,OFFSET(INDEXNAMEN,J$3,0),0)),""),"")</f>
        <v>M</v>
      </c>
      <c r="K124" s="17">
        <f ca="1">IFERROR(IF(MAX('SORT IMPORT'!$A$13:$A$408)&gt;ROW()-ROW($A$5)-1,INDEX( PRODUKTE,  VLOOKUP(ROW()-ROW($A$5),zeilenindizes,2)+INDEX(prodRowOffset,K$3),  MATCH(K$2,OFFSET(INDEXNAMEN,K$3,0),0)),""),"")</f>
        <v>3</v>
      </c>
      <c r="L124" s="17">
        <f ca="1">IFERROR(IF(MAX('SORT IMPORT'!$A$13:$A$408)&gt;ROW()-ROW($A$5)-1,INDEX( PRODUKTE,  VLOOKUP(ROW()-ROW($A$5),zeilenindizes,2)+INDEX(prodRowOffset,L$3),  MATCH(L$2,OFFSET(INDEXNAMEN,L$3,0),0)),""),"")</f>
        <v>0</v>
      </c>
      <c r="M124" s="17">
        <f ca="1">IFERROR(IF(MAX('SORT IMPORT'!$A$13:$A$408)&gt;ROW()-ROW($A$5)-1,INDEX( PRODUKTE,  VLOOKUP(ROW()-ROW($A$5),zeilenindizes,2)+INDEX(prodRowOffset,M$3),  MATCH(M$2,OFFSET(INDEXNAMEN,M$3,0),0)),""),"")</f>
        <v>112</v>
      </c>
      <c r="N124" s="17">
        <f ca="1">IFERROR(IF(MAX('SORT IMPORT'!$A$13:$A$408)&gt;ROW()-ROW($A$5)-1,INDEX( PRODUKTE,  VLOOKUP(ROW()-ROW($A$5),zeilenindizes,2)+INDEX(prodRowOffset,N$3),  MATCH(N$2,OFFSET(INDEXNAMEN,N$3,0),0)),""),"")</f>
        <v>1</v>
      </c>
      <c r="O124" s="17">
        <f ca="1">IFERROR(IF(MAX('SORT IMPORT'!$A$13:$A$408)&gt;ROW()-ROW($A$5)-1,INDEX( PRODUKTE,  VLOOKUP(ROW()-ROW($A$5),zeilenindizes,2)+INDEX(prodRowOffset,O$3),  MATCH(O$2,OFFSET(INDEXNAMEN,O$3,0),0)),""),"")</f>
        <v>0</v>
      </c>
      <c r="P124" s="17">
        <f ca="1">IFERROR(IF(MAX('SORT IMPORT'!$A$13:$A$408)&gt;ROW()-ROW($A$5)-1,INDEX( PRODUKTE,  VLOOKUP(ROW()-ROW($A$5),zeilenindizes,2)+INDEX(prodRowOffset,P$3),  MATCH(P$2,OFFSET(INDEXNAMEN,P$3,0),0)),""),"")</f>
        <v>0</v>
      </c>
      <c r="Q124" s="17">
        <f ca="1">IFERROR(IF(MAX('SORT IMPORT'!$A$13:$A$408)&gt;ROW()-ROW($A$5)-1,INDEX( PRODUKTE,  VLOOKUP(ROW()-ROW($A$5),zeilenindizes,2)+INDEX(prodRowOffset,Q$3),  MATCH(Q$2,OFFSET(INDEXNAMEN,Q$3,0),0)),""),"")</f>
        <v>0</v>
      </c>
      <c r="R124" s="17">
        <f ca="1">IFERROR(IF(MAX('SORT IMPORT'!$A$13:$A$408)&gt;ROW()-ROW($A$5)-1,INDEX( PRODUKTE,  VLOOKUP(ROW()-ROW($A$5),zeilenindizes,2)+INDEX(prodRowOffset,R$3),  MATCH(R$2,OFFSET(INDEXNAMEN,R$3,0),0)),""),"")</f>
        <v>0</v>
      </c>
      <c r="S124" s="17">
        <f ca="1">IFERROR(IF(MAX('SORT IMPORT'!$A$13:$A$408)&gt;ROW()-ROW($A$5)-1,INDEX( PRODUKTE,  VLOOKUP(ROW()-ROW($A$5),zeilenindizes,2)+INDEX(prodRowOffset,S$3),  MATCH(S$2,OFFSET(INDEXNAMEN,S$3,0),0)),""),"")</f>
        <v>0</v>
      </c>
      <c r="T124" s="17">
        <f ca="1">IFERROR(IF(MAX('SORT IMPORT'!$A$13:$A$408)&gt;ROW()-ROW($A$5)-1,INDEX( PRODUKTE,  VLOOKUP(ROW()-ROW($A$5),zeilenindizes,2)+INDEX(prodRowOffset,T$3),  MATCH(T$2,OFFSET(INDEXNAMEN,T$3,0),0)),""),"")</f>
        <v>1</v>
      </c>
      <c r="U124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102</v>
      </c>
      <c r="V124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</v>
      </c>
      <c r="W124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102</v>
      </c>
      <c r="X124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8</v>
      </c>
      <c r="Y124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24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24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24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24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24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24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245</v>
      </c>
      <c r="AF124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22</v>
      </c>
      <c r="AG124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245</v>
      </c>
      <c r="AH124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22</v>
      </c>
      <c r="AI124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24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24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24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24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24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24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305</v>
      </c>
      <c r="AP124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24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124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0</v>
      </c>
      <c r="AS124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250</v>
      </c>
      <c r="AT124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92</v>
      </c>
      <c r="AU124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25</v>
      </c>
      <c r="AV124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24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293</v>
      </c>
      <c r="AX124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48</v>
      </c>
      <c r="AY124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25" spans="6:51" ht="22.5" customHeight="1" x14ac:dyDescent="0.3">
      <c r="F125" s="17" t="str">
        <f ca="1">IFERROR(IF(MAX('SORT IMPORT'!$A$13:$A$408)&gt;ROW()-ROW($A$5)-1,INDEX( PRODUKTE,  VLOOKUP(ROW()-ROW($A$5),zeilenindizes,2)+INDEX(prodRowOffset,F$3),  MATCH(F$2,OFFSET(INDEXNAMEN,F$3,0),0)),""),"")</f>
        <v>TS 83 SV EN 5-7</v>
      </c>
      <c r="G125" s="17" t="str">
        <f ca="1">IFERROR(IF(MAX('SORT IMPORT'!$A$13:$A$408)&gt;ROW()-ROW($A$5)-1,INDEX( PRODUKTE,  VLOOKUP(ROW()-ROW($A$5),zeilenindizes,2)+INDEX(prodRowOffset,G$3),  MATCH(G$2,OFFSET(INDEXNAMEN,G$3,0),0)),""),"")</f>
        <v>S</v>
      </c>
      <c r="H125" s="17" t="str">
        <f ca="1">IFERROR(IF(MAX('SORT IMPORT'!$A$13:$A$408)&gt;ROW()-ROW($A$5)-1,INDEX( PRODUKTE,  VLOOKUP(ROW()-ROW($A$5),zeilenindizes,2)+INDEX(prodRowOffset,H$3),  MATCH(H$2,OFFSET(INDEXNAMEN,H$3,0),0)),""),"")</f>
        <v>83 B</v>
      </c>
      <c r="I125" s="17" t="str">
        <f ca="1">IFERROR(IF(MAX('SORT IMPORT'!$A$13:$A$408)&gt;ROW()-ROW($A$5)-1,INDEX( PRODUKTE,  VLOOKUP(ROW()-ROW($A$5),zeilenindizes,2)+INDEX(prodRowOffset,I$3),  MATCH(I$2,OFFSET(INDEXNAMEN,I$3,0),0)),""),"")</f>
        <v>V</v>
      </c>
      <c r="J125" s="17" t="str">
        <f ca="1">IFERROR(IF(MAX('SORT IMPORT'!$A$13:$A$408)&gt;ROW()-ROW($A$5)-1,INDEX( PRODUKTE,  VLOOKUP(ROW()-ROW($A$5),zeilenindizes,2)+INDEX(prodRowOffset,J$3),  MATCH(J$2,OFFSET(INDEXNAMEN,J$3,0),0)),""),"")</f>
        <v/>
      </c>
      <c r="K125" s="17">
        <f ca="1">IFERROR(IF(MAX('SORT IMPORT'!$A$13:$A$408)&gt;ROW()-ROW($A$5)-1,INDEX( PRODUKTE,  VLOOKUP(ROW()-ROW($A$5),zeilenindizes,2)+INDEX(prodRowOffset,K$3),  MATCH(K$2,OFFSET(INDEXNAMEN,K$3,0),0)),""),"")</f>
        <v>3</v>
      </c>
      <c r="L125" s="17">
        <f ca="1">IFERROR(IF(MAX('SORT IMPORT'!$A$13:$A$408)&gt;ROW()-ROW($A$5)-1,INDEX( PRODUKTE,  VLOOKUP(ROW()-ROW($A$5),zeilenindizes,2)+INDEX(prodRowOffset,L$3),  MATCH(L$2,OFFSET(INDEXNAMEN,L$3,0),0)),""),"")</f>
        <v>0</v>
      </c>
      <c r="M125" s="17">
        <f ca="1">IFERROR(IF(MAX('SORT IMPORT'!$A$13:$A$408)&gt;ROW()-ROW($A$5)-1,INDEX( PRODUKTE,  VLOOKUP(ROW()-ROW($A$5),zeilenindizes,2)+INDEX(prodRowOffset,M$3),  MATCH(M$2,OFFSET(INDEXNAMEN,M$3,0),0)),""),"")</f>
        <v>112</v>
      </c>
      <c r="N125" s="17">
        <f ca="1">IFERROR(IF(MAX('SORT IMPORT'!$A$13:$A$408)&gt;ROW()-ROW($A$5)-1,INDEX( PRODUKTE,  VLOOKUP(ROW()-ROW($A$5),zeilenindizes,2)+INDEX(prodRowOffset,N$3),  MATCH(N$2,OFFSET(INDEXNAMEN,N$3,0),0)),""),"")</f>
        <v>1</v>
      </c>
      <c r="O125" s="17">
        <f ca="1">IFERROR(IF(MAX('SORT IMPORT'!$A$13:$A$408)&gt;ROW()-ROW($A$5)-1,INDEX( PRODUKTE,  VLOOKUP(ROW()-ROW($A$5),zeilenindizes,2)+INDEX(prodRowOffset,O$3),  MATCH(O$2,OFFSET(INDEXNAMEN,O$3,0),0)),""),"")</f>
        <v>0</v>
      </c>
      <c r="P125" s="17">
        <f ca="1">IFERROR(IF(MAX('SORT IMPORT'!$A$13:$A$408)&gt;ROW()-ROW($A$5)-1,INDEX( PRODUKTE,  VLOOKUP(ROW()-ROW($A$5),zeilenindizes,2)+INDEX(prodRowOffset,P$3),  MATCH(P$2,OFFSET(INDEXNAMEN,P$3,0),0)),""),"")</f>
        <v>0</v>
      </c>
      <c r="Q125" s="17">
        <f ca="1">IFERROR(IF(MAX('SORT IMPORT'!$A$13:$A$408)&gt;ROW()-ROW($A$5)-1,INDEX( PRODUKTE,  VLOOKUP(ROW()-ROW($A$5),zeilenindizes,2)+INDEX(prodRowOffset,Q$3),  MATCH(Q$2,OFFSET(INDEXNAMEN,Q$3,0),0)),""),"")</f>
        <v>1</v>
      </c>
      <c r="R125" s="17">
        <f ca="1">IFERROR(IF(MAX('SORT IMPORT'!$A$13:$A$408)&gt;ROW()-ROW($A$5)-1,INDEX( PRODUKTE,  VLOOKUP(ROW()-ROW($A$5),zeilenindizes,2)+INDEX(prodRowOffset,R$3),  MATCH(R$2,OFFSET(INDEXNAMEN,R$3,0),0)),""),"")</f>
        <v>0</v>
      </c>
      <c r="S125" s="17">
        <f ca="1">IFERROR(IF(MAX('SORT IMPORT'!$A$13:$A$408)&gt;ROW()-ROW($A$5)-1,INDEX( PRODUKTE,  VLOOKUP(ROW()-ROW($A$5),zeilenindizes,2)+INDEX(prodRowOffset,S$3),  MATCH(S$2,OFFSET(INDEXNAMEN,S$3,0),0)),""),"")</f>
        <v>0</v>
      </c>
      <c r="T125" s="17">
        <f ca="1">IFERROR(IF(MAX('SORT IMPORT'!$A$13:$A$408)&gt;ROW()-ROW($A$5)-1,INDEX( PRODUKTE,  VLOOKUP(ROW()-ROW($A$5),zeilenindizes,2)+INDEX(prodRowOffset,T$3),  MATCH(T$2,OFFSET(INDEXNAMEN,T$3,0),0)),""),"")</f>
        <v>1</v>
      </c>
      <c r="U125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102</v>
      </c>
      <c r="V125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</v>
      </c>
      <c r="W125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102</v>
      </c>
      <c r="X125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8</v>
      </c>
      <c r="Y125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25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25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25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25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25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25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245</v>
      </c>
      <c r="AF125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22</v>
      </c>
      <c r="AG125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245</v>
      </c>
      <c r="AH125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22</v>
      </c>
      <c r="AI125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25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25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25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25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25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25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305</v>
      </c>
      <c r="AP125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25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20</v>
      </c>
      <c r="AR125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0</v>
      </c>
      <c r="AS125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250</v>
      </c>
      <c r="AT125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92</v>
      </c>
      <c r="AU125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25</v>
      </c>
      <c r="AV125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25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293</v>
      </c>
      <c r="AX125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48</v>
      </c>
      <c r="AY125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26" spans="6:51" ht="22.5" customHeight="1" x14ac:dyDescent="0.3">
      <c r="F126" s="17" t="str">
        <f ca="1">IFERROR(IF(MAX('SORT IMPORT'!$A$13:$A$408)&gt;ROW()-ROW($A$5)-1,INDEX( PRODUKTE,  VLOOKUP(ROW()-ROW($A$5),zeilenindizes,2)+INDEX(prodRowOffset,F$3),  MATCH(F$2,OFFSET(INDEXNAMEN,F$3,0),0)),""),"")</f>
        <v>ITS 96 EN 2-4</v>
      </c>
      <c r="G126" s="17" t="str">
        <f ca="1">IFERROR(IF(MAX('SORT IMPORT'!$A$13:$A$408)&gt;ROW()-ROW($A$5)-1,INDEX( PRODUKTE,  VLOOKUP(ROW()-ROW($A$5),zeilenindizes,2)+INDEX(prodRowOffset,G$3),  MATCH(G$2,OFFSET(INDEXNAMEN,G$3,0),0)),""),"")</f>
        <v>I</v>
      </c>
      <c r="H126" s="17" t="str">
        <f ca="1">IFERROR(IF(MAX('SORT IMPORT'!$A$13:$A$408)&gt;ROW()-ROW($A$5)-1,INDEX( PRODUKTE,  VLOOKUP(ROW()-ROW($A$5),zeilenindizes,2)+INDEX(prodRowOffset,H$3),  MATCH(H$2,OFFSET(INDEXNAMEN,H$3,0),0)),""),"")</f>
        <v>96</v>
      </c>
      <c r="I126" s="17" t="str">
        <f ca="1">IFERROR(IF(MAX('SORT IMPORT'!$A$13:$A$408)&gt;ROW()-ROW($A$5)-1,INDEX( PRODUKTE,  VLOOKUP(ROW()-ROW($A$5),zeilenindizes,2)+INDEX(prodRowOffset,I$3),  MATCH(I$2,OFFSET(INDEXNAMEN,I$3,0),0)),""),"")</f>
        <v/>
      </c>
      <c r="J126" s="17" t="str">
        <f ca="1">IFERROR(IF(MAX('SORT IMPORT'!$A$13:$A$408)&gt;ROW()-ROW($A$5)-1,INDEX( PRODUKTE,  VLOOKUP(ROW()-ROW($A$5),zeilenindizes,2)+INDEX(prodRowOffset,J$3),  MATCH(J$2,OFFSET(INDEXNAMEN,J$3,0),0)),""),"")</f>
        <v/>
      </c>
      <c r="K126" s="17">
        <f ca="1">IFERROR(IF(MAX('SORT IMPORT'!$A$13:$A$408)&gt;ROW()-ROW($A$5)-1,INDEX( PRODUKTE,  VLOOKUP(ROW()-ROW($A$5),zeilenindizes,2)+INDEX(prodRowOffset,K$3),  MATCH(K$2,OFFSET(INDEXNAMEN,K$3,0),0)),""),"")</f>
        <v>96</v>
      </c>
      <c r="L126" s="17">
        <f ca="1">IFERROR(IF(MAX('SORT IMPORT'!$A$13:$A$408)&gt;ROW()-ROW($A$5)-1,INDEX( PRODUKTE,  VLOOKUP(ROW()-ROW($A$5),zeilenindizes,2)+INDEX(prodRowOffset,L$3),  MATCH(L$2,OFFSET(INDEXNAMEN,L$3,0),0)),""),"")</f>
        <v>1</v>
      </c>
      <c r="M126" s="17">
        <f ca="1">IFERROR(IF(MAX('SORT IMPORT'!$A$13:$A$408)&gt;ROW()-ROW($A$5)-1,INDEX( PRODUKTE,  VLOOKUP(ROW()-ROW($A$5),zeilenindizes,2)+INDEX(prodRowOffset,M$3),  MATCH(M$2,OFFSET(INDEXNAMEN,M$3,0),0)),""),"")</f>
        <v>14</v>
      </c>
      <c r="N126" s="17">
        <f ca="1">IFERROR(IF(MAX('SORT IMPORT'!$A$13:$A$408)&gt;ROW()-ROW($A$5)-1,INDEX( PRODUKTE,  VLOOKUP(ROW()-ROW($A$5),zeilenindizes,2)+INDEX(prodRowOffset,N$3),  MATCH(N$2,OFFSET(INDEXNAMEN,N$3,0),0)),""),"")</f>
        <v>1</v>
      </c>
      <c r="O126" s="17">
        <f ca="1">IFERROR(IF(MAX('SORT IMPORT'!$A$13:$A$408)&gt;ROW()-ROW($A$5)-1,INDEX( PRODUKTE,  VLOOKUP(ROW()-ROW($A$5),zeilenindizes,2)+INDEX(prodRowOffset,O$3),  MATCH(O$2,OFFSET(INDEXNAMEN,O$3,0),0)),""),"")</f>
        <v>0</v>
      </c>
      <c r="P126" s="17">
        <f ca="1">IFERROR(IF(MAX('SORT IMPORT'!$A$13:$A$408)&gt;ROW()-ROW($A$5)-1,INDEX( PRODUKTE,  VLOOKUP(ROW()-ROW($A$5),zeilenindizes,2)+INDEX(prodRowOffset,P$3),  MATCH(P$2,OFFSET(INDEXNAMEN,P$3,0),0)),""),"")</f>
        <v>0</v>
      </c>
      <c r="Q126" s="17">
        <f ca="1">IFERROR(IF(MAX('SORT IMPORT'!$A$13:$A$408)&gt;ROW()-ROW($A$5)-1,INDEX( PRODUKTE,  VLOOKUP(ROW()-ROW($A$5),zeilenindizes,2)+INDEX(prodRowOffset,Q$3),  MATCH(Q$2,OFFSET(INDEXNAMEN,Q$3,0),0)),""),"")</f>
        <v>1</v>
      </c>
      <c r="R126" s="17">
        <f ca="1">IFERROR(IF(MAX('SORT IMPORT'!$A$13:$A$408)&gt;ROW()-ROW($A$5)-1,INDEX( PRODUKTE,  VLOOKUP(ROW()-ROW($A$5),zeilenindizes,2)+INDEX(prodRowOffset,R$3),  MATCH(R$2,OFFSET(INDEXNAMEN,R$3,0),0)),""),"")</f>
        <v>1</v>
      </c>
      <c r="S126" s="17">
        <f ca="1">IFERROR(IF(MAX('SORT IMPORT'!$A$13:$A$408)&gt;ROW()-ROW($A$5)-1,INDEX( PRODUKTE,  VLOOKUP(ROW()-ROW($A$5),zeilenindizes,2)+INDEX(prodRowOffset,S$3),  MATCH(S$2,OFFSET(INDEXNAMEN,S$3,0),0)),""),"")</f>
        <v>0</v>
      </c>
      <c r="T126" s="17">
        <f ca="1">IFERROR(IF(MAX('SORT IMPORT'!$A$13:$A$408)&gt;ROW()-ROW($A$5)-1,INDEX( PRODUKTE,  VLOOKUP(ROW()-ROW($A$5),zeilenindizes,2)+INDEX(prodRowOffset,T$3),  MATCH(T$2,OFFSET(INDEXNAMEN,T$3,0),0)),""),"")</f>
        <v>0</v>
      </c>
      <c r="U126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73</v>
      </c>
      <c r="V126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8.5</v>
      </c>
      <c r="W126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73</v>
      </c>
      <c r="X126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3</v>
      </c>
      <c r="Y126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26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26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26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26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26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26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145</v>
      </c>
      <c r="AF126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26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145</v>
      </c>
      <c r="AH126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11.5</v>
      </c>
      <c r="AI126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26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26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26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26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26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26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440</v>
      </c>
      <c r="AP126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26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12</v>
      </c>
      <c r="AR126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9999</v>
      </c>
      <c r="AS126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26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102</v>
      </c>
      <c r="AU126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9999</v>
      </c>
      <c r="AV126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90</v>
      </c>
      <c r="AW126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338</v>
      </c>
      <c r="AX126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32</v>
      </c>
      <c r="AY126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45</v>
      </c>
    </row>
    <row r="127" spans="6:51" ht="22.5" customHeight="1" x14ac:dyDescent="0.3">
      <c r="F127" s="17" t="str">
        <f ca="1">IFERROR(IF(MAX('SORT IMPORT'!$A$13:$A$408)&gt;ROW()-ROW($A$5)-1,INDEX( PRODUKTE,  VLOOKUP(ROW()-ROW($A$5),zeilenindizes,2)+INDEX(prodRowOffset,F$3),  MATCH(F$2,OFFSET(INDEXNAMEN,F$3,0),0)),""),"")</f>
        <v>ITS 96 RF EN 2-4</v>
      </c>
      <c r="G127" s="17" t="str">
        <f ca="1">IFERROR(IF(MAX('SORT IMPORT'!$A$13:$A$408)&gt;ROW()-ROW($A$5)-1,INDEX( PRODUKTE,  VLOOKUP(ROW()-ROW($A$5),zeilenindizes,2)+INDEX(prodRowOffset,G$3),  MATCH(G$2,OFFSET(INDEXNAMEN,G$3,0),0)),""),"")</f>
        <v>I</v>
      </c>
      <c r="H127" s="17" t="str">
        <f ca="1">IFERROR(IF(MAX('SORT IMPORT'!$A$13:$A$408)&gt;ROW()-ROW($A$5)-1,INDEX( PRODUKTE,  VLOOKUP(ROW()-ROW($A$5),zeilenindizes,2)+INDEX(prodRowOffset,H$3),  MATCH(H$2,OFFSET(INDEXNAMEN,H$3,0),0)),""),"")</f>
        <v>96</v>
      </c>
      <c r="I127" s="17" t="str">
        <f ca="1">IFERROR(IF(MAX('SORT IMPORT'!$A$13:$A$408)&gt;ROW()-ROW($A$5)-1,INDEX( PRODUKTE,  VLOOKUP(ROW()-ROW($A$5),zeilenindizes,2)+INDEX(prodRowOffset,I$3),  MATCH(I$2,OFFSET(INDEXNAMEN,I$3,0),0)),""),"")</f>
        <v/>
      </c>
      <c r="J127" s="17" t="str">
        <f ca="1">IFERROR(IF(MAX('SORT IMPORT'!$A$13:$A$408)&gt;ROW()-ROW($A$5)-1,INDEX( PRODUKTE,  VLOOKUP(ROW()-ROW($A$5),zeilenindizes,2)+INDEX(prodRowOffset,J$3),  MATCH(J$2,OFFSET(INDEXNAMEN,J$3,0),0)),""),"")</f>
        <v>M</v>
      </c>
      <c r="K127" s="17">
        <f ca="1">IFERROR(IF(MAX('SORT IMPORT'!$A$13:$A$408)&gt;ROW()-ROW($A$5)-1,INDEX( PRODUKTE,  VLOOKUP(ROW()-ROW($A$5),zeilenindizes,2)+INDEX(prodRowOffset,K$3),  MATCH(K$2,OFFSET(INDEXNAMEN,K$3,0),0)),""),"")</f>
        <v>96</v>
      </c>
      <c r="L127" s="17">
        <f ca="1">IFERROR(IF(MAX('SORT IMPORT'!$A$13:$A$408)&gt;ROW()-ROW($A$5)-1,INDEX( PRODUKTE,  VLOOKUP(ROW()-ROW($A$5),zeilenindizes,2)+INDEX(prodRowOffset,L$3),  MATCH(L$2,OFFSET(INDEXNAMEN,L$3,0),0)),""),"")</f>
        <v>2</v>
      </c>
      <c r="M127" s="17">
        <f ca="1">IFERROR(IF(MAX('SORT IMPORT'!$A$13:$A$408)&gt;ROW()-ROW($A$5)-1,INDEX( PRODUKTE,  VLOOKUP(ROW()-ROW($A$5),zeilenindizes,2)+INDEX(prodRowOffset,M$3),  MATCH(M$2,OFFSET(INDEXNAMEN,M$3,0),0)),""),"")</f>
        <v>14</v>
      </c>
      <c r="N127" s="17">
        <f ca="1">IFERROR(IF(MAX('SORT IMPORT'!$A$13:$A$408)&gt;ROW()-ROW($A$5)-1,INDEX( PRODUKTE,  VLOOKUP(ROW()-ROW($A$5),zeilenindizes,2)+INDEX(prodRowOffset,N$3),  MATCH(N$2,OFFSET(INDEXNAMEN,N$3,0),0)),""),"")</f>
        <v>1</v>
      </c>
      <c r="O127" s="17">
        <f ca="1">IFERROR(IF(MAX('SORT IMPORT'!$A$13:$A$408)&gt;ROW()-ROW($A$5)-1,INDEX( PRODUKTE,  VLOOKUP(ROW()-ROW($A$5),zeilenindizes,2)+INDEX(prodRowOffset,O$3),  MATCH(O$2,OFFSET(INDEXNAMEN,O$3,0),0)),""),"")</f>
        <v>0</v>
      </c>
      <c r="P127" s="17">
        <f ca="1">IFERROR(IF(MAX('SORT IMPORT'!$A$13:$A$408)&gt;ROW()-ROW($A$5)-1,INDEX( PRODUKTE,  VLOOKUP(ROW()-ROW($A$5),zeilenindizes,2)+INDEX(prodRowOffset,P$3),  MATCH(P$2,OFFSET(INDEXNAMEN,P$3,0),0)),""),"")</f>
        <v>0</v>
      </c>
      <c r="Q127" s="17">
        <f ca="1">IFERROR(IF(MAX('SORT IMPORT'!$A$13:$A$408)&gt;ROW()-ROW($A$5)-1,INDEX( PRODUKTE,  VLOOKUP(ROW()-ROW($A$5),zeilenindizes,2)+INDEX(prodRowOffset,Q$3),  MATCH(Q$2,OFFSET(INDEXNAMEN,Q$3,0),0)),""),"")</f>
        <v>0</v>
      </c>
      <c r="R127" s="17">
        <f ca="1">IFERROR(IF(MAX('SORT IMPORT'!$A$13:$A$408)&gt;ROW()-ROW($A$5)-1,INDEX( PRODUKTE,  VLOOKUP(ROW()-ROW($A$5),zeilenindizes,2)+INDEX(prodRowOffset,R$3),  MATCH(R$2,OFFSET(INDEXNAMEN,R$3,0),0)),""),"")</f>
        <v>1</v>
      </c>
      <c r="S127" s="17">
        <f ca="1">IFERROR(IF(MAX('SORT IMPORT'!$A$13:$A$408)&gt;ROW()-ROW($A$5)-1,INDEX( PRODUKTE,  VLOOKUP(ROW()-ROW($A$5),zeilenindizes,2)+INDEX(prodRowOffset,S$3),  MATCH(S$2,OFFSET(INDEXNAMEN,S$3,0),0)),""),"")</f>
        <v>0</v>
      </c>
      <c r="T127" s="17">
        <f ca="1">IFERROR(IF(MAX('SORT IMPORT'!$A$13:$A$408)&gt;ROW()-ROW($A$5)-1,INDEX( PRODUKTE,  VLOOKUP(ROW()-ROW($A$5),zeilenindizes,2)+INDEX(prodRowOffset,T$3),  MATCH(T$2,OFFSET(INDEXNAMEN,T$3,0),0)),""),"")</f>
        <v>0</v>
      </c>
      <c r="U127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73</v>
      </c>
      <c r="V127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8.5</v>
      </c>
      <c r="W127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73</v>
      </c>
      <c r="X127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3</v>
      </c>
      <c r="Y127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27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27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27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27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27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27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145</v>
      </c>
      <c r="AF127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27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145</v>
      </c>
      <c r="AH127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11.5</v>
      </c>
      <c r="AI127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27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27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27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27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27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27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440</v>
      </c>
      <c r="AP127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27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12</v>
      </c>
      <c r="AR127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9999</v>
      </c>
      <c r="AS127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27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102</v>
      </c>
      <c r="AU127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9999</v>
      </c>
      <c r="AV127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90</v>
      </c>
      <c r="AW127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338</v>
      </c>
      <c r="AX127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32</v>
      </c>
      <c r="AY127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45</v>
      </c>
    </row>
    <row r="128" spans="6:51" ht="22.5" customHeight="1" x14ac:dyDescent="0.3">
      <c r="F128" s="17" t="str">
        <f ca="1">IFERROR(IF(MAX('SORT IMPORT'!$A$13:$A$408)&gt;ROW()-ROW($A$5)-1,INDEX( PRODUKTE,  VLOOKUP(ROW()-ROW($A$5),zeilenindizes,2)+INDEX(prodRowOffset,F$3),  MATCH(F$2,OFFSET(INDEXNAMEN,F$3,0),0)),""),"")</f>
        <v>ITS 96 EMF EN 2-4</v>
      </c>
      <c r="G128" s="17" t="str">
        <f ca="1">IFERROR(IF(MAX('SORT IMPORT'!$A$13:$A$408)&gt;ROW()-ROW($A$5)-1,INDEX( PRODUKTE,  VLOOKUP(ROW()-ROW($A$5),zeilenindizes,2)+INDEX(prodRowOffset,G$3),  MATCH(G$2,OFFSET(INDEXNAMEN,G$3,0),0)),""),"")</f>
        <v>I</v>
      </c>
      <c r="H128" s="17" t="str">
        <f ca="1">IFERROR(IF(MAX('SORT IMPORT'!$A$13:$A$408)&gt;ROW()-ROW($A$5)-1,INDEX( PRODUKTE,  VLOOKUP(ROW()-ROW($A$5),zeilenindizes,2)+INDEX(prodRowOffset,H$3),  MATCH(H$2,OFFSET(INDEXNAMEN,H$3,0),0)),""),"")</f>
        <v>96</v>
      </c>
      <c r="I128" s="17" t="str">
        <f ca="1">IFERROR(IF(MAX('SORT IMPORT'!$A$13:$A$408)&gt;ROW()-ROW($A$5)-1,INDEX( PRODUKTE,  VLOOKUP(ROW()-ROW($A$5),zeilenindizes,2)+INDEX(prodRowOffset,I$3),  MATCH(I$2,OFFSET(INDEXNAMEN,I$3,0),0)),""),"")</f>
        <v/>
      </c>
      <c r="J128" s="17" t="str">
        <f ca="1">IFERROR(IF(MAX('SORT IMPORT'!$A$13:$A$408)&gt;ROW()-ROW($A$5)-1,INDEX( PRODUKTE,  VLOOKUP(ROW()-ROW($A$5),zeilenindizes,2)+INDEX(prodRowOffset,J$3),  MATCH(J$2,OFFSET(INDEXNAMEN,J$3,0),0)),""),"")</f>
        <v>E</v>
      </c>
      <c r="K128" s="17">
        <f ca="1">IFERROR(IF(MAX('SORT IMPORT'!$A$13:$A$408)&gt;ROW()-ROW($A$5)-1,INDEX( PRODUKTE,  VLOOKUP(ROW()-ROW($A$5),zeilenindizes,2)+INDEX(prodRowOffset,K$3),  MATCH(K$2,OFFSET(INDEXNAMEN,K$3,0),0)),""),"")</f>
        <v>32</v>
      </c>
      <c r="L128" s="17">
        <f ca="1">IFERROR(IF(MAX('SORT IMPORT'!$A$13:$A$408)&gt;ROW()-ROW($A$5)-1,INDEX( PRODUKTE,  VLOOKUP(ROW()-ROW($A$5),zeilenindizes,2)+INDEX(prodRowOffset,L$3),  MATCH(L$2,OFFSET(INDEXNAMEN,L$3,0),0)),""),"")</f>
        <v>4</v>
      </c>
      <c r="M128" s="17">
        <f ca="1">IFERROR(IF(MAX('SORT IMPORT'!$A$13:$A$408)&gt;ROW()-ROW($A$5)-1,INDEX( PRODUKTE,  VLOOKUP(ROW()-ROW($A$5),zeilenindizes,2)+INDEX(prodRowOffset,M$3),  MATCH(M$2,OFFSET(INDEXNAMEN,M$3,0),0)),""),"")</f>
        <v>14</v>
      </c>
      <c r="N128" s="17">
        <f ca="1">IFERROR(IF(MAX('SORT IMPORT'!$A$13:$A$408)&gt;ROW()-ROW($A$5)-1,INDEX( PRODUKTE,  VLOOKUP(ROW()-ROW($A$5),zeilenindizes,2)+INDEX(prodRowOffset,N$3),  MATCH(N$2,OFFSET(INDEXNAMEN,N$3,0),0)),""),"")</f>
        <v>1</v>
      </c>
      <c r="O128" s="17">
        <f ca="1">IFERROR(IF(MAX('SORT IMPORT'!$A$13:$A$408)&gt;ROW()-ROW($A$5)-1,INDEX( PRODUKTE,  VLOOKUP(ROW()-ROW($A$5),zeilenindizes,2)+INDEX(prodRowOffset,O$3),  MATCH(O$2,OFFSET(INDEXNAMEN,O$3,0),0)),""),"")</f>
        <v>2</v>
      </c>
      <c r="P128" s="17">
        <f ca="1">IFERROR(IF(MAX('SORT IMPORT'!$A$13:$A$408)&gt;ROW()-ROW($A$5)-1,INDEX( PRODUKTE,  VLOOKUP(ROW()-ROW($A$5),zeilenindizes,2)+INDEX(prodRowOffset,P$3),  MATCH(P$2,OFFSET(INDEXNAMEN,P$3,0),0)),""),"")</f>
        <v>0</v>
      </c>
      <c r="Q128" s="17">
        <f ca="1">IFERROR(IF(MAX('SORT IMPORT'!$A$13:$A$408)&gt;ROW()-ROW($A$5)-1,INDEX( PRODUKTE,  VLOOKUP(ROW()-ROW($A$5),zeilenindizes,2)+INDEX(prodRowOffset,Q$3),  MATCH(Q$2,OFFSET(INDEXNAMEN,Q$3,0),0)),""),"")</f>
        <v>1</v>
      </c>
      <c r="R128" s="17">
        <f ca="1">IFERROR(IF(MAX('SORT IMPORT'!$A$13:$A$408)&gt;ROW()-ROW($A$5)-1,INDEX( PRODUKTE,  VLOOKUP(ROW()-ROW($A$5),zeilenindizes,2)+INDEX(prodRowOffset,R$3),  MATCH(R$2,OFFSET(INDEXNAMEN,R$3,0),0)),""),"")</f>
        <v>1</v>
      </c>
      <c r="S128" s="17">
        <f ca="1">IFERROR(IF(MAX('SORT IMPORT'!$A$13:$A$408)&gt;ROW()-ROW($A$5)-1,INDEX( PRODUKTE,  VLOOKUP(ROW()-ROW($A$5),zeilenindizes,2)+INDEX(prodRowOffset,S$3),  MATCH(S$2,OFFSET(INDEXNAMEN,S$3,0),0)),""),"")</f>
        <v>0</v>
      </c>
      <c r="T128" s="17">
        <f ca="1">IFERROR(IF(MAX('SORT IMPORT'!$A$13:$A$408)&gt;ROW()-ROW($A$5)-1,INDEX( PRODUKTE,  VLOOKUP(ROW()-ROW($A$5),zeilenindizes,2)+INDEX(prodRowOffset,T$3),  MATCH(T$2,OFFSET(INDEXNAMEN,T$3,0),0)),""),"")</f>
        <v>0</v>
      </c>
      <c r="U128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73</v>
      </c>
      <c r="V128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8.5</v>
      </c>
      <c r="W128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73</v>
      </c>
      <c r="X128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3</v>
      </c>
      <c r="Y128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28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28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28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28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28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28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90</v>
      </c>
      <c r="AF128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28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90</v>
      </c>
      <c r="AH128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11.5</v>
      </c>
      <c r="AI128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28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28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28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28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28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28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527</v>
      </c>
      <c r="AP128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128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128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9999</v>
      </c>
      <c r="AS128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28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102</v>
      </c>
      <c r="AU128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9999</v>
      </c>
      <c r="AV128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138</v>
      </c>
      <c r="AW128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338</v>
      </c>
      <c r="AX128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32</v>
      </c>
      <c r="AY128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45</v>
      </c>
    </row>
    <row r="129" spans="6:51" ht="22.5" customHeight="1" x14ac:dyDescent="0.3">
      <c r="F129" s="17" t="str">
        <f ca="1">IFERROR(IF(MAX('SORT IMPORT'!$A$13:$A$408)&gt;ROW()-ROW($A$5)-1,INDEX( PRODUKTE,  VLOOKUP(ROW()-ROW($A$5),zeilenindizes,2)+INDEX(prodRowOffset,F$3),  MATCH(F$2,OFFSET(INDEXNAMEN,F$3,0),0)),""),"")</f>
        <v>ITS 96 GSR EN 2-4</v>
      </c>
      <c r="G129" s="17" t="str">
        <f ca="1">IFERROR(IF(MAX('SORT IMPORT'!$A$13:$A$408)&gt;ROW()-ROW($A$5)-1,INDEX( PRODUKTE,  VLOOKUP(ROW()-ROW($A$5),zeilenindizes,2)+INDEX(prodRowOffset,G$3),  MATCH(G$2,OFFSET(INDEXNAMEN,G$3,0),0)),""),"")</f>
        <v>I</v>
      </c>
      <c r="H129" s="17" t="str">
        <f ca="1">IFERROR(IF(MAX('SORT IMPORT'!$A$13:$A$408)&gt;ROW()-ROW($A$5)-1,INDEX( PRODUKTE,  VLOOKUP(ROW()-ROW($A$5),zeilenindizes,2)+INDEX(prodRowOffset,H$3),  MATCH(H$2,OFFSET(INDEXNAMEN,H$3,0),0)),""),"")</f>
        <v>96</v>
      </c>
      <c r="I129" s="17" t="str">
        <f ca="1">IFERROR(IF(MAX('SORT IMPORT'!$A$13:$A$408)&gt;ROW()-ROW($A$5)-1,INDEX( PRODUKTE,  VLOOKUP(ROW()-ROW($A$5),zeilenindizes,2)+INDEX(prodRowOffset,I$3),  MATCH(I$2,OFFSET(INDEXNAMEN,I$3,0),0)),""),"")</f>
        <v/>
      </c>
      <c r="J129" s="17" t="str">
        <f ca="1">IFERROR(IF(MAX('SORT IMPORT'!$A$13:$A$408)&gt;ROW()-ROW($A$5)-1,INDEX( PRODUKTE,  VLOOKUP(ROW()-ROW($A$5),zeilenindizes,2)+INDEX(prodRowOffset,J$3),  MATCH(J$2,OFFSET(INDEXNAMEN,J$3,0),0)),""),"")</f>
        <v/>
      </c>
      <c r="K129" s="17">
        <f ca="1">IFERROR(IF(MAX('SORT IMPORT'!$A$13:$A$408)&gt;ROW()-ROW($A$5)-1,INDEX( PRODUKTE,  VLOOKUP(ROW()-ROW($A$5),zeilenindizes,2)+INDEX(prodRowOffset,K$3),  MATCH(K$2,OFFSET(INDEXNAMEN,K$3,0),0)),""),"")</f>
        <v>32</v>
      </c>
      <c r="L129" s="17">
        <f ca="1">IFERROR(IF(MAX('SORT IMPORT'!$A$13:$A$408)&gt;ROW()-ROW($A$5)-1,INDEX( PRODUKTE,  VLOOKUP(ROW()-ROW($A$5),zeilenindizes,2)+INDEX(prodRowOffset,L$3),  MATCH(L$2,OFFSET(INDEXNAMEN,L$3,0),0)),""),"")</f>
        <v>16</v>
      </c>
      <c r="M129" s="17">
        <f ca="1">IFERROR(IF(MAX('SORT IMPORT'!$A$13:$A$408)&gt;ROW()-ROW($A$5)-1,INDEX( PRODUKTE,  VLOOKUP(ROW()-ROW($A$5),zeilenindizes,2)+INDEX(prodRowOffset,M$3),  MATCH(M$2,OFFSET(INDEXNAMEN,M$3,0),0)),""),"")</f>
        <v>14</v>
      </c>
      <c r="N129" s="17">
        <f ca="1">IFERROR(IF(MAX('SORT IMPORT'!$A$13:$A$408)&gt;ROW()-ROW($A$5)-1,INDEX( PRODUKTE,  VLOOKUP(ROW()-ROW($A$5),zeilenindizes,2)+INDEX(prodRowOffset,N$3),  MATCH(N$2,OFFSET(INDEXNAMEN,N$3,0),0)),""),"")</f>
        <v>2</v>
      </c>
      <c r="O129" s="17">
        <f ca="1">IFERROR(IF(MAX('SORT IMPORT'!$A$13:$A$408)&gt;ROW()-ROW($A$5)-1,INDEX( PRODUKTE,  VLOOKUP(ROW()-ROW($A$5),zeilenindizes,2)+INDEX(prodRowOffset,O$3),  MATCH(O$2,OFFSET(INDEXNAMEN,O$3,0),0)),""),"")</f>
        <v>0</v>
      </c>
      <c r="P129" s="17">
        <f ca="1">IFERROR(IF(MAX('SORT IMPORT'!$A$13:$A$408)&gt;ROW()-ROW($A$5)-1,INDEX( PRODUKTE,  VLOOKUP(ROW()-ROW($A$5),zeilenindizes,2)+INDEX(prodRowOffset,P$3),  MATCH(P$2,OFFSET(INDEXNAMEN,P$3,0),0)),""),"")</f>
        <v>0</v>
      </c>
      <c r="Q129" s="17">
        <f ca="1">IFERROR(IF(MAX('SORT IMPORT'!$A$13:$A$408)&gt;ROW()-ROW($A$5)-1,INDEX( PRODUKTE,  VLOOKUP(ROW()-ROW($A$5),zeilenindizes,2)+INDEX(prodRowOffset,Q$3),  MATCH(Q$2,OFFSET(INDEXNAMEN,Q$3,0),0)),""),"")</f>
        <v>1</v>
      </c>
      <c r="R129" s="17">
        <f ca="1">IFERROR(IF(MAX('SORT IMPORT'!$A$13:$A$408)&gt;ROW()-ROW($A$5)-1,INDEX( PRODUKTE,  VLOOKUP(ROW()-ROW($A$5),zeilenindizes,2)+INDEX(prodRowOffset,R$3),  MATCH(R$2,OFFSET(INDEXNAMEN,R$3,0),0)),""),"")</f>
        <v>1</v>
      </c>
      <c r="S129" s="17">
        <f ca="1">IFERROR(IF(MAX('SORT IMPORT'!$A$13:$A$408)&gt;ROW()-ROW($A$5)-1,INDEX( PRODUKTE,  VLOOKUP(ROW()-ROW($A$5),zeilenindizes,2)+INDEX(prodRowOffset,S$3),  MATCH(S$2,OFFSET(INDEXNAMEN,S$3,0),0)),""),"")</f>
        <v>1</v>
      </c>
      <c r="T129" s="17">
        <f ca="1">IFERROR(IF(MAX('SORT IMPORT'!$A$13:$A$408)&gt;ROW()-ROW($A$5)-1,INDEX( PRODUKTE,  VLOOKUP(ROW()-ROW($A$5),zeilenindizes,2)+INDEX(prodRowOffset,T$3),  MATCH(T$2,OFFSET(INDEXNAMEN,T$3,0),0)),""),"")</f>
        <v>0</v>
      </c>
      <c r="U129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73</v>
      </c>
      <c r="V129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8.5</v>
      </c>
      <c r="W129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73</v>
      </c>
      <c r="X129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3</v>
      </c>
      <c r="Y129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29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29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29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29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29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29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90</v>
      </c>
      <c r="AF129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29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90</v>
      </c>
      <c r="AH129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29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29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29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29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29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29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29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129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129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129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9999</v>
      </c>
      <c r="AS129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29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102</v>
      </c>
      <c r="AU129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9999</v>
      </c>
      <c r="AV129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90</v>
      </c>
      <c r="AW129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338</v>
      </c>
      <c r="AX129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32</v>
      </c>
      <c r="AY129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45</v>
      </c>
    </row>
    <row r="130" spans="6:51" ht="22.5" customHeight="1" x14ac:dyDescent="0.3">
      <c r="F130" s="17" t="str">
        <f ca="1">IFERROR(IF(MAX('SORT IMPORT'!$A$13:$A$408)&gt;ROW()-ROW($A$5)-1,INDEX( PRODUKTE,  VLOOKUP(ROW()-ROW($A$5),zeilenindizes,2)+INDEX(prodRowOffset,F$3),  MATCH(F$2,OFFSET(INDEXNAMEN,F$3,0),0)),""),"")</f>
        <v>ITS 96 GSR RF EN 2-4</v>
      </c>
      <c r="G130" s="17" t="str">
        <f ca="1">IFERROR(IF(MAX('SORT IMPORT'!$A$13:$A$408)&gt;ROW()-ROW($A$5)-1,INDEX( PRODUKTE,  VLOOKUP(ROW()-ROW($A$5),zeilenindizes,2)+INDEX(prodRowOffset,G$3),  MATCH(G$2,OFFSET(INDEXNAMEN,G$3,0),0)),""),"")</f>
        <v>I</v>
      </c>
      <c r="H130" s="17" t="str">
        <f ca="1">IFERROR(IF(MAX('SORT IMPORT'!$A$13:$A$408)&gt;ROW()-ROW($A$5)-1,INDEX( PRODUKTE,  VLOOKUP(ROW()-ROW($A$5),zeilenindizes,2)+INDEX(prodRowOffset,H$3),  MATCH(H$2,OFFSET(INDEXNAMEN,H$3,0),0)),""),"")</f>
        <v>96</v>
      </c>
      <c r="I130" s="17" t="str">
        <f ca="1">IFERROR(IF(MAX('SORT IMPORT'!$A$13:$A$408)&gt;ROW()-ROW($A$5)-1,INDEX( PRODUKTE,  VLOOKUP(ROW()-ROW($A$5),zeilenindizes,2)+INDEX(prodRowOffset,I$3),  MATCH(I$2,OFFSET(INDEXNAMEN,I$3,0),0)),""),"")</f>
        <v/>
      </c>
      <c r="J130" s="17" t="str">
        <f ca="1">IFERROR(IF(MAX('SORT IMPORT'!$A$13:$A$408)&gt;ROW()-ROW($A$5)-1,INDEX( PRODUKTE,  VLOOKUP(ROW()-ROW($A$5),zeilenindizes,2)+INDEX(prodRowOffset,J$3),  MATCH(J$2,OFFSET(INDEXNAMEN,J$3,0),0)),""),"")</f>
        <v>M</v>
      </c>
      <c r="K130" s="17">
        <f ca="1">IFERROR(IF(MAX('SORT IMPORT'!$A$13:$A$408)&gt;ROW()-ROW($A$5)-1,INDEX( PRODUKTE,  VLOOKUP(ROW()-ROW($A$5),zeilenindizes,2)+INDEX(prodRowOffset,K$3),  MATCH(K$2,OFFSET(INDEXNAMEN,K$3,0),0)),""),"")</f>
        <v>32</v>
      </c>
      <c r="L130" s="17">
        <f ca="1">IFERROR(IF(MAX('SORT IMPORT'!$A$13:$A$408)&gt;ROW()-ROW($A$5)-1,INDEX( PRODUKTE,  VLOOKUP(ROW()-ROW($A$5),zeilenindizes,2)+INDEX(prodRowOffset,L$3),  MATCH(L$2,OFFSET(INDEXNAMEN,L$3,0),0)),""),"")</f>
        <v>32</v>
      </c>
      <c r="M130" s="17">
        <f ca="1">IFERROR(IF(MAX('SORT IMPORT'!$A$13:$A$408)&gt;ROW()-ROW($A$5)-1,INDEX( PRODUKTE,  VLOOKUP(ROW()-ROW($A$5),zeilenindizes,2)+INDEX(prodRowOffset,M$3),  MATCH(M$2,OFFSET(INDEXNAMEN,M$3,0),0)),""),"")</f>
        <v>14</v>
      </c>
      <c r="N130" s="17">
        <f ca="1">IFERROR(IF(MAX('SORT IMPORT'!$A$13:$A$408)&gt;ROW()-ROW($A$5)-1,INDEX( PRODUKTE,  VLOOKUP(ROW()-ROW($A$5),zeilenindizes,2)+INDEX(prodRowOffset,N$3),  MATCH(N$2,OFFSET(INDEXNAMEN,N$3,0),0)),""),"")</f>
        <v>2</v>
      </c>
      <c r="O130" s="17">
        <f ca="1">IFERROR(IF(MAX('SORT IMPORT'!$A$13:$A$408)&gt;ROW()-ROW($A$5)-1,INDEX( PRODUKTE,  VLOOKUP(ROW()-ROW($A$5),zeilenindizes,2)+INDEX(prodRowOffset,O$3),  MATCH(O$2,OFFSET(INDEXNAMEN,O$3,0),0)),""),"")</f>
        <v>0</v>
      </c>
      <c r="P130" s="17">
        <f ca="1">IFERROR(IF(MAX('SORT IMPORT'!$A$13:$A$408)&gt;ROW()-ROW($A$5)-1,INDEX( PRODUKTE,  VLOOKUP(ROW()-ROW($A$5),zeilenindizes,2)+INDEX(prodRowOffset,P$3),  MATCH(P$2,OFFSET(INDEXNAMEN,P$3,0),0)),""),"")</f>
        <v>0</v>
      </c>
      <c r="Q130" s="17">
        <f ca="1">IFERROR(IF(MAX('SORT IMPORT'!$A$13:$A$408)&gt;ROW()-ROW($A$5)-1,INDEX( PRODUKTE,  VLOOKUP(ROW()-ROW($A$5),zeilenindizes,2)+INDEX(prodRowOffset,Q$3),  MATCH(Q$2,OFFSET(INDEXNAMEN,Q$3,0),0)),""),"")</f>
        <v>1</v>
      </c>
      <c r="R130" s="17">
        <f ca="1">IFERROR(IF(MAX('SORT IMPORT'!$A$13:$A$408)&gt;ROW()-ROW($A$5)-1,INDEX( PRODUKTE,  VLOOKUP(ROW()-ROW($A$5),zeilenindizes,2)+INDEX(prodRowOffset,R$3),  MATCH(R$2,OFFSET(INDEXNAMEN,R$3,0),0)),""),"")</f>
        <v>1</v>
      </c>
      <c r="S130" s="17">
        <f ca="1">IFERROR(IF(MAX('SORT IMPORT'!$A$13:$A$408)&gt;ROW()-ROW($A$5)-1,INDEX( PRODUKTE,  VLOOKUP(ROW()-ROW($A$5),zeilenindizes,2)+INDEX(prodRowOffset,S$3),  MATCH(S$2,OFFSET(INDEXNAMEN,S$3,0),0)),""),"")</f>
        <v>1</v>
      </c>
      <c r="T130" s="17">
        <f ca="1">IFERROR(IF(MAX('SORT IMPORT'!$A$13:$A$408)&gt;ROW()-ROW($A$5)-1,INDEX( PRODUKTE,  VLOOKUP(ROW()-ROW($A$5),zeilenindizes,2)+INDEX(prodRowOffset,T$3),  MATCH(T$2,OFFSET(INDEXNAMEN,T$3,0),0)),""),"")</f>
        <v>0</v>
      </c>
      <c r="U130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73</v>
      </c>
      <c r="V130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8.5</v>
      </c>
      <c r="W130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73</v>
      </c>
      <c r="X130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3</v>
      </c>
      <c r="Y130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30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30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30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30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30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30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90</v>
      </c>
      <c r="AF130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30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90</v>
      </c>
      <c r="AH130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30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30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30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30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30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30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30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130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130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130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9999</v>
      </c>
      <c r="AS130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30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102</v>
      </c>
      <c r="AU130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9999</v>
      </c>
      <c r="AV130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90</v>
      </c>
      <c r="AW130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338</v>
      </c>
      <c r="AX130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32</v>
      </c>
      <c r="AY130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45</v>
      </c>
    </row>
    <row r="131" spans="6:51" ht="22.5" customHeight="1" x14ac:dyDescent="0.3">
      <c r="F131" s="17" t="str">
        <f ca="1">IFERROR(IF(MAX('SORT IMPORT'!$A$13:$A$408)&gt;ROW()-ROW($A$5)-1,INDEX( PRODUKTE,  VLOOKUP(ROW()-ROW($A$5),zeilenindizes,2)+INDEX(prodRowOffset,F$3),  MATCH(F$2,OFFSET(INDEXNAMEN,F$3,0),0)),""),"")</f>
        <v>ITS 96 GSR-EMF EN 2-4</v>
      </c>
      <c r="G131" s="17" t="str">
        <f ca="1">IFERROR(IF(MAX('SORT IMPORT'!$A$13:$A$408)&gt;ROW()-ROW($A$5)-1,INDEX( PRODUKTE,  VLOOKUP(ROW()-ROW($A$5),zeilenindizes,2)+INDEX(prodRowOffset,G$3),  MATCH(G$2,OFFSET(INDEXNAMEN,G$3,0),0)),""),"")</f>
        <v>I</v>
      </c>
      <c r="H131" s="17" t="str">
        <f ca="1">IFERROR(IF(MAX('SORT IMPORT'!$A$13:$A$408)&gt;ROW()-ROW($A$5)-1,INDEX( PRODUKTE,  VLOOKUP(ROW()-ROW($A$5),zeilenindizes,2)+INDEX(prodRowOffset,H$3),  MATCH(H$2,OFFSET(INDEXNAMEN,H$3,0),0)),""),"")</f>
        <v>96</v>
      </c>
      <c r="I131" s="17" t="str">
        <f ca="1">IFERROR(IF(MAX('SORT IMPORT'!$A$13:$A$408)&gt;ROW()-ROW($A$5)-1,INDEX( PRODUKTE,  VLOOKUP(ROW()-ROW($A$5),zeilenindizes,2)+INDEX(prodRowOffset,I$3),  MATCH(I$2,OFFSET(INDEXNAMEN,I$3,0),0)),""),"")</f>
        <v/>
      </c>
      <c r="J131" s="17" t="str">
        <f ca="1">IFERROR(IF(MAX('SORT IMPORT'!$A$13:$A$408)&gt;ROW()-ROW($A$5)-1,INDEX( PRODUKTE,  VLOOKUP(ROW()-ROW($A$5),zeilenindizes,2)+INDEX(prodRowOffset,J$3),  MATCH(J$2,OFFSET(INDEXNAMEN,J$3,0),0)),""),"")</f>
        <v>E</v>
      </c>
      <c r="K131" s="17">
        <f ca="1">IFERROR(IF(MAX('SORT IMPORT'!$A$13:$A$408)&gt;ROW()-ROW($A$5)-1,INDEX( PRODUKTE,  VLOOKUP(ROW()-ROW($A$5),zeilenindizes,2)+INDEX(prodRowOffset,K$3),  MATCH(K$2,OFFSET(INDEXNAMEN,K$3,0),0)),""),"")</f>
        <v>32</v>
      </c>
      <c r="L131" s="17">
        <f ca="1">IFERROR(IF(MAX('SORT IMPORT'!$A$13:$A$408)&gt;ROW()-ROW($A$5)-1,INDEX( PRODUKTE,  VLOOKUP(ROW()-ROW($A$5),zeilenindizes,2)+INDEX(prodRowOffset,L$3),  MATCH(L$2,OFFSET(INDEXNAMEN,L$3,0),0)),""),"")</f>
        <v>256</v>
      </c>
      <c r="M131" s="17">
        <f ca="1">IFERROR(IF(MAX('SORT IMPORT'!$A$13:$A$408)&gt;ROW()-ROW($A$5)-1,INDEX( PRODUKTE,  VLOOKUP(ROW()-ROW($A$5),zeilenindizes,2)+INDEX(prodRowOffset,M$3),  MATCH(M$2,OFFSET(INDEXNAMEN,M$3,0),0)),""),"")</f>
        <v>14</v>
      </c>
      <c r="N131" s="17">
        <f ca="1">IFERROR(IF(MAX('SORT IMPORT'!$A$13:$A$408)&gt;ROW()-ROW($A$5)-1,INDEX( PRODUKTE,  VLOOKUP(ROW()-ROW($A$5),zeilenindizes,2)+INDEX(prodRowOffset,N$3),  MATCH(N$2,OFFSET(INDEXNAMEN,N$3,0),0)),""),"")</f>
        <v>2</v>
      </c>
      <c r="O131" s="17">
        <f ca="1">IFERROR(IF(MAX('SORT IMPORT'!$A$13:$A$408)&gt;ROW()-ROW($A$5)-1,INDEX( PRODUKTE,  VLOOKUP(ROW()-ROW($A$5),zeilenindizes,2)+INDEX(prodRowOffset,O$3),  MATCH(O$2,OFFSET(INDEXNAMEN,O$3,0),0)),""),"")</f>
        <v>2</v>
      </c>
      <c r="P131" s="17">
        <f ca="1">IFERROR(IF(MAX('SORT IMPORT'!$A$13:$A$408)&gt;ROW()-ROW($A$5)-1,INDEX( PRODUKTE,  VLOOKUP(ROW()-ROW($A$5),zeilenindizes,2)+INDEX(prodRowOffset,P$3),  MATCH(P$2,OFFSET(INDEXNAMEN,P$3,0),0)),""),"")</f>
        <v>0</v>
      </c>
      <c r="Q131" s="17">
        <f ca="1">IFERROR(IF(MAX('SORT IMPORT'!$A$13:$A$408)&gt;ROW()-ROW($A$5)-1,INDEX( PRODUKTE,  VLOOKUP(ROW()-ROW($A$5),zeilenindizes,2)+INDEX(prodRowOffset,Q$3),  MATCH(Q$2,OFFSET(INDEXNAMEN,Q$3,0),0)),""),"")</f>
        <v>1</v>
      </c>
      <c r="R131" s="17">
        <f ca="1">IFERROR(IF(MAX('SORT IMPORT'!$A$13:$A$408)&gt;ROW()-ROW($A$5)-1,INDEX( PRODUKTE,  VLOOKUP(ROW()-ROW($A$5),zeilenindizes,2)+INDEX(prodRowOffset,R$3),  MATCH(R$2,OFFSET(INDEXNAMEN,R$3,0),0)),""),"")</f>
        <v>1</v>
      </c>
      <c r="S131" s="17">
        <f ca="1">IFERROR(IF(MAX('SORT IMPORT'!$A$13:$A$408)&gt;ROW()-ROW($A$5)-1,INDEX( PRODUKTE,  VLOOKUP(ROW()-ROW($A$5),zeilenindizes,2)+INDEX(prodRowOffset,S$3),  MATCH(S$2,OFFSET(INDEXNAMEN,S$3,0),0)),""),"")</f>
        <v>1</v>
      </c>
      <c r="T131" s="17">
        <f ca="1">IFERROR(IF(MAX('SORT IMPORT'!$A$13:$A$408)&gt;ROW()-ROW($A$5)-1,INDEX( PRODUKTE,  VLOOKUP(ROW()-ROW($A$5),zeilenindizes,2)+INDEX(prodRowOffset,T$3),  MATCH(T$2,OFFSET(INDEXNAMEN,T$3,0),0)),""),"")</f>
        <v>0</v>
      </c>
      <c r="U131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73</v>
      </c>
      <c r="V131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8.5</v>
      </c>
      <c r="W131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73</v>
      </c>
      <c r="X131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3</v>
      </c>
      <c r="Y131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31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31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31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31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31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31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90</v>
      </c>
      <c r="AF131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31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90</v>
      </c>
      <c r="AH131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31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31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31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31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31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31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31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131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131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131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9999</v>
      </c>
      <c r="AS131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31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102</v>
      </c>
      <c r="AU131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9999</v>
      </c>
      <c r="AV131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138</v>
      </c>
      <c r="AW131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338</v>
      </c>
      <c r="AX131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32</v>
      </c>
      <c r="AY131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45</v>
      </c>
    </row>
    <row r="132" spans="6:51" ht="22.5" customHeight="1" x14ac:dyDescent="0.3">
      <c r="F132" s="17" t="str">
        <f ca="1">IFERROR(IF(MAX('SORT IMPORT'!$A$13:$A$408)&gt;ROW()-ROW($A$5)-1,INDEX( PRODUKTE,  VLOOKUP(ROW()-ROW($A$5),zeilenindizes,2)+INDEX(prodRowOffset,F$3),  MATCH(F$2,OFFSET(INDEXNAMEN,F$3,0),0)),""),"")</f>
        <v>ITS 96 EN 3-6</v>
      </c>
      <c r="G132" s="17" t="str">
        <f ca="1">IFERROR(IF(MAX('SORT IMPORT'!$A$13:$A$408)&gt;ROW()-ROW($A$5)-1,INDEX( PRODUKTE,  VLOOKUP(ROW()-ROW($A$5),zeilenindizes,2)+INDEX(prodRowOffset,G$3),  MATCH(G$2,OFFSET(INDEXNAMEN,G$3,0),0)),""),"")</f>
        <v>I</v>
      </c>
      <c r="H132" s="17" t="str">
        <f ca="1">IFERROR(IF(MAX('SORT IMPORT'!$A$13:$A$408)&gt;ROW()-ROW($A$5)-1,INDEX( PRODUKTE,  VLOOKUP(ROW()-ROW($A$5),zeilenindizes,2)+INDEX(prodRowOffset,H$3),  MATCH(H$2,OFFSET(INDEXNAMEN,H$3,0),0)),""),"")</f>
        <v>96</v>
      </c>
      <c r="I132" s="17" t="str">
        <f ca="1">IFERROR(IF(MAX('SORT IMPORT'!$A$13:$A$408)&gt;ROW()-ROW($A$5)-1,INDEX( PRODUKTE,  VLOOKUP(ROW()-ROW($A$5),zeilenindizes,2)+INDEX(prodRowOffset,I$3),  MATCH(I$2,OFFSET(INDEXNAMEN,I$3,0),0)),""),"")</f>
        <v/>
      </c>
      <c r="J132" s="17" t="str">
        <f ca="1">IFERROR(IF(MAX('SORT IMPORT'!$A$13:$A$408)&gt;ROW()-ROW($A$5)-1,INDEX( PRODUKTE,  VLOOKUP(ROW()-ROW($A$5),zeilenindizes,2)+INDEX(prodRowOffset,J$3),  MATCH(J$2,OFFSET(INDEXNAMEN,J$3,0),0)),""),"")</f>
        <v/>
      </c>
      <c r="K132" s="17">
        <f ca="1">IFERROR(IF(MAX('SORT IMPORT'!$A$13:$A$408)&gt;ROW()-ROW($A$5)-1,INDEX( PRODUKTE,  VLOOKUP(ROW()-ROW($A$5),zeilenindizes,2)+INDEX(prodRowOffset,K$3),  MATCH(K$2,OFFSET(INDEXNAMEN,K$3,0),0)),""),"")</f>
        <v>96</v>
      </c>
      <c r="L132" s="17">
        <f ca="1">IFERROR(IF(MAX('SORT IMPORT'!$A$13:$A$408)&gt;ROW()-ROW($A$5)-1,INDEX( PRODUKTE,  VLOOKUP(ROW()-ROW($A$5),zeilenindizes,2)+INDEX(prodRowOffset,L$3),  MATCH(L$2,OFFSET(INDEXNAMEN,L$3,0),0)),""),"")</f>
        <v>1</v>
      </c>
      <c r="M132" s="17">
        <f ca="1">IFERROR(IF(MAX('SORT IMPORT'!$A$13:$A$408)&gt;ROW()-ROW($A$5)-1,INDEX( PRODUKTE,  VLOOKUP(ROW()-ROW($A$5),zeilenindizes,2)+INDEX(prodRowOffset,M$3),  MATCH(M$2,OFFSET(INDEXNAMEN,M$3,0),0)),""),"")</f>
        <v>60</v>
      </c>
      <c r="N132" s="17">
        <f ca="1">IFERROR(IF(MAX('SORT IMPORT'!$A$13:$A$408)&gt;ROW()-ROW($A$5)-1,INDEX( PRODUKTE,  VLOOKUP(ROW()-ROW($A$5),zeilenindizes,2)+INDEX(prodRowOffset,N$3),  MATCH(N$2,OFFSET(INDEXNAMEN,N$3,0),0)),""),"")</f>
        <v>1</v>
      </c>
      <c r="O132" s="17">
        <f ca="1">IFERROR(IF(MAX('SORT IMPORT'!$A$13:$A$408)&gt;ROW()-ROW($A$5)-1,INDEX( PRODUKTE,  VLOOKUP(ROW()-ROW($A$5),zeilenindizes,2)+INDEX(prodRowOffset,O$3),  MATCH(O$2,OFFSET(INDEXNAMEN,O$3,0),0)),""),"")</f>
        <v>0</v>
      </c>
      <c r="P132" s="17">
        <f ca="1">IFERROR(IF(MAX('SORT IMPORT'!$A$13:$A$408)&gt;ROW()-ROW($A$5)-1,INDEX( PRODUKTE,  VLOOKUP(ROW()-ROW($A$5),zeilenindizes,2)+INDEX(prodRowOffset,P$3),  MATCH(P$2,OFFSET(INDEXNAMEN,P$3,0),0)),""),"")</f>
        <v>0</v>
      </c>
      <c r="Q132" s="17">
        <f ca="1">IFERROR(IF(MAX('SORT IMPORT'!$A$13:$A$408)&gt;ROW()-ROW($A$5)-1,INDEX( PRODUKTE,  VLOOKUP(ROW()-ROW($A$5),zeilenindizes,2)+INDEX(prodRowOffset,Q$3),  MATCH(Q$2,OFFSET(INDEXNAMEN,Q$3,0),0)),""),"")</f>
        <v>1</v>
      </c>
      <c r="R132" s="17">
        <f ca="1">IFERROR(IF(MAX('SORT IMPORT'!$A$13:$A$408)&gt;ROW()-ROW($A$5)-1,INDEX( PRODUKTE,  VLOOKUP(ROW()-ROW($A$5),zeilenindizes,2)+INDEX(prodRowOffset,R$3),  MATCH(R$2,OFFSET(INDEXNAMEN,R$3,0),0)),""),"")</f>
        <v>1</v>
      </c>
      <c r="S132" s="17">
        <f ca="1">IFERROR(IF(MAX('SORT IMPORT'!$A$13:$A$408)&gt;ROW()-ROW($A$5)-1,INDEX( PRODUKTE,  VLOOKUP(ROW()-ROW($A$5),zeilenindizes,2)+INDEX(prodRowOffset,S$3),  MATCH(S$2,OFFSET(INDEXNAMEN,S$3,0),0)),""),"")</f>
        <v>0</v>
      </c>
      <c r="T132" s="17">
        <f ca="1">IFERROR(IF(MAX('SORT IMPORT'!$A$13:$A$408)&gt;ROW()-ROW($A$5)-1,INDEX( PRODUKTE,  VLOOKUP(ROW()-ROW($A$5),zeilenindizes,2)+INDEX(prodRowOffset,T$3),  MATCH(T$2,OFFSET(INDEXNAMEN,T$3,0),0)),""),"")</f>
        <v>0</v>
      </c>
      <c r="U132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70</v>
      </c>
      <c r="V132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8.5</v>
      </c>
      <c r="W132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70</v>
      </c>
      <c r="X132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3</v>
      </c>
      <c r="Y132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32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32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32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32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32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32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145</v>
      </c>
      <c r="AF132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32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145</v>
      </c>
      <c r="AH132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11.5</v>
      </c>
      <c r="AI132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32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32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32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32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32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32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440</v>
      </c>
      <c r="AP132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32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12</v>
      </c>
      <c r="AR132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9999</v>
      </c>
      <c r="AS132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32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105</v>
      </c>
      <c r="AU132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9999</v>
      </c>
      <c r="AV132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90</v>
      </c>
      <c r="AW132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352</v>
      </c>
      <c r="AX132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40</v>
      </c>
      <c r="AY132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54</v>
      </c>
    </row>
    <row r="133" spans="6:51" ht="22.5" customHeight="1" x14ac:dyDescent="0.3">
      <c r="F133" s="17" t="str">
        <f ca="1">IFERROR(IF(MAX('SORT IMPORT'!$A$13:$A$408)&gt;ROW()-ROW($A$5)-1,INDEX( PRODUKTE,  VLOOKUP(ROW()-ROW($A$5),zeilenindizes,2)+INDEX(prodRowOffset,F$3),  MATCH(F$2,OFFSET(INDEXNAMEN,F$3,0),0)),""),"")</f>
        <v>ITS 96 RF EN 3-6</v>
      </c>
      <c r="G133" s="17" t="str">
        <f ca="1">IFERROR(IF(MAX('SORT IMPORT'!$A$13:$A$408)&gt;ROW()-ROW($A$5)-1,INDEX( PRODUKTE,  VLOOKUP(ROW()-ROW($A$5),zeilenindizes,2)+INDEX(prodRowOffset,G$3),  MATCH(G$2,OFFSET(INDEXNAMEN,G$3,0),0)),""),"")</f>
        <v>I</v>
      </c>
      <c r="H133" s="17" t="str">
        <f ca="1">IFERROR(IF(MAX('SORT IMPORT'!$A$13:$A$408)&gt;ROW()-ROW($A$5)-1,INDEX( PRODUKTE,  VLOOKUP(ROW()-ROW($A$5),zeilenindizes,2)+INDEX(prodRowOffset,H$3),  MATCH(H$2,OFFSET(INDEXNAMEN,H$3,0),0)),""),"")</f>
        <v>96</v>
      </c>
      <c r="I133" s="17" t="str">
        <f ca="1">IFERROR(IF(MAX('SORT IMPORT'!$A$13:$A$408)&gt;ROW()-ROW($A$5)-1,INDEX( PRODUKTE,  VLOOKUP(ROW()-ROW($A$5),zeilenindizes,2)+INDEX(prodRowOffset,I$3),  MATCH(I$2,OFFSET(INDEXNAMEN,I$3,0),0)),""),"")</f>
        <v/>
      </c>
      <c r="J133" s="17" t="str">
        <f ca="1">IFERROR(IF(MAX('SORT IMPORT'!$A$13:$A$408)&gt;ROW()-ROW($A$5)-1,INDEX( PRODUKTE,  VLOOKUP(ROW()-ROW($A$5),zeilenindizes,2)+INDEX(prodRowOffset,J$3),  MATCH(J$2,OFFSET(INDEXNAMEN,J$3,0),0)),""),"")</f>
        <v>M</v>
      </c>
      <c r="K133" s="17">
        <f ca="1">IFERROR(IF(MAX('SORT IMPORT'!$A$13:$A$408)&gt;ROW()-ROW($A$5)-1,INDEX( PRODUKTE,  VLOOKUP(ROW()-ROW($A$5),zeilenindizes,2)+INDEX(prodRowOffset,K$3),  MATCH(K$2,OFFSET(INDEXNAMEN,K$3,0),0)),""),"")</f>
        <v>96</v>
      </c>
      <c r="L133" s="17">
        <f ca="1">IFERROR(IF(MAX('SORT IMPORT'!$A$13:$A$408)&gt;ROW()-ROW($A$5)-1,INDEX( PRODUKTE,  VLOOKUP(ROW()-ROW($A$5),zeilenindizes,2)+INDEX(prodRowOffset,L$3),  MATCH(L$2,OFFSET(INDEXNAMEN,L$3,0),0)),""),"")</f>
        <v>2</v>
      </c>
      <c r="M133" s="17">
        <f ca="1">IFERROR(IF(MAX('SORT IMPORT'!$A$13:$A$408)&gt;ROW()-ROW($A$5)-1,INDEX( PRODUKTE,  VLOOKUP(ROW()-ROW($A$5),zeilenindizes,2)+INDEX(prodRowOffset,M$3),  MATCH(M$2,OFFSET(INDEXNAMEN,M$3,0),0)),""),"")</f>
        <v>60</v>
      </c>
      <c r="N133" s="17">
        <f ca="1">IFERROR(IF(MAX('SORT IMPORT'!$A$13:$A$408)&gt;ROW()-ROW($A$5)-1,INDEX( PRODUKTE,  VLOOKUP(ROW()-ROW($A$5),zeilenindizes,2)+INDEX(prodRowOffset,N$3),  MATCH(N$2,OFFSET(INDEXNAMEN,N$3,0),0)),""),"")</f>
        <v>1</v>
      </c>
      <c r="O133" s="17">
        <f ca="1">IFERROR(IF(MAX('SORT IMPORT'!$A$13:$A$408)&gt;ROW()-ROW($A$5)-1,INDEX( PRODUKTE,  VLOOKUP(ROW()-ROW($A$5),zeilenindizes,2)+INDEX(prodRowOffset,O$3),  MATCH(O$2,OFFSET(INDEXNAMEN,O$3,0),0)),""),"")</f>
        <v>0</v>
      </c>
      <c r="P133" s="17">
        <f ca="1">IFERROR(IF(MAX('SORT IMPORT'!$A$13:$A$408)&gt;ROW()-ROW($A$5)-1,INDEX( PRODUKTE,  VLOOKUP(ROW()-ROW($A$5),zeilenindizes,2)+INDEX(prodRowOffset,P$3),  MATCH(P$2,OFFSET(INDEXNAMEN,P$3,0),0)),""),"")</f>
        <v>0</v>
      </c>
      <c r="Q133" s="17">
        <f ca="1">IFERROR(IF(MAX('SORT IMPORT'!$A$13:$A$408)&gt;ROW()-ROW($A$5)-1,INDEX( PRODUKTE,  VLOOKUP(ROW()-ROW($A$5),zeilenindizes,2)+INDEX(prodRowOffset,Q$3),  MATCH(Q$2,OFFSET(INDEXNAMEN,Q$3,0),0)),""),"")</f>
        <v>0</v>
      </c>
      <c r="R133" s="17">
        <f ca="1">IFERROR(IF(MAX('SORT IMPORT'!$A$13:$A$408)&gt;ROW()-ROW($A$5)-1,INDEX( PRODUKTE,  VLOOKUP(ROW()-ROW($A$5),zeilenindizes,2)+INDEX(prodRowOffset,R$3),  MATCH(R$2,OFFSET(INDEXNAMEN,R$3,0),0)),""),"")</f>
        <v>1</v>
      </c>
      <c r="S133" s="17">
        <f ca="1">IFERROR(IF(MAX('SORT IMPORT'!$A$13:$A$408)&gt;ROW()-ROW($A$5)-1,INDEX( PRODUKTE,  VLOOKUP(ROW()-ROW($A$5),zeilenindizes,2)+INDEX(prodRowOffset,S$3),  MATCH(S$2,OFFSET(INDEXNAMEN,S$3,0),0)),""),"")</f>
        <v>0</v>
      </c>
      <c r="T133" s="17">
        <f ca="1">IFERROR(IF(MAX('SORT IMPORT'!$A$13:$A$408)&gt;ROW()-ROW($A$5)-1,INDEX( PRODUKTE,  VLOOKUP(ROW()-ROW($A$5),zeilenindizes,2)+INDEX(prodRowOffset,T$3),  MATCH(T$2,OFFSET(INDEXNAMEN,T$3,0),0)),""),"")</f>
        <v>0</v>
      </c>
      <c r="U133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70</v>
      </c>
      <c r="V133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8.5</v>
      </c>
      <c r="W133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70</v>
      </c>
      <c r="X133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3</v>
      </c>
      <c r="Y133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33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33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33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33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33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33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145</v>
      </c>
      <c r="AF133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33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145</v>
      </c>
      <c r="AH133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11.5</v>
      </c>
      <c r="AI133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33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33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33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33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33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33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440</v>
      </c>
      <c r="AP133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33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12</v>
      </c>
      <c r="AR133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9999</v>
      </c>
      <c r="AS133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33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105</v>
      </c>
      <c r="AU133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9999</v>
      </c>
      <c r="AV133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90</v>
      </c>
      <c r="AW133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352</v>
      </c>
      <c r="AX133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40</v>
      </c>
      <c r="AY133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54</v>
      </c>
    </row>
    <row r="134" spans="6:51" ht="22.5" customHeight="1" x14ac:dyDescent="0.3">
      <c r="F134" s="17" t="str">
        <f ca="1">IFERROR(IF(MAX('SORT IMPORT'!$A$13:$A$408)&gt;ROW()-ROW($A$5)-1,INDEX( PRODUKTE,  VLOOKUP(ROW()-ROW($A$5),zeilenindizes,2)+INDEX(prodRowOffset,F$3),  MATCH(F$2,OFFSET(INDEXNAMEN,F$3,0),0)),""),"")</f>
        <v>ITS 96 EMF EN 3-6</v>
      </c>
      <c r="G134" s="17" t="str">
        <f ca="1">IFERROR(IF(MAX('SORT IMPORT'!$A$13:$A$408)&gt;ROW()-ROW($A$5)-1,INDEX( PRODUKTE,  VLOOKUP(ROW()-ROW($A$5),zeilenindizes,2)+INDEX(prodRowOffset,G$3),  MATCH(G$2,OFFSET(INDEXNAMEN,G$3,0),0)),""),"")</f>
        <v>I</v>
      </c>
      <c r="H134" s="17" t="str">
        <f ca="1">IFERROR(IF(MAX('SORT IMPORT'!$A$13:$A$408)&gt;ROW()-ROW($A$5)-1,INDEX( PRODUKTE,  VLOOKUP(ROW()-ROW($A$5),zeilenindizes,2)+INDEX(prodRowOffset,H$3),  MATCH(H$2,OFFSET(INDEXNAMEN,H$3,0),0)),""),"")</f>
        <v>96</v>
      </c>
      <c r="I134" s="17" t="str">
        <f ca="1">IFERROR(IF(MAX('SORT IMPORT'!$A$13:$A$408)&gt;ROW()-ROW($A$5)-1,INDEX( PRODUKTE,  VLOOKUP(ROW()-ROW($A$5),zeilenindizes,2)+INDEX(prodRowOffset,I$3),  MATCH(I$2,OFFSET(INDEXNAMEN,I$3,0),0)),""),"")</f>
        <v/>
      </c>
      <c r="J134" s="17" t="str">
        <f ca="1">IFERROR(IF(MAX('SORT IMPORT'!$A$13:$A$408)&gt;ROW()-ROW($A$5)-1,INDEX( PRODUKTE,  VLOOKUP(ROW()-ROW($A$5),zeilenindizes,2)+INDEX(prodRowOffset,J$3),  MATCH(J$2,OFFSET(INDEXNAMEN,J$3,0),0)),""),"")</f>
        <v>E</v>
      </c>
      <c r="K134" s="17">
        <f ca="1">IFERROR(IF(MAX('SORT IMPORT'!$A$13:$A$408)&gt;ROW()-ROW($A$5)-1,INDEX( PRODUKTE,  VLOOKUP(ROW()-ROW($A$5),zeilenindizes,2)+INDEX(prodRowOffset,K$3),  MATCH(K$2,OFFSET(INDEXNAMEN,K$3,0),0)),""),"")</f>
        <v>32</v>
      </c>
      <c r="L134" s="17">
        <f ca="1">IFERROR(IF(MAX('SORT IMPORT'!$A$13:$A$408)&gt;ROW()-ROW($A$5)-1,INDEX( PRODUKTE,  VLOOKUP(ROW()-ROW($A$5),zeilenindizes,2)+INDEX(prodRowOffset,L$3),  MATCH(L$2,OFFSET(INDEXNAMEN,L$3,0),0)),""),"")</f>
        <v>4</v>
      </c>
      <c r="M134" s="17">
        <f ca="1">IFERROR(IF(MAX('SORT IMPORT'!$A$13:$A$408)&gt;ROW()-ROW($A$5)-1,INDEX( PRODUKTE,  VLOOKUP(ROW()-ROW($A$5),zeilenindizes,2)+INDEX(prodRowOffset,M$3),  MATCH(M$2,OFFSET(INDEXNAMEN,M$3,0),0)),""),"")</f>
        <v>60</v>
      </c>
      <c r="N134" s="17">
        <f ca="1">IFERROR(IF(MAX('SORT IMPORT'!$A$13:$A$408)&gt;ROW()-ROW($A$5)-1,INDEX( PRODUKTE,  VLOOKUP(ROW()-ROW($A$5),zeilenindizes,2)+INDEX(prodRowOffset,N$3),  MATCH(N$2,OFFSET(INDEXNAMEN,N$3,0),0)),""),"")</f>
        <v>1</v>
      </c>
      <c r="O134" s="17">
        <f ca="1">IFERROR(IF(MAX('SORT IMPORT'!$A$13:$A$408)&gt;ROW()-ROW($A$5)-1,INDEX( PRODUKTE,  VLOOKUP(ROW()-ROW($A$5),zeilenindizes,2)+INDEX(prodRowOffset,O$3),  MATCH(O$2,OFFSET(INDEXNAMEN,O$3,0),0)),""),"")</f>
        <v>2</v>
      </c>
      <c r="P134" s="17">
        <f ca="1">IFERROR(IF(MAX('SORT IMPORT'!$A$13:$A$408)&gt;ROW()-ROW($A$5)-1,INDEX( PRODUKTE,  VLOOKUP(ROW()-ROW($A$5),zeilenindizes,2)+INDEX(prodRowOffset,P$3),  MATCH(P$2,OFFSET(INDEXNAMEN,P$3,0),0)),""),"")</f>
        <v>0</v>
      </c>
      <c r="Q134" s="17">
        <f ca="1">IFERROR(IF(MAX('SORT IMPORT'!$A$13:$A$408)&gt;ROW()-ROW($A$5)-1,INDEX( PRODUKTE,  VLOOKUP(ROW()-ROW($A$5),zeilenindizes,2)+INDEX(prodRowOffset,Q$3),  MATCH(Q$2,OFFSET(INDEXNAMEN,Q$3,0),0)),""),"")</f>
        <v>1</v>
      </c>
      <c r="R134" s="17">
        <f ca="1">IFERROR(IF(MAX('SORT IMPORT'!$A$13:$A$408)&gt;ROW()-ROW($A$5)-1,INDEX( PRODUKTE,  VLOOKUP(ROW()-ROW($A$5),zeilenindizes,2)+INDEX(prodRowOffset,R$3),  MATCH(R$2,OFFSET(INDEXNAMEN,R$3,0),0)),""),"")</f>
        <v>1</v>
      </c>
      <c r="S134" s="17">
        <f ca="1">IFERROR(IF(MAX('SORT IMPORT'!$A$13:$A$408)&gt;ROW()-ROW($A$5)-1,INDEX( PRODUKTE,  VLOOKUP(ROW()-ROW($A$5),zeilenindizes,2)+INDEX(prodRowOffset,S$3),  MATCH(S$2,OFFSET(INDEXNAMEN,S$3,0),0)),""),"")</f>
        <v>0</v>
      </c>
      <c r="T134" s="17">
        <f ca="1">IFERROR(IF(MAX('SORT IMPORT'!$A$13:$A$408)&gt;ROW()-ROW($A$5)-1,INDEX( PRODUKTE,  VLOOKUP(ROW()-ROW($A$5),zeilenindizes,2)+INDEX(prodRowOffset,T$3),  MATCH(T$2,OFFSET(INDEXNAMEN,T$3,0),0)),""),"")</f>
        <v>0</v>
      </c>
      <c r="U134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70</v>
      </c>
      <c r="V134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8.5</v>
      </c>
      <c r="W134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70</v>
      </c>
      <c r="X134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3</v>
      </c>
      <c r="Y134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34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34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34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34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34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34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90</v>
      </c>
      <c r="AF134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34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90</v>
      </c>
      <c r="AH134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11.5</v>
      </c>
      <c r="AI134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34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34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34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34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34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34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527</v>
      </c>
      <c r="AP134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134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134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9999</v>
      </c>
      <c r="AS134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34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105</v>
      </c>
      <c r="AU134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9999</v>
      </c>
      <c r="AV134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138</v>
      </c>
      <c r="AW134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352</v>
      </c>
      <c r="AX134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40</v>
      </c>
      <c r="AY134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54</v>
      </c>
    </row>
    <row r="135" spans="6:51" ht="22.5" customHeight="1" x14ac:dyDescent="0.3">
      <c r="F135" s="17" t="str">
        <f ca="1">IFERROR(IF(MAX('SORT IMPORT'!$A$13:$A$408)&gt;ROW()-ROW($A$5)-1,INDEX( PRODUKTE,  VLOOKUP(ROW()-ROW($A$5),zeilenindizes,2)+INDEX(prodRowOffset,F$3),  MATCH(F$2,OFFSET(INDEXNAMEN,F$3,0),0)),""),"")</f>
        <v>ITS 96 GSR EN 3-6</v>
      </c>
      <c r="G135" s="17" t="str">
        <f ca="1">IFERROR(IF(MAX('SORT IMPORT'!$A$13:$A$408)&gt;ROW()-ROW($A$5)-1,INDEX( PRODUKTE,  VLOOKUP(ROW()-ROW($A$5),zeilenindizes,2)+INDEX(prodRowOffset,G$3),  MATCH(G$2,OFFSET(INDEXNAMEN,G$3,0),0)),""),"")</f>
        <v>I</v>
      </c>
      <c r="H135" s="17" t="str">
        <f ca="1">IFERROR(IF(MAX('SORT IMPORT'!$A$13:$A$408)&gt;ROW()-ROW($A$5)-1,INDEX( PRODUKTE,  VLOOKUP(ROW()-ROW($A$5),zeilenindizes,2)+INDEX(prodRowOffset,H$3),  MATCH(H$2,OFFSET(INDEXNAMEN,H$3,0),0)),""),"")</f>
        <v>96</v>
      </c>
      <c r="I135" s="17" t="str">
        <f ca="1">IFERROR(IF(MAX('SORT IMPORT'!$A$13:$A$408)&gt;ROW()-ROW($A$5)-1,INDEX( PRODUKTE,  VLOOKUP(ROW()-ROW($A$5),zeilenindizes,2)+INDEX(prodRowOffset,I$3),  MATCH(I$2,OFFSET(INDEXNAMEN,I$3,0),0)),""),"")</f>
        <v/>
      </c>
      <c r="J135" s="17" t="str">
        <f ca="1">IFERROR(IF(MAX('SORT IMPORT'!$A$13:$A$408)&gt;ROW()-ROW($A$5)-1,INDEX( PRODUKTE,  VLOOKUP(ROW()-ROW($A$5),zeilenindizes,2)+INDEX(prodRowOffset,J$3),  MATCH(J$2,OFFSET(INDEXNAMEN,J$3,0),0)),""),"")</f>
        <v/>
      </c>
      <c r="K135" s="17">
        <f ca="1">IFERROR(IF(MAX('SORT IMPORT'!$A$13:$A$408)&gt;ROW()-ROW($A$5)-1,INDEX( PRODUKTE,  VLOOKUP(ROW()-ROW($A$5),zeilenindizes,2)+INDEX(prodRowOffset,K$3),  MATCH(K$2,OFFSET(INDEXNAMEN,K$3,0),0)),""),"")</f>
        <v>32</v>
      </c>
      <c r="L135" s="17">
        <f ca="1">IFERROR(IF(MAX('SORT IMPORT'!$A$13:$A$408)&gt;ROW()-ROW($A$5)-1,INDEX( PRODUKTE,  VLOOKUP(ROW()-ROW($A$5),zeilenindizes,2)+INDEX(prodRowOffset,L$3),  MATCH(L$2,OFFSET(INDEXNAMEN,L$3,0),0)),""),"")</f>
        <v>16</v>
      </c>
      <c r="M135" s="17">
        <f ca="1">IFERROR(IF(MAX('SORT IMPORT'!$A$13:$A$408)&gt;ROW()-ROW($A$5)-1,INDEX( PRODUKTE,  VLOOKUP(ROW()-ROW($A$5),zeilenindizes,2)+INDEX(prodRowOffset,M$3),  MATCH(M$2,OFFSET(INDEXNAMEN,M$3,0),0)),""),"")</f>
        <v>60</v>
      </c>
      <c r="N135" s="17">
        <f ca="1">IFERROR(IF(MAX('SORT IMPORT'!$A$13:$A$408)&gt;ROW()-ROW($A$5)-1,INDEX( PRODUKTE,  VLOOKUP(ROW()-ROW($A$5),zeilenindizes,2)+INDEX(prodRowOffset,N$3),  MATCH(N$2,OFFSET(INDEXNAMEN,N$3,0),0)),""),"")</f>
        <v>2</v>
      </c>
      <c r="O135" s="17">
        <f ca="1">IFERROR(IF(MAX('SORT IMPORT'!$A$13:$A$408)&gt;ROW()-ROW($A$5)-1,INDEX( PRODUKTE,  VLOOKUP(ROW()-ROW($A$5),zeilenindizes,2)+INDEX(prodRowOffset,O$3),  MATCH(O$2,OFFSET(INDEXNAMEN,O$3,0),0)),""),"")</f>
        <v>0</v>
      </c>
      <c r="P135" s="17">
        <f ca="1">IFERROR(IF(MAX('SORT IMPORT'!$A$13:$A$408)&gt;ROW()-ROW($A$5)-1,INDEX( PRODUKTE,  VLOOKUP(ROW()-ROW($A$5),zeilenindizes,2)+INDEX(prodRowOffset,P$3),  MATCH(P$2,OFFSET(INDEXNAMEN,P$3,0),0)),""),"")</f>
        <v>0</v>
      </c>
      <c r="Q135" s="17">
        <f ca="1">IFERROR(IF(MAX('SORT IMPORT'!$A$13:$A$408)&gt;ROW()-ROW($A$5)-1,INDEX( PRODUKTE,  VLOOKUP(ROW()-ROW($A$5),zeilenindizes,2)+INDEX(prodRowOffset,Q$3),  MATCH(Q$2,OFFSET(INDEXNAMEN,Q$3,0),0)),""),"")</f>
        <v>1</v>
      </c>
      <c r="R135" s="17">
        <f ca="1">IFERROR(IF(MAX('SORT IMPORT'!$A$13:$A$408)&gt;ROW()-ROW($A$5)-1,INDEX( PRODUKTE,  VLOOKUP(ROW()-ROW($A$5),zeilenindizes,2)+INDEX(prodRowOffset,R$3),  MATCH(R$2,OFFSET(INDEXNAMEN,R$3,0),0)),""),"")</f>
        <v>1</v>
      </c>
      <c r="S135" s="17">
        <f ca="1">IFERROR(IF(MAX('SORT IMPORT'!$A$13:$A$408)&gt;ROW()-ROW($A$5)-1,INDEX( PRODUKTE,  VLOOKUP(ROW()-ROW($A$5),zeilenindizes,2)+INDEX(prodRowOffset,S$3),  MATCH(S$2,OFFSET(INDEXNAMEN,S$3,0),0)),""),"")</f>
        <v>1</v>
      </c>
      <c r="T135" s="17">
        <f ca="1">IFERROR(IF(MAX('SORT IMPORT'!$A$13:$A$408)&gt;ROW()-ROW($A$5)-1,INDEX( PRODUKTE,  VLOOKUP(ROW()-ROW($A$5),zeilenindizes,2)+INDEX(prodRowOffset,T$3),  MATCH(T$2,OFFSET(INDEXNAMEN,T$3,0),0)),""),"")</f>
        <v>0</v>
      </c>
      <c r="U135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70</v>
      </c>
      <c r="V135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8.5</v>
      </c>
      <c r="W135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35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35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35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35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35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35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35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35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90</v>
      </c>
      <c r="AF135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35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35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35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35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35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35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35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35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35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135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135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135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9999</v>
      </c>
      <c r="AS135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35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105</v>
      </c>
      <c r="AU135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9999</v>
      </c>
      <c r="AV135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90</v>
      </c>
      <c r="AW135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352</v>
      </c>
      <c r="AX135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40</v>
      </c>
      <c r="AY135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54</v>
      </c>
    </row>
    <row r="136" spans="6:51" ht="22.5" customHeight="1" x14ac:dyDescent="0.3">
      <c r="F136" s="17" t="str">
        <f ca="1">IFERROR(IF(MAX('SORT IMPORT'!$A$13:$A$408)&gt;ROW()-ROW($A$5)-1,INDEX( PRODUKTE,  VLOOKUP(ROW()-ROW($A$5),zeilenindizes,2)+INDEX(prodRowOffset,F$3),  MATCH(F$2,OFFSET(INDEXNAMEN,F$3,0),0)),""),"")</f>
        <v>ITS 96 GSR RF EN 3-6</v>
      </c>
      <c r="G136" s="17" t="str">
        <f ca="1">IFERROR(IF(MAX('SORT IMPORT'!$A$13:$A$408)&gt;ROW()-ROW($A$5)-1,INDEX( PRODUKTE,  VLOOKUP(ROW()-ROW($A$5),zeilenindizes,2)+INDEX(prodRowOffset,G$3),  MATCH(G$2,OFFSET(INDEXNAMEN,G$3,0),0)),""),"")</f>
        <v>I</v>
      </c>
      <c r="H136" s="17" t="str">
        <f ca="1">IFERROR(IF(MAX('SORT IMPORT'!$A$13:$A$408)&gt;ROW()-ROW($A$5)-1,INDEX( PRODUKTE,  VLOOKUP(ROW()-ROW($A$5),zeilenindizes,2)+INDEX(prodRowOffset,H$3),  MATCH(H$2,OFFSET(INDEXNAMEN,H$3,0),0)),""),"")</f>
        <v>96</v>
      </c>
      <c r="I136" s="17" t="str">
        <f ca="1">IFERROR(IF(MAX('SORT IMPORT'!$A$13:$A$408)&gt;ROW()-ROW($A$5)-1,INDEX( PRODUKTE,  VLOOKUP(ROW()-ROW($A$5),zeilenindizes,2)+INDEX(prodRowOffset,I$3),  MATCH(I$2,OFFSET(INDEXNAMEN,I$3,0),0)),""),"")</f>
        <v/>
      </c>
      <c r="J136" s="17" t="str">
        <f ca="1">IFERROR(IF(MAX('SORT IMPORT'!$A$13:$A$408)&gt;ROW()-ROW($A$5)-1,INDEX( PRODUKTE,  VLOOKUP(ROW()-ROW($A$5),zeilenindizes,2)+INDEX(prodRowOffset,J$3),  MATCH(J$2,OFFSET(INDEXNAMEN,J$3,0),0)),""),"")</f>
        <v>M</v>
      </c>
      <c r="K136" s="17">
        <f ca="1">IFERROR(IF(MAX('SORT IMPORT'!$A$13:$A$408)&gt;ROW()-ROW($A$5)-1,INDEX( PRODUKTE,  VLOOKUP(ROW()-ROW($A$5),zeilenindizes,2)+INDEX(prodRowOffset,K$3),  MATCH(K$2,OFFSET(INDEXNAMEN,K$3,0),0)),""),"")</f>
        <v>32</v>
      </c>
      <c r="L136" s="17">
        <f ca="1">IFERROR(IF(MAX('SORT IMPORT'!$A$13:$A$408)&gt;ROW()-ROW($A$5)-1,INDEX( PRODUKTE,  VLOOKUP(ROW()-ROW($A$5),zeilenindizes,2)+INDEX(prodRowOffset,L$3),  MATCH(L$2,OFFSET(INDEXNAMEN,L$3,0),0)),""),"")</f>
        <v>32</v>
      </c>
      <c r="M136" s="17">
        <f ca="1">IFERROR(IF(MAX('SORT IMPORT'!$A$13:$A$408)&gt;ROW()-ROW($A$5)-1,INDEX( PRODUKTE,  VLOOKUP(ROW()-ROW($A$5),zeilenindizes,2)+INDEX(prodRowOffset,M$3),  MATCH(M$2,OFFSET(INDEXNAMEN,M$3,0),0)),""),"")</f>
        <v>60</v>
      </c>
      <c r="N136" s="17">
        <f ca="1">IFERROR(IF(MAX('SORT IMPORT'!$A$13:$A$408)&gt;ROW()-ROW($A$5)-1,INDEX( PRODUKTE,  VLOOKUP(ROW()-ROW($A$5),zeilenindizes,2)+INDEX(prodRowOffset,N$3),  MATCH(N$2,OFFSET(INDEXNAMEN,N$3,0),0)),""),"")</f>
        <v>2</v>
      </c>
      <c r="O136" s="17">
        <f ca="1">IFERROR(IF(MAX('SORT IMPORT'!$A$13:$A$408)&gt;ROW()-ROW($A$5)-1,INDEX( PRODUKTE,  VLOOKUP(ROW()-ROW($A$5),zeilenindizes,2)+INDEX(prodRowOffset,O$3),  MATCH(O$2,OFFSET(INDEXNAMEN,O$3,0),0)),""),"")</f>
        <v>0</v>
      </c>
      <c r="P136" s="17">
        <f ca="1">IFERROR(IF(MAX('SORT IMPORT'!$A$13:$A$408)&gt;ROW()-ROW($A$5)-1,INDEX( PRODUKTE,  VLOOKUP(ROW()-ROW($A$5),zeilenindizes,2)+INDEX(prodRowOffset,P$3),  MATCH(P$2,OFFSET(INDEXNAMEN,P$3,0),0)),""),"")</f>
        <v>0</v>
      </c>
      <c r="Q136" s="17">
        <f ca="1">IFERROR(IF(MAX('SORT IMPORT'!$A$13:$A$408)&gt;ROW()-ROW($A$5)-1,INDEX( PRODUKTE,  VLOOKUP(ROW()-ROW($A$5),zeilenindizes,2)+INDEX(prodRowOffset,Q$3),  MATCH(Q$2,OFFSET(INDEXNAMEN,Q$3,0),0)),""),"")</f>
        <v>0</v>
      </c>
      <c r="R136" s="17">
        <f ca="1">IFERROR(IF(MAX('SORT IMPORT'!$A$13:$A$408)&gt;ROW()-ROW($A$5)-1,INDEX( PRODUKTE,  VLOOKUP(ROW()-ROW($A$5),zeilenindizes,2)+INDEX(prodRowOffset,R$3),  MATCH(R$2,OFFSET(INDEXNAMEN,R$3,0),0)),""),"")</f>
        <v>1</v>
      </c>
      <c r="S136" s="17">
        <f ca="1">IFERROR(IF(MAX('SORT IMPORT'!$A$13:$A$408)&gt;ROW()-ROW($A$5)-1,INDEX( PRODUKTE,  VLOOKUP(ROW()-ROW($A$5),zeilenindizes,2)+INDEX(prodRowOffset,S$3),  MATCH(S$2,OFFSET(INDEXNAMEN,S$3,0),0)),""),"")</f>
        <v>1</v>
      </c>
      <c r="T136" s="17">
        <f ca="1">IFERROR(IF(MAX('SORT IMPORT'!$A$13:$A$408)&gt;ROW()-ROW($A$5)-1,INDEX( PRODUKTE,  VLOOKUP(ROW()-ROW($A$5),zeilenindizes,2)+INDEX(prodRowOffset,T$3),  MATCH(T$2,OFFSET(INDEXNAMEN,T$3,0),0)),""),"")</f>
        <v>0</v>
      </c>
      <c r="U136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70</v>
      </c>
      <c r="V136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8.5</v>
      </c>
      <c r="W136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36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36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36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36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36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36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36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36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90</v>
      </c>
      <c r="AF136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36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36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36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36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36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36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36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36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36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136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136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136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9999</v>
      </c>
      <c r="AS136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36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105</v>
      </c>
      <c r="AU136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9999</v>
      </c>
      <c r="AV136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90</v>
      </c>
      <c r="AW136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352</v>
      </c>
      <c r="AX136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40</v>
      </c>
      <c r="AY136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54</v>
      </c>
    </row>
    <row r="137" spans="6:51" ht="22.5" customHeight="1" x14ac:dyDescent="0.3">
      <c r="F137" s="17" t="str">
        <f ca="1">IFERROR(IF(MAX('SORT IMPORT'!$A$13:$A$408)&gt;ROW()-ROW($A$5)-1,INDEX( PRODUKTE,  VLOOKUP(ROW()-ROW($A$5),zeilenindizes,2)+INDEX(prodRowOffset,F$3),  MATCH(F$2,OFFSET(INDEXNAMEN,F$3,0),0)),""),"")</f>
        <v>ITS 96 GSR-EMF EN 3-6</v>
      </c>
      <c r="G137" s="17" t="str">
        <f ca="1">IFERROR(IF(MAX('SORT IMPORT'!$A$13:$A$408)&gt;ROW()-ROW($A$5)-1,INDEX( PRODUKTE,  VLOOKUP(ROW()-ROW($A$5),zeilenindizes,2)+INDEX(prodRowOffset,G$3),  MATCH(G$2,OFFSET(INDEXNAMEN,G$3,0),0)),""),"")</f>
        <v>I</v>
      </c>
      <c r="H137" s="17" t="str">
        <f ca="1">IFERROR(IF(MAX('SORT IMPORT'!$A$13:$A$408)&gt;ROW()-ROW($A$5)-1,INDEX( PRODUKTE,  VLOOKUP(ROW()-ROW($A$5),zeilenindizes,2)+INDEX(prodRowOffset,H$3),  MATCH(H$2,OFFSET(INDEXNAMEN,H$3,0),0)),""),"")</f>
        <v>96</v>
      </c>
      <c r="I137" s="17" t="str">
        <f ca="1">IFERROR(IF(MAX('SORT IMPORT'!$A$13:$A$408)&gt;ROW()-ROW($A$5)-1,INDEX( PRODUKTE,  VLOOKUP(ROW()-ROW($A$5),zeilenindizes,2)+INDEX(prodRowOffset,I$3),  MATCH(I$2,OFFSET(INDEXNAMEN,I$3,0),0)),""),"")</f>
        <v/>
      </c>
      <c r="J137" s="17" t="str">
        <f ca="1">IFERROR(IF(MAX('SORT IMPORT'!$A$13:$A$408)&gt;ROW()-ROW($A$5)-1,INDEX( PRODUKTE,  VLOOKUP(ROW()-ROW($A$5),zeilenindizes,2)+INDEX(prodRowOffset,J$3),  MATCH(J$2,OFFSET(INDEXNAMEN,J$3,0),0)),""),"")</f>
        <v>E</v>
      </c>
      <c r="K137" s="17">
        <f ca="1">IFERROR(IF(MAX('SORT IMPORT'!$A$13:$A$408)&gt;ROW()-ROW($A$5)-1,INDEX( PRODUKTE,  VLOOKUP(ROW()-ROW($A$5),zeilenindizes,2)+INDEX(prodRowOffset,K$3),  MATCH(K$2,OFFSET(INDEXNAMEN,K$3,0),0)),""),"")</f>
        <v>32</v>
      </c>
      <c r="L137" s="17">
        <f ca="1">IFERROR(IF(MAX('SORT IMPORT'!$A$13:$A$408)&gt;ROW()-ROW($A$5)-1,INDEX( PRODUKTE,  VLOOKUP(ROW()-ROW($A$5),zeilenindizes,2)+INDEX(prodRowOffset,L$3),  MATCH(L$2,OFFSET(INDEXNAMEN,L$3,0),0)),""),"")</f>
        <v>256</v>
      </c>
      <c r="M137" s="17">
        <f ca="1">IFERROR(IF(MAX('SORT IMPORT'!$A$13:$A$408)&gt;ROW()-ROW($A$5)-1,INDEX( PRODUKTE,  VLOOKUP(ROW()-ROW($A$5),zeilenindizes,2)+INDEX(prodRowOffset,M$3),  MATCH(M$2,OFFSET(INDEXNAMEN,M$3,0),0)),""),"")</f>
        <v>60</v>
      </c>
      <c r="N137" s="17">
        <f ca="1">IFERROR(IF(MAX('SORT IMPORT'!$A$13:$A$408)&gt;ROW()-ROW($A$5)-1,INDEX( PRODUKTE,  VLOOKUP(ROW()-ROW($A$5),zeilenindizes,2)+INDEX(prodRowOffset,N$3),  MATCH(N$2,OFFSET(INDEXNAMEN,N$3,0),0)),""),"")</f>
        <v>2</v>
      </c>
      <c r="O137" s="17">
        <f ca="1">IFERROR(IF(MAX('SORT IMPORT'!$A$13:$A$408)&gt;ROW()-ROW($A$5)-1,INDEX( PRODUKTE,  VLOOKUP(ROW()-ROW($A$5),zeilenindizes,2)+INDEX(prodRowOffset,O$3),  MATCH(O$2,OFFSET(INDEXNAMEN,O$3,0),0)),""),"")</f>
        <v>2</v>
      </c>
      <c r="P137" s="17">
        <f ca="1">IFERROR(IF(MAX('SORT IMPORT'!$A$13:$A$408)&gt;ROW()-ROW($A$5)-1,INDEX( PRODUKTE,  VLOOKUP(ROW()-ROW($A$5),zeilenindizes,2)+INDEX(prodRowOffset,P$3),  MATCH(P$2,OFFSET(INDEXNAMEN,P$3,0),0)),""),"")</f>
        <v>0</v>
      </c>
      <c r="Q137" s="17">
        <f ca="1">IFERROR(IF(MAX('SORT IMPORT'!$A$13:$A$408)&gt;ROW()-ROW($A$5)-1,INDEX( PRODUKTE,  VLOOKUP(ROW()-ROW($A$5),zeilenindizes,2)+INDEX(prodRowOffset,Q$3),  MATCH(Q$2,OFFSET(INDEXNAMEN,Q$3,0),0)),""),"")</f>
        <v>1</v>
      </c>
      <c r="R137" s="17">
        <f ca="1">IFERROR(IF(MAX('SORT IMPORT'!$A$13:$A$408)&gt;ROW()-ROW($A$5)-1,INDEX( PRODUKTE,  VLOOKUP(ROW()-ROW($A$5),zeilenindizes,2)+INDEX(prodRowOffset,R$3),  MATCH(R$2,OFFSET(INDEXNAMEN,R$3,0),0)),""),"")</f>
        <v>1</v>
      </c>
      <c r="S137" s="17">
        <f ca="1">IFERROR(IF(MAX('SORT IMPORT'!$A$13:$A$408)&gt;ROW()-ROW($A$5)-1,INDEX( PRODUKTE,  VLOOKUP(ROW()-ROW($A$5),zeilenindizes,2)+INDEX(prodRowOffset,S$3),  MATCH(S$2,OFFSET(INDEXNAMEN,S$3,0),0)),""),"")</f>
        <v>1</v>
      </c>
      <c r="T137" s="17">
        <f ca="1">IFERROR(IF(MAX('SORT IMPORT'!$A$13:$A$408)&gt;ROW()-ROW($A$5)-1,INDEX( PRODUKTE,  VLOOKUP(ROW()-ROW($A$5),zeilenindizes,2)+INDEX(prodRowOffset,T$3),  MATCH(T$2,OFFSET(INDEXNAMEN,T$3,0),0)),""),"")</f>
        <v>0</v>
      </c>
      <c r="U137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70</v>
      </c>
      <c r="V137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8.5</v>
      </c>
      <c r="W137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37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37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37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37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37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37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37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37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90</v>
      </c>
      <c r="AF137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37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37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37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37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37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37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37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37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37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137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137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137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9999</v>
      </c>
      <c r="AS137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37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105</v>
      </c>
      <c r="AU137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9999</v>
      </c>
      <c r="AV137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138</v>
      </c>
      <c r="AW137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352</v>
      </c>
      <c r="AX137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40</v>
      </c>
      <c r="AY137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54</v>
      </c>
    </row>
    <row r="138" spans="6:51" ht="22.5" customHeight="1" x14ac:dyDescent="0.3">
      <c r="F138" s="17" t="str">
        <f ca="1">IFERROR(IF(MAX('SORT IMPORT'!$A$13:$A$408)&gt;ROW()-ROW($A$5)-1,INDEX( PRODUKTE,  VLOOKUP(ROW()-ROW($A$5),zeilenindizes,2)+INDEX(prodRowOffset,F$3),  MATCH(F$2,OFFSET(INDEXNAMEN,F$3,0),0)),""),"")</f>
        <v>ITS 96 FL EN 3-6</v>
      </c>
      <c r="G138" s="17" t="str">
        <f ca="1">IFERROR(IF(MAX('SORT IMPORT'!$A$13:$A$408)&gt;ROW()-ROW($A$5)-1,INDEX( PRODUKTE,  VLOOKUP(ROW()-ROW($A$5),zeilenindizes,2)+INDEX(prodRowOffset,G$3),  MATCH(G$2,OFFSET(INDEXNAMEN,G$3,0),0)),""),"")</f>
        <v>I</v>
      </c>
      <c r="H138" s="17" t="str">
        <f ca="1">IFERROR(IF(MAX('SORT IMPORT'!$A$13:$A$408)&gt;ROW()-ROW($A$5)-1,INDEX( PRODUKTE,  VLOOKUP(ROW()-ROW($A$5),zeilenindizes,2)+INDEX(prodRowOffset,H$3),  MATCH(H$2,OFFSET(INDEXNAMEN,H$3,0),0)),""),"")</f>
        <v>96</v>
      </c>
      <c r="I138" s="17" t="str">
        <f ca="1">IFERROR(IF(MAX('SORT IMPORT'!$A$13:$A$408)&gt;ROW()-ROW($A$5)-1,INDEX( PRODUKTE,  VLOOKUP(ROW()-ROW($A$5),zeilenindizes,2)+INDEX(prodRowOffset,I$3),  MATCH(I$2,OFFSET(INDEXNAMEN,I$3,0),0)),""),"")</f>
        <v>F</v>
      </c>
      <c r="J138" s="17" t="str">
        <f ca="1">IFERROR(IF(MAX('SORT IMPORT'!$A$13:$A$408)&gt;ROW()-ROW($A$5)-1,INDEX( PRODUKTE,  VLOOKUP(ROW()-ROW($A$5),zeilenindizes,2)+INDEX(prodRowOffset,J$3),  MATCH(J$2,OFFSET(INDEXNAMEN,J$3,0),0)),""),"")</f>
        <v>E</v>
      </c>
      <c r="K138" s="17">
        <f ca="1">IFERROR(IF(MAX('SORT IMPORT'!$A$13:$A$408)&gt;ROW()-ROW($A$5)-1,INDEX( PRODUKTE,  VLOOKUP(ROW()-ROW($A$5),zeilenindizes,2)+INDEX(prodRowOffset,K$3),  MATCH(K$2,OFFSET(INDEXNAMEN,K$3,0),0)),""),"")</f>
        <v>32</v>
      </c>
      <c r="L138" s="17">
        <f ca="1">IFERROR(IF(MAX('SORT IMPORT'!$A$13:$A$408)&gt;ROW()-ROW($A$5)-1,INDEX( PRODUKTE,  VLOOKUP(ROW()-ROW($A$5),zeilenindizes,2)+INDEX(prodRowOffset,L$3),  MATCH(L$2,OFFSET(INDEXNAMEN,L$3,0),0)),""),"")</f>
        <v>4</v>
      </c>
      <c r="M138" s="17">
        <f ca="1">IFERROR(IF(MAX('SORT IMPORT'!$A$13:$A$408)&gt;ROW()-ROW($A$5)-1,INDEX( PRODUKTE,  VLOOKUP(ROW()-ROW($A$5),zeilenindizes,2)+INDEX(prodRowOffset,M$3),  MATCH(M$2,OFFSET(INDEXNAMEN,M$3,0),0)),""),"")</f>
        <v>60</v>
      </c>
      <c r="N138" s="17">
        <f ca="1">IFERROR(IF(MAX('SORT IMPORT'!$A$13:$A$408)&gt;ROW()-ROW($A$5)-1,INDEX( PRODUKTE,  VLOOKUP(ROW()-ROW($A$5),zeilenindizes,2)+INDEX(prodRowOffset,N$3),  MATCH(N$2,OFFSET(INDEXNAMEN,N$3,0),0)),""),"")</f>
        <v>1</v>
      </c>
      <c r="O138" s="17">
        <f ca="1">IFERROR(IF(MAX('SORT IMPORT'!$A$13:$A$408)&gt;ROW()-ROW($A$5)-1,INDEX( PRODUKTE,  VLOOKUP(ROW()-ROW($A$5),zeilenindizes,2)+INDEX(prodRowOffset,O$3),  MATCH(O$2,OFFSET(INDEXNAMEN,O$3,0),0)),""),"")</f>
        <v>2</v>
      </c>
      <c r="P138" s="17">
        <f ca="1">IFERROR(IF(MAX('SORT IMPORT'!$A$13:$A$408)&gt;ROW()-ROW($A$5)-1,INDEX( PRODUKTE,  VLOOKUP(ROW()-ROW($A$5),zeilenindizes,2)+INDEX(prodRowOffset,P$3),  MATCH(P$2,OFFSET(INDEXNAMEN,P$3,0),0)),""),"")</f>
        <v>0</v>
      </c>
      <c r="Q138" s="17">
        <f ca="1">IFERROR(IF(MAX('SORT IMPORT'!$A$13:$A$408)&gt;ROW()-ROW($A$5)-1,INDEX( PRODUKTE,  VLOOKUP(ROW()-ROW($A$5),zeilenindizes,2)+INDEX(prodRowOffset,Q$3),  MATCH(Q$2,OFFSET(INDEXNAMEN,Q$3,0),0)),""),"")</f>
        <v>1</v>
      </c>
      <c r="R138" s="17">
        <f ca="1">IFERROR(IF(MAX('SORT IMPORT'!$A$13:$A$408)&gt;ROW()-ROW($A$5)-1,INDEX( PRODUKTE,  VLOOKUP(ROW()-ROW($A$5),zeilenindizes,2)+INDEX(prodRowOffset,R$3),  MATCH(R$2,OFFSET(INDEXNAMEN,R$3,0),0)),""),"")</f>
        <v>1</v>
      </c>
      <c r="S138" s="17">
        <f ca="1">IFERROR(IF(MAX('SORT IMPORT'!$A$13:$A$408)&gt;ROW()-ROW($A$5)-1,INDEX( PRODUKTE,  VLOOKUP(ROW()-ROW($A$5),zeilenindizes,2)+INDEX(prodRowOffset,S$3),  MATCH(S$2,OFFSET(INDEXNAMEN,S$3,0),0)),""),"")</f>
        <v>0</v>
      </c>
      <c r="T138" s="17">
        <f ca="1">IFERROR(IF(MAX('SORT IMPORT'!$A$13:$A$408)&gt;ROW()-ROW($A$5)-1,INDEX( PRODUKTE,  VLOOKUP(ROW()-ROW($A$5),zeilenindizes,2)+INDEX(prodRowOffset,T$3),  MATCH(T$2,OFFSET(INDEXNAMEN,T$3,0),0)),""),"")</f>
        <v>0</v>
      </c>
      <c r="U138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70</v>
      </c>
      <c r="V138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8.5</v>
      </c>
      <c r="W138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70</v>
      </c>
      <c r="X138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3</v>
      </c>
      <c r="Y138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38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38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38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38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38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38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145</v>
      </c>
      <c r="AF138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38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145</v>
      </c>
      <c r="AH138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11.5</v>
      </c>
      <c r="AI138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38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38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38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38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38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38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440</v>
      </c>
      <c r="AP138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20</v>
      </c>
      <c r="AQ138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12</v>
      </c>
      <c r="AR138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9999</v>
      </c>
      <c r="AS138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38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105</v>
      </c>
      <c r="AU138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9999</v>
      </c>
      <c r="AV138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90</v>
      </c>
      <c r="AW138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540</v>
      </c>
      <c r="AX138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40</v>
      </c>
      <c r="AY138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54</v>
      </c>
    </row>
    <row r="139" spans="6:51" ht="22.5" customHeight="1" x14ac:dyDescent="0.3">
      <c r="F139" s="17" t="str">
        <f ca="1">IFERROR(IF(MAX('SORT IMPORT'!$A$13:$A$408)&gt;ROW()-ROW($A$5)-1,INDEX( PRODUKTE,  VLOOKUP(ROW()-ROW($A$5),zeilenindizes,2)+INDEX(prodRowOffset,F$3),  MATCH(F$2,OFFSET(INDEXNAMEN,F$3,0),0)),""),"")</f>
        <v>ITS 96 GSR FL EN 3-6</v>
      </c>
      <c r="G139" s="17" t="str">
        <f ca="1">IFERROR(IF(MAX('SORT IMPORT'!$A$13:$A$408)&gt;ROW()-ROW($A$5)-1,INDEX( PRODUKTE,  VLOOKUP(ROW()-ROW($A$5),zeilenindizes,2)+INDEX(prodRowOffset,G$3),  MATCH(G$2,OFFSET(INDEXNAMEN,G$3,0),0)),""),"")</f>
        <v>I</v>
      </c>
      <c r="H139" s="17" t="str">
        <f ca="1">IFERROR(IF(MAX('SORT IMPORT'!$A$13:$A$408)&gt;ROW()-ROW($A$5)-1,INDEX( PRODUKTE,  VLOOKUP(ROW()-ROW($A$5),zeilenindizes,2)+INDEX(prodRowOffset,H$3),  MATCH(H$2,OFFSET(INDEXNAMEN,H$3,0),0)),""),"")</f>
        <v>96</v>
      </c>
      <c r="I139" s="17" t="str">
        <f ca="1">IFERROR(IF(MAX('SORT IMPORT'!$A$13:$A$408)&gt;ROW()-ROW($A$5)-1,INDEX( PRODUKTE,  VLOOKUP(ROW()-ROW($A$5),zeilenindizes,2)+INDEX(prodRowOffset,I$3),  MATCH(I$2,OFFSET(INDEXNAMEN,I$3,0),0)),""),"")</f>
        <v>F</v>
      </c>
      <c r="J139" s="17" t="str">
        <f ca="1">IFERROR(IF(MAX('SORT IMPORT'!$A$13:$A$408)&gt;ROW()-ROW($A$5)-1,INDEX( PRODUKTE,  VLOOKUP(ROW()-ROW($A$5),zeilenindizes,2)+INDEX(prodRowOffset,J$3),  MATCH(J$2,OFFSET(INDEXNAMEN,J$3,0),0)),""),"")</f>
        <v>E</v>
      </c>
      <c r="K139" s="17">
        <f ca="1">IFERROR(IF(MAX('SORT IMPORT'!$A$13:$A$408)&gt;ROW()-ROW($A$5)-1,INDEX( PRODUKTE,  VLOOKUP(ROW()-ROW($A$5),zeilenindizes,2)+INDEX(prodRowOffset,K$3),  MATCH(K$2,OFFSET(INDEXNAMEN,K$3,0),0)),""),"")</f>
        <v>32</v>
      </c>
      <c r="L139" s="17">
        <f ca="1">IFERROR(IF(MAX('SORT IMPORT'!$A$13:$A$408)&gt;ROW()-ROW($A$5)-1,INDEX( PRODUKTE,  VLOOKUP(ROW()-ROW($A$5),zeilenindizes,2)+INDEX(prodRowOffset,L$3),  MATCH(L$2,OFFSET(INDEXNAMEN,L$3,0),0)),""),"")</f>
        <v>256</v>
      </c>
      <c r="M139" s="17">
        <f ca="1">IFERROR(IF(MAX('SORT IMPORT'!$A$13:$A$408)&gt;ROW()-ROW($A$5)-1,INDEX( PRODUKTE,  VLOOKUP(ROW()-ROW($A$5),zeilenindizes,2)+INDEX(prodRowOffset,M$3),  MATCH(M$2,OFFSET(INDEXNAMEN,M$3,0),0)),""),"")</f>
        <v>60</v>
      </c>
      <c r="N139" s="17">
        <f ca="1">IFERROR(IF(MAX('SORT IMPORT'!$A$13:$A$408)&gt;ROW()-ROW($A$5)-1,INDEX( PRODUKTE,  VLOOKUP(ROW()-ROW($A$5),zeilenindizes,2)+INDEX(prodRowOffset,N$3),  MATCH(N$2,OFFSET(INDEXNAMEN,N$3,0),0)),""),"")</f>
        <v>2</v>
      </c>
      <c r="O139" s="17">
        <f ca="1">IFERROR(IF(MAX('SORT IMPORT'!$A$13:$A$408)&gt;ROW()-ROW($A$5)-1,INDEX( PRODUKTE,  VLOOKUP(ROW()-ROW($A$5),zeilenindizes,2)+INDEX(prodRowOffset,O$3),  MATCH(O$2,OFFSET(INDEXNAMEN,O$3,0),0)),""),"")</f>
        <v>2</v>
      </c>
      <c r="P139" s="17">
        <f ca="1">IFERROR(IF(MAX('SORT IMPORT'!$A$13:$A$408)&gt;ROW()-ROW($A$5)-1,INDEX( PRODUKTE,  VLOOKUP(ROW()-ROW($A$5),zeilenindizes,2)+INDEX(prodRowOffset,P$3),  MATCH(P$2,OFFSET(INDEXNAMEN,P$3,0),0)),""),"")</f>
        <v>0</v>
      </c>
      <c r="Q139" s="17">
        <f ca="1">IFERROR(IF(MAX('SORT IMPORT'!$A$13:$A$408)&gt;ROW()-ROW($A$5)-1,INDEX( PRODUKTE,  VLOOKUP(ROW()-ROW($A$5),zeilenindizes,2)+INDEX(prodRowOffset,Q$3),  MATCH(Q$2,OFFSET(INDEXNAMEN,Q$3,0),0)),""),"")</f>
        <v>1</v>
      </c>
      <c r="R139" s="17">
        <f ca="1">IFERROR(IF(MAX('SORT IMPORT'!$A$13:$A$408)&gt;ROW()-ROW($A$5)-1,INDEX( PRODUKTE,  VLOOKUP(ROW()-ROW($A$5),zeilenindizes,2)+INDEX(prodRowOffset,R$3),  MATCH(R$2,OFFSET(INDEXNAMEN,R$3,0),0)),""),"")</f>
        <v>1</v>
      </c>
      <c r="S139" s="17">
        <f ca="1">IFERROR(IF(MAX('SORT IMPORT'!$A$13:$A$408)&gt;ROW()-ROW($A$5)-1,INDEX( PRODUKTE,  VLOOKUP(ROW()-ROW($A$5),zeilenindizes,2)+INDEX(prodRowOffset,S$3),  MATCH(S$2,OFFSET(INDEXNAMEN,S$3,0),0)),""),"")</f>
        <v>1</v>
      </c>
      <c r="T139" s="17">
        <f ca="1">IFERROR(IF(MAX('SORT IMPORT'!$A$13:$A$408)&gt;ROW()-ROW($A$5)-1,INDEX( PRODUKTE,  VLOOKUP(ROW()-ROW($A$5),zeilenindizes,2)+INDEX(prodRowOffset,T$3),  MATCH(T$2,OFFSET(INDEXNAMEN,T$3,0),0)),""),"")</f>
        <v>0</v>
      </c>
      <c r="U139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70</v>
      </c>
      <c r="V139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8.5</v>
      </c>
      <c r="W139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39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39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0</v>
      </c>
      <c r="Z139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0</v>
      </c>
      <c r="AA139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39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39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39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39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90</v>
      </c>
      <c r="AF139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39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39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39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39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39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39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39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39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39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9999</v>
      </c>
      <c r="AP139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31</v>
      </c>
      <c r="AQ139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30</v>
      </c>
      <c r="AR139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9999</v>
      </c>
      <c r="AS139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375</v>
      </c>
      <c r="AT139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105</v>
      </c>
      <c r="AU139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9999</v>
      </c>
      <c r="AV139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90</v>
      </c>
      <c r="AW139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540</v>
      </c>
      <c r="AX139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40</v>
      </c>
      <c r="AY139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54</v>
      </c>
    </row>
    <row r="140" spans="6:51" ht="22.5" customHeight="1" x14ac:dyDescent="0.3">
      <c r="F140" s="17" t="str">
        <f ca="1">IFERROR(IF(MAX('SORT IMPORT'!$A$13:$A$408)&gt;ROW()-ROW($A$5)-1,INDEX( PRODUKTE,  VLOOKUP(ROW()-ROW($A$5),zeilenindizes,2)+INDEX(prodRowOffset,F$3),  MATCH(F$2,OFFSET(INDEXNAMEN,F$3,0),0)),""),"")</f>
        <v>BTS 75V EN 1-4</v>
      </c>
      <c r="G140" s="17" t="str">
        <f ca="1">IFERROR(IF(MAX('SORT IMPORT'!$A$13:$A$408)&gt;ROW()-ROW($A$5)-1,INDEX( PRODUKTE,  VLOOKUP(ROW()-ROW($A$5),zeilenindizes,2)+INDEX(prodRowOffset,G$3),  MATCH(G$2,OFFSET(INDEXNAMEN,G$3,0),0)),""),"")</f>
        <v>B</v>
      </c>
      <c r="H140" s="17" t="str">
        <f ca="1">IFERROR(IF(MAX('SORT IMPORT'!$A$13:$A$408)&gt;ROW()-ROW($A$5)-1,INDEX( PRODUKTE,  VLOOKUP(ROW()-ROW($A$5),zeilenindizes,2)+INDEX(prodRowOffset,H$3),  MATCH(H$2,OFFSET(INDEXNAMEN,H$3,0),0)),""),"")</f>
        <v>75V</v>
      </c>
      <c r="I140" s="17" t="str">
        <f ca="1">IFERROR(IF(MAX('SORT IMPORT'!$A$13:$A$408)&gt;ROW()-ROW($A$5)-1,INDEX( PRODUKTE,  VLOOKUP(ROW()-ROW($A$5),zeilenindizes,2)+INDEX(prodRowOffset,I$3),  MATCH(I$2,OFFSET(INDEXNAMEN,I$3,0),0)),""),"")</f>
        <v/>
      </c>
      <c r="J140" s="17" t="str">
        <f ca="1">IFERROR(IF(MAX('SORT IMPORT'!$A$13:$A$408)&gt;ROW()-ROW($A$5)-1,INDEX( PRODUKTE,  VLOOKUP(ROW()-ROW($A$5),zeilenindizes,2)+INDEX(prodRowOffset,J$3),  MATCH(J$2,OFFSET(INDEXNAMEN,J$3,0),0)),""),"")</f>
        <v>M</v>
      </c>
      <c r="K140" s="17">
        <f ca="1">IFERROR(IF(MAX('SORT IMPORT'!$A$13:$A$408)&gt;ROW()-ROW($A$5)-1,INDEX( PRODUKTE,  VLOOKUP(ROW()-ROW($A$5),zeilenindizes,2)+INDEX(prodRowOffset,K$3),  MATCH(K$2,OFFSET(INDEXNAMEN,K$3,0),0)),""),"")</f>
        <v>384</v>
      </c>
      <c r="L140" s="17">
        <f ca="1">IFERROR(IF(MAX('SORT IMPORT'!$A$13:$A$408)&gt;ROW()-ROW($A$5)-1,INDEX( PRODUKTE,  VLOOKUP(ROW()-ROW($A$5),zeilenindizes,2)+INDEX(prodRowOffset,L$3),  MATCH(L$2,OFFSET(INDEXNAMEN,L$3,0),0)),""),"")</f>
        <v>0</v>
      </c>
      <c r="M140" s="17">
        <f ca="1">IFERROR(IF(MAX('SORT IMPORT'!$A$13:$A$408)&gt;ROW()-ROW($A$5)-1,INDEX( PRODUKTE,  VLOOKUP(ROW()-ROW($A$5),zeilenindizes,2)+INDEX(prodRowOffset,M$3),  MATCH(M$2,OFFSET(INDEXNAMEN,M$3,0),0)),""),"")</f>
        <v>15</v>
      </c>
      <c r="N140" s="17">
        <f ca="1">IFERROR(IF(MAX('SORT IMPORT'!$A$13:$A$408)&gt;ROW()-ROW($A$5)-1,INDEX( PRODUKTE,  VLOOKUP(ROW()-ROW($A$5),zeilenindizes,2)+INDEX(prodRowOffset,N$3),  MATCH(N$2,OFFSET(INDEXNAMEN,N$3,0),0)),""),"")</f>
        <v>3</v>
      </c>
      <c r="O140" s="17">
        <f ca="1">IFERROR(IF(MAX('SORT IMPORT'!$A$13:$A$408)&gt;ROW()-ROW($A$5)-1,INDEX( PRODUKTE,  VLOOKUP(ROW()-ROW($A$5),zeilenindizes,2)+INDEX(prodRowOffset,O$3),  MATCH(O$2,OFFSET(INDEXNAMEN,O$3,0),0)),""),"")</f>
        <v>0</v>
      </c>
      <c r="P140" s="17">
        <f ca="1">IFERROR(IF(MAX('SORT IMPORT'!$A$13:$A$408)&gt;ROW()-ROW($A$5)-1,INDEX( PRODUKTE,  VLOOKUP(ROW()-ROW($A$5),zeilenindizes,2)+INDEX(prodRowOffset,P$3),  MATCH(P$2,OFFSET(INDEXNAMEN,P$3,0),0)),""),"")</f>
        <v>0</v>
      </c>
      <c r="Q140" s="17">
        <f ca="1">IFERROR(IF(MAX('SORT IMPORT'!$A$13:$A$408)&gt;ROW()-ROW($A$5)-1,INDEX( PRODUKTE,  VLOOKUP(ROW()-ROW($A$5),zeilenindizes,2)+INDEX(prodRowOffset,Q$3),  MATCH(Q$2,OFFSET(INDEXNAMEN,Q$3,0),0)),""),"")</f>
        <v>0</v>
      </c>
      <c r="R140" s="17">
        <f ca="1">IFERROR(IF(MAX('SORT IMPORT'!$A$13:$A$408)&gt;ROW()-ROW($A$5)-1,INDEX( PRODUKTE,  VLOOKUP(ROW()-ROW($A$5),zeilenindizes,2)+INDEX(prodRowOffset,R$3),  MATCH(R$2,OFFSET(INDEXNAMEN,R$3,0),0)),""),"")</f>
        <v>0</v>
      </c>
      <c r="S140" s="17">
        <f ca="1">IFERROR(IF(MAX('SORT IMPORT'!$A$13:$A$408)&gt;ROW()-ROW($A$5)-1,INDEX( PRODUKTE,  VLOOKUP(ROW()-ROW($A$5),zeilenindizes,2)+INDEX(prodRowOffset,S$3),  MATCH(S$2,OFFSET(INDEXNAMEN,S$3,0),0)),""),"")</f>
        <v>0</v>
      </c>
      <c r="T140" s="17">
        <f ca="1">IFERROR(IF(MAX('SORT IMPORT'!$A$13:$A$408)&gt;ROW()-ROW($A$5)-1,INDEX( PRODUKTE,  VLOOKUP(ROW()-ROW($A$5),zeilenindizes,2)+INDEX(prodRowOffset,T$3),  MATCH(T$2,OFFSET(INDEXNAMEN,T$3,0),0)),""),"")</f>
        <v>1</v>
      </c>
      <c r="U140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140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140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40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40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-54</v>
      </c>
      <c r="Z140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-1</v>
      </c>
      <c r="AA140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40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40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40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40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140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40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40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40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40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40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40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40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40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40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-1</v>
      </c>
      <c r="AP140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-1</v>
      </c>
      <c r="AQ140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-1</v>
      </c>
      <c r="AR140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-1</v>
      </c>
      <c r="AS140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-1</v>
      </c>
      <c r="AT140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0</v>
      </c>
      <c r="AU140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41</v>
      </c>
      <c r="AV140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40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285</v>
      </c>
      <c r="AX140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82</v>
      </c>
      <c r="AY140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50</v>
      </c>
    </row>
    <row r="141" spans="6:51" ht="22.5" customHeight="1" x14ac:dyDescent="0.3">
      <c r="F141" s="17" t="str">
        <f ca="1">IFERROR(IF(MAX('SORT IMPORT'!$A$13:$A$408)&gt;ROW()-ROW($A$5)-1,INDEX( PRODUKTE,  VLOOKUP(ROW()-ROW($A$5),zeilenindizes,2)+INDEX(prodRowOffset,F$3),  MATCH(F$2,OFFSET(INDEXNAMEN,F$3,0),0)),""),"")</f>
        <v>BTS 80 EN 3</v>
      </c>
      <c r="G141" s="17" t="str">
        <f ca="1">IFERROR(IF(MAX('SORT IMPORT'!$A$13:$A$408)&gt;ROW()-ROW($A$5)-1,INDEX( PRODUKTE,  VLOOKUP(ROW()-ROW($A$5),zeilenindizes,2)+INDEX(prodRowOffset,G$3),  MATCH(G$2,OFFSET(INDEXNAMEN,G$3,0),0)),""),"")</f>
        <v>B</v>
      </c>
      <c r="H141" s="17" t="str">
        <f ca="1">IFERROR(IF(MAX('SORT IMPORT'!$A$13:$A$408)&gt;ROW()-ROW($A$5)-1,INDEX( PRODUKTE,  VLOOKUP(ROW()-ROW($A$5),zeilenindizes,2)+INDEX(prodRowOffset,H$3),  MATCH(H$2,OFFSET(INDEXNAMEN,H$3,0),0)),""),"")</f>
        <v>80</v>
      </c>
      <c r="I141" s="17" t="str">
        <f ca="1">IFERROR(IF(MAX('SORT IMPORT'!$A$13:$A$408)&gt;ROW()-ROW($A$5)-1,INDEX( PRODUKTE,  VLOOKUP(ROW()-ROW($A$5),zeilenindizes,2)+INDEX(prodRowOffset,I$3),  MATCH(I$2,OFFSET(INDEXNAMEN,I$3,0),0)),""),"")</f>
        <v/>
      </c>
      <c r="J141" s="17" t="str">
        <f ca="1">IFERROR(IF(MAX('SORT IMPORT'!$A$13:$A$408)&gt;ROW()-ROW($A$5)-1,INDEX( PRODUKTE,  VLOOKUP(ROW()-ROW($A$5),zeilenindizes,2)+INDEX(prodRowOffset,J$3),  MATCH(J$2,OFFSET(INDEXNAMEN,J$3,0),0)),""),"")</f>
        <v>M</v>
      </c>
      <c r="K141" s="17">
        <f ca="1">IFERROR(IF(MAX('SORT IMPORT'!$A$13:$A$408)&gt;ROW()-ROW($A$5)-1,INDEX( PRODUKTE,  VLOOKUP(ROW()-ROW($A$5),zeilenindizes,2)+INDEX(prodRowOffset,K$3),  MATCH(K$2,OFFSET(INDEXNAMEN,K$3,0),0)),""),"")</f>
        <v>384</v>
      </c>
      <c r="L141" s="17">
        <f ca="1">IFERROR(IF(MAX('SORT IMPORT'!$A$13:$A$408)&gt;ROW()-ROW($A$5)-1,INDEX( PRODUKTE,  VLOOKUP(ROW()-ROW($A$5),zeilenindizes,2)+INDEX(prodRowOffset,L$3),  MATCH(L$2,OFFSET(INDEXNAMEN,L$3,0),0)),""),"")</f>
        <v>0</v>
      </c>
      <c r="M141" s="17">
        <f ca="1">IFERROR(IF(MAX('SORT IMPORT'!$A$13:$A$408)&gt;ROW()-ROW($A$5)-1,INDEX( PRODUKTE,  VLOOKUP(ROW()-ROW($A$5),zeilenindizes,2)+INDEX(prodRowOffset,M$3),  MATCH(M$2,OFFSET(INDEXNAMEN,M$3,0),0)),""),"")</f>
        <v>4</v>
      </c>
      <c r="N141" s="17">
        <f ca="1">IFERROR(IF(MAX('SORT IMPORT'!$A$13:$A$408)&gt;ROW()-ROW($A$5)-1,INDEX( PRODUKTE,  VLOOKUP(ROW()-ROW($A$5),zeilenindizes,2)+INDEX(prodRowOffset,N$3),  MATCH(N$2,OFFSET(INDEXNAMEN,N$3,0),0)),""),"")</f>
        <v>3</v>
      </c>
      <c r="O141" s="17">
        <f ca="1">IFERROR(IF(MAX('SORT IMPORT'!$A$13:$A$408)&gt;ROW()-ROW($A$5)-1,INDEX( PRODUKTE,  VLOOKUP(ROW()-ROW($A$5),zeilenindizes,2)+INDEX(prodRowOffset,O$3),  MATCH(O$2,OFFSET(INDEXNAMEN,O$3,0),0)),""),"")</f>
        <v>0</v>
      </c>
      <c r="P141" s="17">
        <f ca="1">IFERROR(IF(MAX('SORT IMPORT'!$A$13:$A$408)&gt;ROW()-ROW($A$5)-1,INDEX( PRODUKTE,  VLOOKUP(ROW()-ROW($A$5),zeilenindizes,2)+INDEX(prodRowOffset,P$3),  MATCH(P$2,OFFSET(INDEXNAMEN,P$3,0),0)),""),"")</f>
        <v>0</v>
      </c>
      <c r="Q141" s="17">
        <f ca="1">IFERROR(IF(MAX('SORT IMPORT'!$A$13:$A$408)&gt;ROW()-ROW($A$5)-1,INDEX( PRODUKTE,  VLOOKUP(ROW()-ROW($A$5),zeilenindizes,2)+INDEX(prodRowOffset,Q$3),  MATCH(Q$2,OFFSET(INDEXNAMEN,Q$3,0),0)),""),"")</f>
        <v>0</v>
      </c>
      <c r="R141" s="17">
        <f ca="1">IFERROR(IF(MAX('SORT IMPORT'!$A$13:$A$408)&gt;ROW()-ROW($A$5)-1,INDEX( PRODUKTE,  VLOOKUP(ROW()-ROW($A$5),zeilenindizes,2)+INDEX(prodRowOffset,R$3),  MATCH(R$2,OFFSET(INDEXNAMEN,R$3,0),0)),""),"")</f>
        <v>0</v>
      </c>
      <c r="S141" s="17">
        <f ca="1">IFERROR(IF(MAX('SORT IMPORT'!$A$13:$A$408)&gt;ROW()-ROW($A$5)-1,INDEX( PRODUKTE,  VLOOKUP(ROW()-ROW($A$5),zeilenindizes,2)+INDEX(prodRowOffset,S$3),  MATCH(S$2,OFFSET(INDEXNAMEN,S$3,0),0)),""),"")</f>
        <v>0</v>
      </c>
      <c r="T141" s="17">
        <f ca="1">IFERROR(IF(MAX('SORT IMPORT'!$A$13:$A$408)&gt;ROW()-ROW($A$5)-1,INDEX( PRODUKTE,  VLOOKUP(ROW()-ROW($A$5),zeilenindizes,2)+INDEX(prodRowOffset,T$3),  MATCH(T$2,OFFSET(INDEXNAMEN,T$3,0),0)),""),"")</f>
        <v>1</v>
      </c>
      <c r="U141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141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141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41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41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-54</v>
      </c>
      <c r="Z141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-1</v>
      </c>
      <c r="AA141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41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41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41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41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141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41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41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41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41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41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41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41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41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41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-1</v>
      </c>
      <c r="AP141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-1</v>
      </c>
      <c r="AQ141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-1</v>
      </c>
      <c r="AR141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-1</v>
      </c>
      <c r="AS141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-1</v>
      </c>
      <c r="AT141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0</v>
      </c>
      <c r="AU141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39</v>
      </c>
      <c r="AV141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41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341</v>
      </c>
      <c r="AX141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78</v>
      </c>
      <c r="AY141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42" spans="6:51" ht="22.5" customHeight="1" x14ac:dyDescent="0.3">
      <c r="F142" s="17" t="str">
        <f ca="1">IFERROR(IF(MAX('SORT IMPORT'!$A$13:$A$408)&gt;ROW()-ROW($A$5)-1,INDEX( PRODUKTE,  VLOOKUP(ROW()-ROW($A$5),zeilenindizes,2)+INDEX(prodRowOffset,F$3),  MATCH(F$2,OFFSET(INDEXNAMEN,F$3,0),0)),""),"")</f>
        <v>BTS 80 EN 4</v>
      </c>
      <c r="G142" s="17" t="str">
        <f ca="1">IFERROR(IF(MAX('SORT IMPORT'!$A$13:$A$408)&gt;ROW()-ROW($A$5)-1,INDEX( PRODUKTE,  VLOOKUP(ROW()-ROW($A$5),zeilenindizes,2)+INDEX(prodRowOffset,G$3),  MATCH(G$2,OFFSET(INDEXNAMEN,G$3,0),0)),""),"")</f>
        <v>B</v>
      </c>
      <c r="H142" s="17" t="str">
        <f ca="1">IFERROR(IF(MAX('SORT IMPORT'!$A$13:$A$408)&gt;ROW()-ROW($A$5)-1,INDEX( PRODUKTE,  VLOOKUP(ROW()-ROW($A$5),zeilenindizes,2)+INDEX(prodRowOffset,H$3),  MATCH(H$2,OFFSET(INDEXNAMEN,H$3,0),0)),""),"")</f>
        <v>80</v>
      </c>
      <c r="I142" s="17" t="str">
        <f ca="1">IFERROR(IF(MAX('SORT IMPORT'!$A$13:$A$408)&gt;ROW()-ROW($A$5)-1,INDEX( PRODUKTE,  VLOOKUP(ROW()-ROW($A$5),zeilenindizes,2)+INDEX(prodRowOffset,I$3),  MATCH(I$2,OFFSET(INDEXNAMEN,I$3,0),0)),""),"")</f>
        <v/>
      </c>
      <c r="J142" s="17" t="str">
        <f ca="1">IFERROR(IF(MAX('SORT IMPORT'!$A$13:$A$408)&gt;ROW()-ROW($A$5)-1,INDEX( PRODUKTE,  VLOOKUP(ROW()-ROW($A$5),zeilenindizes,2)+INDEX(prodRowOffset,J$3),  MATCH(J$2,OFFSET(INDEXNAMEN,J$3,0),0)),""),"")</f>
        <v>M</v>
      </c>
      <c r="K142" s="17">
        <f ca="1">IFERROR(IF(MAX('SORT IMPORT'!$A$13:$A$408)&gt;ROW()-ROW($A$5)-1,INDEX( PRODUKTE,  VLOOKUP(ROW()-ROW($A$5),zeilenindizes,2)+INDEX(prodRowOffset,K$3),  MATCH(K$2,OFFSET(INDEXNAMEN,K$3,0),0)),""),"")</f>
        <v>384</v>
      </c>
      <c r="L142" s="17">
        <f ca="1">IFERROR(IF(MAX('SORT IMPORT'!$A$13:$A$408)&gt;ROW()-ROW($A$5)-1,INDEX( PRODUKTE,  VLOOKUP(ROW()-ROW($A$5),zeilenindizes,2)+INDEX(prodRowOffset,L$3),  MATCH(L$2,OFFSET(INDEXNAMEN,L$3,0),0)),""),"")</f>
        <v>0</v>
      </c>
      <c r="M142" s="17">
        <f ca="1">IFERROR(IF(MAX('SORT IMPORT'!$A$13:$A$408)&gt;ROW()-ROW($A$5)-1,INDEX( PRODUKTE,  VLOOKUP(ROW()-ROW($A$5),zeilenindizes,2)+INDEX(prodRowOffset,M$3),  MATCH(M$2,OFFSET(INDEXNAMEN,M$3,0),0)),""),"")</f>
        <v>8</v>
      </c>
      <c r="N142" s="17">
        <f ca="1">IFERROR(IF(MAX('SORT IMPORT'!$A$13:$A$408)&gt;ROW()-ROW($A$5)-1,INDEX( PRODUKTE,  VLOOKUP(ROW()-ROW($A$5),zeilenindizes,2)+INDEX(prodRowOffset,N$3),  MATCH(N$2,OFFSET(INDEXNAMEN,N$3,0),0)),""),"")</f>
        <v>3</v>
      </c>
      <c r="O142" s="17">
        <f ca="1">IFERROR(IF(MAX('SORT IMPORT'!$A$13:$A$408)&gt;ROW()-ROW($A$5)-1,INDEX( PRODUKTE,  VLOOKUP(ROW()-ROW($A$5),zeilenindizes,2)+INDEX(prodRowOffset,O$3),  MATCH(O$2,OFFSET(INDEXNAMEN,O$3,0),0)),""),"")</f>
        <v>0</v>
      </c>
      <c r="P142" s="17">
        <f ca="1">IFERROR(IF(MAX('SORT IMPORT'!$A$13:$A$408)&gt;ROW()-ROW($A$5)-1,INDEX( PRODUKTE,  VLOOKUP(ROW()-ROW($A$5),zeilenindizes,2)+INDEX(prodRowOffset,P$3),  MATCH(P$2,OFFSET(INDEXNAMEN,P$3,0),0)),""),"")</f>
        <v>0</v>
      </c>
      <c r="Q142" s="17">
        <f ca="1">IFERROR(IF(MAX('SORT IMPORT'!$A$13:$A$408)&gt;ROW()-ROW($A$5)-1,INDEX( PRODUKTE,  VLOOKUP(ROW()-ROW($A$5),zeilenindizes,2)+INDEX(prodRowOffset,Q$3),  MATCH(Q$2,OFFSET(INDEXNAMEN,Q$3,0),0)),""),"")</f>
        <v>0</v>
      </c>
      <c r="R142" s="17">
        <f ca="1">IFERROR(IF(MAX('SORT IMPORT'!$A$13:$A$408)&gt;ROW()-ROW($A$5)-1,INDEX( PRODUKTE,  VLOOKUP(ROW()-ROW($A$5),zeilenindizes,2)+INDEX(prodRowOffset,R$3),  MATCH(R$2,OFFSET(INDEXNAMEN,R$3,0),0)),""),"")</f>
        <v>0</v>
      </c>
      <c r="S142" s="17">
        <f ca="1">IFERROR(IF(MAX('SORT IMPORT'!$A$13:$A$408)&gt;ROW()-ROW($A$5)-1,INDEX( PRODUKTE,  VLOOKUP(ROW()-ROW($A$5),zeilenindizes,2)+INDEX(prodRowOffset,S$3),  MATCH(S$2,OFFSET(INDEXNAMEN,S$3,0),0)),""),"")</f>
        <v>0</v>
      </c>
      <c r="T142" s="17">
        <f ca="1">IFERROR(IF(MAX('SORT IMPORT'!$A$13:$A$408)&gt;ROW()-ROW($A$5)-1,INDEX( PRODUKTE,  VLOOKUP(ROW()-ROW($A$5),zeilenindizes,2)+INDEX(prodRowOffset,T$3),  MATCH(T$2,OFFSET(INDEXNAMEN,T$3,0),0)),""),"")</f>
        <v>1</v>
      </c>
      <c r="U142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142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142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42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42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-54</v>
      </c>
      <c r="Z142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-1</v>
      </c>
      <c r="AA142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42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42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42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42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142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42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42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42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42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42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42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42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42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42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-1</v>
      </c>
      <c r="AP142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-1</v>
      </c>
      <c r="AQ142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-1</v>
      </c>
      <c r="AR142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-1</v>
      </c>
      <c r="AS142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-1</v>
      </c>
      <c r="AT142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0</v>
      </c>
      <c r="AU142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39</v>
      </c>
      <c r="AV142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42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341</v>
      </c>
      <c r="AX142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78</v>
      </c>
      <c r="AY142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43" spans="6:51" ht="22.5" customHeight="1" x14ac:dyDescent="0.3">
      <c r="F143" s="17" t="str">
        <f ca="1">IFERROR(IF(MAX('SORT IMPORT'!$A$13:$A$408)&gt;ROW()-ROW($A$5)-1,INDEX( PRODUKTE,  VLOOKUP(ROW()-ROW($A$5),zeilenindizes,2)+INDEX(prodRowOffset,F$3),  MATCH(F$2,OFFSET(INDEXNAMEN,F$3,0),0)),""),"")</f>
        <v>BTS 80 EN 6</v>
      </c>
      <c r="G143" s="17" t="str">
        <f ca="1">IFERROR(IF(MAX('SORT IMPORT'!$A$13:$A$408)&gt;ROW()-ROW($A$5)-1,INDEX( PRODUKTE,  VLOOKUP(ROW()-ROW($A$5),zeilenindizes,2)+INDEX(prodRowOffset,G$3),  MATCH(G$2,OFFSET(INDEXNAMEN,G$3,0),0)),""),"")</f>
        <v>B</v>
      </c>
      <c r="H143" s="17" t="str">
        <f ca="1">IFERROR(IF(MAX('SORT IMPORT'!$A$13:$A$408)&gt;ROW()-ROW($A$5)-1,INDEX( PRODUKTE,  VLOOKUP(ROW()-ROW($A$5),zeilenindizes,2)+INDEX(prodRowOffset,H$3),  MATCH(H$2,OFFSET(INDEXNAMEN,H$3,0),0)),""),"")</f>
        <v>80</v>
      </c>
      <c r="I143" s="17" t="str">
        <f ca="1">IFERROR(IF(MAX('SORT IMPORT'!$A$13:$A$408)&gt;ROW()-ROW($A$5)-1,INDEX( PRODUKTE,  VLOOKUP(ROW()-ROW($A$5),zeilenindizes,2)+INDEX(prodRowOffset,I$3),  MATCH(I$2,OFFSET(INDEXNAMEN,I$3,0),0)),""),"")</f>
        <v/>
      </c>
      <c r="J143" s="17" t="str">
        <f ca="1">IFERROR(IF(MAX('SORT IMPORT'!$A$13:$A$408)&gt;ROW()-ROW($A$5)-1,INDEX( PRODUKTE,  VLOOKUP(ROW()-ROW($A$5),zeilenindizes,2)+INDEX(prodRowOffset,J$3),  MATCH(J$2,OFFSET(INDEXNAMEN,J$3,0),0)),""),"")</f>
        <v>M</v>
      </c>
      <c r="K143" s="17">
        <f ca="1">IFERROR(IF(MAX('SORT IMPORT'!$A$13:$A$408)&gt;ROW()-ROW($A$5)-1,INDEX( PRODUKTE,  VLOOKUP(ROW()-ROW($A$5),zeilenindizes,2)+INDEX(prodRowOffset,K$3),  MATCH(K$2,OFFSET(INDEXNAMEN,K$3,0),0)),""),"")</f>
        <v>384</v>
      </c>
      <c r="L143" s="17">
        <f ca="1">IFERROR(IF(MAX('SORT IMPORT'!$A$13:$A$408)&gt;ROW()-ROW($A$5)-1,INDEX( PRODUKTE,  VLOOKUP(ROW()-ROW($A$5),zeilenindizes,2)+INDEX(prodRowOffset,L$3),  MATCH(L$2,OFFSET(INDEXNAMEN,L$3,0),0)),""),"")</f>
        <v>0</v>
      </c>
      <c r="M143" s="17">
        <f ca="1">IFERROR(IF(MAX('SORT IMPORT'!$A$13:$A$408)&gt;ROW()-ROW($A$5)-1,INDEX( PRODUKTE,  VLOOKUP(ROW()-ROW($A$5),zeilenindizes,2)+INDEX(prodRowOffset,M$3),  MATCH(M$2,OFFSET(INDEXNAMEN,M$3,0),0)),""),"")</f>
        <v>32</v>
      </c>
      <c r="N143" s="17">
        <f ca="1">IFERROR(IF(MAX('SORT IMPORT'!$A$13:$A$408)&gt;ROW()-ROW($A$5)-1,INDEX( PRODUKTE,  VLOOKUP(ROW()-ROW($A$5),zeilenindizes,2)+INDEX(prodRowOffset,N$3),  MATCH(N$2,OFFSET(INDEXNAMEN,N$3,0),0)),""),"")</f>
        <v>3</v>
      </c>
      <c r="O143" s="17">
        <f ca="1">IFERROR(IF(MAX('SORT IMPORT'!$A$13:$A$408)&gt;ROW()-ROW($A$5)-1,INDEX( PRODUKTE,  VLOOKUP(ROW()-ROW($A$5),zeilenindizes,2)+INDEX(prodRowOffset,O$3),  MATCH(O$2,OFFSET(INDEXNAMEN,O$3,0),0)),""),"")</f>
        <v>0</v>
      </c>
      <c r="P143" s="17">
        <f ca="1">IFERROR(IF(MAX('SORT IMPORT'!$A$13:$A$408)&gt;ROW()-ROW($A$5)-1,INDEX( PRODUKTE,  VLOOKUP(ROW()-ROW($A$5),zeilenindizes,2)+INDEX(prodRowOffset,P$3),  MATCH(P$2,OFFSET(INDEXNAMEN,P$3,0),0)),""),"")</f>
        <v>0</v>
      </c>
      <c r="Q143" s="17">
        <f ca="1">IFERROR(IF(MAX('SORT IMPORT'!$A$13:$A$408)&gt;ROW()-ROW($A$5)-1,INDEX( PRODUKTE,  VLOOKUP(ROW()-ROW($A$5),zeilenindizes,2)+INDEX(prodRowOffset,Q$3),  MATCH(Q$2,OFFSET(INDEXNAMEN,Q$3,0),0)),""),"")</f>
        <v>0</v>
      </c>
      <c r="R143" s="17">
        <f ca="1">IFERROR(IF(MAX('SORT IMPORT'!$A$13:$A$408)&gt;ROW()-ROW($A$5)-1,INDEX( PRODUKTE,  VLOOKUP(ROW()-ROW($A$5),zeilenindizes,2)+INDEX(prodRowOffset,R$3),  MATCH(R$2,OFFSET(INDEXNAMEN,R$3,0),0)),""),"")</f>
        <v>0</v>
      </c>
      <c r="S143" s="17">
        <f ca="1">IFERROR(IF(MAX('SORT IMPORT'!$A$13:$A$408)&gt;ROW()-ROW($A$5)-1,INDEX( PRODUKTE,  VLOOKUP(ROW()-ROW($A$5),zeilenindizes,2)+INDEX(prodRowOffset,S$3),  MATCH(S$2,OFFSET(INDEXNAMEN,S$3,0),0)),""),"")</f>
        <v>0</v>
      </c>
      <c r="T143" s="17">
        <f ca="1">IFERROR(IF(MAX('SORT IMPORT'!$A$13:$A$408)&gt;ROW()-ROW($A$5)-1,INDEX( PRODUKTE,  VLOOKUP(ROW()-ROW($A$5),zeilenindizes,2)+INDEX(prodRowOffset,T$3),  MATCH(T$2,OFFSET(INDEXNAMEN,T$3,0),0)),""),"")</f>
        <v>1</v>
      </c>
      <c r="U143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143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143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43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43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-54</v>
      </c>
      <c r="Z143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-1</v>
      </c>
      <c r="AA143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43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43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43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43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143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43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43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43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43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43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43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43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43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43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-1</v>
      </c>
      <c r="AP143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-1</v>
      </c>
      <c r="AQ143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-1</v>
      </c>
      <c r="AR143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-1</v>
      </c>
      <c r="AS143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-1</v>
      </c>
      <c r="AT143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0</v>
      </c>
      <c r="AU143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39</v>
      </c>
      <c r="AV143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43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341</v>
      </c>
      <c r="AX143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78</v>
      </c>
      <c r="AY143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44" spans="6:51" ht="22.5" customHeight="1" x14ac:dyDescent="0.3">
      <c r="F144" s="17" t="str">
        <f ca="1">IFERROR(IF(MAX('SORT IMPORT'!$A$13:$A$408)&gt;ROW()-ROW($A$5)-1,INDEX( PRODUKTE,  VLOOKUP(ROW()-ROW($A$5),zeilenindizes,2)+INDEX(prodRowOffset,F$3),  MATCH(F$2,OFFSET(INDEXNAMEN,F$3,0),0)),""),"")</f>
        <v>BTS 80 F EN 4</v>
      </c>
      <c r="G144" s="17" t="str">
        <f ca="1">IFERROR(IF(MAX('SORT IMPORT'!$A$13:$A$408)&gt;ROW()-ROW($A$5)-1,INDEX( PRODUKTE,  VLOOKUP(ROW()-ROW($A$5),zeilenindizes,2)+INDEX(prodRowOffset,G$3),  MATCH(G$2,OFFSET(INDEXNAMEN,G$3,0),0)),""),"")</f>
        <v>B</v>
      </c>
      <c r="H144" s="17" t="str">
        <f ca="1">IFERROR(IF(MAX('SORT IMPORT'!$A$13:$A$408)&gt;ROW()-ROW($A$5)-1,INDEX( PRODUKTE,  VLOOKUP(ROW()-ROW($A$5),zeilenindizes,2)+INDEX(prodRowOffset,H$3),  MATCH(H$2,OFFSET(INDEXNAMEN,H$3,0),0)),""),"")</f>
        <v>80 F</v>
      </c>
      <c r="I144" s="17" t="str">
        <f ca="1">IFERROR(IF(MAX('SORT IMPORT'!$A$13:$A$408)&gt;ROW()-ROW($A$5)-1,INDEX( PRODUKTE,  VLOOKUP(ROW()-ROW($A$5),zeilenindizes,2)+INDEX(prodRowOffset,I$3),  MATCH(I$2,OFFSET(INDEXNAMEN,I$3,0),0)),""),"")</f>
        <v/>
      </c>
      <c r="J144" s="17" t="str">
        <f ca="1">IFERROR(IF(MAX('SORT IMPORT'!$A$13:$A$408)&gt;ROW()-ROW($A$5)-1,INDEX( PRODUKTE,  VLOOKUP(ROW()-ROW($A$5),zeilenindizes,2)+INDEX(prodRowOffset,J$3),  MATCH(J$2,OFFSET(INDEXNAMEN,J$3,0),0)),""),"")</f>
        <v/>
      </c>
      <c r="K144" s="17">
        <f ca="1">IFERROR(IF(MAX('SORT IMPORT'!$A$13:$A$408)&gt;ROW()-ROW($A$5)-1,INDEX( PRODUKTE,  VLOOKUP(ROW()-ROW($A$5),zeilenindizes,2)+INDEX(prodRowOffset,K$3),  MATCH(K$2,OFFSET(INDEXNAMEN,K$3,0),0)),""),"")</f>
        <v>128</v>
      </c>
      <c r="L144" s="17">
        <f ca="1">IFERROR(IF(MAX('SORT IMPORT'!$A$13:$A$408)&gt;ROW()-ROW($A$5)-1,INDEX( PRODUKTE,  VLOOKUP(ROW()-ROW($A$5),zeilenindizes,2)+INDEX(prodRowOffset,L$3),  MATCH(L$2,OFFSET(INDEXNAMEN,L$3,0),0)),""),"")</f>
        <v>0</v>
      </c>
      <c r="M144" s="17">
        <f ca="1">IFERROR(IF(MAX('SORT IMPORT'!$A$13:$A$408)&gt;ROW()-ROW($A$5)-1,INDEX( PRODUKTE,  VLOOKUP(ROW()-ROW($A$5),zeilenindizes,2)+INDEX(prodRowOffset,M$3),  MATCH(M$2,OFFSET(INDEXNAMEN,M$3,0),0)),""),"")</f>
        <v>8</v>
      </c>
      <c r="N144" s="17">
        <f ca="1">IFERROR(IF(MAX('SORT IMPORT'!$A$13:$A$408)&gt;ROW()-ROW($A$5)-1,INDEX( PRODUKTE,  VLOOKUP(ROW()-ROW($A$5),zeilenindizes,2)+INDEX(prodRowOffset,N$3),  MATCH(N$2,OFFSET(INDEXNAMEN,N$3,0),0)),""),"")</f>
        <v>1</v>
      </c>
      <c r="O144" s="17">
        <f ca="1">IFERROR(IF(MAX('SORT IMPORT'!$A$13:$A$408)&gt;ROW()-ROW($A$5)-1,INDEX( PRODUKTE,  VLOOKUP(ROW()-ROW($A$5),zeilenindizes,2)+INDEX(prodRowOffset,O$3),  MATCH(O$2,OFFSET(INDEXNAMEN,O$3,0),0)),""),"")</f>
        <v>0</v>
      </c>
      <c r="P144" s="17">
        <f ca="1">IFERROR(IF(MAX('SORT IMPORT'!$A$13:$A$408)&gt;ROW()-ROW($A$5)-1,INDEX( PRODUKTE,  VLOOKUP(ROW()-ROW($A$5),zeilenindizes,2)+INDEX(prodRowOffset,P$3),  MATCH(P$2,OFFSET(INDEXNAMEN,P$3,0),0)),""),"")</f>
        <v>0</v>
      </c>
      <c r="Q144" s="17">
        <f ca="1">IFERROR(IF(MAX('SORT IMPORT'!$A$13:$A$408)&gt;ROW()-ROW($A$5)-1,INDEX( PRODUKTE,  VLOOKUP(ROW()-ROW($A$5),zeilenindizes,2)+INDEX(prodRowOffset,Q$3),  MATCH(Q$2,OFFSET(INDEXNAMEN,Q$3,0),0)),""),"")</f>
        <v>1</v>
      </c>
      <c r="R144" s="17">
        <f ca="1">IFERROR(IF(MAX('SORT IMPORT'!$A$13:$A$408)&gt;ROW()-ROW($A$5)-1,INDEX( PRODUKTE,  VLOOKUP(ROW()-ROW($A$5),zeilenindizes,2)+INDEX(prodRowOffset,R$3),  MATCH(R$2,OFFSET(INDEXNAMEN,R$3,0),0)),""),"")</f>
        <v>0</v>
      </c>
      <c r="S144" s="17">
        <f ca="1">IFERROR(IF(MAX('SORT IMPORT'!$A$13:$A$408)&gt;ROW()-ROW($A$5)-1,INDEX( PRODUKTE,  VLOOKUP(ROW()-ROW($A$5),zeilenindizes,2)+INDEX(prodRowOffset,S$3),  MATCH(S$2,OFFSET(INDEXNAMEN,S$3,0),0)),""),"")</f>
        <v>0</v>
      </c>
      <c r="T144" s="17">
        <f ca="1">IFERROR(IF(MAX('SORT IMPORT'!$A$13:$A$408)&gt;ROW()-ROW($A$5)-1,INDEX( PRODUKTE,  VLOOKUP(ROW()-ROW($A$5),zeilenindizes,2)+INDEX(prodRowOffset,T$3),  MATCH(T$2,OFFSET(INDEXNAMEN,T$3,0),0)),""),"")</f>
        <v>1</v>
      </c>
      <c r="U144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144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144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44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44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-54</v>
      </c>
      <c r="Z144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-1</v>
      </c>
      <c r="AA144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44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44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44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44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144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44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44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44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44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44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44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44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44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44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-1</v>
      </c>
      <c r="AP144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-1</v>
      </c>
      <c r="AQ144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-1</v>
      </c>
      <c r="AR144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-1</v>
      </c>
      <c r="AS144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-1</v>
      </c>
      <c r="AT144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0</v>
      </c>
      <c r="AU144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39</v>
      </c>
      <c r="AV144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44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341</v>
      </c>
      <c r="AX144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78</v>
      </c>
      <c r="AY144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45" spans="6:51" ht="22.5" customHeight="1" x14ac:dyDescent="0.3">
      <c r="F145" s="17" t="str">
        <f ca="1">IFERROR(IF(MAX('SORT IMPORT'!$A$13:$A$408)&gt;ROW()-ROW($A$5)-1,INDEX( PRODUKTE,  VLOOKUP(ROW()-ROW($A$5),zeilenindizes,2)+INDEX(prodRowOffset,F$3),  MATCH(F$2,OFFSET(INDEXNAMEN,F$3,0),0)),""),"")</f>
        <v>BTS 80 F EN 5</v>
      </c>
      <c r="G145" s="17" t="str">
        <f ca="1">IFERROR(IF(MAX('SORT IMPORT'!$A$13:$A$408)&gt;ROW()-ROW($A$5)-1,INDEX( PRODUKTE,  VLOOKUP(ROW()-ROW($A$5),zeilenindizes,2)+INDEX(prodRowOffset,G$3),  MATCH(G$2,OFFSET(INDEXNAMEN,G$3,0),0)),""),"")</f>
        <v>B</v>
      </c>
      <c r="H145" s="17" t="str">
        <f ca="1">IFERROR(IF(MAX('SORT IMPORT'!$A$13:$A$408)&gt;ROW()-ROW($A$5)-1,INDEX( PRODUKTE,  VLOOKUP(ROW()-ROW($A$5),zeilenindizes,2)+INDEX(prodRowOffset,H$3),  MATCH(H$2,OFFSET(INDEXNAMEN,H$3,0),0)),""),"")</f>
        <v>80 F</v>
      </c>
      <c r="I145" s="17" t="str">
        <f ca="1">IFERROR(IF(MAX('SORT IMPORT'!$A$13:$A$408)&gt;ROW()-ROW($A$5)-1,INDEX( PRODUKTE,  VLOOKUP(ROW()-ROW($A$5),zeilenindizes,2)+INDEX(prodRowOffset,I$3),  MATCH(I$2,OFFSET(INDEXNAMEN,I$3,0),0)),""),"")</f>
        <v/>
      </c>
      <c r="J145" s="17" t="str">
        <f ca="1">IFERROR(IF(MAX('SORT IMPORT'!$A$13:$A$408)&gt;ROW()-ROW($A$5)-1,INDEX( PRODUKTE,  VLOOKUP(ROW()-ROW($A$5),zeilenindizes,2)+INDEX(prodRowOffset,J$3),  MATCH(J$2,OFFSET(INDEXNAMEN,J$3,0),0)),""),"")</f>
        <v/>
      </c>
      <c r="K145" s="17">
        <f ca="1">IFERROR(IF(MAX('SORT IMPORT'!$A$13:$A$408)&gt;ROW()-ROW($A$5)-1,INDEX( PRODUKTE,  VLOOKUP(ROW()-ROW($A$5),zeilenindizes,2)+INDEX(prodRowOffset,K$3),  MATCH(K$2,OFFSET(INDEXNAMEN,K$3,0),0)),""),"")</f>
        <v>128</v>
      </c>
      <c r="L145" s="17">
        <f ca="1">IFERROR(IF(MAX('SORT IMPORT'!$A$13:$A$408)&gt;ROW()-ROW($A$5)-1,INDEX( PRODUKTE,  VLOOKUP(ROW()-ROW($A$5),zeilenindizes,2)+INDEX(prodRowOffset,L$3),  MATCH(L$2,OFFSET(INDEXNAMEN,L$3,0),0)),""),"")</f>
        <v>0</v>
      </c>
      <c r="M145" s="17">
        <f ca="1">IFERROR(IF(MAX('SORT IMPORT'!$A$13:$A$408)&gt;ROW()-ROW($A$5)-1,INDEX( PRODUKTE,  VLOOKUP(ROW()-ROW($A$5),zeilenindizes,2)+INDEX(prodRowOffset,M$3),  MATCH(M$2,OFFSET(INDEXNAMEN,M$3,0),0)),""),"")</f>
        <v>16</v>
      </c>
      <c r="N145" s="17">
        <f ca="1">IFERROR(IF(MAX('SORT IMPORT'!$A$13:$A$408)&gt;ROW()-ROW($A$5)-1,INDEX( PRODUKTE,  VLOOKUP(ROW()-ROW($A$5),zeilenindizes,2)+INDEX(prodRowOffset,N$3),  MATCH(N$2,OFFSET(INDEXNAMEN,N$3,0),0)),""),"")</f>
        <v>1</v>
      </c>
      <c r="O145" s="17">
        <f ca="1">IFERROR(IF(MAX('SORT IMPORT'!$A$13:$A$408)&gt;ROW()-ROW($A$5)-1,INDEX( PRODUKTE,  VLOOKUP(ROW()-ROW($A$5),zeilenindizes,2)+INDEX(prodRowOffset,O$3),  MATCH(O$2,OFFSET(INDEXNAMEN,O$3,0),0)),""),"")</f>
        <v>0</v>
      </c>
      <c r="P145" s="17">
        <f ca="1">IFERROR(IF(MAX('SORT IMPORT'!$A$13:$A$408)&gt;ROW()-ROW($A$5)-1,INDEX( PRODUKTE,  VLOOKUP(ROW()-ROW($A$5),zeilenindizes,2)+INDEX(prodRowOffset,P$3),  MATCH(P$2,OFFSET(INDEXNAMEN,P$3,0),0)),""),"")</f>
        <v>0</v>
      </c>
      <c r="Q145" s="17">
        <f ca="1">IFERROR(IF(MAX('SORT IMPORT'!$A$13:$A$408)&gt;ROW()-ROW($A$5)-1,INDEX( PRODUKTE,  VLOOKUP(ROW()-ROW($A$5),zeilenindizes,2)+INDEX(prodRowOffset,Q$3),  MATCH(Q$2,OFFSET(INDEXNAMEN,Q$3,0),0)),""),"")</f>
        <v>1</v>
      </c>
      <c r="R145" s="17">
        <f ca="1">IFERROR(IF(MAX('SORT IMPORT'!$A$13:$A$408)&gt;ROW()-ROW($A$5)-1,INDEX( PRODUKTE,  VLOOKUP(ROW()-ROW($A$5),zeilenindizes,2)+INDEX(prodRowOffset,R$3),  MATCH(R$2,OFFSET(INDEXNAMEN,R$3,0),0)),""),"")</f>
        <v>0</v>
      </c>
      <c r="S145" s="17">
        <f ca="1">IFERROR(IF(MAX('SORT IMPORT'!$A$13:$A$408)&gt;ROW()-ROW($A$5)-1,INDEX( PRODUKTE,  VLOOKUP(ROW()-ROW($A$5),zeilenindizes,2)+INDEX(prodRowOffset,S$3),  MATCH(S$2,OFFSET(INDEXNAMEN,S$3,0),0)),""),"")</f>
        <v>0</v>
      </c>
      <c r="T145" s="17">
        <f ca="1">IFERROR(IF(MAX('SORT IMPORT'!$A$13:$A$408)&gt;ROW()-ROW($A$5)-1,INDEX( PRODUKTE,  VLOOKUP(ROW()-ROW($A$5),zeilenindizes,2)+INDEX(prodRowOffset,T$3),  MATCH(T$2,OFFSET(INDEXNAMEN,T$3,0),0)),""),"")</f>
        <v>1</v>
      </c>
      <c r="U145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145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145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45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45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-54</v>
      </c>
      <c r="Z145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-1</v>
      </c>
      <c r="AA145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45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45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45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45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145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45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45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45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45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45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45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45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45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45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-1</v>
      </c>
      <c r="AP145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-1</v>
      </c>
      <c r="AQ145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-1</v>
      </c>
      <c r="AR145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-1</v>
      </c>
      <c r="AS145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-1</v>
      </c>
      <c r="AT145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0</v>
      </c>
      <c r="AU145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39</v>
      </c>
      <c r="AV145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45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341</v>
      </c>
      <c r="AX145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78</v>
      </c>
      <c r="AY145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46" spans="6:51" ht="22.5" customHeight="1" x14ac:dyDescent="0.3">
      <c r="F146" s="17" t="str">
        <f ca="1">IFERROR(IF(MAX('SORT IMPORT'!$A$13:$A$408)&gt;ROW()-ROW($A$5)-1,INDEX( PRODUKTE,  VLOOKUP(ROW()-ROW($A$5),zeilenindizes,2)+INDEX(prodRowOffset,F$3),  MATCH(F$2,OFFSET(INDEXNAMEN,F$3,0),0)),""),"")</f>
        <v>BTS 80 F EN 6</v>
      </c>
      <c r="G146" s="17" t="str">
        <f ca="1">IFERROR(IF(MAX('SORT IMPORT'!$A$13:$A$408)&gt;ROW()-ROW($A$5)-1,INDEX( PRODUKTE,  VLOOKUP(ROW()-ROW($A$5),zeilenindizes,2)+INDEX(prodRowOffset,G$3),  MATCH(G$2,OFFSET(INDEXNAMEN,G$3,0),0)),""),"")</f>
        <v>B</v>
      </c>
      <c r="H146" s="17" t="str">
        <f ca="1">IFERROR(IF(MAX('SORT IMPORT'!$A$13:$A$408)&gt;ROW()-ROW($A$5)-1,INDEX( PRODUKTE,  VLOOKUP(ROW()-ROW($A$5),zeilenindizes,2)+INDEX(prodRowOffset,H$3),  MATCH(H$2,OFFSET(INDEXNAMEN,H$3,0),0)),""),"")</f>
        <v>80 F</v>
      </c>
      <c r="I146" s="17" t="str">
        <f ca="1">IFERROR(IF(MAX('SORT IMPORT'!$A$13:$A$408)&gt;ROW()-ROW($A$5)-1,INDEX( PRODUKTE,  VLOOKUP(ROW()-ROW($A$5),zeilenindizes,2)+INDEX(prodRowOffset,I$3),  MATCH(I$2,OFFSET(INDEXNAMEN,I$3,0),0)),""),"")</f>
        <v/>
      </c>
      <c r="J146" s="17" t="str">
        <f ca="1">IFERROR(IF(MAX('SORT IMPORT'!$A$13:$A$408)&gt;ROW()-ROW($A$5)-1,INDEX( PRODUKTE,  VLOOKUP(ROW()-ROW($A$5),zeilenindizes,2)+INDEX(prodRowOffset,J$3),  MATCH(J$2,OFFSET(INDEXNAMEN,J$3,0),0)),""),"")</f>
        <v/>
      </c>
      <c r="K146" s="17">
        <f ca="1">IFERROR(IF(MAX('SORT IMPORT'!$A$13:$A$408)&gt;ROW()-ROW($A$5)-1,INDEX( PRODUKTE,  VLOOKUP(ROW()-ROW($A$5),zeilenindizes,2)+INDEX(prodRowOffset,K$3),  MATCH(K$2,OFFSET(INDEXNAMEN,K$3,0),0)),""),"")</f>
        <v>128</v>
      </c>
      <c r="L146" s="17">
        <f ca="1">IFERROR(IF(MAX('SORT IMPORT'!$A$13:$A$408)&gt;ROW()-ROW($A$5)-1,INDEX( PRODUKTE,  VLOOKUP(ROW()-ROW($A$5),zeilenindizes,2)+INDEX(prodRowOffset,L$3),  MATCH(L$2,OFFSET(INDEXNAMEN,L$3,0),0)),""),"")</f>
        <v>0</v>
      </c>
      <c r="M146" s="17">
        <f ca="1">IFERROR(IF(MAX('SORT IMPORT'!$A$13:$A$408)&gt;ROW()-ROW($A$5)-1,INDEX( PRODUKTE,  VLOOKUP(ROW()-ROW($A$5),zeilenindizes,2)+INDEX(prodRowOffset,M$3),  MATCH(M$2,OFFSET(INDEXNAMEN,M$3,0),0)),""),"")</f>
        <v>32</v>
      </c>
      <c r="N146" s="17">
        <f ca="1">IFERROR(IF(MAX('SORT IMPORT'!$A$13:$A$408)&gt;ROW()-ROW($A$5)-1,INDEX( PRODUKTE,  VLOOKUP(ROW()-ROW($A$5),zeilenindizes,2)+INDEX(prodRowOffset,N$3),  MATCH(N$2,OFFSET(INDEXNAMEN,N$3,0),0)),""),"")</f>
        <v>1</v>
      </c>
      <c r="O146" s="17">
        <f ca="1">IFERROR(IF(MAX('SORT IMPORT'!$A$13:$A$408)&gt;ROW()-ROW($A$5)-1,INDEX( PRODUKTE,  VLOOKUP(ROW()-ROW($A$5),zeilenindizes,2)+INDEX(prodRowOffset,O$3),  MATCH(O$2,OFFSET(INDEXNAMEN,O$3,0),0)),""),"")</f>
        <v>0</v>
      </c>
      <c r="P146" s="17">
        <f ca="1">IFERROR(IF(MAX('SORT IMPORT'!$A$13:$A$408)&gt;ROW()-ROW($A$5)-1,INDEX( PRODUKTE,  VLOOKUP(ROW()-ROW($A$5),zeilenindizes,2)+INDEX(prodRowOffset,P$3),  MATCH(P$2,OFFSET(INDEXNAMEN,P$3,0),0)),""),"")</f>
        <v>0</v>
      </c>
      <c r="Q146" s="17">
        <f ca="1">IFERROR(IF(MAX('SORT IMPORT'!$A$13:$A$408)&gt;ROW()-ROW($A$5)-1,INDEX( PRODUKTE,  VLOOKUP(ROW()-ROW($A$5),zeilenindizes,2)+INDEX(prodRowOffset,Q$3),  MATCH(Q$2,OFFSET(INDEXNAMEN,Q$3,0),0)),""),"")</f>
        <v>1</v>
      </c>
      <c r="R146" s="17">
        <f ca="1">IFERROR(IF(MAX('SORT IMPORT'!$A$13:$A$408)&gt;ROW()-ROW($A$5)-1,INDEX( PRODUKTE,  VLOOKUP(ROW()-ROW($A$5),zeilenindizes,2)+INDEX(prodRowOffset,R$3),  MATCH(R$2,OFFSET(INDEXNAMEN,R$3,0),0)),""),"")</f>
        <v>0</v>
      </c>
      <c r="S146" s="17">
        <f ca="1">IFERROR(IF(MAX('SORT IMPORT'!$A$13:$A$408)&gt;ROW()-ROW($A$5)-1,INDEX( PRODUKTE,  VLOOKUP(ROW()-ROW($A$5),zeilenindizes,2)+INDEX(prodRowOffset,S$3),  MATCH(S$2,OFFSET(INDEXNAMEN,S$3,0),0)),""),"")</f>
        <v>0</v>
      </c>
      <c r="T146" s="17">
        <f ca="1">IFERROR(IF(MAX('SORT IMPORT'!$A$13:$A$408)&gt;ROW()-ROW($A$5)-1,INDEX( PRODUKTE,  VLOOKUP(ROW()-ROW($A$5),zeilenindizes,2)+INDEX(prodRowOffset,T$3),  MATCH(T$2,OFFSET(INDEXNAMEN,T$3,0),0)),""),"")</f>
        <v>1</v>
      </c>
      <c r="U146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146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146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46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46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-54</v>
      </c>
      <c r="Z146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-1</v>
      </c>
      <c r="AA146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46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46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46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46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146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46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46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46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46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46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46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46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46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46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-1</v>
      </c>
      <c r="AP146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-1</v>
      </c>
      <c r="AQ146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-1</v>
      </c>
      <c r="AR146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-1</v>
      </c>
      <c r="AS146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-1</v>
      </c>
      <c r="AT146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0</v>
      </c>
      <c r="AU146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39</v>
      </c>
      <c r="AV146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46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341</v>
      </c>
      <c r="AX146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78</v>
      </c>
      <c r="AY146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47" spans="6:51" ht="22.5" customHeight="1" x14ac:dyDescent="0.3">
      <c r="F147" s="17" t="str">
        <f ca="1">IFERROR(IF(MAX('SORT IMPORT'!$A$13:$A$408)&gt;ROW()-ROW($A$5)-1,INDEX( PRODUKTE,  VLOOKUP(ROW()-ROW($A$5),zeilenindizes,2)+INDEX(prodRowOffset,F$3),  MATCH(F$2,OFFSET(INDEXNAMEN,F$3,0),0)),""),"")</f>
        <v>BTS 80 F EN 4 + SR</v>
      </c>
      <c r="G147" s="17" t="str">
        <f ca="1">IFERROR(IF(MAX('SORT IMPORT'!$A$13:$A$408)&gt;ROW()-ROW($A$5)-1,INDEX( PRODUKTE,  VLOOKUP(ROW()-ROW($A$5),zeilenindizes,2)+INDEX(prodRowOffset,G$3),  MATCH(G$2,OFFSET(INDEXNAMEN,G$3,0),0)),""),"")</f>
        <v>B</v>
      </c>
      <c r="H147" s="17" t="str">
        <f ca="1">IFERROR(IF(MAX('SORT IMPORT'!$A$13:$A$408)&gt;ROW()-ROW($A$5)-1,INDEX( PRODUKTE,  VLOOKUP(ROW()-ROW($A$5),zeilenindizes,2)+INDEX(prodRowOffset,H$3),  MATCH(H$2,OFFSET(INDEXNAMEN,H$3,0),0)),""),"")</f>
        <v>80 F</v>
      </c>
      <c r="I147" s="17" t="str">
        <f ca="1">IFERROR(IF(MAX('SORT IMPORT'!$A$13:$A$408)&gt;ROW()-ROW($A$5)-1,INDEX( PRODUKTE,  VLOOKUP(ROW()-ROW($A$5),zeilenindizes,2)+INDEX(prodRowOffset,I$3),  MATCH(I$2,OFFSET(INDEXNAMEN,I$3,0),0)),""),"")</f>
        <v/>
      </c>
      <c r="J147" s="17" t="str">
        <f ca="1">IFERROR(IF(MAX('SORT IMPORT'!$A$13:$A$408)&gt;ROW()-ROW($A$5)-1,INDEX( PRODUKTE,  VLOOKUP(ROW()-ROW($A$5),zeilenindizes,2)+INDEX(prodRowOffset,J$3),  MATCH(J$2,OFFSET(INDEXNAMEN,J$3,0),0)),""),"")</f>
        <v/>
      </c>
      <c r="K147" s="17">
        <f ca="1">IFERROR(IF(MAX('SORT IMPORT'!$A$13:$A$408)&gt;ROW()-ROW($A$5)-1,INDEX( PRODUKTE,  VLOOKUP(ROW()-ROW($A$5),zeilenindizes,2)+INDEX(prodRowOffset,K$3),  MATCH(K$2,OFFSET(INDEXNAMEN,K$3,0),0)),""),"")</f>
        <v>128</v>
      </c>
      <c r="L147" s="17">
        <f ca="1">IFERROR(IF(MAX('SORT IMPORT'!$A$13:$A$408)&gt;ROW()-ROW($A$5)-1,INDEX( PRODUKTE,  VLOOKUP(ROW()-ROW($A$5),zeilenindizes,2)+INDEX(prodRowOffset,L$3),  MATCH(L$2,OFFSET(INDEXNAMEN,L$3,0),0)),""),"")</f>
        <v>0</v>
      </c>
      <c r="M147" s="17">
        <f ca="1">IFERROR(IF(MAX('SORT IMPORT'!$A$13:$A$408)&gt;ROW()-ROW($A$5)-1,INDEX( PRODUKTE,  VLOOKUP(ROW()-ROW($A$5),zeilenindizes,2)+INDEX(prodRowOffset,M$3),  MATCH(M$2,OFFSET(INDEXNAMEN,M$3,0),0)),""),"")</f>
        <v>8</v>
      </c>
      <c r="N147" s="17">
        <f ca="1">IFERROR(IF(MAX('SORT IMPORT'!$A$13:$A$408)&gt;ROW()-ROW($A$5)-1,INDEX( PRODUKTE,  VLOOKUP(ROW()-ROW($A$5),zeilenindizes,2)+INDEX(prodRowOffset,N$3),  MATCH(N$2,OFFSET(INDEXNAMEN,N$3,0),0)),""),"")</f>
        <v>2</v>
      </c>
      <c r="O147" s="17">
        <f ca="1">IFERROR(IF(MAX('SORT IMPORT'!$A$13:$A$408)&gt;ROW()-ROW($A$5)-1,INDEX( PRODUKTE,  VLOOKUP(ROW()-ROW($A$5),zeilenindizes,2)+INDEX(prodRowOffset,O$3),  MATCH(O$2,OFFSET(INDEXNAMEN,O$3,0),0)),""),"")</f>
        <v>0</v>
      </c>
      <c r="P147" s="17">
        <f ca="1">IFERROR(IF(MAX('SORT IMPORT'!$A$13:$A$408)&gt;ROW()-ROW($A$5)-1,INDEX( PRODUKTE,  VLOOKUP(ROW()-ROW($A$5),zeilenindizes,2)+INDEX(prodRowOffset,P$3),  MATCH(P$2,OFFSET(INDEXNAMEN,P$3,0),0)),""),"")</f>
        <v>0</v>
      </c>
      <c r="Q147" s="17">
        <f ca="1">IFERROR(IF(MAX('SORT IMPORT'!$A$13:$A$408)&gt;ROW()-ROW($A$5)-1,INDEX( PRODUKTE,  VLOOKUP(ROW()-ROW($A$5),zeilenindizes,2)+INDEX(prodRowOffset,Q$3),  MATCH(Q$2,OFFSET(INDEXNAMEN,Q$3,0),0)),""),"")</f>
        <v>1</v>
      </c>
      <c r="R147" s="17">
        <f ca="1">IFERROR(IF(MAX('SORT IMPORT'!$A$13:$A$408)&gt;ROW()-ROW($A$5)-1,INDEX( PRODUKTE,  VLOOKUP(ROW()-ROW($A$5),zeilenindizes,2)+INDEX(prodRowOffset,R$3),  MATCH(R$2,OFFSET(INDEXNAMEN,R$3,0),0)),""),"")</f>
        <v>0</v>
      </c>
      <c r="S147" s="17">
        <f ca="1">IFERROR(IF(MAX('SORT IMPORT'!$A$13:$A$408)&gt;ROW()-ROW($A$5)-1,INDEX( PRODUKTE,  VLOOKUP(ROW()-ROW($A$5),zeilenindizes,2)+INDEX(prodRowOffset,S$3),  MATCH(S$2,OFFSET(INDEXNAMEN,S$3,0),0)),""),"")</f>
        <v>0</v>
      </c>
      <c r="T147" s="17">
        <f ca="1">IFERROR(IF(MAX('SORT IMPORT'!$A$13:$A$408)&gt;ROW()-ROW($A$5)-1,INDEX( PRODUKTE,  VLOOKUP(ROW()-ROW($A$5),zeilenindizes,2)+INDEX(prodRowOffset,T$3),  MATCH(T$2,OFFSET(INDEXNAMEN,T$3,0),0)),""),"")</f>
        <v>1</v>
      </c>
      <c r="U147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147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147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47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47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-54</v>
      </c>
      <c r="Z147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-1</v>
      </c>
      <c r="AA147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47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47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47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47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147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47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47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47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47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47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47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47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47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47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-1</v>
      </c>
      <c r="AP147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-1</v>
      </c>
      <c r="AQ147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-1</v>
      </c>
      <c r="AR147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-1</v>
      </c>
      <c r="AS147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-1</v>
      </c>
      <c r="AT147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0</v>
      </c>
      <c r="AU147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39</v>
      </c>
      <c r="AV147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47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341</v>
      </c>
      <c r="AX147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78</v>
      </c>
      <c r="AY147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48" spans="6:51" ht="22.5" customHeight="1" x14ac:dyDescent="0.3">
      <c r="F148" s="17" t="str">
        <f ca="1">IFERROR(IF(MAX('SORT IMPORT'!$A$13:$A$408)&gt;ROW()-ROW($A$5)-1,INDEX( PRODUKTE,  VLOOKUP(ROW()-ROW($A$5),zeilenindizes,2)+INDEX(prodRowOffset,F$3),  MATCH(F$2,OFFSET(INDEXNAMEN,F$3,0),0)),""),"")</f>
        <v>BTS 80 F EN 5 + SR</v>
      </c>
      <c r="G148" s="17" t="str">
        <f ca="1">IFERROR(IF(MAX('SORT IMPORT'!$A$13:$A$408)&gt;ROW()-ROW($A$5)-1,INDEX( PRODUKTE,  VLOOKUP(ROW()-ROW($A$5),zeilenindizes,2)+INDEX(prodRowOffset,G$3),  MATCH(G$2,OFFSET(INDEXNAMEN,G$3,0),0)),""),"")</f>
        <v>B</v>
      </c>
      <c r="H148" s="17" t="str">
        <f ca="1">IFERROR(IF(MAX('SORT IMPORT'!$A$13:$A$408)&gt;ROW()-ROW($A$5)-1,INDEX( PRODUKTE,  VLOOKUP(ROW()-ROW($A$5),zeilenindizes,2)+INDEX(prodRowOffset,H$3),  MATCH(H$2,OFFSET(INDEXNAMEN,H$3,0),0)),""),"")</f>
        <v>80 F</v>
      </c>
      <c r="I148" s="17" t="str">
        <f ca="1">IFERROR(IF(MAX('SORT IMPORT'!$A$13:$A$408)&gt;ROW()-ROW($A$5)-1,INDEX( PRODUKTE,  VLOOKUP(ROW()-ROW($A$5),zeilenindizes,2)+INDEX(prodRowOffset,I$3),  MATCH(I$2,OFFSET(INDEXNAMEN,I$3,0),0)),""),"")</f>
        <v/>
      </c>
      <c r="J148" s="17" t="str">
        <f ca="1">IFERROR(IF(MAX('SORT IMPORT'!$A$13:$A$408)&gt;ROW()-ROW($A$5)-1,INDEX( PRODUKTE,  VLOOKUP(ROW()-ROW($A$5),zeilenindizes,2)+INDEX(prodRowOffset,J$3),  MATCH(J$2,OFFSET(INDEXNAMEN,J$3,0),0)),""),"")</f>
        <v/>
      </c>
      <c r="K148" s="17">
        <f ca="1">IFERROR(IF(MAX('SORT IMPORT'!$A$13:$A$408)&gt;ROW()-ROW($A$5)-1,INDEX( PRODUKTE,  VLOOKUP(ROW()-ROW($A$5),zeilenindizes,2)+INDEX(prodRowOffset,K$3),  MATCH(K$2,OFFSET(INDEXNAMEN,K$3,0),0)),""),"")</f>
        <v>128</v>
      </c>
      <c r="L148" s="17">
        <f ca="1">IFERROR(IF(MAX('SORT IMPORT'!$A$13:$A$408)&gt;ROW()-ROW($A$5)-1,INDEX( PRODUKTE,  VLOOKUP(ROW()-ROW($A$5),zeilenindizes,2)+INDEX(prodRowOffset,L$3),  MATCH(L$2,OFFSET(INDEXNAMEN,L$3,0),0)),""),"")</f>
        <v>0</v>
      </c>
      <c r="M148" s="17">
        <f ca="1">IFERROR(IF(MAX('SORT IMPORT'!$A$13:$A$408)&gt;ROW()-ROW($A$5)-1,INDEX( PRODUKTE,  VLOOKUP(ROW()-ROW($A$5),zeilenindizes,2)+INDEX(prodRowOffset,M$3),  MATCH(M$2,OFFSET(INDEXNAMEN,M$3,0),0)),""),"")</f>
        <v>16</v>
      </c>
      <c r="N148" s="17">
        <f ca="1">IFERROR(IF(MAX('SORT IMPORT'!$A$13:$A$408)&gt;ROW()-ROW($A$5)-1,INDEX( PRODUKTE,  VLOOKUP(ROW()-ROW($A$5),zeilenindizes,2)+INDEX(prodRowOffset,N$3),  MATCH(N$2,OFFSET(INDEXNAMEN,N$3,0),0)),""),"")</f>
        <v>2</v>
      </c>
      <c r="O148" s="17">
        <f ca="1">IFERROR(IF(MAX('SORT IMPORT'!$A$13:$A$408)&gt;ROW()-ROW($A$5)-1,INDEX( PRODUKTE,  VLOOKUP(ROW()-ROW($A$5),zeilenindizes,2)+INDEX(prodRowOffset,O$3),  MATCH(O$2,OFFSET(INDEXNAMEN,O$3,0),0)),""),"")</f>
        <v>0</v>
      </c>
      <c r="P148" s="17">
        <f ca="1">IFERROR(IF(MAX('SORT IMPORT'!$A$13:$A$408)&gt;ROW()-ROW($A$5)-1,INDEX( PRODUKTE,  VLOOKUP(ROW()-ROW($A$5),zeilenindizes,2)+INDEX(prodRowOffset,P$3),  MATCH(P$2,OFFSET(INDEXNAMEN,P$3,0),0)),""),"")</f>
        <v>0</v>
      </c>
      <c r="Q148" s="17">
        <f ca="1">IFERROR(IF(MAX('SORT IMPORT'!$A$13:$A$408)&gt;ROW()-ROW($A$5)-1,INDEX( PRODUKTE,  VLOOKUP(ROW()-ROW($A$5),zeilenindizes,2)+INDEX(prodRowOffset,Q$3),  MATCH(Q$2,OFFSET(INDEXNAMEN,Q$3,0),0)),""),"")</f>
        <v>1</v>
      </c>
      <c r="R148" s="17">
        <f ca="1">IFERROR(IF(MAX('SORT IMPORT'!$A$13:$A$408)&gt;ROW()-ROW($A$5)-1,INDEX( PRODUKTE,  VLOOKUP(ROW()-ROW($A$5),zeilenindizes,2)+INDEX(prodRowOffset,R$3),  MATCH(R$2,OFFSET(INDEXNAMEN,R$3,0),0)),""),"")</f>
        <v>0</v>
      </c>
      <c r="S148" s="17">
        <f ca="1">IFERROR(IF(MAX('SORT IMPORT'!$A$13:$A$408)&gt;ROW()-ROW($A$5)-1,INDEX( PRODUKTE,  VLOOKUP(ROW()-ROW($A$5),zeilenindizes,2)+INDEX(prodRowOffset,S$3),  MATCH(S$2,OFFSET(INDEXNAMEN,S$3,0),0)),""),"")</f>
        <v>0</v>
      </c>
      <c r="T148" s="17">
        <f ca="1">IFERROR(IF(MAX('SORT IMPORT'!$A$13:$A$408)&gt;ROW()-ROW($A$5)-1,INDEX( PRODUKTE,  VLOOKUP(ROW()-ROW($A$5),zeilenindizes,2)+INDEX(prodRowOffset,T$3),  MATCH(T$2,OFFSET(INDEXNAMEN,T$3,0),0)),""),"")</f>
        <v>1</v>
      </c>
      <c r="U148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148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148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48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48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-54</v>
      </c>
      <c r="Z148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-1</v>
      </c>
      <c r="AA148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48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48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48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48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148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48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48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48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48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48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48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48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48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48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-1</v>
      </c>
      <c r="AP148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-1</v>
      </c>
      <c r="AQ148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-1</v>
      </c>
      <c r="AR148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-1</v>
      </c>
      <c r="AS148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-1</v>
      </c>
      <c r="AT148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0</v>
      </c>
      <c r="AU148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39</v>
      </c>
      <c r="AV148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48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341</v>
      </c>
      <c r="AX148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78</v>
      </c>
      <c r="AY148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49" spans="6:51" ht="22.5" customHeight="1" x14ac:dyDescent="0.3">
      <c r="F149" s="17" t="str">
        <f ca="1">IFERROR(IF(MAX('SORT IMPORT'!$A$13:$A$408)&gt;ROW()-ROW($A$5)-1,INDEX( PRODUKTE,  VLOOKUP(ROW()-ROW($A$5),zeilenindizes,2)+INDEX(prodRowOffset,F$3),  MATCH(F$2,OFFSET(INDEXNAMEN,F$3,0),0)),""),"")</f>
        <v>BTS 80 F EN 6 + SR</v>
      </c>
      <c r="G149" s="17" t="str">
        <f ca="1">IFERROR(IF(MAX('SORT IMPORT'!$A$13:$A$408)&gt;ROW()-ROW($A$5)-1,INDEX( PRODUKTE,  VLOOKUP(ROW()-ROW($A$5),zeilenindizes,2)+INDEX(prodRowOffset,G$3),  MATCH(G$2,OFFSET(INDEXNAMEN,G$3,0),0)),""),"")</f>
        <v>B</v>
      </c>
      <c r="H149" s="17" t="str">
        <f ca="1">IFERROR(IF(MAX('SORT IMPORT'!$A$13:$A$408)&gt;ROW()-ROW($A$5)-1,INDEX( PRODUKTE,  VLOOKUP(ROW()-ROW($A$5),zeilenindizes,2)+INDEX(prodRowOffset,H$3),  MATCH(H$2,OFFSET(INDEXNAMEN,H$3,0),0)),""),"")</f>
        <v>80 F</v>
      </c>
      <c r="I149" s="17" t="str">
        <f ca="1">IFERROR(IF(MAX('SORT IMPORT'!$A$13:$A$408)&gt;ROW()-ROW($A$5)-1,INDEX( PRODUKTE,  VLOOKUP(ROW()-ROW($A$5),zeilenindizes,2)+INDEX(prodRowOffset,I$3),  MATCH(I$2,OFFSET(INDEXNAMEN,I$3,0),0)),""),"")</f>
        <v/>
      </c>
      <c r="J149" s="17" t="str">
        <f ca="1">IFERROR(IF(MAX('SORT IMPORT'!$A$13:$A$408)&gt;ROW()-ROW($A$5)-1,INDEX( PRODUKTE,  VLOOKUP(ROW()-ROW($A$5),zeilenindizes,2)+INDEX(prodRowOffset,J$3),  MATCH(J$2,OFFSET(INDEXNAMEN,J$3,0),0)),""),"")</f>
        <v/>
      </c>
      <c r="K149" s="17">
        <f ca="1">IFERROR(IF(MAX('SORT IMPORT'!$A$13:$A$408)&gt;ROW()-ROW($A$5)-1,INDEX( PRODUKTE,  VLOOKUP(ROW()-ROW($A$5),zeilenindizes,2)+INDEX(prodRowOffset,K$3),  MATCH(K$2,OFFSET(INDEXNAMEN,K$3,0),0)),""),"")</f>
        <v>128</v>
      </c>
      <c r="L149" s="17">
        <f ca="1">IFERROR(IF(MAX('SORT IMPORT'!$A$13:$A$408)&gt;ROW()-ROW($A$5)-1,INDEX( PRODUKTE,  VLOOKUP(ROW()-ROW($A$5),zeilenindizes,2)+INDEX(prodRowOffset,L$3),  MATCH(L$2,OFFSET(INDEXNAMEN,L$3,0),0)),""),"")</f>
        <v>0</v>
      </c>
      <c r="M149" s="17">
        <f ca="1">IFERROR(IF(MAX('SORT IMPORT'!$A$13:$A$408)&gt;ROW()-ROW($A$5)-1,INDEX( PRODUKTE,  VLOOKUP(ROW()-ROW($A$5),zeilenindizes,2)+INDEX(prodRowOffset,M$3),  MATCH(M$2,OFFSET(INDEXNAMEN,M$3,0),0)),""),"")</f>
        <v>32</v>
      </c>
      <c r="N149" s="17">
        <f ca="1">IFERROR(IF(MAX('SORT IMPORT'!$A$13:$A$408)&gt;ROW()-ROW($A$5)-1,INDEX( PRODUKTE,  VLOOKUP(ROW()-ROW($A$5),zeilenindizes,2)+INDEX(prodRowOffset,N$3),  MATCH(N$2,OFFSET(INDEXNAMEN,N$3,0),0)),""),"")</f>
        <v>2</v>
      </c>
      <c r="O149" s="17">
        <f ca="1">IFERROR(IF(MAX('SORT IMPORT'!$A$13:$A$408)&gt;ROW()-ROW($A$5)-1,INDEX( PRODUKTE,  VLOOKUP(ROW()-ROW($A$5),zeilenindizes,2)+INDEX(prodRowOffset,O$3),  MATCH(O$2,OFFSET(INDEXNAMEN,O$3,0),0)),""),"")</f>
        <v>0</v>
      </c>
      <c r="P149" s="17">
        <f ca="1">IFERROR(IF(MAX('SORT IMPORT'!$A$13:$A$408)&gt;ROW()-ROW($A$5)-1,INDEX( PRODUKTE,  VLOOKUP(ROW()-ROW($A$5),zeilenindizes,2)+INDEX(prodRowOffset,P$3),  MATCH(P$2,OFFSET(INDEXNAMEN,P$3,0),0)),""),"")</f>
        <v>0</v>
      </c>
      <c r="Q149" s="17">
        <f ca="1">IFERROR(IF(MAX('SORT IMPORT'!$A$13:$A$408)&gt;ROW()-ROW($A$5)-1,INDEX( PRODUKTE,  VLOOKUP(ROW()-ROW($A$5),zeilenindizes,2)+INDEX(prodRowOffset,Q$3),  MATCH(Q$2,OFFSET(INDEXNAMEN,Q$3,0),0)),""),"")</f>
        <v>1</v>
      </c>
      <c r="R149" s="17">
        <f ca="1">IFERROR(IF(MAX('SORT IMPORT'!$A$13:$A$408)&gt;ROW()-ROW($A$5)-1,INDEX( PRODUKTE,  VLOOKUP(ROW()-ROW($A$5),zeilenindizes,2)+INDEX(prodRowOffset,R$3),  MATCH(R$2,OFFSET(INDEXNAMEN,R$3,0),0)),""),"")</f>
        <v>0</v>
      </c>
      <c r="S149" s="17">
        <f ca="1">IFERROR(IF(MAX('SORT IMPORT'!$A$13:$A$408)&gt;ROW()-ROW($A$5)-1,INDEX( PRODUKTE,  VLOOKUP(ROW()-ROW($A$5),zeilenindizes,2)+INDEX(prodRowOffset,S$3),  MATCH(S$2,OFFSET(INDEXNAMEN,S$3,0),0)),""),"")</f>
        <v>0</v>
      </c>
      <c r="T149" s="17">
        <f ca="1">IFERROR(IF(MAX('SORT IMPORT'!$A$13:$A$408)&gt;ROW()-ROW($A$5)-1,INDEX( PRODUKTE,  VLOOKUP(ROW()-ROW($A$5),zeilenindizes,2)+INDEX(prodRowOffset,T$3),  MATCH(T$2,OFFSET(INDEXNAMEN,T$3,0),0)),""),"")</f>
        <v>1</v>
      </c>
      <c r="U149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149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149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49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49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-54</v>
      </c>
      <c r="Z149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-1</v>
      </c>
      <c r="AA149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49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49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49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49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149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49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49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49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49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49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49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49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49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49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-1</v>
      </c>
      <c r="AP149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-1</v>
      </c>
      <c r="AQ149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-1</v>
      </c>
      <c r="AR149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-1</v>
      </c>
      <c r="AS149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-1</v>
      </c>
      <c r="AT149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0</v>
      </c>
      <c r="AU149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39</v>
      </c>
      <c r="AV149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49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341</v>
      </c>
      <c r="AX149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78</v>
      </c>
      <c r="AY149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50" spans="6:51" ht="22.5" customHeight="1" x14ac:dyDescent="0.3">
      <c r="F150" s="17" t="str">
        <f ca="1">IFERROR(IF(MAX('SORT IMPORT'!$A$13:$A$408)&gt;ROW()-ROW($A$5)-1,INDEX( PRODUKTE,  VLOOKUP(ROW()-ROW($A$5),zeilenindizes,2)+INDEX(prodRowOffset,F$3),  MATCH(F$2,OFFSET(INDEXNAMEN,F$3,0),0)),""),"")</f>
        <v>BTS 80 EMB EN 4</v>
      </c>
      <c r="G150" s="17" t="str">
        <f ca="1">IFERROR(IF(MAX('SORT IMPORT'!$A$13:$A$408)&gt;ROW()-ROW($A$5)-1,INDEX( PRODUKTE,  VLOOKUP(ROW()-ROW($A$5),zeilenindizes,2)+INDEX(prodRowOffset,G$3),  MATCH(G$2,OFFSET(INDEXNAMEN,G$3,0),0)),""),"")</f>
        <v>B</v>
      </c>
      <c r="H150" s="17" t="str">
        <f ca="1">IFERROR(IF(MAX('SORT IMPORT'!$A$13:$A$408)&gt;ROW()-ROW($A$5)-1,INDEX( PRODUKTE,  VLOOKUP(ROW()-ROW($A$5),zeilenindizes,2)+INDEX(prodRowOffset,H$3),  MATCH(H$2,OFFSET(INDEXNAMEN,H$3,0),0)),""),"")</f>
        <v>80 EMB</v>
      </c>
      <c r="I150" s="17" t="str">
        <f ca="1">IFERROR(IF(MAX('SORT IMPORT'!$A$13:$A$408)&gt;ROW()-ROW($A$5)-1,INDEX( PRODUKTE,  VLOOKUP(ROW()-ROW($A$5),zeilenindizes,2)+INDEX(prodRowOffset,I$3),  MATCH(I$2,OFFSET(INDEXNAMEN,I$3,0),0)),""),"")</f>
        <v/>
      </c>
      <c r="J150" s="17" t="str">
        <f ca="1">IFERROR(IF(MAX('SORT IMPORT'!$A$13:$A$408)&gt;ROW()-ROW($A$5)-1,INDEX( PRODUKTE,  VLOOKUP(ROW()-ROW($A$5),zeilenindizes,2)+INDEX(prodRowOffset,J$3),  MATCH(J$2,OFFSET(INDEXNAMEN,J$3,0),0)),""),"")</f>
        <v>E</v>
      </c>
      <c r="K150" s="17">
        <f ca="1">IFERROR(IF(MAX('SORT IMPORT'!$A$13:$A$408)&gt;ROW()-ROW($A$5)-1,INDEX( PRODUKTE,  VLOOKUP(ROW()-ROW($A$5),zeilenindizes,2)+INDEX(prodRowOffset,K$3),  MATCH(K$2,OFFSET(INDEXNAMEN,K$3,0),0)),""),"")</f>
        <v>128</v>
      </c>
      <c r="L150" s="17">
        <f ca="1">IFERROR(IF(MAX('SORT IMPORT'!$A$13:$A$408)&gt;ROW()-ROW($A$5)-1,INDEX( PRODUKTE,  VLOOKUP(ROW()-ROW($A$5),zeilenindizes,2)+INDEX(prodRowOffset,L$3),  MATCH(L$2,OFFSET(INDEXNAMEN,L$3,0),0)),""),"")</f>
        <v>0</v>
      </c>
      <c r="M150" s="17">
        <f ca="1">IFERROR(IF(MAX('SORT IMPORT'!$A$13:$A$408)&gt;ROW()-ROW($A$5)-1,INDEX( PRODUKTE,  VLOOKUP(ROW()-ROW($A$5),zeilenindizes,2)+INDEX(prodRowOffset,M$3),  MATCH(M$2,OFFSET(INDEXNAMEN,M$3,0),0)),""),"")</f>
        <v>8</v>
      </c>
      <c r="N150" s="17">
        <f ca="1">IFERROR(IF(MAX('SORT IMPORT'!$A$13:$A$408)&gt;ROW()-ROW($A$5)-1,INDEX( PRODUKTE,  VLOOKUP(ROW()-ROW($A$5),zeilenindizes,2)+INDEX(prodRowOffset,N$3),  MATCH(N$2,OFFSET(INDEXNAMEN,N$3,0),0)),""),"")</f>
        <v>1</v>
      </c>
      <c r="O150" s="17">
        <f ca="1">IFERROR(IF(MAX('SORT IMPORT'!$A$13:$A$408)&gt;ROW()-ROW($A$5)-1,INDEX( PRODUKTE,  VLOOKUP(ROW()-ROW($A$5),zeilenindizes,2)+INDEX(prodRowOffset,O$3),  MATCH(O$2,OFFSET(INDEXNAMEN,O$3,0),0)),""),"")</f>
        <v>2</v>
      </c>
      <c r="P150" s="17">
        <f ca="1">IFERROR(IF(MAX('SORT IMPORT'!$A$13:$A$408)&gt;ROW()-ROW($A$5)-1,INDEX( PRODUKTE,  VLOOKUP(ROW()-ROW($A$5),zeilenindizes,2)+INDEX(prodRowOffset,P$3),  MATCH(P$2,OFFSET(INDEXNAMEN,P$3,0),0)),""),"")</f>
        <v>0</v>
      </c>
      <c r="Q150" s="17">
        <f ca="1">IFERROR(IF(MAX('SORT IMPORT'!$A$13:$A$408)&gt;ROW()-ROW($A$5)-1,INDEX( PRODUKTE,  VLOOKUP(ROW()-ROW($A$5),zeilenindizes,2)+INDEX(prodRowOffset,Q$3),  MATCH(Q$2,OFFSET(INDEXNAMEN,Q$3,0),0)),""),"")</f>
        <v>1</v>
      </c>
      <c r="R150" s="17">
        <f ca="1">IFERROR(IF(MAX('SORT IMPORT'!$A$13:$A$408)&gt;ROW()-ROW($A$5)-1,INDEX( PRODUKTE,  VLOOKUP(ROW()-ROW($A$5),zeilenindizes,2)+INDEX(prodRowOffset,R$3),  MATCH(R$2,OFFSET(INDEXNAMEN,R$3,0),0)),""),"")</f>
        <v>0</v>
      </c>
      <c r="S150" s="17">
        <f ca="1">IFERROR(IF(MAX('SORT IMPORT'!$A$13:$A$408)&gt;ROW()-ROW($A$5)-1,INDEX( PRODUKTE,  VLOOKUP(ROW()-ROW($A$5),zeilenindizes,2)+INDEX(prodRowOffset,S$3),  MATCH(S$2,OFFSET(INDEXNAMEN,S$3,0),0)),""),"")</f>
        <v>0</v>
      </c>
      <c r="T150" s="17">
        <f ca="1">IFERROR(IF(MAX('SORT IMPORT'!$A$13:$A$408)&gt;ROW()-ROW($A$5)-1,INDEX( PRODUKTE,  VLOOKUP(ROW()-ROW($A$5),zeilenindizes,2)+INDEX(prodRowOffset,T$3),  MATCH(T$2,OFFSET(INDEXNAMEN,T$3,0),0)),""),"")</f>
        <v>1</v>
      </c>
      <c r="U150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150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150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50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50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-54</v>
      </c>
      <c r="Z150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-1</v>
      </c>
      <c r="AA150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50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50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50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50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150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50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50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50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50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50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50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50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50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50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-1</v>
      </c>
      <c r="AP150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-1</v>
      </c>
      <c r="AQ150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-1</v>
      </c>
      <c r="AR150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-1</v>
      </c>
      <c r="AS150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-1</v>
      </c>
      <c r="AT150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0</v>
      </c>
      <c r="AU150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39</v>
      </c>
      <c r="AV150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50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341</v>
      </c>
      <c r="AX150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78</v>
      </c>
      <c r="AY150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51" spans="6:51" ht="22.5" customHeight="1" x14ac:dyDescent="0.3">
      <c r="F151" s="17" t="str">
        <f ca="1">IFERROR(IF(MAX('SORT IMPORT'!$A$13:$A$408)&gt;ROW()-ROW($A$5)-1,INDEX( PRODUKTE,  VLOOKUP(ROW()-ROW($A$5),zeilenindizes,2)+INDEX(prodRowOffset,F$3),  MATCH(F$2,OFFSET(INDEXNAMEN,F$3,0),0)),""),"")</f>
        <v>BTS 80 EMB EN 5</v>
      </c>
      <c r="G151" s="17" t="str">
        <f ca="1">IFERROR(IF(MAX('SORT IMPORT'!$A$13:$A$408)&gt;ROW()-ROW($A$5)-1,INDEX( PRODUKTE,  VLOOKUP(ROW()-ROW($A$5),zeilenindizes,2)+INDEX(prodRowOffset,G$3),  MATCH(G$2,OFFSET(INDEXNAMEN,G$3,0),0)),""),"")</f>
        <v>B</v>
      </c>
      <c r="H151" s="17" t="str">
        <f ca="1">IFERROR(IF(MAX('SORT IMPORT'!$A$13:$A$408)&gt;ROW()-ROW($A$5)-1,INDEX( PRODUKTE,  VLOOKUP(ROW()-ROW($A$5),zeilenindizes,2)+INDEX(prodRowOffset,H$3),  MATCH(H$2,OFFSET(INDEXNAMEN,H$3,0),0)),""),"")</f>
        <v>80 EMB</v>
      </c>
      <c r="I151" s="17" t="str">
        <f ca="1">IFERROR(IF(MAX('SORT IMPORT'!$A$13:$A$408)&gt;ROW()-ROW($A$5)-1,INDEX( PRODUKTE,  VLOOKUP(ROW()-ROW($A$5),zeilenindizes,2)+INDEX(prodRowOffset,I$3),  MATCH(I$2,OFFSET(INDEXNAMEN,I$3,0),0)),""),"")</f>
        <v/>
      </c>
      <c r="J151" s="17" t="str">
        <f ca="1">IFERROR(IF(MAX('SORT IMPORT'!$A$13:$A$408)&gt;ROW()-ROW($A$5)-1,INDEX( PRODUKTE,  VLOOKUP(ROW()-ROW($A$5),zeilenindizes,2)+INDEX(prodRowOffset,J$3),  MATCH(J$2,OFFSET(INDEXNAMEN,J$3,0),0)),""),"")</f>
        <v>E</v>
      </c>
      <c r="K151" s="17">
        <f ca="1">IFERROR(IF(MAX('SORT IMPORT'!$A$13:$A$408)&gt;ROW()-ROW($A$5)-1,INDEX( PRODUKTE,  VLOOKUP(ROW()-ROW($A$5),zeilenindizes,2)+INDEX(prodRowOffset,K$3),  MATCH(K$2,OFFSET(INDEXNAMEN,K$3,0),0)),""),"")</f>
        <v>128</v>
      </c>
      <c r="L151" s="17">
        <f ca="1">IFERROR(IF(MAX('SORT IMPORT'!$A$13:$A$408)&gt;ROW()-ROW($A$5)-1,INDEX( PRODUKTE,  VLOOKUP(ROW()-ROW($A$5),zeilenindizes,2)+INDEX(prodRowOffset,L$3),  MATCH(L$2,OFFSET(INDEXNAMEN,L$3,0),0)),""),"")</f>
        <v>0</v>
      </c>
      <c r="M151" s="17">
        <f ca="1">IFERROR(IF(MAX('SORT IMPORT'!$A$13:$A$408)&gt;ROW()-ROW($A$5)-1,INDEX( PRODUKTE,  VLOOKUP(ROW()-ROW($A$5),zeilenindizes,2)+INDEX(prodRowOffset,M$3),  MATCH(M$2,OFFSET(INDEXNAMEN,M$3,0),0)),""),"")</f>
        <v>16</v>
      </c>
      <c r="N151" s="17">
        <f ca="1">IFERROR(IF(MAX('SORT IMPORT'!$A$13:$A$408)&gt;ROW()-ROW($A$5)-1,INDEX( PRODUKTE,  VLOOKUP(ROW()-ROW($A$5),zeilenindizes,2)+INDEX(prodRowOffset,N$3),  MATCH(N$2,OFFSET(INDEXNAMEN,N$3,0),0)),""),"")</f>
        <v>1</v>
      </c>
      <c r="O151" s="17">
        <f ca="1">IFERROR(IF(MAX('SORT IMPORT'!$A$13:$A$408)&gt;ROW()-ROW($A$5)-1,INDEX( PRODUKTE,  VLOOKUP(ROW()-ROW($A$5),zeilenindizes,2)+INDEX(prodRowOffset,O$3),  MATCH(O$2,OFFSET(INDEXNAMEN,O$3,0),0)),""),"")</f>
        <v>2</v>
      </c>
      <c r="P151" s="17">
        <f ca="1">IFERROR(IF(MAX('SORT IMPORT'!$A$13:$A$408)&gt;ROW()-ROW($A$5)-1,INDEX( PRODUKTE,  VLOOKUP(ROW()-ROW($A$5),zeilenindizes,2)+INDEX(prodRowOffset,P$3),  MATCH(P$2,OFFSET(INDEXNAMEN,P$3,0),0)),""),"")</f>
        <v>0</v>
      </c>
      <c r="Q151" s="17">
        <f ca="1">IFERROR(IF(MAX('SORT IMPORT'!$A$13:$A$408)&gt;ROW()-ROW($A$5)-1,INDEX( PRODUKTE,  VLOOKUP(ROW()-ROW($A$5),zeilenindizes,2)+INDEX(prodRowOffset,Q$3),  MATCH(Q$2,OFFSET(INDEXNAMEN,Q$3,0),0)),""),"")</f>
        <v>1</v>
      </c>
      <c r="R151" s="17">
        <f ca="1">IFERROR(IF(MAX('SORT IMPORT'!$A$13:$A$408)&gt;ROW()-ROW($A$5)-1,INDEX( PRODUKTE,  VLOOKUP(ROW()-ROW($A$5),zeilenindizes,2)+INDEX(prodRowOffset,R$3),  MATCH(R$2,OFFSET(INDEXNAMEN,R$3,0),0)),""),"")</f>
        <v>0</v>
      </c>
      <c r="S151" s="17">
        <f ca="1">IFERROR(IF(MAX('SORT IMPORT'!$A$13:$A$408)&gt;ROW()-ROW($A$5)-1,INDEX( PRODUKTE,  VLOOKUP(ROW()-ROW($A$5),zeilenindizes,2)+INDEX(prodRowOffset,S$3),  MATCH(S$2,OFFSET(INDEXNAMEN,S$3,0),0)),""),"")</f>
        <v>0</v>
      </c>
      <c r="T151" s="17">
        <f ca="1">IFERROR(IF(MAX('SORT IMPORT'!$A$13:$A$408)&gt;ROW()-ROW($A$5)-1,INDEX( PRODUKTE,  VLOOKUP(ROW()-ROW($A$5),zeilenindizes,2)+INDEX(prodRowOffset,T$3),  MATCH(T$2,OFFSET(INDEXNAMEN,T$3,0),0)),""),"")</f>
        <v>1</v>
      </c>
      <c r="U151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151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151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51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51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-54</v>
      </c>
      <c r="Z151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-1</v>
      </c>
      <c r="AA151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51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51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51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51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151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51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51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51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51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51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51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51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51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51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-1</v>
      </c>
      <c r="AP151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-1</v>
      </c>
      <c r="AQ151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-1</v>
      </c>
      <c r="AR151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-1</v>
      </c>
      <c r="AS151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-1</v>
      </c>
      <c r="AT151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0</v>
      </c>
      <c r="AU151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39</v>
      </c>
      <c r="AV151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51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341</v>
      </c>
      <c r="AX151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78</v>
      </c>
      <c r="AY151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52" spans="6:51" ht="22.5" customHeight="1" x14ac:dyDescent="0.3">
      <c r="F152" s="17" t="str">
        <f ca="1">IFERROR(IF(MAX('SORT IMPORT'!$A$13:$A$408)&gt;ROW()-ROW($A$5)-1,INDEX( PRODUKTE,  VLOOKUP(ROW()-ROW($A$5),zeilenindizes,2)+INDEX(prodRowOffset,F$3),  MATCH(F$2,OFFSET(INDEXNAMEN,F$3,0),0)),""),"")</f>
        <v>BTS 80 EMB EN 6</v>
      </c>
      <c r="G152" s="17" t="str">
        <f ca="1">IFERROR(IF(MAX('SORT IMPORT'!$A$13:$A$408)&gt;ROW()-ROW($A$5)-1,INDEX( PRODUKTE,  VLOOKUP(ROW()-ROW($A$5),zeilenindizes,2)+INDEX(prodRowOffset,G$3),  MATCH(G$2,OFFSET(INDEXNAMEN,G$3,0),0)),""),"")</f>
        <v>B</v>
      </c>
      <c r="H152" s="17" t="str">
        <f ca="1">IFERROR(IF(MAX('SORT IMPORT'!$A$13:$A$408)&gt;ROW()-ROW($A$5)-1,INDEX( PRODUKTE,  VLOOKUP(ROW()-ROW($A$5),zeilenindizes,2)+INDEX(prodRowOffset,H$3),  MATCH(H$2,OFFSET(INDEXNAMEN,H$3,0),0)),""),"")</f>
        <v>80 EMB</v>
      </c>
      <c r="I152" s="17" t="str">
        <f ca="1">IFERROR(IF(MAX('SORT IMPORT'!$A$13:$A$408)&gt;ROW()-ROW($A$5)-1,INDEX( PRODUKTE,  VLOOKUP(ROW()-ROW($A$5),zeilenindizes,2)+INDEX(prodRowOffset,I$3),  MATCH(I$2,OFFSET(INDEXNAMEN,I$3,0),0)),""),"")</f>
        <v/>
      </c>
      <c r="J152" s="17" t="str">
        <f ca="1">IFERROR(IF(MAX('SORT IMPORT'!$A$13:$A$408)&gt;ROW()-ROW($A$5)-1,INDEX( PRODUKTE,  VLOOKUP(ROW()-ROW($A$5),zeilenindizes,2)+INDEX(prodRowOffset,J$3),  MATCH(J$2,OFFSET(INDEXNAMEN,J$3,0),0)),""),"")</f>
        <v>E</v>
      </c>
      <c r="K152" s="17">
        <f ca="1">IFERROR(IF(MAX('SORT IMPORT'!$A$13:$A$408)&gt;ROW()-ROW($A$5)-1,INDEX( PRODUKTE,  VLOOKUP(ROW()-ROW($A$5),zeilenindizes,2)+INDEX(prodRowOffset,K$3),  MATCH(K$2,OFFSET(INDEXNAMEN,K$3,0),0)),""),"")</f>
        <v>128</v>
      </c>
      <c r="L152" s="17">
        <f ca="1">IFERROR(IF(MAX('SORT IMPORT'!$A$13:$A$408)&gt;ROW()-ROW($A$5)-1,INDEX( PRODUKTE,  VLOOKUP(ROW()-ROW($A$5),zeilenindizes,2)+INDEX(prodRowOffset,L$3),  MATCH(L$2,OFFSET(INDEXNAMEN,L$3,0),0)),""),"")</f>
        <v>0</v>
      </c>
      <c r="M152" s="17">
        <f ca="1">IFERROR(IF(MAX('SORT IMPORT'!$A$13:$A$408)&gt;ROW()-ROW($A$5)-1,INDEX( PRODUKTE,  VLOOKUP(ROW()-ROW($A$5),zeilenindizes,2)+INDEX(prodRowOffset,M$3),  MATCH(M$2,OFFSET(INDEXNAMEN,M$3,0),0)),""),"")</f>
        <v>32</v>
      </c>
      <c r="N152" s="17">
        <f ca="1">IFERROR(IF(MAX('SORT IMPORT'!$A$13:$A$408)&gt;ROW()-ROW($A$5)-1,INDEX( PRODUKTE,  VLOOKUP(ROW()-ROW($A$5),zeilenindizes,2)+INDEX(prodRowOffset,N$3),  MATCH(N$2,OFFSET(INDEXNAMEN,N$3,0),0)),""),"")</f>
        <v>1</v>
      </c>
      <c r="O152" s="17">
        <f ca="1">IFERROR(IF(MAX('SORT IMPORT'!$A$13:$A$408)&gt;ROW()-ROW($A$5)-1,INDEX( PRODUKTE,  VLOOKUP(ROW()-ROW($A$5),zeilenindizes,2)+INDEX(prodRowOffset,O$3),  MATCH(O$2,OFFSET(INDEXNAMEN,O$3,0),0)),""),"")</f>
        <v>2</v>
      </c>
      <c r="P152" s="17">
        <f ca="1">IFERROR(IF(MAX('SORT IMPORT'!$A$13:$A$408)&gt;ROW()-ROW($A$5)-1,INDEX( PRODUKTE,  VLOOKUP(ROW()-ROW($A$5),zeilenindizes,2)+INDEX(prodRowOffset,P$3),  MATCH(P$2,OFFSET(INDEXNAMEN,P$3,0),0)),""),"")</f>
        <v>0</v>
      </c>
      <c r="Q152" s="17">
        <f ca="1">IFERROR(IF(MAX('SORT IMPORT'!$A$13:$A$408)&gt;ROW()-ROW($A$5)-1,INDEX( PRODUKTE,  VLOOKUP(ROW()-ROW($A$5),zeilenindizes,2)+INDEX(prodRowOffset,Q$3),  MATCH(Q$2,OFFSET(INDEXNAMEN,Q$3,0),0)),""),"")</f>
        <v>1</v>
      </c>
      <c r="R152" s="17">
        <f ca="1">IFERROR(IF(MAX('SORT IMPORT'!$A$13:$A$408)&gt;ROW()-ROW($A$5)-1,INDEX( PRODUKTE,  VLOOKUP(ROW()-ROW($A$5),zeilenindizes,2)+INDEX(prodRowOffset,R$3),  MATCH(R$2,OFFSET(INDEXNAMEN,R$3,0),0)),""),"")</f>
        <v>0</v>
      </c>
      <c r="S152" s="17">
        <f ca="1">IFERROR(IF(MAX('SORT IMPORT'!$A$13:$A$408)&gt;ROW()-ROW($A$5)-1,INDEX( PRODUKTE,  VLOOKUP(ROW()-ROW($A$5),zeilenindizes,2)+INDEX(prodRowOffset,S$3),  MATCH(S$2,OFFSET(INDEXNAMEN,S$3,0),0)),""),"")</f>
        <v>0</v>
      </c>
      <c r="T152" s="17">
        <f ca="1">IFERROR(IF(MAX('SORT IMPORT'!$A$13:$A$408)&gt;ROW()-ROW($A$5)-1,INDEX( PRODUKTE,  VLOOKUP(ROW()-ROW($A$5),zeilenindizes,2)+INDEX(prodRowOffset,T$3),  MATCH(T$2,OFFSET(INDEXNAMEN,T$3,0),0)),""),"")</f>
        <v>1</v>
      </c>
      <c r="U152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152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152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52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52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-54</v>
      </c>
      <c r="Z152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-1</v>
      </c>
      <c r="AA152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52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52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52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52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152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52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52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52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52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52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52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52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52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52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-1</v>
      </c>
      <c r="AP152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-1</v>
      </c>
      <c r="AQ152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-1</v>
      </c>
      <c r="AR152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-1</v>
      </c>
      <c r="AS152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-1</v>
      </c>
      <c r="AT152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0</v>
      </c>
      <c r="AU152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39</v>
      </c>
      <c r="AV152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52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341</v>
      </c>
      <c r="AX152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78</v>
      </c>
      <c r="AY152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53" spans="6:51" ht="22.5" customHeight="1" x14ac:dyDescent="0.3">
      <c r="F153" s="17" t="str">
        <f ca="1">IFERROR(IF(MAX('SORT IMPORT'!$A$13:$A$408)&gt;ROW()-ROW($A$5)-1,INDEX( PRODUKTE,  VLOOKUP(ROW()-ROW($A$5),zeilenindizes,2)+INDEX(prodRowOffset,F$3),  MATCH(F$2,OFFSET(INDEXNAMEN,F$3,0),0)),""),"")</f>
        <v>BTS 80 EMB EN 4 + SR</v>
      </c>
      <c r="G153" s="17" t="str">
        <f ca="1">IFERROR(IF(MAX('SORT IMPORT'!$A$13:$A$408)&gt;ROW()-ROW($A$5)-1,INDEX( PRODUKTE,  VLOOKUP(ROW()-ROW($A$5),zeilenindizes,2)+INDEX(prodRowOffset,G$3),  MATCH(G$2,OFFSET(INDEXNAMEN,G$3,0),0)),""),"")</f>
        <v>B</v>
      </c>
      <c r="H153" s="17" t="str">
        <f ca="1">IFERROR(IF(MAX('SORT IMPORT'!$A$13:$A$408)&gt;ROW()-ROW($A$5)-1,INDEX( PRODUKTE,  VLOOKUP(ROW()-ROW($A$5),zeilenindizes,2)+INDEX(prodRowOffset,H$3),  MATCH(H$2,OFFSET(INDEXNAMEN,H$3,0),0)),""),"")</f>
        <v>80 EMB</v>
      </c>
      <c r="I153" s="17" t="str">
        <f ca="1">IFERROR(IF(MAX('SORT IMPORT'!$A$13:$A$408)&gt;ROW()-ROW($A$5)-1,INDEX( PRODUKTE,  VLOOKUP(ROW()-ROW($A$5),zeilenindizes,2)+INDEX(prodRowOffset,I$3),  MATCH(I$2,OFFSET(INDEXNAMEN,I$3,0),0)),""),"")</f>
        <v/>
      </c>
      <c r="J153" s="17" t="str">
        <f ca="1">IFERROR(IF(MAX('SORT IMPORT'!$A$13:$A$408)&gt;ROW()-ROW($A$5)-1,INDEX( PRODUKTE,  VLOOKUP(ROW()-ROW($A$5),zeilenindizes,2)+INDEX(prodRowOffset,J$3),  MATCH(J$2,OFFSET(INDEXNAMEN,J$3,0),0)),""),"")</f>
        <v>E</v>
      </c>
      <c r="K153" s="17">
        <f ca="1">IFERROR(IF(MAX('SORT IMPORT'!$A$13:$A$408)&gt;ROW()-ROW($A$5)-1,INDEX( PRODUKTE,  VLOOKUP(ROW()-ROW($A$5),zeilenindizes,2)+INDEX(prodRowOffset,K$3),  MATCH(K$2,OFFSET(INDEXNAMEN,K$3,0),0)),""),"")</f>
        <v>128</v>
      </c>
      <c r="L153" s="17">
        <f ca="1">IFERROR(IF(MAX('SORT IMPORT'!$A$13:$A$408)&gt;ROW()-ROW($A$5)-1,INDEX( PRODUKTE,  VLOOKUP(ROW()-ROW($A$5),zeilenindizes,2)+INDEX(prodRowOffset,L$3),  MATCH(L$2,OFFSET(INDEXNAMEN,L$3,0),0)),""),"")</f>
        <v>0</v>
      </c>
      <c r="M153" s="17">
        <f ca="1">IFERROR(IF(MAX('SORT IMPORT'!$A$13:$A$408)&gt;ROW()-ROW($A$5)-1,INDEX( PRODUKTE,  VLOOKUP(ROW()-ROW($A$5),zeilenindizes,2)+INDEX(prodRowOffset,M$3),  MATCH(M$2,OFFSET(INDEXNAMEN,M$3,0),0)),""),"")</f>
        <v>8</v>
      </c>
      <c r="N153" s="17">
        <f ca="1">IFERROR(IF(MAX('SORT IMPORT'!$A$13:$A$408)&gt;ROW()-ROW($A$5)-1,INDEX( PRODUKTE,  VLOOKUP(ROW()-ROW($A$5),zeilenindizes,2)+INDEX(prodRowOffset,N$3),  MATCH(N$2,OFFSET(INDEXNAMEN,N$3,0),0)),""),"")</f>
        <v>2</v>
      </c>
      <c r="O153" s="17">
        <f ca="1">IFERROR(IF(MAX('SORT IMPORT'!$A$13:$A$408)&gt;ROW()-ROW($A$5)-1,INDEX( PRODUKTE,  VLOOKUP(ROW()-ROW($A$5),zeilenindizes,2)+INDEX(prodRowOffset,O$3),  MATCH(O$2,OFFSET(INDEXNAMEN,O$3,0),0)),""),"")</f>
        <v>2</v>
      </c>
      <c r="P153" s="17">
        <f ca="1">IFERROR(IF(MAX('SORT IMPORT'!$A$13:$A$408)&gt;ROW()-ROW($A$5)-1,INDEX( PRODUKTE,  VLOOKUP(ROW()-ROW($A$5),zeilenindizes,2)+INDEX(prodRowOffset,P$3),  MATCH(P$2,OFFSET(INDEXNAMEN,P$3,0),0)),""),"")</f>
        <v>0</v>
      </c>
      <c r="Q153" s="17">
        <f ca="1">IFERROR(IF(MAX('SORT IMPORT'!$A$13:$A$408)&gt;ROW()-ROW($A$5)-1,INDEX( PRODUKTE,  VLOOKUP(ROW()-ROW($A$5),zeilenindizes,2)+INDEX(prodRowOffset,Q$3),  MATCH(Q$2,OFFSET(INDEXNAMEN,Q$3,0),0)),""),"")</f>
        <v>1</v>
      </c>
      <c r="R153" s="17">
        <f ca="1">IFERROR(IF(MAX('SORT IMPORT'!$A$13:$A$408)&gt;ROW()-ROW($A$5)-1,INDEX( PRODUKTE,  VLOOKUP(ROW()-ROW($A$5),zeilenindizes,2)+INDEX(prodRowOffset,R$3),  MATCH(R$2,OFFSET(INDEXNAMEN,R$3,0),0)),""),"")</f>
        <v>0</v>
      </c>
      <c r="S153" s="17">
        <f ca="1">IFERROR(IF(MAX('SORT IMPORT'!$A$13:$A$408)&gt;ROW()-ROW($A$5)-1,INDEX( PRODUKTE,  VLOOKUP(ROW()-ROW($A$5),zeilenindizes,2)+INDEX(prodRowOffset,S$3),  MATCH(S$2,OFFSET(INDEXNAMEN,S$3,0),0)),""),"")</f>
        <v>0</v>
      </c>
      <c r="T153" s="17">
        <f ca="1">IFERROR(IF(MAX('SORT IMPORT'!$A$13:$A$408)&gt;ROW()-ROW($A$5)-1,INDEX( PRODUKTE,  VLOOKUP(ROW()-ROW($A$5),zeilenindizes,2)+INDEX(prodRowOffset,T$3),  MATCH(T$2,OFFSET(INDEXNAMEN,T$3,0),0)),""),"")</f>
        <v>1</v>
      </c>
      <c r="U153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153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153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53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53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-54</v>
      </c>
      <c r="Z153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-1</v>
      </c>
      <c r="AA153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53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53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53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53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153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53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53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53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53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53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53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53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53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53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-1</v>
      </c>
      <c r="AP153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-1</v>
      </c>
      <c r="AQ153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-1</v>
      </c>
      <c r="AR153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-1</v>
      </c>
      <c r="AS153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-1</v>
      </c>
      <c r="AT153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0</v>
      </c>
      <c r="AU153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39</v>
      </c>
      <c r="AV153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53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341</v>
      </c>
      <c r="AX153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78</v>
      </c>
      <c r="AY153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54" spans="6:51" ht="22.5" customHeight="1" x14ac:dyDescent="0.3">
      <c r="F154" s="17" t="str">
        <f ca="1">IFERROR(IF(MAX('SORT IMPORT'!$A$13:$A$408)&gt;ROW()-ROW($A$5)-1,INDEX( PRODUKTE,  VLOOKUP(ROW()-ROW($A$5),zeilenindizes,2)+INDEX(prodRowOffset,F$3),  MATCH(F$2,OFFSET(INDEXNAMEN,F$3,0),0)),""),"")</f>
        <v>BTS 80 EMB EN 5 + SR</v>
      </c>
      <c r="G154" s="17" t="str">
        <f ca="1">IFERROR(IF(MAX('SORT IMPORT'!$A$13:$A$408)&gt;ROW()-ROW($A$5)-1,INDEX( PRODUKTE,  VLOOKUP(ROW()-ROW($A$5),zeilenindizes,2)+INDEX(prodRowOffset,G$3),  MATCH(G$2,OFFSET(INDEXNAMEN,G$3,0),0)),""),"")</f>
        <v>B</v>
      </c>
      <c r="H154" s="17" t="str">
        <f ca="1">IFERROR(IF(MAX('SORT IMPORT'!$A$13:$A$408)&gt;ROW()-ROW($A$5)-1,INDEX( PRODUKTE,  VLOOKUP(ROW()-ROW($A$5),zeilenindizes,2)+INDEX(prodRowOffset,H$3),  MATCH(H$2,OFFSET(INDEXNAMEN,H$3,0),0)),""),"")</f>
        <v>80 EMB</v>
      </c>
      <c r="I154" s="17" t="str">
        <f ca="1">IFERROR(IF(MAX('SORT IMPORT'!$A$13:$A$408)&gt;ROW()-ROW($A$5)-1,INDEX( PRODUKTE,  VLOOKUP(ROW()-ROW($A$5),zeilenindizes,2)+INDEX(prodRowOffset,I$3),  MATCH(I$2,OFFSET(INDEXNAMEN,I$3,0),0)),""),"")</f>
        <v/>
      </c>
      <c r="J154" s="17" t="str">
        <f ca="1">IFERROR(IF(MAX('SORT IMPORT'!$A$13:$A$408)&gt;ROW()-ROW($A$5)-1,INDEX( PRODUKTE,  VLOOKUP(ROW()-ROW($A$5),zeilenindizes,2)+INDEX(prodRowOffset,J$3),  MATCH(J$2,OFFSET(INDEXNAMEN,J$3,0),0)),""),"")</f>
        <v>E</v>
      </c>
      <c r="K154" s="17">
        <f ca="1">IFERROR(IF(MAX('SORT IMPORT'!$A$13:$A$408)&gt;ROW()-ROW($A$5)-1,INDEX( PRODUKTE,  VLOOKUP(ROW()-ROW($A$5),zeilenindizes,2)+INDEX(prodRowOffset,K$3),  MATCH(K$2,OFFSET(INDEXNAMEN,K$3,0),0)),""),"")</f>
        <v>128</v>
      </c>
      <c r="L154" s="17">
        <f ca="1">IFERROR(IF(MAX('SORT IMPORT'!$A$13:$A$408)&gt;ROW()-ROW($A$5)-1,INDEX( PRODUKTE,  VLOOKUP(ROW()-ROW($A$5),zeilenindizes,2)+INDEX(prodRowOffset,L$3),  MATCH(L$2,OFFSET(INDEXNAMEN,L$3,0),0)),""),"")</f>
        <v>0</v>
      </c>
      <c r="M154" s="17">
        <f ca="1">IFERROR(IF(MAX('SORT IMPORT'!$A$13:$A$408)&gt;ROW()-ROW($A$5)-1,INDEX( PRODUKTE,  VLOOKUP(ROW()-ROW($A$5),zeilenindizes,2)+INDEX(prodRowOffset,M$3),  MATCH(M$2,OFFSET(INDEXNAMEN,M$3,0),0)),""),"")</f>
        <v>16</v>
      </c>
      <c r="N154" s="17">
        <f ca="1">IFERROR(IF(MAX('SORT IMPORT'!$A$13:$A$408)&gt;ROW()-ROW($A$5)-1,INDEX( PRODUKTE,  VLOOKUP(ROW()-ROW($A$5),zeilenindizes,2)+INDEX(prodRowOffset,N$3),  MATCH(N$2,OFFSET(INDEXNAMEN,N$3,0),0)),""),"")</f>
        <v>2</v>
      </c>
      <c r="O154" s="17">
        <f ca="1">IFERROR(IF(MAX('SORT IMPORT'!$A$13:$A$408)&gt;ROW()-ROW($A$5)-1,INDEX( PRODUKTE,  VLOOKUP(ROW()-ROW($A$5),zeilenindizes,2)+INDEX(prodRowOffset,O$3),  MATCH(O$2,OFFSET(INDEXNAMEN,O$3,0),0)),""),"")</f>
        <v>2</v>
      </c>
      <c r="P154" s="17">
        <f ca="1">IFERROR(IF(MAX('SORT IMPORT'!$A$13:$A$408)&gt;ROW()-ROW($A$5)-1,INDEX( PRODUKTE,  VLOOKUP(ROW()-ROW($A$5),zeilenindizes,2)+INDEX(prodRowOffset,P$3),  MATCH(P$2,OFFSET(INDEXNAMEN,P$3,0),0)),""),"")</f>
        <v>0</v>
      </c>
      <c r="Q154" s="17">
        <f ca="1">IFERROR(IF(MAX('SORT IMPORT'!$A$13:$A$408)&gt;ROW()-ROW($A$5)-1,INDEX( PRODUKTE,  VLOOKUP(ROW()-ROW($A$5),zeilenindizes,2)+INDEX(prodRowOffset,Q$3),  MATCH(Q$2,OFFSET(INDEXNAMEN,Q$3,0),0)),""),"")</f>
        <v>1</v>
      </c>
      <c r="R154" s="17">
        <f ca="1">IFERROR(IF(MAX('SORT IMPORT'!$A$13:$A$408)&gt;ROW()-ROW($A$5)-1,INDEX( PRODUKTE,  VLOOKUP(ROW()-ROW($A$5),zeilenindizes,2)+INDEX(prodRowOffset,R$3),  MATCH(R$2,OFFSET(INDEXNAMEN,R$3,0),0)),""),"")</f>
        <v>0</v>
      </c>
      <c r="S154" s="17">
        <f ca="1">IFERROR(IF(MAX('SORT IMPORT'!$A$13:$A$408)&gt;ROW()-ROW($A$5)-1,INDEX( PRODUKTE,  VLOOKUP(ROW()-ROW($A$5),zeilenindizes,2)+INDEX(prodRowOffset,S$3),  MATCH(S$2,OFFSET(INDEXNAMEN,S$3,0),0)),""),"")</f>
        <v>0</v>
      </c>
      <c r="T154" s="17">
        <f ca="1">IFERROR(IF(MAX('SORT IMPORT'!$A$13:$A$408)&gt;ROW()-ROW($A$5)-1,INDEX( PRODUKTE,  VLOOKUP(ROW()-ROW($A$5),zeilenindizes,2)+INDEX(prodRowOffset,T$3),  MATCH(T$2,OFFSET(INDEXNAMEN,T$3,0),0)),""),"")</f>
        <v>1</v>
      </c>
      <c r="U154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154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154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54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54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-54</v>
      </c>
      <c r="Z154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-1</v>
      </c>
      <c r="AA154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54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54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54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54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154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54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54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54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54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54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54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54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54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54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-1</v>
      </c>
      <c r="AP154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-1</v>
      </c>
      <c r="AQ154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-1</v>
      </c>
      <c r="AR154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-1</v>
      </c>
      <c r="AS154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-1</v>
      </c>
      <c r="AT154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0</v>
      </c>
      <c r="AU154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39</v>
      </c>
      <c r="AV154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54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341</v>
      </c>
      <c r="AX154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78</v>
      </c>
      <c r="AY154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55" spans="6:51" ht="22.5" customHeight="1" x14ac:dyDescent="0.3">
      <c r="F155" s="17" t="str">
        <f ca="1">IFERROR(IF(MAX('SORT IMPORT'!$A$13:$A$408)&gt;ROW()-ROW($A$5)-1,INDEX( PRODUKTE,  VLOOKUP(ROW()-ROW($A$5),zeilenindizes,2)+INDEX(prodRowOffset,F$3),  MATCH(F$2,OFFSET(INDEXNAMEN,F$3,0),0)),""),"")</f>
        <v>BTS 80 EMB EN 6 + SR</v>
      </c>
      <c r="G155" s="17" t="str">
        <f ca="1">IFERROR(IF(MAX('SORT IMPORT'!$A$13:$A$408)&gt;ROW()-ROW($A$5)-1,INDEX( PRODUKTE,  VLOOKUP(ROW()-ROW($A$5),zeilenindizes,2)+INDEX(prodRowOffset,G$3),  MATCH(G$2,OFFSET(INDEXNAMEN,G$3,0),0)),""),"")</f>
        <v>B</v>
      </c>
      <c r="H155" s="17" t="str">
        <f ca="1">IFERROR(IF(MAX('SORT IMPORT'!$A$13:$A$408)&gt;ROW()-ROW($A$5)-1,INDEX( PRODUKTE,  VLOOKUP(ROW()-ROW($A$5),zeilenindizes,2)+INDEX(prodRowOffset,H$3),  MATCH(H$2,OFFSET(INDEXNAMEN,H$3,0),0)),""),"")</f>
        <v>80 EMB</v>
      </c>
      <c r="I155" s="17" t="str">
        <f ca="1">IFERROR(IF(MAX('SORT IMPORT'!$A$13:$A$408)&gt;ROW()-ROW($A$5)-1,INDEX( PRODUKTE,  VLOOKUP(ROW()-ROW($A$5),zeilenindizes,2)+INDEX(prodRowOffset,I$3),  MATCH(I$2,OFFSET(INDEXNAMEN,I$3,0),0)),""),"")</f>
        <v/>
      </c>
      <c r="J155" s="17" t="str">
        <f ca="1">IFERROR(IF(MAX('SORT IMPORT'!$A$13:$A$408)&gt;ROW()-ROW($A$5)-1,INDEX( PRODUKTE,  VLOOKUP(ROW()-ROW($A$5),zeilenindizes,2)+INDEX(prodRowOffset,J$3),  MATCH(J$2,OFFSET(INDEXNAMEN,J$3,0),0)),""),"")</f>
        <v>E</v>
      </c>
      <c r="K155" s="17">
        <f ca="1">IFERROR(IF(MAX('SORT IMPORT'!$A$13:$A$408)&gt;ROW()-ROW($A$5)-1,INDEX( PRODUKTE,  VLOOKUP(ROW()-ROW($A$5),zeilenindizes,2)+INDEX(prodRowOffset,K$3),  MATCH(K$2,OFFSET(INDEXNAMEN,K$3,0),0)),""),"")</f>
        <v>128</v>
      </c>
      <c r="L155" s="17">
        <f ca="1">IFERROR(IF(MAX('SORT IMPORT'!$A$13:$A$408)&gt;ROW()-ROW($A$5)-1,INDEX( PRODUKTE,  VLOOKUP(ROW()-ROW($A$5),zeilenindizes,2)+INDEX(prodRowOffset,L$3),  MATCH(L$2,OFFSET(INDEXNAMEN,L$3,0),0)),""),"")</f>
        <v>0</v>
      </c>
      <c r="M155" s="17">
        <f ca="1">IFERROR(IF(MAX('SORT IMPORT'!$A$13:$A$408)&gt;ROW()-ROW($A$5)-1,INDEX( PRODUKTE,  VLOOKUP(ROW()-ROW($A$5),zeilenindizes,2)+INDEX(prodRowOffset,M$3),  MATCH(M$2,OFFSET(INDEXNAMEN,M$3,0),0)),""),"")</f>
        <v>32</v>
      </c>
      <c r="N155" s="17">
        <f ca="1">IFERROR(IF(MAX('SORT IMPORT'!$A$13:$A$408)&gt;ROW()-ROW($A$5)-1,INDEX( PRODUKTE,  VLOOKUP(ROW()-ROW($A$5),zeilenindizes,2)+INDEX(prodRowOffset,N$3),  MATCH(N$2,OFFSET(INDEXNAMEN,N$3,0),0)),""),"")</f>
        <v>2</v>
      </c>
      <c r="O155" s="17">
        <f ca="1">IFERROR(IF(MAX('SORT IMPORT'!$A$13:$A$408)&gt;ROW()-ROW($A$5)-1,INDEX( PRODUKTE,  VLOOKUP(ROW()-ROW($A$5),zeilenindizes,2)+INDEX(prodRowOffset,O$3),  MATCH(O$2,OFFSET(INDEXNAMEN,O$3,0),0)),""),"")</f>
        <v>2</v>
      </c>
      <c r="P155" s="17">
        <f ca="1">IFERROR(IF(MAX('SORT IMPORT'!$A$13:$A$408)&gt;ROW()-ROW($A$5)-1,INDEX( PRODUKTE,  VLOOKUP(ROW()-ROW($A$5),zeilenindizes,2)+INDEX(prodRowOffset,P$3),  MATCH(P$2,OFFSET(INDEXNAMEN,P$3,0),0)),""),"")</f>
        <v>0</v>
      </c>
      <c r="Q155" s="17">
        <f ca="1">IFERROR(IF(MAX('SORT IMPORT'!$A$13:$A$408)&gt;ROW()-ROW($A$5)-1,INDEX( PRODUKTE,  VLOOKUP(ROW()-ROW($A$5),zeilenindizes,2)+INDEX(prodRowOffset,Q$3),  MATCH(Q$2,OFFSET(INDEXNAMEN,Q$3,0),0)),""),"")</f>
        <v>1</v>
      </c>
      <c r="R155" s="17">
        <f ca="1">IFERROR(IF(MAX('SORT IMPORT'!$A$13:$A$408)&gt;ROW()-ROW($A$5)-1,INDEX( PRODUKTE,  VLOOKUP(ROW()-ROW($A$5),zeilenindizes,2)+INDEX(prodRowOffset,R$3),  MATCH(R$2,OFFSET(INDEXNAMEN,R$3,0),0)),""),"")</f>
        <v>0</v>
      </c>
      <c r="S155" s="17">
        <f ca="1">IFERROR(IF(MAX('SORT IMPORT'!$A$13:$A$408)&gt;ROW()-ROW($A$5)-1,INDEX( PRODUKTE,  VLOOKUP(ROW()-ROW($A$5),zeilenindizes,2)+INDEX(prodRowOffset,S$3),  MATCH(S$2,OFFSET(INDEXNAMEN,S$3,0),0)),""),"")</f>
        <v>0</v>
      </c>
      <c r="T155" s="17">
        <f ca="1">IFERROR(IF(MAX('SORT IMPORT'!$A$13:$A$408)&gt;ROW()-ROW($A$5)-1,INDEX( PRODUKTE,  VLOOKUP(ROW()-ROW($A$5),zeilenindizes,2)+INDEX(prodRowOffset,T$3),  MATCH(T$2,OFFSET(INDEXNAMEN,T$3,0),0)),""),"")</f>
        <v>1</v>
      </c>
      <c r="U155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155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155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55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55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-54</v>
      </c>
      <c r="Z155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-1</v>
      </c>
      <c r="AA155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55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55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55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55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155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55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55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55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55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55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55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55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55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55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-1</v>
      </c>
      <c r="AP155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-1</v>
      </c>
      <c r="AQ155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-1</v>
      </c>
      <c r="AR155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-1</v>
      </c>
      <c r="AS155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-1</v>
      </c>
      <c r="AT155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0</v>
      </c>
      <c r="AU155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39</v>
      </c>
      <c r="AV155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55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341</v>
      </c>
      <c r="AX155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78</v>
      </c>
      <c r="AY155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56" spans="6:51" ht="22.5" customHeight="1" x14ac:dyDescent="0.3">
      <c r="F156" s="17" t="str">
        <f ca="1">IFERROR(IF(MAX('SORT IMPORT'!$A$13:$A$408)&gt;ROW()-ROW($A$5)-1,INDEX( PRODUKTE,  VLOOKUP(ROW()-ROW($A$5),zeilenindizes,2)+INDEX(prodRowOffset,F$3),  MATCH(F$2,OFFSET(INDEXNAMEN,F$3,0),0)),""),"")</f>
        <v>BTS 80 FLB EN 4</v>
      </c>
      <c r="G156" s="17" t="str">
        <f ca="1">IFERROR(IF(MAX('SORT IMPORT'!$A$13:$A$408)&gt;ROW()-ROW($A$5)-1,INDEX( PRODUKTE,  VLOOKUP(ROW()-ROW($A$5),zeilenindizes,2)+INDEX(prodRowOffset,G$3),  MATCH(G$2,OFFSET(INDEXNAMEN,G$3,0),0)),""),"")</f>
        <v>B</v>
      </c>
      <c r="H156" s="17" t="str">
        <f ca="1">IFERROR(IF(MAX('SORT IMPORT'!$A$13:$A$408)&gt;ROW()-ROW($A$5)-1,INDEX( PRODUKTE,  VLOOKUP(ROW()-ROW($A$5),zeilenindizes,2)+INDEX(prodRowOffset,H$3),  MATCH(H$2,OFFSET(INDEXNAMEN,H$3,0),0)),""),"")</f>
        <v>80 FLB</v>
      </c>
      <c r="I156" s="17" t="str">
        <f ca="1">IFERROR(IF(MAX('SORT IMPORT'!$A$13:$A$408)&gt;ROW()-ROW($A$5)-1,INDEX( PRODUKTE,  VLOOKUP(ROW()-ROW($A$5),zeilenindizes,2)+INDEX(prodRowOffset,I$3),  MATCH(I$2,OFFSET(INDEXNAMEN,I$3,0),0)),""),"")</f>
        <v>F</v>
      </c>
      <c r="J156" s="17" t="str">
        <f ca="1">IFERROR(IF(MAX('SORT IMPORT'!$A$13:$A$408)&gt;ROW()-ROW($A$5)-1,INDEX( PRODUKTE,  VLOOKUP(ROW()-ROW($A$5),zeilenindizes,2)+INDEX(prodRowOffset,J$3),  MATCH(J$2,OFFSET(INDEXNAMEN,J$3,0),0)),""),"")</f>
        <v>E</v>
      </c>
      <c r="K156" s="17">
        <f ca="1">IFERROR(IF(MAX('SORT IMPORT'!$A$13:$A$408)&gt;ROW()-ROW($A$5)-1,INDEX( PRODUKTE,  VLOOKUP(ROW()-ROW($A$5),zeilenindizes,2)+INDEX(prodRowOffset,K$3),  MATCH(K$2,OFFSET(INDEXNAMEN,K$3,0),0)),""),"")</f>
        <v>128</v>
      </c>
      <c r="L156" s="17">
        <f ca="1">IFERROR(IF(MAX('SORT IMPORT'!$A$13:$A$408)&gt;ROW()-ROW($A$5)-1,INDEX( PRODUKTE,  VLOOKUP(ROW()-ROW($A$5),zeilenindizes,2)+INDEX(prodRowOffset,L$3),  MATCH(L$2,OFFSET(INDEXNAMEN,L$3,0),0)),""),"")</f>
        <v>0</v>
      </c>
      <c r="M156" s="17">
        <f ca="1">IFERROR(IF(MAX('SORT IMPORT'!$A$13:$A$408)&gt;ROW()-ROW($A$5)-1,INDEX( PRODUKTE,  VLOOKUP(ROW()-ROW($A$5),zeilenindizes,2)+INDEX(prodRowOffset,M$3),  MATCH(M$2,OFFSET(INDEXNAMEN,M$3,0),0)),""),"")</f>
        <v>8</v>
      </c>
      <c r="N156" s="17">
        <f ca="1">IFERROR(IF(MAX('SORT IMPORT'!$A$13:$A$408)&gt;ROW()-ROW($A$5)-1,INDEX( PRODUKTE,  VLOOKUP(ROW()-ROW($A$5),zeilenindizes,2)+INDEX(prodRowOffset,N$3),  MATCH(N$2,OFFSET(INDEXNAMEN,N$3,0),0)),""),"")</f>
        <v>1</v>
      </c>
      <c r="O156" s="17">
        <f ca="1">IFERROR(IF(MAX('SORT IMPORT'!$A$13:$A$408)&gt;ROW()-ROW($A$5)-1,INDEX( PRODUKTE,  VLOOKUP(ROW()-ROW($A$5),zeilenindizes,2)+INDEX(prodRowOffset,O$3),  MATCH(O$2,OFFSET(INDEXNAMEN,O$3,0),0)),""),"")</f>
        <v>2</v>
      </c>
      <c r="P156" s="17">
        <f ca="1">IFERROR(IF(MAX('SORT IMPORT'!$A$13:$A$408)&gt;ROW()-ROW($A$5)-1,INDEX( PRODUKTE,  VLOOKUP(ROW()-ROW($A$5),zeilenindizes,2)+INDEX(prodRowOffset,P$3),  MATCH(P$2,OFFSET(INDEXNAMEN,P$3,0),0)),""),"")</f>
        <v>0</v>
      </c>
      <c r="Q156" s="17">
        <f ca="1">IFERROR(IF(MAX('SORT IMPORT'!$A$13:$A$408)&gt;ROW()-ROW($A$5)-1,INDEX( PRODUKTE,  VLOOKUP(ROW()-ROW($A$5),zeilenindizes,2)+INDEX(prodRowOffset,Q$3),  MATCH(Q$2,OFFSET(INDEXNAMEN,Q$3,0),0)),""),"")</f>
        <v>1</v>
      </c>
      <c r="R156" s="17">
        <f ca="1">IFERROR(IF(MAX('SORT IMPORT'!$A$13:$A$408)&gt;ROW()-ROW($A$5)-1,INDEX( PRODUKTE,  VLOOKUP(ROW()-ROW($A$5),zeilenindizes,2)+INDEX(prodRowOffset,R$3),  MATCH(R$2,OFFSET(INDEXNAMEN,R$3,0),0)),""),"")</f>
        <v>0</v>
      </c>
      <c r="S156" s="17">
        <f ca="1">IFERROR(IF(MAX('SORT IMPORT'!$A$13:$A$408)&gt;ROW()-ROW($A$5)-1,INDEX( PRODUKTE,  VLOOKUP(ROW()-ROW($A$5),zeilenindizes,2)+INDEX(prodRowOffset,S$3),  MATCH(S$2,OFFSET(INDEXNAMEN,S$3,0),0)),""),"")</f>
        <v>0</v>
      </c>
      <c r="T156" s="17">
        <f ca="1">IFERROR(IF(MAX('SORT IMPORT'!$A$13:$A$408)&gt;ROW()-ROW($A$5)-1,INDEX( PRODUKTE,  VLOOKUP(ROW()-ROW($A$5),zeilenindizes,2)+INDEX(prodRowOffset,T$3),  MATCH(T$2,OFFSET(INDEXNAMEN,T$3,0),0)),""),"")</f>
        <v>0</v>
      </c>
      <c r="U156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156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156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56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56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-54</v>
      </c>
      <c r="Z156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-1</v>
      </c>
      <c r="AA156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56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56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56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56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156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56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56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56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56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56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56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56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56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56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-1</v>
      </c>
      <c r="AP156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-1</v>
      </c>
      <c r="AQ156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-1</v>
      </c>
      <c r="AR156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-1</v>
      </c>
      <c r="AS156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-1</v>
      </c>
      <c r="AT156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0</v>
      </c>
      <c r="AU156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39</v>
      </c>
      <c r="AV156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56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341</v>
      </c>
      <c r="AX156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78</v>
      </c>
      <c r="AY156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57" spans="6:51" ht="22.5" customHeight="1" x14ac:dyDescent="0.3">
      <c r="F157" s="17" t="str">
        <f ca="1">IFERROR(IF(MAX('SORT IMPORT'!$A$13:$A$408)&gt;ROW()-ROW($A$5)-1,INDEX( PRODUKTE,  VLOOKUP(ROW()-ROW($A$5),zeilenindizes,2)+INDEX(prodRowOffset,F$3),  MATCH(F$2,OFFSET(INDEXNAMEN,F$3,0),0)),""),"")</f>
        <v>BTS 80 FLB EN 5</v>
      </c>
      <c r="G157" s="17" t="str">
        <f ca="1">IFERROR(IF(MAX('SORT IMPORT'!$A$13:$A$408)&gt;ROW()-ROW($A$5)-1,INDEX( PRODUKTE,  VLOOKUP(ROW()-ROW($A$5),zeilenindizes,2)+INDEX(prodRowOffset,G$3),  MATCH(G$2,OFFSET(INDEXNAMEN,G$3,0),0)),""),"")</f>
        <v>B</v>
      </c>
      <c r="H157" s="17" t="str">
        <f ca="1">IFERROR(IF(MAX('SORT IMPORT'!$A$13:$A$408)&gt;ROW()-ROW($A$5)-1,INDEX( PRODUKTE,  VLOOKUP(ROW()-ROW($A$5),zeilenindizes,2)+INDEX(prodRowOffset,H$3),  MATCH(H$2,OFFSET(INDEXNAMEN,H$3,0),0)),""),"")</f>
        <v>80 FLB</v>
      </c>
      <c r="I157" s="17" t="str">
        <f ca="1">IFERROR(IF(MAX('SORT IMPORT'!$A$13:$A$408)&gt;ROW()-ROW($A$5)-1,INDEX( PRODUKTE,  VLOOKUP(ROW()-ROW($A$5),zeilenindizes,2)+INDEX(prodRowOffset,I$3),  MATCH(I$2,OFFSET(INDEXNAMEN,I$3,0),0)),""),"")</f>
        <v>F</v>
      </c>
      <c r="J157" s="17" t="str">
        <f ca="1">IFERROR(IF(MAX('SORT IMPORT'!$A$13:$A$408)&gt;ROW()-ROW($A$5)-1,INDEX( PRODUKTE,  VLOOKUP(ROW()-ROW($A$5),zeilenindizes,2)+INDEX(prodRowOffset,J$3),  MATCH(J$2,OFFSET(INDEXNAMEN,J$3,0),0)),""),"")</f>
        <v>E</v>
      </c>
      <c r="K157" s="17">
        <f ca="1">IFERROR(IF(MAX('SORT IMPORT'!$A$13:$A$408)&gt;ROW()-ROW($A$5)-1,INDEX( PRODUKTE,  VLOOKUP(ROW()-ROW($A$5),zeilenindizes,2)+INDEX(prodRowOffset,K$3),  MATCH(K$2,OFFSET(INDEXNAMEN,K$3,0),0)),""),"")</f>
        <v>128</v>
      </c>
      <c r="L157" s="17">
        <f ca="1">IFERROR(IF(MAX('SORT IMPORT'!$A$13:$A$408)&gt;ROW()-ROW($A$5)-1,INDEX( PRODUKTE,  VLOOKUP(ROW()-ROW($A$5),zeilenindizes,2)+INDEX(prodRowOffset,L$3),  MATCH(L$2,OFFSET(INDEXNAMEN,L$3,0),0)),""),"")</f>
        <v>0</v>
      </c>
      <c r="M157" s="17">
        <f ca="1">IFERROR(IF(MAX('SORT IMPORT'!$A$13:$A$408)&gt;ROW()-ROW($A$5)-1,INDEX( PRODUKTE,  VLOOKUP(ROW()-ROW($A$5),zeilenindizes,2)+INDEX(prodRowOffset,M$3),  MATCH(M$2,OFFSET(INDEXNAMEN,M$3,0),0)),""),"")</f>
        <v>16</v>
      </c>
      <c r="N157" s="17">
        <f ca="1">IFERROR(IF(MAX('SORT IMPORT'!$A$13:$A$408)&gt;ROW()-ROW($A$5)-1,INDEX( PRODUKTE,  VLOOKUP(ROW()-ROW($A$5),zeilenindizes,2)+INDEX(prodRowOffset,N$3),  MATCH(N$2,OFFSET(INDEXNAMEN,N$3,0),0)),""),"")</f>
        <v>1</v>
      </c>
      <c r="O157" s="17">
        <f ca="1">IFERROR(IF(MAX('SORT IMPORT'!$A$13:$A$408)&gt;ROW()-ROW($A$5)-1,INDEX( PRODUKTE,  VLOOKUP(ROW()-ROW($A$5),zeilenindizes,2)+INDEX(prodRowOffset,O$3),  MATCH(O$2,OFFSET(INDEXNAMEN,O$3,0),0)),""),"")</f>
        <v>2</v>
      </c>
      <c r="P157" s="17">
        <f ca="1">IFERROR(IF(MAX('SORT IMPORT'!$A$13:$A$408)&gt;ROW()-ROW($A$5)-1,INDEX( PRODUKTE,  VLOOKUP(ROW()-ROW($A$5),zeilenindizes,2)+INDEX(prodRowOffset,P$3),  MATCH(P$2,OFFSET(INDEXNAMEN,P$3,0),0)),""),"")</f>
        <v>0</v>
      </c>
      <c r="Q157" s="17">
        <f ca="1">IFERROR(IF(MAX('SORT IMPORT'!$A$13:$A$408)&gt;ROW()-ROW($A$5)-1,INDEX( PRODUKTE,  VLOOKUP(ROW()-ROW($A$5),zeilenindizes,2)+INDEX(prodRowOffset,Q$3),  MATCH(Q$2,OFFSET(INDEXNAMEN,Q$3,0),0)),""),"")</f>
        <v>1</v>
      </c>
      <c r="R157" s="17">
        <f ca="1">IFERROR(IF(MAX('SORT IMPORT'!$A$13:$A$408)&gt;ROW()-ROW($A$5)-1,INDEX( PRODUKTE,  VLOOKUP(ROW()-ROW($A$5),zeilenindizes,2)+INDEX(prodRowOffset,R$3),  MATCH(R$2,OFFSET(INDEXNAMEN,R$3,0),0)),""),"")</f>
        <v>0</v>
      </c>
      <c r="S157" s="17">
        <f ca="1">IFERROR(IF(MAX('SORT IMPORT'!$A$13:$A$408)&gt;ROW()-ROW($A$5)-1,INDEX( PRODUKTE,  VLOOKUP(ROW()-ROW($A$5),zeilenindizes,2)+INDEX(prodRowOffset,S$3),  MATCH(S$2,OFFSET(INDEXNAMEN,S$3,0),0)),""),"")</f>
        <v>0</v>
      </c>
      <c r="T157" s="17">
        <f ca="1">IFERROR(IF(MAX('SORT IMPORT'!$A$13:$A$408)&gt;ROW()-ROW($A$5)-1,INDEX( PRODUKTE,  VLOOKUP(ROW()-ROW($A$5),zeilenindizes,2)+INDEX(prodRowOffset,T$3),  MATCH(T$2,OFFSET(INDEXNAMEN,T$3,0),0)),""),"")</f>
        <v>0</v>
      </c>
      <c r="U157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157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157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57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57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-54</v>
      </c>
      <c r="Z157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-1</v>
      </c>
      <c r="AA157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57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57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57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57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157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57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57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57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57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57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57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57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57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57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-1</v>
      </c>
      <c r="AP157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-1</v>
      </c>
      <c r="AQ157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-1</v>
      </c>
      <c r="AR157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-1</v>
      </c>
      <c r="AS157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-1</v>
      </c>
      <c r="AT157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0</v>
      </c>
      <c r="AU157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39</v>
      </c>
      <c r="AV157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57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341</v>
      </c>
      <c r="AX157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78</v>
      </c>
      <c r="AY157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58" spans="6:51" ht="22.5" customHeight="1" x14ac:dyDescent="0.3">
      <c r="F158" s="17" t="str">
        <f ca="1">IFERROR(IF(MAX('SORT IMPORT'!$A$13:$A$408)&gt;ROW()-ROW($A$5)-1,INDEX( PRODUKTE,  VLOOKUP(ROW()-ROW($A$5),zeilenindizes,2)+INDEX(prodRowOffset,F$3),  MATCH(F$2,OFFSET(INDEXNAMEN,F$3,0),0)),""),"")</f>
        <v>BTS 80 FLB EN 6</v>
      </c>
      <c r="G158" s="17" t="str">
        <f ca="1">IFERROR(IF(MAX('SORT IMPORT'!$A$13:$A$408)&gt;ROW()-ROW($A$5)-1,INDEX( PRODUKTE,  VLOOKUP(ROW()-ROW($A$5),zeilenindizes,2)+INDEX(prodRowOffset,G$3),  MATCH(G$2,OFFSET(INDEXNAMEN,G$3,0),0)),""),"")</f>
        <v>B</v>
      </c>
      <c r="H158" s="17" t="str">
        <f ca="1">IFERROR(IF(MAX('SORT IMPORT'!$A$13:$A$408)&gt;ROW()-ROW($A$5)-1,INDEX( PRODUKTE,  VLOOKUP(ROW()-ROW($A$5),zeilenindizes,2)+INDEX(prodRowOffset,H$3),  MATCH(H$2,OFFSET(INDEXNAMEN,H$3,0),0)),""),"")</f>
        <v>80 FLB</v>
      </c>
      <c r="I158" s="17" t="str">
        <f ca="1">IFERROR(IF(MAX('SORT IMPORT'!$A$13:$A$408)&gt;ROW()-ROW($A$5)-1,INDEX( PRODUKTE,  VLOOKUP(ROW()-ROW($A$5),zeilenindizes,2)+INDEX(prodRowOffset,I$3),  MATCH(I$2,OFFSET(INDEXNAMEN,I$3,0),0)),""),"")</f>
        <v>F</v>
      </c>
      <c r="J158" s="17" t="str">
        <f ca="1">IFERROR(IF(MAX('SORT IMPORT'!$A$13:$A$408)&gt;ROW()-ROW($A$5)-1,INDEX( PRODUKTE,  VLOOKUP(ROW()-ROW($A$5),zeilenindizes,2)+INDEX(prodRowOffset,J$3),  MATCH(J$2,OFFSET(INDEXNAMEN,J$3,0),0)),""),"")</f>
        <v>E</v>
      </c>
      <c r="K158" s="17">
        <f ca="1">IFERROR(IF(MAX('SORT IMPORT'!$A$13:$A$408)&gt;ROW()-ROW($A$5)-1,INDEX( PRODUKTE,  VLOOKUP(ROW()-ROW($A$5),zeilenindizes,2)+INDEX(prodRowOffset,K$3),  MATCH(K$2,OFFSET(INDEXNAMEN,K$3,0),0)),""),"")</f>
        <v>128</v>
      </c>
      <c r="L158" s="17">
        <f ca="1">IFERROR(IF(MAX('SORT IMPORT'!$A$13:$A$408)&gt;ROW()-ROW($A$5)-1,INDEX( PRODUKTE,  VLOOKUP(ROW()-ROW($A$5),zeilenindizes,2)+INDEX(prodRowOffset,L$3),  MATCH(L$2,OFFSET(INDEXNAMEN,L$3,0),0)),""),"")</f>
        <v>0</v>
      </c>
      <c r="M158" s="17">
        <f ca="1">IFERROR(IF(MAX('SORT IMPORT'!$A$13:$A$408)&gt;ROW()-ROW($A$5)-1,INDEX( PRODUKTE,  VLOOKUP(ROW()-ROW($A$5),zeilenindizes,2)+INDEX(prodRowOffset,M$3),  MATCH(M$2,OFFSET(INDEXNAMEN,M$3,0),0)),""),"")</f>
        <v>32</v>
      </c>
      <c r="N158" s="17">
        <f ca="1">IFERROR(IF(MAX('SORT IMPORT'!$A$13:$A$408)&gt;ROW()-ROW($A$5)-1,INDEX( PRODUKTE,  VLOOKUP(ROW()-ROW($A$5),zeilenindizes,2)+INDEX(prodRowOffset,N$3),  MATCH(N$2,OFFSET(INDEXNAMEN,N$3,0),0)),""),"")</f>
        <v>1</v>
      </c>
      <c r="O158" s="17">
        <f ca="1">IFERROR(IF(MAX('SORT IMPORT'!$A$13:$A$408)&gt;ROW()-ROW($A$5)-1,INDEX( PRODUKTE,  VLOOKUP(ROW()-ROW($A$5),zeilenindizes,2)+INDEX(prodRowOffset,O$3),  MATCH(O$2,OFFSET(INDEXNAMEN,O$3,0),0)),""),"")</f>
        <v>2</v>
      </c>
      <c r="P158" s="17">
        <f ca="1">IFERROR(IF(MAX('SORT IMPORT'!$A$13:$A$408)&gt;ROW()-ROW($A$5)-1,INDEX( PRODUKTE,  VLOOKUP(ROW()-ROW($A$5),zeilenindizes,2)+INDEX(prodRowOffset,P$3),  MATCH(P$2,OFFSET(INDEXNAMEN,P$3,0),0)),""),"")</f>
        <v>0</v>
      </c>
      <c r="Q158" s="17">
        <f ca="1">IFERROR(IF(MAX('SORT IMPORT'!$A$13:$A$408)&gt;ROW()-ROW($A$5)-1,INDEX( PRODUKTE,  VLOOKUP(ROW()-ROW($A$5),zeilenindizes,2)+INDEX(prodRowOffset,Q$3),  MATCH(Q$2,OFFSET(INDEXNAMEN,Q$3,0),0)),""),"")</f>
        <v>1</v>
      </c>
      <c r="R158" s="17">
        <f ca="1">IFERROR(IF(MAX('SORT IMPORT'!$A$13:$A$408)&gt;ROW()-ROW($A$5)-1,INDEX( PRODUKTE,  VLOOKUP(ROW()-ROW($A$5),zeilenindizes,2)+INDEX(prodRowOffset,R$3),  MATCH(R$2,OFFSET(INDEXNAMEN,R$3,0),0)),""),"")</f>
        <v>0</v>
      </c>
      <c r="S158" s="17">
        <f ca="1">IFERROR(IF(MAX('SORT IMPORT'!$A$13:$A$408)&gt;ROW()-ROW($A$5)-1,INDEX( PRODUKTE,  VLOOKUP(ROW()-ROW($A$5),zeilenindizes,2)+INDEX(prodRowOffset,S$3),  MATCH(S$2,OFFSET(INDEXNAMEN,S$3,0),0)),""),"")</f>
        <v>0</v>
      </c>
      <c r="T158" s="17">
        <f ca="1">IFERROR(IF(MAX('SORT IMPORT'!$A$13:$A$408)&gt;ROW()-ROW($A$5)-1,INDEX( PRODUKTE,  VLOOKUP(ROW()-ROW($A$5),zeilenindizes,2)+INDEX(prodRowOffset,T$3),  MATCH(T$2,OFFSET(INDEXNAMEN,T$3,0),0)),""),"")</f>
        <v>0</v>
      </c>
      <c r="U158" s="17">
        <f ca="1">IFERROR(   IF(   MAX('SORT IMPORT'!$A$13:$A$408)&gt;ROW()-ROW($A$5)-1   +   INDEX(prodIndexOffset,U$3),   INDEX( PRODUKTE,  VLOOKUP(ROW()-ROW($A$5)+INDEX(prodIndexOffset,U$3),zeilenindizes,2),  MATCH(U$2,OFFSET(INDEXNAMEN,U$3,0),0)   ),   ""),"" )</f>
        <v>0</v>
      </c>
      <c r="V158" s="17">
        <f ca="1">IFERROR(   IF(   MAX('SORT IMPORT'!$A$13:$A$408)&gt;ROW()-ROW($A$5)-1   +   INDEX(prodIndexOffset,V$3),   INDEX( PRODUKTE,  VLOOKUP(ROW()-ROW($A$5)+INDEX(prodIndexOffset,V$3),zeilenindizes,2),  MATCH(V$2,OFFSET(INDEXNAMEN,V$3,0),0)   ),   ""),"" )</f>
        <v>0</v>
      </c>
      <c r="W158" s="17">
        <f ca="1">IFERROR(   IF(   MAX('SORT IMPORT'!$A$13:$A$408)&gt;ROW()-ROW($A$5)-1   +   INDEX(prodIndexOffset,W$3),   INDEX( PRODUKTE,  VLOOKUP(ROW()-ROW($A$5)+INDEX(prodIndexOffset,W$3),zeilenindizes,2),  MATCH(W$2,OFFSET(INDEXNAMEN,W$3,0),0)   ),   ""),"" )</f>
        <v>0</v>
      </c>
      <c r="X158" s="17">
        <f ca="1">IFERROR(   IF(   MAX('SORT IMPORT'!$A$13:$A$408)&gt;ROW()-ROW($A$5)-1   +   INDEX(prodIndexOffset,X$3),   INDEX( PRODUKTE,  VLOOKUP(ROW()-ROW($A$5)+INDEX(prodIndexOffset,X$3),zeilenindizes,2),  MATCH(X$2,OFFSET(INDEXNAMEN,X$3,0),0)   ),   ""),"" )</f>
        <v>0</v>
      </c>
      <c r="Y158" s="17">
        <f ca="1">IFERROR(   IF(   MAX('SORT IMPORT'!$A$13:$A$408)&gt;ROW()-ROW($A$5)-1   +   INDEX(prodIndexOffset,Y$3),   INDEX( PRODUKTE,  VLOOKUP(ROW()-ROW($A$5)+INDEX(prodIndexOffset,Y$3),zeilenindizes,2),  MATCH(Y$2,OFFSET(INDEXNAMEN,Y$3,0),0)   ),   ""),"" )</f>
        <v>-54</v>
      </c>
      <c r="Z158" s="17">
        <f ca="1">IFERROR(   IF(   MAX('SORT IMPORT'!$A$13:$A$408)&gt;ROW()-ROW($A$5)-1   +   INDEX(prodIndexOffset,Z$3),   INDEX( PRODUKTE,  VLOOKUP(ROW()-ROW($A$5)+INDEX(prodIndexOffset,Z$3),zeilenindizes,2),  MATCH(Z$2,OFFSET(INDEXNAMEN,Z$3,0),0)   ),   ""),"" )</f>
        <v>-1</v>
      </c>
      <c r="AA158" s="17">
        <f ca="1">IFERROR(   IF(   MAX('SORT IMPORT'!$A$13:$A$408)&gt;ROW()-ROW($A$5)-1   +   INDEX(prodIndexOffset,AA$3),   INDEX( PRODUKTE,  VLOOKUP(ROW()-ROW($A$5)+INDEX(prodIndexOffset,AA$3),zeilenindizes,2),  MATCH(AA$2,OFFSET(INDEXNAMEN,AA$3,0),0)   ),   ""),"" )</f>
        <v>0</v>
      </c>
      <c r="AB158" s="17">
        <f ca="1">IFERROR(   IF(   MAX('SORT IMPORT'!$A$13:$A$408)&gt;ROW()-ROW($A$5)-1   +   INDEX(prodIndexOffset,AB$3),   INDEX( PRODUKTE,  VLOOKUP(ROW()-ROW($A$5)+INDEX(prodIndexOffset,AB$3),zeilenindizes,2),  MATCH(AB$2,OFFSET(INDEXNAMEN,AB$3,0),0)   ),   ""),"" )</f>
        <v>0</v>
      </c>
      <c r="AC158" s="17">
        <f ca="1">IFERROR(   IF(   MAX('SORT IMPORT'!$A$13:$A$408)&gt;ROW()-ROW($A$5)-1   +   INDEX(prodIndexOffset,AC$3),   INDEX( PRODUKTE,  VLOOKUP(ROW()-ROW($A$5)+INDEX(prodIndexOffset,AC$3),zeilenindizes,2),  MATCH(AC$2,OFFSET(INDEXNAMEN,AC$3,0),0)   ),   ""),"" )</f>
        <v>0</v>
      </c>
      <c r="AD158" s="17">
        <f ca="1">IFERROR(   IF(   MAX('SORT IMPORT'!$A$13:$A$408)&gt;ROW()-ROW($A$5)-1   +   INDEX(prodIndexOffset,AD$3),   INDEX( PRODUKTE,  VLOOKUP(ROW()-ROW($A$5)+INDEX(prodIndexOffset,AD$3),zeilenindizes,2),  MATCH(AD$2,OFFSET(INDEXNAMEN,AD$3,0),0)   ),   ""),"" )</f>
        <v>0</v>
      </c>
      <c r="AE158" s="17">
        <f ca="1">IFERROR(   IF(   MAX('SORT IMPORT'!$A$13:$A$408)&gt;ROW()-ROW($A$5)-1   +   INDEX(prodIndexOffset,AE$3),   INDEX( PRODUKTE,  VLOOKUP(ROW()-ROW($A$5)+INDEX(prodIndexOffset,AE$3),zeilenindizes,2),  MATCH(AE$2,OFFSET(INDEXNAMEN,AE$3,0),0)   ),   ""),"" )</f>
        <v>0</v>
      </c>
      <c r="AF158" s="17">
        <f ca="1">IFERROR(   IF(   MAX('SORT IMPORT'!$A$13:$A$408)&gt;ROW()-ROW($A$5)-1   +   INDEX(prodIndexOffset,AF$3),   INDEX( PRODUKTE,  VLOOKUP(ROW()-ROW($A$5)+INDEX(prodIndexOffset,AF$3),zeilenindizes,2),  MATCH(AF$2,OFFSET(INDEXNAMEN,AF$3,0),0)   ),   ""),"" )</f>
        <v>0</v>
      </c>
      <c r="AG158" s="17">
        <f ca="1">IFERROR(   IF(   MAX('SORT IMPORT'!$A$13:$A$408)&gt;ROW()-ROW($A$5)-1   +   INDEX(prodIndexOffset,AG$3),   INDEX( PRODUKTE,  VLOOKUP(ROW()-ROW($A$5)+INDEX(prodIndexOffset,AG$3),zeilenindizes,2),  MATCH(AG$2,OFFSET(INDEXNAMEN,AG$3,0),0)   ),   ""),"" )</f>
        <v>0</v>
      </c>
      <c r="AH158" s="17">
        <f ca="1">IFERROR(   IF(   MAX('SORT IMPORT'!$A$13:$A$408)&gt;ROW()-ROW($A$5)-1   +   INDEX(prodIndexOffset,AH$3),   INDEX( PRODUKTE,  VLOOKUP(ROW()-ROW($A$5)+INDEX(prodIndexOffset,AH$3),zeilenindizes,2),  MATCH(AH$2,OFFSET(INDEXNAMEN,AH$3,0),0)   ),   ""),"" )</f>
        <v>0</v>
      </c>
      <c r="AI158" s="17">
        <f ca="1">IFERROR(   IF(   MAX('SORT IMPORT'!$A$13:$A$408)&gt;ROW()-ROW($A$5)-1   +   INDEX(prodIndexOffset,AI$3),   INDEX( PRODUKTE,  VLOOKUP(ROW()-ROW($A$5)+INDEX(prodIndexOffset,AI$3),zeilenindizes,2),  MATCH(AI$2,OFFSET(INDEXNAMEN,AI$3,0),0)   ),   ""),"" )</f>
        <v>0</v>
      </c>
      <c r="AJ158" s="17">
        <f ca="1">IFERROR(   IF(   MAX('SORT IMPORT'!$A$13:$A$408)&gt;ROW()-ROW($A$5)-1   +   INDEX(prodIndexOffset,AJ$3),   INDEX( PRODUKTE,  VLOOKUP(ROW()-ROW($A$5)+INDEX(prodIndexOffset,AJ$3),zeilenindizes,2),  MATCH(AJ$2,OFFSET(INDEXNAMEN,AJ$3,0),0)   ),   ""),"" )</f>
        <v>0</v>
      </c>
      <c r="AK158" s="17">
        <f ca="1">IFERROR(   IF(   MAX('SORT IMPORT'!$A$13:$A$408)&gt;ROW()-ROW($A$5)-1   +   INDEX(prodIndexOffset,AK$3),   INDEX( PRODUKTE,  VLOOKUP(ROW()-ROW($A$5)+INDEX(prodIndexOffset,AK$3),zeilenindizes,2),  MATCH(AK$2,OFFSET(INDEXNAMEN,AK$3,0),0)   ),   ""),"" )</f>
        <v>0</v>
      </c>
      <c r="AL158" s="17">
        <f ca="1">IFERROR(   IF(   MAX('SORT IMPORT'!$A$13:$A$408)&gt;ROW()-ROW($A$5)-1   +   INDEX(prodIndexOffset,AL$3),   INDEX( PRODUKTE,  VLOOKUP(ROW()-ROW($A$5)+INDEX(prodIndexOffset,AL$3),zeilenindizes,2),  MATCH(AL$2,OFFSET(INDEXNAMEN,AL$3,0),0)   ),   ""),"" )</f>
        <v>0</v>
      </c>
      <c r="AM158" s="17">
        <f ca="1">IFERROR(   IF(   MAX('SORT IMPORT'!$A$13:$A$408)&gt;ROW()-ROW($A$5)-1   +   INDEX(prodIndexOffset,AM$3),   INDEX( PRODUKTE,  VLOOKUP(ROW()-ROW($A$5)+INDEX(prodIndexOffset,AM$3),zeilenindizes,2),  MATCH(AM$2,OFFSET(INDEXNAMEN,AM$3,0),0)   ),   ""),"" )</f>
        <v>0</v>
      </c>
      <c r="AN158" s="17">
        <f ca="1">IFERROR(   IF(   MAX('SORT IMPORT'!$A$13:$A$408)&gt;ROW()-ROW($A$5)-1   +   INDEX(prodIndexOffset,AN$3),   INDEX( PRODUKTE,  VLOOKUP(ROW()-ROW($A$5)+INDEX(prodIndexOffset,AN$3),zeilenindizes,2),  MATCH(AN$2,OFFSET(INDEXNAMEN,AN$3,0),0)   ),   ""),"" )</f>
        <v>0</v>
      </c>
      <c r="AO158" s="17">
        <f ca="1">IFERROR(   IF(   MAX('SORT IMPORT'!$A$13:$A$408)&gt;ROW()-ROW($A$5)-1   +   INDEX(prodIndexOffset,AO$3),   INDEX( PRODUKTE,  VLOOKUP(ROW()-ROW($A$5)+INDEX(prodIndexOffset,AO$3),zeilenindizes,2),  MATCH(AO$2,OFFSET(INDEXNAMEN,AO$3,0),0)   ),   ""),"" )</f>
        <v>-1</v>
      </c>
      <c r="AP158" s="17">
        <f ca="1">IFERROR(   IF(   MAX('SORT IMPORT'!$A$13:$A$408)&gt;ROW()-ROW($A$5)-1   +   INDEX(prodIndexOffset,AP$3),   INDEX( PRODUKTE,  VLOOKUP(ROW()-ROW($A$5)+INDEX(prodIndexOffset,AP$3),zeilenindizes,2),  MATCH(AP$2,OFFSET(INDEXNAMEN,AP$3,0),0)   ),   ""),"" )</f>
        <v>-1</v>
      </c>
      <c r="AQ158" s="17">
        <f ca="1">IFERROR(   IF(   MAX('SORT IMPORT'!$A$13:$A$408)&gt;ROW()-ROW($A$5)-1   +   INDEX(prodIndexOffset,AQ$3),   INDEX( PRODUKTE,  VLOOKUP(ROW()-ROW($A$5)+INDEX(prodIndexOffset,AQ$3),zeilenindizes,2),  MATCH(AQ$2,OFFSET(INDEXNAMEN,AQ$3,0),0)   ),   ""),"" )</f>
        <v>-1</v>
      </c>
      <c r="AR158" s="17">
        <f ca="1">IFERROR(   IF(   MAX('SORT IMPORT'!$A$13:$A$408)&gt;ROW()-ROW($A$5)-1   +   INDEX(prodIndexOffset,AR$3),   INDEX( PRODUKTE,  VLOOKUP(ROW()-ROW($A$5)+INDEX(prodIndexOffset,AR$3),zeilenindizes,2),  MATCH(AR$2,OFFSET(INDEXNAMEN,AR$3,0),0)   ),   ""),"" )</f>
        <v>-1</v>
      </c>
      <c r="AS158" s="17">
        <f ca="1">IFERROR(   IF(   MAX('SORT IMPORT'!$A$13:$A$408)&gt;ROW()-ROW($A$5)-1   +   INDEX(prodIndexOffset,AS$3),   INDEX( PRODUKTE,  VLOOKUP(ROW()-ROW($A$5)+INDEX(prodIndexOffset,AS$3),zeilenindizes,2),  MATCH(AS$2,OFFSET(INDEXNAMEN,AS$3,0),0)   ),   ""),"" )</f>
        <v>-1</v>
      </c>
      <c r="AT158" s="17">
        <f ca="1">IFERROR(   IF(   MAX('SORT IMPORT'!$A$13:$A$408)&gt;ROW()-ROW($A$5)-1   +   INDEX(prodIndexOffset,AT$3),   INDEX( PRODUKTE,  VLOOKUP(ROW()-ROW($A$5)+INDEX(prodIndexOffset,AT$3),zeilenindizes,2),  MATCH(AT$2,OFFSET(INDEXNAMEN,AT$3,0),0)   ),   ""),"" )</f>
        <v>0</v>
      </c>
      <c r="AU158" s="17">
        <f ca="1">IFERROR(   IF(   MAX('SORT IMPORT'!$A$13:$A$408)&gt;ROW()-ROW($A$5)-1   +   INDEX(prodIndexOffset,AU$3),   INDEX( PRODUKTE,  VLOOKUP(ROW()-ROW($A$5)+INDEX(prodIndexOffset,AU$3),zeilenindizes,2),  MATCH(AU$2,OFFSET(INDEXNAMEN,AU$3,0),0)   ),   ""),"" )</f>
        <v>39</v>
      </c>
      <c r="AV158" s="17">
        <f ca="1">IFERROR(   IF(   MAX('SORT IMPORT'!$A$13:$A$408)&gt;ROW()-ROW($A$5)-1   +   INDEX(prodIndexOffset,AV$3),   INDEX( PRODUKTE,  VLOOKUP(ROW()-ROW($A$5)+INDEX(prodIndexOffset,AV$3),zeilenindizes,2),  MATCH(AV$2,OFFSET(INDEXNAMEN,AV$3,0),0)   ),   ""),"" )</f>
        <v>-1</v>
      </c>
      <c r="AW158" s="17">
        <f ca="1">IFERROR(   IF(   MAX('SORT IMPORT'!$A$13:$A$408)&gt;ROW()-ROW($A$5)-1   +   INDEX(prodIndexOffset,AW$3),   INDEX( PRODUKTE,  VLOOKUP(ROW()-ROW($A$5)+INDEX(prodIndexOffset,AW$3),zeilenindizes,2),  MATCH(AW$2,OFFSET(INDEXNAMEN,AW$3,0),0)   ),   ""),"" )</f>
        <v>341</v>
      </c>
      <c r="AX158" s="17">
        <f ca="1">IFERROR(   IF(   MAX('SORT IMPORT'!$A$13:$A$408)&gt;ROW()-ROW($A$5)-1   +   INDEX(prodIndexOffset,AX$3),   INDEX( PRODUKTE,  VLOOKUP(ROW()-ROW($A$5)+INDEX(prodIndexOffset,AX$3),zeilenindizes,2),  MATCH(AX$2,OFFSET(INDEXNAMEN,AX$3,0),0)   ),   ""),"" )</f>
        <v>78</v>
      </c>
      <c r="AY158" s="17">
        <f ca="1">IFERROR(   IF(   MAX('SORT IMPORT'!$A$13:$A$408)&gt;ROW()-ROW($A$5)-1   +   INDEX(prodIndexOffset,AY$3),   INDEX( PRODUKTE,  VLOOKUP(ROW()-ROW($A$5)+INDEX(prodIndexOffset,AY$3),zeilenindizes,2),  MATCH(AY$2,OFFSET(INDEXNAMEN,AY$3,0),0)   ),   ""),"" )</f>
        <v>60</v>
      </c>
    </row>
    <row r="159" spans="6:51" ht="22.5" customHeight="1" x14ac:dyDescent="0.3"/>
    <row r="160" spans="6:51" ht="22.5" customHeight="1" x14ac:dyDescent="0.3"/>
    <row r="161" ht="22.5" customHeight="1" x14ac:dyDescent="0.3"/>
    <row r="162" ht="22.5" customHeight="1" x14ac:dyDescent="0.3"/>
    <row r="163" ht="22.5" customHeight="1" x14ac:dyDescent="0.3"/>
    <row r="164" ht="22.5" customHeight="1" x14ac:dyDescent="0.3"/>
    <row r="165" ht="22.5" customHeight="1" x14ac:dyDescent="0.3"/>
    <row r="166" ht="22.5" customHeight="1" x14ac:dyDescent="0.3"/>
    <row r="167" ht="22.5" customHeight="1" x14ac:dyDescent="0.3"/>
    <row r="168" ht="22.5" customHeight="1" x14ac:dyDescent="0.3"/>
    <row r="169" ht="22.5" customHeight="1" x14ac:dyDescent="0.3"/>
    <row r="170" ht="22.5" customHeight="1" x14ac:dyDescent="0.3"/>
    <row r="171" ht="22.5" customHeight="1" x14ac:dyDescent="0.3"/>
    <row r="172" ht="22.5" customHeight="1" x14ac:dyDescent="0.3"/>
    <row r="173" ht="22.5" customHeight="1" x14ac:dyDescent="0.3"/>
    <row r="174" ht="22.5" customHeight="1" x14ac:dyDescent="0.3"/>
    <row r="175" ht="22.5" customHeight="1" x14ac:dyDescent="0.3"/>
    <row r="176" ht="22.5" customHeight="1" x14ac:dyDescent="0.3"/>
    <row r="177" spans="2:103" ht="22.5" customHeight="1" x14ac:dyDescent="0.3"/>
    <row r="178" spans="2:103" ht="22.5" customHeight="1" x14ac:dyDescent="0.3"/>
    <row r="179" spans="2:103" ht="22.5" customHeight="1" x14ac:dyDescent="0.3"/>
    <row r="180" spans="2:103" ht="22.5" customHeight="1" x14ac:dyDescent="0.3"/>
    <row r="181" spans="2:103" ht="22.5" customHeight="1" x14ac:dyDescent="0.3"/>
    <row r="182" spans="2:103" ht="22.5" customHeight="1" thickBot="1" x14ac:dyDescent="0.35"/>
    <row r="183" spans="2:103" s="100" customFormat="1" ht="14.4" thickTop="1" x14ac:dyDescent="0.3">
      <c r="B183" s="35"/>
      <c r="C183" s="35"/>
      <c r="D183" s="35"/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  <c r="AX183" s="35"/>
      <c r="AY183" s="35"/>
      <c r="AZ183" s="35"/>
      <c r="BA183" s="35"/>
      <c r="BB183" s="35"/>
      <c r="BC183" s="35"/>
      <c r="BD183" s="35"/>
      <c r="BE183" s="35"/>
      <c r="BF183" s="35"/>
      <c r="BG183" s="35"/>
      <c r="BH183" s="35"/>
      <c r="BI183" s="35"/>
      <c r="BJ183" s="35"/>
      <c r="BK183" s="35"/>
      <c r="BL183" s="35"/>
      <c r="BM183" s="35"/>
      <c r="BN183" s="35"/>
      <c r="BO183" s="35"/>
      <c r="BP183" s="35"/>
      <c r="BQ183" s="35"/>
      <c r="BR183" s="35"/>
      <c r="BS183" s="35"/>
      <c r="BT183" s="35"/>
      <c r="BU183" s="35"/>
      <c r="BV183" s="35"/>
      <c r="BW183" s="35"/>
      <c r="BX183" s="35"/>
      <c r="BY183" s="35"/>
      <c r="BZ183" s="35"/>
      <c r="CA183" s="35"/>
      <c r="CB183" s="35"/>
      <c r="CC183" s="35"/>
      <c r="CD183" s="35"/>
      <c r="CE183" s="35"/>
      <c r="CF183" s="35"/>
      <c r="CG183" s="35"/>
      <c r="CH183" s="35"/>
      <c r="CI183" s="35"/>
      <c r="CJ183" s="35"/>
      <c r="CK183" s="35"/>
      <c r="CL183" s="35"/>
      <c r="CM183" s="35"/>
      <c r="CN183" s="35"/>
      <c r="CO183" s="35"/>
      <c r="CP183" s="35"/>
      <c r="CQ183" s="35"/>
      <c r="CR183" s="35"/>
      <c r="CS183" s="35"/>
      <c r="CT183" s="35"/>
      <c r="CU183" s="35"/>
      <c r="CV183" s="35"/>
      <c r="CW183" s="35"/>
      <c r="CX183" s="35"/>
      <c r="CY183" s="101"/>
    </row>
  </sheetData>
  <mergeCells count="1">
    <mergeCell ref="CY1:CY3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V97"/>
  <sheetViews>
    <sheetView showZeros="0" topLeftCell="S1" zoomScaleNormal="100" zoomScaleSheetLayoutView="100" workbookViewId="0">
      <selection activeCell="AA6" sqref="AA6:AB10"/>
    </sheetView>
  </sheetViews>
  <sheetFormatPr baseColWidth="10" defaultColWidth="18.33203125" defaultRowHeight="13.8" x14ac:dyDescent="0.3"/>
  <cols>
    <col min="1" max="1" width="18.33203125" style="23"/>
    <col min="2" max="2" width="5.5546875" style="17" customWidth="1"/>
    <col min="3" max="3" width="25.6640625" style="17" customWidth="1"/>
    <col min="4" max="4" width="6.6640625" style="17" customWidth="1"/>
    <col min="5" max="5" width="15.109375" style="17" bestFit="1" customWidth="1"/>
    <col min="6" max="6" width="3.88671875" style="17" customWidth="1"/>
    <col min="7" max="7" width="17.6640625" style="17" bestFit="1" customWidth="1"/>
    <col min="8" max="8" width="5.33203125" style="17" customWidth="1"/>
    <col min="9" max="9" width="18.33203125" style="17"/>
    <col min="10" max="10" width="4.33203125" style="17" customWidth="1"/>
    <col min="11" max="11" width="18.33203125" style="17" customWidth="1"/>
    <col min="12" max="12" width="5.33203125" style="17" customWidth="1"/>
    <col min="13" max="13" width="19" style="17" customWidth="1"/>
    <col min="14" max="14" width="4.109375" style="17" customWidth="1"/>
    <col min="15" max="15" width="18.109375" style="17" customWidth="1"/>
    <col min="16" max="16" width="4.5546875" style="17" customWidth="1"/>
    <col min="17" max="17" width="18.109375" style="17" customWidth="1"/>
    <col min="18" max="18" width="5.33203125" style="17" customWidth="1"/>
    <col min="19" max="19" width="26" style="17" customWidth="1"/>
    <col min="20" max="20" width="5.44140625" style="17" customWidth="1"/>
    <col min="21" max="21" width="24.88671875" style="17" bestFit="1" customWidth="1"/>
    <col min="22" max="22" width="6.44140625" style="17" customWidth="1"/>
    <col min="23" max="24" width="19.88671875" style="17" bestFit="1" customWidth="1"/>
    <col min="25" max="25" width="18.33203125" style="17"/>
    <col min="26" max="26" width="20.44140625" style="17" bestFit="1" customWidth="1"/>
    <col min="27" max="27" width="3.88671875" style="17" customWidth="1"/>
    <col min="28" max="28" width="18.33203125" style="17"/>
    <col min="29" max="29" width="5.109375" style="17" customWidth="1"/>
    <col min="30" max="72" width="18.33203125" style="17"/>
    <col min="73" max="73" width="18.33203125" style="24"/>
    <col min="74" max="16384" width="18.33203125" style="14"/>
  </cols>
  <sheetData>
    <row r="1" spans="1:74" s="100" customFormat="1" x14ac:dyDescent="0.3">
      <c r="A1" s="26" t="s">
        <v>142</v>
      </c>
      <c r="B1" s="50" t="str">
        <f t="shared" ref="B1:K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- | OTS | ITS | BTS</v>
      </c>
      <c r="C1" s="50" t="str">
        <f t="shared" si="0"/>
        <v/>
      </c>
      <c r="D1" s="50" t="str">
        <f t="shared" si="0"/>
        <v xml:space="preserve">  | ST | ES | AL | XX</v>
      </c>
      <c r="E1" s="50" t="str">
        <f t="shared" si="0"/>
        <v/>
      </c>
      <c r="F1" s="50" t="str">
        <f t="shared" si="0"/>
        <v xml:space="preserve">  | - | G | N | L | V | Z | C | ...</v>
      </c>
      <c r="G1" s="50" t="str">
        <f t="shared" si="0"/>
        <v/>
      </c>
      <c r="H1" s="50" t="str">
        <f t="shared" si="0"/>
        <v>BS | GS | MI</v>
      </c>
      <c r="I1" s="50" t="str">
        <f t="shared" si="0"/>
        <v/>
      </c>
      <c r="J1" s="50" t="str">
        <f t="shared" si="0"/>
        <v>S | T | B</v>
      </c>
      <c r="K1" s="50" t="str">
        <f t="shared" si="0"/>
        <v/>
      </c>
      <c r="L1" s="50" t="str">
        <f t="shared" ref="L1:Y1" si="1">IF(L$5="","",IF(INDEX(VALUESLIST,2,COLUMN(L1)-1)="","",INDEX(VALUESLIST,2,COLUMN(L1)-1)) &amp; IF(INDEX(VALUESLIST,3,COLUMN(L1)-1)="","",DV&amp;INDEX(VALUESLIST,3,COLUMN(L1)-1)) &amp; IF(INDEX(VALUESLIST,4,COLUMN(L1)-1)="","",DV&amp;INDEX(VALUESLIST,4,COLUMN(L1)-1)) &amp; IF(INDEX(VALUESLIST,5,COLUMN(L1)-1)="","",DV&amp;INDEX(VALUESLIST,5,COLUMN(L1)-1)) &amp; IF(INDEX(VALUESLIST,6,COLUMN(L1)-1)="","",DV&amp;INDEX(VALUESLIST,6,COLUMN(L1)-1)) &amp; IF(INDEX(VALUESLIST,7,COLUMN(L1)-1)="","",DV&amp;INDEX(VALUESLIST,7,COLUMN(L1)-1)) &amp; IF(INDEX(VALUESLIST,8,COLUMN(L1)-1)="","",DV&amp;INDEX(VALUESLIST,8,COLUMN(L1)-1)) &amp; IF(INDEX(VALUESLIST,9,COLUMN(L1)-1)="","",DV&amp;INDEX(VALUESLIST,9,COLUMN(L1)-1)) &amp; IF(INDEX(VALUESLIST,10,COLUMN(L1)-1)="","",DV&amp;"..."))</f>
        <v>G | S</v>
      </c>
      <c r="M1" s="50" t="str">
        <f t="shared" si="1"/>
        <v/>
      </c>
      <c r="N1" s="50" t="str">
        <f t="shared" si="1"/>
        <v>3 | 4 | 5 | 6 | 7</v>
      </c>
      <c r="O1" s="50" t="str">
        <f t="shared" si="1"/>
        <v/>
      </c>
      <c r="P1" s="50" t="str">
        <f t="shared" si="1"/>
        <v>3 | 4 | 5 | 6 | 7</v>
      </c>
      <c r="Q1" s="50" t="str">
        <f t="shared" si="1"/>
        <v/>
      </c>
      <c r="R1" s="50" t="str">
        <f t="shared" si="1"/>
        <v>- | M | E | R | B</v>
      </c>
      <c r="S1" s="50" t="str">
        <f t="shared" si="1"/>
        <v/>
      </c>
      <c r="T1" s="50" t="str">
        <f t="shared" si="1"/>
        <v>- | M | E</v>
      </c>
      <c r="U1" s="50" t="str">
        <f t="shared" si="1"/>
        <v/>
      </c>
      <c r="V1" s="50" t="str">
        <f t="shared" si="1"/>
        <v>- | V | F</v>
      </c>
      <c r="W1" s="50" t="str">
        <f t="shared" si="1"/>
        <v/>
      </c>
      <c r="X1" s="50" t="str">
        <f t="shared" si="1"/>
        <v>T90 | T91 | T92 | T93 | T98 | T99</v>
      </c>
      <c r="Y1" s="50" t="str">
        <f t="shared" si="1"/>
        <v>G90 | G91 | G92 | G93 | G98 | G99</v>
      </c>
      <c r="Z1" s="50" t="str">
        <f t="shared" ref="Z1:BS1" si="2">IF(Z$5="","",IF(INDEX(VALUESLIST,2,COLUMN(Z1)-1)="","",INDEX(VALUESLIST,2,COLUMN(Z1)-1)) &amp; IF(INDEX(VALUESLIST,3,COLUMN(Z1)-1)="","",DV&amp;INDEX(VALUESLIST,3,COLUMN(Z1)-1)) &amp; IF(INDEX(VALUESLIST,4,COLUMN(Z1)-1)="","",DV&amp;INDEX(VALUESLIST,4,COLUMN(Z1)-1)) &amp; IF(INDEX(VALUESLIST,5,COLUMN(Z1)-1)="","",DV&amp;INDEX(VALUESLIST,5,COLUMN(Z1)-1)) &amp; IF(INDEX(VALUESLIST,6,COLUMN(Z1)-1)="","",DV&amp;INDEX(VALUESLIST,6,COLUMN(Z1)-1)) &amp; IF(INDEX(VALUESLIST,7,COLUMN(Z1)-1)="","",DV&amp;INDEX(VALUESLIST,7,COLUMN(Z1)-1)) &amp; IF(INDEX(VALUESLIST,8,COLUMN(Z1)-1)="","",DV&amp;INDEX(VALUESLIST,8,COLUMN(Z1)-1)) &amp; IF(INDEX(VALUESLIST,9,COLUMN(Z1)-1)="","",DV&amp;INDEX(VALUESLIST,9,COLUMN(Z1)-1)) &amp; IF(INDEX(VALUESLIST,10,COLUMN(Z1)-1)="","",DV&amp;"..."))</f>
        <v>- | DORMA MK 396 | DORMA MK 397</v>
      </c>
      <c r="AA1" s="50" t="str">
        <f t="shared" si="2"/>
        <v>0 | 1 | 2 | 3 | 7</v>
      </c>
      <c r="AB1" s="50" t="str">
        <f t="shared" si="2"/>
        <v/>
      </c>
      <c r="AC1" s="50" t="str">
        <f t="shared" si="2"/>
        <v/>
      </c>
      <c r="AD1" s="50" t="str">
        <f t="shared" si="2"/>
        <v/>
      </c>
      <c r="AE1" s="50" t="str">
        <f t="shared" si="2"/>
        <v/>
      </c>
      <c r="AF1" s="50" t="str">
        <f t="shared" si="2"/>
        <v/>
      </c>
      <c r="AG1" s="50" t="str">
        <f t="shared" si="2"/>
        <v/>
      </c>
      <c r="AH1" s="50" t="str">
        <f t="shared" si="2"/>
        <v/>
      </c>
      <c r="AI1" s="50" t="str">
        <f t="shared" si="2"/>
        <v/>
      </c>
      <c r="AJ1" s="50" t="str">
        <f t="shared" si="2"/>
        <v/>
      </c>
      <c r="AK1" s="50" t="str">
        <f t="shared" si="2"/>
        <v/>
      </c>
      <c r="AL1" s="50" t="str">
        <f t="shared" si="2"/>
        <v/>
      </c>
      <c r="AM1" s="50" t="str">
        <f t="shared" si="2"/>
        <v/>
      </c>
      <c r="AN1" s="50" t="str">
        <f t="shared" si="2"/>
        <v/>
      </c>
      <c r="AO1" s="50" t="str">
        <f t="shared" si="2"/>
        <v/>
      </c>
      <c r="AP1" s="50" t="str">
        <f t="shared" si="2"/>
        <v/>
      </c>
      <c r="AQ1" s="50" t="str">
        <f t="shared" si="2"/>
        <v/>
      </c>
      <c r="AR1" s="50" t="str">
        <f t="shared" si="2"/>
        <v/>
      </c>
      <c r="AS1" s="50" t="str">
        <f t="shared" si="2"/>
        <v/>
      </c>
      <c r="AT1" s="50" t="str">
        <f t="shared" si="2"/>
        <v/>
      </c>
      <c r="AU1" s="50" t="str">
        <f t="shared" si="2"/>
        <v/>
      </c>
      <c r="AV1" s="50" t="str">
        <f t="shared" si="2"/>
        <v/>
      </c>
      <c r="AW1" s="50" t="str">
        <f t="shared" si="2"/>
        <v/>
      </c>
      <c r="AX1" s="50" t="str">
        <f t="shared" si="2"/>
        <v/>
      </c>
      <c r="AY1" s="50" t="str">
        <f t="shared" si="2"/>
        <v/>
      </c>
      <c r="AZ1" s="50" t="str">
        <f t="shared" si="2"/>
        <v/>
      </c>
      <c r="BA1" s="50" t="str">
        <f t="shared" si="2"/>
        <v/>
      </c>
      <c r="BB1" s="50" t="str">
        <f t="shared" si="2"/>
        <v/>
      </c>
      <c r="BC1" s="50" t="str">
        <f t="shared" si="2"/>
        <v/>
      </c>
      <c r="BD1" s="50" t="str">
        <f t="shared" si="2"/>
        <v/>
      </c>
      <c r="BE1" s="50" t="str">
        <f t="shared" si="2"/>
        <v/>
      </c>
      <c r="BF1" s="50" t="str">
        <f t="shared" si="2"/>
        <v/>
      </c>
      <c r="BG1" s="50" t="str">
        <f t="shared" si="2"/>
        <v/>
      </c>
      <c r="BH1" s="50" t="str">
        <f t="shared" si="2"/>
        <v/>
      </c>
      <c r="BI1" s="50" t="str">
        <f t="shared" si="2"/>
        <v/>
      </c>
      <c r="BJ1" s="50" t="str">
        <f t="shared" si="2"/>
        <v/>
      </c>
      <c r="BK1" s="50" t="str">
        <f t="shared" si="2"/>
        <v/>
      </c>
      <c r="BL1" s="50" t="str">
        <f t="shared" si="2"/>
        <v/>
      </c>
      <c r="BM1" s="50" t="str">
        <f t="shared" si="2"/>
        <v/>
      </c>
      <c r="BN1" s="50" t="str">
        <f t="shared" si="2"/>
        <v/>
      </c>
      <c r="BO1" s="50" t="str">
        <f t="shared" si="2"/>
        <v/>
      </c>
      <c r="BP1" s="50" t="str">
        <f t="shared" si="2"/>
        <v/>
      </c>
      <c r="BQ1" s="50" t="str">
        <f t="shared" si="2"/>
        <v/>
      </c>
      <c r="BR1" s="50" t="str">
        <f t="shared" si="2"/>
        <v/>
      </c>
      <c r="BS1" s="50" t="str">
        <f t="shared" si="2"/>
        <v/>
      </c>
      <c r="BT1" s="50" t="str">
        <f>IF(BT$5="","",IF(INDEX(VALUESLIST,2,COLUMN(BT1)-1)="","",INDEX(VALUESLIST,2,COLUMN(BT1)-1)) &amp; IF(INDEX(VALUESLIST,3,COLUMN(BT1)-1)="","",DV&amp;INDEX(VALUESLIST,3,COLUMN(BT1)-1)) &amp; IF(INDEX(VALUESLIST,4,COLUMN(BT1)-1)="","",DV&amp;INDEX(VALUESLIST,4,COLUMN(BT1)-1)) &amp; IF(INDEX(VALUESLIST,5,COLUMN(BT1)-1)="","",DV&amp;INDEX(VALUESLIST,5,COLUMN(BT1)-1)) &amp; IF(INDEX(VALUESLIST,6,COLUMN(BT1)-1)="","",DV&amp;INDEX(VALUESLIST,6,COLUMN(BT1)-1)) &amp; IF(INDEX(VALUESLIST,7,COLUMN(BT1)-1)="","",DV&amp;INDEX(VALUESLIST,7,COLUMN(BT1)-1)) &amp; IF(INDEX(VALUESLIST,8,COLUMN(BT1)-1)="","",DV&amp;INDEX(VALUESLIST,8,COLUMN(BT1)-1)) &amp; IF(INDEX(VALUESLIST,9,COLUMN(BT1)-1)="","",DV&amp;INDEX(VALUESLIST,9,COLUMN(BT1)-1)) &amp; IF(INDEX(VALUESLIST,10,COLUMN(BT1)-1)="","",DV&amp;"..."))</f>
        <v>0 | 1 | 2 | 3 | 4 | 5 | 6 | 7 | ...</v>
      </c>
      <c r="BU1" s="77" t="s">
        <v>88</v>
      </c>
    </row>
    <row r="2" spans="1:74" x14ac:dyDescent="0.3">
      <c r="A2" s="27" t="s">
        <v>143</v>
      </c>
      <c r="B2" s="34" t="str">
        <f t="shared" ref="B2:Z2" si="3">IF(B$3="-","-",IF(B$3=A$3,A$2+1,1))</f>
        <v>-</v>
      </c>
      <c r="C2" s="34" t="str">
        <f t="shared" si="3"/>
        <v>-</v>
      </c>
      <c r="D2" s="34" t="str">
        <f t="shared" si="3"/>
        <v>-</v>
      </c>
      <c r="E2" s="34" t="str">
        <f t="shared" si="3"/>
        <v>-</v>
      </c>
      <c r="F2" s="34" t="str">
        <f t="shared" ref="F2:K2" si="4">IF(F$3="-","-",IF(F$3=E$3,E$2+1,1))</f>
        <v>-</v>
      </c>
      <c r="G2" s="34" t="str">
        <f t="shared" si="4"/>
        <v>-</v>
      </c>
      <c r="H2" s="34" t="str">
        <f t="shared" si="4"/>
        <v>-</v>
      </c>
      <c r="I2" s="34" t="str">
        <f t="shared" si="4"/>
        <v>-</v>
      </c>
      <c r="J2" s="34" t="str">
        <f t="shared" si="4"/>
        <v>-</v>
      </c>
      <c r="K2" s="34" t="str">
        <f t="shared" si="4"/>
        <v>-</v>
      </c>
      <c r="L2" s="34" t="str">
        <f t="shared" si="3"/>
        <v>-</v>
      </c>
      <c r="M2" s="34" t="str">
        <f t="shared" si="3"/>
        <v>-</v>
      </c>
      <c r="N2" s="34" t="str">
        <f>IF(N$3="-","-",IF(N$3=M$3,M$2+1,1))</f>
        <v>-</v>
      </c>
      <c r="O2" s="34" t="str">
        <f>IF(O$3="-","-",IF(O$3=N$3,N$2+1,1))</f>
        <v>-</v>
      </c>
      <c r="P2" s="34" t="str">
        <f>IF(P$3="-","-",IF(P$3=O$3,O$2+1,1))</f>
        <v>-</v>
      </c>
      <c r="Q2" s="34" t="str">
        <f>IF(Q$3="-","-",IF(Q$3=P$3,P$2+1,1))</f>
        <v>-</v>
      </c>
      <c r="R2" s="34" t="str">
        <f>IF(R$3="-","-",IF(R$3=Q$3,Q$2+1,1))</f>
        <v>-</v>
      </c>
      <c r="S2" s="34" t="str">
        <f t="shared" si="3"/>
        <v>-</v>
      </c>
      <c r="T2" s="34" t="str">
        <f t="shared" si="3"/>
        <v>-</v>
      </c>
      <c r="U2" s="34" t="str">
        <f t="shared" si="3"/>
        <v>-</v>
      </c>
      <c r="V2" s="34" t="str">
        <f t="shared" si="3"/>
        <v>-</v>
      </c>
      <c r="W2" s="34" t="str">
        <f t="shared" si="3"/>
        <v>-</v>
      </c>
      <c r="X2" s="34" t="str">
        <f t="shared" si="3"/>
        <v>-</v>
      </c>
      <c r="Y2" s="34" t="str">
        <f t="shared" si="3"/>
        <v>-</v>
      </c>
      <c r="Z2" s="34" t="str">
        <f t="shared" si="3"/>
        <v>-</v>
      </c>
      <c r="AA2" s="34" t="str">
        <f>IF(AA$3="-","-",IF(AA$3=H$3,H$2+1,1))</f>
        <v>-</v>
      </c>
      <c r="AB2" s="34" t="str">
        <f>IF(AB$3="-","-",IF(AB$3=I$3,I$2+1,1))</f>
        <v>-</v>
      </c>
      <c r="AC2" s="34" t="str">
        <f>IF(AC$3="-","-",IF(AC$3=J$3,J$2+1,1))</f>
        <v>-</v>
      </c>
      <c r="AD2" s="34" t="str">
        <f t="shared" ref="AD2:BT2" si="5">IF(AD$3="-","-",IF(AD$3=AC$3,AC$2+1,1))</f>
        <v>-</v>
      </c>
      <c r="AE2" s="34" t="str">
        <f t="shared" si="5"/>
        <v>-</v>
      </c>
      <c r="AF2" s="34" t="str">
        <f t="shared" si="5"/>
        <v>-</v>
      </c>
      <c r="AG2" s="34" t="str">
        <f t="shared" si="5"/>
        <v>-</v>
      </c>
      <c r="AH2" s="34" t="str">
        <f t="shared" si="5"/>
        <v>-</v>
      </c>
      <c r="AI2" s="34" t="str">
        <f t="shared" si="5"/>
        <v>-</v>
      </c>
      <c r="AJ2" s="34" t="str">
        <f t="shared" si="5"/>
        <v>-</v>
      </c>
      <c r="AK2" s="34" t="str">
        <f t="shared" si="5"/>
        <v>-</v>
      </c>
      <c r="AL2" s="34" t="str">
        <f t="shared" si="5"/>
        <v>-</v>
      </c>
      <c r="AM2" s="34" t="str">
        <f t="shared" si="5"/>
        <v>-</v>
      </c>
      <c r="AN2" s="34" t="str">
        <f t="shared" si="5"/>
        <v>-</v>
      </c>
      <c r="AO2" s="34" t="str">
        <f t="shared" si="5"/>
        <v>-</v>
      </c>
      <c r="AP2" s="34" t="str">
        <f t="shared" si="5"/>
        <v>-</v>
      </c>
      <c r="AQ2" s="34" t="str">
        <f t="shared" si="5"/>
        <v>-</v>
      </c>
      <c r="AR2" s="34" t="str">
        <f t="shared" si="5"/>
        <v>-</v>
      </c>
      <c r="AS2" s="34" t="str">
        <f t="shared" si="5"/>
        <v>-</v>
      </c>
      <c r="AT2" s="34" t="str">
        <f t="shared" si="5"/>
        <v>-</v>
      </c>
      <c r="AU2" s="34" t="str">
        <f t="shared" si="5"/>
        <v>-</v>
      </c>
      <c r="AV2" s="34" t="str">
        <f t="shared" si="5"/>
        <v>-</v>
      </c>
      <c r="AW2" s="34" t="str">
        <f t="shared" si="5"/>
        <v>-</v>
      </c>
      <c r="AX2" s="34" t="str">
        <f t="shared" si="5"/>
        <v>-</v>
      </c>
      <c r="AY2" s="34" t="str">
        <f t="shared" si="5"/>
        <v>-</v>
      </c>
      <c r="AZ2" s="34" t="str">
        <f t="shared" si="5"/>
        <v>-</v>
      </c>
      <c r="BA2" s="34" t="str">
        <f t="shared" si="5"/>
        <v>-</v>
      </c>
      <c r="BB2" s="34" t="str">
        <f t="shared" si="5"/>
        <v>-</v>
      </c>
      <c r="BC2" s="34" t="str">
        <f t="shared" si="5"/>
        <v>-</v>
      </c>
      <c r="BD2" s="34" t="str">
        <f t="shared" si="5"/>
        <v>-</v>
      </c>
      <c r="BE2" s="34" t="str">
        <f t="shared" si="5"/>
        <v>-</v>
      </c>
      <c r="BF2" s="34" t="str">
        <f t="shared" si="5"/>
        <v>-</v>
      </c>
      <c r="BG2" s="34" t="str">
        <f t="shared" si="5"/>
        <v>-</v>
      </c>
      <c r="BH2" s="34" t="str">
        <f t="shared" si="5"/>
        <v>-</v>
      </c>
      <c r="BI2" s="34" t="str">
        <f t="shared" si="5"/>
        <v>-</v>
      </c>
      <c r="BJ2" s="34" t="str">
        <f t="shared" si="5"/>
        <v>-</v>
      </c>
      <c r="BK2" s="34" t="str">
        <f t="shared" si="5"/>
        <v>-</v>
      </c>
      <c r="BL2" s="34" t="str">
        <f t="shared" si="5"/>
        <v>-</v>
      </c>
      <c r="BM2" s="34" t="str">
        <f t="shared" si="5"/>
        <v>-</v>
      </c>
      <c r="BN2" s="34" t="str">
        <f t="shared" si="5"/>
        <v>-</v>
      </c>
      <c r="BO2" s="34" t="str">
        <f t="shared" si="5"/>
        <v>-</v>
      </c>
      <c r="BP2" s="34" t="str">
        <f t="shared" si="5"/>
        <v>-</v>
      </c>
      <c r="BQ2" s="34" t="str">
        <f t="shared" si="5"/>
        <v>-</v>
      </c>
      <c r="BR2" s="34" t="str">
        <f t="shared" si="5"/>
        <v>-</v>
      </c>
      <c r="BS2" s="34" t="str">
        <f t="shared" si="5"/>
        <v>-</v>
      </c>
      <c r="BT2" s="34" t="str">
        <f t="shared" si="5"/>
        <v>-</v>
      </c>
      <c r="BU2" s="77"/>
    </row>
    <row r="3" spans="1:74" x14ac:dyDescent="0.3">
      <c r="A3" s="27" t="s">
        <v>144</v>
      </c>
      <c r="B3" s="50" t="str">
        <f t="shared" ref="B3:K3" si="6">IF(B$5="",A$3,IFERROR(MATCH(B$5,prodArrayNames,0),"-"))</f>
        <v>-</v>
      </c>
      <c r="C3" s="50" t="str">
        <f>IF(C$5="",B$3,IFERROR(MATCH(C$5,prodArrayNames,0),"-"))</f>
        <v>-</v>
      </c>
      <c r="D3" s="50" t="str">
        <f>IF(D$5="",C$3,IFERROR(MATCH(D$5,prodArrayNames,0),"-"))</f>
        <v>-</v>
      </c>
      <c r="E3" s="50" t="str">
        <f>IF(E$5="",D$3,IFERROR(MATCH(E$5,prodArrayNames,0),"-"))</f>
        <v>-</v>
      </c>
      <c r="F3" s="50" t="str">
        <f t="shared" si="6"/>
        <v>-</v>
      </c>
      <c r="G3" s="50" t="str">
        <f t="shared" si="6"/>
        <v>-</v>
      </c>
      <c r="H3" s="50" t="str">
        <f t="shared" si="6"/>
        <v>-</v>
      </c>
      <c r="I3" s="50" t="str">
        <f t="shared" si="6"/>
        <v>-</v>
      </c>
      <c r="J3" s="50" t="str">
        <f t="shared" si="6"/>
        <v>-</v>
      </c>
      <c r="K3" s="50" t="str">
        <f t="shared" si="6"/>
        <v>-</v>
      </c>
      <c r="L3" s="50" t="str">
        <f t="shared" ref="L3:Z3" si="7">IF(L$5="",K$3,IFERROR(MATCH(L$5,prodArrayNames,0),"-"))</f>
        <v>-</v>
      </c>
      <c r="M3" s="50" t="str">
        <f t="shared" si="7"/>
        <v>-</v>
      </c>
      <c r="N3" s="50" t="str">
        <f>IF(N$5="",M$3,IFERROR(MATCH(N$5,prodArrayNames,0),"-"))</f>
        <v>-</v>
      </c>
      <c r="O3" s="50" t="str">
        <f>IF(O$5="",N$3,IFERROR(MATCH(O$5,prodArrayNames,0),"-"))</f>
        <v>-</v>
      </c>
      <c r="P3" s="50" t="str">
        <f>IF(P$5="",O$3,IFERROR(MATCH(P$5,prodArrayNames,0),"-"))</f>
        <v>-</v>
      </c>
      <c r="Q3" s="50" t="str">
        <f>IF(Q$5="",P$3,IFERROR(MATCH(Q$5,prodArrayNames,0),"-"))</f>
        <v>-</v>
      </c>
      <c r="R3" s="50" t="str">
        <f>IF(R$5="",Q$3,IFERROR(MATCH(R$5,prodArrayNames,0),"-"))</f>
        <v>-</v>
      </c>
      <c r="S3" s="50" t="str">
        <f t="shared" si="7"/>
        <v>-</v>
      </c>
      <c r="T3" s="50" t="str">
        <f t="shared" si="7"/>
        <v>-</v>
      </c>
      <c r="U3" s="50" t="str">
        <f t="shared" si="7"/>
        <v>-</v>
      </c>
      <c r="V3" s="50" t="str">
        <f t="shared" si="7"/>
        <v>-</v>
      </c>
      <c r="W3" s="50" t="str">
        <f t="shared" si="7"/>
        <v>-</v>
      </c>
      <c r="X3" s="50" t="str">
        <f t="shared" si="7"/>
        <v>-</v>
      </c>
      <c r="Y3" s="50" t="str">
        <f t="shared" si="7"/>
        <v>-</v>
      </c>
      <c r="Z3" s="50" t="str">
        <f t="shared" si="7"/>
        <v>-</v>
      </c>
      <c r="AA3" s="50" t="str">
        <f>IF(AA$5="",H$3,IFERROR(MATCH(AA$5,prodArrayNames,0),"-"))</f>
        <v>-</v>
      </c>
      <c r="AB3" s="50" t="str">
        <f>IF(AB$5="",I$3,IFERROR(MATCH(AB$5,prodArrayNames,0),"-"))</f>
        <v>-</v>
      </c>
      <c r="AC3" s="50" t="str">
        <f>IF(AC$5="",J$3,IFERROR(MATCH(AC$5,prodArrayNames,0),"-"))</f>
        <v>-</v>
      </c>
      <c r="AD3" s="50" t="str">
        <f t="shared" ref="AD3:BT3" si="8">IF(AD$5="",AC$3,IFERROR(MATCH(AD$5,prodArrayNames,0),"-"))</f>
        <v>-</v>
      </c>
      <c r="AE3" s="50" t="str">
        <f t="shared" si="8"/>
        <v>-</v>
      </c>
      <c r="AF3" s="50" t="str">
        <f t="shared" si="8"/>
        <v>-</v>
      </c>
      <c r="AG3" s="50" t="str">
        <f t="shared" si="8"/>
        <v>-</v>
      </c>
      <c r="AH3" s="50" t="str">
        <f t="shared" si="8"/>
        <v>-</v>
      </c>
      <c r="AI3" s="50" t="str">
        <f t="shared" si="8"/>
        <v>-</v>
      </c>
      <c r="AJ3" s="50" t="str">
        <f t="shared" si="8"/>
        <v>-</v>
      </c>
      <c r="AK3" s="50" t="str">
        <f t="shared" si="8"/>
        <v>-</v>
      </c>
      <c r="AL3" s="50" t="str">
        <f t="shared" si="8"/>
        <v>-</v>
      </c>
      <c r="AM3" s="50" t="str">
        <f t="shared" si="8"/>
        <v>-</v>
      </c>
      <c r="AN3" s="50" t="str">
        <f t="shared" si="8"/>
        <v>-</v>
      </c>
      <c r="AO3" s="50" t="str">
        <f t="shared" si="8"/>
        <v>-</v>
      </c>
      <c r="AP3" s="50" t="str">
        <f t="shared" si="8"/>
        <v>-</v>
      </c>
      <c r="AQ3" s="50" t="str">
        <f t="shared" si="8"/>
        <v>-</v>
      </c>
      <c r="AR3" s="50" t="str">
        <f t="shared" si="8"/>
        <v>-</v>
      </c>
      <c r="AS3" s="50" t="str">
        <f t="shared" si="8"/>
        <v>-</v>
      </c>
      <c r="AT3" s="50" t="str">
        <f t="shared" si="8"/>
        <v>-</v>
      </c>
      <c r="AU3" s="50" t="str">
        <f t="shared" si="8"/>
        <v>-</v>
      </c>
      <c r="AV3" s="50" t="str">
        <f t="shared" si="8"/>
        <v>-</v>
      </c>
      <c r="AW3" s="50" t="str">
        <f t="shared" si="8"/>
        <v>-</v>
      </c>
      <c r="AX3" s="50" t="str">
        <f t="shared" si="8"/>
        <v>-</v>
      </c>
      <c r="AY3" s="50" t="str">
        <f t="shared" si="8"/>
        <v>-</v>
      </c>
      <c r="AZ3" s="50" t="str">
        <f t="shared" si="8"/>
        <v>-</v>
      </c>
      <c r="BA3" s="50" t="str">
        <f t="shared" si="8"/>
        <v>-</v>
      </c>
      <c r="BB3" s="50" t="str">
        <f t="shared" si="8"/>
        <v>-</v>
      </c>
      <c r="BC3" s="50" t="str">
        <f t="shared" si="8"/>
        <v>-</v>
      </c>
      <c r="BD3" s="50" t="str">
        <f t="shared" si="8"/>
        <v>-</v>
      </c>
      <c r="BE3" s="50" t="str">
        <f t="shared" si="8"/>
        <v>-</v>
      </c>
      <c r="BF3" s="50" t="str">
        <f t="shared" si="8"/>
        <v>-</v>
      </c>
      <c r="BG3" s="50" t="str">
        <f t="shared" si="8"/>
        <v>-</v>
      </c>
      <c r="BH3" s="50" t="str">
        <f t="shared" si="8"/>
        <v>-</v>
      </c>
      <c r="BI3" s="50" t="str">
        <f t="shared" si="8"/>
        <v>-</v>
      </c>
      <c r="BJ3" s="50" t="str">
        <f t="shared" si="8"/>
        <v>-</v>
      </c>
      <c r="BK3" s="50" t="str">
        <f t="shared" si="8"/>
        <v>-</v>
      </c>
      <c r="BL3" s="50" t="str">
        <f t="shared" si="8"/>
        <v>-</v>
      </c>
      <c r="BM3" s="50" t="str">
        <f t="shared" si="8"/>
        <v>-</v>
      </c>
      <c r="BN3" s="50" t="str">
        <f t="shared" si="8"/>
        <v>-</v>
      </c>
      <c r="BO3" s="50" t="str">
        <f t="shared" si="8"/>
        <v>-</v>
      </c>
      <c r="BP3" s="50" t="str">
        <f t="shared" si="8"/>
        <v>-</v>
      </c>
      <c r="BQ3" s="50" t="str">
        <f t="shared" si="8"/>
        <v>-</v>
      </c>
      <c r="BR3" s="50" t="str">
        <f t="shared" si="8"/>
        <v>-</v>
      </c>
      <c r="BS3" s="50" t="str">
        <f t="shared" si="8"/>
        <v>-</v>
      </c>
      <c r="BT3" s="50" t="str">
        <f t="shared" si="8"/>
        <v>-</v>
      </c>
      <c r="BU3" s="77"/>
    </row>
    <row r="4" spans="1:74" ht="14.4" thickBot="1" x14ac:dyDescent="0.35">
      <c r="A4" s="102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77"/>
    </row>
    <row r="5" spans="1:74" ht="22.5" customHeight="1" thickTop="1" x14ac:dyDescent="0.3">
      <c r="A5" s="28" t="s">
        <v>87</v>
      </c>
      <c r="B5" s="78" t="s">
        <v>1293</v>
      </c>
      <c r="C5" s="78"/>
      <c r="D5" s="78" t="s">
        <v>1341</v>
      </c>
      <c r="E5" s="78"/>
      <c r="F5" s="78" t="s">
        <v>1342</v>
      </c>
      <c r="G5" s="78"/>
      <c r="H5" s="78" t="s">
        <v>1349</v>
      </c>
      <c r="I5" s="78"/>
      <c r="J5" s="78" t="s">
        <v>1343</v>
      </c>
      <c r="K5" s="78"/>
      <c r="L5" s="78" t="s">
        <v>1371</v>
      </c>
      <c r="M5" s="78"/>
      <c r="N5" s="78" t="s">
        <v>1354</v>
      </c>
      <c r="O5" s="78"/>
      <c r="P5" s="78" t="s">
        <v>1359</v>
      </c>
      <c r="Q5" s="78"/>
      <c r="R5" s="78" t="s">
        <v>1355</v>
      </c>
      <c r="S5" s="78"/>
      <c r="T5" s="78" t="s">
        <v>1369</v>
      </c>
      <c r="U5" s="78"/>
      <c r="V5" s="78" t="s">
        <v>1365</v>
      </c>
      <c r="W5" s="78"/>
      <c r="X5" s="78" t="s">
        <v>1422</v>
      </c>
      <c r="Y5" s="78" t="s">
        <v>1423</v>
      </c>
      <c r="Z5" s="78" t="s">
        <v>1397</v>
      </c>
      <c r="AA5" s="78" t="s">
        <v>1424</v>
      </c>
      <c r="AB5" s="78"/>
      <c r="AC5" s="78"/>
      <c r="AD5" s="78" t="s">
        <v>28</v>
      </c>
      <c r="AE5" s="78" t="s">
        <v>28</v>
      </c>
      <c r="AF5" s="78" t="s">
        <v>28</v>
      </c>
      <c r="AG5" s="78" t="s">
        <v>28</v>
      </c>
      <c r="AH5" s="78" t="s">
        <v>28</v>
      </c>
      <c r="AI5" s="78" t="s">
        <v>28</v>
      </c>
      <c r="AJ5" s="78" t="s">
        <v>28</v>
      </c>
      <c r="AK5" s="78" t="s">
        <v>28</v>
      </c>
      <c r="AL5" s="78" t="s">
        <v>28</v>
      </c>
      <c r="AM5" s="78" t="s">
        <v>28</v>
      </c>
      <c r="AN5" s="78" t="s">
        <v>28</v>
      </c>
      <c r="AO5" s="78" t="s">
        <v>28</v>
      </c>
      <c r="AP5" s="78" t="s">
        <v>28</v>
      </c>
      <c r="AQ5" s="78" t="s">
        <v>28</v>
      </c>
      <c r="AR5" s="78" t="s">
        <v>28</v>
      </c>
      <c r="AS5" s="78" t="s">
        <v>28</v>
      </c>
      <c r="AT5" s="78" t="s">
        <v>28</v>
      </c>
      <c r="AU5" s="78" t="s">
        <v>28</v>
      </c>
      <c r="AV5" s="78" t="s">
        <v>28</v>
      </c>
      <c r="AW5" s="78" t="s">
        <v>28</v>
      </c>
      <c r="AX5" s="78" t="s">
        <v>28</v>
      </c>
      <c r="AY5" s="78" t="s">
        <v>28</v>
      </c>
      <c r="AZ5" s="78" t="s">
        <v>28</v>
      </c>
      <c r="BA5" s="78" t="s">
        <v>28</v>
      </c>
      <c r="BB5" s="78" t="s">
        <v>28</v>
      </c>
      <c r="BC5" s="78" t="s">
        <v>28</v>
      </c>
      <c r="BD5" s="78" t="s">
        <v>28</v>
      </c>
      <c r="BE5" s="78" t="s">
        <v>28</v>
      </c>
      <c r="BF5" s="78" t="s">
        <v>28</v>
      </c>
      <c r="BG5" s="78" t="s">
        <v>28</v>
      </c>
      <c r="BH5" s="78" t="s">
        <v>28</v>
      </c>
      <c r="BI5" s="78" t="s">
        <v>28</v>
      </c>
      <c r="BJ5" s="78" t="s">
        <v>28</v>
      </c>
      <c r="BK5" s="78" t="s">
        <v>28</v>
      </c>
      <c r="BL5" s="78" t="s">
        <v>28</v>
      </c>
      <c r="BM5" s="78" t="s">
        <v>28</v>
      </c>
      <c r="BN5" s="78" t="s">
        <v>28</v>
      </c>
      <c r="BO5" s="78" t="s">
        <v>28</v>
      </c>
      <c r="BP5" s="78" t="s">
        <v>28</v>
      </c>
      <c r="BQ5" s="78" t="s">
        <v>28</v>
      </c>
      <c r="BR5" s="78" t="s">
        <v>28</v>
      </c>
      <c r="BS5" s="78" t="s">
        <v>28</v>
      </c>
      <c r="BT5" s="78" t="s">
        <v>233</v>
      </c>
      <c r="BU5" s="77" t="s">
        <v>145</v>
      </c>
      <c r="BV5" s="15"/>
    </row>
    <row r="6" spans="1:74" ht="22.5" customHeight="1" x14ac:dyDescent="0.3">
      <c r="A6" s="28" t="s">
        <v>13</v>
      </c>
      <c r="B6" s="17" t="s">
        <v>1255</v>
      </c>
      <c r="C6" s="17" t="s">
        <v>1366</v>
      </c>
      <c r="D6" s="17" t="s">
        <v>121</v>
      </c>
      <c r="E6" s="17" t="s">
        <v>133</v>
      </c>
      <c r="F6" s="17" t="s">
        <v>121</v>
      </c>
      <c r="G6" s="17" t="s">
        <v>133</v>
      </c>
      <c r="H6" s="17" t="s">
        <v>102</v>
      </c>
      <c r="I6" s="17" t="s">
        <v>1351</v>
      </c>
      <c r="J6" s="17" t="s">
        <v>19</v>
      </c>
      <c r="K6" s="17" t="s">
        <v>1345</v>
      </c>
      <c r="L6" s="17" t="s">
        <v>84</v>
      </c>
      <c r="M6" s="17" t="s">
        <v>1352</v>
      </c>
      <c r="N6" s="226">
        <f>3</f>
        <v>3</v>
      </c>
      <c r="O6" s="226" t="s">
        <v>1427</v>
      </c>
      <c r="P6" s="226">
        <f>3</f>
        <v>3</v>
      </c>
      <c r="Q6" s="226" t="s">
        <v>1427</v>
      </c>
      <c r="R6" s="17" t="s">
        <v>1255</v>
      </c>
      <c r="S6" s="17" t="s">
        <v>425</v>
      </c>
      <c r="T6" s="17" t="s">
        <v>1255</v>
      </c>
      <c r="U6" s="17" t="s">
        <v>425</v>
      </c>
      <c r="V6" s="17" t="s">
        <v>1255</v>
      </c>
      <c r="W6" s="17" t="s">
        <v>425</v>
      </c>
      <c r="X6" s="17" t="s">
        <v>1381</v>
      </c>
      <c r="Y6" s="17" t="s">
        <v>1387</v>
      </c>
      <c r="Z6" s="17" t="s">
        <v>1255</v>
      </c>
      <c r="AA6" s="17">
        <v>0</v>
      </c>
      <c r="AB6" s="17" t="s">
        <v>1366</v>
      </c>
      <c r="AC6" s="17">
        <v>4</v>
      </c>
      <c r="BT6" s="17">
        <v>0</v>
      </c>
      <c r="BU6" s="77" t="s">
        <v>89</v>
      </c>
    </row>
    <row r="7" spans="1:74" ht="22.5" customHeight="1" x14ac:dyDescent="0.3">
      <c r="A7" s="28"/>
      <c r="B7" s="17" t="s">
        <v>1337</v>
      </c>
      <c r="C7" s="17" t="s">
        <v>1339</v>
      </c>
      <c r="D7" s="17" t="s">
        <v>1252</v>
      </c>
      <c r="E7" s="17" t="s">
        <v>1246</v>
      </c>
      <c r="F7" s="17" t="s">
        <v>1255</v>
      </c>
      <c r="G7" s="17" t="s">
        <v>1256</v>
      </c>
      <c r="H7" s="17" t="s">
        <v>103</v>
      </c>
      <c r="I7" s="17" t="s">
        <v>1350</v>
      </c>
      <c r="J7" s="17" t="s">
        <v>1344</v>
      </c>
      <c r="K7" s="17" t="s">
        <v>615</v>
      </c>
      <c r="L7" s="17" t="s">
        <v>19</v>
      </c>
      <c r="M7" s="17" t="s">
        <v>1353</v>
      </c>
      <c r="N7" s="226">
        <v>4</v>
      </c>
      <c r="O7" s="226" t="s">
        <v>1428</v>
      </c>
      <c r="P7" s="226">
        <v>4</v>
      </c>
      <c r="Q7" s="226" t="s">
        <v>1432</v>
      </c>
      <c r="R7" s="17" t="s">
        <v>1356</v>
      </c>
      <c r="S7" s="17" t="s">
        <v>1437</v>
      </c>
      <c r="T7" s="17" t="s">
        <v>1356</v>
      </c>
      <c r="U7" s="17" t="s">
        <v>1437</v>
      </c>
      <c r="V7" s="17" t="s">
        <v>1247</v>
      </c>
      <c r="W7" s="17" t="s">
        <v>1311</v>
      </c>
      <c r="X7" s="17" t="s">
        <v>1382</v>
      </c>
      <c r="Y7" s="17" t="s">
        <v>1388</v>
      </c>
      <c r="Z7" s="17" t="s">
        <v>1405</v>
      </c>
      <c r="AA7" s="17">
        <v>1</v>
      </c>
      <c r="AB7" s="17" t="s">
        <v>1834</v>
      </c>
      <c r="AC7" s="17">
        <v>1</v>
      </c>
      <c r="BT7" s="17">
        <v>1</v>
      </c>
      <c r="BU7" s="33"/>
    </row>
    <row r="8" spans="1:74" ht="22.5" customHeight="1" x14ac:dyDescent="0.3">
      <c r="B8" s="17" t="s">
        <v>1856</v>
      </c>
      <c r="C8" s="17" t="s">
        <v>1839</v>
      </c>
      <c r="D8" s="17" t="s">
        <v>1253</v>
      </c>
      <c r="E8" s="17" t="s">
        <v>1250</v>
      </c>
      <c r="F8" s="17" t="s">
        <v>84</v>
      </c>
      <c r="G8" s="17" t="s">
        <v>1262</v>
      </c>
      <c r="H8" s="17" t="s">
        <v>1859</v>
      </c>
      <c r="I8" s="17" t="s">
        <v>1500</v>
      </c>
      <c r="J8" s="17" t="s">
        <v>48</v>
      </c>
      <c r="K8" s="17" t="s">
        <v>1860</v>
      </c>
      <c r="N8" s="226">
        <v>5</v>
      </c>
      <c r="O8" s="226" t="s">
        <v>1429</v>
      </c>
      <c r="P8" s="226">
        <v>5</v>
      </c>
      <c r="Q8" s="226" t="s">
        <v>1429</v>
      </c>
      <c r="R8" s="17" t="s">
        <v>1249</v>
      </c>
      <c r="S8" s="17" t="s">
        <v>1818</v>
      </c>
      <c r="T8" s="17" t="s">
        <v>1249</v>
      </c>
      <c r="U8" s="17" t="str">
        <f>S8</f>
        <v>elektromechanisch</v>
      </c>
      <c r="V8" s="17" t="s">
        <v>1248</v>
      </c>
      <c r="W8" s="17" t="s">
        <v>1307</v>
      </c>
      <c r="X8" s="17" t="s">
        <v>1383</v>
      </c>
      <c r="Y8" s="17" t="s">
        <v>1389</v>
      </c>
      <c r="Z8" s="17" t="s">
        <v>1406</v>
      </c>
      <c r="AA8" s="17">
        <v>2</v>
      </c>
      <c r="AB8" s="17" t="s">
        <v>1835</v>
      </c>
      <c r="AC8" s="17">
        <v>4</v>
      </c>
      <c r="BT8" s="17">
        <v>2</v>
      </c>
      <c r="BU8" s="33"/>
    </row>
    <row r="9" spans="1:74" ht="22.5" customHeight="1" x14ac:dyDescent="0.3">
      <c r="B9" s="17" t="s">
        <v>1338</v>
      </c>
      <c r="C9" s="17" t="s">
        <v>1340</v>
      </c>
      <c r="D9" s="17" t="s">
        <v>1254</v>
      </c>
      <c r="E9" s="17" t="s">
        <v>1251</v>
      </c>
      <c r="F9" s="17" t="s">
        <v>1267</v>
      </c>
      <c r="G9" s="17" t="s">
        <v>1266</v>
      </c>
      <c r="N9" s="226">
        <v>6</v>
      </c>
      <c r="O9" s="226" t="s">
        <v>1430</v>
      </c>
      <c r="P9" s="226">
        <v>6</v>
      </c>
      <c r="Q9" s="226" t="s">
        <v>1430</v>
      </c>
      <c r="R9" s="17" t="s">
        <v>442</v>
      </c>
      <c r="S9" s="17" t="s">
        <v>1819</v>
      </c>
      <c r="X9" s="17" t="s">
        <v>1384</v>
      </c>
      <c r="Y9" s="17" t="s">
        <v>1390</v>
      </c>
      <c r="AA9" s="17">
        <v>3</v>
      </c>
      <c r="AB9" s="17" t="s">
        <v>1836</v>
      </c>
      <c r="AC9" s="17">
        <v>3</v>
      </c>
      <c r="BT9" s="17">
        <v>3</v>
      </c>
    </row>
    <row r="10" spans="1:74" ht="22.5" customHeight="1" x14ac:dyDescent="0.3">
      <c r="D10" s="17" t="s">
        <v>1278</v>
      </c>
      <c r="E10" s="17" t="s">
        <v>1279</v>
      </c>
      <c r="F10" s="17" t="s">
        <v>1257</v>
      </c>
      <c r="G10" s="17" t="s">
        <v>1258</v>
      </c>
      <c r="N10" s="226">
        <v>7</v>
      </c>
      <c r="O10" s="226" t="s">
        <v>1431</v>
      </c>
      <c r="P10" s="226">
        <v>7</v>
      </c>
      <c r="Q10" s="226" t="s">
        <v>1431</v>
      </c>
      <c r="R10" s="17" t="s">
        <v>48</v>
      </c>
      <c r="S10" s="17" t="s">
        <v>1820</v>
      </c>
      <c r="X10" s="17" t="s">
        <v>1385</v>
      </c>
      <c r="Y10" s="17" t="s">
        <v>1391</v>
      </c>
      <c r="AA10" s="17">
        <f>1+2+4</f>
        <v>7</v>
      </c>
      <c r="AB10" s="17" t="s">
        <v>1426</v>
      </c>
      <c r="AC10" s="17">
        <v>2</v>
      </c>
      <c r="BT10" s="17">
        <v>4</v>
      </c>
    </row>
    <row r="11" spans="1:74" ht="22.5" customHeight="1" x14ac:dyDescent="0.3">
      <c r="F11" s="17" t="s">
        <v>1247</v>
      </c>
      <c r="G11" s="17" t="s">
        <v>1259</v>
      </c>
      <c r="N11" s="226"/>
      <c r="O11" s="226"/>
      <c r="P11" s="226"/>
      <c r="Q11" s="226"/>
      <c r="X11" s="17" t="s">
        <v>1386</v>
      </c>
      <c r="Y11" s="17" t="s">
        <v>1392</v>
      </c>
      <c r="BT11" s="17">
        <v>5</v>
      </c>
    </row>
    <row r="12" spans="1:74" ht="22.5" customHeight="1" x14ac:dyDescent="0.3">
      <c r="F12" s="17" t="s">
        <v>1260</v>
      </c>
      <c r="G12" s="17" t="s">
        <v>1261</v>
      </c>
      <c r="N12" s="226"/>
      <c r="O12" s="226"/>
      <c r="P12" s="226"/>
      <c r="Q12" s="226"/>
      <c r="BT12" s="17">
        <v>6</v>
      </c>
    </row>
    <row r="13" spans="1:74" ht="22.5" customHeight="1" x14ac:dyDescent="0.3">
      <c r="F13" s="17" t="s">
        <v>29</v>
      </c>
      <c r="G13" s="17" t="s">
        <v>1265</v>
      </c>
      <c r="BT13" s="17">
        <v>7</v>
      </c>
    </row>
    <row r="14" spans="1:74" ht="22.5" customHeight="1" x14ac:dyDescent="0.3">
      <c r="F14" s="17" t="s">
        <v>1249</v>
      </c>
      <c r="G14" s="17" t="s">
        <v>1263</v>
      </c>
      <c r="BT14" s="17">
        <v>8</v>
      </c>
    </row>
    <row r="15" spans="1:74" ht="22.5" customHeight="1" x14ac:dyDescent="0.3">
      <c r="F15" s="17" t="s">
        <v>61</v>
      </c>
      <c r="G15" s="17" t="s">
        <v>1264</v>
      </c>
    </row>
    <row r="16" spans="1:74" ht="22.5" customHeight="1" x14ac:dyDescent="0.3">
      <c r="F16" s="17" t="s">
        <v>1280</v>
      </c>
      <c r="G16" s="17" t="s">
        <v>1445</v>
      </c>
    </row>
    <row r="17" ht="22.5" customHeight="1" x14ac:dyDescent="0.3"/>
    <row r="18" ht="22.5" customHeight="1" x14ac:dyDescent="0.3"/>
    <row r="19" ht="22.5" customHeight="1" x14ac:dyDescent="0.3"/>
    <row r="20" ht="22.5" customHeight="1" x14ac:dyDescent="0.3"/>
    <row r="21" ht="22.5" customHeight="1" x14ac:dyDescent="0.3"/>
    <row r="22" ht="22.5" customHeight="1" x14ac:dyDescent="0.3"/>
    <row r="23" ht="22.5" customHeight="1" x14ac:dyDescent="0.3"/>
    <row r="24" ht="22.5" customHeight="1" x14ac:dyDescent="0.3"/>
    <row r="25" ht="22.5" customHeight="1" x14ac:dyDescent="0.3"/>
    <row r="26" ht="22.5" customHeight="1" x14ac:dyDescent="0.3"/>
    <row r="27" ht="22.5" customHeight="1" x14ac:dyDescent="0.3"/>
    <row r="28" ht="22.5" customHeight="1" x14ac:dyDescent="0.3"/>
    <row r="29" ht="22.5" customHeight="1" x14ac:dyDescent="0.3"/>
    <row r="30" ht="22.5" customHeight="1" x14ac:dyDescent="0.3"/>
    <row r="31" ht="22.5" customHeight="1" x14ac:dyDescent="0.3"/>
    <row r="32" ht="22.5" customHeight="1" x14ac:dyDescent="0.3"/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72" ht="14.4" thickTop="1" x14ac:dyDescent="0.3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6"/>
    </row>
  </sheetData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83"/>
  <sheetViews>
    <sheetView zoomScale="110" zoomScaleNormal="110" workbookViewId="0">
      <selection sqref="A1:XFD1048576"/>
    </sheetView>
  </sheetViews>
  <sheetFormatPr baseColWidth="10" defaultRowHeight="14.4" x14ac:dyDescent="0.3"/>
  <cols>
    <col min="1" max="1" width="14.33203125" customWidth="1"/>
    <col min="2" max="2" width="8.33203125" style="85" customWidth="1"/>
    <col min="3" max="4" width="38.109375" customWidth="1"/>
  </cols>
  <sheetData>
    <row r="1" spans="1:5" s="87" customFormat="1" ht="25.8" x14ac:dyDescent="0.5">
      <c r="A1" s="88" t="s">
        <v>158</v>
      </c>
      <c r="B1" s="90"/>
      <c r="C1" s="87" t="s">
        <v>157</v>
      </c>
    </row>
    <row r="2" spans="1:5" s="87" customFormat="1" x14ac:dyDescent="0.3">
      <c r="B2" s="90"/>
      <c r="C2" s="106" t="s">
        <v>168</v>
      </c>
      <c r="D2" s="106" t="s">
        <v>1916</v>
      </c>
    </row>
    <row r="3" spans="1:5" s="91" customFormat="1" x14ac:dyDescent="0.3">
      <c r="A3" s="103" t="s">
        <v>166</v>
      </c>
      <c r="B3" s="104" t="s">
        <v>167</v>
      </c>
      <c r="C3" s="105">
        <v>1</v>
      </c>
      <c r="D3" s="105">
        <v>4</v>
      </c>
    </row>
    <row r="4" spans="1:5" s="92" customFormat="1" ht="15.6" x14ac:dyDescent="0.3">
      <c r="A4" s="94" t="str">
        <f>"! --- "&amp;INDEX(MLtextDivisions,1)</f>
        <v>! --- User Interface - UI_xxxFIELD text</v>
      </c>
      <c r="B4" s="93"/>
    </row>
    <row r="5" spans="1:5" x14ac:dyDescent="0.3">
      <c r="A5" s="97" t="s">
        <v>1935</v>
      </c>
      <c r="B5" s="399">
        <v>1</v>
      </c>
      <c r="C5" t="s">
        <v>1941</v>
      </c>
      <c r="D5" t="s">
        <v>1980</v>
      </c>
      <c r="E5" s="400" t="str">
        <f t="shared" ref="E5:E12" si="0">IF(LEN($C5)-LEN(D5)&lt;0,TEXT(LEN(D5)/LEN($C5),"0 %")&amp;" ("&amp;LEN(D5)-LEN($C5)&amp;")","")</f>
        <v>118 % (2)</v>
      </c>
    </row>
    <row r="6" spans="1:5" x14ac:dyDescent="0.3">
      <c r="A6" s="97" t="s">
        <v>1935</v>
      </c>
      <c r="B6" s="399">
        <v>2</v>
      </c>
      <c r="C6" t="s">
        <v>1942</v>
      </c>
      <c r="D6" t="s">
        <v>1942</v>
      </c>
      <c r="E6" s="400" t="str">
        <f t="shared" si="0"/>
        <v/>
      </c>
    </row>
    <row r="7" spans="1:5" x14ac:dyDescent="0.3">
      <c r="A7" s="97" t="s">
        <v>1935</v>
      </c>
      <c r="B7" s="399">
        <v>3</v>
      </c>
      <c r="C7" t="s">
        <v>1943</v>
      </c>
      <c r="D7" t="s">
        <v>1981</v>
      </c>
      <c r="E7" s="400" t="str">
        <f t="shared" si="0"/>
        <v>125 % (1)</v>
      </c>
    </row>
    <row r="8" spans="1:5" x14ac:dyDescent="0.3">
      <c r="A8" s="97" t="s">
        <v>1935</v>
      </c>
      <c r="B8" s="399">
        <v>4</v>
      </c>
      <c r="C8" t="s">
        <v>1944</v>
      </c>
      <c r="D8" t="s">
        <v>1944</v>
      </c>
      <c r="E8" s="400" t="str">
        <f t="shared" si="0"/>
        <v/>
      </c>
    </row>
    <row r="9" spans="1:5" x14ac:dyDescent="0.3">
      <c r="A9" s="97" t="s">
        <v>1935</v>
      </c>
      <c r="B9" s="399">
        <v>5</v>
      </c>
      <c r="C9" t="s">
        <v>1945</v>
      </c>
      <c r="D9" t="s">
        <v>1945</v>
      </c>
      <c r="E9" s="400" t="str">
        <f t="shared" si="0"/>
        <v/>
      </c>
    </row>
    <row r="10" spans="1:5" x14ac:dyDescent="0.3">
      <c r="A10" s="97" t="s">
        <v>1935</v>
      </c>
      <c r="B10" s="399">
        <v>6</v>
      </c>
      <c r="C10" t="s">
        <v>1946</v>
      </c>
      <c r="D10" t="s">
        <v>1946</v>
      </c>
      <c r="E10" s="400" t="str">
        <f t="shared" si="0"/>
        <v/>
      </c>
    </row>
    <row r="11" spans="1:5" x14ac:dyDescent="0.3">
      <c r="A11" s="97" t="s">
        <v>1935</v>
      </c>
      <c r="B11" s="399">
        <v>7</v>
      </c>
      <c r="C11" t="s">
        <v>1947</v>
      </c>
      <c r="D11" t="s">
        <v>1947</v>
      </c>
      <c r="E11" s="400" t="str">
        <f t="shared" si="0"/>
        <v/>
      </c>
    </row>
    <row r="12" spans="1:5" x14ac:dyDescent="0.3">
      <c r="A12" s="97" t="s">
        <v>1935</v>
      </c>
      <c r="B12" s="399">
        <v>8</v>
      </c>
      <c r="C12" t="s">
        <v>1936</v>
      </c>
      <c r="D12" t="s">
        <v>1937</v>
      </c>
      <c r="E12" s="400" t="str">
        <f t="shared" si="0"/>
        <v/>
      </c>
    </row>
    <row r="13" spans="1:5" x14ac:dyDescent="0.3">
      <c r="A13" s="97" t="s">
        <v>1935</v>
      </c>
      <c r="B13" s="399">
        <v>9</v>
      </c>
      <c r="C13" t="s">
        <v>1938</v>
      </c>
      <c r="D13" t="s">
        <v>1939</v>
      </c>
      <c r="E13" s="400" t="str">
        <f>IF(LEN($C13)-LEN(D13)&lt;0,TEXT(LEN(D13)/LEN($C13),"0 %")&amp;" ("&amp;LEN(D13)-LEN($C13)&amp;")","")</f>
        <v>109 % (2)</v>
      </c>
    </row>
    <row r="14" spans="1:5" x14ac:dyDescent="0.3">
      <c r="A14" s="97" t="s">
        <v>1935</v>
      </c>
      <c r="B14" s="399">
        <v>10</v>
      </c>
      <c r="C14" t="s">
        <v>1948</v>
      </c>
      <c r="D14" t="s">
        <v>1982</v>
      </c>
      <c r="E14" s="400" t="str">
        <f t="shared" ref="E14:E68" si="1">IF(LEN($C14)-LEN(D14)&lt;0,TEXT(LEN(D14)/LEN($C14),"0 %")&amp;" ("&amp;LEN(D14)-LEN($C14)&amp;")","")</f>
        <v/>
      </c>
    </row>
    <row r="15" spans="1:5" x14ac:dyDescent="0.3">
      <c r="A15" s="97" t="s">
        <v>1935</v>
      </c>
      <c r="B15" s="399">
        <v>11</v>
      </c>
      <c r="C15" t="s">
        <v>1949</v>
      </c>
      <c r="D15" t="s">
        <v>1983</v>
      </c>
      <c r="E15" s="400" t="str">
        <f t="shared" si="1"/>
        <v/>
      </c>
    </row>
    <row r="16" spans="1:5" x14ac:dyDescent="0.3">
      <c r="A16" s="97" t="s">
        <v>1935</v>
      </c>
      <c r="B16" s="399">
        <v>12</v>
      </c>
      <c r="C16" t="s">
        <v>1950</v>
      </c>
      <c r="D16" t="s">
        <v>1984</v>
      </c>
      <c r="E16" s="400" t="str">
        <f t="shared" si="1"/>
        <v>113 % (1)</v>
      </c>
    </row>
    <row r="17" spans="1:5" x14ac:dyDescent="0.3">
      <c r="A17" s="97" t="s">
        <v>1935</v>
      </c>
      <c r="B17" s="399">
        <v>13</v>
      </c>
      <c r="C17" t="s">
        <v>1951</v>
      </c>
      <c r="D17" t="s">
        <v>1985</v>
      </c>
      <c r="E17" s="400" t="str">
        <f t="shared" si="1"/>
        <v>125 % (3)</v>
      </c>
    </row>
    <row r="18" spans="1:5" x14ac:dyDescent="0.3">
      <c r="A18" s="97" t="s">
        <v>1935</v>
      </c>
      <c r="B18" s="399">
        <v>14</v>
      </c>
      <c r="C18" t="s">
        <v>1952</v>
      </c>
      <c r="D18" t="s">
        <v>1986</v>
      </c>
      <c r="E18" s="400" t="str">
        <f t="shared" si="1"/>
        <v>120 % (3)</v>
      </c>
    </row>
    <row r="19" spans="1:5" x14ac:dyDescent="0.3">
      <c r="A19" s="97" t="s">
        <v>1935</v>
      </c>
      <c r="B19" s="399">
        <v>15</v>
      </c>
      <c r="C19" t="s">
        <v>1953</v>
      </c>
      <c r="D19" t="s">
        <v>1987</v>
      </c>
      <c r="E19" s="400" t="str">
        <f t="shared" si="1"/>
        <v>120 % (3)</v>
      </c>
    </row>
    <row r="20" spans="1:5" x14ac:dyDescent="0.3">
      <c r="A20" s="97" t="s">
        <v>1935</v>
      </c>
      <c r="B20" s="399">
        <v>16</v>
      </c>
      <c r="C20" t="s">
        <v>1954</v>
      </c>
      <c r="D20" t="s">
        <v>1954</v>
      </c>
      <c r="E20" s="400" t="str">
        <f t="shared" si="1"/>
        <v/>
      </c>
    </row>
    <row r="21" spans="1:5" x14ac:dyDescent="0.3">
      <c r="A21" s="97" t="s">
        <v>1935</v>
      </c>
      <c r="B21" s="399">
        <v>17</v>
      </c>
      <c r="C21" t="s">
        <v>1955</v>
      </c>
      <c r="D21" t="s">
        <v>1955</v>
      </c>
      <c r="E21" s="400" t="str">
        <f t="shared" si="1"/>
        <v/>
      </c>
    </row>
    <row r="22" spans="1:5" x14ac:dyDescent="0.3">
      <c r="A22" s="97" t="s">
        <v>1935</v>
      </c>
      <c r="B22" s="399">
        <v>18</v>
      </c>
      <c r="C22" t="s">
        <v>1956</v>
      </c>
      <c r="D22" t="s">
        <v>1988</v>
      </c>
      <c r="E22" s="400" t="str">
        <f t="shared" si="1"/>
        <v/>
      </c>
    </row>
    <row r="23" spans="1:5" x14ac:dyDescent="0.3">
      <c r="A23" s="97" t="s">
        <v>1935</v>
      </c>
      <c r="B23" s="399">
        <v>19</v>
      </c>
      <c r="C23" t="s">
        <v>1957</v>
      </c>
      <c r="D23" t="s">
        <v>1989</v>
      </c>
      <c r="E23" s="400" t="str">
        <f t="shared" si="1"/>
        <v/>
      </c>
    </row>
    <row r="24" spans="1:5" x14ac:dyDescent="0.3">
      <c r="A24" s="97" t="s">
        <v>1935</v>
      </c>
      <c r="B24" s="399">
        <v>20</v>
      </c>
      <c r="C24" t="s">
        <v>1958</v>
      </c>
      <c r="D24" t="s">
        <v>1958</v>
      </c>
      <c r="E24" s="400" t="str">
        <f t="shared" si="1"/>
        <v/>
      </c>
    </row>
    <row r="25" spans="1:5" x14ac:dyDescent="0.3">
      <c r="A25" s="97" t="s">
        <v>1935</v>
      </c>
      <c r="B25" s="399">
        <v>21</v>
      </c>
      <c r="C25" t="s">
        <v>1959</v>
      </c>
      <c r="D25" t="s">
        <v>1959</v>
      </c>
      <c r="E25" s="400" t="str">
        <f t="shared" si="1"/>
        <v/>
      </c>
    </row>
    <row r="26" spans="1:5" x14ac:dyDescent="0.3">
      <c r="A26" s="97" t="s">
        <v>1935</v>
      </c>
      <c r="B26" s="399">
        <v>22</v>
      </c>
      <c r="C26" t="s">
        <v>1960</v>
      </c>
      <c r="D26" t="s">
        <v>1960</v>
      </c>
      <c r="E26" s="400" t="str">
        <f t="shared" si="1"/>
        <v/>
      </c>
    </row>
    <row r="27" spans="1:5" x14ac:dyDescent="0.3">
      <c r="A27" s="97" t="s">
        <v>1935</v>
      </c>
      <c r="B27" s="399">
        <v>23</v>
      </c>
      <c r="C27" t="s">
        <v>1961</v>
      </c>
      <c r="D27" t="s">
        <v>1961</v>
      </c>
      <c r="E27" s="400" t="str">
        <f t="shared" si="1"/>
        <v/>
      </c>
    </row>
    <row r="28" spans="1:5" x14ac:dyDescent="0.3">
      <c r="A28" s="97" t="s">
        <v>1935</v>
      </c>
      <c r="B28" s="399">
        <v>24</v>
      </c>
      <c r="C28" t="s">
        <v>1962</v>
      </c>
      <c r="D28" t="s">
        <v>1962</v>
      </c>
      <c r="E28" s="400" t="str">
        <f t="shared" si="1"/>
        <v/>
      </c>
    </row>
    <row r="29" spans="1:5" x14ac:dyDescent="0.3">
      <c r="A29" s="97" t="s">
        <v>1935</v>
      </c>
      <c r="B29" s="399">
        <v>25</v>
      </c>
      <c r="C29" t="s">
        <v>1940</v>
      </c>
      <c r="D29" t="s">
        <v>1940</v>
      </c>
      <c r="E29" s="400" t="str">
        <f t="shared" si="1"/>
        <v/>
      </c>
    </row>
    <row r="30" spans="1:5" x14ac:dyDescent="0.3">
      <c r="A30" s="97" t="s">
        <v>1935</v>
      </c>
      <c r="B30" s="399">
        <v>26</v>
      </c>
      <c r="C30" t="s">
        <v>1963</v>
      </c>
      <c r="D30" t="s">
        <v>1963</v>
      </c>
      <c r="E30" s="400" t="str">
        <f t="shared" si="1"/>
        <v/>
      </c>
    </row>
    <row r="31" spans="1:5" ht="15.6" x14ac:dyDescent="0.3">
      <c r="A31" s="95" t="str">
        <f>"! --- "&amp;INDEX(MLtextDivisions,2)</f>
        <v>! --- User Interface - Tooltip text</v>
      </c>
      <c r="E31" s="400" t="str">
        <f t="shared" si="1"/>
        <v/>
      </c>
    </row>
    <row r="32" spans="1:5" s="98" customFormat="1" x14ac:dyDescent="0.3">
      <c r="A32" s="97" t="s">
        <v>1964</v>
      </c>
      <c r="B32" s="97">
        <v>1</v>
      </c>
      <c r="C32" s="98" t="s">
        <v>1336</v>
      </c>
      <c r="D32" s="98" t="s">
        <v>1336</v>
      </c>
      <c r="E32" s="400" t="str">
        <f t="shared" si="1"/>
        <v/>
      </c>
    </row>
    <row r="33" spans="1:5" s="98" customFormat="1" x14ac:dyDescent="0.3">
      <c r="A33" s="97" t="s">
        <v>1964</v>
      </c>
      <c r="B33" s="97">
        <v>2</v>
      </c>
      <c r="C33" s="98" t="s">
        <v>1360</v>
      </c>
      <c r="D33" s="98" t="s">
        <v>1360</v>
      </c>
      <c r="E33" s="400" t="str">
        <f t="shared" si="1"/>
        <v/>
      </c>
    </row>
    <row r="34" spans="1:5" s="98" customFormat="1" x14ac:dyDescent="0.3">
      <c r="A34" s="97" t="s">
        <v>1964</v>
      </c>
      <c r="B34" s="97">
        <v>3</v>
      </c>
      <c r="C34" s="98" t="s">
        <v>1346</v>
      </c>
      <c r="D34" s="98" t="s">
        <v>1346</v>
      </c>
      <c r="E34" s="400" t="str">
        <f t="shared" si="1"/>
        <v/>
      </c>
    </row>
    <row r="35" spans="1:5" s="98" customFormat="1" x14ac:dyDescent="0.3">
      <c r="A35" s="97" t="s">
        <v>1964</v>
      </c>
      <c r="B35" s="97">
        <v>4</v>
      </c>
      <c r="C35" s="98" t="s">
        <v>1347</v>
      </c>
      <c r="D35" s="98" t="s">
        <v>1347</v>
      </c>
      <c r="E35" s="400" t="str">
        <f t="shared" si="1"/>
        <v/>
      </c>
    </row>
    <row r="36" spans="1:5" s="98" customFormat="1" x14ac:dyDescent="0.3">
      <c r="A36" s="97" t="s">
        <v>1964</v>
      </c>
      <c r="B36" s="97">
        <v>5</v>
      </c>
      <c r="C36" s="98" t="s">
        <v>1404</v>
      </c>
      <c r="D36" s="98" t="s">
        <v>1404</v>
      </c>
      <c r="E36" s="400" t="str">
        <f t="shared" si="1"/>
        <v/>
      </c>
    </row>
    <row r="37" spans="1:5" s="98" customFormat="1" x14ac:dyDescent="0.3">
      <c r="A37" s="97" t="s">
        <v>1964</v>
      </c>
      <c r="B37" s="97">
        <v>6</v>
      </c>
      <c r="C37" s="98" t="s">
        <v>1965</v>
      </c>
      <c r="D37" s="98" t="s">
        <v>1965</v>
      </c>
      <c r="E37" s="400" t="str">
        <f t="shared" si="1"/>
        <v/>
      </c>
    </row>
    <row r="38" spans="1:5" s="98" customFormat="1" x14ac:dyDescent="0.3">
      <c r="A38" s="97" t="s">
        <v>1964</v>
      </c>
      <c r="B38" s="97">
        <v>7</v>
      </c>
      <c r="C38" s="98" t="s">
        <v>1311</v>
      </c>
      <c r="D38" s="98" t="s">
        <v>1311</v>
      </c>
      <c r="E38" s="400" t="str">
        <f t="shared" si="1"/>
        <v/>
      </c>
    </row>
    <row r="39" spans="1:5" s="98" customFormat="1" x14ac:dyDescent="0.3">
      <c r="A39" s="97" t="s">
        <v>1964</v>
      </c>
      <c r="B39" s="97">
        <v>8</v>
      </c>
      <c r="C39" s="98" t="s">
        <v>1367</v>
      </c>
      <c r="D39" s="98" t="s">
        <v>1367</v>
      </c>
      <c r="E39" s="400" t="str">
        <f t="shared" si="1"/>
        <v/>
      </c>
    </row>
    <row r="40" spans="1:5" s="98" customFormat="1" x14ac:dyDescent="0.3">
      <c r="A40" s="97" t="s">
        <v>1964</v>
      </c>
      <c r="B40" s="97">
        <v>9</v>
      </c>
      <c r="C40" s="98" t="s">
        <v>1379</v>
      </c>
      <c r="D40" s="98" t="s">
        <v>1379</v>
      </c>
      <c r="E40" s="400" t="str">
        <f t="shared" si="1"/>
        <v/>
      </c>
    </row>
    <row r="41" spans="1:5" s="98" customFormat="1" x14ac:dyDescent="0.3">
      <c r="A41" s="97" t="s">
        <v>1964</v>
      </c>
      <c r="B41" s="97">
        <v>10</v>
      </c>
      <c r="C41" s="98" t="s">
        <v>1380</v>
      </c>
      <c r="D41" s="98" t="s">
        <v>1380</v>
      </c>
      <c r="E41" s="400" t="str">
        <f t="shared" si="1"/>
        <v/>
      </c>
    </row>
    <row r="42" spans="1:5" s="98" customFormat="1" x14ac:dyDescent="0.3">
      <c r="A42" s="97" t="s">
        <v>1964</v>
      </c>
      <c r="B42" s="97">
        <v>11</v>
      </c>
      <c r="C42" s="98" t="s">
        <v>1446</v>
      </c>
      <c r="D42" s="98" t="s">
        <v>1446</v>
      </c>
      <c r="E42" s="400" t="str">
        <f t="shared" si="1"/>
        <v/>
      </c>
    </row>
    <row r="43" spans="1:5" s="98" customFormat="1" x14ac:dyDescent="0.3">
      <c r="A43" s="97" t="s">
        <v>1964</v>
      </c>
      <c r="B43" s="97">
        <v>12</v>
      </c>
      <c r="C43" s="98" t="s">
        <v>1966</v>
      </c>
      <c r="D43" s="98" t="s">
        <v>1966</v>
      </c>
      <c r="E43" s="400" t="str">
        <f t="shared" si="1"/>
        <v/>
      </c>
    </row>
    <row r="44" spans="1:5" s="98" customFormat="1" x14ac:dyDescent="0.3">
      <c r="A44" s="97" t="s">
        <v>1964</v>
      </c>
      <c r="B44" s="97">
        <v>13</v>
      </c>
      <c r="C44" s="98" t="s">
        <v>1967</v>
      </c>
      <c r="D44" s="98" t="s">
        <v>1967</v>
      </c>
      <c r="E44" s="400" t="str">
        <f t="shared" si="1"/>
        <v/>
      </c>
    </row>
    <row r="45" spans="1:5" s="98" customFormat="1" x14ac:dyDescent="0.3">
      <c r="A45" s="97" t="s">
        <v>1964</v>
      </c>
      <c r="B45" s="97">
        <v>14</v>
      </c>
      <c r="C45" s="98" t="s">
        <v>1968</v>
      </c>
      <c r="D45" s="98" t="s">
        <v>1968</v>
      </c>
      <c r="E45" s="400" t="str">
        <f t="shared" si="1"/>
        <v/>
      </c>
    </row>
    <row r="46" spans="1:5" s="98" customFormat="1" x14ac:dyDescent="0.3">
      <c r="A46" s="97" t="s">
        <v>1964</v>
      </c>
      <c r="B46" s="97">
        <v>15</v>
      </c>
      <c r="C46" s="98" t="s">
        <v>1368</v>
      </c>
      <c r="D46" s="98" t="s">
        <v>1368</v>
      </c>
      <c r="E46" s="400" t="str">
        <f t="shared" si="1"/>
        <v/>
      </c>
    </row>
    <row r="47" spans="1:5" s="98" customFormat="1" x14ac:dyDescent="0.3">
      <c r="A47" s="97" t="s">
        <v>1964</v>
      </c>
      <c r="B47" s="97">
        <v>16</v>
      </c>
      <c r="C47" s="98" t="s">
        <v>1370</v>
      </c>
      <c r="D47" s="98" t="s">
        <v>1370</v>
      </c>
      <c r="E47" s="400" t="str">
        <f t="shared" si="1"/>
        <v/>
      </c>
    </row>
    <row r="48" spans="1:5" s="98" customFormat="1" x14ac:dyDescent="0.3">
      <c r="A48" s="97" t="s">
        <v>1964</v>
      </c>
      <c r="B48" s="97">
        <v>17</v>
      </c>
      <c r="C48" s="98" t="s">
        <v>1307</v>
      </c>
      <c r="D48" s="98" t="s">
        <v>1307</v>
      </c>
      <c r="E48" s="400" t="str">
        <f t="shared" si="1"/>
        <v/>
      </c>
    </row>
    <row r="49" spans="1:5" s="98" customFormat="1" x14ac:dyDescent="0.3">
      <c r="A49" s="97" t="s">
        <v>1964</v>
      </c>
      <c r="B49" s="97">
        <v>18</v>
      </c>
      <c r="C49" s="98" t="s">
        <v>1317</v>
      </c>
      <c r="D49" s="98" t="s">
        <v>1317</v>
      </c>
      <c r="E49" s="400" t="str">
        <f t="shared" si="1"/>
        <v/>
      </c>
    </row>
    <row r="50" spans="1:5" s="98" customFormat="1" x14ac:dyDescent="0.3">
      <c r="A50" s="97" t="s">
        <v>1964</v>
      </c>
      <c r="B50" s="97">
        <v>19</v>
      </c>
      <c r="C50" s="98" t="s">
        <v>1969</v>
      </c>
      <c r="D50" s="98" t="s">
        <v>1969</v>
      </c>
      <c r="E50" s="400" t="str">
        <f t="shared" si="1"/>
        <v/>
      </c>
    </row>
    <row r="51" spans="1:5" s="98" customFormat="1" x14ac:dyDescent="0.3">
      <c r="A51" s="97" t="s">
        <v>1964</v>
      </c>
      <c r="B51" s="97">
        <v>20</v>
      </c>
      <c r="C51" s="98" t="s">
        <v>1970</v>
      </c>
      <c r="D51" s="98" t="s">
        <v>1970</v>
      </c>
      <c r="E51" s="400" t="str">
        <f t="shared" si="1"/>
        <v/>
      </c>
    </row>
    <row r="52" spans="1:5" s="98" customFormat="1" x14ac:dyDescent="0.3">
      <c r="A52" s="97" t="s">
        <v>1964</v>
      </c>
      <c r="B52" s="97">
        <v>21</v>
      </c>
      <c r="C52" s="98" t="s">
        <v>1971</v>
      </c>
      <c r="D52" s="98" t="s">
        <v>1971</v>
      </c>
      <c r="E52" s="400" t="str">
        <f t="shared" si="1"/>
        <v/>
      </c>
    </row>
    <row r="53" spans="1:5" s="98" customFormat="1" x14ac:dyDescent="0.3">
      <c r="A53" s="97" t="s">
        <v>1964</v>
      </c>
      <c r="B53" s="97">
        <v>22</v>
      </c>
      <c r="C53" s="98" t="s">
        <v>1319</v>
      </c>
      <c r="D53" s="98" t="s">
        <v>1319</v>
      </c>
      <c r="E53" s="400" t="str">
        <f t="shared" si="1"/>
        <v/>
      </c>
    </row>
    <row r="54" spans="1:5" s="98" customFormat="1" x14ac:dyDescent="0.3">
      <c r="A54" s="97" t="s">
        <v>1964</v>
      </c>
      <c r="B54" s="97">
        <v>23</v>
      </c>
      <c r="C54" s="98" t="s">
        <v>1363</v>
      </c>
      <c r="D54" s="98" t="s">
        <v>1363</v>
      </c>
      <c r="E54" s="400" t="str">
        <f t="shared" si="1"/>
        <v/>
      </c>
    </row>
    <row r="55" spans="1:5" s="98" customFormat="1" x14ac:dyDescent="0.3">
      <c r="A55" s="97" t="s">
        <v>1964</v>
      </c>
      <c r="B55" s="97">
        <v>24</v>
      </c>
      <c r="C55" s="98" t="s">
        <v>1362</v>
      </c>
      <c r="D55" s="98" t="s">
        <v>1362</v>
      </c>
      <c r="E55" s="400" t="str">
        <f t="shared" si="1"/>
        <v/>
      </c>
    </row>
    <row r="56" spans="1:5" s="98" customFormat="1" x14ac:dyDescent="0.3">
      <c r="A56" s="97" t="s">
        <v>1964</v>
      </c>
      <c r="B56" s="97">
        <v>25</v>
      </c>
      <c r="C56" s="98" t="s">
        <v>1972</v>
      </c>
      <c r="D56" s="98" t="s">
        <v>1972</v>
      </c>
      <c r="E56" s="400" t="str">
        <f t="shared" si="1"/>
        <v/>
      </c>
    </row>
    <row r="57" spans="1:5" s="98" customFormat="1" x14ac:dyDescent="0.3">
      <c r="A57" s="97" t="s">
        <v>1964</v>
      </c>
      <c r="B57" s="97">
        <v>26</v>
      </c>
      <c r="C57" s="98" t="s">
        <v>1313</v>
      </c>
      <c r="D57" s="98" t="s">
        <v>1313</v>
      </c>
      <c r="E57" s="400" t="str">
        <f t="shared" si="1"/>
        <v/>
      </c>
    </row>
    <row r="58" spans="1:5" s="98" customFormat="1" x14ac:dyDescent="0.3">
      <c r="A58" s="97" t="s">
        <v>1964</v>
      </c>
      <c r="B58" s="97">
        <v>27</v>
      </c>
      <c r="C58" s="98" t="s">
        <v>1400</v>
      </c>
      <c r="D58" s="98" t="s">
        <v>1400</v>
      </c>
      <c r="E58" s="400" t="str">
        <f t="shared" si="1"/>
        <v/>
      </c>
    </row>
    <row r="59" spans="1:5" s="98" customFormat="1" x14ac:dyDescent="0.3">
      <c r="A59" s="97" t="s">
        <v>1964</v>
      </c>
      <c r="B59" s="97">
        <v>28</v>
      </c>
      <c r="C59" s="98" t="s">
        <v>1315</v>
      </c>
      <c r="D59" s="98" t="s">
        <v>1315</v>
      </c>
      <c r="E59" s="400" t="str">
        <f t="shared" si="1"/>
        <v/>
      </c>
    </row>
    <row r="60" spans="1:5" s="98" customFormat="1" x14ac:dyDescent="0.3">
      <c r="A60" s="97" t="s">
        <v>1964</v>
      </c>
      <c r="B60" s="97">
        <v>29</v>
      </c>
      <c r="C60" s="98" t="s">
        <v>1443</v>
      </c>
      <c r="D60" s="98" t="s">
        <v>1443</v>
      </c>
      <c r="E60" s="400" t="str">
        <f t="shared" si="1"/>
        <v/>
      </c>
    </row>
    <row r="61" spans="1:5" s="98" customFormat="1" x14ac:dyDescent="0.3">
      <c r="A61" s="97" t="s">
        <v>1964</v>
      </c>
      <c r="B61" s="97">
        <v>30</v>
      </c>
      <c r="C61" s="98" t="s">
        <v>1973</v>
      </c>
      <c r="D61" s="98" t="s">
        <v>1973</v>
      </c>
      <c r="E61" s="400" t="str">
        <f t="shared" si="1"/>
        <v/>
      </c>
    </row>
    <row r="62" spans="1:5" s="98" customFormat="1" x14ac:dyDescent="0.3">
      <c r="A62" s="97" t="s">
        <v>1964</v>
      </c>
      <c r="B62" s="97">
        <v>31</v>
      </c>
      <c r="C62" s="98" t="s">
        <v>1974</v>
      </c>
      <c r="D62" s="98" t="s">
        <v>1974</v>
      </c>
      <c r="E62" s="400" t="str">
        <f t="shared" si="1"/>
        <v/>
      </c>
    </row>
    <row r="63" spans="1:5" s="98" customFormat="1" x14ac:dyDescent="0.3">
      <c r="A63" s="97" t="s">
        <v>1964</v>
      </c>
      <c r="B63" s="97">
        <v>32</v>
      </c>
      <c r="C63" s="98" t="s">
        <v>1975</v>
      </c>
      <c r="D63" s="98" t="s">
        <v>1975</v>
      </c>
      <c r="E63" s="400" t="str">
        <f t="shared" si="1"/>
        <v/>
      </c>
    </row>
    <row r="64" spans="1:5" s="98" customFormat="1" x14ac:dyDescent="0.3">
      <c r="A64" s="97" t="s">
        <v>1964</v>
      </c>
      <c r="B64" s="97">
        <v>33</v>
      </c>
      <c r="C64" s="98" t="s">
        <v>1976</v>
      </c>
      <c r="D64" s="98" t="s">
        <v>1976</v>
      </c>
      <c r="E64" s="400" t="str">
        <f t="shared" si="1"/>
        <v/>
      </c>
    </row>
    <row r="65" spans="1:5" s="98" customFormat="1" x14ac:dyDescent="0.3">
      <c r="A65" s="97" t="s">
        <v>1964</v>
      </c>
      <c r="B65" s="97">
        <v>34</v>
      </c>
      <c r="C65" s="98" t="s">
        <v>1977</v>
      </c>
      <c r="D65" s="98" t="s">
        <v>1977</v>
      </c>
      <c r="E65" s="400" t="str">
        <f t="shared" si="1"/>
        <v/>
      </c>
    </row>
    <row r="66" spans="1:5" s="98" customFormat="1" x14ac:dyDescent="0.3">
      <c r="A66" s="97" t="s">
        <v>1964</v>
      </c>
      <c r="B66" s="97">
        <v>35</v>
      </c>
      <c r="C66" s="98" t="s">
        <v>1978</v>
      </c>
      <c r="D66" s="98" t="s">
        <v>1978</v>
      </c>
      <c r="E66" s="400" t="str">
        <f t="shared" si="1"/>
        <v/>
      </c>
    </row>
    <row r="67" spans="1:5" s="98" customFormat="1" x14ac:dyDescent="0.3">
      <c r="A67" s="97" t="s">
        <v>1964</v>
      </c>
      <c r="B67" s="97">
        <v>36</v>
      </c>
      <c r="C67" s="98" t="s">
        <v>1979</v>
      </c>
      <c r="D67" s="98" t="s">
        <v>1979</v>
      </c>
      <c r="E67" s="400" t="str">
        <f t="shared" si="1"/>
        <v/>
      </c>
    </row>
    <row r="68" spans="1:5" s="98" customFormat="1" x14ac:dyDescent="0.3">
      <c r="A68" s="97"/>
      <c r="B68" s="97"/>
      <c r="E68" s="400" t="str">
        <f t="shared" si="1"/>
        <v/>
      </c>
    </row>
    <row r="69" spans="1:5" ht="15.6" x14ac:dyDescent="0.3">
      <c r="A69" s="95" t="str">
        <f>"! --- "&amp;INDEX(MLtextDivisions,3)</f>
        <v>! --- Parameter Script - VALUES</v>
      </c>
      <c r="E69" s="400" t="str">
        <f t="shared" ref="E69:E83" si="2">IF(LEN($C69)-LEN(D69)&lt;0,TEXT(LEN(D69)/LEN($C69),"0 %")&amp;" ("&amp;LEN(D69)-LEN($C69)&amp;")","")</f>
        <v/>
      </c>
    </row>
    <row r="70" spans="1:5" s="98" customFormat="1" x14ac:dyDescent="0.3">
      <c r="A70" s="97"/>
      <c r="B70" s="97"/>
      <c r="E70" s="400" t="str">
        <f t="shared" si="2"/>
        <v/>
      </c>
    </row>
    <row r="71" spans="1:5" ht="15.6" x14ac:dyDescent="0.3">
      <c r="A71" s="95" t="str">
        <f>"! --- "&amp;INDEX(MLtextDivisions,4)</f>
        <v>! --- Common Text</v>
      </c>
      <c r="E71" s="400" t="str">
        <f t="shared" si="2"/>
        <v/>
      </c>
    </row>
    <row r="72" spans="1:5" s="92" customFormat="1" x14ac:dyDescent="0.3">
      <c r="A72" s="97" t="s">
        <v>1915</v>
      </c>
      <c r="B72" s="93">
        <v>1</v>
      </c>
      <c r="C72" s="92" t="s">
        <v>1923</v>
      </c>
      <c r="D72" t="s">
        <v>1928</v>
      </c>
      <c r="E72" s="400" t="str">
        <f t="shared" si="2"/>
        <v/>
      </c>
    </row>
    <row r="73" spans="1:5" s="92" customFormat="1" x14ac:dyDescent="0.3">
      <c r="A73" s="97" t="s">
        <v>1915</v>
      </c>
      <c r="B73" s="93">
        <v>2</v>
      </c>
      <c r="C73" s="92" t="s">
        <v>1924</v>
      </c>
      <c r="D73" t="s">
        <v>1934</v>
      </c>
      <c r="E73" s="400" t="str">
        <f t="shared" si="2"/>
        <v>133 % (10)</v>
      </c>
    </row>
    <row r="74" spans="1:5" s="92" customFormat="1" x14ac:dyDescent="0.3">
      <c r="A74" s="97" t="s">
        <v>1915</v>
      </c>
      <c r="B74" s="93">
        <v>3</v>
      </c>
      <c r="C74" s="92" t="s">
        <v>1925</v>
      </c>
      <c r="D74" t="s">
        <v>1931</v>
      </c>
      <c r="E74" s="400" t="str">
        <f t="shared" si="2"/>
        <v>119 % (3)</v>
      </c>
    </row>
    <row r="75" spans="1:5" s="92" customFormat="1" x14ac:dyDescent="0.3">
      <c r="A75" s="97" t="s">
        <v>1915</v>
      </c>
      <c r="B75" s="93">
        <v>4</v>
      </c>
      <c r="C75" s="92" t="s">
        <v>1926</v>
      </c>
      <c r="D75" s="92" t="s">
        <v>1929</v>
      </c>
      <c r="E75" s="400" t="str">
        <f t="shared" si="2"/>
        <v/>
      </c>
    </row>
    <row r="76" spans="1:5" s="92" customFormat="1" x14ac:dyDescent="0.3">
      <c r="A76" s="97" t="s">
        <v>1915</v>
      </c>
      <c r="B76" s="93">
        <v>5</v>
      </c>
      <c r="C76" s="92" t="s">
        <v>1927</v>
      </c>
      <c r="D76" t="s">
        <v>1930</v>
      </c>
      <c r="E76" s="400" t="str">
        <f t="shared" si="2"/>
        <v>160 % (6)</v>
      </c>
    </row>
    <row r="77" spans="1:5" s="92" customFormat="1" x14ac:dyDescent="0.3">
      <c r="A77" s="97" t="s">
        <v>1915</v>
      </c>
      <c r="B77" s="93">
        <v>6</v>
      </c>
      <c r="C77" t="s">
        <v>1932</v>
      </c>
      <c r="D77" t="s">
        <v>1933</v>
      </c>
      <c r="E77" s="400" t="str">
        <f t="shared" si="2"/>
        <v>164 % (7)</v>
      </c>
    </row>
    <row r="78" spans="1:5" x14ac:dyDescent="0.3">
      <c r="A78" s="97" t="s">
        <v>1917</v>
      </c>
      <c r="B78" s="396">
        <v>1</v>
      </c>
      <c r="C78" t="s">
        <v>1246</v>
      </c>
      <c r="D78" t="s">
        <v>1918</v>
      </c>
      <c r="E78" s="400" t="str">
        <f t="shared" si="2"/>
        <v/>
      </c>
    </row>
    <row r="79" spans="1:5" x14ac:dyDescent="0.3">
      <c r="A79" s="97" t="s">
        <v>1917</v>
      </c>
      <c r="B79" s="396">
        <v>2</v>
      </c>
      <c r="C79" t="s">
        <v>1251</v>
      </c>
      <c r="D79" t="s">
        <v>1251</v>
      </c>
      <c r="E79" s="400" t="str">
        <f t="shared" si="2"/>
        <v/>
      </c>
    </row>
    <row r="80" spans="1:5" x14ac:dyDescent="0.3">
      <c r="A80" s="97" t="s">
        <v>1917</v>
      </c>
      <c r="B80" s="396">
        <v>3</v>
      </c>
      <c r="C80" t="s">
        <v>1919</v>
      </c>
      <c r="D80" t="s">
        <v>1920</v>
      </c>
      <c r="E80" s="400" t="str">
        <f t="shared" si="2"/>
        <v/>
      </c>
    </row>
    <row r="81" spans="1:5" s="98" customFormat="1" x14ac:dyDescent="0.3">
      <c r="A81" s="97" t="s">
        <v>1917</v>
      </c>
      <c r="B81" s="396">
        <v>4</v>
      </c>
      <c r="C81" t="s">
        <v>1921</v>
      </c>
      <c r="D81" t="s">
        <v>1922</v>
      </c>
      <c r="E81" s="400" t="str">
        <f t="shared" si="2"/>
        <v/>
      </c>
    </row>
    <row r="82" spans="1:5" s="98" customFormat="1" ht="15.6" x14ac:dyDescent="0.3">
      <c r="A82" s="96"/>
      <c r="B82" s="97"/>
      <c r="E82" s="400" t="str">
        <f t="shared" si="2"/>
        <v/>
      </c>
    </row>
    <row r="83" spans="1:5" ht="15.6" x14ac:dyDescent="0.3">
      <c r="A83" s="95" t="str">
        <f>"! --- END"</f>
        <v>! --- END</v>
      </c>
      <c r="E83" s="400" t="str">
        <f t="shared" si="2"/>
        <v/>
      </c>
    </row>
  </sheetData>
  <sortState ref="A32:E68">
    <sortCondition ref="A5"/>
    <sortCondition ref="B5"/>
  </sortState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zoomScaleNormal="100" workbookViewId="0">
      <selection activeCell="C3" sqref="C3:D3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7" customFormat="1" ht="42.75" customHeight="1" x14ac:dyDescent="0.3">
      <c r="A1" s="10" t="s">
        <v>10</v>
      </c>
      <c r="B1" s="11" t="s">
        <v>11</v>
      </c>
      <c r="C1" s="10" t="str">
        <f>"-&gt; GSM"</f>
        <v>-&gt; GSM</v>
      </c>
      <c r="D1" s="12"/>
      <c r="E1" s="406" t="str">
        <f>"-&gt; PROPERTY-CONTEXT"</f>
        <v>-&gt; PROPERTY-CONTEXT</v>
      </c>
      <c r="F1" s="406"/>
      <c r="G1" s="406"/>
      <c r="H1" s="10" t="s">
        <v>12</v>
      </c>
      <c r="I1" s="10" t="s">
        <v>63</v>
      </c>
      <c r="J1" s="10" t="s">
        <v>83</v>
      </c>
      <c r="K1" s="10" t="s">
        <v>105</v>
      </c>
      <c r="L1" s="10" t="s">
        <v>110</v>
      </c>
      <c r="M1" s="10" t="s">
        <v>13</v>
      </c>
      <c r="N1" s="11" t="s">
        <v>14</v>
      </c>
      <c r="O1" s="10" t="s">
        <v>15</v>
      </c>
      <c r="P1" s="12"/>
      <c r="Q1" s="10" t="s">
        <v>16</v>
      </c>
      <c r="R1" s="10" t="s">
        <v>17</v>
      </c>
      <c r="S1" s="407" t="s">
        <v>124</v>
      </c>
      <c r="T1" s="407"/>
      <c r="U1" s="10" t="s">
        <v>138</v>
      </c>
      <c r="V1" s="10" t="s">
        <v>141</v>
      </c>
      <c r="W1" s="10" t="s">
        <v>172</v>
      </c>
      <c r="X1" s="10" t="s">
        <v>173</v>
      </c>
    </row>
    <row r="2" spans="1:24" ht="17.25" customHeight="1" x14ac:dyDescent="0.25">
      <c r="A2" s="13" t="str">
        <f>CHAR(10)</f>
        <v xml:space="preserve">
</v>
      </c>
      <c r="B2" s="14" t="s">
        <v>18</v>
      </c>
      <c r="C2" s="14" t="str">
        <f>B2</f>
        <v>String</v>
      </c>
      <c r="D2" s="15" t="s">
        <v>19</v>
      </c>
      <c r="E2" s="14" t="s">
        <v>18</v>
      </c>
      <c r="F2" s="15" t="s">
        <v>19</v>
      </c>
      <c r="G2" s="16" t="s">
        <v>20</v>
      </c>
      <c r="H2" s="14" t="s">
        <v>21</v>
      </c>
      <c r="I2" s="5" t="s">
        <v>9</v>
      </c>
      <c r="J2" s="5" t="s">
        <v>84</v>
      </c>
      <c r="K2" s="14" t="s">
        <v>102</v>
      </c>
      <c r="L2" s="14" t="s">
        <v>111</v>
      </c>
      <c r="M2" s="14"/>
      <c r="N2" s="17">
        <v>3</v>
      </c>
      <c r="O2" s="18" t="s">
        <v>22</v>
      </c>
      <c r="P2" s="15"/>
      <c r="Q2" s="16" t="s">
        <v>23</v>
      </c>
      <c r="R2" s="8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97</v>
      </c>
      <c r="T2" s="3" t="s">
        <v>18</v>
      </c>
      <c r="U2" s="3" t="s">
        <v>135</v>
      </c>
      <c r="V2" s="3" t="s">
        <v>183</v>
      </c>
      <c r="W2" s="3" t="s">
        <v>170</v>
      </c>
      <c r="X2" s="3" t="s">
        <v>174</v>
      </c>
    </row>
    <row r="3" spans="1:24" ht="17.25" customHeight="1" x14ac:dyDescent="0.25">
      <c r="A3" s="13" t="str">
        <f>CHAR(34)</f>
        <v>"</v>
      </c>
      <c r="B3" s="14" t="s">
        <v>24</v>
      </c>
      <c r="C3" s="14" t="str">
        <f t="shared" ref="C3:C18" si="0">B3</f>
        <v>Length</v>
      </c>
      <c r="D3" s="15">
        <v>2</v>
      </c>
      <c r="E3" s="19" t="s">
        <v>25</v>
      </c>
      <c r="F3" s="15">
        <v>2</v>
      </c>
      <c r="G3" s="16" t="s">
        <v>26</v>
      </c>
      <c r="H3" s="14" t="s">
        <v>27</v>
      </c>
      <c r="J3" s="5" t="s">
        <v>85</v>
      </c>
      <c r="K3" s="14" t="s">
        <v>107</v>
      </c>
      <c r="L3" s="14" t="s">
        <v>101</v>
      </c>
      <c r="M3" s="14" t="s">
        <v>91</v>
      </c>
      <c r="N3" s="17" t="str">
        <f>"#,"&amp;MID("0000000000",1,N2)</f>
        <v>#,000</v>
      </c>
      <c r="O3" s="18"/>
      <c r="P3" s="15" t="s">
        <v>29</v>
      </c>
      <c r="Q3" s="16" t="s">
        <v>30</v>
      </c>
      <c r="R3" s="8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98</v>
      </c>
      <c r="T3" s="3" t="s">
        <v>44</v>
      </c>
      <c r="U3" s="3" t="s">
        <v>136</v>
      </c>
      <c r="W3" s="3" t="s">
        <v>171</v>
      </c>
    </row>
    <row r="4" spans="1:24" ht="17.25" customHeight="1" x14ac:dyDescent="0.25">
      <c r="A4" s="13" t="str">
        <f>"    "</f>
        <v xml:space="preserve">    </v>
      </c>
      <c r="B4" s="14" t="s">
        <v>31</v>
      </c>
      <c r="C4" s="14" t="str">
        <f t="shared" si="0"/>
        <v>Angle</v>
      </c>
      <c r="D4" s="15">
        <v>2</v>
      </c>
      <c r="E4" s="19" t="s">
        <v>25</v>
      </c>
      <c r="F4" s="15">
        <v>2</v>
      </c>
      <c r="G4" s="16"/>
      <c r="H4" s="14" t="s">
        <v>32</v>
      </c>
      <c r="K4" s="14" t="s">
        <v>103</v>
      </c>
      <c r="L4" s="14" t="s">
        <v>112</v>
      </c>
      <c r="M4" s="14" t="s">
        <v>33</v>
      </c>
      <c r="N4" s="17"/>
      <c r="O4" s="18"/>
      <c r="P4" s="15" t="s">
        <v>34</v>
      </c>
      <c r="Q4" s="16" t="s">
        <v>35</v>
      </c>
      <c r="R4" s="8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116</v>
      </c>
      <c r="T4" s="3" t="s">
        <v>47</v>
      </c>
      <c r="U4" s="3" t="s">
        <v>137</v>
      </c>
      <c r="W4" s="3" t="s">
        <v>169</v>
      </c>
    </row>
    <row r="5" spans="1:24" ht="17.25" customHeight="1" x14ac:dyDescent="0.25">
      <c r="A5" s="13" t="str">
        <f>CHAR(9)</f>
        <v xml:space="preserve">	</v>
      </c>
      <c r="B5" s="14" t="s">
        <v>36</v>
      </c>
      <c r="C5" s="14" t="str">
        <f t="shared" si="0"/>
        <v>RealNum</v>
      </c>
      <c r="D5" s="15">
        <v>2</v>
      </c>
      <c r="E5" s="19" t="s">
        <v>25</v>
      </c>
      <c r="F5" s="15">
        <v>2</v>
      </c>
      <c r="G5" s="16" t="s">
        <v>37</v>
      </c>
      <c r="H5" s="14" t="s">
        <v>38</v>
      </c>
      <c r="K5" s="14" t="s">
        <v>191</v>
      </c>
      <c r="L5" s="14" t="s">
        <v>113</v>
      </c>
      <c r="M5" s="14"/>
      <c r="N5" s="14"/>
      <c r="O5" s="18" t="s">
        <v>39</v>
      </c>
      <c r="P5" s="15"/>
      <c r="Q5" s="16" t="s">
        <v>40</v>
      </c>
      <c r="R5" s="8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99</v>
      </c>
      <c r="T5" s="3" t="s">
        <v>99</v>
      </c>
      <c r="W5" s="3" t="s">
        <v>175</v>
      </c>
    </row>
    <row r="6" spans="1:24" ht="17.25" customHeight="1" x14ac:dyDescent="0.25">
      <c r="A6" s="62" t="str">
        <f>CHAR(9)</f>
        <v xml:space="preserve">	</v>
      </c>
      <c r="B6" s="14" t="s">
        <v>41</v>
      </c>
      <c r="C6" s="14" t="str">
        <f t="shared" si="0"/>
        <v>ColorRGB</v>
      </c>
      <c r="D6" s="15">
        <v>2</v>
      </c>
      <c r="E6" s="14"/>
      <c r="F6" s="15"/>
      <c r="G6" s="16"/>
      <c r="H6" s="14"/>
      <c r="I6" s="14"/>
      <c r="J6" s="14"/>
      <c r="K6" s="14" t="s">
        <v>178</v>
      </c>
      <c r="L6" s="14" t="s">
        <v>114</v>
      </c>
      <c r="M6" s="14"/>
      <c r="N6" s="14"/>
      <c r="O6" s="18" t="s">
        <v>42</v>
      </c>
      <c r="P6" s="15"/>
      <c r="Q6" s="16" t="s">
        <v>43</v>
      </c>
      <c r="R6" s="8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117</v>
      </c>
      <c r="T6" s="3" t="s">
        <v>36</v>
      </c>
    </row>
    <row r="7" spans="1:24" ht="17.25" customHeight="1" x14ac:dyDescent="0.25">
      <c r="A7" s="62" t="str">
        <f>CHAR(13)&amp;CHAR(10)</f>
        <v xml:space="preserve">_x000D_
</v>
      </c>
      <c r="B7" s="14" t="s">
        <v>44</v>
      </c>
      <c r="C7" s="14" t="str">
        <f t="shared" si="0"/>
        <v>Integer</v>
      </c>
      <c r="D7" s="15">
        <v>1</v>
      </c>
      <c r="E7" s="14" t="s">
        <v>44</v>
      </c>
      <c r="F7" s="15">
        <v>1</v>
      </c>
      <c r="G7" s="16" t="s">
        <v>26</v>
      </c>
      <c r="H7" s="14"/>
      <c r="I7" s="14"/>
      <c r="J7" s="14"/>
      <c r="K7" s="14"/>
      <c r="L7" s="14"/>
      <c r="M7" s="14"/>
      <c r="N7" s="14"/>
      <c r="O7" s="18" t="s">
        <v>45</v>
      </c>
      <c r="P7" s="15"/>
      <c r="Q7" s="16" t="s">
        <v>46</v>
      </c>
      <c r="R7" s="8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128</v>
      </c>
      <c r="T7" s="3" t="s">
        <v>31</v>
      </c>
    </row>
    <row r="8" spans="1:24" ht="17.25" customHeight="1" x14ac:dyDescent="0.25">
      <c r="A8" s="14" t="str">
        <f>" | "</f>
        <v xml:space="preserve"> | </v>
      </c>
      <c r="B8" s="14" t="s">
        <v>47</v>
      </c>
      <c r="C8" s="14" t="str">
        <f t="shared" si="0"/>
        <v>Boolean</v>
      </c>
      <c r="D8" s="15">
        <v>1</v>
      </c>
      <c r="E8" s="14" t="s">
        <v>47</v>
      </c>
      <c r="F8" s="15" t="s">
        <v>48</v>
      </c>
      <c r="G8" s="16" t="s">
        <v>49</v>
      </c>
      <c r="H8" s="14"/>
      <c r="I8" s="14"/>
      <c r="J8" s="14"/>
      <c r="K8" s="14"/>
      <c r="L8" s="14"/>
      <c r="M8" s="14"/>
      <c r="N8" s="14"/>
      <c r="O8" s="14"/>
      <c r="P8" s="15"/>
      <c r="Q8" s="20"/>
      <c r="R8" s="8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129</v>
      </c>
      <c r="T8" s="3" t="s">
        <v>24</v>
      </c>
    </row>
    <row r="9" spans="1:24" ht="17.25" customHeight="1" x14ac:dyDescent="0.25">
      <c r="A9" s="14"/>
      <c r="B9" s="14" t="s">
        <v>50</v>
      </c>
      <c r="C9" s="14" t="str">
        <f t="shared" si="0"/>
        <v>Material</v>
      </c>
      <c r="D9" s="15">
        <v>1</v>
      </c>
      <c r="E9" s="14"/>
      <c r="F9" s="15"/>
      <c r="G9" s="16"/>
      <c r="H9" s="14"/>
      <c r="I9" s="14"/>
      <c r="J9" s="14"/>
      <c r="K9" s="14"/>
      <c r="L9" s="14"/>
      <c r="M9" s="14"/>
      <c r="N9" s="14"/>
      <c r="O9" s="10" t="s">
        <v>130</v>
      </c>
      <c r="P9" s="15"/>
      <c r="Q9" s="14" t="str">
        <f>"aZBycXDWevFUgtHSirJQkpLNmo1!2+3§4$5%6&amp;7/8(9)0="</f>
        <v>aZBycXDWevFUgtHSirJQkpLNmo1!2+3§4$5%6&amp;7/8(9)0=</v>
      </c>
      <c r="R9" s="8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101</v>
      </c>
      <c r="T9" s="3" t="s">
        <v>101</v>
      </c>
    </row>
    <row r="10" spans="1:24" ht="17.25" customHeight="1" x14ac:dyDescent="0.25">
      <c r="A10" s="14"/>
      <c r="B10" s="14" t="s">
        <v>51</v>
      </c>
      <c r="C10" s="14" t="str">
        <f t="shared" si="0"/>
        <v>LineType</v>
      </c>
      <c r="D10" s="15">
        <v>1</v>
      </c>
      <c r="E10" s="14"/>
      <c r="F10" s="15"/>
      <c r="G10" s="16"/>
      <c r="H10" s="14"/>
      <c r="I10" s="14"/>
      <c r="J10" s="14"/>
      <c r="K10" s="14"/>
      <c r="L10" s="14"/>
      <c r="M10" s="14"/>
      <c r="N10" s="14"/>
      <c r="O10" s="14"/>
      <c r="P10" s="15"/>
      <c r="Q10" s="16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-92424BA241EC</v>
      </c>
      <c r="R10" s="8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100</v>
      </c>
      <c r="T10" s="3" t="s">
        <v>111</v>
      </c>
    </row>
    <row r="11" spans="1:24" ht="17.25" customHeight="1" x14ac:dyDescent="0.25">
      <c r="A11" s="14"/>
      <c r="B11" s="14" t="s">
        <v>52</v>
      </c>
      <c r="C11" s="14" t="str">
        <f t="shared" si="0"/>
        <v>FillPattern</v>
      </c>
      <c r="D11" s="15">
        <v>1</v>
      </c>
      <c r="E11" s="14"/>
      <c r="F11" s="15"/>
      <c r="G11" s="16"/>
      <c r="H11" s="14"/>
      <c r="I11" s="14"/>
      <c r="J11" s="14"/>
      <c r="K11" s="14"/>
      <c r="L11" s="14"/>
      <c r="M11" s="14"/>
      <c r="N11" s="14"/>
      <c r="O11" s="14"/>
      <c r="P11" s="15"/>
      <c r="Q11" s="14"/>
      <c r="R11" s="8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95</v>
      </c>
      <c r="T11" s="3" t="s">
        <v>112</v>
      </c>
    </row>
    <row r="12" spans="1:24" ht="17.25" customHeight="1" x14ac:dyDescent="0.25">
      <c r="A12" s="14"/>
      <c r="B12" s="14" t="s">
        <v>53</v>
      </c>
      <c r="C12" s="14" t="str">
        <f t="shared" si="0"/>
        <v>PenColor</v>
      </c>
      <c r="D12" s="15">
        <v>1</v>
      </c>
      <c r="E12" s="14"/>
      <c r="F12" s="15"/>
      <c r="G12" s="16"/>
      <c r="H12" s="14"/>
      <c r="I12" s="14"/>
      <c r="J12" s="14"/>
      <c r="K12" s="14"/>
      <c r="L12" s="14"/>
      <c r="M12" s="14"/>
      <c r="N12" s="14"/>
      <c r="O12" s="14"/>
      <c r="P12" s="15"/>
      <c r="Q12" s="14"/>
      <c r="R12" s="8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104</v>
      </c>
      <c r="T12" s="3" t="s">
        <v>113</v>
      </c>
    </row>
    <row r="13" spans="1:24" ht="17.25" customHeight="1" x14ac:dyDescent="0.25">
      <c r="A13" s="14"/>
      <c r="B13" s="14" t="s">
        <v>179</v>
      </c>
      <c r="C13" s="14" t="str">
        <f t="shared" si="0"/>
        <v>BuildingMat</v>
      </c>
      <c r="D13" s="15">
        <v>1</v>
      </c>
      <c r="E13" s="14"/>
      <c r="F13" s="15"/>
      <c r="G13" s="16"/>
      <c r="H13" s="14"/>
      <c r="I13" s="14"/>
      <c r="J13" s="14"/>
      <c r="K13" s="14"/>
      <c r="L13" s="14"/>
      <c r="M13" s="14"/>
      <c r="N13" s="14"/>
      <c r="O13" s="14"/>
      <c r="P13" s="15"/>
      <c r="Q13" s="14"/>
      <c r="R13" s="8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115</v>
      </c>
      <c r="T13" s="3" t="str">
        <f>""</f>
        <v/>
      </c>
    </row>
    <row r="14" spans="1:24" ht="17.25" customHeight="1" x14ac:dyDescent="0.25">
      <c r="A14" s="14"/>
      <c r="B14" s="14" t="s">
        <v>180</v>
      </c>
      <c r="C14" s="14" t="str">
        <f t="shared" si="0"/>
        <v>Profile</v>
      </c>
      <c r="D14" s="15">
        <v>1</v>
      </c>
      <c r="E14" s="14"/>
      <c r="F14" s="15"/>
      <c r="G14" s="16"/>
      <c r="H14" s="14"/>
      <c r="I14" s="14"/>
      <c r="J14" s="14"/>
      <c r="K14" s="14"/>
      <c r="L14" s="14"/>
      <c r="M14" s="14"/>
      <c r="N14" s="14"/>
      <c r="O14" s="14"/>
      <c r="P14" s="15"/>
      <c r="Q14" s="14"/>
      <c r="R14" s="8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120</v>
      </c>
      <c r="T14" s="3" t="s">
        <v>125</v>
      </c>
    </row>
    <row r="15" spans="1:24" ht="17.25" customHeight="1" x14ac:dyDescent="0.25">
      <c r="A15" s="14"/>
      <c r="B15" s="14" t="s">
        <v>54</v>
      </c>
      <c r="C15" s="14" t="str">
        <f t="shared" si="0"/>
        <v>LightSwitch</v>
      </c>
      <c r="D15" s="15">
        <v>1</v>
      </c>
      <c r="E15" s="14"/>
      <c r="F15" s="15"/>
      <c r="G15" s="16"/>
      <c r="H15" s="14"/>
      <c r="I15" s="14"/>
      <c r="J15" s="14"/>
      <c r="K15" s="14"/>
      <c r="L15" s="14"/>
      <c r="M15" s="14"/>
      <c r="N15" s="14"/>
      <c r="O15" s="14"/>
      <c r="P15" s="15"/>
      <c r="Q15" s="14"/>
      <c r="R15" s="8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118</v>
      </c>
      <c r="T15" s="3" t="s">
        <v>126</v>
      </c>
    </row>
    <row r="16" spans="1:24" ht="17.25" customHeight="1" x14ac:dyDescent="0.25">
      <c r="A16" s="14"/>
      <c r="B16" s="14" t="s">
        <v>55</v>
      </c>
      <c r="C16" s="14" t="str">
        <f t="shared" si="0"/>
        <v>Intensity</v>
      </c>
      <c r="D16" s="15">
        <v>1</v>
      </c>
      <c r="E16" s="14"/>
      <c r="F16" s="15"/>
      <c r="G16" s="16"/>
      <c r="H16" s="14"/>
      <c r="I16" s="14"/>
      <c r="J16" s="14"/>
      <c r="K16" s="14"/>
      <c r="L16" s="14"/>
      <c r="M16" s="14"/>
      <c r="N16" s="14"/>
      <c r="O16" s="14"/>
      <c r="P16" s="15"/>
      <c r="Q16" s="14"/>
      <c r="R16" s="8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119</v>
      </c>
      <c r="T16" s="3" t="s">
        <v>127</v>
      </c>
    </row>
    <row r="17" spans="1:20" ht="17.25" customHeight="1" x14ac:dyDescent="0.25">
      <c r="A17" s="14"/>
      <c r="B17" s="14" t="s">
        <v>56</v>
      </c>
      <c r="C17" s="14" t="str">
        <f t="shared" si="0"/>
        <v>Separator</v>
      </c>
      <c r="D17" s="15"/>
      <c r="E17" s="14"/>
      <c r="F17" s="15"/>
      <c r="G17" s="16"/>
      <c r="H17" s="14"/>
      <c r="I17" s="14"/>
      <c r="J17" s="14"/>
      <c r="K17" s="14"/>
      <c r="L17" s="14"/>
      <c r="M17" s="14"/>
      <c r="N17" s="14"/>
      <c r="O17" s="14"/>
      <c r="P17" s="15"/>
      <c r="Q17" s="14"/>
      <c r="R17" s="8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122</v>
      </c>
      <c r="T17" s="3" t="s">
        <v>123</v>
      </c>
    </row>
    <row r="18" spans="1:20" ht="17.25" customHeight="1" x14ac:dyDescent="0.25">
      <c r="A18" s="14"/>
      <c r="B18" s="14" t="s">
        <v>57</v>
      </c>
      <c r="C18" s="14" t="str">
        <f t="shared" si="0"/>
        <v>Title</v>
      </c>
      <c r="D18" s="15"/>
      <c r="E18" s="14"/>
      <c r="F18" s="15"/>
      <c r="G18" s="16"/>
      <c r="H18" s="14"/>
      <c r="I18" s="14"/>
      <c r="J18" s="14"/>
      <c r="K18" s="14"/>
      <c r="L18" s="14"/>
      <c r="M18" s="14"/>
      <c r="N18" s="14"/>
      <c r="O18" s="14"/>
      <c r="P18" s="15"/>
      <c r="Q18" s="14"/>
      <c r="R18" s="8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4" t="s">
        <v>58</v>
      </c>
      <c r="C19" s="14"/>
      <c r="D19" s="15"/>
      <c r="E19" s="14" t="s">
        <v>18</v>
      </c>
      <c r="F19" s="15" t="s">
        <v>34</v>
      </c>
      <c r="G19" s="16" t="s">
        <v>59</v>
      </c>
      <c r="K19" s="14"/>
      <c r="L19" s="14"/>
      <c r="R19" s="8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4" t="s">
        <v>60</v>
      </c>
      <c r="C20" s="14"/>
      <c r="D20" s="15"/>
      <c r="E20" s="14" t="s">
        <v>18</v>
      </c>
      <c r="F20" s="15" t="s">
        <v>61</v>
      </c>
      <c r="G20" s="16" t="s">
        <v>62</v>
      </c>
      <c r="K20" s="14"/>
      <c r="R20" s="8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8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8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8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8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8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8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8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8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8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8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8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8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8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8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8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8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8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8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8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8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8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8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8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8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8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8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8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8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8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8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8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8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8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8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8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8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9"/>
      <c r="S57" s="9"/>
      <c r="T57" s="9"/>
    </row>
    <row r="58" spans="18:20" ht="21" customHeight="1" x14ac:dyDescent="0.25">
      <c r="R58" s="8"/>
    </row>
    <row r="59" spans="18:20" ht="21" customHeight="1" x14ac:dyDescent="0.25">
      <c r="R59" s="8"/>
    </row>
    <row r="60" spans="18:20" ht="21" customHeight="1" x14ac:dyDescent="0.25">
      <c r="R60" s="8"/>
    </row>
    <row r="61" spans="18:20" ht="21" customHeight="1" x14ac:dyDescent="0.25">
      <c r="R61" s="8"/>
    </row>
    <row r="62" spans="18:20" ht="21" customHeight="1" x14ac:dyDescent="0.25">
      <c r="R62" s="8"/>
    </row>
    <row r="63" spans="18:20" ht="21" customHeight="1" x14ac:dyDescent="0.25">
      <c r="R63" s="8"/>
    </row>
    <row r="64" spans="18:20" ht="21" customHeight="1" x14ac:dyDescent="0.25">
      <c r="R64" s="8"/>
    </row>
    <row r="65" spans="18:18" ht="21" customHeight="1" x14ac:dyDescent="0.25">
      <c r="R65" s="8"/>
    </row>
    <row r="66" spans="18:18" ht="21" customHeight="1" x14ac:dyDescent="0.25">
      <c r="R66" s="8"/>
    </row>
    <row r="67" spans="18:18" ht="21" customHeight="1" x14ac:dyDescent="0.25">
      <c r="R67" s="8"/>
    </row>
    <row r="68" spans="18:18" ht="21" customHeight="1" x14ac:dyDescent="0.25">
      <c r="R68" s="8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5"/>
  <dimension ref="A1:BM410"/>
  <sheetViews>
    <sheetView showZeros="0" zoomScaleNormal="100" workbookViewId="0">
      <pane ySplit="5256" activePane="bottomLeft"/>
      <selection pane="bottomLeft" activeCell="A70" sqref="A70:XFD71"/>
    </sheetView>
  </sheetViews>
  <sheetFormatPr baseColWidth="10" defaultColWidth="11.44140625" defaultRowHeight="13.8" outlineLevelRow="1" x14ac:dyDescent="0.25"/>
  <cols>
    <col min="1" max="1" width="4.6640625" style="66" bestFit="1" customWidth="1"/>
    <col min="2" max="2" width="4.6640625" style="225" bestFit="1" customWidth="1"/>
    <col min="3" max="3" width="46.88671875" style="70" customWidth="1"/>
    <col min="4" max="4" width="12.33203125" style="219" bestFit="1" customWidth="1"/>
    <col min="5" max="6" width="8.6640625" style="70" customWidth="1"/>
    <col min="7" max="7" width="10.109375" style="70" bestFit="1" customWidth="1"/>
    <col min="8" max="8" width="4.44140625" style="70" bestFit="1" customWidth="1"/>
    <col min="9" max="9" width="4.109375" style="70" bestFit="1" customWidth="1"/>
    <col min="10" max="10" width="3.6640625" style="70" customWidth="1"/>
    <col min="11" max="23" width="6" style="70" customWidth="1"/>
    <col min="24" max="35" width="6" style="214" customWidth="1"/>
    <col min="36" max="36" width="6" style="70" customWidth="1"/>
    <col min="37" max="39" width="6" style="214" customWidth="1"/>
    <col min="40" max="40" width="6" style="387" customWidth="1"/>
    <col min="41" max="41" width="6" style="75" customWidth="1"/>
    <col min="42" max="47" width="5.44140625" style="75" customWidth="1"/>
    <col min="48" max="48" width="17.109375" style="69" customWidth="1"/>
    <col min="49" max="49" width="24.44140625" style="75" customWidth="1"/>
    <col min="50" max="50" width="20" style="49" customWidth="1"/>
    <col min="51" max="51" width="22.6640625" style="49" customWidth="1"/>
    <col min="52" max="16384" width="11.44140625" style="49"/>
  </cols>
  <sheetData>
    <row r="1" spans="1:51" ht="6" customHeight="1" thickBot="1" x14ac:dyDescent="0.3">
      <c r="C1" s="203"/>
      <c r="D1" s="217"/>
      <c r="E1" s="203"/>
      <c r="F1" s="203"/>
      <c r="G1" s="204"/>
      <c r="H1" s="205"/>
      <c r="I1" s="205"/>
      <c r="J1" s="205"/>
      <c r="K1" s="204"/>
      <c r="L1" s="205"/>
      <c r="M1" s="204"/>
      <c r="N1" s="205"/>
      <c r="O1" s="204"/>
      <c r="P1" s="205"/>
      <c r="Q1" s="204"/>
      <c r="R1" s="205"/>
      <c r="S1" s="204"/>
      <c r="T1" s="205"/>
      <c r="U1" s="205"/>
      <c r="V1" s="205"/>
      <c r="W1" s="205"/>
      <c r="X1" s="204"/>
      <c r="Y1" s="204"/>
      <c r="Z1" s="204"/>
      <c r="AA1" s="204"/>
      <c r="AB1" s="204"/>
      <c r="AC1" s="204"/>
      <c r="AD1" s="204"/>
      <c r="AE1" s="204"/>
      <c r="AF1" s="204"/>
      <c r="AG1" s="204"/>
      <c r="AH1" s="204"/>
      <c r="AI1" s="204"/>
      <c r="AJ1" s="204"/>
      <c r="AK1" s="204"/>
      <c r="AL1" s="204"/>
      <c r="AM1" s="204"/>
      <c r="AN1" s="204"/>
      <c r="AO1" s="206"/>
      <c r="AP1" s="204"/>
      <c r="AQ1" s="206"/>
      <c r="AR1" s="206"/>
      <c r="AS1" s="206"/>
      <c r="AT1" s="206"/>
      <c r="AU1" s="206"/>
      <c r="AV1" s="206"/>
      <c r="AW1" s="76"/>
      <c r="AX1" s="76"/>
      <c r="AY1" s="207"/>
    </row>
    <row r="2" spans="1:51" ht="102" outlineLevel="1" thickTop="1" x14ac:dyDescent="0.25">
      <c r="A2" s="408" t="s">
        <v>1412</v>
      </c>
      <c r="B2" s="409"/>
      <c r="C2" s="246" t="s">
        <v>1418</v>
      </c>
      <c r="D2" s="246" t="s">
        <v>1651</v>
      </c>
      <c r="E2" s="266" t="s">
        <v>1407</v>
      </c>
      <c r="F2" s="247" t="s">
        <v>1652</v>
      </c>
      <c r="G2" s="247" t="s">
        <v>1648</v>
      </c>
      <c r="H2" s="245" t="s">
        <v>1645</v>
      </c>
      <c r="I2" s="245" t="s">
        <v>1647</v>
      </c>
      <c r="J2" s="245" t="s">
        <v>1840</v>
      </c>
      <c r="K2" s="245" t="s">
        <v>1786</v>
      </c>
      <c r="L2" s="245" t="s">
        <v>1787</v>
      </c>
      <c r="M2" s="245" t="s">
        <v>1790</v>
      </c>
      <c r="N2" s="245" t="s">
        <v>1791</v>
      </c>
      <c r="O2" s="245" t="s">
        <v>1792</v>
      </c>
      <c r="P2" s="245" t="s">
        <v>1793</v>
      </c>
      <c r="Q2" s="245" t="s">
        <v>1794</v>
      </c>
      <c r="R2" s="245" t="s">
        <v>1795</v>
      </c>
      <c r="S2" s="245" t="s">
        <v>1796</v>
      </c>
      <c r="T2" s="245" t="s">
        <v>1797</v>
      </c>
      <c r="U2" s="245" t="s">
        <v>1871</v>
      </c>
      <c r="V2" s="245" t="s">
        <v>1872</v>
      </c>
      <c r="W2" s="245" t="s">
        <v>1873</v>
      </c>
      <c r="X2" s="245" t="s">
        <v>1788</v>
      </c>
      <c r="Y2" s="245" t="s">
        <v>1789</v>
      </c>
      <c r="Z2" s="245" t="s">
        <v>1798</v>
      </c>
      <c r="AA2" s="245" t="s">
        <v>1799</v>
      </c>
      <c r="AB2" s="245" t="s">
        <v>1800</v>
      </c>
      <c r="AC2" s="245" t="s">
        <v>1801</v>
      </c>
      <c r="AD2" s="245" t="s">
        <v>1802</v>
      </c>
      <c r="AE2" s="245" t="s">
        <v>1803</v>
      </c>
      <c r="AF2" s="245" t="s">
        <v>1804</v>
      </c>
      <c r="AG2" s="245" t="s">
        <v>1805</v>
      </c>
      <c r="AH2" s="245" t="s">
        <v>613</v>
      </c>
      <c r="AI2" s="245" t="s">
        <v>1808</v>
      </c>
      <c r="AJ2" s="245" t="s">
        <v>1807</v>
      </c>
      <c r="AK2" s="245" t="s">
        <v>1811</v>
      </c>
      <c r="AL2" s="245" t="s">
        <v>1809</v>
      </c>
      <c r="AM2" s="245" t="s">
        <v>1817</v>
      </c>
      <c r="AN2" s="245" t="s">
        <v>1857</v>
      </c>
      <c r="AO2" s="245" t="s">
        <v>1810</v>
      </c>
      <c r="AP2" s="245" t="s">
        <v>1417</v>
      </c>
      <c r="AQ2" s="245" t="s">
        <v>1646</v>
      </c>
      <c r="AR2" s="245" t="s">
        <v>1649</v>
      </c>
      <c r="AS2" s="245" t="s">
        <v>1650</v>
      </c>
      <c r="AT2" s="245" t="s">
        <v>1440</v>
      </c>
      <c r="AU2" s="245" t="s">
        <v>1416</v>
      </c>
      <c r="AV2" s="245" t="s">
        <v>1438</v>
      </c>
      <c r="AW2" s="108" t="s">
        <v>148</v>
      </c>
      <c r="AX2" s="83" t="s">
        <v>177</v>
      </c>
      <c r="AY2" s="264">
        <v>0</v>
      </c>
    </row>
    <row r="3" spans="1:51" s="73" customFormat="1" ht="14.4" outlineLevel="1" x14ac:dyDescent="0.25">
      <c r="A3" s="220"/>
      <c r="B3" s="222"/>
      <c r="C3" s="71">
        <v>1</v>
      </c>
      <c r="D3" s="71">
        <v>2</v>
      </c>
      <c r="E3" s="267">
        <v>3</v>
      </c>
      <c r="F3" s="72"/>
      <c r="G3" s="72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208"/>
      <c r="AG3" s="208"/>
      <c r="AH3" s="208"/>
      <c r="AI3" s="208"/>
      <c r="AJ3" s="208"/>
      <c r="AK3" s="208"/>
      <c r="AL3" s="208"/>
      <c r="AM3" s="209"/>
      <c r="AN3" s="209"/>
      <c r="AO3" s="72"/>
      <c r="AP3" s="72"/>
      <c r="AQ3" s="72"/>
      <c r="AR3" s="72"/>
      <c r="AS3" s="72"/>
      <c r="AT3" s="72"/>
      <c r="AU3" s="72">
        <v>4</v>
      </c>
      <c r="AV3" s="231">
        <v>5</v>
      </c>
      <c r="AW3" s="84" t="s">
        <v>1657</v>
      </c>
      <c r="AX3" s="264"/>
      <c r="AY3" s="264">
        <f t="shared" ref="AY3:AY11" ca="1" si="0">IF($AX3=0,0,MAX(INDIRECT("A"&amp;ROW($A$12)+1&amp;":A"&amp;$AX3+ROW($A$12))))</f>
        <v>0</v>
      </c>
    </row>
    <row r="4" spans="1:51" s="73" customFormat="1" ht="14.4" outlineLevel="1" x14ac:dyDescent="0.25">
      <c r="A4" s="220"/>
      <c r="B4" s="222"/>
      <c r="C4" s="71"/>
      <c r="D4" s="71"/>
      <c r="E4" s="267"/>
      <c r="F4" s="72">
        <v>2</v>
      </c>
      <c r="G4" s="72">
        <v>1</v>
      </c>
      <c r="H4" s="208">
        <v>3</v>
      </c>
      <c r="I4" s="208">
        <v>4</v>
      </c>
      <c r="J4" s="208">
        <v>6</v>
      </c>
      <c r="K4" s="208"/>
      <c r="L4" s="208"/>
      <c r="M4" s="208"/>
      <c r="N4" s="208"/>
      <c r="O4" s="208"/>
      <c r="P4" s="208"/>
      <c r="Q4" s="208"/>
      <c r="R4" s="208"/>
      <c r="S4" s="208"/>
      <c r="T4" s="208"/>
      <c r="U4" s="208"/>
      <c r="V4" s="208"/>
      <c r="W4" s="208"/>
      <c r="X4" s="208"/>
      <c r="Y4" s="208"/>
      <c r="Z4" s="208"/>
      <c r="AA4" s="208"/>
      <c r="AB4" s="208"/>
      <c r="AC4" s="208"/>
      <c r="AD4" s="208"/>
      <c r="AE4" s="208"/>
      <c r="AF4" s="208"/>
      <c r="AG4" s="208"/>
      <c r="AH4" s="208"/>
      <c r="AI4" s="208"/>
      <c r="AJ4" s="208"/>
      <c r="AK4" s="208"/>
      <c r="AL4" s="208"/>
      <c r="AM4" s="209"/>
      <c r="AN4" s="209"/>
      <c r="AO4" s="72"/>
      <c r="AP4" s="72"/>
      <c r="AQ4" s="72"/>
      <c r="AR4" s="72"/>
      <c r="AS4" s="72"/>
      <c r="AT4" s="72">
        <v>5</v>
      </c>
      <c r="AU4" s="72"/>
      <c r="AV4" s="231"/>
      <c r="AW4" s="84" t="s">
        <v>1658</v>
      </c>
      <c r="AX4" s="264"/>
      <c r="AY4" s="264">
        <f t="shared" ca="1" si="0"/>
        <v>0</v>
      </c>
    </row>
    <row r="5" spans="1:51" s="73" customFormat="1" ht="14.4" outlineLevel="1" x14ac:dyDescent="0.25">
      <c r="A5" s="220"/>
      <c r="B5" s="222"/>
      <c r="C5" s="71"/>
      <c r="D5" s="71"/>
      <c r="E5" s="267"/>
      <c r="F5" s="72"/>
      <c r="G5" s="72"/>
      <c r="H5" s="208"/>
      <c r="I5" s="208"/>
      <c r="J5" s="208"/>
      <c r="K5" s="208"/>
      <c r="L5" s="208"/>
      <c r="M5" s="208"/>
      <c r="N5" s="208"/>
      <c r="O5" s="208"/>
      <c r="P5" s="208"/>
      <c r="Q5" s="208"/>
      <c r="R5" s="208"/>
      <c r="S5" s="208"/>
      <c r="T5" s="208"/>
      <c r="U5" s="208"/>
      <c r="V5" s="208"/>
      <c r="W5" s="208"/>
      <c r="X5" s="208"/>
      <c r="Y5" s="208"/>
      <c r="Z5" s="208"/>
      <c r="AA5" s="208"/>
      <c r="AB5" s="208"/>
      <c r="AC5" s="208"/>
      <c r="AD5" s="208"/>
      <c r="AE5" s="208"/>
      <c r="AF5" s="208"/>
      <c r="AG5" s="208"/>
      <c r="AH5" s="208"/>
      <c r="AI5" s="208"/>
      <c r="AJ5" s="208"/>
      <c r="AK5" s="208"/>
      <c r="AL5" s="208"/>
      <c r="AM5" s="209"/>
      <c r="AN5" s="209"/>
      <c r="AO5" s="72"/>
      <c r="AP5" s="72">
        <v>1</v>
      </c>
      <c r="AQ5" s="72">
        <v>2</v>
      </c>
      <c r="AR5" s="72">
        <v>3</v>
      </c>
      <c r="AS5" s="72">
        <v>4</v>
      </c>
      <c r="AT5" s="72"/>
      <c r="AU5" s="72"/>
      <c r="AV5" s="231"/>
      <c r="AW5" s="84" t="s">
        <v>1419</v>
      </c>
      <c r="AX5" s="264"/>
      <c r="AY5" s="264">
        <f t="shared" ca="1" si="0"/>
        <v>0</v>
      </c>
    </row>
    <row r="6" spans="1:51" s="73" customFormat="1" ht="14.4" outlineLevel="1" x14ac:dyDescent="0.25">
      <c r="A6" s="220"/>
      <c r="B6" s="222"/>
      <c r="C6" s="71"/>
      <c r="D6" s="71"/>
      <c r="E6" s="267"/>
      <c r="F6" s="72"/>
      <c r="G6" s="72"/>
      <c r="H6" s="208"/>
      <c r="I6" s="208"/>
      <c r="J6" s="208"/>
      <c r="K6" s="208">
        <v>1</v>
      </c>
      <c r="L6" s="208">
        <v>2</v>
      </c>
      <c r="M6" s="208">
        <v>3</v>
      </c>
      <c r="N6" s="208">
        <v>4</v>
      </c>
      <c r="O6" s="208">
        <v>5</v>
      </c>
      <c r="P6" s="208">
        <v>6</v>
      </c>
      <c r="Q6" s="208">
        <v>7</v>
      </c>
      <c r="R6" s="208">
        <v>8</v>
      </c>
      <c r="S6" s="208">
        <v>9</v>
      </c>
      <c r="T6" s="208">
        <v>10</v>
      </c>
      <c r="U6" s="208"/>
      <c r="V6" s="208"/>
      <c r="W6" s="208"/>
      <c r="X6" s="208"/>
      <c r="Y6" s="208"/>
      <c r="Z6" s="208"/>
      <c r="AA6" s="208"/>
      <c r="AB6" s="208"/>
      <c r="AC6" s="208"/>
      <c r="AD6" s="208"/>
      <c r="AE6" s="208"/>
      <c r="AF6" s="208"/>
      <c r="AG6" s="208"/>
      <c r="AH6" s="208"/>
      <c r="AI6" s="208"/>
      <c r="AJ6" s="208"/>
      <c r="AK6" s="208"/>
      <c r="AL6" s="208"/>
      <c r="AM6" s="209"/>
      <c r="AN6" s="209"/>
      <c r="AO6" s="72"/>
      <c r="AP6" s="72"/>
      <c r="AQ6" s="72"/>
      <c r="AR6" s="72"/>
      <c r="AS6" s="72"/>
      <c r="AT6" s="72"/>
      <c r="AU6" s="72"/>
      <c r="AV6" s="231"/>
      <c r="AW6" s="84" t="s">
        <v>1654</v>
      </c>
      <c r="AX6" s="264"/>
      <c r="AY6" s="264">
        <f t="shared" ca="1" si="0"/>
        <v>0</v>
      </c>
    </row>
    <row r="7" spans="1:51" s="73" customFormat="1" ht="14.4" outlineLevel="1" x14ac:dyDescent="0.25">
      <c r="A7" s="220"/>
      <c r="B7" s="222"/>
      <c r="C7" s="71"/>
      <c r="D7" s="71"/>
      <c r="E7" s="267"/>
      <c r="F7" s="72"/>
      <c r="G7" s="72"/>
      <c r="H7" s="208"/>
      <c r="I7" s="208"/>
      <c r="J7" s="208"/>
      <c r="K7" s="208"/>
      <c r="L7" s="208"/>
      <c r="M7" s="208"/>
      <c r="N7" s="208"/>
      <c r="O7" s="208"/>
      <c r="P7" s="208"/>
      <c r="Q7" s="208"/>
      <c r="R7" s="208"/>
      <c r="S7" s="208"/>
      <c r="T7" s="208"/>
      <c r="U7" s="208"/>
      <c r="V7" s="208"/>
      <c r="W7" s="208"/>
      <c r="X7" s="208">
        <v>1</v>
      </c>
      <c r="Y7" s="208">
        <v>2</v>
      </c>
      <c r="Z7" s="208">
        <v>3</v>
      </c>
      <c r="AA7" s="208">
        <v>4</v>
      </c>
      <c r="AB7" s="208">
        <v>5</v>
      </c>
      <c r="AC7" s="208">
        <v>6</v>
      </c>
      <c r="AD7" s="208">
        <v>7</v>
      </c>
      <c r="AE7" s="208">
        <v>8</v>
      </c>
      <c r="AF7" s="208">
        <v>9</v>
      </c>
      <c r="AG7" s="208">
        <v>10</v>
      </c>
      <c r="AH7" s="208"/>
      <c r="AI7" s="208"/>
      <c r="AJ7" s="208"/>
      <c r="AK7" s="208"/>
      <c r="AL7" s="208"/>
      <c r="AM7" s="208"/>
      <c r="AN7" s="208"/>
      <c r="AO7" s="208"/>
      <c r="AP7" s="72"/>
      <c r="AQ7" s="72"/>
      <c r="AR7" s="72"/>
      <c r="AS7" s="72"/>
      <c r="AT7" s="72"/>
      <c r="AU7" s="72"/>
      <c r="AV7" s="231"/>
      <c r="AW7" s="84" t="s">
        <v>1660</v>
      </c>
      <c r="AX7" s="264"/>
      <c r="AY7" s="264">
        <f t="shared" ca="1" si="0"/>
        <v>0</v>
      </c>
    </row>
    <row r="8" spans="1:51" s="73" customFormat="1" ht="14.4" outlineLevel="1" x14ac:dyDescent="0.25">
      <c r="A8" s="220"/>
      <c r="B8" s="222"/>
      <c r="C8" s="71"/>
      <c r="D8" s="71"/>
      <c r="E8" s="267"/>
      <c r="F8" s="72"/>
      <c r="G8" s="72"/>
      <c r="H8" s="208"/>
      <c r="I8" s="208"/>
      <c r="J8" s="208"/>
      <c r="K8" s="208"/>
      <c r="L8" s="208"/>
      <c r="M8" s="208"/>
      <c r="N8" s="208"/>
      <c r="O8" s="208"/>
      <c r="P8" s="208"/>
      <c r="Q8" s="208"/>
      <c r="R8" s="208"/>
      <c r="S8" s="208"/>
      <c r="T8" s="208"/>
      <c r="U8" s="208"/>
      <c r="V8" s="208"/>
      <c r="W8" s="208"/>
      <c r="X8" s="208"/>
      <c r="Y8" s="208"/>
      <c r="Z8" s="208"/>
      <c r="AA8" s="208"/>
      <c r="AB8" s="208"/>
      <c r="AC8" s="208"/>
      <c r="AD8" s="208"/>
      <c r="AE8" s="208"/>
      <c r="AF8" s="208"/>
      <c r="AG8" s="208"/>
      <c r="AH8" s="208">
        <v>1</v>
      </c>
      <c r="AI8" s="208">
        <v>3</v>
      </c>
      <c r="AJ8" s="208">
        <v>2</v>
      </c>
      <c r="AK8" s="208">
        <v>4</v>
      </c>
      <c r="AL8" s="208">
        <v>5</v>
      </c>
      <c r="AM8" s="208">
        <v>6</v>
      </c>
      <c r="AN8" s="208">
        <v>7</v>
      </c>
      <c r="AO8" s="208">
        <v>8</v>
      </c>
      <c r="AP8" s="72"/>
      <c r="AQ8" s="72"/>
      <c r="AR8" s="72"/>
      <c r="AS8" s="72"/>
      <c r="AT8" s="72"/>
      <c r="AU8" s="72"/>
      <c r="AV8" s="231"/>
      <c r="AW8" s="84" t="s">
        <v>1806</v>
      </c>
      <c r="AX8" s="264"/>
      <c r="AY8" s="264">
        <f t="shared" ca="1" si="0"/>
        <v>0</v>
      </c>
    </row>
    <row r="9" spans="1:51" s="73" customFormat="1" ht="14.4" outlineLevel="1" x14ac:dyDescent="0.25">
      <c r="A9" s="220"/>
      <c r="B9" s="222"/>
      <c r="C9" s="71"/>
      <c r="D9" s="71"/>
      <c r="E9" s="267"/>
      <c r="F9" s="72"/>
      <c r="G9" s="72"/>
      <c r="H9" s="208"/>
      <c r="I9" s="208"/>
      <c r="J9" s="208"/>
      <c r="K9" s="208"/>
      <c r="L9" s="208"/>
      <c r="M9" s="208"/>
      <c r="N9" s="208"/>
      <c r="O9" s="208"/>
      <c r="P9" s="208"/>
      <c r="Q9" s="208"/>
      <c r="R9" s="208"/>
      <c r="S9" s="208"/>
      <c r="T9" s="208"/>
      <c r="U9" s="208">
        <v>1</v>
      </c>
      <c r="V9" s="208">
        <v>2</v>
      </c>
      <c r="W9" s="208">
        <v>3</v>
      </c>
      <c r="X9" s="208"/>
      <c r="Y9" s="208"/>
      <c r="Z9" s="208"/>
      <c r="AA9" s="208"/>
      <c r="AB9" s="208"/>
      <c r="AC9" s="208"/>
      <c r="AD9" s="208"/>
      <c r="AE9" s="208"/>
      <c r="AF9" s="208"/>
      <c r="AG9" s="208"/>
      <c r="AH9" s="208"/>
      <c r="AI9" s="208"/>
      <c r="AJ9" s="208"/>
      <c r="AK9" s="208"/>
      <c r="AL9" s="208"/>
      <c r="AM9" s="209"/>
      <c r="AN9" s="209"/>
      <c r="AO9" s="72"/>
      <c r="AP9" s="72"/>
      <c r="AQ9" s="72"/>
      <c r="AR9" s="72"/>
      <c r="AS9" s="72"/>
      <c r="AT9" s="72"/>
      <c r="AU9" s="72"/>
      <c r="AV9" s="231"/>
      <c r="AW9" s="84" t="s">
        <v>1870</v>
      </c>
      <c r="AX9" s="264">
        <v>0</v>
      </c>
      <c r="AY9" s="264">
        <f t="shared" ca="1" si="0"/>
        <v>0</v>
      </c>
    </row>
    <row r="10" spans="1:51" s="73" customFormat="1" ht="14.4" outlineLevel="1" x14ac:dyDescent="0.25">
      <c r="A10" s="220"/>
      <c r="B10" s="222"/>
      <c r="C10" s="71"/>
      <c r="D10" s="71"/>
      <c r="E10" s="267"/>
      <c r="F10" s="72"/>
      <c r="G10" s="72"/>
      <c r="H10" s="208"/>
      <c r="I10" s="208"/>
      <c r="J10" s="208"/>
      <c r="K10" s="208"/>
      <c r="L10" s="208"/>
      <c r="M10" s="208"/>
      <c r="N10" s="208"/>
      <c r="O10" s="208"/>
      <c r="P10" s="208"/>
      <c r="Q10" s="208"/>
      <c r="R10" s="208"/>
      <c r="S10" s="208"/>
      <c r="T10" s="208"/>
      <c r="U10" s="208"/>
      <c r="V10" s="208"/>
      <c r="W10" s="208"/>
      <c r="X10" s="209"/>
      <c r="Y10" s="209"/>
      <c r="Z10" s="209"/>
      <c r="AA10" s="209"/>
      <c r="AB10" s="209"/>
      <c r="AC10" s="209"/>
      <c r="AD10" s="209"/>
      <c r="AE10" s="209"/>
      <c r="AF10" s="209"/>
      <c r="AG10" s="209"/>
      <c r="AH10" s="209"/>
      <c r="AI10" s="208"/>
      <c r="AJ10" s="209"/>
      <c r="AK10" s="208"/>
      <c r="AL10" s="209"/>
      <c r="AM10" s="209"/>
      <c r="AN10" s="209"/>
      <c r="AO10" s="72"/>
      <c r="AP10" s="72"/>
      <c r="AQ10" s="72"/>
      <c r="AR10" s="72"/>
      <c r="AS10" s="72"/>
      <c r="AT10" s="72"/>
      <c r="AU10" s="72"/>
      <c r="AV10" s="231"/>
      <c r="AW10" s="84"/>
      <c r="AX10" s="264"/>
      <c r="AY10" s="264">
        <f t="shared" ca="1" si="0"/>
        <v>0</v>
      </c>
    </row>
    <row r="11" spans="1:51" s="73" customFormat="1" ht="15" outlineLevel="1" thickBot="1" x14ac:dyDescent="0.3">
      <c r="A11" s="220"/>
      <c r="B11" s="222"/>
      <c r="C11" s="71"/>
      <c r="D11" s="71"/>
      <c r="E11" s="267"/>
      <c r="F11" s="72"/>
      <c r="G11" s="72"/>
      <c r="H11" s="208"/>
      <c r="I11" s="208"/>
      <c r="J11" s="208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8"/>
      <c r="X11" s="209"/>
      <c r="Y11" s="209"/>
      <c r="Z11" s="209"/>
      <c r="AA11" s="209"/>
      <c r="AB11" s="209"/>
      <c r="AC11" s="209"/>
      <c r="AD11" s="209"/>
      <c r="AE11" s="209"/>
      <c r="AF11" s="209"/>
      <c r="AG11" s="209"/>
      <c r="AH11" s="209"/>
      <c r="AI11" s="208"/>
      <c r="AJ11" s="209"/>
      <c r="AK11" s="208"/>
      <c r="AL11" s="209"/>
      <c r="AM11" s="209"/>
      <c r="AN11" s="209"/>
      <c r="AO11" s="72"/>
      <c r="AP11" s="72"/>
      <c r="AQ11" s="72"/>
      <c r="AR11" s="72"/>
      <c r="AS11" s="72"/>
      <c r="AT11" s="234"/>
      <c r="AU11" s="72"/>
      <c r="AV11" s="231"/>
      <c r="AW11" s="84"/>
      <c r="AX11" s="264"/>
      <c r="AY11" s="264">
        <f t="shared" ca="1" si="0"/>
        <v>0</v>
      </c>
    </row>
    <row r="12" spans="1:51" ht="15.75" customHeight="1" thickTop="1" thickBot="1" x14ac:dyDescent="0.3">
      <c r="B12" s="222"/>
      <c r="C12" s="215"/>
      <c r="D12" s="221"/>
      <c r="E12" s="99"/>
      <c r="F12" s="268"/>
      <c r="G12" s="99"/>
      <c r="H12" s="99"/>
      <c r="I12" s="99"/>
      <c r="J12" s="99"/>
      <c r="K12" s="99"/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210"/>
      <c r="Y12" s="210"/>
      <c r="Z12" s="210"/>
      <c r="AA12" s="210"/>
      <c r="AB12" s="210"/>
      <c r="AC12" s="210"/>
      <c r="AD12" s="210"/>
      <c r="AE12" s="210"/>
      <c r="AF12" s="210"/>
      <c r="AG12" s="210"/>
      <c r="AH12" s="210"/>
      <c r="AI12" s="99"/>
      <c r="AJ12" s="210"/>
      <c r="AK12" s="99"/>
      <c r="AL12" s="210"/>
      <c r="AM12" s="210"/>
      <c r="AN12" s="210"/>
      <c r="AO12" s="99"/>
      <c r="AP12" s="233"/>
      <c r="AQ12" s="99"/>
      <c r="AR12" s="99"/>
      <c r="AS12" s="99"/>
      <c r="AT12" s="99"/>
      <c r="AU12" s="99"/>
      <c r="AV12" s="232"/>
      <c r="AW12" s="80"/>
    </row>
    <row r="13" spans="1:51" s="69" customFormat="1" ht="15" customHeight="1" thickTop="1" x14ac:dyDescent="0.25">
      <c r="A13" s="67">
        <f>IFERROR(IF(C13&lt;&gt;"",MAX($A$2:$A12)+1,""),"")</f>
        <v>1</v>
      </c>
      <c r="B13" s="223">
        <f>ROW()-ROW($B$12)</f>
        <v>1</v>
      </c>
      <c r="C13" s="216" t="str">
        <f>IF(J13=1,SUBSTITUTE('IMPORT SCHLIESSERDATEN'!$B5," Gangfl.",""),IF(J13=2,SUBSTITUTE('IMPORT SCHLIESSERDATEN'!$B5," Standfl.",""),'IMPORT SCHLIESSERDATEN'!$B5))</f>
        <v>TS 90 EN 3/4</v>
      </c>
      <c r="D13" s="216" t="str">
        <f>IF('IMPORT SCHLIESSERDATEN'!$AF5&lt;&gt;"",IF(COUNTA('IMPORT SCHLIESSERDATEN'!$AN5:$AU5)&gt;0,"X","G"),IF('IMPORT SCHLIESSERDATEN'!$AG5&lt;&gt;"","S",IF('IMPORT SCHLIESSERDATEN'!$AH5&lt;&gt;"","I",IF('IMPORT SCHLIESSERDATEN'!$AI5&lt;&gt;"","B",IF('IMPORT SCHLIESSERDATEN'!$AJ5&lt;&gt;"","D","")))))</f>
        <v>G</v>
      </c>
      <c r="E13" s="248" t="str">
        <f>'IMPORT SCHLIESSERDATEN'!AK5 &amp; IF('IMPORT SCHLIESSERDATEN'!AL5="",""," "&amp; 'IMPORT SCHLIESSERDATEN'!AL5)</f>
        <v>90</v>
      </c>
      <c r="F13" s="74">
        <f>IFERROR(IF(D13="X",2^(MATCH("",'IMPORT SCHLIESSERDATEN'!$AN5:$AU5,-1)-1),IF(AV13="F",2^(MATCH("",'IMPORT SCHLIESSERDATEN'!$BH5:$BK5,-1)-1),2^(MATCH("",'IMPORT SCHLIESSERDATEN'!$AV5:$BG5,-1)-1))),0)</f>
        <v>0</v>
      </c>
      <c r="G13" s="74">
        <f>IF(AND('IMPORT SCHLIESSERDATEN'!$O5='IMPORT SCHLIESSERDATEN'!$R5,'IMPORT SCHLIESSERDATEN'!$O5&lt;&gt;"",'IMPORT SCHLIESSERDATEN'!$R5&lt;&gt;""),1,0)  +  IF(AND('IMPORT SCHLIESSERDATEN'!$P5='IMPORT SCHLIESSERDATEN'!$S5,'IMPORT SCHLIESSERDATEN'!$P5&lt;&gt;"",'IMPORT SCHLIESSERDATEN'!$S5&lt;&gt;""),2,0)   +  IF(AND('IMPORT SCHLIESSERDATEN'!$O5='IMPORT SCHLIESSERDATEN'!$S5,'IMPORT SCHLIESSERDATEN'!$O5&lt;&gt;"",'IMPORT SCHLIESSERDATEN'!$S5&lt;&gt;""),4,0)   +  IF(AND('IMPORT SCHLIESSERDATEN'!$P5='IMPORT SCHLIESSERDATEN'!$R5,'IMPORT SCHLIESSERDATEN'!$P5&lt;&gt;"",'IMPORT SCHLIESSERDATEN'!$R5&lt;&gt;""),8,0)   +  IF('IMPORT SCHLIESSERDATEN'!$Q5&lt;&gt;"",IF('IMPORT SCHLIESSERDATEN'!$R5&lt;&gt;"",32,0) + IF('IMPORT SCHLIESSERDATEN'!$S5&lt;&gt;"",64,0),0)  +  IF('IMPORT SCHLIESSERDATEN'!$T5&lt;&gt;"",IF('IMPORT SCHLIESSERDATEN'!$Q5&lt;&gt;"",128+256,128),0)</f>
        <v>15</v>
      </c>
      <c r="H13" s="74">
        <f>IF('IMPORT SCHLIESSERDATEN'!$H5="",0,1) + IF('IMPORT SCHLIESSERDATEN'!$I5="",0,2) + IF('IMPORT SCHLIESSERDATEN'!$J5="",0,4) + IF('IMPORT SCHLIESSERDATEN'!$K5="",0,8) + IF('IMPORT SCHLIESSERDATEN'!$L5="",0,16) + IF('IMPORT SCHLIESSERDATEN'!$M5="",0,32) + IF('IMPORT SCHLIESSERDATEN'!$N5="",0,64)</f>
        <v>12</v>
      </c>
      <c r="I13" s="74">
        <f>IF('IMPORT SCHLIESSERDATEN'!$D5="",0,1) + IF('IMPORT SCHLIESSERDATEN'!$E5="",0,2) + IF('IMPORT SCHLIESSERDATEN'!$E5="S",4,0)</f>
        <v>1</v>
      </c>
      <c r="J13" s="74">
        <f>IF(ISERR(FIND(" Gangfl.",'IMPORT SCHLIESSERDATEN'!$B5)),IF(ISERR(FIND(" Standfl.",'IMPORT SCHLIESSERDATEN'!$B5)),0,2),1)</f>
        <v>0</v>
      </c>
      <c r="K13" s="74">
        <f>'IMPORT SCHLIESSERDATEN'!CL5</f>
        <v>84</v>
      </c>
      <c r="L13" s="74">
        <f>'IMPORT SCHLIESSERDATEN'!CN5</f>
        <v>0</v>
      </c>
      <c r="M13" s="74">
        <f>IF('IMPORT SCHLIESSERDATEN'!CS5="wie TS",-1,'IMPORT SCHLIESSERDATEN'!CS5)</f>
        <v>84</v>
      </c>
      <c r="N13" s="74">
        <f>IF(M13&lt;0,-1,'IMPORT SCHLIESSERDATEN'!CU5)</f>
        <v>0</v>
      </c>
      <c r="O13" s="74">
        <f>IF('IMPORT SCHLIESSERDATEN'!CZ5="wie TS",-1,'IMPORT SCHLIESSERDATEN'!CZ5)</f>
        <v>84</v>
      </c>
      <c r="P13" s="74">
        <f>IF(O13&lt;0,-1,'IMPORT SCHLIESSERDATEN'!DB5)</f>
        <v>10</v>
      </c>
      <c r="Q13" s="74">
        <f>'IMPORT SCHLIESSERDATEN'!DG5</f>
        <v>84</v>
      </c>
      <c r="R13" s="74">
        <f>'IMPORT SCHLIESSERDATEN'!DI5</f>
        <v>11</v>
      </c>
      <c r="S13" s="74">
        <f>'IMPORT SCHLIESSERDATEN'!DN5</f>
        <v>84</v>
      </c>
      <c r="T13" s="74">
        <f>IF('IMPORT SCHLIESSERDATEN'!DP5="V",9999,'IMPORT SCHLIESSERDATEN'!DP5)</f>
        <v>9999</v>
      </c>
      <c r="U13" s="74">
        <f>'IMPORT SCHLIESSERDATEN'!BW5</f>
        <v>246</v>
      </c>
      <c r="V13" s="74">
        <f>'IMPORT SCHLIESSERDATEN'!BX5</f>
        <v>46</v>
      </c>
      <c r="W13" s="74">
        <f>'IMPORT SCHLIESSERDATEN'!BY5</f>
        <v>57</v>
      </c>
      <c r="X13" s="74">
        <f>'IMPORT SCHLIESSERDATEN'!CO5</f>
        <v>153</v>
      </c>
      <c r="Y13" s="74">
        <f>'IMPORT SCHLIESSERDATEN'!CQ5</f>
        <v>11</v>
      </c>
      <c r="Z13" s="74">
        <f>'IMPORT SCHLIESSERDATEN'!CV5</f>
        <v>153</v>
      </c>
      <c r="AA13" s="74">
        <f>'IMPORT SCHLIESSERDATEN'!CX5</f>
        <v>11</v>
      </c>
      <c r="AB13" s="74">
        <f>'IMPORT SCHLIESSERDATEN'!DC5</f>
        <v>153</v>
      </c>
      <c r="AC13" s="74">
        <f>'IMPORT SCHLIESSERDATEN'!DE5</f>
        <v>1</v>
      </c>
      <c r="AD13" s="74">
        <f>'IMPORT SCHLIESSERDATEN'!DJ5</f>
        <v>181</v>
      </c>
      <c r="AE13" s="74">
        <f>'IMPORT SCHLIESSERDATEN'!DL5</f>
        <v>0</v>
      </c>
      <c r="AF13" s="74">
        <f>'IMPORT SCHLIESSERDATEN'!DQ5</f>
        <v>181</v>
      </c>
      <c r="AG13" s="74">
        <f>IF('IMPORT SCHLIESSERDATEN'!DS5="V",9999,'IMPORT SCHLIESSERDATEN'!DS5)</f>
        <v>9999</v>
      </c>
      <c r="AH13" s="74">
        <f>IF('IMPORT SCHLIESSERDATEN'!BZ5="V",9999,IF('IMPORT SCHLIESSERDATEN'!CD5="_",-1,'IMPORT SCHLIESSERDATEN'!BZ5))</f>
        <v>383</v>
      </c>
      <c r="AI13" s="74">
        <f>IF('IMPORT SCHLIESSERDATEN'!CA5="V",9999,IF('IMPORT SCHLIESSERDATEN'!CD5="_",-1,'IMPORT SCHLIESSERDATEN'!CA5))</f>
        <v>20</v>
      </c>
      <c r="AJ13" s="74">
        <f>IF('IMPORT SCHLIESSERDATEN'!CB5="V",9999,IF('IMPORT SCHLIESSERDATEN'!CD5="_",-1,'IMPORT SCHLIESSERDATEN'!CB5))</f>
        <v>25</v>
      </c>
      <c r="AK13" s="74">
        <f>IF('IMPORT SCHLIESSERDATEN'!CC5="V",9999,IF('IMPORT SCHLIESSERDATEN'!CC5="_",-1,'IMPORT SCHLIESSERDATEN'!CC5))</f>
        <v>13</v>
      </c>
      <c r="AL13" s="74">
        <f>IF('IMPORT SCHLIESSERDATEN'!CD5="_",-1,'IMPORT SCHLIESSERDATEN'!CD5)</f>
        <v>320</v>
      </c>
      <c r="AM13" s="74">
        <f>'IMPORT SCHLIESSERDATEN'!CH5</f>
        <v>86</v>
      </c>
      <c r="AN13" s="74">
        <f>IF('IMPORT SCHLIESSERDATEN'!CE5="V",9999,'IMPORT SCHLIESSERDATEN'!CE5)</f>
        <v>24</v>
      </c>
      <c r="AO13" s="74">
        <f>IF('IMPORT SCHLIESSERDATEN'!CK5="_",-1,'IMPORT SCHLIESSERDATEN'!CK5)</f>
        <v>48</v>
      </c>
      <c r="AP13" s="74">
        <f>IF('IMPORT SCHLIESSERDATEN'!$U5="",0,1)</f>
        <v>0</v>
      </c>
      <c r="AQ13" s="74">
        <f>IF('IMPORT SCHLIESSERDATEN'!$V5="",0,1)</f>
        <v>0</v>
      </c>
      <c r="AR13" s="74">
        <f>IF('IMPORT SCHLIESSERDATEN'!$W5="",0,1)</f>
        <v>0</v>
      </c>
      <c r="AS13" s="74">
        <f>IF('IMPORT SCHLIESSERDATEN'!$AA5="",0,1)</f>
        <v>0</v>
      </c>
      <c r="AT13" s="74">
        <f>IF('IMPORT SCHLIESSERDATEN'!$AD5="",0,1) + IF('IMPORT SCHLIESSERDATEN'!$AE5="",0,2)</f>
        <v>0</v>
      </c>
      <c r="AU13" s="74" t="str">
        <f>IF('IMPORT SCHLIESSERDATEN'!$X5="",IF('IMPORT SCHLIESSERDATEN'!$Y5="","","F"),"V")</f>
        <v/>
      </c>
      <c r="AV13" s="74" t="str">
        <f>IF('IMPORT SCHLIESSERDATEN'!$AB5&lt;&gt;"","M",IF('IMPORT SCHLIESSERDATEN'!$AD5&lt;&gt;"",IF(ISERR(SEARCH("UVIBIS",'IMPORT SCHLIESSERDATEN'!$B5)),"R","B"),IF(OR('IMPORT SCHLIESSERDATEN'!$AC5&lt;&gt;"",'IMPORT SCHLIESSERDATEN'!$AE5&lt;&gt;""),"E","")))</f>
        <v/>
      </c>
      <c r="AW13" s="82" t="s">
        <v>1656</v>
      </c>
      <c r="AX13" s="67"/>
    </row>
    <row r="14" spans="1:51" x14ac:dyDescent="0.25">
      <c r="A14" s="67">
        <f>IFERROR(IF(C14&lt;&gt;"",MAX($A$2:$A13)+1,""),"")</f>
        <v>2</v>
      </c>
      <c r="B14" s="223">
        <f t="shared" ref="B14:B302" si="1">ROW()-ROW($B$12)</f>
        <v>2</v>
      </c>
      <c r="C14" s="216" t="str">
        <f>IF(J14=1,SUBSTITUTE('IMPORT SCHLIESSERDATEN'!$B6," Gangfl.",""),IF(J14=2,SUBSTITUTE('IMPORT SCHLIESSERDATEN'!$B6," Standfl.",""),'IMPORT SCHLIESSERDATEN'!$B6))</f>
        <v>TS 90 RF EN 3/4</v>
      </c>
      <c r="D14" s="216" t="str">
        <f>IF('IMPORT SCHLIESSERDATEN'!$AF6&lt;&gt;"",IF(COUNTA('IMPORT SCHLIESSERDATEN'!$AN6:$AU6)&gt;0,"X","G"),IF('IMPORT SCHLIESSERDATEN'!$AG6&lt;&gt;"","S",IF('IMPORT SCHLIESSERDATEN'!$AH6&lt;&gt;"","I",IF('IMPORT SCHLIESSERDATEN'!$AI6&lt;&gt;"","B",IF('IMPORT SCHLIESSERDATEN'!$AJ6&lt;&gt;"","D","")))))</f>
        <v>G</v>
      </c>
      <c r="E14" s="248" t="str">
        <f>'IMPORT SCHLIESSERDATEN'!AK6 &amp; IF('IMPORT SCHLIESSERDATEN'!AL6="",""," "&amp; 'IMPORT SCHLIESSERDATEN'!AL6)</f>
        <v>90</v>
      </c>
      <c r="F14" s="74">
        <f>IFERROR(IF(D14="X",2^(MATCH("",'IMPORT SCHLIESSERDATEN'!$AN6:$AU6,-1)-1),IF(AV14="F",2^(MATCH("",'IMPORT SCHLIESSERDATEN'!$BH6:$BK6,-1)-1),2^(MATCH("",'IMPORT SCHLIESSERDATEN'!$AV6:$BG6,-1)-1))),0)</f>
        <v>0</v>
      </c>
      <c r="G14" s="74">
        <f>IF(AND('IMPORT SCHLIESSERDATEN'!$O6='IMPORT SCHLIESSERDATEN'!$R6,'IMPORT SCHLIESSERDATEN'!$O6&lt;&gt;"",'IMPORT SCHLIESSERDATEN'!$R6&lt;&gt;""),1,0)  +  IF(AND('IMPORT SCHLIESSERDATEN'!$P6='IMPORT SCHLIESSERDATEN'!$S6,'IMPORT SCHLIESSERDATEN'!$P6&lt;&gt;"",'IMPORT SCHLIESSERDATEN'!$S6&lt;&gt;""),2,0)   +  IF(AND('IMPORT SCHLIESSERDATEN'!$O6='IMPORT SCHLIESSERDATEN'!$S6,'IMPORT SCHLIESSERDATEN'!$O6&lt;&gt;"",'IMPORT SCHLIESSERDATEN'!$S6&lt;&gt;""),4,0)   +  IF(AND('IMPORT SCHLIESSERDATEN'!$P6='IMPORT SCHLIESSERDATEN'!$R6,'IMPORT SCHLIESSERDATEN'!$P6&lt;&gt;"",'IMPORT SCHLIESSERDATEN'!$R6&lt;&gt;""),8,0)   +  IF('IMPORT SCHLIESSERDATEN'!$Q6&lt;&gt;"",IF('IMPORT SCHLIESSERDATEN'!$R6&lt;&gt;"",32,0) + IF('IMPORT SCHLIESSERDATEN'!$S6&lt;&gt;"",64,0),0)  +  IF('IMPORT SCHLIESSERDATEN'!$T6&lt;&gt;"",IF('IMPORT SCHLIESSERDATEN'!$Q6&lt;&gt;"",128+256,128),0)</f>
        <v>15</v>
      </c>
      <c r="H14" s="74">
        <f>IF('IMPORT SCHLIESSERDATEN'!$H6="",0,1) + IF('IMPORT SCHLIESSERDATEN'!$I6="",0,2) + IF('IMPORT SCHLIESSERDATEN'!$J6="",0,4) + IF('IMPORT SCHLIESSERDATEN'!$K6="",0,8) + IF('IMPORT SCHLIESSERDATEN'!$L6="",0,16) + IF('IMPORT SCHLIESSERDATEN'!$M6="",0,32) + IF('IMPORT SCHLIESSERDATEN'!$N6="",0,64)</f>
        <v>12</v>
      </c>
      <c r="I14" s="74">
        <f>IF('IMPORT SCHLIESSERDATEN'!$D6="",0,1) + IF('IMPORT SCHLIESSERDATEN'!$E6="",0,2) + IF('IMPORT SCHLIESSERDATEN'!$E6="S",4,0)</f>
        <v>1</v>
      </c>
      <c r="J14" s="74">
        <f>IF(ISERR(FIND(" Gangfl.",'IMPORT SCHLIESSERDATEN'!$B6)),IF(ISERR(FIND(" Standfl.",'IMPORT SCHLIESSERDATEN'!$B6)),0,2),1)</f>
        <v>0</v>
      </c>
      <c r="K14" s="74">
        <f>'IMPORT SCHLIESSERDATEN'!CL6</f>
        <v>84</v>
      </c>
      <c r="L14" s="74">
        <f>'IMPORT SCHLIESSERDATEN'!CN6</f>
        <v>0</v>
      </c>
      <c r="M14" s="74">
        <f>IF('IMPORT SCHLIESSERDATEN'!CS6="wie TS",-1,'IMPORT SCHLIESSERDATEN'!CS6)</f>
        <v>84</v>
      </c>
      <c r="N14" s="74">
        <f>IF(M14&lt;0,-1,'IMPORT SCHLIESSERDATEN'!CU6)</f>
        <v>0</v>
      </c>
      <c r="O14" s="74">
        <f>IF('IMPORT SCHLIESSERDATEN'!CZ6="wie TS",-1,'IMPORT SCHLIESSERDATEN'!CZ6)</f>
        <v>84</v>
      </c>
      <c r="P14" s="74">
        <f>IF(O14&lt;0,-1,'IMPORT SCHLIESSERDATEN'!DB6)</f>
        <v>10</v>
      </c>
      <c r="Q14" s="74">
        <f>'IMPORT SCHLIESSERDATEN'!DG6</f>
        <v>84</v>
      </c>
      <c r="R14" s="74">
        <f>'IMPORT SCHLIESSERDATEN'!DI6</f>
        <v>11</v>
      </c>
      <c r="S14" s="74">
        <f>'IMPORT SCHLIESSERDATEN'!DN6</f>
        <v>84</v>
      </c>
      <c r="T14" s="74">
        <f>IF('IMPORT SCHLIESSERDATEN'!DP6="V",9999,'IMPORT SCHLIESSERDATEN'!DP6)</f>
        <v>9999</v>
      </c>
      <c r="U14" s="74">
        <f>'IMPORT SCHLIESSERDATEN'!BW6</f>
        <v>246</v>
      </c>
      <c r="V14" s="74">
        <f>'IMPORT SCHLIESSERDATEN'!BX6</f>
        <v>46</v>
      </c>
      <c r="W14" s="74">
        <f>'IMPORT SCHLIESSERDATEN'!BY6</f>
        <v>57</v>
      </c>
      <c r="X14" s="74">
        <f>'IMPORT SCHLIESSERDATEN'!CO6</f>
        <v>153</v>
      </c>
      <c r="Y14" s="74">
        <f>'IMPORT SCHLIESSERDATEN'!CQ6</f>
        <v>11</v>
      </c>
      <c r="Z14" s="74">
        <f>'IMPORT SCHLIESSERDATEN'!CV6</f>
        <v>153</v>
      </c>
      <c r="AA14" s="74">
        <f>'IMPORT SCHLIESSERDATEN'!CX6</f>
        <v>11</v>
      </c>
      <c r="AB14" s="74">
        <f>'IMPORT SCHLIESSERDATEN'!DC6</f>
        <v>153</v>
      </c>
      <c r="AC14" s="74">
        <f>'IMPORT SCHLIESSERDATEN'!DE6</f>
        <v>1</v>
      </c>
      <c r="AD14" s="74">
        <f>'IMPORT SCHLIESSERDATEN'!DJ6</f>
        <v>181</v>
      </c>
      <c r="AE14" s="74">
        <f>'IMPORT SCHLIESSERDATEN'!DL6</f>
        <v>0</v>
      </c>
      <c r="AF14" s="74">
        <f>'IMPORT SCHLIESSERDATEN'!DQ6</f>
        <v>181</v>
      </c>
      <c r="AG14" s="74">
        <f>IF('IMPORT SCHLIESSERDATEN'!DS6="V",9999,'IMPORT SCHLIESSERDATEN'!DS6)</f>
        <v>9999</v>
      </c>
      <c r="AH14" s="74">
        <f>IF('IMPORT SCHLIESSERDATEN'!BZ6="V",9999,IF('IMPORT SCHLIESSERDATEN'!CD6="_",-1,'IMPORT SCHLIESSERDATEN'!BZ6))</f>
        <v>383</v>
      </c>
      <c r="AI14" s="74">
        <f>IF('IMPORT SCHLIESSERDATEN'!CA6="V",9999,IF('IMPORT SCHLIESSERDATEN'!CD6="_",-1,'IMPORT SCHLIESSERDATEN'!CA6))</f>
        <v>20</v>
      </c>
      <c r="AJ14" s="74">
        <f>IF('IMPORT SCHLIESSERDATEN'!CB6="V",9999,IF('IMPORT SCHLIESSERDATEN'!CD6="_",-1,'IMPORT SCHLIESSERDATEN'!CB6))</f>
        <v>25</v>
      </c>
      <c r="AK14" s="74">
        <f>IF('IMPORT SCHLIESSERDATEN'!CC6="V",9999,IF('IMPORT SCHLIESSERDATEN'!CC6="_",-1,'IMPORT SCHLIESSERDATEN'!CC6))</f>
        <v>13</v>
      </c>
      <c r="AL14" s="74">
        <f>IF('IMPORT SCHLIESSERDATEN'!CD6="_",-1,'IMPORT SCHLIESSERDATEN'!CD6)</f>
        <v>320</v>
      </c>
      <c r="AM14" s="74">
        <f>'IMPORT SCHLIESSERDATEN'!CH6</f>
        <v>86</v>
      </c>
      <c r="AN14" s="74">
        <f>IF('IMPORT SCHLIESSERDATEN'!CE6="V",9999,'IMPORT SCHLIESSERDATEN'!CE6)</f>
        <v>24</v>
      </c>
      <c r="AO14" s="74">
        <f>IF('IMPORT SCHLIESSERDATEN'!CK6="_",-1,'IMPORT SCHLIESSERDATEN'!CK6)</f>
        <v>48</v>
      </c>
      <c r="AP14" s="74">
        <f>IF('IMPORT SCHLIESSERDATEN'!$U6="",0,1)</f>
        <v>0</v>
      </c>
      <c r="AQ14" s="74">
        <f>IF('IMPORT SCHLIESSERDATEN'!$V6="",0,1)</f>
        <v>0</v>
      </c>
      <c r="AR14" s="74">
        <f>IF('IMPORT SCHLIESSERDATEN'!$W6="",0,1)</f>
        <v>0</v>
      </c>
      <c r="AS14" s="74">
        <f>IF('IMPORT SCHLIESSERDATEN'!$AA6="",0,1)</f>
        <v>0</v>
      </c>
      <c r="AT14" s="74">
        <f>IF('IMPORT SCHLIESSERDATEN'!$AD6="",0,1) + IF('IMPORT SCHLIESSERDATEN'!$AE6="",0,2)</f>
        <v>0</v>
      </c>
      <c r="AU14" s="74" t="str">
        <f>IF('IMPORT SCHLIESSERDATEN'!$X6="",IF('IMPORT SCHLIESSERDATEN'!$Y6="","","F"),"V")</f>
        <v/>
      </c>
      <c r="AV14" s="74" t="str">
        <f>IF('IMPORT SCHLIESSERDATEN'!$AB6&lt;&gt;"","M",IF('IMPORT SCHLIESSERDATEN'!$AD6&lt;&gt;"",IF(ISERR(SEARCH("UVIBIS",'IMPORT SCHLIESSERDATEN'!$B6)),"R","B"),IF(OR('IMPORT SCHLIESSERDATEN'!$AC6&lt;&gt;"",'IMPORT SCHLIESSERDATEN'!$AE6&lt;&gt;""),"E","")))</f>
        <v>M</v>
      </c>
      <c r="AW14" s="82"/>
      <c r="AX14" s="67"/>
    </row>
    <row r="15" spans="1:51" x14ac:dyDescent="0.25">
      <c r="A15" s="67">
        <f>IFERROR(IF(C15&lt;&gt;"",MAX($A$2:$A14)+1,""),"")</f>
        <v>3</v>
      </c>
      <c r="B15" s="223">
        <f t="shared" si="1"/>
        <v>3</v>
      </c>
      <c r="C15" s="216" t="str">
        <f>IF(J15=1,SUBSTITUTE('IMPORT SCHLIESSERDATEN'!$B7," Gangfl.",""),IF(J15=2,SUBSTITUTE('IMPORT SCHLIESSERDATEN'!$B7," Standfl.",""),'IMPORT SCHLIESSERDATEN'!$B7))</f>
        <v>TS 91 EN 3</v>
      </c>
      <c r="D15" s="216" t="str">
        <f>IF('IMPORT SCHLIESSERDATEN'!$AF7&lt;&gt;"",IF(COUNTA('IMPORT SCHLIESSERDATEN'!$AN7:$AU7)&gt;0,"X","G"),IF('IMPORT SCHLIESSERDATEN'!$AG7&lt;&gt;"","S",IF('IMPORT SCHLIESSERDATEN'!$AH7&lt;&gt;"","I",IF('IMPORT SCHLIESSERDATEN'!$AI7&lt;&gt;"","B",IF('IMPORT SCHLIESSERDATEN'!$AJ7&lt;&gt;"","D","")))))</f>
        <v>G</v>
      </c>
      <c r="E15" s="248" t="str">
        <f>'IMPORT SCHLIESSERDATEN'!AK7 &amp; IF('IMPORT SCHLIESSERDATEN'!AL7="",""," "&amp; 'IMPORT SCHLIESSERDATEN'!AL7)</f>
        <v>91 B</v>
      </c>
      <c r="F15" s="74">
        <f>IFERROR(IF(D15="X",2^(MATCH("",'IMPORT SCHLIESSERDATEN'!$AN7:$AU7,-1)-1),IF(AV15="F",2^(MATCH("",'IMPORT SCHLIESSERDATEN'!$BH7:$BK7,-1)-1),2^(MATCH("",'IMPORT SCHLIESSERDATEN'!$AV7:$BG7,-1)-1))),0)</f>
        <v>1</v>
      </c>
      <c r="G15" s="74">
        <f>IF(AND('IMPORT SCHLIESSERDATEN'!$O7='IMPORT SCHLIESSERDATEN'!$R7,'IMPORT SCHLIESSERDATEN'!$O7&lt;&gt;"",'IMPORT SCHLIESSERDATEN'!$R7&lt;&gt;""),1,0)  +  IF(AND('IMPORT SCHLIESSERDATEN'!$P7='IMPORT SCHLIESSERDATEN'!$S7,'IMPORT SCHLIESSERDATEN'!$P7&lt;&gt;"",'IMPORT SCHLIESSERDATEN'!$S7&lt;&gt;""),2,0)   +  IF(AND('IMPORT SCHLIESSERDATEN'!$O7='IMPORT SCHLIESSERDATEN'!$S7,'IMPORT SCHLIESSERDATEN'!$O7&lt;&gt;"",'IMPORT SCHLIESSERDATEN'!$S7&lt;&gt;""),4,0)   +  IF(AND('IMPORT SCHLIESSERDATEN'!$P7='IMPORT SCHLIESSERDATEN'!$R7,'IMPORT SCHLIESSERDATEN'!$P7&lt;&gt;"",'IMPORT SCHLIESSERDATEN'!$R7&lt;&gt;""),8,0)   +  IF('IMPORT SCHLIESSERDATEN'!$Q7&lt;&gt;"",IF('IMPORT SCHLIESSERDATEN'!$R7&lt;&gt;"",32,0) + IF('IMPORT SCHLIESSERDATEN'!$S7&lt;&gt;"",64,0),0)  +  IF('IMPORT SCHLIESSERDATEN'!$T7&lt;&gt;"",IF('IMPORT SCHLIESSERDATEN'!$Q7&lt;&gt;"",128+256,128),0)</f>
        <v>3</v>
      </c>
      <c r="H15" s="74">
        <f>IF('IMPORT SCHLIESSERDATEN'!$H7="",0,1) + IF('IMPORT SCHLIESSERDATEN'!$I7="",0,2) + IF('IMPORT SCHLIESSERDATEN'!$J7="",0,4) + IF('IMPORT SCHLIESSERDATEN'!$K7="",0,8) + IF('IMPORT SCHLIESSERDATEN'!$L7="",0,16) + IF('IMPORT SCHLIESSERDATEN'!$M7="",0,32) + IF('IMPORT SCHLIESSERDATEN'!$N7="",0,64)</f>
        <v>4</v>
      </c>
      <c r="I15" s="74">
        <f>IF('IMPORT SCHLIESSERDATEN'!$D7="",0,1) + IF('IMPORT SCHLIESSERDATEN'!$E7="",0,2) + IF('IMPORT SCHLIESSERDATEN'!$E7="S",4,0)</f>
        <v>1</v>
      </c>
      <c r="J15" s="74">
        <f>IF(ISERR(FIND(" Gangfl.",'IMPORT SCHLIESSERDATEN'!$B7)),IF(ISERR(FIND(" Standfl.",'IMPORT SCHLIESSERDATEN'!$B7)),0,2),1)</f>
        <v>0</v>
      </c>
      <c r="K15" s="74">
        <f>'IMPORT SCHLIESSERDATEN'!CL7</f>
        <v>86</v>
      </c>
      <c r="L15" s="74">
        <f>'IMPORT SCHLIESSERDATEN'!CN7</f>
        <v>4</v>
      </c>
      <c r="M15" s="74">
        <f>IF('IMPORT SCHLIESSERDATEN'!CS7="wie TS",-1,'IMPORT SCHLIESSERDATEN'!CS7)</f>
        <v>86</v>
      </c>
      <c r="N15" s="74">
        <f>IF(M15&lt;0,-1,'IMPORT SCHLIESSERDATEN'!CU7)</f>
        <v>4</v>
      </c>
      <c r="O15" s="74">
        <f>IF('IMPORT SCHLIESSERDATEN'!CZ7="wie TS",-1,'IMPORT SCHLIESSERDATEN'!CZ7)</f>
        <v>0</v>
      </c>
      <c r="P15" s="74">
        <f>IF(O15&lt;0,-1,'IMPORT SCHLIESSERDATEN'!DB7)</f>
        <v>0</v>
      </c>
      <c r="Q15" s="74">
        <f>'IMPORT SCHLIESSERDATEN'!DG7</f>
        <v>0</v>
      </c>
      <c r="R15" s="74">
        <f>'IMPORT SCHLIESSERDATEN'!DI7</f>
        <v>0</v>
      </c>
      <c r="S15" s="74">
        <f>'IMPORT SCHLIESSERDATEN'!DN7</f>
        <v>0</v>
      </c>
      <c r="T15" s="74">
        <f>IF('IMPORT SCHLIESSERDATEN'!DP7="V",9999,'IMPORT SCHLIESSERDATEN'!DP7)</f>
        <v>0</v>
      </c>
      <c r="U15" s="74">
        <f>'IMPORT SCHLIESSERDATEN'!BW7</f>
        <v>281</v>
      </c>
      <c r="V15" s="74">
        <f>'IMPORT SCHLIESSERDATEN'!BX7</f>
        <v>47</v>
      </c>
      <c r="W15" s="74">
        <f>'IMPORT SCHLIESSERDATEN'!BY7</f>
        <v>65</v>
      </c>
      <c r="X15" s="74">
        <f>'IMPORT SCHLIESSERDATEN'!CO7</f>
        <v>143</v>
      </c>
      <c r="Y15" s="74">
        <f>'IMPORT SCHLIESSERDATEN'!CQ7</f>
        <v>16</v>
      </c>
      <c r="Z15" s="74">
        <f>'IMPORT SCHLIESSERDATEN'!CV7</f>
        <v>143</v>
      </c>
      <c r="AA15" s="74">
        <f>'IMPORT SCHLIESSERDATEN'!CX7</f>
        <v>16</v>
      </c>
      <c r="AB15" s="74">
        <f>'IMPORT SCHLIESSERDATEN'!DC7</f>
        <v>0</v>
      </c>
      <c r="AC15" s="74">
        <f>'IMPORT SCHLIESSERDATEN'!DE7</f>
        <v>0</v>
      </c>
      <c r="AD15" s="74">
        <f>'IMPORT SCHLIESSERDATEN'!DJ7</f>
        <v>0</v>
      </c>
      <c r="AE15" s="74">
        <f>'IMPORT SCHLIESSERDATEN'!DL7</f>
        <v>0</v>
      </c>
      <c r="AF15" s="74">
        <f>'IMPORT SCHLIESSERDATEN'!DQ7</f>
        <v>0</v>
      </c>
      <c r="AG15" s="74">
        <f>IF('IMPORT SCHLIESSERDATEN'!DS7="V",9999,'IMPORT SCHLIESSERDATEN'!DS7)</f>
        <v>0</v>
      </c>
      <c r="AH15" s="74">
        <f>IF('IMPORT SCHLIESSERDATEN'!BZ7="V",9999,IF('IMPORT SCHLIESSERDATEN'!CD7="_",-1,'IMPORT SCHLIESSERDATEN'!BZ7))</f>
        <v>442</v>
      </c>
      <c r="AI15" s="74">
        <f>IF('IMPORT SCHLIESSERDATEN'!CA7="V",9999,IF('IMPORT SCHLIESSERDATEN'!CD7="_",-1,'IMPORT SCHLIESSERDATEN'!CA7))</f>
        <v>23</v>
      </c>
      <c r="AJ15" s="74">
        <f>IF('IMPORT SCHLIESSERDATEN'!CB7="V",9999,IF('IMPORT SCHLIESSERDATEN'!CD7="_",-1,'IMPORT SCHLIESSERDATEN'!CB7))</f>
        <v>31</v>
      </c>
      <c r="AK15" s="74">
        <f>IF('IMPORT SCHLIESSERDATEN'!CC7="V",9999,IF('IMPORT SCHLIESSERDATEN'!CC7="_",-1,'IMPORT SCHLIESSERDATEN'!CC7))</f>
        <v>16</v>
      </c>
      <c r="AL15" s="74">
        <f>IF('IMPORT SCHLIESSERDATEN'!CD7="_",-1,'IMPORT SCHLIESSERDATEN'!CD7)</f>
        <v>375</v>
      </c>
      <c r="AM15" s="74">
        <f>'IMPORT SCHLIESSERDATEN'!CH7</f>
        <v>86</v>
      </c>
      <c r="AN15" s="74">
        <f>IF('IMPORT SCHLIESSERDATEN'!CE7="V",9999,'IMPORT SCHLIESSERDATEN'!CE7)</f>
        <v>25</v>
      </c>
      <c r="AO15" s="74">
        <f>IF('IMPORT SCHLIESSERDATEN'!CK7="_",-1,'IMPORT SCHLIESSERDATEN'!CK7)</f>
        <v>46</v>
      </c>
      <c r="AP15" s="74">
        <f>IF('IMPORT SCHLIESSERDATEN'!$U7="",0,1)</f>
        <v>0</v>
      </c>
      <c r="AQ15" s="74">
        <f>IF('IMPORT SCHLIESSERDATEN'!$V7="",0,1)</f>
        <v>0</v>
      </c>
      <c r="AR15" s="74">
        <f>IF('IMPORT SCHLIESSERDATEN'!$W7="",0,1)</f>
        <v>0</v>
      </c>
      <c r="AS15" s="74">
        <f>IF('IMPORT SCHLIESSERDATEN'!$AA7="",0,1)</f>
        <v>0</v>
      </c>
      <c r="AT15" s="74">
        <f>IF('IMPORT SCHLIESSERDATEN'!$AD7="",0,1) + IF('IMPORT SCHLIESSERDATEN'!$AE7="",0,2)</f>
        <v>0</v>
      </c>
      <c r="AU15" s="74" t="str">
        <f>IF('IMPORT SCHLIESSERDATEN'!$X7="",IF('IMPORT SCHLIESSERDATEN'!$Y7="","","F"),"V")</f>
        <v/>
      </c>
      <c r="AV15" s="74" t="str">
        <f>IF('IMPORT SCHLIESSERDATEN'!$AB7&lt;&gt;"","M",IF('IMPORT SCHLIESSERDATEN'!$AD7&lt;&gt;"",IF(ISERR(SEARCH("UVIBIS",'IMPORT SCHLIESSERDATEN'!$B7)),"R","B"),IF(OR('IMPORT SCHLIESSERDATEN'!$AC7&lt;&gt;"",'IMPORT SCHLIESSERDATEN'!$AE7&lt;&gt;""),"E","")))</f>
        <v/>
      </c>
      <c r="AW15" s="82"/>
      <c r="AX15" s="67"/>
    </row>
    <row r="16" spans="1:51" x14ac:dyDescent="0.25">
      <c r="A16" s="67">
        <f>IFERROR(IF(C16&lt;&gt;"",MAX($A$2:$A15)+1,""),"")</f>
        <v>4</v>
      </c>
      <c r="B16" s="223">
        <f t="shared" si="1"/>
        <v>4</v>
      </c>
      <c r="C16" s="216" t="str">
        <f>IF(J16=1,SUBSTITUTE('IMPORT SCHLIESSERDATEN'!$B8," Gangfl.",""),IF(J16=2,SUBSTITUTE('IMPORT SCHLIESSERDATEN'!$B8," Standfl.",""),'IMPORT SCHLIESSERDATEN'!$B8))</f>
        <v>TS 91 RF EN 3</v>
      </c>
      <c r="D16" s="216" t="str">
        <f>IF('IMPORT SCHLIESSERDATEN'!$AF8&lt;&gt;"",IF(COUNTA('IMPORT SCHLIESSERDATEN'!$AN8:$AU8)&gt;0,"X","G"),IF('IMPORT SCHLIESSERDATEN'!$AG8&lt;&gt;"","S",IF('IMPORT SCHLIESSERDATEN'!$AH8&lt;&gt;"","I",IF('IMPORT SCHLIESSERDATEN'!$AI8&lt;&gt;"","B",IF('IMPORT SCHLIESSERDATEN'!$AJ8&lt;&gt;"","D","")))))</f>
        <v>G</v>
      </c>
      <c r="E16" s="248" t="str">
        <f>'IMPORT SCHLIESSERDATEN'!AK8 &amp; IF('IMPORT SCHLIESSERDATEN'!AL8="",""," "&amp; 'IMPORT SCHLIESSERDATEN'!AL8)</f>
        <v>91 B</v>
      </c>
      <c r="F16" s="74">
        <f>IFERROR(IF(D16="X",2^(MATCH("",'IMPORT SCHLIESSERDATEN'!$AN8:$AU8,-1)-1),IF(AV16="F",2^(MATCH("",'IMPORT SCHLIESSERDATEN'!$BH8:$BK8,-1)-1),2^(MATCH("",'IMPORT SCHLIESSERDATEN'!$AV8:$BG8,-1)-1))),0)</f>
        <v>2</v>
      </c>
      <c r="G16" s="74">
        <f>IF(AND('IMPORT SCHLIESSERDATEN'!$O8='IMPORT SCHLIESSERDATEN'!$R8,'IMPORT SCHLIESSERDATEN'!$O8&lt;&gt;"",'IMPORT SCHLIESSERDATEN'!$R8&lt;&gt;""),1,0)  +  IF(AND('IMPORT SCHLIESSERDATEN'!$P8='IMPORT SCHLIESSERDATEN'!$S8,'IMPORT SCHLIESSERDATEN'!$P8&lt;&gt;"",'IMPORT SCHLIESSERDATEN'!$S8&lt;&gt;""),2,0)   +  IF(AND('IMPORT SCHLIESSERDATEN'!$O8='IMPORT SCHLIESSERDATEN'!$S8,'IMPORT SCHLIESSERDATEN'!$O8&lt;&gt;"",'IMPORT SCHLIESSERDATEN'!$S8&lt;&gt;""),4,0)   +  IF(AND('IMPORT SCHLIESSERDATEN'!$P8='IMPORT SCHLIESSERDATEN'!$R8,'IMPORT SCHLIESSERDATEN'!$P8&lt;&gt;"",'IMPORT SCHLIESSERDATEN'!$R8&lt;&gt;""),8,0)   +  IF('IMPORT SCHLIESSERDATEN'!$Q8&lt;&gt;"",IF('IMPORT SCHLIESSERDATEN'!$R8&lt;&gt;"",32,0) + IF('IMPORT SCHLIESSERDATEN'!$S8&lt;&gt;"",64,0),0)  +  IF('IMPORT SCHLIESSERDATEN'!$T8&lt;&gt;"",IF('IMPORT SCHLIESSERDATEN'!$Q8&lt;&gt;"",128+256,128),0)</f>
        <v>3</v>
      </c>
      <c r="H16" s="74">
        <f>IF('IMPORT SCHLIESSERDATEN'!$H8="",0,1) + IF('IMPORT SCHLIESSERDATEN'!$I8="",0,2) + IF('IMPORT SCHLIESSERDATEN'!$J8="",0,4) + IF('IMPORT SCHLIESSERDATEN'!$K8="",0,8) + IF('IMPORT SCHLIESSERDATEN'!$L8="",0,16) + IF('IMPORT SCHLIESSERDATEN'!$M8="",0,32) + IF('IMPORT SCHLIESSERDATEN'!$N8="",0,64)</f>
        <v>4</v>
      </c>
      <c r="I16" s="74">
        <f>IF('IMPORT SCHLIESSERDATEN'!$D8="",0,1) + IF('IMPORT SCHLIESSERDATEN'!$E8="",0,2) + IF('IMPORT SCHLIESSERDATEN'!$E8="S",4,0)</f>
        <v>1</v>
      </c>
      <c r="J16" s="74">
        <f>IF(ISERR(FIND(" Gangfl.",'IMPORT SCHLIESSERDATEN'!$B8)),IF(ISERR(FIND(" Standfl.",'IMPORT SCHLIESSERDATEN'!$B8)),0,2),1)</f>
        <v>0</v>
      </c>
      <c r="K16" s="74">
        <f>'IMPORT SCHLIESSERDATEN'!CL8</f>
        <v>86</v>
      </c>
      <c r="L16" s="74">
        <f>'IMPORT SCHLIESSERDATEN'!CN8</f>
        <v>4</v>
      </c>
      <c r="M16" s="74">
        <f>IF('IMPORT SCHLIESSERDATEN'!CS8="wie TS",-1,'IMPORT SCHLIESSERDATEN'!CS8)</f>
        <v>86</v>
      </c>
      <c r="N16" s="74">
        <f>IF(M16&lt;0,-1,'IMPORT SCHLIESSERDATEN'!CU8)</f>
        <v>4</v>
      </c>
      <c r="O16" s="74">
        <f>IF('IMPORT SCHLIESSERDATEN'!CZ8="wie TS",-1,'IMPORT SCHLIESSERDATEN'!CZ8)</f>
        <v>0</v>
      </c>
      <c r="P16" s="74">
        <f>IF(O16&lt;0,-1,'IMPORT SCHLIESSERDATEN'!DB8)</f>
        <v>0</v>
      </c>
      <c r="Q16" s="74">
        <f>'IMPORT SCHLIESSERDATEN'!DG8</f>
        <v>0</v>
      </c>
      <c r="R16" s="74">
        <f>'IMPORT SCHLIESSERDATEN'!DI8</f>
        <v>0</v>
      </c>
      <c r="S16" s="74">
        <f>'IMPORT SCHLIESSERDATEN'!DN8</f>
        <v>0</v>
      </c>
      <c r="T16" s="74">
        <f>IF('IMPORT SCHLIESSERDATEN'!DP8="V",9999,'IMPORT SCHLIESSERDATEN'!DP8)</f>
        <v>0</v>
      </c>
      <c r="U16" s="74">
        <f>'IMPORT SCHLIESSERDATEN'!BW8</f>
        <v>281</v>
      </c>
      <c r="V16" s="74">
        <f>'IMPORT SCHLIESSERDATEN'!BX8</f>
        <v>47</v>
      </c>
      <c r="W16" s="74">
        <f>'IMPORT SCHLIESSERDATEN'!BY8</f>
        <v>65</v>
      </c>
      <c r="X16" s="74">
        <f>'IMPORT SCHLIESSERDATEN'!CO8</f>
        <v>143</v>
      </c>
      <c r="Y16" s="74">
        <f>'IMPORT SCHLIESSERDATEN'!CQ8</f>
        <v>16</v>
      </c>
      <c r="Z16" s="74">
        <f>'IMPORT SCHLIESSERDATEN'!CV8</f>
        <v>143</v>
      </c>
      <c r="AA16" s="74">
        <f>'IMPORT SCHLIESSERDATEN'!CX8</f>
        <v>16</v>
      </c>
      <c r="AB16" s="74">
        <f>'IMPORT SCHLIESSERDATEN'!DC8</f>
        <v>0</v>
      </c>
      <c r="AC16" s="74">
        <f>'IMPORT SCHLIESSERDATEN'!DE8</f>
        <v>0</v>
      </c>
      <c r="AD16" s="74">
        <f>'IMPORT SCHLIESSERDATEN'!DJ8</f>
        <v>0</v>
      </c>
      <c r="AE16" s="74">
        <f>'IMPORT SCHLIESSERDATEN'!DL8</f>
        <v>0</v>
      </c>
      <c r="AF16" s="74">
        <f>'IMPORT SCHLIESSERDATEN'!DQ8</f>
        <v>0</v>
      </c>
      <c r="AG16" s="74">
        <f>IF('IMPORT SCHLIESSERDATEN'!DS8="V",9999,'IMPORT SCHLIESSERDATEN'!DS8)</f>
        <v>0</v>
      </c>
      <c r="AH16" s="74">
        <f>IF('IMPORT SCHLIESSERDATEN'!BZ8="V",9999,IF('IMPORT SCHLIESSERDATEN'!CD8="_",-1,'IMPORT SCHLIESSERDATEN'!BZ8))</f>
        <v>442</v>
      </c>
      <c r="AI16" s="74">
        <f>IF('IMPORT SCHLIESSERDATEN'!CA8="V",9999,IF('IMPORT SCHLIESSERDATEN'!CD8="_",-1,'IMPORT SCHLIESSERDATEN'!CA8))</f>
        <v>23</v>
      </c>
      <c r="AJ16" s="74">
        <f>IF('IMPORT SCHLIESSERDATEN'!CB8="V",9999,IF('IMPORT SCHLIESSERDATEN'!CD8="_",-1,'IMPORT SCHLIESSERDATEN'!CB8))</f>
        <v>31</v>
      </c>
      <c r="AK16" s="74">
        <f>IF('IMPORT SCHLIESSERDATEN'!CC8="V",9999,IF('IMPORT SCHLIESSERDATEN'!CC8="_",-1,'IMPORT SCHLIESSERDATEN'!CC8))</f>
        <v>16</v>
      </c>
      <c r="AL16" s="74">
        <f>IF('IMPORT SCHLIESSERDATEN'!CD8="_",-1,'IMPORT SCHLIESSERDATEN'!CD8)</f>
        <v>375</v>
      </c>
      <c r="AM16" s="74">
        <f>'IMPORT SCHLIESSERDATEN'!CH8</f>
        <v>86</v>
      </c>
      <c r="AN16" s="74">
        <f>IF('IMPORT SCHLIESSERDATEN'!CE8="V",9999,'IMPORT SCHLIESSERDATEN'!CE8)</f>
        <v>25</v>
      </c>
      <c r="AO16" s="74">
        <f>IF('IMPORT SCHLIESSERDATEN'!CK8="_",-1,'IMPORT SCHLIESSERDATEN'!CK8)</f>
        <v>60</v>
      </c>
      <c r="AP16" s="74">
        <f>IF('IMPORT SCHLIESSERDATEN'!$U8="",0,1)</f>
        <v>0</v>
      </c>
      <c r="AQ16" s="74">
        <f>IF('IMPORT SCHLIESSERDATEN'!$V8="",0,1)</f>
        <v>0</v>
      </c>
      <c r="AR16" s="74">
        <f>IF('IMPORT SCHLIESSERDATEN'!$W8="",0,1)</f>
        <v>0</v>
      </c>
      <c r="AS16" s="74">
        <f>IF('IMPORT SCHLIESSERDATEN'!$AA8="",0,1)</f>
        <v>0</v>
      </c>
      <c r="AT16" s="74">
        <f>IF('IMPORT SCHLIESSERDATEN'!$AD8="",0,1) + IF('IMPORT SCHLIESSERDATEN'!$AE8="",0,2)</f>
        <v>0</v>
      </c>
      <c r="AU16" s="74" t="str">
        <f>IF('IMPORT SCHLIESSERDATEN'!$X8="",IF('IMPORT SCHLIESSERDATEN'!$Y8="","","F"),"V")</f>
        <v/>
      </c>
      <c r="AV16" s="74" t="str">
        <f>IF('IMPORT SCHLIESSERDATEN'!$AB8&lt;&gt;"","M",IF('IMPORT SCHLIESSERDATEN'!$AD8&lt;&gt;"",IF(ISERR(SEARCH("UVIBIS",'IMPORT SCHLIESSERDATEN'!$B8)),"R","B"),IF(OR('IMPORT SCHLIESSERDATEN'!$AC8&lt;&gt;"",'IMPORT SCHLIESSERDATEN'!$AE8&lt;&gt;""),"E","")))</f>
        <v>M</v>
      </c>
      <c r="AW16" s="82"/>
      <c r="AX16" s="67"/>
    </row>
    <row r="17" spans="1:50" x14ac:dyDescent="0.25">
      <c r="A17" s="67">
        <f>IFERROR(IF(C17&lt;&gt;"",MAX($A$2:$A16)+1,""),"")</f>
        <v>5</v>
      </c>
      <c r="B17" s="223">
        <f t="shared" si="1"/>
        <v>5</v>
      </c>
      <c r="C17" s="216" t="str">
        <f>IF(J17=1,SUBSTITUTE('IMPORT SCHLIESSERDATEN'!$B9," Gangfl.",""),IF(J17=2,SUBSTITUTE('IMPORT SCHLIESSERDATEN'!$B9," Standfl.",""),'IMPORT SCHLIESSERDATEN'!$B9))</f>
        <v>TS 92 XEA EN 1-4</v>
      </c>
      <c r="D17" s="216" t="str">
        <f>IF('IMPORT SCHLIESSERDATEN'!$AF9&lt;&gt;"",IF(COUNTA('IMPORT SCHLIESSERDATEN'!$AN9:$AU9)&gt;0,"X","G"),IF('IMPORT SCHLIESSERDATEN'!$AG9&lt;&gt;"","S",IF('IMPORT SCHLIESSERDATEN'!$AH9&lt;&gt;"","I",IF('IMPORT SCHLIESSERDATEN'!$AI9&lt;&gt;"","B",IF('IMPORT SCHLIESSERDATEN'!$AJ9&lt;&gt;"","D","")))))</f>
        <v>X</v>
      </c>
      <c r="E17" s="248" t="str">
        <f>'IMPORT SCHLIESSERDATEN'!AK9 &amp; IF('IMPORT SCHLIESSERDATEN'!AL9="",""," "&amp; 'IMPORT SCHLIESSERDATEN'!AL9)</f>
        <v>92 B</v>
      </c>
      <c r="F17" s="74">
        <f>IFERROR(IF(D17="X",2^(MATCH("",'IMPORT SCHLIESSERDATEN'!$AN9:$AU9,-1)-1),IF(AV17="F",2^(MATCH("",'IMPORT SCHLIESSERDATEN'!$BH9:$BK9,-1)-1),2^(MATCH("",'IMPORT SCHLIESSERDATEN'!$AV9:$BG9,-1)-1))),0)</f>
        <v>1</v>
      </c>
      <c r="G17" s="74">
        <f>IF(AND('IMPORT SCHLIESSERDATEN'!$O9='IMPORT SCHLIESSERDATEN'!$R9,'IMPORT SCHLIESSERDATEN'!$O9&lt;&gt;"",'IMPORT SCHLIESSERDATEN'!$R9&lt;&gt;""),1,0)  +  IF(AND('IMPORT SCHLIESSERDATEN'!$P9='IMPORT SCHLIESSERDATEN'!$S9,'IMPORT SCHLIESSERDATEN'!$P9&lt;&gt;"",'IMPORT SCHLIESSERDATEN'!$S9&lt;&gt;""),2,0)   +  IF(AND('IMPORT SCHLIESSERDATEN'!$O9='IMPORT SCHLIESSERDATEN'!$S9,'IMPORT SCHLIESSERDATEN'!$O9&lt;&gt;"",'IMPORT SCHLIESSERDATEN'!$S9&lt;&gt;""),4,0)   +  IF(AND('IMPORT SCHLIESSERDATEN'!$P9='IMPORT SCHLIESSERDATEN'!$R9,'IMPORT SCHLIESSERDATEN'!$P9&lt;&gt;"",'IMPORT SCHLIESSERDATEN'!$R9&lt;&gt;""),8,0)   +  IF('IMPORT SCHLIESSERDATEN'!$Q9&lt;&gt;"",IF('IMPORT SCHLIESSERDATEN'!$R9&lt;&gt;"",32,0) + IF('IMPORT SCHLIESSERDATEN'!$S9&lt;&gt;"",64,0),0)  +  IF('IMPORT SCHLIESSERDATEN'!$T9&lt;&gt;"",IF('IMPORT SCHLIESSERDATEN'!$Q9&lt;&gt;"",128+256,128),0)</f>
        <v>3</v>
      </c>
      <c r="H17" s="74">
        <f>IF('IMPORT SCHLIESSERDATEN'!$H9="",0,1) + IF('IMPORT SCHLIESSERDATEN'!$I9="",0,2) + IF('IMPORT SCHLIESSERDATEN'!$J9="",0,4) + IF('IMPORT SCHLIESSERDATEN'!$K9="",0,8) + IF('IMPORT SCHLIESSERDATEN'!$L9="",0,16) + IF('IMPORT SCHLIESSERDATEN'!$M9="",0,32) + IF('IMPORT SCHLIESSERDATEN'!$N9="",0,64)</f>
        <v>15</v>
      </c>
      <c r="I17" s="74">
        <f>IF('IMPORT SCHLIESSERDATEN'!$D9="",0,1) + IF('IMPORT SCHLIESSERDATEN'!$E9="",0,2) + IF('IMPORT SCHLIESSERDATEN'!$E9="S",4,0)</f>
        <v>1</v>
      </c>
      <c r="J17" s="74">
        <f>IF(ISERR(FIND(" Gangfl.",'IMPORT SCHLIESSERDATEN'!$B9)),IF(ISERR(FIND(" Standfl.",'IMPORT SCHLIESSERDATEN'!$B9)),0,2),1)</f>
        <v>0</v>
      </c>
      <c r="K17" s="74">
        <f>'IMPORT SCHLIESSERDATEN'!CL9</f>
        <v>86</v>
      </c>
      <c r="L17" s="74">
        <f>'IMPORT SCHLIESSERDATEN'!CN9</f>
        <v>4</v>
      </c>
      <c r="M17" s="74">
        <f>IF('IMPORT SCHLIESSERDATEN'!CS9="wie TS",-1,'IMPORT SCHLIESSERDATEN'!CS9)</f>
        <v>74</v>
      </c>
      <c r="N17" s="74">
        <f>IF(M17&lt;0,-1,'IMPORT SCHLIESSERDATEN'!CU9)</f>
        <v>4</v>
      </c>
      <c r="O17" s="74">
        <f>IF('IMPORT SCHLIESSERDATEN'!CZ9="wie TS",-1,'IMPORT SCHLIESSERDATEN'!CZ9)</f>
        <v>0</v>
      </c>
      <c r="P17" s="74">
        <f>IF(O17&lt;0,-1,'IMPORT SCHLIESSERDATEN'!DB9)</f>
        <v>0</v>
      </c>
      <c r="Q17" s="74">
        <f>'IMPORT SCHLIESSERDATEN'!DG9</f>
        <v>0</v>
      </c>
      <c r="R17" s="74">
        <f>'IMPORT SCHLIESSERDATEN'!DI9</f>
        <v>0</v>
      </c>
      <c r="S17" s="74">
        <f>'IMPORT SCHLIESSERDATEN'!DN9</f>
        <v>0</v>
      </c>
      <c r="T17" s="74">
        <f>IF('IMPORT SCHLIESSERDATEN'!DP9="V",9999,'IMPORT SCHLIESSERDATEN'!DP9)</f>
        <v>0</v>
      </c>
      <c r="U17" s="74">
        <f>'IMPORT SCHLIESSERDATEN'!BW9</f>
        <v>305</v>
      </c>
      <c r="V17" s="74">
        <f>'IMPORT SCHLIESSERDATEN'!BX9</f>
        <v>50</v>
      </c>
      <c r="W17" s="74">
        <f>'IMPORT SCHLIESSERDATEN'!BY9</f>
        <v>65</v>
      </c>
      <c r="X17" s="74">
        <f>'IMPORT SCHLIESSERDATEN'!CO9</f>
        <v>74</v>
      </c>
      <c r="Y17" s="74">
        <f>'IMPORT SCHLIESSERDATEN'!CQ9</f>
        <v>12</v>
      </c>
      <c r="Z17" s="74">
        <f>'IMPORT SCHLIESSERDATEN'!CV9</f>
        <v>74</v>
      </c>
      <c r="AA17" s="74">
        <f>'IMPORT SCHLIESSERDATEN'!CX9</f>
        <v>12</v>
      </c>
      <c r="AB17" s="74">
        <f>'IMPORT SCHLIESSERDATEN'!DC9</f>
        <v>0</v>
      </c>
      <c r="AC17" s="74">
        <f>'IMPORT SCHLIESSERDATEN'!DE9</f>
        <v>0</v>
      </c>
      <c r="AD17" s="74">
        <f>'IMPORT SCHLIESSERDATEN'!DJ9</f>
        <v>0</v>
      </c>
      <c r="AE17" s="74">
        <f>'IMPORT SCHLIESSERDATEN'!DL9</f>
        <v>0</v>
      </c>
      <c r="AF17" s="74">
        <f>'IMPORT SCHLIESSERDATEN'!DQ9</f>
        <v>0</v>
      </c>
      <c r="AG17" s="74">
        <f>IF('IMPORT SCHLIESSERDATEN'!DS9="V",9999,'IMPORT SCHLIESSERDATEN'!DS9)</f>
        <v>0</v>
      </c>
      <c r="AH17" s="74">
        <f>IF('IMPORT SCHLIESSERDATEN'!BZ9="V",9999,IF('IMPORT SCHLIESSERDATEN'!CD9="_",-1,'IMPORT SCHLIESSERDATEN'!BZ9))</f>
        <v>518</v>
      </c>
      <c r="AI17" s="74">
        <f>IF('IMPORT SCHLIESSERDATEN'!CA9="V",9999,IF('IMPORT SCHLIESSERDATEN'!CD9="_",-1,'IMPORT SCHLIESSERDATEN'!CA9))</f>
        <v>23</v>
      </c>
      <c r="AJ17" s="74">
        <f>IF('IMPORT SCHLIESSERDATEN'!CB9="V",9999,IF('IMPORT SCHLIESSERDATEN'!CD9="_",-1,'IMPORT SCHLIESSERDATEN'!CB9))</f>
        <v>32</v>
      </c>
      <c r="AK17" s="74">
        <f>IF('IMPORT SCHLIESSERDATEN'!CC9="V",9999,IF('IMPORT SCHLIESSERDATEN'!CC9="_",-1,'IMPORT SCHLIESSERDATEN'!CC9))</f>
        <v>16</v>
      </c>
      <c r="AL17" s="74">
        <f>IF('IMPORT SCHLIESSERDATEN'!CD9="_",-1,'IMPORT SCHLIESSERDATEN'!CD9)</f>
        <v>375</v>
      </c>
      <c r="AM17" s="74">
        <f>'IMPORT SCHLIESSERDATEN'!CH9</f>
        <v>89</v>
      </c>
      <c r="AN17" s="74">
        <f>IF('IMPORT SCHLIESSERDATEN'!CE9="V",9999,'IMPORT SCHLIESSERDATEN'!CE9)</f>
        <v>25</v>
      </c>
      <c r="AO17" s="74">
        <f>IF('IMPORT SCHLIESSERDATEN'!CK9="_",-1,'IMPORT SCHLIESSERDATEN'!CK9)</f>
        <v>45</v>
      </c>
      <c r="AP17" s="74">
        <f>IF('IMPORT SCHLIESSERDATEN'!$U9="",0,1)</f>
        <v>1</v>
      </c>
      <c r="AQ17" s="74">
        <f>IF('IMPORT SCHLIESSERDATEN'!$V9="",0,1)</f>
        <v>1</v>
      </c>
      <c r="AR17" s="74">
        <f>IF('IMPORT SCHLIESSERDATEN'!$W9="",0,1)</f>
        <v>0</v>
      </c>
      <c r="AS17" s="74">
        <f>IF('IMPORT SCHLIESSERDATEN'!$AA9="",0,1)</f>
        <v>0</v>
      </c>
      <c r="AT17" s="74">
        <f>IF('IMPORT SCHLIESSERDATEN'!$AD9="",0,1) + IF('IMPORT SCHLIESSERDATEN'!$AE9="",0,2)</f>
        <v>0</v>
      </c>
      <c r="AU17" s="74" t="str">
        <f>IF('IMPORT SCHLIESSERDATEN'!$X9="",IF('IMPORT SCHLIESSERDATEN'!$Y9="","","F"),"V")</f>
        <v/>
      </c>
      <c r="AV17" s="74" t="str">
        <f>IF('IMPORT SCHLIESSERDATEN'!$AB9&lt;&gt;"","M",IF('IMPORT SCHLIESSERDATEN'!$AD9&lt;&gt;"",IF(ISERR(SEARCH("UVIBIS",'IMPORT SCHLIESSERDATEN'!$B9)),"R","B"),IF(OR('IMPORT SCHLIESSERDATEN'!$AC9&lt;&gt;"",'IMPORT SCHLIESSERDATEN'!$AE9&lt;&gt;""),"E","")))</f>
        <v/>
      </c>
      <c r="AW17" s="82"/>
      <c r="AX17" s="67"/>
    </row>
    <row r="18" spans="1:50" x14ac:dyDescent="0.25">
      <c r="A18" s="67">
        <f>IFERROR(IF(C18&lt;&gt;"",MAX($A$2:$A17)+1,""),"")</f>
        <v>6</v>
      </c>
      <c r="B18" s="223">
        <f t="shared" si="1"/>
        <v>6</v>
      </c>
      <c r="C18" s="216" t="str">
        <f>IF(J18=1,SUBSTITUTE('IMPORT SCHLIESSERDATEN'!$B10," Gangfl.",""),IF(J18=2,SUBSTITUTE('IMPORT SCHLIESSERDATEN'!$B10," Standfl.",""),'IMPORT SCHLIESSERDATEN'!$B10))</f>
        <v>TS 92 RF XEA EN 1-4</v>
      </c>
      <c r="D18" s="216" t="str">
        <f>IF('IMPORT SCHLIESSERDATEN'!$AF10&lt;&gt;"",IF(COUNTA('IMPORT SCHLIESSERDATEN'!$AN10:$AU10)&gt;0,"X","G"),IF('IMPORT SCHLIESSERDATEN'!$AG10&lt;&gt;"","S",IF('IMPORT SCHLIESSERDATEN'!$AH10&lt;&gt;"","I",IF('IMPORT SCHLIESSERDATEN'!$AI10&lt;&gt;"","B",IF('IMPORT SCHLIESSERDATEN'!$AJ10&lt;&gt;"","D","")))))</f>
        <v>X</v>
      </c>
      <c r="E18" s="248" t="str">
        <f>'IMPORT SCHLIESSERDATEN'!AK10 &amp; IF('IMPORT SCHLIESSERDATEN'!AL10="",""," "&amp; 'IMPORT SCHLIESSERDATEN'!AL10)</f>
        <v>92 B</v>
      </c>
      <c r="F18" s="74">
        <f>IFERROR(IF(D18="X",2^(MATCH("",'IMPORT SCHLIESSERDATEN'!$AN10:$AU10,-1)-1),IF(AV18="F",2^(MATCH("",'IMPORT SCHLIESSERDATEN'!$BH10:$BK10,-1)-1),2^(MATCH("",'IMPORT SCHLIESSERDATEN'!$AV10:$BG10,-1)-1))),0)</f>
        <v>2</v>
      </c>
      <c r="G18" s="74">
        <f>IF(AND('IMPORT SCHLIESSERDATEN'!$O10='IMPORT SCHLIESSERDATEN'!$R10,'IMPORT SCHLIESSERDATEN'!$O10&lt;&gt;"",'IMPORT SCHLIESSERDATEN'!$R10&lt;&gt;""),1,0)  +  IF(AND('IMPORT SCHLIESSERDATEN'!$P10='IMPORT SCHLIESSERDATEN'!$S10,'IMPORT SCHLIESSERDATEN'!$P10&lt;&gt;"",'IMPORT SCHLIESSERDATEN'!$S10&lt;&gt;""),2,0)   +  IF(AND('IMPORT SCHLIESSERDATEN'!$O10='IMPORT SCHLIESSERDATEN'!$S10,'IMPORT SCHLIESSERDATEN'!$O10&lt;&gt;"",'IMPORT SCHLIESSERDATEN'!$S10&lt;&gt;""),4,0)   +  IF(AND('IMPORT SCHLIESSERDATEN'!$P10='IMPORT SCHLIESSERDATEN'!$R10,'IMPORT SCHLIESSERDATEN'!$P10&lt;&gt;"",'IMPORT SCHLIESSERDATEN'!$R10&lt;&gt;""),8,0)   +  IF('IMPORT SCHLIESSERDATEN'!$Q10&lt;&gt;"",IF('IMPORT SCHLIESSERDATEN'!$R10&lt;&gt;"",32,0) + IF('IMPORT SCHLIESSERDATEN'!$S10&lt;&gt;"",64,0),0)  +  IF('IMPORT SCHLIESSERDATEN'!$T10&lt;&gt;"",IF('IMPORT SCHLIESSERDATEN'!$Q10&lt;&gt;"",128+256,128),0)</f>
        <v>3</v>
      </c>
      <c r="H18" s="74">
        <f>IF('IMPORT SCHLIESSERDATEN'!$H10="",0,1) + IF('IMPORT SCHLIESSERDATEN'!$I10="",0,2) + IF('IMPORT SCHLIESSERDATEN'!$J10="",0,4) + IF('IMPORT SCHLIESSERDATEN'!$K10="",0,8) + IF('IMPORT SCHLIESSERDATEN'!$L10="",0,16) + IF('IMPORT SCHLIESSERDATEN'!$M10="",0,32) + IF('IMPORT SCHLIESSERDATEN'!$N10="",0,64)</f>
        <v>15</v>
      </c>
      <c r="I18" s="74">
        <f>IF('IMPORT SCHLIESSERDATEN'!$D10="",0,1) + IF('IMPORT SCHLIESSERDATEN'!$E10="",0,2) + IF('IMPORT SCHLIESSERDATEN'!$E10="S",4,0)</f>
        <v>1</v>
      </c>
      <c r="J18" s="74">
        <f>IF(ISERR(FIND(" Gangfl.",'IMPORT SCHLIESSERDATEN'!$B10)),IF(ISERR(FIND(" Standfl.",'IMPORT SCHLIESSERDATEN'!$B10)),0,2),1)</f>
        <v>0</v>
      </c>
      <c r="K18" s="74">
        <f>'IMPORT SCHLIESSERDATEN'!CL10</f>
        <v>74</v>
      </c>
      <c r="L18" s="74">
        <f>'IMPORT SCHLIESSERDATEN'!CN10</f>
        <v>4</v>
      </c>
      <c r="M18" s="74">
        <f>IF('IMPORT SCHLIESSERDATEN'!CS10="wie TS",-1,'IMPORT SCHLIESSERDATEN'!CS10)</f>
        <v>74</v>
      </c>
      <c r="N18" s="74">
        <f>IF(M18&lt;0,-1,'IMPORT SCHLIESSERDATEN'!CU10)</f>
        <v>4</v>
      </c>
      <c r="O18" s="74">
        <f>IF('IMPORT SCHLIESSERDATEN'!CZ10="wie TS",-1,'IMPORT SCHLIESSERDATEN'!CZ10)</f>
        <v>0</v>
      </c>
      <c r="P18" s="74">
        <f>IF(O18&lt;0,-1,'IMPORT SCHLIESSERDATEN'!DB10)</f>
        <v>0</v>
      </c>
      <c r="Q18" s="74">
        <f>'IMPORT SCHLIESSERDATEN'!DG10</f>
        <v>0</v>
      </c>
      <c r="R18" s="74">
        <f>'IMPORT SCHLIESSERDATEN'!DI10</f>
        <v>0</v>
      </c>
      <c r="S18" s="74">
        <f>'IMPORT SCHLIESSERDATEN'!DN10</f>
        <v>0</v>
      </c>
      <c r="T18" s="74">
        <f>IF('IMPORT SCHLIESSERDATEN'!DP10="V",9999,'IMPORT SCHLIESSERDATEN'!DP10)</f>
        <v>0</v>
      </c>
      <c r="U18" s="74">
        <f>'IMPORT SCHLIESSERDATEN'!BW10</f>
        <v>305</v>
      </c>
      <c r="V18" s="74">
        <f>'IMPORT SCHLIESSERDATEN'!BX10</f>
        <v>50</v>
      </c>
      <c r="W18" s="74">
        <f>'IMPORT SCHLIESSERDATEN'!BY10</f>
        <v>65</v>
      </c>
      <c r="X18" s="74">
        <f>'IMPORT SCHLIESSERDATEN'!CO10</f>
        <v>74</v>
      </c>
      <c r="Y18" s="74">
        <f>'IMPORT SCHLIESSERDATEN'!CQ10</f>
        <v>12</v>
      </c>
      <c r="Z18" s="74">
        <f>'IMPORT SCHLIESSERDATEN'!CV10</f>
        <v>74</v>
      </c>
      <c r="AA18" s="74">
        <f>'IMPORT SCHLIESSERDATEN'!CX10</f>
        <v>12</v>
      </c>
      <c r="AB18" s="74">
        <f>'IMPORT SCHLIESSERDATEN'!DC10</f>
        <v>0</v>
      </c>
      <c r="AC18" s="74">
        <f>'IMPORT SCHLIESSERDATEN'!DE10</f>
        <v>0</v>
      </c>
      <c r="AD18" s="74">
        <f>'IMPORT SCHLIESSERDATEN'!DJ10</f>
        <v>0</v>
      </c>
      <c r="AE18" s="74">
        <f>'IMPORT SCHLIESSERDATEN'!DL10</f>
        <v>0</v>
      </c>
      <c r="AF18" s="74">
        <f>'IMPORT SCHLIESSERDATEN'!DQ10</f>
        <v>0</v>
      </c>
      <c r="AG18" s="74">
        <f>IF('IMPORT SCHLIESSERDATEN'!DS10="V",9999,'IMPORT SCHLIESSERDATEN'!DS10)</f>
        <v>0</v>
      </c>
      <c r="AH18" s="74">
        <f>IF('IMPORT SCHLIESSERDATEN'!BZ10="V",9999,IF('IMPORT SCHLIESSERDATEN'!CD10="_",-1,'IMPORT SCHLIESSERDATEN'!BZ10))</f>
        <v>518</v>
      </c>
      <c r="AI18" s="74">
        <f>IF('IMPORT SCHLIESSERDATEN'!CA10="V",9999,IF('IMPORT SCHLIESSERDATEN'!CD10="_",-1,'IMPORT SCHLIESSERDATEN'!CA10))</f>
        <v>23</v>
      </c>
      <c r="AJ18" s="74">
        <f>IF('IMPORT SCHLIESSERDATEN'!CB10="V",9999,IF('IMPORT SCHLIESSERDATEN'!CD10="_",-1,'IMPORT SCHLIESSERDATEN'!CB10))</f>
        <v>32</v>
      </c>
      <c r="AK18" s="74">
        <f>IF('IMPORT SCHLIESSERDATEN'!CC10="V",9999,IF('IMPORT SCHLIESSERDATEN'!CC10="_",-1,'IMPORT SCHLIESSERDATEN'!CC10))</f>
        <v>16</v>
      </c>
      <c r="AL18" s="74">
        <f>IF('IMPORT SCHLIESSERDATEN'!CD10="_",-1,'IMPORT SCHLIESSERDATEN'!CD10)</f>
        <v>375</v>
      </c>
      <c r="AM18" s="74">
        <f>'IMPORT SCHLIESSERDATEN'!CH10</f>
        <v>101</v>
      </c>
      <c r="AN18" s="74">
        <f>IF('IMPORT SCHLIESSERDATEN'!CE10="V",9999,'IMPORT SCHLIESSERDATEN'!CE10)</f>
        <v>25</v>
      </c>
      <c r="AO18" s="74">
        <f>IF('IMPORT SCHLIESSERDATEN'!CK10="_",-1,'IMPORT SCHLIESSERDATEN'!CK10)</f>
        <v>45</v>
      </c>
      <c r="AP18" s="74">
        <f>IF('IMPORT SCHLIESSERDATEN'!$U10="",0,1)</f>
        <v>0</v>
      </c>
      <c r="AQ18" s="74">
        <f>IF('IMPORT SCHLIESSERDATEN'!$V10="",0,1)</f>
        <v>1</v>
      </c>
      <c r="AR18" s="74">
        <f>IF('IMPORT SCHLIESSERDATEN'!$W10="",0,1)</f>
        <v>0</v>
      </c>
      <c r="AS18" s="74">
        <f>IF('IMPORT SCHLIESSERDATEN'!$AA10="",0,1)</f>
        <v>0</v>
      </c>
      <c r="AT18" s="74">
        <f>IF('IMPORT SCHLIESSERDATEN'!$AD10="",0,1) + IF('IMPORT SCHLIESSERDATEN'!$AE10="",0,2)</f>
        <v>0</v>
      </c>
      <c r="AU18" s="74" t="str">
        <f>IF('IMPORT SCHLIESSERDATEN'!$X10="",IF('IMPORT SCHLIESSERDATEN'!$Y10="","","F"),"V")</f>
        <v/>
      </c>
      <c r="AV18" s="74" t="str">
        <f>IF('IMPORT SCHLIESSERDATEN'!$AB10&lt;&gt;"","M",IF('IMPORT SCHLIESSERDATEN'!$AD10&lt;&gt;"",IF(ISERR(SEARCH("UVIBIS",'IMPORT SCHLIESSERDATEN'!$B10)),"R","B"),IF(OR('IMPORT SCHLIESSERDATEN'!$AC10&lt;&gt;"",'IMPORT SCHLIESSERDATEN'!$AE10&lt;&gt;""),"E","")))</f>
        <v>M</v>
      </c>
      <c r="AW18" s="82"/>
      <c r="AX18" s="67"/>
    </row>
    <row r="19" spans="1:50" x14ac:dyDescent="0.25">
      <c r="A19" s="67">
        <f>IFERROR(IF(C19&lt;&gt;"",MAX($A$2:$A18)+1,""),"")</f>
        <v>7</v>
      </c>
      <c r="B19" s="223">
        <f t="shared" si="1"/>
        <v>7</v>
      </c>
      <c r="C19" s="216" t="str">
        <f>IF(J19=1,SUBSTITUTE('IMPORT SCHLIESSERDATEN'!$B11," Gangfl.",""),IF(J19=2,SUBSTITUTE('IMPORT SCHLIESSERDATEN'!$B11," Standfl.",""),'IMPORT SCHLIESSERDATEN'!$B11))</f>
        <v>TS 92 EN 1-4</v>
      </c>
      <c r="D19" s="216" t="str">
        <f>IF('IMPORT SCHLIESSERDATEN'!$AF11&lt;&gt;"",IF(COUNTA('IMPORT SCHLIESSERDATEN'!$AN11:$AU11)&gt;0,"X","G"),IF('IMPORT SCHLIESSERDATEN'!$AG11&lt;&gt;"","S",IF('IMPORT SCHLIESSERDATEN'!$AH11&lt;&gt;"","I",IF('IMPORT SCHLIESSERDATEN'!$AI11&lt;&gt;"","B",IF('IMPORT SCHLIESSERDATEN'!$AJ11&lt;&gt;"","D","")))))</f>
        <v>G</v>
      </c>
      <c r="E19" s="248" t="str">
        <f>'IMPORT SCHLIESSERDATEN'!AK11 &amp; IF('IMPORT SCHLIESSERDATEN'!AL11="",""," "&amp; 'IMPORT SCHLIESSERDATEN'!AL11)</f>
        <v>92 B</v>
      </c>
      <c r="F19" s="74">
        <f>IFERROR(IF(D19="X",2^(MATCH("",'IMPORT SCHLIESSERDATEN'!$AN11:$AU11,-1)-1),IF(AV19="F",2^(MATCH("",'IMPORT SCHLIESSERDATEN'!$BH11:$BK11,-1)-1),2^(MATCH("",'IMPORT SCHLIESSERDATEN'!$AV11:$BG11,-1)-1))),0)</f>
        <v>1</v>
      </c>
      <c r="G19" s="74">
        <f>IF(AND('IMPORT SCHLIESSERDATEN'!$O11='IMPORT SCHLIESSERDATEN'!$R11,'IMPORT SCHLIESSERDATEN'!$O11&lt;&gt;"",'IMPORT SCHLIESSERDATEN'!$R11&lt;&gt;""),1,0)  +  IF(AND('IMPORT SCHLIESSERDATEN'!$P11='IMPORT SCHLIESSERDATEN'!$S11,'IMPORT SCHLIESSERDATEN'!$P11&lt;&gt;"",'IMPORT SCHLIESSERDATEN'!$S11&lt;&gt;""),2,0)   +  IF(AND('IMPORT SCHLIESSERDATEN'!$O11='IMPORT SCHLIESSERDATEN'!$S11,'IMPORT SCHLIESSERDATEN'!$O11&lt;&gt;"",'IMPORT SCHLIESSERDATEN'!$S11&lt;&gt;""),4,0)   +  IF(AND('IMPORT SCHLIESSERDATEN'!$P11='IMPORT SCHLIESSERDATEN'!$R11,'IMPORT SCHLIESSERDATEN'!$P11&lt;&gt;"",'IMPORT SCHLIESSERDATEN'!$R11&lt;&gt;""),8,0)   +  IF('IMPORT SCHLIESSERDATEN'!$Q11&lt;&gt;"",IF('IMPORT SCHLIESSERDATEN'!$R11&lt;&gt;"",32,0) + IF('IMPORT SCHLIESSERDATEN'!$S11&lt;&gt;"",64,0),0)  +  IF('IMPORT SCHLIESSERDATEN'!$T11&lt;&gt;"",IF('IMPORT SCHLIESSERDATEN'!$Q11&lt;&gt;"",128+256,128),0)</f>
        <v>3</v>
      </c>
      <c r="H19" s="74">
        <f>IF('IMPORT SCHLIESSERDATEN'!$H11="",0,1) + IF('IMPORT SCHLIESSERDATEN'!$I11="",0,2) + IF('IMPORT SCHLIESSERDATEN'!$J11="",0,4) + IF('IMPORT SCHLIESSERDATEN'!$K11="",0,8) + IF('IMPORT SCHLIESSERDATEN'!$L11="",0,16) + IF('IMPORT SCHLIESSERDATEN'!$M11="",0,32) + IF('IMPORT SCHLIESSERDATEN'!$N11="",0,64)</f>
        <v>15</v>
      </c>
      <c r="I19" s="74">
        <f>IF('IMPORT SCHLIESSERDATEN'!$D11="",0,1) + IF('IMPORT SCHLIESSERDATEN'!$E11="",0,2) + IF('IMPORT SCHLIESSERDATEN'!$E11="S",4,0)</f>
        <v>1</v>
      </c>
      <c r="J19" s="74">
        <f>IF(ISERR(FIND(" Gangfl.",'IMPORT SCHLIESSERDATEN'!$B11)),IF(ISERR(FIND(" Standfl.",'IMPORT SCHLIESSERDATEN'!$B11)),0,2),1)</f>
        <v>0</v>
      </c>
      <c r="K19" s="74">
        <f>'IMPORT SCHLIESSERDATEN'!CL11</f>
        <v>74</v>
      </c>
      <c r="L19" s="74">
        <f>'IMPORT SCHLIESSERDATEN'!CN11</f>
        <v>4</v>
      </c>
      <c r="M19" s="74">
        <f>IF('IMPORT SCHLIESSERDATEN'!CS11="wie TS",-1,'IMPORT SCHLIESSERDATEN'!CS11)</f>
        <v>86</v>
      </c>
      <c r="N19" s="74">
        <f>IF(M19&lt;0,-1,'IMPORT SCHLIESSERDATEN'!CU11)</f>
        <v>4</v>
      </c>
      <c r="O19" s="74">
        <f>IF('IMPORT SCHLIESSERDATEN'!CZ11="wie TS",-1,'IMPORT SCHLIESSERDATEN'!CZ11)</f>
        <v>0</v>
      </c>
      <c r="P19" s="74">
        <f>IF(O19&lt;0,-1,'IMPORT SCHLIESSERDATEN'!DB11)</f>
        <v>0</v>
      </c>
      <c r="Q19" s="74">
        <f>'IMPORT SCHLIESSERDATEN'!DG11</f>
        <v>0</v>
      </c>
      <c r="R19" s="74">
        <f>'IMPORT SCHLIESSERDATEN'!DI11</f>
        <v>0</v>
      </c>
      <c r="S19" s="74">
        <f>'IMPORT SCHLIESSERDATEN'!DN11</f>
        <v>0</v>
      </c>
      <c r="T19" s="74">
        <f>IF('IMPORT SCHLIESSERDATEN'!DP11="V",9999,'IMPORT SCHLIESSERDATEN'!DP11)</f>
        <v>0</v>
      </c>
      <c r="U19" s="74">
        <f>'IMPORT SCHLIESSERDATEN'!BW11</f>
        <v>281</v>
      </c>
      <c r="V19" s="74">
        <f>'IMPORT SCHLIESSERDATEN'!BX11</f>
        <v>47</v>
      </c>
      <c r="W19" s="74">
        <f>'IMPORT SCHLIESSERDATEN'!BY11</f>
        <v>65</v>
      </c>
      <c r="X19" s="74">
        <f>'IMPORT SCHLIESSERDATEN'!CO11</f>
        <v>143</v>
      </c>
      <c r="Y19" s="74">
        <f>'IMPORT SCHLIESSERDATEN'!CQ11</f>
        <v>16</v>
      </c>
      <c r="Z19" s="74">
        <f>'IMPORT SCHLIESSERDATEN'!CV11</f>
        <v>143</v>
      </c>
      <c r="AA19" s="74">
        <f>'IMPORT SCHLIESSERDATEN'!CX11</f>
        <v>16</v>
      </c>
      <c r="AB19" s="74">
        <f>'IMPORT SCHLIESSERDATEN'!DC11</f>
        <v>0</v>
      </c>
      <c r="AC19" s="74">
        <f>'IMPORT SCHLIESSERDATEN'!DE11</f>
        <v>0</v>
      </c>
      <c r="AD19" s="74">
        <f>'IMPORT SCHLIESSERDATEN'!DJ11</f>
        <v>0</v>
      </c>
      <c r="AE19" s="74">
        <f>'IMPORT SCHLIESSERDATEN'!DL11</f>
        <v>0</v>
      </c>
      <c r="AF19" s="74">
        <f>'IMPORT SCHLIESSERDATEN'!DQ11</f>
        <v>0</v>
      </c>
      <c r="AG19" s="74">
        <f>IF('IMPORT SCHLIESSERDATEN'!DS11="V",9999,'IMPORT SCHLIESSERDATEN'!DS11)</f>
        <v>0</v>
      </c>
      <c r="AH19" s="74">
        <f>IF('IMPORT SCHLIESSERDATEN'!BZ11="V",9999,IF('IMPORT SCHLIESSERDATEN'!CD11="_",-1,'IMPORT SCHLIESSERDATEN'!BZ11))</f>
        <v>442</v>
      </c>
      <c r="AI19" s="74">
        <f>IF('IMPORT SCHLIESSERDATEN'!CA11="V",9999,IF('IMPORT SCHLIESSERDATEN'!CD11="_",-1,'IMPORT SCHLIESSERDATEN'!CA11))</f>
        <v>23</v>
      </c>
      <c r="AJ19" s="74">
        <f>IF('IMPORT SCHLIESSERDATEN'!CB11="V",9999,IF('IMPORT SCHLIESSERDATEN'!CD11="_",-1,'IMPORT SCHLIESSERDATEN'!CB11))</f>
        <v>31</v>
      </c>
      <c r="AK19" s="74">
        <f>IF('IMPORT SCHLIESSERDATEN'!CC11="V",9999,IF('IMPORT SCHLIESSERDATEN'!CC11="_",-1,'IMPORT SCHLIESSERDATEN'!CC11))</f>
        <v>16</v>
      </c>
      <c r="AL19" s="74">
        <f>IF('IMPORT SCHLIESSERDATEN'!CD11="_",-1,'IMPORT SCHLIESSERDATEN'!CD11)</f>
        <v>375</v>
      </c>
      <c r="AM19" s="74">
        <f>'IMPORT SCHLIESSERDATEN'!CH11</f>
        <v>101</v>
      </c>
      <c r="AN19" s="74">
        <f>IF('IMPORT SCHLIESSERDATEN'!CE11="V",9999,'IMPORT SCHLIESSERDATEN'!CE11)</f>
        <v>25</v>
      </c>
      <c r="AO19" s="74">
        <f>IF('IMPORT SCHLIESSERDATEN'!CK11="_",-1,'IMPORT SCHLIESSERDATEN'!CK11)</f>
        <v>46</v>
      </c>
      <c r="AP19" s="74">
        <f>IF('IMPORT SCHLIESSERDATEN'!$U11="",0,1)</f>
        <v>1</v>
      </c>
      <c r="AQ19" s="74">
        <f>IF('IMPORT SCHLIESSERDATEN'!$V11="",0,1)</f>
        <v>1</v>
      </c>
      <c r="AR19" s="74">
        <f>IF('IMPORT SCHLIESSERDATEN'!$W11="",0,1)</f>
        <v>0</v>
      </c>
      <c r="AS19" s="74">
        <f>IF('IMPORT SCHLIESSERDATEN'!$AA11="",0,1)</f>
        <v>0</v>
      </c>
      <c r="AT19" s="74">
        <f>IF('IMPORT SCHLIESSERDATEN'!$AD11="",0,1) + IF('IMPORT SCHLIESSERDATEN'!$AE11="",0,2)</f>
        <v>0</v>
      </c>
      <c r="AU19" s="74" t="str">
        <f>IF('IMPORT SCHLIESSERDATEN'!$X11="",IF('IMPORT SCHLIESSERDATEN'!$Y11="","","F"),"V")</f>
        <v/>
      </c>
      <c r="AV19" s="74" t="str">
        <f>IF('IMPORT SCHLIESSERDATEN'!$AB11&lt;&gt;"","M",IF('IMPORT SCHLIESSERDATEN'!$AD11&lt;&gt;"",IF(ISERR(SEARCH("UVIBIS",'IMPORT SCHLIESSERDATEN'!$B11)),"R","B"),IF(OR('IMPORT SCHLIESSERDATEN'!$AC11&lt;&gt;"",'IMPORT SCHLIESSERDATEN'!$AE11&lt;&gt;""),"E","")))</f>
        <v/>
      </c>
      <c r="AW19" s="82"/>
      <c r="AX19" s="67"/>
    </row>
    <row r="20" spans="1:50" x14ac:dyDescent="0.25">
      <c r="A20" s="67">
        <f>IFERROR(IF(C20&lt;&gt;"",MAX($A$2:$A19)+1,""),"")</f>
        <v>8</v>
      </c>
      <c r="B20" s="223">
        <f t="shared" si="1"/>
        <v>8</v>
      </c>
      <c r="C20" s="216" t="str">
        <f>IF(J20=1,SUBSTITUTE('IMPORT SCHLIESSERDATEN'!$B12," Gangfl.",""),IF(J20=2,SUBSTITUTE('IMPORT SCHLIESSERDATEN'!$B12," Standfl.",""),'IMPORT SCHLIESSERDATEN'!$B12))</f>
        <v>TS 92 RF EN 1-4</v>
      </c>
      <c r="D20" s="216" t="str">
        <f>IF('IMPORT SCHLIESSERDATEN'!$AF12&lt;&gt;"",IF(COUNTA('IMPORT SCHLIESSERDATEN'!$AN12:$AU12)&gt;0,"X","G"),IF('IMPORT SCHLIESSERDATEN'!$AG12&lt;&gt;"","S",IF('IMPORT SCHLIESSERDATEN'!$AH12&lt;&gt;"","I",IF('IMPORT SCHLIESSERDATEN'!$AI12&lt;&gt;"","B",IF('IMPORT SCHLIESSERDATEN'!$AJ12&lt;&gt;"","D","")))))</f>
        <v>G</v>
      </c>
      <c r="E20" s="248" t="str">
        <f>'IMPORT SCHLIESSERDATEN'!AK12 &amp; IF('IMPORT SCHLIESSERDATEN'!AL12="",""," "&amp; 'IMPORT SCHLIESSERDATEN'!AL12)</f>
        <v>92 B</v>
      </c>
      <c r="F20" s="74">
        <f>IFERROR(IF(D20="X",2^(MATCH("",'IMPORT SCHLIESSERDATEN'!$AN12:$AU12,-1)-1),IF(AV20="F",2^(MATCH("",'IMPORT SCHLIESSERDATEN'!$BH12:$BK12,-1)-1),2^(MATCH("",'IMPORT SCHLIESSERDATEN'!$AV12:$BG12,-1)-1))),0)</f>
        <v>2</v>
      </c>
      <c r="G20" s="74">
        <f>IF(AND('IMPORT SCHLIESSERDATEN'!$O12='IMPORT SCHLIESSERDATEN'!$R12,'IMPORT SCHLIESSERDATEN'!$O12&lt;&gt;"",'IMPORT SCHLIESSERDATEN'!$R12&lt;&gt;""),1,0)  +  IF(AND('IMPORT SCHLIESSERDATEN'!$P12='IMPORT SCHLIESSERDATEN'!$S12,'IMPORT SCHLIESSERDATEN'!$P12&lt;&gt;"",'IMPORT SCHLIESSERDATEN'!$S12&lt;&gt;""),2,0)   +  IF(AND('IMPORT SCHLIESSERDATEN'!$O12='IMPORT SCHLIESSERDATEN'!$S12,'IMPORT SCHLIESSERDATEN'!$O12&lt;&gt;"",'IMPORT SCHLIESSERDATEN'!$S12&lt;&gt;""),4,0)   +  IF(AND('IMPORT SCHLIESSERDATEN'!$P12='IMPORT SCHLIESSERDATEN'!$R12,'IMPORT SCHLIESSERDATEN'!$P12&lt;&gt;"",'IMPORT SCHLIESSERDATEN'!$R12&lt;&gt;""),8,0)   +  IF('IMPORT SCHLIESSERDATEN'!$Q12&lt;&gt;"",IF('IMPORT SCHLIESSERDATEN'!$R12&lt;&gt;"",32,0) + IF('IMPORT SCHLIESSERDATEN'!$S12&lt;&gt;"",64,0),0)  +  IF('IMPORT SCHLIESSERDATEN'!$T12&lt;&gt;"",IF('IMPORT SCHLIESSERDATEN'!$Q12&lt;&gt;"",128+256,128),0)</f>
        <v>3</v>
      </c>
      <c r="H20" s="74">
        <f>IF('IMPORT SCHLIESSERDATEN'!$H12="",0,1) + IF('IMPORT SCHLIESSERDATEN'!$I12="",0,2) + IF('IMPORT SCHLIESSERDATEN'!$J12="",0,4) + IF('IMPORT SCHLIESSERDATEN'!$K12="",0,8) + IF('IMPORT SCHLIESSERDATEN'!$L12="",0,16) + IF('IMPORT SCHLIESSERDATEN'!$M12="",0,32) + IF('IMPORT SCHLIESSERDATEN'!$N12="",0,64)</f>
        <v>15</v>
      </c>
      <c r="I20" s="74">
        <f>IF('IMPORT SCHLIESSERDATEN'!$D12="",0,1) + IF('IMPORT SCHLIESSERDATEN'!$E12="",0,2) + IF('IMPORT SCHLIESSERDATEN'!$E12="S",4,0)</f>
        <v>1</v>
      </c>
      <c r="J20" s="74">
        <f>IF(ISERR(FIND(" Gangfl.",'IMPORT SCHLIESSERDATEN'!$B12)),IF(ISERR(FIND(" Standfl.",'IMPORT SCHLIESSERDATEN'!$B12)),0,2),1)</f>
        <v>0</v>
      </c>
      <c r="K20" s="74">
        <f>'IMPORT SCHLIESSERDATEN'!CL12</f>
        <v>86</v>
      </c>
      <c r="L20" s="74">
        <f>'IMPORT SCHLIESSERDATEN'!CN12</f>
        <v>4</v>
      </c>
      <c r="M20" s="74">
        <f>IF('IMPORT SCHLIESSERDATEN'!CS12="wie TS",-1,'IMPORT SCHLIESSERDATEN'!CS12)</f>
        <v>86</v>
      </c>
      <c r="N20" s="74">
        <f>IF(M20&lt;0,-1,'IMPORT SCHLIESSERDATEN'!CU12)</f>
        <v>4</v>
      </c>
      <c r="O20" s="74">
        <f>IF('IMPORT SCHLIESSERDATEN'!CZ12="wie TS",-1,'IMPORT SCHLIESSERDATEN'!CZ12)</f>
        <v>0</v>
      </c>
      <c r="P20" s="74">
        <f>IF(O20&lt;0,-1,'IMPORT SCHLIESSERDATEN'!DB12)</f>
        <v>0</v>
      </c>
      <c r="Q20" s="74">
        <f>'IMPORT SCHLIESSERDATEN'!DG12</f>
        <v>0</v>
      </c>
      <c r="R20" s="74">
        <f>'IMPORT SCHLIESSERDATEN'!DI12</f>
        <v>0</v>
      </c>
      <c r="S20" s="74">
        <f>'IMPORT SCHLIESSERDATEN'!DN12</f>
        <v>0</v>
      </c>
      <c r="T20" s="74">
        <f>IF('IMPORT SCHLIESSERDATEN'!DP12="V",9999,'IMPORT SCHLIESSERDATEN'!DP12)</f>
        <v>0</v>
      </c>
      <c r="U20" s="74">
        <f>'IMPORT SCHLIESSERDATEN'!BW12</f>
        <v>281</v>
      </c>
      <c r="V20" s="74">
        <f>'IMPORT SCHLIESSERDATEN'!BX12</f>
        <v>47</v>
      </c>
      <c r="W20" s="74">
        <f>'IMPORT SCHLIESSERDATEN'!BY12</f>
        <v>65</v>
      </c>
      <c r="X20" s="74">
        <f>'IMPORT SCHLIESSERDATEN'!CO12</f>
        <v>143</v>
      </c>
      <c r="Y20" s="74">
        <f>'IMPORT SCHLIESSERDATEN'!CQ12</f>
        <v>16</v>
      </c>
      <c r="Z20" s="74">
        <f>'IMPORT SCHLIESSERDATEN'!CV12</f>
        <v>143</v>
      </c>
      <c r="AA20" s="74">
        <f>'IMPORT SCHLIESSERDATEN'!CX12</f>
        <v>16</v>
      </c>
      <c r="AB20" s="74">
        <f>'IMPORT SCHLIESSERDATEN'!DC12</f>
        <v>0</v>
      </c>
      <c r="AC20" s="74">
        <f>'IMPORT SCHLIESSERDATEN'!DE12</f>
        <v>0</v>
      </c>
      <c r="AD20" s="74">
        <f>'IMPORT SCHLIESSERDATEN'!DJ12</f>
        <v>0</v>
      </c>
      <c r="AE20" s="74">
        <f>'IMPORT SCHLIESSERDATEN'!DL12</f>
        <v>0</v>
      </c>
      <c r="AF20" s="74">
        <f>'IMPORT SCHLIESSERDATEN'!DQ12</f>
        <v>0</v>
      </c>
      <c r="AG20" s="74">
        <f>IF('IMPORT SCHLIESSERDATEN'!DS12="V",9999,'IMPORT SCHLIESSERDATEN'!DS12)</f>
        <v>0</v>
      </c>
      <c r="AH20" s="74">
        <f>IF('IMPORT SCHLIESSERDATEN'!BZ12="V",9999,IF('IMPORT SCHLIESSERDATEN'!CD12="_",-1,'IMPORT SCHLIESSERDATEN'!BZ12))</f>
        <v>442</v>
      </c>
      <c r="AI20" s="74">
        <f>IF('IMPORT SCHLIESSERDATEN'!CA12="V",9999,IF('IMPORT SCHLIESSERDATEN'!CD12="_",-1,'IMPORT SCHLIESSERDATEN'!CA12))</f>
        <v>23</v>
      </c>
      <c r="AJ20" s="74">
        <f>IF('IMPORT SCHLIESSERDATEN'!CB12="V",9999,IF('IMPORT SCHLIESSERDATEN'!CD12="_",-1,'IMPORT SCHLIESSERDATEN'!CB12))</f>
        <v>31</v>
      </c>
      <c r="AK20" s="74">
        <f>IF('IMPORT SCHLIESSERDATEN'!CC12="V",9999,IF('IMPORT SCHLIESSERDATEN'!CC12="_",-1,'IMPORT SCHLIESSERDATEN'!CC12))</f>
        <v>16</v>
      </c>
      <c r="AL20" s="74">
        <f>IF('IMPORT SCHLIESSERDATEN'!CD12="_",-1,'IMPORT SCHLIESSERDATEN'!CD12)</f>
        <v>375</v>
      </c>
      <c r="AM20" s="74">
        <f>'IMPORT SCHLIESSERDATEN'!CH12</f>
        <v>89</v>
      </c>
      <c r="AN20" s="74">
        <f>IF('IMPORT SCHLIESSERDATEN'!CE12="V",9999,'IMPORT SCHLIESSERDATEN'!CE12)</f>
        <v>25</v>
      </c>
      <c r="AO20" s="74">
        <f>IF('IMPORT SCHLIESSERDATEN'!CK12="_",-1,'IMPORT SCHLIESSERDATEN'!CK12)</f>
        <v>60</v>
      </c>
      <c r="AP20" s="74">
        <f>IF('IMPORT SCHLIESSERDATEN'!$U12="",0,1)</f>
        <v>0</v>
      </c>
      <c r="AQ20" s="74">
        <f>IF('IMPORT SCHLIESSERDATEN'!$V12="",0,1)</f>
        <v>1</v>
      </c>
      <c r="AR20" s="74">
        <f>IF('IMPORT SCHLIESSERDATEN'!$W12="",0,1)</f>
        <v>0</v>
      </c>
      <c r="AS20" s="74">
        <f>IF('IMPORT SCHLIESSERDATEN'!$AA12="",0,1)</f>
        <v>0</v>
      </c>
      <c r="AT20" s="74">
        <f>IF('IMPORT SCHLIESSERDATEN'!$AD12="",0,1) + IF('IMPORT SCHLIESSERDATEN'!$AE12="",0,2)</f>
        <v>0</v>
      </c>
      <c r="AU20" s="74" t="str">
        <f>IF('IMPORT SCHLIESSERDATEN'!$X12="",IF('IMPORT SCHLIESSERDATEN'!$Y12="","","F"),"V")</f>
        <v/>
      </c>
      <c r="AV20" s="74" t="str">
        <f>IF('IMPORT SCHLIESSERDATEN'!$AB12&lt;&gt;"","M",IF('IMPORT SCHLIESSERDATEN'!$AD12&lt;&gt;"",IF(ISERR(SEARCH("UVIBIS",'IMPORT SCHLIESSERDATEN'!$B12)),"R","B"),IF(OR('IMPORT SCHLIESSERDATEN'!$AC12&lt;&gt;"",'IMPORT SCHLIESSERDATEN'!$AE12&lt;&gt;""),"E","")))</f>
        <v>M</v>
      </c>
      <c r="AW20" s="82"/>
      <c r="AX20" s="67"/>
    </row>
    <row r="21" spans="1:50" x14ac:dyDescent="0.25">
      <c r="A21" s="67">
        <f>IFERROR(IF(C21&lt;&gt;"",MAX($A$2:$A20)+1,""),"")</f>
        <v>9</v>
      </c>
      <c r="B21" s="223">
        <f t="shared" si="1"/>
        <v>9</v>
      </c>
      <c r="C21" s="216" t="str">
        <f>IF(J21=1,SUBSTITUTE('IMPORT SCHLIESSERDATEN'!$B13," Gangfl.",""),IF(J21=2,SUBSTITUTE('IMPORT SCHLIESSERDATEN'!$B13," Standfl.",""),'IMPORT SCHLIESSERDATEN'!$B13))</f>
        <v>TS 92 GSR EN 1-4</v>
      </c>
      <c r="D21" s="216" t="str">
        <f>IF('IMPORT SCHLIESSERDATEN'!$AF13&lt;&gt;"",IF(COUNTA('IMPORT SCHLIESSERDATEN'!$AN13:$AU13)&gt;0,"X","G"),IF('IMPORT SCHLIESSERDATEN'!$AG13&lt;&gt;"","S",IF('IMPORT SCHLIESSERDATEN'!$AH13&lt;&gt;"","I",IF('IMPORT SCHLIESSERDATEN'!$AI13&lt;&gt;"","B",IF('IMPORT SCHLIESSERDATEN'!$AJ13&lt;&gt;"","D","")))))</f>
        <v>G</v>
      </c>
      <c r="E21" s="248" t="str">
        <f>'IMPORT SCHLIESSERDATEN'!AK13 &amp; IF('IMPORT SCHLIESSERDATEN'!AL13="",""," "&amp; 'IMPORT SCHLIESSERDATEN'!AL13)</f>
        <v>92 B</v>
      </c>
      <c r="F21" s="74">
        <f>IFERROR(IF(D21="X",2^(MATCH("",'IMPORT SCHLIESSERDATEN'!$AN13:$AU13,-1)-1),IF(AV21="F",2^(MATCH("",'IMPORT SCHLIESSERDATEN'!$BH13:$BK13,-1)-1),2^(MATCH("",'IMPORT SCHLIESSERDATEN'!$AV13:$BG13,-1)-1))),0)</f>
        <v>16</v>
      </c>
      <c r="G21" s="74">
        <f>IF(AND('IMPORT SCHLIESSERDATEN'!$O13='IMPORT SCHLIESSERDATEN'!$R13,'IMPORT SCHLIESSERDATEN'!$O13&lt;&gt;"",'IMPORT SCHLIESSERDATEN'!$R13&lt;&gt;""),1,0)  +  IF(AND('IMPORT SCHLIESSERDATEN'!$P13='IMPORT SCHLIESSERDATEN'!$S13,'IMPORT SCHLIESSERDATEN'!$P13&lt;&gt;"",'IMPORT SCHLIESSERDATEN'!$S13&lt;&gt;""),2,0)   +  IF(AND('IMPORT SCHLIESSERDATEN'!$O13='IMPORT SCHLIESSERDATEN'!$S13,'IMPORT SCHLIESSERDATEN'!$O13&lt;&gt;"",'IMPORT SCHLIESSERDATEN'!$S13&lt;&gt;""),4,0)   +  IF(AND('IMPORT SCHLIESSERDATEN'!$P13='IMPORT SCHLIESSERDATEN'!$R13,'IMPORT SCHLIESSERDATEN'!$P13&lt;&gt;"",'IMPORT SCHLIESSERDATEN'!$R13&lt;&gt;""),8,0)   +  IF('IMPORT SCHLIESSERDATEN'!$Q13&lt;&gt;"",IF('IMPORT SCHLIESSERDATEN'!$R13&lt;&gt;"",32,0) + IF('IMPORT SCHLIESSERDATEN'!$S13&lt;&gt;"",64,0),0)  +  IF('IMPORT SCHLIESSERDATEN'!$T13&lt;&gt;"",IF('IMPORT SCHLIESSERDATEN'!$Q13&lt;&gt;"",128+256,128),0)</f>
        <v>1</v>
      </c>
      <c r="H21" s="74">
        <f>IF('IMPORT SCHLIESSERDATEN'!$H13="",0,1) + IF('IMPORT SCHLIESSERDATEN'!$I13="",0,2) + IF('IMPORT SCHLIESSERDATEN'!$J13="",0,4) + IF('IMPORT SCHLIESSERDATEN'!$K13="",0,8) + IF('IMPORT SCHLIESSERDATEN'!$L13="",0,16) + IF('IMPORT SCHLIESSERDATEN'!$M13="",0,32) + IF('IMPORT SCHLIESSERDATEN'!$N13="",0,64)</f>
        <v>15</v>
      </c>
      <c r="I21" s="74">
        <f>IF('IMPORT SCHLIESSERDATEN'!$D13="",0,1) + IF('IMPORT SCHLIESSERDATEN'!$E13="",0,2) + IF('IMPORT SCHLIESSERDATEN'!$E13="S",4,0)</f>
        <v>2</v>
      </c>
      <c r="J21" s="74">
        <f>IF(ISERR(FIND(" Gangfl.",'IMPORT SCHLIESSERDATEN'!$B13)),IF(ISERR(FIND(" Standfl.",'IMPORT SCHLIESSERDATEN'!$B13)),0,2),1)</f>
        <v>0</v>
      </c>
      <c r="K21" s="74">
        <f>'IMPORT SCHLIESSERDATEN'!CL13</f>
        <v>86</v>
      </c>
      <c r="L21" s="74">
        <f>'IMPORT SCHLIESSERDATEN'!CN13</f>
        <v>4</v>
      </c>
      <c r="M21" s="74">
        <f>IF('IMPORT SCHLIESSERDATEN'!CS13="wie TS",-1,'IMPORT SCHLIESSERDATEN'!CS13)</f>
        <v>0</v>
      </c>
      <c r="N21" s="74">
        <f>IF(M21&lt;0,-1,'IMPORT SCHLIESSERDATEN'!CU13)</f>
        <v>0</v>
      </c>
      <c r="O21" s="74">
        <f>IF('IMPORT SCHLIESSERDATEN'!CZ13="wie TS",-1,'IMPORT SCHLIESSERDATEN'!CZ13)</f>
        <v>0</v>
      </c>
      <c r="P21" s="74">
        <f>IF(O21&lt;0,-1,'IMPORT SCHLIESSERDATEN'!DB13)</f>
        <v>0</v>
      </c>
      <c r="Q21" s="74">
        <f>'IMPORT SCHLIESSERDATEN'!DG13</f>
        <v>0</v>
      </c>
      <c r="R21" s="74">
        <f>'IMPORT SCHLIESSERDATEN'!DI13</f>
        <v>0</v>
      </c>
      <c r="S21" s="74">
        <f>'IMPORT SCHLIESSERDATEN'!DN13</f>
        <v>0</v>
      </c>
      <c r="T21" s="74">
        <f>IF('IMPORT SCHLIESSERDATEN'!DP13="V",9999,'IMPORT SCHLIESSERDATEN'!DP13)</f>
        <v>0</v>
      </c>
      <c r="U21" s="74">
        <f>'IMPORT SCHLIESSERDATEN'!BW13</f>
        <v>281</v>
      </c>
      <c r="V21" s="74">
        <f>'IMPORT SCHLIESSERDATEN'!BX13</f>
        <v>47</v>
      </c>
      <c r="W21" s="74">
        <f>'IMPORT SCHLIESSERDATEN'!BY13</f>
        <v>65</v>
      </c>
      <c r="X21" s="74">
        <f>'IMPORT SCHLIESSERDATEN'!CO13</f>
        <v>84</v>
      </c>
      <c r="Y21" s="74">
        <f>'IMPORT SCHLIESSERDATEN'!CQ13</f>
        <v>13</v>
      </c>
      <c r="Z21" s="74">
        <f>'IMPORT SCHLIESSERDATEN'!CV13</f>
        <v>0</v>
      </c>
      <c r="AA21" s="74">
        <f>'IMPORT SCHLIESSERDATEN'!CX13</f>
        <v>0</v>
      </c>
      <c r="AB21" s="74">
        <f>'IMPORT SCHLIESSERDATEN'!DC13</f>
        <v>0</v>
      </c>
      <c r="AC21" s="74">
        <f>'IMPORT SCHLIESSERDATEN'!DE13</f>
        <v>0</v>
      </c>
      <c r="AD21" s="74">
        <f>'IMPORT SCHLIESSERDATEN'!DJ13</f>
        <v>0</v>
      </c>
      <c r="AE21" s="74">
        <f>'IMPORT SCHLIESSERDATEN'!DL13</f>
        <v>0</v>
      </c>
      <c r="AF21" s="74">
        <f>'IMPORT SCHLIESSERDATEN'!DQ13</f>
        <v>0</v>
      </c>
      <c r="AG21" s="74">
        <f>IF('IMPORT SCHLIESSERDATEN'!DS13="V",9999,'IMPORT SCHLIESSERDATEN'!DS13)</f>
        <v>0</v>
      </c>
      <c r="AH21" s="74">
        <f>IF('IMPORT SCHLIESSERDATEN'!BZ13="V",9999,IF('IMPORT SCHLIESSERDATEN'!CD13="_",-1,'IMPORT SCHLIESSERDATEN'!BZ13))</f>
        <v>9999</v>
      </c>
      <c r="AI21" s="74">
        <f>IF('IMPORT SCHLIESSERDATEN'!CA13="V",9999,IF('IMPORT SCHLIESSERDATEN'!CD13="_",-1,'IMPORT SCHLIESSERDATEN'!CA13))</f>
        <v>30</v>
      </c>
      <c r="AJ21" s="74">
        <f>IF('IMPORT SCHLIESSERDATEN'!CB13="V",9999,IF('IMPORT SCHLIESSERDATEN'!CD13="_",-1,'IMPORT SCHLIESSERDATEN'!CB13))</f>
        <v>34</v>
      </c>
      <c r="AK21" s="74">
        <f>IF('IMPORT SCHLIESSERDATEN'!CC13="V",9999,IF('IMPORT SCHLIESSERDATEN'!CC13="_",-1,'IMPORT SCHLIESSERDATEN'!CC13))</f>
        <v>17</v>
      </c>
      <c r="AL21" s="74">
        <f>IF('IMPORT SCHLIESSERDATEN'!CD13="_",-1,'IMPORT SCHLIESSERDATEN'!CD13)</f>
        <v>375</v>
      </c>
      <c r="AM21" s="74">
        <f>'IMPORT SCHLIESSERDATEN'!CH13</f>
        <v>89</v>
      </c>
      <c r="AN21" s="74">
        <f>IF('IMPORT SCHLIESSERDATEN'!CE13="V",9999,'IMPORT SCHLIESSERDATEN'!CE13)</f>
        <v>25</v>
      </c>
      <c r="AO21" s="74">
        <f>IF('IMPORT SCHLIESSERDATEN'!CK13="_",-1,'IMPORT SCHLIESSERDATEN'!CK13)</f>
        <v>51</v>
      </c>
      <c r="AP21" s="74">
        <f>IF('IMPORT SCHLIESSERDATEN'!$U13="",0,1)</f>
        <v>1</v>
      </c>
      <c r="AQ21" s="74">
        <f>IF('IMPORT SCHLIESSERDATEN'!$V13="",0,1)</f>
        <v>1</v>
      </c>
      <c r="AR21" s="74">
        <f>IF('IMPORT SCHLIESSERDATEN'!$W13="",0,1)</f>
        <v>0</v>
      </c>
      <c r="AS21" s="74">
        <f>IF('IMPORT SCHLIESSERDATEN'!$AA13="",0,1)</f>
        <v>0</v>
      </c>
      <c r="AT21" s="74">
        <f>IF('IMPORT SCHLIESSERDATEN'!$AD13="",0,1) + IF('IMPORT SCHLIESSERDATEN'!$AE13="",0,2)</f>
        <v>0</v>
      </c>
      <c r="AU21" s="74" t="str">
        <f>IF('IMPORT SCHLIESSERDATEN'!$X13="",IF('IMPORT SCHLIESSERDATEN'!$Y13="","","F"),"V")</f>
        <v>V</v>
      </c>
      <c r="AV21" s="74" t="str">
        <f>IF('IMPORT SCHLIESSERDATEN'!$AB13&lt;&gt;"","M",IF('IMPORT SCHLIESSERDATEN'!$AD13&lt;&gt;"",IF(ISERR(SEARCH("UVIBIS",'IMPORT SCHLIESSERDATEN'!$B13)),"R","B"),IF(OR('IMPORT SCHLIESSERDATEN'!$AC13&lt;&gt;"",'IMPORT SCHLIESSERDATEN'!$AE13&lt;&gt;""),"E","")))</f>
        <v/>
      </c>
      <c r="AW21" s="82"/>
      <c r="AX21" s="67"/>
    </row>
    <row r="22" spans="1:50" x14ac:dyDescent="0.25">
      <c r="A22" s="67">
        <f>IFERROR(IF(C22&lt;&gt;"",MAX($A$2:$A21)+1,""),"")</f>
        <v>10</v>
      </c>
      <c r="B22" s="223">
        <f t="shared" si="1"/>
        <v>10</v>
      </c>
      <c r="C22" s="216" t="str">
        <f>IF(J22=1,SUBSTITUTE('IMPORT SCHLIESSERDATEN'!$B14," Gangfl.",""),IF(J22=2,SUBSTITUTE('IMPORT SCHLIESSERDATEN'!$B14," Standfl.",""),'IMPORT SCHLIESSERDATEN'!$B14))</f>
        <v>TS 92 G XEA EN 1-4</v>
      </c>
      <c r="D22" s="216" t="str">
        <f>IF('IMPORT SCHLIESSERDATEN'!$AF14&lt;&gt;"",IF(COUNTA('IMPORT SCHLIESSERDATEN'!$AN14:$AU14)&gt;0,"X","G"),IF('IMPORT SCHLIESSERDATEN'!$AG14&lt;&gt;"","S",IF('IMPORT SCHLIESSERDATEN'!$AH14&lt;&gt;"","I",IF('IMPORT SCHLIESSERDATEN'!$AI14&lt;&gt;"","B",IF('IMPORT SCHLIESSERDATEN'!$AJ14&lt;&gt;"","D","")))))</f>
        <v>X</v>
      </c>
      <c r="E22" s="248" t="str">
        <f>'IMPORT SCHLIESSERDATEN'!AK14 &amp; IF('IMPORT SCHLIESSERDATEN'!AL14="",""," "&amp; 'IMPORT SCHLIESSERDATEN'!AL14)</f>
        <v>92 G</v>
      </c>
      <c r="F22" s="74">
        <f>IFERROR(IF(D22="X",2^(MATCH("",'IMPORT SCHLIESSERDATEN'!$AN14:$AU14,-1)-1),IF(AV22="F",2^(MATCH("",'IMPORT SCHLIESSERDATEN'!$BH14:$BK14,-1)-1),2^(MATCH("",'IMPORT SCHLIESSERDATEN'!$AV14:$BG14,-1)-1))),0)</f>
        <v>1</v>
      </c>
      <c r="G22" s="74">
        <f>IF(AND('IMPORT SCHLIESSERDATEN'!$O14='IMPORT SCHLIESSERDATEN'!$R14,'IMPORT SCHLIESSERDATEN'!$O14&lt;&gt;"",'IMPORT SCHLIESSERDATEN'!$R14&lt;&gt;""),1,0)  +  IF(AND('IMPORT SCHLIESSERDATEN'!$P14='IMPORT SCHLIESSERDATEN'!$S14,'IMPORT SCHLIESSERDATEN'!$P14&lt;&gt;"",'IMPORT SCHLIESSERDATEN'!$S14&lt;&gt;""),2,0)   +  IF(AND('IMPORT SCHLIESSERDATEN'!$O14='IMPORT SCHLIESSERDATEN'!$S14,'IMPORT SCHLIESSERDATEN'!$O14&lt;&gt;"",'IMPORT SCHLIESSERDATEN'!$S14&lt;&gt;""),4,0)   +  IF(AND('IMPORT SCHLIESSERDATEN'!$P14='IMPORT SCHLIESSERDATEN'!$R14,'IMPORT SCHLIESSERDATEN'!$P14&lt;&gt;"",'IMPORT SCHLIESSERDATEN'!$R14&lt;&gt;""),8,0)   +  IF('IMPORT SCHLIESSERDATEN'!$Q14&lt;&gt;"",IF('IMPORT SCHLIESSERDATEN'!$R14&lt;&gt;"",32,0) + IF('IMPORT SCHLIESSERDATEN'!$S14&lt;&gt;"",64,0),0)  +  IF('IMPORT SCHLIESSERDATEN'!$T14&lt;&gt;"",IF('IMPORT SCHLIESSERDATEN'!$Q14&lt;&gt;"",128+256,128),0)</f>
        <v>12</v>
      </c>
      <c r="H22" s="74">
        <f>IF('IMPORT SCHLIESSERDATEN'!$H14="",0,1) + IF('IMPORT SCHLIESSERDATEN'!$I14="",0,2) + IF('IMPORT SCHLIESSERDATEN'!$J14="",0,4) + IF('IMPORT SCHLIESSERDATEN'!$K14="",0,8) + IF('IMPORT SCHLIESSERDATEN'!$L14="",0,16) + IF('IMPORT SCHLIESSERDATEN'!$M14="",0,32) + IF('IMPORT SCHLIESSERDATEN'!$N14="",0,64)</f>
        <v>15</v>
      </c>
      <c r="I22" s="74">
        <f>IF('IMPORT SCHLIESSERDATEN'!$D14="",0,1) + IF('IMPORT SCHLIESSERDATEN'!$E14="",0,2) + IF('IMPORT SCHLIESSERDATEN'!$E14="S",4,0)</f>
        <v>1</v>
      </c>
      <c r="J22" s="74">
        <f>IF(ISERR(FIND(" Gangfl.",'IMPORT SCHLIESSERDATEN'!$B14)),IF(ISERR(FIND(" Standfl.",'IMPORT SCHLIESSERDATEN'!$B14)),0,2),1)</f>
        <v>0</v>
      </c>
      <c r="K22" s="74">
        <f>'IMPORT SCHLIESSERDATEN'!CL14</f>
        <v>0</v>
      </c>
      <c r="L22" s="74">
        <f>'IMPORT SCHLIESSERDATEN'!CN14</f>
        <v>0</v>
      </c>
      <c r="M22" s="74">
        <f>IF('IMPORT SCHLIESSERDATEN'!CS14="wie TS",-1,'IMPORT SCHLIESSERDATEN'!CS14)</f>
        <v>0</v>
      </c>
      <c r="N22" s="74">
        <f>IF(M22&lt;0,-1,'IMPORT SCHLIESSERDATEN'!CU14)</f>
        <v>0</v>
      </c>
      <c r="O22" s="74">
        <f>IF('IMPORT SCHLIESSERDATEN'!CZ14="wie TS",-1,'IMPORT SCHLIESSERDATEN'!CZ14)</f>
        <v>74</v>
      </c>
      <c r="P22" s="74">
        <f>IF(O22&lt;0,-1,'IMPORT SCHLIESSERDATEN'!DB14)</f>
        <v>17</v>
      </c>
      <c r="Q22" s="74">
        <f>'IMPORT SCHLIESSERDATEN'!DG14</f>
        <v>74</v>
      </c>
      <c r="R22" s="74">
        <f>'IMPORT SCHLIESSERDATEN'!DI14</f>
        <v>17</v>
      </c>
      <c r="S22" s="74">
        <f>'IMPORT SCHLIESSERDATEN'!DN14</f>
        <v>74</v>
      </c>
      <c r="T22" s="74">
        <f>IF('IMPORT SCHLIESSERDATEN'!DP14="V",9999,'IMPORT SCHLIESSERDATEN'!DP14)</f>
        <v>9999</v>
      </c>
      <c r="U22" s="74">
        <f>'IMPORT SCHLIESSERDATEN'!BW14</f>
        <v>305</v>
      </c>
      <c r="V22" s="74">
        <f>'IMPORT SCHLIESSERDATEN'!BX14</f>
        <v>50</v>
      </c>
      <c r="W22" s="74">
        <f>'IMPORT SCHLIESSERDATEN'!BY14</f>
        <v>65</v>
      </c>
      <c r="X22" s="74">
        <f>'IMPORT SCHLIESSERDATEN'!CO14</f>
        <v>0</v>
      </c>
      <c r="Y22" s="74">
        <f>'IMPORT SCHLIESSERDATEN'!CQ14</f>
        <v>0</v>
      </c>
      <c r="Z22" s="74">
        <f>'IMPORT SCHLIESSERDATEN'!CV14</f>
        <v>0</v>
      </c>
      <c r="AA22" s="74">
        <f>'IMPORT SCHLIESSERDATEN'!CX14</f>
        <v>0</v>
      </c>
      <c r="AB22" s="74">
        <f>'IMPORT SCHLIESSERDATEN'!DC14</f>
        <v>74</v>
      </c>
      <c r="AC22" s="74">
        <f>'IMPORT SCHLIESSERDATEN'!DE14</f>
        <v>0</v>
      </c>
      <c r="AD22" s="74">
        <f>'IMPORT SCHLIESSERDATEN'!DJ14</f>
        <v>74</v>
      </c>
      <c r="AE22" s="74">
        <f>'IMPORT SCHLIESSERDATEN'!DL14</f>
        <v>0</v>
      </c>
      <c r="AF22" s="74">
        <f>'IMPORT SCHLIESSERDATEN'!DQ14</f>
        <v>74</v>
      </c>
      <c r="AG22" s="74">
        <f>IF('IMPORT SCHLIESSERDATEN'!DS14="V",9999,'IMPORT SCHLIESSERDATEN'!DS14)</f>
        <v>9999</v>
      </c>
      <c r="AH22" s="74">
        <f>IF('IMPORT SCHLIESSERDATEN'!BZ14="V",9999,IF('IMPORT SCHLIESSERDATEN'!CD14="_",-1,'IMPORT SCHLIESSERDATEN'!BZ14))</f>
        <v>537</v>
      </c>
      <c r="AI22" s="74">
        <f>IF('IMPORT SCHLIESSERDATEN'!CA14="V",9999,IF('IMPORT SCHLIESSERDATEN'!CD14="_",-1,'IMPORT SCHLIESSERDATEN'!CA14))</f>
        <v>30</v>
      </c>
      <c r="AJ22" s="74">
        <f>IF('IMPORT SCHLIESSERDATEN'!CB14="V",9999,IF('IMPORT SCHLIESSERDATEN'!CD14="_",-1,'IMPORT SCHLIESSERDATEN'!CB14))</f>
        <v>39</v>
      </c>
      <c r="AK22" s="74">
        <f>IF('IMPORT SCHLIESSERDATEN'!CC14="V",9999,IF('IMPORT SCHLIESSERDATEN'!CC14="_",-1,'IMPORT SCHLIESSERDATEN'!CC14))</f>
        <v>20</v>
      </c>
      <c r="AL22" s="74">
        <f>IF('IMPORT SCHLIESSERDATEN'!CD14="_",-1,'IMPORT SCHLIESSERDATEN'!CD14)</f>
        <v>375</v>
      </c>
      <c r="AM22" s="74">
        <f>'IMPORT SCHLIESSERDATEN'!CH14</f>
        <v>101</v>
      </c>
      <c r="AN22" s="74">
        <f>IF('IMPORT SCHLIESSERDATEN'!CE14="V",9999,'IMPORT SCHLIESSERDATEN'!CE14)</f>
        <v>25</v>
      </c>
      <c r="AO22" s="74">
        <f>IF('IMPORT SCHLIESSERDATEN'!CK14="_",-1,'IMPORT SCHLIESSERDATEN'!CK14)</f>
        <v>45</v>
      </c>
      <c r="AP22" s="74">
        <f>IF('IMPORT SCHLIESSERDATEN'!$U14="",0,1)</f>
        <v>1</v>
      </c>
      <c r="AQ22" s="74">
        <f>IF('IMPORT SCHLIESSERDATEN'!$V14="",0,1)</f>
        <v>1</v>
      </c>
      <c r="AR22" s="74">
        <f>IF('IMPORT SCHLIESSERDATEN'!$W14="",0,1)</f>
        <v>0</v>
      </c>
      <c r="AS22" s="74">
        <f>IF('IMPORT SCHLIESSERDATEN'!$AA14="",0,1)</f>
        <v>0</v>
      </c>
      <c r="AT22" s="74">
        <f>IF('IMPORT SCHLIESSERDATEN'!$AD14="",0,1) + IF('IMPORT SCHLIESSERDATEN'!$AE14="",0,2)</f>
        <v>0</v>
      </c>
      <c r="AU22" s="74" t="str">
        <f>IF('IMPORT SCHLIESSERDATEN'!$X14="",IF('IMPORT SCHLIESSERDATEN'!$Y14="","","F"),"V")</f>
        <v/>
      </c>
      <c r="AV22" s="74" t="str">
        <f>IF('IMPORT SCHLIESSERDATEN'!$AB14&lt;&gt;"","M",IF('IMPORT SCHLIESSERDATEN'!$AD14&lt;&gt;"",IF(ISERR(SEARCH("UVIBIS",'IMPORT SCHLIESSERDATEN'!$B14)),"R","B"),IF(OR('IMPORT SCHLIESSERDATEN'!$AC14&lt;&gt;"",'IMPORT SCHLIESSERDATEN'!$AE14&lt;&gt;""),"E","")))</f>
        <v/>
      </c>
      <c r="AW22" s="82"/>
      <c r="AX22" s="67"/>
    </row>
    <row r="23" spans="1:50" x14ac:dyDescent="0.25">
      <c r="A23" s="67">
        <f>IFERROR(IF(C23&lt;&gt;"",MAX($A$2:$A22)+1,""),"")</f>
        <v>11</v>
      </c>
      <c r="B23" s="223">
        <f t="shared" si="1"/>
        <v>11</v>
      </c>
      <c r="C23" s="216" t="str">
        <f>IF(J23=1,SUBSTITUTE('IMPORT SCHLIESSERDATEN'!$B15," Gangfl.",""),IF(J23=2,SUBSTITUTE('IMPORT SCHLIESSERDATEN'!$B15," Standfl.",""),'IMPORT SCHLIESSERDATEN'!$B15))</f>
        <v>TS 92 G RF XEA EN 1-4</v>
      </c>
      <c r="D23" s="216" t="str">
        <f>IF('IMPORT SCHLIESSERDATEN'!$AF15&lt;&gt;"",IF(COUNTA('IMPORT SCHLIESSERDATEN'!$AN15:$AU15)&gt;0,"X","G"),IF('IMPORT SCHLIESSERDATEN'!$AG15&lt;&gt;"","S",IF('IMPORT SCHLIESSERDATEN'!$AH15&lt;&gt;"","I",IF('IMPORT SCHLIESSERDATEN'!$AI15&lt;&gt;"","B",IF('IMPORT SCHLIESSERDATEN'!$AJ15&lt;&gt;"","D","")))))</f>
        <v>X</v>
      </c>
      <c r="E23" s="248" t="str">
        <f>'IMPORT SCHLIESSERDATEN'!AK15 &amp; IF('IMPORT SCHLIESSERDATEN'!AL15="",""," "&amp; 'IMPORT SCHLIESSERDATEN'!AL15)</f>
        <v>92 G</v>
      </c>
      <c r="F23" s="74">
        <f>IFERROR(IF(D23="X",2^(MATCH("",'IMPORT SCHLIESSERDATEN'!$AN15:$AU15,-1)-1),IF(AV23="F",2^(MATCH("",'IMPORT SCHLIESSERDATEN'!$BH15:$BK15,-1)-1),2^(MATCH("",'IMPORT SCHLIESSERDATEN'!$AV15:$BG15,-1)-1))),0)</f>
        <v>2</v>
      </c>
      <c r="G23" s="74">
        <f>IF(AND('IMPORT SCHLIESSERDATEN'!$O15='IMPORT SCHLIESSERDATEN'!$R15,'IMPORT SCHLIESSERDATEN'!$O15&lt;&gt;"",'IMPORT SCHLIESSERDATEN'!$R15&lt;&gt;""),1,0)  +  IF(AND('IMPORT SCHLIESSERDATEN'!$P15='IMPORT SCHLIESSERDATEN'!$S15,'IMPORT SCHLIESSERDATEN'!$P15&lt;&gt;"",'IMPORT SCHLIESSERDATEN'!$S15&lt;&gt;""),2,0)   +  IF(AND('IMPORT SCHLIESSERDATEN'!$O15='IMPORT SCHLIESSERDATEN'!$S15,'IMPORT SCHLIESSERDATEN'!$O15&lt;&gt;"",'IMPORT SCHLIESSERDATEN'!$S15&lt;&gt;""),4,0)   +  IF(AND('IMPORT SCHLIESSERDATEN'!$P15='IMPORT SCHLIESSERDATEN'!$R15,'IMPORT SCHLIESSERDATEN'!$P15&lt;&gt;"",'IMPORT SCHLIESSERDATEN'!$R15&lt;&gt;""),8,0)   +  IF('IMPORT SCHLIESSERDATEN'!$Q15&lt;&gt;"",IF('IMPORT SCHLIESSERDATEN'!$R15&lt;&gt;"",32,0) + IF('IMPORT SCHLIESSERDATEN'!$S15&lt;&gt;"",64,0),0)  +  IF('IMPORT SCHLIESSERDATEN'!$T15&lt;&gt;"",IF('IMPORT SCHLIESSERDATEN'!$Q15&lt;&gt;"",128+256,128),0)</f>
        <v>12</v>
      </c>
      <c r="H23" s="74">
        <f>IF('IMPORT SCHLIESSERDATEN'!$H15="",0,1) + IF('IMPORT SCHLIESSERDATEN'!$I15="",0,2) + IF('IMPORT SCHLIESSERDATEN'!$J15="",0,4) + IF('IMPORT SCHLIESSERDATEN'!$K15="",0,8) + IF('IMPORT SCHLIESSERDATEN'!$L15="",0,16) + IF('IMPORT SCHLIESSERDATEN'!$M15="",0,32) + IF('IMPORT SCHLIESSERDATEN'!$N15="",0,64)</f>
        <v>15</v>
      </c>
      <c r="I23" s="74">
        <f>IF('IMPORT SCHLIESSERDATEN'!$D15="",0,1) + IF('IMPORT SCHLIESSERDATEN'!$E15="",0,2) + IF('IMPORT SCHLIESSERDATEN'!$E15="S",4,0)</f>
        <v>1</v>
      </c>
      <c r="J23" s="74">
        <f>IF(ISERR(FIND(" Gangfl.",'IMPORT SCHLIESSERDATEN'!$B15)),IF(ISERR(FIND(" Standfl.",'IMPORT SCHLIESSERDATEN'!$B15)),0,2),1)</f>
        <v>0</v>
      </c>
      <c r="K23" s="74">
        <f>'IMPORT SCHLIESSERDATEN'!CL15</f>
        <v>0</v>
      </c>
      <c r="L23" s="74">
        <f>'IMPORT SCHLIESSERDATEN'!CN15</f>
        <v>0</v>
      </c>
      <c r="M23" s="74">
        <f>IF('IMPORT SCHLIESSERDATEN'!CS15="wie TS",-1,'IMPORT SCHLIESSERDATEN'!CS15)</f>
        <v>0</v>
      </c>
      <c r="N23" s="74">
        <f>IF(M23&lt;0,-1,'IMPORT SCHLIESSERDATEN'!CU15)</f>
        <v>0</v>
      </c>
      <c r="O23" s="74">
        <f>IF('IMPORT SCHLIESSERDATEN'!CZ15="wie TS",-1,'IMPORT SCHLIESSERDATEN'!CZ15)</f>
        <v>74</v>
      </c>
      <c r="P23" s="74">
        <f>IF(O23&lt;0,-1,'IMPORT SCHLIESSERDATEN'!DB15)</f>
        <v>17</v>
      </c>
      <c r="Q23" s="74">
        <f>'IMPORT SCHLIESSERDATEN'!DG15</f>
        <v>74</v>
      </c>
      <c r="R23" s="74">
        <f>'IMPORT SCHLIESSERDATEN'!DI15</f>
        <v>17</v>
      </c>
      <c r="S23" s="74">
        <f>'IMPORT SCHLIESSERDATEN'!DN15</f>
        <v>74</v>
      </c>
      <c r="T23" s="74">
        <f>IF('IMPORT SCHLIESSERDATEN'!DP15="V",9999,'IMPORT SCHLIESSERDATEN'!DP15)</f>
        <v>9999</v>
      </c>
      <c r="U23" s="74">
        <f>'IMPORT SCHLIESSERDATEN'!BW15</f>
        <v>305</v>
      </c>
      <c r="V23" s="74">
        <f>'IMPORT SCHLIESSERDATEN'!BX15</f>
        <v>50</v>
      </c>
      <c r="W23" s="74">
        <f>'IMPORT SCHLIESSERDATEN'!BY15</f>
        <v>65</v>
      </c>
      <c r="X23" s="74">
        <f>'IMPORT SCHLIESSERDATEN'!CO15</f>
        <v>0</v>
      </c>
      <c r="Y23" s="74">
        <f>'IMPORT SCHLIESSERDATEN'!CQ15</f>
        <v>0</v>
      </c>
      <c r="Z23" s="74">
        <f>'IMPORT SCHLIESSERDATEN'!CV15</f>
        <v>0</v>
      </c>
      <c r="AA23" s="74">
        <f>'IMPORT SCHLIESSERDATEN'!CX15</f>
        <v>0</v>
      </c>
      <c r="AB23" s="74">
        <f>'IMPORT SCHLIESSERDATEN'!DC15</f>
        <v>74</v>
      </c>
      <c r="AC23" s="74">
        <f>'IMPORT SCHLIESSERDATEN'!DE15</f>
        <v>0</v>
      </c>
      <c r="AD23" s="74">
        <f>'IMPORT SCHLIESSERDATEN'!DJ15</f>
        <v>74</v>
      </c>
      <c r="AE23" s="74">
        <f>'IMPORT SCHLIESSERDATEN'!DL15</f>
        <v>0</v>
      </c>
      <c r="AF23" s="74">
        <f>'IMPORT SCHLIESSERDATEN'!DQ15</f>
        <v>74</v>
      </c>
      <c r="AG23" s="74">
        <f>IF('IMPORT SCHLIESSERDATEN'!DS15="V",9999,'IMPORT SCHLIESSERDATEN'!DS15)</f>
        <v>9999</v>
      </c>
      <c r="AH23" s="74">
        <f>IF('IMPORT SCHLIESSERDATEN'!BZ15="V",9999,IF('IMPORT SCHLIESSERDATEN'!CD15="_",-1,'IMPORT SCHLIESSERDATEN'!BZ15))</f>
        <v>518</v>
      </c>
      <c r="AI23" s="74">
        <f>IF('IMPORT SCHLIESSERDATEN'!CA15="V",9999,IF('IMPORT SCHLIESSERDATEN'!CD15="_",-1,'IMPORT SCHLIESSERDATEN'!CA15))</f>
        <v>23</v>
      </c>
      <c r="AJ23" s="74">
        <f>IF('IMPORT SCHLIESSERDATEN'!CB15="V",9999,IF('IMPORT SCHLIESSERDATEN'!CD15="_",-1,'IMPORT SCHLIESSERDATEN'!CB15))</f>
        <v>32</v>
      </c>
      <c r="AK23" s="74">
        <f>IF('IMPORT SCHLIESSERDATEN'!CC15="V",9999,IF('IMPORT SCHLIESSERDATEN'!CC15="_",-1,'IMPORT SCHLIESSERDATEN'!CC15))</f>
        <v>16</v>
      </c>
      <c r="AL23" s="74">
        <f>IF('IMPORT SCHLIESSERDATEN'!CD15="_",-1,'IMPORT SCHLIESSERDATEN'!CD15)</f>
        <v>375</v>
      </c>
      <c r="AM23" s="74">
        <f>'IMPORT SCHLIESSERDATEN'!CH15</f>
        <v>101</v>
      </c>
      <c r="AN23" s="74">
        <f>IF('IMPORT SCHLIESSERDATEN'!CE15="V",9999,'IMPORT SCHLIESSERDATEN'!CE15)</f>
        <v>25</v>
      </c>
      <c r="AO23" s="74">
        <f>IF('IMPORT SCHLIESSERDATEN'!CK15="_",-1,'IMPORT SCHLIESSERDATEN'!CK15)</f>
        <v>45</v>
      </c>
      <c r="AP23" s="74">
        <f>IF('IMPORT SCHLIESSERDATEN'!$U15="",0,1)</f>
        <v>0</v>
      </c>
      <c r="AQ23" s="74">
        <f>IF('IMPORT SCHLIESSERDATEN'!$V15="",0,1)</f>
        <v>1</v>
      </c>
      <c r="AR23" s="74">
        <f>IF('IMPORT SCHLIESSERDATEN'!$W15="",0,1)</f>
        <v>0</v>
      </c>
      <c r="AS23" s="74">
        <f>IF('IMPORT SCHLIESSERDATEN'!$AA15="",0,1)</f>
        <v>0</v>
      </c>
      <c r="AT23" s="74">
        <f>IF('IMPORT SCHLIESSERDATEN'!$AD15="",0,1) + IF('IMPORT SCHLIESSERDATEN'!$AE15="",0,2)</f>
        <v>0</v>
      </c>
      <c r="AU23" s="74" t="str">
        <f>IF('IMPORT SCHLIESSERDATEN'!$X15="",IF('IMPORT SCHLIESSERDATEN'!$Y15="","","F"),"V")</f>
        <v/>
      </c>
      <c r="AV23" s="74" t="str">
        <f>IF('IMPORT SCHLIESSERDATEN'!$AB15&lt;&gt;"","M",IF('IMPORT SCHLIESSERDATEN'!$AD15&lt;&gt;"",IF(ISERR(SEARCH("UVIBIS",'IMPORT SCHLIESSERDATEN'!$B15)),"R","B"),IF(OR('IMPORT SCHLIESSERDATEN'!$AC15&lt;&gt;"",'IMPORT SCHLIESSERDATEN'!$AE15&lt;&gt;""),"E","")))</f>
        <v>M</v>
      </c>
      <c r="AW23" s="82"/>
      <c r="AX23" s="67"/>
    </row>
    <row r="24" spans="1:50" x14ac:dyDescent="0.25">
      <c r="A24" s="67">
        <f>IFERROR(IF(C24&lt;&gt;"",MAX($A$2:$A23)+1,""),"")</f>
        <v>12</v>
      </c>
      <c r="B24" s="223">
        <f t="shared" si="1"/>
        <v>12</v>
      </c>
      <c r="C24" s="216" t="str">
        <f>IF(J24=1,SUBSTITUTE('IMPORT SCHLIESSERDATEN'!$B16," Gangfl.",""),IF(J24=2,SUBSTITUTE('IMPORT SCHLIESSERDATEN'!$B16," Standfl.",""),'IMPORT SCHLIESSERDATEN'!$B16))</f>
        <v>TS 92 G EN 1-4</v>
      </c>
      <c r="D24" s="216" t="str">
        <f>IF('IMPORT SCHLIESSERDATEN'!$AF16&lt;&gt;"",IF(COUNTA('IMPORT SCHLIESSERDATEN'!$AN16:$AU16)&gt;0,"X","G"),IF('IMPORT SCHLIESSERDATEN'!$AG16&lt;&gt;"","S",IF('IMPORT SCHLIESSERDATEN'!$AH16&lt;&gt;"","I",IF('IMPORT SCHLIESSERDATEN'!$AI16&lt;&gt;"","B",IF('IMPORT SCHLIESSERDATEN'!$AJ16&lt;&gt;"","D","")))))</f>
        <v>G</v>
      </c>
      <c r="E24" s="248" t="str">
        <f>'IMPORT SCHLIESSERDATEN'!AK16 &amp; IF('IMPORT SCHLIESSERDATEN'!AL16="",""," "&amp; 'IMPORT SCHLIESSERDATEN'!AL16)</f>
        <v>92 G</v>
      </c>
      <c r="F24" s="74">
        <f>IFERROR(IF(D24="X",2^(MATCH("",'IMPORT SCHLIESSERDATEN'!$AN16:$AU16,-1)-1),IF(AV24="F",2^(MATCH("",'IMPORT SCHLIESSERDATEN'!$BH16:$BK16,-1)-1),2^(MATCH("",'IMPORT SCHLIESSERDATEN'!$AV16:$BG16,-1)-1))),0)</f>
        <v>1</v>
      </c>
      <c r="G24" s="74">
        <f>IF(AND('IMPORT SCHLIESSERDATEN'!$O16='IMPORT SCHLIESSERDATEN'!$R16,'IMPORT SCHLIESSERDATEN'!$O16&lt;&gt;"",'IMPORT SCHLIESSERDATEN'!$R16&lt;&gt;""),1,0)  +  IF(AND('IMPORT SCHLIESSERDATEN'!$P16='IMPORT SCHLIESSERDATEN'!$S16,'IMPORT SCHLIESSERDATEN'!$P16&lt;&gt;"",'IMPORT SCHLIESSERDATEN'!$S16&lt;&gt;""),2,0)   +  IF(AND('IMPORT SCHLIESSERDATEN'!$O16='IMPORT SCHLIESSERDATEN'!$S16,'IMPORT SCHLIESSERDATEN'!$O16&lt;&gt;"",'IMPORT SCHLIESSERDATEN'!$S16&lt;&gt;""),4,0)   +  IF(AND('IMPORT SCHLIESSERDATEN'!$P16='IMPORT SCHLIESSERDATEN'!$R16,'IMPORT SCHLIESSERDATEN'!$P16&lt;&gt;"",'IMPORT SCHLIESSERDATEN'!$R16&lt;&gt;""),8,0)   +  IF('IMPORT SCHLIESSERDATEN'!$Q16&lt;&gt;"",IF('IMPORT SCHLIESSERDATEN'!$R16&lt;&gt;"",32,0) + IF('IMPORT SCHLIESSERDATEN'!$S16&lt;&gt;"",64,0),0)  +  IF('IMPORT SCHLIESSERDATEN'!$T16&lt;&gt;"",IF('IMPORT SCHLIESSERDATEN'!$Q16&lt;&gt;"",128+256,128),0)</f>
        <v>12</v>
      </c>
      <c r="H24" s="74">
        <f>IF('IMPORT SCHLIESSERDATEN'!$H16="",0,1) + IF('IMPORT SCHLIESSERDATEN'!$I16="",0,2) + IF('IMPORT SCHLIESSERDATEN'!$J16="",0,4) + IF('IMPORT SCHLIESSERDATEN'!$K16="",0,8) + IF('IMPORT SCHLIESSERDATEN'!$L16="",0,16) + IF('IMPORT SCHLIESSERDATEN'!$M16="",0,32) + IF('IMPORT SCHLIESSERDATEN'!$N16="",0,64)</f>
        <v>15</v>
      </c>
      <c r="I24" s="74">
        <f>IF('IMPORT SCHLIESSERDATEN'!$D16="",0,1) + IF('IMPORT SCHLIESSERDATEN'!$E16="",0,2) + IF('IMPORT SCHLIESSERDATEN'!$E16="S",4,0)</f>
        <v>1</v>
      </c>
      <c r="J24" s="74">
        <f>IF(ISERR(FIND(" Gangfl.",'IMPORT SCHLIESSERDATEN'!$B16)),IF(ISERR(FIND(" Standfl.",'IMPORT SCHLIESSERDATEN'!$B16)),0,2),1)</f>
        <v>0</v>
      </c>
      <c r="K24" s="74">
        <f>'IMPORT SCHLIESSERDATEN'!CL16</f>
        <v>0</v>
      </c>
      <c r="L24" s="74">
        <f>'IMPORT SCHLIESSERDATEN'!CN16</f>
        <v>0</v>
      </c>
      <c r="M24" s="74">
        <f>IF('IMPORT SCHLIESSERDATEN'!CS16="wie TS",-1,'IMPORT SCHLIESSERDATEN'!CS16)</f>
        <v>0</v>
      </c>
      <c r="N24" s="74">
        <f>IF(M24&lt;0,-1,'IMPORT SCHLIESSERDATEN'!CU16)</f>
        <v>0</v>
      </c>
      <c r="O24" s="74">
        <f>IF('IMPORT SCHLIESSERDATEN'!CZ16="wie TS",-1,'IMPORT SCHLIESSERDATEN'!CZ16)</f>
        <v>86</v>
      </c>
      <c r="P24" s="74">
        <f>IF(O24&lt;0,-1,'IMPORT SCHLIESSERDATEN'!DB16)</f>
        <v>17</v>
      </c>
      <c r="Q24" s="74">
        <f>'IMPORT SCHLIESSERDATEN'!DG16</f>
        <v>51</v>
      </c>
      <c r="R24" s="74">
        <f>'IMPORT SCHLIESSERDATEN'!DI16</f>
        <v>17</v>
      </c>
      <c r="S24" s="74">
        <f>'IMPORT SCHLIESSERDATEN'!DN16</f>
        <v>51</v>
      </c>
      <c r="T24" s="74">
        <f>IF('IMPORT SCHLIESSERDATEN'!DP16="V",9999,'IMPORT SCHLIESSERDATEN'!DP16)</f>
        <v>9999</v>
      </c>
      <c r="U24" s="74">
        <f>'IMPORT SCHLIESSERDATEN'!BW16</f>
        <v>281</v>
      </c>
      <c r="V24" s="74">
        <f>'IMPORT SCHLIESSERDATEN'!BX16</f>
        <v>47</v>
      </c>
      <c r="W24" s="74">
        <f>'IMPORT SCHLIESSERDATEN'!BY16</f>
        <v>65</v>
      </c>
      <c r="X24" s="74">
        <f>'IMPORT SCHLIESSERDATEN'!CO16</f>
        <v>0</v>
      </c>
      <c r="Y24" s="74">
        <f>'IMPORT SCHLIESSERDATEN'!CQ16</f>
        <v>0</v>
      </c>
      <c r="Z24" s="74">
        <f>'IMPORT SCHLIESSERDATEN'!CV16</f>
        <v>0</v>
      </c>
      <c r="AA24" s="74">
        <f>'IMPORT SCHLIESSERDATEN'!CX16</f>
        <v>0</v>
      </c>
      <c r="AB24" s="74">
        <f>'IMPORT SCHLIESSERDATEN'!DC16</f>
        <v>143</v>
      </c>
      <c r="AC24" s="74">
        <f>'IMPORT SCHLIESSERDATEN'!DE16</f>
        <v>3</v>
      </c>
      <c r="AD24" s="74">
        <f>'IMPORT SCHLIESSERDATEN'!DJ16</f>
        <v>143</v>
      </c>
      <c r="AE24" s="74">
        <f>'IMPORT SCHLIESSERDATEN'!DL16</f>
        <v>3</v>
      </c>
      <c r="AF24" s="74">
        <f>'IMPORT SCHLIESSERDATEN'!DQ16</f>
        <v>143</v>
      </c>
      <c r="AG24" s="74">
        <f>IF('IMPORT SCHLIESSERDATEN'!DS16="V",9999,'IMPORT SCHLIESSERDATEN'!DS16)</f>
        <v>9999</v>
      </c>
      <c r="AH24" s="74">
        <f>IF('IMPORT SCHLIESSERDATEN'!BZ16="V",9999,IF('IMPORT SCHLIESSERDATEN'!CD16="_",-1,'IMPORT SCHLIESSERDATEN'!BZ16))</f>
        <v>442</v>
      </c>
      <c r="AI24" s="74">
        <f>IF('IMPORT SCHLIESSERDATEN'!CA16="V",9999,IF('IMPORT SCHLIESSERDATEN'!CD16="_",-1,'IMPORT SCHLIESSERDATEN'!CA16))</f>
        <v>23</v>
      </c>
      <c r="AJ24" s="74">
        <f>IF('IMPORT SCHLIESSERDATEN'!CB16="V",9999,IF('IMPORT SCHLIESSERDATEN'!CD16="_",-1,'IMPORT SCHLIESSERDATEN'!CB16))</f>
        <v>31</v>
      </c>
      <c r="AK24" s="74">
        <f>IF('IMPORT SCHLIESSERDATEN'!CC16="V",9999,IF('IMPORT SCHLIESSERDATEN'!CC16="_",-1,'IMPORT SCHLIESSERDATEN'!CC16))</f>
        <v>16</v>
      </c>
      <c r="AL24" s="74">
        <f>IF('IMPORT SCHLIESSERDATEN'!CD16="_",-1,'IMPORT SCHLIESSERDATEN'!CD16)</f>
        <v>375</v>
      </c>
      <c r="AM24" s="74">
        <f>'IMPORT SCHLIESSERDATEN'!CH16</f>
        <v>89</v>
      </c>
      <c r="AN24" s="74">
        <f>IF('IMPORT SCHLIESSERDATEN'!CE16="V",9999,'IMPORT SCHLIESSERDATEN'!CE16)</f>
        <v>25</v>
      </c>
      <c r="AO24" s="74">
        <f>IF('IMPORT SCHLIESSERDATEN'!CK16="_",-1,'IMPORT SCHLIESSERDATEN'!CK16)</f>
        <v>46</v>
      </c>
      <c r="AP24" s="74">
        <f>IF('IMPORT SCHLIESSERDATEN'!$U16="",0,1)</f>
        <v>1</v>
      </c>
      <c r="AQ24" s="74">
        <f>IF('IMPORT SCHLIESSERDATEN'!$V16="",0,1)</f>
        <v>1</v>
      </c>
      <c r="AR24" s="74">
        <f>IF('IMPORT SCHLIESSERDATEN'!$W16="",0,1)</f>
        <v>0</v>
      </c>
      <c r="AS24" s="74">
        <f>IF('IMPORT SCHLIESSERDATEN'!$AA16="",0,1)</f>
        <v>0</v>
      </c>
      <c r="AT24" s="74">
        <f>IF('IMPORT SCHLIESSERDATEN'!$AD16="",0,1) + IF('IMPORT SCHLIESSERDATEN'!$AE16="",0,2)</f>
        <v>0</v>
      </c>
      <c r="AU24" s="74" t="str">
        <f>IF('IMPORT SCHLIESSERDATEN'!$X16="",IF('IMPORT SCHLIESSERDATEN'!$Y16="","","F"),"V")</f>
        <v/>
      </c>
      <c r="AV24" s="74" t="str">
        <f>IF('IMPORT SCHLIESSERDATEN'!$AB16&lt;&gt;"","M",IF('IMPORT SCHLIESSERDATEN'!$AD16&lt;&gt;"",IF(ISERR(SEARCH("UVIBIS",'IMPORT SCHLIESSERDATEN'!$B16)),"R","B"),IF(OR('IMPORT SCHLIESSERDATEN'!$AC16&lt;&gt;"",'IMPORT SCHLIESSERDATEN'!$AE16&lt;&gt;""),"E","")))</f>
        <v/>
      </c>
      <c r="AW24" s="82"/>
      <c r="AX24" s="67"/>
    </row>
    <row r="25" spans="1:50" x14ac:dyDescent="0.25">
      <c r="A25" s="67">
        <f>IFERROR(IF(C25&lt;&gt;"",MAX($A$2:$A24)+1,""),"")</f>
        <v>13</v>
      </c>
      <c r="B25" s="223">
        <f t="shared" si="1"/>
        <v>13</v>
      </c>
      <c r="C25" s="216" t="str">
        <f>IF(J25=1,SUBSTITUTE('IMPORT SCHLIESSERDATEN'!$B17," Gangfl.",""),IF(J25=2,SUBSTITUTE('IMPORT SCHLIESSERDATEN'!$B17," Standfl.",""),'IMPORT SCHLIESSERDATEN'!$B17))</f>
        <v>TS 92 G RF EN 1-4</v>
      </c>
      <c r="D25" s="216" t="str">
        <f>IF('IMPORT SCHLIESSERDATEN'!$AF17&lt;&gt;"",IF(COUNTA('IMPORT SCHLIESSERDATEN'!$AN17:$AU17)&gt;0,"X","G"),IF('IMPORT SCHLIESSERDATEN'!$AG17&lt;&gt;"","S",IF('IMPORT SCHLIESSERDATEN'!$AH17&lt;&gt;"","I",IF('IMPORT SCHLIESSERDATEN'!$AI17&lt;&gt;"","B",IF('IMPORT SCHLIESSERDATEN'!$AJ17&lt;&gt;"","D","")))))</f>
        <v>G</v>
      </c>
      <c r="E25" s="248" t="str">
        <f>'IMPORT SCHLIESSERDATEN'!AK17 &amp; IF('IMPORT SCHLIESSERDATEN'!AL17="",""," "&amp; 'IMPORT SCHLIESSERDATEN'!AL17)</f>
        <v>92 G</v>
      </c>
      <c r="F25" s="74">
        <f>IFERROR(IF(D25="X",2^(MATCH("",'IMPORT SCHLIESSERDATEN'!$AN17:$AU17,-1)-1),IF(AV25="F",2^(MATCH("",'IMPORT SCHLIESSERDATEN'!$BH17:$BK17,-1)-1),2^(MATCH("",'IMPORT SCHLIESSERDATEN'!$AV17:$BG17,-1)-1))),0)</f>
        <v>2</v>
      </c>
      <c r="G25" s="74">
        <f>IF(AND('IMPORT SCHLIESSERDATEN'!$O17='IMPORT SCHLIESSERDATEN'!$R17,'IMPORT SCHLIESSERDATEN'!$O17&lt;&gt;"",'IMPORT SCHLIESSERDATEN'!$R17&lt;&gt;""),1,0)  +  IF(AND('IMPORT SCHLIESSERDATEN'!$P17='IMPORT SCHLIESSERDATEN'!$S17,'IMPORT SCHLIESSERDATEN'!$P17&lt;&gt;"",'IMPORT SCHLIESSERDATEN'!$S17&lt;&gt;""),2,0)   +  IF(AND('IMPORT SCHLIESSERDATEN'!$O17='IMPORT SCHLIESSERDATEN'!$S17,'IMPORT SCHLIESSERDATEN'!$O17&lt;&gt;"",'IMPORT SCHLIESSERDATEN'!$S17&lt;&gt;""),4,0)   +  IF(AND('IMPORT SCHLIESSERDATEN'!$P17='IMPORT SCHLIESSERDATEN'!$R17,'IMPORT SCHLIESSERDATEN'!$P17&lt;&gt;"",'IMPORT SCHLIESSERDATEN'!$R17&lt;&gt;""),8,0)   +  IF('IMPORT SCHLIESSERDATEN'!$Q17&lt;&gt;"",IF('IMPORT SCHLIESSERDATEN'!$R17&lt;&gt;"",32,0) + IF('IMPORT SCHLIESSERDATEN'!$S17&lt;&gt;"",64,0),0)  +  IF('IMPORT SCHLIESSERDATEN'!$T17&lt;&gt;"",IF('IMPORT SCHLIESSERDATEN'!$Q17&lt;&gt;"",128+256,128),0)</f>
        <v>12</v>
      </c>
      <c r="H25" s="74">
        <f>IF('IMPORT SCHLIESSERDATEN'!$H17="",0,1) + IF('IMPORT SCHLIESSERDATEN'!$I17="",0,2) + IF('IMPORT SCHLIESSERDATEN'!$J17="",0,4) + IF('IMPORT SCHLIESSERDATEN'!$K17="",0,8) + IF('IMPORT SCHLIESSERDATEN'!$L17="",0,16) + IF('IMPORT SCHLIESSERDATEN'!$M17="",0,32) + IF('IMPORT SCHLIESSERDATEN'!$N17="",0,64)</f>
        <v>15</v>
      </c>
      <c r="I25" s="74">
        <f>IF('IMPORT SCHLIESSERDATEN'!$D17="",0,1) + IF('IMPORT SCHLIESSERDATEN'!$E17="",0,2) + IF('IMPORT SCHLIESSERDATEN'!$E17="S",4,0)</f>
        <v>1</v>
      </c>
      <c r="J25" s="74">
        <f>IF(ISERR(FIND(" Gangfl.",'IMPORT SCHLIESSERDATEN'!$B17)),IF(ISERR(FIND(" Standfl.",'IMPORT SCHLIESSERDATEN'!$B17)),0,2),1)</f>
        <v>0</v>
      </c>
      <c r="K25" s="74">
        <f>'IMPORT SCHLIESSERDATEN'!CL17</f>
        <v>0</v>
      </c>
      <c r="L25" s="74">
        <f>'IMPORT SCHLIESSERDATEN'!CN17</f>
        <v>0</v>
      </c>
      <c r="M25" s="74">
        <f>IF('IMPORT SCHLIESSERDATEN'!CS17="wie TS",-1,'IMPORT SCHLIESSERDATEN'!CS17)</f>
        <v>0</v>
      </c>
      <c r="N25" s="74">
        <f>IF(M25&lt;0,-1,'IMPORT SCHLIESSERDATEN'!CU17)</f>
        <v>0</v>
      </c>
      <c r="O25" s="74">
        <f>IF('IMPORT SCHLIESSERDATEN'!CZ17="wie TS",-1,'IMPORT SCHLIESSERDATEN'!CZ17)</f>
        <v>86</v>
      </c>
      <c r="P25" s="74">
        <f>IF(O25&lt;0,-1,'IMPORT SCHLIESSERDATEN'!DB17)</f>
        <v>17</v>
      </c>
      <c r="Q25" s="74">
        <f>'IMPORT SCHLIESSERDATEN'!DG17</f>
        <v>51</v>
      </c>
      <c r="R25" s="74">
        <f>'IMPORT SCHLIESSERDATEN'!DI17</f>
        <v>17</v>
      </c>
      <c r="S25" s="74">
        <f>'IMPORT SCHLIESSERDATEN'!DN17</f>
        <v>51</v>
      </c>
      <c r="T25" s="74">
        <f>IF('IMPORT SCHLIESSERDATEN'!DP17="V",9999,'IMPORT SCHLIESSERDATEN'!DP17)</f>
        <v>9999</v>
      </c>
      <c r="U25" s="74">
        <f>'IMPORT SCHLIESSERDATEN'!BW17</f>
        <v>281</v>
      </c>
      <c r="V25" s="74">
        <f>'IMPORT SCHLIESSERDATEN'!BX17</f>
        <v>47</v>
      </c>
      <c r="W25" s="74">
        <f>'IMPORT SCHLIESSERDATEN'!BY17</f>
        <v>65</v>
      </c>
      <c r="X25" s="74">
        <f>'IMPORT SCHLIESSERDATEN'!CO17</f>
        <v>0</v>
      </c>
      <c r="Y25" s="74">
        <f>'IMPORT SCHLIESSERDATEN'!CQ17</f>
        <v>0</v>
      </c>
      <c r="Z25" s="74">
        <f>'IMPORT SCHLIESSERDATEN'!CV17</f>
        <v>0</v>
      </c>
      <c r="AA25" s="74">
        <f>'IMPORT SCHLIESSERDATEN'!CX17</f>
        <v>0</v>
      </c>
      <c r="AB25" s="74">
        <f>'IMPORT SCHLIESSERDATEN'!DC17</f>
        <v>143</v>
      </c>
      <c r="AC25" s="74">
        <f>'IMPORT SCHLIESSERDATEN'!DE17</f>
        <v>3</v>
      </c>
      <c r="AD25" s="74">
        <f>'IMPORT SCHLIESSERDATEN'!DJ17</f>
        <v>143</v>
      </c>
      <c r="AE25" s="74">
        <f>'IMPORT SCHLIESSERDATEN'!DL17</f>
        <v>3</v>
      </c>
      <c r="AF25" s="74">
        <f>'IMPORT SCHLIESSERDATEN'!DQ17</f>
        <v>143</v>
      </c>
      <c r="AG25" s="74">
        <f>IF('IMPORT SCHLIESSERDATEN'!DS17="V",9999,'IMPORT SCHLIESSERDATEN'!DS17)</f>
        <v>9999</v>
      </c>
      <c r="AH25" s="74">
        <f>IF('IMPORT SCHLIESSERDATEN'!BZ17="V",9999,IF('IMPORT SCHLIESSERDATEN'!CD17="_",-1,'IMPORT SCHLIESSERDATEN'!BZ17))</f>
        <v>442</v>
      </c>
      <c r="AI25" s="74">
        <f>IF('IMPORT SCHLIESSERDATEN'!CA17="V",9999,IF('IMPORT SCHLIESSERDATEN'!CD17="_",-1,'IMPORT SCHLIESSERDATEN'!CA17))</f>
        <v>23</v>
      </c>
      <c r="AJ25" s="74">
        <f>IF('IMPORT SCHLIESSERDATEN'!CB17="V",9999,IF('IMPORT SCHLIESSERDATEN'!CD17="_",-1,'IMPORT SCHLIESSERDATEN'!CB17))</f>
        <v>31</v>
      </c>
      <c r="AK25" s="74">
        <f>IF('IMPORT SCHLIESSERDATEN'!CC17="V",9999,IF('IMPORT SCHLIESSERDATEN'!CC17="_",-1,'IMPORT SCHLIESSERDATEN'!CC17))</f>
        <v>16</v>
      </c>
      <c r="AL25" s="74">
        <f>IF('IMPORT SCHLIESSERDATEN'!CD17="_",-1,'IMPORT SCHLIESSERDATEN'!CD17)</f>
        <v>375</v>
      </c>
      <c r="AM25" s="74">
        <f>'IMPORT SCHLIESSERDATEN'!CH17</f>
        <v>89</v>
      </c>
      <c r="AN25" s="74">
        <f>IF('IMPORT SCHLIESSERDATEN'!CE17="V",9999,'IMPORT SCHLIESSERDATEN'!CE17)</f>
        <v>25</v>
      </c>
      <c r="AO25" s="74">
        <f>IF('IMPORT SCHLIESSERDATEN'!CK17="_",-1,'IMPORT SCHLIESSERDATEN'!CK17)</f>
        <v>60</v>
      </c>
      <c r="AP25" s="74">
        <f>IF('IMPORT SCHLIESSERDATEN'!$U17="",0,1)</f>
        <v>0</v>
      </c>
      <c r="AQ25" s="74">
        <f>IF('IMPORT SCHLIESSERDATEN'!$V17="",0,1)</f>
        <v>1</v>
      </c>
      <c r="AR25" s="74">
        <f>IF('IMPORT SCHLIESSERDATEN'!$W17="",0,1)</f>
        <v>0</v>
      </c>
      <c r="AS25" s="74">
        <f>IF('IMPORT SCHLIESSERDATEN'!$AA17="",0,1)</f>
        <v>0</v>
      </c>
      <c r="AT25" s="74">
        <f>IF('IMPORT SCHLIESSERDATEN'!$AD17="",0,1) + IF('IMPORT SCHLIESSERDATEN'!$AE17="",0,2)</f>
        <v>0</v>
      </c>
      <c r="AU25" s="74" t="str">
        <f>IF('IMPORT SCHLIESSERDATEN'!$X17="",IF('IMPORT SCHLIESSERDATEN'!$Y17="","","F"),"V")</f>
        <v/>
      </c>
      <c r="AV25" s="74" t="str">
        <f>IF('IMPORT SCHLIESSERDATEN'!$AB17&lt;&gt;"","M",IF('IMPORT SCHLIESSERDATEN'!$AD17&lt;&gt;"",IF(ISERR(SEARCH("UVIBIS",'IMPORT SCHLIESSERDATEN'!$B17)),"R","B"),IF(OR('IMPORT SCHLIESSERDATEN'!$AC17&lt;&gt;"",'IMPORT SCHLIESSERDATEN'!$AE17&lt;&gt;""),"E","")))</f>
        <v>M</v>
      </c>
      <c r="AW25" s="82"/>
      <c r="AX25" s="67"/>
    </row>
    <row r="26" spans="1:50" x14ac:dyDescent="0.25">
      <c r="A26" s="67">
        <f>IFERROR(IF(C26&lt;&gt;"",MAX($A$2:$A25)+1,""),"")</f>
        <v>14</v>
      </c>
      <c r="B26" s="223">
        <f t="shared" si="1"/>
        <v>14</v>
      </c>
      <c r="C26" s="216" t="str">
        <f>IF(J26=1,SUBSTITUTE('IMPORT SCHLIESSERDATEN'!$B18," Gangfl.",""),IF(J26=2,SUBSTITUTE('IMPORT SCHLIESSERDATEN'!$B18," Standfl.",""),'IMPORT SCHLIESSERDATEN'!$B18))</f>
        <v>TS 93 EN 2-5</v>
      </c>
      <c r="D26" s="216" t="str">
        <f>IF('IMPORT SCHLIESSERDATEN'!$AF18&lt;&gt;"",IF(COUNTA('IMPORT SCHLIESSERDATEN'!$AN18:$AU18)&gt;0,"X","G"),IF('IMPORT SCHLIESSERDATEN'!$AG18&lt;&gt;"","S",IF('IMPORT SCHLIESSERDATEN'!$AH18&lt;&gt;"","I",IF('IMPORT SCHLIESSERDATEN'!$AI18&lt;&gt;"","B",IF('IMPORT SCHLIESSERDATEN'!$AJ18&lt;&gt;"","D","")))))</f>
        <v>G</v>
      </c>
      <c r="E26" s="248" t="str">
        <f>'IMPORT SCHLIESSERDATEN'!AK18 &amp; IF('IMPORT SCHLIESSERDATEN'!AL18="",""," "&amp; 'IMPORT SCHLIESSERDATEN'!AL18)</f>
        <v>93 B</v>
      </c>
      <c r="F26" s="74">
        <f>IFERROR(IF(D26="X",2^(MATCH("",'IMPORT SCHLIESSERDATEN'!$AN18:$AU18,-1)-1),IF(AV26="F",2^(MATCH("",'IMPORT SCHLIESSERDATEN'!$BH18:$BK18,-1)-1),2^(MATCH("",'IMPORT SCHLIESSERDATEN'!$AV18:$BG18,-1)-1))),0)</f>
        <v>1</v>
      </c>
      <c r="G26" s="74">
        <f>IF(AND('IMPORT SCHLIESSERDATEN'!$O18='IMPORT SCHLIESSERDATEN'!$R18,'IMPORT SCHLIESSERDATEN'!$O18&lt;&gt;"",'IMPORT SCHLIESSERDATEN'!$R18&lt;&gt;""),1,0)  +  IF(AND('IMPORT SCHLIESSERDATEN'!$P18='IMPORT SCHLIESSERDATEN'!$S18,'IMPORT SCHLIESSERDATEN'!$P18&lt;&gt;"",'IMPORT SCHLIESSERDATEN'!$S18&lt;&gt;""),2,0)   +  IF(AND('IMPORT SCHLIESSERDATEN'!$O18='IMPORT SCHLIESSERDATEN'!$S18,'IMPORT SCHLIESSERDATEN'!$O18&lt;&gt;"",'IMPORT SCHLIESSERDATEN'!$S18&lt;&gt;""),4,0)   +  IF(AND('IMPORT SCHLIESSERDATEN'!$P18='IMPORT SCHLIESSERDATEN'!$R18,'IMPORT SCHLIESSERDATEN'!$P18&lt;&gt;"",'IMPORT SCHLIESSERDATEN'!$R18&lt;&gt;""),8,0)   +  IF('IMPORT SCHLIESSERDATEN'!$Q18&lt;&gt;"",IF('IMPORT SCHLIESSERDATEN'!$R18&lt;&gt;"",32,0) + IF('IMPORT SCHLIESSERDATEN'!$S18&lt;&gt;"",64,0),0)  +  IF('IMPORT SCHLIESSERDATEN'!$T18&lt;&gt;"",IF('IMPORT SCHLIESSERDATEN'!$Q18&lt;&gt;"",128+256,128),0)</f>
        <v>3</v>
      </c>
      <c r="H26" s="74">
        <f>IF('IMPORT SCHLIESSERDATEN'!$H18="",0,1) + IF('IMPORT SCHLIESSERDATEN'!$I18="",0,2) + IF('IMPORT SCHLIESSERDATEN'!$J18="",0,4) + IF('IMPORT SCHLIESSERDATEN'!$K18="",0,8) + IF('IMPORT SCHLIESSERDATEN'!$L18="",0,16) + IF('IMPORT SCHLIESSERDATEN'!$M18="",0,32) + IF('IMPORT SCHLIESSERDATEN'!$N18="",0,64)</f>
        <v>30</v>
      </c>
      <c r="I26" s="74">
        <f>IF('IMPORT SCHLIESSERDATEN'!$D18="",0,1) + IF('IMPORT SCHLIESSERDATEN'!$E18="",0,2) + IF('IMPORT SCHLIESSERDATEN'!$E18="S",4,0)</f>
        <v>1</v>
      </c>
      <c r="J26" s="74">
        <f>IF(ISERR(FIND(" Gangfl.",'IMPORT SCHLIESSERDATEN'!$B18)),IF(ISERR(FIND(" Standfl.",'IMPORT SCHLIESSERDATEN'!$B18)),0,2),1)</f>
        <v>0</v>
      </c>
      <c r="K26" s="74">
        <f>'IMPORT SCHLIESSERDATEN'!CL18</f>
        <v>84</v>
      </c>
      <c r="L26" s="74">
        <f>'IMPORT SCHLIESSERDATEN'!CN18</f>
        <v>4</v>
      </c>
      <c r="M26" s="74">
        <f>IF('IMPORT SCHLIESSERDATEN'!CS18="wie TS",-1,'IMPORT SCHLIESSERDATEN'!CS18)</f>
        <v>84</v>
      </c>
      <c r="N26" s="74">
        <f>IF(M26&lt;0,-1,'IMPORT SCHLIESSERDATEN'!CU18)</f>
        <v>4</v>
      </c>
      <c r="O26" s="74">
        <f>IF('IMPORT SCHLIESSERDATEN'!CZ18="wie TS",-1,'IMPORT SCHLIESSERDATEN'!CZ18)</f>
        <v>0</v>
      </c>
      <c r="P26" s="74">
        <f>IF(O26&lt;0,-1,'IMPORT SCHLIESSERDATEN'!DB18)</f>
        <v>0</v>
      </c>
      <c r="Q26" s="74">
        <f>'IMPORT SCHLIESSERDATEN'!DG18</f>
        <v>0</v>
      </c>
      <c r="R26" s="74">
        <f>'IMPORT SCHLIESSERDATEN'!DI18</f>
        <v>0</v>
      </c>
      <c r="S26" s="74">
        <f>'IMPORT SCHLIESSERDATEN'!DN18</f>
        <v>0</v>
      </c>
      <c r="T26" s="74">
        <f>IF('IMPORT SCHLIESSERDATEN'!DP18="V",9999,'IMPORT SCHLIESSERDATEN'!DP18)</f>
        <v>0</v>
      </c>
      <c r="U26" s="74">
        <f>'IMPORT SCHLIESSERDATEN'!BW18</f>
        <v>275</v>
      </c>
      <c r="V26" s="74">
        <f>'IMPORT SCHLIESSERDATEN'!BX18</f>
        <v>53</v>
      </c>
      <c r="W26" s="74">
        <f>'IMPORT SCHLIESSERDATEN'!BY18</f>
        <v>60</v>
      </c>
      <c r="X26" s="74">
        <f>'IMPORT SCHLIESSERDATEN'!CO18</f>
        <v>143</v>
      </c>
      <c r="Y26" s="74">
        <f>'IMPORT SCHLIESSERDATEN'!CQ18</f>
        <v>16</v>
      </c>
      <c r="Z26" s="74">
        <f>'IMPORT SCHLIESSERDATEN'!CV18</f>
        <v>143</v>
      </c>
      <c r="AA26" s="74">
        <f>'IMPORT SCHLIESSERDATEN'!CX18</f>
        <v>16</v>
      </c>
      <c r="AB26" s="74">
        <f>'IMPORT SCHLIESSERDATEN'!DC18</f>
        <v>0</v>
      </c>
      <c r="AC26" s="74">
        <f>'IMPORT SCHLIESSERDATEN'!DE18</f>
        <v>0</v>
      </c>
      <c r="AD26" s="74">
        <f>'IMPORT SCHLIESSERDATEN'!DJ18</f>
        <v>0</v>
      </c>
      <c r="AE26" s="74">
        <f>'IMPORT SCHLIESSERDATEN'!DL18</f>
        <v>0</v>
      </c>
      <c r="AF26" s="74">
        <f>'IMPORT SCHLIESSERDATEN'!DQ18</f>
        <v>0</v>
      </c>
      <c r="AG26" s="74">
        <f>IF('IMPORT SCHLIESSERDATEN'!DS18="V",9999,'IMPORT SCHLIESSERDATEN'!DS18)</f>
        <v>0</v>
      </c>
      <c r="AH26" s="74">
        <f>IF('IMPORT SCHLIESSERDATEN'!BZ18="V",9999,IF('IMPORT SCHLIESSERDATEN'!CD18="_",-1,'IMPORT SCHLIESSERDATEN'!BZ18))</f>
        <v>442</v>
      </c>
      <c r="AI26" s="74">
        <f>IF('IMPORT SCHLIESSERDATEN'!CA18="V",9999,IF('IMPORT SCHLIESSERDATEN'!CD18="_",-1,'IMPORT SCHLIESSERDATEN'!CA18))</f>
        <v>23</v>
      </c>
      <c r="AJ26" s="74">
        <f>IF('IMPORT SCHLIESSERDATEN'!CB18="V",9999,IF('IMPORT SCHLIESSERDATEN'!CD18="_",-1,'IMPORT SCHLIESSERDATEN'!CB18))</f>
        <v>31</v>
      </c>
      <c r="AK26" s="74">
        <f>IF('IMPORT SCHLIESSERDATEN'!CC18="V",9999,IF('IMPORT SCHLIESSERDATEN'!CC18="_",-1,'IMPORT SCHLIESSERDATEN'!CC18))</f>
        <v>16</v>
      </c>
      <c r="AL26" s="74">
        <f>IF('IMPORT SCHLIESSERDATEN'!CD18="_",-1,'IMPORT SCHLIESSERDATEN'!CD18)</f>
        <v>375</v>
      </c>
      <c r="AM26" s="74">
        <f>'IMPORT SCHLIESSERDATEN'!CH18</f>
        <v>91</v>
      </c>
      <c r="AN26" s="74">
        <f>IF('IMPORT SCHLIESSERDATEN'!CE18="V",9999,'IMPORT SCHLIESSERDATEN'!CE18)</f>
        <v>30</v>
      </c>
      <c r="AO26" s="74">
        <f>IF('IMPORT SCHLIESSERDATEN'!CK18="_",-1,'IMPORT SCHLIESSERDATEN'!CK18)</f>
        <v>46</v>
      </c>
      <c r="AP26" s="74">
        <f>IF('IMPORT SCHLIESSERDATEN'!$U18="",0,1)</f>
        <v>1</v>
      </c>
      <c r="AQ26" s="74">
        <f>IF('IMPORT SCHLIESSERDATEN'!$V18="",0,1)</f>
        <v>1</v>
      </c>
      <c r="AR26" s="74">
        <f>IF('IMPORT SCHLIESSERDATEN'!$W18="",0,1)</f>
        <v>0</v>
      </c>
      <c r="AS26" s="74">
        <f>IF('IMPORT SCHLIESSERDATEN'!$AA18="",0,1)</f>
        <v>1</v>
      </c>
      <c r="AT26" s="74">
        <f>IF('IMPORT SCHLIESSERDATEN'!$AD18="",0,1) + IF('IMPORT SCHLIESSERDATEN'!$AE18="",0,2)</f>
        <v>0</v>
      </c>
      <c r="AU26" s="74" t="str">
        <f>IF('IMPORT SCHLIESSERDATEN'!$X18="",IF('IMPORT SCHLIESSERDATEN'!$Y18="","","F"),"V")</f>
        <v>V</v>
      </c>
      <c r="AV26" s="74" t="str">
        <f>IF('IMPORT SCHLIESSERDATEN'!$AB18&lt;&gt;"","M",IF('IMPORT SCHLIESSERDATEN'!$AD18&lt;&gt;"",IF(ISERR(SEARCH("UVIBIS",'IMPORT SCHLIESSERDATEN'!$B18)),"R","B"),IF(OR('IMPORT SCHLIESSERDATEN'!$AC18&lt;&gt;"",'IMPORT SCHLIESSERDATEN'!$AE18&lt;&gt;""),"E","")))</f>
        <v/>
      </c>
      <c r="AW26" s="82"/>
      <c r="AX26" s="67"/>
    </row>
    <row r="27" spans="1:50" x14ac:dyDescent="0.25">
      <c r="A27" s="67">
        <f>IFERROR(IF(C27&lt;&gt;"",MAX($A$2:$A26)+1,""),"")</f>
        <v>15</v>
      </c>
      <c r="B27" s="223">
        <f t="shared" si="1"/>
        <v>15</v>
      </c>
      <c r="C27" s="216" t="str">
        <f>IF(J27=1,SUBSTITUTE('IMPORT SCHLIESSERDATEN'!$B19," Gangfl.",""),IF(J27=2,SUBSTITUTE('IMPORT SCHLIESSERDATEN'!$B19," Standfl.",""),'IMPORT SCHLIESSERDATEN'!$B19))</f>
        <v>TS 93 RF EN 2-5</v>
      </c>
      <c r="D27" s="216" t="str">
        <f>IF('IMPORT SCHLIESSERDATEN'!$AF19&lt;&gt;"",IF(COUNTA('IMPORT SCHLIESSERDATEN'!$AN19:$AU19)&gt;0,"X","G"),IF('IMPORT SCHLIESSERDATEN'!$AG19&lt;&gt;"","S",IF('IMPORT SCHLIESSERDATEN'!$AH19&lt;&gt;"","I",IF('IMPORT SCHLIESSERDATEN'!$AI19&lt;&gt;"","B",IF('IMPORT SCHLIESSERDATEN'!$AJ19&lt;&gt;"","D","")))))</f>
        <v>G</v>
      </c>
      <c r="E27" s="248" t="str">
        <f>'IMPORT SCHLIESSERDATEN'!AK19 &amp; IF('IMPORT SCHLIESSERDATEN'!AL19="",""," "&amp; 'IMPORT SCHLIESSERDATEN'!AL19)</f>
        <v>93 B</v>
      </c>
      <c r="F27" s="74">
        <f>IFERROR(IF(D27="X",2^(MATCH("",'IMPORT SCHLIESSERDATEN'!$AN19:$AU19,-1)-1),IF(AV27="F",2^(MATCH("",'IMPORT SCHLIESSERDATEN'!$BH19:$BK19,-1)-1),2^(MATCH("",'IMPORT SCHLIESSERDATEN'!$AV19:$BG19,-1)-1))),0)</f>
        <v>2</v>
      </c>
      <c r="G27" s="74">
        <f>IF(AND('IMPORT SCHLIESSERDATEN'!$O19='IMPORT SCHLIESSERDATEN'!$R19,'IMPORT SCHLIESSERDATEN'!$O19&lt;&gt;"",'IMPORT SCHLIESSERDATEN'!$R19&lt;&gt;""),1,0)  +  IF(AND('IMPORT SCHLIESSERDATEN'!$P19='IMPORT SCHLIESSERDATEN'!$S19,'IMPORT SCHLIESSERDATEN'!$P19&lt;&gt;"",'IMPORT SCHLIESSERDATEN'!$S19&lt;&gt;""),2,0)   +  IF(AND('IMPORT SCHLIESSERDATEN'!$O19='IMPORT SCHLIESSERDATEN'!$S19,'IMPORT SCHLIESSERDATEN'!$O19&lt;&gt;"",'IMPORT SCHLIESSERDATEN'!$S19&lt;&gt;""),4,0)   +  IF(AND('IMPORT SCHLIESSERDATEN'!$P19='IMPORT SCHLIESSERDATEN'!$R19,'IMPORT SCHLIESSERDATEN'!$P19&lt;&gt;"",'IMPORT SCHLIESSERDATEN'!$R19&lt;&gt;""),8,0)   +  IF('IMPORT SCHLIESSERDATEN'!$Q19&lt;&gt;"",IF('IMPORT SCHLIESSERDATEN'!$R19&lt;&gt;"",32,0) + IF('IMPORT SCHLIESSERDATEN'!$S19&lt;&gt;"",64,0),0)  +  IF('IMPORT SCHLIESSERDATEN'!$T19&lt;&gt;"",IF('IMPORT SCHLIESSERDATEN'!$Q19&lt;&gt;"",128+256,128),0)</f>
        <v>3</v>
      </c>
      <c r="H27" s="74">
        <f>IF('IMPORT SCHLIESSERDATEN'!$H19="",0,1) + IF('IMPORT SCHLIESSERDATEN'!$I19="",0,2) + IF('IMPORT SCHLIESSERDATEN'!$J19="",0,4) + IF('IMPORT SCHLIESSERDATEN'!$K19="",0,8) + IF('IMPORT SCHLIESSERDATEN'!$L19="",0,16) + IF('IMPORT SCHLIESSERDATEN'!$M19="",0,32) + IF('IMPORT SCHLIESSERDATEN'!$N19="",0,64)</f>
        <v>30</v>
      </c>
      <c r="I27" s="74">
        <f>IF('IMPORT SCHLIESSERDATEN'!$D19="",0,1) + IF('IMPORT SCHLIESSERDATEN'!$E19="",0,2) + IF('IMPORT SCHLIESSERDATEN'!$E19="S",4,0)</f>
        <v>1</v>
      </c>
      <c r="J27" s="74">
        <f>IF(ISERR(FIND(" Gangfl.",'IMPORT SCHLIESSERDATEN'!$B19)),IF(ISERR(FIND(" Standfl.",'IMPORT SCHLIESSERDATEN'!$B19)),0,2),1)</f>
        <v>0</v>
      </c>
      <c r="K27" s="74">
        <f>'IMPORT SCHLIESSERDATEN'!CL19</f>
        <v>84</v>
      </c>
      <c r="L27" s="74">
        <f>'IMPORT SCHLIESSERDATEN'!CN19</f>
        <v>4</v>
      </c>
      <c r="M27" s="74">
        <f>IF('IMPORT SCHLIESSERDATEN'!CS19="wie TS",-1,'IMPORT SCHLIESSERDATEN'!CS19)</f>
        <v>84</v>
      </c>
      <c r="N27" s="74">
        <f>IF(M27&lt;0,-1,'IMPORT SCHLIESSERDATEN'!CU19)</f>
        <v>4</v>
      </c>
      <c r="O27" s="74">
        <f>IF('IMPORT SCHLIESSERDATEN'!CZ19="wie TS",-1,'IMPORT SCHLIESSERDATEN'!CZ19)</f>
        <v>0</v>
      </c>
      <c r="P27" s="74">
        <f>IF(O27&lt;0,-1,'IMPORT SCHLIESSERDATEN'!DB19)</f>
        <v>0</v>
      </c>
      <c r="Q27" s="74">
        <f>'IMPORT SCHLIESSERDATEN'!DG19</f>
        <v>0</v>
      </c>
      <c r="R27" s="74">
        <f>'IMPORT SCHLIESSERDATEN'!DI19</f>
        <v>0</v>
      </c>
      <c r="S27" s="74">
        <f>'IMPORT SCHLIESSERDATEN'!DN19</f>
        <v>0</v>
      </c>
      <c r="T27" s="74">
        <f>IF('IMPORT SCHLIESSERDATEN'!DP19="V",9999,'IMPORT SCHLIESSERDATEN'!DP19)</f>
        <v>0</v>
      </c>
      <c r="U27" s="74">
        <f>'IMPORT SCHLIESSERDATEN'!BW19</f>
        <v>275</v>
      </c>
      <c r="V27" s="74">
        <f>'IMPORT SCHLIESSERDATEN'!BX19</f>
        <v>53</v>
      </c>
      <c r="W27" s="74">
        <f>'IMPORT SCHLIESSERDATEN'!BY19</f>
        <v>60</v>
      </c>
      <c r="X27" s="74">
        <f>'IMPORT SCHLIESSERDATEN'!CO19</f>
        <v>143</v>
      </c>
      <c r="Y27" s="74">
        <f>'IMPORT SCHLIESSERDATEN'!CQ19</f>
        <v>16</v>
      </c>
      <c r="Z27" s="74">
        <f>'IMPORT SCHLIESSERDATEN'!CV19</f>
        <v>143</v>
      </c>
      <c r="AA27" s="74">
        <f>'IMPORT SCHLIESSERDATEN'!CX19</f>
        <v>16</v>
      </c>
      <c r="AB27" s="74">
        <f>'IMPORT SCHLIESSERDATEN'!DC19</f>
        <v>0</v>
      </c>
      <c r="AC27" s="74">
        <f>'IMPORT SCHLIESSERDATEN'!DE19</f>
        <v>0</v>
      </c>
      <c r="AD27" s="74">
        <f>'IMPORT SCHLIESSERDATEN'!DJ19</f>
        <v>0</v>
      </c>
      <c r="AE27" s="74">
        <f>'IMPORT SCHLIESSERDATEN'!DL19</f>
        <v>0</v>
      </c>
      <c r="AF27" s="74">
        <f>'IMPORT SCHLIESSERDATEN'!DQ19</f>
        <v>0</v>
      </c>
      <c r="AG27" s="74">
        <f>IF('IMPORT SCHLIESSERDATEN'!DS19="V",9999,'IMPORT SCHLIESSERDATEN'!DS19)</f>
        <v>0</v>
      </c>
      <c r="AH27" s="74">
        <f>IF('IMPORT SCHLIESSERDATEN'!BZ19="V",9999,IF('IMPORT SCHLIESSERDATEN'!CD19="_",-1,'IMPORT SCHLIESSERDATEN'!BZ19))</f>
        <v>442</v>
      </c>
      <c r="AI27" s="74">
        <f>IF('IMPORT SCHLIESSERDATEN'!CA19="V",9999,IF('IMPORT SCHLIESSERDATEN'!CD19="_",-1,'IMPORT SCHLIESSERDATEN'!CA19))</f>
        <v>23</v>
      </c>
      <c r="AJ27" s="74">
        <f>IF('IMPORT SCHLIESSERDATEN'!CB19="V",9999,IF('IMPORT SCHLIESSERDATEN'!CD19="_",-1,'IMPORT SCHLIESSERDATEN'!CB19))</f>
        <v>31</v>
      </c>
      <c r="AK27" s="74">
        <f>IF('IMPORT SCHLIESSERDATEN'!CC19="V",9999,IF('IMPORT SCHLIESSERDATEN'!CC19="_",-1,'IMPORT SCHLIESSERDATEN'!CC19))</f>
        <v>16</v>
      </c>
      <c r="AL27" s="74">
        <f>IF('IMPORT SCHLIESSERDATEN'!CD19="_",-1,'IMPORT SCHLIESSERDATEN'!CD19)</f>
        <v>375</v>
      </c>
      <c r="AM27" s="74">
        <f>'IMPORT SCHLIESSERDATEN'!CH19</f>
        <v>91</v>
      </c>
      <c r="AN27" s="74">
        <f>IF('IMPORT SCHLIESSERDATEN'!CE19="V",9999,'IMPORT SCHLIESSERDATEN'!CE19)</f>
        <v>30</v>
      </c>
      <c r="AO27" s="74">
        <f>IF('IMPORT SCHLIESSERDATEN'!CK19="_",-1,'IMPORT SCHLIESSERDATEN'!CK19)</f>
        <v>60</v>
      </c>
      <c r="AP27" s="74">
        <f>IF('IMPORT SCHLIESSERDATEN'!$U19="",0,1)</f>
        <v>0</v>
      </c>
      <c r="AQ27" s="74">
        <f>IF('IMPORT SCHLIESSERDATEN'!$V19="",0,1)</f>
        <v>1</v>
      </c>
      <c r="AR27" s="74">
        <f>IF('IMPORT SCHLIESSERDATEN'!$W19="",0,1)</f>
        <v>0</v>
      </c>
      <c r="AS27" s="74">
        <f>IF('IMPORT SCHLIESSERDATEN'!$AA19="",0,1)</f>
        <v>1</v>
      </c>
      <c r="AT27" s="74">
        <f>IF('IMPORT SCHLIESSERDATEN'!$AD19="",0,1) + IF('IMPORT SCHLIESSERDATEN'!$AE19="",0,2)</f>
        <v>0</v>
      </c>
      <c r="AU27" s="74" t="str">
        <f>IF('IMPORT SCHLIESSERDATEN'!$X19="",IF('IMPORT SCHLIESSERDATEN'!$Y19="","","F"),"V")</f>
        <v>V</v>
      </c>
      <c r="AV27" s="74" t="str">
        <f>IF('IMPORT SCHLIESSERDATEN'!$AB19&lt;&gt;"","M",IF('IMPORT SCHLIESSERDATEN'!$AD19&lt;&gt;"",IF(ISERR(SEARCH("UVIBIS",'IMPORT SCHLIESSERDATEN'!$B19)),"R","B"),IF(OR('IMPORT SCHLIESSERDATEN'!$AC19&lt;&gt;"",'IMPORT SCHLIESSERDATEN'!$AE19&lt;&gt;""),"E","")))</f>
        <v>M</v>
      </c>
      <c r="AW27" s="82"/>
      <c r="AX27" s="67"/>
    </row>
    <row r="28" spans="1:50" x14ac:dyDescent="0.25">
      <c r="A28" s="67">
        <f>IFERROR(IF(C28&lt;&gt;"",MAX($A$2:$A27)+1,""),"")</f>
        <v>16</v>
      </c>
      <c r="B28" s="223">
        <f t="shared" si="1"/>
        <v>16</v>
      </c>
      <c r="C28" s="216" t="str">
        <f>IF(J28=1,SUBSTITUTE('IMPORT SCHLIESSERDATEN'!$B20," Gangfl.",""),IF(J28=2,SUBSTITUTE('IMPORT SCHLIESSERDATEN'!$B20," Standfl.",""),'IMPORT SCHLIESSERDATEN'!$B20))</f>
        <v>TS 93 EMF EN 2-5</v>
      </c>
      <c r="D28" s="216" t="str">
        <f>IF('IMPORT SCHLIESSERDATEN'!$AF20&lt;&gt;"",IF(COUNTA('IMPORT SCHLIESSERDATEN'!$AN20:$AU20)&gt;0,"X","G"),IF('IMPORT SCHLIESSERDATEN'!$AG20&lt;&gt;"","S",IF('IMPORT SCHLIESSERDATEN'!$AH20&lt;&gt;"","I",IF('IMPORT SCHLIESSERDATEN'!$AI20&lt;&gt;"","B",IF('IMPORT SCHLIESSERDATEN'!$AJ20&lt;&gt;"","D","")))))</f>
        <v>G</v>
      </c>
      <c r="E28" s="248" t="str">
        <f>'IMPORT SCHLIESSERDATEN'!AK20 &amp; IF('IMPORT SCHLIESSERDATEN'!AL20="",""," "&amp; 'IMPORT SCHLIESSERDATEN'!AL20)</f>
        <v>93 B</v>
      </c>
      <c r="F28" s="74">
        <f>IFERROR(IF(D28="X",2^(MATCH("",'IMPORT SCHLIESSERDATEN'!$AN20:$AU20,-1)-1),IF(AV28="F",2^(MATCH("",'IMPORT SCHLIESSERDATEN'!$BH20:$BK20,-1)-1),2^(MATCH("",'IMPORT SCHLIESSERDATEN'!$AV20:$BG20,-1)-1))),0)</f>
        <v>4</v>
      </c>
      <c r="G28" s="74">
        <f>IF(AND('IMPORT SCHLIESSERDATEN'!$O20='IMPORT SCHLIESSERDATEN'!$R20,'IMPORT SCHLIESSERDATEN'!$O20&lt;&gt;"",'IMPORT SCHLIESSERDATEN'!$R20&lt;&gt;""),1,0)  +  IF(AND('IMPORT SCHLIESSERDATEN'!$P20='IMPORT SCHLIESSERDATEN'!$S20,'IMPORT SCHLIESSERDATEN'!$P20&lt;&gt;"",'IMPORT SCHLIESSERDATEN'!$S20&lt;&gt;""),2,0)   +  IF(AND('IMPORT SCHLIESSERDATEN'!$O20='IMPORT SCHLIESSERDATEN'!$S20,'IMPORT SCHLIESSERDATEN'!$O20&lt;&gt;"",'IMPORT SCHLIESSERDATEN'!$S20&lt;&gt;""),4,0)   +  IF(AND('IMPORT SCHLIESSERDATEN'!$P20='IMPORT SCHLIESSERDATEN'!$R20,'IMPORT SCHLIESSERDATEN'!$P20&lt;&gt;"",'IMPORT SCHLIESSERDATEN'!$R20&lt;&gt;""),8,0)   +  IF('IMPORT SCHLIESSERDATEN'!$Q20&lt;&gt;"",IF('IMPORT SCHLIESSERDATEN'!$R20&lt;&gt;"",32,0) + IF('IMPORT SCHLIESSERDATEN'!$S20&lt;&gt;"",64,0),0)  +  IF('IMPORT SCHLIESSERDATEN'!$T20&lt;&gt;"",IF('IMPORT SCHLIESSERDATEN'!$Q20&lt;&gt;"",128+256,128),0)</f>
        <v>1</v>
      </c>
      <c r="H28" s="74">
        <f>IF('IMPORT SCHLIESSERDATEN'!$H20="",0,1) + IF('IMPORT SCHLIESSERDATEN'!$I20="",0,2) + IF('IMPORT SCHLIESSERDATEN'!$J20="",0,4) + IF('IMPORT SCHLIESSERDATEN'!$K20="",0,8) + IF('IMPORT SCHLIESSERDATEN'!$L20="",0,16) + IF('IMPORT SCHLIESSERDATEN'!$M20="",0,32) + IF('IMPORT SCHLIESSERDATEN'!$N20="",0,64)</f>
        <v>30</v>
      </c>
      <c r="I28" s="74">
        <f>IF('IMPORT SCHLIESSERDATEN'!$D20="",0,1) + IF('IMPORT SCHLIESSERDATEN'!$E20="",0,2) + IF('IMPORT SCHLIESSERDATEN'!$E20="S",4,0)</f>
        <v>1</v>
      </c>
      <c r="J28" s="74">
        <f>IF(ISERR(FIND(" Gangfl.",'IMPORT SCHLIESSERDATEN'!$B20)),IF(ISERR(FIND(" Standfl.",'IMPORT SCHLIESSERDATEN'!$B20)),0,2),1)</f>
        <v>0</v>
      </c>
      <c r="K28" s="74">
        <f>'IMPORT SCHLIESSERDATEN'!CL20</f>
        <v>84</v>
      </c>
      <c r="L28" s="74">
        <f>'IMPORT SCHLIESSERDATEN'!CN20</f>
        <v>4</v>
      </c>
      <c r="M28" s="74">
        <f>IF('IMPORT SCHLIESSERDATEN'!CS20="wie TS",-1,'IMPORT SCHLIESSERDATEN'!CS20)</f>
        <v>0</v>
      </c>
      <c r="N28" s="74">
        <f>IF(M28&lt;0,-1,'IMPORT SCHLIESSERDATEN'!CU20)</f>
        <v>0</v>
      </c>
      <c r="O28" s="74">
        <f>IF('IMPORT SCHLIESSERDATEN'!CZ20="wie TS",-1,'IMPORT SCHLIESSERDATEN'!CZ20)</f>
        <v>0</v>
      </c>
      <c r="P28" s="74">
        <f>IF(O28&lt;0,-1,'IMPORT SCHLIESSERDATEN'!DB20)</f>
        <v>0</v>
      </c>
      <c r="Q28" s="74">
        <f>'IMPORT SCHLIESSERDATEN'!DG20</f>
        <v>0</v>
      </c>
      <c r="R28" s="74">
        <f>'IMPORT SCHLIESSERDATEN'!DI20</f>
        <v>0</v>
      </c>
      <c r="S28" s="74">
        <f>'IMPORT SCHLIESSERDATEN'!DN20</f>
        <v>0</v>
      </c>
      <c r="T28" s="74">
        <f>IF('IMPORT SCHLIESSERDATEN'!DP20="V",9999,'IMPORT SCHLIESSERDATEN'!DP20)</f>
        <v>0</v>
      </c>
      <c r="U28" s="74">
        <f>'IMPORT SCHLIESSERDATEN'!BW20</f>
        <v>275</v>
      </c>
      <c r="V28" s="74">
        <f>'IMPORT SCHLIESSERDATEN'!BX20</f>
        <v>53</v>
      </c>
      <c r="W28" s="74">
        <f>'IMPORT SCHLIESSERDATEN'!BY20</f>
        <v>60</v>
      </c>
      <c r="X28" s="74">
        <f>'IMPORT SCHLIESSERDATEN'!CO20</f>
        <v>84</v>
      </c>
      <c r="Y28" s="74">
        <f>'IMPORT SCHLIESSERDATEN'!CQ20</f>
        <v>16</v>
      </c>
      <c r="Z28" s="74">
        <f>'IMPORT SCHLIESSERDATEN'!CV20</f>
        <v>0</v>
      </c>
      <c r="AA28" s="74">
        <f>'IMPORT SCHLIESSERDATEN'!CX20</f>
        <v>0</v>
      </c>
      <c r="AB28" s="74">
        <f>'IMPORT SCHLIESSERDATEN'!DC20</f>
        <v>0</v>
      </c>
      <c r="AC28" s="74">
        <f>'IMPORT SCHLIESSERDATEN'!DE20</f>
        <v>0</v>
      </c>
      <c r="AD28" s="74">
        <f>'IMPORT SCHLIESSERDATEN'!DJ20</f>
        <v>0</v>
      </c>
      <c r="AE28" s="74">
        <f>'IMPORT SCHLIESSERDATEN'!DL20</f>
        <v>0</v>
      </c>
      <c r="AF28" s="74">
        <f>'IMPORT SCHLIESSERDATEN'!DQ20</f>
        <v>0</v>
      </c>
      <c r="AG28" s="74">
        <f>IF('IMPORT SCHLIESSERDATEN'!DS20="V",9999,'IMPORT SCHLIESSERDATEN'!DS20)</f>
        <v>0</v>
      </c>
      <c r="AH28" s="74">
        <f>IF('IMPORT SCHLIESSERDATEN'!BZ20="V",9999,IF('IMPORT SCHLIESSERDATEN'!CD20="_",-1,'IMPORT SCHLIESSERDATEN'!BZ20))</f>
        <v>518</v>
      </c>
      <c r="AI28" s="74">
        <f>IF('IMPORT SCHLIESSERDATEN'!CA20="V",9999,IF('IMPORT SCHLIESSERDATEN'!CD20="_",-1,'IMPORT SCHLIESSERDATEN'!CA20))</f>
        <v>30</v>
      </c>
      <c r="AJ28" s="74">
        <f>IF('IMPORT SCHLIESSERDATEN'!CB20="V",9999,IF('IMPORT SCHLIESSERDATEN'!CD20="_",-1,'IMPORT SCHLIESSERDATEN'!CB20))</f>
        <v>40</v>
      </c>
      <c r="AK28" s="74">
        <f>IF('IMPORT SCHLIESSERDATEN'!CC20="V",9999,IF('IMPORT SCHLIESSERDATEN'!CC20="_",-1,'IMPORT SCHLIESSERDATEN'!CC20))</f>
        <v>20</v>
      </c>
      <c r="AL28" s="74">
        <f>IF('IMPORT SCHLIESSERDATEN'!CD20="_",-1,'IMPORT SCHLIESSERDATEN'!CD20)</f>
        <v>375</v>
      </c>
      <c r="AM28" s="74">
        <f>'IMPORT SCHLIESSERDATEN'!CH20</f>
        <v>91</v>
      </c>
      <c r="AN28" s="74">
        <f>IF('IMPORT SCHLIESSERDATEN'!CE20="V",9999,'IMPORT SCHLIESSERDATEN'!CE20)</f>
        <v>30</v>
      </c>
      <c r="AO28" s="74">
        <f>IF('IMPORT SCHLIESSERDATEN'!CK20="_",-1,'IMPORT SCHLIESSERDATEN'!CK20)</f>
        <v>160</v>
      </c>
      <c r="AP28" s="74">
        <f>IF('IMPORT SCHLIESSERDATEN'!$U20="",0,1)</f>
        <v>1</v>
      </c>
      <c r="AQ28" s="74">
        <f>IF('IMPORT SCHLIESSERDATEN'!$V20="",0,1)</f>
        <v>1</v>
      </c>
      <c r="AR28" s="74">
        <f>IF('IMPORT SCHLIESSERDATEN'!$W20="",0,1)</f>
        <v>0</v>
      </c>
      <c r="AS28" s="74">
        <f>IF('IMPORT SCHLIESSERDATEN'!$AA20="",0,1)</f>
        <v>1</v>
      </c>
      <c r="AT28" s="74">
        <f>IF('IMPORT SCHLIESSERDATEN'!$AD20="",0,1) + IF('IMPORT SCHLIESSERDATEN'!$AE20="",0,2)</f>
        <v>2</v>
      </c>
      <c r="AU28" s="74" t="str">
        <f>IF('IMPORT SCHLIESSERDATEN'!$X20="",IF('IMPORT SCHLIESSERDATEN'!$Y20="","","F"),"V")</f>
        <v>V</v>
      </c>
      <c r="AV28" s="74" t="str">
        <f>IF('IMPORT SCHLIESSERDATEN'!$AB20&lt;&gt;"","M",IF('IMPORT SCHLIESSERDATEN'!$AD20&lt;&gt;"",IF(ISERR(SEARCH("UVIBIS",'IMPORT SCHLIESSERDATEN'!$B20)),"R","B"),IF(OR('IMPORT SCHLIESSERDATEN'!$AC20&lt;&gt;"",'IMPORT SCHLIESSERDATEN'!$AE20&lt;&gt;""),"E","")))</f>
        <v>E</v>
      </c>
      <c r="AW28" s="82"/>
      <c r="AX28" s="67"/>
    </row>
    <row r="29" spans="1:50" x14ac:dyDescent="0.25">
      <c r="A29" s="67">
        <f>IFERROR(IF(C29&lt;&gt;"",MAX($A$2:$A28)+1,""),"")</f>
        <v>17</v>
      </c>
      <c r="B29" s="223">
        <f t="shared" si="1"/>
        <v>17</v>
      </c>
      <c r="C29" s="216" t="str">
        <f>IF(J29=1,SUBSTITUTE('IMPORT SCHLIESSERDATEN'!$B21," Gangfl.",""),IF(J29=2,SUBSTITUTE('IMPORT SCHLIESSERDATEN'!$B21," Standfl.",""),'IMPORT SCHLIESSERDATEN'!$B21))</f>
        <v>TS 93 EMR EN 2-5</v>
      </c>
      <c r="D29" s="216" t="str">
        <f>IF('IMPORT SCHLIESSERDATEN'!$AF21&lt;&gt;"",IF(COUNTA('IMPORT SCHLIESSERDATEN'!$AN21:$AU21)&gt;0,"X","G"),IF('IMPORT SCHLIESSERDATEN'!$AG21&lt;&gt;"","S",IF('IMPORT SCHLIESSERDATEN'!$AH21&lt;&gt;"","I",IF('IMPORT SCHLIESSERDATEN'!$AI21&lt;&gt;"","B",IF('IMPORT SCHLIESSERDATEN'!$AJ21&lt;&gt;"","D","")))))</f>
        <v>G</v>
      </c>
      <c r="E29" s="248" t="str">
        <f>'IMPORT SCHLIESSERDATEN'!AK21 &amp; IF('IMPORT SCHLIESSERDATEN'!AL21="",""," "&amp; 'IMPORT SCHLIESSERDATEN'!AL21)</f>
        <v>93 B</v>
      </c>
      <c r="F29" s="74">
        <f>IFERROR(IF(D29="X",2^(MATCH("",'IMPORT SCHLIESSERDATEN'!$AN21:$AU21,-1)-1),IF(AV29="F",2^(MATCH("",'IMPORT SCHLIESSERDATEN'!$BH21:$BK21,-1)-1),2^(MATCH("",'IMPORT SCHLIESSERDATEN'!$AV21:$BG21,-1)-1))),0)</f>
        <v>8</v>
      </c>
      <c r="G29" s="74">
        <f>IF(AND('IMPORT SCHLIESSERDATEN'!$O21='IMPORT SCHLIESSERDATEN'!$R21,'IMPORT SCHLIESSERDATEN'!$O21&lt;&gt;"",'IMPORT SCHLIESSERDATEN'!$R21&lt;&gt;""),1,0)  +  IF(AND('IMPORT SCHLIESSERDATEN'!$P21='IMPORT SCHLIESSERDATEN'!$S21,'IMPORT SCHLIESSERDATEN'!$P21&lt;&gt;"",'IMPORT SCHLIESSERDATEN'!$S21&lt;&gt;""),2,0)   +  IF(AND('IMPORT SCHLIESSERDATEN'!$O21='IMPORT SCHLIESSERDATEN'!$S21,'IMPORT SCHLIESSERDATEN'!$O21&lt;&gt;"",'IMPORT SCHLIESSERDATEN'!$S21&lt;&gt;""),4,0)   +  IF(AND('IMPORT SCHLIESSERDATEN'!$P21='IMPORT SCHLIESSERDATEN'!$R21,'IMPORT SCHLIESSERDATEN'!$P21&lt;&gt;"",'IMPORT SCHLIESSERDATEN'!$R21&lt;&gt;""),8,0)   +  IF('IMPORT SCHLIESSERDATEN'!$Q21&lt;&gt;"",IF('IMPORT SCHLIESSERDATEN'!$R21&lt;&gt;"",32,0) + IF('IMPORT SCHLIESSERDATEN'!$S21&lt;&gt;"",64,0),0)  +  IF('IMPORT SCHLIESSERDATEN'!$T21&lt;&gt;"",IF('IMPORT SCHLIESSERDATEN'!$Q21&lt;&gt;"",128+256,128),0)</f>
        <v>1</v>
      </c>
      <c r="H29" s="74">
        <f>IF('IMPORT SCHLIESSERDATEN'!$H21="",0,1) + IF('IMPORT SCHLIESSERDATEN'!$I21="",0,2) + IF('IMPORT SCHLIESSERDATEN'!$J21="",0,4) + IF('IMPORT SCHLIESSERDATEN'!$K21="",0,8) + IF('IMPORT SCHLIESSERDATEN'!$L21="",0,16) + IF('IMPORT SCHLIESSERDATEN'!$M21="",0,32) + IF('IMPORT SCHLIESSERDATEN'!$N21="",0,64)</f>
        <v>30</v>
      </c>
      <c r="I29" s="74">
        <f>IF('IMPORT SCHLIESSERDATEN'!$D21="",0,1) + IF('IMPORT SCHLIESSERDATEN'!$E21="",0,2) + IF('IMPORT SCHLIESSERDATEN'!$E21="S",4,0)</f>
        <v>1</v>
      </c>
      <c r="J29" s="74">
        <f>IF(ISERR(FIND(" Gangfl.",'IMPORT SCHLIESSERDATEN'!$B21)),IF(ISERR(FIND(" Standfl.",'IMPORT SCHLIESSERDATEN'!$B21)),0,2),1)</f>
        <v>0</v>
      </c>
      <c r="K29" s="74">
        <f>'IMPORT SCHLIESSERDATEN'!CL21</f>
        <v>84</v>
      </c>
      <c r="L29" s="74">
        <f>'IMPORT SCHLIESSERDATEN'!CN21</f>
        <v>4</v>
      </c>
      <c r="M29" s="74">
        <f>IF('IMPORT SCHLIESSERDATEN'!CS21="wie TS",-1,'IMPORT SCHLIESSERDATEN'!CS21)</f>
        <v>0</v>
      </c>
      <c r="N29" s="74">
        <f>IF(M29&lt;0,-1,'IMPORT SCHLIESSERDATEN'!CU21)</f>
        <v>0</v>
      </c>
      <c r="O29" s="74">
        <f>IF('IMPORT SCHLIESSERDATEN'!CZ21="wie TS",-1,'IMPORT SCHLIESSERDATEN'!CZ21)</f>
        <v>0</v>
      </c>
      <c r="P29" s="74">
        <f>IF(O29&lt;0,-1,'IMPORT SCHLIESSERDATEN'!DB21)</f>
        <v>0</v>
      </c>
      <c r="Q29" s="74">
        <f>'IMPORT SCHLIESSERDATEN'!DG21</f>
        <v>0</v>
      </c>
      <c r="R29" s="74">
        <f>'IMPORT SCHLIESSERDATEN'!DI21</f>
        <v>0</v>
      </c>
      <c r="S29" s="74">
        <f>'IMPORT SCHLIESSERDATEN'!DN21</f>
        <v>0</v>
      </c>
      <c r="T29" s="74">
        <f>IF('IMPORT SCHLIESSERDATEN'!DP21="V",9999,'IMPORT SCHLIESSERDATEN'!DP21)</f>
        <v>0</v>
      </c>
      <c r="U29" s="74">
        <f>'IMPORT SCHLIESSERDATEN'!BW21</f>
        <v>275</v>
      </c>
      <c r="V29" s="74">
        <f>'IMPORT SCHLIESSERDATEN'!BX21</f>
        <v>53</v>
      </c>
      <c r="W29" s="74">
        <f>'IMPORT SCHLIESSERDATEN'!BY21</f>
        <v>60</v>
      </c>
      <c r="X29" s="74">
        <f>'IMPORT SCHLIESSERDATEN'!CO21</f>
        <v>84</v>
      </c>
      <c r="Y29" s="74">
        <f>'IMPORT SCHLIESSERDATEN'!CQ21</f>
        <v>16</v>
      </c>
      <c r="Z29" s="74">
        <f>'IMPORT SCHLIESSERDATEN'!CV21</f>
        <v>0</v>
      </c>
      <c r="AA29" s="74">
        <f>'IMPORT SCHLIESSERDATEN'!CX21</f>
        <v>0</v>
      </c>
      <c r="AB29" s="74">
        <f>'IMPORT SCHLIESSERDATEN'!DC21</f>
        <v>0</v>
      </c>
      <c r="AC29" s="74">
        <f>'IMPORT SCHLIESSERDATEN'!DE21</f>
        <v>0</v>
      </c>
      <c r="AD29" s="74">
        <f>'IMPORT SCHLIESSERDATEN'!DJ21</f>
        <v>0</v>
      </c>
      <c r="AE29" s="74">
        <f>'IMPORT SCHLIESSERDATEN'!DL21</f>
        <v>0</v>
      </c>
      <c r="AF29" s="74">
        <f>'IMPORT SCHLIESSERDATEN'!DQ21</f>
        <v>0</v>
      </c>
      <c r="AG29" s="74">
        <f>IF('IMPORT SCHLIESSERDATEN'!DS21="V",9999,'IMPORT SCHLIESSERDATEN'!DS21)</f>
        <v>0</v>
      </c>
      <c r="AH29" s="74">
        <f>IF('IMPORT SCHLIESSERDATEN'!BZ21="V",9999,IF('IMPORT SCHLIESSERDATEN'!CD21="_",-1,'IMPORT SCHLIESSERDATEN'!BZ21))</f>
        <v>864</v>
      </c>
      <c r="AI29" s="74">
        <f>IF('IMPORT SCHLIESSERDATEN'!CA21="V",9999,IF('IMPORT SCHLIESSERDATEN'!CD21="_",-1,'IMPORT SCHLIESSERDATEN'!CA21))</f>
        <v>30</v>
      </c>
      <c r="AJ29" s="74">
        <f>IF('IMPORT SCHLIESSERDATEN'!CB21="V",9999,IF('IMPORT SCHLIESSERDATEN'!CD21="_",-1,'IMPORT SCHLIESSERDATEN'!CB21))</f>
        <v>40</v>
      </c>
      <c r="AK29" s="74">
        <f>IF('IMPORT SCHLIESSERDATEN'!CC21="V",9999,IF('IMPORT SCHLIESSERDATEN'!CC21="_",-1,'IMPORT SCHLIESSERDATEN'!CC21))</f>
        <v>20</v>
      </c>
      <c r="AL29" s="74">
        <f>IF('IMPORT SCHLIESSERDATEN'!CD21="_",-1,'IMPORT SCHLIESSERDATEN'!CD21)</f>
        <v>375</v>
      </c>
      <c r="AM29" s="74">
        <f>'IMPORT SCHLIESSERDATEN'!CH21</f>
        <v>91</v>
      </c>
      <c r="AN29" s="74">
        <f>IF('IMPORT SCHLIESSERDATEN'!CE21="V",9999,'IMPORT SCHLIESSERDATEN'!CE21)</f>
        <v>30</v>
      </c>
      <c r="AO29" s="74">
        <f>IF('IMPORT SCHLIESSERDATEN'!CK21="_",-1,'IMPORT SCHLIESSERDATEN'!CK21)</f>
        <v>206</v>
      </c>
      <c r="AP29" s="74">
        <f>IF('IMPORT SCHLIESSERDATEN'!$U21="",0,1)</f>
        <v>1</v>
      </c>
      <c r="AQ29" s="74">
        <f>IF('IMPORT SCHLIESSERDATEN'!$V21="",0,1)</f>
        <v>1</v>
      </c>
      <c r="AR29" s="74">
        <f>IF('IMPORT SCHLIESSERDATEN'!$W21="",0,1)</f>
        <v>0</v>
      </c>
      <c r="AS29" s="74">
        <f>IF('IMPORT SCHLIESSERDATEN'!$AA21="",0,1)</f>
        <v>1</v>
      </c>
      <c r="AT29" s="74">
        <f>IF('IMPORT SCHLIESSERDATEN'!$AD21="",0,1) + IF('IMPORT SCHLIESSERDATEN'!$AE21="",0,2)</f>
        <v>1</v>
      </c>
      <c r="AU29" s="74" t="str">
        <f>IF('IMPORT SCHLIESSERDATEN'!$X21="",IF('IMPORT SCHLIESSERDATEN'!$Y21="","","F"),"V")</f>
        <v>V</v>
      </c>
      <c r="AV29" s="74" t="str">
        <f>IF('IMPORT SCHLIESSERDATEN'!$AB21&lt;&gt;"","M",IF('IMPORT SCHLIESSERDATEN'!$AD21&lt;&gt;"",IF(ISERR(SEARCH("UVIBIS",'IMPORT SCHLIESSERDATEN'!$B21)),"R","B"),IF(OR('IMPORT SCHLIESSERDATEN'!$AC21&lt;&gt;"",'IMPORT SCHLIESSERDATEN'!$AE21&lt;&gt;""),"E","")))</f>
        <v>R</v>
      </c>
      <c r="AW29" s="82"/>
      <c r="AX29" s="67"/>
    </row>
    <row r="30" spans="1:50" x14ac:dyDescent="0.25">
      <c r="A30" s="67">
        <f>IFERROR(IF(C30&lt;&gt;"",MAX($A$2:$A29)+1,""),"")</f>
        <v>18</v>
      </c>
      <c r="B30" s="223">
        <f t="shared" si="1"/>
        <v>18</v>
      </c>
      <c r="C30" s="216" t="str">
        <f>IF(J30=1,SUBSTITUTE('IMPORT SCHLIESSERDATEN'!$B22," Gangfl.",""),IF(J30=2,SUBSTITUTE('IMPORT SCHLIESSERDATEN'!$B22," Standfl.",""),'IMPORT SCHLIESSERDATEN'!$B22))</f>
        <v>TS 93 GSR EN 2-5</v>
      </c>
      <c r="D30" s="216" t="str">
        <f>IF('IMPORT SCHLIESSERDATEN'!$AF22&lt;&gt;"",IF(COUNTA('IMPORT SCHLIESSERDATEN'!$AN22:$AU22)&gt;0,"X","G"),IF('IMPORT SCHLIESSERDATEN'!$AG22&lt;&gt;"","S",IF('IMPORT SCHLIESSERDATEN'!$AH22&lt;&gt;"","I",IF('IMPORT SCHLIESSERDATEN'!$AI22&lt;&gt;"","B",IF('IMPORT SCHLIESSERDATEN'!$AJ22&lt;&gt;"","D","")))))</f>
        <v>G</v>
      </c>
      <c r="E30" s="248" t="str">
        <f>'IMPORT SCHLIESSERDATEN'!AK22 &amp; IF('IMPORT SCHLIESSERDATEN'!AL22="",""," "&amp; 'IMPORT SCHLIESSERDATEN'!AL22)</f>
        <v>93 B</v>
      </c>
      <c r="F30" s="74">
        <f>IFERROR(IF(D30="X",2^(MATCH("",'IMPORT SCHLIESSERDATEN'!$AN22:$AU22,-1)-1),IF(AV30="F",2^(MATCH("",'IMPORT SCHLIESSERDATEN'!$BH22:$BK22,-1)-1),2^(MATCH("",'IMPORT SCHLIESSERDATEN'!$AV22:$BG22,-1)-1))),0)</f>
        <v>16</v>
      </c>
      <c r="G30" s="74">
        <f>IF(AND('IMPORT SCHLIESSERDATEN'!$O22='IMPORT SCHLIESSERDATEN'!$R22,'IMPORT SCHLIESSERDATEN'!$O22&lt;&gt;"",'IMPORT SCHLIESSERDATEN'!$R22&lt;&gt;""),1,0)  +  IF(AND('IMPORT SCHLIESSERDATEN'!$P22='IMPORT SCHLIESSERDATEN'!$S22,'IMPORT SCHLIESSERDATEN'!$P22&lt;&gt;"",'IMPORT SCHLIESSERDATEN'!$S22&lt;&gt;""),2,0)   +  IF(AND('IMPORT SCHLIESSERDATEN'!$O22='IMPORT SCHLIESSERDATEN'!$S22,'IMPORT SCHLIESSERDATEN'!$O22&lt;&gt;"",'IMPORT SCHLIESSERDATEN'!$S22&lt;&gt;""),4,0)   +  IF(AND('IMPORT SCHLIESSERDATEN'!$P22='IMPORT SCHLIESSERDATEN'!$R22,'IMPORT SCHLIESSERDATEN'!$P22&lt;&gt;"",'IMPORT SCHLIESSERDATEN'!$R22&lt;&gt;""),8,0)   +  IF('IMPORT SCHLIESSERDATEN'!$Q22&lt;&gt;"",IF('IMPORT SCHLIESSERDATEN'!$R22&lt;&gt;"",32,0) + IF('IMPORT SCHLIESSERDATEN'!$S22&lt;&gt;"",64,0),0)  +  IF('IMPORT SCHLIESSERDATEN'!$T22&lt;&gt;"",IF('IMPORT SCHLIESSERDATEN'!$Q22&lt;&gt;"",128+256,128),0)</f>
        <v>1</v>
      </c>
      <c r="H30" s="74">
        <f>IF('IMPORT SCHLIESSERDATEN'!$H22="",0,1) + IF('IMPORT SCHLIESSERDATEN'!$I22="",0,2) + IF('IMPORT SCHLIESSERDATEN'!$J22="",0,4) + IF('IMPORT SCHLIESSERDATEN'!$K22="",0,8) + IF('IMPORT SCHLIESSERDATEN'!$L22="",0,16) + IF('IMPORT SCHLIESSERDATEN'!$M22="",0,32) + IF('IMPORT SCHLIESSERDATEN'!$N22="",0,64)</f>
        <v>30</v>
      </c>
      <c r="I30" s="74">
        <f>IF('IMPORT SCHLIESSERDATEN'!$D22="",0,1) + IF('IMPORT SCHLIESSERDATEN'!$E22="",0,2) + IF('IMPORT SCHLIESSERDATEN'!$E22="S",4,0)</f>
        <v>2</v>
      </c>
      <c r="J30" s="74">
        <f>IF(ISERR(FIND(" Gangfl.",'IMPORT SCHLIESSERDATEN'!$B22)),IF(ISERR(FIND(" Standfl.",'IMPORT SCHLIESSERDATEN'!$B22)),0,2),1)</f>
        <v>0</v>
      </c>
      <c r="K30" s="74">
        <f>'IMPORT SCHLIESSERDATEN'!CL22</f>
        <v>84</v>
      </c>
      <c r="L30" s="74">
        <f>'IMPORT SCHLIESSERDATEN'!CN22</f>
        <v>4</v>
      </c>
      <c r="M30" s="74">
        <f>IF('IMPORT SCHLIESSERDATEN'!CS22="wie TS",-1,'IMPORT SCHLIESSERDATEN'!CS22)</f>
        <v>0</v>
      </c>
      <c r="N30" s="74">
        <f>IF(M30&lt;0,-1,'IMPORT SCHLIESSERDATEN'!CU22)</f>
        <v>0</v>
      </c>
      <c r="O30" s="74">
        <f>IF('IMPORT SCHLIESSERDATEN'!CZ22="wie TS",-1,'IMPORT SCHLIESSERDATEN'!CZ22)</f>
        <v>0</v>
      </c>
      <c r="P30" s="74">
        <f>IF(O30&lt;0,-1,'IMPORT SCHLIESSERDATEN'!DB22)</f>
        <v>0</v>
      </c>
      <c r="Q30" s="74">
        <f>'IMPORT SCHLIESSERDATEN'!DG22</f>
        <v>0</v>
      </c>
      <c r="R30" s="74">
        <f>'IMPORT SCHLIESSERDATEN'!DI22</f>
        <v>0</v>
      </c>
      <c r="S30" s="74">
        <f>'IMPORT SCHLIESSERDATEN'!DN22</f>
        <v>0</v>
      </c>
      <c r="T30" s="74">
        <f>IF('IMPORT SCHLIESSERDATEN'!DP22="V",9999,'IMPORT SCHLIESSERDATEN'!DP22)</f>
        <v>0</v>
      </c>
      <c r="U30" s="74">
        <f>'IMPORT SCHLIESSERDATEN'!BW22</f>
        <v>275</v>
      </c>
      <c r="V30" s="74">
        <f>'IMPORT SCHLIESSERDATEN'!BX22</f>
        <v>53</v>
      </c>
      <c r="W30" s="74">
        <f>'IMPORT SCHLIESSERDATEN'!BY22</f>
        <v>60</v>
      </c>
      <c r="X30" s="74">
        <f>'IMPORT SCHLIESSERDATEN'!CO22</f>
        <v>84</v>
      </c>
      <c r="Y30" s="74">
        <f>'IMPORT SCHLIESSERDATEN'!CQ22</f>
        <v>13</v>
      </c>
      <c r="Z30" s="74">
        <f>'IMPORT SCHLIESSERDATEN'!CV22</f>
        <v>0</v>
      </c>
      <c r="AA30" s="74">
        <f>'IMPORT SCHLIESSERDATEN'!CX22</f>
        <v>0</v>
      </c>
      <c r="AB30" s="74">
        <f>'IMPORT SCHLIESSERDATEN'!DC22</f>
        <v>0</v>
      </c>
      <c r="AC30" s="74">
        <f>'IMPORT SCHLIESSERDATEN'!DE22</f>
        <v>0</v>
      </c>
      <c r="AD30" s="74">
        <f>'IMPORT SCHLIESSERDATEN'!DJ22</f>
        <v>0</v>
      </c>
      <c r="AE30" s="74">
        <f>'IMPORT SCHLIESSERDATEN'!DL22</f>
        <v>0</v>
      </c>
      <c r="AF30" s="74">
        <f>'IMPORT SCHLIESSERDATEN'!DQ22</f>
        <v>0</v>
      </c>
      <c r="AG30" s="74">
        <f>IF('IMPORT SCHLIESSERDATEN'!DS22="V",9999,'IMPORT SCHLIESSERDATEN'!DS22)</f>
        <v>0</v>
      </c>
      <c r="AH30" s="74">
        <f>IF('IMPORT SCHLIESSERDATEN'!BZ22="V",9999,IF('IMPORT SCHLIESSERDATEN'!CD22="_",-1,'IMPORT SCHLIESSERDATEN'!BZ22))</f>
        <v>9999</v>
      </c>
      <c r="AI30" s="74">
        <f>IF('IMPORT SCHLIESSERDATEN'!CA22="V",9999,IF('IMPORT SCHLIESSERDATEN'!CD22="_",-1,'IMPORT SCHLIESSERDATEN'!CA22))</f>
        <v>30</v>
      </c>
      <c r="AJ30" s="74">
        <f>IF('IMPORT SCHLIESSERDATEN'!CB22="V",9999,IF('IMPORT SCHLIESSERDATEN'!CD22="_",-1,'IMPORT SCHLIESSERDATEN'!CB22))</f>
        <v>34</v>
      </c>
      <c r="AK30" s="74">
        <f>IF('IMPORT SCHLIESSERDATEN'!CC22="V",9999,IF('IMPORT SCHLIESSERDATEN'!CC22="_",-1,'IMPORT SCHLIESSERDATEN'!CC22))</f>
        <v>17</v>
      </c>
      <c r="AL30" s="74">
        <f>IF('IMPORT SCHLIESSERDATEN'!CD22="_",-1,'IMPORT SCHLIESSERDATEN'!CD22)</f>
        <v>375</v>
      </c>
      <c r="AM30" s="74">
        <f>'IMPORT SCHLIESSERDATEN'!CH22</f>
        <v>91</v>
      </c>
      <c r="AN30" s="74">
        <f>IF('IMPORT SCHLIESSERDATEN'!CE22="V",9999,'IMPORT SCHLIESSERDATEN'!CE22)</f>
        <v>30</v>
      </c>
      <c r="AO30" s="74">
        <f>IF('IMPORT SCHLIESSERDATEN'!CK22="_",-1,'IMPORT SCHLIESSERDATEN'!CK22)</f>
        <v>51</v>
      </c>
      <c r="AP30" s="74">
        <f>IF('IMPORT SCHLIESSERDATEN'!$U22="",0,1)</f>
        <v>1</v>
      </c>
      <c r="AQ30" s="74">
        <f>IF('IMPORT SCHLIESSERDATEN'!$V22="",0,1)</f>
        <v>1</v>
      </c>
      <c r="AR30" s="74">
        <f>IF('IMPORT SCHLIESSERDATEN'!$W22="",0,1)</f>
        <v>1</v>
      </c>
      <c r="AS30" s="74">
        <f>IF('IMPORT SCHLIESSERDATEN'!$AA22="",0,1)</f>
        <v>1</v>
      </c>
      <c r="AT30" s="74">
        <f>IF('IMPORT SCHLIESSERDATEN'!$AD22="",0,1) + IF('IMPORT SCHLIESSERDATEN'!$AE22="",0,2)</f>
        <v>0</v>
      </c>
      <c r="AU30" s="74" t="str">
        <f>IF('IMPORT SCHLIESSERDATEN'!$X22="",IF('IMPORT SCHLIESSERDATEN'!$Y22="","","F"),"V")</f>
        <v>V</v>
      </c>
      <c r="AV30" s="74" t="str">
        <f>IF('IMPORT SCHLIESSERDATEN'!$AB22&lt;&gt;"","M",IF('IMPORT SCHLIESSERDATEN'!$AD22&lt;&gt;"",IF(ISERR(SEARCH("UVIBIS",'IMPORT SCHLIESSERDATEN'!$B22)),"R","B"),IF(OR('IMPORT SCHLIESSERDATEN'!$AC22&lt;&gt;"",'IMPORT SCHLIESSERDATEN'!$AE22&lt;&gt;""),"E","")))</f>
        <v/>
      </c>
      <c r="AW30" s="82"/>
      <c r="AX30" s="67"/>
    </row>
    <row r="31" spans="1:50" x14ac:dyDescent="0.25">
      <c r="A31" s="67">
        <f>IFERROR(IF(C31&lt;&gt;"",MAX($A$2:$A30)+1,""),"")</f>
        <v>19</v>
      </c>
      <c r="B31" s="223">
        <f t="shared" si="1"/>
        <v>19</v>
      </c>
      <c r="C31" s="216" t="str">
        <f>IF(J31=1,SUBSTITUTE('IMPORT SCHLIESSERDATEN'!$B23," Gangfl.",""),IF(J31=2,SUBSTITUTE('IMPORT SCHLIESSERDATEN'!$B23," Standfl.",""),'IMPORT SCHLIESSERDATEN'!$B23))</f>
        <v>TS 93 GSR RF EN 2-5</v>
      </c>
      <c r="D31" s="216" t="str">
        <f>IF('IMPORT SCHLIESSERDATEN'!$AF23&lt;&gt;"",IF(COUNTA('IMPORT SCHLIESSERDATEN'!$AN23:$AU23)&gt;0,"X","G"),IF('IMPORT SCHLIESSERDATEN'!$AG23&lt;&gt;"","S",IF('IMPORT SCHLIESSERDATEN'!$AH23&lt;&gt;"","I",IF('IMPORT SCHLIESSERDATEN'!$AI23&lt;&gt;"","B",IF('IMPORT SCHLIESSERDATEN'!$AJ23&lt;&gt;"","D","")))))</f>
        <v>G</v>
      </c>
      <c r="E31" s="248" t="str">
        <f>'IMPORT SCHLIESSERDATEN'!AK23 &amp; IF('IMPORT SCHLIESSERDATEN'!AL23="",""," "&amp; 'IMPORT SCHLIESSERDATEN'!AL23)</f>
        <v>93 B</v>
      </c>
      <c r="F31" s="74">
        <f>IFERROR(IF(D31="X",2^(MATCH("",'IMPORT SCHLIESSERDATEN'!$AN23:$AU23,-1)-1),IF(AV31="F",2^(MATCH("",'IMPORT SCHLIESSERDATEN'!$BH23:$BK23,-1)-1),2^(MATCH("",'IMPORT SCHLIESSERDATEN'!$AV23:$BG23,-1)-1))),0)</f>
        <v>32</v>
      </c>
      <c r="G31" s="74">
        <f>IF(AND('IMPORT SCHLIESSERDATEN'!$O23='IMPORT SCHLIESSERDATEN'!$R23,'IMPORT SCHLIESSERDATEN'!$O23&lt;&gt;"",'IMPORT SCHLIESSERDATEN'!$R23&lt;&gt;""),1,0)  +  IF(AND('IMPORT SCHLIESSERDATEN'!$P23='IMPORT SCHLIESSERDATEN'!$S23,'IMPORT SCHLIESSERDATEN'!$P23&lt;&gt;"",'IMPORT SCHLIESSERDATEN'!$S23&lt;&gt;""),2,0)   +  IF(AND('IMPORT SCHLIESSERDATEN'!$O23='IMPORT SCHLIESSERDATEN'!$S23,'IMPORT SCHLIESSERDATEN'!$O23&lt;&gt;"",'IMPORT SCHLIESSERDATEN'!$S23&lt;&gt;""),4,0)   +  IF(AND('IMPORT SCHLIESSERDATEN'!$P23='IMPORT SCHLIESSERDATEN'!$R23,'IMPORT SCHLIESSERDATEN'!$P23&lt;&gt;"",'IMPORT SCHLIESSERDATEN'!$R23&lt;&gt;""),8,0)   +  IF('IMPORT SCHLIESSERDATEN'!$Q23&lt;&gt;"",IF('IMPORT SCHLIESSERDATEN'!$R23&lt;&gt;"",32,0) + IF('IMPORT SCHLIESSERDATEN'!$S23&lt;&gt;"",64,0),0)  +  IF('IMPORT SCHLIESSERDATEN'!$T23&lt;&gt;"",IF('IMPORT SCHLIESSERDATEN'!$Q23&lt;&gt;"",128+256,128),0)</f>
        <v>1</v>
      </c>
      <c r="H31" s="74">
        <f>IF('IMPORT SCHLIESSERDATEN'!$H23="",0,1) + IF('IMPORT SCHLIESSERDATEN'!$I23="",0,2) + IF('IMPORT SCHLIESSERDATEN'!$J23="",0,4) + IF('IMPORT SCHLIESSERDATEN'!$K23="",0,8) + IF('IMPORT SCHLIESSERDATEN'!$L23="",0,16) + IF('IMPORT SCHLIESSERDATEN'!$M23="",0,32) + IF('IMPORT SCHLIESSERDATEN'!$N23="",0,64)</f>
        <v>30</v>
      </c>
      <c r="I31" s="74">
        <f>IF('IMPORT SCHLIESSERDATEN'!$D23="",0,1) + IF('IMPORT SCHLIESSERDATEN'!$E23="",0,2) + IF('IMPORT SCHLIESSERDATEN'!$E23="S",4,0)</f>
        <v>2</v>
      </c>
      <c r="J31" s="74">
        <f>IF(ISERR(FIND(" Gangfl.",'IMPORT SCHLIESSERDATEN'!$B23)),IF(ISERR(FIND(" Standfl.",'IMPORT SCHLIESSERDATEN'!$B23)),0,2),1)</f>
        <v>0</v>
      </c>
      <c r="K31" s="74">
        <f>'IMPORT SCHLIESSERDATEN'!CL23</f>
        <v>84</v>
      </c>
      <c r="L31" s="74">
        <f>'IMPORT SCHLIESSERDATEN'!CN23</f>
        <v>4</v>
      </c>
      <c r="M31" s="74">
        <f>IF('IMPORT SCHLIESSERDATEN'!CS23="wie TS",-1,'IMPORT SCHLIESSERDATEN'!CS23)</f>
        <v>0</v>
      </c>
      <c r="N31" s="74">
        <f>IF(M31&lt;0,-1,'IMPORT SCHLIESSERDATEN'!CU23)</f>
        <v>0</v>
      </c>
      <c r="O31" s="74">
        <f>IF('IMPORT SCHLIESSERDATEN'!CZ23="wie TS",-1,'IMPORT SCHLIESSERDATEN'!CZ23)</f>
        <v>0</v>
      </c>
      <c r="P31" s="74">
        <f>IF(O31&lt;0,-1,'IMPORT SCHLIESSERDATEN'!DB23)</f>
        <v>0</v>
      </c>
      <c r="Q31" s="74">
        <f>'IMPORT SCHLIESSERDATEN'!DG23</f>
        <v>0</v>
      </c>
      <c r="R31" s="74">
        <f>'IMPORT SCHLIESSERDATEN'!DI23</f>
        <v>0</v>
      </c>
      <c r="S31" s="74">
        <f>'IMPORT SCHLIESSERDATEN'!DN23</f>
        <v>0</v>
      </c>
      <c r="T31" s="74">
        <f>IF('IMPORT SCHLIESSERDATEN'!DP23="V",9999,'IMPORT SCHLIESSERDATEN'!DP23)</f>
        <v>0</v>
      </c>
      <c r="U31" s="74">
        <f>'IMPORT SCHLIESSERDATEN'!BW23</f>
        <v>275</v>
      </c>
      <c r="V31" s="74">
        <f>'IMPORT SCHLIESSERDATEN'!BX23</f>
        <v>53</v>
      </c>
      <c r="W31" s="74">
        <f>'IMPORT SCHLIESSERDATEN'!BY23</f>
        <v>60</v>
      </c>
      <c r="X31" s="74">
        <f>'IMPORT SCHLIESSERDATEN'!CO23</f>
        <v>84</v>
      </c>
      <c r="Y31" s="74">
        <f>'IMPORT SCHLIESSERDATEN'!CQ23</f>
        <v>13</v>
      </c>
      <c r="Z31" s="74">
        <f>'IMPORT SCHLIESSERDATEN'!CV23</f>
        <v>0</v>
      </c>
      <c r="AA31" s="74">
        <f>'IMPORT SCHLIESSERDATEN'!CX23</f>
        <v>0</v>
      </c>
      <c r="AB31" s="74">
        <f>'IMPORT SCHLIESSERDATEN'!DC23</f>
        <v>0</v>
      </c>
      <c r="AC31" s="74">
        <f>'IMPORT SCHLIESSERDATEN'!DE23</f>
        <v>0</v>
      </c>
      <c r="AD31" s="74">
        <f>'IMPORT SCHLIESSERDATEN'!DJ23</f>
        <v>0</v>
      </c>
      <c r="AE31" s="74">
        <f>'IMPORT SCHLIESSERDATEN'!DL23</f>
        <v>0</v>
      </c>
      <c r="AF31" s="74">
        <f>'IMPORT SCHLIESSERDATEN'!DQ23</f>
        <v>0</v>
      </c>
      <c r="AG31" s="74">
        <f>IF('IMPORT SCHLIESSERDATEN'!DS23="V",9999,'IMPORT SCHLIESSERDATEN'!DS23)</f>
        <v>0</v>
      </c>
      <c r="AH31" s="74">
        <f>IF('IMPORT SCHLIESSERDATEN'!BZ23="V",9999,IF('IMPORT SCHLIESSERDATEN'!CD23="_",-1,'IMPORT SCHLIESSERDATEN'!BZ23))</f>
        <v>9999</v>
      </c>
      <c r="AI31" s="74">
        <f>IF('IMPORT SCHLIESSERDATEN'!CA23="V",9999,IF('IMPORT SCHLIESSERDATEN'!CD23="_",-1,'IMPORT SCHLIESSERDATEN'!CA23))</f>
        <v>30</v>
      </c>
      <c r="AJ31" s="74">
        <f>IF('IMPORT SCHLIESSERDATEN'!CB23="V",9999,IF('IMPORT SCHLIESSERDATEN'!CD23="_",-1,'IMPORT SCHLIESSERDATEN'!CB23))</f>
        <v>34</v>
      </c>
      <c r="AK31" s="74">
        <f>IF('IMPORT SCHLIESSERDATEN'!CC23="V",9999,IF('IMPORT SCHLIESSERDATEN'!CC23="_",-1,'IMPORT SCHLIESSERDATEN'!CC23))</f>
        <v>17</v>
      </c>
      <c r="AL31" s="74">
        <f>IF('IMPORT SCHLIESSERDATEN'!CD23="_",-1,'IMPORT SCHLIESSERDATEN'!CD23)</f>
        <v>375</v>
      </c>
      <c r="AM31" s="74">
        <f>'IMPORT SCHLIESSERDATEN'!CH23</f>
        <v>91</v>
      </c>
      <c r="AN31" s="74">
        <f>IF('IMPORT SCHLIESSERDATEN'!CE23="V",9999,'IMPORT SCHLIESSERDATEN'!CE23)</f>
        <v>30</v>
      </c>
      <c r="AO31" s="74">
        <f>IF('IMPORT SCHLIESSERDATEN'!CK23="_",-1,'IMPORT SCHLIESSERDATEN'!CK23)</f>
        <v>51</v>
      </c>
      <c r="AP31" s="74">
        <f>IF('IMPORT SCHLIESSERDATEN'!$U23="",0,1)</f>
        <v>0</v>
      </c>
      <c r="AQ31" s="74">
        <f>IF('IMPORT SCHLIESSERDATEN'!$V23="",0,1)</f>
        <v>1</v>
      </c>
      <c r="AR31" s="74">
        <f>IF('IMPORT SCHLIESSERDATEN'!$W23="",0,1)</f>
        <v>1</v>
      </c>
      <c r="AS31" s="74">
        <f>IF('IMPORT SCHLIESSERDATEN'!$AA23="",0,1)</f>
        <v>1</v>
      </c>
      <c r="AT31" s="74">
        <f>IF('IMPORT SCHLIESSERDATEN'!$AD23="",0,1) + IF('IMPORT SCHLIESSERDATEN'!$AE23="",0,2)</f>
        <v>0</v>
      </c>
      <c r="AU31" s="74" t="str">
        <f>IF('IMPORT SCHLIESSERDATEN'!$X23="",IF('IMPORT SCHLIESSERDATEN'!$Y23="","","F"),"V")</f>
        <v>V</v>
      </c>
      <c r="AV31" s="74" t="str">
        <f>IF('IMPORT SCHLIESSERDATEN'!$AB23&lt;&gt;"","M",IF('IMPORT SCHLIESSERDATEN'!$AD23&lt;&gt;"",IF(ISERR(SEARCH("UVIBIS",'IMPORT SCHLIESSERDATEN'!$B23)),"R","B"),IF(OR('IMPORT SCHLIESSERDATEN'!$AC23&lt;&gt;"",'IMPORT SCHLIESSERDATEN'!$AE23&lt;&gt;""),"E","")))</f>
        <v/>
      </c>
      <c r="AW31" s="82"/>
      <c r="AX31" s="67"/>
    </row>
    <row r="32" spans="1:50" x14ac:dyDescent="0.25">
      <c r="A32" s="67">
        <f>IFERROR(IF(C32&lt;&gt;"",MAX($A$2:$A31)+1,""),"")</f>
        <v>20</v>
      </c>
      <c r="B32" s="223">
        <f t="shared" si="1"/>
        <v>20</v>
      </c>
      <c r="C32" s="216" t="str">
        <f>IF(J32=1,SUBSTITUTE('IMPORT SCHLIESSERDATEN'!$B24," Gangfl.",""),IF(J32=2,SUBSTITUTE('IMPORT SCHLIESSERDATEN'!$B24," Standfl.",""),'IMPORT SCHLIESSERDATEN'!$B24))</f>
        <v>TS 93 GSR-EMF 1 EN 2-5</v>
      </c>
      <c r="D32" s="216" t="str">
        <f>IF('IMPORT SCHLIESSERDATEN'!$AF24&lt;&gt;"",IF(COUNTA('IMPORT SCHLIESSERDATEN'!$AN24:$AU24)&gt;0,"X","G"),IF('IMPORT SCHLIESSERDATEN'!$AG24&lt;&gt;"","S",IF('IMPORT SCHLIESSERDATEN'!$AH24&lt;&gt;"","I",IF('IMPORT SCHLIESSERDATEN'!$AI24&lt;&gt;"","B",IF('IMPORT SCHLIESSERDATEN'!$AJ24&lt;&gt;"","D","")))))</f>
        <v>G</v>
      </c>
      <c r="E32" s="248" t="str">
        <f>'IMPORT SCHLIESSERDATEN'!AK24 &amp; IF('IMPORT SCHLIESSERDATEN'!AL24="",""," "&amp; 'IMPORT SCHLIESSERDATEN'!AL24)</f>
        <v>93 B</v>
      </c>
      <c r="F32" s="74">
        <f>IFERROR(IF(D32="X",2^(MATCH("",'IMPORT SCHLIESSERDATEN'!$AN24:$AU24,-1)-1),IF(AV32="F",2^(MATCH("",'IMPORT SCHLIESSERDATEN'!$BH24:$BK24,-1)-1),2^(MATCH("",'IMPORT SCHLIESSERDATEN'!$AV24:$BG24,-1)-1))),0)</f>
        <v>64</v>
      </c>
      <c r="G32" s="74">
        <f>IF(AND('IMPORT SCHLIESSERDATEN'!$O24='IMPORT SCHLIESSERDATEN'!$R24,'IMPORT SCHLIESSERDATEN'!$O24&lt;&gt;"",'IMPORT SCHLIESSERDATEN'!$R24&lt;&gt;""),1,0)  +  IF(AND('IMPORT SCHLIESSERDATEN'!$P24='IMPORT SCHLIESSERDATEN'!$S24,'IMPORT SCHLIESSERDATEN'!$P24&lt;&gt;"",'IMPORT SCHLIESSERDATEN'!$S24&lt;&gt;""),2,0)   +  IF(AND('IMPORT SCHLIESSERDATEN'!$O24='IMPORT SCHLIESSERDATEN'!$S24,'IMPORT SCHLIESSERDATEN'!$O24&lt;&gt;"",'IMPORT SCHLIESSERDATEN'!$S24&lt;&gt;""),4,0)   +  IF(AND('IMPORT SCHLIESSERDATEN'!$P24='IMPORT SCHLIESSERDATEN'!$R24,'IMPORT SCHLIESSERDATEN'!$P24&lt;&gt;"",'IMPORT SCHLIESSERDATEN'!$R24&lt;&gt;""),8,0)   +  IF('IMPORT SCHLIESSERDATEN'!$Q24&lt;&gt;"",IF('IMPORT SCHLIESSERDATEN'!$R24&lt;&gt;"",32,0) + IF('IMPORT SCHLIESSERDATEN'!$S24&lt;&gt;"",64,0),0)  +  IF('IMPORT SCHLIESSERDATEN'!$T24&lt;&gt;"",IF('IMPORT SCHLIESSERDATEN'!$Q24&lt;&gt;"",128+256,128),0)</f>
        <v>1</v>
      </c>
      <c r="H32" s="74">
        <f>IF('IMPORT SCHLIESSERDATEN'!$H24="",0,1) + IF('IMPORT SCHLIESSERDATEN'!$I24="",0,2) + IF('IMPORT SCHLIESSERDATEN'!$J24="",0,4) + IF('IMPORT SCHLIESSERDATEN'!$K24="",0,8) + IF('IMPORT SCHLIESSERDATEN'!$L24="",0,16) + IF('IMPORT SCHLIESSERDATEN'!$M24="",0,32) + IF('IMPORT SCHLIESSERDATEN'!$N24="",0,64)</f>
        <v>30</v>
      </c>
      <c r="I32" s="74">
        <f>IF('IMPORT SCHLIESSERDATEN'!$D24="",0,1) + IF('IMPORT SCHLIESSERDATEN'!$E24="",0,2) + IF('IMPORT SCHLIESSERDATEN'!$E24="S",4,0)</f>
        <v>2</v>
      </c>
      <c r="J32" s="74">
        <f>IF(ISERR(FIND(" Gangfl.",'IMPORT SCHLIESSERDATEN'!$B24)),IF(ISERR(FIND(" Standfl.",'IMPORT SCHLIESSERDATEN'!$B24)),0,2),1)</f>
        <v>0</v>
      </c>
      <c r="K32" s="74">
        <f>'IMPORT SCHLIESSERDATEN'!CL24</f>
        <v>84</v>
      </c>
      <c r="L32" s="74">
        <f>'IMPORT SCHLIESSERDATEN'!CN24</f>
        <v>4</v>
      </c>
      <c r="M32" s="74">
        <f>IF('IMPORT SCHLIESSERDATEN'!CS24="wie TS",-1,'IMPORT SCHLIESSERDATEN'!CS24)</f>
        <v>0</v>
      </c>
      <c r="N32" s="74">
        <f>IF(M32&lt;0,-1,'IMPORT SCHLIESSERDATEN'!CU24)</f>
        <v>0</v>
      </c>
      <c r="O32" s="74">
        <f>IF('IMPORT SCHLIESSERDATEN'!CZ24="wie TS",-1,'IMPORT SCHLIESSERDATEN'!CZ24)</f>
        <v>0</v>
      </c>
      <c r="P32" s="74">
        <f>IF(O32&lt;0,-1,'IMPORT SCHLIESSERDATEN'!DB24)</f>
        <v>0</v>
      </c>
      <c r="Q32" s="74">
        <f>'IMPORT SCHLIESSERDATEN'!DG24</f>
        <v>0</v>
      </c>
      <c r="R32" s="74">
        <f>'IMPORT SCHLIESSERDATEN'!DI24</f>
        <v>0</v>
      </c>
      <c r="S32" s="74">
        <f>'IMPORT SCHLIESSERDATEN'!DN24</f>
        <v>0</v>
      </c>
      <c r="T32" s="74">
        <f>IF('IMPORT SCHLIESSERDATEN'!DP24="V",9999,'IMPORT SCHLIESSERDATEN'!DP24)</f>
        <v>0</v>
      </c>
      <c r="U32" s="74">
        <f>'IMPORT SCHLIESSERDATEN'!BW24</f>
        <v>275</v>
      </c>
      <c r="V32" s="74">
        <f>'IMPORT SCHLIESSERDATEN'!BX24</f>
        <v>53</v>
      </c>
      <c r="W32" s="74">
        <f>'IMPORT SCHLIESSERDATEN'!BY24</f>
        <v>60</v>
      </c>
      <c r="X32" s="74">
        <f>'IMPORT SCHLIESSERDATEN'!CO24</f>
        <v>84</v>
      </c>
      <c r="Y32" s="74">
        <f>'IMPORT SCHLIESSERDATEN'!CQ24</f>
        <v>13</v>
      </c>
      <c r="Z32" s="74">
        <f>'IMPORT SCHLIESSERDATEN'!CV24</f>
        <v>0</v>
      </c>
      <c r="AA32" s="74">
        <f>'IMPORT SCHLIESSERDATEN'!CX24</f>
        <v>0</v>
      </c>
      <c r="AB32" s="74">
        <f>'IMPORT SCHLIESSERDATEN'!DC24</f>
        <v>0</v>
      </c>
      <c r="AC32" s="74">
        <f>'IMPORT SCHLIESSERDATEN'!DE24</f>
        <v>0</v>
      </c>
      <c r="AD32" s="74">
        <f>'IMPORT SCHLIESSERDATEN'!DJ24</f>
        <v>0</v>
      </c>
      <c r="AE32" s="74">
        <f>'IMPORT SCHLIESSERDATEN'!DL24</f>
        <v>0</v>
      </c>
      <c r="AF32" s="74">
        <f>'IMPORT SCHLIESSERDATEN'!DQ24</f>
        <v>0</v>
      </c>
      <c r="AG32" s="74">
        <f>IF('IMPORT SCHLIESSERDATEN'!DS24="V",9999,'IMPORT SCHLIESSERDATEN'!DS24)</f>
        <v>0</v>
      </c>
      <c r="AH32" s="74">
        <f>IF('IMPORT SCHLIESSERDATEN'!BZ24="V",9999,IF('IMPORT SCHLIESSERDATEN'!CD24="_",-1,'IMPORT SCHLIESSERDATEN'!BZ24))</f>
        <v>9999</v>
      </c>
      <c r="AI32" s="74">
        <f>IF('IMPORT SCHLIESSERDATEN'!CA24="V",9999,IF('IMPORT SCHLIESSERDATEN'!CD24="_",-1,'IMPORT SCHLIESSERDATEN'!CA24))</f>
        <v>30</v>
      </c>
      <c r="AJ32" s="74">
        <f>IF('IMPORT SCHLIESSERDATEN'!CB24="V",9999,IF('IMPORT SCHLIESSERDATEN'!CD24="_",-1,'IMPORT SCHLIESSERDATEN'!CB24))</f>
        <v>55</v>
      </c>
      <c r="AK32" s="74">
        <f>IF('IMPORT SCHLIESSERDATEN'!CC24="V",9999,IF('IMPORT SCHLIESSERDATEN'!CC24="_",-1,'IMPORT SCHLIESSERDATEN'!CC24))</f>
        <v>28</v>
      </c>
      <c r="AL32" s="74">
        <f>IF('IMPORT SCHLIESSERDATEN'!CD24="_",-1,'IMPORT SCHLIESSERDATEN'!CD24)</f>
        <v>375</v>
      </c>
      <c r="AM32" s="74">
        <f>'IMPORT SCHLIESSERDATEN'!CH24</f>
        <v>91</v>
      </c>
      <c r="AN32" s="74">
        <f>IF('IMPORT SCHLIESSERDATEN'!CE24="V",9999,'IMPORT SCHLIESSERDATEN'!CE24)</f>
        <v>30</v>
      </c>
      <c r="AO32" s="74">
        <f>IF('IMPORT SCHLIESSERDATEN'!CK24="_",-1,'IMPORT SCHLIESSERDATEN'!CK24)</f>
        <v>164</v>
      </c>
      <c r="AP32" s="74">
        <f>IF('IMPORT SCHLIESSERDATEN'!$U24="",0,1)</f>
        <v>1</v>
      </c>
      <c r="AQ32" s="74">
        <f>IF('IMPORT SCHLIESSERDATEN'!$V24="",0,1)</f>
        <v>1</v>
      </c>
      <c r="AR32" s="74">
        <f>IF('IMPORT SCHLIESSERDATEN'!$W24="",0,1)</f>
        <v>1</v>
      </c>
      <c r="AS32" s="74">
        <f>IF('IMPORT SCHLIESSERDATEN'!$AA24="",0,1)</f>
        <v>1</v>
      </c>
      <c r="AT32" s="74">
        <f>IF('IMPORT SCHLIESSERDATEN'!$AD24="",0,1) + IF('IMPORT SCHLIESSERDATEN'!$AE24="",0,2)</f>
        <v>2</v>
      </c>
      <c r="AU32" s="74" t="str">
        <f>IF('IMPORT SCHLIESSERDATEN'!$X24="",IF('IMPORT SCHLIESSERDATEN'!$Y24="","","F"),"V")</f>
        <v>V</v>
      </c>
      <c r="AV32" s="74" t="str">
        <f>IF('IMPORT SCHLIESSERDATEN'!$AB24&lt;&gt;"","M",IF('IMPORT SCHLIESSERDATEN'!$AD24&lt;&gt;"",IF(ISERR(SEARCH("UVIBIS",'IMPORT SCHLIESSERDATEN'!$B24)),"R","B"),IF(OR('IMPORT SCHLIESSERDATEN'!$AC24&lt;&gt;"",'IMPORT SCHLIESSERDATEN'!$AE24&lt;&gt;""),"E","")))</f>
        <v>E</v>
      </c>
      <c r="AW32" s="82"/>
      <c r="AX32" s="67"/>
    </row>
    <row r="33" spans="1:50" x14ac:dyDescent="0.25">
      <c r="A33" s="67">
        <f>IFERROR(IF(C33&lt;&gt;"",MAX($A$2:$A32)+1,""),"")</f>
        <v>21</v>
      </c>
      <c r="B33" s="223">
        <f t="shared" si="1"/>
        <v>21</v>
      </c>
      <c r="C33" s="216" t="str">
        <f>IF(J33=1,SUBSTITUTE('IMPORT SCHLIESSERDATEN'!$B25," Gangfl.",""),IF(J33=2,SUBSTITUTE('IMPORT SCHLIESSERDATEN'!$B25," Standfl.",""),'IMPORT SCHLIESSERDATEN'!$B25))</f>
        <v>TS 93 GSR-EMF 1G EN 2-5</v>
      </c>
      <c r="D33" s="216" t="str">
        <f>IF('IMPORT SCHLIESSERDATEN'!$AF25&lt;&gt;"",IF(COUNTA('IMPORT SCHLIESSERDATEN'!$AN25:$AU25)&gt;0,"X","G"),IF('IMPORT SCHLIESSERDATEN'!$AG25&lt;&gt;"","S",IF('IMPORT SCHLIESSERDATEN'!$AH25&lt;&gt;"","I",IF('IMPORT SCHLIESSERDATEN'!$AI25&lt;&gt;"","B",IF('IMPORT SCHLIESSERDATEN'!$AJ25&lt;&gt;"","D","")))))</f>
        <v>G</v>
      </c>
      <c r="E33" s="248" t="str">
        <f>'IMPORT SCHLIESSERDATEN'!AK25 &amp; IF('IMPORT SCHLIESSERDATEN'!AL25="",""," "&amp; 'IMPORT SCHLIESSERDATEN'!AL25)</f>
        <v>93 B</v>
      </c>
      <c r="F33" s="74">
        <f>IFERROR(IF(D33="X",2^(MATCH("",'IMPORT SCHLIESSERDATEN'!$AN25:$AU25,-1)-1),IF(AV33="F",2^(MATCH("",'IMPORT SCHLIESSERDATEN'!$BH25:$BK25,-1)-1),2^(MATCH("",'IMPORT SCHLIESSERDATEN'!$AV25:$BG25,-1)-1))),0)</f>
        <v>128</v>
      </c>
      <c r="G33" s="74">
        <f>IF(AND('IMPORT SCHLIESSERDATEN'!$O25='IMPORT SCHLIESSERDATEN'!$R25,'IMPORT SCHLIESSERDATEN'!$O25&lt;&gt;"",'IMPORT SCHLIESSERDATEN'!$R25&lt;&gt;""),1,0)  +  IF(AND('IMPORT SCHLIESSERDATEN'!$P25='IMPORT SCHLIESSERDATEN'!$S25,'IMPORT SCHLIESSERDATEN'!$P25&lt;&gt;"",'IMPORT SCHLIESSERDATEN'!$S25&lt;&gt;""),2,0)   +  IF(AND('IMPORT SCHLIESSERDATEN'!$O25='IMPORT SCHLIESSERDATEN'!$S25,'IMPORT SCHLIESSERDATEN'!$O25&lt;&gt;"",'IMPORT SCHLIESSERDATEN'!$S25&lt;&gt;""),4,0)   +  IF(AND('IMPORT SCHLIESSERDATEN'!$P25='IMPORT SCHLIESSERDATEN'!$R25,'IMPORT SCHLIESSERDATEN'!$P25&lt;&gt;"",'IMPORT SCHLIESSERDATEN'!$R25&lt;&gt;""),8,0)   +  IF('IMPORT SCHLIESSERDATEN'!$Q25&lt;&gt;"",IF('IMPORT SCHLIESSERDATEN'!$R25&lt;&gt;"",32,0) + IF('IMPORT SCHLIESSERDATEN'!$S25&lt;&gt;"",64,0),0)  +  IF('IMPORT SCHLIESSERDATEN'!$T25&lt;&gt;"",IF('IMPORT SCHLIESSERDATEN'!$Q25&lt;&gt;"",128+256,128),0)</f>
        <v>1</v>
      </c>
      <c r="H33" s="74">
        <f>IF('IMPORT SCHLIESSERDATEN'!$H25="",0,1) + IF('IMPORT SCHLIESSERDATEN'!$I25="",0,2) + IF('IMPORT SCHLIESSERDATEN'!$J25="",0,4) + IF('IMPORT SCHLIESSERDATEN'!$K25="",0,8) + IF('IMPORT SCHLIESSERDATEN'!$L25="",0,16) + IF('IMPORT SCHLIESSERDATEN'!$M25="",0,32) + IF('IMPORT SCHLIESSERDATEN'!$N25="",0,64)</f>
        <v>30</v>
      </c>
      <c r="I33" s="74">
        <f>IF('IMPORT SCHLIESSERDATEN'!$D25="",0,1) + IF('IMPORT SCHLIESSERDATEN'!$E25="",0,2) + IF('IMPORT SCHLIESSERDATEN'!$E25="S",4,0)</f>
        <v>2</v>
      </c>
      <c r="J33" s="74">
        <f>IF(ISERR(FIND(" Gangfl.",'IMPORT SCHLIESSERDATEN'!$B25)),IF(ISERR(FIND(" Standfl.",'IMPORT SCHLIESSERDATEN'!$B25)),0,2),1)</f>
        <v>0</v>
      </c>
      <c r="K33" s="74">
        <f>'IMPORT SCHLIESSERDATEN'!CL25</f>
        <v>84</v>
      </c>
      <c r="L33" s="74">
        <f>'IMPORT SCHLIESSERDATEN'!CN25</f>
        <v>4</v>
      </c>
      <c r="M33" s="74">
        <f>IF('IMPORT SCHLIESSERDATEN'!CS25="wie TS",-1,'IMPORT SCHLIESSERDATEN'!CS25)</f>
        <v>0</v>
      </c>
      <c r="N33" s="74">
        <f>IF(M33&lt;0,-1,'IMPORT SCHLIESSERDATEN'!CU25)</f>
        <v>0</v>
      </c>
      <c r="O33" s="74">
        <f>IF('IMPORT SCHLIESSERDATEN'!CZ25="wie TS",-1,'IMPORT SCHLIESSERDATEN'!CZ25)</f>
        <v>0</v>
      </c>
      <c r="P33" s="74">
        <f>IF(O33&lt;0,-1,'IMPORT SCHLIESSERDATEN'!DB25)</f>
        <v>0</v>
      </c>
      <c r="Q33" s="74">
        <f>'IMPORT SCHLIESSERDATEN'!DG25</f>
        <v>0</v>
      </c>
      <c r="R33" s="74">
        <f>'IMPORT SCHLIESSERDATEN'!DI25</f>
        <v>0</v>
      </c>
      <c r="S33" s="74">
        <f>'IMPORT SCHLIESSERDATEN'!DN25</f>
        <v>0</v>
      </c>
      <c r="T33" s="74">
        <f>IF('IMPORT SCHLIESSERDATEN'!DP25="V",9999,'IMPORT SCHLIESSERDATEN'!DP25)</f>
        <v>0</v>
      </c>
      <c r="U33" s="74">
        <f>'IMPORT SCHLIESSERDATEN'!BW25</f>
        <v>275</v>
      </c>
      <c r="V33" s="74">
        <f>'IMPORT SCHLIESSERDATEN'!BX25</f>
        <v>53</v>
      </c>
      <c r="W33" s="74">
        <f>'IMPORT SCHLIESSERDATEN'!BY25</f>
        <v>60</v>
      </c>
      <c r="X33" s="74">
        <f>'IMPORT SCHLIESSERDATEN'!CO25</f>
        <v>84</v>
      </c>
      <c r="Y33" s="74">
        <f>'IMPORT SCHLIESSERDATEN'!CQ25</f>
        <v>13</v>
      </c>
      <c r="Z33" s="74">
        <f>'IMPORT SCHLIESSERDATEN'!CV25</f>
        <v>0</v>
      </c>
      <c r="AA33" s="74">
        <f>'IMPORT SCHLIESSERDATEN'!CX25</f>
        <v>0</v>
      </c>
      <c r="AB33" s="74">
        <f>'IMPORT SCHLIESSERDATEN'!DC25</f>
        <v>0</v>
      </c>
      <c r="AC33" s="74">
        <f>'IMPORT SCHLIESSERDATEN'!DE25</f>
        <v>0</v>
      </c>
      <c r="AD33" s="74">
        <f>'IMPORT SCHLIESSERDATEN'!DJ25</f>
        <v>0</v>
      </c>
      <c r="AE33" s="74">
        <f>'IMPORT SCHLIESSERDATEN'!DL25</f>
        <v>0</v>
      </c>
      <c r="AF33" s="74">
        <f>'IMPORT SCHLIESSERDATEN'!DQ25</f>
        <v>0</v>
      </c>
      <c r="AG33" s="74">
        <f>IF('IMPORT SCHLIESSERDATEN'!DS25="V",9999,'IMPORT SCHLIESSERDATEN'!DS25)</f>
        <v>0</v>
      </c>
      <c r="AH33" s="74">
        <f>IF('IMPORT SCHLIESSERDATEN'!BZ25="V",9999,IF('IMPORT SCHLIESSERDATEN'!CD25="_",-1,'IMPORT SCHLIESSERDATEN'!BZ25))</f>
        <v>9999</v>
      </c>
      <c r="AI33" s="74">
        <f>IF('IMPORT SCHLIESSERDATEN'!CA25="V",9999,IF('IMPORT SCHLIESSERDATEN'!CD25="_",-1,'IMPORT SCHLIESSERDATEN'!CA25))</f>
        <v>30</v>
      </c>
      <c r="AJ33" s="74">
        <f>IF('IMPORT SCHLIESSERDATEN'!CB25="V",9999,IF('IMPORT SCHLIESSERDATEN'!CD25="_",-1,'IMPORT SCHLIESSERDATEN'!CB25))</f>
        <v>55</v>
      </c>
      <c r="AK33" s="74">
        <f>IF('IMPORT SCHLIESSERDATEN'!CC25="V",9999,IF('IMPORT SCHLIESSERDATEN'!CC25="_",-1,'IMPORT SCHLIESSERDATEN'!CC25))</f>
        <v>28</v>
      </c>
      <c r="AL33" s="74">
        <f>IF('IMPORT SCHLIESSERDATEN'!CD25="_",-1,'IMPORT SCHLIESSERDATEN'!CD25)</f>
        <v>375</v>
      </c>
      <c r="AM33" s="74">
        <f>'IMPORT SCHLIESSERDATEN'!CH25</f>
        <v>91</v>
      </c>
      <c r="AN33" s="74">
        <f>IF('IMPORT SCHLIESSERDATEN'!CE25="V",9999,'IMPORT SCHLIESSERDATEN'!CE25)</f>
        <v>30</v>
      </c>
      <c r="AO33" s="74">
        <f>IF('IMPORT SCHLIESSERDATEN'!CK25="_",-1,'IMPORT SCHLIESSERDATEN'!CK25)</f>
        <v>164</v>
      </c>
      <c r="AP33" s="74">
        <f>IF('IMPORT SCHLIESSERDATEN'!$U25="",0,1)</f>
        <v>1</v>
      </c>
      <c r="AQ33" s="74">
        <f>IF('IMPORT SCHLIESSERDATEN'!$V25="",0,1)</f>
        <v>1</v>
      </c>
      <c r="AR33" s="74">
        <f>IF('IMPORT SCHLIESSERDATEN'!$W25="",0,1)</f>
        <v>1</v>
      </c>
      <c r="AS33" s="74">
        <f>IF('IMPORT SCHLIESSERDATEN'!$AA25="",0,1)</f>
        <v>1</v>
      </c>
      <c r="AT33" s="74">
        <f>IF('IMPORT SCHLIESSERDATEN'!$AD25="",0,1) + IF('IMPORT SCHLIESSERDATEN'!$AE25="",0,2)</f>
        <v>2</v>
      </c>
      <c r="AU33" s="74" t="str">
        <f>IF('IMPORT SCHLIESSERDATEN'!$X25="",IF('IMPORT SCHLIESSERDATEN'!$Y25="","","F"),"V")</f>
        <v>V</v>
      </c>
      <c r="AV33" s="74" t="str">
        <f>IF('IMPORT SCHLIESSERDATEN'!$AB25&lt;&gt;"","M",IF('IMPORT SCHLIESSERDATEN'!$AD25&lt;&gt;"",IF(ISERR(SEARCH("UVIBIS",'IMPORT SCHLIESSERDATEN'!$B25)),"R","B"),IF(OR('IMPORT SCHLIESSERDATEN'!$AC25&lt;&gt;"",'IMPORT SCHLIESSERDATEN'!$AE25&lt;&gt;""),"E","")))</f>
        <v>E</v>
      </c>
      <c r="AW33" s="82"/>
      <c r="AX33" s="67"/>
    </row>
    <row r="34" spans="1:50" x14ac:dyDescent="0.25">
      <c r="A34" s="67">
        <f>IFERROR(IF(C34&lt;&gt;"",MAX($A$2:$A33)+1,""),"")</f>
        <v>22</v>
      </c>
      <c r="B34" s="223">
        <f t="shared" si="1"/>
        <v>22</v>
      </c>
      <c r="C34" s="216" t="str">
        <f>IF(J34=1,SUBSTITUTE('IMPORT SCHLIESSERDATEN'!$B26," Gangfl.",""),IF(J34=2,SUBSTITUTE('IMPORT SCHLIESSERDATEN'!$B26," Standfl.",""),'IMPORT SCHLIESSERDATEN'!$B26))</f>
        <v>TS 93 GSR-EMF 2 EN 2-5</v>
      </c>
      <c r="D34" s="216" t="str">
        <f>IF('IMPORT SCHLIESSERDATEN'!$AF26&lt;&gt;"",IF(COUNTA('IMPORT SCHLIESSERDATEN'!$AN26:$AU26)&gt;0,"X","G"),IF('IMPORT SCHLIESSERDATEN'!$AG26&lt;&gt;"","S",IF('IMPORT SCHLIESSERDATEN'!$AH26&lt;&gt;"","I",IF('IMPORT SCHLIESSERDATEN'!$AI26&lt;&gt;"","B",IF('IMPORT SCHLIESSERDATEN'!$AJ26&lt;&gt;"","D","")))))</f>
        <v>G</v>
      </c>
      <c r="E34" s="248" t="str">
        <f>'IMPORT SCHLIESSERDATEN'!AK26 &amp; IF('IMPORT SCHLIESSERDATEN'!AL26="",""," "&amp; 'IMPORT SCHLIESSERDATEN'!AL26)</f>
        <v>93 B</v>
      </c>
      <c r="F34" s="74">
        <f>IFERROR(IF(D34="X",2^(MATCH("",'IMPORT SCHLIESSERDATEN'!$AN26:$AU26,-1)-1),IF(AV34="F",2^(MATCH("",'IMPORT SCHLIESSERDATEN'!$BH26:$BK26,-1)-1),2^(MATCH("",'IMPORT SCHLIESSERDATEN'!$AV26:$BG26,-1)-1))),0)</f>
        <v>256</v>
      </c>
      <c r="G34" s="74">
        <f>IF(AND('IMPORT SCHLIESSERDATEN'!$O26='IMPORT SCHLIESSERDATEN'!$R26,'IMPORT SCHLIESSERDATEN'!$O26&lt;&gt;"",'IMPORT SCHLIESSERDATEN'!$R26&lt;&gt;""),1,0)  +  IF(AND('IMPORT SCHLIESSERDATEN'!$P26='IMPORT SCHLIESSERDATEN'!$S26,'IMPORT SCHLIESSERDATEN'!$P26&lt;&gt;"",'IMPORT SCHLIESSERDATEN'!$S26&lt;&gt;""),2,0)   +  IF(AND('IMPORT SCHLIESSERDATEN'!$O26='IMPORT SCHLIESSERDATEN'!$S26,'IMPORT SCHLIESSERDATEN'!$O26&lt;&gt;"",'IMPORT SCHLIESSERDATEN'!$S26&lt;&gt;""),4,0)   +  IF(AND('IMPORT SCHLIESSERDATEN'!$P26='IMPORT SCHLIESSERDATEN'!$R26,'IMPORT SCHLIESSERDATEN'!$P26&lt;&gt;"",'IMPORT SCHLIESSERDATEN'!$R26&lt;&gt;""),8,0)   +  IF('IMPORT SCHLIESSERDATEN'!$Q26&lt;&gt;"",IF('IMPORT SCHLIESSERDATEN'!$R26&lt;&gt;"",32,0) + IF('IMPORT SCHLIESSERDATEN'!$S26&lt;&gt;"",64,0),0)  +  IF('IMPORT SCHLIESSERDATEN'!$T26&lt;&gt;"",IF('IMPORT SCHLIESSERDATEN'!$Q26&lt;&gt;"",128+256,128),0)</f>
        <v>1</v>
      </c>
      <c r="H34" s="74">
        <f>IF('IMPORT SCHLIESSERDATEN'!$H26="",0,1) + IF('IMPORT SCHLIESSERDATEN'!$I26="",0,2) + IF('IMPORT SCHLIESSERDATEN'!$J26="",0,4) + IF('IMPORT SCHLIESSERDATEN'!$K26="",0,8) + IF('IMPORT SCHLIESSERDATEN'!$L26="",0,16) + IF('IMPORT SCHLIESSERDATEN'!$M26="",0,32) + IF('IMPORT SCHLIESSERDATEN'!$N26="",0,64)</f>
        <v>30</v>
      </c>
      <c r="I34" s="74">
        <f>IF('IMPORT SCHLIESSERDATEN'!$D26="",0,1) + IF('IMPORT SCHLIESSERDATEN'!$E26="",0,2) + IF('IMPORT SCHLIESSERDATEN'!$E26="S",4,0)</f>
        <v>2</v>
      </c>
      <c r="J34" s="74">
        <f>IF(ISERR(FIND(" Gangfl.",'IMPORT SCHLIESSERDATEN'!$B26)),IF(ISERR(FIND(" Standfl.",'IMPORT SCHLIESSERDATEN'!$B26)),0,2),1)</f>
        <v>0</v>
      </c>
      <c r="K34" s="74">
        <f>'IMPORT SCHLIESSERDATEN'!CL26</f>
        <v>84</v>
      </c>
      <c r="L34" s="74">
        <f>'IMPORT SCHLIESSERDATEN'!CN26</f>
        <v>4</v>
      </c>
      <c r="M34" s="74">
        <f>IF('IMPORT SCHLIESSERDATEN'!CS26="wie TS",-1,'IMPORT SCHLIESSERDATEN'!CS26)</f>
        <v>0</v>
      </c>
      <c r="N34" s="74">
        <f>IF(M34&lt;0,-1,'IMPORT SCHLIESSERDATEN'!CU26)</f>
        <v>0</v>
      </c>
      <c r="O34" s="74">
        <f>IF('IMPORT SCHLIESSERDATEN'!CZ26="wie TS",-1,'IMPORT SCHLIESSERDATEN'!CZ26)</f>
        <v>0</v>
      </c>
      <c r="P34" s="74">
        <f>IF(O34&lt;0,-1,'IMPORT SCHLIESSERDATEN'!DB26)</f>
        <v>0</v>
      </c>
      <c r="Q34" s="74">
        <f>'IMPORT SCHLIESSERDATEN'!DG26</f>
        <v>0</v>
      </c>
      <c r="R34" s="74">
        <f>'IMPORT SCHLIESSERDATEN'!DI26</f>
        <v>0</v>
      </c>
      <c r="S34" s="74">
        <f>'IMPORT SCHLIESSERDATEN'!DN26</f>
        <v>0</v>
      </c>
      <c r="T34" s="74">
        <f>IF('IMPORT SCHLIESSERDATEN'!DP26="V",9999,'IMPORT SCHLIESSERDATEN'!DP26)</f>
        <v>0</v>
      </c>
      <c r="U34" s="74">
        <f>'IMPORT SCHLIESSERDATEN'!BW26</f>
        <v>275</v>
      </c>
      <c r="V34" s="74">
        <f>'IMPORT SCHLIESSERDATEN'!BX26</f>
        <v>53</v>
      </c>
      <c r="W34" s="74">
        <f>'IMPORT SCHLIESSERDATEN'!BY26</f>
        <v>60</v>
      </c>
      <c r="X34" s="74">
        <f>'IMPORT SCHLIESSERDATEN'!CO26</f>
        <v>84</v>
      </c>
      <c r="Y34" s="74">
        <f>'IMPORT SCHLIESSERDATEN'!CQ26</f>
        <v>13</v>
      </c>
      <c r="Z34" s="74">
        <f>'IMPORT SCHLIESSERDATEN'!CV26</f>
        <v>0</v>
      </c>
      <c r="AA34" s="74">
        <f>'IMPORT SCHLIESSERDATEN'!CX26</f>
        <v>0</v>
      </c>
      <c r="AB34" s="74">
        <f>'IMPORT SCHLIESSERDATEN'!DC26</f>
        <v>0</v>
      </c>
      <c r="AC34" s="74">
        <f>'IMPORT SCHLIESSERDATEN'!DE26</f>
        <v>0</v>
      </c>
      <c r="AD34" s="74">
        <f>'IMPORT SCHLIESSERDATEN'!DJ26</f>
        <v>0</v>
      </c>
      <c r="AE34" s="74">
        <f>'IMPORT SCHLIESSERDATEN'!DL26</f>
        <v>0</v>
      </c>
      <c r="AF34" s="74">
        <f>'IMPORT SCHLIESSERDATEN'!DQ26</f>
        <v>0</v>
      </c>
      <c r="AG34" s="74">
        <f>IF('IMPORT SCHLIESSERDATEN'!DS26="V",9999,'IMPORT SCHLIESSERDATEN'!DS26)</f>
        <v>0</v>
      </c>
      <c r="AH34" s="74">
        <f>IF('IMPORT SCHLIESSERDATEN'!BZ26="V",9999,IF('IMPORT SCHLIESSERDATEN'!CD26="_",-1,'IMPORT SCHLIESSERDATEN'!BZ26))</f>
        <v>9999</v>
      </c>
      <c r="AI34" s="74">
        <f>IF('IMPORT SCHLIESSERDATEN'!CA26="V",9999,IF('IMPORT SCHLIESSERDATEN'!CD26="_",-1,'IMPORT SCHLIESSERDATEN'!CA26))</f>
        <v>30</v>
      </c>
      <c r="AJ34" s="74">
        <f>IF('IMPORT SCHLIESSERDATEN'!CB26="V",9999,IF('IMPORT SCHLIESSERDATEN'!CD26="_",-1,'IMPORT SCHLIESSERDATEN'!CB26))</f>
        <v>55</v>
      </c>
      <c r="AK34" s="74">
        <f>IF('IMPORT SCHLIESSERDATEN'!CC26="V",9999,IF('IMPORT SCHLIESSERDATEN'!CC26="_",-1,'IMPORT SCHLIESSERDATEN'!CC26))</f>
        <v>28</v>
      </c>
      <c r="AL34" s="74">
        <f>IF('IMPORT SCHLIESSERDATEN'!CD26="_",-1,'IMPORT SCHLIESSERDATEN'!CD26)</f>
        <v>375</v>
      </c>
      <c r="AM34" s="74">
        <f>'IMPORT SCHLIESSERDATEN'!CH26</f>
        <v>91</v>
      </c>
      <c r="AN34" s="74">
        <f>IF('IMPORT SCHLIESSERDATEN'!CE26="V",9999,'IMPORT SCHLIESSERDATEN'!CE26)</f>
        <v>30</v>
      </c>
      <c r="AO34" s="74">
        <f>IF('IMPORT SCHLIESSERDATEN'!CK26="_",-1,'IMPORT SCHLIESSERDATEN'!CK26)</f>
        <v>164</v>
      </c>
      <c r="AP34" s="74">
        <f>IF('IMPORT SCHLIESSERDATEN'!$U26="",0,1)</f>
        <v>1</v>
      </c>
      <c r="AQ34" s="74">
        <f>IF('IMPORT SCHLIESSERDATEN'!$V26="",0,1)</f>
        <v>1</v>
      </c>
      <c r="AR34" s="74">
        <f>IF('IMPORT SCHLIESSERDATEN'!$W26="",0,1)</f>
        <v>1</v>
      </c>
      <c r="AS34" s="74">
        <f>IF('IMPORT SCHLIESSERDATEN'!$AA26="",0,1)</f>
        <v>1</v>
      </c>
      <c r="AT34" s="74">
        <f>IF('IMPORT SCHLIESSERDATEN'!$AD26="",0,1) + IF('IMPORT SCHLIESSERDATEN'!$AE26="",0,2)</f>
        <v>2</v>
      </c>
      <c r="AU34" s="74" t="str">
        <f>IF('IMPORT SCHLIESSERDATEN'!$X26="",IF('IMPORT SCHLIESSERDATEN'!$Y26="","","F"),"V")</f>
        <v>V</v>
      </c>
      <c r="AV34" s="74" t="str">
        <f>IF('IMPORT SCHLIESSERDATEN'!$AB26&lt;&gt;"","M",IF('IMPORT SCHLIESSERDATEN'!$AD26&lt;&gt;"",IF(ISERR(SEARCH("UVIBIS",'IMPORT SCHLIESSERDATEN'!$B26)),"R","B"),IF(OR('IMPORT SCHLIESSERDATEN'!$AC26&lt;&gt;"",'IMPORT SCHLIESSERDATEN'!$AE26&lt;&gt;""),"E","")))</f>
        <v>E</v>
      </c>
      <c r="AW34" s="82"/>
      <c r="AX34" s="67"/>
    </row>
    <row r="35" spans="1:50" x14ac:dyDescent="0.25">
      <c r="A35" s="67">
        <f>IFERROR(IF(C35&lt;&gt;"",MAX($A$2:$A34)+1,""),"")</f>
        <v>23</v>
      </c>
      <c r="B35" s="223">
        <f t="shared" si="1"/>
        <v>23</v>
      </c>
      <c r="C35" s="216" t="str">
        <f>IF(J35=1,SUBSTITUTE('IMPORT SCHLIESSERDATEN'!$B27," Gangfl.",""),IF(J35=2,SUBSTITUTE('IMPORT SCHLIESSERDATEN'!$B27," Standfl.",""),'IMPORT SCHLIESSERDATEN'!$B27))</f>
        <v>TS 93 GSR-EMR 1 EN 2-5</v>
      </c>
      <c r="D35" s="216" t="str">
        <f>IF('IMPORT SCHLIESSERDATEN'!$AF27&lt;&gt;"",IF(COUNTA('IMPORT SCHLIESSERDATEN'!$AN27:$AU27)&gt;0,"X","G"),IF('IMPORT SCHLIESSERDATEN'!$AG27&lt;&gt;"","S",IF('IMPORT SCHLIESSERDATEN'!$AH27&lt;&gt;"","I",IF('IMPORT SCHLIESSERDATEN'!$AI27&lt;&gt;"","B",IF('IMPORT SCHLIESSERDATEN'!$AJ27&lt;&gt;"","D","")))))</f>
        <v>G</v>
      </c>
      <c r="E35" s="248" t="str">
        <f>'IMPORT SCHLIESSERDATEN'!AK27 &amp; IF('IMPORT SCHLIESSERDATEN'!AL27="",""," "&amp; 'IMPORT SCHLIESSERDATEN'!AL27)</f>
        <v>93 B</v>
      </c>
      <c r="F35" s="74">
        <f>IFERROR(IF(D35="X",2^(MATCH("",'IMPORT SCHLIESSERDATEN'!$AN27:$AU27,-1)-1),IF(AV35="F",2^(MATCH("",'IMPORT SCHLIESSERDATEN'!$BH27:$BK27,-1)-1),2^(MATCH("",'IMPORT SCHLIESSERDATEN'!$AV27:$BG27,-1)-1))),0)</f>
        <v>512</v>
      </c>
      <c r="G35" s="74">
        <f>IF(AND('IMPORT SCHLIESSERDATEN'!$O27='IMPORT SCHLIESSERDATEN'!$R27,'IMPORT SCHLIESSERDATEN'!$O27&lt;&gt;"",'IMPORT SCHLIESSERDATEN'!$R27&lt;&gt;""),1,0)  +  IF(AND('IMPORT SCHLIESSERDATEN'!$P27='IMPORT SCHLIESSERDATEN'!$S27,'IMPORT SCHLIESSERDATEN'!$P27&lt;&gt;"",'IMPORT SCHLIESSERDATEN'!$S27&lt;&gt;""),2,0)   +  IF(AND('IMPORT SCHLIESSERDATEN'!$O27='IMPORT SCHLIESSERDATEN'!$S27,'IMPORT SCHLIESSERDATEN'!$O27&lt;&gt;"",'IMPORT SCHLIESSERDATEN'!$S27&lt;&gt;""),4,0)   +  IF(AND('IMPORT SCHLIESSERDATEN'!$P27='IMPORT SCHLIESSERDATEN'!$R27,'IMPORT SCHLIESSERDATEN'!$P27&lt;&gt;"",'IMPORT SCHLIESSERDATEN'!$R27&lt;&gt;""),8,0)   +  IF('IMPORT SCHLIESSERDATEN'!$Q27&lt;&gt;"",IF('IMPORT SCHLIESSERDATEN'!$R27&lt;&gt;"",32,0) + IF('IMPORT SCHLIESSERDATEN'!$S27&lt;&gt;"",64,0),0)  +  IF('IMPORT SCHLIESSERDATEN'!$T27&lt;&gt;"",IF('IMPORT SCHLIESSERDATEN'!$Q27&lt;&gt;"",128+256,128),0)</f>
        <v>1</v>
      </c>
      <c r="H35" s="74">
        <f>IF('IMPORT SCHLIESSERDATEN'!$H27="",0,1) + IF('IMPORT SCHLIESSERDATEN'!$I27="",0,2) + IF('IMPORT SCHLIESSERDATEN'!$J27="",0,4) + IF('IMPORT SCHLIESSERDATEN'!$K27="",0,8) + IF('IMPORT SCHLIESSERDATEN'!$L27="",0,16) + IF('IMPORT SCHLIESSERDATEN'!$M27="",0,32) + IF('IMPORT SCHLIESSERDATEN'!$N27="",0,64)</f>
        <v>30</v>
      </c>
      <c r="I35" s="74">
        <f>IF('IMPORT SCHLIESSERDATEN'!$D27="",0,1) + IF('IMPORT SCHLIESSERDATEN'!$E27="",0,2) + IF('IMPORT SCHLIESSERDATEN'!$E27="S",4,0)</f>
        <v>2</v>
      </c>
      <c r="J35" s="74">
        <f>IF(ISERR(FIND(" Gangfl.",'IMPORT SCHLIESSERDATEN'!$B27)),IF(ISERR(FIND(" Standfl.",'IMPORT SCHLIESSERDATEN'!$B27)),0,2),1)</f>
        <v>0</v>
      </c>
      <c r="K35" s="74">
        <f>'IMPORT SCHLIESSERDATEN'!CL27</f>
        <v>84</v>
      </c>
      <c r="L35" s="74">
        <f>'IMPORT SCHLIESSERDATEN'!CN27</f>
        <v>4</v>
      </c>
      <c r="M35" s="74">
        <f>IF('IMPORT SCHLIESSERDATEN'!CS27="wie TS",-1,'IMPORT SCHLIESSERDATEN'!CS27)</f>
        <v>0</v>
      </c>
      <c r="N35" s="74">
        <f>IF(M35&lt;0,-1,'IMPORT SCHLIESSERDATEN'!CU27)</f>
        <v>0</v>
      </c>
      <c r="O35" s="74">
        <f>IF('IMPORT SCHLIESSERDATEN'!CZ27="wie TS",-1,'IMPORT SCHLIESSERDATEN'!CZ27)</f>
        <v>0</v>
      </c>
      <c r="P35" s="74">
        <f>IF(O35&lt;0,-1,'IMPORT SCHLIESSERDATEN'!DB27)</f>
        <v>0</v>
      </c>
      <c r="Q35" s="74">
        <f>'IMPORT SCHLIESSERDATEN'!DG27</f>
        <v>0</v>
      </c>
      <c r="R35" s="74">
        <f>'IMPORT SCHLIESSERDATEN'!DI27</f>
        <v>0</v>
      </c>
      <c r="S35" s="74">
        <f>'IMPORT SCHLIESSERDATEN'!DN27</f>
        <v>0</v>
      </c>
      <c r="T35" s="74">
        <f>IF('IMPORT SCHLIESSERDATEN'!DP27="V",9999,'IMPORT SCHLIESSERDATEN'!DP27)</f>
        <v>0</v>
      </c>
      <c r="U35" s="74">
        <f>'IMPORT SCHLIESSERDATEN'!BW27</f>
        <v>275</v>
      </c>
      <c r="V35" s="74">
        <f>'IMPORT SCHLIESSERDATEN'!BX27</f>
        <v>53</v>
      </c>
      <c r="W35" s="74">
        <f>'IMPORT SCHLIESSERDATEN'!BY27</f>
        <v>60</v>
      </c>
      <c r="X35" s="74">
        <f>'IMPORT SCHLIESSERDATEN'!CO27</f>
        <v>84</v>
      </c>
      <c r="Y35" s="74">
        <f>'IMPORT SCHLIESSERDATEN'!CQ27</f>
        <v>13</v>
      </c>
      <c r="Z35" s="74">
        <f>'IMPORT SCHLIESSERDATEN'!CV27</f>
        <v>0</v>
      </c>
      <c r="AA35" s="74">
        <f>'IMPORT SCHLIESSERDATEN'!CX27</f>
        <v>0</v>
      </c>
      <c r="AB35" s="74">
        <f>'IMPORT SCHLIESSERDATEN'!DC27</f>
        <v>0</v>
      </c>
      <c r="AC35" s="74">
        <f>'IMPORT SCHLIESSERDATEN'!DE27</f>
        <v>0</v>
      </c>
      <c r="AD35" s="74">
        <f>'IMPORT SCHLIESSERDATEN'!DJ27</f>
        <v>0</v>
      </c>
      <c r="AE35" s="74">
        <f>'IMPORT SCHLIESSERDATEN'!DL27</f>
        <v>0</v>
      </c>
      <c r="AF35" s="74">
        <f>'IMPORT SCHLIESSERDATEN'!DQ27</f>
        <v>0</v>
      </c>
      <c r="AG35" s="74">
        <f>IF('IMPORT SCHLIESSERDATEN'!DS27="V",9999,'IMPORT SCHLIESSERDATEN'!DS27)</f>
        <v>0</v>
      </c>
      <c r="AH35" s="74">
        <f>IF('IMPORT SCHLIESSERDATEN'!BZ27="V",9999,IF('IMPORT SCHLIESSERDATEN'!CD27="_",-1,'IMPORT SCHLIESSERDATEN'!BZ27))</f>
        <v>9999</v>
      </c>
      <c r="AI35" s="74">
        <f>IF('IMPORT SCHLIESSERDATEN'!CA27="V",9999,IF('IMPORT SCHLIESSERDATEN'!CD27="_",-1,'IMPORT SCHLIESSERDATEN'!CA27))</f>
        <v>30</v>
      </c>
      <c r="AJ35" s="74">
        <f>IF('IMPORT SCHLIESSERDATEN'!CB27="V",9999,IF('IMPORT SCHLIESSERDATEN'!CD27="_",-1,'IMPORT SCHLIESSERDATEN'!CB27))</f>
        <v>55</v>
      </c>
      <c r="AK35" s="74">
        <f>IF('IMPORT SCHLIESSERDATEN'!CC27="V",9999,IF('IMPORT SCHLIESSERDATEN'!CC27="_",-1,'IMPORT SCHLIESSERDATEN'!CC27))</f>
        <v>28</v>
      </c>
      <c r="AL35" s="74">
        <f>IF('IMPORT SCHLIESSERDATEN'!CD27="_",-1,'IMPORT SCHLIESSERDATEN'!CD27)</f>
        <v>375</v>
      </c>
      <c r="AM35" s="74">
        <f>'IMPORT SCHLIESSERDATEN'!CH27</f>
        <v>91</v>
      </c>
      <c r="AN35" s="74">
        <f>IF('IMPORT SCHLIESSERDATEN'!CE27="V",9999,'IMPORT SCHLIESSERDATEN'!CE27)</f>
        <v>30</v>
      </c>
      <c r="AO35" s="74">
        <f>IF('IMPORT SCHLIESSERDATEN'!CK27="_",-1,'IMPORT SCHLIESSERDATEN'!CK27)</f>
        <v>164</v>
      </c>
      <c r="AP35" s="74">
        <f>IF('IMPORT SCHLIESSERDATEN'!$U27="",0,1)</f>
        <v>1</v>
      </c>
      <c r="AQ35" s="74">
        <f>IF('IMPORT SCHLIESSERDATEN'!$V27="",0,1)</f>
        <v>1</v>
      </c>
      <c r="AR35" s="74">
        <f>IF('IMPORT SCHLIESSERDATEN'!$W27="",0,1)</f>
        <v>1</v>
      </c>
      <c r="AS35" s="74">
        <f>IF('IMPORT SCHLIESSERDATEN'!$AA27="",0,1)</f>
        <v>1</v>
      </c>
      <c r="AT35" s="74">
        <f>IF('IMPORT SCHLIESSERDATEN'!$AD27="",0,1) + IF('IMPORT SCHLIESSERDATEN'!$AE27="",0,2)</f>
        <v>1</v>
      </c>
      <c r="AU35" s="74" t="str">
        <f>IF('IMPORT SCHLIESSERDATEN'!$X27="",IF('IMPORT SCHLIESSERDATEN'!$Y27="","","F"),"V")</f>
        <v>V</v>
      </c>
      <c r="AV35" s="74" t="str">
        <f>IF('IMPORT SCHLIESSERDATEN'!$AB27&lt;&gt;"","M",IF('IMPORT SCHLIESSERDATEN'!$AD27&lt;&gt;"",IF(ISERR(SEARCH("UVIBIS",'IMPORT SCHLIESSERDATEN'!$B27)),"R","B"),IF(OR('IMPORT SCHLIESSERDATEN'!$AC27&lt;&gt;"",'IMPORT SCHLIESSERDATEN'!$AE27&lt;&gt;""),"E","")))</f>
        <v>R</v>
      </c>
      <c r="AW35" s="82"/>
      <c r="AX35" s="67"/>
    </row>
    <row r="36" spans="1:50" x14ac:dyDescent="0.25">
      <c r="A36" s="67">
        <f>IFERROR(IF(C36&lt;&gt;"",MAX($A$2:$A35)+1,""),"")</f>
        <v>24</v>
      </c>
      <c r="B36" s="223">
        <f t="shared" si="1"/>
        <v>24</v>
      </c>
      <c r="C36" s="216" t="str">
        <f>IF(J36=1,SUBSTITUTE('IMPORT SCHLIESSERDATEN'!$B28," Gangfl.",""),IF(J36=2,SUBSTITUTE('IMPORT SCHLIESSERDATEN'!$B28," Standfl.",""),'IMPORT SCHLIESSERDATEN'!$B28))</f>
        <v>TS 93 GSR-EMR 1G EN 2-5</v>
      </c>
      <c r="D36" s="216" t="str">
        <f>IF('IMPORT SCHLIESSERDATEN'!$AF28&lt;&gt;"",IF(COUNTA('IMPORT SCHLIESSERDATEN'!$AN28:$AU28)&gt;0,"X","G"),IF('IMPORT SCHLIESSERDATEN'!$AG28&lt;&gt;"","S",IF('IMPORT SCHLIESSERDATEN'!$AH28&lt;&gt;"","I",IF('IMPORT SCHLIESSERDATEN'!$AI28&lt;&gt;"","B",IF('IMPORT SCHLIESSERDATEN'!$AJ28&lt;&gt;"","D","")))))</f>
        <v>G</v>
      </c>
      <c r="E36" s="248" t="str">
        <f>'IMPORT SCHLIESSERDATEN'!AK28 &amp; IF('IMPORT SCHLIESSERDATEN'!AL28="",""," "&amp; 'IMPORT SCHLIESSERDATEN'!AL28)</f>
        <v>93 B</v>
      </c>
      <c r="F36" s="74">
        <f>IFERROR(IF(D36="X",2^(MATCH("",'IMPORT SCHLIESSERDATEN'!$AN28:$AU28,-1)-1),IF(AV36="F",2^(MATCH("",'IMPORT SCHLIESSERDATEN'!$BH28:$BK28,-1)-1),2^(MATCH("",'IMPORT SCHLIESSERDATEN'!$AV28:$BG28,-1)-1))),0)</f>
        <v>1024</v>
      </c>
      <c r="G36" s="74">
        <f>IF(AND('IMPORT SCHLIESSERDATEN'!$O28='IMPORT SCHLIESSERDATEN'!$R28,'IMPORT SCHLIESSERDATEN'!$O28&lt;&gt;"",'IMPORT SCHLIESSERDATEN'!$R28&lt;&gt;""),1,0)  +  IF(AND('IMPORT SCHLIESSERDATEN'!$P28='IMPORT SCHLIESSERDATEN'!$S28,'IMPORT SCHLIESSERDATEN'!$P28&lt;&gt;"",'IMPORT SCHLIESSERDATEN'!$S28&lt;&gt;""),2,0)   +  IF(AND('IMPORT SCHLIESSERDATEN'!$O28='IMPORT SCHLIESSERDATEN'!$S28,'IMPORT SCHLIESSERDATEN'!$O28&lt;&gt;"",'IMPORT SCHLIESSERDATEN'!$S28&lt;&gt;""),4,0)   +  IF(AND('IMPORT SCHLIESSERDATEN'!$P28='IMPORT SCHLIESSERDATEN'!$R28,'IMPORT SCHLIESSERDATEN'!$P28&lt;&gt;"",'IMPORT SCHLIESSERDATEN'!$R28&lt;&gt;""),8,0)   +  IF('IMPORT SCHLIESSERDATEN'!$Q28&lt;&gt;"",IF('IMPORT SCHLIESSERDATEN'!$R28&lt;&gt;"",32,0) + IF('IMPORT SCHLIESSERDATEN'!$S28&lt;&gt;"",64,0),0)  +  IF('IMPORT SCHLIESSERDATEN'!$T28&lt;&gt;"",IF('IMPORT SCHLIESSERDATEN'!$Q28&lt;&gt;"",128+256,128),0)</f>
        <v>1</v>
      </c>
      <c r="H36" s="74">
        <f>IF('IMPORT SCHLIESSERDATEN'!$H28="",0,1) + IF('IMPORT SCHLIESSERDATEN'!$I28="",0,2) + IF('IMPORT SCHLIESSERDATEN'!$J28="",0,4) + IF('IMPORT SCHLIESSERDATEN'!$K28="",0,8) + IF('IMPORT SCHLIESSERDATEN'!$L28="",0,16) + IF('IMPORT SCHLIESSERDATEN'!$M28="",0,32) + IF('IMPORT SCHLIESSERDATEN'!$N28="",0,64)</f>
        <v>30</v>
      </c>
      <c r="I36" s="74">
        <f>IF('IMPORT SCHLIESSERDATEN'!$D28="",0,1) + IF('IMPORT SCHLIESSERDATEN'!$E28="",0,2) + IF('IMPORT SCHLIESSERDATEN'!$E28="S",4,0)</f>
        <v>2</v>
      </c>
      <c r="J36" s="74">
        <f>IF(ISERR(FIND(" Gangfl.",'IMPORT SCHLIESSERDATEN'!$B28)),IF(ISERR(FIND(" Standfl.",'IMPORT SCHLIESSERDATEN'!$B28)),0,2),1)</f>
        <v>0</v>
      </c>
      <c r="K36" s="74">
        <f>'IMPORT SCHLIESSERDATEN'!CL28</f>
        <v>84</v>
      </c>
      <c r="L36" s="74">
        <f>'IMPORT SCHLIESSERDATEN'!CN28</f>
        <v>4</v>
      </c>
      <c r="M36" s="74">
        <f>IF('IMPORT SCHLIESSERDATEN'!CS28="wie TS",-1,'IMPORT SCHLIESSERDATEN'!CS28)</f>
        <v>0</v>
      </c>
      <c r="N36" s="74">
        <f>IF(M36&lt;0,-1,'IMPORT SCHLIESSERDATEN'!CU28)</f>
        <v>0</v>
      </c>
      <c r="O36" s="74">
        <f>IF('IMPORT SCHLIESSERDATEN'!CZ28="wie TS",-1,'IMPORT SCHLIESSERDATEN'!CZ28)</f>
        <v>0</v>
      </c>
      <c r="P36" s="74">
        <f>IF(O36&lt;0,-1,'IMPORT SCHLIESSERDATEN'!DB28)</f>
        <v>0</v>
      </c>
      <c r="Q36" s="74">
        <f>'IMPORT SCHLIESSERDATEN'!DG28</f>
        <v>0</v>
      </c>
      <c r="R36" s="74">
        <f>'IMPORT SCHLIESSERDATEN'!DI28</f>
        <v>0</v>
      </c>
      <c r="S36" s="74">
        <f>'IMPORT SCHLIESSERDATEN'!DN28</f>
        <v>0</v>
      </c>
      <c r="T36" s="74">
        <f>IF('IMPORT SCHLIESSERDATEN'!DP28="V",9999,'IMPORT SCHLIESSERDATEN'!DP28)</f>
        <v>0</v>
      </c>
      <c r="U36" s="74">
        <f>'IMPORT SCHLIESSERDATEN'!BW28</f>
        <v>275</v>
      </c>
      <c r="V36" s="74">
        <f>'IMPORT SCHLIESSERDATEN'!BX28</f>
        <v>53</v>
      </c>
      <c r="W36" s="74">
        <f>'IMPORT SCHLIESSERDATEN'!BY28</f>
        <v>60</v>
      </c>
      <c r="X36" s="74">
        <f>'IMPORT SCHLIESSERDATEN'!CO28</f>
        <v>84</v>
      </c>
      <c r="Y36" s="74">
        <f>'IMPORT SCHLIESSERDATEN'!CQ28</f>
        <v>13</v>
      </c>
      <c r="Z36" s="74">
        <f>'IMPORT SCHLIESSERDATEN'!CV28</f>
        <v>0</v>
      </c>
      <c r="AA36" s="74">
        <f>'IMPORT SCHLIESSERDATEN'!CX28</f>
        <v>0</v>
      </c>
      <c r="AB36" s="74">
        <f>'IMPORT SCHLIESSERDATEN'!DC28</f>
        <v>0</v>
      </c>
      <c r="AC36" s="74">
        <f>'IMPORT SCHLIESSERDATEN'!DE28</f>
        <v>0</v>
      </c>
      <c r="AD36" s="74">
        <f>'IMPORT SCHLIESSERDATEN'!DJ28</f>
        <v>0</v>
      </c>
      <c r="AE36" s="74">
        <f>'IMPORT SCHLIESSERDATEN'!DL28</f>
        <v>0</v>
      </c>
      <c r="AF36" s="74">
        <f>'IMPORT SCHLIESSERDATEN'!DQ28</f>
        <v>0</v>
      </c>
      <c r="AG36" s="74">
        <f>IF('IMPORT SCHLIESSERDATEN'!DS28="V",9999,'IMPORT SCHLIESSERDATEN'!DS28)</f>
        <v>0</v>
      </c>
      <c r="AH36" s="74">
        <f>IF('IMPORT SCHLIESSERDATEN'!BZ28="V",9999,IF('IMPORT SCHLIESSERDATEN'!CD28="_",-1,'IMPORT SCHLIESSERDATEN'!BZ28))</f>
        <v>9999</v>
      </c>
      <c r="AI36" s="74">
        <f>IF('IMPORT SCHLIESSERDATEN'!CA28="V",9999,IF('IMPORT SCHLIESSERDATEN'!CD28="_",-1,'IMPORT SCHLIESSERDATEN'!CA28))</f>
        <v>30</v>
      </c>
      <c r="AJ36" s="74">
        <f>IF('IMPORT SCHLIESSERDATEN'!CB28="V",9999,IF('IMPORT SCHLIESSERDATEN'!CD28="_",-1,'IMPORT SCHLIESSERDATEN'!CB28))</f>
        <v>55</v>
      </c>
      <c r="AK36" s="74">
        <f>IF('IMPORT SCHLIESSERDATEN'!CC28="V",9999,IF('IMPORT SCHLIESSERDATEN'!CC28="_",-1,'IMPORT SCHLIESSERDATEN'!CC28))</f>
        <v>28</v>
      </c>
      <c r="AL36" s="74">
        <f>IF('IMPORT SCHLIESSERDATEN'!CD28="_",-1,'IMPORT SCHLIESSERDATEN'!CD28)</f>
        <v>375</v>
      </c>
      <c r="AM36" s="74">
        <f>'IMPORT SCHLIESSERDATEN'!CH28</f>
        <v>91</v>
      </c>
      <c r="AN36" s="74">
        <f>IF('IMPORT SCHLIESSERDATEN'!CE28="V",9999,'IMPORT SCHLIESSERDATEN'!CE28)</f>
        <v>30</v>
      </c>
      <c r="AO36" s="74">
        <f>IF('IMPORT SCHLIESSERDATEN'!CK28="_",-1,'IMPORT SCHLIESSERDATEN'!CK28)</f>
        <v>164</v>
      </c>
      <c r="AP36" s="74">
        <f>IF('IMPORT SCHLIESSERDATEN'!$U28="",0,1)</f>
        <v>1</v>
      </c>
      <c r="AQ36" s="74">
        <f>IF('IMPORT SCHLIESSERDATEN'!$V28="",0,1)</f>
        <v>1</v>
      </c>
      <c r="AR36" s="74">
        <f>IF('IMPORT SCHLIESSERDATEN'!$W28="",0,1)</f>
        <v>1</v>
      </c>
      <c r="AS36" s="74">
        <f>IF('IMPORT SCHLIESSERDATEN'!$AA28="",0,1)</f>
        <v>1</v>
      </c>
      <c r="AT36" s="74">
        <f>IF('IMPORT SCHLIESSERDATEN'!$AD28="",0,1) + IF('IMPORT SCHLIESSERDATEN'!$AE28="",0,2)</f>
        <v>1</v>
      </c>
      <c r="AU36" s="74" t="str">
        <f>IF('IMPORT SCHLIESSERDATEN'!$X28="",IF('IMPORT SCHLIESSERDATEN'!$Y28="","","F"),"V")</f>
        <v>V</v>
      </c>
      <c r="AV36" s="74" t="str">
        <f>IF('IMPORT SCHLIESSERDATEN'!$AB28&lt;&gt;"","M",IF('IMPORT SCHLIESSERDATEN'!$AD28&lt;&gt;"",IF(ISERR(SEARCH("UVIBIS",'IMPORT SCHLIESSERDATEN'!$B28)),"R","B"),IF(OR('IMPORT SCHLIESSERDATEN'!$AC28&lt;&gt;"",'IMPORT SCHLIESSERDATEN'!$AE28&lt;&gt;""),"E","")))</f>
        <v>R</v>
      </c>
      <c r="AW36" s="82"/>
      <c r="AX36" s="67"/>
    </row>
    <row r="37" spans="1:50" x14ac:dyDescent="0.25">
      <c r="A37" s="67">
        <f>IFERROR(IF(C37&lt;&gt;"",MAX($A$2:$A36)+1,""),"")</f>
        <v>25</v>
      </c>
      <c r="B37" s="223">
        <f t="shared" si="1"/>
        <v>25</v>
      </c>
      <c r="C37" s="216" t="str">
        <f>IF(J37=1,SUBSTITUTE('IMPORT SCHLIESSERDATEN'!$B29," Gangfl.",""),IF(J37=2,SUBSTITUTE('IMPORT SCHLIESSERDATEN'!$B29," Standfl.",""),'IMPORT SCHLIESSERDATEN'!$B29))</f>
        <v>TS 93 GSR-EMR 2 EN 2-5</v>
      </c>
      <c r="D37" s="216" t="str">
        <f>IF('IMPORT SCHLIESSERDATEN'!$AF29&lt;&gt;"",IF(COUNTA('IMPORT SCHLIESSERDATEN'!$AN29:$AU29)&gt;0,"X","G"),IF('IMPORT SCHLIESSERDATEN'!$AG29&lt;&gt;"","S",IF('IMPORT SCHLIESSERDATEN'!$AH29&lt;&gt;"","I",IF('IMPORT SCHLIESSERDATEN'!$AI29&lt;&gt;"","B",IF('IMPORT SCHLIESSERDATEN'!$AJ29&lt;&gt;"","D","")))))</f>
        <v>G</v>
      </c>
      <c r="E37" s="248" t="str">
        <f>'IMPORT SCHLIESSERDATEN'!AK29 &amp; IF('IMPORT SCHLIESSERDATEN'!AL29="",""," "&amp; 'IMPORT SCHLIESSERDATEN'!AL29)</f>
        <v>93 B</v>
      </c>
      <c r="F37" s="74">
        <f>IFERROR(IF(D37="X",2^(MATCH("",'IMPORT SCHLIESSERDATEN'!$AN29:$AU29,-1)-1),IF(AV37="F",2^(MATCH("",'IMPORT SCHLIESSERDATEN'!$BH29:$BK29,-1)-1),2^(MATCH("",'IMPORT SCHLIESSERDATEN'!$AV29:$BG29,-1)-1))),0)</f>
        <v>2048</v>
      </c>
      <c r="G37" s="74">
        <f>IF(AND('IMPORT SCHLIESSERDATEN'!$O29='IMPORT SCHLIESSERDATEN'!$R29,'IMPORT SCHLIESSERDATEN'!$O29&lt;&gt;"",'IMPORT SCHLIESSERDATEN'!$R29&lt;&gt;""),1,0)  +  IF(AND('IMPORT SCHLIESSERDATEN'!$P29='IMPORT SCHLIESSERDATEN'!$S29,'IMPORT SCHLIESSERDATEN'!$P29&lt;&gt;"",'IMPORT SCHLIESSERDATEN'!$S29&lt;&gt;""),2,0)   +  IF(AND('IMPORT SCHLIESSERDATEN'!$O29='IMPORT SCHLIESSERDATEN'!$S29,'IMPORT SCHLIESSERDATEN'!$O29&lt;&gt;"",'IMPORT SCHLIESSERDATEN'!$S29&lt;&gt;""),4,0)   +  IF(AND('IMPORT SCHLIESSERDATEN'!$P29='IMPORT SCHLIESSERDATEN'!$R29,'IMPORT SCHLIESSERDATEN'!$P29&lt;&gt;"",'IMPORT SCHLIESSERDATEN'!$R29&lt;&gt;""),8,0)   +  IF('IMPORT SCHLIESSERDATEN'!$Q29&lt;&gt;"",IF('IMPORT SCHLIESSERDATEN'!$R29&lt;&gt;"",32,0) + IF('IMPORT SCHLIESSERDATEN'!$S29&lt;&gt;"",64,0),0)  +  IF('IMPORT SCHLIESSERDATEN'!$T29&lt;&gt;"",IF('IMPORT SCHLIESSERDATEN'!$Q29&lt;&gt;"",128+256,128),0)</f>
        <v>1</v>
      </c>
      <c r="H37" s="74">
        <f>IF('IMPORT SCHLIESSERDATEN'!$H29="",0,1) + IF('IMPORT SCHLIESSERDATEN'!$I29="",0,2) + IF('IMPORT SCHLIESSERDATEN'!$J29="",0,4) + IF('IMPORT SCHLIESSERDATEN'!$K29="",0,8) + IF('IMPORT SCHLIESSERDATEN'!$L29="",0,16) + IF('IMPORT SCHLIESSERDATEN'!$M29="",0,32) + IF('IMPORT SCHLIESSERDATEN'!$N29="",0,64)</f>
        <v>30</v>
      </c>
      <c r="I37" s="74">
        <f>IF('IMPORT SCHLIESSERDATEN'!$D29="",0,1) + IF('IMPORT SCHLIESSERDATEN'!$E29="",0,2) + IF('IMPORT SCHLIESSERDATEN'!$E29="S",4,0)</f>
        <v>2</v>
      </c>
      <c r="J37" s="74">
        <f>IF(ISERR(FIND(" Gangfl.",'IMPORT SCHLIESSERDATEN'!$B29)),IF(ISERR(FIND(" Standfl.",'IMPORT SCHLIESSERDATEN'!$B29)),0,2),1)</f>
        <v>0</v>
      </c>
      <c r="K37" s="74">
        <f>'IMPORT SCHLIESSERDATEN'!CL29</f>
        <v>84</v>
      </c>
      <c r="L37" s="74">
        <f>'IMPORT SCHLIESSERDATEN'!CN29</f>
        <v>4</v>
      </c>
      <c r="M37" s="74">
        <f>IF('IMPORT SCHLIESSERDATEN'!CS29="wie TS",-1,'IMPORT SCHLIESSERDATEN'!CS29)</f>
        <v>0</v>
      </c>
      <c r="N37" s="74">
        <f>IF(M37&lt;0,-1,'IMPORT SCHLIESSERDATEN'!CU29)</f>
        <v>0</v>
      </c>
      <c r="O37" s="74">
        <f>IF('IMPORT SCHLIESSERDATEN'!CZ29="wie TS",-1,'IMPORT SCHLIESSERDATEN'!CZ29)</f>
        <v>0</v>
      </c>
      <c r="P37" s="74">
        <f>IF(O37&lt;0,-1,'IMPORT SCHLIESSERDATEN'!DB29)</f>
        <v>0</v>
      </c>
      <c r="Q37" s="74">
        <f>'IMPORT SCHLIESSERDATEN'!DG29</f>
        <v>0</v>
      </c>
      <c r="R37" s="74">
        <f>'IMPORT SCHLIESSERDATEN'!DI29</f>
        <v>0</v>
      </c>
      <c r="S37" s="74">
        <f>'IMPORT SCHLIESSERDATEN'!DN29</f>
        <v>0</v>
      </c>
      <c r="T37" s="74">
        <f>IF('IMPORT SCHLIESSERDATEN'!DP29="V",9999,'IMPORT SCHLIESSERDATEN'!DP29)</f>
        <v>0</v>
      </c>
      <c r="U37" s="74">
        <f>'IMPORT SCHLIESSERDATEN'!BW29</f>
        <v>275</v>
      </c>
      <c r="V37" s="74">
        <f>'IMPORT SCHLIESSERDATEN'!BX29</f>
        <v>53</v>
      </c>
      <c r="W37" s="74">
        <f>'IMPORT SCHLIESSERDATEN'!BY29</f>
        <v>60</v>
      </c>
      <c r="X37" s="74">
        <f>'IMPORT SCHLIESSERDATEN'!CO29</f>
        <v>84</v>
      </c>
      <c r="Y37" s="74">
        <f>'IMPORT SCHLIESSERDATEN'!CQ29</f>
        <v>13</v>
      </c>
      <c r="Z37" s="74">
        <f>'IMPORT SCHLIESSERDATEN'!CV29</f>
        <v>0</v>
      </c>
      <c r="AA37" s="74">
        <f>'IMPORT SCHLIESSERDATEN'!CX29</f>
        <v>0</v>
      </c>
      <c r="AB37" s="74">
        <f>'IMPORT SCHLIESSERDATEN'!DC29</f>
        <v>0</v>
      </c>
      <c r="AC37" s="74">
        <f>'IMPORT SCHLIESSERDATEN'!DE29</f>
        <v>0</v>
      </c>
      <c r="AD37" s="74">
        <f>'IMPORT SCHLIESSERDATEN'!DJ29</f>
        <v>0</v>
      </c>
      <c r="AE37" s="74">
        <f>'IMPORT SCHLIESSERDATEN'!DL29</f>
        <v>0</v>
      </c>
      <c r="AF37" s="74">
        <f>'IMPORT SCHLIESSERDATEN'!DQ29</f>
        <v>0</v>
      </c>
      <c r="AG37" s="74">
        <f>IF('IMPORT SCHLIESSERDATEN'!DS29="V",9999,'IMPORT SCHLIESSERDATEN'!DS29)</f>
        <v>0</v>
      </c>
      <c r="AH37" s="74">
        <f>IF('IMPORT SCHLIESSERDATEN'!BZ29="V",9999,IF('IMPORT SCHLIESSERDATEN'!CD29="_",-1,'IMPORT SCHLIESSERDATEN'!BZ29))</f>
        <v>9999</v>
      </c>
      <c r="AI37" s="74">
        <f>IF('IMPORT SCHLIESSERDATEN'!CA29="V",9999,IF('IMPORT SCHLIESSERDATEN'!CD29="_",-1,'IMPORT SCHLIESSERDATEN'!CA29))</f>
        <v>30</v>
      </c>
      <c r="AJ37" s="74">
        <f>IF('IMPORT SCHLIESSERDATEN'!CB29="V",9999,IF('IMPORT SCHLIESSERDATEN'!CD29="_",-1,'IMPORT SCHLIESSERDATEN'!CB29))</f>
        <v>55</v>
      </c>
      <c r="AK37" s="74">
        <f>IF('IMPORT SCHLIESSERDATEN'!CC29="V",9999,IF('IMPORT SCHLIESSERDATEN'!CC29="_",-1,'IMPORT SCHLIESSERDATEN'!CC29))</f>
        <v>28</v>
      </c>
      <c r="AL37" s="74">
        <f>IF('IMPORT SCHLIESSERDATEN'!CD29="_",-1,'IMPORT SCHLIESSERDATEN'!CD29)</f>
        <v>375</v>
      </c>
      <c r="AM37" s="74">
        <f>'IMPORT SCHLIESSERDATEN'!CH29</f>
        <v>91</v>
      </c>
      <c r="AN37" s="74">
        <f>IF('IMPORT SCHLIESSERDATEN'!CE29="V",9999,'IMPORT SCHLIESSERDATEN'!CE29)</f>
        <v>30</v>
      </c>
      <c r="AO37" s="74">
        <f>IF('IMPORT SCHLIESSERDATEN'!CK29="_",-1,'IMPORT SCHLIESSERDATEN'!CK29)</f>
        <v>164</v>
      </c>
      <c r="AP37" s="74">
        <f>IF('IMPORT SCHLIESSERDATEN'!$U29="",0,1)</f>
        <v>1</v>
      </c>
      <c r="AQ37" s="74">
        <f>IF('IMPORT SCHLIESSERDATEN'!$V29="",0,1)</f>
        <v>1</v>
      </c>
      <c r="AR37" s="74">
        <f>IF('IMPORT SCHLIESSERDATEN'!$W29="",0,1)</f>
        <v>1</v>
      </c>
      <c r="AS37" s="74">
        <f>IF('IMPORT SCHLIESSERDATEN'!$AA29="",0,1)</f>
        <v>1</v>
      </c>
      <c r="AT37" s="74">
        <f>IF('IMPORT SCHLIESSERDATEN'!$AD29="",0,1) + IF('IMPORT SCHLIESSERDATEN'!$AE29="",0,2)</f>
        <v>1</v>
      </c>
      <c r="AU37" s="74" t="str">
        <f>IF('IMPORT SCHLIESSERDATEN'!$X29="",IF('IMPORT SCHLIESSERDATEN'!$Y29="","","F"),"V")</f>
        <v>V</v>
      </c>
      <c r="AV37" s="74" t="str">
        <f>IF('IMPORT SCHLIESSERDATEN'!$AB29&lt;&gt;"","M",IF('IMPORT SCHLIESSERDATEN'!$AD29&lt;&gt;"",IF(ISERR(SEARCH("UVIBIS",'IMPORT SCHLIESSERDATEN'!$B29)),"R","B"),IF(OR('IMPORT SCHLIESSERDATEN'!$AC29&lt;&gt;"",'IMPORT SCHLIESSERDATEN'!$AE29&lt;&gt;""),"E","")))</f>
        <v>R</v>
      </c>
      <c r="AW37" s="82"/>
      <c r="AX37" s="67"/>
    </row>
    <row r="38" spans="1:50" x14ac:dyDescent="0.25">
      <c r="A38" s="67">
        <f>IFERROR(IF(C38&lt;&gt;"",MAX($A$2:$A37)+1,""),"")</f>
        <v>26</v>
      </c>
      <c r="B38" s="223">
        <f t="shared" si="1"/>
        <v>26</v>
      </c>
      <c r="C38" s="216" t="str">
        <f>IF(J38=1,SUBSTITUTE('IMPORT SCHLIESSERDATEN'!$B30," Gangfl.",""),IF(J38=2,SUBSTITUTE('IMPORT SCHLIESSERDATEN'!$B30," Standfl.",""),'IMPORT SCHLIESSERDATEN'!$B30))</f>
        <v>TS 93 G EN 2-5</v>
      </c>
      <c r="D38" s="216" t="str">
        <f>IF('IMPORT SCHLIESSERDATEN'!$AF30&lt;&gt;"",IF(COUNTA('IMPORT SCHLIESSERDATEN'!$AN30:$AU30)&gt;0,"X","G"),IF('IMPORT SCHLIESSERDATEN'!$AG30&lt;&gt;"","S",IF('IMPORT SCHLIESSERDATEN'!$AH30&lt;&gt;"","I",IF('IMPORT SCHLIESSERDATEN'!$AI30&lt;&gt;"","B",IF('IMPORT SCHLIESSERDATEN'!$AJ30&lt;&gt;"","D","")))))</f>
        <v>G</v>
      </c>
      <c r="E38" s="248" t="str">
        <f>'IMPORT SCHLIESSERDATEN'!AK30 &amp; IF('IMPORT SCHLIESSERDATEN'!AL30="",""," "&amp; 'IMPORT SCHLIESSERDATEN'!AL30)</f>
        <v>93 G</v>
      </c>
      <c r="F38" s="74">
        <f>IFERROR(IF(D38="X",2^(MATCH("",'IMPORT SCHLIESSERDATEN'!$AN30:$AU30,-1)-1),IF(AV38="F",2^(MATCH("",'IMPORT SCHLIESSERDATEN'!$BH30:$BK30,-1)-1),2^(MATCH("",'IMPORT SCHLIESSERDATEN'!$AV30:$BG30,-1)-1))),0)</f>
        <v>1</v>
      </c>
      <c r="G38" s="74">
        <f>IF(AND('IMPORT SCHLIESSERDATEN'!$O30='IMPORT SCHLIESSERDATEN'!$R30,'IMPORT SCHLIESSERDATEN'!$O30&lt;&gt;"",'IMPORT SCHLIESSERDATEN'!$R30&lt;&gt;""),1,0)  +  IF(AND('IMPORT SCHLIESSERDATEN'!$P30='IMPORT SCHLIESSERDATEN'!$S30,'IMPORT SCHLIESSERDATEN'!$P30&lt;&gt;"",'IMPORT SCHLIESSERDATEN'!$S30&lt;&gt;""),2,0)   +  IF(AND('IMPORT SCHLIESSERDATEN'!$O30='IMPORT SCHLIESSERDATEN'!$S30,'IMPORT SCHLIESSERDATEN'!$O30&lt;&gt;"",'IMPORT SCHLIESSERDATEN'!$S30&lt;&gt;""),4,0)   +  IF(AND('IMPORT SCHLIESSERDATEN'!$P30='IMPORT SCHLIESSERDATEN'!$R30,'IMPORT SCHLIESSERDATEN'!$P30&lt;&gt;"",'IMPORT SCHLIESSERDATEN'!$R30&lt;&gt;""),8,0)   +  IF('IMPORT SCHLIESSERDATEN'!$Q30&lt;&gt;"",IF('IMPORT SCHLIESSERDATEN'!$R30&lt;&gt;"",32,0) + IF('IMPORT SCHLIESSERDATEN'!$S30&lt;&gt;"",64,0),0)  +  IF('IMPORT SCHLIESSERDATEN'!$T30&lt;&gt;"",IF('IMPORT SCHLIESSERDATEN'!$Q30&lt;&gt;"",128+256,128),0)</f>
        <v>12</v>
      </c>
      <c r="H38" s="74">
        <f>IF('IMPORT SCHLIESSERDATEN'!$H30="",0,1) + IF('IMPORT SCHLIESSERDATEN'!$I30="",0,2) + IF('IMPORT SCHLIESSERDATEN'!$J30="",0,4) + IF('IMPORT SCHLIESSERDATEN'!$K30="",0,8) + IF('IMPORT SCHLIESSERDATEN'!$L30="",0,16) + IF('IMPORT SCHLIESSERDATEN'!$M30="",0,32) + IF('IMPORT SCHLIESSERDATEN'!$N30="",0,64)</f>
        <v>30</v>
      </c>
      <c r="I38" s="74">
        <f>IF('IMPORT SCHLIESSERDATEN'!$D30="",0,1) + IF('IMPORT SCHLIESSERDATEN'!$E30="",0,2) + IF('IMPORT SCHLIESSERDATEN'!$E30="S",4,0)</f>
        <v>1</v>
      </c>
      <c r="J38" s="74">
        <f>IF(ISERR(FIND(" Gangfl.",'IMPORT SCHLIESSERDATEN'!$B30)),IF(ISERR(FIND(" Standfl.",'IMPORT SCHLIESSERDATEN'!$B30)),0,2),1)</f>
        <v>0</v>
      </c>
      <c r="K38" s="74">
        <f>'IMPORT SCHLIESSERDATEN'!CL30</f>
        <v>0</v>
      </c>
      <c r="L38" s="74">
        <f>'IMPORT SCHLIESSERDATEN'!CN30</f>
        <v>0</v>
      </c>
      <c r="M38" s="74">
        <f>IF('IMPORT SCHLIESSERDATEN'!CS30="wie TS",-1,'IMPORT SCHLIESSERDATEN'!CS30)</f>
        <v>0</v>
      </c>
      <c r="N38" s="74">
        <f>IF(M38&lt;0,-1,'IMPORT SCHLIESSERDATEN'!CU30)</f>
        <v>0</v>
      </c>
      <c r="O38" s="74">
        <f>IF('IMPORT SCHLIESSERDATEN'!CZ30="wie TS",-1,'IMPORT SCHLIESSERDATEN'!CZ30)</f>
        <v>84</v>
      </c>
      <c r="P38" s="74">
        <f>IF(O38&lt;0,-1,'IMPORT SCHLIESSERDATEN'!DB30)</f>
        <v>17</v>
      </c>
      <c r="Q38" s="74">
        <f>'IMPORT SCHLIESSERDATEN'!DG30</f>
        <v>49</v>
      </c>
      <c r="R38" s="74">
        <f>'IMPORT SCHLIESSERDATEN'!DI30</f>
        <v>17</v>
      </c>
      <c r="S38" s="74">
        <f>'IMPORT SCHLIESSERDATEN'!DN30</f>
        <v>49</v>
      </c>
      <c r="T38" s="74">
        <f>IF('IMPORT SCHLIESSERDATEN'!DP30="V",9999,'IMPORT SCHLIESSERDATEN'!DP30)</f>
        <v>9999</v>
      </c>
      <c r="U38" s="74">
        <f>'IMPORT SCHLIESSERDATEN'!BW30</f>
        <v>275</v>
      </c>
      <c r="V38" s="74">
        <f>'IMPORT SCHLIESSERDATEN'!BX30</f>
        <v>53</v>
      </c>
      <c r="W38" s="74">
        <f>'IMPORT SCHLIESSERDATEN'!BY30</f>
        <v>60</v>
      </c>
      <c r="X38" s="74">
        <f>'IMPORT SCHLIESSERDATEN'!CO30</f>
        <v>0</v>
      </c>
      <c r="Y38" s="74">
        <f>'IMPORT SCHLIESSERDATEN'!CQ30</f>
        <v>0</v>
      </c>
      <c r="Z38" s="74">
        <f>'IMPORT SCHLIESSERDATEN'!CV30</f>
        <v>0</v>
      </c>
      <c r="AA38" s="74">
        <f>'IMPORT SCHLIESSERDATEN'!CX30</f>
        <v>0</v>
      </c>
      <c r="AB38" s="74">
        <f>'IMPORT SCHLIESSERDATEN'!DC30</f>
        <v>143</v>
      </c>
      <c r="AC38" s="74">
        <f>'IMPORT SCHLIESSERDATEN'!DE30</f>
        <v>3</v>
      </c>
      <c r="AD38" s="74">
        <f>'IMPORT SCHLIESSERDATEN'!DJ30</f>
        <v>143</v>
      </c>
      <c r="AE38" s="74">
        <f>'IMPORT SCHLIESSERDATEN'!DL30</f>
        <v>3</v>
      </c>
      <c r="AF38" s="74">
        <f>'IMPORT SCHLIESSERDATEN'!DQ30</f>
        <v>143</v>
      </c>
      <c r="AG38" s="74">
        <f>IF('IMPORT SCHLIESSERDATEN'!DS30="V",9999,'IMPORT SCHLIESSERDATEN'!DS30)</f>
        <v>9999</v>
      </c>
      <c r="AH38" s="74">
        <f>IF('IMPORT SCHLIESSERDATEN'!BZ30="V",9999,IF('IMPORT SCHLIESSERDATEN'!CD30="_",-1,'IMPORT SCHLIESSERDATEN'!BZ30))</f>
        <v>442</v>
      </c>
      <c r="AI38" s="74">
        <f>IF('IMPORT SCHLIESSERDATEN'!CA30="V",9999,IF('IMPORT SCHLIESSERDATEN'!CD30="_",-1,'IMPORT SCHLIESSERDATEN'!CA30))</f>
        <v>23</v>
      </c>
      <c r="AJ38" s="74">
        <f>IF('IMPORT SCHLIESSERDATEN'!CB30="V",9999,IF('IMPORT SCHLIESSERDATEN'!CD30="_",-1,'IMPORT SCHLIESSERDATEN'!CB30))</f>
        <v>31</v>
      </c>
      <c r="AK38" s="74">
        <f>IF('IMPORT SCHLIESSERDATEN'!CC30="V",9999,IF('IMPORT SCHLIESSERDATEN'!CC30="_",-1,'IMPORT SCHLIESSERDATEN'!CC30))</f>
        <v>16</v>
      </c>
      <c r="AL38" s="74">
        <f>IF('IMPORT SCHLIESSERDATEN'!CD30="_",-1,'IMPORT SCHLIESSERDATEN'!CD30)</f>
        <v>375</v>
      </c>
      <c r="AM38" s="74">
        <f>'IMPORT SCHLIESSERDATEN'!CH30</f>
        <v>91</v>
      </c>
      <c r="AN38" s="74">
        <f>IF('IMPORT SCHLIESSERDATEN'!CE30="V",9999,'IMPORT SCHLIESSERDATEN'!CE30)</f>
        <v>30</v>
      </c>
      <c r="AO38" s="74">
        <f>IF('IMPORT SCHLIESSERDATEN'!CK30="_",-1,'IMPORT SCHLIESSERDATEN'!CK30)</f>
        <v>46</v>
      </c>
      <c r="AP38" s="74">
        <f>IF('IMPORT SCHLIESSERDATEN'!$U30="",0,1)</f>
        <v>1</v>
      </c>
      <c r="AQ38" s="74">
        <f>IF('IMPORT SCHLIESSERDATEN'!$V30="",0,1)</f>
        <v>1</v>
      </c>
      <c r="AR38" s="74">
        <f>IF('IMPORT SCHLIESSERDATEN'!$W30="",0,1)</f>
        <v>0</v>
      </c>
      <c r="AS38" s="74">
        <f>IF('IMPORT SCHLIESSERDATEN'!$AA30="",0,1)</f>
        <v>1</v>
      </c>
      <c r="AT38" s="74">
        <f>IF('IMPORT SCHLIESSERDATEN'!$AD30="",0,1) + IF('IMPORT SCHLIESSERDATEN'!$AE30="",0,2)</f>
        <v>0</v>
      </c>
      <c r="AU38" s="74" t="str">
        <f>IF('IMPORT SCHLIESSERDATEN'!$X30="",IF('IMPORT SCHLIESSERDATEN'!$Y30="","","F"),"V")</f>
        <v>V</v>
      </c>
      <c r="AV38" s="74" t="str">
        <f>IF('IMPORT SCHLIESSERDATEN'!$AB30&lt;&gt;"","M",IF('IMPORT SCHLIESSERDATEN'!$AD30&lt;&gt;"",IF(ISERR(SEARCH("UVIBIS",'IMPORT SCHLIESSERDATEN'!$B30)),"R","B"),IF(OR('IMPORT SCHLIESSERDATEN'!$AC30&lt;&gt;"",'IMPORT SCHLIESSERDATEN'!$AE30&lt;&gt;""),"E","")))</f>
        <v/>
      </c>
      <c r="AW38" s="82"/>
      <c r="AX38" s="67"/>
    </row>
    <row r="39" spans="1:50" x14ac:dyDescent="0.25">
      <c r="A39" s="67">
        <f>IFERROR(IF(C39&lt;&gt;"",MAX($A$2:$A38)+1,""),"")</f>
        <v>27</v>
      </c>
      <c r="B39" s="223">
        <f t="shared" si="1"/>
        <v>27</v>
      </c>
      <c r="C39" s="216" t="str">
        <f>IF(J39=1,SUBSTITUTE('IMPORT SCHLIESSERDATEN'!$B31," Gangfl.",""),IF(J39=2,SUBSTITUTE('IMPORT SCHLIESSERDATEN'!$B31," Standfl.",""),'IMPORT SCHLIESSERDATEN'!$B31))</f>
        <v>TS 93 G RF EN 2-5</v>
      </c>
      <c r="D39" s="216" t="str">
        <f>IF('IMPORT SCHLIESSERDATEN'!$AF31&lt;&gt;"",IF(COUNTA('IMPORT SCHLIESSERDATEN'!$AN31:$AU31)&gt;0,"X","G"),IF('IMPORT SCHLIESSERDATEN'!$AG31&lt;&gt;"","S",IF('IMPORT SCHLIESSERDATEN'!$AH31&lt;&gt;"","I",IF('IMPORT SCHLIESSERDATEN'!$AI31&lt;&gt;"","B",IF('IMPORT SCHLIESSERDATEN'!$AJ31&lt;&gt;"","D","")))))</f>
        <v>G</v>
      </c>
      <c r="E39" s="248" t="str">
        <f>'IMPORT SCHLIESSERDATEN'!AK31 &amp; IF('IMPORT SCHLIESSERDATEN'!AL31="",""," "&amp; 'IMPORT SCHLIESSERDATEN'!AL31)</f>
        <v>93 G</v>
      </c>
      <c r="F39" s="74">
        <f>IFERROR(IF(D39="X",2^(MATCH("",'IMPORT SCHLIESSERDATEN'!$AN31:$AU31,-1)-1),IF(AV39="F",2^(MATCH("",'IMPORT SCHLIESSERDATEN'!$BH31:$BK31,-1)-1),2^(MATCH("",'IMPORT SCHLIESSERDATEN'!$AV31:$BG31,-1)-1))),0)</f>
        <v>2</v>
      </c>
      <c r="G39" s="74">
        <f>IF(AND('IMPORT SCHLIESSERDATEN'!$O31='IMPORT SCHLIESSERDATEN'!$R31,'IMPORT SCHLIESSERDATEN'!$O31&lt;&gt;"",'IMPORT SCHLIESSERDATEN'!$R31&lt;&gt;""),1,0)  +  IF(AND('IMPORT SCHLIESSERDATEN'!$P31='IMPORT SCHLIESSERDATEN'!$S31,'IMPORT SCHLIESSERDATEN'!$P31&lt;&gt;"",'IMPORT SCHLIESSERDATEN'!$S31&lt;&gt;""),2,0)   +  IF(AND('IMPORT SCHLIESSERDATEN'!$O31='IMPORT SCHLIESSERDATEN'!$S31,'IMPORT SCHLIESSERDATEN'!$O31&lt;&gt;"",'IMPORT SCHLIESSERDATEN'!$S31&lt;&gt;""),4,0)   +  IF(AND('IMPORT SCHLIESSERDATEN'!$P31='IMPORT SCHLIESSERDATEN'!$R31,'IMPORT SCHLIESSERDATEN'!$P31&lt;&gt;"",'IMPORT SCHLIESSERDATEN'!$R31&lt;&gt;""),8,0)   +  IF('IMPORT SCHLIESSERDATEN'!$Q31&lt;&gt;"",IF('IMPORT SCHLIESSERDATEN'!$R31&lt;&gt;"",32,0) + IF('IMPORT SCHLIESSERDATEN'!$S31&lt;&gt;"",64,0),0)  +  IF('IMPORT SCHLIESSERDATEN'!$T31&lt;&gt;"",IF('IMPORT SCHLIESSERDATEN'!$Q31&lt;&gt;"",128+256,128),0)</f>
        <v>12</v>
      </c>
      <c r="H39" s="74">
        <f>IF('IMPORT SCHLIESSERDATEN'!$H31="",0,1) + IF('IMPORT SCHLIESSERDATEN'!$I31="",0,2) + IF('IMPORT SCHLIESSERDATEN'!$J31="",0,4) + IF('IMPORT SCHLIESSERDATEN'!$K31="",0,8) + IF('IMPORT SCHLIESSERDATEN'!$L31="",0,16) + IF('IMPORT SCHLIESSERDATEN'!$M31="",0,32) + IF('IMPORT SCHLIESSERDATEN'!$N31="",0,64)</f>
        <v>30</v>
      </c>
      <c r="I39" s="74">
        <f>IF('IMPORT SCHLIESSERDATEN'!$D31="",0,1) + IF('IMPORT SCHLIESSERDATEN'!$E31="",0,2) + IF('IMPORT SCHLIESSERDATEN'!$E31="S",4,0)</f>
        <v>1</v>
      </c>
      <c r="J39" s="74">
        <f>IF(ISERR(FIND(" Gangfl.",'IMPORT SCHLIESSERDATEN'!$B31)),IF(ISERR(FIND(" Standfl.",'IMPORT SCHLIESSERDATEN'!$B31)),0,2),1)</f>
        <v>0</v>
      </c>
      <c r="K39" s="74">
        <f>'IMPORT SCHLIESSERDATEN'!CL31</f>
        <v>0</v>
      </c>
      <c r="L39" s="74">
        <f>'IMPORT SCHLIESSERDATEN'!CN31</f>
        <v>0</v>
      </c>
      <c r="M39" s="74">
        <f>IF('IMPORT SCHLIESSERDATEN'!CS31="wie TS",-1,'IMPORT SCHLIESSERDATEN'!CS31)</f>
        <v>0</v>
      </c>
      <c r="N39" s="74">
        <f>IF(M39&lt;0,-1,'IMPORT SCHLIESSERDATEN'!CU31)</f>
        <v>0</v>
      </c>
      <c r="O39" s="74">
        <f>IF('IMPORT SCHLIESSERDATEN'!CZ31="wie TS",-1,'IMPORT SCHLIESSERDATEN'!CZ31)</f>
        <v>84</v>
      </c>
      <c r="P39" s="74">
        <f>IF(O39&lt;0,-1,'IMPORT SCHLIESSERDATEN'!DB31)</f>
        <v>17</v>
      </c>
      <c r="Q39" s="74">
        <f>'IMPORT SCHLIESSERDATEN'!DG31</f>
        <v>49</v>
      </c>
      <c r="R39" s="74">
        <f>'IMPORT SCHLIESSERDATEN'!DI31</f>
        <v>17</v>
      </c>
      <c r="S39" s="74">
        <f>'IMPORT SCHLIESSERDATEN'!DN31</f>
        <v>49</v>
      </c>
      <c r="T39" s="74">
        <f>IF('IMPORT SCHLIESSERDATEN'!DP31="V",9999,'IMPORT SCHLIESSERDATEN'!DP31)</f>
        <v>9999</v>
      </c>
      <c r="U39" s="74">
        <f>'IMPORT SCHLIESSERDATEN'!BW31</f>
        <v>275</v>
      </c>
      <c r="V39" s="74">
        <f>'IMPORT SCHLIESSERDATEN'!BX31</f>
        <v>53</v>
      </c>
      <c r="W39" s="74">
        <f>'IMPORT SCHLIESSERDATEN'!BY31</f>
        <v>60</v>
      </c>
      <c r="X39" s="74">
        <f>'IMPORT SCHLIESSERDATEN'!CO31</f>
        <v>0</v>
      </c>
      <c r="Y39" s="74">
        <f>'IMPORT SCHLIESSERDATEN'!CQ31</f>
        <v>0</v>
      </c>
      <c r="Z39" s="74">
        <f>'IMPORT SCHLIESSERDATEN'!CV31</f>
        <v>0</v>
      </c>
      <c r="AA39" s="74">
        <f>'IMPORT SCHLIESSERDATEN'!CX31</f>
        <v>0</v>
      </c>
      <c r="AB39" s="74">
        <f>'IMPORT SCHLIESSERDATEN'!DC31</f>
        <v>143</v>
      </c>
      <c r="AC39" s="74">
        <f>'IMPORT SCHLIESSERDATEN'!DE31</f>
        <v>3</v>
      </c>
      <c r="AD39" s="74">
        <f>'IMPORT SCHLIESSERDATEN'!DJ31</f>
        <v>143</v>
      </c>
      <c r="AE39" s="74">
        <f>'IMPORT SCHLIESSERDATEN'!DL31</f>
        <v>3</v>
      </c>
      <c r="AF39" s="74">
        <f>'IMPORT SCHLIESSERDATEN'!DQ31</f>
        <v>143</v>
      </c>
      <c r="AG39" s="74">
        <f>IF('IMPORT SCHLIESSERDATEN'!DS31="V",9999,'IMPORT SCHLIESSERDATEN'!DS31)</f>
        <v>9999</v>
      </c>
      <c r="AH39" s="74">
        <f>IF('IMPORT SCHLIESSERDATEN'!BZ31="V",9999,IF('IMPORT SCHLIESSERDATEN'!CD31="_",-1,'IMPORT SCHLIESSERDATEN'!BZ31))</f>
        <v>442</v>
      </c>
      <c r="AI39" s="74">
        <f>IF('IMPORT SCHLIESSERDATEN'!CA31="V",9999,IF('IMPORT SCHLIESSERDATEN'!CD31="_",-1,'IMPORT SCHLIESSERDATEN'!CA31))</f>
        <v>23</v>
      </c>
      <c r="AJ39" s="74">
        <f>IF('IMPORT SCHLIESSERDATEN'!CB31="V",9999,IF('IMPORT SCHLIESSERDATEN'!CD31="_",-1,'IMPORT SCHLIESSERDATEN'!CB31))</f>
        <v>31</v>
      </c>
      <c r="AK39" s="74">
        <f>IF('IMPORT SCHLIESSERDATEN'!CC31="V",9999,IF('IMPORT SCHLIESSERDATEN'!CC31="_",-1,'IMPORT SCHLIESSERDATEN'!CC31))</f>
        <v>16</v>
      </c>
      <c r="AL39" s="74">
        <f>IF('IMPORT SCHLIESSERDATEN'!CD31="_",-1,'IMPORT SCHLIESSERDATEN'!CD31)</f>
        <v>375</v>
      </c>
      <c r="AM39" s="74">
        <f>'IMPORT SCHLIESSERDATEN'!CH31</f>
        <v>91</v>
      </c>
      <c r="AN39" s="74">
        <f>IF('IMPORT SCHLIESSERDATEN'!CE31="V",9999,'IMPORT SCHLIESSERDATEN'!CE31)</f>
        <v>30</v>
      </c>
      <c r="AO39" s="74">
        <f>IF('IMPORT SCHLIESSERDATEN'!CK31="_",-1,'IMPORT SCHLIESSERDATEN'!CK31)</f>
        <v>60</v>
      </c>
      <c r="AP39" s="74">
        <f>IF('IMPORT SCHLIESSERDATEN'!$U31="",0,1)</f>
        <v>0</v>
      </c>
      <c r="AQ39" s="74">
        <f>IF('IMPORT SCHLIESSERDATEN'!$V31="",0,1)</f>
        <v>1</v>
      </c>
      <c r="AR39" s="74">
        <f>IF('IMPORT SCHLIESSERDATEN'!$W31="",0,1)</f>
        <v>0</v>
      </c>
      <c r="AS39" s="74">
        <f>IF('IMPORT SCHLIESSERDATEN'!$AA31="",0,1)</f>
        <v>1</v>
      </c>
      <c r="AT39" s="74">
        <f>IF('IMPORT SCHLIESSERDATEN'!$AD31="",0,1) + IF('IMPORT SCHLIESSERDATEN'!$AE31="",0,2)</f>
        <v>0</v>
      </c>
      <c r="AU39" s="74" t="str">
        <f>IF('IMPORT SCHLIESSERDATEN'!$X31="",IF('IMPORT SCHLIESSERDATEN'!$Y31="","","F"),"V")</f>
        <v>V</v>
      </c>
      <c r="AV39" s="74" t="str">
        <f>IF('IMPORT SCHLIESSERDATEN'!$AB31&lt;&gt;"","M",IF('IMPORT SCHLIESSERDATEN'!$AD31&lt;&gt;"",IF(ISERR(SEARCH("UVIBIS",'IMPORT SCHLIESSERDATEN'!$B31)),"R","B"),IF(OR('IMPORT SCHLIESSERDATEN'!$AC31&lt;&gt;"",'IMPORT SCHLIESSERDATEN'!$AE31&lt;&gt;""),"E","")))</f>
        <v>M</v>
      </c>
      <c r="AW39" s="82"/>
      <c r="AX39" s="67"/>
    </row>
    <row r="40" spans="1:50" x14ac:dyDescent="0.25">
      <c r="A40" s="67">
        <f>IFERROR(IF(C40&lt;&gt;"",MAX($A$2:$A39)+1,""),"")</f>
        <v>28</v>
      </c>
      <c r="B40" s="223">
        <f t="shared" si="1"/>
        <v>28</v>
      </c>
      <c r="C40" s="216" t="str">
        <f>IF(J40=1,SUBSTITUTE('IMPORT SCHLIESSERDATEN'!$B32," Gangfl.",""),IF(J40=2,SUBSTITUTE('IMPORT SCHLIESSERDATEN'!$B32," Standfl.",""),'IMPORT SCHLIESSERDATEN'!$B32))</f>
        <v>TS 93 G EMF EN 2-5</v>
      </c>
      <c r="D40" s="216" t="str">
        <f>IF('IMPORT SCHLIESSERDATEN'!$AF32&lt;&gt;"",IF(COUNTA('IMPORT SCHLIESSERDATEN'!$AN32:$AU32)&gt;0,"X","G"),IF('IMPORT SCHLIESSERDATEN'!$AG32&lt;&gt;"","S",IF('IMPORT SCHLIESSERDATEN'!$AH32&lt;&gt;"","I",IF('IMPORT SCHLIESSERDATEN'!$AI32&lt;&gt;"","B",IF('IMPORT SCHLIESSERDATEN'!$AJ32&lt;&gt;"","D","")))))</f>
        <v>G</v>
      </c>
      <c r="E40" s="248" t="str">
        <f>'IMPORT SCHLIESSERDATEN'!AK32 &amp; IF('IMPORT SCHLIESSERDATEN'!AL32="",""," "&amp; 'IMPORT SCHLIESSERDATEN'!AL32)</f>
        <v>93 G</v>
      </c>
      <c r="F40" s="74">
        <f>IFERROR(IF(D40="X",2^(MATCH("",'IMPORT SCHLIESSERDATEN'!$AN32:$AU32,-1)-1),IF(AV40="F",2^(MATCH("",'IMPORT SCHLIESSERDATEN'!$BH32:$BK32,-1)-1),2^(MATCH("",'IMPORT SCHLIESSERDATEN'!$AV32:$BG32,-1)-1))),0)</f>
        <v>4</v>
      </c>
      <c r="G40" s="74">
        <f>IF(AND('IMPORT SCHLIESSERDATEN'!$O32='IMPORT SCHLIESSERDATEN'!$R32,'IMPORT SCHLIESSERDATEN'!$O32&lt;&gt;"",'IMPORT SCHLIESSERDATEN'!$R32&lt;&gt;""),1,0)  +  IF(AND('IMPORT SCHLIESSERDATEN'!$P32='IMPORT SCHLIESSERDATEN'!$S32,'IMPORT SCHLIESSERDATEN'!$P32&lt;&gt;"",'IMPORT SCHLIESSERDATEN'!$S32&lt;&gt;""),2,0)   +  IF(AND('IMPORT SCHLIESSERDATEN'!$O32='IMPORT SCHLIESSERDATEN'!$S32,'IMPORT SCHLIESSERDATEN'!$O32&lt;&gt;"",'IMPORT SCHLIESSERDATEN'!$S32&lt;&gt;""),4,0)   +  IF(AND('IMPORT SCHLIESSERDATEN'!$P32='IMPORT SCHLIESSERDATEN'!$R32,'IMPORT SCHLIESSERDATEN'!$P32&lt;&gt;"",'IMPORT SCHLIESSERDATEN'!$R32&lt;&gt;""),8,0)   +  IF('IMPORT SCHLIESSERDATEN'!$Q32&lt;&gt;"",IF('IMPORT SCHLIESSERDATEN'!$R32&lt;&gt;"",32,0) + IF('IMPORT SCHLIESSERDATEN'!$S32&lt;&gt;"",64,0),0)  +  IF('IMPORT SCHLIESSERDATEN'!$T32&lt;&gt;"",IF('IMPORT SCHLIESSERDATEN'!$Q32&lt;&gt;"",128+256,128),0)</f>
        <v>8</v>
      </c>
      <c r="H40" s="74">
        <f>IF('IMPORT SCHLIESSERDATEN'!$H32="",0,1) + IF('IMPORT SCHLIESSERDATEN'!$I32="",0,2) + IF('IMPORT SCHLIESSERDATEN'!$J32="",0,4) + IF('IMPORT SCHLIESSERDATEN'!$K32="",0,8) + IF('IMPORT SCHLIESSERDATEN'!$L32="",0,16) + IF('IMPORT SCHLIESSERDATEN'!$M32="",0,32) + IF('IMPORT SCHLIESSERDATEN'!$N32="",0,64)</f>
        <v>30</v>
      </c>
      <c r="I40" s="74">
        <f>IF('IMPORT SCHLIESSERDATEN'!$D32="",0,1) + IF('IMPORT SCHLIESSERDATEN'!$E32="",0,2) + IF('IMPORT SCHLIESSERDATEN'!$E32="S",4,0)</f>
        <v>1</v>
      </c>
      <c r="J40" s="74">
        <f>IF(ISERR(FIND(" Gangfl.",'IMPORT SCHLIESSERDATEN'!$B32)),IF(ISERR(FIND(" Standfl.",'IMPORT SCHLIESSERDATEN'!$B32)),0,2),1)</f>
        <v>0</v>
      </c>
      <c r="K40" s="74">
        <f>'IMPORT SCHLIESSERDATEN'!CL32</f>
        <v>0</v>
      </c>
      <c r="L40" s="74">
        <f>'IMPORT SCHLIESSERDATEN'!CN32</f>
        <v>0</v>
      </c>
      <c r="M40" s="74">
        <f>IF('IMPORT SCHLIESSERDATEN'!CS32="wie TS",-1,'IMPORT SCHLIESSERDATEN'!CS32)</f>
        <v>0</v>
      </c>
      <c r="N40" s="74">
        <f>IF(M40&lt;0,-1,'IMPORT SCHLIESSERDATEN'!CU32)</f>
        <v>0</v>
      </c>
      <c r="O40" s="74">
        <f>IF('IMPORT SCHLIESSERDATEN'!CZ32="wie TS",-1,'IMPORT SCHLIESSERDATEN'!CZ32)</f>
        <v>0</v>
      </c>
      <c r="P40" s="74">
        <f>IF(O40&lt;0,-1,'IMPORT SCHLIESSERDATEN'!DB32)</f>
        <v>0</v>
      </c>
      <c r="Q40" s="74">
        <f>'IMPORT SCHLIESSERDATEN'!DG32</f>
        <v>49</v>
      </c>
      <c r="R40" s="74">
        <f>'IMPORT SCHLIESSERDATEN'!DI32</f>
        <v>17</v>
      </c>
      <c r="S40" s="74">
        <f>'IMPORT SCHLIESSERDATEN'!DN32</f>
        <v>49</v>
      </c>
      <c r="T40" s="74">
        <f>IF('IMPORT SCHLIESSERDATEN'!DP32="V",9999,'IMPORT SCHLIESSERDATEN'!DP32)</f>
        <v>9999</v>
      </c>
      <c r="U40" s="74">
        <f>'IMPORT SCHLIESSERDATEN'!BW32</f>
        <v>275</v>
      </c>
      <c r="V40" s="74">
        <f>'IMPORT SCHLIESSERDATEN'!BX32</f>
        <v>53</v>
      </c>
      <c r="W40" s="74">
        <f>'IMPORT SCHLIESSERDATEN'!BY32</f>
        <v>60</v>
      </c>
      <c r="X40" s="74">
        <f>'IMPORT SCHLIESSERDATEN'!CO32</f>
        <v>0</v>
      </c>
      <c r="Y40" s="74">
        <f>'IMPORT SCHLIESSERDATEN'!CQ32</f>
        <v>0</v>
      </c>
      <c r="Z40" s="74">
        <f>'IMPORT SCHLIESSERDATEN'!CV32</f>
        <v>0</v>
      </c>
      <c r="AA40" s="74">
        <f>'IMPORT SCHLIESSERDATEN'!CX32</f>
        <v>0</v>
      </c>
      <c r="AB40" s="74">
        <f>'IMPORT SCHLIESSERDATEN'!DC32</f>
        <v>0</v>
      </c>
      <c r="AC40" s="74">
        <f>'IMPORT SCHLIESSERDATEN'!DE32</f>
        <v>0</v>
      </c>
      <c r="AD40" s="74">
        <f>'IMPORT SCHLIESSERDATEN'!DJ32</f>
        <v>84</v>
      </c>
      <c r="AE40" s="74">
        <f>'IMPORT SCHLIESSERDATEN'!DL32</f>
        <v>0</v>
      </c>
      <c r="AF40" s="74">
        <f>'IMPORT SCHLIESSERDATEN'!DQ32</f>
        <v>84</v>
      </c>
      <c r="AG40" s="74">
        <f>IF('IMPORT SCHLIESSERDATEN'!DS32="V",9999,'IMPORT SCHLIESSERDATEN'!DS32)</f>
        <v>9999</v>
      </c>
      <c r="AH40" s="74">
        <f>IF('IMPORT SCHLIESSERDATEN'!BZ32="V",9999,IF('IMPORT SCHLIESSERDATEN'!CD32="_",-1,'IMPORT SCHLIESSERDATEN'!BZ32))</f>
        <v>518</v>
      </c>
      <c r="AI40" s="74">
        <f>IF('IMPORT SCHLIESSERDATEN'!CA32="V",9999,IF('IMPORT SCHLIESSERDATEN'!CD32="_",-1,'IMPORT SCHLIESSERDATEN'!CA32))</f>
        <v>30</v>
      </c>
      <c r="AJ40" s="74">
        <f>IF('IMPORT SCHLIESSERDATEN'!CB32="V",9999,IF('IMPORT SCHLIESSERDATEN'!CD32="_",-1,'IMPORT SCHLIESSERDATEN'!CB32))</f>
        <v>40</v>
      </c>
      <c r="AK40" s="74">
        <f>IF('IMPORT SCHLIESSERDATEN'!CC32="V",9999,IF('IMPORT SCHLIESSERDATEN'!CC32="_",-1,'IMPORT SCHLIESSERDATEN'!CC32))</f>
        <v>20</v>
      </c>
      <c r="AL40" s="74">
        <f>IF('IMPORT SCHLIESSERDATEN'!CD32="_",-1,'IMPORT SCHLIESSERDATEN'!CD32)</f>
        <v>375</v>
      </c>
      <c r="AM40" s="74">
        <f>'IMPORT SCHLIESSERDATEN'!CH32</f>
        <v>91</v>
      </c>
      <c r="AN40" s="74">
        <f>IF('IMPORT SCHLIESSERDATEN'!CE32="V",9999,'IMPORT SCHLIESSERDATEN'!CE32)</f>
        <v>30</v>
      </c>
      <c r="AO40" s="74">
        <f>IF('IMPORT SCHLIESSERDATEN'!CK32="_",-1,'IMPORT SCHLIESSERDATEN'!CK32)</f>
        <v>160</v>
      </c>
      <c r="AP40" s="74">
        <f>IF('IMPORT SCHLIESSERDATEN'!$U32="",0,1)</f>
        <v>1</v>
      </c>
      <c r="AQ40" s="74">
        <f>IF('IMPORT SCHLIESSERDATEN'!$V32="",0,1)</f>
        <v>1</v>
      </c>
      <c r="AR40" s="74">
        <f>IF('IMPORT SCHLIESSERDATEN'!$W32="",0,1)</f>
        <v>0</v>
      </c>
      <c r="AS40" s="74">
        <f>IF('IMPORT SCHLIESSERDATEN'!$AA32="",0,1)</f>
        <v>1</v>
      </c>
      <c r="AT40" s="74">
        <f>IF('IMPORT SCHLIESSERDATEN'!$AD32="",0,1) + IF('IMPORT SCHLIESSERDATEN'!$AE32="",0,2)</f>
        <v>2</v>
      </c>
      <c r="AU40" s="74" t="str">
        <f>IF('IMPORT SCHLIESSERDATEN'!$X32="",IF('IMPORT SCHLIESSERDATEN'!$Y32="","","F"),"V")</f>
        <v>V</v>
      </c>
      <c r="AV40" s="74" t="str">
        <f>IF('IMPORT SCHLIESSERDATEN'!$AB32&lt;&gt;"","M",IF('IMPORT SCHLIESSERDATEN'!$AD32&lt;&gt;"",IF(ISERR(SEARCH("UVIBIS",'IMPORT SCHLIESSERDATEN'!$B32)),"R","B"),IF(OR('IMPORT SCHLIESSERDATEN'!$AC32&lt;&gt;"",'IMPORT SCHLIESSERDATEN'!$AE32&lt;&gt;""),"E","")))</f>
        <v>E</v>
      </c>
      <c r="AW40" s="82"/>
      <c r="AX40" s="67"/>
    </row>
    <row r="41" spans="1:50" x14ac:dyDescent="0.25">
      <c r="A41" s="67">
        <f>IFERROR(IF(C41&lt;&gt;"",MAX($A$2:$A40)+1,""),"")</f>
        <v>29</v>
      </c>
      <c r="B41" s="223">
        <f t="shared" si="1"/>
        <v>29</v>
      </c>
      <c r="C41" s="216" t="str">
        <f>IF(J41=1,SUBSTITUTE('IMPORT SCHLIESSERDATEN'!$B33," Gangfl.",""),IF(J41=2,SUBSTITUTE('IMPORT SCHLIESSERDATEN'!$B33," Standfl.",""),'IMPORT SCHLIESSERDATEN'!$B33))</f>
        <v>TS 93 G EMR EN 2-5</v>
      </c>
      <c r="D41" s="216" t="str">
        <f>IF('IMPORT SCHLIESSERDATEN'!$AF33&lt;&gt;"",IF(COUNTA('IMPORT SCHLIESSERDATEN'!$AN33:$AU33)&gt;0,"X","G"),IF('IMPORT SCHLIESSERDATEN'!$AG33&lt;&gt;"","S",IF('IMPORT SCHLIESSERDATEN'!$AH33&lt;&gt;"","I",IF('IMPORT SCHLIESSERDATEN'!$AI33&lt;&gt;"","B",IF('IMPORT SCHLIESSERDATEN'!$AJ33&lt;&gt;"","D","")))))</f>
        <v>G</v>
      </c>
      <c r="E41" s="248" t="str">
        <f>'IMPORT SCHLIESSERDATEN'!AK33 &amp; IF('IMPORT SCHLIESSERDATEN'!AL33="",""," "&amp; 'IMPORT SCHLIESSERDATEN'!AL33)</f>
        <v>93 G</v>
      </c>
      <c r="F41" s="74">
        <f>IFERROR(IF(D41="X",2^(MATCH("",'IMPORT SCHLIESSERDATEN'!$AN33:$AU33,-1)-1),IF(AV41="F",2^(MATCH("",'IMPORT SCHLIESSERDATEN'!$BH33:$BK33,-1)-1),2^(MATCH("",'IMPORT SCHLIESSERDATEN'!$AV33:$BG33,-1)-1))),0)</f>
        <v>8</v>
      </c>
      <c r="G41" s="74">
        <f>IF(AND('IMPORT SCHLIESSERDATEN'!$O33='IMPORT SCHLIESSERDATEN'!$R33,'IMPORT SCHLIESSERDATEN'!$O33&lt;&gt;"",'IMPORT SCHLIESSERDATEN'!$R33&lt;&gt;""),1,0)  +  IF(AND('IMPORT SCHLIESSERDATEN'!$P33='IMPORT SCHLIESSERDATEN'!$S33,'IMPORT SCHLIESSERDATEN'!$P33&lt;&gt;"",'IMPORT SCHLIESSERDATEN'!$S33&lt;&gt;""),2,0)   +  IF(AND('IMPORT SCHLIESSERDATEN'!$O33='IMPORT SCHLIESSERDATEN'!$S33,'IMPORT SCHLIESSERDATEN'!$O33&lt;&gt;"",'IMPORT SCHLIESSERDATEN'!$S33&lt;&gt;""),4,0)   +  IF(AND('IMPORT SCHLIESSERDATEN'!$P33='IMPORT SCHLIESSERDATEN'!$R33,'IMPORT SCHLIESSERDATEN'!$P33&lt;&gt;"",'IMPORT SCHLIESSERDATEN'!$R33&lt;&gt;""),8,0)   +  IF('IMPORT SCHLIESSERDATEN'!$Q33&lt;&gt;"",IF('IMPORT SCHLIESSERDATEN'!$R33&lt;&gt;"",32,0) + IF('IMPORT SCHLIESSERDATEN'!$S33&lt;&gt;"",64,0),0)  +  IF('IMPORT SCHLIESSERDATEN'!$T33&lt;&gt;"",IF('IMPORT SCHLIESSERDATEN'!$Q33&lt;&gt;"",128+256,128),0)</f>
        <v>8</v>
      </c>
      <c r="H41" s="74">
        <f>IF('IMPORT SCHLIESSERDATEN'!$H33="",0,1) + IF('IMPORT SCHLIESSERDATEN'!$I33="",0,2) + IF('IMPORT SCHLIESSERDATEN'!$J33="",0,4) + IF('IMPORT SCHLIESSERDATEN'!$K33="",0,8) + IF('IMPORT SCHLIESSERDATEN'!$L33="",0,16) + IF('IMPORT SCHLIESSERDATEN'!$M33="",0,32) + IF('IMPORT SCHLIESSERDATEN'!$N33="",0,64)</f>
        <v>30</v>
      </c>
      <c r="I41" s="74">
        <f>IF('IMPORT SCHLIESSERDATEN'!$D33="",0,1) + IF('IMPORT SCHLIESSERDATEN'!$E33="",0,2) + IF('IMPORT SCHLIESSERDATEN'!$E33="S",4,0)</f>
        <v>1</v>
      </c>
      <c r="J41" s="74">
        <f>IF(ISERR(FIND(" Gangfl.",'IMPORT SCHLIESSERDATEN'!$B33)),IF(ISERR(FIND(" Standfl.",'IMPORT SCHLIESSERDATEN'!$B33)),0,2),1)</f>
        <v>0</v>
      </c>
      <c r="K41" s="74">
        <f>'IMPORT SCHLIESSERDATEN'!CL33</f>
        <v>0</v>
      </c>
      <c r="L41" s="74">
        <f>'IMPORT SCHLIESSERDATEN'!CN33</f>
        <v>0</v>
      </c>
      <c r="M41" s="74">
        <f>IF('IMPORT SCHLIESSERDATEN'!CS33="wie TS",-1,'IMPORT SCHLIESSERDATEN'!CS33)</f>
        <v>0</v>
      </c>
      <c r="N41" s="74">
        <f>IF(M41&lt;0,-1,'IMPORT SCHLIESSERDATEN'!CU33)</f>
        <v>0</v>
      </c>
      <c r="O41" s="74">
        <f>IF('IMPORT SCHLIESSERDATEN'!CZ33="wie TS",-1,'IMPORT SCHLIESSERDATEN'!CZ33)</f>
        <v>0</v>
      </c>
      <c r="P41" s="74">
        <f>IF(O41&lt;0,-1,'IMPORT SCHLIESSERDATEN'!DB33)</f>
        <v>0</v>
      </c>
      <c r="Q41" s="74">
        <f>'IMPORT SCHLIESSERDATEN'!DG33</f>
        <v>49</v>
      </c>
      <c r="R41" s="74">
        <f>'IMPORT SCHLIESSERDATEN'!DI33</f>
        <v>17</v>
      </c>
      <c r="S41" s="74">
        <f>'IMPORT SCHLIESSERDATEN'!DN33</f>
        <v>49</v>
      </c>
      <c r="T41" s="74">
        <f>IF('IMPORT SCHLIESSERDATEN'!DP33="V",9999,'IMPORT SCHLIESSERDATEN'!DP33)</f>
        <v>9999</v>
      </c>
      <c r="U41" s="74">
        <f>'IMPORT SCHLIESSERDATEN'!BW33</f>
        <v>275</v>
      </c>
      <c r="V41" s="74">
        <f>'IMPORT SCHLIESSERDATEN'!BX33</f>
        <v>53</v>
      </c>
      <c r="W41" s="74">
        <f>'IMPORT SCHLIESSERDATEN'!BY33</f>
        <v>60</v>
      </c>
      <c r="X41" s="74">
        <f>'IMPORT SCHLIESSERDATEN'!CO33</f>
        <v>0</v>
      </c>
      <c r="Y41" s="74">
        <f>'IMPORT SCHLIESSERDATEN'!CQ33</f>
        <v>0</v>
      </c>
      <c r="Z41" s="74">
        <f>'IMPORT SCHLIESSERDATEN'!CV33</f>
        <v>0</v>
      </c>
      <c r="AA41" s="74">
        <f>'IMPORT SCHLIESSERDATEN'!CX33</f>
        <v>0</v>
      </c>
      <c r="AB41" s="74">
        <f>'IMPORT SCHLIESSERDATEN'!DC33</f>
        <v>0</v>
      </c>
      <c r="AC41" s="74">
        <f>'IMPORT SCHLIESSERDATEN'!DE33</f>
        <v>0</v>
      </c>
      <c r="AD41" s="74">
        <f>'IMPORT SCHLIESSERDATEN'!DJ33</f>
        <v>84</v>
      </c>
      <c r="AE41" s="74">
        <f>'IMPORT SCHLIESSERDATEN'!DL33</f>
        <v>0</v>
      </c>
      <c r="AF41" s="74">
        <f>'IMPORT SCHLIESSERDATEN'!DQ33</f>
        <v>84</v>
      </c>
      <c r="AG41" s="74">
        <f>IF('IMPORT SCHLIESSERDATEN'!DS33="V",9999,'IMPORT SCHLIESSERDATEN'!DS33)</f>
        <v>44</v>
      </c>
      <c r="AH41" s="74">
        <f>IF('IMPORT SCHLIESSERDATEN'!BZ33="V",9999,IF('IMPORT SCHLIESSERDATEN'!CD33="_",-1,'IMPORT SCHLIESSERDATEN'!BZ33))</f>
        <v>864</v>
      </c>
      <c r="AI41" s="74">
        <f>IF('IMPORT SCHLIESSERDATEN'!CA33="V",9999,IF('IMPORT SCHLIESSERDATEN'!CD33="_",-1,'IMPORT SCHLIESSERDATEN'!CA33))</f>
        <v>30</v>
      </c>
      <c r="AJ41" s="74">
        <f>IF('IMPORT SCHLIESSERDATEN'!CB33="V",9999,IF('IMPORT SCHLIESSERDATEN'!CD33="_",-1,'IMPORT SCHLIESSERDATEN'!CB33))</f>
        <v>40</v>
      </c>
      <c r="AK41" s="74">
        <f>IF('IMPORT SCHLIESSERDATEN'!CC33="V",9999,IF('IMPORT SCHLIESSERDATEN'!CC33="_",-1,'IMPORT SCHLIESSERDATEN'!CC33))</f>
        <v>20</v>
      </c>
      <c r="AL41" s="74">
        <f>IF('IMPORT SCHLIESSERDATEN'!CD33="_",-1,'IMPORT SCHLIESSERDATEN'!CD33)</f>
        <v>375</v>
      </c>
      <c r="AM41" s="74">
        <f>'IMPORT SCHLIESSERDATEN'!CH33</f>
        <v>91</v>
      </c>
      <c r="AN41" s="74">
        <f>IF('IMPORT SCHLIESSERDATEN'!CE33="V",9999,'IMPORT SCHLIESSERDATEN'!CE33)</f>
        <v>30</v>
      </c>
      <c r="AO41" s="74">
        <f>IF('IMPORT SCHLIESSERDATEN'!CK33="_",-1,'IMPORT SCHLIESSERDATEN'!CK33)</f>
        <v>206</v>
      </c>
      <c r="AP41" s="74">
        <f>IF('IMPORT SCHLIESSERDATEN'!$U33="",0,1)</f>
        <v>1</v>
      </c>
      <c r="AQ41" s="74">
        <f>IF('IMPORT SCHLIESSERDATEN'!$V33="",0,1)</f>
        <v>1</v>
      </c>
      <c r="AR41" s="74">
        <f>IF('IMPORT SCHLIESSERDATEN'!$W33="",0,1)</f>
        <v>0</v>
      </c>
      <c r="AS41" s="74">
        <f>IF('IMPORT SCHLIESSERDATEN'!$AA33="",0,1)</f>
        <v>1</v>
      </c>
      <c r="AT41" s="74">
        <f>IF('IMPORT SCHLIESSERDATEN'!$AD33="",0,1) + IF('IMPORT SCHLIESSERDATEN'!$AE33="",0,2)</f>
        <v>1</v>
      </c>
      <c r="AU41" s="74" t="str">
        <f>IF('IMPORT SCHLIESSERDATEN'!$X33="",IF('IMPORT SCHLIESSERDATEN'!$Y33="","","F"),"V")</f>
        <v>V</v>
      </c>
      <c r="AV41" s="74" t="str">
        <f>IF('IMPORT SCHLIESSERDATEN'!$AB33&lt;&gt;"","M",IF('IMPORT SCHLIESSERDATEN'!$AD33&lt;&gt;"",IF(ISERR(SEARCH("UVIBIS",'IMPORT SCHLIESSERDATEN'!$B33)),"R","B"),IF(OR('IMPORT SCHLIESSERDATEN'!$AC33&lt;&gt;"",'IMPORT SCHLIESSERDATEN'!$AE33&lt;&gt;""),"E","")))</f>
        <v>R</v>
      </c>
      <c r="AW41" s="82"/>
      <c r="AX41" s="67"/>
    </row>
    <row r="42" spans="1:50" x14ac:dyDescent="0.25">
      <c r="A42" s="67">
        <f>IFERROR(IF(C42&lt;&gt;"",MAX($A$2:$A41)+1,""),"")</f>
        <v>30</v>
      </c>
      <c r="B42" s="223">
        <f t="shared" si="1"/>
        <v>30</v>
      </c>
      <c r="C42" s="216" t="str">
        <f>IF(J42=1,SUBSTITUTE('IMPORT SCHLIESSERDATEN'!$B34," Gangfl.",""),IF(J42=2,SUBSTITUTE('IMPORT SCHLIESSERDATEN'!$B34," Standfl.",""),'IMPORT SCHLIESSERDATEN'!$B34))</f>
        <v>TS 93 G GSR /BG EN 2-5</v>
      </c>
      <c r="D42" s="216" t="str">
        <f>IF('IMPORT SCHLIESSERDATEN'!$AF34&lt;&gt;"",IF(COUNTA('IMPORT SCHLIESSERDATEN'!$AN34:$AU34)&gt;0,"X","G"),IF('IMPORT SCHLIESSERDATEN'!$AG34&lt;&gt;"","S",IF('IMPORT SCHLIESSERDATEN'!$AH34&lt;&gt;"","I",IF('IMPORT SCHLIESSERDATEN'!$AI34&lt;&gt;"","B",IF('IMPORT SCHLIESSERDATEN'!$AJ34&lt;&gt;"","D","")))))</f>
        <v>G</v>
      </c>
      <c r="E42" s="248" t="str">
        <f>'IMPORT SCHLIESSERDATEN'!AK34 &amp; IF('IMPORT SCHLIESSERDATEN'!AL34="",""," "&amp; 'IMPORT SCHLIESSERDATEN'!AL34)</f>
        <v>93 G</v>
      </c>
      <c r="F42" s="74">
        <f>IFERROR(IF(D42="X",2^(MATCH("",'IMPORT SCHLIESSERDATEN'!$AN34:$AU34,-1)-1),IF(AV42="F",2^(MATCH("",'IMPORT SCHLIESSERDATEN'!$BH34:$BK34,-1)-1),2^(MATCH("",'IMPORT SCHLIESSERDATEN'!$AV34:$BG34,-1)-1))),0)</f>
        <v>16</v>
      </c>
      <c r="G42" s="74">
        <f>IF(AND('IMPORT SCHLIESSERDATEN'!$O34='IMPORT SCHLIESSERDATEN'!$R34,'IMPORT SCHLIESSERDATEN'!$O34&lt;&gt;"",'IMPORT SCHLIESSERDATEN'!$R34&lt;&gt;""),1,0)  +  IF(AND('IMPORT SCHLIESSERDATEN'!$P34='IMPORT SCHLIESSERDATEN'!$S34,'IMPORT SCHLIESSERDATEN'!$P34&lt;&gt;"",'IMPORT SCHLIESSERDATEN'!$S34&lt;&gt;""),2,0)   +  IF(AND('IMPORT SCHLIESSERDATEN'!$O34='IMPORT SCHLIESSERDATEN'!$S34,'IMPORT SCHLIESSERDATEN'!$O34&lt;&gt;"",'IMPORT SCHLIESSERDATEN'!$S34&lt;&gt;""),4,0)   +  IF(AND('IMPORT SCHLIESSERDATEN'!$P34='IMPORT SCHLIESSERDATEN'!$R34,'IMPORT SCHLIESSERDATEN'!$P34&lt;&gt;"",'IMPORT SCHLIESSERDATEN'!$R34&lt;&gt;""),8,0)   +  IF('IMPORT SCHLIESSERDATEN'!$Q34&lt;&gt;"",IF('IMPORT SCHLIESSERDATEN'!$R34&lt;&gt;"",32,0) + IF('IMPORT SCHLIESSERDATEN'!$S34&lt;&gt;"",64,0),0)  +  IF('IMPORT SCHLIESSERDATEN'!$T34&lt;&gt;"",IF('IMPORT SCHLIESSERDATEN'!$Q34&lt;&gt;"",128+256,128),0)</f>
        <v>8</v>
      </c>
      <c r="H42" s="74">
        <f>IF('IMPORT SCHLIESSERDATEN'!$H34="",0,1) + IF('IMPORT SCHLIESSERDATEN'!$I34="",0,2) + IF('IMPORT SCHLIESSERDATEN'!$J34="",0,4) + IF('IMPORT SCHLIESSERDATEN'!$K34="",0,8) + IF('IMPORT SCHLIESSERDATEN'!$L34="",0,16) + IF('IMPORT SCHLIESSERDATEN'!$M34="",0,32) + IF('IMPORT SCHLIESSERDATEN'!$N34="",0,64)</f>
        <v>30</v>
      </c>
      <c r="I42" s="74">
        <f>IF('IMPORT SCHLIESSERDATEN'!$D34="",0,1) + IF('IMPORT SCHLIESSERDATEN'!$E34="",0,2) + IF('IMPORT SCHLIESSERDATEN'!$E34="S",4,0)</f>
        <v>2</v>
      </c>
      <c r="J42" s="74">
        <f>IF(ISERR(FIND(" Gangfl.",'IMPORT SCHLIESSERDATEN'!$B34)),IF(ISERR(FIND(" Standfl.",'IMPORT SCHLIESSERDATEN'!$B34)),0,2),1)</f>
        <v>1</v>
      </c>
      <c r="K42" s="74">
        <f>'IMPORT SCHLIESSERDATEN'!CL34</f>
        <v>0</v>
      </c>
      <c r="L42" s="74">
        <f>'IMPORT SCHLIESSERDATEN'!CN34</f>
        <v>0</v>
      </c>
      <c r="M42" s="74">
        <f>IF('IMPORT SCHLIESSERDATEN'!CS34="wie TS",-1,'IMPORT SCHLIESSERDATEN'!CS34)</f>
        <v>0</v>
      </c>
      <c r="N42" s="74">
        <f>IF(M42&lt;0,-1,'IMPORT SCHLIESSERDATEN'!CU34)</f>
        <v>0</v>
      </c>
      <c r="O42" s="74">
        <f>IF('IMPORT SCHLIESSERDATEN'!CZ34="wie TS",-1,'IMPORT SCHLIESSERDATEN'!CZ34)</f>
        <v>0</v>
      </c>
      <c r="P42" s="74">
        <f>IF(O42&lt;0,-1,'IMPORT SCHLIESSERDATEN'!DB34)</f>
        <v>0</v>
      </c>
      <c r="Q42" s="74">
        <f>'IMPORT SCHLIESSERDATEN'!DG34</f>
        <v>118</v>
      </c>
      <c r="R42" s="74">
        <f>'IMPORT SCHLIESSERDATEN'!DI34</f>
        <v>17</v>
      </c>
      <c r="S42" s="74">
        <f>'IMPORT SCHLIESSERDATEN'!DN34</f>
        <v>118</v>
      </c>
      <c r="T42" s="74">
        <f>IF('IMPORT SCHLIESSERDATEN'!DP34="V",9999,'IMPORT SCHLIESSERDATEN'!DP34)</f>
        <v>9999</v>
      </c>
      <c r="U42" s="74">
        <f>'IMPORT SCHLIESSERDATEN'!BW34</f>
        <v>275</v>
      </c>
      <c r="V42" s="74">
        <f>'IMPORT SCHLIESSERDATEN'!BX34</f>
        <v>53</v>
      </c>
      <c r="W42" s="74">
        <f>'IMPORT SCHLIESSERDATEN'!BY34</f>
        <v>60</v>
      </c>
      <c r="X42" s="74">
        <f>'IMPORT SCHLIESSERDATEN'!CO34</f>
        <v>0</v>
      </c>
      <c r="Y42" s="74">
        <f>'IMPORT SCHLIESSERDATEN'!CQ34</f>
        <v>0</v>
      </c>
      <c r="Z42" s="74">
        <f>'IMPORT SCHLIESSERDATEN'!CV34</f>
        <v>0</v>
      </c>
      <c r="AA42" s="74">
        <f>'IMPORT SCHLIESSERDATEN'!CX34</f>
        <v>0</v>
      </c>
      <c r="AB42" s="74">
        <f>'IMPORT SCHLIESSERDATEN'!DC34</f>
        <v>0</v>
      </c>
      <c r="AC42" s="74">
        <f>'IMPORT SCHLIESSERDATEN'!DE34</f>
        <v>0</v>
      </c>
      <c r="AD42" s="74">
        <f>'IMPORT SCHLIESSERDATEN'!DJ34</f>
        <v>118</v>
      </c>
      <c r="AE42" s="74">
        <f>'IMPORT SCHLIESSERDATEN'!DL34</f>
        <v>0</v>
      </c>
      <c r="AF42" s="74">
        <f>'IMPORT SCHLIESSERDATEN'!DQ34</f>
        <v>118</v>
      </c>
      <c r="AG42" s="74">
        <f>IF('IMPORT SCHLIESSERDATEN'!DS34="V",9999,'IMPORT SCHLIESSERDATEN'!DS34)</f>
        <v>34</v>
      </c>
      <c r="AH42" s="74">
        <f>IF('IMPORT SCHLIESSERDATEN'!BZ34="V",9999,IF('IMPORT SCHLIESSERDATEN'!CD34="_",-1,'IMPORT SCHLIESSERDATEN'!BZ34))</f>
        <v>9999</v>
      </c>
      <c r="AI42" s="74">
        <f>IF('IMPORT SCHLIESSERDATEN'!CA34="V",9999,IF('IMPORT SCHLIESSERDATEN'!CD34="_",-1,'IMPORT SCHLIESSERDATEN'!CA34))</f>
        <v>30</v>
      </c>
      <c r="AJ42" s="74">
        <f>IF('IMPORT SCHLIESSERDATEN'!CB34="V",9999,IF('IMPORT SCHLIESSERDATEN'!CD34="_",-1,'IMPORT SCHLIESSERDATEN'!CB34))</f>
        <v>40</v>
      </c>
      <c r="AK42" s="74">
        <f>IF('IMPORT SCHLIESSERDATEN'!CC34="V",9999,IF('IMPORT SCHLIESSERDATEN'!CC34="_",-1,'IMPORT SCHLIESSERDATEN'!CC34))</f>
        <v>20</v>
      </c>
      <c r="AL42" s="74">
        <f>IF('IMPORT SCHLIESSERDATEN'!CD34="_",-1,'IMPORT SCHLIESSERDATEN'!CD34)</f>
        <v>375</v>
      </c>
      <c r="AM42" s="74">
        <f>'IMPORT SCHLIESSERDATEN'!CH34</f>
        <v>91</v>
      </c>
      <c r="AN42" s="74">
        <f>IF('IMPORT SCHLIESSERDATEN'!CE34="V",9999,'IMPORT SCHLIESSERDATEN'!CE34)</f>
        <v>30</v>
      </c>
      <c r="AO42" s="74">
        <f>IF('IMPORT SCHLIESSERDATEN'!CK34="_",-1,'IMPORT SCHLIESSERDATEN'!CK34)</f>
        <v>51</v>
      </c>
      <c r="AP42" s="74">
        <f>IF('IMPORT SCHLIESSERDATEN'!$U34="",0,1)</f>
        <v>1</v>
      </c>
      <c r="AQ42" s="74">
        <f>IF('IMPORT SCHLIESSERDATEN'!$V34="",0,1)</f>
        <v>1</v>
      </c>
      <c r="AR42" s="74">
        <f>IF('IMPORT SCHLIESSERDATEN'!$W34="",0,1)</f>
        <v>1</v>
      </c>
      <c r="AS42" s="74">
        <f>IF('IMPORT SCHLIESSERDATEN'!$AA34="",0,1)</f>
        <v>1</v>
      </c>
      <c r="AT42" s="74">
        <f>IF('IMPORT SCHLIESSERDATEN'!$AD34="",0,1) + IF('IMPORT SCHLIESSERDATEN'!$AE34="",0,2)</f>
        <v>0</v>
      </c>
      <c r="AU42" s="74" t="str">
        <f>IF('IMPORT SCHLIESSERDATEN'!$X34="",IF('IMPORT SCHLIESSERDATEN'!$Y34="","","F"),"V")</f>
        <v>V</v>
      </c>
      <c r="AV42" s="74" t="str">
        <f>IF('IMPORT SCHLIESSERDATEN'!$AB34&lt;&gt;"","M",IF('IMPORT SCHLIESSERDATEN'!$AD34&lt;&gt;"",IF(ISERR(SEARCH("UVIBIS",'IMPORT SCHLIESSERDATEN'!$B34)),"R","B"),IF(OR('IMPORT SCHLIESSERDATEN'!$AC34&lt;&gt;"",'IMPORT SCHLIESSERDATEN'!$AE34&lt;&gt;""),"E","")))</f>
        <v/>
      </c>
      <c r="AW42" s="82"/>
      <c r="AX42" s="67"/>
    </row>
    <row r="43" spans="1:50" x14ac:dyDescent="0.25">
      <c r="A43" s="67">
        <f>IFERROR(IF(C43&lt;&gt;"",MAX($A$2:$A42)+1,""),"")</f>
        <v>31</v>
      </c>
      <c r="B43" s="223">
        <f t="shared" si="1"/>
        <v>31</v>
      </c>
      <c r="C43" s="216" t="str">
        <f>IF(J43=1,SUBSTITUTE('IMPORT SCHLIESSERDATEN'!$B35," Gangfl.",""),IF(J43=2,SUBSTITUTE('IMPORT SCHLIESSERDATEN'!$B35," Standfl.",""),'IMPORT SCHLIESSERDATEN'!$B35))</f>
        <v>TS 93 G GSR RF /BG EN 2-5</v>
      </c>
      <c r="D43" s="216" t="str">
        <f>IF('IMPORT SCHLIESSERDATEN'!$AF35&lt;&gt;"",IF(COUNTA('IMPORT SCHLIESSERDATEN'!$AN35:$AU35)&gt;0,"X","G"),IF('IMPORT SCHLIESSERDATEN'!$AG35&lt;&gt;"","S",IF('IMPORT SCHLIESSERDATEN'!$AH35&lt;&gt;"","I",IF('IMPORT SCHLIESSERDATEN'!$AI35&lt;&gt;"","B",IF('IMPORT SCHLIESSERDATEN'!$AJ35&lt;&gt;"","D","")))))</f>
        <v>G</v>
      </c>
      <c r="E43" s="248" t="str">
        <f>'IMPORT SCHLIESSERDATEN'!AK35 &amp; IF('IMPORT SCHLIESSERDATEN'!AL35="",""," "&amp; 'IMPORT SCHLIESSERDATEN'!AL35)</f>
        <v>93 G</v>
      </c>
      <c r="F43" s="74">
        <f>IFERROR(IF(D43="X",2^(MATCH("",'IMPORT SCHLIESSERDATEN'!$AN35:$AU35,-1)-1),IF(AV43="F",2^(MATCH("",'IMPORT SCHLIESSERDATEN'!$BH35:$BK35,-1)-1),2^(MATCH("",'IMPORT SCHLIESSERDATEN'!$AV35:$BG35,-1)-1))),0)</f>
        <v>32</v>
      </c>
      <c r="G43" s="74">
        <f>IF(AND('IMPORT SCHLIESSERDATEN'!$O35='IMPORT SCHLIESSERDATEN'!$R35,'IMPORT SCHLIESSERDATEN'!$O35&lt;&gt;"",'IMPORT SCHLIESSERDATEN'!$R35&lt;&gt;""),1,0)  +  IF(AND('IMPORT SCHLIESSERDATEN'!$P35='IMPORT SCHLIESSERDATEN'!$S35,'IMPORT SCHLIESSERDATEN'!$P35&lt;&gt;"",'IMPORT SCHLIESSERDATEN'!$S35&lt;&gt;""),2,0)   +  IF(AND('IMPORT SCHLIESSERDATEN'!$O35='IMPORT SCHLIESSERDATEN'!$S35,'IMPORT SCHLIESSERDATEN'!$O35&lt;&gt;"",'IMPORT SCHLIESSERDATEN'!$S35&lt;&gt;""),4,0)   +  IF(AND('IMPORT SCHLIESSERDATEN'!$P35='IMPORT SCHLIESSERDATEN'!$R35,'IMPORT SCHLIESSERDATEN'!$P35&lt;&gt;"",'IMPORT SCHLIESSERDATEN'!$R35&lt;&gt;""),8,0)   +  IF('IMPORT SCHLIESSERDATEN'!$Q35&lt;&gt;"",IF('IMPORT SCHLIESSERDATEN'!$R35&lt;&gt;"",32,0) + IF('IMPORT SCHLIESSERDATEN'!$S35&lt;&gt;"",64,0),0)  +  IF('IMPORT SCHLIESSERDATEN'!$T35&lt;&gt;"",IF('IMPORT SCHLIESSERDATEN'!$Q35&lt;&gt;"",128+256,128),0)</f>
        <v>8</v>
      </c>
      <c r="H43" s="74">
        <f>IF('IMPORT SCHLIESSERDATEN'!$H35="",0,1) + IF('IMPORT SCHLIESSERDATEN'!$I35="",0,2) + IF('IMPORT SCHLIESSERDATEN'!$J35="",0,4) + IF('IMPORT SCHLIESSERDATEN'!$K35="",0,8) + IF('IMPORT SCHLIESSERDATEN'!$L35="",0,16) + IF('IMPORT SCHLIESSERDATEN'!$M35="",0,32) + IF('IMPORT SCHLIESSERDATEN'!$N35="",0,64)</f>
        <v>30</v>
      </c>
      <c r="I43" s="74">
        <f>IF('IMPORT SCHLIESSERDATEN'!$D35="",0,1) + IF('IMPORT SCHLIESSERDATEN'!$E35="",0,2) + IF('IMPORT SCHLIESSERDATEN'!$E35="S",4,0)</f>
        <v>2</v>
      </c>
      <c r="J43" s="74">
        <f>IF(ISERR(FIND(" Gangfl.",'IMPORT SCHLIESSERDATEN'!$B35)),IF(ISERR(FIND(" Standfl.",'IMPORT SCHLIESSERDATEN'!$B35)),0,2),1)</f>
        <v>1</v>
      </c>
      <c r="K43" s="74">
        <f>'IMPORT SCHLIESSERDATEN'!CL35</f>
        <v>0</v>
      </c>
      <c r="L43" s="74">
        <f>'IMPORT SCHLIESSERDATEN'!CN35</f>
        <v>0</v>
      </c>
      <c r="M43" s="74">
        <f>IF('IMPORT SCHLIESSERDATEN'!CS35="wie TS",-1,'IMPORT SCHLIESSERDATEN'!CS35)</f>
        <v>0</v>
      </c>
      <c r="N43" s="74">
        <f>IF(M43&lt;0,-1,'IMPORT SCHLIESSERDATEN'!CU35)</f>
        <v>0</v>
      </c>
      <c r="O43" s="74">
        <f>IF('IMPORT SCHLIESSERDATEN'!CZ35="wie TS",-1,'IMPORT SCHLIESSERDATEN'!CZ35)</f>
        <v>0</v>
      </c>
      <c r="P43" s="74">
        <f>IF(O43&lt;0,-1,'IMPORT SCHLIESSERDATEN'!DB35)</f>
        <v>0</v>
      </c>
      <c r="Q43" s="74">
        <f>'IMPORT SCHLIESSERDATEN'!DG35</f>
        <v>118</v>
      </c>
      <c r="R43" s="74">
        <f>'IMPORT SCHLIESSERDATEN'!DI35</f>
        <v>17</v>
      </c>
      <c r="S43" s="74">
        <f>'IMPORT SCHLIESSERDATEN'!DN35</f>
        <v>118</v>
      </c>
      <c r="T43" s="74">
        <f>IF('IMPORT SCHLIESSERDATEN'!DP35="V",9999,'IMPORT SCHLIESSERDATEN'!DP35)</f>
        <v>9999</v>
      </c>
      <c r="U43" s="74">
        <f>'IMPORT SCHLIESSERDATEN'!BW35</f>
        <v>275</v>
      </c>
      <c r="V43" s="74">
        <f>'IMPORT SCHLIESSERDATEN'!BX35</f>
        <v>53</v>
      </c>
      <c r="W43" s="74">
        <f>'IMPORT SCHLIESSERDATEN'!BY35</f>
        <v>60</v>
      </c>
      <c r="X43" s="74">
        <f>'IMPORT SCHLIESSERDATEN'!CO35</f>
        <v>0</v>
      </c>
      <c r="Y43" s="74">
        <f>'IMPORT SCHLIESSERDATEN'!CQ35</f>
        <v>0</v>
      </c>
      <c r="Z43" s="74">
        <f>'IMPORT SCHLIESSERDATEN'!CV35</f>
        <v>0</v>
      </c>
      <c r="AA43" s="74">
        <f>'IMPORT SCHLIESSERDATEN'!CX35</f>
        <v>0</v>
      </c>
      <c r="AB43" s="74">
        <f>'IMPORT SCHLIESSERDATEN'!DC35</f>
        <v>0</v>
      </c>
      <c r="AC43" s="74">
        <f>'IMPORT SCHLIESSERDATEN'!DE35</f>
        <v>0</v>
      </c>
      <c r="AD43" s="74">
        <f>'IMPORT SCHLIESSERDATEN'!DJ35</f>
        <v>118</v>
      </c>
      <c r="AE43" s="74">
        <f>'IMPORT SCHLIESSERDATEN'!DL35</f>
        <v>0</v>
      </c>
      <c r="AF43" s="74">
        <f>'IMPORT SCHLIESSERDATEN'!DQ35</f>
        <v>118</v>
      </c>
      <c r="AG43" s="74">
        <f>IF('IMPORT SCHLIESSERDATEN'!DS35="V",9999,'IMPORT SCHLIESSERDATEN'!DS35)</f>
        <v>34</v>
      </c>
      <c r="AH43" s="74">
        <f>IF('IMPORT SCHLIESSERDATEN'!BZ35="V",9999,IF('IMPORT SCHLIESSERDATEN'!CD35="_",-1,'IMPORT SCHLIESSERDATEN'!BZ35))</f>
        <v>9999</v>
      </c>
      <c r="AI43" s="74">
        <f>IF('IMPORT SCHLIESSERDATEN'!CA35="V",9999,IF('IMPORT SCHLIESSERDATEN'!CD35="_",-1,'IMPORT SCHLIESSERDATEN'!CA35))</f>
        <v>30</v>
      </c>
      <c r="AJ43" s="74">
        <f>IF('IMPORT SCHLIESSERDATEN'!CB35="V",9999,IF('IMPORT SCHLIESSERDATEN'!CD35="_",-1,'IMPORT SCHLIESSERDATEN'!CB35))</f>
        <v>40</v>
      </c>
      <c r="AK43" s="74">
        <f>IF('IMPORT SCHLIESSERDATEN'!CC35="V",9999,IF('IMPORT SCHLIESSERDATEN'!CC35="_",-1,'IMPORT SCHLIESSERDATEN'!CC35))</f>
        <v>20</v>
      </c>
      <c r="AL43" s="74">
        <f>IF('IMPORT SCHLIESSERDATEN'!CD35="_",-1,'IMPORT SCHLIESSERDATEN'!CD35)</f>
        <v>375</v>
      </c>
      <c r="AM43" s="74">
        <f>'IMPORT SCHLIESSERDATEN'!CH35</f>
        <v>91</v>
      </c>
      <c r="AN43" s="74">
        <f>IF('IMPORT SCHLIESSERDATEN'!CE35="V",9999,'IMPORT SCHLIESSERDATEN'!CE35)</f>
        <v>30</v>
      </c>
      <c r="AO43" s="74">
        <f>IF('IMPORT SCHLIESSERDATEN'!CK35="_",-1,'IMPORT SCHLIESSERDATEN'!CK35)</f>
        <v>51</v>
      </c>
      <c r="AP43" s="74">
        <f>IF('IMPORT SCHLIESSERDATEN'!$U35="",0,1)</f>
        <v>0</v>
      </c>
      <c r="AQ43" s="74">
        <f>IF('IMPORT SCHLIESSERDATEN'!$V35="",0,1)</f>
        <v>1</v>
      </c>
      <c r="AR43" s="74">
        <f>IF('IMPORT SCHLIESSERDATEN'!$W35="",0,1)</f>
        <v>1</v>
      </c>
      <c r="AS43" s="74">
        <f>IF('IMPORT SCHLIESSERDATEN'!$AA35="",0,1)</f>
        <v>1</v>
      </c>
      <c r="AT43" s="74">
        <f>IF('IMPORT SCHLIESSERDATEN'!$AD35="",0,1) + IF('IMPORT SCHLIESSERDATEN'!$AE35="",0,2)</f>
        <v>0</v>
      </c>
      <c r="AU43" s="74" t="str">
        <f>IF('IMPORT SCHLIESSERDATEN'!$X35="",IF('IMPORT SCHLIESSERDATEN'!$Y35="","","F"),"V")</f>
        <v>V</v>
      </c>
      <c r="AV43" s="74" t="str">
        <f>IF('IMPORT SCHLIESSERDATEN'!$AB35&lt;&gt;"","M",IF('IMPORT SCHLIESSERDATEN'!$AD35&lt;&gt;"",IF(ISERR(SEARCH("UVIBIS",'IMPORT SCHLIESSERDATEN'!$B35)),"R","B"),IF(OR('IMPORT SCHLIESSERDATEN'!$AC35&lt;&gt;"",'IMPORT SCHLIESSERDATEN'!$AE35&lt;&gt;""),"E","")))</f>
        <v>M</v>
      </c>
      <c r="AW43" s="82"/>
      <c r="AX43" s="67"/>
    </row>
    <row r="44" spans="1:50" x14ac:dyDescent="0.25">
      <c r="A44" s="67">
        <f>IFERROR(IF(C44&lt;&gt;"",MAX($A$2:$A43)+1,""),"")</f>
        <v>32</v>
      </c>
      <c r="B44" s="223">
        <f t="shared" si="1"/>
        <v>32</v>
      </c>
      <c r="C44" s="216" t="str">
        <f>IF(J44=1,SUBSTITUTE('IMPORT SCHLIESSERDATEN'!$B36," Gangfl.",""),IF(J44=2,SUBSTITUTE('IMPORT SCHLIESSERDATEN'!$B36," Standfl.",""),'IMPORT SCHLIESSERDATEN'!$B36))</f>
        <v>TS 93 G GSR-EMF 1 /BG EN 2-5</v>
      </c>
      <c r="D44" s="216" t="str">
        <f>IF('IMPORT SCHLIESSERDATEN'!$AF36&lt;&gt;"",IF(COUNTA('IMPORT SCHLIESSERDATEN'!$AN36:$AU36)&gt;0,"X","G"),IF('IMPORT SCHLIESSERDATEN'!$AG36&lt;&gt;"","S",IF('IMPORT SCHLIESSERDATEN'!$AH36&lt;&gt;"","I",IF('IMPORT SCHLIESSERDATEN'!$AI36&lt;&gt;"","B",IF('IMPORT SCHLIESSERDATEN'!$AJ36&lt;&gt;"","D","")))))</f>
        <v>G</v>
      </c>
      <c r="E44" s="248" t="str">
        <f>'IMPORT SCHLIESSERDATEN'!AK36 &amp; IF('IMPORT SCHLIESSERDATEN'!AL36="",""," "&amp; 'IMPORT SCHLIESSERDATEN'!AL36)</f>
        <v>93 G</v>
      </c>
      <c r="F44" s="74">
        <f>IFERROR(IF(D44="X",2^(MATCH("",'IMPORT SCHLIESSERDATEN'!$AN36:$AU36,-1)-1),IF(AV44="F",2^(MATCH("",'IMPORT SCHLIESSERDATEN'!$BH36:$BK36,-1)-1),2^(MATCH("",'IMPORT SCHLIESSERDATEN'!$AV36:$BG36,-1)-1))),0)</f>
        <v>64</v>
      </c>
      <c r="G44" s="74">
        <f>IF(AND('IMPORT SCHLIESSERDATEN'!$O36='IMPORT SCHLIESSERDATEN'!$R36,'IMPORT SCHLIESSERDATEN'!$O36&lt;&gt;"",'IMPORT SCHLIESSERDATEN'!$R36&lt;&gt;""),1,0)  +  IF(AND('IMPORT SCHLIESSERDATEN'!$P36='IMPORT SCHLIESSERDATEN'!$S36,'IMPORT SCHLIESSERDATEN'!$P36&lt;&gt;"",'IMPORT SCHLIESSERDATEN'!$S36&lt;&gt;""),2,0)   +  IF(AND('IMPORT SCHLIESSERDATEN'!$O36='IMPORT SCHLIESSERDATEN'!$S36,'IMPORT SCHLIESSERDATEN'!$O36&lt;&gt;"",'IMPORT SCHLIESSERDATEN'!$S36&lt;&gt;""),4,0)   +  IF(AND('IMPORT SCHLIESSERDATEN'!$P36='IMPORT SCHLIESSERDATEN'!$R36,'IMPORT SCHLIESSERDATEN'!$P36&lt;&gt;"",'IMPORT SCHLIESSERDATEN'!$R36&lt;&gt;""),8,0)   +  IF('IMPORT SCHLIESSERDATEN'!$Q36&lt;&gt;"",IF('IMPORT SCHLIESSERDATEN'!$R36&lt;&gt;"",32,0) + IF('IMPORT SCHLIESSERDATEN'!$S36&lt;&gt;"",64,0),0)  +  IF('IMPORT SCHLIESSERDATEN'!$T36&lt;&gt;"",IF('IMPORT SCHLIESSERDATEN'!$Q36&lt;&gt;"",128+256,128),0)</f>
        <v>8</v>
      </c>
      <c r="H44" s="74">
        <f>IF('IMPORT SCHLIESSERDATEN'!$H36="",0,1) + IF('IMPORT SCHLIESSERDATEN'!$I36="",0,2) + IF('IMPORT SCHLIESSERDATEN'!$J36="",0,4) + IF('IMPORT SCHLIESSERDATEN'!$K36="",0,8) + IF('IMPORT SCHLIESSERDATEN'!$L36="",0,16) + IF('IMPORT SCHLIESSERDATEN'!$M36="",0,32) + IF('IMPORT SCHLIESSERDATEN'!$N36="",0,64)</f>
        <v>30</v>
      </c>
      <c r="I44" s="74">
        <f>IF('IMPORT SCHLIESSERDATEN'!$D36="",0,1) + IF('IMPORT SCHLIESSERDATEN'!$E36="",0,2) + IF('IMPORT SCHLIESSERDATEN'!$E36="S",4,0)</f>
        <v>2</v>
      </c>
      <c r="J44" s="74">
        <f>IF(ISERR(FIND(" Gangfl.",'IMPORT SCHLIESSERDATEN'!$B36)),IF(ISERR(FIND(" Standfl.",'IMPORT SCHLIESSERDATEN'!$B36)),0,2),1)</f>
        <v>1</v>
      </c>
      <c r="K44" s="74">
        <f>'IMPORT SCHLIESSERDATEN'!CL36</f>
        <v>0</v>
      </c>
      <c r="L44" s="74">
        <f>'IMPORT SCHLIESSERDATEN'!CN36</f>
        <v>0</v>
      </c>
      <c r="M44" s="74">
        <f>IF('IMPORT SCHLIESSERDATEN'!CS36="wie TS",-1,'IMPORT SCHLIESSERDATEN'!CS36)</f>
        <v>0</v>
      </c>
      <c r="N44" s="74">
        <f>IF(M44&lt;0,-1,'IMPORT SCHLIESSERDATEN'!CU36)</f>
        <v>0</v>
      </c>
      <c r="O44" s="74">
        <f>IF('IMPORT SCHLIESSERDATEN'!CZ36="wie TS",-1,'IMPORT SCHLIESSERDATEN'!CZ36)</f>
        <v>0</v>
      </c>
      <c r="P44" s="74">
        <f>IF(O44&lt;0,-1,'IMPORT SCHLIESSERDATEN'!DB36)</f>
        <v>0</v>
      </c>
      <c r="Q44" s="74">
        <f>'IMPORT SCHLIESSERDATEN'!DG36</f>
        <v>118</v>
      </c>
      <c r="R44" s="74">
        <f>'IMPORT SCHLIESSERDATEN'!DI36</f>
        <v>17</v>
      </c>
      <c r="S44" s="74">
        <f>'IMPORT SCHLIESSERDATEN'!DN36</f>
        <v>0</v>
      </c>
      <c r="T44" s="74">
        <f>IF('IMPORT SCHLIESSERDATEN'!DP36="V",9999,'IMPORT SCHLIESSERDATEN'!DP36)</f>
        <v>0</v>
      </c>
      <c r="U44" s="74">
        <f>'IMPORT SCHLIESSERDATEN'!BW36</f>
        <v>275</v>
      </c>
      <c r="V44" s="74">
        <f>'IMPORT SCHLIESSERDATEN'!BX36</f>
        <v>53</v>
      </c>
      <c r="W44" s="74">
        <f>'IMPORT SCHLIESSERDATEN'!BY36</f>
        <v>60</v>
      </c>
      <c r="X44" s="74">
        <f>'IMPORT SCHLIESSERDATEN'!CO36</f>
        <v>0</v>
      </c>
      <c r="Y44" s="74">
        <f>'IMPORT SCHLIESSERDATEN'!CQ36</f>
        <v>0</v>
      </c>
      <c r="Z44" s="74">
        <f>'IMPORT SCHLIESSERDATEN'!CV36</f>
        <v>0</v>
      </c>
      <c r="AA44" s="74">
        <f>'IMPORT SCHLIESSERDATEN'!CX36</f>
        <v>0</v>
      </c>
      <c r="AB44" s="74">
        <f>'IMPORT SCHLIESSERDATEN'!DC36</f>
        <v>0</v>
      </c>
      <c r="AC44" s="74">
        <f>'IMPORT SCHLIESSERDATEN'!DE36</f>
        <v>0</v>
      </c>
      <c r="AD44" s="74">
        <f>'IMPORT SCHLIESSERDATEN'!DJ36</f>
        <v>118</v>
      </c>
      <c r="AE44" s="74">
        <f>'IMPORT SCHLIESSERDATEN'!DL36</f>
        <v>0</v>
      </c>
      <c r="AF44" s="74">
        <f>'IMPORT SCHLIESSERDATEN'!DQ36</f>
        <v>0</v>
      </c>
      <c r="AG44" s="74">
        <f>IF('IMPORT SCHLIESSERDATEN'!DS36="V",9999,'IMPORT SCHLIESSERDATEN'!DS36)</f>
        <v>0</v>
      </c>
      <c r="AH44" s="74">
        <f>IF('IMPORT SCHLIESSERDATEN'!BZ36="V",9999,IF('IMPORT SCHLIESSERDATEN'!CD36="_",-1,'IMPORT SCHLIESSERDATEN'!BZ36))</f>
        <v>9999</v>
      </c>
      <c r="AI44" s="74">
        <f>IF('IMPORT SCHLIESSERDATEN'!CA36="V",9999,IF('IMPORT SCHLIESSERDATEN'!CD36="_",-1,'IMPORT SCHLIESSERDATEN'!CA36))</f>
        <v>30</v>
      </c>
      <c r="AJ44" s="74">
        <f>IF('IMPORT SCHLIESSERDATEN'!CB36="V",9999,IF('IMPORT SCHLIESSERDATEN'!CD36="_",-1,'IMPORT SCHLIESSERDATEN'!CB36))</f>
        <v>34</v>
      </c>
      <c r="AK44" s="74">
        <f>IF('IMPORT SCHLIESSERDATEN'!CC36="V",9999,IF('IMPORT SCHLIESSERDATEN'!CC36="_",-1,'IMPORT SCHLIESSERDATEN'!CC36))</f>
        <v>17</v>
      </c>
      <c r="AL44" s="74">
        <f>IF('IMPORT SCHLIESSERDATEN'!CD36="_",-1,'IMPORT SCHLIESSERDATEN'!CD36)</f>
        <v>375</v>
      </c>
      <c r="AM44" s="74">
        <f>'IMPORT SCHLIESSERDATEN'!CH36</f>
        <v>91</v>
      </c>
      <c r="AN44" s="74">
        <f>IF('IMPORT SCHLIESSERDATEN'!CE36="V",9999,'IMPORT SCHLIESSERDATEN'!CE36)</f>
        <v>30</v>
      </c>
      <c r="AO44" s="74">
        <f>IF('IMPORT SCHLIESSERDATEN'!CK36="_",-1,'IMPORT SCHLIESSERDATEN'!CK36)</f>
        <v>164</v>
      </c>
      <c r="AP44" s="74">
        <f>IF('IMPORT SCHLIESSERDATEN'!$U36="",0,1)</f>
        <v>1</v>
      </c>
      <c r="AQ44" s="74">
        <f>IF('IMPORT SCHLIESSERDATEN'!$V36="",0,1)</f>
        <v>1</v>
      </c>
      <c r="AR44" s="74">
        <f>IF('IMPORT SCHLIESSERDATEN'!$W36="",0,1)</f>
        <v>1</v>
      </c>
      <c r="AS44" s="74">
        <f>IF('IMPORT SCHLIESSERDATEN'!$AA36="",0,1)</f>
        <v>1</v>
      </c>
      <c r="AT44" s="74">
        <f>IF('IMPORT SCHLIESSERDATEN'!$AD36="",0,1) + IF('IMPORT SCHLIESSERDATEN'!$AE36="",0,2)</f>
        <v>2</v>
      </c>
      <c r="AU44" s="74" t="str">
        <f>IF('IMPORT SCHLIESSERDATEN'!$X36="",IF('IMPORT SCHLIESSERDATEN'!$Y36="","","F"),"V")</f>
        <v>V</v>
      </c>
      <c r="AV44" s="74" t="str">
        <f>IF('IMPORT SCHLIESSERDATEN'!$AB36&lt;&gt;"","M",IF('IMPORT SCHLIESSERDATEN'!$AD36&lt;&gt;"",IF(ISERR(SEARCH("UVIBIS",'IMPORT SCHLIESSERDATEN'!$B36)),"R","B"),IF(OR('IMPORT SCHLIESSERDATEN'!$AC36&lt;&gt;"",'IMPORT SCHLIESSERDATEN'!$AE36&lt;&gt;""),"E","")))</f>
        <v>E</v>
      </c>
      <c r="AW44" s="82"/>
      <c r="AX44" s="67"/>
    </row>
    <row r="45" spans="1:50" x14ac:dyDescent="0.25">
      <c r="A45" s="67">
        <f>IFERROR(IF(C45&lt;&gt;"",MAX($A$2:$A44)+1,""),"")</f>
        <v>33</v>
      </c>
      <c r="B45" s="223">
        <f t="shared" si="1"/>
        <v>33</v>
      </c>
      <c r="C45" s="216" t="str">
        <f>IF(J45=1,SUBSTITUTE('IMPORT SCHLIESSERDATEN'!$B37," Gangfl.",""),IF(J45=2,SUBSTITUTE('IMPORT SCHLIESSERDATEN'!$B37," Standfl.",""),'IMPORT SCHLIESSERDATEN'!$B37))</f>
        <v>TS 93 G GSR-EMF 1G /BG EN 2-5</v>
      </c>
      <c r="D45" s="216" t="str">
        <f>IF('IMPORT SCHLIESSERDATEN'!$AF37&lt;&gt;"",IF(COUNTA('IMPORT SCHLIESSERDATEN'!$AN37:$AU37)&gt;0,"X","G"),IF('IMPORT SCHLIESSERDATEN'!$AG37&lt;&gt;"","S",IF('IMPORT SCHLIESSERDATEN'!$AH37&lt;&gt;"","I",IF('IMPORT SCHLIESSERDATEN'!$AI37&lt;&gt;"","B",IF('IMPORT SCHLIESSERDATEN'!$AJ37&lt;&gt;"","D","")))))</f>
        <v>G</v>
      </c>
      <c r="E45" s="248" t="str">
        <f>'IMPORT SCHLIESSERDATEN'!AK37 &amp; IF('IMPORT SCHLIESSERDATEN'!AL37="",""," "&amp; 'IMPORT SCHLIESSERDATEN'!AL37)</f>
        <v>93 G</v>
      </c>
      <c r="F45" s="74">
        <f>IFERROR(IF(D45="X",2^(MATCH("",'IMPORT SCHLIESSERDATEN'!$AN37:$AU37,-1)-1),IF(AV45="F",2^(MATCH("",'IMPORT SCHLIESSERDATEN'!$BH37:$BK37,-1)-1),2^(MATCH("",'IMPORT SCHLIESSERDATEN'!$AV37:$BG37,-1)-1))),0)</f>
        <v>128</v>
      </c>
      <c r="G45" s="74">
        <f>IF(AND('IMPORT SCHLIESSERDATEN'!$O37='IMPORT SCHLIESSERDATEN'!$R37,'IMPORT SCHLIESSERDATEN'!$O37&lt;&gt;"",'IMPORT SCHLIESSERDATEN'!$R37&lt;&gt;""),1,0)  +  IF(AND('IMPORT SCHLIESSERDATEN'!$P37='IMPORT SCHLIESSERDATEN'!$S37,'IMPORT SCHLIESSERDATEN'!$P37&lt;&gt;"",'IMPORT SCHLIESSERDATEN'!$S37&lt;&gt;""),2,0)   +  IF(AND('IMPORT SCHLIESSERDATEN'!$O37='IMPORT SCHLIESSERDATEN'!$S37,'IMPORT SCHLIESSERDATEN'!$O37&lt;&gt;"",'IMPORT SCHLIESSERDATEN'!$S37&lt;&gt;""),4,0)   +  IF(AND('IMPORT SCHLIESSERDATEN'!$P37='IMPORT SCHLIESSERDATEN'!$R37,'IMPORT SCHLIESSERDATEN'!$P37&lt;&gt;"",'IMPORT SCHLIESSERDATEN'!$R37&lt;&gt;""),8,0)   +  IF('IMPORT SCHLIESSERDATEN'!$Q37&lt;&gt;"",IF('IMPORT SCHLIESSERDATEN'!$R37&lt;&gt;"",32,0) + IF('IMPORT SCHLIESSERDATEN'!$S37&lt;&gt;"",64,0),0)  +  IF('IMPORT SCHLIESSERDATEN'!$T37&lt;&gt;"",IF('IMPORT SCHLIESSERDATEN'!$Q37&lt;&gt;"",128+256,128),0)</f>
        <v>8</v>
      </c>
      <c r="H45" s="74">
        <f>IF('IMPORT SCHLIESSERDATEN'!$H37="",0,1) + IF('IMPORT SCHLIESSERDATEN'!$I37="",0,2) + IF('IMPORT SCHLIESSERDATEN'!$J37="",0,4) + IF('IMPORT SCHLIESSERDATEN'!$K37="",0,8) + IF('IMPORT SCHLIESSERDATEN'!$L37="",0,16) + IF('IMPORT SCHLIESSERDATEN'!$M37="",0,32) + IF('IMPORT SCHLIESSERDATEN'!$N37="",0,64)</f>
        <v>30</v>
      </c>
      <c r="I45" s="74">
        <f>IF('IMPORT SCHLIESSERDATEN'!$D37="",0,1) + IF('IMPORT SCHLIESSERDATEN'!$E37="",0,2) + IF('IMPORT SCHLIESSERDATEN'!$E37="S",4,0)</f>
        <v>2</v>
      </c>
      <c r="J45" s="74">
        <f>IF(ISERR(FIND(" Gangfl.",'IMPORT SCHLIESSERDATEN'!$B37)),IF(ISERR(FIND(" Standfl.",'IMPORT SCHLIESSERDATEN'!$B37)),0,2),1)</f>
        <v>1</v>
      </c>
      <c r="K45" s="74">
        <f>'IMPORT SCHLIESSERDATEN'!CL37</f>
        <v>0</v>
      </c>
      <c r="L45" s="74">
        <f>'IMPORT SCHLIESSERDATEN'!CN37</f>
        <v>0</v>
      </c>
      <c r="M45" s="74">
        <f>IF('IMPORT SCHLIESSERDATEN'!CS37="wie TS",-1,'IMPORT SCHLIESSERDATEN'!CS37)</f>
        <v>0</v>
      </c>
      <c r="N45" s="74">
        <f>IF(M45&lt;0,-1,'IMPORT SCHLIESSERDATEN'!CU37)</f>
        <v>0</v>
      </c>
      <c r="O45" s="74">
        <f>IF('IMPORT SCHLIESSERDATEN'!CZ37="wie TS",-1,'IMPORT SCHLIESSERDATEN'!CZ37)</f>
        <v>0</v>
      </c>
      <c r="P45" s="74">
        <f>IF(O45&lt;0,-1,'IMPORT SCHLIESSERDATEN'!DB37)</f>
        <v>0</v>
      </c>
      <c r="Q45" s="74">
        <f>'IMPORT SCHLIESSERDATEN'!DG37</f>
        <v>118</v>
      </c>
      <c r="R45" s="74">
        <f>'IMPORT SCHLIESSERDATEN'!DI37</f>
        <v>17</v>
      </c>
      <c r="S45" s="74">
        <f>'IMPORT SCHLIESSERDATEN'!DN37</f>
        <v>0</v>
      </c>
      <c r="T45" s="74">
        <f>IF('IMPORT SCHLIESSERDATEN'!DP37="V",9999,'IMPORT SCHLIESSERDATEN'!DP37)</f>
        <v>0</v>
      </c>
      <c r="U45" s="74">
        <f>'IMPORT SCHLIESSERDATEN'!BW37</f>
        <v>275</v>
      </c>
      <c r="V45" s="74">
        <f>'IMPORT SCHLIESSERDATEN'!BX37</f>
        <v>53</v>
      </c>
      <c r="W45" s="74">
        <f>'IMPORT SCHLIESSERDATEN'!BY37</f>
        <v>60</v>
      </c>
      <c r="X45" s="74">
        <f>'IMPORT SCHLIESSERDATEN'!CO37</f>
        <v>0</v>
      </c>
      <c r="Y45" s="74">
        <f>'IMPORT SCHLIESSERDATEN'!CQ37</f>
        <v>0</v>
      </c>
      <c r="Z45" s="74">
        <f>'IMPORT SCHLIESSERDATEN'!CV37</f>
        <v>0</v>
      </c>
      <c r="AA45" s="74">
        <f>'IMPORT SCHLIESSERDATEN'!CX37</f>
        <v>0</v>
      </c>
      <c r="AB45" s="74">
        <f>'IMPORT SCHLIESSERDATEN'!DC37</f>
        <v>0</v>
      </c>
      <c r="AC45" s="74">
        <f>'IMPORT SCHLIESSERDATEN'!DE37</f>
        <v>0</v>
      </c>
      <c r="AD45" s="74">
        <f>'IMPORT SCHLIESSERDATEN'!DJ37</f>
        <v>118</v>
      </c>
      <c r="AE45" s="74">
        <f>'IMPORT SCHLIESSERDATEN'!DL37</f>
        <v>0</v>
      </c>
      <c r="AF45" s="74">
        <f>'IMPORT SCHLIESSERDATEN'!DQ37</f>
        <v>0</v>
      </c>
      <c r="AG45" s="74">
        <f>IF('IMPORT SCHLIESSERDATEN'!DS37="V",9999,'IMPORT SCHLIESSERDATEN'!DS37)</f>
        <v>0</v>
      </c>
      <c r="AH45" s="74">
        <f>IF('IMPORT SCHLIESSERDATEN'!BZ37="V",9999,IF('IMPORT SCHLIESSERDATEN'!CD37="_",-1,'IMPORT SCHLIESSERDATEN'!BZ37))</f>
        <v>9999</v>
      </c>
      <c r="AI45" s="74">
        <f>IF('IMPORT SCHLIESSERDATEN'!CA37="V",9999,IF('IMPORT SCHLIESSERDATEN'!CD37="_",-1,'IMPORT SCHLIESSERDATEN'!CA37))</f>
        <v>30</v>
      </c>
      <c r="AJ45" s="74">
        <f>IF('IMPORT SCHLIESSERDATEN'!CB37="V",9999,IF('IMPORT SCHLIESSERDATEN'!CD37="_",-1,'IMPORT SCHLIESSERDATEN'!CB37))</f>
        <v>34</v>
      </c>
      <c r="AK45" s="74">
        <f>IF('IMPORT SCHLIESSERDATEN'!CC37="V",9999,IF('IMPORT SCHLIESSERDATEN'!CC37="_",-1,'IMPORT SCHLIESSERDATEN'!CC37))</f>
        <v>17</v>
      </c>
      <c r="AL45" s="74">
        <f>IF('IMPORT SCHLIESSERDATEN'!CD37="_",-1,'IMPORT SCHLIESSERDATEN'!CD37)</f>
        <v>375</v>
      </c>
      <c r="AM45" s="74">
        <f>'IMPORT SCHLIESSERDATEN'!CH37</f>
        <v>91</v>
      </c>
      <c r="AN45" s="74">
        <f>IF('IMPORT SCHLIESSERDATEN'!CE37="V",9999,'IMPORT SCHLIESSERDATEN'!CE37)</f>
        <v>30</v>
      </c>
      <c r="AO45" s="74">
        <f>IF('IMPORT SCHLIESSERDATEN'!CK37="_",-1,'IMPORT SCHLIESSERDATEN'!CK37)</f>
        <v>164</v>
      </c>
      <c r="AP45" s="74">
        <f>IF('IMPORT SCHLIESSERDATEN'!$U37="",0,1)</f>
        <v>1</v>
      </c>
      <c r="AQ45" s="74">
        <f>IF('IMPORT SCHLIESSERDATEN'!$V37="",0,1)</f>
        <v>1</v>
      </c>
      <c r="AR45" s="74">
        <f>IF('IMPORT SCHLIESSERDATEN'!$W37="",0,1)</f>
        <v>1</v>
      </c>
      <c r="AS45" s="74">
        <f>IF('IMPORT SCHLIESSERDATEN'!$AA37="",0,1)</f>
        <v>1</v>
      </c>
      <c r="AT45" s="74">
        <f>IF('IMPORT SCHLIESSERDATEN'!$AD37="",0,1) + IF('IMPORT SCHLIESSERDATEN'!$AE37="",0,2)</f>
        <v>2</v>
      </c>
      <c r="AU45" s="74" t="str">
        <f>IF('IMPORT SCHLIESSERDATEN'!$X37="",IF('IMPORT SCHLIESSERDATEN'!$Y37="","","F"),"V")</f>
        <v>V</v>
      </c>
      <c r="AV45" s="74" t="str">
        <f>IF('IMPORT SCHLIESSERDATEN'!$AB37&lt;&gt;"","M",IF('IMPORT SCHLIESSERDATEN'!$AD37&lt;&gt;"",IF(ISERR(SEARCH("UVIBIS",'IMPORT SCHLIESSERDATEN'!$B37)),"R","B"),IF(OR('IMPORT SCHLIESSERDATEN'!$AC37&lt;&gt;"",'IMPORT SCHLIESSERDATEN'!$AE37&lt;&gt;""),"E","")))</f>
        <v>E</v>
      </c>
      <c r="AW45" s="82"/>
      <c r="AX45" s="67"/>
    </row>
    <row r="46" spans="1:50" x14ac:dyDescent="0.25">
      <c r="A46" s="67">
        <f>IFERROR(IF(C46&lt;&gt;"",MAX($A$2:$A45)+1,""),"")</f>
        <v>34</v>
      </c>
      <c r="B46" s="223">
        <f t="shared" si="1"/>
        <v>34</v>
      </c>
      <c r="C46" s="216" t="str">
        <f>IF(J46=1,SUBSTITUTE('IMPORT SCHLIESSERDATEN'!$B38," Gangfl.",""),IF(J46=2,SUBSTITUTE('IMPORT SCHLIESSERDATEN'!$B38," Standfl.",""),'IMPORT SCHLIESSERDATEN'!$B38))</f>
        <v>TS 93 G GSR-EMF 2 /BG EN 2-5</v>
      </c>
      <c r="D46" s="216" t="str">
        <f>IF('IMPORT SCHLIESSERDATEN'!$AF38&lt;&gt;"",IF(COUNTA('IMPORT SCHLIESSERDATEN'!$AN38:$AU38)&gt;0,"X","G"),IF('IMPORT SCHLIESSERDATEN'!$AG38&lt;&gt;"","S",IF('IMPORT SCHLIESSERDATEN'!$AH38&lt;&gt;"","I",IF('IMPORT SCHLIESSERDATEN'!$AI38&lt;&gt;"","B",IF('IMPORT SCHLIESSERDATEN'!$AJ38&lt;&gt;"","D","")))))</f>
        <v>G</v>
      </c>
      <c r="E46" s="248" t="str">
        <f>'IMPORT SCHLIESSERDATEN'!AK38 &amp; IF('IMPORT SCHLIESSERDATEN'!AL38="",""," "&amp; 'IMPORT SCHLIESSERDATEN'!AL38)</f>
        <v>93 G</v>
      </c>
      <c r="F46" s="74">
        <f>IFERROR(IF(D46="X",2^(MATCH("",'IMPORT SCHLIESSERDATEN'!$AN38:$AU38,-1)-1),IF(AV46="F",2^(MATCH("",'IMPORT SCHLIESSERDATEN'!$BH38:$BK38,-1)-1),2^(MATCH("",'IMPORT SCHLIESSERDATEN'!$AV38:$BG38,-1)-1))),0)</f>
        <v>256</v>
      </c>
      <c r="G46" s="74">
        <f>IF(AND('IMPORT SCHLIESSERDATEN'!$O38='IMPORT SCHLIESSERDATEN'!$R38,'IMPORT SCHLIESSERDATEN'!$O38&lt;&gt;"",'IMPORT SCHLIESSERDATEN'!$R38&lt;&gt;""),1,0)  +  IF(AND('IMPORT SCHLIESSERDATEN'!$P38='IMPORT SCHLIESSERDATEN'!$S38,'IMPORT SCHLIESSERDATEN'!$P38&lt;&gt;"",'IMPORT SCHLIESSERDATEN'!$S38&lt;&gt;""),2,0)   +  IF(AND('IMPORT SCHLIESSERDATEN'!$O38='IMPORT SCHLIESSERDATEN'!$S38,'IMPORT SCHLIESSERDATEN'!$O38&lt;&gt;"",'IMPORT SCHLIESSERDATEN'!$S38&lt;&gt;""),4,0)   +  IF(AND('IMPORT SCHLIESSERDATEN'!$P38='IMPORT SCHLIESSERDATEN'!$R38,'IMPORT SCHLIESSERDATEN'!$P38&lt;&gt;"",'IMPORT SCHLIESSERDATEN'!$R38&lt;&gt;""),8,0)   +  IF('IMPORT SCHLIESSERDATEN'!$Q38&lt;&gt;"",IF('IMPORT SCHLIESSERDATEN'!$R38&lt;&gt;"",32,0) + IF('IMPORT SCHLIESSERDATEN'!$S38&lt;&gt;"",64,0),0)  +  IF('IMPORT SCHLIESSERDATEN'!$T38&lt;&gt;"",IF('IMPORT SCHLIESSERDATEN'!$Q38&lt;&gt;"",128+256,128),0)</f>
        <v>8</v>
      </c>
      <c r="H46" s="74">
        <f>IF('IMPORT SCHLIESSERDATEN'!$H38="",0,1) + IF('IMPORT SCHLIESSERDATEN'!$I38="",0,2) + IF('IMPORT SCHLIESSERDATEN'!$J38="",0,4) + IF('IMPORT SCHLIESSERDATEN'!$K38="",0,8) + IF('IMPORT SCHLIESSERDATEN'!$L38="",0,16) + IF('IMPORT SCHLIESSERDATEN'!$M38="",0,32) + IF('IMPORT SCHLIESSERDATEN'!$N38="",0,64)</f>
        <v>30</v>
      </c>
      <c r="I46" s="74">
        <f>IF('IMPORT SCHLIESSERDATEN'!$D38="",0,1) + IF('IMPORT SCHLIESSERDATEN'!$E38="",0,2) + IF('IMPORT SCHLIESSERDATEN'!$E38="S",4,0)</f>
        <v>2</v>
      </c>
      <c r="J46" s="74">
        <f>IF(ISERR(FIND(" Gangfl.",'IMPORT SCHLIESSERDATEN'!$B38)),IF(ISERR(FIND(" Standfl.",'IMPORT SCHLIESSERDATEN'!$B38)),0,2),1)</f>
        <v>1</v>
      </c>
      <c r="K46" s="74">
        <f>'IMPORT SCHLIESSERDATEN'!CL38</f>
        <v>0</v>
      </c>
      <c r="L46" s="74">
        <f>'IMPORT SCHLIESSERDATEN'!CN38</f>
        <v>0</v>
      </c>
      <c r="M46" s="74">
        <f>IF('IMPORT SCHLIESSERDATEN'!CS38="wie TS",-1,'IMPORT SCHLIESSERDATEN'!CS38)</f>
        <v>0</v>
      </c>
      <c r="N46" s="74">
        <f>IF(M46&lt;0,-1,'IMPORT SCHLIESSERDATEN'!CU38)</f>
        <v>0</v>
      </c>
      <c r="O46" s="74">
        <f>IF('IMPORT SCHLIESSERDATEN'!CZ38="wie TS",-1,'IMPORT SCHLIESSERDATEN'!CZ38)</f>
        <v>0</v>
      </c>
      <c r="P46" s="74">
        <f>IF(O46&lt;0,-1,'IMPORT SCHLIESSERDATEN'!DB38)</f>
        <v>0</v>
      </c>
      <c r="Q46" s="74">
        <f>'IMPORT SCHLIESSERDATEN'!DG38</f>
        <v>118</v>
      </c>
      <c r="R46" s="74">
        <f>'IMPORT SCHLIESSERDATEN'!DI38</f>
        <v>17</v>
      </c>
      <c r="S46" s="74">
        <f>'IMPORT SCHLIESSERDATEN'!DN38</f>
        <v>0</v>
      </c>
      <c r="T46" s="74">
        <f>IF('IMPORT SCHLIESSERDATEN'!DP38="V",9999,'IMPORT SCHLIESSERDATEN'!DP38)</f>
        <v>0</v>
      </c>
      <c r="U46" s="74">
        <f>'IMPORT SCHLIESSERDATEN'!BW38</f>
        <v>275</v>
      </c>
      <c r="V46" s="74">
        <f>'IMPORT SCHLIESSERDATEN'!BX38</f>
        <v>53</v>
      </c>
      <c r="W46" s="74">
        <f>'IMPORT SCHLIESSERDATEN'!BY38</f>
        <v>60</v>
      </c>
      <c r="X46" s="74">
        <f>'IMPORT SCHLIESSERDATEN'!CO38</f>
        <v>0</v>
      </c>
      <c r="Y46" s="74">
        <f>'IMPORT SCHLIESSERDATEN'!CQ38</f>
        <v>0</v>
      </c>
      <c r="Z46" s="74">
        <f>'IMPORT SCHLIESSERDATEN'!CV38</f>
        <v>0</v>
      </c>
      <c r="AA46" s="74">
        <f>'IMPORT SCHLIESSERDATEN'!CX38</f>
        <v>0</v>
      </c>
      <c r="AB46" s="74">
        <f>'IMPORT SCHLIESSERDATEN'!DC38</f>
        <v>0</v>
      </c>
      <c r="AC46" s="74">
        <f>'IMPORT SCHLIESSERDATEN'!DE38</f>
        <v>0</v>
      </c>
      <c r="AD46" s="74">
        <f>'IMPORT SCHLIESSERDATEN'!DJ38</f>
        <v>118</v>
      </c>
      <c r="AE46" s="74">
        <f>'IMPORT SCHLIESSERDATEN'!DL38</f>
        <v>0</v>
      </c>
      <c r="AF46" s="74">
        <f>'IMPORT SCHLIESSERDATEN'!DQ38</f>
        <v>0</v>
      </c>
      <c r="AG46" s="74">
        <f>IF('IMPORT SCHLIESSERDATEN'!DS38="V",9999,'IMPORT SCHLIESSERDATEN'!DS38)</f>
        <v>0</v>
      </c>
      <c r="AH46" s="74">
        <f>IF('IMPORT SCHLIESSERDATEN'!BZ38="V",9999,IF('IMPORT SCHLIESSERDATEN'!CD38="_",-1,'IMPORT SCHLIESSERDATEN'!BZ38))</f>
        <v>9999</v>
      </c>
      <c r="AI46" s="74">
        <f>IF('IMPORT SCHLIESSERDATEN'!CA38="V",9999,IF('IMPORT SCHLIESSERDATEN'!CD38="_",-1,'IMPORT SCHLIESSERDATEN'!CA38))</f>
        <v>30</v>
      </c>
      <c r="AJ46" s="74">
        <f>IF('IMPORT SCHLIESSERDATEN'!CB38="V",9999,IF('IMPORT SCHLIESSERDATEN'!CD38="_",-1,'IMPORT SCHLIESSERDATEN'!CB38))</f>
        <v>34</v>
      </c>
      <c r="AK46" s="74">
        <f>IF('IMPORT SCHLIESSERDATEN'!CC38="V",9999,IF('IMPORT SCHLIESSERDATEN'!CC38="_",-1,'IMPORT SCHLIESSERDATEN'!CC38))</f>
        <v>17</v>
      </c>
      <c r="AL46" s="74">
        <f>IF('IMPORT SCHLIESSERDATEN'!CD38="_",-1,'IMPORT SCHLIESSERDATEN'!CD38)</f>
        <v>375</v>
      </c>
      <c r="AM46" s="74">
        <f>'IMPORT SCHLIESSERDATEN'!CH38</f>
        <v>91</v>
      </c>
      <c r="AN46" s="74">
        <f>IF('IMPORT SCHLIESSERDATEN'!CE38="V",9999,'IMPORT SCHLIESSERDATEN'!CE38)</f>
        <v>30</v>
      </c>
      <c r="AO46" s="74">
        <f>IF('IMPORT SCHLIESSERDATEN'!CK38="_",-1,'IMPORT SCHLIESSERDATEN'!CK38)</f>
        <v>164</v>
      </c>
      <c r="AP46" s="74">
        <f>IF('IMPORT SCHLIESSERDATEN'!$U38="",0,1)</f>
        <v>1</v>
      </c>
      <c r="AQ46" s="74">
        <f>IF('IMPORT SCHLIESSERDATEN'!$V38="",0,1)</f>
        <v>1</v>
      </c>
      <c r="AR46" s="74">
        <f>IF('IMPORT SCHLIESSERDATEN'!$W38="",0,1)</f>
        <v>1</v>
      </c>
      <c r="AS46" s="74">
        <f>IF('IMPORT SCHLIESSERDATEN'!$AA38="",0,1)</f>
        <v>1</v>
      </c>
      <c r="AT46" s="74">
        <f>IF('IMPORT SCHLIESSERDATEN'!$AD38="",0,1) + IF('IMPORT SCHLIESSERDATEN'!$AE38="",0,2)</f>
        <v>2</v>
      </c>
      <c r="AU46" s="74" t="str">
        <f>IF('IMPORT SCHLIESSERDATEN'!$X38="",IF('IMPORT SCHLIESSERDATEN'!$Y38="","","F"),"V")</f>
        <v>V</v>
      </c>
      <c r="AV46" s="74" t="str">
        <f>IF('IMPORT SCHLIESSERDATEN'!$AB38&lt;&gt;"","M",IF('IMPORT SCHLIESSERDATEN'!$AD38&lt;&gt;"",IF(ISERR(SEARCH("UVIBIS",'IMPORT SCHLIESSERDATEN'!$B38)),"R","B"),IF(OR('IMPORT SCHLIESSERDATEN'!$AC38&lt;&gt;"",'IMPORT SCHLIESSERDATEN'!$AE38&lt;&gt;""),"E","")))</f>
        <v>E</v>
      </c>
      <c r="AW46" s="82"/>
      <c r="AX46" s="67"/>
    </row>
    <row r="47" spans="1:50" x14ac:dyDescent="0.25">
      <c r="A47" s="67">
        <f>IFERROR(IF(C47&lt;&gt;"",MAX($A$2:$A46)+1,""),"")</f>
        <v>35</v>
      </c>
      <c r="B47" s="223">
        <f t="shared" si="1"/>
        <v>35</v>
      </c>
      <c r="C47" s="216" t="str">
        <f>IF(J47=1,SUBSTITUTE('IMPORT SCHLIESSERDATEN'!$B39," Gangfl.",""),IF(J47=2,SUBSTITUTE('IMPORT SCHLIESSERDATEN'!$B39," Standfl.",""),'IMPORT SCHLIESSERDATEN'!$B39))</f>
        <v>TS 93 G GSR-EMR 1 /BG EN 2-5</v>
      </c>
      <c r="D47" s="216" t="str">
        <f>IF('IMPORT SCHLIESSERDATEN'!$AF39&lt;&gt;"",IF(COUNTA('IMPORT SCHLIESSERDATEN'!$AN39:$AU39)&gt;0,"X","G"),IF('IMPORT SCHLIESSERDATEN'!$AG39&lt;&gt;"","S",IF('IMPORT SCHLIESSERDATEN'!$AH39&lt;&gt;"","I",IF('IMPORT SCHLIESSERDATEN'!$AI39&lt;&gt;"","B",IF('IMPORT SCHLIESSERDATEN'!$AJ39&lt;&gt;"","D","")))))</f>
        <v>G</v>
      </c>
      <c r="E47" s="248" t="str">
        <f>'IMPORT SCHLIESSERDATEN'!AK39 &amp; IF('IMPORT SCHLIESSERDATEN'!AL39="",""," "&amp; 'IMPORT SCHLIESSERDATEN'!AL39)</f>
        <v>93 G</v>
      </c>
      <c r="F47" s="74">
        <f>IFERROR(IF(D47="X",2^(MATCH("",'IMPORT SCHLIESSERDATEN'!$AN39:$AU39,-1)-1),IF(AV47="F",2^(MATCH("",'IMPORT SCHLIESSERDATEN'!$BH39:$BK39,-1)-1),2^(MATCH("",'IMPORT SCHLIESSERDATEN'!$AV39:$BG39,-1)-1))),0)</f>
        <v>512</v>
      </c>
      <c r="G47" s="74">
        <f>IF(AND('IMPORT SCHLIESSERDATEN'!$O39='IMPORT SCHLIESSERDATEN'!$R39,'IMPORT SCHLIESSERDATEN'!$O39&lt;&gt;"",'IMPORT SCHLIESSERDATEN'!$R39&lt;&gt;""),1,0)  +  IF(AND('IMPORT SCHLIESSERDATEN'!$P39='IMPORT SCHLIESSERDATEN'!$S39,'IMPORT SCHLIESSERDATEN'!$P39&lt;&gt;"",'IMPORT SCHLIESSERDATEN'!$S39&lt;&gt;""),2,0)   +  IF(AND('IMPORT SCHLIESSERDATEN'!$O39='IMPORT SCHLIESSERDATEN'!$S39,'IMPORT SCHLIESSERDATEN'!$O39&lt;&gt;"",'IMPORT SCHLIESSERDATEN'!$S39&lt;&gt;""),4,0)   +  IF(AND('IMPORT SCHLIESSERDATEN'!$P39='IMPORT SCHLIESSERDATEN'!$R39,'IMPORT SCHLIESSERDATEN'!$P39&lt;&gt;"",'IMPORT SCHLIESSERDATEN'!$R39&lt;&gt;""),8,0)   +  IF('IMPORT SCHLIESSERDATEN'!$Q39&lt;&gt;"",IF('IMPORT SCHLIESSERDATEN'!$R39&lt;&gt;"",32,0) + IF('IMPORT SCHLIESSERDATEN'!$S39&lt;&gt;"",64,0),0)  +  IF('IMPORT SCHLIESSERDATEN'!$T39&lt;&gt;"",IF('IMPORT SCHLIESSERDATEN'!$Q39&lt;&gt;"",128+256,128),0)</f>
        <v>8</v>
      </c>
      <c r="H47" s="74">
        <f>IF('IMPORT SCHLIESSERDATEN'!$H39="",0,1) + IF('IMPORT SCHLIESSERDATEN'!$I39="",0,2) + IF('IMPORT SCHLIESSERDATEN'!$J39="",0,4) + IF('IMPORT SCHLIESSERDATEN'!$K39="",0,8) + IF('IMPORT SCHLIESSERDATEN'!$L39="",0,16) + IF('IMPORT SCHLIESSERDATEN'!$M39="",0,32) + IF('IMPORT SCHLIESSERDATEN'!$N39="",0,64)</f>
        <v>30</v>
      </c>
      <c r="I47" s="74">
        <f>IF('IMPORT SCHLIESSERDATEN'!$D39="",0,1) + IF('IMPORT SCHLIESSERDATEN'!$E39="",0,2) + IF('IMPORT SCHLIESSERDATEN'!$E39="S",4,0)</f>
        <v>2</v>
      </c>
      <c r="J47" s="74">
        <f>IF(ISERR(FIND(" Gangfl.",'IMPORT SCHLIESSERDATEN'!$B39)),IF(ISERR(FIND(" Standfl.",'IMPORT SCHLIESSERDATEN'!$B39)),0,2),1)</f>
        <v>1</v>
      </c>
      <c r="K47" s="74">
        <f>'IMPORT SCHLIESSERDATEN'!CL39</f>
        <v>0</v>
      </c>
      <c r="L47" s="74">
        <f>'IMPORT SCHLIESSERDATEN'!CN39</f>
        <v>0</v>
      </c>
      <c r="M47" s="74">
        <f>IF('IMPORT SCHLIESSERDATEN'!CS39="wie TS",-1,'IMPORT SCHLIESSERDATEN'!CS39)</f>
        <v>0</v>
      </c>
      <c r="N47" s="74">
        <f>IF(M47&lt;0,-1,'IMPORT SCHLIESSERDATEN'!CU39)</f>
        <v>0</v>
      </c>
      <c r="O47" s="74">
        <f>IF('IMPORT SCHLIESSERDATEN'!CZ39="wie TS",-1,'IMPORT SCHLIESSERDATEN'!CZ39)</f>
        <v>0</v>
      </c>
      <c r="P47" s="74">
        <f>IF(O47&lt;0,-1,'IMPORT SCHLIESSERDATEN'!DB39)</f>
        <v>0</v>
      </c>
      <c r="Q47" s="74">
        <f>'IMPORT SCHLIESSERDATEN'!DG39</f>
        <v>118</v>
      </c>
      <c r="R47" s="74">
        <f>'IMPORT SCHLIESSERDATEN'!DI39</f>
        <v>17</v>
      </c>
      <c r="S47" s="74">
        <f>'IMPORT SCHLIESSERDATEN'!DN39</f>
        <v>0</v>
      </c>
      <c r="T47" s="74">
        <f>IF('IMPORT SCHLIESSERDATEN'!DP39="V",9999,'IMPORT SCHLIESSERDATEN'!DP39)</f>
        <v>0</v>
      </c>
      <c r="U47" s="74">
        <f>'IMPORT SCHLIESSERDATEN'!BW39</f>
        <v>275</v>
      </c>
      <c r="V47" s="74">
        <f>'IMPORT SCHLIESSERDATEN'!BX39</f>
        <v>53</v>
      </c>
      <c r="W47" s="74">
        <f>'IMPORT SCHLIESSERDATEN'!BY39</f>
        <v>60</v>
      </c>
      <c r="X47" s="74">
        <f>'IMPORT SCHLIESSERDATEN'!CO39</f>
        <v>0</v>
      </c>
      <c r="Y47" s="74">
        <f>'IMPORT SCHLIESSERDATEN'!CQ39</f>
        <v>0</v>
      </c>
      <c r="Z47" s="74">
        <f>'IMPORT SCHLIESSERDATEN'!CV39</f>
        <v>0</v>
      </c>
      <c r="AA47" s="74">
        <f>'IMPORT SCHLIESSERDATEN'!CX39</f>
        <v>0</v>
      </c>
      <c r="AB47" s="74">
        <f>'IMPORT SCHLIESSERDATEN'!DC39</f>
        <v>0</v>
      </c>
      <c r="AC47" s="74">
        <f>'IMPORT SCHLIESSERDATEN'!DE39</f>
        <v>0</v>
      </c>
      <c r="AD47" s="74">
        <f>'IMPORT SCHLIESSERDATEN'!DJ39</f>
        <v>118</v>
      </c>
      <c r="AE47" s="74">
        <f>'IMPORT SCHLIESSERDATEN'!DL39</f>
        <v>0</v>
      </c>
      <c r="AF47" s="74">
        <f>'IMPORT SCHLIESSERDATEN'!DQ39</f>
        <v>0</v>
      </c>
      <c r="AG47" s="74">
        <f>IF('IMPORT SCHLIESSERDATEN'!DS39="V",9999,'IMPORT SCHLIESSERDATEN'!DS39)</f>
        <v>0</v>
      </c>
      <c r="AH47" s="74">
        <f>IF('IMPORT SCHLIESSERDATEN'!BZ39="V",9999,IF('IMPORT SCHLIESSERDATEN'!CD39="_",-1,'IMPORT SCHLIESSERDATEN'!BZ39))</f>
        <v>9999</v>
      </c>
      <c r="AI47" s="74">
        <f>IF('IMPORT SCHLIESSERDATEN'!CA39="V",9999,IF('IMPORT SCHLIESSERDATEN'!CD39="_",-1,'IMPORT SCHLIESSERDATEN'!CA39))</f>
        <v>30</v>
      </c>
      <c r="AJ47" s="74">
        <f>IF('IMPORT SCHLIESSERDATEN'!CB39="V",9999,IF('IMPORT SCHLIESSERDATEN'!CD39="_",-1,'IMPORT SCHLIESSERDATEN'!CB39))</f>
        <v>55</v>
      </c>
      <c r="AK47" s="74">
        <f>IF('IMPORT SCHLIESSERDATEN'!CC39="V",9999,IF('IMPORT SCHLIESSERDATEN'!CC39="_",-1,'IMPORT SCHLIESSERDATEN'!CC39))</f>
        <v>28</v>
      </c>
      <c r="AL47" s="74">
        <f>IF('IMPORT SCHLIESSERDATEN'!CD39="_",-1,'IMPORT SCHLIESSERDATEN'!CD39)</f>
        <v>375</v>
      </c>
      <c r="AM47" s="74">
        <f>'IMPORT SCHLIESSERDATEN'!CH39</f>
        <v>91</v>
      </c>
      <c r="AN47" s="74">
        <f>IF('IMPORT SCHLIESSERDATEN'!CE39="V",9999,'IMPORT SCHLIESSERDATEN'!CE39)</f>
        <v>30</v>
      </c>
      <c r="AO47" s="74">
        <f>IF('IMPORT SCHLIESSERDATEN'!CK39="_",-1,'IMPORT SCHLIESSERDATEN'!CK39)</f>
        <v>164</v>
      </c>
      <c r="AP47" s="74">
        <f>IF('IMPORT SCHLIESSERDATEN'!$U39="",0,1)</f>
        <v>1</v>
      </c>
      <c r="AQ47" s="74">
        <f>IF('IMPORT SCHLIESSERDATEN'!$V39="",0,1)</f>
        <v>1</v>
      </c>
      <c r="AR47" s="74">
        <f>IF('IMPORT SCHLIESSERDATEN'!$W39="",0,1)</f>
        <v>1</v>
      </c>
      <c r="AS47" s="74">
        <f>IF('IMPORT SCHLIESSERDATEN'!$AA39="",0,1)</f>
        <v>1</v>
      </c>
      <c r="AT47" s="74">
        <f>IF('IMPORT SCHLIESSERDATEN'!$AD39="",0,1) + IF('IMPORT SCHLIESSERDATEN'!$AE39="",0,2)</f>
        <v>1</v>
      </c>
      <c r="AU47" s="74" t="str">
        <f>IF('IMPORT SCHLIESSERDATEN'!$X39="",IF('IMPORT SCHLIESSERDATEN'!$Y39="","","F"),"V")</f>
        <v>V</v>
      </c>
      <c r="AV47" s="74" t="str">
        <f>IF('IMPORT SCHLIESSERDATEN'!$AB39&lt;&gt;"","M",IF('IMPORT SCHLIESSERDATEN'!$AD39&lt;&gt;"",IF(ISERR(SEARCH("UVIBIS",'IMPORT SCHLIESSERDATEN'!$B39)),"R","B"),IF(OR('IMPORT SCHLIESSERDATEN'!$AC39&lt;&gt;"",'IMPORT SCHLIESSERDATEN'!$AE39&lt;&gt;""),"E","")))</f>
        <v>R</v>
      </c>
      <c r="AW47" s="82"/>
      <c r="AX47" s="67"/>
    </row>
    <row r="48" spans="1:50" x14ac:dyDescent="0.25">
      <c r="A48" s="67">
        <f>IFERROR(IF(C48&lt;&gt;"",MAX($A$2:$A47)+1,""),"")</f>
        <v>36</v>
      </c>
      <c r="B48" s="223">
        <f t="shared" si="1"/>
        <v>36</v>
      </c>
      <c r="C48" s="216" t="str">
        <f>IF(J48=1,SUBSTITUTE('IMPORT SCHLIESSERDATEN'!$B40," Gangfl.",""),IF(J48=2,SUBSTITUTE('IMPORT SCHLIESSERDATEN'!$B40," Standfl.",""),'IMPORT SCHLIESSERDATEN'!$B40))</f>
        <v>TS 93 G GSR-EMR 1G /BG EN 2-5</v>
      </c>
      <c r="D48" s="216" t="str">
        <f>IF('IMPORT SCHLIESSERDATEN'!$AF40&lt;&gt;"",IF(COUNTA('IMPORT SCHLIESSERDATEN'!$AN40:$AU40)&gt;0,"X","G"),IF('IMPORT SCHLIESSERDATEN'!$AG40&lt;&gt;"","S",IF('IMPORT SCHLIESSERDATEN'!$AH40&lt;&gt;"","I",IF('IMPORT SCHLIESSERDATEN'!$AI40&lt;&gt;"","B",IF('IMPORT SCHLIESSERDATEN'!$AJ40&lt;&gt;"","D","")))))</f>
        <v>G</v>
      </c>
      <c r="E48" s="248" t="str">
        <f>'IMPORT SCHLIESSERDATEN'!AK40 &amp; IF('IMPORT SCHLIESSERDATEN'!AL40="",""," "&amp; 'IMPORT SCHLIESSERDATEN'!AL40)</f>
        <v>93 G</v>
      </c>
      <c r="F48" s="74">
        <f>IFERROR(IF(D48="X",2^(MATCH("",'IMPORT SCHLIESSERDATEN'!$AN40:$AU40,-1)-1),IF(AV48="F",2^(MATCH("",'IMPORT SCHLIESSERDATEN'!$BH40:$BK40,-1)-1),2^(MATCH("",'IMPORT SCHLIESSERDATEN'!$AV40:$BG40,-1)-1))),0)</f>
        <v>1024</v>
      </c>
      <c r="G48" s="74">
        <f>IF(AND('IMPORT SCHLIESSERDATEN'!$O40='IMPORT SCHLIESSERDATEN'!$R40,'IMPORT SCHLIESSERDATEN'!$O40&lt;&gt;"",'IMPORT SCHLIESSERDATEN'!$R40&lt;&gt;""),1,0)  +  IF(AND('IMPORT SCHLIESSERDATEN'!$P40='IMPORT SCHLIESSERDATEN'!$S40,'IMPORT SCHLIESSERDATEN'!$P40&lt;&gt;"",'IMPORT SCHLIESSERDATEN'!$S40&lt;&gt;""),2,0)   +  IF(AND('IMPORT SCHLIESSERDATEN'!$O40='IMPORT SCHLIESSERDATEN'!$S40,'IMPORT SCHLIESSERDATEN'!$O40&lt;&gt;"",'IMPORT SCHLIESSERDATEN'!$S40&lt;&gt;""),4,0)   +  IF(AND('IMPORT SCHLIESSERDATEN'!$P40='IMPORT SCHLIESSERDATEN'!$R40,'IMPORT SCHLIESSERDATEN'!$P40&lt;&gt;"",'IMPORT SCHLIESSERDATEN'!$R40&lt;&gt;""),8,0)   +  IF('IMPORT SCHLIESSERDATEN'!$Q40&lt;&gt;"",IF('IMPORT SCHLIESSERDATEN'!$R40&lt;&gt;"",32,0) + IF('IMPORT SCHLIESSERDATEN'!$S40&lt;&gt;"",64,0),0)  +  IF('IMPORT SCHLIESSERDATEN'!$T40&lt;&gt;"",IF('IMPORT SCHLIESSERDATEN'!$Q40&lt;&gt;"",128+256,128),0)</f>
        <v>8</v>
      </c>
      <c r="H48" s="74">
        <f>IF('IMPORT SCHLIESSERDATEN'!$H40="",0,1) + IF('IMPORT SCHLIESSERDATEN'!$I40="",0,2) + IF('IMPORT SCHLIESSERDATEN'!$J40="",0,4) + IF('IMPORT SCHLIESSERDATEN'!$K40="",0,8) + IF('IMPORT SCHLIESSERDATEN'!$L40="",0,16) + IF('IMPORT SCHLIESSERDATEN'!$M40="",0,32) + IF('IMPORT SCHLIESSERDATEN'!$N40="",0,64)</f>
        <v>30</v>
      </c>
      <c r="I48" s="74">
        <f>IF('IMPORT SCHLIESSERDATEN'!$D40="",0,1) + IF('IMPORT SCHLIESSERDATEN'!$E40="",0,2) + IF('IMPORT SCHLIESSERDATEN'!$E40="S",4,0)</f>
        <v>2</v>
      </c>
      <c r="J48" s="74">
        <f>IF(ISERR(FIND(" Gangfl.",'IMPORT SCHLIESSERDATEN'!$B40)),IF(ISERR(FIND(" Standfl.",'IMPORT SCHLIESSERDATEN'!$B40)),0,2),1)</f>
        <v>1</v>
      </c>
      <c r="K48" s="74">
        <f>'IMPORT SCHLIESSERDATEN'!CL40</f>
        <v>0</v>
      </c>
      <c r="L48" s="74">
        <f>'IMPORT SCHLIESSERDATEN'!CN40</f>
        <v>0</v>
      </c>
      <c r="M48" s="74">
        <f>IF('IMPORT SCHLIESSERDATEN'!CS40="wie TS",-1,'IMPORT SCHLIESSERDATEN'!CS40)</f>
        <v>0</v>
      </c>
      <c r="N48" s="74">
        <f>IF(M48&lt;0,-1,'IMPORT SCHLIESSERDATEN'!CU40)</f>
        <v>0</v>
      </c>
      <c r="O48" s="74">
        <f>IF('IMPORT SCHLIESSERDATEN'!CZ40="wie TS",-1,'IMPORT SCHLIESSERDATEN'!CZ40)</f>
        <v>0</v>
      </c>
      <c r="P48" s="74">
        <f>IF(O48&lt;0,-1,'IMPORT SCHLIESSERDATEN'!DB40)</f>
        <v>0</v>
      </c>
      <c r="Q48" s="74">
        <f>'IMPORT SCHLIESSERDATEN'!DG40</f>
        <v>118</v>
      </c>
      <c r="R48" s="74">
        <f>'IMPORT SCHLIESSERDATEN'!DI40</f>
        <v>17</v>
      </c>
      <c r="S48" s="74">
        <f>'IMPORT SCHLIESSERDATEN'!DN40</f>
        <v>0</v>
      </c>
      <c r="T48" s="74">
        <f>IF('IMPORT SCHLIESSERDATEN'!DP40="V",9999,'IMPORT SCHLIESSERDATEN'!DP40)</f>
        <v>0</v>
      </c>
      <c r="U48" s="74">
        <f>'IMPORT SCHLIESSERDATEN'!BW40</f>
        <v>275</v>
      </c>
      <c r="V48" s="74">
        <f>'IMPORT SCHLIESSERDATEN'!BX40</f>
        <v>53</v>
      </c>
      <c r="W48" s="74">
        <f>'IMPORT SCHLIESSERDATEN'!BY40</f>
        <v>60</v>
      </c>
      <c r="X48" s="74">
        <f>'IMPORT SCHLIESSERDATEN'!CO40</f>
        <v>0</v>
      </c>
      <c r="Y48" s="74">
        <f>'IMPORT SCHLIESSERDATEN'!CQ40</f>
        <v>0</v>
      </c>
      <c r="Z48" s="74">
        <f>'IMPORT SCHLIESSERDATEN'!CV40</f>
        <v>0</v>
      </c>
      <c r="AA48" s="74">
        <f>'IMPORT SCHLIESSERDATEN'!CX40</f>
        <v>0</v>
      </c>
      <c r="AB48" s="74">
        <f>'IMPORT SCHLIESSERDATEN'!DC40</f>
        <v>0</v>
      </c>
      <c r="AC48" s="74">
        <f>'IMPORT SCHLIESSERDATEN'!DE40</f>
        <v>0</v>
      </c>
      <c r="AD48" s="74">
        <f>'IMPORT SCHLIESSERDATEN'!DJ40</f>
        <v>118</v>
      </c>
      <c r="AE48" s="74">
        <f>'IMPORT SCHLIESSERDATEN'!DL40</f>
        <v>0</v>
      </c>
      <c r="AF48" s="74">
        <f>'IMPORT SCHLIESSERDATEN'!DQ40</f>
        <v>0</v>
      </c>
      <c r="AG48" s="74">
        <f>IF('IMPORT SCHLIESSERDATEN'!DS40="V",9999,'IMPORT SCHLIESSERDATEN'!DS40)</f>
        <v>0</v>
      </c>
      <c r="AH48" s="74">
        <f>IF('IMPORT SCHLIESSERDATEN'!BZ40="V",9999,IF('IMPORT SCHLIESSERDATEN'!CD40="_",-1,'IMPORT SCHLIESSERDATEN'!BZ40))</f>
        <v>9999</v>
      </c>
      <c r="AI48" s="74">
        <f>IF('IMPORT SCHLIESSERDATEN'!CA40="V",9999,IF('IMPORT SCHLIESSERDATEN'!CD40="_",-1,'IMPORT SCHLIESSERDATEN'!CA40))</f>
        <v>30</v>
      </c>
      <c r="AJ48" s="74">
        <f>IF('IMPORT SCHLIESSERDATEN'!CB40="V",9999,IF('IMPORT SCHLIESSERDATEN'!CD40="_",-1,'IMPORT SCHLIESSERDATEN'!CB40))</f>
        <v>55</v>
      </c>
      <c r="AK48" s="74">
        <f>IF('IMPORT SCHLIESSERDATEN'!CC40="V",9999,IF('IMPORT SCHLIESSERDATEN'!CC40="_",-1,'IMPORT SCHLIESSERDATEN'!CC40))</f>
        <v>28</v>
      </c>
      <c r="AL48" s="74">
        <f>IF('IMPORT SCHLIESSERDATEN'!CD40="_",-1,'IMPORT SCHLIESSERDATEN'!CD40)</f>
        <v>375</v>
      </c>
      <c r="AM48" s="74">
        <f>'IMPORT SCHLIESSERDATEN'!CH40</f>
        <v>91</v>
      </c>
      <c r="AN48" s="74">
        <f>IF('IMPORT SCHLIESSERDATEN'!CE40="V",9999,'IMPORT SCHLIESSERDATEN'!CE40)</f>
        <v>30</v>
      </c>
      <c r="AO48" s="74">
        <f>IF('IMPORT SCHLIESSERDATEN'!CK40="_",-1,'IMPORT SCHLIESSERDATEN'!CK40)</f>
        <v>164</v>
      </c>
      <c r="AP48" s="74">
        <f>IF('IMPORT SCHLIESSERDATEN'!$U40="",0,1)</f>
        <v>1</v>
      </c>
      <c r="AQ48" s="74">
        <f>IF('IMPORT SCHLIESSERDATEN'!$V40="",0,1)</f>
        <v>1</v>
      </c>
      <c r="AR48" s="74">
        <f>IF('IMPORT SCHLIESSERDATEN'!$W40="",0,1)</f>
        <v>1</v>
      </c>
      <c r="AS48" s="74">
        <f>IF('IMPORT SCHLIESSERDATEN'!$AA40="",0,1)</f>
        <v>1</v>
      </c>
      <c r="AT48" s="74">
        <f>IF('IMPORT SCHLIESSERDATEN'!$AD40="",0,1) + IF('IMPORT SCHLIESSERDATEN'!$AE40="",0,2)</f>
        <v>1</v>
      </c>
      <c r="AU48" s="74" t="str">
        <f>IF('IMPORT SCHLIESSERDATEN'!$X40="",IF('IMPORT SCHLIESSERDATEN'!$Y40="","","F"),"V")</f>
        <v>V</v>
      </c>
      <c r="AV48" s="74" t="str">
        <f>IF('IMPORT SCHLIESSERDATEN'!$AB40&lt;&gt;"","M",IF('IMPORT SCHLIESSERDATEN'!$AD40&lt;&gt;"",IF(ISERR(SEARCH("UVIBIS",'IMPORT SCHLIESSERDATEN'!$B40)),"R","B"),IF(OR('IMPORT SCHLIESSERDATEN'!$AC40&lt;&gt;"",'IMPORT SCHLIESSERDATEN'!$AE40&lt;&gt;""),"E","")))</f>
        <v>R</v>
      </c>
      <c r="AW48" s="82"/>
      <c r="AX48" s="67"/>
    </row>
    <row r="49" spans="1:65" x14ac:dyDescent="0.25">
      <c r="A49" s="67">
        <f>IFERROR(IF(C49&lt;&gt;"",MAX($A$2:$A48)+1,""),"")</f>
        <v>37</v>
      </c>
      <c r="B49" s="223">
        <f t="shared" si="1"/>
        <v>37</v>
      </c>
      <c r="C49" s="216" t="str">
        <f>IF(J49=1,SUBSTITUTE('IMPORT SCHLIESSERDATEN'!$B41," Gangfl.",""),IF(J49=2,SUBSTITUTE('IMPORT SCHLIESSERDATEN'!$B41," Standfl.",""),'IMPORT SCHLIESSERDATEN'!$B41))</f>
        <v>TS 93 G GSR-EMR 2 /BG EN 2-5</v>
      </c>
      <c r="D49" s="216" t="str">
        <f>IF('IMPORT SCHLIESSERDATEN'!$AF41&lt;&gt;"",IF(COUNTA('IMPORT SCHLIESSERDATEN'!$AN41:$AU41)&gt;0,"X","G"),IF('IMPORT SCHLIESSERDATEN'!$AG41&lt;&gt;"","S",IF('IMPORT SCHLIESSERDATEN'!$AH41&lt;&gt;"","I",IF('IMPORT SCHLIESSERDATEN'!$AI41&lt;&gt;"","B",IF('IMPORT SCHLIESSERDATEN'!$AJ41&lt;&gt;"","D","")))))</f>
        <v>G</v>
      </c>
      <c r="E49" s="248" t="str">
        <f>'IMPORT SCHLIESSERDATEN'!AK41 &amp; IF('IMPORT SCHLIESSERDATEN'!AL41="",""," "&amp; 'IMPORT SCHLIESSERDATEN'!AL41)</f>
        <v>93 G</v>
      </c>
      <c r="F49" s="74">
        <f>IFERROR(IF(D49="X",2^(MATCH("",'IMPORT SCHLIESSERDATEN'!$AN41:$AU41,-1)-1),IF(AV49="F",2^(MATCH("",'IMPORT SCHLIESSERDATEN'!$BH41:$BK41,-1)-1),2^(MATCH("",'IMPORT SCHLIESSERDATEN'!$AV41:$BG41,-1)-1))),0)</f>
        <v>2048</v>
      </c>
      <c r="G49" s="74">
        <f>IF(AND('IMPORT SCHLIESSERDATEN'!$O41='IMPORT SCHLIESSERDATEN'!$R41,'IMPORT SCHLIESSERDATEN'!$O41&lt;&gt;"",'IMPORT SCHLIESSERDATEN'!$R41&lt;&gt;""),1,0)  +  IF(AND('IMPORT SCHLIESSERDATEN'!$P41='IMPORT SCHLIESSERDATEN'!$S41,'IMPORT SCHLIESSERDATEN'!$P41&lt;&gt;"",'IMPORT SCHLIESSERDATEN'!$S41&lt;&gt;""),2,0)   +  IF(AND('IMPORT SCHLIESSERDATEN'!$O41='IMPORT SCHLIESSERDATEN'!$S41,'IMPORT SCHLIESSERDATEN'!$O41&lt;&gt;"",'IMPORT SCHLIESSERDATEN'!$S41&lt;&gt;""),4,0)   +  IF(AND('IMPORT SCHLIESSERDATEN'!$P41='IMPORT SCHLIESSERDATEN'!$R41,'IMPORT SCHLIESSERDATEN'!$P41&lt;&gt;"",'IMPORT SCHLIESSERDATEN'!$R41&lt;&gt;""),8,0)   +  IF('IMPORT SCHLIESSERDATEN'!$Q41&lt;&gt;"",IF('IMPORT SCHLIESSERDATEN'!$R41&lt;&gt;"",32,0) + IF('IMPORT SCHLIESSERDATEN'!$S41&lt;&gt;"",64,0),0)  +  IF('IMPORT SCHLIESSERDATEN'!$T41&lt;&gt;"",IF('IMPORT SCHLIESSERDATEN'!$Q41&lt;&gt;"",128+256,128),0)</f>
        <v>8</v>
      </c>
      <c r="H49" s="74">
        <f>IF('IMPORT SCHLIESSERDATEN'!$H41="",0,1) + IF('IMPORT SCHLIESSERDATEN'!$I41="",0,2) + IF('IMPORT SCHLIESSERDATEN'!$J41="",0,4) + IF('IMPORT SCHLIESSERDATEN'!$K41="",0,8) + IF('IMPORT SCHLIESSERDATEN'!$L41="",0,16) + IF('IMPORT SCHLIESSERDATEN'!$M41="",0,32) + IF('IMPORT SCHLIESSERDATEN'!$N41="",0,64)</f>
        <v>30</v>
      </c>
      <c r="I49" s="74">
        <f>IF('IMPORT SCHLIESSERDATEN'!$D41="",0,1) + IF('IMPORT SCHLIESSERDATEN'!$E41="",0,2) + IF('IMPORT SCHLIESSERDATEN'!$E41="S",4,0)</f>
        <v>2</v>
      </c>
      <c r="J49" s="74">
        <f>IF(ISERR(FIND(" Gangfl.",'IMPORT SCHLIESSERDATEN'!$B41)),IF(ISERR(FIND(" Standfl.",'IMPORT SCHLIESSERDATEN'!$B41)),0,2),1)</f>
        <v>1</v>
      </c>
      <c r="K49" s="74">
        <f>'IMPORT SCHLIESSERDATEN'!CL41</f>
        <v>0</v>
      </c>
      <c r="L49" s="74">
        <f>'IMPORT SCHLIESSERDATEN'!CN41</f>
        <v>0</v>
      </c>
      <c r="M49" s="74">
        <f>IF('IMPORT SCHLIESSERDATEN'!CS41="wie TS",-1,'IMPORT SCHLIESSERDATEN'!CS41)</f>
        <v>0</v>
      </c>
      <c r="N49" s="74">
        <f>IF(M49&lt;0,-1,'IMPORT SCHLIESSERDATEN'!CU41)</f>
        <v>0</v>
      </c>
      <c r="O49" s="74">
        <f>IF('IMPORT SCHLIESSERDATEN'!CZ41="wie TS",-1,'IMPORT SCHLIESSERDATEN'!CZ41)</f>
        <v>0</v>
      </c>
      <c r="P49" s="74">
        <f>IF(O49&lt;0,-1,'IMPORT SCHLIESSERDATEN'!DB41)</f>
        <v>0</v>
      </c>
      <c r="Q49" s="74">
        <f>'IMPORT SCHLIESSERDATEN'!DG41</f>
        <v>118</v>
      </c>
      <c r="R49" s="74">
        <f>'IMPORT SCHLIESSERDATEN'!DI41</f>
        <v>17</v>
      </c>
      <c r="S49" s="74">
        <f>'IMPORT SCHLIESSERDATEN'!DN41</f>
        <v>0</v>
      </c>
      <c r="T49" s="74">
        <f>IF('IMPORT SCHLIESSERDATEN'!DP41="V",9999,'IMPORT SCHLIESSERDATEN'!DP41)</f>
        <v>0</v>
      </c>
      <c r="U49" s="74">
        <f>'IMPORT SCHLIESSERDATEN'!BW41</f>
        <v>275</v>
      </c>
      <c r="V49" s="74">
        <f>'IMPORT SCHLIESSERDATEN'!BX41</f>
        <v>53</v>
      </c>
      <c r="W49" s="74">
        <f>'IMPORT SCHLIESSERDATEN'!BY41</f>
        <v>60</v>
      </c>
      <c r="X49" s="74">
        <f>'IMPORT SCHLIESSERDATEN'!CO41</f>
        <v>0</v>
      </c>
      <c r="Y49" s="74">
        <f>'IMPORT SCHLIESSERDATEN'!CQ41</f>
        <v>0</v>
      </c>
      <c r="Z49" s="74">
        <f>'IMPORT SCHLIESSERDATEN'!CV41</f>
        <v>0</v>
      </c>
      <c r="AA49" s="74">
        <f>'IMPORT SCHLIESSERDATEN'!CX41</f>
        <v>0</v>
      </c>
      <c r="AB49" s="74">
        <f>'IMPORT SCHLIESSERDATEN'!DC41</f>
        <v>0</v>
      </c>
      <c r="AC49" s="74">
        <f>'IMPORT SCHLIESSERDATEN'!DE41</f>
        <v>0</v>
      </c>
      <c r="AD49" s="74">
        <f>'IMPORT SCHLIESSERDATEN'!DJ41</f>
        <v>118</v>
      </c>
      <c r="AE49" s="74">
        <f>'IMPORT SCHLIESSERDATEN'!DL41</f>
        <v>0</v>
      </c>
      <c r="AF49" s="74">
        <f>'IMPORT SCHLIESSERDATEN'!DQ41</f>
        <v>0</v>
      </c>
      <c r="AG49" s="74">
        <f>IF('IMPORT SCHLIESSERDATEN'!DS41="V",9999,'IMPORT SCHLIESSERDATEN'!DS41)</f>
        <v>0</v>
      </c>
      <c r="AH49" s="74">
        <f>IF('IMPORT SCHLIESSERDATEN'!BZ41="V",9999,IF('IMPORT SCHLIESSERDATEN'!CD41="_",-1,'IMPORT SCHLIESSERDATEN'!BZ41))</f>
        <v>9999</v>
      </c>
      <c r="AI49" s="74">
        <f>IF('IMPORT SCHLIESSERDATEN'!CA41="V",9999,IF('IMPORT SCHLIESSERDATEN'!CD41="_",-1,'IMPORT SCHLIESSERDATEN'!CA41))</f>
        <v>30</v>
      </c>
      <c r="AJ49" s="74">
        <f>IF('IMPORT SCHLIESSERDATEN'!CB41="V",9999,IF('IMPORT SCHLIESSERDATEN'!CD41="_",-1,'IMPORT SCHLIESSERDATEN'!CB41))</f>
        <v>55</v>
      </c>
      <c r="AK49" s="74">
        <f>IF('IMPORT SCHLIESSERDATEN'!CC41="V",9999,IF('IMPORT SCHLIESSERDATEN'!CC41="_",-1,'IMPORT SCHLIESSERDATEN'!CC41))</f>
        <v>28</v>
      </c>
      <c r="AL49" s="74">
        <f>IF('IMPORT SCHLIESSERDATEN'!CD41="_",-1,'IMPORT SCHLIESSERDATEN'!CD41)</f>
        <v>375</v>
      </c>
      <c r="AM49" s="74">
        <f>'IMPORT SCHLIESSERDATEN'!CH41</f>
        <v>91</v>
      </c>
      <c r="AN49" s="74">
        <f>IF('IMPORT SCHLIESSERDATEN'!CE41="V",9999,'IMPORT SCHLIESSERDATEN'!CE41)</f>
        <v>30</v>
      </c>
      <c r="AO49" s="74">
        <f>IF('IMPORT SCHLIESSERDATEN'!CK41="_",-1,'IMPORT SCHLIESSERDATEN'!CK41)</f>
        <v>164</v>
      </c>
      <c r="AP49" s="74">
        <f>IF('IMPORT SCHLIESSERDATEN'!$U41="",0,1)</f>
        <v>1</v>
      </c>
      <c r="AQ49" s="74">
        <f>IF('IMPORT SCHLIESSERDATEN'!$V41="",0,1)</f>
        <v>1</v>
      </c>
      <c r="AR49" s="74">
        <f>IF('IMPORT SCHLIESSERDATEN'!$W41="",0,1)</f>
        <v>1</v>
      </c>
      <c r="AS49" s="74">
        <f>IF('IMPORT SCHLIESSERDATEN'!$AA41="",0,1)</f>
        <v>1</v>
      </c>
      <c r="AT49" s="74">
        <f>IF('IMPORT SCHLIESSERDATEN'!$AD41="",0,1) + IF('IMPORT SCHLIESSERDATEN'!$AE41="",0,2)</f>
        <v>1</v>
      </c>
      <c r="AU49" s="74" t="str">
        <f>IF('IMPORT SCHLIESSERDATEN'!$X41="",IF('IMPORT SCHLIESSERDATEN'!$Y41="","","F"),"V")</f>
        <v>V</v>
      </c>
      <c r="AV49" s="74" t="str">
        <f>IF('IMPORT SCHLIESSERDATEN'!$AB41&lt;&gt;"","M",IF('IMPORT SCHLIESSERDATEN'!$AD41&lt;&gt;"",IF(ISERR(SEARCH("UVIBIS",'IMPORT SCHLIESSERDATEN'!$B41)),"R","B"),IF(OR('IMPORT SCHLIESSERDATEN'!$AC41&lt;&gt;"",'IMPORT SCHLIESSERDATEN'!$AE41&lt;&gt;""),"E","")))</f>
        <v>R</v>
      </c>
      <c r="AW49" s="82"/>
      <c r="AX49" s="67"/>
    </row>
    <row r="50" spans="1:65" x14ac:dyDescent="0.25">
      <c r="A50" s="67">
        <f>IFERROR(IF(C50&lt;&gt;"",MAX($A$2:$A49)+1,""),"")</f>
        <v>38</v>
      </c>
      <c r="B50" s="223">
        <f t="shared" si="1"/>
        <v>38</v>
      </c>
      <c r="C50" s="216" t="str">
        <f>IF(J50=1,SUBSTITUTE('IMPORT SCHLIESSERDATEN'!$B42," Gangfl.",""),IF(J50=2,SUBSTITUTE('IMPORT SCHLIESSERDATEN'!$B42," Standfl.",""),'IMPORT SCHLIESSERDATEN'!$B42))</f>
        <v>TS 93 G GSR /BG EN 2-5</v>
      </c>
      <c r="D50" s="216" t="str">
        <f>IF('IMPORT SCHLIESSERDATEN'!$AF42&lt;&gt;"",IF(COUNTA('IMPORT SCHLIESSERDATEN'!$AN42:$AU42)&gt;0,"X","G"),IF('IMPORT SCHLIESSERDATEN'!$AG42&lt;&gt;"","S",IF('IMPORT SCHLIESSERDATEN'!$AH42&lt;&gt;"","I",IF('IMPORT SCHLIESSERDATEN'!$AI42&lt;&gt;"","B",IF('IMPORT SCHLIESSERDATEN'!$AJ42&lt;&gt;"","D","")))))</f>
        <v>G</v>
      </c>
      <c r="E50" s="248" t="str">
        <f>'IMPORT SCHLIESSERDATEN'!AK42 &amp; IF('IMPORT SCHLIESSERDATEN'!AL42="",""," "&amp; 'IMPORT SCHLIESSERDATEN'!AL42)</f>
        <v>93 G</v>
      </c>
      <c r="F50" s="74">
        <f>IFERROR(IF(D50="X",2^(MATCH("",'IMPORT SCHLIESSERDATEN'!$AN42:$AU42,-1)-1),IF(AV50="F",2^(MATCH("",'IMPORT SCHLIESSERDATEN'!$BH42:$BK42,-1)-1),2^(MATCH("",'IMPORT SCHLIESSERDATEN'!$AV42:$BG42,-1)-1))),0)</f>
        <v>16</v>
      </c>
      <c r="G50" s="74">
        <f>IF(AND('IMPORT SCHLIESSERDATEN'!$O42='IMPORT SCHLIESSERDATEN'!$R42,'IMPORT SCHLIESSERDATEN'!$O42&lt;&gt;"",'IMPORT SCHLIESSERDATEN'!$R42&lt;&gt;""),1,0)  +  IF(AND('IMPORT SCHLIESSERDATEN'!$P42='IMPORT SCHLIESSERDATEN'!$S42,'IMPORT SCHLIESSERDATEN'!$P42&lt;&gt;"",'IMPORT SCHLIESSERDATEN'!$S42&lt;&gt;""),2,0)   +  IF(AND('IMPORT SCHLIESSERDATEN'!$O42='IMPORT SCHLIESSERDATEN'!$S42,'IMPORT SCHLIESSERDATEN'!$O42&lt;&gt;"",'IMPORT SCHLIESSERDATEN'!$S42&lt;&gt;""),4,0)   +  IF(AND('IMPORT SCHLIESSERDATEN'!$P42='IMPORT SCHLIESSERDATEN'!$R42,'IMPORT SCHLIESSERDATEN'!$P42&lt;&gt;"",'IMPORT SCHLIESSERDATEN'!$R42&lt;&gt;""),8,0)   +  IF('IMPORT SCHLIESSERDATEN'!$Q42&lt;&gt;"",IF('IMPORT SCHLIESSERDATEN'!$R42&lt;&gt;"",32,0) + IF('IMPORT SCHLIESSERDATEN'!$S42&lt;&gt;"",64,0),0)  +  IF('IMPORT SCHLIESSERDATEN'!$T42&lt;&gt;"",IF('IMPORT SCHLIESSERDATEN'!$Q42&lt;&gt;"",128+256,128),0)</f>
        <v>8</v>
      </c>
      <c r="H50" s="74">
        <f>IF('IMPORT SCHLIESSERDATEN'!$H42="",0,1) + IF('IMPORT SCHLIESSERDATEN'!$I42="",0,2) + IF('IMPORT SCHLIESSERDATEN'!$J42="",0,4) + IF('IMPORT SCHLIESSERDATEN'!$K42="",0,8) + IF('IMPORT SCHLIESSERDATEN'!$L42="",0,16) + IF('IMPORT SCHLIESSERDATEN'!$M42="",0,32) + IF('IMPORT SCHLIESSERDATEN'!$N42="",0,64)</f>
        <v>30</v>
      </c>
      <c r="I50" s="74">
        <f>IF('IMPORT SCHLIESSERDATEN'!$D42="",0,1) + IF('IMPORT SCHLIESSERDATEN'!$E42="",0,2) + IF('IMPORT SCHLIESSERDATEN'!$E42="S",4,0)</f>
        <v>2</v>
      </c>
      <c r="J50" s="74">
        <f>IF(ISERR(FIND(" Gangfl.",'IMPORT SCHLIESSERDATEN'!$B42)),IF(ISERR(FIND(" Standfl.",'IMPORT SCHLIESSERDATEN'!$B42)),0,2),1)</f>
        <v>2</v>
      </c>
      <c r="K50" s="74">
        <f>'IMPORT SCHLIESSERDATEN'!CL42</f>
        <v>0</v>
      </c>
      <c r="L50" s="74">
        <f>'IMPORT SCHLIESSERDATEN'!CN42</f>
        <v>0</v>
      </c>
      <c r="M50" s="74">
        <f>IF('IMPORT SCHLIESSERDATEN'!CS42="wie TS",-1,'IMPORT SCHLIESSERDATEN'!CS42)</f>
        <v>0</v>
      </c>
      <c r="N50" s="74">
        <f>IF(M50&lt;0,-1,'IMPORT SCHLIESSERDATEN'!CU42)</f>
        <v>0</v>
      </c>
      <c r="O50" s="74">
        <f>IF('IMPORT SCHLIESSERDATEN'!CZ42="wie TS",-1,'IMPORT SCHLIESSERDATEN'!CZ42)</f>
        <v>0</v>
      </c>
      <c r="P50" s="74">
        <f>IF(O50&lt;0,-1,'IMPORT SCHLIESSERDATEN'!DB42)</f>
        <v>0</v>
      </c>
      <c r="Q50" s="74">
        <f>'IMPORT SCHLIESSERDATEN'!DG42</f>
        <v>49</v>
      </c>
      <c r="R50" s="74">
        <f>'IMPORT SCHLIESSERDATEN'!DI42</f>
        <v>17</v>
      </c>
      <c r="S50" s="74">
        <f>'IMPORT SCHLIESSERDATEN'!DN42</f>
        <v>49</v>
      </c>
      <c r="T50" s="74">
        <f>IF('IMPORT SCHLIESSERDATEN'!DP42="V",9999,'IMPORT SCHLIESSERDATEN'!DP42)</f>
        <v>9999</v>
      </c>
      <c r="U50" s="74">
        <f>'IMPORT SCHLIESSERDATEN'!BW42</f>
        <v>275</v>
      </c>
      <c r="V50" s="74">
        <f>'IMPORT SCHLIESSERDATEN'!BX42</f>
        <v>53</v>
      </c>
      <c r="W50" s="74">
        <f>'IMPORT SCHLIESSERDATEN'!BY42</f>
        <v>60</v>
      </c>
      <c r="X50" s="74">
        <f>'IMPORT SCHLIESSERDATEN'!CO42</f>
        <v>0</v>
      </c>
      <c r="Y50" s="74">
        <f>'IMPORT SCHLIESSERDATEN'!CQ42</f>
        <v>0</v>
      </c>
      <c r="Z50" s="74">
        <f>'IMPORT SCHLIESSERDATEN'!CV42</f>
        <v>0</v>
      </c>
      <c r="AA50" s="74">
        <f>'IMPORT SCHLIESSERDATEN'!CX42</f>
        <v>0</v>
      </c>
      <c r="AB50" s="74">
        <f>'IMPORT SCHLIESSERDATEN'!DC42</f>
        <v>0</v>
      </c>
      <c r="AC50" s="74">
        <f>'IMPORT SCHLIESSERDATEN'!DE42</f>
        <v>0</v>
      </c>
      <c r="AD50" s="74">
        <f>'IMPORT SCHLIESSERDATEN'!DJ42</f>
        <v>49</v>
      </c>
      <c r="AE50" s="74">
        <f>'IMPORT SCHLIESSERDATEN'!DL42</f>
        <v>0</v>
      </c>
      <c r="AF50" s="74">
        <f>'IMPORT SCHLIESSERDATEN'!DQ42</f>
        <v>49</v>
      </c>
      <c r="AG50" s="74">
        <f>IF('IMPORT SCHLIESSERDATEN'!DS42="V",9999,'IMPORT SCHLIESSERDATEN'!DS42)</f>
        <v>34</v>
      </c>
      <c r="AH50" s="74">
        <f>IF('IMPORT SCHLIESSERDATEN'!BZ42="V",9999,IF('IMPORT SCHLIESSERDATEN'!CD42="_",-1,'IMPORT SCHLIESSERDATEN'!BZ42))</f>
        <v>9999</v>
      </c>
      <c r="AI50" s="74">
        <f>IF('IMPORT SCHLIESSERDATEN'!CA42="V",9999,IF('IMPORT SCHLIESSERDATEN'!CD42="_",-1,'IMPORT SCHLIESSERDATEN'!CA42))</f>
        <v>30</v>
      </c>
      <c r="AJ50" s="74">
        <f>IF('IMPORT SCHLIESSERDATEN'!CB42="V",9999,IF('IMPORT SCHLIESSERDATEN'!CD42="_",-1,'IMPORT SCHLIESSERDATEN'!CB42))</f>
        <v>34</v>
      </c>
      <c r="AK50" s="74">
        <f>IF('IMPORT SCHLIESSERDATEN'!CC42="V",9999,IF('IMPORT SCHLIESSERDATEN'!CC42="_",-1,'IMPORT SCHLIESSERDATEN'!CC42))</f>
        <v>17</v>
      </c>
      <c r="AL50" s="74">
        <f>IF('IMPORT SCHLIESSERDATEN'!CD42="_",-1,'IMPORT SCHLIESSERDATEN'!CD42)</f>
        <v>375</v>
      </c>
      <c r="AM50" s="74">
        <f>'IMPORT SCHLIESSERDATEN'!CH42</f>
        <v>91</v>
      </c>
      <c r="AN50" s="74">
        <f>IF('IMPORT SCHLIESSERDATEN'!CE42="V",9999,'IMPORT SCHLIESSERDATEN'!CE42)</f>
        <v>30</v>
      </c>
      <c r="AO50" s="74">
        <f>IF('IMPORT SCHLIESSERDATEN'!CK42="_",-1,'IMPORT SCHLIESSERDATEN'!CK42)</f>
        <v>51</v>
      </c>
      <c r="AP50" s="74">
        <f>IF('IMPORT SCHLIESSERDATEN'!$U42="",0,1)</f>
        <v>1</v>
      </c>
      <c r="AQ50" s="74">
        <f>IF('IMPORT SCHLIESSERDATEN'!$V42="",0,1)</f>
        <v>1</v>
      </c>
      <c r="AR50" s="74">
        <f>IF('IMPORT SCHLIESSERDATEN'!$W42="",0,1)</f>
        <v>1</v>
      </c>
      <c r="AS50" s="74">
        <f>IF('IMPORT SCHLIESSERDATEN'!$AA42="",0,1)</f>
        <v>1</v>
      </c>
      <c r="AT50" s="74">
        <f>IF('IMPORT SCHLIESSERDATEN'!$AD42="",0,1) + IF('IMPORT SCHLIESSERDATEN'!$AE42="",0,2)</f>
        <v>0</v>
      </c>
      <c r="AU50" s="74" t="str">
        <f>IF('IMPORT SCHLIESSERDATEN'!$X42="",IF('IMPORT SCHLIESSERDATEN'!$Y42="","","F"),"V")</f>
        <v>V</v>
      </c>
      <c r="AV50" s="74" t="str">
        <f>IF('IMPORT SCHLIESSERDATEN'!$AB42&lt;&gt;"","M",IF('IMPORT SCHLIESSERDATEN'!$AD42&lt;&gt;"",IF(ISERR(SEARCH("UVIBIS",'IMPORT SCHLIESSERDATEN'!$B42)),"R","B"),IF(OR('IMPORT SCHLIESSERDATEN'!$AC42&lt;&gt;"",'IMPORT SCHLIESSERDATEN'!$AE42&lt;&gt;""),"E","")))</f>
        <v/>
      </c>
      <c r="AW50" s="82"/>
      <c r="AX50" s="67"/>
    </row>
    <row r="51" spans="1:65" x14ac:dyDescent="0.25">
      <c r="A51" s="67">
        <f>IFERROR(IF(C51&lt;&gt;"",MAX($A$2:$A50)+1,""),"")</f>
        <v>39</v>
      </c>
      <c r="B51" s="223">
        <f t="shared" si="1"/>
        <v>39</v>
      </c>
      <c r="C51" s="216" t="str">
        <f>IF(J51=1,SUBSTITUTE('IMPORT SCHLIESSERDATEN'!$B43," Gangfl.",""),IF(J51=2,SUBSTITUTE('IMPORT SCHLIESSERDATEN'!$B43," Standfl.",""),'IMPORT SCHLIESSERDATEN'!$B43))</f>
        <v>TS 93 G GSR RF /BG EN 2-5</v>
      </c>
      <c r="D51" s="216" t="str">
        <f>IF('IMPORT SCHLIESSERDATEN'!$AF43&lt;&gt;"",IF(COUNTA('IMPORT SCHLIESSERDATEN'!$AN43:$AU43)&gt;0,"X","G"),IF('IMPORT SCHLIESSERDATEN'!$AG43&lt;&gt;"","S",IF('IMPORT SCHLIESSERDATEN'!$AH43&lt;&gt;"","I",IF('IMPORT SCHLIESSERDATEN'!$AI43&lt;&gt;"","B",IF('IMPORT SCHLIESSERDATEN'!$AJ43&lt;&gt;"","D","")))))</f>
        <v>G</v>
      </c>
      <c r="E51" s="248" t="str">
        <f>'IMPORT SCHLIESSERDATEN'!AK43 &amp; IF('IMPORT SCHLIESSERDATEN'!AL43="",""," "&amp; 'IMPORT SCHLIESSERDATEN'!AL43)</f>
        <v>93 G</v>
      </c>
      <c r="F51" s="74">
        <f>IFERROR(IF(D51="X",2^(MATCH("",'IMPORT SCHLIESSERDATEN'!$AN43:$AU43,-1)-1),IF(AV51="F",2^(MATCH("",'IMPORT SCHLIESSERDATEN'!$BH43:$BK43,-1)-1),2^(MATCH("",'IMPORT SCHLIESSERDATEN'!$AV43:$BG43,-1)-1))),0)</f>
        <v>32</v>
      </c>
      <c r="G51" s="74">
        <f>IF(AND('IMPORT SCHLIESSERDATEN'!$O43='IMPORT SCHLIESSERDATEN'!$R43,'IMPORT SCHLIESSERDATEN'!$O43&lt;&gt;"",'IMPORT SCHLIESSERDATEN'!$R43&lt;&gt;""),1,0)  +  IF(AND('IMPORT SCHLIESSERDATEN'!$P43='IMPORT SCHLIESSERDATEN'!$S43,'IMPORT SCHLIESSERDATEN'!$P43&lt;&gt;"",'IMPORT SCHLIESSERDATEN'!$S43&lt;&gt;""),2,0)   +  IF(AND('IMPORT SCHLIESSERDATEN'!$O43='IMPORT SCHLIESSERDATEN'!$S43,'IMPORT SCHLIESSERDATEN'!$O43&lt;&gt;"",'IMPORT SCHLIESSERDATEN'!$S43&lt;&gt;""),4,0)   +  IF(AND('IMPORT SCHLIESSERDATEN'!$P43='IMPORT SCHLIESSERDATEN'!$R43,'IMPORT SCHLIESSERDATEN'!$P43&lt;&gt;"",'IMPORT SCHLIESSERDATEN'!$R43&lt;&gt;""),8,0)   +  IF('IMPORT SCHLIESSERDATEN'!$Q43&lt;&gt;"",IF('IMPORT SCHLIESSERDATEN'!$R43&lt;&gt;"",32,0) + IF('IMPORT SCHLIESSERDATEN'!$S43&lt;&gt;"",64,0),0)  +  IF('IMPORT SCHLIESSERDATEN'!$T43&lt;&gt;"",IF('IMPORT SCHLIESSERDATEN'!$Q43&lt;&gt;"",128+256,128),0)</f>
        <v>8</v>
      </c>
      <c r="H51" s="74">
        <f>IF('IMPORT SCHLIESSERDATEN'!$H43="",0,1) + IF('IMPORT SCHLIESSERDATEN'!$I43="",0,2) + IF('IMPORT SCHLIESSERDATEN'!$J43="",0,4) + IF('IMPORT SCHLIESSERDATEN'!$K43="",0,8) + IF('IMPORT SCHLIESSERDATEN'!$L43="",0,16) + IF('IMPORT SCHLIESSERDATEN'!$M43="",0,32) + IF('IMPORT SCHLIESSERDATEN'!$N43="",0,64)</f>
        <v>30</v>
      </c>
      <c r="I51" s="74">
        <f>IF('IMPORT SCHLIESSERDATEN'!$D43="",0,1) + IF('IMPORT SCHLIESSERDATEN'!$E43="",0,2) + IF('IMPORT SCHLIESSERDATEN'!$E43="S",4,0)</f>
        <v>2</v>
      </c>
      <c r="J51" s="74">
        <f>IF(ISERR(FIND(" Gangfl.",'IMPORT SCHLIESSERDATEN'!$B43)),IF(ISERR(FIND(" Standfl.",'IMPORT SCHLIESSERDATEN'!$B43)),0,2),1)</f>
        <v>2</v>
      </c>
      <c r="K51" s="74">
        <f>'IMPORT SCHLIESSERDATEN'!CL43</f>
        <v>0</v>
      </c>
      <c r="L51" s="74">
        <f>'IMPORT SCHLIESSERDATEN'!CN43</f>
        <v>0</v>
      </c>
      <c r="M51" s="74">
        <f>IF('IMPORT SCHLIESSERDATEN'!CS43="wie TS",-1,'IMPORT SCHLIESSERDATEN'!CS43)</f>
        <v>0</v>
      </c>
      <c r="N51" s="74">
        <f>IF(M51&lt;0,-1,'IMPORT SCHLIESSERDATEN'!CU43)</f>
        <v>0</v>
      </c>
      <c r="O51" s="74">
        <f>IF('IMPORT SCHLIESSERDATEN'!CZ43="wie TS",-1,'IMPORT SCHLIESSERDATEN'!CZ43)</f>
        <v>0</v>
      </c>
      <c r="P51" s="74">
        <f>IF(O51&lt;0,-1,'IMPORT SCHLIESSERDATEN'!DB43)</f>
        <v>0</v>
      </c>
      <c r="Q51" s="74">
        <f>'IMPORT SCHLIESSERDATEN'!DG43</f>
        <v>49</v>
      </c>
      <c r="R51" s="74">
        <f>'IMPORT SCHLIESSERDATEN'!DI43</f>
        <v>17</v>
      </c>
      <c r="S51" s="74">
        <f>'IMPORT SCHLIESSERDATEN'!DN43</f>
        <v>49</v>
      </c>
      <c r="T51" s="74">
        <f>IF('IMPORT SCHLIESSERDATEN'!DP43="V",9999,'IMPORT SCHLIESSERDATEN'!DP43)</f>
        <v>9999</v>
      </c>
      <c r="U51" s="74">
        <f>'IMPORT SCHLIESSERDATEN'!BW43</f>
        <v>275</v>
      </c>
      <c r="V51" s="74">
        <f>'IMPORT SCHLIESSERDATEN'!BX43</f>
        <v>53</v>
      </c>
      <c r="W51" s="74">
        <f>'IMPORT SCHLIESSERDATEN'!BY43</f>
        <v>60</v>
      </c>
      <c r="X51" s="74">
        <f>'IMPORT SCHLIESSERDATEN'!CO43</f>
        <v>0</v>
      </c>
      <c r="Y51" s="74">
        <f>'IMPORT SCHLIESSERDATEN'!CQ43</f>
        <v>0</v>
      </c>
      <c r="Z51" s="74">
        <f>'IMPORT SCHLIESSERDATEN'!CV43</f>
        <v>0</v>
      </c>
      <c r="AA51" s="74">
        <f>'IMPORT SCHLIESSERDATEN'!CX43</f>
        <v>0</v>
      </c>
      <c r="AB51" s="74">
        <f>'IMPORT SCHLIESSERDATEN'!DC43</f>
        <v>0</v>
      </c>
      <c r="AC51" s="74">
        <f>'IMPORT SCHLIESSERDATEN'!DE43</f>
        <v>0</v>
      </c>
      <c r="AD51" s="74">
        <f>'IMPORT SCHLIESSERDATEN'!DJ43</f>
        <v>49</v>
      </c>
      <c r="AE51" s="74">
        <f>'IMPORT SCHLIESSERDATEN'!DL43</f>
        <v>0</v>
      </c>
      <c r="AF51" s="74">
        <f>'IMPORT SCHLIESSERDATEN'!DQ43</f>
        <v>49</v>
      </c>
      <c r="AG51" s="74">
        <f>IF('IMPORT SCHLIESSERDATEN'!DS43="V",9999,'IMPORT SCHLIESSERDATEN'!DS43)</f>
        <v>34</v>
      </c>
      <c r="AH51" s="74">
        <f>IF('IMPORT SCHLIESSERDATEN'!BZ43="V",9999,IF('IMPORT SCHLIESSERDATEN'!CD43="_",-1,'IMPORT SCHLIESSERDATEN'!BZ43))</f>
        <v>9999</v>
      </c>
      <c r="AI51" s="74">
        <f>IF('IMPORT SCHLIESSERDATEN'!CA43="V",9999,IF('IMPORT SCHLIESSERDATEN'!CD43="_",-1,'IMPORT SCHLIESSERDATEN'!CA43))</f>
        <v>30</v>
      </c>
      <c r="AJ51" s="74">
        <f>IF('IMPORT SCHLIESSERDATEN'!CB43="V",9999,IF('IMPORT SCHLIESSERDATEN'!CD43="_",-1,'IMPORT SCHLIESSERDATEN'!CB43))</f>
        <v>34</v>
      </c>
      <c r="AK51" s="74">
        <f>IF('IMPORT SCHLIESSERDATEN'!CC43="V",9999,IF('IMPORT SCHLIESSERDATEN'!CC43="_",-1,'IMPORT SCHLIESSERDATEN'!CC43))</f>
        <v>17</v>
      </c>
      <c r="AL51" s="74">
        <f>IF('IMPORT SCHLIESSERDATEN'!CD43="_",-1,'IMPORT SCHLIESSERDATEN'!CD43)</f>
        <v>375</v>
      </c>
      <c r="AM51" s="74">
        <f>'IMPORT SCHLIESSERDATEN'!CH43</f>
        <v>91</v>
      </c>
      <c r="AN51" s="74">
        <f>IF('IMPORT SCHLIESSERDATEN'!CE43="V",9999,'IMPORT SCHLIESSERDATEN'!CE43)</f>
        <v>30</v>
      </c>
      <c r="AO51" s="74">
        <f>IF('IMPORT SCHLIESSERDATEN'!CK43="_",-1,'IMPORT SCHLIESSERDATEN'!CK43)</f>
        <v>51</v>
      </c>
      <c r="AP51" s="74">
        <f>IF('IMPORT SCHLIESSERDATEN'!$U43="",0,1)</f>
        <v>0</v>
      </c>
      <c r="AQ51" s="74">
        <f>IF('IMPORT SCHLIESSERDATEN'!$V43="",0,1)</f>
        <v>1</v>
      </c>
      <c r="AR51" s="74">
        <f>IF('IMPORT SCHLIESSERDATEN'!$W43="",0,1)</f>
        <v>1</v>
      </c>
      <c r="AS51" s="74">
        <f>IF('IMPORT SCHLIESSERDATEN'!$AA43="",0,1)</f>
        <v>1</v>
      </c>
      <c r="AT51" s="74">
        <f>IF('IMPORT SCHLIESSERDATEN'!$AD43="",0,1) + IF('IMPORT SCHLIESSERDATEN'!$AE43="",0,2)</f>
        <v>0</v>
      </c>
      <c r="AU51" s="74" t="str">
        <f>IF('IMPORT SCHLIESSERDATEN'!$X43="",IF('IMPORT SCHLIESSERDATEN'!$Y43="","","F"),"V")</f>
        <v>V</v>
      </c>
      <c r="AV51" s="74" t="str">
        <f>IF('IMPORT SCHLIESSERDATEN'!$AB43&lt;&gt;"","M",IF('IMPORT SCHLIESSERDATEN'!$AD43&lt;&gt;"",IF(ISERR(SEARCH("UVIBIS",'IMPORT SCHLIESSERDATEN'!$B43)),"R","B"),IF(OR('IMPORT SCHLIESSERDATEN'!$AC43&lt;&gt;"",'IMPORT SCHLIESSERDATEN'!$AE43&lt;&gt;""),"E","")))</f>
        <v>M</v>
      </c>
      <c r="AW51" s="82"/>
      <c r="AX51" s="67"/>
    </row>
    <row r="52" spans="1:65" x14ac:dyDescent="0.25">
      <c r="A52" s="67">
        <f>IFERROR(IF(C52&lt;&gt;"",MAX($A$2:$A51)+1,""),"")</f>
        <v>40</v>
      </c>
      <c r="B52" s="223">
        <f t="shared" si="1"/>
        <v>40</v>
      </c>
      <c r="C52" s="216" t="str">
        <f>IF(J52=1,SUBSTITUTE('IMPORT SCHLIESSERDATEN'!$B44," Gangfl.",""),IF(J52=2,SUBSTITUTE('IMPORT SCHLIESSERDATEN'!$B44," Standfl.",""),'IMPORT SCHLIESSERDATEN'!$B44))</f>
        <v>TS 93 G GSR-EMF 1 /BG EN 2-5</v>
      </c>
      <c r="D52" s="216" t="str">
        <f>IF('IMPORT SCHLIESSERDATEN'!$AF44&lt;&gt;"",IF(COUNTA('IMPORT SCHLIESSERDATEN'!$AN44:$AU44)&gt;0,"X","G"),IF('IMPORT SCHLIESSERDATEN'!$AG44&lt;&gt;"","S",IF('IMPORT SCHLIESSERDATEN'!$AH44&lt;&gt;"","I",IF('IMPORT SCHLIESSERDATEN'!$AI44&lt;&gt;"","B",IF('IMPORT SCHLIESSERDATEN'!$AJ44&lt;&gt;"","D","")))))</f>
        <v>G</v>
      </c>
      <c r="E52" s="248" t="str">
        <f>'IMPORT SCHLIESSERDATEN'!AK44 &amp; IF('IMPORT SCHLIESSERDATEN'!AL44="",""," "&amp; 'IMPORT SCHLIESSERDATEN'!AL44)</f>
        <v>93 G</v>
      </c>
      <c r="F52" s="74">
        <f>IFERROR(IF(D52="X",2^(MATCH("",'IMPORT SCHLIESSERDATEN'!$AN44:$AU44,-1)-1),IF(AV52="F",2^(MATCH("",'IMPORT SCHLIESSERDATEN'!$BH44:$BK44,-1)-1),2^(MATCH("",'IMPORT SCHLIESSERDATEN'!$AV44:$BG44,-1)-1))),0)</f>
        <v>64</v>
      </c>
      <c r="G52" s="74">
        <f>IF(AND('IMPORT SCHLIESSERDATEN'!$O44='IMPORT SCHLIESSERDATEN'!$R44,'IMPORT SCHLIESSERDATEN'!$O44&lt;&gt;"",'IMPORT SCHLIESSERDATEN'!$R44&lt;&gt;""),1,0)  +  IF(AND('IMPORT SCHLIESSERDATEN'!$P44='IMPORT SCHLIESSERDATEN'!$S44,'IMPORT SCHLIESSERDATEN'!$P44&lt;&gt;"",'IMPORT SCHLIESSERDATEN'!$S44&lt;&gt;""),2,0)   +  IF(AND('IMPORT SCHLIESSERDATEN'!$O44='IMPORT SCHLIESSERDATEN'!$S44,'IMPORT SCHLIESSERDATEN'!$O44&lt;&gt;"",'IMPORT SCHLIESSERDATEN'!$S44&lt;&gt;""),4,0)   +  IF(AND('IMPORT SCHLIESSERDATEN'!$P44='IMPORT SCHLIESSERDATEN'!$R44,'IMPORT SCHLIESSERDATEN'!$P44&lt;&gt;"",'IMPORT SCHLIESSERDATEN'!$R44&lt;&gt;""),8,0)   +  IF('IMPORT SCHLIESSERDATEN'!$Q44&lt;&gt;"",IF('IMPORT SCHLIESSERDATEN'!$R44&lt;&gt;"",32,0) + IF('IMPORT SCHLIESSERDATEN'!$S44&lt;&gt;"",64,0),0)  +  IF('IMPORT SCHLIESSERDATEN'!$T44&lt;&gt;"",IF('IMPORT SCHLIESSERDATEN'!$Q44&lt;&gt;"",128+256,128),0)</f>
        <v>8</v>
      </c>
      <c r="H52" s="74">
        <f>IF('IMPORT SCHLIESSERDATEN'!$H44="",0,1) + IF('IMPORT SCHLIESSERDATEN'!$I44="",0,2) + IF('IMPORT SCHLIESSERDATEN'!$J44="",0,4) + IF('IMPORT SCHLIESSERDATEN'!$K44="",0,8) + IF('IMPORT SCHLIESSERDATEN'!$L44="",0,16) + IF('IMPORT SCHLIESSERDATEN'!$M44="",0,32) + IF('IMPORT SCHLIESSERDATEN'!$N44="",0,64)</f>
        <v>30</v>
      </c>
      <c r="I52" s="74">
        <f>IF('IMPORT SCHLIESSERDATEN'!$D44="",0,1) + IF('IMPORT SCHLIESSERDATEN'!$E44="",0,2) + IF('IMPORT SCHLIESSERDATEN'!$E44="S",4,0)</f>
        <v>2</v>
      </c>
      <c r="J52" s="74">
        <f>IF(ISERR(FIND(" Gangfl.",'IMPORT SCHLIESSERDATEN'!$B44)),IF(ISERR(FIND(" Standfl.",'IMPORT SCHLIESSERDATEN'!$B44)),0,2),1)</f>
        <v>2</v>
      </c>
      <c r="K52" s="74">
        <f>'IMPORT SCHLIESSERDATEN'!CL44</f>
        <v>0</v>
      </c>
      <c r="L52" s="74">
        <f>'IMPORT SCHLIESSERDATEN'!CN44</f>
        <v>0</v>
      </c>
      <c r="M52" s="74">
        <f>IF('IMPORT SCHLIESSERDATEN'!CS44="wie TS",-1,'IMPORT SCHLIESSERDATEN'!CS44)</f>
        <v>0</v>
      </c>
      <c r="N52" s="74">
        <f>IF(M52&lt;0,-1,'IMPORT SCHLIESSERDATEN'!CU44)</f>
        <v>0</v>
      </c>
      <c r="O52" s="74">
        <f>IF('IMPORT SCHLIESSERDATEN'!CZ44="wie TS",-1,'IMPORT SCHLIESSERDATEN'!CZ44)</f>
        <v>0</v>
      </c>
      <c r="P52" s="74">
        <f>IF(O52&lt;0,-1,'IMPORT SCHLIESSERDATEN'!DB44)</f>
        <v>0</v>
      </c>
      <c r="Q52" s="74">
        <f>'IMPORT SCHLIESSERDATEN'!DG44</f>
        <v>49</v>
      </c>
      <c r="R52" s="74">
        <f>'IMPORT SCHLIESSERDATEN'!DI44</f>
        <v>17</v>
      </c>
      <c r="S52" s="74">
        <f>'IMPORT SCHLIESSERDATEN'!DN44</f>
        <v>0</v>
      </c>
      <c r="T52" s="74">
        <f>IF('IMPORT SCHLIESSERDATEN'!DP44="V",9999,'IMPORT SCHLIESSERDATEN'!DP44)</f>
        <v>0</v>
      </c>
      <c r="U52" s="74">
        <f>'IMPORT SCHLIESSERDATEN'!BW44</f>
        <v>275</v>
      </c>
      <c r="V52" s="74">
        <f>'IMPORT SCHLIESSERDATEN'!BX44</f>
        <v>53</v>
      </c>
      <c r="W52" s="74">
        <f>'IMPORT SCHLIESSERDATEN'!BY44</f>
        <v>60</v>
      </c>
      <c r="X52" s="74">
        <f>'IMPORT SCHLIESSERDATEN'!CO44</f>
        <v>0</v>
      </c>
      <c r="Y52" s="74">
        <f>'IMPORT SCHLIESSERDATEN'!CQ44</f>
        <v>0</v>
      </c>
      <c r="Z52" s="74">
        <f>'IMPORT SCHLIESSERDATEN'!CV44</f>
        <v>0</v>
      </c>
      <c r="AA52" s="74">
        <f>'IMPORT SCHLIESSERDATEN'!CX44</f>
        <v>0</v>
      </c>
      <c r="AB52" s="74">
        <f>'IMPORT SCHLIESSERDATEN'!DC44</f>
        <v>0</v>
      </c>
      <c r="AC52" s="74">
        <f>'IMPORT SCHLIESSERDATEN'!DE44</f>
        <v>0</v>
      </c>
      <c r="AD52" s="74">
        <f>'IMPORT SCHLIESSERDATEN'!DJ44</f>
        <v>49</v>
      </c>
      <c r="AE52" s="74">
        <f>'IMPORT SCHLIESSERDATEN'!DL44</f>
        <v>0</v>
      </c>
      <c r="AF52" s="74">
        <f>'IMPORT SCHLIESSERDATEN'!DQ44</f>
        <v>0</v>
      </c>
      <c r="AG52" s="74">
        <f>IF('IMPORT SCHLIESSERDATEN'!DS44="V",9999,'IMPORT SCHLIESSERDATEN'!DS44)</f>
        <v>0</v>
      </c>
      <c r="AH52" s="74">
        <f>IF('IMPORT SCHLIESSERDATEN'!BZ44="V",9999,IF('IMPORT SCHLIESSERDATEN'!CD44="_",-1,'IMPORT SCHLIESSERDATEN'!BZ44))</f>
        <v>9999</v>
      </c>
      <c r="AI52" s="74">
        <f>IF('IMPORT SCHLIESSERDATEN'!CA44="V",9999,IF('IMPORT SCHLIESSERDATEN'!CD44="_",-1,'IMPORT SCHLIESSERDATEN'!CA44))</f>
        <v>30</v>
      </c>
      <c r="AJ52" s="74">
        <f>IF('IMPORT SCHLIESSERDATEN'!CB44="V",9999,IF('IMPORT SCHLIESSERDATEN'!CD44="_",-1,'IMPORT SCHLIESSERDATEN'!CB44))</f>
        <v>55</v>
      </c>
      <c r="AK52" s="74">
        <f>IF('IMPORT SCHLIESSERDATEN'!CC44="V",9999,IF('IMPORT SCHLIESSERDATEN'!CC44="_",-1,'IMPORT SCHLIESSERDATEN'!CC44))</f>
        <v>28</v>
      </c>
      <c r="AL52" s="74">
        <f>IF('IMPORT SCHLIESSERDATEN'!CD44="_",-1,'IMPORT SCHLIESSERDATEN'!CD44)</f>
        <v>375</v>
      </c>
      <c r="AM52" s="74">
        <f>'IMPORT SCHLIESSERDATEN'!CH44</f>
        <v>91</v>
      </c>
      <c r="AN52" s="74">
        <f>IF('IMPORT SCHLIESSERDATEN'!CE44="V",9999,'IMPORT SCHLIESSERDATEN'!CE44)</f>
        <v>30</v>
      </c>
      <c r="AO52" s="74">
        <f>IF('IMPORT SCHLIESSERDATEN'!CK44="_",-1,'IMPORT SCHLIESSERDATEN'!CK44)</f>
        <v>164</v>
      </c>
      <c r="AP52" s="74">
        <f>IF('IMPORT SCHLIESSERDATEN'!$U44="",0,1)</f>
        <v>1</v>
      </c>
      <c r="AQ52" s="74">
        <f>IF('IMPORT SCHLIESSERDATEN'!$V44="",0,1)</f>
        <v>1</v>
      </c>
      <c r="AR52" s="74">
        <f>IF('IMPORT SCHLIESSERDATEN'!$W44="",0,1)</f>
        <v>1</v>
      </c>
      <c r="AS52" s="74">
        <f>IF('IMPORT SCHLIESSERDATEN'!$AA44="",0,1)</f>
        <v>1</v>
      </c>
      <c r="AT52" s="74">
        <f>IF('IMPORT SCHLIESSERDATEN'!$AD44="",0,1) + IF('IMPORT SCHLIESSERDATEN'!$AE44="",0,2)</f>
        <v>2</v>
      </c>
      <c r="AU52" s="74" t="str">
        <f>IF('IMPORT SCHLIESSERDATEN'!$X44="",IF('IMPORT SCHLIESSERDATEN'!$Y44="","","F"),"V")</f>
        <v>V</v>
      </c>
      <c r="AV52" s="74" t="str">
        <f>IF('IMPORT SCHLIESSERDATEN'!$AB44&lt;&gt;"","M",IF('IMPORT SCHLIESSERDATEN'!$AD44&lt;&gt;"",IF(ISERR(SEARCH("UVIBIS",'IMPORT SCHLIESSERDATEN'!$B44)),"R","B"),IF(OR('IMPORT SCHLIESSERDATEN'!$AC44&lt;&gt;"",'IMPORT SCHLIESSERDATEN'!$AE44&lt;&gt;""),"E","")))</f>
        <v>E</v>
      </c>
      <c r="AW52" s="82"/>
      <c r="AX52" s="67"/>
    </row>
    <row r="53" spans="1:65" x14ac:dyDescent="0.25">
      <c r="A53" s="67">
        <f>IFERROR(IF(C53&lt;&gt;"",MAX($A$2:$A52)+1,""),"")</f>
        <v>41</v>
      </c>
      <c r="B53" s="223">
        <f t="shared" si="1"/>
        <v>41</v>
      </c>
      <c r="C53" s="216" t="str">
        <f>IF(J53=1,SUBSTITUTE('IMPORT SCHLIESSERDATEN'!$B45," Gangfl.",""),IF(J53=2,SUBSTITUTE('IMPORT SCHLIESSERDATEN'!$B45," Standfl.",""),'IMPORT SCHLIESSERDATEN'!$B45))</f>
        <v>TS 93 G GSR-EMF 1G /BG EN 2-5</v>
      </c>
      <c r="D53" s="216" t="str">
        <f>IF('IMPORT SCHLIESSERDATEN'!$AF45&lt;&gt;"",IF(COUNTA('IMPORT SCHLIESSERDATEN'!$AN45:$AU45)&gt;0,"X","G"),IF('IMPORT SCHLIESSERDATEN'!$AG45&lt;&gt;"","S",IF('IMPORT SCHLIESSERDATEN'!$AH45&lt;&gt;"","I",IF('IMPORT SCHLIESSERDATEN'!$AI45&lt;&gt;"","B",IF('IMPORT SCHLIESSERDATEN'!$AJ45&lt;&gt;"","D","")))))</f>
        <v>G</v>
      </c>
      <c r="E53" s="248" t="str">
        <f>'IMPORT SCHLIESSERDATEN'!AK45 &amp; IF('IMPORT SCHLIESSERDATEN'!AL45="",""," "&amp; 'IMPORT SCHLIESSERDATEN'!AL45)</f>
        <v>93 G</v>
      </c>
      <c r="F53" s="74">
        <f>IFERROR(IF(D53="X",2^(MATCH("",'IMPORT SCHLIESSERDATEN'!$AN45:$AU45,-1)-1),IF(AV53="F",2^(MATCH("",'IMPORT SCHLIESSERDATEN'!$BH45:$BK45,-1)-1),2^(MATCH("",'IMPORT SCHLIESSERDATEN'!$AV45:$BG45,-1)-1))),0)</f>
        <v>128</v>
      </c>
      <c r="G53" s="74">
        <f>IF(AND('IMPORT SCHLIESSERDATEN'!$O45='IMPORT SCHLIESSERDATEN'!$R45,'IMPORT SCHLIESSERDATEN'!$O45&lt;&gt;"",'IMPORT SCHLIESSERDATEN'!$R45&lt;&gt;""),1,0)  +  IF(AND('IMPORT SCHLIESSERDATEN'!$P45='IMPORT SCHLIESSERDATEN'!$S45,'IMPORT SCHLIESSERDATEN'!$P45&lt;&gt;"",'IMPORT SCHLIESSERDATEN'!$S45&lt;&gt;""),2,0)   +  IF(AND('IMPORT SCHLIESSERDATEN'!$O45='IMPORT SCHLIESSERDATEN'!$S45,'IMPORT SCHLIESSERDATEN'!$O45&lt;&gt;"",'IMPORT SCHLIESSERDATEN'!$S45&lt;&gt;""),4,0)   +  IF(AND('IMPORT SCHLIESSERDATEN'!$P45='IMPORT SCHLIESSERDATEN'!$R45,'IMPORT SCHLIESSERDATEN'!$P45&lt;&gt;"",'IMPORT SCHLIESSERDATEN'!$R45&lt;&gt;""),8,0)   +  IF('IMPORT SCHLIESSERDATEN'!$Q45&lt;&gt;"",IF('IMPORT SCHLIESSERDATEN'!$R45&lt;&gt;"",32,0) + IF('IMPORT SCHLIESSERDATEN'!$S45&lt;&gt;"",64,0),0)  +  IF('IMPORT SCHLIESSERDATEN'!$T45&lt;&gt;"",IF('IMPORT SCHLIESSERDATEN'!$Q45&lt;&gt;"",128+256,128),0)</f>
        <v>8</v>
      </c>
      <c r="H53" s="74">
        <f>IF('IMPORT SCHLIESSERDATEN'!$H45="",0,1) + IF('IMPORT SCHLIESSERDATEN'!$I45="",0,2) + IF('IMPORT SCHLIESSERDATEN'!$J45="",0,4) + IF('IMPORT SCHLIESSERDATEN'!$K45="",0,8) + IF('IMPORT SCHLIESSERDATEN'!$L45="",0,16) + IF('IMPORT SCHLIESSERDATEN'!$M45="",0,32) + IF('IMPORT SCHLIESSERDATEN'!$N45="",0,64)</f>
        <v>30</v>
      </c>
      <c r="I53" s="74">
        <f>IF('IMPORT SCHLIESSERDATEN'!$D45="",0,1) + IF('IMPORT SCHLIESSERDATEN'!$E45="",0,2) + IF('IMPORT SCHLIESSERDATEN'!$E45="S",4,0)</f>
        <v>2</v>
      </c>
      <c r="J53" s="74">
        <f>IF(ISERR(FIND(" Gangfl.",'IMPORT SCHLIESSERDATEN'!$B45)),IF(ISERR(FIND(" Standfl.",'IMPORT SCHLIESSERDATEN'!$B45)),0,2),1)</f>
        <v>2</v>
      </c>
      <c r="K53" s="74">
        <f>'IMPORT SCHLIESSERDATEN'!CL45</f>
        <v>0</v>
      </c>
      <c r="L53" s="74">
        <f>'IMPORT SCHLIESSERDATEN'!CN45</f>
        <v>0</v>
      </c>
      <c r="M53" s="74">
        <f>IF('IMPORT SCHLIESSERDATEN'!CS45="wie TS",-1,'IMPORT SCHLIESSERDATEN'!CS45)</f>
        <v>0</v>
      </c>
      <c r="N53" s="74">
        <f>IF(M53&lt;0,-1,'IMPORT SCHLIESSERDATEN'!CU45)</f>
        <v>0</v>
      </c>
      <c r="O53" s="74">
        <f>IF('IMPORT SCHLIESSERDATEN'!CZ45="wie TS",-1,'IMPORT SCHLIESSERDATEN'!CZ45)</f>
        <v>0</v>
      </c>
      <c r="P53" s="74">
        <f>IF(O53&lt;0,-1,'IMPORT SCHLIESSERDATEN'!DB45)</f>
        <v>0</v>
      </c>
      <c r="Q53" s="74">
        <f>'IMPORT SCHLIESSERDATEN'!DG45</f>
        <v>49</v>
      </c>
      <c r="R53" s="74">
        <f>'IMPORT SCHLIESSERDATEN'!DI45</f>
        <v>17</v>
      </c>
      <c r="S53" s="74">
        <f>'IMPORT SCHLIESSERDATEN'!DN45</f>
        <v>0</v>
      </c>
      <c r="T53" s="74">
        <f>IF('IMPORT SCHLIESSERDATEN'!DP45="V",9999,'IMPORT SCHLIESSERDATEN'!DP45)</f>
        <v>0</v>
      </c>
      <c r="U53" s="74">
        <f>'IMPORT SCHLIESSERDATEN'!BW45</f>
        <v>275</v>
      </c>
      <c r="V53" s="74">
        <f>'IMPORT SCHLIESSERDATEN'!BX45</f>
        <v>53</v>
      </c>
      <c r="W53" s="74">
        <f>'IMPORT SCHLIESSERDATEN'!BY45</f>
        <v>60</v>
      </c>
      <c r="X53" s="74">
        <f>'IMPORT SCHLIESSERDATEN'!CO45</f>
        <v>0</v>
      </c>
      <c r="Y53" s="74">
        <f>'IMPORT SCHLIESSERDATEN'!CQ45</f>
        <v>0</v>
      </c>
      <c r="Z53" s="74">
        <f>'IMPORT SCHLIESSERDATEN'!CV45</f>
        <v>0</v>
      </c>
      <c r="AA53" s="74">
        <f>'IMPORT SCHLIESSERDATEN'!CX45</f>
        <v>0</v>
      </c>
      <c r="AB53" s="74">
        <f>'IMPORT SCHLIESSERDATEN'!DC45</f>
        <v>0</v>
      </c>
      <c r="AC53" s="74">
        <f>'IMPORT SCHLIESSERDATEN'!DE45</f>
        <v>0</v>
      </c>
      <c r="AD53" s="74">
        <f>'IMPORT SCHLIESSERDATEN'!DJ45</f>
        <v>49</v>
      </c>
      <c r="AE53" s="74">
        <f>'IMPORT SCHLIESSERDATEN'!DL45</f>
        <v>0</v>
      </c>
      <c r="AF53" s="74">
        <f>'IMPORT SCHLIESSERDATEN'!DQ45</f>
        <v>0</v>
      </c>
      <c r="AG53" s="74">
        <f>IF('IMPORT SCHLIESSERDATEN'!DS45="V",9999,'IMPORT SCHLIESSERDATEN'!DS45)</f>
        <v>0</v>
      </c>
      <c r="AH53" s="74">
        <f>IF('IMPORT SCHLIESSERDATEN'!BZ45="V",9999,IF('IMPORT SCHLIESSERDATEN'!CD45="_",-1,'IMPORT SCHLIESSERDATEN'!BZ45))</f>
        <v>9999</v>
      </c>
      <c r="AI53" s="74">
        <f>IF('IMPORT SCHLIESSERDATEN'!CA45="V",9999,IF('IMPORT SCHLIESSERDATEN'!CD45="_",-1,'IMPORT SCHLIESSERDATEN'!CA45))</f>
        <v>30</v>
      </c>
      <c r="AJ53" s="74">
        <f>IF('IMPORT SCHLIESSERDATEN'!CB45="V",9999,IF('IMPORT SCHLIESSERDATEN'!CD45="_",-1,'IMPORT SCHLIESSERDATEN'!CB45))</f>
        <v>55</v>
      </c>
      <c r="AK53" s="74">
        <f>IF('IMPORT SCHLIESSERDATEN'!CC45="V",9999,IF('IMPORT SCHLIESSERDATEN'!CC45="_",-1,'IMPORT SCHLIESSERDATEN'!CC45))</f>
        <v>28</v>
      </c>
      <c r="AL53" s="74">
        <f>IF('IMPORT SCHLIESSERDATEN'!CD45="_",-1,'IMPORT SCHLIESSERDATEN'!CD45)</f>
        <v>375</v>
      </c>
      <c r="AM53" s="74">
        <f>'IMPORT SCHLIESSERDATEN'!CH45</f>
        <v>91</v>
      </c>
      <c r="AN53" s="74">
        <f>IF('IMPORT SCHLIESSERDATEN'!CE45="V",9999,'IMPORT SCHLIESSERDATEN'!CE45)</f>
        <v>30</v>
      </c>
      <c r="AO53" s="74">
        <f>IF('IMPORT SCHLIESSERDATEN'!CK45="_",-1,'IMPORT SCHLIESSERDATEN'!CK45)</f>
        <v>164</v>
      </c>
      <c r="AP53" s="74">
        <f>IF('IMPORT SCHLIESSERDATEN'!$U45="",0,1)</f>
        <v>1</v>
      </c>
      <c r="AQ53" s="74">
        <f>IF('IMPORT SCHLIESSERDATEN'!$V45="",0,1)</f>
        <v>1</v>
      </c>
      <c r="AR53" s="74">
        <f>IF('IMPORT SCHLIESSERDATEN'!$W45="",0,1)</f>
        <v>1</v>
      </c>
      <c r="AS53" s="74">
        <f>IF('IMPORT SCHLIESSERDATEN'!$AA45="",0,1)</f>
        <v>1</v>
      </c>
      <c r="AT53" s="74">
        <f>IF('IMPORT SCHLIESSERDATEN'!$AD45="",0,1) + IF('IMPORT SCHLIESSERDATEN'!$AE45="",0,2)</f>
        <v>2</v>
      </c>
      <c r="AU53" s="74" t="str">
        <f>IF('IMPORT SCHLIESSERDATEN'!$X45="",IF('IMPORT SCHLIESSERDATEN'!$Y45="","","F"),"V")</f>
        <v>V</v>
      </c>
      <c r="AV53" s="74" t="str">
        <f>IF('IMPORT SCHLIESSERDATEN'!$AB45&lt;&gt;"","M",IF('IMPORT SCHLIESSERDATEN'!$AD45&lt;&gt;"",IF(ISERR(SEARCH("UVIBIS",'IMPORT SCHLIESSERDATEN'!$B45)),"R","B"),IF(OR('IMPORT SCHLIESSERDATEN'!$AC45&lt;&gt;"",'IMPORT SCHLIESSERDATEN'!$AE45&lt;&gt;""),"E","")))</f>
        <v>E</v>
      </c>
      <c r="AW53" s="82"/>
      <c r="AX53" s="67"/>
    </row>
    <row r="54" spans="1:65" x14ac:dyDescent="0.25">
      <c r="A54" s="67">
        <f>IFERROR(IF(C54&lt;&gt;"",MAX($A$2:$A53)+1,""),"")</f>
        <v>42</v>
      </c>
      <c r="B54" s="223">
        <f t="shared" si="1"/>
        <v>42</v>
      </c>
      <c r="C54" s="216" t="str">
        <f>IF(J54=1,SUBSTITUTE('IMPORT SCHLIESSERDATEN'!$B46," Gangfl.",""),IF(J54=2,SUBSTITUTE('IMPORT SCHLIESSERDATEN'!$B46," Standfl.",""),'IMPORT SCHLIESSERDATEN'!$B46))</f>
        <v>TS 93 G GSR-EMF 2 /BG EN 2-5</v>
      </c>
      <c r="D54" s="216" t="str">
        <f>IF('IMPORT SCHLIESSERDATEN'!$AF46&lt;&gt;"",IF(COUNTA('IMPORT SCHLIESSERDATEN'!$AN46:$AU46)&gt;0,"X","G"),IF('IMPORT SCHLIESSERDATEN'!$AG46&lt;&gt;"","S",IF('IMPORT SCHLIESSERDATEN'!$AH46&lt;&gt;"","I",IF('IMPORT SCHLIESSERDATEN'!$AI46&lt;&gt;"","B",IF('IMPORT SCHLIESSERDATEN'!$AJ46&lt;&gt;"","D","")))))</f>
        <v>G</v>
      </c>
      <c r="E54" s="248" t="str">
        <f>'IMPORT SCHLIESSERDATEN'!AK46 &amp; IF('IMPORT SCHLIESSERDATEN'!AL46="",""," "&amp; 'IMPORT SCHLIESSERDATEN'!AL46)</f>
        <v>93 G</v>
      </c>
      <c r="F54" s="74">
        <f>IFERROR(IF(D54="X",2^(MATCH("",'IMPORT SCHLIESSERDATEN'!$AN46:$AU46,-1)-1),IF(AV54="F",2^(MATCH("",'IMPORT SCHLIESSERDATEN'!$BH46:$BK46,-1)-1),2^(MATCH("",'IMPORT SCHLIESSERDATEN'!$AV46:$BG46,-1)-1))),0)</f>
        <v>256</v>
      </c>
      <c r="G54" s="74">
        <f>IF(AND('IMPORT SCHLIESSERDATEN'!$O46='IMPORT SCHLIESSERDATEN'!$R46,'IMPORT SCHLIESSERDATEN'!$O46&lt;&gt;"",'IMPORT SCHLIESSERDATEN'!$R46&lt;&gt;""),1,0)  +  IF(AND('IMPORT SCHLIESSERDATEN'!$P46='IMPORT SCHLIESSERDATEN'!$S46,'IMPORT SCHLIESSERDATEN'!$P46&lt;&gt;"",'IMPORT SCHLIESSERDATEN'!$S46&lt;&gt;""),2,0)   +  IF(AND('IMPORT SCHLIESSERDATEN'!$O46='IMPORT SCHLIESSERDATEN'!$S46,'IMPORT SCHLIESSERDATEN'!$O46&lt;&gt;"",'IMPORT SCHLIESSERDATEN'!$S46&lt;&gt;""),4,0)   +  IF(AND('IMPORT SCHLIESSERDATEN'!$P46='IMPORT SCHLIESSERDATEN'!$R46,'IMPORT SCHLIESSERDATEN'!$P46&lt;&gt;"",'IMPORT SCHLIESSERDATEN'!$R46&lt;&gt;""),8,0)   +  IF('IMPORT SCHLIESSERDATEN'!$Q46&lt;&gt;"",IF('IMPORT SCHLIESSERDATEN'!$R46&lt;&gt;"",32,0) + IF('IMPORT SCHLIESSERDATEN'!$S46&lt;&gt;"",64,0),0)  +  IF('IMPORT SCHLIESSERDATEN'!$T46&lt;&gt;"",IF('IMPORT SCHLIESSERDATEN'!$Q46&lt;&gt;"",128+256,128),0)</f>
        <v>8</v>
      </c>
      <c r="H54" s="74">
        <f>IF('IMPORT SCHLIESSERDATEN'!$H46="",0,1) + IF('IMPORT SCHLIESSERDATEN'!$I46="",0,2) + IF('IMPORT SCHLIESSERDATEN'!$J46="",0,4) + IF('IMPORT SCHLIESSERDATEN'!$K46="",0,8) + IF('IMPORT SCHLIESSERDATEN'!$L46="",0,16) + IF('IMPORT SCHLIESSERDATEN'!$M46="",0,32) + IF('IMPORT SCHLIESSERDATEN'!$N46="",0,64)</f>
        <v>30</v>
      </c>
      <c r="I54" s="74">
        <f>IF('IMPORT SCHLIESSERDATEN'!$D46="",0,1) + IF('IMPORT SCHLIESSERDATEN'!$E46="",0,2) + IF('IMPORT SCHLIESSERDATEN'!$E46="S",4,0)</f>
        <v>2</v>
      </c>
      <c r="J54" s="74">
        <f>IF(ISERR(FIND(" Gangfl.",'IMPORT SCHLIESSERDATEN'!$B46)),IF(ISERR(FIND(" Standfl.",'IMPORT SCHLIESSERDATEN'!$B46)),0,2),1)</f>
        <v>2</v>
      </c>
      <c r="K54" s="74">
        <f>'IMPORT SCHLIESSERDATEN'!CL46</f>
        <v>0</v>
      </c>
      <c r="L54" s="74">
        <f>'IMPORT SCHLIESSERDATEN'!CN46</f>
        <v>0</v>
      </c>
      <c r="M54" s="74">
        <f>IF('IMPORT SCHLIESSERDATEN'!CS46="wie TS",-1,'IMPORT SCHLIESSERDATEN'!CS46)</f>
        <v>0</v>
      </c>
      <c r="N54" s="74">
        <f>IF(M54&lt;0,-1,'IMPORT SCHLIESSERDATEN'!CU46)</f>
        <v>0</v>
      </c>
      <c r="O54" s="74">
        <f>IF('IMPORT SCHLIESSERDATEN'!CZ46="wie TS",-1,'IMPORT SCHLIESSERDATEN'!CZ46)</f>
        <v>0</v>
      </c>
      <c r="P54" s="74">
        <f>IF(O54&lt;0,-1,'IMPORT SCHLIESSERDATEN'!DB46)</f>
        <v>0</v>
      </c>
      <c r="Q54" s="74">
        <f>'IMPORT SCHLIESSERDATEN'!DG46</f>
        <v>49</v>
      </c>
      <c r="R54" s="74">
        <f>'IMPORT SCHLIESSERDATEN'!DI46</f>
        <v>17</v>
      </c>
      <c r="S54" s="74">
        <f>'IMPORT SCHLIESSERDATEN'!DN46</f>
        <v>0</v>
      </c>
      <c r="T54" s="74">
        <f>IF('IMPORT SCHLIESSERDATEN'!DP46="V",9999,'IMPORT SCHLIESSERDATEN'!DP46)</f>
        <v>0</v>
      </c>
      <c r="U54" s="74">
        <f>'IMPORT SCHLIESSERDATEN'!BW46</f>
        <v>275</v>
      </c>
      <c r="V54" s="74">
        <f>'IMPORT SCHLIESSERDATEN'!BX46</f>
        <v>53</v>
      </c>
      <c r="W54" s="74">
        <f>'IMPORT SCHLIESSERDATEN'!BY46</f>
        <v>60</v>
      </c>
      <c r="X54" s="74">
        <f>'IMPORT SCHLIESSERDATEN'!CO46</f>
        <v>0</v>
      </c>
      <c r="Y54" s="74">
        <f>'IMPORT SCHLIESSERDATEN'!CQ46</f>
        <v>0</v>
      </c>
      <c r="Z54" s="74">
        <f>'IMPORT SCHLIESSERDATEN'!CV46</f>
        <v>0</v>
      </c>
      <c r="AA54" s="74">
        <f>'IMPORT SCHLIESSERDATEN'!CX46</f>
        <v>0</v>
      </c>
      <c r="AB54" s="74">
        <f>'IMPORT SCHLIESSERDATEN'!DC46</f>
        <v>0</v>
      </c>
      <c r="AC54" s="74">
        <f>'IMPORT SCHLIESSERDATEN'!DE46</f>
        <v>0</v>
      </c>
      <c r="AD54" s="74">
        <f>'IMPORT SCHLIESSERDATEN'!DJ46</f>
        <v>49</v>
      </c>
      <c r="AE54" s="74">
        <f>'IMPORT SCHLIESSERDATEN'!DL46</f>
        <v>0</v>
      </c>
      <c r="AF54" s="74">
        <f>'IMPORT SCHLIESSERDATEN'!DQ46</f>
        <v>0</v>
      </c>
      <c r="AG54" s="74">
        <f>IF('IMPORT SCHLIESSERDATEN'!DS46="V",9999,'IMPORT SCHLIESSERDATEN'!DS46)</f>
        <v>0</v>
      </c>
      <c r="AH54" s="74">
        <f>IF('IMPORT SCHLIESSERDATEN'!BZ46="V",9999,IF('IMPORT SCHLIESSERDATEN'!CD46="_",-1,'IMPORT SCHLIESSERDATEN'!BZ46))</f>
        <v>9999</v>
      </c>
      <c r="AI54" s="74">
        <f>IF('IMPORT SCHLIESSERDATEN'!CA46="V",9999,IF('IMPORT SCHLIESSERDATEN'!CD46="_",-1,'IMPORT SCHLIESSERDATEN'!CA46))</f>
        <v>30</v>
      </c>
      <c r="AJ54" s="74">
        <f>IF('IMPORT SCHLIESSERDATEN'!CB46="V",9999,IF('IMPORT SCHLIESSERDATEN'!CD46="_",-1,'IMPORT SCHLIESSERDATEN'!CB46))</f>
        <v>55</v>
      </c>
      <c r="AK54" s="74">
        <f>IF('IMPORT SCHLIESSERDATEN'!CC46="V",9999,IF('IMPORT SCHLIESSERDATEN'!CC46="_",-1,'IMPORT SCHLIESSERDATEN'!CC46))</f>
        <v>28</v>
      </c>
      <c r="AL54" s="74">
        <f>IF('IMPORT SCHLIESSERDATEN'!CD46="_",-1,'IMPORT SCHLIESSERDATEN'!CD46)</f>
        <v>375</v>
      </c>
      <c r="AM54" s="74">
        <f>'IMPORT SCHLIESSERDATEN'!CH46</f>
        <v>91</v>
      </c>
      <c r="AN54" s="74">
        <f>IF('IMPORT SCHLIESSERDATEN'!CE46="V",9999,'IMPORT SCHLIESSERDATEN'!CE46)</f>
        <v>30</v>
      </c>
      <c r="AO54" s="74">
        <f>IF('IMPORT SCHLIESSERDATEN'!CK46="_",-1,'IMPORT SCHLIESSERDATEN'!CK46)</f>
        <v>164</v>
      </c>
      <c r="AP54" s="74">
        <f>IF('IMPORT SCHLIESSERDATEN'!$U46="",0,1)</f>
        <v>1</v>
      </c>
      <c r="AQ54" s="74">
        <f>IF('IMPORT SCHLIESSERDATEN'!$V46="",0,1)</f>
        <v>1</v>
      </c>
      <c r="AR54" s="74">
        <f>IF('IMPORT SCHLIESSERDATEN'!$W46="",0,1)</f>
        <v>1</v>
      </c>
      <c r="AS54" s="74">
        <f>IF('IMPORT SCHLIESSERDATEN'!$AA46="",0,1)</f>
        <v>1</v>
      </c>
      <c r="AT54" s="74">
        <f>IF('IMPORT SCHLIESSERDATEN'!$AD46="",0,1) + IF('IMPORT SCHLIESSERDATEN'!$AE46="",0,2)</f>
        <v>2</v>
      </c>
      <c r="AU54" s="74" t="str">
        <f>IF('IMPORT SCHLIESSERDATEN'!$X46="",IF('IMPORT SCHLIESSERDATEN'!$Y46="","","F"),"V")</f>
        <v>V</v>
      </c>
      <c r="AV54" s="74" t="str">
        <f>IF('IMPORT SCHLIESSERDATEN'!$AB46&lt;&gt;"","M",IF('IMPORT SCHLIESSERDATEN'!$AD46&lt;&gt;"",IF(ISERR(SEARCH("UVIBIS",'IMPORT SCHLIESSERDATEN'!$B46)),"R","B"),IF(OR('IMPORT SCHLIESSERDATEN'!$AC46&lt;&gt;"",'IMPORT SCHLIESSERDATEN'!$AE46&lt;&gt;""),"E","")))</f>
        <v>E</v>
      </c>
      <c r="AW54" s="82"/>
      <c r="AX54" s="67"/>
    </row>
    <row r="55" spans="1:65" x14ac:dyDescent="0.25">
      <c r="A55" s="67">
        <f>IFERROR(IF(C55&lt;&gt;"",MAX($A$2:$A54)+1,""),"")</f>
        <v>43</v>
      </c>
      <c r="B55" s="223">
        <f t="shared" si="1"/>
        <v>43</v>
      </c>
      <c r="C55" s="216" t="str">
        <f>IF(J55=1,SUBSTITUTE('IMPORT SCHLIESSERDATEN'!$B47," Gangfl.",""),IF(J55=2,SUBSTITUTE('IMPORT SCHLIESSERDATEN'!$B47," Standfl.",""),'IMPORT SCHLIESSERDATEN'!$B47))</f>
        <v>TS 93 G GSR-EMR 1 /BG EN 2-5</v>
      </c>
      <c r="D55" s="216" t="str">
        <f>IF('IMPORT SCHLIESSERDATEN'!$AF47&lt;&gt;"",IF(COUNTA('IMPORT SCHLIESSERDATEN'!$AN47:$AU47)&gt;0,"X","G"),IF('IMPORT SCHLIESSERDATEN'!$AG47&lt;&gt;"","S",IF('IMPORT SCHLIESSERDATEN'!$AH47&lt;&gt;"","I",IF('IMPORT SCHLIESSERDATEN'!$AI47&lt;&gt;"","B",IF('IMPORT SCHLIESSERDATEN'!$AJ47&lt;&gt;"","D","")))))</f>
        <v>G</v>
      </c>
      <c r="E55" s="248" t="str">
        <f>'IMPORT SCHLIESSERDATEN'!AK47 &amp; IF('IMPORT SCHLIESSERDATEN'!AL47="",""," "&amp; 'IMPORT SCHLIESSERDATEN'!AL47)</f>
        <v>93 G</v>
      </c>
      <c r="F55" s="74">
        <f>IFERROR(IF(D55="X",2^(MATCH("",'IMPORT SCHLIESSERDATEN'!$AN47:$AU47,-1)-1),IF(AV55="F",2^(MATCH("",'IMPORT SCHLIESSERDATEN'!$BH47:$BK47,-1)-1),2^(MATCH("",'IMPORT SCHLIESSERDATEN'!$AV47:$BG47,-1)-1))),0)</f>
        <v>512</v>
      </c>
      <c r="G55" s="74">
        <f>IF(AND('IMPORT SCHLIESSERDATEN'!$O47='IMPORT SCHLIESSERDATEN'!$R47,'IMPORT SCHLIESSERDATEN'!$O47&lt;&gt;"",'IMPORT SCHLIESSERDATEN'!$R47&lt;&gt;""),1,0)  +  IF(AND('IMPORT SCHLIESSERDATEN'!$P47='IMPORT SCHLIESSERDATEN'!$S47,'IMPORT SCHLIESSERDATEN'!$P47&lt;&gt;"",'IMPORT SCHLIESSERDATEN'!$S47&lt;&gt;""),2,0)   +  IF(AND('IMPORT SCHLIESSERDATEN'!$O47='IMPORT SCHLIESSERDATEN'!$S47,'IMPORT SCHLIESSERDATEN'!$O47&lt;&gt;"",'IMPORT SCHLIESSERDATEN'!$S47&lt;&gt;""),4,0)   +  IF(AND('IMPORT SCHLIESSERDATEN'!$P47='IMPORT SCHLIESSERDATEN'!$R47,'IMPORT SCHLIESSERDATEN'!$P47&lt;&gt;"",'IMPORT SCHLIESSERDATEN'!$R47&lt;&gt;""),8,0)   +  IF('IMPORT SCHLIESSERDATEN'!$Q47&lt;&gt;"",IF('IMPORT SCHLIESSERDATEN'!$R47&lt;&gt;"",32,0) + IF('IMPORT SCHLIESSERDATEN'!$S47&lt;&gt;"",64,0),0)  +  IF('IMPORT SCHLIESSERDATEN'!$T47&lt;&gt;"",IF('IMPORT SCHLIESSERDATEN'!$Q47&lt;&gt;"",128+256,128),0)</f>
        <v>8</v>
      </c>
      <c r="H55" s="74">
        <f>IF('IMPORT SCHLIESSERDATEN'!$H47="",0,1) + IF('IMPORT SCHLIESSERDATEN'!$I47="",0,2) + IF('IMPORT SCHLIESSERDATEN'!$J47="",0,4) + IF('IMPORT SCHLIESSERDATEN'!$K47="",0,8) + IF('IMPORT SCHLIESSERDATEN'!$L47="",0,16) + IF('IMPORT SCHLIESSERDATEN'!$M47="",0,32) + IF('IMPORT SCHLIESSERDATEN'!$N47="",0,64)</f>
        <v>30</v>
      </c>
      <c r="I55" s="74">
        <f>IF('IMPORT SCHLIESSERDATEN'!$D47="",0,1) + IF('IMPORT SCHLIESSERDATEN'!$E47="",0,2) + IF('IMPORT SCHLIESSERDATEN'!$E47="S",4,0)</f>
        <v>2</v>
      </c>
      <c r="J55" s="74">
        <f>IF(ISERR(FIND(" Gangfl.",'IMPORT SCHLIESSERDATEN'!$B47)),IF(ISERR(FIND(" Standfl.",'IMPORT SCHLIESSERDATEN'!$B47)),0,2),1)</f>
        <v>2</v>
      </c>
      <c r="K55" s="74">
        <f>'IMPORT SCHLIESSERDATEN'!CL47</f>
        <v>0</v>
      </c>
      <c r="L55" s="74">
        <f>'IMPORT SCHLIESSERDATEN'!CN47</f>
        <v>0</v>
      </c>
      <c r="M55" s="74">
        <f>IF('IMPORT SCHLIESSERDATEN'!CS47="wie TS",-1,'IMPORT SCHLIESSERDATEN'!CS47)</f>
        <v>0</v>
      </c>
      <c r="N55" s="74">
        <f>IF(M55&lt;0,-1,'IMPORT SCHLIESSERDATEN'!CU47)</f>
        <v>0</v>
      </c>
      <c r="O55" s="74">
        <f>IF('IMPORT SCHLIESSERDATEN'!CZ47="wie TS",-1,'IMPORT SCHLIESSERDATEN'!CZ47)</f>
        <v>0</v>
      </c>
      <c r="P55" s="74">
        <f>IF(O55&lt;0,-1,'IMPORT SCHLIESSERDATEN'!DB47)</f>
        <v>0</v>
      </c>
      <c r="Q55" s="74">
        <f>'IMPORT SCHLIESSERDATEN'!DG47</f>
        <v>49</v>
      </c>
      <c r="R55" s="74">
        <f>'IMPORT SCHLIESSERDATEN'!DI47</f>
        <v>17</v>
      </c>
      <c r="S55" s="74">
        <f>'IMPORT SCHLIESSERDATEN'!DN47</f>
        <v>0</v>
      </c>
      <c r="T55" s="74">
        <f>IF('IMPORT SCHLIESSERDATEN'!DP47="V",9999,'IMPORT SCHLIESSERDATEN'!DP47)</f>
        <v>0</v>
      </c>
      <c r="U55" s="74">
        <f>'IMPORT SCHLIESSERDATEN'!BW47</f>
        <v>275</v>
      </c>
      <c r="V55" s="74">
        <f>'IMPORT SCHLIESSERDATEN'!BX47</f>
        <v>53</v>
      </c>
      <c r="W55" s="74">
        <f>'IMPORT SCHLIESSERDATEN'!BY47</f>
        <v>60</v>
      </c>
      <c r="X55" s="74">
        <f>'IMPORT SCHLIESSERDATEN'!CO47</f>
        <v>0</v>
      </c>
      <c r="Y55" s="74">
        <f>'IMPORT SCHLIESSERDATEN'!CQ47</f>
        <v>0</v>
      </c>
      <c r="Z55" s="74">
        <f>'IMPORT SCHLIESSERDATEN'!CV47</f>
        <v>0</v>
      </c>
      <c r="AA55" s="74">
        <f>'IMPORT SCHLIESSERDATEN'!CX47</f>
        <v>0</v>
      </c>
      <c r="AB55" s="74">
        <f>'IMPORT SCHLIESSERDATEN'!DC47</f>
        <v>0</v>
      </c>
      <c r="AC55" s="74">
        <f>'IMPORT SCHLIESSERDATEN'!DE47</f>
        <v>0</v>
      </c>
      <c r="AD55" s="74">
        <f>'IMPORT SCHLIESSERDATEN'!DJ47</f>
        <v>49</v>
      </c>
      <c r="AE55" s="74">
        <f>'IMPORT SCHLIESSERDATEN'!DL47</f>
        <v>0</v>
      </c>
      <c r="AF55" s="74">
        <f>'IMPORT SCHLIESSERDATEN'!DQ47</f>
        <v>0</v>
      </c>
      <c r="AG55" s="74">
        <f>IF('IMPORT SCHLIESSERDATEN'!DS47="V",9999,'IMPORT SCHLIESSERDATEN'!DS47)</f>
        <v>0</v>
      </c>
      <c r="AH55" s="74">
        <f>IF('IMPORT SCHLIESSERDATEN'!BZ47="V",9999,IF('IMPORT SCHLIESSERDATEN'!CD47="_",-1,'IMPORT SCHLIESSERDATEN'!BZ47))</f>
        <v>9999</v>
      </c>
      <c r="AI55" s="74">
        <f>IF('IMPORT SCHLIESSERDATEN'!CA47="V",9999,IF('IMPORT SCHLIESSERDATEN'!CD47="_",-1,'IMPORT SCHLIESSERDATEN'!CA47))</f>
        <v>30</v>
      </c>
      <c r="AJ55" s="74">
        <f>IF('IMPORT SCHLIESSERDATEN'!CB47="V",9999,IF('IMPORT SCHLIESSERDATEN'!CD47="_",-1,'IMPORT SCHLIESSERDATEN'!CB47))</f>
        <v>55</v>
      </c>
      <c r="AK55" s="74">
        <f>IF('IMPORT SCHLIESSERDATEN'!CC47="V",9999,IF('IMPORT SCHLIESSERDATEN'!CC47="_",-1,'IMPORT SCHLIESSERDATEN'!CC47))</f>
        <v>28</v>
      </c>
      <c r="AL55" s="74">
        <f>IF('IMPORT SCHLIESSERDATEN'!CD47="_",-1,'IMPORT SCHLIESSERDATEN'!CD47)</f>
        <v>375</v>
      </c>
      <c r="AM55" s="74">
        <f>'IMPORT SCHLIESSERDATEN'!CH47</f>
        <v>91</v>
      </c>
      <c r="AN55" s="74">
        <f>IF('IMPORT SCHLIESSERDATEN'!CE47="V",9999,'IMPORT SCHLIESSERDATEN'!CE47)</f>
        <v>30</v>
      </c>
      <c r="AO55" s="74">
        <f>IF('IMPORT SCHLIESSERDATEN'!CK47="_",-1,'IMPORT SCHLIESSERDATEN'!CK47)</f>
        <v>164</v>
      </c>
      <c r="AP55" s="74">
        <f>IF('IMPORT SCHLIESSERDATEN'!$U47="",0,1)</f>
        <v>1</v>
      </c>
      <c r="AQ55" s="74">
        <f>IF('IMPORT SCHLIESSERDATEN'!$V47="",0,1)</f>
        <v>1</v>
      </c>
      <c r="AR55" s="74">
        <f>IF('IMPORT SCHLIESSERDATEN'!$W47="",0,1)</f>
        <v>1</v>
      </c>
      <c r="AS55" s="74">
        <f>IF('IMPORT SCHLIESSERDATEN'!$AA47="",0,1)</f>
        <v>1</v>
      </c>
      <c r="AT55" s="74">
        <f>IF('IMPORT SCHLIESSERDATEN'!$AD47="",0,1) + IF('IMPORT SCHLIESSERDATEN'!$AE47="",0,2)</f>
        <v>1</v>
      </c>
      <c r="AU55" s="74" t="str">
        <f>IF('IMPORT SCHLIESSERDATEN'!$X47="",IF('IMPORT SCHLIESSERDATEN'!$Y47="","","F"),"V")</f>
        <v>V</v>
      </c>
      <c r="AV55" s="74" t="str">
        <f>IF('IMPORT SCHLIESSERDATEN'!$AB47&lt;&gt;"","M",IF('IMPORT SCHLIESSERDATEN'!$AD47&lt;&gt;"",IF(ISERR(SEARCH("UVIBIS",'IMPORT SCHLIESSERDATEN'!$B47)),"R","B"),IF(OR('IMPORT SCHLIESSERDATEN'!$AC47&lt;&gt;"",'IMPORT SCHLIESSERDATEN'!$AE47&lt;&gt;""),"E","")))</f>
        <v>R</v>
      </c>
      <c r="AW55" s="82"/>
      <c r="AX55" s="67"/>
    </row>
    <row r="56" spans="1:65" x14ac:dyDescent="0.25">
      <c r="A56" s="67">
        <f>IFERROR(IF(C56&lt;&gt;"",MAX($A$2:$A55)+1,""),"")</f>
        <v>44</v>
      </c>
      <c r="B56" s="223">
        <f t="shared" si="1"/>
        <v>44</v>
      </c>
      <c r="C56" s="216" t="str">
        <f>IF(J56=1,SUBSTITUTE('IMPORT SCHLIESSERDATEN'!$B48," Gangfl.",""),IF(J56=2,SUBSTITUTE('IMPORT SCHLIESSERDATEN'!$B48," Standfl.",""),'IMPORT SCHLIESSERDATEN'!$B48))</f>
        <v>TS 93 G GSR-EMR 1G /BG EN 2-5</v>
      </c>
      <c r="D56" s="216" t="str">
        <f>IF('IMPORT SCHLIESSERDATEN'!$AF48&lt;&gt;"",IF(COUNTA('IMPORT SCHLIESSERDATEN'!$AN48:$AU48)&gt;0,"X","G"),IF('IMPORT SCHLIESSERDATEN'!$AG48&lt;&gt;"","S",IF('IMPORT SCHLIESSERDATEN'!$AH48&lt;&gt;"","I",IF('IMPORT SCHLIESSERDATEN'!$AI48&lt;&gt;"","B",IF('IMPORT SCHLIESSERDATEN'!$AJ48&lt;&gt;"","D","")))))</f>
        <v>G</v>
      </c>
      <c r="E56" s="248" t="str">
        <f>'IMPORT SCHLIESSERDATEN'!AK48 &amp; IF('IMPORT SCHLIESSERDATEN'!AL48="",""," "&amp; 'IMPORT SCHLIESSERDATEN'!AL48)</f>
        <v>93 G</v>
      </c>
      <c r="F56" s="74">
        <f>IFERROR(IF(D56="X",2^(MATCH("",'IMPORT SCHLIESSERDATEN'!$AN48:$AU48,-1)-1),IF(AV56="F",2^(MATCH("",'IMPORT SCHLIESSERDATEN'!$BH48:$BK48,-1)-1),2^(MATCH("",'IMPORT SCHLIESSERDATEN'!$AV48:$BG48,-1)-1))),0)</f>
        <v>1024</v>
      </c>
      <c r="G56" s="74">
        <f>IF(AND('IMPORT SCHLIESSERDATEN'!$O48='IMPORT SCHLIESSERDATEN'!$R48,'IMPORT SCHLIESSERDATEN'!$O48&lt;&gt;"",'IMPORT SCHLIESSERDATEN'!$R48&lt;&gt;""),1,0)  +  IF(AND('IMPORT SCHLIESSERDATEN'!$P48='IMPORT SCHLIESSERDATEN'!$S48,'IMPORT SCHLIESSERDATEN'!$P48&lt;&gt;"",'IMPORT SCHLIESSERDATEN'!$S48&lt;&gt;""),2,0)   +  IF(AND('IMPORT SCHLIESSERDATEN'!$O48='IMPORT SCHLIESSERDATEN'!$S48,'IMPORT SCHLIESSERDATEN'!$O48&lt;&gt;"",'IMPORT SCHLIESSERDATEN'!$S48&lt;&gt;""),4,0)   +  IF(AND('IMPORT SCHLIESSERDATEN'!$P48='IMPORT SCHLIESSERDATEN'!$R48,'IMPORT SCHLIESSERDATEN'!$P48&lt;&gt;"",'IMPORT SCHLIESSERDATEN'!$R48&lt;&gt;""),8,0)   +  IF('IMPORT SCHLIESSERDATEN'!$Q48&lt;&gt;"",IF('IMPORT SCHLIESSERDATEN'!$R48&lt;&gt;"",32,0) + IF('IMPORT SCHLIESSERDATEN'!$S48&lt;&gt;"",64,0),0)  +  IF('IMPORT SCHLIESSERDATEN'!$T48&lt;&gt;"",IF('IMPORT SCHLIESSERDATEN'!$Q48&lt;&gt;"",128+256,128),0)</f>
        <v>8</v>
      </c>
      <c r="H56" s="74">
        <f>IF('IMPORT SCHLIESSERDATEN'!$H48="",0,1) + IF('IMPORT SCHLIESSERDATEN'!$I48="",0,2) + IF('IMPORT SCHLIESSERDATEN'!$J48="",0,4) + IF('IMPORT SCHLIESSERDATEN'!$K48="",0,8) + IF('IMPORT SCHLIESSERDATEN'!$L48="",0,16) + IF('IMPORT SCHLIESSERDATEN'!$M48="",0,32) + IF('IMPORT SCHLIESSERDATEN'!$N48="",0,64)</f>
        <v>30</v>
      </c>
      <c r="I56" s="74">
        <f>IF('IMPORT SCHLIESSERDATEN'!$D48="",0,1) + IF('IMPORT SCHLIESSERDATEN'!$E48="",0,2) + IF('IMPORT SCHLIESSERDATEN'!$E48="S",4,0)</f>
        <v>2</v>
      </c>
      <c r="J56" s="74">
        <f>IF(ISERR(FIND(" Gangfl.",'IMPORT SCHLIESSERDATEN'!$B48)),IF(ISERR(FIND(" Standfl.",'IMPORT SCHLIESSERDATEN'!$B48)),0,2),1)</f>
        <v>2</v>
      </c>
      <c r="K56" s="74">
        <f>'IMPORT SCHLIESSERDATEN'!CL48</f>
        <v>0</v>
      </c>
      <c r="L56" s="74">
        <f>'IMPORT SCHLIESSERDATEN'!CN48</f>
        <v>0</v>
      </c>
      <c r="M56" s="74">
        <f>IF('IMPORT SCHLIESSERDATEN'!CS48="wie TS",-1,'IMPORT SCHLIESSERDATEN'!CS48)</f>
        <v>0</v>
      </c>
      <c r="N56" s="74">
        <f>IF(M56&lt;0,-1,'IMPORT SCHLIESSERDATEN'!CU48)</f>
        <v>0</v>
      </c>
      <c r="O56" s="74">
        <f>IF('IMPORT SCHLIESSERDATEN'!CZ48="wie TS",-1,'IMPORT SCHLIESSERDATEN'!CZ48)</f>
        <v>0</v>
      </c>
      <c r="P56" s="74">
        <f>IF(O56&lt;0,-1,'IMPORT SCHLIESSERDATEN'!DB48)</f>
        <v>0</v>
      </c>
      <c r="Q56" s="74">
        <f>'IMPORT SCHLIESSERDATEN'!DG48</f>
        <v>49</v>
      </c>
      <c r="R56" s="74">
        <f>'IMPORT SCHLIESSERDATEN'!DI48</f>
        <v>17</v>
      </c>
      <c r="S56" s="74">
        <f>'IMPORT SCHLIESSERDATEN'!DN48</f>
        <v>0</v>
      </c>
      <c r="T56" s="74">
        <f>IF('IMPORT SCHLIESSERDATEN'!DP48="V",9999,'IMPORT SCHLIESSERDATEN'!DP48)</f>
        <v>0</v>
      </c>
      <c r="U56" s="74">
        <f>'IMPORT SCHLIESSERDATEN'!BW48</f>
        <v>275</v>
      </c>
      <c r="V56" s="74">
        <f>'IMPORT SCHLIESSERDATEN'!BX48</f>
        <v>53</v>
      </c>
      <c r="W56" s="74">
        <f>'IMPORT SCHLIESSERDATEN'!BY48</f>
        <v>60</v>
      </c>
      <c r="X56" s="74">
        <f>'IMPORT SCHLIESSERDATEN'!CO48</f>
        <v>0</v>
      </c>
      <c r="Y56" s="74">
        <f>'IMPORT SCHLIESSERDATEN'!CQ48</f>
        <v>0</v>
      </c>
      <c r="Z56" s="74">
        <f>'IMPORT SCHLIESSERDATEN'!CV48</f>
        <v>0</v>
      </c>
      <c r="AA56" s="74">
        <f>'IMPORT SCHLIESSERDATEN'!CX48</f>
        <v>0</v>
      </c>
      <c r="AB56" s="74">
        <f>'IMPORT SCHLIESSERDATEN'!DC48</f>
        <v>0</v>
      </c>
      <c r="AC56" s="74">
        <f>'IMPORT SCHLIESSERDATEN'!DE48</f>
        <v>0</v>
      </c>
      <c r="AD56" s="74">
        <f>'IMPORT SCHLIESSERDATEN'!DJ48</f>
        <v>49</v>
      </c>
      <c r="AE56" s="74">
        <f>'IMPORT SCHLIESSERDATEN'!DL48</f>
        <v>0</v>
      </c>
      <c r="AF56" s="74">
        <f>'IMPORT SCHLIESSERDATEN'!DQ48</f>
        <v>0</v>
      </c>
      <c r="AG56" s="74">
        <f>IF('IMPORT SCHLIESSERDATEN'!DS48="V",9999,'IMPORT SCHLIESSERDATEN'!DS48)</f>
        <v>0</v>
      </c>
      <c r="AH56" s="74">
        <f>IF('IMPORT SCHLIESSERDATEN'!BZ48="V",9999,IF('IMPORT SCHLIESSERDATEN'!CD48="_",-1,'IMPORT SCHLIESSERDATEN'!BZ48))</f>
        <v>9999</v>
      </c>
      <c r="AI56" s="74">
        <f>IF('IMPORT SCHLIESSERDATEN'!CA48="V",9999,IF('IMPORT SCHLIESSERDATEN'!CD48="_",-1,'IMPORT SCHLIESSERDATEN'!CA48))</f>
        <v>30</v>
      </c>
      <c r="AJ56" s="74">
        <f>IF('IMPORT SCHLIESSERDATEN'!CB48="V",9999,IF('IMPORT SCHLIESSERDATEN'!CD48="_",-1,'IMPORT SCHLIESSERDATEN'!CB48))</f>
        <v>55</v>
      </c>
      <c r="AK56" s="74">
        <f>IF('IMPORT SCHLIESSERDATEN'!CC48="V",9999,IF('IMPORT SCHLIESSERDATEN'!CC48="_",-1,'IMPORT SCHLIESSERDATEN'!CC48))</f>
        <v>28</v>
      </c>
      <c r="AL56" s="74">
        <f>IF('IMPORT SCHLIESSERDATEN'!CD48="_",-1,'IMPORT SCHLIESSERDATEN'!CD48)</f>
        <v>375</v>
      </c>
      <c r="AM56" s="74">
        <f>'IMPORT SCHLIESSERDATEN'!CH48</f>
        <v>91</v>
      </c>
      <c r="AN56" s="74">
        <f>IF('IMPORT SCHLIESSERDATEN'!CE48="V",9999,'IMPORT SCHLIESSERDATEN'!CE48)</f>
        <v>30</v>
      </c>
      <c r="AO56" s="74">
        <f>IF('IMPORT SCHLIESSERDATEN'!CK48="_",-1,'IMPORT SCHLIESSERDATEN'!CK48)</f>
        <v>164</v>
      </c>
      <c r="AP56" s="74">
        <f>IF('IMPORT SCHLIESSERDATEN'!$U48="",0,1)</f>
        <v>1</v>
      </c>
      <c r="AQ56" s="74">
        <f>IF('IMPORT SCHLIESSERDATEN'!$V48="",0,1)</f>
        <v>1</v>
      </c>
      <c r="AR56" s="74">
        <f>IF('IMPORT SCHLIESSERDATEN'!$W48="",0,1)</f>
        <v>1</v>
      </c>
      <c r="AS56" s="74">
        <f>IF('IMPORT SCHLIESSERDATEN'!$AA48="",0,1)</f>
        <v>1</v>
      </c>
      <c r="AT56" s="74">
        <f>IF('IMPORT SCHLIESSERDATEN'!$AD48="",0,1) + IF('IMPORT SCHLIESSERDATEN'!$AE48="",0,2)</f>
        <v>1</v>
      </c>
      <c r="AU56" s="74" t="str">
        <f>IF('IMPORT SCHLIESSERDATEN'!$X48="",IF('IMPORT SCHLIESSERDATEN'!$Y48="","","F"),"V")</f>
        <v>V</v>
      </c>
      <c r="AV56" s="74" t="str">
        <f>IF('IMPORT SCHLIESSERDATEN'!$AB48&lt;&gt;"","M",IF('IMPORT SCHLIESSERDATEN'!$AD48&lt;&gt;"",IF(ISERR(SEARCH("UVIBIS",'IMPORT SCHLIESSERDATEN'!$B48)),"R","B"),IF(OR('IMPORT SCHLIESSERDATEN'!$AC48&lt;&gt;"",'IMPORT SCHLIESSERDATEN'!$AE48&lt;&gt;""),"E","")))</f>
        <v>R</v>
      </c>
      <c r="AW56" s="82"/>
      <c r="AX56" s="67"/>
    </row>
    <row r="57" spans="1:65" x14ac:dyDescent="0.25">
      <c r="A57" s="67">
        <f>IFERROR(IF(C57&lt;&gt;"",MAX($A$2:$A56)+1,""),"")</f>
        <v>45</v>
      </c>
      <c r="B57" s="223">
        <f t="shared" si="1"/>
        <v>45</v>
      </c>
      <c r="C57" s="216" t="str">
        <f>IF(J57=1,SUBSTITUTE('IMPORT SCHLIESSERDATEN'!$B49," Gangfl.",""),IF(J57=2,SUBSTITUTE('IMPORT SCHLIESSERDATEN'!$B49," Standfl.",""),'IMPORT SCHLIESSERDATEN'!$B49))</f>
        <v>TS 93 G GSR-EMR 2 /BG EN 2-5</v>
      </c>
      <c r="D57" s="216" t="str">
        <f>IF('IMPORT SCHLIESSERDATEN'!$AF49&lt;&gt;"",IF(COUNTA('IMPORT SCHLIESSERDATEN'!$AN49:$AU49)&gt;0,"X","G"),IF('IMPORT SCHLIESSERDATEN'!$AG49&lt;&gt;"","S",IF('IMPORT SCHLIESSERDATEN'!$AH49&lt;&gt;"","I",IF('IMPORT SCHLIESSERDATEN'!$AI49&lt;&gt;"","B",IF('IMPORT SCHLIESSERDATEN'!$AJ49&lt;&gt;"","D","")))))</f>
        <v>G</v>
      </c>
      <c r="E57" s="248" t="str">
        <f>'IMPORT SCHLIESSERDATEN'!AK49 &amp; IF('IMPORT SCHLIESSERDATEN'!AL49="",""," "&amp; 'IMPORT SCHLIESSERDATEN'!AL49)</f>
        <v>93 G</v>
      </c>
      <c r="F57" s="74">
        <f>IFERROR(IF(D57="X",2^(MATCH("",'IMPORT SCHLIESSERDATEN'!$AN49:$AU49,-1)-1),IF(AV57="F",2^(MATCH("",'IMPORT SCHLIESSERDATEN'!$BH49:$BK49,-1)-1),2^(MATCH("",'IMPORT SCHLIESSERDATEN'!$AV49:$BG49,-1)-1))),0)</f>
        <v>2048</v>
      </c>
      <c r="G57" s="74">
        <f>IF(AND('IMPORT SCHLIESSERDATEN'!$O49='IMPORT SCHLIESSERDATEN'!$R49,'IMPORT SCHLIESSERDATEN'!$O49&lt;&gt;"",'IMPORT SCHLIESSERDATEN'!$R49&lt;&gt;""),1,0)  +  IF(AND('IMPORT SCHLIESSERDATEN'!$P49='IMPORT SCHLIESSERDATEN'!$S49,'IMPORT SCHLIESSERDATEN'!$P49&lt;&gt;"",'IMPORT SCHLIESSERDATEN'!$S49&lt;&gt;""),2,0)   +  IF(AND('IMPORT SCHLIESSERDATEN'!$O49='IMPORT SCHLIESSERDATEN'!$S49,'IMPORT SCHLIESSERDATEN'!$O49&lt;&gt;"",'IMPORT SCHLIESSERDATEN'!$S49&lt;&gt;""),4,0)   +  IF(AND('IMPORT SCHLIESSERDATEN'!$P49='IMPORT SCHLIESSERDATEN'!$R49,'IMPORT SCHLIESSERDATEN'!$P49&lt;&gt;"",'IMPORT SCHLIESSERDATEN'!$R49&lt;&gt;""),8,0)   +  IF('IMPORT SCHLIESSERDATEN'!$Q49&lt;&gt;"",IF('IMPORT SCHLIESSERDATEN'!$R49&lt;&gt;"",32,0) + IF('IMPORT SCHLIESSERDATEN'!$S49&lt;&gt;"",64,0),0)  +  IF('IMPORT SCHLIESSERDATEN'!$T49&lt;&gt;"",IF('IMPORT SCHLIESSERDATEN'!$Q49&lt;&gt;"",128+256,128),0)</f>
        <v>8</v>
      </c>
      <c r="H57" s="74">
        <f>IF('IMPORT SCHLIESSERDATEN'!$H49="",0,1) + IF('IMPORT SCHLIESSERDATEN'!$I49="",0,2) + IF('IMPORT SCHLIESSERDATEN'!$J49="",0,4) + IF('IMPORT SCHLIESSERDATEN'!$K49="",0,8) + IF('IMPORT SCHLIESSERDATEN'!$L49="",0,16) + IF('IMPORT SCHLIESSERDATEN'!$M49="",0,32) + IF('IMPORT SCHLIESSERDATEN'!$N49="",0,64)</f>
        <v>30</v>
      </c>
      <c r="I57" s="74">
        <f>IF('IMPORT SCHLIESSERDATEN'!$D49="",0,1) + IF('IMPORT SCHLIESSERDATEN'!$E49="",0,2) + IF('IMPORT SCHLIESSERDATEN'!$E49="S",4,0)</f>
        <v>2</v>
      </c>
      <c r="J57" s="74">
        <f>IF(ISERR(FIND(" Gangfl.",'IMPORT SCHLIESSERDATEN'!$B49)),IF(ISERR(FIND(" Standfl.",'IMPORT SCHLIESSERDATEN'!$B49)),0,2),1)</f>
        <v>2</v>
      </c>
      <c r="K57" s="74">
        <f>'IMPORT SCHLIESSERDATEN'!CL49</f>
        <v>0</v>
      </c>
      <c r="L57" s="74">
        <f>'IMPORT SCHLIESSERDATEN'!CN49</f>
        <v>0</v>
      </c>
      <c r="M57" s="74">
        <f>IF('IMPORT SCHLIESSERDATEN'!CS49="wie TS",-1,'IMPORT SCHLIESSERDATEN'!CS49)</f>
        <v>0</v>
      </c>
      <c r="N57" s="74">
        <f>IF(M57&lt;0,-1,'IMPORT SCHLIESSERDATEN'!CU49)</f>
        <v>0</v>
      </c>
      <c r="O57" s="74">
        <f>IF('IMPORT SCHLIESSERDATEN'!CZ49="wie TS",-1,'IMPORT SCHLIESSERDATEN'!CZ49)</f>
        <v>0</v>
      </c>
      <c r="P57" s="74">
        <f>IF(O57&lt;0,-1,'IMPORT SCHLIESSERDATEN'!DB49)</f>
        <v>0</v>
      </c>
      <c r="Q57" s="74">
        <f>'IMPORT SCHLIESSERDATEN'!DG49</f>
        <v>49</v>
      </c>
      <c r="R57" s="74">
        <f>'IMPORT SCHLIESSERDATEN'!DI49</f>
        <v>17</v>
      </c>
      <c r="S57" s="74">
        <f>'IMPORT SCHLIESSERDATEN'!DN49</f>
        <v>0</v>
      </c>
      <c r="T57" s="74">
        <f>IF('IMPORT SCHLIESSERDATEN'!DP49="V",9999,'IMPORT SCHLIESSERDATEN'!DP49)</f>
        <v>0</v>
      </c>
      <c r="U57" s="74">
        <f>'IMPORT SCHLIESSERDATEN'!BW49</f>
        <v>275</v>
      </c>
      <c r="V57" s="74">
        <f>'IMPORT SCHLIESSERDATEN'!BX49</f>
        <v>53</v>
      </c>
      <c r="W57" s="74">
        <f>'IMPORT SCHLIESSERDATEN'!BY49</f>
        <v>60</v>
      </c>
      <c r="X57" s="74">
        <f>'IMPORT SCHLIESSERDATEN'!CO49</f>
        <v>0</v>
      </c>
      <c r="Y57" s="74">
        <f>'IMPORT SCHLIESSERDATEN'!CQ49</f>
        <v>0</v>
      </c>
      <c r="Z57" s="74">
        <f>'IMPORT SCHLIESSERDATEN'!CV49</f>
        <v>0</v>
      </c>
      <c r="AA57" s="74">
        <f>'IMPORT SCHLIESSERDATEN'!CX49</f>
        <v>0</v>
      </c>
      <c r="AB57" s="74">
        <f>'IMPORT SCHLIESSERDATEN'!DC49</f>
        <v>0</v>
      </c>
      <c r="AC57" s="74">
        <f>'IMPORT SCHLIESSERDATEN'!DE49</f>
        <v>0</v>
      </c>
      <c r="AD57" s="74">
        <f>'IMPORT SCHLIESSERDATEN'!DJ49</f>
        <v>49</v>
      </c>
      <c r="AE57" s="74">
        <f>'IMPORT SCHLIESSERDATEN'!DL49</f>
        <v>0</v>
      </c>
      <c r="AF57" s="74">
        <f>'IMPORT SCHLIESSERDATEN'!DQ49</f>
        <v>0</v>
      </c>
      <c r="AG57" s="74">
        <f>IF('IMPORT SCHLIESSERDATEN'!DS49="V",9999,'IMPORT SCHLIESSERDATEN'!DS49)</f>
        <v>0</v>
      </c>
      <c r="AH57" s="74">
        <f>IF('IMPORT SCHLIESSERDATEN'!BZ49="V",9999,IF('IMPORT SCHLIESSERDATEN'!CD49="_",-1,'IMPORT SCHLIESSERDATEN'!BZ49))</f>
        <v>9999</v>
      </c>
      <c r="AI57" s="74">
        <f>IF('IMPORT SCHLIESSERDATEN'!CA49="V",9999,IF('IMPORT SCHLIESSERDATEN'!CD49="_",-1,'IMPORT SCHLIESSERDATEN'!CA49))</f>
        <v>30</v>
      </c>
      <c r="AJ57" s="74">
        <f>IF('IMPORT SCHLIESSERDATEN'!CB49="V",9999,IF('IMPORT SCHLIESSERDATEN'!CD49="_",-1,'IMPORT SCHLIESSERDATEN'!CB49))</f>
        <v>55</v>
      </c>
      <c r="AK57" s="74">
        <f>IF('IMPORT SCHLIESSERDATEN'!CC49="V",9999,IF('IMPORT SCHLIESSERDATEN'!CC49="_",-1,'IMPORT SCHLIESSERDATEN'!CC49))</f>
        <v>28</v>
      </c>
      <c r="AL57" s="74">
        <f>IF('IMPORT SCHLIESSERDATEN'!CD49="_",-1,'IMPORT SCHLIESSERDATEN'!CD49)</f>
        <v>375</v>
      </c>
      <c r="AM57" s="74">
        <f>'IMPORT SCHLIESSERDATEN'!CH49</f>
        <v>91</v>
      </c>
      <c r="AN57" s="74">
        <f>IF('IMPORT SCHLIESSERDATEN'!CE49="V",9999,'IMPORT SCHLIESSERDATEN'!CE49)</f>
        <v>30</v>
      </c>
      <c r="AO57" s="74">
        <f>IF('IMPORT SCHLIESSERDATEN'!CK49="_",-1,'IMPORT SCHLIESSERDATEN'!CK49)</f>
        <v>164</v>
      </c>
      <c r="AP57" s="74">
        <f>IF('IMPORT SCHLIESSERDATEN'!$U49="",0,1)</f>
        <v>1</v>
      </c>
      <c r="AQ57" s="74">
        <f>IF('IMPORT SCHLIESSERDATEN'!$V49="",0,1)</f>
        <v>1</v>
      </c>
      <c r="AR57" s="74">
        <f>IF('IMPORT SCHLIESSERDATEN'!$W49="",0,1)</f>
        <v>1</v>
      </c>
      <c r="AS57" s="74">
        <f>IF('IMPORT SCHLIESSERDATEN'!$AA49="",0,1)</f>
        <v>1</v>
      </c>
      <c r="AT57" s="74">
        <f>IF('IMPORT SCHLIESSERDATEN'!$AD49="",0,1) + IF('IMPORT SCHLIESSERDATEN'!$AE49="",0,2)</f>
        <v>1</v>
      </c>
      <c r="AU57" s="74" t="str">
        <f>IF('IMPORT SCHLIESSERDATEN'!$X49="",IF('IMPORT SCHLIESSERDATEN'!$Y49="","","F"),"V")</f>
        <v>V</v>
      </c>
      <c r="AV57" s="74" t="str">
        <f>IF('IMPORT SCHLIESSERDATEN'!$AB49&lt;&gt;"","M",IF('IMPORT SCHLIESSERDATEN'!$AD49&lt;&gt;"",IF(ISERR(SEARCH("UVIBIS",'IMPORT SCHLIESSERDATEN'!$B49)),"R","B"),IF(OR('IMPORT SCHLIESSERDATEN'!$AC49&lt;&gt;"",'IMPORT SCHLIESSERDATEN'!$AE49&lt;&gt;""),"E","")))</f>
        <v>R</v>
      </c>
      <c r="AW57" s="82"/>
      <c r="AX57" s="67"/>
    </row>
    <row r="58" spans="1:65" x14ac:dyDescent="0.25">
      <c r="A58" s="67">
        <f>IFERROR(IF(C58&lt;&gt;"",MAX($A$2:$A57)+1,""),"")</f>
        <v>46</v>
      </c>
      <c r="B58" s="223">
        <f t="shared" si="1"/>
        <v>46</v>
      </c>
      <c r="C58" s="216" t="str">
        <f>IF(J58=1,SUBSTITUTE('IMPORT SCHLIESSERDATEN'!$B50," Gangfl.",""),IF(J58=2,SUBSTITUTE('IMPORT SCHLIESSERDATEN'!$B50," Standfl.",""),'IMPORT SCHLIESSERDATEN'!$B50))</f>
        <v>TS 93 EN 5-7</v>
      </c>
      <c r="D58" s="216" t="str">
        <f>IF('IMPORT SCHLIESSERDATEN'!$AF50&lt;&gt;"",IF(COUNTA('IMPORT SCHLIESSERDATEN'!$AN50:$AU50)&gt;0,"X","G"),IF('IMPORT SCHLIESSERDATEN'!$AG50&lt;&gt;"","S",IF('IMPORT SCHLIESSERDATEN'!$AH50&lt;&gt;"","I",IF('IMPORT SCHLIESSERDATEN'!$AI50&lt;&gt;"","B",IF('IMPORT SCHLIESSERDATEN'!$AJ50&lt;&gt;"","D","")))))</f>
        <v>G</v>
      </c>
      <c r="E58" s="248" t="str">
        <f>'IMPORT SCHLIESSERDATEN'!AK50 &amp; IF('IMPORT SCHLIESSERDATEN'!AL50="",""," "&amp; 'IMPORT SCHLIESSERDATEN'!AL50)</f>
        <v>93 B</v>
      </c>
      <c r="F58" s="74">
        <f>IFERROR(IF(D58="X",2^(MATCH("",'IMPORT SCHLIESSERDATEN'!$AN50:$AU50,-1)-1),IF(AV58="F",2^(MATCH("",'IMPORT SCHLIESSERDATEN'!$BH50:$BK50,-1)-1),2^(MATCH("",'IMPORT SCHLIESSERDATEN'!$AV50:$BG50,-1)-1))),0)</f>
        <v>1</v>
      </c>
      <c r="G58" s="74">
        <f>IF(AND('IMPORT SCHLIESSERDATEN'!$O50='IMPORT SCHLIESSERDATEN'!$R50,'IMPORT SCHLIESSERDATEN'!$O50&lt;&gt;"",'IMPORT SCHLIESSERDATEN'!$R50&lt;&gt;""),1,0)  +  IF(AND('IMPORT SCHLIESSERDATEN'!$P50='IMPORT SCHLIESSERDATEN'!$S50,'IMPORT SCHLIESSERDATEN'!$P50&lt;&gt;"",'IMPORT SCHLIESSERDATEN'!$S50&lt;&gt;""),2,0)   +  IF(AND('IMPORT SCHLIESSERDATEN'!$O50='IMPORT SCHLIESSERDATEN'!$S50,'IMPORT SCHLIESSERDATEN'!$O50&lt;&gt;"",'IMPORT SCHLIESSERDATEN'!$S50&lt;&gt;""),4,0)   +  IF(AND('IMPORT SCHLIESSERDATEN'!$P50='IMPORT SCHLIESSERDATEN'!$R50,'IMPORT SCHLIESSERDATEN'!$P50&lt;&gt;"",'IMPORT SCHLIESSERDATEN'!$R50&lt;&gt;""),8,0)   +  IF('IMPORT SCHLIESSERDATEN'!$Q50&lt;&gt;"",IF('IMPORT SCHLIESSERDATEN'!$R50&lt;&gt;"",32,0) + IF('IMPORT SCHLIESSERDATEN'!$S50&lt;&gt;"",64,0),0)  +  IF('IMPORT SCHLIESSERDATEN'!$T50&lt;&gt;"",IF('IMPORT SCHLIESSERDATEN'!$Q50&lt;&gt;"",128+256,128),0)</f>
        <v>3</v>
      </c>
      <c r="H58" s="74">
        <f>IF('IMPORT SCHLIESSERDATEN'!$H50="",0,1) + IF('IMPORT SCHLIESSERDATEN'!$I50="",0,2) + IF('IMPORT SCHLIESSERDATEN'!$J50="",0,4) + IF('IMPORT SCHLIESSERDATEN'!$K50="",0,8) + IF('IMPORT SCHLIESSERDATEN'!$L50="",0,16) + IF('IMPORT SCHLIESSERDATEN'!$M50="",0,32) + IF('IMPORT SCHLIESSERDATEN'!$N50="",0,64)</f>
        <v>112</v>
      </c>
      <c r="I58" s="74">
        <f>IF('IMPORT SCHLIESSERDATEN'!$D50="",0,1) + IF('IMPORT SCHLIESSERDATEN'!$E50="",0,2) + IF('IMPORT SCHLIESSERDATEN'!$E50="S",4,0)</f>
        <v>1</v>
      </c>
      <c r="J58" s="74">
        <f>IF(ISERR(FIND(" Gangfl.",'IMPORT SCHLIESSERDATEN'!$B50)),IF(ISERR(FIND(" Standfl.",'IMPORT SCHLIESSERDATEN'!$B50)),0,2),1)</f>
        <v>0</v>
      </c>
      <c r="K58" s="74">
        <f>'IMPORT SCHLIESSERDATEN'!CL50</f>
        <v>80</v>
      </c>
      <c r="L58" s="74">
        <f>'IMPORT SCHLIESSERDATEN'!CN50</f>
        <v>4</v>
      </c>
      <c r="M58" s="74">
        <f>IF('IMPORT SCHLIESSERDATEN'!CS50="wie TS",-1,'IMPORT SCHLIESSERDATEN'!CS50)</f>
        <v>80</v>
      </c>
      <c r="N58" s="74">
        <f>IF(M58&lt;0,-1,'IMPORT SCHLIESSERDATEN'!CU50)</f>
        <v>4</v>
      </c>
      <c r="O58" s="74">
        <f>IF('IMPORT SCHLIESSERDATEN'!CZ50="wie TS",-1,'IMPORT SCHLIESSERDATEN'!CZ50)</f>
        <v>0</v>
      </c>
      <c r="P58" s="74">
        <f>IF(O58&lt;0,-1,'IMPORT SCHLIESSERDATEN'!DB50)</f>
        <v>0</v>
      </c>
      <c r="Q58" s="74">
        <f>'IMPORT SCHLIESSERDATEN'!DG50</f>
        <v>0</v>
      </c>
      <c r="R58" s="74">
        <f>'IMPORT SCHLIESSERDATEN'!DI50</f>
        <v>0</v>
      </c>
      <c r="S58" s="74">
        <f>'IMPORT SCHLIESSERDATEN'!DN50</f>
        <v>0</v>
      </c>
      <c r="T58" s="74">
        <f>IF('IMPORT SCHLIESSERDATEN'!DP50="V",9999,'IMPORT SCHLIESSERDATEN'!DP50)</f>
        <v>0</v>
      </c>
      <c r="U58" s="74">
        <f>'IMPORT SCHLIESSERDATEN'!BW50</f>
        <v>285</v>
      </c>
      <c r="V58" s="74">
        <f>'IMPORT SCHLIESSERDATEN'!BX50</f>
        <v>62</v>
      </c>
      <c r="W58" s="74">
        <f>'IMPORT SCHLIESSERDATEN'!BY50</f>
        <v>71</v>
      </c>
      <c r="X58" s="74">
        <f>'IMPORT SCHLIESSERDATEN'!CO50</f>
        <v>143</v>
      </c>
      <c r="Y58" s="74">
        <f>'IMPORT SCHLIESSERDATEN'!CQ50</f>
        <v>16</v>
      </c>
      <c r="Z58" s="74">
        <f>'IMPORT SCHLIESSERDATEN'!CV50</f>
        <v>143</v>
      </c>
      <c r="AA58" s="74">
        <f>'IMPORT SCHLIESSERDATEN'!CX50</f>
        <v>16</v>
      </c>
      <c r="AB58" s="74">
        <f>'IMPORT SCHLIESSERDATEN'!DC50</f>
        <v>0</v>
      </c>
      <c r="AC58" s="74">
        <f>'IMPORT SCHLIESSERDATEN'!DE50</f>
        <v>0</v>
      </c>
      <c r="AD58" s="74">
        <f>'IMPORT SCHLIESSERDATEN'!DJ50</f>
        <v>0</v>
      </c>
      <c r="AE58" s="74">
        <f>'IMPORT SCHLIESSERDATEN'!DL50</f>
        <v>0</v>
      </c>
      <c r="AF58" s="74">
        <f>'IMPORT SCHLIESSERDATEN'!DQ50</f>
        <v>0</v>
      </c>
      <c r="AG58" s="74">
        <f>IF('IMPORT SCHLIESSERDATEN'!DS50="V",9999,'IMPORT SCHLIESSERDATEN'!DS50)</f>
        <v>0</v>
      </c>
      <c r="AH58" s="74">
        <f>IF('IMPORT SCHLIESSERDATEN'!BZ50="V",9999,IF('IMPORT SCHLIESSERDATEN'!CD50="_",-1,'IMPORT SCHLIESSERDATEN'!BZ50))</f>
        <v>442</v>
      </c>
      <c r="AI58" s="74">
        <f>IF('IMPORT SCHLIESSERDATEN'!CA50="V",9999,IF('IMPORT SCHLIESSERDATEN'!CD50="_",-1,'IMPORT SCHLIESSERDATEN'!CA50))</f>
        <v>23</v>
      </c>
      <c r="AJ58" s="74">
        <f>IF('IMPORT SCHLIESSERDATEN'!CB50="V",9999,IF('IMPORT SCHLIESSERDATEN'!CD50="_",-1,'IMPORT SCHLIESSERDATEN'!CB50))</f>
        <v>31</v>
      </c>
      <c r="AK58" s="74">
        <f>IF('IMPORT SCHLIESSERDATEN'!CC50="V",9999,IF('IMPORT SCHLIESSERDATEN'!CC50="_",-1,'IMPORT SCHLIESSERDATEN'!CC50))</f>
        <v>16</v>
      </c>
      <c r="AL58" s="74">
        <f>IF('IMPORT SCHLIESSERDATEN'!CD50="_",-1,'IMPORT SCHLIESSERDATEN'!CD50)</f>
        <v>375</v>
      </c>
      <c r="AM58" s="74">
        <f>'IMPORT SCHLIESSERDATEN'!CH50</f>
        <v>95</v>
      </c>
      <c r="AN58" s="74">
        <f>IF('IMPORT SCHLIESSERDATEN'!CE50="V",9999,'IMPORT SCHLIESSERDATEN'!CE50)</f>
        <v>34</v>
      </c>
      <c r="AO58" s="74">
        <f>IF('IMPORT SCHLIESSERDATEN'!CK50="_",-1,'IMPORT SCHLIESSERDATEN'!CK50)</f>
        <v>46</v>
      </c>
      <c r="AP58" s="74">
        <f>IF('IMPORT SCHLIESSERDATEN'!$U50="",0,1)</f>
        <v>1</v>
      </c>
      <c r="AQ58" s="74">
        <f>IF('IMPORT SCHLIESSERDATEN'!$V50="",0,1)</f>
        <v>0</v>
      </c>
      <c r="AR58" s="74">
        <f>IF('IMPORT SCHLIESSERDATEN'!$W50="",0,1)</f>
        <v>0</v>
      </c>
      <c r="AS58" s="74">
        <f>IF('IMPORT SCHLIESSERDATEN'!$AA50="",0,1)</f>
        <v>1</v>
      </c>
      <c r="AT58" s="74">
        <f>IF('IMPORT SCHLIESSERDATEN'!$AD50="",0,1) + IF('IMPORT SCHLIESSERDATEN'!$AE50="",0,2)</f>
        <v>0</v>
      </c>
      <c r="AU58" s="74" t="str">
        <f>IF('IMPORT SCHLIESSERDATEN'!$X50="",IF('IMPORT SCHLIESSERDATEN'!$Y50="","","F"),"V")</f>
        <v>V</v>
      </c>
      <c r="AV58" s="74" t="str">
        <f>IF('IMPORT SCHLIESSERDATEN'!$AB50&lt;&gt;"","M",IF('IMPORT SCHLIESSERDATEN'!$AD50&lt;&gt;"",IF(ISERR(SEARCH("UVIBIS",'IMPORT SCHLIESSERDATEN'!$B50)),"R","B"),IF(OR('IMPORT SCHLIESSERDATEN'!$AC50&lt;&gt;"",'IMPORT SCHLIESSERDATEN'!$AE50&lt;&gt;""),"E","")))</f>
        <v/>
      </c>
      <c r="AW58" s="82"/>
      <c r="AX58" s="67"/>
      <c r="BM58" s="49" t="s">
        <v>121</v>
      </c>
    </row>
    <row r="59" spans="1:65" x14ac:dyDescent="0.25">
      <c r="A59" s="67">
        <f>IFERROR(IF(C59&lt;&gt;"",MAX($A$2:$A58)+1,""),"")</f>
        <v>47</v>
      </c>
      <c r="B59" s="223">
        <f t="shared" si="1"/>
        <v>47</v>
      </c>
      <c r="C59" s="216" t="str">
        <f>IF(J59=1,SUBSTITUTE('IMPORT SCHLIESSERDATEN'!$B51," Gangfl.",""),IF(J59=2,SUBSTITUTE('IMPORT SCHLIESSERDATEN'!$B51," Standfl.",""),'IMPORT SCHLIESSERDATEN'!$B51))</f>
        <v>TS 93 RF EN 5-7</v>
      </c>
      <c r="D59" s="216" t="str">
        <f>IF('IMPORT SCHLIESSERDATEN'!$AF51&lt;&gt;"",IF(COUNTA('IMPORT SCHLIESSERDATEN'!$AN51:$AU51)&gt;0,"X","G"),IF('IMPORT SCHLIESSERDATEN'!$AG51&lt;&gt;"","S",IF('IMPORT SCHLIESSERDATEN'!$AH51&lt;&gt;"","I",IF('IMPORT SCHLIESSERDATEN'!$AI51&lt;&gt;"","B",IF('IMPORT SCHLIESSERDATEN'!$AJ51&lt;&gt;"","D","")))))</f>
        <v>G</v>
      </c>
      <c r="E59" s="248" t="str">
        <f>'IMPORT SCHLIESSERDATEN'!AK51 &amp; IF('IMPORT SCHLIESSERDATEN'!AL51="",""," "&amp; 'IMPORT SCHLIESSERDATEN'!AL51)</f>
        <v>93 B</v>
      </c>
      <c r="F59" s="74">
        <f>IFERROR(IF(D59="X",2^(MATCH("",'IMPORT SCHLIESSERDATEN'!$AN51:$AU51,-1)-1),IF(AV59="F",2^(MATCH("",'IMPORT SCHLIESSERDATEN'!$BH51:$BK51,-1)-1),2^(MATCH("",'IMPORT SCHLIESSERDATEN'!$AV51:$BG51,-1)-1))),0)</f>
        <v>2</v>
      </c>
      <c r="G59" s="74">
        <f>IF(AND('IMPORT SCHLIESSERDATEN'!$O51='IMPORT SCHLIESSERDATEN'!$R51,'IMPORT SCHLIESSERDATEN'!$O51&lt;&gt;"",'IMPORT SCHLIESSERDATEN'!$R51&lt;&gt;""),1,0)  +  IF(AND('IMPORT SCHLIESSERDATEN'!$P51='IMPORT SCHLIESSERDATEN'!$S51,'IMPORT SCHLIESSERDATEN'!$P51&lt;&gt;"",'IMPORT SCHLIESSERDATEN'!$S51&lt;&gt;""),2,0)   +  IF(AND('IMPORT SCHLIESSERDATEN'!$O51='IMPORT SCHLIESSERDATEN'!$S51,'IMPORT SCHLIESSERDATEN'!$O51&lt;&gt;"",'IMPORT SCHLIESSERDATEN'!$S51&lt;&gt;""),4,0)   +  IF(AND('IMPORT SCHLIESSERDATEN'!$P51='IMPORT SCHLIESSERDATEN'!$R51,'IMPORT SCHLIESSERDATEN'!$P51&lt;&gt;"",'IMPORT SCHLIESSERDATEN'!$R51&lt;&gt;""),8,0)   +  IF('IMPORT SCHLIESSERDATEN'!$Q51&lt;&gt;"",IF('IMPORT SCHLIESSERDATEN'!$R51&lt;&gt;"",32,0) + IF('IMPORT SCHLIESSERDATEN'!$S51&lt;&gt;"",64,0),0)  +  IF('IMPORT SCHLIESSERDATEN'!$T51&lt;&gt;"",IF('IMPORT SCHLIESSERDATEN'!$Q51&lt;&gt;"",128+256,128),0)</f>
        <v>3</v>
      </c>
      <c r="H59" s="74">
        <f>IF('IMPORT SCHLIESSERDATEN'!$H51="",0,1) + IF('IMPORT SCHLIESSERDATEN'!$I51="",0,2) + IF('IMPORT SCHLIESSERDATEN'!$J51="",0,4) + IF('IMPORT SCHLIESSERDATEN'!$K51="",0,8) + IF('IMPORT SCHLIESSERDATEN'!$L51="",0,16) + IF('IMPORT SCHLIESSERDATEN'!$M51="",0,32) + IF('IMPORT SCHLIESSERDATEN'!$N51="",0,64)</f>
        <v>112</v>
      </c>
      <c r="I59" s="74">
        <f>IF('IMPORT SCHLIESSERDATEN'!$D51="",0,1) + IF('IMPORT SCHLIESSERDATEN'!$E51="",0,2) + IF('IMPORT SCHLIESSERDATEN'!$E51="S",4,0)</f>
        <v>1</v>
      </c>
      <c r="J59" s="74">
        <f>IF(ISERR(FIND(" Gangfl.",'IMPORT SCHLIESSERDATEN'!$B51)),IF(ISERR(FIND(" Standfl.",'IMPORT SCHLIESSERDATEN'!$B51)),0,2),1)</f>
        <v>0</v>
      </c>
      <c r="K59" s="74">
        <f>'IMPORT SCHLIESSERDATEN'!CL51</f>
        <v>80</v>
      </c>
      <c r="L59" s="74">
        <f>'IMPORT SCHLIESSERDATEN'!CN51</f>
        <v>4</v>
      </c>
      <c r="M59" s="74">
        <f>IF('IMPORT SCHLIESSERDATEN'!CS51="wie TS",-1,'IMPORT SCHLIESSERDATEN'!CS51)</f>
        <v>80</v>
      </c>
      <c r="N59" s="74">
        <f>IF(M59&lt;0,-1,'IMPORT SCHLIESSERDATEN'!CU51)</f>
        <v>4</v>
      </c>
      <c r="O59" s="74">
        <f>IF('IMPORT SCHLIESSERDATEN'!CZ51="wie TS",-1,'IMPORT SCHLIESSERDATEN'!CZ51)</f>
        <v>0</v>
      </c>
      <c r="P59" s="74">
        <f>IF(O59&lt;0,-1,'IMPORT SCHLIESSERDATEN'!DB51)</f>
        <v>0</v>
      </c>
      <c r="Q59" s="74">
        <f>'IMPORT SCHLIESSERDATEN'!DG51</f>
        <v>0</v>
      </c>
      <c r="R59" s="74">
        <f>'IMPORT SCHLIESSERDATEN'!DI51</f>
        <v>0</v>
      </c>
      <c r="S59" s="74">
        <f>'IMPORT SCHLIESSERDATEN'!DN51</f>
        <v>0</v>
      </c>
      <c r="T59" s="74">
        <f>IF('IMPORT SCHLIESSERDATEN'!DP51="V",9999,'IMPORT SCHLIESSERDATEN'!DP51)</f>
        <v>0</v>
      </c>
      <c r="U59" s="74">
        <f>'IMPORT SCHLIESSERDATEN'!BW51</f>
        <v>285</v>
      </c>
      <c r="V59" s="74">
        <f>'IMPORT SCHLIESSERDATEN'!BX51</f>
        <v>62</v>
      </c>
      <c r="W59" s="74">
        <f>'IMPORT SCHLIESSERDATEN'!BY51</f>
        <v>71</v>
      </c>
      <c r="X59" s="74">
        <f>'IMPORT SCHLIESSERDATEN'!CO51</f>
        <v>143</v>
      </c>
      <c r="Y59" s="74">
        <f>'IMPORT SCHLIESSERDATEN'!CQ51</f>
        <v>16</v>
      </c>
      <c r="Z59" s="74">
        <f>'IMPORT SCHLIESSERDATEN'!CV51</f>
        <v>143</v>
      </c>
      <c r="AA59" s="74">
        <f>'IMPORT SCHLIESSERDATEN'!CX51</f>
        <v>16</v>
      </c>
      <c r="AB59" s="74">
        <f>'IMPORT SCHLIESSERDATEN'!DC51</f>
        <v>0</v>
      </c>
      <c r="AC59" s="74">
        <f>'IMPORT SCHLIESSERDATEN'!DE51</f>
        <v>0</v>
      </c>
      <c r="AD59" s="74">
        <f>'IMPORT SCHLIESSERDATEN'!DJ51</f>
        <v>0</v>
      </c>
      <c r="AE59" s="74">
        <f>'IMPORT SCHLIESSERDATEN'!DL51</f>
        <v>0</v>
      </c>
      <c r="AF59" s="74">
        <f>'IMPORT SCHLIESSERDATEN'!DQ51</f>
        <v>0</v>
      </c>
      <c r="AG59" s="74">
        <f>IF('IMPORT SCHLIESSERDATEN'!DS51="V",9999,'IMPORT SCHLIESSERDATEN'!DS51)</f>
        <v>0</v>
      </c>
      <c r="AH59" s="74">
        <f>IF('IMPORT SCHLIESSERDATEN'!BZ51="V",9999,IF('IMPORT SCHLIESSERDATEN'!CD51="_",-1,'IMPORT SCHLIESSERDATEN'!BZ51))</f>
        <v>442</v>
      </c>
      <c r="AI59" s="74">
        <f>IF('IMPORT SCHLIESSERDATEN'!CA51="V",9999,IF('IMPORT SCHLIESSERDATEN'!CD51="_",-1,'IMPORT SCHLIESSERDATEN'!CA51))</f>
        <v>23</v>
      </c>
      <c r="AJ59" s="74">
        <f>IF('IMPORT SCHLIESSERDATEN'!CB51="V",9999,IF('IMPORT SCHLIESSERDATEN'!CD51="_",-1,'IMPORT SCHLIESSERDATEN'!CB51))</f>
        <v>31</v>
      </c>
      <c r="AK59" s="74">
        <f>IF('IMPORT SCHLIESSERDATEN'!CC51="V",9999,IF('IMPORT SCHLIESSERDATEN'!CC51="_",-1,'IMPORT SCHLIESSERDATEN'!CC51))</f>
        <v>16</v>
      </c>
      <c r="AL59" s="74">
        <f>IF('IMPORT SCHLIESSERDATEN'!CD51="_",-1,'IMPORT SCHLIESSERDATEN'!CD51)</f>
        <v>375</v>
      </c>
      <c r="AM59" s="74">
        <f>'IMPORT SCHLIESSERDATEN'!CH51</f>
        <v>95</v>
      </c>
      <c r="AN59" s="74">
        <f>IF('IMPORT SCHLIESSERDATEN'!CE51="V",9999,'IMPORT SCHLIESSERDATEN'!CE51)</f>
        <v>34</v>
      </c>
      <c r="AO59" s="74">
        <f>IF('IMPORT SCHLIESSERDATEN'!CK51="_",-1,'IMPORT SCHLIESSERDATEN'!CK51)</f>
        <v>60</v>
      </c>
      <c r="AP59" s="74">
        <f>IF('IMPORT SCHLIESSERDATEN'!$U51="",0,1)</f>
        <v>0</v>
      </c>
      <c r="AQ59" s="74">
        <f>IF('IMPORT SCHLIESSERDATEN'!$V51="",0,1)</f>
        <v>0</v>
      </c>
      <c r="AR59" s="74">
        <f>IF('IMPORT SCHLIESSERDATEN'!$W51="",0,1)</f>
        <v>0</v>
      </c>
      <c r="AS59" s="74">
        <f>IF('IMPORT SCHLIESSERDATEN'!$AA51="",0,1)</f>
        <v>1</v>
      </c>
      <c r="AT59" s="74">
        <f>IF('IMPORT SCHLIESSERDATEN'!$AD51="",0,1) + IF('IMPORT SCHLIESSERDATEN'!$AE51="",0,2)</f>
        <v>0</v>
      </c>
      <c r="AU59" s="74" t="str">
        <f>IF('IMPORT SCHLIESSERDATEN'!$X51="",IF('IMPORT SCHLIESSERDATEN'!$Y51="","","F"),"V")</f>
        <v>V</v>
      </c>
      <c r="AV59" s="74" t="str">
        <f>IF('IMPORT SCHLIESSERDATEN'!$AB51&lt;&gt;"","M",IF('IMPORT SCHLIESSERDATEN'!$AD51&lt;&gt;"",IF(ISERR(SEARCH("UVIBIS",'IMPORT SCHLIESSERDATEN'!$B51)),"R","B"),IF(OR('IMPORT SCHLIESSERDATEN'!$AC51&lt;&gt;"",'IMPORT SCHLIESSERDATEN'!$AE51&lt;&gt;""),"E","")))</f>
        <v>M</v>
      </c>
      <c r="AW59" s="82"/>
      <c r="AX59" s="67"/>
    </row>
    <row r="60" spans="1:65" x14ac:dyDescent="0.25">
      <c r="A60" s="67">
        <f>IFERROR(IF(C60&lt;&gt;"",MAX($A$2:$A59)+1,""),"")</f>
        <v>48</v>
      </c>
      <c r="B60" s="223">
        <f t="shared" si="1"/>
        <v>48</v>
      </c>
      <c r="C60" s="216" t="str">
        <f>IF(J60=1,SUBSTITUTE('IMPORT SCHLIESSERDATEN'!$B52," Gangfl.",""),IF(J60=2,SUBSTITUTE('IMPORT SCHLIESSERDATEN'!$B52," Standfl.",""),'IMPORT SCHLIESSERDATEN'!$B52))</f>
        <v>TS 93 EMF EN 5-7</v>
      </c>
      <c r="D60" s="216" t="str">
        <f>IF('IMPORT SCHLIESSERDATEN'!$AF52&lt;&gt;"",IF(COUNTA('IMPORT SCHLIESSERDATEN'!$AN52:$AU52)&gt;0,"X","G"),IF('IMPORT SCHLIESSERDATEN'!$AG52&lt;&gt;"","S",IF('IMPORT SCHLIESSERDATEN'!$AH52&lt;&gt;"","I",IF('IMPORT SCHLIESSERDATEN'!$AI52&lt;&gt;"","B",IF('IMPORT SCHLIESSERDATEN'!$AJ52&lt;&gt;"","D","")))))</f>
        <v>G</v>
      </c>
      <c r="E60" s="248" t="str">
        <f>'IMPORT SCHLIESSERDATEN'!AK52 &amp; IF('IMPORT SCHLIESSERDATEN'!AL52="",""," "&amp; 'IMPORT SCHLIESSERDATEN'!AL52)</f>
        <v>93 B</v>
      </c>
      <c r="F60" s="74">
        <f>IFERROR(IF(D60="X",2^(MATCH("",'IMPORT SCHLIESSERDATEN'!$AN52:$AU52,-1)-1),IF(AV60="F",2^(MATCH("",'IMPORT SCHLIESSERDATEN'!$BH52:$BK52,-1)-1),2^(MATCH("",'IMPORT SCHLIESSERDATEN'!$AV52:$BG52,-1)-1))),0)</f>
        <v>4</v>
      </c>
      <c r="G60" s="74">
        <f>IF(AND('IMPORT SCHLIESSERDATEN'!$O52='IMPORT SCHLIESSERDATEN'!$R52,'IMPORT SCHLIESSERDATEN'!$O52&lt;&gt;"",'IMPORT SCHLIESSERDATEN'!$R52&lt;&gt;""),1,0)  +  IF(AND('IMPORT SCHLIESSERDATEN'!$P52='IMPORT SCHLIESSERDATEN'!$S52,'IMPORT SCHLIESSERDATEN'!$P52&lt;&gt;"",'IMPORT SCHLIESSERDATEN'!$S52&lt;&gt;""),2,0)   +  IF(AND('IMPORT SCHLIESSERDATEN'!$O52='IMPORT SCHLIESSERDATEN'!$S52,'IMPORT SCHLIESSERDATEN'!$O52&lt;&gt;"",'IMPORT SCHLIESSERDATEN'!$S52&lt;&gt;""),4,0)   +  IF(AND('IMPORT SCHLIESSERDATEN'!$P52='IMPORT SCHLIESSERDATEN'!$R52,'IMPORT SCHLIESSERDATEN'!$P52&lt;&gt;"",'IMPORT SCHLIESSERDATEN'!$R52&lt;&gt;""),8,0)   +  IF('IMPORT SCHLIESSERDATEN'!$Q52&lt;&gt;"",IF('IMPORT SCHLIESSERDATEN'!$R52&lt;&gt;"",32,0) + IF('IMPORT SCHLIESSERDATEN'!$S52&lt;&gt;"",64,0),0)  +  IF('IMPORT SCHLIESSERDATEN'!$T52&lt;&gt;"",IF('IMPORT SCHLIESSERDATEN'!$Q52&lt;&gt;"",128+256,128),0)</f>
        <v>1</v>
      </c>
      <c r="H60" s="74">
        <f>IF('IMPORT SCHLIESSERDATEN'!$H52="",0,1) + IF('IMPORT SCHLIESSERDATEN'!$I52="",0,2) + IF('IMPORT SCHLIESSERDATEN'!$J52="",0,4) + IF('IMPORT SCHLIESSERDATEN'!$K52="",0,8) + IF('IMPORT SCHLIESSERDATEN'!$L52="",0,16) + IF('IMPORT SCHLIESSERDATEN'!$M52="",0,32) + IF('IMPORT SCHLIESSERDATEN'!$N52="",0,64)</f>
        <v>112</v>
      </c>
      <c r="I60" s="74">
        <f>IF('IMPORT SCHLIESSERDATEN'!$D52="",0,1) + IF('IMPORT SCHLIESSERDATEN'!$E52="",0,2) + IF('IMPORT SCHLIESSERDATEN'!$E52="S",4,0)</f>
        <v>1</v>
      </c>
      <c r="J60" s="74">
        <f>IF(ISERR(FIND(" Gangfl.",'IMPORT SCHLIESSERDATEN'!$B52)),IF(ISERR(FIND(" Standfl.",'IMPORT SCHLIESSERDATEN'!$B52)),0,2),1)</f>
        <v>0</v>
      </c>
      <c r="K60" s="74">
        <f>'IMPORT SCHLIESSERDATEN'!CL52</f>
        <v>80</v>
      </c>
      <c r="L60" s="74">
        <f>'IMPORT SCHLIESSERDATEN'!CN52</f>
        <v>4</v>
      </c>
      <c r="M60" s="74">
        <f>IF('IMPORT SCHLIESSERDATEN'!CS52="wie TS",-1,'IMPORT SCHLIESSERDATEN'!CS52)</f>
        <v>0</v>
      </c>
      <c r="N60" s="74">
        <f>IF(M60&lt;0,-1,'IMPORT SCHLIESSERDATEN'!CU52)</f>
        <v>0</v>
      </c>
      <c r="O60" s="74">
        <f>IF('IMPORT SCHLIESSERDATEN'!CZ52="wie TS",-1,'IMPORT SCHLIESSERDATEN'!CZ52)</f>
        <v>0</v>
      </c>
      <c r="P60" s="74">
        <f>IF(O60&lt;0,-1,'IMPORT SCHLIESSERDATEN'!DB52)</f>
        <v>0</v>
      </c>
      <c r="Q60" s="74">
        <f>'IMPORT SCHLIESSERDATEN'!DG52</f>
        <v>0</v>
      </c>
      <c r="R60" s="74">
        <f>'IMPORT SCHLIESSERDATEN'!DI52</f>
        <v>0</v>
      </c>
      <c r="S60" s="74">
        <f>'IMPORT SCHLIESSERDATEN'!DN52</f>
        <v>0</v>
      </c>
      <c r="T60" s="74">
        <f>IF('IMPORT SCHLIESSERDATEN'!DP52="V",9999,'IMPORT SCHLIESSERDATEN'!DP52)</f>
        <v>0</v>
      </c>
      <c r="U60" s="74">
        <f>'IMPORT SCHLIESSERDATEN'!BW52</f>
        <v>285</v>
      </c>
      <c r="V60" s="74">
        <f>'IMPORT SCHLIESSERDATEN'!BX52</f>
        <v>62</v>
      </c>
      <c r="W60" s="74">
        <f>'IMPORT SCHLIESSERDATEN'!BY52</f>
        <v>71</v>
      </c>
      <c r="X60" s="74">
        <f>'IMPORT SCHLIESSERDATEN'!CO52</f>
        <v>84</v>
      </c>
      <c r="Y60" s="74">
        <f>'IMPORT SCHLIESSERDATEN'!CQ52</f>
        <v>16</v>
      </c>
      <c r="Z60" s="74">
        <f>'IMPORT SCHLIESSERDATEN'!CV52</f>
        <v>0</v>
      </c>
      <c r="AA60" s="74">
        <f>'IMPORT SCHLIESSERDATEN'!CX52</f>
        <v>0</v>
      </c>
      <c r="AB60" s="74">
        <f>'IMPORT SCHLIESSERDATEN'!DC52</f>
        <v>0</v>
      </c>
      <c r="AC60" s="74">
        <f>'IMPORT SCHLIESSERDATEN'!DE52</f>
        <v>0</v>
      </c>
      <c r="AD60" s="74">
        <f>'IMPORT SCHLIESSERDATEN'!DJ52</f>
        <v>0</v>
      </c>
      <c r="AE60" s="74">
        <f>'IMPORT SCHLIESSERDATEN'!DL52</f>
        <v>0</v>
      </c>
      <c r="AF60" s="74">
        <f>'IMPORT SCHLIESSERDATEN'!DQ52</f>
        <v>0</v>
      </c>
      <c r="AG60" s="74">
        <f>IF('IMPORT SCHLIESSERDATEN'!DS52="V",9999,'IMPORT SCHLIESSERDATEN'!DS52)</f>
        <v>0</v>
      </c>
      <c r="AH60" s="74">
        <f>IF('IMPORT SCHLIESSERDATEN'!BZ52="V",9999,IF('IMPORT SCHLIESSERDATEN'!CD52="_",-1,'IMPORT SCHLIESSERDATEN'!BZ52))</f>
        <v>518</v>
      </c>
      <c r="AI60" s="74">
        <f>IF('IMPORT SCHLIESSERDATEN'!CA52="V",9999,IF('IMPORT SCHLIESSERDATEN'!CD52="_",-1,'IMPORT SCHLIESSERDATEN'!CA52))</f>
        <v>30</v>
      </c>
      <c r="AJ60" s="74">
        <f>IF('IMPORT SCHLIESSERDATEN'!CB52="V",9999,IF('IMPORT SCHLIESSERDATEN'!CD52="_",-1,'IMPORT SCHLIESSERDATEN'!CB52))</f>
        <v>40</v>
      </c>
      <c r="AK60" s="74">
        <f>IF('IMPORT SCHLIESSERDATEN'!CC52="V",9999,IF('IMPORT SCHLIESSERDATEN'!CC52="_",-1,'IMPORT SCHLIESSERDATEN'!CC52))</f>
        <v>20</v>
      </c>
      <c r="AL60" s="74">
        <f>IF('IMPORT SCHLIESSERDATEN'!CD52="_",-1,'IMPORT SCHLIESSERDATEN'!CD52)</f>
        <v>375</v>
      </c>
      <c r="AM60" s="74">
        <f>'IMPORT SCHLIESSERDATEN'!CH52</f>
        <v>95</v>
      </c>
      <c r="AN60" s="74">
        <f>IF('IMPORT SCHLIESSERDATEN'!CE52="V",9999,'IMPORT SCHLIESSERDATEN'!CE52)</f>
        <v>34</v>
      </c>
      <c r="AO60" s="74">
        <f>IF('IMPORT SCHLIESSERDATEN'!CK52="_",-1,'IMPORT SCHLIESSERDATEN'!CK52)</f>
        <v>160</v>
      </c>
      <c r="AP60" s="74">
        <f>IF('IMPORT SCHLIESSERDATEN'!$U52="",0,1)</f>
        <v>1</v>
      </c>
      <c r="AQ60" s="74">
        <f>IF('IMPORT SCHLIESSERDATEN'!$V52="",0,1)</f>
        <v>0</v>
      </c>
      <c r="AR60" s="74">
        <f>IF('IMPORT SCHLIESSERDATEN'!$W52="",0,1)</f>
        <v>0</v>
      </c>
      <c r="AS60" s="74">
        <f>IF('IMPORT SCHLIESSERDATEN'!$AA52="",0,1)</f>
        <v>1</v>
      </c>
      <c r="AT60" s="74">
        <f>IF('IMPORT SCHLIESSERDATEN'!$AD52="",0,1) + IF('IMPORT SCHLIESSERDATEN'!$AE52="",0,2)</f>
        <v>2</v>
      </c>
      <c r="AU60" s="74" t="str">
        <f>IF('IMPORT SCHLIESSERDATEN'!$X52="",IF('IMPORT SCHLIESSERDATEN'!$Y52="","","F"),"V")</f>
        <v>V</v>
      </c>
      <c r="AV60" s="74" t="str">
        <f>IF('IMPORT SCHLIESSERDATEN'!$AB52&lt;&gt;"","M",IF('IMPORT SCHLIESSERDATEN'!$AD52&lt;&gt;"",IF(ISERR(SEARCH("UVIBIS",'IMPORT SCHLIESSERDATEN'!$B52)),"R","B"),IF(OR('IMPORT SCHLIESSERDATEN'!$AC52&lt;&gt;"",'IMPORT SCHLIESSERDATEN'!$AE52&lt;&gt;""),"E","")))</f>
        <v>E</v>
      </c>
      <c r="AW60" s="82"/>
      <c r="AX60" s="67"/>
    </row>
    <row r="61" spans="1:65" x14ac:dyDescent="0.25">
      <c r="A61" s="67">
        <f>IFERROR(IF(C61&lt;&gt;"",MAX($A$2:$A60)+1,""),"")</f>
        <v>49</v>
      </c>
      <c r="B61" s="223">
        <f t="shared" si="1"/>
        <v>49</v>
      </c>
      <c r="C61" s="216" t="str">
        <f>IF(J61=1,SUBSTITUTE('IMPORT SCHLIESSERDATEN'!$B53," Gangfl.",""),IF(J61=2,SUBSTITUTE('IMPORT SCHLIESSERDATEN'!$B53," Standfl.",""),'IMPORT SCHLIESSERDATEN'!$B53))</f>
        <v>TS 93 EMR EN 5-7</v>
      </c>
      <c r="D61" s="216" t="str">
        <f>IF('IMPORT SCHLIESSERDATEN'!$AF53&lt;&gt;"",IF(COUNTA('IMPORT SCHLIESSERDATEN'!$AN53:$AU53)&gt;0,"X","G"),IF('IMPORT SCHLIESSERDATEN'!$AG53&lt;&gt;"","S",IF('IMPORT SCHLIESSERDATEN'!$AH53&lt;&gt;"","I",IF('IMPORT SCHLIESSERDATEN'!$AI53&lt;&gt;"","B",IF('IMPORT SCHLIESSERDATEN'!$AJ53&lt;&gt;"","D","")))))</f>
        <v>G</v>
      </c>
      <c r="E61" s="248" t="str">
        <f>'IMPORT SCHLIESSERDATEN'!AK53 &amp; IF('IMPORT SCHLIESSERDATEN'!AL53="",""," "&amp; 'IMPORT SCHLIESSERDATEN'!AL53)</f>
        <v>93 B</v>
      </c>
      <c r="F61" s="74">
        <f>IFERROR(IF(D61="X",2^(MATCH("",'IMPORT SCHLIESSERDATEN'!$AN53:$AU53,-1)-1),IF(AV61="F",2^(MATCH("",'IMPORT SCHLIESSERDATEN'!$BH53:$BK53,-1)-1),2^(MATCH("",'IMPORT SCHLIESSERDATEN'!$AV53:$BG53,-1)-1))),0)</f>
        <v>8</v>
      </c>
      <c r="G61" s="74">
        <f>IF(AND('IMPORT SCHLIESSERDATEN'!$O53='IMPORT SCHLIESSERDATEN'!$R53,'IMPORT SCHLIESSERDATEN'!$O53&lt;&gt;"",'IMPORT SCHLIESSERDATEN'!$R53&lt;&gt;""),1,0)  +  IF(AND('IMPORT SCHLIESSERDATEN'!$P53='IMPORT SCHLIESSERDATEN'!$S53,'IMPORT SCHLIESSERDATEN'!$P53&lt;&gt;"",'IMPORT SCHLIESSERDATEN'!$S53&lt;&gt;""),2,0)   +  IF(AND('IMPORT SCHLIESSERDATEN'!$O53='IMPORT SCHLIESSERDATEN'!$S53,'IMPORT SCHLIESSERDATEN'!$O53&lt;&gt;"",'IMPORT SCHLIESSERDATEN'!$S53&lt;&gt;""),4,0)   +  IF(AND('IMPORT SCHLIESSERDATEN'!$P53='IMPORT SCHLIESSERDATEN'!$R53,'IMPORT SCHLIESSERDATEN'!$P53&lt;&gt;"",'IMPORT SCHLIESSERDATEN'!$R53&lt;&gt;""),8,0)   +  IF('IMPORT SCHLIESSERDATEN'!$Q53&lt;&gt;"",IF('IMPORT SCHLIESSERDATEN'!$R53&lt;&gt;"",32,0) + IF('IMPORT SCHLIESSERDATEN'!$S53&lt;&gt;"",64,0),0)  +  IF('IMPORT SCHLIESSERDATEN'!$T53&lt;&gt;"",IF('IMPORT SCHLIESSERDATEN'!$Q53&lt;&gt;"",128+256,128),0)</f>
        <v>1</v>
      </c>
      <c r="H61" s="74">
        <f>IF('IMPORT SCHLIESSERDATEN'!$H53="",0,1) + IF('IMPORT SCHLIESSERDATEN'!$I53="",0,2) + IF('IMPORT SCHLIESSERDATEN'!$J53="",0,4) + IF('IMPORT SCHLIESSERDATEN'!$K53="",0,8) + IF('IMPORT SCHLIESSERDATEN'!$L53="",0,16) + IF('IMPORT SCHLIESSERDATEN'!$M53="",0,32) + IF('IMPORT SCHLIESSERDATEN'!$N53="",0,64)</f>
        <v>112</v>
      </c>
      <c r="I61" s="74">
        <f>IF('IMPORT SCHLIESSERDATEN'!$D53="",0,1) + IF('IMPORT SCHLIESSERDATEN'!$E53="",0,2) + IF('IMPORT SCHLIESSERDATEN'!$E53="S",4,0)</f>
        <v>1</v>
      </c>
      <c r="J61" s="74">
        <f>IF(ISERR(FIND(" Gangfl.",'IMPORT SCHLIESSERDATEN'!$B53)),IF(ISERR(FIND(" Standfl.",'IMPORT SCHLIESSERDATEN'!$B53)),0,2),1)</f>
        <v>0</v>
      </c>
      <c r="K61" s="74">
        <f>'IMPORT SCHLIESSERDATEN'!CL53</f>
        <v>80</v>
      </c>
      <c r="L61" s="74">
        <f>'IMPORT SCHLIESSERDATEN'!CN53</f>
        <v>4</v>
      </c>
      <c r="M61" s="74">
        <f>IF('IMPORT SCHLIESSERDATEN'!CS53="wie TS",-1,'IMPORT SCHLIESSERDATEN'!CS53)</f>
        <v>0</v>
      </c>
      <c r="N61" s="74">
        <f>IF(M61&lt;0,-1,'IMPORT SCHLIESSERDATEN'!CU53)</f>
        <v>0</v>
      </c>
      <c r="O61" s="74">
        <f>IF('IMPORT SCHLIESSERDATEN'!CZ53="wie TS",-1,'IMPORT SCHLIESSERDATEN'!CZ53)</f>
        <v>0</v>
      </c>
      <c r="P61" s="74">
        <f>IF(O61&lt;0,-1,'IMPORT SCHLIESSERDATEN'!DB53)</f>
        <v>0</v>
      </c>
      <c r="Q61" s="74">
        <f>'IMPORT SCHLIESSERDATEN'!DG53</f>
        <v>0</v>
      </c>
      <c r="R61" s="74">
        <f>'IMPORT SCHLIESSERDATEN'!DI53</f>
        <v>0</v>
      </c>
      <c r="S61" s="74">
        <f>'IMPORT SCHLIESSERDATEN'!DN53</f>
        <v>0</v>
      </c>
      <c r="T61" s="74">
        <f>IF('IMPORT SCHLIESSERDATEN'!DP53="V",9999,'IMPORT SCHLIESSERDATEN'!DP53)</f>
        <v>0</v>
      </c>
      <c r="U61" s="74">
        <f>'IMPORT SCHLIESSERDATEN'!BW53</f>
        <v>285</v>
      </c>
      <c r="V61" s="74">
        <f>'IMPORT SCHLIESSERDATEN'!BX53</f>
        <v>62</v>
      </c>
      <c r="W61" s="74">
        <f>'IMPORT SCHLIESSERDATEN'!BY53</f>
        <v>71</v>
      </c>
      <c r="X61" s="74">
        <f>'IMPORT SCHLIESSERDATEN'!CO53</f>
        <v>84</v>
      </c>
      <c r="Y61" s="74">
        <f>'IMPORT SCHLIESSERDATEN'!CQ53</f>
        <v>16</v>
      </c>
      <c r="Z61" s="74">
        <f>'IMPORT SCHLIESSERDATEN'!CV53</f>
        <v>0</v>
      </c>
      <c r="AA61" s="74">
        <f>'IMPORT SCHLIESSERDATEN'!CX53</f>
        <v>0</v>
      </c>
      <c r="AB61" s="74">
        <f>'IMPORT SCHLIESSERDATEN'!DC53</f>
        <v>0</v>
      </c>
      <c r="AC61" s="74">
        <f>'IMPORT SCHLIESSERDATEN'!DE53</f>
        <v>0</v>
      </c>
      <c r="AD61" s="74">
        <f>'IMPORT SCHLIESSERDATEN'!DJ53</f>
        <v>0</v>
      </c>
      <c r="AE61" s="74">
        <f>'IMPORT SCHLIESSERDATEN'!DL53</f>
        <v>0</v>
      </c>
      <c r="AF61" s="74">
        <f>'IMPORT SCHLIESSERDATEN'!DQ53</f>
        <v>0</v>
      </c>
      <c r="AG61" s="74">
        <f>IF('IMPORT SCHLIESSERDATEN'!DS53="V",9999,'IMPORT SCHLIESSERDATEN'!DS53)</f>
        <v>0</v>
      </c>
      <c r="AH61" s="74">
        <f>IF('IMPORT SCHLIESSERDATEN'!BZ53="V",9999,IF('IMPORT SCHLIESSERDATEN'!CD53="_",-1,'IMPORT SCHLIESSERDATEN'!BZ53))</f>
        <v>864</v>
      </c>
      <c r="AI61" s="74">
        <f>IF('IMPORT SCHLIESSERDATEN'!CA53="V",9999,IF('IMPORT SCHLIESSERDATEN'!CD53="_",-1,'IMPORT SCHLIESSERDATEN'!CA53))</f>
        <v>30</v>
      </c>
      <c r="AJ61" s="74">
        <f>IF('IMPORT SCHLIESSERDATEN'!CB53="V",9999,IF('IMPORT SCHLIESSERDATEN'!CD53="_",-1,'IMPORT SCHLIESSERDATEN'!CB53))</f>
        <v>40</v>
      </c>
      <c r="AK61" s="74">
        <f>IF('IMPORT SCHLIESSERDATEN'!CC53="V",9999,IF('IMPORT SCHLIESSERDATEN'!CC53="_",-1,'IMPORT SCHLIESSERDATEN'!CC53))</f>
        <v>20</v>
      </c>
      <c r="AL61" s="74">
        <f>IF('IMPORT SCHLIESSERDATEN'!CD53="_",-1,'IMPORT SCHLIESSERDATEN'!CD53)</f>
        <v>375</v>
      </c>
      <c r="AM61" s="74">
        <f>'IMPORT SCHLIESSERDATEN'!CH53</f>
        <v>95</v>
      </c>
      <c r="AN61" s="74">
        <f>IF('IMPORT SCHLIESSERDATEN'!CE53="V",9999,'IMPORT SCHLIESSERDATEN'!CE53)</f>
        <v>34</v>
      </c>
      <c r="AO61" s="74">
        <f>IF('IMPORT SCHLIESSERDATEN'!CK53="_",-1,'IMPORT SCHLIESSERDATEN'!CK53)</f>
        <v>206</v>
      </c>
      <c r="AP61" s="74">
        <f>IF('IMPORT SCHLIESSERDATEN'!$U53="",0,1)</f>
        <v>1</v>
      </c>
      <c r="AQ61" s="74">
        <f>IF('IMPORT SCHLIESSERDATEN'!$V53="",0,1)</f>
        <v>0</v>
      </c>
      <c r="AR61" s="74">
        <f>IF('IMPORT SCHLIESSERDATEN'!$W53="",0,1)</f>
        <v>0</v>
      </c>
      <c r="AS61" s="74">
        <f>IF('IMPORT SCHLIESSERDATEN'!$AA53="",0,1)</f>
        <v>1</v>
      </c>
      <c r="AT61" s="74">
        <f>IF('IMPORT SCHLIESSERDATEN'!$AD53="",0,1) + IF('IMPORT SCHLIESSERDATEN'!$AE53="",0,2)</f>
        <v>1</v>
      </c>
      <c r="AU61" s="74" t="str">
        <f>IF('IMPORT SCHLIESSERDATEN'!$X53="",IF('IMPORT SCHLIESSERDATEN'!$Y53="","","F"),"V")</f>
        <v>V</v>
      </c>
      <c r="AV61" s="74" t="str">
        <f>IF('IMPORT SCHLIESSERDATEN'!$AB53&lt;&gt;"","M",IF('IMPORT SCHLIESSERDATEN'!$AD53&lt;&gt;"",IF(ISERR(SEARCH("UVIBIS",'IMPORT SCHLIESSERDATEN'!$B53)),"R","B"),IF(OR('IMPORT SCHLIESSERDATEN'!$AC53&lt;&gt;"",'IMPORT SCHLIESSERDATEN'!$AE53&lt;&gt;""),"E","")))</f>
        <v>R</v>
      </c>
      <c r="AW61" s="82"/>
      <c r="AX61" s="67"/>
    </row>
    <row r="62" spans="1:65" x14ac:dyDescent="0.25">
      <c r="A62" s="67">
        <f>IFERROR(IF(C62&lt;&gt;"",MAX($A$2:$A61)+1,""),"")</f>
        <v>50</v>
      </c>
      <c r="B62" s="223">
        <f t="shared" si="1"/>
        <v>50</v>
      </c>
      <c r="C62" s="216" t="str">
        <f>IF(J62=1,SUBSTITUTE('IMPORT SCHLIESSERDATEN'!$B54," Gangfl.",""),IF(J62=2,SUBSTITUTE('IMPORT SCHLIESSERDATEN'!$B54," Standfl.",""),'IMPORT SCHLIESSERDATEN'!$B54))</f>
        <v>TS 93 GSR EN 5-7</v>
      </c>
      <c r="D62" s="216" t="str">
        <f>IF('IMPORT SCHLIESSERDATEN'!$AF54&lt;&gt;"",IF(COUNTA('IMPORT SCHLIESSERDATEN'!$AN54:$AU54)&gt;0,"X","G"),IF('IMPORT SCHLIESSERDATEN'!$AG54&lt;&gt;"","S",IF('IMPORT SCHLIESSERDATEN'!$AH54&lt;&gt;"","I",IF('IMPORT SCHLIESSERDATEN'!$AI54&lt;&gt;"","B",IF('IMPORT SCHLIESSERDATEN'!$AJ54&lt;&gt;"","D","")))))</f>
        <v>G</v>
      </c>
      <c r="E62" s="248" t="str">
        <f>'IMPORT SCHLIESSERDATEN'!AK54 &amp; IF('IMPORT SCHLIESSERDATEN'!AL54="",""," "&amp; 'IMPORT SCHLIESSERDATEN'!AL54)</f>
        <v>93 B</v>
      </c>
      <c r="F62" s="74">
        <f>IFERROR(IF(D62="X",2^(MATCH("",'IMPORT SCHLIESSERDATEN'!$AN54:$AU54,-1)-1),IF(AV62="F",2^(MATCH("",'IMPORT SCHLIESSERDATEN'!$BH54:$BK54,-1)-1),2^(MATCH("",'IMPORT SCHLIESSERDATEN'!$AV54:$BG54,-1)-1))),0)</f>
        <v>16</v>
      </c>
      <c r="G62" s="74">
        <f>IF(AND('IMPORT SCHLIESSERDATEN'!$O54='IMPORT SCHLIESSERDATEN'!$R54,'IMPORT SCHLIESSERDATEN'!$O54&lt;&gt;"",'IMPORT SCHLIESSERDATEN'!$R54&lt;&gt;""),1,0)  +  IF(AND('IMPORT SCHLIESSERDATEN'!$P54='IMPORT SCHLIESSERDATEN'!$S54,'IMPORT SCHLIESSERDATEN'!$P54&lt;&gt;"",'IMPORT SCHLIESSERDATEN'!$S54&lt;&gt;""),2,0)   +  IF(AND('IMPORT SCHLIESSERDATEN'!$O54='IMPORT SCHLIESSERDATEN'!$S54,'IMPORT SCHLIESSERDATEN'!$O54&lt;&gt;"",'IMPORT SCHLIESSERDATEN'!$S54&lt;&gt;""),4,0)   +  IF(AND('IMPORT SCHLIESSERDATEN'!$P54='IMPORT SCHLIESSERDATEN'!$R54,'IMPORT SCHLIESSERDATEN'!$P54&lt;&gt;"",'IMPORT SCHLIESSERDATEN'!$R54&lt;&gt;""),8,0)   +  IF('IMPORT SCHLIESSERDATEN'!$Q54&lt;&gt;"",IF('IMPORT SCHLIESSERDATEN'!$R54&lt;&gt;"",32,0) + IF('IMPORT SCHLIESSERDATEN'!$S54&lt;&gt;"",64,0),0)  +  IF('IMPORT SCHLIESSERDATEN'!$T54&lt;&gt;"",IF('IMPORT SCHLIESSERDATEN'!$Q54&lt;&gt;"",128+256,128),0)</f>
        <v>1</v>
      </c>
      <c r="H62" s="74">
        <f>IF('IMPORT SCHLIESSERDATEN'!$H54="",0,1) + IF('IMPORT SCHLIESSERDATEN'!$I54="",0,2) + IF('IMPORT SCHLIESSERDATEN'!$J54="",0,4) + IF('IMPORT SCHLIESSERDATEN'!$K54="",0,8) + IF('IMPORT SCHLIESSERDATEN'!$L54="",0,16) + IF('IMPORT SCHLIESSERDATEN'!$M54="",0,32) + IF('IMPORT SCHLIESSERDATEN'!$N54="",0,64)</f>
        <v>112</v>
      </c>
      <c r="I62" s="74">
        <f>IF('IMPORT SCHLIESSERDATEN'!$D54="",0,1) + IF('IMPORT SCHLIESSERDATEN'!$E54="",0,2) + IF('IMPORT SCHLIESSERDATEN'!$E54="S",4,0)</f>
        <v>2</v>
      </c>
      <c r="J62" s="74">
        <f>IF(ISERR(FIND(" Gangfl.",'IMPORT SCHLIESSERDATEN'!$B54)),IF(ISERR(FIND(" Standfl.",'IMPORT SCHLIESSERDATEN'!$B54)),0,2),1)</f>
        <v>0</v>
      </c>
      <c r="K62" s="74">
        <f>'IMPORT SCHLIESSERDATEN'!CL54</f>
        <v>80</v>
      </c>
      <c r="L62" s="74">
        <f>'IMPORT SCHLIESSERDATEN'!CN54</f>
        <v>4</v>
      </c>
      <c r="M62" s="74">
        <f>IF('IMPORT SCHLIESSERDATEN'!CS54="wie TS",-1,'IMPORT SCHLIESSERDATEN'!CS54)</f>
        <v>0</v>
      </c>
      <c r="N62" s="74">
        <f>IF(M62&lt;0,-1,'IMPORT SCHLIESSERDATEN'!CU54)</f>
        <v>0</v>
      </c>
      <c r="O62" s="74">
        <f>IF('IMPORT SCHLIESSERDATEN'!CZ54="wie TS",-1,'IMPORT SCHLIESSERDATEN'!CZ54)</f>
        <v>0</v>
      </c>
      <c r="P62" s="74">
        <f>IF(O62&lt;0,-1,'IMPORT SCHLIESSERDATEN'!DB54)</f>
        <v>0</v>
      </c>
      <c r="Q62" s="74">
        <f>'IMPORT SCHLIESSERDATEN'!DG54</f>
        <v>0</v>
      </c>
      <c r="R62" s="74">
        <f>'IMPORT SCHLIESSERDATEN'!DI54</f>
        <v>0</v>
      </c>
      <c r="S62" s="74">
        <f>'IMPORT SCHLIESSERDATEN'!DN54</f>
        <v>0</v>
      </c>
      <c r="T62" s="74">
        <f>IF('IMPORT SCHLIESSERDATEN'!DP54="V",9999,'IMPORT SCHLIESSERDATEN'!DP54)</f>
        <v>0</v>
      </c>
      <c r="U62" s="74">
        <f>'IMPORT SCHLIESSERDATEN'!BW54</f>
        <v>285</v>
      </c>
      <c r="V62" s="74">
        <f>'IMPORT SCHLIESSERDATEN'!BX54</f>
        <v>62</v>
      </c>
      <c r="W62" s="74">
        <f>'IMPORT SCHLIESSERDATEN'!BY54</f>
        <v>71</v>
      </c>
      <c r="X62" s="74">
        <f>'IMPORT SCHLIESSERDATEN'!CO54</f>
        <v>84</v>
      </c>
      <c r="Y62" s="74">
        <f>'IMPORT SCHLIESSERDATEN'!CQ54</f>
        <v>13</v>
      </c>
      <c r="Z62" s="74">
        <f>'IMPORT SCHLIESSERDATEN'!CV54</f>
        <v>0</v>
      </c>
      <c r="AA62" s="74">
        <f>'IMPORT SCHLIESSERDATEN'!CX54</f>
        <v>0</v>
      </c>
      <c r="AB62" s="74">
        <f>'IMPORT SCHLIESSERDATEN'!DC54</f>
        <v>0</v>
      </c>
      <c r="AC62" s="74">
        <f>'IMPORT SCHLIESSERDATEN'!DE54</f>
        <v>0</v>
      </c>
      <c r="AD62" s="74">
        <f>'IMPORT SCHLIESSERDATEN'!DJ54</f>
        <v>0</v>
      </c>
      <c r="AE62" s="74">
        <f>'IMPORT SCHLIESSERDATEN'!DL54</f>
        <v>0</v>
      </c>
      <c r="AF62" s="74">
        <f>'IMPORT SCHLIESSERDATEN'!DQ54</f>
        <v>0</v>
      </c>
      <c r="AG62" s="74">
        <f>IF('IMPORT SCHLIESSERDATEN'!DS54="V",9999,'IMPORT SCHLIESSERDATEN'!DS54)</f>
        <v>0</v>
      </c>
      <c r="AH62" s="74">
        <f>IF('IMPORT SCHLIESSERDATEN'!BZ54="V",9999,IF('IMPORT SCHLIESSERDATEN'!CD54="_",-1,'IMPORT SCHLIESSERDATEN'!BZ54))</f>
        <v>9999</v>
      </c>
      <c r="AI62" s="74">
        <f>IF('IMPORT SCHLIESSERDATEN'!CA54="V",9999,IF('IMPORT SCHLIESSERDATEN'!CD54="_",-1,'IMPORT SCHLIESSERDATEN'!CA54))</f>
        <v>30</v>
      </c>
      <c r="AJ62" s="74">
        <f>IF('IMPORT SCHLIESSERDATEN'!CB54="V",9999,IF('IMPORT SCHLIESSERDATEN'!CD54="_",-1,'IMPORT SCHLIESSERDATEN'!CB54))</f>
        <v>34</v>
      </c>
      <c r="AK62" s="74">
        <f>IF('IMPORT SCHLIESSERDATEN'!CC54="V",9999,IF('IMPORT SCHLIESSERDATEN'!CC54="_",-1,'IMPORT SCHLIESSERDATEN'!CC54))</f>
        <v>17</v>
      </c>
      <c r="AL62" s="74">
        <f>IF('IMPORT SCHLIESSERDATEN'!CD54="_",-1,'IMPORT SCHLIESSERDATEN'!CD54)</f>
        <v>375</v>
      </c>
      <c r="AM62" s="74">
        <f>'IMPORT SCHLIESSERDATEN'!CH54</f>
        <v>95</v>
      </c>
      <c r="AN62" s="74">
        <f>IF('IMPORT SCHLIESSERDATEN'!CE54="V",9999,'IMPORT SCHLIESSERDATEN'!CE54)</f>
        <v>34</v>
      </c>
      <c r="AO62" s="74">
        <f>IF('IMPORT SCHLIESSERDATEN'!CK54="_",-1,'IMPORT SCHLIESSERDATEN'!CK54)</f>
        <v>51</v>
      </c>
      <c r="AP62" s="74">
        <f>IF('IMPORT SCHLIESSERDATEN'!$U54="",0,1)</f>
        <v>1</v>
      </c>
      <c r="AQ62" s="74">
        <f>IF('IMPORT SCHLIESSERDATEN'!$V54="",0,1)</f>
        <v>0</v>
      </c>
      <c r="AR62" s="74">
        <f>IF('IMPORT SCHLIESSERDATEN'!$W54="",0,1)</f>
        <v>1</v>
      </c>
      <c r="AS62" s="74">
        <f>IF('IMPORT SCHLIESSERDATEN'!$AA54="",0,1)</f>
        <v>1</v>
      </c>
      <c r="AT62" s="74">
        <f>IF('IMPORT SCHLIESSERDATEN'!$AD54="",0,1) + IF('IMPORT SCHLIESSERDATEN'!$AE54="",0,2)</f>
        <v>0</v>
      </c>
      <c r="AU62" s="74" t="str">
        <f>IF('IMPORT SCHLIESSERDATEN'!$X54="",IF('IMPORT SCHLIESSERDATEN'!$Y54="","","F"),"V")</f>
        <v>V</v>
      </c>
      <c r="AV62" s="74" t="str">
        <f>IF('IMPORT SCHLIESSERDATEN'!$AB54&lt;&gt;"","M",IF('IMPORT SCHLIESSERDATEN'!$AD54&lt;&gt;"",IF(ISERR(SEARCH("UVIBIS",'IMPORT SCHLIESSERDATEN'!$B54)),"R","B"),IF(OR('IMPORT SCHLIESSERDATEN'!$AC54&lt;&gt;"",'IMPORT SCHLIESSERDATEN'!$AE54&lt;&gt;""),"E","")))</f>
        <v/>
      </c>
      <c r="AW62" s="82"/>
      <c r="AX62" s="67"/>
    </row>
    <row r="63" spans="1:65" x14ac:dyDescent="0.25">
      <c r="A63" s="67">
        <f>IFERROR(IF(C63&lt;&gt;"",MAX($A$2:$A62)+1,""),"")</f>
        <v>51</v>
      </c>
      <c r="B63" s="223">
        <f t="shared" si="1"/>
        <v>51</v>
      </c>
      <c r="C63" s="216" t="str">
        <f>IF(J63=1,SUBSTITUTE('IMPORT SCHLIESSERDATEN'!$B55," Gangfl.",""),IF(J63=2,SUBSTITUTE('IMPORT SCHLIESSERDATEN'!$B55," Standfl.",""),'IMPORT SCHLIESSERDATEN'!$B55))</f>
        <v>TS 93 GSR RF EN 5-7</v>
      </c>
      <c r="D63" s="216" t="str">
        <f>IF('IMPORT SCHLIESSERDATEN'!$AF55&lt;&gt;"",IF(COUNTA('IMPORT SCHLIESSERDATEN'!$AN55:$AU55)&gt;0,"X","G"),IF('IMPORT SCHLIESSERDATEN'!$AG55&lt;&gt;"","S",IF('IMPORT SCHLIESSERDATEN'!$AH55&lt;&gt;"","I",IF('IMPORT SCHLIESSERDATEN'!$AI55&lt;&gt;"","B",IF('IMPORT SCHLIESSERDATEN'!$AJ55&lt;&gt;"","D","")))))</f>
        <v>G</v>
      </c>
      <c r="E63" s="248" t="str">
        <f>'IMPORT SCHLIESSERDATEN'!AK55 &amp; IF('IMPORT SCHLIESSERDATEN'!AL55="",""," "&amp; 'IMPORT SCHLIESSERDATEN'!AL55)</f>
        <v>93 B</v>
      </c>
      <c r="F63" s="74">
        <f>IFERROR(IF(D63="X",2^(MATCH("",'IMPORT SCHLIESSERDATEN'!$AN55:$AU55,-1)-1),IF(AV63="F",2^(MATCH("",'IMPORT SCHLIESSERDATEN'!$BH55:$BK55,-1)-1),2^(MATCH("",'IMPORT SCHLIESSERDATEN'!$AV55:$BG55,-1)-1))),0)</f>
        <v>32</v>
      </c>
      <c r="G63" s="74">
        <f>IF(AND('IMPORT SCHLIESSERDATEN'!$O55='IMPORT SCHLIESSERDATEN'!$R55,'IMPORT SCHLIESSERDATEN'!$O55&lt;&gt;"",'IMPORT SCHLIESSERDATEN'!$R55&lt;&gt;""),1,0)  +  IF(AND('IMPORT SCHLIESSERDATEN'!$P55='IMPORT SCHLIESSERDATEN'!$S55,'IMPORT SCHLIESSERDATEN'!$P55&lt;&gt;"",'IMPORT SCHLIESSERDATEN'!$S55&lt;&gt;""),2,0)   +  IF(AND('IMPORT SCHLIESSERDATEN'!$O55='IMPORT SCHLIESSERDATEN'!$S55,'IMPORT SCHLIESSERDATEN'!$O55&lt;&gt;"",'IMPORT SCHLIESSERDATEN'!$S55&lt;&gt;""),4,0)   +  IF(AND('IMPORT SCHLIESSERDATEN'!$P55='IMPORT SCHLIESSERDATEN'!$R55,'IMPORT SCHLIESSERDATEN'!$P55&lt;&gt;"",'IMPORT SCHLIESSERDATEN'!$R55&lt;&gt;""),8,0)   +  IF('IMPORT SCHLIESSERDATEN'!$Q55&lt;&gt;"",IF('IMPORT SCHLIESSERDATEN'!$R55&lt;&gt;"",32,0) + IF('IMPORT SCHLIESSERDATEN'!$S55&lt;&gt;"",64,0),0)  +  IF('IMPORT SCHLIESSERDATEN'!$T55&lt;&gt;"",IF('IMPORT SCHLIESSERDATEN'!$Q55&lt;&gt;"",128+256,128),0)</f>
        <v>1</v>
      </c>
      <c r="H63" s="74">
        <f>IF('IMPORT SCHLIESSERDATEN'!$H55="",0,1) + IF('IMPORT SCHLIESSERDATEN'!$I55="",0,2) + IF('IMPORT SCHLIESSERDATEN'!$J55="",0,4) + IF('IMPORT SCHLIESSERDATEN'!$K55="",0,8) + IF('IMPORT SCHLIESSERDATEN'!$L55="",0,16) + IF('IMPORT SCHLIESSERDATEN'!$M55="",0,32) + IF('IMPORT SCHLIESSERDATEN'!$N55="",0,64)</f>
        <v>112</v>
      </c>
      <c r="I63" s="74">
        <f>IF('IMPORT SCHLIESSERDATEN'!$D55="",0,1) + IF('IMPORT SCHLIESSERDATEN'!$E55="",0,2) + IF('IMPORT SCHLIESSERDATEN'!$E55="S",4,0)</f>
        <v>2</v>
      </c>
      <c r="J63" s="74">
        <f>IF(ISERR(FIND(" Gangfl.",'IMPORT SCHLIESSERDATEN'!$B55)),IF(ISERR(FIND(" Standfl.",'IMPORT SCHLIESSERDATEN'!$B55)),0,2),1)</f>
        <v>0</v>
      </c>
      <c r="K63" s="74">
        <f>'IMPORT SCHLIESSERDATEN'!CL55</f>
        <v>80</v>
      </c>
      <c r="L63" s="74">
        <f>'IMPORT SCHLIESSERDATEN'!CN55</f>
        <v>4</v>
      </c>
      <c r="M63" s="74">
        <f>IF('IMPORT SCHLIESSERDATEN'!CS55="wie TS",-1,'IMPORT SCHLIESSERDATEN'!CS55)</f>
        <v>0</v>
      </c>
      <c r="N63" s="74">
        <f>IF(M63&lt;0,-1,'IMPORT SCHLIESSERDATEN'!CU55)</f>
        <v>0</v>
      </c>
      <c r="O63" s="74">
        <f>IF('IMPORT SCHLIESSERDATEN'!CZ55="wie TS",-1,'IMPORT SCHLIESSERDATEN'!CZ55)</f>
        <v>0</v>
      </c>
      <c r="P63" s="74">
        <f>IF(O63&lt;0,-1,'IMPORT SCHLIESSERDATEN'!DB55)</f>
        <v>0</v>
      </c>
      <c r="Q63" s="74">
        <f>'IMPORT SCHLIESSERDATEN'!DG55</f>
        <v>0</v>
      </c>
      <c r="R63" s="74">
        <f>'IMPORT SCHLIESSERDATEN'!DI55</f>
        <v>0</v>
      </c>
      <c r="S63" s="74">
        <f>'IMPORT SCHLIESSERDATEN'!DN55</f>
        <v>0</v>
      </c>
      <c r="T63" s="74">
        <f>IF('IMPORT SCHLIESSERDATEN'!DP55="V",9999,'IMPORT SCHLIESSERDATEN'!DP55)</f>
        <v>0</v>
      </c>
      <c r="U63" s="74">
        <f>'IMPORT SCHLIESSERDATEN'!BW55</f>
        <v>285</v>
      </c>
      <c r="V63" s="74">
        <f>'IMPORT SCHLIESSERDATEN'!BX55</f>
        <v>62</v>
      </c>
      <c r="W63" s="74">
        <f>'IMPORT SCHLIESSERDATEN'!BY55</f>
        <v>71</v>
      </c>
      <c r="X63" s="74">
        <f>'IMPORT SCHLIESSERDATEN'!CO55</f>
        <v>84</v>
      </c>
      <c r="Y63" s="74">
        <f>'IMPORT SCHLIESSERDATEN'!CQ55</f>
        <v>13</v>
      </c>
      <c r="Z63" s="74">
        <f>'IMPORT SCHLIESSERDATEN'!CV55</f>
        <v>0</v>
      </c>
      <c r="AA63" s="74">
        <f>'IMPORT SCHLIESSERDATEN'!CX55</f>
        <v>0</v>
      </c>
      <c r="AB63" s="74">
        <f>'IMPORT SCHLIESSERDATEN'!DC55</f>
        <v>0</v>
      </c>
      <c r="AC63" s="74">
        <f>'IMPORT SCHLIESSERDATEN'!DE55</f>
        <v>0</v>
      </c>
      <c r="AD63" s="74">
        <f>'IMPORT SCHLIESSERDATEN'!DJ55</f>
        <v>0</v>
      </c>
      <c r="AE63" s="74">
        <f>'IMPORT SCHLIESSERDATEN'!DL55</f>
        <v>0</v>
      </c>
      <c r="AF63" s="74">
        <f>'IMPORT SCHLIESSERDATEN'!DQ55</f>
        <v>0</v>
      </c>
      <c r="AG63" s="74">
        <f>IF('IMPORT SCHLIESSERDATEN'!DS55="V",9999,'IMPORT SCHLIESSERDATEN'!DS55)</f>
        <v>0</v>
      </c>
      <c r="AH63" s="74">
        <f>IF('IMPORT SCHLIESSERDATEN'!BZ55="V",9999,IF('IMPORT SCHLIESSERDATEN'!CD55="_",-1,'IMPORT SCHLIESSERDATEN'!BZ55))</f>
        <v>9999</v>
      </c>
      <c r="AI63" s="74">
        <f>IF('IMPORT SCHLIESSERDATEN'!CA55="V",9999,IF('IMPORT SCHLIESSERDATEN'!CD55="_",-1,'IMPORT SCHLIESSERDATEN'!CA55))</f>
        <v>30</v>
      </c>
      <c r="AJ63" s="74">
        <f>IF('IMPORT SCHLIESSERDATEN'!CB55="V",9999,IF('IMPORT SCHLIESSERDATEN'!CD55="_",-1,'IMPORT SCHLIESSERDATEN'!CB55))</f>
        <v>34</v>
      </c>
      <c r="AK63" s="74">
        <f>IF('IMPORT SCHLIESSERDATEN'!CC55="V",9999,IF('IMPORT SCHLIESSERDATEN'!CC55="_",-1,'IMPORT SCHLIESSERDATEN'!CC55))</f>
        <v>17</v>
      </c>
      <c r="AL63" s="74">
        <f>IF('IMPORT SCHLIESSERDATEN'!CD55="_",-1,'IMPORT SCHLIESSERDATEN'!CD55)</f>
        <v>375</v>
      </c>
      <c r="AM63" s="74">
        <f>'IMPORT SCHLIESSERDATEN'!CH55</f>
        <v>95</v>
      </c>
      <c r="AN63" s="74">
        <f>IF('IMPORT SCHLIESSERDATEN'!CE55="V",9999,'IMPORT SCHLIESSERDATEN'!CE55)</f>
        <v>34</v>
      </c>
      <c r="AO63" s="74">
        <f>IF('IMPORT SCHLIESSERDATEN'!CK55="_",-1,'IMPORT SCHLIESSERDATEN'!CK55)</f>
        <v>51</v>
      </c>
      <c r="AP63" s="74">
        <f>IF('IMPORT SCHLIESSERDATEN'!$U55="",0,1)</f>
        <v>1</v>
      </c>
      <c r="AQ63" s="74">
        <f>IF('IMPORT SCHLIESSERDATEN'!$V55="",0,1)</f>
        <v>0</v>
      </c>
      <c r="AR63" s="74">
        <f>IF('IMPORT SCHLIESSERDATEN'!$W55="",0,1)</f>
        <v>1</v>
      </c>
      <c r="AS63" s="74">
        <f>IF('IMPORT SCHLIESSERDATEN'!$AA55="",0,1)</f>
        <v>1</v>
      </c>
      <c r="AT63" s="74">
        <f>IF('IMPORT SCHLIESSERDATEN'!$AD55="",0,1) + IF('IMPORT SCHLIESSERDATEN'!$AE55="",0,2)</f>
        <v>0</v>
      </c>
      <c r="AU63" s="74" t="str">
        <f>IF('IMPORT SCHLIESSERDATEN'!$X55="",IF('IMPORT SCHLIESSERDATEN'!$Y55="","","F"),"V")</f>
        <v>V</v>
      </c>
      <c r="AV63" s="74" t="str">
        <f>IF('IMPORT SCHLIESSERDATEN'!$AB55&lt;&gt;"","M",IF('IMPORT SCHLIESSERDATEN'!$AD55&lt;&gt;"",IF(ISERR(SEARCH("UVIBIS",'IMPORT SCHLIESSERDATEN'!$B55)),"R","B"),IF(OR('IMPORT SCHLIESSERDATEN'!$AC55&lt;&gt;"",'IMPORT SCHLIESSERDATEN'!$AE55&lt;&gt;""),"E","")))</f>
        <v/>
      </c>
      <c r="AW63" s="82"/>
      <c r="AX63" s="67"/>
    </row>
    <row r="64" spans="1:65" x14ac:dyDescent="0.25">
      <c r="A64" s="67">
        <f>IFERROR(IF(C64&lt;&gt;"",MAX($A$2:$A63)+1,""),"")</f>
        <v>52</v>
      </c>
      <c r="B64" s="223">
        <f t="shared" si="1"/>
        <v>52</v>
      </c>
      <c r="C64" s="216" t="str">
        <f>IF(J64=1,SUBSTITUTE('IMPORT SCHLIESSERDATEN'!$B56," Gangfl.",""),IF(J64=2,SUBSTITUTE('IMPORT SCHLIESSERDATEN'!$B56," Standfl.",""),'IMPORT SCHLIESSERDATEN'!$B56))</f>
        <v>TS 93 GSR-EMF 1 EN 5-7</v>
      </c>
      <c r="D64" s="216" t="str">
        <f>IF('IMPORT SCHLIESSERDATEN'!$AF56&lt;&gt;"",IF(COUNTA('IMPORT SCHLIESSERDATEN'!$AN56:$AU56)&gt;0,"X","G"),IF('IMPORT SCHLIESSERDATEN'!$AG56&lt;&gt;"","S",IF('IMPORT SCHLIESSERDATEN'!$AH56&lt;&gt;"","I",IF('IMPORT SCHLIESSERDATEN'!$AI56&lt;&gt;"","B",IF('IMPORT SCHLIESSERDATEN'!$AJ56&lt;&gt;"","D","")))))</f>
        <v>G</v>
      </c>
      <c r="E64" s="248" t="str">
        <f>'IMPORT SCHLIESSERDATEN'!AK56 &amp; IF('IMPORT SCHLIESSERDATEN'!AL56="",""," "&amp; 'IMPORT SCHLIESSERDATEN'!AL56)</f>
        <v>93 B</v>
      </c>
      <c r="F64" s="74">
        <f>IFERROR(IF(D64="X",2^(MATCH("",'IMPORT SCHLIESSERDATEN'!$AN56:$AU56,-1)-1),IF(AV64="F",2^(MATCH("",'IMPORT SCHLIESSERDATEN'!$BH56:$BK56,-1)-1),2^(MATCH("",'IMPORT SCHLIESSERDATEN'!$AV56:$BG56,-1)-1))),0)</f>
        <v>64</v>
      </c>
      <c r="G64" s="74">
        <f>IF(AND('IMPORT SCHLIESSERDATEN'!$O56='IMPORT SCHLIESSERDATEN'!$R56,'IMPORT SCHLIESSERDATEN'!$O56&lt;&gt;"",'IMPORT SCHLIESSERDATEN'!$R56&lt;&gt;""),1,0)  +  IF(AND('IMPORT SCHLIESSERDATEN'!$P56='IMPORT SCHLIESSERDATEN'!$S56,'IMPORT SCHLIESSERDATEN'!$P56&lt;&gt;"",'IMPORT SCHLIESSERDATEN'!$S56&lt;&gt;""),2,0)   +  IF(AND('IMPORT SCHLIESSERDATEN'!$O56='IMPORT SCHLIESSERDATEN'!$S56,'IMPORT SCHLIESSERDATEN'!$O56&lt;&gt;"",'IMPORT SCHLIESSERDATEN'!$S56&lt;&gt;""),4,0)   +  IF(AND('IMPORT SCHLIESSERDATEN'!$P56='IMPORT SCHLIESSERDATEN'!$R56,'IMPORT SCHLIESSERDATEN'!$P56&lt;&gt;"",'IMPORT SCHLIESSERDATEN'!$R56&lt;&gt;""),8,0)   +  IF('IMPORT SCHLIESSERDATEN'!$Q56&lt;&gt;"",IF('IMPORT SCHLIESSERDATEN'!$R56&lt;&gt;"",32,0) + IF('IMPORT SCHLIESSERDATEN'!$S56&lt;&gt;"",64,0),0)  +  IF('IMPORT SCHLIESSERDATEN'!$T56&lt;&gt;"",IF('IMPORT SCHLIESSERDATEN'!$Q56&lt;&gt;"",128+256,128),0)</f>
        <v>1</v>
      </c>
      <c r="H64" s="74">
        <f>IF('IMPORT SCHLIESSERDATEN'!$H56="",0,1) + IF('IMPORT SCHLIESSERDATEN'!$I56="",0,2) + IF('IMPORT SCHLIESSERDATEN'!$J56="",0,4) + IF('IMPORT SCHLIESSERDATEN'!$K56="",0,8) + IF('IMPORT SCHLIESSERDATEN'!$L56="",0,16) + IF('IMPORT SCHLIESSERDATEN'!$M56="",0,32) + IF('IMPORT SCHLIESSERDATEN'!$N56="",0,64)</f>
        <v>112</v>
      </c>
      <c r="I64" s="74">
        <f>IF('IMPORT SCHLIESSERDATEN'!$D56="",0,1) + IF('IMPORT SCHLIESSERDATEN'!$E56="",0,2) + IF('IMPORT SCHLIESSERDATEN'!$E56="S",4,0)</f>
        <v>2</v>
      </c>
      <c r="J64" s="74">
        <f>IF(ISERR(FIND(" Gangfl.",'IMPORT SCHLIESSERDATEN'!$B56)),IF(ISERR(FIND(" Standfl.",'IMPORT SCHLIESSERDATEN'!$B56)),0,2),1)</f>
        <v>0</v>
      </c>
      <c r="K64" s="74">
        <f>'IMPORT SCHLIESSERDATEN'!CL56</f>
        <v>80</v>
      </c>
      <c r="L64" s="74">
        <f>'IMPORT SCHLIESSERDATEN'!CN56</f>
        <v>4</v>
      </c>
      <c r="M64" s="74">
        <f>IF('IMPORT SCHLIESSERDATEN'!CS56="wie TS",-1,'IMPORT SCHLIESSERDATEN'!CS56)</f>
        <v>0</v>
      </c>
      <c r="N64" s="74">
        <f>IF(M64&lt;0,-1,'IMPORT SCHLIESSERDATEN'!CU56)</f>
        <v>0</v>
      </c>
      <c r="O64" s="74">
        <f>IF('IMPORT SCHLIESSERDATEN'!CZ56="wie TS",-1,'IMPORT SCHLIESSERDATEN'!CZ56)</f>
        <v>0</v>
      </c>
      <c r="P64" s="74">
        <f>IF(O64&lt;0,-1,'IMPORT SCHLIESSERDATEN'!DB56)</f>
        <v>0</v>
      </c>
      <c r="Q64" s="74">
        <f>'IMPORT SCHLIESSERDATEN'!DG56</f>
        <v>0</v>
      </c>
      <c r="R64" s="74">
        <f>'IMPORT SCHLIESSERDATEN'!DI56</f>
        <v>0</v>
      </c>
      <c r="S64" s="74">
        <f>'IMPORT SCHLIESSERDATEN'!DN56</f>
        <v>0</v>
      </c>
      <c r="T64" s="74">
        <f>IF('IMPORT SCHLIESSERDATEN'!DP56="V",9999,'IMPORT SCHLIESSERDATEN'!DP56)</f>
        <v>0</v>
      </c>
      <c r="U64" s="74">
        <f>'IMPORT SCHLIESSERDATEN'!BW56</f>
        <v>285</v>
      </c>
      <c r="V64" s="74">
        <f>'IMPORT SCHLIESSERDATEN'!BX56</f>
        <v>62</v>
      </c>
      <c r="W64" s="74">
        <f>'IMPORT SCHLIESSERDATEN'!BY56</f>
        <v>71</v>
      </c>
      <c r="X64" s="74">
        <f>'IMPORT SCHLIESSERDATEN'!CO56</f>
        <v>84</v>
      </c>
      <c r="Y64" s="74">
        <f>'IMPORT SCHLIESSERDATEN'!CQ56</f>
        <v>13</v>
      </c>
      <c r="Z64" s="74">
        <f>'IMPORT SCHLIESSERDATEN'!CV56</f>
        <v>0</v>
      </c>
      <c r="AA64" s="74">
        <f>'IMPORT SCHLIESSERDATEN'!CX56</f>
        <v>0</v>
      </c>
      <c r="AB64" s="74">
        <f>'IMPORT SCHLIESSERDATEN'!DC56</f>
        <v>0</v>
      </c>
      <c r="AC64" s="74">
        <f>'IMPORT SCHLIESSERDATEN'!DE56</f>
        <v>0</v>
      </c>
      <c r="AD64" s="74">
        <f>'IMPORT SCHLIESSERDATEN'!DJ56</f>
        <v>0</v>
      </c>
      <c r="AE64" s="74">
        <f>'IMPORT SCHLIESSERDATEN'!DL56</f>
        <v>0</v>
      </c>
      <c r="AF64" s="74">
        <f>'IMPORT SCHLIESSERDATEN'!DQ56</f>
        <v>0</v>
      </c>
      <c r="AG64" s="74">
        <f>IF('IMPORT SCHLIESSERDATEN'!DS56="V",9999,'IMPORT SCHLIESSERDATEN'!DS56)</f>
        <v>0</v>
      </c>
      <c r="AH64" s="74">
        <f>IF('IMPORT SCHLIESSERDATEN'!BZ56="V",9999,IF('IMPORT SCHLIESSERDATEN'!CD56="_",-1,'IMPORT SCHLIESSERDATEN'!BZ56))</f>
        <v>9999</v>
      </c>
      <c r="AI64" s="74">
        <f>IF('IMPORT SCHLIESSERDATEN'!CA56="V",9999,IF('IMPORT SCHLIESSERDATEN'!CD56="_",-1,'IMPORT SCHLIESSERDATEN'!CA56))</f>
        <v>30</v>
      </c>
      <c r="AJ64" s="74">
        <f>IF('IMPORT SCHLIESSERDATEN'!CB56="V",9999,IF('IMPORT SCHLIESSERDATEN'!CD56="_",-1,'IMPORT SCHLIESSERDATEN'!CB56))</f>
        <v>55</v>
      </c>
      <c r="AK64" s="74">
        <f>IF('IMPORT SCHLIESSERDATEN'!CC56="V",9999,IF('IMPORT SCHLIESSERDATEN'!CC56="_",-1,'IMPORT SCHLIESSERDATEN'!CC56))</f>
        <v>28</v>
      </c>
      <c r="AL64" s="74">
        <f>IF('IMPORT SCHLIESSERDATEN'!CD56="_",-1,'IMPORT SCHLIESSERDATEN'!CD56)</f>
        <v>375</v>
      </c>
      <c r="AM64" s="74">
        <f>'IMPORT SCHLIESSERDATEN'!CH56</f>
        <v>95</v>
      </c>
      <c r="AN64" s="74">
        <f>IF('IMPORT SCHLIESSERDATEN'!CE56="V",9999,'IMPORT SCHLIESSERDATEN'!CE56)</f>
        <v>34</v>
      </c>
      <c r="AO64" s="74">
        <f>IF('IMPORT SCHLIESSERDATEN'!CK56="_",-1,'IMPORT SCHLIESSERDATEN'!CK56)</f>
        <v>164</v>
      </c>
      <c r="AP64" s="74">
        <f>IF('IMPORT SCHLIESSERDATEN'!$U56="",0,1)</f>
        <v>1</v>
      </c>
      <c r="AQ64" s="74">
        <f>IF('IMPORT SCHLIESSERDATEN'!$V56="",0,1)</f>
        <v>0</v>
      </c>
      <c r="AR64" s="74">
        <f>IF('IMPORT SCHLIESSERDATEN'!$W56="",0,1)</f>
        <v>1</v>
      </c>
      <c r="AS64" s="74">
        <f>IF('IMPORT SCHLIESSERDATEN'!$AA56="",0,1)</f>
        <v>1</v>
      </c>
      <c r="AT64" s="74">
        <f>IF('IMPORT SCHLIESSERDATEN'!$AD56="",0,1) + IF('IMPORT SCHLIESSERDATEN'!$AE56="",0,2)</f>
        <v>2</v>
      </c>
      <c r="AU64" s="74" t="str">
        <f>IF('IMPORT SCHLIESSERDATEN'!$X56="",IF('IMPORT SCHLIESSERDATEN'!$Y56="","","F"),"V")</f>
        <v>V</v>
      </c>
      <c r="AV64" s="74" t="str">
        <f>IF('IMPORT SCHLIESSERDATEN'!$AB56&lt;&gt;"","M",IF('IMPORT SCHLIESSERDATEN'!$AD56&lt;&gt;"",IF(ISERR(SEARCH("UVIBIS",'IMPORT SCHLIESSERDATEN'!$B56)),"R","B"),IF(OR('IMPORT SCHLIESSERDATEN'!$AC56&lt;&gt;"",'IMPORT SCHLIESSERDATEN'!$AE56&lt;&gt;""),"E","")))</f>
        <v>E</v>
      </c>
      <c r="AW64" s="82"/>
      <c r="AX64" s="67"/>
    </row>
    <row r="65" spans="1:50" x14ac:dyDescent="0.25">
      <c r="A65" s="67">
        <f>IFERROR(IF(C65&lt;&gt;"",MAX($A$2:$A64)+1,""),"")</f>
        <v>53</v>
      </c>
      <c r="B65" s="223">
        <f t="shared" si="1"/>
        <v>53</v>
      </c>
      <c r="C65" s="216" t="str">
        <f>IF(J65=1,SUBSTITUTE('IMPORT SCHLIESSERDATEN'!$B57," Gangfl.",""),IF(J65=2,SUBSTITUTE('IMPORT SCHLIESSERDATEN'!$B57," Standfl.",""),'IMPORT SCHLIESSERDATEN'!$B57))</f>
        <v>TS 93 GSR-EMF 1G EN 5-7</v>
      </c>
      <c r="D65" s="216" t="str">
        <f>IF('IMPORT SCHLIESSERDATEN'!$AF57&lt;&gt;"",IF(COUNTA('IMPORT SCHLIESSERDATEN'!$AN57:$AU57)&gt;0,"X","G"),IF('IMPORT SCHLIESSERDATEN'!$AG57&lt;&gt;"","S",IF('IMPORT SCHLIESSERDATEN'!$AH57&lt;&gt;"","I",IF('IMPORT SCHLIESSERDATEN'!$AI57&lt;&gt;"","B",IF('IMPORT SCHLIESSERDATEN'!$AJ57&lt;&gt;"","D","")))))</f>
        <v>G</v>
      </c>
      <c r="E65" s="248" t="str">
        <f>'IMPORT SCHLIESSERDATEN'!AK57 &amp; IF('IMPORT SCHLIESSERDATEN'!AL57="",""," "&amp; 'IMPORT SCHLIESSERDATEN'!AL57)</f>
        <v>93 B</v>
      </c>
      <c r="F65" s="74">
        <f>IFERROR(IF(D65="X",2^(MATCH("",'IMPORT SCHLIESSERDATEN'!$AN57:$AU57,-1)-1),IF(AV65="F",2^(MATCH("",'IMPORT SCHLIESSERDATEN'!$BH57:$BK57,-1)-1),2^(MATCH("",'IMPORT SCHLIESSERDATEN'!$AV57:$BG57,-1)-1))),0)</f>
        <v>128</v>
      </c>
      <c r="G65" s="74">
        <f>IF(AND('IMPORT SCHLIESSERDATEN'!$O57='IMPORT SCHLIESSERDATEN'!$R57,'IMPORT SCHLIESSERDATEN'!$O57&lt;&gt;"",'IMPORT SCHLIESSERDATEN'!$R57&lt;&gt;""),1,0)  +  IF(AND('IMPORT SCHLIESSERDATEN'!$P57='IMPORT SCHLIESSERDATEN'!$S57,'IMPORT SCHLIESSERDATEN'!$P57&lt;&gt;"",'IMPORT SCHLIESSERDATEN'!$S57&lt;&gt;""),2,0)   +  IF(AND('IMPORT SCHLIESSERDATEN'!$O57='IMPORT SCHLIESSERDATEN'!$S57,'IMPORT SCHLIESSERDATEN'!$O57&lt;&gt;"",'IMPORT SCHLIESSERDATEN'!$S57&lt;&gt;""),4,0)   +  IF(AND('IMPORT SCHLIESSERDATEN'!$P57='IMPORT SCHLIESSERDATEN'!$R57,'IMPORT SCHLIESSERDATEN'!$P57&lt;&gt;"",'IMPORT SCHLIESSERDATEN'!$R57&lt;&gt;""),8,0)   +  IF('IMPORT SCHLIESSERDATEN'!$Q57&lt;&gt;"",IF('IMPORT SCHLIESSERDATEN'!$R57&lt;&gt;"",32,0) + IF('IMPORT SCHLIESSERDATEN'!$S57&lt;&gt;"",64,0),0)  +  IF('IMPORT SCHLIESSERDATEN'!$T57&lt;&gt;"",IF('IMPORT SCHLIESSERDATEN'!$Q57&lt;&gt;"",128+256,128),0)</f>
        <v>1</v>
      </c>
      <c r="H65" s="74">
        <f>IF('IMPORT SCHLIESSERDATEN'!$H57="",0,1) + IF('IMPORT SCHLIESSERDATEN'!$I57="",0,2) + IF('IMPORT SCHLIESSERDATEN'!$J57="",0,4) + IF('IMPORT SCHLIESSERDATEN'!$K57="",0,8) + IF('IMPORT SCHLIESSERDATEN'!$L57="",0,16) + IF('IMPORT SCHLIESSERDATEN'!$M57="",0,32) + IF('IMPORT SCHLIESSERDATEN'!$N57="",0,64)</f>
        <v>112</v>
      </c>
      <c r="I65" s="74">
        <f>IF('IMPORT SCHLIESSERDATEN'!$D57="",0,1) + IF('IMPORT SCHLIESSERDATEN'!$E57="",0,2) + IF('IMPORT SCHLIESSERDATEN'!$E57="S",4,0)</f>
        <v>2</v>
      </c>
      <c r="J65" s="74">
        <f>IF(ISERR(FIND(" Gangfl.",'IMPORT SCHLIESSERDATEN'!$B57)),IF(ISERR(FIND(" Standfl.",'IMPORT SCHLIESSERDATEN'!$B57)),0,2),1)</f>
        <v>0</v>
      </c>
      <c r="K65" s="74">
        <f>'IMPORT SCHLIESSERDATEN'!CL57</f>
        <v>80</v>
      </c>
      <c r="L65" s="74">
        <f>'IMPORT SCHLIESSERDATEN'!CN57</f>
        <v>4</v>
      </c>
      <c r="M65" s="74">
        <f>IF('IMPORT SCHLIESSERDATEN'!CS57="wie TS",-1,'IMPORT SCHLIESSERDATEN'!CS57)</f>
        <v>0</v>
      </c>
      <c r="N65" s="74">
        <f>IF(M65&lt;0,-1,'IMPORT SCHLIESSERDATEN'!CU57)</f>
        <v>0</v>
      </c>
      <c r="O65" s="74">
        <f>IF('IMPORT SCHLIESSERDATEN'!CZ57="wie TS",-1,'IMPORT SCHLIESSERDATEN'!CZ57)</f>
        <v>0</v>
      </c>
      <c r="P65" s="74">
        <f>IF(O65&lt;0,-1,'IMPORT SCHLIESSERDATEN'!DB57)</f>
        <v>0</v>
      </c>
      <c r="Q65" s="74">
        <f>'IMPORT SCHLIESSERDATEN'!DG57</f>
        <v>0</v>
      </c>
      <c r="R65" s="74">
        <f>'IMPORT SCHLIESSERDATEN'!DI57</f>
        <v>0</v>
      </c>
      <c r="S65" s="74">
        <f>'IMPORT SCHLIESSERDATEN'!DN57</f>
        <v>0</v>
      </c>
      <c r="T65" s="74">
        <f>IF('IMPORT SCHLIESSERDATEN'!DP57="V",9999,'IMPORT SCHLIESSERDATEN'!DP57)</f>
        <v>0</v>
      </c>
      <c r="U65" s="74">
        <f>'IMPORT SCHLIESSERDATEN'!BW57</f>
        <v>285</v>
      </c>
      <c r="V65" s="74">
        <f>'IMPORT SCHLIESSERDATEN'!BX57</f>
        <v>62</v>
      </c>
      <c r="W65" s="74">
        <f>'IMPORT SCHLIESSERDATEN'!BY57</f>
        <v>71</v>
      </c>
      <c r="X65" s="74">
        <f>'IMPORT SCHLIESSERDATEN'!CO57</f>
        <v>84</v>
      </c>
      <c r="Y65" s="74">
        <f>'IMPORT SCHLIESSERDATEN'!CQ57</f>
        <v>13</v>
      </c>
      <c r="Z65" s="74">
        <f>'IMPORT SCHLIESSERDATEN'!CV57</f>
        <v>0</v>
      </c>
      <c r="AA65" s="74">
        <f>'IMPORT SCHLIESSERDATEN'!CX57</f>
        <v>0</v>
      </c>
      <c r="AB65" s="74">
        <f>'IMPORT SCHLIESSERDATEN'!DC57</f>
        <v>0</v>
      </c>
      <c r="AC65" s="74">
        <f>'IMPORT SCHLIESSERDATEN'!DE57</f>
        <v>0</v>
      </c>
      <c r="AD65" s="74">
        <f>'IMPORT SCHLIESSERDATEN'!DJ57</f>
        <v>0</v>
      </c>
      <c r="AE65" s="74">
        <f>'IMPORT SCHLIESSERDATEN'!DL57</f>
        <v>0</v>
      </c>
      <c r="AF65" s="74">
        <f>'IMPORT SCHLIESSERDATEN'!DQ57</f>
        <v>0</v>
      </c>
      <c r="AG65" s="74">
        <f>IF('IMPORT SCHLIESSERDATEN'!DS57="V",9999,'IMPORT SCHLIESSERDATEN'!DS57)</f>
        <v>0</v>
      </c>
      <c r="AH65" s="74">
        <f>IF('IMPORT SCHLIESSERDATEN'!BZ57="V",9999,IF('IMPORT SCHLIESSERDATEN'!CD57="_",-1,'IMPORT SCHLIESSERDATEN'!BZ57))</f>
        <v>9999</v>
      </c>
      <c r="AI65" s="74">
        <f>IF('IMPORT SCHLIESSERDATEN'!CA57="V",9999,IF('IMPORT SCHLIESSERDATEN'!CD57="_",-1,'IMPORT SCHLIESSERDATEN'!CA57))</f>
        <v>30</v>
      </c>
      <c r="AJ65" s="74">
        <f>IF('IMPORT SCHLIESSERDATEN'!CB57="V",9999,IF('IMPORT SCHLIESSERDATEN'!CD57="_",-1,'IMPORT SCHLIESSERDATEN'!CB57))</f>
        <v>55</v>
      </c>
      <c r="AK65" s="74">
        <f>IF('IMPORT SCHLIESSERDATEN'!CC57="V",9999,IF('IMPORT SCHLIESSERDATEN'!CC57="_",-1,'IMPORT SCHLIESSERDATEN'!CC57))</f>
        <v>28</v>
      </c>
      <c r="AL65" s="74">
        <f>IF('IMPORT SCHLIESSERDATEN'!CD57="_",-1,'IMPORT SCHLIESSERDATEN'!CD57)</f>
        <v>375</v>
      </c>
      <c r="AM65" s="74">
        <f>'IMPORT SCHLIESSERDATEN'!CH57</f>
        <v>95</v>
      </c>
      <c r="AN65" s="74">
        <f>IF('IMPORT SCHLIESSERDATEN'!CE57="V",9999,'IMPORT SCHLIESSERDATEN'!CE57)</f>
        <v>34</v>
      </c>
      <c r="AO65" s="74">
        <f>IF('IMPORT SCHLIESSERDATEN'!CK57="_",-1,'IMPORT SCHLIESSERDATEN'!CK57)</f>
        <v>164</v>
      </c>
      <c r="AP65" s="74">
        <f>IF('IMPORT SCHLIESSERDATEN'!$U57="",0,1)</f>
        <v>1</v>
      </c>
      <c r="AQ65" s="74">
        <f>IF('IMPORT SCHLIESSERDATEN'!$V57="",0,1)</f>
        <v>0</v>
      </c>
      <c r="AR65" s="74">
        <f>IF('IMPORT SCHLIESSERDATEN'!$W57="",0,1)</f>
        <v>1</v>
      </c>
      <c r="AS65" s="74">
        <f>IF('IMPORT SCHLIESSERDATEN'!$AA57="",0,1)</f>
        <v>1</v>
      </c>
      <c r="AT65" s="74">
        <f>IF('IMPORT SCHLIESSERDATEN'!$AD57="",0,1) + IF('IMPORT SCHLIESSERDATEN'!$AE57="",0,2)</f>
        <v>2</v>
      </c>
      <c r="AU65" s="74" t="str">
        <f>IF('IMPORT SCHLIESSERDATEN'!$X57="",IF('IMPORT SCHLIESSERDATEN'!$Y57="","","F"),"V")</f>
        <v>V</v>
      </c>
      <c r="AV65" s="74" t="str">
        <f>IF('IMPORT SCHLIESSERDATEN'!$AB57&lt;&gt;"","M",IF('IMPORT SCHLIESSERDATEN'!$AD57&lt;&gt;"",IF(ISERR(SEARCH("UVIBIS",'IMPORT SCHLIESSERDATEN'!$B57)),"R","B"),IF(OR('IMPORT SCHLIESSERDATEN'!$AC57&lt;&gt;"",'IMPORT SCHLIESSERDATEN'!$AE57&lt;&gt;""),"E","")))</f>
        <v>E</v>
      </c>
      <c r="AW65" s="82"/>
      <c r="AX65" s="67"/>
    </row>
    <row r="66" spans="1:50" x14ac:dyDescent="0.25">
      <c r="A66" s="67">
        <f>IFERROR(IF(C66&lt;&gt;"",MAX($A$2:$A65)+1,""),"")</f>
        <v>54</v>
      </c>
      <c r="B66" s="223">
        <f t="shared" si="1"/>
        <v>54</v>
      </c>
      <c r="C66" s="216" t="str">
        <f>IF(J66=1,SUBSTITUTE('IMPORT SCHLIESSERDATEN'!$B58," Gangfl.",""),IF(J66=2,SUBSTITUTE('IMPORT SCHLIESSERDATEN'!$B58," Standfl.",""),'IMPORT SCHLIESSERDATEN'!$B58))</f>
        <v>TS 93 GSR-EMF 2 EN 5-7</v>
      </c>
      <c r="D66" s="216" t="str">
        <f>IF('IMPORT SCHLIESSERDATEN'!$AF58&lt;&gt;"",IF(COUNTA('IMPORT SCHLIESSERDATEN'!$AN58:$AU58)&gt;0,"X","G"),IF('IMPORT SCHLIESSERDATEN'!$AG58&lt;&gt;"","S",IF('IMPORT SCHLIESSERDATEN'!$AH58&lt;&gt;"","I",IF('IMPORT SCHLIESSERDATEN'!$AI58&lt;&gt;"","B",IF('IMPORT SCHLIESSERDATEN'!$AJ58&lt;&gt;"","D","")))))</f>
        <v>G</v>
      </c>
      <c r="E66" s="248" t="str">
        <f>'IMPORT SCHLIESSERDATEN'!AK58 &amp; IF('IMPORT SCHLIESSERDATEN'!AL58="",""," "&amp; 'IMPORT SCHLIESSERDATEN'!AL58)</f>
        <v>93 B</v>
      </c>
      <c r="F66" s="74">
        <f>IFERROR(IF(D66="X",2^(MATCH("",'IMPORT SCHLIESSERDATEN'!$AN58:$AU58,-1)-1),IF(AV66="F",2^(MATCH("",'IMPORT SCHLIESSERDATEN'!$BH58:$BK58,-1)-1),2^(MATCH("",'IMPORT SCHLIESSERDATEN'!$AV58:$BG58,-1)-1))),0)</f>
        <v>256</v>
      </c>
      <c r="G66" s="74">
        <f>IF(AND('IMPORT SCHLIESSERDATEN'!$O58='IMPORT SCHLIESSERDATEN'!$R58,'IMPORT SCHLIESSERDATEN'!$O58&lt;&gt;"",'IMPORT SCHLIESSERDATEN'!$R58&lt;&gt;""),1,0)  +  IF(AND('IMPORT SCHLIESSERDATEN'!$P58='IMPORT SCHLIESSERDATEN'!$S58,'IMPORT SCHLIESSERDATEN'!$P58&lt;&gt;"",'IMPORT SCHLIESSERDATEN'!$S58&lt;&gt;""),2,0)   +  IF(AND('IMPORT SCHLIESSERDATEN'!$O58='IMPORT SCHLIESSERDATEN'!$S58,'IMPORT SCHLIESSERDATEN'!$O58&lt;&gt;"",'IMPORT SCHLIESSERDATEN'!$S58&lt;&gt;""),4,0)   +  IF(AND('IMPORT SCHLIESSERDATEN'!$P58='IMPORT SCHLIESSERDATEN'!$R58,'IMPORT SCHLIESSERDATEN'!$P58&lt;&gt;"",'IMPORT SCHLIESSERDATEN'!$R58&lt;&gt;""),8,0)   +  IF('IMPORT SCHLIESSERDATEN'!$Q58&lt;&gt;"",IF('IMPORT SCHLIESSERDATEN'!$R58&lt;&gt;"",32,0) + IF('IMPORT SCHLIESSERDATEN'!$S58&lt;&gt;"",64,0),0)  +  IF('IMPORT SCHLIESSERDATEN'!$T58&lt;&gt;"",IF('IMPORT SCHLIESSERDATEN'!$Q58&lt;&gt;"",128+256,128),0)</f>
        <v>1</v>
      </c>
      <c r="H66" s="74">
        <f>IF('IMPORT SCHLIESSERDATEN'!$H58="",0,1) + IF('IMPORT SCHLIESSERDATEN'!$I58="",0,2) + IF('IMPORT SCHLIESSERDATEN'!$J58="",0,4) + IF('IMPORT SCHLIESSERDATEN'!$K58="",0,8) + IF('IMPORT SCHLIESSERDATEN'!$L58="",0,16) + IF('IMPORT SCHLIESSERDATEN'!$M58="",0,32) + IF('IMPORT SCHLIESSERDATEN'!$N58="",0,64)</f>
        <v>112</v>
      </c>
      <c r="I66" s="74">
        <f>IF('IMPORT SCHLIESSERDATEN'!$D58="",0,1) + IF('IMPORT SCHLIESSERDATEN'!$E58="",0,2) + IF('IMPORT SCHLIESSERDATEN'!$E58="S",4,0)</f>
        <v>2</v>
      </c>
      <c r="J66" s="74">
        <f>IF(ISERR(FIND(" Gangfl.",'IMPORT SCHLIESSERDATEN'!$B58)),IF(ISERR(FIND(" Standfl.",'IMPORT SCHLIESSERDATEN'!$B58)),0,2),1)</f>
        <v>0</v>
      </c>
      <c r="K66" s="74">
        <f>'IMPORT SCHLIESSERDATEN'!CL58</f>
        <v>80</v>
      </c>
      <c r="L66" s="74">
        <f>'IMPORT SCHLIESSERDATEN'!CN58</f>
        <v>4</v>
      </c>
      <c r="M66" s="74">
        <f>IF('IMPORT SCHLIESSERDATEN'!CS58="wie TS",-1,'IMPORT SCHLIESSERDATEN'!CS58)</f>
        <v>0</v>
      </c>
      <c r="N66" s="74">
        <f>IF(M66&lt;0,-1,'IMPORT SCHLIESSERDATEN'!CU58)</f>
        <v>0</v>
      </c>
      <c r="O66" s="74">
        <f>IF('IMPORT SCHLIESSERDATEN'!CZ58="wie TS",-1,'IMPORT SCHLIESSERDATEN'!CZ58)</f>
        <v>0</v>
      </c>
      <c r="P66" s="74">
        <f>IF(O66&lt;0,-1,'IMPORT SCHLIESSERDATEN'!DB58)</f>
        <v>0</v>
      </c>
      <c r="Q66" s="74">
        <f>'IMPORT SCHLIESSERDATEN'!DG58</f>
        <v>0</v>
      </c>
      <c r="R66" s="74">
        <f>'IMPORT SCHLIESSERDATEN'!DI58</f>
        <v>0</v>
      </c>
      <c r="S66" s="74">
        <f>'IMPORT SCHLIESSERDATEN'!DN58</f>
        <v>0</v>
      </c>
      <c r="T66" s="74">
        <f>IF('IMPORT SCHLIESSERDATEN'!DP58="V",9999,'IMPORT SCHLIESSERDATEN'!DP58)</f>
        <v>0</v>
      </c>
      <c r="U66" s="74">
        <f>'IMPORT SCHLIESSERDATEN'!BW58</f>
        <v>285</v>
      </c>
      <c r="V66" s="74">
        <f>'IMPORT SCHLIESSERDATEN'!BX58</f>
        <v>62</v>
      </c>
      <c r="W66" s="74">
        <f>'IMPORT SCHLIESSERDATEN'!BY58</f>
        <v>71</v>
      </c>
      <c r="X66" s="74">
        <f>'IMPORT SCHLIESSERDATEN'!CO58</f>
        <v>84</v>
      </c>
      <c r="Y66" s="74">
        <f>'IMPORT SCHLIESSERDATEN'!CQ58</f>
        <v>13</v>
      </c>
      <c r="Z66" s="74">
        <f>'IMPORT SCHLIESSERDATEN'!CV58</f>
        <v>0</v>
      </c>
      <c r="AA66" s="74">
        <f>'IMPORT SCHLIESSERDATEN'!CX58</f>
        <v>0</v>
      </c>
      <c r="AB66" s="74">
        <f>'IMPORT SCHLIESSERDATEN'!DC58</f>
        <v>0</v>
      </c>
      <c r="AC66" s="74">
        <f>'IMPORT SCHLIESSERDATEN'!DE58</f>
        <v>0</v>
      </c>
      <c r="AD66" s="74">
        <f>'IMPORT SCHLIESSERDATEN'!DJ58</f>
        <v>0</v>
      </c>
      <c r="AE66" s="74">
        <f>'IMPORT SCHLIESSERDATEN'!DL58</f>
        <v>0</v>
      </c>
      <c r="AF66" s="74">
        <f>'IMPORT SCHLIESSERDATEN'!DQ58</f>
        <v>0</v>
      </c>
      <c r="AG66" s="74">
        <f>IF('IMPORT SCHLIESSERDATEN'!DS58="V",9999,'IMPORT SCHLIESSERDATEN'!DS58)</f>
        <v>0</v>
      </c>
      <c r="AH66" s="74">
        <f>IF('IMPORT SCHLIESSERDATEN'!BZ58="V",9999,IF('IMPORT SCHLIESSERDATEN'!CD58="_",-1,'IMPORT SCHLIESSERDATEN'!BZ58))</f>
        <v>9999</v>
      </c>
      <c r="AI66" s="74">
        <f>IF('IMPORT SCHLIESSERDATEN'!CA58="V",9999,IF('IMPORT SCHLIESSERDATEN'!CD58="_",-1,'IMPORT SCHLIESSERDATEN'!CA58))</f>
        <v>30</v>
      </c>
      <c r="AJ66" s="74">
        <f>IF('IMPORT SCHLIESSERDATEN'!CB58="V",9999,IF('IMPORT SCHLIESSERDATEN'!CD58="_",-1,'IMPORT SCHLIESSERDATEN'!CB58))</f>
        <v>55</v>
      </c>
      <c r="AK66" s="74">
        <f>IF('IMPORT SCHLIESSERDATEN'!CC58="V",9999,IF('IMPORT SCHLIESSERDATEN'!CC58="_",-1,'IMPORT SCHLIESSERDATEN'!CC58))</f>
        <v>28</v>
      </c>
      <c r="AL66" s="74">
        <f>IF('IMPORT SCHLIESSERDATEN'!CD58="_",-1,'IMPORT SCHLIESSERDATEN'!CD58)</f>
        <v>375</v>
      </c>
      <c r="AM66" s="74">
        <f>'IMPORT SCHLIESSERDATEN'!CH58</f>
        <v>95</v>
      </c>
      <c r="AN66" s="74">
        <f>IF('IMPORT SCHLIESSERDATEN'!CE58="V",9999,'IMPORT SCHLIESSERDATEN'!CE58)</f>
        <v>34</v>
      </c>
      <c r="AO66" s="74">
        <f>IF('IMPORT SCHLIESSERDATEN'!CK58="_",-1,'IMPORT SCHLIESSERDATEN'!CK58)</f>
        <v>164</v>
      </c>
      <c r="AP66" s="74">
        <f>IF('IMPORT SCHLIESSERDATEN'!$U58="",0,1)</f>
        <v>1</v>
      </c>
      <c r="AQ66" s="74">
        <f>IF('IMPORT SCHLIESSERDATEN'!$V58="",0,1)</f>
        <v>0</v>
      </c>
      <c r="AR66" s="74">
        <f>IF('IMPORT SCHLIESSERDATEN'!$W58="",0,1)</f>
        <v>1</v>
      </c>
      <c r="AS66" s="74">
        <f>IF('IMPORT SCHLIESSERDATEN'!$AA58="",0,1)</f>
        <v>1</v>
      </c>
      <c r="AT66" s="74">
        <f>IF('IMPORT SCHLIESSERDATEN'!$AD58="",0,1) + IF('IMPORT SCHLIESSERDATEN'!$AE58="",0,2)</f>
        <v>2</v>
      </c>
      <c r="AU66" s="74" t="str">
        <f>IF('IMPORT SCHLIESSERDATEN'!$X58="",IF('IMPORT SCHLIESSERDATEN'!$Y58="","","F"),"V")</f>
        <v>V</v>
      </c>
      <c r="AV66" s="74" t="str">
        <f>IF('IMPORT SCHLIESSERDATEN'!$AB58&lt;&gt;"","M",IF('IMPORT SCHLIESSERDATEN'!$AD58&lt;&gt;"",IF(ISERR(SEARCH("UVIBIS",'IMPORT SCHLIESSERDATEN'!$B58)),"R","B"),IF(OR('IMPORT SCHLIESSERDATEN'!$AC58&lt;&gt;"",'IMPORT SCHLIESSERDATEN'!$AE58&lt;&gt;""),"E","")))</f>
        <v>E</v>
      </c>
      <c r="AW66" s="82"/>
      <c r="AX66" s="67"/>
    </row>
    <row r="67" spans="1:50" x14ac:dyDescent="0.25">
      <c r="A67" s="67">
        <f>IFERROR(IF(C67&lt;&gt;"",MAX($A$2:$A66)+1,""),"")</f>
        <v>55</v>
      </c>
      <c r="B67" s="223">
        <f t="shared" si="1"/>
        <v>55</v>
      </c>
      <c r="C67" s="216" t="str">
        <f>IF(J67=1,SUBSTITUTE('IMPORT SCHLIESSERDATEN'!$B59," Gangfl.",""),IF(J67=2,SUBSTITUTE('IMPORT SCHLIESSERDATEN'!$B59," Standfl.",""),'IMPORT SCHLIESSERDATEN'!$B59))</f>
        <v>TS 93 GSR-EMR 1 EN 5-7</v>
      </c>
      <c r="D67" s="216" t="str">
        <f>IF('IMPORT SCHLIESSERDATEN'!$AF59&lt;&gt;"",IF(COUNTA('IMPORT SCHLIESSERDATEN'!$AN59:$AU59)&gt;0,"X","G"),IF('IMPORT SCHLIESSERDATEN'!$AG59&lt;&gt;"","S",IF('IMPORT SCHLIESSERDATEN'!$AH59&lt;&gt;"","I",IF('IMPORT SCHLIESSERDATEN'!$AI59&lt;&gt;"","B",IF('IMPORT SCHLIESSERDATEN'!$AJ59&lt;&gt;"","D","")))))</f>
        <v>G</v>
      </c>
      <c r="E67" s="248" t="str">
        <f>'IMPORT SCHLIESSERDATEN'!AK59 &amp; IF('IMPORT SCHLIESSERDATEN'!AL59="",""," "&amp; 'IMPORT SCHLIESSERDATEN'!AL59)</f>
        <v>93 B</v>
      </c>
      <c r="F67" s="74">
        <f>IFERROR(IF(D67="X",2^(MATCH("",'IMPORT SCHLIESSERDATEN'!$AN59:$AU59,-1)-1),IF(AV67="F",2^(MATCH("",'IMPORT SCHLIESSERDATEN'!$BH59:$BK59,-1)-1),2^(MATCH("",'IMPORT SCHLIESSERDATEN'!$AV59:$BG59,-1)-1))),0)</f>
        <v>512</v>
      </c>
      <c r="G67" s="74">
        <f>IF(AND('IMPORT SCHLIESSERDATEN'!$O59='IMPORT SCHLIESSERDATEN'!$R59,'IMPORT SCHLIESSERDATEN'!$O59&lt;&gt;"",'IMPORT SCHLIESSERDATEN'!$R59&lt;&gt;""),1,0)  +  IF(AND('IMPORT SCHLIESSERDATEN'!$P59='IMPORT SCHLIESSERDATEN'!$S59,'IMPORT SCHLIESSERDATEN'!$P59&lt;&gt;"",'IMPORT SCHLIESSERDATEN'!$S59&lt;&gt;""),2,0)   +  IF(AND('IMPORT SCHLIESSERDATEN'!$O59='IMPORT SCHLIESSERDATEN'!$S59,'IMPORT SCHLIESSERDATEN'!$O59&lt;&gt;"",'IMPORT SCHLIESSERDATEN'!$S59&lt;&gt;""),4,0)   +  IF(AND('IMPORT SCHLIESSERDATEN'!$P59='IMPORT SCHLIESSERDATEN'!$R59,'IMPORT SCHLIESSERDATEN'!$P59&lt;&gt;"",'IMPORT SCHLIESSERDATEN'!$R59&lt;&gt;""),8,0)   +  IF('IMPORT SCHLIESSERDATEN'!$Q59&lt;&gt;"",IF('IMPORT SCHLIESSERDATEN'!$R59&lt;&gt;"",32,0) + IF('IMPORT SCHLIESSERDATEN'!$S59&lt;&gt;"",64,0),0)  +  IF('IMPORT SCHLIESSERDATEN'!$T59&lt;&gt;"",IF('IMPORT SCHLIESSERDATEN'!$Q59&lt;&gt;"",128+256,128),0)</f>
        <v>1</v>
      </c>
      <c r="H67" s="74">
        <f>IF('IMPORT SCHLIESSERDATEN'!$H59="",0,1) + IF('IMPORT SCHLIESSERDATEN'!$I59="",0,2) + IF('IMPORT SCHLIESSERDATEN'!$J59="",0,4) + IF('IMPORT SCHLIESSERDATEN'!$K59="",0,8) + IF('IMPORT SCHLIESSERDATEN'!$L59="",0,16) + IF('IMPORT SCHLIESSERDATEN'!$M59="",0,32) + IF('IMPORT SCHLIESSERDATEN'!$N59="",0,64)</f>
        <v>112</v>
      </c>
      <c r="I67" s="74">
        <f>IF('IMPORT SCHLIESSERDATEN'!$D59="",0,1) + IF('IMPORT SCHLIESSERDATEN'!$E59="",0,2) + IF('IMPORT SCHLIESSERDATEN'!$E59="S",4,0)</f>
        <v>2</v>
      </c>
      <c r="J67" s="74">
        <f>IF(ISERR(FIND(" Gangfl.",'IMPORT SCHLIESSERDATEN'!$B59)),IF(ISERR(FIND(" Standfl.",'IMPORT SCHLIESSERDATEN'!$B59)),0,2),1)</f>
        <v>0</v>
      </c>
      <c r="K67" s="74">
        <f>'IMPORT SCHLIESSERDATEN'!CL59</f>
        <v>80</v>
      </c>
      <c r="L67" s="74">
        <f>'IMPORT SCHLIESSERDATEN'!CN59</f>
        <v>4</v>
      </c>
      <c r="M67" s="74">
        <f>IF('IMPORT SCHLIESSERDATEN'!CS59="wie TS",-1,'IMPORT SCHLIESSERDATEN'!CS59)</f>
        <v>0</v>
      </c>
      <c r="N67" s="74">
        <f>IF(M67&lt;0,-1,'IMPORT SCHLIESSERDATEN'!CU59)</f>
        <v>0</v>
      </c>
      <c r="O67" s="74">
        <f>IF('IMPORT SCHLIESSERDATEN'!CZ59="wie TS",-1,'IMPORT SCHLIESSERDATEN'!CZ59)</f>
        <v>0</v>
      </c>
      <c r="P67" s="74">
        <f>IF(O67&lt;0,-1,'IMPORT SCHLIESSERDATEN'!DB59)</f>
        <v>0</v>
      </c>
      <c r="Q67" s="74">
        <f>'IMPORT SCHLIESSERDATEN'!DG59</f>
        <v>0</v>
      </c>
      <c r="R67" s="74">
        <f>'IMPORT SCHLIESSERDATEN'!DI59</f>
        <v>0</v>
      </c>
      <c r="S67" s="74">
        <f>'IMPORT SCHLIESSERDATEN'!DN59</f>
        <v>0</v>
      </c>
      <c r="T67" s="74">
        <f>IF('IMPORT SCHLIESSERDATEN'!DP59="V",9999,'IMPORT SCHLIESSERDATEN'!DP59)</f>
        <v>0</v>
      </c>
      <c r="U67" s="74">
        <f>'IMPORT SCHLIESSERDATEN'!BW59</f>
        <v>285</v>
      </c>
      <c r="V67" s="74">
        <f>'IMPORT SCHLIESSERDATEN'!BX59</f>
        <v>62</v>
      </c>
      <c r="W67" s="74">
        <f>'IMPORT SCHLIESSERDATEN'!BY59</f>
        <v>71</v>
      </c>
      <c r="X67" s="74">
        <f>'IMPORT SCHLIESSERDATEN'!CO59</f>
        <v>84</v>
      </c>
      <c r="Y67" s="74">
        <f>'IMPORT SCHLIESSERDATEN'!CQ59</f>
        <v>13</v>
      </c>
      <c r="Z67" s="74">
        <f>'IMPORT SCHLIESSERDATEN'!CV59</f>
        <v>0</v>
      </c>
      <c r="AA67" s="74">
        <f>'IMPORT SCHLIESSERDATEN'!CX59</f>
        <v>0</v>
      </c>
      <c r="AB67" s="74">
        <f>'IMPORT SCHLIESSERDATEN'!DC59</f>
        <v>0</v>
      </c>
      <c r="AC67" s="74">
        <f>'IMPORT SCHLIESSERDATEN'!DE59</f>
        <v>0</v>
      </c>
      <c r="AD67" s="74">
        <f>'IMPORT SCHLIESSERDATEN'!DJ59</f>
        <v>0</v>
      </c>
      <c r="AE67" s="74">
        <f>'IMPORT SCHLIESSERDATEN'!DL59</f>
        <v>0</v>
      </c>
      <c r="AF67" s="74">
        <f>'IMPORT SCHLIESSERDATEN'!DQ59</f>
        <v>0</v>
      </c>
      <c r="AG67" s="74">
        <f>IF('IMPORT SCHLIESSERDATEN'!DS59="V",9999,'IMPORT SCHLIESSERDATEN'!DS59)</f>
        <v>0</v>
      </c>
      <c r="AH67" s="74">
        <f>IF('IMPORT SCHLIESSERDATEN'!BZ59="V",9999,IF('IMPORT SCHLIESSERDATEN'!CD59="_",-1,'IMPORT SCHLIESSERDATEN'!BZ59))</f>
        <v>9999</v>
      </c>
      <c r="AI67" s="74">
        <f>IF('IMPORT SCHLIESSERDATEN'!CA59="V",9999,IF('IMPORT SCHLIESSERDATEN'!CD59="_",-1,'IMPORT SCHLIESSERDATEN'!CA59))</f>
        <v>30</v>
      </c>
      <c r="AJ67" s="74">
        <f>IF('IMPORT SCHLIESSERDATEN'!CB59="V",9999,IF('IMPORT SCHLIESSERDATEN'!CD59="_",-1,'IMPORT SCHLIESSERDATEN'!CB59))</f>
        <v>55</v>
      </c>
      <c r="AK67" s="74">
        <f>IF('IMPORT SCHLIESSERDATEN'!CC59="V",9999,IF('IMPORT SCHLIESSERDATEN'!CC59="_",-1,'IMPORT SCHLIESSERDATEN'!CC59))</f>
        <v>28</v>
      </c>
      <c r="AL67" s="74">
        <f>IF('IMPORT SCHLIESSERDATEN'!CD59="_",-1,'IMPORT SCHLIESSERDATEN'!CD59)</f>
        <v>375</v>
      </c>
      <c r="AM67" s="74">
        <f>'IMPORT SCHLIESSERDATEN'!CH59</f>
        <v>95</v>
      </c>
      <c r="AN67" s="74">
        <f>IF('IMPORT SCHLIESSERDATEN'!CE59="V",9999,'IMPORT SCHLIESSERDATEN'!CE59)</f>
        <v>34</v>
      </c>
      <c r="AO67" s="74">
        <f>IF('IMPORT SCHLIESSERDATEN'!CK59="_",-1,'IMPORT SCHLIESSERDATEN'!CK59)</f>
        <v>164</v>
      </c>
      <c r="AP67" s="74">
        <f>IF('IMPORT SCHLIESSERDATEN'!$U59="",0,1)</f>
        <v>1</v>
      </c>
      <c r="AQ67" s="74">
        <f>IF('IMPORT SCHLIESSERDATEN'!$V59="",0,1)</f>
        <v>0</v>
      </c>
      <c r="AR67" s="74">
        <f>IF('IMPORT SCHLIESSERDATEN'!$W59="",0,1)</f>
        <v>1</v>
      </c>
      <c r="AS67" s="74">
        <f>IF('IMPORT SCHLIESSERDATEN'!$AA59="",0,1)</f>
        <v>1</v>
      </c>
      <c r="AT67" s="74">
        <f>IF('IMPORT SCHLIESSERDATEN'!$AD59="",0,1) + IF('IMPORT SCHLIESSERDATEN'!$AE59="",0,2)</f>
        <v>1</v>
      </c>
      <c r="AU67" s="74" t="str">
        <f>IF('IMPORT SCHLIESSERDATEN'!$X59="",IF('IMPORT SCHLIESSERDATEN'!$Y59="","","F"),"V")</f>
        <v>V</v>
      </c>
      <c r="AV67" s="74" t="str">
        <f>IF('IMPORT SCHLIESSERDATEN'!$AB59&lt;&gt;"","M",IF('IMPORT SCHLIESSERDATEN'!$AD59&lt;&gt;"",IF(ISERR(SEARCH("UVIBIS",'IMPORT SCHLIESSERDATEN'!$B59)),"R","B"),IF(OR('IMPORT SCHLIESSERDATEN'!$AC59&lt;&gt;"",'IMPORT SCHLIESSERDATEN'!$AE59&lt;&gt;""),"E","")))</f>
        <v>R</v>
      </c>
      <c r="AW67" s="82"/>
      <c r="AX67" s="67"/>
    </row>
    <row r="68" spans="1:50" x14ac:dyDescent="0.25">
      <c r="A68" s="67">
        <f>IFERROR(IF(C68&lt;&gt;"",MAX($A$2:$A67)+1,""),"")</f>
        <v>56</v>
      </c>
      <c r="B68" s="223">
        <f t="shared" si="1"/>
        <v>56</v>
      </c>
      <c r="C68" s="216" t="str">
        <f>IF(J68=1,SUBSTITUTE('IMPORT SCHLIESSERDATEN'!$B60," Gangfl.",""),IF(J68=2,SUBSTITUTE('IMPORT SCHLIESSERDATEN'!$B60," Standfl.",""),'IMPORT SCHLIESSERDATEN'!$B60))</f>
        <v>TS 93 GSR-EMR 1G EN 5-7</v>
      </c>
      <c r="D68" s="216" t="str">
        <f>IF('IMPORT SCHLIESSERDATEN'!$AF60&lt;&gt;"",IF(COUNTA('IMPORT SCHLIESSERDATEN'!$AN60:$AU60)&gt;0,"X","G"),IF('IMPORT SCHLIESSERDATEN'!$AG60&lt;&gt;"","S",IF('IMPORT SCHLIESSERDATEN'!$AH60&lt;&gt;"","I",IF('IMPORT SCHLIESSERDATEN'!$AI60&lt;&gt;"","B",IF('IMPORT SCHLIESSERDATEN'!$AJ60&lt;&gt;"","D","")))))</f>
        <v>G</v>
      </c>
      <c r="E68" s="248" t="str">
        <f>'IMPORT SCHLIESSERDATEN'!AK60 &amp; IF('IMPORT SCHLIESSERDATEN'!AL60="",""," "&amp; 'IMPORT SCHLIESSERDATEN'!AL60)</f>
        <v>93 B</v>
      </c>
      <c r="F68" s="74">
        <f>IFERROR(IF(D68="X",2^(MATCH("",'IMPORT SCHLIESSERDATEN'!$AN60:$AU60,-1)-1),IF(AV68="F",2^(MATCH("",'IMPORT SCHLIESSERDATEN'!$BH60:$BK60,-1)-1),2^(MATCH("",'IMPORT SCHLIESSERDATEN'!$AV60:$BG60,-1)-1))),0)</f>
        <v>1024</v>
      </c>
      <c r="G68" s="74">
        <f>IF(AND('IMPORT SCHLIESSERDATEN'!$O60='IMPORT SCHLIESSERDATEN'!$R60,'IMPORT SCHLIESSERDATEN'!$O60&lt;&gt;"",'IMPORT SCHLIESSERDATEN'!$R60&lt;&gt;""),1,0)  +  IF(AND('IMPORT SCHLIESSERDATEN'!$P60='IMPORT SCHLIESSERDATEN'!$S60,'IMPORT SCHLIESSERDATEN'!$P60&lt;&gt;"",'IMPORT SCHLIESSERDATEN'!$S60&lt;&gt;""),2,0)   +  IF(AND('IMPORT SCHLIESSERDATEN'!$O60='IMPORT SCHLIESSERDATEN'!$S60,'IMPORT SCHLIESSERDATEN'!$O60&lt;&gt;"",'IMPORT SCHLIESSERDATEN'!$S60&lt;&gt;""),4,0)   +  IF(AND('IMPORT SCHLIESSERDATEN'!$P60='IMPORT SCHLIESSERDATEN'!$R60,'IMPORT SCHLIESSERDATEN'!$P60&lt;&gt;"",'IMPORT SCHLIESSERDATEN'!$R60&lt;&gt;""),8,0)   +  IF('IMPORT SCHLIESSERDATEN'!$Q60&lt;&gt;"",IF('IMPORT SCHLIESSERDATEN'!$R60&lt;&gt;"",32,0) + IF('IMPORT SCHLIESSERDATEN'!$S60&lt;&gt;"",64,0),0)  +  IF('IMPORT SCHLIESSERDATEN'!$T60&lt;&gt;"",IF('IMPORT SCHLIESSERDATEN'!$Q60&lt;&gt;"",128+256,128),0)</f>
        <v>1</v>
      </c>
      <c r="H68" s="74">
        <f>IF('IMPORT SCHLIESSERDATEN'!$H60="",0,1) + IF('IMPORT SCHLIESSERDATEN'!$I60="",0,2) + IF('IMPORT SCHLIESSERDATEN'!$J60="",0,4) + IF('IMPORT SCHLIESSERDATEN'!$K60="",0,8) + IF('IMPORT SCHLIESSERDATEN'!$L60="",0,16) + IF('IMPORT SCHLIESSERDATEN'!$M60="",0,32) + IF('IMPORT SCHLIESSERDATEN'!$N60="",0,64)</f>
        <v>112</v>
      </c>
      <c r="I68" s="74">
        <f>IF('IMPORT SCHLIESSERDATEN'!$D60="",0,1) + IF('IMPORT SCHLIESSERDATEN'!$E60="",0,2) + IF('IMPORT SCHLIESSERDATEN'!$E60="S",4,0)</f>
        <v>2</v>
      </c>
      <c r="J68" s="74">
        <f>IF(ISERR(FIND(" Gangfl.",'IMPORT SCHLIESSERDATEN'!$B60)),IF(ISERR(FIND(" Standfl.",'IMPORT SCHLIESSERDATEN'!$B60)),0,2),1)</f>
        <v>0</v>
      </c>
      <c r="K68" s="74">
        <f>'IMPORT SCHLIESSERDATEN'!CL60</f>
        <v>80</v>
      </c>
      <c r="L68" s="74">
        <f>'IMPORT SCHLIESSERDATEN'!CN60</f>
        <v>4</v>
      </c>
      <c r="M68" s="74">
        <f>IF('IMPORT SCHLIESSERDATEN'!CS60="wie TS",-1,'IMPORT SCHLIESSERDATEN'!CS60)</f>
        <v>0</v>
      </c>
      <c r="N68" s="74">
        <f>IF(M68&lt;0,-1,'IMPORT SCHLIESSERDATEN'!CU60)</f>
        <v>0</v>
      </c>
      <c r="O68" s="74">
        <f>IF('IMPORT SCHLIESSERDATEN'!CZ60="wie TS",-1,'IMPORT SCHLIESSERDATEN'!CZ60)</f>
        <v>0</v>
      </c>
      <c r="P68" s="74">
        <f>IF(O68&lt;0,-1,'IMPORT SCHLIESSERDATEN'!DB60)</f>
        <v>0</v>
      </c>
      <c r="Q68" s="74">
        <f>'IMPORT SCHLIESSERDATEN'!DG60</f>
        <v>0</v>
      </c>
      <c r="R68" s="74">
        <f>'IMPORT SCHLIESSERDATEN'!DI60</f>
        <v>0</v>
      </c>
      <c r="S68" s="74">
        <f>'IMPORT SCHLIESSERDATEN'!DN60</f>
        <v>0</v>
      </c>
      <c r="T68" s="74">
        <f>IF('IMPORT SCHLIESSERDATEN'!DP60="V",9999,'IMPORT SCHLIESSERDATEN'!DP60)</f>
        <v>0</v>
      </c>
      <c r="U68" s="74">
        <f>'IMPORT SCHLIESSERDATEN'!BW60</f>
        <v>285</v>
      </c>
      <c r="V68" s="74">
        <f>'IMPORT SCHLIESSERDATEN'!BX60</f>
        <v>62</v>
      </c>
      <c r="W68" s="74">
        <f>'IMPORT SCHLIESSERDATEN'!BY60</f>
        <v>71</v>
      </c>
      <c r="X68" s="74">
        <f>'IMPORT SCHLIESSERDATEN'!CO60</f>
        <v>84</v>
      </c>
      <c r="Y68" s="74">
        <f>'IMPORT SCHLIESSERDATEN'!CQ60</f>
        <v>13</v>
      </c>
      <c r="Z68" s="74">
        <f>'IMPORT SCHLIESSERDATEN'!CV60</f>
        <v>0</v>
      </c>
      <c r="AA68" s="74">
        <f>'IMPORT SCHLIESSERDATEN'!CX60</f>
        <v>0</v>
      </c>
      <c r="AB68" s="74">
        <f>'IMPORT SCHLIESSERDATEN'!DC60</f>
        <v>0</v>
      </c>
      <c r="AC68" s="74">
        <f>'IMPORT SCHLIESSERDATEN'!DE60</f>
        <v>0</v>
      </c>
      <c r="AD68" s="74">
        <f>'IMPORT SCHLIESSERDATEN'!DJ60</f>
        <v>0</v>
      </c>
      <c r="AE68" s="74">
        <f>'IMPORT SCHLIESSERDATEN'!DL60</f>
        <v>0</v>
      </c>
      <c r="AF68" s="74">
        <f>'IMPORT SCHLIESSERDATEN'!DQ60</f>
        <v>0</v>
      </c>
      <c r="AG68" s="74">
        <f>IF('IMPORT SCHLIESSERDATEN'!DS60="V",9999,'IMPORT SCHLIESSERDATEN'!DS60)</f>
        <v>0</v>
      </c>
      <c r="AH68" s="74">
        <f>IF('IMPORT SCHLIESSERDATEN'!BZ60="V",9999,IF('IMPORT SCHLIESSERDATEN'!CD60="_",-1,'IMPORT SCHLIESSERDATEN'!BZ60))</f>
        <v>9999</v>
      </c>
      <c r="AI68" s="74">
        <f>IF('IMPORT SCHLIESSERDATEN'!CA60="V",9999,IF('IMPORT SCHLIESSERDATEN'!CD60="_",-1,'IMPORT SCHLIESSERDATEN'!CA60))</f>
        <v>30</v>
      </c>
      <c r="AJ68" s="74">
        <f>IF('IMPORT SCHLIESSERDATEN'!CB60="V",9999,IF('IMPORT SCHLIESSERDATEN'!CD60="_",-1,'IMPORT SCHLIESSERDATEN'!CB60))</f>
        <v>55</v>
      </c>
      <c r="AK68" s="74">
        <f>IF('IMPORT SCHLIESSERDATEN'!CC60="V",9999,IF('IMPORT SCHLIESSERDATEN'!CC60="_",-1,'IMPORT SCHLIESSERDATEN'!CC60))</f>
        <v>28</v>
      </c>
      <c r="AL68" s="74">
        <f>IF('IMPORT SCHLIESSERDATEN'!CD60="_",-1,'IMPORT SCHLIESSERDATEN'!CD60)</f>
        <v>375</v>
      </c>
      <c r="AM68" s="74">
        <f>'IMPORT SCHLIESSERDATEN'!CH60</f>
        <v>95</v>
      </c>
      <c r="AN68" s="74">
        <f>IF('IMPORT SCHLIESSERDATEN'!CE60="V",9999,'IMPORT SCHLIESSERDATEN'!CE60)</f>
        <v>34</v>
      </c>
      <c r="AO68" s="74">
        <f>IF('IMPORT SCHLIESSERDATEN'!CK60="_",-1,'IMPORT SCHLIESSERDATEN'!CK60)</f>
        <v>164</v>
      </c>
      <c r="AP68" s="74">
        <f>IF('IMPORT SCHLIESSERDATEN'!$U60="",0,1)</f>
        <v>1</v>
      </c>
      <c r="AQ68" s="74">
        <f>IF('IMPORT SCHLIESSERDATEN'!$V60="",0,1)</f>
        <v>0</v>
      </c>
      <c r="AR68" s="74">
        <f>IF('IMPORT SCHLIESSERDATEN'!$W60="",0,1)</f>
        <v>1</v>
      </c>
      <c r="AS68" s="74">
        <f>IF('IMPORT SCHLIESSERDATEN'!$AA60="",0,1)</f>
        <v>1</v>
      </c>
      <c r="AT68" s="74">
        <f>IF('IMPORT SCHLIESSERDATEN'!$AD60="",0,1) + IF('IMPORT SCHLIESSERDATEN'!$AE60="",0,2)</f>
        <v>1</v>
      </c>
      <c r="AU68" s="74" t="str">
        <f>IF('IMPORT SCHLIESSERDATEN'!$X60="",IF('IMPORT SCHLIESSERDATEN'!$Y60="","","F"),"V")</f>
        <v>V</v>
      </c>
      <c r="AV68" s="74" t="str">
        <f>IF('IMPORT SCHLIESSERDATEN'!$AB60&lt;&gt;"","M",IF('IMPORT SCHLIESSERDATEN'!$AD60&lt;&gt;"",IF(ISERR(SEARCH("UVIBIS",'IMPORT SCHLIESSERDATEN'!$B60)),"R","B"),IF(OR('IMPORT SCHLIESSERDATEN'!$AC60&lt;&gt;"",'IMPORT SCHLIESSERDATEN'!$AE60&lt;&gt;""),"E","")))</f>
        <v>R</v>
      </c>
      <c r="AW68" s="82"/>
      <c r="AX68" s="67"/>
    </row>
    <row r="69" spans="1:50" x14ac:dyDescent="0.25">
      <c r="A69" s="67">
        <f>IFERROR(IF(C69&lt;&gt;"",MAX($A$2:$A68)+1,""),"")</f>
        <v>57</v>
      </c>
      <c r="B69" s="223">
        <f t="shared" si="1"/>
        <v>57</v>
      </c>
      <c r="C69" s="216" t="str">
        <f>IF(J69=1,SUBSTITUTE('IMPORT SCHLIESSERDATEN'!$B61," Gangfl.",""),IF(J69=2,SUBSTITUTE('IMPORT SCHLIESSERDATEN'!$B61," Standfl.",""),'IMPORT SCHLIESSERDATEN'!$B61))</f>
        <v>TS 93 GSR-EMR 2 EN 5-7</v>
      </c>
      <c r="D69" s="216" t="str">
        <f>IF('IMPORT SCHLIESSERDATEN'!$AF61&lt;&gt;"",IF(COUNTA('IMPORT SCHLIESSERDATEN'!$AN61:$AU61)&gt;0,"X","G"),IF('IMPORT SCHLIESSERDATEN'!$AG61&lt;&gt;"","S",IF('IMPORT SCHLIESSERDATEN'!$AH61&lt;&gt;"","I",IF('IMPORT SCHLIESSERDATEN'!$AI61&lt;&gt;"","B",IF('IMPORT SCHLIESSERDATEN'!$AJ61&lt;&gt;"","D","")))))</f>
        <v>G</v>
      </c>
      <c r="E69" s="248" t="str">
        <f>'IMPORT SCHLIESSERDATEN'!AK61 &amp; IF('IMPORT SCHLIESSERDATEN'!AL61="",""," "&amp; 'IMPORT SCHLIESSERDATEN'!AL61)</f>
        <v>93 B</v>
      </c>
      <c r="F69" s="74">
        <f>IFERROR(IF(D69="X",2^(MATCH("",'IMPORT SCHLIESSERDATEN'!$AN61:$AU61,-1)-1),IF(AV69="F",2^(MATCH("",'IMPORT SCHLIESSERDATEN'!$BH61:$BK61,-1)-1),2^(MATCH("",'IMPORT SCHLIESSERDATEN'!$AV61:$BG61,-1)-1))),0)</f>
        <v>2048</v>
      </c>
      <c r="G69" s="74">
        <f>IF(AND('IMPORT SCHLIESSERDATEN'!$O61='IMPORT SCHLIESSERDATEN'!$R61,'IMPORT SCHLIESSERDATEN'!$O61&lt;&gt;"",'IMPORT SCHLIESSERDATEN'!$R61&lt;&gt;""),1,0)  +  IF(AND('IMPORT SCHLIESSERDATEN'!$P61='IMPORT SCHLIESSERDATEN'!$S61,'IMPORT SCHLIESSERDATEN'!$P61&lt;&gt;"",'IMPORT SCHLIESSERDATEN'!$S61&lt;&gt;""),2,0)   +  IF(AND('IMPORT SCHLIESSERDATEN'!$O61='IMPORT SCHLIESSERDATEN'!$S61,'IMPORT SCHLIESSERDATEN'!$O61&lt;&gt;"",'IMPORT SCHLIESSERDATEN'!$S61&lt;&gt;""),4,0)   +  IF(AND('IMPORT SCHLIESSERDATEN'!$P61='IMPORT SCHLIESSERDATEN'!$R61,'IMPORT SCHLIESSERDATEN'!$P61&lt;&gt;"",'IMPORT SCHLIESSERDATEN'!$R61&lt;&gt;""),8,0)   +  IF('IMPORT SCHLIESSERDATEN'!$Q61&lt;&gt;"",IF('IMPORT SCHLIESSERDATEN'!$R61&lt;&gt;"",32,0) + IF('IMPORT SCHLIESSERDATEN'!$S61&lt;&gt;"",64,0),0)  +  IF('IMPORT SCHLIESSERDATEN'!$T61&lt;&gt;"",IF('IMPORT SCHLIESSERDATEN'!$Q61&lt;&gt;"",128+256,128),0)</f>
        <v>1</v>
      </c>
      <c r="H69" s="74">
        <f>IF('IMPORT SCHLIESSERDATEN'!$H61="",0,1) + IF('IMPORT SCHLIESSERDATEN'!$I61="",0,2) + IF('IMPORT SCHLIESSERDATEN'!$J61="",0,4) + IF('IMPORT SCHLIESSERDATEN'!$K61="",0,8) + IF('IMPORT SCHLIESSERDATEN'!$L61="",0,16) + IF('IMPORT SCHLIESSERDATEN'!$M61="",0,32) + IF('IMPORT SCHLIESSERDATEN'!$N61="",0,64)</f>
        <v>112</v>
      </c>
      <c r="I69" s="74">
        <f>IF('IMPORT SCHLIESSERDATEN'!$D61="",0,1) + IF('IMPORT SCHLIESSERDATEN'!$E61="",0,2) + IF('IMPORT SCHLIESSERDATEN'!$E61="S",4,0)</f>
        <v>2</v>
      </c>
      <c r="J69" s="74">
        <f>IF(ISERR(FIND(" Gangfl.",'IMPORT SCHLIESSERDATEN'!$B61)),IF(ISERR(FIND(" Standfl.",'IMPORT SCHLIESSERDATEN'!$B61)),0,2),1)</f>
        <v>0</v>
      </c>
      <c r="K69" s="74">
        <f>'IMPORT SCHLIESSERDATEN'!CL61</f>
        <v>80</v>
      </c>
      <c r="L69" s="74">
        <f>'IMPORT SCHLIESSERDATEN'!CN61</f>
        <v>4</v>
      </c>
      <c r="M69" s="74">
        <f>IF('IMPORT SCHLIESSERDATEN'!CS61="wie TS",-1,'IMPORT SCHLIESSERDATEN'!CS61)</f>
        <v>0</v>
      </c>
      <c r="N69" s="74">
        <f>IF(M69&lt;0,-1,'IMPORT SCHLIESSERDATEN'!CU61)</f>
        <v>0</v>
      </c>
      <c r="O69" s="74">
        <f>IF('IMPORT SCHLIESSERDATEN'!CZ61="wie TS",-1,'IMPORT SCHLIESSERDATEN'!CZ61)</f>
        <v>0</v>
      </c>
      <c r="P69" s="74">
        <f>IF(O69&lt;0,-1,'IMPORT SCHLIESSERDATEN'!DB61)</f>
        <v>0</v>
      </c>
      <c r="Q69" s="74">
        <f>'IMPORT SCHLIESSERDATEN'!DG61</f>
        <v>0</v>
      </c>
      <c r="R69" s="74">
        <f>'IMPORT SCHLIESSERDATEN'!DI61</f>
        <v>0</v>
      </c>
      <c r="S69" s="74">
        <f>'IMPORT SCHLIESSERDATEN'!DN61</f>
        <v>0</v>
      </c>
      <c r="T69" s="74">
        <f>IF('IMPORT SCHLIESSERDATEN'!DP61="V",9999,'IMPORT SCHLIESSERDATEN'!DP61)</f>
        <v>0</v>
      </c>
      <c r="U69" s="74">
        <f>'IMPORT SCHLIESSERDATEN'!BW61</f>
        <v>285</v>
      </c>
      <c r="V69" s="74">
        <f>'IMPORT SCHLIESSERDATEN'!BX61</f>
        <v>62</v>
      </c>
      <c r="W69" s="74">
        <f>'IMPORT SCHLIESSERDATEN'!BY61</f>
        <v>71</v>
      </c>
      <c r="X69" s="74">
        <f>'IMPORT SCHLIESSERDATEN'!CO61</f>
        <v>84</v>
      </c>
      <c r="Y69" s="74">
        <f>'IMPORT SCHLIESSERDATEN'!CQ61</f>
        <v>13</v>
      </c>
      <c r="Z69" s="74">
        <f>'IMPORT SCHLIESSERDATEN'!CV61</f>
        <v>0</v>
      </c>
      <c r="AA69" s="74">
        <f>'IMPORT SCHLIESSERDATEN'!CX61</f>
        <v>0</v>
      </c>
      <c r="AB69" s="74">
        <f>'IMPORT SCHLIESSERDATEN'!DC61</f>
        <v>0</v>
      </c>
      <c r="AC69" s="74">
        <f>'IMPORT SCHLIESSERDATEN'!DE61</f>
        <v>0</v>
      </c>
      <c r="AD69" s="74">
        <f>'IMPORT SCHLIESSERDATEN'!DJ61</f>
        <v>0</v>
      </c>
      <c r="AE69" s="74">
        <f>'IMPORT SCHLIESSERDATEN'!DL61</f>
        <v>0</v>
      </c>
      <c r="AF69" s="74">
        <f>'IMPORT SCHLIESSERDATEN'!DQ61</f>
        <v>0</v>
      </c>
      <c r="AG69" s="74">
        <f>IF('IMPORT SCHLIESSERDATEN'!DS61="V",9999,'IMPORT SCHLIESSERDATEN'!DS61)</f>
        <v>0</v>
      </c>
      <c r="AH69" s="74">
        <f>IF('IMPORT SCHLIESSERDATEN'!BZ61="V",9999,IF('IMPORT SCHLIESSERDATEN'!CD61="_",-1,'IMPORT SCHLIESSERDATEN'!BZ61))</f>
        <v>9999</v>
      </c>
      <c r="AI69" s="74">
        <f>IF('IMPORT SCHLIESSERDATEN'!CA61="V",9999,IF('IMPORT SCHLIESSERDATEN'!CD61="_",-1,'IMPORT SCHLIESSERDATEN'!CA61))</f>
        <v>30</v>
      </c>
      <c r="AJ69" s="74">
        <f>IF('IMPORT SCHLIESSERDATEN'!CB61="V",9999,IF('IMPORT SCHLIESSERDATEN'!CD61="_",-1,'IMPORT SCHLIESSERDATEN'!CB61))</f>
        <v>55</v>
      </c>
      <c r="AK69" s="74">
        <f>IF('IMPORT SCHLIESSERDATEN'!CC61="V",9999,IF('IMPORT SCHLIESSERDATEN'!CC61="_",-1,'IMPORT SCHLIESSERDATEN'!CC61))</f>
        <v>28</v>
      </c>
      <c r="AL69" s="74">
        <f>IF('IMPORT SCHLIESSERDATEN'!CD61="_",-1,'IMPORT SCHLIESSERDATEN'!CD61)</f>
        <v>375</v>
      </c>
      <c r="AM69" s="74">
        <f>'IMPORT SCHLIESSERDATEN'!CH61</f>
        <v>95</v>
      </c>
      <c r="AN69" s="74">
        <f>IF('IMPORT SCHLIESSERDATEN'!CE61="V",9999,'IMPORT SCHLIESSERDATEN'!CE61)</f>
        <v>34</v>
      </c>
      <c r="AO69" s="74">
        <f>IF('IMPORT SCHLIESSERDATEN'!CK61="_",-1,'IMPORT SCHLIESSERDATEN'!CK61)</f>
        <v>164</v>
      </c>
      <c r="AP69" s="74">
        <f>IF('IMPORT SCHLIESSERDATEN'!$U61="",0,1)</f>
        <v>1</v>
      </c>
      <c r="AQ69" s="74">
        <f>IF('IMPORT SCHLIESSERDATEN'!$V61="",0,1)</f>
        <v>0</v>
      </c>
      <c r="AR69" s="74">
        <f>IF('IMPORT SCHLIESSERDATEN'!$W61="",0,1)</f>
        <v>1</v>
      </c>
      <c r="AS69" s="74">
        <f>IF('IMPORT SCHLIESSERDATEN'!$AA61="",0,1)</f>
        <v>1</v>
      </c>
      <c r="AT69" s="74">
        <f>IF('IMPORT SCHLIESSERDATEN'!$AD61="",0,1) + IF('IMPORT SCHLIESSERDATEN'!$AE61="",0,2)</f>
        <v>1</v>
      </c>
      <c r="AU69" s="74" t="str">
        <f>IF('IMPORT SCHLIESSERDATEN'!$X61="",IF('IMPORT SCHLIESSERDATEN'!$Y61="","","F"),"V")</f>
        <v>V</v>
      </c>
      <c r="AV69" s="74" t="str">
        <f>IF('IMPORT SCHLIESSERDATEN'!$AB61&lt;&gt;"","M",IF('IMPORT SCHLIESSERDATEN'!$AD61&lt;&gt;"",IF(ISERR(SEARCH("UVIBIS",'IMPORT SCHLIESSERDATEN'!$B61)),"R","B"),IF(OR('IMPORT SCHLIESSERDATEN'!$AC61&lt;&gt;"",'IMPORT SCHLIESSERDATEN'!$AE61&lt;&gt;""),"E","")))</f>
        <v>R</v>
      </c>
      <c r="AW69" s="82"/>
      <c r="AX69" s="67"/>
    </row>
    <row r="70" spans="1:50" x14ac:dyDescent="0.25">
      <c r="A70" s="67">
        <f>IFERROR(IF(C70&lt;&gt;"",MAX($A$2:$A69)+1,""),"")</f>
        <v>58</v>
      </c>
      <c r="B70" s="223">
        <f t="shared" si="1"/>
        <v>58</v>
      </c>
      <c r="C70" s="216" t="str">
        <f>IF(J70=1,SUBSTITUTE('IMPORT SCHLIESSERDATEN'!$B62," Gangfl.",""),IF(J70=2,SUBSTITUTE('IMPORT SCHLIESSERDATEN'!$B62," Standfl.",""),'IMPORT SCHLIESSERDATEN'!$B62))</f>
        <v>TS 93 G EN 5-7</v>
      </c>
      <c r="D70" s="216" t="str">
        <f>IF('IMPORT SCHLIESSERDATEN'!$AF62&lt;&gt;"",IF(COUNTA('IMPORT SCHLIESSERDATEN'!$AN62:$AU62)&gt;0,"X","G"),IF('IMPORT SCHLIESSERDATEN'!$AG62&lt;&gt;"","S",IF('IMPORT SCHLIESSERDATEN'!$AH62&lt;&gt;"","I",IF('IMPORT SCHLIESSERDATEN'!$AI62&lt;&gt;"","B",IF('IMPORT SCHLIESSERDATEN'!$AJ62&lt;&gt;"","D","")))))</f>
        <v>G</v>
      </c>
      <c r="E70" s="248" t="str">
        <f>'IMPORT SCHLIESSERDATEN'!AK62 &amp; IF('IMPORT SCHLIESSERDATEN'!AL62="",""," "&amp; 'IMPORT SCHLIESSERDATEN'!AL62)</f>
        <v>93 G</v>
      </c>
      <c r="F70" s="74">
        <f>IFERROR(IF(D70="X",2^(MATCH("",'IMPORT SCHLIESSERDATEN'!$AN62:$AU62,-1)-1),IF(AV70="F",2^(MATCH("",'IMPORT SCHLIESSERDATEN'!$BH62:$BK62,-1)-1),2^(MATCH("",'IMPORT SCHLIESSERDATEN'!$AV62:$BG62,-1)-1))),0)</f>
        <v>1</v>
      </c>
      <c r="G70" s="74">
        <f>IF(AND('IMPORT SCHLIESSERDATEN'!$O62='IMPORT SCHLIESSERDATEN'!$R62,'IMPORT SCHLIESSERDATEN'!$O62&lt;&gt;"",'IMPORT SCHLIESSERDATEN'!$R62&lt;&gt;""),1,0)  +  IF(AND('IMPORT SCHLIESSERDATEN'!$P62='IMPORT SCHLIESSERDATEN'!$S62,'IMPORT SCHLIESSERDATEN'!$P62&lt;&gt;"",'IMPORT SCHLIESSERDATEN'!$S62&lt;&gt;""),2,0)   +  IF(AND('IMPORT SCHLIESSERDATEN'!$O62='IMPORT SCHLIESSERDATEN'!$S62,'IMPORT SCHLIESSERDATEN'!$O62&lt;&gt;"",'IMPORT SCHLIESSERDATEN'!$S62&lt;&gt;""),4,0)   +  IF(AND('IMPORT SCHLIESSERDATEN'!$P62='IMPORT SCHLIESSERDATEN'!$R62,'IMPORT SCHLIESSERDATEN'!$P62&lt;&gt;"",'IMPORT SCHLIESSERDATEN'!$R62&lt;&gt;""),8,0)   +  IF('IMPORT SCHLIESSERDATEN'!$Q62&lt;&gt;"",IF('IMPORT SCHLIESSERDATEN'!$R62&lt;&gt;"",32,0) + IF('IMPORT SCHLIESSERDATEN'!$S62&lt;&gt;"",64,0),0)  +  IF('IMPORT SCHLIESSERDATEN'!$T62&lt;&gt;"",IF('IMPORT SCHLIESSERDATEN'!$Q62&lt;&gt;"",128+256,128),0)</f>
        <v>12</v>
      </c>
      <c r="H70" s="74">
        <f>IF('IMPORT SCHLIESSERDATEN'!$H62="",0,1) + IF('IMPORT SCHLIESSERDATEN'!$I62="",0,2) + IF('IMPORT SCHLIESSERDATEN'!$J62="",0,4) + IF('IMPORT SCHLIESSERDATEN'!$K62="",0,8) + IF('IMPORT SCHLIESSERDATEN'!$L62="",0,16) + IF('IMPORT SCHLIESSERDATEN'!$M62="",0,32) + IF('IMPORT SCHLIESSERDATEN'!$N62="",0,64)</f>
        <v>112</v>
      </c>
      <c r="I70" s="74">
        <f>IF('IMPORT SCHLIESSERDATEN'!$D62="",0,1) + IF('IMPORT SCHLIESSERDATEN'!$E62="",0,2) + IF('IMPORT SCHLIESSERDATEN'!$E62="S",4,0)</f>
        <v>1</v>
      </c>
      <c r="J70" s="74">
        <f>IF(ISERR(FIND(" Gangfl.",'IMPORT SCHLIESSERDATEN'!$B62)),IF(ISERR(FIND(" Standfl.",'IMPORT SCHLIESSERDATEN'!$B62)),0,2),1)</f>
        <v>0</v>
      </c>
      <c r="K70" s="74">
        <f>'IMPORT SCHLIESSERDATEN'!CL62</f>
        <v>0</v>
      </c>
      <c r="L70" s="74">
        <f>'IMPORT SCHLIESSERDATEN'!CN62</f>
        <v>0</v>
      </c>
      <c r="M70" s="74">
        <f>IF('IMPORT SCHLIESSERDATEN'!CS62="wie TS",-1,'IMPORT SCHLIESSERDATEN'!CS62)</f>
        <v>0</v>
      </c>
      <c r="N70" s="74">
        <f>IF(M70&lt;0,-1,'IMPORT SCHLIESSERDATEN'!CU62)</f>
        <v>0</v>
      </c>
      <c r="O70" s="74">
        <f>IF('IMPORT SCHLIESSERDATEN'!CZ62="wie TS",-1,'IMPORT SCHLIESSERDATEN'!CZ62)</f>
        <v>80</v>
      </c>
      <c r="P70" s="74">
        <f>IF(O70&lt;0,-1,'IMPORT SCHLIESSERDATEN'!DB62)</f>
        <v>17</v>
      </c>
      <c r="Q70" s="74">
        <f>'IMPORT SCHLIESSERDATEN'!DG62</f>
        <v>45</v>
      </c>
      <c r="R70" s="74">
        <f>'IMPORT SCHLIESSERDATEN'!DI62</f>
        <v>17</v>
      </c>
      <c r="S70" s="74">
        <f>'IMPORT SCHLIESSERDATEN'!DN62</f>
        <v>45</v>
      </c>
      <c r="T70" s="74">
        <f>IF('IMPORT SCHLIESSERDATEN'!DP62="V",9999,'IMPORT SCHLIESSERDATEN'!DP62)</f>
        <v>9999</v>
      </c>
      <c r="U70" s="74">
        <f>'IMPORT SCHLIESSERDATEN'!BW62</f>
        <v>285</v>
      </c>
      <c r="V70" s="74">
        <f>'IMPORT SCHLIESSERDATEN'!BX62</f>
        <v>62</v>
      </c>
      <c r="W70" s="74">
        <f>'IMPORT SCHLIESSERDATEN'!BY62</f>
        <v>71</v>
      </c>
      <c r="X70" s="74">
        <f>'IMPORT SCHLIESSERDATEN'!CO62</f>
        <v>0</v>
      </c>
      <c r="Y70" s="74">
        <f>'IMPORT SCHLIESSERDATEN'!CQ62</f>
        <v>0</v>
      </c>
      <c r="Z70" s="74">
        <f>'IMPORT SCHLIESSERDATEN'!CV62</f>
        <v>0</v>
      </c>
      <c r="AA70" s="74">
        <f>'IMPORT SCHLIESSERDATEN'!CX62</f>
        <v>0</v>
      </c>
      <c r="AB70" s="74">
        <f>'IMPORT SCHLIESSERDATEN'!DC62</f>
        <v>143</v>
      </c>
      <c r="AC70" s="74">
        <f>'IMPORT SCHLIESSERDATEN'!DE62</f>
        <v>3</v>
      </c>
      <c r="AD70" s="74">
        <f>'IMPORT SCHLIESSERDATEN'!DJ62</f>
        <v>143</v>
      </c>
      <c r="AE70" s="74">
        <f>'IMPORT SCHLIESSERDATEN'!DL62</f>
        <v>3</v>
      </c>
      <c r="AF70" s="74">
        <f>'IMPORT SCHLIESSERDATEN'!DQ62</f>
        <v>143</v>
      </c>
      <c r="AG70" s="74">
        <f>IF('IMPORT SCHLIESSERDATEN'!DS62="V",9999,'IMPORT SCHLIESSERDATEN'!DS62)</f>
        <v>9999</v>
      </c>
      <c r="AH70" s="74">
        <f>IF('IMPORT SCHLIESSERDATEN'!BZ62="V",9999,IF('IMPORT SCHLIESSERDATEN'!CD62="_",-1,'IMPORT SCHLIESSERDATEN'!BZ62))</f>
        <v>442</v>
      </c>
      <c r="AI70" s="74">
        <f>IF('IMPORT SCHLIESSERDATEN'!CA62="V",9999,IF('IMPORT SCHLIESSERDATEN'!CD62="_",-1,'IMPORT SCHLIESSERDATEN'!CA62))</f>
        <v>23</v>
      </c>
      <c r="AJ70" s="74">
        <f>IF('IMPORT SCHLIESSERDATEN'!CB62="V",9999,IF('IMPORT SCHLIESSERDATEN'!CD62="_",-1,'IMPORT SCHLIESSERDATEN'!CB62))</f>
        <v>31</v>
      </c>
      <c r="AK70" s="74">
        <f>IF('IMPORT SCHLIESSERDATEN'!CC62="V",9999,IF('IMPORT SCHLIESSERDATEN'!CC62="_",-1,'IMPORT SCHLIESSERDATEN'!CC62))</f>
        <v>16</v>
      </c>
      <c r="AL70" s="74">
        <f>IF('IMPORT SCHLIESSERDATEN'!CD62="_",-1,'IMPORT SCHLIESSERDATEN'!CD62)</f>
        <v>375</v>
      </c>
      <c r="AM70" s="74">
        <f>'IMPORT SCHLIESSERDATEN'!CH62</f>
        <v>95</v>
      </c>
      <c r="AN70" s="74">
        <f>IF('IMPORT SCHLIESSERDATEN'!CE62="V",9999,'IMPORT SCHLIESSERDATEN'!CE62)</f>
        <v>34</v>
      </c>
      <c r="AO70" s="74">
        <f>IF('IMPORT SCHLIESSERDATEN'!CK62="_",-1,'IMPORT SCHLIESSERDATEN'!CK62)</f>
        <v>46</v>
      </c>
      <c r="AP70" s="74">
        <f>IF('IMPORT SCHLIESSERDATEN'!$U62="",0,1)</f>
        <v>1</v>
      </c>
      <c r="AQ70" s="74">
        <f>IF('IMPORT SCHLIESSERDATEN'!$V62="",0,1)</f>
        <v>0</v>
      </c>
      <c r="AR70" s="74">
        <f>IF('IMPORT SCHLIESSERDATEN'!$W62="",0,1)</f>
        <v>0</v>
      </c>
      <c r="AS70" s="74">
        <f>IF('IMPORT SCHLIESSERDATEN'!$AA62="",0,1)</f>
        <v>1</v>
      </c>
      <c r="AT70" s="74">
        <f>IF('IMPORT SCHLIESSERDATEN'!$AD62="",0,1) + IF('IMPORT SCHLIESSERDATEN'!$AE62="",0,2)</f>
        <v>0</v>
      </c>
      <c r="AU70" s="74" t="str">
        <f>IF('IMPORT SCHLIESSERDATEN'!$X62="",IF('IMPORT SCHLIESSERDATEN'!$Y62="","","F"),"V")</f>
        <v>V</v>
      </c>
      <c r="AV70" s="74" t="str">
        <f>IF('IMPORT SCHLIESSERDATEN'!$AB62&lt;&gt;"","M",IF('IMPORT SCHLIESSERDATEN'!$AD62&lt;&gt;"",IF(ISERR(SEARCH("UVIBIS",'IMPORT SCHLIESSERDATEN'!$B62)),"R","B"),IF(OR('IMPORT SCHLIESSERDATEN'!$AC62&lt;&gt;"",'IMPORT SCHLIESSERDATEN'!$AE62&lt;&gt;""),"E","")))</f>
        <v/>
      </c>
      <c r="AW70" s="82"/>
      <c r="AX70" s="67"/>
    </row>
    <row r="71" spans="1:50" x14ac:dyDescent="0.25">
      <c r="A71" s="67">
        <f>IFERROR(IF(C71&lt;&gt;"",MAX($A$2:$A70)+1,""),"")</f>
        <v>59</v>
      </c>
      <c r="B71" s="223">
        <f t="shared" si="1"/>
        <v>59</v>
      </c>
      <c r="C71" s="216" t="str">
        <f>IF(J71=1,SUBSTITUTE('IMPORT SCHLIESSERDATEN'!$B63," Gangfl.",""),IF(J71=2,SUBSTITUTE('IMPORT SCHLIESSERDATEN'!$B63," Standfl.",""),'IMPORT SCHLIESSERDATEN'!$B63))</f>
        <v>TS 93 G RF EN 5-7</v>
      </c>
      <c r="D71" s="216" t="str">
        <f>IF('IMPORT SCHLIESSERDATEN'!$AF63&lt;&gt;"",IF(COUNTA('IMPORT SCHLIESSERDATEN'!$AN63:$AU63)&gt;0,"X","G"),IF('IMPORT SCHLIESSERDATEN'!$AG63&lt;&gt;"","S",IF('IMPORT SCHLIESSERDATEN'!$AH63&lt;&gt;"","I",IF('IMPORT SCHLIESSERDATEN'!$AI63&lt;&gt;"","B",IF('IMPORT SCHLIESSERDATEN'!$AJ63&lt;&gt;"","D","")))))</f>
        <v>G</v>
      </c>
      <c r="E71" s="248" t="str">
        <f>'IMPORT SCHLIESSERDATEN'!AK63 &amp; IF('IMPORT SCHLIESSERDATEN'!AL63="",""," "&amp; 'IMPORT SCHLIESSERDATEN'!AL63)</f>
        <v>93 G</v>
      </c>
      <c r="F71" s="74">
        <f>IFERROR(IF(D71="X",2^(MATCH("",'IMPORT SCHLIESSERDATEN'!$AN63:$AU63,-1)-1),IF(AV71="F",2^(MATCH("",'IMPORT SCHLIESSERDATEN'!$BH63:$BK63,-1)-1),2^(MATCH("",'IMPORT SCHLIESSERDATEN'!$AV63:$BG63,-1)-1))),0)</f>
        <v>2</v>
      </c>
      <c r="G71" s="74">
        <f>IF(AND('IMPORT SCHLIESSERDATEN'!$O63='IMPORT SCHLIESSERDATEN'!$R63,'IMPORT SCHLIESSERDATEN'!$O63&lt;&gt;"",'IMPORT SCHLIESSERDATEN'!$R63&lt;&gt;""),1,0)  +  IF(AND('IMPORT SCHLIESSERDATEN'!$P63='IMPORT SCHLIESSERDATEN'!$S63,'IMPORT SCHLIESSERDATEN'!$P63&lt;&gt;"",'IMPORT SCHLIESSERDATEN'!$S63&lt;&gt;""),2,0)   +  IF(AND('IMPORT SCHLIESSERDATEN'!$O63='IMPORT SCHLIESSERDATEN'!$S63,'IMPORT SCHLIESSERDATEN'!$O63&lt;&gt;"",'IMPORT SCHLIESSERDATEN'!$S63&lt;&gt;""),4,0)   +  IF(AND('IMPORT SCHLIESSERDATEN'!$P63='IMPORT SCHLIESSERDATEN'!$R63,'IMPORT SCHLIESSERDATEN'!$P63&lt;&gt;"",'IMPORT SCHLIESSERDATEN'!$R63&lt;&gt;""),8,0)   +  IF('IMPORT SCHLIESSERDATEN'!$Q63&lt;&gt;"",IF('IMPORT SCHLIESSERDATEN'!$R63&lt;&gt;"",32,0) + IF('IMPORT SCHLIESSERDATEN'!$S63&lt;&gt;"",64,0),0)  +  IF('IMPORT SCHLIESSERDATEN'!$T63&lt;&gt;"",IF('IMPORT SCHLIESSERDATEN'!$Q63&lt;&gt;"",128+256,128),0)</f>
        <v>12</v>
      </c>
      <c r="H71" s="74">
        <f>IF('IMPORT SCHLIESSERDATEN'!$H63="",0,1) + IF('IMPORT SCHLIESSERDATEN'!$I63="",0,2) + IF('IMPORT SCHLIESSERDATEN'!$J63="",0,4) + IF('IMPORT SCHLIESSERDATEN'!$K63="",0,8) + IF('IMPORT SCHLIESSERDATEN'!$L63="",0,16) + IF('IMPORT SCHLIESSERDATEN'!$M63="",0,32) + IF('IMPORT SCHLIESSERDATEN'!$N63="",0,64)</f>
        <v>112</v>
      </c>
      <c r="I71" s="74">
        <f>IF('IMPORT SCHLIESSERDATEN'!$D63="",0,1) + IF('IMPORT SCHLIESSERDATEN'!$E63="",0,2) + IF('IMPORT SCHLIESSERDATEN'!$E63="S",4,0)</f>
        <v>1</v>
      </c>
      <c r="J71" s="74">
        <f>IF(ISERR(FIND(" Gangfl.",'IMPORT SCHLIESSERDATEN'!$B63)),IF(ISERR(FIND(" Standfl.",'IMPORT SCHLIESSERDATEN'!$B63)),0,2),1)</f>
        <v>0</v>
      </c>
      <c r="K71" s="74">
        <f>'IMPORT SCHLIESSERDATEN'!CL63</f>
        <v>0</v>
      </c>
      <c r="L71" s="74">
        <f>'IMPORT SCHLIESSERDATEN'!CN63</f>
        <v>0</v>
      </c>
      <c r="M71" s="74">
        <f>IF('IMPORT SCHLIESSERDATEN'!CS63="wie TS",-1,'IMPORT SCHLIESSERDATEN'!CS63)</f>
        <v>0</v>
      </c>
      <c r="N71" s="74">
        <f>IF(M71&lt;0,-1,'IMPORT SCHLIESSERDATEN'!CU63)</f>
        <v>0</v>
      </c>
      <c r="O71" s="74">
        <f>IF('IMPORT SCHLIESSERDATEN'!CZ63="wie TS",-1,'IMPORT SCHLIESSERDATEN'!CZ63)</f>
        <v>80</v>
      </c>
      <c r="P71" s="74">
        <f>IF(O71&lt;0,-1,'IMPORT SCHLIESSERDATEN'!DB63)</f>
        <v>17</v>
      </c>
      <c r="Q71" s="74">
        <f>'IMPORT SCHLIESSERDATEN'!DG63</f>
        <v>45</v>
      </c>
      <c r="R71" s="74">
        <f>'IMPORT SCHLIESSERDATEN'!DI63</f>
        <v>17</v>
      </c>
      <c r="S71" s="74">
        <f>'IMPORT SCHLIESSERDATEN'!DN63</f>
        <v>45</v>
      </c>
      <c r="T71" s="74">
        <f>IF('IMPORT SCHLIESSERDATEN'!DP63="V",9999,'IMPORT SCHLIESSERDATEN'!DP63)</f>
        <v>9999</v>
      </c>
      <c r="U71" s="74">
        <f>'IMPORT SCHLIESSERDATEN'!BW63</f>
        <v>285</v>
      </c>
      <c r="V71" s="74">
        <f>'IMPORT SCHLIESSERDATEN'!BX63</f>
        <v>62</v>
      </c>
      <c r="W71" s="74">
        <f>'IMPORT SCHLIESSERDATEN'!BY63</f>
        <v>71</v>
      </c>
      <c r="X71" s="74">
        <f>'IMPORT SCHLIESSERDATEN'!CO63</f>
        <v>0</v>
      </c>
      <c r="Y71" s="74">
        <f>'IMPORT SCHLIESSERDATEN'!CQ63</f>
        <v>0</v>
      </c>
      <c r="Z71" s="74">
        <f>'IMPORT SCHLIESSERDATEN'!CV63</f>
        <v>0</v>
      </c>
      <c r="AA71" s="74">
        <f>'IMPORT SCHLIESSERDATEN'!CX63</f>
        <v>0</v>
      </c>
      <c r="AB71" s="74">
        <f>'IMPORT SCHLIESSERDATEN'!DC63</f>
        <v>143</v>
      </c>
      <c r="AC71" s="74">
        <f>'IMPORT SCHLIESSERDATEN'!DE63</f>
        <v>3</v>
      </c>
      <c r="AD71" s="74">
        <f>'IMPORT SCHLIESSERDATEN'!DJ63</f>
        <v>143</v>
      </c>
      <c r="AE71" s="74">
        <f>'IMPORT SCHLIESSERDATEN'!DL63</f>
        <v>3</v>
      </c>
      <c r="AF71" s="74">
        <f>'IMPORT SCHLIESSERDATEN'!DQ63</f>
        <v>143</v>
      </c>
      <c r="AG71" s="74">
        <f>IF('IMPORT SCHLIESSERDATEN'!DS63="V",9999,'IMPORT SCHLIESSERDATEN'!DS63)</f>
        <v>9999</v>
      </c>
      <c r="AH71" s="74">
        <f>IF('IMPORT SCHLIESSERDATEN'!BZ63="V",9999,IF('IMPORT SCHLIESSERDATEN'!CD63="_",-1,'IMPORT SCHLIESSERDATEN'!BZ63))</f>
        <v>442</v>
      </c>
      <c r="AI71" s="74">
        <f>IF('IMPORT SCHLIESSERDATEN'!CA63="V",9999,IF('IMPORT SCHLIESSERDATEN'!CD63="_",-1,'IMPORT SCHLIESSERDATEN'!CA63))</f>
        <v>23</v>
      </c>
      <c r="AJ71" s="74">
        <f>IF('IMPORT SCHLIESSERDATEN'!CB63="V",9999,IF('IMPORT SCHLIESSERDATEN'!CD63="_",-1,'IMPORT SCHLIESSERDATEN'!CB63))</f>
        <v>31</v>
      </c>
      <c r="AK71" s="74">
        <f>IF('IMPORT SCHLIESSERDATEN'!CC63="V",9999,IF('IMPORT SCHLIESSERDATEN'!CC63="_",-1,'IMPORT SCHLIESSERDATEN'!CC63))</f>
        <v>16</v>
      </c>
      <c r="AL71" s="74">
        <f>IF('IMPORT SCHLIESSERDATEN'!CD63="_",-1,'IMPORT SCHLIESSERDATEN'!CD63)</f>
        <v>375</v>
      </c>
      <c r="AM71" s="74">
        <f>'IMPORT SCHLIESSERDATEN'!CH63</f>
        <v>95</v>
      </c>
      <c r="AN71" s="74">
        <f>IF('IMPORT SCHLIESSERDATEN'!CE63="V",9999,'IMPORT SCHLIESSERDATEN'!CE63)</f>
        <v>34</v>
      </c>
      <c r="AO71" s="74">
        <f>IF('IMPORT SCHLIESSERDATEN'!CK63="_",-1,'IMPORT SCHLIESSERDATEN'!CK63)</f>
        <v>60</v>
      </c>
      <c r="AP71" s="74">
        <f>IF('IMPORT SCHLIESSERDATEN'!$U63="",0,1)</f>
        <v>0</v>
      </c>
      <c r="AQ71" s="74">
        <f>IF('IMPORT SCHLIESSERDATEN'!$V63="",0,1)</f>
        <v>0</v>
      </c>
      <c r="AR71" s="74">
        <f>IF('IMPORT SCHLIESSERDATEN'!$W63="",0,1)</f>
        <v>0</v>
      </c>
      <c r="AS71" s="74">
        <f>IF('IMPORT SCHLIESSERDATEN'!$AA63="",0,1)</f>
        <v>1</v>
      </c>
      <c r="AT71" s="74">
        <f>IF('IMPORT SCHLIESSERDATEN'!$AD63="",0,1) + IF('IMPORT SCHLIESSERDATEN'!$AE63="",0,2)</f>
        <v>0</v>
      </c>
      <c r="AU71" s="74" t="str">
        <f>IF('IMPORT SCHLIESSERDATEN'!$X63="",IF('IMPORT SCHLIESSERDATEN'!$Y63="","","F"),"V")</f>
        <v>V</v>
      </c>
      <c r="AV71" s="74" t="str">
        <f>IF('IMPORT SCHLIESSERDATEN'!$AB63&lt;&gt;"","M",IF('IMPORT SCHLIESSERDATEN'!$AD63&lt;&gt;"",IF(ISERR(SEARCH("UVIBIS",'IMPORT SCHLIESSERDATEN'!$B63)),"R","B"),IF(OR('IMPORT SCHLIESSERDATEN'!$AC63&lt;&gt;"",'IMPORT SCHLIESSERDATEN'!$AE63&lt;&gt;""),"E","")))</f>
        <v>M</v>
      </c>
      <c r="AW71" s="82"/>
      <c r="AX71" s="67"/>
    </row>
    <row r="72" spans="1:50" x14ac:dyDescent="0.25">
      <c r="A72" s="67">
        <f>IFERROR(IF(C72&lt;&gt;"",MAX($A$2:$A71)+1,""),"")</f>
        <v>60</v>
      </c>
      <c r="B72" s="223">
        <f t="shared" si="1"/>
        <v>60</v>
      </c>
      <c r="C72" s="216" t="str">
        <f>IF(J72=1,SUBSTITUTE('IMPORT SCHLIESSERDATEN'!$B64," Gangfl.",""),IF(J72=2,SUBSTITUTE('IMPORT SCHLIESSERDATEN'!$B64," Standfl.",""),'IMPORT SCHLIESSERDATEN'!$B64))</f>
        <v>TS 93 G EMF EN 5-7</v>
      </c>
      <c r="D72" s="216" t="str">
        <f>IF('IMPORT SCHLIESSERDATEN'!$AF64&lt;&gt;"",IF(COUNTA('IMPORT SCHLIESSERDATEN'!$AN64:$AU64)&gt;0,"X","G"),IF('IMPORT SCHLIESSERDATEN'!$AG64&lt;&gt;"","S",IF('IMPORT SCHLIESSERDATEN'!$AH64&lt;&gt;"","I",IF('IMPORT SCHLIESSERDATEN'!$AI64&lt;&gt;"","B",IF('IMPORT SCHLIESSERDATEN'!$AJ64&lt;&gt;"","D","")))))</f>
        <v>G</v>
      </c>
      <c r="E72" s="248" t="str">
        <f>'IMPORT SCHLIESSERDATEN'!AK64 &amp; IF('IMPORT SCHLIESSERDATEN'!AL64="",""," "&amp; 'IMPORT SCHLIESSERDATEN'!AL64)</f>
        <v>93 G</v>
      </c>
      <c r="F72" s="74">
        <f>IFERROR(IF(D72="X",2^(MATCH("",'IMPORT SCHLIESSERDATEN'!$AN64:$AU64,-1)-1),IF(AV72="F",2^(MATCH("",'IMPORT SCHLIESSERDATEN'!$BH64:$BK64,-1)-1),2^(MATCH("",'IMPORT SCHLIESSERDATEN'!$AV64:$BG64,-1)-1))),0)</f>
        <v>4</v>
      </c>
      <c r="G72" s="74">
        <f>IF(AND('IMPORT SCHLIESSERDATEN'!$O64='IMPORT SCHLIESSERDATEN'!$R64,'IMPORT SCHLIESSERDATEN'!$O64&lt;&gt;"",'IMPORT SCHLIESSERDATEN'!$R64&lt;&gt;""),1,0)  +  IF(AND('IMPORT SCHLIESSERDATEN'!$P64='IMPORT SCHLIESSERDATEN'!$S64,'IMPORT SCHLIESSERDATEN'!$P64&lt;&gt;"",'IMPORT SCHLIESSERDATEN'!$S64&lt;&gt;""),2,0)   +  IF(AND('IMPORT SCHLIESSERDATEN'!$O64='IMPORT SCHLIESSERDATEN'!$S64,'IMPORT SCHLIESSERDATEN'!$O64&lt;&gt;"",'IMPORT SCHLIESSERDATEN'!$S64&lt;&gt;""),4,0)   +  IF(AND('IMPORT SCHLIESSERDATEN'!$P64='IMPORT SCHLIESSERDATEN'!$R64,'IMPORT SCHLIESSERDATEN'!$P64&lt;&gt;"",'IMPORT SCHLIESSERDATEN'!$R64&lt;&gt;""),8,0)   +  IF('IMPORT SCHLIESSERDATEN'!$Q64&lt;&gt;"",IF('IMPORT SCHLIESSERDATEN'!$R64&lt;&gt;"",32,0) + IF('IMPORT SCHLIESSERDATEN'!$S64&lt;&gt;"",64,0),0)  +  IF('IMPORT SCHLIESSERDATEN'!$T64&lt;&gt;"",IF('IMPORT SCHLIESSERDATEN'!$Q64&lt;&gt;"",128+256,128),0)</f>
        <v>8</v>
      </c>
      <c r="H72" s="74">
        <f>IF('IMPORT SCHLIESSERDATEN'!$H64="",0,1) + IF('IMPORT SCHLIESSERDATEN'!$I64="",0,2) + IF('IMPORT SCHLIESSERDATEN'!$J64="",0,4) + IF('IMPORT SCHLIESSERDATEN'!$K64="",0,8) + IF('IMPORT SCHLIESSERDATEN'!$L64="",0,16) + IF('IMPORT SCHLIESSERDATEN'!$M64="",0,32) + IF('IMPORT SCHLIESSERDATEN'!$N64="",0,64)</f>
        <v>112</v>
      </c>
      <c r="I72" s="74">
        <f>IF('IMPORT SCHLIESSERDATEN'!$D64="",0,1) + IF('IMPORT SCHLIESSERDATEN'!$E64="",0,2) + IF('IMPORT SCHLIESSERDATEN'!$E64="S",4,0)</f>
        <v>1</v>
      </c>
      <c r="J72" s="74">
        <f>IF(ISERR(FIND(" Gangfl.",'IMPORT SCHLIESSERDATEN'!$B64)),IF(ISERR(FIND(" Standfl.",'IMPORT SCHLIESSERDATEN'!$B64)),0,2),1)</f>
        <v>0</v>
      </c>
      <c r="K72" s="74">
        <f>'IMPORT SCHLIESSERDATEN'!CL64</f>
        <v>0</v>
      </c>
      <c r="L72" s="74">
        <f>'IMPORT SCHLIESSERDATEN'!CN64</f>
        <v>0</v>
      </c>
      <c r="M72" s="74">
        <f>IF('IMPORT SCHLIESSERDATEN'!CS64="wie TS",-1,'IMPORT SCHLIESSERDATEN'!CS64)</f>
        <v>0</v>
      </c>
      <c r="N72" s="74">
        <f>IF(M72&lt;0,-1,'IMPORT SCHLIESSERDATEN'!CU64)</f>
        <v>0</v>
      </c>
      <c r="O72" s="74">
        <f>IF('IMPORT SCHLIESSERDATEN'!CZ64="wie TS",-1,'IMPORT SCHLIESSERDATEN'!CZ64)</f>
        <v>0</v>
      </c>
      <c r="P72" s="74">
        <f>IF(O72&lt;0,-1,'IMPORT SCHLIESSERDATEN'!DB64)</f>
        <v>0</v>
      </c>
      <c r="Q72" s="74">
        <f>'IMPORT SCHLIESSERDATEN'!DG64</f>
        <v>45</v>
      </c>
      <c r="R72" s="74">
        <f>'IMPORT SCHLIESSERDATEN'!DI64</f>
        <v>17</v>
      </c>
      <c r="S72" s="74">
        <f>'IMPORT SCHLIESSERDATEN'!DN64</f>
        <v>45</v>
      </c>
      <c r="T72" s="74">
        <f>IF('IMPORT SCHLIESSERDATEN'!DP64="V",9999,'IMPORT SCHLIESSERDATEN'!DP64)</f>
        <v>9999</v>
      </c>
      <c r="U72" s="74">
        <f>'IMPORT SCHLIESSERDATEN'!BW64</f>
        <v>285</v>
      </c>
      <c r="V72" s="74">
        <f>'IMPORT SCHLIESSERDATEN'!BX64</f>
        <v>62</v>
      </c>
      <c r="W72" s="74">
        <f>'IMPORT SCHLIESSERDATEN'!BY64</f>
        <v>71</v>
      </c>
      <c r="X72" s="74">
        <f>'IMPORT SCHLIESSERDATEN'!CO64</f>
        <v>0</v>
      </c>
      <c r="Y72" s="74">
        <f>'IMPORT SCHLIESSERDATEN'!CQ64</f>
        <v>0</v>
      </c>
      <c r="Z72" s="74">
        <f>'IMPORT SCHLIESSERDATEN'!CV64</f>
        <v>0</v>
      </c>
      <c r="AA72" s="74">
        <f>'IMPORT SCHLIESSERDATEN'!CX64</f>
        <v>0</v>
      </c>
      <c r="AB72" s="74">
        <f>'IMPORT SCHLIESSERDATEN'!DC64</f>
        <v>0</v>
      </c>
      <c r="AC72" s="74">
        <f>'IMPORT SCHLIESSERDATEN'!DE64</f>
        <v>0</v>
      </c>
      <c r="AD72" s="74">
        <f>'IMPORT SCHLIESSERDATEN'!DJ64</f>
        <v>84</v>
      </c>
      <c r="AE72" s="74">
        <f>'IMPORT SCHLIESSERDATEN'!DL64</f>
        <v>0</v>
      </c>
      <c r="AF72" s="74">
        <f>'IMPORT SCHLIESSERDATEN'!DQ64</f>
        <v>84</v>
      </c>
      <c r="AG72" s="74">
        <f>IF('IMPORT SCHLIESSERDATEN'!DS64="V",9999,'IMPORT SCHLIESSERDATEN'!DS64)</f>
        <v>9999</v>
      </c>
      <c r="AH72" s="74">
        <f>IF('IMPORT SCHLIESSERDATEN'!BZ64="V",9999,IF('IMPORT SCHLIESSERDATEN'!CD64="_",-1,'IMPORT SCHLIESSERDATEN'!BZ64))</f>
        <v>518</v>
      </c>
      <c r="AI72" s="74">
        <f>IF('IMPORT SCHLIESSERDATEN'!CA64="V",9999,IF('IMPORT SCHLIESSERDATEN'!CD64="_",-1,'IMPORT SCHLIESSERDATEN'!CA64))</f>
        <v>30</v>
      </c>
      <c r="AJ72" s="74">
        <f>IF('IMPORT SCHLIESSERDATEN'!CB64="V",9999,IF('IMPORT SCHLIESSERDATEN'!CD64="_",-1,'IMPORT SCHLIESSERDATEN'!CB64))</f>
        <v>40</v>
      </c>
      <c r="AK72" s="74">
        <f>IF('IMPORT SCHLIESSERDATEN'!CC64="V",9999,IF('IMPORT SCHLIESSERDATEN'!CC64="_",-1,'IMPORT SCHLIESSERDATEN'!CC64))</f>
        <v>20</v>
      </c>
      <c r="AL72" s="74">
        <f>IF('IMPORT SCHLIESSERDATEN'!CD64="_",-1,'IMPORT SCHLIESSERDATEN'!CD64)</f>
        <v>375</v>
      </c>
      <c r="AM72" s="74">
        <f>'IMPORT SCHLIESSERDATEN'!CH64</f>
        <v>95</v>
      </c>
      <c r="AN72" s="74">
        <f>IF('IMPORT SCHLIESSERDATEN'!CE64="V",9999,'IMPORT SCHLIESSERDATEN'!CE64)</f>
        <v>34</v>
      </c>
      <c r="AO72" s="74">
        <f>IF('IMPORT SCHLIESSERDATEN'!CK64="_",-1,'IMPORT SCHLIESSERDATEN'!CK64)</f>
        <v>160</v>
      </c>
      <c r="AP72" s="74">
        <f>IF('IMPORT SCHLIESSERDATEN'!$U64="",0,1)</f>
        <v>1</v>
      </c>
      <c r="AQ72" s="74">
        <f>IF('IMPORT SCHLIESSERDATEN'!$V64="",0,1)</f>
        <v>0</v>
      </c>
      <c r="AR72" s="74">
        <f>IF('IMPORT SCHLIESSERDATEN'!$W64="",0,1)</f>
        <v>0</v>
      </c>
      <c r="AS72" s="74">
        <f>IF('IMPORT SCHLIESSERDATEN'!$AA64="",0,1)</f>
        <v>1</v>
      </c>
      <c r="AT72" s="74">
        <f>IF('IMPORT SCHLIESSERDATEN'!$AD64="",0,1) + IF('IMPORT SCHLIESSERDATEN'!$AE64="",0,2)</f>
        <v>2</v>
      </c>
      <c r="AU72" s="74" t="str">
        <f>IF('IMPORT SCHLIESSERDATEN'!$X64="",IF('IMPORT SCHLIESSERDATEN'!$Y64="","","F"),"V")</f>
        <v>V</v>
      </c>
      <c r="AV72" s="74" t="str">
        <f>IF('IMPORT SCHLIESSERDATEN'!$AB64&lt;&gt;"","M",IF('IMPORT SCHLIESSERDATEN'!$AD64&lt;&gt;"",IF(ISERR(SEARCH("UVIBIS",'IMPORT SCHLIESSERDATEN'!$B64)),"R","B"),IF(OR('IMPORT SCHLIESSERDATEN'!$AC64&lt;&gt;"",'IMPORT SCHLIESSERDATEN'!$AE64&lt;&gt;""),"E","")))</f>
        <v>E</v>
      </c>
      <c r="AW72" s="82"/>
      <c r="AX72" s="67"/>
    </row>
    <row r="73" spans="1:50" x14ac:dyDescent="0.25">
      <c r="A73" s="67">
        <f>IFERROR(IF(C73&lt;&gt;"",MAX($A$2:$A72)+1,""),"")</f>
        <v>61</v>
      </c>
      <c r="B73" s="223">
        <f t="shared" si="1"/>
        <v>61</v>
      </c>
      <c r="C73" s="216" t="str">
        <f>IF(J73=1,SUBSTITUTE('IMPORT SCHLIESSERDATEN'!$B65," Gangfl.",""),IF(J73=2,SUBSTITUTE('IMPORT SCHLIESSERDATEN'!$B65," Standfl.",""),'IMPORT SCHLIESSERDATEN'!$B65))</f>
        <v>TS 93 G EMR EN 5-7</v>
      </c>
      <c r="D73" s="216" t="str">
        <f>IF('IMPORT SCHLIESSERDATEN'!$AF65&lt;&gt;"",IF(COUNTA('IMPORT SCHLIESSERDATEN'!$AN65:$AU65)&gt;0,"X","G"),IF('IMPORT SCHLIESSERDATEN'!$AG65&lt;&gt;"","S",IF('IMPORT SCHLIESSERDATEN'!$AH65&lt;&gt;"","I",IF('IMPORT SCHLIESSERDATEN'!$AI65&lt;&gt;"","B",IF('IMPORT SCHLIESSERDATEN'!$AJ65&lt;&gt;"","D","")))))</f>
        <v>G</v>
      </c>
      <c r="E73" s="248" t="str">
        <f>'IMPORT SCHLIESSERDATEN'!AK65 &amp; IF('IMPORT SCHLIESSERDATEN'!AL65="",""," "&amp; 'IMPORT SCHLIESSERDATEN'!AL65)</f>
        <v>93 G</v>
      </c>
      <c r="F73" s="74">
        <f>IFERROR(IF(D73="X",2^(MATCH("",'IMPORT SCHLIESSERDATEN'!$AN65:$AU65,-1)-1),IF(AV73="F",2^(MATCH("",'IMPORT SCHLIESSERDATEN'!$BH65:$BK65,-1)-1),2^(MATCH("",'IMPORT SCHLIESSERDATEN'!$AV65:$BG65,-1)-1))),0)</f>
        <v>8</v>
      </c>
      <c r="G73" s="74">
        <f>IF(AND('IMPORT SCHLIESSERDATEN'!$O65='IMPORT SCHLIESSERDATEN'!$R65,'IMPORT SCHLIESSERDATEN'!$O65&lt;&gt;"",'IMPORT SCHLIESSERDATEN'!$R65&lt;&gt;""),1,0)  +  IF(AND('IMPORT SCHLIESSERDATEN'!$P65='IMPORT SCHLIESSERDATEN'!$S65,'IMPORT SCHLIESSERDATEN'!$P65&lt;&gt;"",'IMPORT SCHLIESSERDATEN'!$S65&lt;&gt;""),2,0)   +  IF(AND('IMPORT SCHLIESSERDATEN'!$O65='IMPORT SCHLIESSERDATEN'!$S65,'IMPORT SCHLIESSERDATEN'!$O65&lt;&gt;"",'IMPORT SCHLIESSERDATEN'!$S65&lt;&gt;""),4,0)   +  IF(AND('IMPORT SCHLIESSERDATEN'!$P65='IMPORT SCHLIESSERDATEN'!$R65,'IMPORT SCHLIESSERDATEN'!$P65&lt;&gt;"",'IMPORT SCHLIESSERDATEN'!$R65&lt;&gt;""),8,0)   +  IF('IMPORT SCHLIESSERDATEN'!$Q65&lt;&gt;"",IF('IMPORT SCHLIESSERDATEN'!$R65&lt;&gt;"",32,0) + IF('IMPORT SCHLIESSERDATEN'!$S65&lt;&gt;"",64,0),0)  +  IF('IMPORT SCHLIESSERDATEN'!$T65&lt;&gt;"",IF('IMPORT SCHLIESSERDATEN'!$Q65&lt;&gt;"",128+256,128),0)</f>
        <v>8</v>
      </c>
      <c r="H73" s="74">
        <f>IF('IMPORT SCHLIESSERDATEN'!$H65="",0,1) + IF('IMPORT SCHLIESSERDATEN'!$I65="",0,2) + IF('IMPORT SCHLIESSERDATEN'!$J65="",0,4) + IF('IMPORT SCHLIESSERDATEN'!$K65="",0,8) + IF('IMPORT SCHLIESSERDATEN'!$L65="",0,16) + IF('IMPORT SCHLIESSERDATEN'!$M65="",0,32) + IF('IMPORT SCHLIESSERDATEN'!$N65="",0,64)</f>
        <v>112</v>
      </c>
      <c r="I73" s="74">
        <f>IF('IMPORT SCHLIESSERDATEN'!$D65="",0,1) + IF('IMPORT SCHLIESSERDATEN'!$E65="",0,2) + IF('IMPORT SCHLIESSERDATEN'!$E65="S",4,0)</f>
        <v>1</v>
      </c>
      <c r="J73" s="74">
        <f>IF(ISERR(FIND(" Gangfl.",'IMPORT SCHLIESSERDATEN'!$B65)),IF(ISERR(FIND(" Standfl.",'IMPORT SCHLIESSERDATEN'!$B65)),0,2),1)</f>
        <v>0</v>
      </c>
      <c r="K73" s="74">
        <f>'IMPORT SCHLIESSERDATEN'!CL65</f>
        <v>0</v>
      </c>
      <c r="L73" s="74">
        <f>'IMPORT SCHLIESSERDATEN'!CN65</f>
        <v>0</v>
      </c>
      <c r="M73" s="74">
        <f>IF('IMPORT SCHLIESSERDATEN'!CS65="wie TS",-1,'IMPORT SCHLIESSERDATEN'!CS65)</f>
        <v>0</v>
      </c>
      <c r="N73" s="74">
        <f>IF(M73&lt;0,-1,'IMPORT SCHLIESSERDATEN'!CU65)</f>
        <v>0</v>
      </c>
      <c r="O73" s="74">
        <f>IF('IMPORT SCHLIESSERDATEN'!CZ65="wie TS",-1,'IMPORT SCHLIESSERDATEN'!CZ65)</f>
        <v>0</v>
      </c>
      <c r="P73" s="74">
        <f>IF(O73&lt;0,-1,'IMPORT SCHLIESSERDATEN'!DB65)</f>
        <v>0</v>
      </c>
      <c r="Q73" s="74">
        <f>'IMPORT SCHLIESSERDATEN'!DG65</f>
        <v>45</v>
      </c>
      <c r="R73" s="74">
        <f>'IMPORT SCHLIESSERDATEN'!DI65</f>
        <v>17</v>
      </c>
      <c r="S73" s="74">
        <f>'IMPORT SCHLIESSERDATEN'!DN65</f>
        <v>45</v>
      </c>
      <c r="T73" s="74">
        <f>IF('IMPORT SCHLIESSERDATEN'!DP65="V",9999,'IMPORT SCHLIESSERDATEN'!DP65)</f>
        <v>9999</v>
      </c>
      <c r="U73" s="74">
        <f>'IMPORT SCHLIESSERDATEN'!BW65</f>
        <v>285</v>
      </c>
      <c r="V73" s="74">
        <f>'IMPORT SCHLIESSERDATEN'!BX65</f>
        <v>62</v>
      </c>
      <c r="W73" s="74">
        <f>'IMPORT SCHLIESSERDATEN'!BY65</f>
        <v>71</v>
      </c>
      <c r="X73" s="74">
        <f>'IMPORT SCHLIESSERDATEN'!CO65</f>
        <v>0</v>
      </c>
      <c r="Y73" s="74">
        <f>'IMPORT SCHLIESSERDATEN'!CQ65</f>
        <v>0</v>
      </c>
      <c r="Z73" s="74">
        <f>'IMPORT SCHLIESSERDATEN'!CV65</f>
        <v>0</v>
      </c>
      <c r="AA73" s="74">
        <f>'IMPORT SCHLIESSERDATEN'!CX65</f>
        <v>0</v>
      </c>
      <c r="AB73" s="74">
        <f>'IMPORT SCHLIESSERDATEN'!DC65</f>
        <v>0</v>
      </c>
      <c r="AC73" s="74">
        <f>'IMPORT SCHLIESSERDATEN'!DE65</f>
        <v>0</v>
      </c>
      <c r="AD73" s="74">
        <f>'IMPORT SCHLIESSERDATEN'!DJ65</f>
        <v>84</v>
      </c>
      <c r="AE73" s="74">
        <f>'IMPORT SCHLIESSERDATEN'!DL65</f>
        <v>0</v>
      </c>
      <c r="AF73" s="74">
        <f>'IMPORT SCHLIESSERDATEN'!DQ65</f>
        <v>84</v>
      </c>
      <c r="AG73" s="74">
        <f>IF('IMPORT SCHLIESSERDATEN'!DS65="V",9999,'IMPORT SCHLIESSERDATEN'!DS65)</f>
        <v>44</v>
      </c>
      <c r="AH73" s="74">
        <f>IF('IMPORT SCHLIESSERDATEN'!BZ65="V",9999,IF('IMPORT SCHLIESSERDATEN'!CD65="_",-1,'IMPORT SCHLIESSERDATEN'!BZ65))</f>
        <v>864</v>
      </c>
      <c r="AI73" s="74">
        <f>IF('IMPORT SCHLIESSERDATEN'!CA65="V",9999,IF('IMPORT SCHLIESSERDATEN'!CD65="_",-1,'IMPORT SCHLIESSERDATEN'!CA65))</f>
        <v>30</v>
      </c>
      <c r="AJ73" s="74">
        <f>IF('IMPORT SCHLIESSERDATEN'!CB65="V",9999,IF('IMPORT SCHLIESSERDATEN'!CD65="_",-1,'IMPORT SCHLIESSERDATEN'!CB65))</f>
        <v>40</v>
      </c>
      <c r="AK73" s="74">
        <f>IF('IMPORT SCHLIESSERDATEN'!CC65="V",9999,IF('IMPORT SCHLIESSERDATEN'!CC65="_",-1,'IMPORT SCHLIESSERDATEN'!CC65))</f>
        <v>20</v>
      </c>
      <c r="AL73" s="74">
        <f>IF('IMPORT SCHLIESSERDATEN'!CD65="_",-1,'IMPORT SCHLIESSERDATEN'!CD65)</f>
        <v>375</v>
      </c>
      <c r="AM73" s="74">
        <f>'IMPORT SCHLIESSERDATEN'!CH65</f>
        <v>95</v>
      </c>
      <c r="AN73" s="74">
        <f>IF('IMPORT SCHLIESSERDATEN'!CE65="V",9999,'IMPORT SCHLIESSERDATEN'!CE65)</f>
        <v>34</v>
      </c>
      <c r="AO73" s="74">
        <f>IF('IMPORT SCHLIESSERDATEN'!CK65="_",-1,'IMPORT SCHLIESSERDATEN'!CK65)</f>
        <v>206</v>
      </c>
      <c r="AP73" s="74">
        <f>IF('IMPORT SCHLIESSERDATEN'!$U65="",0,1)</f>
        <v>1</v>
      </c>
      <c r="AQ73" s="74">
        <f>IF('IMPORT SCHLIESSERDATEN'!$V65="",0,1)</f>
        <v>0</v>
      </c>
      <c r="AR73" s="74">
        <f>IF('IMPORT SCHLIESSERDATEN'!$W65="",0,1)</f>
        <v>0</v>
      </c>
      <c r="AS73" s="74">
        <f>IF('IMPORT SCHLIESSERDATEN'!$AA65="",0,1)</f>
        <v>1</v>
      </c>
      <c r="AT73" s="74">
        <f>IF('IMPORT SCHLIESSERDATEN'!$AD65="",0,1) + IF('IMPORT SCHLIESSERDATEN'!$AE65="",0,2)</f>
        <v>1</v>
      </c>
      <c r="AU73" s="74" t="str">
        <f>IF('IMPORT SCHLIESSERDATEN'!$X65="",IF('IMPORT SCHLIESSERDATEN'!$Y65="","","F"),"V")</f>
        <v>V</v>
      </c>
      <c r="AV73" s="74" t="str">
        <f>IF('IMPORT SCHLIESSERDATEN'!$AB65&lt;&gt;"","M",IF('IMPORT SCHLIESSERDATEN'!$AD65&lt;&gt;"",IF(ISERR(SEARCH("UVIBIS",'IMPORT SCHLIESSERDATEN'!$B65)),"R","B"),IF(OR('IMPORT SCHLIESSERDATEN'!$AC65&lt;&gt;"",'IMPORT SCHLIESSERDATEN'!$AE65&lt;&gt;""),"E","")))</f>
        <v>R</v>
      </c>
      <c r="AW73" s="82"/>
      <c r="AX73" s="67"/>
    </row>
    <row r="74" spans="1:50" x14ac:dyDescent="0.25">
      <c r="A74" s="67">
        <f>IFERROR(IF(C74&lt;&gt;"",MAX($A$2:$A73)+1,""),"")</f>
        <v>62</v>
      </c>
      <c r="B74" s="223">
        <f t="shared" si="1"/>
        <v>62</v>
      </c>
      <c r="C74" s="216" t="str">
        <f>IF(J74=1,SUBSTITUTE('IMPORT SCHLIESSERDATEN'!$B66," Gangfl.",""),IF(J74=2,SUBSTITUTE('IMPORT SCHLIESSERDATEN'!$B66," Standfl.",""),'IMPORT SCHLIESSERDATEN'!$B66))</f>
        <v>TS 93 G GSR /BG EN 5-7</v>
      </c>
      <c r="D74" s="216" t="str">
        <f>IF('IMPORT SCHLIESSERDATEN'!$AF66&lt;&gt;"",IF(COUNTA('IMPORT SCHLIESSERDATEN'!$AN66:$AU66)&gt;0,"X","G"),IF('IMPORT SCHLIESSERDATEN'!$AG66&lt;&gt;"","S",IF('IMPORT SCHLIESSERDATEN'!$AH66&lt;&gt;"","I",IF('IMPORT SCHLIESSERDATEN'!$AI66&lt;&gt;"","B",IF('IMPORT SCHLIESSERDATEN'!$AJ66&lt;&gt;"","D","")))))</f>
        <v>G</v>
      </c>
      <c r="E74" s="248" t="str">
        <f>'IMPORT SCHLIESSERDATEN'!AK66 &amp; IF('IMPORT SCHLIESSERDATEN'!AL66="",""," "&amp; 'IMPORT SCHLIESSERDATEN'!AL66)</f>
        <v>93 G</v>
      </c>
      <c r="F74" s="74">
        <f>IFERROR(IF(D74="X",2^(MATCH("",'IMPORT SCHLIESSERDATEN'!$AN66:$AU66,-1)-1),IF(AV74="F",2^(MATCH("",'IMPORT SCHLIESSERDATEN'!$BH66:$BK66,-1)-1),2^(MATCH("",'IMPORT SCHLIESSERDATEN'!$AV66:$BG66,-1)-1))),0)</f>
        <v>16</v>
      </c>
      <c r="G74" s="74">
        <f>IF(AND('IMPORT SCHLIESSERDATEN'!$O66='IMPORT SCHLIESSERDATEN'!$R66,'IMPORT SCHLIESSERDATEN'!$O66&lt;&gt;"",'IMPORT SCHLIESSERDATEN'!$R66&lt;&gt;""),1,0)  +  IF(AND('IMPORT SCHLIESSERDATEN'!$P66='IMPORT SCHLIESSERDATEN'!$S66,'IMPORT SCHLIESSERDATEN'!$P66&lt;&gt;"",'IMPORT SCHLIESSERDATEN'!$S66&lt;&gt;""),2,0)   +  IF(AND('IMPORT SCHLIESSERDATEN'!$O66='IMPORT SCHLIESSERDATEN'!$S66,'IMPORT SCHLIESSERDATEN'!$O66&lt;&gt;"",'IMPORT SCHLIESSERDATEN'!$S66&lt;&gt;""),4,0)   +  IF(AND('IMPORT SCHLIESSERDATEN'!$P66='IMPORT SCHLIESSERDATEN'!$R66,'IMPORT SCHLIESSERDATEN'!$P66&lt;&gt;"",'IMPORT SCHLIESSERDATEN'!$R66&lt;&gt;""),8,0)   +  IF('IMPORT SCHLIESSERDATEN'!$Q66&lt;&gt;"",IF('IMPORT SCHLIESSERDATEN'!$R66&lt;&gt;"",32,0) + IF('IMPORT SCHLIESSERDATEN'!$S66&lt;&gt;"",64,0),0)  +  IF('IMPORT SCHLIESSERDATEN'!$T66&lt;&gt;"",IF('IMPORT SCHLIESSERDATEN'!$Q66&lt;&gt;"",128+256,128),0)</f>
        <v>8</v>
      </c>
      <c r="H74" s="74">
        <f>IF('IMPORT SCHLIESSERDATEN'!$H66="",0,1) + IF('IMPORT SCHLIESSERDATEN'!$I66="",0,2) + IF('IMPORT SCHLIESSERDATEN'!$J66="",0,4) + IF('IMPORT SCHLIESSERDATEN'!$K66="",0,8) + IF('IMPORT SCHLIESSERDATEN'!$L66="",0,16) + IF('IMPORT SCHLIESSERDATEN'!$M66="",0,32) + IF('IMPORT SCHLIESSERDATEN'!$N66="",0,64)</f>
        <v>112</v>
      </c>
      <c r="I74" s="74">
        <f>IF('IMPORT SCHLIESSERDATEN'!$D66="",0,1) + IF('IMPORT SCHLIESSERDATEN'!$E66="",0,2) + IF('IMPORT SCHLIESSERDATEN'!$E66="S",4,0)</f>
        <v>2</v>
      </c>
      <c r="J74" s="74">
        <f>IF(ISERR(FIND(" Gangfl.",'IMPORT SCHLIESSERDATEN'!$B66)),IF(ISERR(FIND(" Standfl.",'IMPORT SCHLIESSERDATEN'!$B66)),0,2),1)</f>
        <v>1</v>
      </c>
      <c r="K74" s="74">
        <f>'IMPORT SCHLIESSERDATEN'!CL66</f>
        <v>0</v>
      </c>
      <c r="L74" s="74">
        <f>'IMPORT SCHLIESSERDATEN'!CN66</f>
        <v>0</v>
      </c>
      <c r="M74" s="74">
        <f>IF('IMPORT SCHLIESSERDATEN'!CS66="wie TS",-1,'IMPORT SCHLIESSERDATEN'!CS66)</f>
        <v>0</v>
      </c>
      <c r="N74" s="74">
        <f>IF(M74&lt;0,-1,'IMPORT SCHLIESSERDATEN'!CU66)</f>
        <v>0</v>
      </c>
      <c r="O74" s="74">
        <f>IF('IMPORT SCHLIESSERDATEN'!CZ66="wie TS",-1,'IMPORT SCHLIESSERDATEN'!CZ66)</f>
        <v>0</v>
      </c>
      <c r="P74" s="74">
        <f>IF(O74&lt;0,-1,'IMPORT SCHLIESSERDATEN'!DB66)</f>
        <v>0</v>
      </c>
      <c r="Q74" s="74">
        <f>'IMPORT SCHLIESSERDATEN'!DG66</f>
        <v>114</v>
      </c>
      <c r="R74" s="74">
        <f>'IMPORT SCHLIESSERDATEN'!DI66</f>
        <v>17</v>
      </c>
      <c r="S74" s="74">
        <f>'IMPORT SCHLIESSERDATEN'!DN66</f>
        <v>114</v>
      </c>
      <c r="T74" s="74">
        <f>IF('IMPORT SCHLIESSERDATEN'!DP66="V",9999,'IMPORT SCHLIESSERDATEN'!DP66)</f>
        <v>9999</v>
      </c>
      <c r="U74" s="74">
        <f>'IMPORT SCHLIESSERDATEN'!BW66</f>
        <v>285</v>
      </c>
      <c r="V74" s="74">
        <f>'IMPORT SCHLIESSERDATEN'!BX66</f>
        <v>62</v>
      </c>
      <c r="W74" s="74">
        <f>'IMPORT SCHLIESSERDATEN'!BY66</f>
        <v>71</v>
      </c>
      <c r="X74" s="74">
        <f>'IMPORT SCHLIESSERDATEN'!CO66</f>
        <v>0</v>
      </c>
      <c r="Y74" s="74">
        <f>'IMPORT SCHLIESSERDATEN'!CQ66</f>
        <v>0</v>
      </c>
      <c r="Z74" s="74">
        <f>'IMPORT SCHLIESSERDATEN'!CV66</f>
        <v>0</v>
      </c>
      <c r="AA74" s="74">
        <f>'IMPORT SCHLIESSERDATEN'!CX66</f>
        <v>0</v>
      </c>
      <c r="AB74" s="74">
        <f>'IMPORT SCHLIESSERDATEN'!DC66</f>
        <v>0</v>
      </c>
      <c r="AC74" s="74">
        <f>'IMPORT SCHLIESSERDATEN'!DE66</f>
        <v>0</v>
      </c>
      <c r="AD74" s="74">
        <f>'IMPORT SCHLIESSERDATEN'!DJ66</f>
        <v>114</v>
      </c>
      <c r="AE74" s="74">
        <f>'IMPORT SCHLIESSERDATEN'!DL66</f>
        <v>11</v>
      </c>
      <c r="AF74" s="74">
        <f>'IMPORT SCHLIESSERDATEN'!DQ66</f>
        <v>114</v>
      </c>
      <c r="AG74" s="74">
        <f>IF('IMPORT SCHLIESSERDATEN'!DS66="V",9999,'IMPORT SCHLIESSERDATEN'!DS66)</f>
        <v>34</v>
      </c>
      <c r="AH74" s="74">
        <f>IF('IMPORT SCHLIESSERDATEN'!BZ66="V",9999,IF('IMPORT SCHLIESSERDATEN'!CD66="_",-1,'IMPORT SCHLIESSERDATEN'!BZ66))</f>
        <v>9999</v>
      </c>
      <c r="AI74" s="74">
        <f>IF('IMPORT SCHLIESSERDATEN'!CA66="V",9999,IF('IMPORT SCHLIESSERDATEN'!CD66="_",-1,'IMPORT SCHLIESSERDATEN'!CA66))</f>
        <v>30</v>
      </c>
      <c r="AJ74" s="74">
        <f>IF('IMPORT SCHLIESSERDATEN'!CB66="V",9999,IF('IMPORT SCHLIESSERDATEN'!CD66="_",-1,'IMPORT SCHLIESSERDATEN'!CB66))</f>
        <v>40</v>
      </c>
      <c r="AK74" s="74">
        <f>IF('IMPORT SCHLIESSERDATEN'!CC66="V",9999,IF('IMPORT SCHLIESSERDATEN'!CC66="_",-1,'IMPORT SCHLIESSERDATEN'!CC66))</f>
        <v>20</v>
      </c>
      <c r="AL74" s="74">
        <f>IF('IMPORT SCHLIESSERDATEN'!CD66="_",-1,'IMPORT SCHLIESSERDATEN'!CD66)</f>
        <v>375</v>
      </c>
      <c r="AM74" s="74">
        <f>'IMPORT SCHLIESSERDATEN'!CH66</f>
        <v>95</v>
      </c>
      <c r="AN74" s="74">
        <f>IF('IMPORT SCHLIESSERDATEN'!CE66="V",9999,'IMPORT SCHLIESSERDATEN'!CE66)</f>
        <v>34</v>
      </c>
      <c r="AO74" s="74">
        <f>IF('IMPORT SCHLIESSERDATEN'!CK66="_",-1,'IMPORT SCHLIESSERDATEN'!CK66)</f>
        <v>51</v>
      </c>
      <c r="AP74" s="74">
        <f>IF('IMPORT SCHLIESSERDATEN'!$U66="",0,1)</f>
        <v>1</v>
      </c>
      <c r="AQ74" s="74">
        <f>IF('IMPORT SCHLIESSERDATEN'!$V66="",0,1)</f>
        <v>0</v>
      </c>
      <c r="AR74" s="74">
        <f>IF('IMPORT SCHLIESSERDATEN'!$W66="",0,1)</f>
        <v>1</v>
      </c>
      <c r="AS74" s="74">
        <f>IF('IMPORT SCHLIESSERDATEN'!$AA66="",0,1)</f>
        <v>1</v>
      </c>
      <c r="AT74" s="74">
        <f>IF('IMPORT SCHLIESSERDATEN'!$AD66="",0,1) + IF('IMPORT SCHLIESSERDATEN'!$AE66="",0,2)</f>
        <v>0</v>
      </c>
      <c r="AU74" s="74" t="str">
        <f>IF('IMPORT SCHLIESSERDATEN'!$X66="",IF('IMPORT SCHLIESSERDATEN'!$Y66="","","F"),"V")</f>
        <v>V</v>
      </c>
      <c r="AV74" s="74" t="str">
        <f>IF('IMPORT SCHLIESSERDATEN'!$AB66&lt;&gt;"","M",IF('IMPORT SCHLIESSERDATEN'!$AD66&lt;&gt;"",IF(ISERR(SEARCH("UVIBIS",'IMPORT SCHLIESSERDATEN'!$B66)),"R","B"),IF(OR('IMPORT SCHLIESSERDATEN'!$AC66&lt;&gt;"",'IMPORT SCHLIESSERDATEN'!$AE66&lt;&gt;""),"E","")))</f>
        <v/>
      </c>
      <c r="AW74" s="82"/>
      <c r="AX74" s="67"/>
    </row>
    <row r="75" spans="1:50" x14ac:dyDescent="0.25">
      <c r="A75" s="67">
        <f>IFERROR(IF(C75&lt;&gt;"",MAX($A$2:$A74)+1,""),"")</f>
        <v>63</v>
      </c>
      <c r="B75" s="223">
        <f t="shared" si="1"/>
        <v>63</v>
      </c>
      <c r="C75" s="216" t="str">
        <f>IF(J75=1,SUBSTITUTE('IMPORT SCHLIESSERDATEN'!$B67," Gangfl.",""),IF(J75=2,SUBSTITUTE('IMPORT SCHLIESSERDATEN'!$B67," Standfl.",""),'IMPORT SCHLIESSERDATEN'!$B67))</f>
        <v>TS 93 G GSR RF /BG EN 5-7</v>
      </c>
      <c r="D75" s="216" t="str">
        <f>IF('IMPORT SCHLIESSERDATEN'!$AF67&lt;&gt;"",IF(COUNTA('IMPORT SCHLIESSERDATEN'!$AN67:$AU67)&gt;0,"X","G"),IF('IMPORT SCHLIESSERDATEN'!$AG67&lt;&gt;"","S",IF('IMPORT SCHLIESSERDATEN'!$AH67&lt;&gt;"","I",IF('IMPORT SCHLIESSERDATEN'!$AI67&lt;&gt;"","B",IF('IMPORT SCHLIESSERDATEN'!$AJ67&lt;&gt;"","D","")))))</f>
        <v>G</v>
      </c>
      <c r="E75" s="248" t="str">
        <f>'IMPORT SCHLIESSERDATEN'!AK67 &amp; IF('IMPORT SCHLIESSERDATEN'!AL67="",""," "&amp; 'IMPORT SCHLIESSERDATEN'!AL67)</f>
        <v>93 G</v>
      </c>
      <c r="F75" s="74">
        <f>IFERROR(IF(D75="X",2^(MATCH("",'IMPORT SCHLIESSERDATEN'!$AN67:$AU67,-1)-1),IF(AV75="F",2^(MATCH("",'IMPORT SCHLIESSERDATEN'!$BH67:$BK67,-1)-1),2^(MATCH("",'IMPORT SCHLIESSERDATEN'!$AV67:$BG67,-1)-1))),0)</f>
        <v>32</v>
      </c>
      <c r="G75" s="74">
        <f>IF(AND('IMPORT SCHLIESSERDATEN'!$O67='IMPORT SCHLIESSERDATEN'!$R67,'IMPORT SCHLIESSERDATEN'!$O67&lt;&gt;"",'IMPORT SCHLIESSERDATEN'!$R67&lt;&gt;""),1,0)  +  IF(AND('IMPORT SCHLIESSERDATEN'!$P67='IMPORT SCHLIESSERDATEN'!$S67,'IMPORT SCHLIESSERDATEN'!$P67&lt;&gt;"",'IMPORT SCHLIESSERDATEN'!$S67&lt;&gt;""),2,0)   +  IF(AND('IMPORT SCHLIESSERDATEN'!$O67='IMPORT SCHLIESSERDATEN'!$S67,'IMPORT SCHLIESSERDATEN'!$O67&lt;&gt;"",'IMPORT SCHLIESSERDATEN'!$S67&lt;&gt;""),4,0)   +  IF(AND('IMPORT SCHLIESSERDATEN'!$P67='IMPORT SCHLIESSERDATEN'!$R67,'IMPORT SCHLIESSERDATEN'!$P67&lt;&gt;"",'IMPORT SCHLIESSERDATEN'!$R67&lt;&gt;""),8,0)   +  IF('IMPORT SCHLIESSERDATEN'!$Q67&lt;&gt;"",IF('IMPORT SCHLIESSERDATEN'!$R67&lt;&gt;"",32,0) + IF('IMPORT SCHLIESSERDATEN'!$S67&lt;&gt;"",64,0),0)  +  IF('IMPORT SCHLIESSERDATEN'!$T67&lt;&gt;"",IF('IMPORT SCHLIESSERDATEN'!$Q67&lt;&gt;"",128+256,128),0)</f>
        <v>8</v>
      </c>
      <c r="H75" s="74">
        <f>IF('IMPORT SCHLIESSERDATEN'!$H67="",0,1) + IF('IMPORT SCHLIESSERDATEN'!$I67="",0,2) + IF('IMPORT SCHLIESSERDATEN'!$J67="",0,4) + IF('IMPORT SCHLIESSERDATEN'!$K67="",0,8) + IF('IMPORT SCHLIESSERDATEN'!$L67="",0,16) + IF('IMPORT SCHLIESSERDATEN'!$M67="",0,32) + IF('IMPORT SCHLIESSERDATEN'!$N67="",0,64)</f>
        <v>112</v>
      </c>
      <c r="I75" s="74">
        <f>IF('IMPORT SCHLIESSERDATEN'!$D67="",0,1) + IF('IMPORT SCHLIESSERDATEN'!$E67="",0,2) + IF('IMPORT SCHLIESSERDATEN'!$E67="S",4,0)</f>
        <v>2</v>
      </c>
      <c r="J75" s="74">
        <f>IF(ISERR(FIND(" Gangfl.",'IMPORT SCHLIESSERDATEN'!$B67)),IF(ISERR(FIND(" Standfl.",'IMPORT SCHLIESSERDATEN'!$B67)),0,2),1)</f>
        <v>1</v>
      </c>
      <c r="K75" s="74">
        <f>'IMPORT SCHLIESSERDATEN'!CL67</f>
        <v>0</v>
      </c>
      <c r="L75" s="74">
        <f>'IMPORT SCHLIESSERDATEN'!CN67</f>
        <v>0</v>
      </c>
      <c r="M75" s="74">
        <f>IF('IMPORT SCHLIESSERDATEN'!CS67="wie TS",-1,'IMPORT SCHLIESSERDATEN'!CS67)</f>
        <v>0</v>
      </c>
      <c r="N75" s="74">
        <f>IF(M75&lt;0,-1,'IMPORT SCHLIESSERDATEN'!CU67)</f>
        <v>0</v>
      </c>
      <c r="O75" s="74">
        <f>IF('IMPORT SCHLIESSERDATEN'!CZ67="wie TS",-1,'IMPORT SCHLIESSERDATEN'!CZ67)</f>
        <v>0</v>
      </c>
      <c r="P75" s="74">
        <f>IF(O75&lt;0,-1,'IMPORT SCHLIESSERDATEN'!DB67)</f>
        <v>0</v>
      </c>
      <c r="Q75" s="74">
        <f>'IMPORT SCHLIESSERDATEN'!DG67</f>
        <v>114</v>
      </c>
      <c r="R75" s="74">
        <f>'IMPORT SCHLIESSERDATEN'!DI67</f>
        <v>17</v>
      </c>
      <c r="S75" s="74">
        <f>'IMPORT SCHLIESSERDATEN'!DN67</f>
        <v>114</v>
      </c>
      <c r="T75" s="74">
        <f>IF('IMPORT SCHLIESSERDATEN'!DP67="V",9999,'IMPORT SCHLIESSERDATEN'!DP67)</f>
        <v>9999</v>
      </c>
      <c r="U75" s="74">
        <f>'IMPORT SCHLIESSERDATEN'!BW67</f>
        <v>285</v>
      </c>
      <c r="V75" s="74">
        <f>'IMPORT SCHLIESSERDATEN'!BX67</f>
        <v>62</v>
      </c>
      <c r="W75" s="74">
        <f>'IMPORT SCHLIESSERDATEN'!BY67</f>
        <v>71</v>
      </c>
      <c r="X75" s="74">
        <f>'IMPORT SCHLIESSERDATEN'!CO67</f>
        <v>0</v>
      </c>
      <c r="Y75" s="74">
        <f>'IMPORT SCHLIESSERDATEN'!CQ67</f>
        <v>0</v>
      </c>
      <c r="Z75" s="74">
        <f>'IMPORT SCHLIESSERDATEN'!CV67</f>
        <v>0</v>
      </c>
      <c r="AA75" s="74">
        <f>'IMPORT SCHLIESSERDATEN'!CX67</f>
        <v>0</v>
      </c>
      <c r="AB75" s="74">
        <f>'IMPORT SCHLIESSERDATEN'!DC67</f>
        <v>0</v>
      </c>
      <c r="AC75" s="74">
        <f>'IMPORT SCHLIESSERDATEN'!DE67</f>
        <v>0</v>
      </c>
      <c r="AD75" s="74">
        <f>'IMPORT SCHLIESSERDATEN'!DJ67</f>
        <v>114</v>
      </c>
      <c r="AE75" s="74">
        <f>'IMPORT SCHLIESSERDATEN'!DL67</f>
        <v>11</v>
      </c>
      <c r="AF75" s="74">
        <f>'IMPORT SCHLIESSERDATEN'!DQ67</f>
        <v>114</v>
      </c>
      <c r="AG75" s="74">
        <f>IF('IMPORT SCHLIESSERDATEN'!DS67="V",9999,'IMPORT SCHLIESSERDATEN'!DS67)</f>
        <v>34</v>
      </c>
      <c r="AH75" s="74">
        <f>IF('IMPORT SCHLIESSERDATEN'!BZ67="V",9999,IF('IMPORT SCHLIESSERDATEN'!CD67="_",-1,'IMPORT SCHLIESSERDATEN'!BZ67))</f>
        <v>9999</v>
      </c>
      <c r="AI75" s="74">
        <f>IF('IMPORT SCHLIESSERDATEN'!CA67="V",9999,IF('IMPORT SCHLIESSERDATEN'!CD67="_",-1,'IMPORT SCHLIESSERDATEN'!CA67))</f>
        <v>30</v>
      </c>
      <c r="AJ75" s="74">
        <f>IF('IMPORT SCHLIESSERDATEN'!CB67="V",9999,IF('IMPORT SCHLIESSERDATEN'!CD67="_",-1,'IMPORT SCHLIESSERDATEN'!CB67))</f>
        <v>40</v>
      </c>
      <c r="AK75" s="74">
        <f>IF('IMPORT SCHLIESSERDATEN'!CC67="V",9999,IF('IMPORT SCHLIESSERDATEN'!CC67="_",-1,'IMPORT SCHLIESSERDATEN'!CC67))</f>
        <v>20</v>
      </c>
      <c r="AL75" s="74">
        <f>IF('IMPORT SCHLIESSERDATEN'!CD67="_",-1,'IMPORT SCHLIESSERDATEN'!CD67)</f>
        <v>375</v>
      </c>
      <c r="AM75" s="74">
        <f>'IMPORT SCHLIESSERDATEN'!CH67</f>
        <v>95</v>
      </c>
      <c r="AN75" s="74">
        <f>IF('IMPORT SCHLIESSERDATEN'!CE67="V",9999,'IMPORT SCHLIESSERDATEN'!CE67)</f>
        <v>34</v>
      </c>
      <c r="AO75" s="74">
        <f>IF('IMPORT SCHLIESSERDATEN'!CK67="_",-1,'IMPORT SCHLIESSERDATEN'!CK67)</f>
        <v>51</v>
      </c>
      <c r="AP75" s="74">
        <f>IF('IMPORT SCHLIESSERDATEN'!$U67="",0,1)</f>
        <v>0</v>
      </c>
      <c r="AQ75" s="74">
        <f>IF('IMPORT SCHLIESSERDATEN'!$V67="",0,1)</f>
        <v>0</v>
      </c>
      <c r="AR75" s="74">
        <f>IF('IMPORT SCHLIESSERDATEN'!$W67="",0,1)</f>
        <v>1</v>
      </c>
      <c r="AS75" s="74">
        <f>IF('IMPORT SCHLIESSERDATEN'!$AA67="",0,1)</f>
        <v>1</v>
      </c>
      <c r="AT75" s="74">
        <f>IF('IMPORT SCHLIESSERDATEN'!$AD67="",0,1) + IF('IMPORT SCHLIESSERDATEN'!$AE67="",0,2)</f>
        <v>0</v>
      </c>
      <c r="AU75" s="74" t="str">
        <f>IF('IMPORT SCHLIESSERDATEN'!$X67="",IF('IMPORT SCHLIESSERDATEN'!$Y67="","","F"),"V")</f>
        <v>V</v>
      </c>
      <c r="AV75" s="74" t="str">
        <f>IF('IMPORT SCHLIESSERDATEN'!$AB67&lt;&gt;"","M",IF('IMPORT SCHLIESSERDATEN'!$AD67&lt;&gt;"",IF(ISERR(SEARCH("UVIBIS",'IMPORT SCHLIESSERDATEN'!$B67)),"R","B"),IF(OR('IMPORT SCHLIESSERDATEN'!$AC67&lt;&gt;"",'IMPORT SCHLIESSERDATEN'!$AE67&lt;&gt;""),"E","")))</f>
        <v>M</v>
      </c>
      <c r="AW75" s="82"/>
      <c r="AX75" s="67"/>
    </row>
    <row r="76" spans="1:50" x14ac:dyDescent="0.25">
      <c r="A76" s="67">
        <f>IFERROR(IF(C76&lt;&gt;"",MAX($A$2:$A75)+1,""),"")</f>
        <v>64</v>
      </c>
      <c r="B76" s="223">
        <f t="shared" si="1"/>
        <v>64</v>
      </c>
      <c r="C76" s="216" t="str">
        <f>IF(J76=1,SUBSTITUTE('IMPORT SCHLIESSERDATEN'!$B68," Gangfl.",""),IF(J76=2,SUBSTITUTE('IMPORT SCHLIESSERDATEN'!$B68," Standfl.",""),'IMPORT SCHLIESSERDATEN'!$B68))</f>
        <v>TS 93 G GSR-EMF 1 /BG EN 5-7</v>
      </c>
      <c r="D76" s="216" t="str">
        <f>IF('IMPORT SCHLIESSERDATEN'!$AF68&lt;&gt;"",IF(COUNTA('IMPORT SCHLIESSERDATEN'!$AN68:$AU68)&gt;0,"X","G"),IF('IMPORT SCHLIESSERDATEN'!$AG68&lt;&gt;"","S",IF('IMPORT SCHLIESSERDATEN'!$AH68&lt;&gt;"","I",IF('IMPORT SCHLIESSERDATEN'!$AI68&lt;&gt;"","B",IF('IMPORT SCHLIESSERDATEN'!$AJ68&lt;&gt;"","D","")))))</f>
        <v>G</v>
      </c>
      <c r="E76" s="248" t="str">
        <f>'IMPORT SCHLIESSERDATEN'!AK68 &amp; IF('IMPORT SCHLIESSERDATEN'!AL68="",""," "&amp; 'IMPORT SCHLIESSERDATEN'!AL68)</f>
        <v>93 G</v>
      </c>
      <c r="F76" s="74">
        <f>IFERROR(IF(D76="X",2^(MATCH("",'IMPORT SCHLIESSERDATEN'!$AN68:$AU68,-1)-1),IF(AV76="F",2^(MATCH("",'IMPORT SCHLIESSERDATEN'!$BH68:$BK68,-1)-1),2^(MATCH("",'IMPORT SCHLIESSERDATEN'!$AV68:$BG68,-1)-1))),0)</f>
        <v>64</v>
      </c>
      <c r="G76" s="74">
        <f>IF(AND('IMPORT SCHLIESSERDATEN'!$O68='IMPORT SCHLIESSERDATEN'!$R68,'IMPORT SCHLIESSERDATEN'!$O68&lt;&gt;"",'IMPORT SCHLIESSERDATEN'!$R68&lt;&gt;""),1,0)  +  IF(AND('IMPORT SCHLIESSERDATEN'!$P68='IMPORT SCHLIESSERDATEN'!$S68,'IMPORT SCHLIESSERDATEN'!$P68&lt;&gt;"",'IMPORT SCHLIESSERDATEN'!$S68&lt;&gt;""),2,0)   +  IF(AND('IMPORT SCHLIESSERDATEN'!$O68='IMPORT SCHLIESSERDATEN'!$S68,'IMPORT SCHLIESSERDATEN'!$O68&lt;&gt;"",'IMPORT SCHLIESSERDATEN'!$S68&lt;&gt;""),4,0)   +  IF(AND('IMPORT SCHLIESSERDATEN'!$P68='IMPORT SCHLIESSERDATEN'!$R68,'IMPORT SCHLIESSERDATEN'!$P68&lt;&gt;"",'IMPORT SCHLIESSERDATEN'!$R68&lt;&gt;""),8,0)   +  IF('IMPORT SCHLIESSERDATEN'!$Q68&lt;&gt;"",IF('IMPORT SCHLIESSERDATEN'!$R68&lt;&gt;"",32,0) + IF('IMPORT SCHLIESSERDATEN'!$S68&lt;&gt;"",64,0),0)  +  IF('IMPORT SCHLIESSERDATEN'!$T68&lt;&gt;"",IF('IMPORT SCHLIESSERDATEN'!$Q68&lt;&gt;"",128+256,128),0)</f>
        <v>8</v>
      </c>
      <c r="H76" s="74">
        <f>IF('IMPORT SCHLIESSERDATEN'!$H68="",0,1) + IF('IMPORT SCHLIESSERDATEN'!$I68="",0,2) + IF('IMPORT SCHLIESSERDATEN'!$J68="",0,4) + IF('IMPORT SCHLIESSERDATEN'!$K68="",0,8) + IF('IMPORT SCHLIESSERDATEN'!$L68="",0,16) + IF('IMPORT SCHLIESSERDATEN'!$M68="",0,32) + IF('IMPORT SCHLIESSERDATEN'!$N68="",0,64)</f>
        <v>112</v>
      </c>
      <c r="I76" s="74">
        <f>IF('IMPORT SCHLIESSERDATEN'!$D68="",0,1) + IF('IMPORT SCHLIESSERDATEN'!$E68="",0,2) + IF('IMPORT SCHLIESSERDATEN'!$E68="S",4,0)</f>
        <v>2</v>
      </c>
      <c r="J76" s="74">
        <f>IF(ISERR(FIND(" Gangfl.",'IMPORT SCHLIESSERDATEN'!$B68)),IF(ISERR(FIND(" Standfl.",'IMPORT SCHLIESSERDATEN'!$B68)),0,2),1)</f>
        <v>1</v>
      </c>
      <c r="K76" s="74">
        <f>'IMPORT SCHLIESSERDATEN'!CL68</f>
        <v>0</v>
      </c>
      <c r="L76" s="74">
        <f>'IMPORT SCHLIESSERDATEN'!CN68</f>
        <v>0</v>
      </c>
      <c r="M76" s="74">
        <f>IF('IMPORT SCHLIESSERDATEN'!CS68="wie TS",-1,'IMPORT SCHLIESSERDATEN'!CS68)</f>
        <v>0</v>
      </c>
      <c r="N76" s="74">
        <f>IF(M76&lt;0,-1,'IMPORT SCHLIESSERDATEN'!CU68)</f>
        <v>0</v>
      </c>
      <c r="O76" s="74">
        <f>IF('IMPORT SCHLIESSERDATEN'!CZ68="wie TS",-1,'IMPORT SCHLIESSERDATEN'!CZ68)</f>
        <v>0</v>
      </c>
      <c r="P76" s="74">
        <f>IF(O76&lt;0,-1,'IMPORT SCHLIESSERDATEN'!DB68)</f>
        <v>0</v>
      </c>
      <c r="Q76" s="74">
        <f>'IMPORT SCHLIESSERDATEN'!DG68</f>
        <v>114</v>
      </c>
      <c r="R76" s="74">
        <f>'IMPORT SCHLIESSERDATEN'!DI68</f>
        <v>17</v>
      </c>
      <c r="S76" s="74">
        <f>'IMPORT SCHLIESSERDATEN'!DN68</f>
        <v>0</v>
      </c>
      <c r="T76" s="74">
        <f>IF('IMPORT SCHLIESSERDATEN'!DP68="V",9999,'IMPORT SCHLIESSERDATEN'!DP68)</f>
        <v>0</v>
      </c>
      <c r="U76" s="74">
        <f>'IMPORT SCHLIESSERDATEN'!BW68</f>
        <v>285</v>
      </c>
      <c r="V76" s="74">
        <f>'IMPORT SCHLIESSERDATEN'!BX68</f>
        <v>62</v>
      </c>
      <c r="W76" s="74">
        <f>'IMPORT SCHLIESSERDATEN'!BY68</f>
        <v>71</v>
      </c>
      <c r="X76" s="74">
        <f>'IMPORT SCHLIESSERDATEN'!CO68</f>
        <v>0</v>
      </c>
      <c r="Y76" s="74">
        <f>'IMPORT SCHLIESSERDATEN'!CQ68</f>
        <v>0</v>
      </c>
      <c r="Z76" s="74">
        <f>'IMPORT SCHLIESSERDATEN'!CV68</f>
        <v>0</v>
      </c>
      <c r="AA76" s="74">
        <f>'IMPORT SCHLIESSERDATEN'!CX68</f>
        <v>0</v>
      </c>
      <c r="AB76" s="74">
        <f>'IMPORT SCHLIESSERDATEN'!DC68</f>
        <v>0</v>
      </c>
      <c r="AC76" s="74">
        <f>'IMPORT SCHLIESSERDATEN'!DE68</f>
        <v>0</v>
      </c>
      <c r="AD76" s="74">
        <f>'IMPORT SCHLIESSERDATEN'!DJ68</f>
        <v>114</v>
      </c>
      <c r="AE76" s="74">
        <f>'IMPORT SCHLIESSERDATEN'!DL68</f>
        <v>0</v>
      </c>
      <c r="AF76" s="74">
        <f>'IMPORT SCHLIESSERDATEN'!DQ68</f>
        <v>0</v>
      </c>
      <c r="AG76" s="74">
        <f>IF('IMPORT SCHLIESSERDATEN'!DS68="V",9999,'IMPORT SCHLIESSERDATEN'!DS68)</f>
        <v>0</v>
      </c>
      <c r="AH76" s="74">
        <f>IF('IMPORT SCHLIESSERDATEN'!BZ68="V",9999,IF('IMPORT SCHLIESSERDATEN'!CD68="_",-1,'IMPORT SCHLIESSERDATEN'!BZ68))</f>
        <v>9999</v>
      </c>
      <c r="AI76" s="74">
        <f>IF('IMPORT SCHLIESSERDATEN'!CA68="V",9999,IF('IMPORT SCHLIESSERDATEN'!CD68="_",-1,'IMPORT SCHLIESSERDATEN'!CA68))</f>
        <v>30</v>
      </c>
      <c r="AJ76" s="74">
        <f>IF('IMPORT SCHLIESSERDATEN'!CB68="V",9999,IF('IMPORT SCHLIESSERDATEN'!CD68="_",-1,'IMPORT SCHLIESSERDATEN'!CB68))</f>
        <v>34</v>
      </c>
      <c r="AK76" s="74">
        <f>IF('IMPORT SCHLIESSERDATEN'!CC68="V",9999,IF('IMPORT SCHLIESSERDATEN'!CC68="_",-1,'IMPORT SCHLIESSERDATEN'!CC68))</f>
        <v>17</v>
      </c>
      <c r="AL76" s="74">
        <f>IF('IMPORT SCHLIESSERDATEN'!CD68="_",-1,'IMPORT SCHLIESSERDATEN'!CD68)</f>
        <v>375</v>
      </c>
      <c r="AM76" s="74">
        <f>'IMPORT SCHLIESSERDATEN'!CH68</f>
        <v>95</v>
      </c>
      <c r="AN76" s="74">
        <f>IF('IMPORT SCHLIESSERDATEN'!CE68="V",9999,'IMPORT SCHLIESSERDATEN'!CE68)</f>
        <v>34</v>
      </c>
      <c r="AO76" s="74">
        <f>IF('IMPORT SCHLIESSERDATEN'!CK68="_",-1,'IMPORT SCHLIESSERDATEN'!CK68)</f>
        <v>164</v>
      </c>
      <c r="AP76" s="74">
        <f>IF('IMPORT SCHLIESSERDATEN'!$U68="",0,1)</f>
        <v>1</v>
      </c>
      <c r="AQ76" s="74">
        <f>IF('IMPORT SCHLIESSERDATEN'!$V68="",0,1)</f>
        <v>0</v>
      </c>
      <c r="AR76" s="74">
        <f>IF('IMPORT SCHLIESSERDATEN'!$W68="",0,1)</f>
        <v>1</v>
      </c>
      <c r="AS76" s="74">
        <f>IF('IMPORT SCHLIESSERDATEN'!$AA68="",0,1)</f>
        <v>1</v>
      </c>
      <c r="AT76" s="74">
        <f>IF('IMPORT SCHLIESSERDATEN'!$AD68="",0,1) + IF('IMPORT SCHLIESSERDATEN'!$AE68="",0,2)</f>
        <v>2</v>
      </c>
      <c r="AU76" s="74" t="str">
        <f>IF('IMPORT SCHLIESSERDATEN'!$X68="",IF('IMPORT SCHLIESSERDATEN'!$Y68="","","F"),"V")</f>
        <v>V</v>
      </c>
      <c r="AV76" s="74" t="str">
        <f>IF('IMPORT SCHLIESSERDATEN'!$AB68&lt;&gt;"","M",IF('IMPORT SCHLIESSERDATEN'!$AD68&lt;&gt;"",IF(ISERR(SEARCH("UVIBIS",'IMPORT SCHLIESSERDATEN'!$B68)),"R","B"),IF(OR('IMPORT SCHLIESSERDATEN'!$AC68&lt;&gt;"",'IMPORT SCHLIESSERDATEN'!$AE68&lt;&gt;""),"E","")))</f>
        <v>E</v>
      </c>
      <c r="AW76" s="82"/>
      <c r="AX76" s="67"/>
    </row>
    <row r="77" spans="1:50" x14ac:dyDescent="0.25">
      <c r="A77" s="67">
        <f>IFERROR(IF(C77&lt;&gt;"",MAX($A$2:$A76)+1,""),"")</f>
        <v>65</v>
      </c>
      <c r="B77" s="223">
        <f t="shared" si="1"/>
        <v>65</v>
      </c>
      <c r="C77" s="216" t="str">
        <f>IF(J77=1,SUBSTITUTE('IMPORT SCHLIESSERDATEN'!$B69," Gangfl.",""),IF(J77=2,SUBSTITUTE('IMPORT SCHLIESSERDATEN'!$B69," Standfl.",""),'IMPORT SCHLIESSERDATEN'!$B69))</f>
        <v>TS 93 G GSR-EMF 1G /BG EN 5-7</v>
      </c>
      <c r="D77" s="216" t="str">
        <f>IF('IMPORT SCHLIESSERDATEN'!$AF69&lt;&gt;"",IF(COUNTA('IMPORT SCHLIESSERDATEN'!$AN69:$AU69)&gt;0,"X","G"),IF('IMPORT SCHLIESSERDATEN'!$AG69&lt;&gt;"","S",IF('IMPORT SCHLIESSERDATEN'!$AH69&lt;&gt;"","I",IF('IMPORT SCHLIESSERDATEN'!$AI69&lt;&gt;"","B",IF('IMPORT SCHLIESSERDATEN'!$AJ69&lt;&gt;"","D","")))))</f>
        <v>G</v>
      </c>
      <c r="E77" s="248" t="str">
        <f>'IMPORT SCHLIESSERDATEN'!AK69 &amp; IF('IMPORT SCHLIESSERDATEN'!AL69="",""," "&amp; 'IMPORT SCHLIESSERDATEN'!AL69)</f>
        <v>93 G</v>
      </c>
      <c r="F77" s="74">
        <f>IFERROR(IF(D77="X",2^(MATCH("",'IMPORT SCHLIESSERDATEN'!$AN69:$AU69,-1)-1),IF(AV77="F",2^(MATCH("",'IMPORT SCHLIESSERDATEN'!$BH69:$BK69,-1)-1),2^(MATCH("",'IMPORT SCHLIESSERDATEN'!$AV69:$BG69,-1)-1))),0)</f>
        <v>128</v>
      </c>
      <c r="G77" s="74">
        <f>IF(AND('IMPORT SCHLIESSERDATEN'!$O69='IMPORT SCHLIESSERDATEN'!$R69,'IMPORT SCHLIESSERDATEN'!$O69&lt;&gt;"",'IMPORT SCHLIESSERDATEN'!$R69&lt;&gt;""),1,0)  +  IF(AND('IMPORT SCHLIESSERDATEN'!$P69='IMPORT SCHLIESSERDATEN'!$S69,'IMPORT SCHLIESSERDATEN'!$P69&lt;&gt;"",'IMPORT SCHLIESSERDATEN'!$S69&lt;&gt;""),2,0)   +  IF(AND('IMPORT SCHLIESSERDATEN'!$O69='IMPORT SCHLIESSERDATEN'!$S69,'IMPORT SCHLIESSERDATEN'!$O69&lt;&gt;"",'IMPORT SCHLIESSERDATEN'!$S69&lt;&gt;""),4,0)   +  IF(AND('IMPORT SCHLIESSERDATEN'!$P69='IMPORT SCHLIESSERDATEN'!$R69,'IMPORT SCHLIESSERDATEN'!$P69&lt;&gt;"",'IMPORT SCHLIESSERDATEN'!$R69&lt;&gt;""),8,0)   +  IF('IMPORT SCHLIESSERDATEN'!$Q69&lt;&gt;"",IF('IMPORT SCHLIESSERDATEN'!$R69&lt;&gt;"",32,0) + IF('IMPORT SCHLIESSERDATEN'!$S69&lt;&gt;"",64,0),0)  +  IF('IMPORT SCHLIESSERDATEN'!$T69&lt;&gt;"",IF('IMPORT SCHLIESSERDATEN'!$Q69&lt;&gt;"",128+256,128),0)</f>
        <v>8</v>
      </c>
      <c r="H77" s="74">
        <f>IF('IMPORT SCHLIESSERDATEN'!$H69="",0,1) + IF('IMPORT SCHLIESSERDATEN'!$I69="",0,2) + IF('IMPORT SCHLIESSERDATEN'!$J69="",0,4) + IF('IMPORT SCHLIESSERDATEN'!$K69="",0,8) + IF('IMPORT SCHLIESSERDATEN'!$L69="",0,16) + IF('IMPORT SCHLIESSERDATEN'!$M69="",0,32) + IF('IMPORT SCHLIESSERDATEN'!$N69="",0,64)</f>
        <v>112</v>
      </c>
      <c r="I77" s="74">
        <f>IF('IMPORT SCHLIESSERDATEN'!$D69="",0,1) + IF('IMPORT SCHLIESSERDATEN'!$E69="",0,2) + IF('IMPORT SCHLIESSERDATEN'!$E69="S",4,0)</f>
        <v>2</v>
      </c>
      <c r="J77" s="74">
        <f>IF(ISERR(FIND(" Gangfl.",'IMPORT SCHLIESSERDATEN'!$B69)),IF(ISERR(FIND(" Standfl.",'IMPORT SCHLIESSERDATEN'!$B69)),0,2),1)</f>
        <v>1</v>
      </c>
      <c r="K77" s="74">
        <f>'IMPORT SCHLIESSERDATEN'!CL69</f>
        <v>0</v>
      </c>
      <c r="L77" s="74">
        <f>'IMPORT SCHLIESSERDATEN'!CN69</f>
        <v>0</v>
      </c>
      <c r="M77" s="74">
        <f>IF('IMPORT SCHLIESSERDATEN'!CS69="wie TS",-1,'IMPORT SCHLIESSERDATEN'!CS69)</f>
        <v>0</v>
      </c>
      <c r="N77" s="74">
        <f>IF(M77&lt;0,-1,'IMPORT SCHLIESSERDATEN'!CU69)</f>
        <v>0</v>
      </c>
      <c r="O77" s="74">
        <f>IF('IMPORT SCHLIESSERDATEN'!CZ69="wie TS",-1,'IMPORT SCHLIESSERDATEN'!CZ69)</f>
        <v>0</v>
      </c>
      <c r="P77" s="74">
        <f>IF(O77&lt;0,-1,'IMPORT SCHLIESSERDATEN'!DB69)</f>
        <v>0</v>
      </c>
      <c r="Q77" s="74">
        <f>'IMPORT SCHLIESSERDATEN'!DG69</f>
        <v>114</v>
      </c>
      <c r="R77" s="74">
        <f>'IMPORT SCHLIESSERDATEN'!DI69</f>
        <v>17</v>
      </c>
      <c r="S77" s="74">
        <f>'IMPORT SCHLIESSERDATEN'!DN69</f>
        <v>0</v>
      </c>
      <c r="T77" s="74">
        <f>IF('IMPORT SCHLIESSERDATEN'!DP69="V",9999,'IMPORT SCHLIESSERDATEN'!DP69)</f>
        <v>0</v>
      </c>
      <c r="U77" s="74">
        <f>'IMPORT SCHLIESSERDATEN'!BW69</f>
        <v>285</v>
      </c>
      <c r="V77" s="74">
        <f>'IMPORT SCHLIESSERDATEN'!BX69</f>
        <v>62</v>
      </c>
      <c r="W77" s="74">
        <f>'IMPORT SCHLIESSERDATEN'!BY69</f>
        <v>71</v>
      </c>
      <c r="X77" s="74">
        <f>'IMPORT SCHLIESSERDATEN'!CO69</f>
        <v>0</v>
      </c>
      <c r="Y77" s="74">
        <f>'IMPORT SCHLIESSERDATEN'!CQ69</f>
        <v>0</v>
      </c>
      <c r="Z77" s="74">
        <f>'IMPORT SCHLIESSERDATEN'!CV69</f>
        <v>0</v>
      </c>
      <c r="AA77" s="74">
        <f>'IMPORT SCHLIESSERDATEN'!CX69</f>
        <v>0</v>
      </c>
      <c r="AB77" s="74">
        <f>'IMPORT SCHLIESSERDATEN'!DC69</f>
        <v>0</v>
      </c>
      <c r="AC77" s="74">
        <f>'IMPORT SCHLIESSERDATEN'!DE69</f>
        <v>0</v>
      </c>
      <c r="AD77" s="74">
        <f>'IMPORT SCHLIESSERDATEN'!DJ69</f>
        <v>114</v>
      </c>
      <c r="AE77" s="74">
        <f>'IMPORT SCHLIESSERDATEN'!DL69</f>
        <v>0</v>
      </c>
      <c r="AF77" s="74">
        <f>'IMPORT SCHLIESSERDATEN'!DQ69</f>
        <v>0</v>
      </c>
      <c r="AG77" s="74">
        <f>IF('IMPORT SCHLIESSERDATEN'!DS69="V",9999,'IMPORT SCHLIESSERDATEN'!DS69)</f>
        <v>0</v>
      </c>
      <c r="AH77" s="74">
        <f>IF('IMPORT SCHLIESSERDATEN'!BZ69="V",9999,IF('IMPORT SCHLIESSERDATEN'!CD69="_",-1,'IMPORT SCHLIESSERDATEN'!BZ69))</f>
        <v>9999</v>
      </c>
      <c r="AI77" s="74">
        <f>IF('IMPORT SCHLIESSERDATEN'!CA69="V",9999,IF('IMPORT SCHLIESSERDATEN'!CD69="_",-1,'IMPORT SCHLIESSERDATEN'!CA69))</f>
        <v>30</v>
      </c>
      <c r="AJ77" s="74">
        <f>IF('IMPORT SCHLIESSERDATEN'!CB69="V",9999,IF('IMPORT SCHLIESSERDATEN'!CD69="_",-1,'IMPORT SCHLIESSERDATEN'!CB69))</f>
        <v>34</v>
      </c>
      <c r="AK77" s="74">
        <f>IF('IMPORT SCHLIESSERDATEN'!CC69="V",9999,IF('IMPORT SCHLIESSERDATEN'!CC69="_",-1,'IMPORT SCHLIESSERDATEN'!CC69))</f>
        <v>17</v>
      </c>
      <c r="AL77" s="74">
        <f>IF('IMPORT SCHLIESSERDATEN'!CD69="_",-1,'IMPORT SCHLIESSERDATEN'!CD69)</f>
        <v>375</v>
      </c>
      <c r="AM77" s="74">
        <f>'IMPORT SCHLIESSERDATEN'!CH69</f>
        <v>95</v>
      </c>
      <c r="AN77" s="74">
        <f>IF('IMPORT SCHLIESSERDATEN'!CE69="V",9999,'IMPORT SCHLIESSERDATEN'!CE69)</f>
        <v>34</v>
      </c>
      <c r="AO77" s="74">
        <f>IF('IMPORT SCHLIESSERDATEN'!CK69="_",-1,'IMPORT SCHLIESSERDATEN'!CK69)</f>
        <v>164</v>
      </c>
      <c r="AP77" s="74">
        <f>IF('IMPORT SCHLIESSERDATEN'!$U69="",0,1)</f>
        <v>1</v>
      </c>
      <c r="AQ77" s="74">
        <f>IF('IMPORT SCHLIESSERDATEN'!$V69="",0,1)</f>
        <v>0</v>
      </c>
      <c r="AR77" s="74">
        <f>IF('IMPORT SCHLIESSERDATEN'!$W69="",0,1)</f>
        <v>1</v>
      </c>
      <c r="AS77" s="74">
        <f>IF('IMPORT SCHLIESSERDATEN'!$AA69="",0,1)</f>
        <v>1</v>
      </c>
      <c r="AT77" s="74">
        <f>IF('IMPORT SCHLIESSERDATEN'!$AD69="",0,1) + IF('IMPORT SCHLIESSERDATEN'!$AE69="",0,2)</f>
        <v>2</v>
      </c>
      <c r="AU77" s="74" t="str">
        <f>IF('IMPORT SCHLIESSERDATEN'!$X69="",IF('IMPORT SCHLIESSERDATEN'!$Y69="","","F"),"V")</f>
        <v>V</v>
      </c>
      <c r="AV77" s="74" t="str">
        <f>IF('IMPORT SCHLIESSERDATEN'!$AB69&lt;&gt;"","M",IF('IMPORT SCHLIESSERDATEN'!$AD69&lt;&gt;"",IF(ISERR(SEARCH("UVIBIS",'IMPORT SCHLIESSERDATEN'!$B69)),"R","B"),IF(OR('IMPORT SCHLIESSERDATEN'!$AC69&lt;&gt;"",'IMPORT SCHLIESSERDATEN'!$AE69&lt;&gt;""),"E","")))</f>
        <v>E</v>
      </c>
      <c r="AW77" s="82"/>
      <c r="AX77" s="67"/>
    </row>
    <row r="78" spans="1:50" x14ac:dyDescent="0.25">
      <c r="A78" s="67">
        <f>IFERROR(IF(C78&lt;&gt;"",MAX($A$2:$A77)+1,""),"")</f>
        <v>66</v>
      </c>
      <c r="B78" s="223">
        <f t="shared" si="1"/>
        <v>66</v>
      </c>
      <c r="C78" s="216" t="str">
        <f>IF(J78=1,SUBSTITUTE('IMPORT SCHLIESSERDATEN'!$B70," Gangfl.",""),IF(J78=2,SUBSTITUTE('IMPORT SCHLIESSERDATEN'!$B70," Standfl.",""),'IMPORT SCHLIESSERDATEN'!$B70))</f>
        <v>TS 93 G GSR-EMF 2 /BG EN 5-7</v>
      </c>
      <c r="D78" s="216" t="str">
        <f>IF('IMPORT SCHLIESSERDATEN'!$AF70&lt;&gt;"",IF(COUNTA('IMPORT SCHLIESSERDATEN'!$AN70:$AU70)&gt;0,"X","G"),IF('IMPORT SCHLIESSERDATEN'!$AG70&lt;&gt;"","S",IF('IMPORT SCHLIESSERDATEN'!$AH70&lt;&gt;"","I",IF('IMPORT SCHLIESSERDATEN'!$AI70&lt;&gt;"","B",IF('IMPORT SCHLIESSERDATEN'!$AJ70&lt;&gt;"","D","")))))</f>
        <v>G</v>
      </c>
      <c r="E78" s="248" t="str">
        <f>'IMPORT SCHLIESSERDATEN'!AK70 &amp; IF('IMPORT SCHLIESSERDATEN'!AL70="",""," "&amp; 'IMPORT SCHLIESSERDATEN'!AL70)</f>
        <v>93 G</v>
      </c>
      <c r="F78" s="74">
        <f>IFERROR(IF(D78="X",2^(MATCH("",'IMPORT SCHLIESSERDATEN'!$AN70:$AU70,-1)-1),IF(AV78="F",2^(MATCH("",'IMPORT SCHLIESSERDATEN'!$BH70:$BK70,-1)-1),2^(MATCH("",'IMPORT SCHLIESSERDATEN'!$AV70:$BG70,-1)-1))),0)</f>
        <v>256</v>
      </c>
      <c r="G78" s="74">
        <f>IF(AND('IMPORT SCHLIESSERDATEN'!$O70='IMPORT SCHLIESSERDATEN'!$R70,'IMPORT SCHLIESSERDATEN'!$O70&lt;&gt;"",'IMPORT SCHLIESSERDATEN'!$R70&lt;&gt;""),1,0)  +  IF(AND('IMPORT SCHLIESSERDATEN'!$P70='IMPORT SCHLIESSERDATEN'!$S70,'IMPORT SCHLIESSERDATEN'!$P70&lt;&gt;"",'IMPORT SCHLIESSERDATEN'!$S70&lt;&gt;""),2,0)   +  IF(AND('IMPORT SCHLIESSERDATEN'!$O70='IMPORT SCHLIESSERDATEN'!$S70,'IMPORT SCHLIESSERDATEN'!$O70&lt;&gt;"",'IMPORT SCHLIESSERDATEN'!$S70&lt;&gt;""),4,0)   +  IF(AND('IMPORT SCHLIESSERDATEN'!$P70='IMPORT SCHLIESSERDATEN'!$R70,'IMPORT SCHLIESSERDATEN'!$P70&lt;&gt;"",'IMPORT SCHLIESSERDATEN'!$R70&lt;&gt;""),8,0)   +  IF('IMPORT SCHLIESSERDATEN'!$Q70&lt;&gt;"",IF('IMPORT SCHLIESSERDATEN'!$R70&lt;&gt;"",32,0) + IF('IMPORT SCHLIESSERDATEN'!$S70&lt;&gt;"",64,0),0)  +  IF('IMPORT SCHLIESSERDATEN'!$T70&lt;&gt;"",IF('IMPORT SCHLIESSERDATEN'!$Q70&lt;&gt;"",128+256,128),0)</f>
        <v>8</v>
      </c>
      <c r="H78" s="74">
        <f>IF('IMPORT SCHLIESSERDATEN'!$H70="",0,1) + IF('IMPORT SCHLIESSERDATEN'!$I70="",0,2) + IF('IMPORT SCHLIESSERDATEN'!$J70="",0,4) + IF('IMPORT SCHLIESSERDATEN'!$K70="",0,8) + IF('IMPORT SCHLIESSERDATEN'!$L70="",0,16) + IF('IMPORT SCHLIESSERDATEN'!$M70="",0,32) + IF('IMPORT SCHLIESSERDATEN'!$N70="",0,64)</f>
        <v>112</v>
      </c>
      <c r="I78" s="74">
        <f>IF('IMPORT SCHLIESSERDATEN'!$D70="",0,1) + IF('IMPORT SCHLIESSERDATEN'!$E70="",0,2) + IF('IMPORT SCHLIESSERDATEN'!$E70="S",4,0)</f>
        <v>2</v>
      </c>
      <c r="J78" s="74">
        <f>IF(ISERR(FIND(" Gangfl.",'IMPORT SCHLIESSERDATEN'!$B70)),IF(ISERR(FIND(" Standfl.",'IMPORT SCHLIESSERDATEN'!$B70)),0,2),1)</f>
        <v>1</v>
      </c>
      <c r="K78" s="74">
        <f>'IMPORT SCHLIESSERDATEN'!CL70</f>
        <v>0</v>
      </c>
      <c r="L78" s="74">
        <f>'IMPORT SCHLIESSERDATEN'!CN70</f>
        <v>0</v>
      </c>
      <c r="M78" s="74">
        <f>IF('IMPORT SCHLIESSERDATEN'!CS70="wie TS",-1,'IMPORT SCHLIESSERDATEN'!CS70)</f>
        <v>0</v>
      </c>
      <c r="N78" s="74">
        <f>IF(M78&lt;0,-1,'IMPORT SCHLIESSERDATEN'!CU70)</f>
        <v>0</v>
      </c>
      <c r="O78" s="74">
        <f>IF('IMPORT SCHLIESSERDATEN'!CZ70="wie TS",-1,'IMPORT SCHLIESSERDATEN'!CZ70)</f>
        <v>0</v>
      </c>
      <c r="P78" s="74">
        <f>IF(O78&lt;0,-1,'IMPORT SCHLIESSERDATEN'!DB70)</f>
        <v>0</v>
      </c>
      <c r="Q78" s="74">
        <f>'IMPORT SCHLIESSERDATEN'!DG70</f>
        <v>114</v>
      </c>
      <c r="R78" s="74">
        <f>'IMPORT SCHLIESSERDATEN'!DI70</f>
        <v>17</v>
      </c>
      <c r="S78" s="74">
        <f>'IMPORT SCHLIESSERDATEN'!DN70</f>
        <v>0</v>
      </c>
      <c r="T78" s="74">
        <f>IF('IMPORT SCHLIESSERDATEN'!DP70="V",9999,'IMPORT SCHLIESSERDATEN'!DP70)</f>
        <v>0</v>
      </c>
      <c r="U78" s="74">
        <f>'IMPORT SCHLIESSERDATEN'!BW70</f>
        <v>285</v>
      </c>
      <c r="V78" s="74">
        <f>'IMPORT SCHLIESSERDATEN'!BX70</f>
        <v>62</v>
      </c>
      <c r="W78" s="74">
        <f>'IMPORT SCHLIESSERDATEN'!BY70</f>
        <v>71</v>
      </c>
      <c r="X78" s="74">
        <f>'IMPORT SCHLIESSERDATEN'!CO70</f>
        <v>0</v>
      </c>
      <c r="Y78" s="74">
        <f>'IMPORT SCHLIESSERDATEN'!CQ70</f>
        <v>0</v>
      </c>
      <c r="Z78" s="74">
        <f>'IMPORT SCHLIESSERDATEN'!CV70</f>
        <v>0</v>
      </c>
      <c r="AA78" s="74">
        <f>'IMPORT SCHLIESSERDATEN'!CX70</f>
        <v>0</v>
      </c>
      <c r="AB78" s="74">
        <f>'IMPORT SCHLIESSERDATEN'!DC70</f>
        <v>0</v>
      </c>
      <c r="AC78" s="74">
        <f>'IMPORT SCHLIESSERDATEN'!DE70</f>
        <v>0</v>
      </c>
      <c r="AD78" s="74">
        <f>'IMPORT SCHLIESSERDATEN'!DJ70</f>
        <v>114</v>
      </c>
      <c r="AE78" s="74">
        <f>'IMPORT SCHLIESSERDATEN'!DL70</f>
        <v>0</v>
      </c>
      <c r="AF78" s="74">
        <f>'IMPORT SCHLIESSERDATEN'!DQ70</f>
        <v>0</v>
      </c>
      <c r="AG78" s="74">
        <f>IF('IMPORT SCHLIESSERDATEN'!DS70="V",9999,'IMPORT SCHLIESSERDATEN'!DS70)</f>
        <v>0</v>
      </c>
      <c r="AH78" s="74">
        <f>IF('IMPORT SCHLIESSERDATEN'!BZ70="V",9999,IF('IMPORT SCHLIESSERDATEN'!CD70="_",-1,'IMPORT SCHLIESSERDATEN'!BZ70))</f>
        <v>9999</v>
      </c>
      <c r="AI78" s="74">
        <f>IF('IMPORT SCHLIESSERDATEN'!CA70="V",9999,IF('IMPORT SCHLIESSERDATEN'!CD70="_",-1,'IMPORT SCHLIESSERDATEN'!CA70))</f>
        <v>30</v>
      </c>
      <c r="AJ78" s="74">
        <f>IF('IMPORT SCHLIESSERDATEN'!CB70="V",9999,IF('IMPORT SCHLIESSERDATEN'!CD70="_",-1,'IMPORT SCHLIESSERDATEN'!CB70))</f>
        <v>34</v>
      </c>
      <c r="AK78" s="74">
        <f>IF('IMPORT SCHLIESSERDATEN'!CC70="V",9999,IF('IMPORT SCHLIESSERDATEN'!CC70="_",-1,'IMPORT SCHLIESSERDATEN'!CC70))</f>
        <v>17</v>
      </c>
      <c r="AL78" s="74">
        <f>IF('IMPORT SCHLIESSERDATEN'!CD70="_",-1,'IMPORT SCHLIESSERDATEN'!CD70)</f>
        <v>375</v>
      </c>
      <c r="AM78" s="74">
        <f>'IMPORT SCHLIESSERDATEN'!CH70</f>
        <v>95</v>
      </c>
      <c r="AN78" s="74">
        <f>IF('IMPORT SCHLIESSERDATEN'!CE70="V",9999,'IMPORT SCHLIESSERDATEN'!CE70)</f>
        <v>34</v>
      </c>
      <c r="AO78" s="74">
        <f>IF('IMPORT SCHLIESSERDATEN'!CK70="_",-1,'IMPORT SCHLIESSERDATEN'!CK70)</f>
        <v>164</v>
      </c>
      <c r="AP78" s="74">
        <f>IF('IMPORT SCHLIESSERDATEN'!$U70="",0,1)</f>
        <v>1</v>
      </c>
      <c r="AQ78" s="74">
        <f>IF('IMPORT SCHLIESSERDATEN'!$V70="",0,1)</f>
        <v>0</v>
      </c>
      <c r="AR78" s="74">
        <f>IF('IMPORT SCHLIESSERDATEN'!$W70="",0,1)</f>
        <v>1</v>
      </c>
      <c r="AS78" s="74">
        <f>IF('IMPORT SCHLIESSERDATEN'!$AA70="",0,1)</f>
        <v>1</v>
      </c>
      <c r="AT78" s="74">
        <f>IF('IMPORT SCHLIESSERDATEN'!$AD70="",0,1) + IF('IMPORT SCHLIESSERDATEN'!$AE70="",0,2)</f>
        <v>2</v>
      </c>
      <c r="AU78" s="74" t="str">
        <f>IF('IMPORT SCHLIESSERDATEN'!$X70="",IF('IMPORT SCHLIESSERDATEN'!$Y70="","","F"),"V")</f>
        <v>V</v>
      </c>
      <c r="AV78" s="74" t="str">
        <f>IF('IMPORT SCHLIESSERDATEN'!$AB70&lt;&gt;"","M",IF('IMPORT SCHLIESSERDATEN'!$AD70&lt;&gt;"",IF(ISERR(SEARCH("UVIBIS",'IMPORT SCHLIESSERDATEN'!$B70)),"R","B"),IF(OR('IMPORT SCHLIESSERDATEN'!$AC70&lt;&gt;"",'IMPORT SCHLIESSERDATEN'!$AE70&lt;&gt;""),"E","")))</f>
        <v>E</v>
      </c>
      <c r="AW78" s="82"/>
      <c r="AX78" s="67"/>
    </row>
    <row r="79" spans="1:50" x14ac:dyDescent="0.25">
      <c r="A79" s="67">
        <f>IFERROR(IF(C79&lt;&gt;"",MAX($A$2:$A78)+1,""),"")</f>
        <v>67</v>
      </c>
      <c r="B79" s="223">
        <f t="shared" si="1"/>
        <v>67</v>
      </c>
      <c r="C79" s="216" t="str">
        <f>IF(J79=1,SUBSTITUTE('IMPORT SCHLIESSERDATEN'!$B71," Gangfl.",""),IF(J79=2,SUBSTITUTE('IMPORT SCHLIESSERDATEN'!$B71," Standfl.",""),'IMPORT SCHLIESSERDATEN'!$B71))</f>
        <v>TS 93 G GSR-EMR 1 /BG EN 5-7</v>
      </c>
      <c r="D79" s="216" t="str">
        <f>IF('IMPORT SCHLIESSERDATEN'!$AF71&lt;&gt;"",IF(COUNTA('IMPORT SCHLIESSERDATEN'!$AN71:$AU71)&gt;0,"X","G"),IF('IMPORT SCHLIESSERDATEN'!$AG71&lt;&gt;"","S",IF('IMPORT SCHLIESSERDATEN'!$AH71&lt;&gt;"","I",IF('IMPORT SCHLIESSERDATEN'!$AI71&lt;&gt;"","B",IF('IMPORT SCHLIESSERDATEN'!$AJ71&lt;&gt;"","D","")))))</f>
        <v>G</v>
      </c>
      <c r="E79" s="248" t="str">
        <f>'IMPORT SCHLIESSERDATEN'!AK71 &amp; IF('IMPORT SCHLIESSERDATEN'!AL71="",""," "&amp; 'IMPORT SCHLIESSERDATEN'!AL71)</f>
        <v>93 G</v>
      </c>
      <c r="F79" s="74">
        <f>IFERROR(IF(D79="X",2^(MATCH("",'IMPORT SCHLIESSERDATEN'!$AN71:$AU71,-1)-1),IF(AV79="F",2^(MATCH("",'IMPORT SCHLIESSERDATEN'!$BH71:$BK71,-1)-1),2^(MATCH("",'IMPORT SCHLIESSERDATEN'!$AV71:$BG71,-1)-1))),0)</f>
        <v>512</v>
      </c>
      <c r="G79" s="74">
        <f>IF(AND('IMPORT SCHLIESSERDATEN'!$O71='IMPORT SCHLIESSERDATEN'!$R71,'IMPORT SCHLIESSERDATEN'!$O71&lt;&gt;"",'IMPORT SCHLIESSERDATEN'!$R71&lt;&gt;""),1,0)  +  IF(AND('IMPORT SCHLIESSERDATEN'!$P71='IMPORT SCHLIESSERDATEN'!$S71,'IMPORT SCHLIESSERDATEN'!$P71&lt;&gt;"",'IMPORT SCHLIESSERDATEN'!$S71&lt;&gt;""),2,0)   +  IF(AND('IMPORT SCHLIESSERDATEN'!$O71='IMPORT SCHLIESSERDATEN'!$S71,'IMPORT SCHLIESSERDATEN'!$O71&lt;&gt;"",'IMPORT SCHLIESSERDATEN'!$S71&lt;&gt;""),4,0)   +  IF(AND('IMPORT SCHLIESSERDATEN'!$P71='IMPORT SCHLIESSERDATEN'!$R71,'IMPORT SCHLIESSERDATEN'!$P71&lt;&gt;"",'IMPORT SCHLIESSERDATEN'!$R71&lt;&gt;""),8,0)   +  IF('IMPORT SCHLIESSERDATEN'!$Q71&lt;&gt;"",IF('IMPORT SCHLIESSERDATEN'!$R71&lt;&gt;"",32,0) + IF('IMPORT SCHLIESSERDATEN'!$S71&lt;&gt;"",64,0),0)  +  IF('IMPORT SCHLIESSERDATEN'!$T71&lt;&gt;"",IF('IMPORT SCHLIESSERDATEN'!$Q71&lt;&gt;"",128+256,128),0)</f>
        <v>8</v>
      </c>
      <c r="H79" s="74">
        <f>IF('IMPORT SCHLIESSERDATEN'!$H71="",0,1) + IF('IMPORT SCHLIESSERDATEN'!$I71="",0,2) + IF('IMPORT SCHLIESSERDATEN'!$J71="",0,4) + IF('IMPORT SCHLIESSERDATEN'!$K71="",0,8) + IF('IMPORT SCHLIESSERDATEN'!$L71="",0,16) + IF('IMPORT SCHLIESSERDATEN'!$M71="",0,32) + IF('IMPORT SCHLIESSERDATEN'!$N71="",0,64)</f>
        <v>112</v>
      </c>
      <c r="I79" s="74">
        <f>IF('IMPORT SCHLIESSERDATEN'!$D71="",0,1) + IF('IMPORT SCHLIESSERDATEN'!$E71="",0,2) + IF('IMPORT SCHLIESSERDATEN'!$E71="S",4,0)</f>
        <v>2</v>
      </c>
      <c r="J79" s="74">
        <f>IF(ISERR(FIND(" Gangfl.",'IMPORT SCHLIESSERDATEN'!$B71)),IF(ISERR(FIND(" Standfl.",'IMPORT SCHLIESSERDATEN'!$B71)),0,2),1)</f>
        <v>1</v>
      </c>
      <c r="K79" s="74">
        <f>'IMPORT SCHLIESSERDATEN'!CL71</f>
        <v>0</v>
      </c>
      <c r="L79" s="74">
        <f>'IMPORT SCHLIESSERDATEN'!CN71</f>
        <v>0</v>
      </c>
      <c r="M79" s="74">
        <f>IF('IMPORT SCHLIESSERDATEN'!CS71="wie TS",-1,'IMPORT SCHLIESSERDATEN'!CS71)</f>
        <v>0</v>
      </c>
      <c r="N79" s="74">
        <f>IF(M79&lt;0,-1,'IMPORT SCHLIESSERDATEN'!CU71)</f>
        <v>0</v>
      </c>
      <c r="O79" s="74">
        <f>IF('IMPORT SCHLIESSERDATEN'!CZ71="wie TS",-1,'IMPORT SCHLIESSERDATEN'!CZ71)</f>
        <v>0</v>
      </c>
      <c r="P79" s="74">
        <f>IF(O79&lt;0,-1,'IMPORT SCHLIESSERDATEN'!DB71)</f>
        <v>0</v>
      </c>
      <c r="Q79" s="74">
        <f>'IMPORT SCHLIESSERDATEN'!DG71</f>
        <v>114</v>
      </c>
      <c r="R79" s="74">
        <f>'IMPORT SCHLIESSERDATEN'!DI71</f>
        <v>17</v>
      </c>
      <c r="S79" s="74">
        <f>'IMPORT SCHLIESSERDATEN'!DN71</f>
        <v>0</v>
      </c>
      <c r="T79" s="74">
        <f>IF('IMPORT SCHLIESSERDATEN'!DP71="V",9999,'IMPORT SCHLIESSERDATEN'!DP71)</f>
        <v>0</v>
      </c>
      <c r="U79" s="74">
        <f>'IMPORT SCHLIESSERDATEN'!BW71</f>
        <v>285</v>
      </c>
      <c r="V79" s="74">
        <f>'IMPORT SCHLIESSERDATEN'!BX71</f>
        <v>62</v>
      </c>
      <c r="W79" s="74">
        <f>'IMPORT SCHLIESSERDATEN'!BY71</f>
        <v>71</v>
      </c>
      <c r="X79" s="74">
        <f>'IMPORT SCHLIESSERDATEN'!CO71</f>
        <v>0</v>
      </c>
      <c r="Y79" s="74">
        <f>'IMPORT SCHLIESSERDATEN'!CQ71</f>
        <v>0</v>
      </c>
      <c r="Z79" s="74">
        <f>'IMPORT SCHLIESSERDATEN'!CV71</f>
        <v>0</v>
      </c>
      <c r="AA79" s="74">
        <f>'IMPORT SCHLIESSERDATEN'!CX71</f>
        <v>0</v>
      </c>
      <c r="AB79" s="74">
        <f>'IMPORT SCHLIESSERDATEN'!DC71</f>
        <v>0</v>
      </c>
      <c r="AC79" s="74">
        <f>'IMPORT SCHLIESSERDATEN'!DE71</f>
        <v>0</v>
      </c>
      <c r="AD79" s="74">
        <f>'IMPORT SCHLIESSERDATEN'!DJ71</f>
        <v>114</v>
      </c>
      <c r="AE79" s="74">
        <f>'IMPORT SCHLIESSERDATEN'!DL71</f>
        <v>0</v>
      </c>
      <c r="AF79" s="74">
        <f>'IMPORT SCHLIESSERDATEN'!DQ71</f>
        <v>0</v>
      </c>
      <c r="AG79" s="74">
        <f>IF('IMPORT SCHLIESSERDATEN'!DS71="V",9999,'IMPORT SCHLIESSERDATEN'!DS71)</f>
        <v>0</v>
      </c>
      <c r="AH79" s="74">
        <f>IF('IMPORT SCHLIESSERDATEN'!BZ71="V",9999,IF('IMPORT SCHLIESSERDATEN'!CD71="_",-1,'IMPORT SCHLIESSERDATEN'!BZ71))</f>
        <v>9999</v>
      </c>
      <c r="AI79" s="74">
        <f>IF('IMPORT SCHLIESSERDATEN'!CA71="V",9999,IF('IMPORT SCHLIESSERDATEN'!CD71="_",-1,'IMPORT SCHLIESSERDATEN'!CA71))</f>
        <v>30</v>
      </c>
      <c r="AJ79" s="74">
        <f>IF('IMPORT SCHLIESSERDATEN'!CB71="V",9999,IF('IMPORT SCHLIESSERDATEN'!CD71="_",-1,'IMPORT SCHLIESSERDATEN'!CB71))</f>
        <v>55</v>
      </c>
      <c r="AK79" s="74">
        <f>IF('IMPORT SCHLIESSERDATEN'!CC71="V",9999,IF('IMPORT SCHLIESSERDATEN'!CC71="_",-1,'IMPORT SCHLIESSERDATEN'!CC71))</f>
        <v>28</v>
      </c>
      <c r="AL79" s="74">
        <f>IF('IMPORT SCHLIESSERDATEN'!CD71="_",-1,'IMPORT SCHLIESSERDATEN'!CD71)</f>
        <v>375</v>
      </c>
      <c r="AM79" s="74">
        <f>'IMPORT SCHLIESSERDATEN'!CH71</f>
        <v>95</v>
      </c>
      <c r="AN79" s="74">
        <f>IF('IMPORT SCHLIESSERDATEN'!CE71="V",9999,'IMPORT SCHLIESSERDATEN'!CE71)</f>
        <v>34</v>
      </c>
      <c r="AO79" s="74">
        <f>IF('IMPORT SCHLIESSERDATEN'!CK71="_",-1,'IMPORT SCHLIESSERDATEN'!CK71)</f>
        <v>164</v>
      </c>
      <c r="AP79" s="74">
        <f>IF('IMPORT SCHLIESSERDATEN'!$U71="",0,1)</f>
        <v>1</v>
      </c>
      <c r="AQ79" s="74">
        <f>IF('IMPORT SCHLIESSERDATEN'!$V71="",0,1)</f>
        <v>0</v>
      </c>
      <c r="AR79" s="74">
        <f>IF('IMPORT SCHLIESSERDATEN'!$W71="",0,1)</f>
        <v>1</v>
      </c>
      <c r="AS79" s="74">
        <f>IF('IMPORT SCHLIESSERDATEN'!$AA71="",0,1)</f>
        <v>1</v>
      </c>
      <c r="AT79" s="74">
        <f>IF('IMPORT SCHLIESSERDATEN'!$AD71="",0,1) + IF('IMPORT SCHLIESSERDATEN'!$AE71="",0,2)</f>
        <v>1</v>
      </c>
      <c r="AU79" s="74" t="str">
        <f>IF('IMPORT SCHLIESSERDATEN'!$X71="",IF('IMPORT SCHLIESSERDATEN'!$Y71="","","F"),"V")</f>
        <v>V</v>
      </c>
      <c r="AV79" s="74" t="str">
        <f>IF('IMPORT SCHLIESSERDATEN'!$AB71&lt;&gt;"","M",IF('IMPORT SCHLIESSERDATEN'!$AD71&lt;&gt;"",IF(ISERR(SEARCH("UVIBIS",'IMPORT SCHLIESSERDATEN'!$B71)),"R","B"),IF(OR('IMPORT SCHLIESSERDATEN'!$AC71&lt;&gt;"",'IMPORT SCHLIESSERDATEN'!$AE71&lt;&gt;""),"E","")))</f>
        <v>R</v>
      </c>
      <c r="AW79" s="82"/>
      <c r="AX79" s="67"/>
    </row>
    <row r="80" spans="1:50" x14ac:dyDescent="0.25">
      <c r="A80" s="67">
        <f>IFERROR(IF(C80&lt;&gt;"",MAX($A$2:$A79)+1,""),"")</f>
        <v>68</v>
      </c>
      <c r="B80" s="223">
        <f t="shared" si="1"/>
        <v>68</v>
      </c>
      <c r="C80" s="216" t="str">
        <f>IF(J80=1,SUBSTITUTE('IMPORT SCHLIESSERDATEN'!$B72," Gangfl.",""),IF(J80=2,SUBSTITUTE('IMPORT SCHLIESSERDATEN'!$B72," Standfl.",""),'IMPORT SCHLIESSERDATEN'!$B72))</f>
        <v>TS 93 G GSR-EMR 1G /BG EN 5-7</v>
      </c>
      <c r="D80" s="216" t="str">
        <f>IF('IMPORT SCHLIESSERDATEN'!$AF72&lt;&gt;"",IF(COUNTA('IMPORT SCHLIESSERDATEN'!$AN72:$AU72)&gt;0,"X","G"),IF('IMPORT SCHLIESSERDATEN'!$AG72&lt;&gt;"","S",IF('IMPORT SCHLIESSERDATEN'!$AH72&lt;&gt;"","I",IF('IMPORT SCHLIESSERDATEN'!$AI72&lt;&gt;"","B",IF('IMPORT SCHLIESSERDATEN'!$AJ72&lt;&gt;"","D","")))))</f>
        <v>G</v>
      </c>
      <c r="E80" s="248" t="str">
        <f>'IMPORT SCHLIESSERDATEN'!AK72 &amp; IF('IMPORT SCHLIESSERDATEN'!AL72="",""," "&amp; 'IMPORT SCHLIESSERDATEN'!AL72)</f>
        <v>93 G</v>
      </c>
      <c r="F80" s="74">
        <f>IFERROR(IF(D80="X",2^(MATCH("",'IMPORT SCHLIESSERDATEN'!$AN72:$AU72,-1)-1),IF(AV80="F",2^(MATCH("",'IMPORT SCHLIESSERDATEN'!$BH72:$BK72,-1)-1),2^(MATCH("",'IMPORT SCHLIESSERDATEN'!$AV72:$BG72,-1)-1))),0)</f>
        <v>1024</v>
      </c>
      <c r="G80" s="74">
        <f>IF(AND('IMPORT SCHLIESSERDATEN'!$O72='IMPORT SCHLIESSERDATEN'!$R72,'IMPORT SCHLIESSERDATEN'!$O72&lt;&gt;"",'IMPORT SCHLIESSERDATEN'!$R72&lt;&gt;""),1,0)  +  IF(AND('IMPORT SCHLIESSERDATEN'!$P72='IMPORT SCHLIESSERDATEN'!$S72,'IMPORT SCHLIESSERDATEN'!$P72&lt;&gt;"",'IMPORT SCHLIESSERDATEN'!$S72&lt;&gt;""),2,0)   +  IF(AND('IMPORT SCHLIESSERDATEN'!$O72='IMPORT SCHLIESSERDATEN'!$S72,'IMPORT SCHLIESSERDATEN'!$O72&lt;&gt;"",'IMPORT SCHLIESSERDATEN'!$S72&lt;&gt;""),4,0)   +  IF(AND('IMPORT SCHLIESSERDATEN'!$P72='IMPORT SCHLIESSERDATEN'!$R72,'IMPORT SCHLIESSERDATEN'!$P72&lt;&gt;"",'IMPORT SCHLIESSERDATEN'!$R72&lt;&gt;""),8,0)   +  IF('IMPORT SCHLIESSERDATEN'!$Q72&lt;&gt;"",IF('IMPORT SCHLIESSERDATEN'!$R72&lt;&gt;"",32,0) + IF('IMPORT SCHLIESSERDATEN'!$S72&lt;&gt;"",64,0),0)  +  IF('IMPORT SCHLIESSERDATEN'!$T72&lt;&gt;"",IF('IMPORT SCHLIESSERDATEN'!$Q72&lt;&gt;"",128+256,128),0)</f>
        <v>8</v>
      </c>
      <c r="H80" s="74">
        <f>IF('IMPORT SCHLIESSERDATEN'!$H72="",0,1) + IF('IMPORT SCHLIESSERDATEN'!$I72="",0,2) + IF('IMPORT SCHLIESSERDATEN'!$J72="",0,4) + IF('IMPORT SCHLIESSERDATEN'!$K72="",0,8) + IF('IMPORT SCHLIESSERDATEN'!$L72="",0,16) + IF('IMPORT SCHLIESSERDATEN'!$M72="",0,32) + IF('IMPORT SCHLIESSERDATEN'!$N72="",0,64)</f>
        <v>112</v>
      </c>
      <c r="I80" s="74">
        <f>IF('IMPORT SCHLIESSERDATEN'!$D72="",0,1) + IF('IMPORT SCHLIESSERDATEN'!$E72="",0,2) + IF('IMPORT SCHLIESSERDATEN'!$E72="S",4,0)</f>
        <v>2</v>
      </c>
      <c r="J80" s="74">
        <f>IF(ISERR(FIND(" Gangfl.",'IMPORT SCHLIESSERDATEN'!$B72)),IF(ISERR(FIND(" Standfl.",'IMPORT SCHLIESSERDATEN'!$B72)),0,2),1)</f>
        <v>1</v>
      </c>
      <c r="K80" s="74">
        <f>'IMPORT SCHLIESSERDATEN'!CL72</f>
        <v>0</v>
      </c>
      <c r="L80" s="74">
        <f>'IMPORT SCHLIESSERDATEN'!CN72</f>
        <v>0</v>
      </c>
      <c r="M80" s="74">
        <f>IF('IMPORT SCHLIESSERDATEN'!CS72="wie TS",-1,'IMPORT SCHLIESSERDATEN'!CS72)</f>
        <v>0</v>
      </c>
      <c r="N80" s="74">
        <f>IF(M80&lt;0,-1,'IMPORT SCHLIESSERDATEN'!CU72)</f>
        <v>0</v>
      </c>
      <c r="O80" s="74">
        <f>IF('IMPORT SCHLIESSERDATEN'!CZ72="wie TS",-1,'IMPORT SCHLIESSERDATEN'!CZ72)</f>
        <v>0</v>
      </c>
      <c r="P80" s="74">
        <f>IF(O80&lt;0,-1,'IMPORT SCHLIESSERDATEN'!DB72)</f>
        <v>0</v>
      </c>
      <c r="Q80" s="74">
        <f>'IMPORT SCHLIESSERDATEN'!DG72</f>
        <v>114</v>
      </c>
      <c r="R80" s="74">
        <f>'IMPORT SCHLIESSERDATEN'!DI72</f>
        <v>17</v>
      </c>
      <c r="S80" s="74">
        <f>'IMPORT SCHLIESSERDATEN'!DN72</f>
        <v>0</v>
      </c>
      <c r="T80" s="74">
        <f>IF('IMPORT SCHLIESSERDATEN'!DP72="V",9999,'IMPORT SCHLIESSERDATEN'!DP72)</f>
        <v>0</v>
      </c>
      <c r="U80" s="74">
        <f>'IMPORT SCHLIESSERDATEN'!BW72</f>
        <v>285</v>
      </c>
      <c r="V80" s="74">
        <f>'IMPORT SCHLIESSERDATEN'!BX72</f>
        <v>62</v>
      </c>
      <c r="W80" s="74">
        <f>'IMPORT SCHLIESSERDATEN'!BY72</f>
        <v>71</v>
      </c>
      <c r="X80" s="74">
        <f>'IMPORT SCHLIESSERDATEN'!CO72</f>
        <v>0</v>
      </c>
      <c r="Y80" s="74">
        <f>'IMPORT SCHLIESSERDATEN'!CQ72</f>
        <v>0</v>
      </c>
      <c r="Z80" s="74">
        <f>'IMPORT SCHLIESSERDATEN'!CV72</f>
        <v>0</v>
      </c>
      <c r="AA80" s="74">
        <f>'IMPORT SCHLIESSERDATEN'!CX72</f>
        <v>0</v>
      </c>
      <c r="AB80" s="74">
        <f>'IMPORT SCHLIESSERDATEN'!DC72</f>
        <v>0</v>
      </c>
      <c r="AC80" s="74">
        <f>'IMPORT SCHLIESSERDATEN'!DE72</f>
        <v>0</v>
      </c>
      <c r="AD80" s="74">
        <f>'IMPORT SCHLIESSERDATEN'!DJ72</f>
        <v>114</v>
      </c>
      <c r="AE80" s="74">
        <f>'IMPORT SCHLIESSERDATEN'!DL72</f>
        <v>0</v>
      </c>
      <c r="AF80" s="74">
        <f>'IMPORT SCHLIESSERDATEN'!DQ72</f>
        <v>0</v>
      </c>
      <c r="AG80" s="74">
        <f>IF('IMPORT SCHLIESSERDATEN'!DS72="V",9999,'IMPORT SCHLIESSERDATEN'!DS72)</f>
        <v>0</v>
      </c>
      <c r="AH80" s="74">
        <f>IF('IMPORT SCHLIESSERDATEN'!BZ72="V",9999,IF('IMPORT SCHLIESSERDATEN'!CD72="_",-1,'IMPORT SCHLIESSERDATEN'!BZ72))</f>
        <v>9999</v>
      </c>
      <c r="AI80" s="74">
        <f>IF('IMPORT SCHLIESSERDATEN'!CA72="V",9999,IF('IMPORT SCHLIESSERDATEN'!CD72="_",-1,'IMPORT SCHLIESSERDATEN'!CA72))</f>
        <v>30</v>
      </c>
      <c r="AJ80" s="74">
        <f>IF('IMPORT SCHLIESSERDATEN'!CB72="V",9999,IF('IMPORT SCHLIESSERDATEN'!CD72="_",-1,'IMPORT SCHLIESSERDATEN'!CB72))</f>
        <v>55</v>
      </c>
      <c r="AK80" s="74">
        <f>IF('IMPORT SCHLIESSERDATEN'!CC72="V",9999,IF('IMPORT SCHLIESSERDATEN'!CC72="_",-1,'IMPORT SCHLIESSERDATEN'!CC72))</f>
        <v>28</v>
      </c>
      <c r="AL80" s="74">
        <f>IF('IMPORT SCHLIESSERDATEN'!CD72="_",-1,'IMPORT SCHLIESSERDATEN'!CD72)</f>
        <v>375</v>
      </c>
      <c r="AM80" s="74">
        <f>'IMPORT SCHLIESSERDATEN'!CH72</f>
        <v>95</v>
      </c>
      <c r="AN80" s="74">
        <f>IF('IMPORT SCHLIESSERDATEN'!CE72="V",9999,'IMPORT SCHLIESSERDATEN'!CE72)</f>
        <v>34</v>
      </c>
      <c r="AO80" s="74">
        <f>IF('IMPORT SCHLIESSERDATEN'!CK72="_",-1,'IMPORT SCHLIESSERDATEN'!CK72)</f>
        <v>164</v>
      </c>
      <c r="AP80" s="74">
        <f>IF('IMPORT SCHLIESSERDATEN'!$U72="",0,1)</f>
        <v>1</v>
      </c>
      <c r="AQ80" s="74">
        <f>IF('IMPORT SCHLIESSERDATEN'!$V72="",0,1)</f>
        <v>0</v>
      </c>
      <c r="AR80" s="74">
        <f>IF('IMPORT SCHLIESSERDATEN'!$W72="",0,1)</f>
        <v>1</v>
      </c>
      <c r="AS80" s="74">
        <f>IF('IMPORT SCHLIESSERDATEN'!$AA72="",0,1)</f>
        <v>1</v>
      </c>
      <c r="AT80" s="74">
        <f>IF('IMPORT SCHLIESSERDATEN'!$AD72="",0,1) + IF('IMPORT SCHLIESSERDATEN'!$AE72="",0,2)</f>
        <v>1</v>
      </c>
      <c r="AU80" s="74" t="str">
        <f>IF('IMPORT SCHLIESSERDATEN'!$X72="",IF('IMPORT SCHLIESSERDATEN'!$Y72="","","F"),"V")</f>
        <v>V</v>
      </c>
      <c r="AV80" s="74" t="str">
        <f>IF('IMPORT SCHLIESSERDATEN'!$AB72&lt;&gt;"","M",IF('IMPORT SCHLIESSERDATEN'!$AD72&lt;&gt;"",IF(ISERR(SEARCH("UVIBIS",'IMPORT SCHLIESSERDATEN'!$B72)),"R","B"),IF(OR('IMPORT SCHLIESSERDATEN'!$AC72&lt;&gt;"",'IMPORT SCHLIESSERDATEN'!$AE72&lt;&gt;""),"E","")))</f>
        <v>R</v>
      </c>
      <c r="AW80" s="82"/>
      <c r="AX80" s="67"/>
    </row>
    <row r="81" spans="1:50" x14ac:dyDescent="0.25">
      <c r="A81" s="67">
        <f>IFERROR(IF(C81&lt;&gt;"",MAX($A$2:$A80)+1,""),"")</f>
        <v>69</v>
      </c>
      <c r="B81" s="223">
        <f t="shared" si="1"/>
        <v>69</v>
      </c>
      <c r="C81" s="216" t="str">
        <f>IF(J81=1,SUBSTITUTE('IMPORT SCHLIESSERDATEN'!$B73," Gangfl.",""),IF(J81=2,SUBSTITUTE('IMPORT SCHLIESSERDATEN'!$B73," Standfl.",""),'IMPORT SCHLIESSERDATEN'!$B73))</f>
        <v>TS 93 G GSR-EMR 2 /BG EN 5-7</v>
      </c>
      <c r="D81" s="216" t="str">
        <f>IF('IMPORT SCHLIESSERDATEN'!$AF73&lt;&gt;"",IF(COUNTA('IMPORT SCHLIESSERDATEN'!$AN73:$AU73)&gt;0,"X","G"),IF('IMPORT SCHLIESSERDATEN'!$AG73&lt;&gt;"","S",IF('IMPORT SCHLIESSERDATEN'!$AH73&lt;&gt;"","I",IF('IMPORT SCHLIESSERDATEN'!$AI73&lt;&gt;"","B",IF('IMPORT SCHLIESSERDATEN'!$AJ73&lt;&gt;"","D","")))))</f>
        <v>G</v>
      </c>
      <c r="E81" s="248" t="str">
        <f>'IMPORT SCHLIESSERDATEN'!AK73 &amp; IF('IMPORT SCHLIESSERDATEN'!AL73="",""," "&amp; 'IMPORT SCHLIESSERDATEN'!AL73)</f>
        <v>93 G</v>
      </c>
      <c r="F81" s="74">
        <f>IFERROR(IF(D81="X",2^(MATCH("",'IMPORT SCHLIESSERDATEN'!$AN73:$AU73,-1)-1),IF(AV81="F",2^(MATCH("",'IMPORT SCHLIESSERDATEN'!$BH73:$BK73,-1)-1),2^(MATCH("",'IMPORT SCHLIESSERDATEN'!$AV73:$BG73,-1)-1))),0)</f>
        <v>2048</v>
      </c>
      <c r="G81" s="74">
        <f>IF(AND('IMPORT SCHLIESSERDATEN'!$O73='IMPORT SCHLIESSERDATEN'!$R73,'IMPORT SCHLIESSERDATEN'!$O73&lt;&gt;"",'IMPORT SCHLIESSERDATEN'!$R73&lt;&gt;""),1,0)  +  IF(AND('IMPORT SCHLIESSERDATEN'!$P73='IMPORT SCHLIESSERDATEN'!$S73,'IMPORT SCHLIESSERDATEN'!$P73&lt;&gt;"",'IMPORT SCHLIESSERDATEN'!$S73&lt;&gt;""),2,0)   +  IF(AND('IMPORT SCHLIESSERDATEN'!$O73='IMPORT SCHLIESSERDATEN'!$S73,'IMPORT SCHLIESSERDATEN'!$O73&lt;&gt;"",'IMPORT SCHLIESSERDATEN'!$S73&lt;&gt;""),4,0)   +  IF(AND('IMPORT SCHLIESSERDATEN'!$P73='IMPORT SCHLIESSERDATEN'!$R73,'IMPORT SCHLIESSERDATEN'!$P73&lt;&gt;"",'IMPORT SCHLIESSERDATEN'!$R73&lt;&gt;""),8,0)   +  IF('IMPORT SCHLIESSERDATEN'!$Q73&lt;&gt;"",IF('IMPORT SCHLIESSERDATEN'!$R73&lt;&gt;"",32,0) + IF('IMPORT SCHLIESSERDATEN'!$S73&lt;&gt;"",64,0),0)  +  IF('IMPORT SCHLIESSERDATEN'!$T73&lt;&gt;"",IF('IMPORT SCHLIESSERDATEN'!$Q73&lt;&gt;"",128+256,128),0)</f>
        <v>8</v>
      </c>
      <c r="H81" s="74">
        <f>IF('IMPORT SCHLIESSERDATEN'!$H73="",0,1) + IF('IMPORT SCHLIESSERDATEN'!$I73="",0,2) + IF('IMPORT SCHLIESSERDATEN'!$J73="",0,4) + IF('IMPORT SCHLIESSERDATEN'!$K73="",0,8) + IF('IMPORT SCHLIESSERDATEN'!$L73="",0,16) + IF('IMPORT SCHLIESSERDATEN'!$M73="",0,32) + IF('IMPORT SCHLIESSERDATEN'!$N73="",0,64)</f>
        <v>112</v>
      </c>
      <c r="I81" s="74">
        <f>IF('IMPORT SCHLIESSERDATEN'!$D73="",0,1) + IF('IMPORT SCHLIESSERDATEN'!$E73="",0,2) + IF('IMPORT SCHLIESSERDATEN'!$E73="S",4,0)</f>
        <v>2</v>
      </c>
      <c r="J81" s="74">
        <f>IF(ISERR(FIND(" Gangfl.",'IMPORT SCHLIESSERDATEN'!$B73)),IF(ISERR(FIND(" Standfl.",'IMPORT SCHLIESSERDATEN'!$B73)),0,2),1)</f>
        <v>1</v>
      </c>
      <c r="K81" s="74">
        <f>'IMPORT SCHLIESSERDATEN'!CL73</f>
        <v>0</v>
      </c>
      <c r="L81" s="74">
        <f>'IMPORT SCHLIESSERDATEN'!CN73</f>
        <v>0</v>
      </c>
      <c r="M81" s="74">
        <f>IF('IMPORT SCHLIESSERDATEN'!CS73="wie TS",-1,'IMPORT SCHLIESSERDATEN'!CS73)</f>
        <v>0</v>
      </c>
      <c r="N81" s="74">
        <f>IF(M81&lt;0,-1,'IMPORT SCHLIESSERDATEN'!CU73)</f>
        <v>0</v>
      </c>
      <c r="O81" s="74">
        <f>IF('IMPORT SCHLIESSERDATEN'!CZ73="wie TS",-1,'IMPORT SCHLIESSERDATEN'!CZ73)</f>
        <v>0</v>
      </c>
      <c r="P81" s="74">
        <f>IF(O81&lt;0,-1,'IMPORT SCHLIESSERDATEN'!DB73)</f>
        <v>0</v>
      </c>
      <c r="Q81" s="74">
        <f>'IMPORT SCHLIESSERDATEN'!DG73</f>
        <v>114</v>
      </c>
      <c r="R81" s="74">
        <f>'IMPORT SCHLIESSERDATEN'!DI73</f>
        <v>17</v>
      </c>
      <c r="S81" s="74">
        <f>'IMPORT SCHLIESSERDATEN'!DN73</f>
        <v>0</v>
      </c>
      <c r="T81" s="74">
        <f>IF('IMPORT SCHLIESSERDATEN'!DP73="V",9999,'IMPORT SCHLIESSERDATEN'!DP73)</f>
        <v>0</v>
      </c>
      <c r="U81" s="74">
        <f>'IMPORT SCHLIESSERDATEN'!BW73</f>
        <v>285</v>
      </c>
      <c r="V81" s="74">
        <f>'IMPORT SCHLIESSERDATEN'!BX73</f>
        <v>62</v>
      </c>
      <c r="W81" s="74">
        <f>'IMPORT SCHLIESSERDATEN'!BY73</f>
        <v>71</v>
      </c>
      <c r="X81" s="74">
        <f>'IMPORT SCHLIESSERDATEN'!CO73</f>
        <v>0</v>
      </c>
      <c r="Y81" s="74">
        <f>'IMPORT SCHLIESSERDATEN'!CQ73</f>
        <v>0</v>
      </c>
      <c r="Z81" s="74">
        <f>'IMPORT SCHLIESSERDATEN'!CV73</f>
        <v>0</v>
      </c>
      <c r="AA81" s="74">
        <f>'IMPORT SCHLIESSERDATEN'!CX73</f>
        <v>0</v>
      </c>
      <c r="AB81" s="74">
        <f>'IMPORT SCHLIESSERDATEN'!DC73</f>
        <v>0</v>
      </c>
      <c r="AC81" s="74">
        <f>'IMPORT SCHLIESSERDATEN'!DE73</f>
        <v>0</v>
      </c>
      <c r="AD81" s="74">
        <f>'IMPORT SCHLIESSERDATEN'!DJ73</f>
        <v>114</v>
      </c>
      <c r="AE81" s="74">
        <f>'IMPORT SCHLIESSERDATEN'!DL73</f>
        <v>0</v>
      </c>
      <c r="AF81" s="74">
        <f>'IMPORT SCHLIESSERDATEN'!DQ73</f>
        <v>0</v>
      </c>
      <c r="AG81" s="74">
        <f>IF('IMPORT SCHLIESSERDATEN'!DS73="V",9999,'IMPORT SCHLIESSERDATEN'!DS73)</f>
        <v>0</v>
      </c>
      <c r="AH81" s="74">
        <f>IF('IMPORT SCHLIESSERDATEN'!BZ73="V",9999,IF('IMPORT SCHLIESSERDATEN'!CD73="_",-1,'IMPORT SCHLIESSERDATEN'!BZ73))</f>
        <v>9999</v>
      </c>
      <c r="AI81" s="74">
        <f>IF('IMPORT SCHLIESSERDATEN'!CA73="V",9999,IF('IMPORT SCHLIESSERDATEN'!CD73="_",-1,'IMPORT SCHLIESSERDATEN'!CA73))</f>
        <v>30</v>
      </c>
      <c r="AJ81" s="74">
        <f>IF('IMPORT SCHLIESSERDATEN'!CB73="V",9999,IF('IMPORT SCHLIESSERDATEN'!CD73="_",-1,'IMPORT SCHLIESSERDATEN'!CB73))</f>
        <v>55</v>
      </c>
      <c r="AK81" s="74">
        <f>IF('IMPORT SCHLIESSERDATEN'!CC73="V",9999,IF('IMPORT SCHLIESSERDATEN'!CC73="_",-1,'IMPORT SCHLIESSERDATEN'!CC73))</f>
        <v>28</v>
      </c>
      <c r="AL81" s="74">
        <f>IF('IMPORT SCHLIESSERDATEN'!CD73="_",-1,'IMPORT SCHLIESSERDATEN'!CD73)</f>
        <v>375</v>
      </c>
      <c r="AM81" s="74">
        <f>'IMPORT SCHLIESSERDATEN'!CH73</f>
        <v>95</v>
      </c>
      <c r="AN81" s="74">
        <f>IF('IMPORT SCHLIESSERDATEN'!CE73="V",9999,'IMPORT SCHLIESSERDATEN'!CE73)</f>
        <v>34</v>
      </c>
      <c r="AO81" s="74">
        <f>IF('IMPORT SCHLIESSERDATEN'!CK73="_",-1,'IMPORT SCHLIESSERDATEN'!CK73)</f>
        <v>164</v>
      </c>
      <c r="AP81" s="74">
        <f>IF('IMPORT SCHLIESSERDATEN'!$U73="",0,1)</f>
        <v>1</v>
      </c>
      <c r="AQ81" s="74">
        <f>IF('IMPORT SCHLIESSERDATEN'!$V73="",0,1)</f>
        <v>0</v>
      </c>
      <c r="AR81" s="74">
        <f>IF('IMPORT SCHLIESSERDATEN'!$W73="",0,1)</f>
        <v>1</v>
      </c>
      <c r="AS81" s="74">
        <f>IF('IMPORT SCHLIESSERDATEN'!$AA73="",0,1)</f>
        <v>1</v>
      </c>
      <c r="AT81" s="74">
        <f>IF('IMPORT SCHLIESSERDATEN'!$AD73="",0,1) + IF('IMPORT SCHLIESSERDATEN'!$AE73="",0,2)</f>
        <v>1</v>
      </c>
      <c r="AU81" s="74" t="str">
        <f>IF('IMPORT SCHLIESSERDATEN'!$X73="",IF('IMPORT SCHLIESSERDATEN'!$Y73="","","F"),"V")</f>
        <v>V</v>
      </c>
      <c r="AV81" s="74" t="str">
        <f>IF('IMPORT SCHLIESSERDATEN'!$AB73&lt;&gt;"","M",IF('IMPORT SCHLIESSERDATEN'!$AD73&lt;&gt;"",IF(ISERR(SEARCH("UVIBIS",'IMPORT SCHLIESSERDATEN'!$B73)),"R","B"),IF(OR('IMPORT SCHLIESSERDATEN'!$AC73&lt;&gt;"",'IMPORT SCHLIESSERDATEN'!$AE73&lt;&gt;""),"E","")))</f>
        <v>R</v>
      </c>
      <c r="AW81" s="82"/>
      <c r="AX81" s="67"/>
    </row>
    <row r="82" spans="1:50" x14ac:dyDescent="0.25">
      <c r="A82" s="67">
        <f>IFERROR(IF(C82&lt;&gt;"",MAX($A$2:$A81)+1,""),"")</f>
        <v>70</v>
      </c>
      <c r="B82" s="223">
        <f t="shared" si="1"/>
        <v>70</v>
      </c>
      <c r="C82" s="216" t="str">
        <f>IF(J82=1,SUBSTITUTE('IMPORT SCHLIESSERDATEN'!$B74," Gangfl.",""),IF(J82=2,SUBSTITUTE('IMPORT SCHLIESSERDATEN'!$B74," Standfl.",""),'IMPORT SCHLIESSERDATEN'!$B74))</f>
        <v>TS 93 G GSR /BG EN 5-7</v>
      </c>
      <c r="D82" s="216" t="str">
        <f>IF('IMPORT SCHLIESSERDATEN'!$AF74&lt;&gt;"",IF(COUNTA('IMPORT SCHLIESSERDATEN'!$AN74:$AU74)&gt;0,"X","G"),IF('IMPORT SCHLIESSERDATEN'!$AG74&lt;&gt;"","S",IF('IMPORT SCHLIESSERDATEN'!$AH74&lt;&gt;"","I",IF('IMPORT SCHLIESSERDATEN'!$AI74&lt;&gt;"","B",IF('IMPORT SCHLIESSERDATEN'!$AJ74&lt;&gt;"","D","")))))</f>
        <v>G</v>
      </c>
      <c r="E82" s="248" t="str">
        <f>'IMPORT SCHLIESSERDATEN'!AK74 &amp; IF('IMPORT SCHLIESSERDATEN'!AL74="",""," "&amp; 'IMPORT SCHLIESSERDATEN'!AL74)</f>
        <v>93 G</v>
      </c>
      <c r="F82" s="74">
        <f>IFERROR(IF(D82="X",2^(MATCH("",'IMPORT SCHLIESSERDATEN'!$AN74:$AU74,-1)-1),IF(AV82="F",2^(MATCH("",'IMPORT SCHLIESSERDATEN'!$BH74:$BK74,-1)-1),2^(MATCH("",'IMPORT SCHLIESSERDATEN'!$AV74:$BG74,-1)-1))),0)</f>
        <v>16</v>
      </c>
      <c r="G82" s="74">
        <f>IF(AND('IMPORT SCHLIESSERDATEN'!$O74='IMPORT SCHLIESSERDATEN'!$R74,'IMPORT SCHLIESSERDATEN'!$O74&lt;&gt;"",'IMPORT SCHLIESSERDATEN'!$R74&lt;&gt;""),1,0)  +  IF(AND('IMPORT SCHLIESSERDATEN'!$P74='IMPORT SCHLIESSERDATEN'!$S74,'IMPORT SCHLIESSERDATEN'!$P74&lt;&gt;"",'IMPORT SCHLIESSERDATEN'!$S74&lt;&gt;""),2,0)   +  IF(AND('IMPORT SCHLIESSERDATEN'!$O74='IMPORT SCHLIESSERDATEN'!$S74,'IMPORT SCHLIESSERDATEN'!$O74&lt;&gt;"",'IMPORT SCHLIESSERDATEN'!$S74&lt;&gt;""),4,0)   +  IF(AND('IMPORT SCHLIESSERDATEN'!$P74='IMPORT SCHLIESSERDATEN'!$R74,'IMPORT SCHLIESSERDATEN'!$P74&lt;&gt;"",'IMPORT SCHLIESSERDATEN'!$R74&lt;&gt;""),8,0)   +  IF('IMPORT SCHLIESSERDATEN'!$Q74&lt;&gt;"",IF('IMPORT SCHLIESSERDATEN'!$R74&lt;&gt;"",32,0) + IF('IMPORT SCHLIESSERDATEN'!$S74&lt;&gt;"",64,0),0)  +  IF('IMPORT SCHLIESSERDATEN'!$T74&lt;&gt;"",IF('IMPORT SCHLIESSERDATEN'!$Q74&lt;&gt;"",128+256,128),0)</f>
        <v>8</v>
      </c>
      <c r="H82" s="74">
        <f>IF('IMPORT SCHLIESSERDATEN'!$H74="",0,1) + IF('IMPORT SCHLIESSERDATEN'!$I74="",0,2) + IF('IMPORT SCHLIESSERDATEN'!$J74="",0,4) + IF('IMPORT SCHLIESSERDATEN'!$K74="",0,8) + IF('IMPORT SCHLIESSERDATEN'!$L74="",0,16) + IF('IMPORT SCHLIESSERDATEN'!$M74="",0,32) + IF('IMPORT SCHLIESSERDATEN'!$N74="",0,64)</f>
        <v>112</v>
      </c>
      <c r="I82" s="74">
        <f>IF('IMPORT SCHLIESSERDATEN'!$D74="",0,1) + IF('IMPORT SCHLIESSERDATEN'!$E74="",0,2) + IF('IMPORT SCHLIESSERDATEN'!$E74="S",4,0)</f>
        <v>2</v>
      </c>
      <c r="J82" s="74">
        <f>IF(ISERR(FIND(" Gangfl.",'IMPORT SCHLIESSERDATEN'!$B74)),IF(ISERR(FIND(" Standfl.",'IMPORT SCHLIESSERDATEN'!$B74)),0,2),1)</f>
        <v>2</v>
      </c>
      <c r="K82" s="74">
        <f>'IMPORT SCHLIESSERDATEN'!CL74</f>
        <v>0</v>
      </c>
      <c r="L82" s="74">
        <f>'IMPORT SCHLIESSERDATEN'!CN74</f>
        <v>0</v>
      </c>
      <c r="M82" s="74">
        <f>IF('IMPORT SCHLIESSERDATEN'!CS74="wie TS",-1,'IMPORT SCHLIESSERDATEN'!CS74)</f>
        <v>0</v>
      </c>
      <c r="N82" s="74">
        <f>IF(M82&lt;0,-1,'IMPORT SCHLIESSERDATEN'!CU74)</f>
        <v>0</v>
      </c>
      <c r="O82" s="74">
        <f>IF('IMPORT SCHLIESSERDATEN'!CZ74="wie TS",-1,'IMPORT SCHLIESSERDATEN'!CZ74)</f>
        <v>0</v>
      </c>
      <c r="P82" s="74">
        <f>IF(O82&lt;0,-1,'IMPORT SCHLIESSERDATEN'!DB74)</f>
        <v>0</v>
      </c>
      <c r="Q82" s="74">
        <f>'IMPORT SCHLIESSERDATEN'!DG74</f>
        <v>45</v>
      </c>
      <c r="R82" s="74">
        <f>'IMPORT SCHLIESSERDATEN'!DI74</f>
        <v>17</v>
      </c>
      <c r="S82" s="74">
        <f>'IMPORT SCHLIESSERDATEN'!DN74</f>
        <v>45</v>
      </c>
      <c r="T82" s="74">
        <f>IF('IMPORT SCHLIESSERDATEN'!DP74="V",9999,'IMPORT SCHLIESSERDATEN'!DP74)</f>
        <v>9999</v>
      </c>
      <c r="U82" s="74">
        <f>'IMPORT SCHLIESSERDATEN'!BW74</f>
        <v>285</v>
      </c>
      <c r="V82" s="74">
        <f>'IMPORT SCHLIESSERDATEN'!BX74</f>
        <v>62</v>
      </c>
      <c r="W82" s="74">
        <f>'IMPORT SCHLIESSERDATEN'!BY74</f>
        <v>71</v>
      </c>
      <c r="X82" s="74">
        <f>'IMPORT SCHLIESSERDATEN'!CO74</f>
        <v>0</v>
      </c>
      <c r="Y82" s="74">
        <f>'IMPORT SCHLIESSERDATEN'!CQ74</f>
        <v>0</v>
      </c>
      <c r="Z82" s="74">
        <f>'IMPORT SCHLIESSERDATEN'!CV74</f>
        <v>0</v>
      </c>
      <c r="AA82" s="74">
        <f>'IMPORT SCHLIESSERDATEN'!CX74</f>
        <v>0</v>
      </c>
      <c r="AB82" s="74">
        <f>'IMPORT SCHLIESSERDATEN'!DC74</f>
        <v>0</v>
      </c>
      <c r="AC82" s="74">
        <f>'IMPORT SCHLIESSERDATEN'!DE74</f>
        <v>0</v>
      </c>
      <c r="AD82" s="74">
        <f>'IMPORT SCHLIESSERDATEN'!DJ74</f>
        <v>45</v>
      </c>
      <c r="AE82" s="74">
        <f>'IMPORT SCHLIESSERDATEN'!DL74</f>
        <v>0</v>
      </c>
      <c r="AF82" s="74">
        <f>'IMPORT SCHLIESSERDATEN'!DQ74</f>
        <v>45</v>
      </c>
      <c r="AG82" s="74">
        <f>IF('IMPORT SCHLIESSERDATEN'!DS74="V",9999,'IMPORT SCHLIESSERDATEN'!DS74)</f>
        <v>34</v>
      </c>
      <c r="AH82" s="74">
        <f>IF('IMPORT SCHLIESSERDATEN'!BZ74="V",9999,IF('IMPORT SCHLIESSERDATEN'!CD74="_",-1,'IMPORT SCHLIESSERDATEN'!BZ74))</f>
        <v>9999</v>
      </c>
      <c r="AI82" s="74">
        <f>IF('IMPORT SCHLIESSERDATEN'!CA74="V",9999,IF('IMPORT SCHLIESSERDATEN'!CD74="_",-1,'IMPORT SCHLIESSERDATEN'!CA74))</f>
        <v>30</v>
      </c>
      <c r="AJ82" s="74">
        <f>IF('IMPORT SCHLIESSERDATEN'!CB74="V",9999,IF('IMPORT SCHLIESSERDATEN'!CD74="_",-1,'IMPORT SCHLIESSERDATEN'!CB74))</f>
        <v>34</v>
      </c>
      <c r="AK82" s="74">
        <f>IF('IMPORT SCHLIESSERDATEN'!CC74="V",9999,IF('IMPORT SCHLIESSERDATEN'!CC74="_",-1,'IMPORT SCHLIESSERDATEN'!CC74))</f>
        <v>17</v>
      </c>
      <c r="AL82" s="74">
        <f>IF('IMPORT SCHLIESSERDATEN'!CD74="_",-1,'IMPORT SCHLIESSERDATEN'!CD74)</f>
        <v>375</v>
      </c>
      <c r="AM82" s="74">
        <f>'IMPORT SCHLIESSERDATEN'!CH74</f>
        <v>95</v>
      </c>
      <c r="AN82" s="74">
        <f>IF('IMPORT SCHLIESSERDATEN'!CE74="V",9999,'IMPORT SCHLIESSERDATEN'!CE74)</f>
        <v>34</v>
      </c>
      <c r="AO82" s="74">
        <f>IF('IMPORT SCHLIESSERDATEN'!CK74="_",-1,'IMPORT SCHLIESSERDATEN'!CK74)</f>
        <v>51</v>
      </c>
      <c r="AP82" s="74">
        <f>IF('IMPORT SCHLIESSERDATEN'!$U74="",0,1)</f>
        <v>1</v>
      </c>
      <c r="AQ82" s="74">
        <f>IF('IMPORT SCHLIESSERDATEN'!$V74="",0,1)</f>
        <v>0</v>
      </c>
      <c r="AR82" s="74">
        <f>IF('IMPORT SCHLIESSERDATEN'!$W74="",0,1)</f>
        <v>1</v>
      </c>
      <c r="AS82" s="74">
        <f>IF('IMPORT SCHLIESSERDATEN'!$AA74="",0,1)</f>
        <v>1</v>
      </c>
      <c r="AT82" s="74">
        <f>IF('IMPORT SCHLIESSERDATEN'!$AD74="",0,1) + IF('IMPORT SCHLIESSERDATEN'!$AE74="",0,2)</f>
        <v>0</v>
      </c>
      <c r="AU82" s="74" t="str">
        <f>IF('IMPORT SCHLIESSERDATEN'!$X74="",IF('IMPORT SCHLIESSERDATEN'!$Y74="","","F"),"V")</f>
        <v>V</v>
      </c>
      <c r="AV82" s="74" t="str">
        <f>IF('IMPORT SCHLIESSERDATEN'!$AB74&lt;&gt;"","M",IF('IMPORT SCHLIESSERDATEN'!$AD74&lt;&gt;"",IF(ISERR(SEARCH("UVIBIS",'IMPORT SCHLIESSERDATEN'!$B74)),"R","B"),IF(OR('IMPORT SCHLIESSERDATEN'!$AC74&lt;&gt;"",'IMPORT SCHLIESSERDATEN'!$AE74&lt;&gt;""),"E","")))</f>
        <v/>
      </c>
      <c r="AW82" s="82"/>
      <c r="AX82" s="67"/>
    </row>
    <row r="83" spans="1:50" x14ac:dyDescent="0.25">
      <c r="A83" s="67">
        <f>IFERROR(IF(C83&lt;&gt;"",MAX($A$2:$A82)+1,""),"")</f>
        <v>71</v>
      </c>
      <c r="B83" s="223">
        <f t="shared" si="1"/>
        <v>71</v>
      </c>
      <c r="C83" s="216" t="str">
        <f>IF(J83=1,SUBSTITUTE('IMPORT SCHLIESSERDATEN'!$B75," Gangfl.",""),IF(J83=2,SUBSTITUTE('IMPORT SCHLIESSERDATEN'!$B75," Standfl.",""),'IMPORT SCHLIESSERDATEN'!$B75))</f>
        <v>TS 93 G GSR RF /BG EN 5-7</v>
      </c>
      <c r="D83" s="216" t="str">
        <f>IF('IMPORT SCHLIESSERDATEN'!$AF75&lt;&gt;"",IF(COUNTA('IMPORT SCHLIESSERDATEN'!$AN75:$AU75)&gt;0,"X","G"),IF('IMPORT SCHLIESSERDATEN'!$AG75&lt;&gt;"","S",IF('IMPORT SCHLIESSERDATEN'!$AH75&lt;&gt;"","I",IF('IMPORT SCHLIESSERDATEN'!$AI75&lt;&gt;"","B",IF('IMPORT SCHLIESSERDATEN'!$AJ75&lt;&gt;"","D","")))))</f>
        <v>G</v>
      </c>
      <c r="E83" s="248" t="str">
        <f>'IMPORT SCHLIESSERDATEN'!AK75 &amp; IF('IMPORT SCHLIESSERDATEN'!AL75="",""," "&amp; 'IMPORT SCHLIESSERDATEN'!AL75)</f>
        <v>93 G</v>
      </c>
      <c r="F83" s="74">
        <f>IFERROR(IF(D83="X",2^(MATCH("",'IMPORT SCHLIESSERDATEN'!$AN75:$AU75,-1)-1),IF(AV83="F",2^(MATCH("",'IMPORT SCHLIESSERDATEN'!$BH75:$BK75,-1)-1),2^(MATCH("",'IMPORT SCHLIESSERDATEN'!$AV75:$BG75,-1)-1))),0)</f>
        <v>32</v>
      </c>
      <c r="G83" s="74">
        <f>IF(AND('IMPORT SCHLIESSERDATEN'!$O75='IMPORT SCHLIESSERDATEN'!$R75,'IMPORT SCHLIESSERDATEN'!$O75&lt;&gt;"",'IMPORT SCHLIESSERDATEN'!$R75&lt;&gt;""),1,0)  +  IF(AND('IMPORT SCHLIESSERDATEN'!$P75='IMPORT SCHLIESSERDATEN'!$S75,'IMPORT SCHLIESSERDATEN'!$P75&lt;&gt;"",'IMPORT SCHLIESSERDATEN'!$S75&lt;&gt;""),2,0)   +  IF(AND('IMPORT SCHLIESSERDATEN'!$O75='IMPORT SCHLIESSERDATEN'!$S75,'IMPORT SCHLIESSERDATEN'!$O75&lt;&gt;"",'IMPORT SCHLIESSERDATEN'!$S75&lt;&gt;""),4,0)   +  IF(AND('IMPORT SCHLIESSERDATEN'!$P75='IMPORT SCHLIESSERDATEN'!$R75,'IMPORT SCHLIESSERDATEN'!$P75&lt;&gt;"",'IMPORT SCHLIESSERDATEN'!$R75&lt;&gt;""),8,0)   +  IF('IMPORT SCHLIESSERDATEN'!$Q75&lt;&gt;"",IF('IMPORT SCHLIESSERDATEN'!$R75&lt;&gt;"",32,0) + IF('IMPORT SCHLIESSERDATEN'!$S75&lt;&gt;"",64,0),0)  +  IF('IMPORT SCHLIESSERDATEN'!$T75&lt;&gt;"",IF('IMPORT SCHLIESSERDATEN'!$Q75&lt;&gt;"",128+256,128),0)</f>
        <v>8</v>
      </c>
      <c r="H83" s="74">
        <f>IF('IMPORT SCHLIESSERDATEN'!$H75="",0,1) + IF('IMPORT SCHLIESSERDATEN'!$I75="",0,2) + IF('IMPORT SCHLIESSERDATEN'!$J75="",0,4) + IF('IMPORT SCHLIESSERDATEN'!$K75="",0,8) + IF('IMPORT SCHLIESSERDATEN'!$L75="",0,16) + IF('IMPORT SCHLIESSERDATEN'!$M75="",0,32) + IF('IMPORT SCHLIESSERDATEN'!$N75="",0,64)</f>
        <v>112</v>
      </c>
      <c r="I83" s="74">
        <f>IF('IMPORT SCHLIESSERDATEN'!$D75="",0,1) + IF('IMPORT SCHLIESSERDATEN'!$E75="",0,2) + IF('IMPORT SCHLIESSERDATEN'!$E75="S",4,0)</f>
        <v>2</v>
      </c>
      <c r="J83" s="74">
        <f>IF(ISERR(FIND(" Gangfl.",'IMPORT SCHLIESSERDATEN'!$B75)),IF(ISERR(FIND(" Standfl.",'IMPORT SCHLIESSERDATEN'!$B75)),0,2),1)</f>
        <v>2</v>
      </c>
      <c r="K83" s="74">
        <f>'IMPORT SCHLIESSERDATEN'!CL75</f>
        <v>0</v>
      </c>
      <c r="L83" s="74">
        <f>'IMPORT SCHLIESSERDATEN'!CN75</f>
        <v>0</v>
      </c>
      <c r="M83" s="74">
        <f>IF('IMPORT SCHLIESSERDATEN'!CS75="wie TS",-1,'IMPORT SCHLIESSERDATEN'!CS75)</f>
        <v>0</v>
      </c>
      <c r="N83" s="74">
        <f>IF(M83&lt;0,-1,'IMPORT SCHLIESSERDATEN'!CU75)</f>
        <v>0</v>
      </c>
      <c r="O83" s="74">
        <f>IF('IMPORT SCHLIESSERDATEN'!CZ75="wie TS",-1,'IMPORT SCHLIESSERDATEN'!CZ75)</f>
        <v>0</v>
      </c>
      <c r="P83" s="74">
        <f>IF(O83&lt;0,-1,'IMPORT SCHLIESSERDATEN'!DB75)</f>
        <v>0</v>
      </c>
      <c r="Q83" s="74">
        <f>'IMPORT SCHLIESSERDATEN'!DG75</f>
        <v>45</v>
      </c>
      <c r="R83" s="74">
        <f>'IMPORT SCHLIESSERDATEN'!DI75</f>
        <v>17</v>
      </c>
      <c r="S83" s="74">
        <f>'IMPORT SCHLIESSERDATEN'!DN75</f>
        <v>45</v>
      </c>
      <c r="T83" s="74">
        <f>IF('IMPORT SCHLIESSERDATEN'!DP75="V",9999,'IMPORT SCHLIESSERDATEN'!DP75)</f>
        <v>9999</v>
      </c>
      <c r="U83" s="74">
        <f>'IMPORT SCHLIESSERDATEN'!BW75</f>
        <v>285</v>
      </c>
      <c r="V83" s="74">
        <f>'IMPORT SCHLIESSERDATEN'!BX75</f>
        <v>62</v>
      </c>
      <c r="W83" s="74">
        <f>'IMPORT SCHLIESSERDATEN'!BY75</f>
        <v>71</v>
      </c>
      <c r="X83" s="74">
        <f>'IMPORT SCHLIESSERDATEN'!CO75</f>
        <v>0</v>
      </c>
      <c r="Y83" s="74">
        <f>'IMPORT SCHLIESSERDATEN'!CQ75</f>
        <v>0</v>
      </c>
      <c r="Z83" s="74">
        <f>'IMPORT SCHLIESSERDATEN'!CV75</f>
        <v>0</v>
      </c>
      <c r="AA83" s="74">
        <f>'IMPORT SCHLIESSERDATEN'!CX75</f>
        <v>0</v>
      </c>
      <c r="AB83" s="74">
        <f>'IMPORT SCHLIESSERDATEN'!DC75</f>
        <v>0</v>
      </c>
      <c r="AC83" s="74">
        <f>'IMPORT SCHLIESSERDATEN'!DE75</f>
        <v>0</v>
      </c>
      <c r="AD83" s="74">
        <f>'IMPORT SCHLIESSERDATEN'!DJ75</f>
        <v>45</v>
      </c>
      <c r="AE83" s="74">
        <f>'IMPORT SCHLIESSERDATEN'!DL75</f>
        <v>0</v>
      </c>
      <c r="AF83" s="74">
        <f>'IMPORT SCHLIESSERDATEN'!DQ75</f>
        <v>45</v>
      </c>
      <c r="AG83" s="74">
        <f>IF('IMPORT SCHLIESSERDATEN'!DS75="V",9999,'IMPORT SCHLIESSERDATEN'!DS75)</f>
        <v>34</v>
      </c>
      <c r="AH83" s="74">
        <f>IF('IMPORT SCHLIESSERDATEN'!BZ75="V",9999,IF('IMPORT SCHLIESSERDATEN'!CD75="_",-1,'IMPORT SCHLIESSERDATEN'!BZ75))</f>
        <v>9999</v>
      </c>
      <c r="AI83" s="74">
        <f>IF('IMPORT SCHLIESSERDATEN'!CA75="V",9999,IF('IMPORT SCHLIESSERDATEN'!CD75="_",-1,'IMPORT SCHLIESSERDATEN'!CA75))</f>
        <v>30</v>
      </c>
      <c r="AJ83" s="74">
        <f>IF('IMPORT SCHLIESSERDATEN'!CB75="V",9999,IF('IMPORT SCHLIESSERDATEN'!CD75="_",-1,'IMPORT SCHLIESSERDATEN'!CB75))</f>
        <v>34</v>
      </c>
      <c r="AK83" s="74">
        <f>IF('IMPORT SCHLIESSERDATEN'!CC75="V",9999,IF('IMPORT SCHLIESSERDATEN'!CC75="_",-1,'IMPORT SCHLIESSERDATEN'!CC75))</f>
        <v>17</v>
      </c>
      <c r="AL83" s="74">
        <f>IF('IMPORT SCHLIESSERDATEN'!CD75="_",-1,'IMPORT SCHLIESSERDATEN'!CD75)</f>
        <v>375</v>
      </c>
      <c r="AM83" s="74">
        <f>'IMPORT SCHLIESSERDATEN'!CH75</f>
        <v>95</v>
      </c>
      <c r="AN83" s="74">
        <f>IF('IMPORT SCHLIESSERDATEN'!CE75="V",9999,'IMPORT SCHLIESSERDATEN'!CE75)</f>
        <v>34</v>
      </c>
      <c r="AO83" s="74">
        <f>IF('IMPORT SCHLIESSERDATEN'!CK75="_",-1,'IMPORT SCHLIESSERDATEN'!CK75)</f>
        <v>51</v>
      </c>
      <c r="AP83" s="74">
        <f>IF('IMPORT SCHLIESSERDATEN'!$U75="",0,1)</f>
        <v>0</v>
      </c>
      <c r="AQ83" s="74">
        <f>IF('IMPORT SCHLIESSERDATEN'!$V75="",0,1)</f>
        <v>0</v>
      </c>
      <c r="AR83" s="74">
        <f>IF('IMPORT SCHLIESSERDATEN'!$W75="",0,1)</f>
        <v>1</v>
      </c>
      <c r="AS83" s="74">
        <f>IF('IMPORT SCHLIESSERDATEN'!$AA75="",0,1)</f>
        <v>1</v>
      </c>
      <c r="AT83" s="74">
        <f>IF('IMPORT SCHLIESSERDATEN'!$AD75="",0,1) + IF('IMPORT SCHLIESSERDATEN'!$AE75="",0,2)</f>
        <v>0</v>
      </c>
      <c r="AU83" s="74" t="str">
        <f>IF('IMPORT SCHLIESSERDATEN'!$X75="",IF('IMPORT SCHLIESSERDATEN'!$Y75="","","F"),"V")</f>
        <v>V</v>
      </c>
      <c r="AV83" s="74" t="str">
        <f>IF('IMPORT SCHLIESSERDATEN'!$AB75&lt;&gt;"","M",IF('IMPORT SCHLIESSERDATEN'!$AD75&lt;&gt;"",IF(ISERR(SEARCH("UVIBIS",'IMPORT SCHLIESSERDATEN'!$B75)),"R","B"),IF(OR('IMPORT SCHLIESSERDATEN'!$AC75&lt;&gt;"",'IMPORT SCHLIESSERDATEN'!$AE75&lt;&gt;""),"E","")))</f>
        <v>M</v>
      </c>
      <c r="AW83" s="82"/>
      <c r="AX83" s="67"/>
    </row>
    <row r="84" spans="1:50" x14ac:dyDescent="0.25">
      <c r="A84" s="67">
        <f>IFERROR(IF(C84&lt;&gt;"",MAX($A$2:$A83)+1,""),"")</f>
        <v>72</v>
      </c>
      <c r="B84" s="223">
        <f t="shared" si="1"/>
        <v>72</v>
      </c>
      <c r="C84" s="216" t="str">
        <f>IF(J84=1,SUBSTITUTE('IMPORT SCHLIESSERDATEN'!$B76," Gangfl.",""),IF(J84=2,SUBSTITUTE('IMPORT SCHLIESSERDATEN'!$B76," Standfl.",""),'IMPORT SCHLIESSERDATEN'!$B76))</f>
        <v>TS 93 G GSR-EMF 1 /BG EN 5-7</v>
      </c>
      <c r="D84" s="216" t="str">
        <f>IF('IMPORT SCHLIESSERDATEN'!$AF76&lt;&gt;"",IF(COUNTA('IMPORT SCHLIESSERDATEN'!$AN76:$AU76)&gt;0,"X","G"),IF('IMPORT SCHLIESSERDATEN'!$AG76&lt;&gt;"","S",IF('IMPORT SCHLIESSERDATEN'!$AH76&lt;&gt;"","I",IF('IMPORT SCHLIESSERDATEN'!$AI76&lt;&gt;"","B",IF('IMPORT SCHLIESSERDATEN'!$AJ76&lt;&gt;"","D","")))))</f>
        <v>G</v>
      </c>
      <c r="E84" s="248" t="str">
        <f>'IMPORT SCHLIESSERDATEN'!AK76 &amp; IF('IMPORT SCHLIESSERDATEN'!AL76="",""," "&amp; 'IMPORT SCHLIESSERDATEN'!AL76)</f>
        <v>93 G</v>
      </c>
      <c r="F84" s="74">
        <f>IFERROR(IF(D84="X",2^(MATCH("",'IMPORT SCHLIESSERDATEN'!$AN76:$AU76,-1)-1),IF(AV84="F",2^(MATCH("",'IMPORT SCHLIESSERDATEN'!$BH76:$BK76,-1)-1),2^(MATCH("",'IMPORT SCHLIESSERDATEN'!$AV76:$BG76,-1)-1))),0)</f>
        <v>64</v>
      </c>
      <c r="G84" s="74">
        <f>IF(AND('IMPORT SCHLIESSERDATEN'!$O76='IMPORT SCHLIESSERDATEN'!$R76,'IMPORT SCHLIESSERDATEN'!$O76&lt;&gt;"",'IMPORT SCHLIESSERDATEN'!$R76&lt;&gt;""),1,0)  +  IF(AND('IMPORT SCHLIESSERDATEN'!$P76='IMPORT SCHLIESSERDATEN'!$S76,'IMPORT SCHLIESSERDATEN'!$P76&lt;&gt;"",'IMPORT SCHLIESSERDATEN'!$S76&lt;&gt;""),2,0)   +  IF(AND('IMPORT SCHLIESSERDATEN'!$O76='IMPORT SCHLIESSERDATEN'!$S76,'IMPORT SCHLIESSERDATEN'!$O76&lt;&gt;"",'IMPORT SCHLIESSERDATEN'!$S76&lt;&gt;""),4,0)   +  IF(AND('IMPORT SCHLIESSERDATEN'!$P76='IMPORT SCHLIESSERDATEN'!$R76,'IMPORT SCHLIESSERDATEN'!$P76&lt;&gt;"",'IMPORT SCHLIESSERDATEN'!$R76&lt;&gt;""),8,0)   +  IF('IMPORT SCHLIESSERDATEN'!$Q76&lt;&gt;"",IF('IMPORT SCHLIESSERDATEN'!$R76&lt;&gt;"",32,0) + IF('IMPORT SCHLIESSERDATEN'!$S76&lt;&gt;"",64,0),0)  +  IF('IMPORT SCHLIESSERDATEN'!$T76&lt;&gt;"",IF('IMPORT SCHLIESSERDATEN'!$Q76&lt;&gt;"",128+256,128),0)</f>
        <v>8</v>
      </c>
      <c r="H84" s="74">
        <f>IF('IMPORT SCHLIESSERDATEN'!$H76="",0,1) + IF('IMPORT SCHLIESSERDATEN'!$I76="",0,2) + IF('IMPORT SCHLIESSERDATEN'!$J76="",0,4) + IF('IMPORT SCHLIESSERDATEN'!$K76="",0,8) + IF('IMPORT SCHLIESSERDATEN'!$L76="",0,16) + IF('IMPORT SCHLIESSERDATEN'!$M76="",0,32) + IF('IMPORT SCHLIESSERDATEN'!$N76="",0,64)</f>
        <v>112</v>
      </c>
      <c r="I84" s="74">
        <f>IF('IMPORT SCHLIESSERDATEN'!$D76="",0,1) + IF('IMPORT SCHLIESSERDATEN'!$E76="",0,2) + IF('IMPORT SCHLIESSERDATEN'!$E76="S",4,0)</f>
        <v>2</v>
      </c>
      <c r="J84" s="74">
        <f>IF(ISERR(FIND(" Gangfl.",'IMPORT SCHLIESSERDATEN'!$B76)),IF(ISERR(FIND(" Standfl.",'IMPORT SCHLIESSERDATEN'!$B76)),0,2),1)</f>
        <v>2</v>
      </c>
      <c r="K84" s="74">
        <f>'IMPORT SCHLIESSERDATEN'!CL76</f>
        <v>0</v>
      </c>
      <c r="L84" s="74">
        <f>'IMPORT SCHLIESSERDATEN'!CN76</f>
        <v>0</v>
      </c>
      <c r="M84" s="74">
        <f>IF('IMPORT SCHLIESSERDATEN'!CS76="wie TS",-1,'IMPORT SCHLIESSERDATEN'!CS76)</f>
        <v>0</v>
      </c>
      <c r="N84" s="74">
        <f>IF(M84&lt;0,-1,'IMPORT SCHLIESSERDATEN'!CU76)</f>
        <v>0</v>
      </c>
      <c r="O84" s="74">
        <f>IF('IMPORT SCHLIESSERDATEN'!CZ76="wie TS",-1,'IMPORT SCHLIESSERDATEN'!CZ76)</f>
        <v>0</v>
      </c>
      <c r="P84" s="74">
        <f>IF(O84&lt;0,-1,'IMPORT SCHLIESSERDATEN'!DB76)</f>
        <v>0</v>
      </c>
      <c r="Q84" s="74">
        <f>'IMPORT SCHLIESSERDATEN'!DG76</f>
        <v>45</v>
      </c>
      <c r="R84" s="74">
        <f>'IMPORT SCHLIESSERDATEN'!DI76</f>
        <v>17</v>
      </c>
      <c r="S84" s="74">
        <f>'IMPORT SCHLIESSERDATEN'!DN76</f>
        <v>0</v>
      </c>
      <c r="T84" s="74">
        <f>IF('IMPORT SCHLIESSERDATEN'!DP76="V",9999,'IMPORT SCHLIESSERDATEN'!DP76)</f>
        <v>0</v>
      </c>
      <c r="U84" s="74">
        <f>'IMPORT SCHLIESSERDATEN'!BW76</f>
        <v>285</v>
      </c>
      <c r="V84" s="74">
        <f>'IMPORT SCHLIESSERDATEN'!BX76</f>
        <v>62</v>
      </c>
      <c r="W84" s="74">
        <f>'IMPORT SCHLIESSERDATEN'!BY76</f>
        <v>71</v>
      </c>
      <c r="X84" s="74">
        <f>'IMPORT SCHLIESSERDATEN'!CO76</f>
        <v>0</v>
      </c>
      <c r="Y84" s="74">
        <f>'IMPORT SCHLIESSERDATEN'!CQ76</f>
        <v>0</v>
      </c>
      <c r="Z84" s="74">
        <f>'IMPORT SCHLIESSERDATEN'!CV76</f>
        <v>0</v>
      </c>
      <c r="AA84" s="74">
        <f>'IMPORT SCHLIESSERDATEN'!CX76</f>
        <v>0</v>
      </c>
      <c r="AB84" s="74">
        <f>'IMPORT SCHLIESSERDATEN'!DC76</f>
        <v>0</v>
      </c>
      <c r="AC84" s="74">
        <f>'IMPORT SCHLIESSERDATEN'!DE76</f>
        <v>0</v>
      </c>
      <c r="AD84" s="74">
        <f>'IMPORT SCHLIESSERDATEN'!DJ76</f>
        <v>45</v>
      </c>
      <c r="AE84" s="74">
        <f>'IMPORT SCHLIESSERDATEN'!DL76</f>
        <v>0</v>
      </c>
      <c r="AF84" s="74">
        <f>'IMPORT SCHLIESSERDATEN'!DQ76</f>
        <v>0</v>
      </c>
      <c r="AG84" s="74">
        <f>IF('IMPORT SCHLIESSERDATEN'!DS76="V",9999,'IMPORT SCHLIESSERDATEN'!DS76)</f>
        <v>0</v>
      </c>
      <c r="AH84" s="74">
        <f>IF('IMPORT SCHLIESSERDATEN'!BZ76="V",9999,IF('IMPORT SCHLIESSERDATEN'!CD76="_",-1,'IMPORT SCHLIESSERDATEN'!BZ76))</f>
        <v>9999</v>
      </c>
      <c r="AI84" s="74">
        <f>IF('IMPORT SCHLIESSERDATEN'!CA76="V",9999,IF('IMPORT SCHLIESSERDATEN'!CD76="_",-1,'IMPORT SCHLIESSERDATEN'!CA76))</f>
        <v>30</v>
      </c>
      <c r="AJ84" s="74">
        <f>IF('IMPORT SCHLIESSERDATEN'!CB76="V",9999,IF('IMPORT SCHLIESSERDATEN'!CD76="_",-1,'IMPORT SCHLIESSERDATEN'!CB76))</f>
        <v>55</v>
      </c>
      <c r="AK84" s="74">
        <f>IF('IMPORT SCHLIESSERDATEN'!CC76="V",9999,IF('IMPORT SCHLIESSERDATEN'!CC76="_",-1,'IMPORT SCHLIESSERDATEN'!CC76))</f>
        <v>28</v>
      </c>
      <c r="AL84" s="74">
        <f>IF('IMPORT SCHLIESSERDATEN'!CD76="_",-1,'IMPORT SCHLIESSERDATEN'!CD76)</f>
        <v>375</v>
      </c>
      <c r="AM84" s="74">
        <f>'IMPORT SCHLIESSERDATEN'!CH76</f>
        <v>95</v>
      </c>
      <c r="AN84" s="74">
        <f>IF('IMPORT SCHLIESSERDATEN'!CE76="V",9999,'IMPORT SCHLIESSERDATEN'!CE76)</f>
        <v>34</v>
      </c>
      <c r="AO84" s="74">
        <f>IF('IMPORT SCHLIESSERDATEN'!CK76="_",-1,'IMPORT SCHLIESSERDATEN'!CK76)</f>
        <v>164</v>
      </c>
      <c r="AP84" s="74">
        <f>IF('IMPORT SCHLIESSERDATEN'!$U76="",0,1)</f>
        <v>1</v>
      </c>
      <c r="AQ84" s="74">
        <f>IF('IMPORT SCHLIESSERDATEN'!$V76="",0,1)</f>
        <v>0</v>
      </c>
      <c r="AR84" s="74">
        <f>IF('IMPORT SCHLIESSERDATEN'!$W76="",0,1)</f>
        <v>1</v>
      </c>
      <c r="AS84" s="74">
        <f>IF('IMPORT SCHLIESSERDATEN'!$AA76="",0,1)</f>
        <v>1</v>
      </c>
      <c r="AT84" s="74">
        <f>IF('IMPORT SCHLIESSERDATEN'!$AD76="",0,1) + IF('IMPORT SCHLIESSERDATEN'!$AE76="",0,2)</f>
        <v>2</v>
      </c>
      <c r="AU84" s="74" t="str">
        <f>IF('IMPORT SCHLIESSERDATEN'!$X76="",IF('IMPORT SCHLIESSERDATEN'!$Y76="","","F"),"V")</f>
        <v>V</v>
      </c>
      <c r="AV84" s="74" t="str">
        <f>IF('IMPORT SCHLIESSERDATEN'!$AB76&lt;&gt;"","M",IF('IMPORT SCHLIESSERDATEN'!$AD76&lt;&gt;"",IF(ISERR(SEARCH("UVIBIS",'IMPORT SCHLIESSERDATEN'!$B76)),"R","B"),IF(OR('IMPORT SCHLIESSERDATEN'!$AC76&lt;&gt;"",'IMPORT SCHLIESSERDATEN'!$AE76&lt;&gt;""),"E","")))</f>
        <v>E</v>
      </c>
      <c r="AW84" s="82"/>
      <c r="AX84" s="67"/>
    </row>
    <row r="85" spans="1:50" x14ac:dyDescent="0.25">
      <c r="A85" s="67">
        <f>IFERROR(IF(C85&lt;&gt;"",MAX($A$2:$A84)+1,""),"")</f>
        <v>73</v>
      </c>
      <c r="B85" s="223">
        <f t="shared" si="1"/>
        <v>73</v>
      </c>
      <c r="C85" s="216" t="str">
        <f>IF(J85=1,SUBSTITUTE('IMPORT SCHLIESSERDATEN'!$B77," Gangfl.",""),IF(J85=2,SUBSTITUTE('IMPORT SCHLIESSERDATEN'!$B77," Standfl.",""),'IMPORT SCHLIESSERDATEN'!$B77))</f>
        <v>TS 93 G GSR-EMF 1G /BG EN 5-7</v>
      </c>
      <c r="D85" s="216" t="str">
        <f>IF('IMPORT SCHLIESSERDATEN'!$AF77&lt;&gt;"",IF(COUNTA('IMPORT SCHLIESSERDATEN'!$AN77:$AU77)&gt;0,"X","G"),IF('IMPORT SCHLIESSERDATEN'!$AG77&lt;&gt;"","S",IF('IMPORT SCHLIESSERDATEN'!$AH77&lt;&gt;"","I",IF('IMPORT SCHLIESSERDATEN'!$AI77&lt;&gt;"","B",IF('IMPORT SCHLIESSERDATEN'!$AJ77&lt;&gt;"","D","")))))</f>
        <v>G</v>
      </c>
      <c r="E85" s="248" t="str">
        <f>'IMPORT SCHLIESSERDATEN'!AK77 &amp; IF('IMPORT SCHLIESSERDATEN'!AL77="",""," "&amp; 'IMPORT SCHLIESSERDATEN'!AL77)</f>
        <v>93 G</v>
      </c>
      <c r="F85" s="74">
        <f>IFERROR(IF(D85="X",2^(MATCH("",'IMPORT SCHLIESSERDATEN'!$AN77:$AU77,-1)-1),IF(AV85="F",2^(MATCH("",'IMPORT SCHLIESSERDATEN'!$BH77:$BK77,-1)-1),2^(MATCH("",'IMPORT SCHLIESSERDATEN'!$AV77:$BG77,-1)-1))),0)</f>
        <v>128</v>
      </c>
      <c r="G85" s="74">
        <f>IF(AND('IMPORT SCHLIESSERDATEN'!$O77='IMPORT SCHLIESSERDATEN'!$R77,'IMPORT SCHLIESSERDATEN'!$O77&lt;&gt;"",'IMPORT SCHLIESSERDATEN'!$R77&lt;&gt;""),1,0)  +  IF(AND('IMPORT SCHLIESSERDATEN'!$P77='IMPORT SCHLIESSERDATEN'!$S77,'IMPORT SCHLIESSERDATEN'!$P77&lt;&gt;"",'IMPORT SCHLIESSERDATEN'!$S77&lt;&gt;""),2,0)   +  IF(AND('IMPORT SCHLIESSERDATEN'!$O77='IMPORT SCHLIESSERDATEN'!$S77,'IMPORT SCHLIESSERDATEN'!$O77&lt;&gt;"",'IMPORT SCHLIESSERDATEN'!$S77&lt;&gt;""),4,0)   +  IF(AND('IMPORT SCHLIESSERDATEN'!$P77='IMPORT SCHLIESSERDATEN'!$R77,'IMPORT SCHLIESSERDATEN'!$P77&lt;&gt;"",'IMPORT SCHLIESSERDATEN'!$R77&lt;&gt;""),8,0)   +  IF('IMPORT SCHLIESSERDATEN'!$Q77&lt;&gt;"",IF('IMPORT SCHLIESSERDATEN'!$R77&lt;&gt;"",32,0) + IF('IMPORT SCHLIESSERDATEN'!$S77&lt;&gt;"",64,0),0)  +  IF('IMPORT SCHLIESSERDATEN'!$T77&lt;&gt;"",IF('IMPORT SCHLIESSERDATEN'!$Q77&lt;&gt;"",128+256,128),0)</f>
        <v>8</v>
      </c>
      <c r="H85" s="74">
        <f>IF('IMPORT SCHLIESSERDATEN'!$H77="",0,1) + IF('IMPORT SCHLIESSERDATEN'!$I77="",0,2) + IF('IMPORT SCHLIESSERDATEN'!$J77="",0,4) + IF('IMPORT SCHLIESSERDATEN'!$K77="",0,8) + IF('IMPORT SCHLIESSERDATEN'!$L77="",0,16) + IF('IMPORT SCHLIESSERDATEN'!$M77="",0,32) + IF('IMPORT SCHLIESSERDATEN'!$N77="",0,64)</f>
        <v>112</v>
      </c>
      <c r="I85" s="74">
        <f>IF('IMPORT SCHLIESSERDATEN'!$D77="",0,1) + IF('IMPORT SCHLIESSERDATEN'!$E77="",0,2) + IF('IMPORT SCHLIESSERDATEN'!$E77="S",4,0)</f>
        <v>2</v>
      </c>
      <c r="J85" s="74">
        <f>IF(ISERR(FIND(" Gangfl.",'IMPORT SCHLIESSERDATEN'!$B77)),IF(ISERR(FIND(" Standfl.",'IMPORT SCHLIESSERDATEN'!$B77)),0,2),1)</f>
        <v>2</v>
      </c>
      <c r="K85" s="74">
        <f>'IMPORT SCHLIESSERDATEN'!CL77</f>
        <v>0</v>
      </c>
      <c r="L85" s="74">
        <f>'IMPORT SCHLIESSERDATEN'!CN77</f>
        <v>0</v>
      </c>
      <c r="M85" s="74">
        <f>IF('IMPORT SCHLIESSERDATEN'!CS77="wie TS",-1,'IMPORT SCHLIESSERDATEN'!CS77)</f>
        <v>0</v>
      </c>
      <c r="N85" s="74">
        <f>IF(M85&lt;0,-1,'IMPORT SCHLIESSERDATEN'!CU77)</f>
        <v>0</v>
      </c>
      <c r="O85" s="74">
        <f>IF('IMPORT SCHLIESSERDATEN'!CZ77="wie TS",-1,'IMPORT SCHLIESSERDATEN'!CZ77)</f>
        <v>0</v>
      </c>
      <c r="P85" s="74">
        <f>IF(O85&lt;0,-1,'IMPORT SCHLIESSERDATEN'!DB77)</f>
        <v>0</v>
      </c>
      <c r="Q85" s="74">
        <f>'IMPORT SCHLIESSERDATEN'!DG77</f>
        <v>45</v>
      </c>
      <c r="R85" s="74">
        <f>'IMPORT SCHLIESSERDATEN'!DI77</f>
        <v>17</v>
      </c>
      <c r="S85" s="74">
        <f>'IMPORT SCHLIESSERDATEN'!DN77</f>
        <v>0</v>
      </c>
      <c r="T85" s="74">
        <f>IF('IMPORT SCHLIESSERDATEN'!DP77="V",9999,'IMPORT SCHLIESSERDATEN'!DP77)</f>
        <v>0</v>
      </c>
      <c r="U85" s="74">
        <f>'IMPORT SCHLIESSERDATEN'!BW77</f>
        <v>285</v>
      </c>
      <c r="V85" s="74">
        <f>'IMPORT SCHLIESSERDATEN'!BX77</f>
        <v>62</v>
      </c>
      <c r="W85" s="74">
        <f>'IMPORT SCHLIESSERDATEN'!BY77</f>
        <v>71</v>
      </c>
      <c r="X85" s="74">
        <f>'IMPORT SCHLIESSERDATEN'!CO77</f>
        <v>0</v>
      </c>
      <c r="Y85" s="74">
        <f>'IMPORT SCHLIESSERDATEN'!CQ77</f>
        <v>0</v>
      </c>
      <c r="Z85" s="74">
        <f>'IMPORT SCHLIESSERDATEN'!CV77</f>
        <v>0</v>
      </c>
      <c r="AA85" s="74">
        <f>'IMPORT SCHLIESSERDATEN'!CX77</f>
        <v>0</v>
      </c>
      <c r="AB85" s="74">
        <f>'IMPORT SCHLIESSERDATEN'!DC77</f>
        <v>0</v>
      </c>
      <c r="AC85" s="74">
        <f>'IMPORT SCHLIESSERDATEN'!DE77</f>
        <v>0</v>
      </c>
      <c r="AD85" s="74">
        <f>'IMPORT SCHLIESSERDATEN'!DJ77</f>
        <v>45</v>
      </c>
      <c r="AE85" s="74">
        <f>'IMPORT SCHLIESSERDATEN'!DL77</f>
        <v>0</v>
      </c>
      <c r="AF85" s="74">
        <f>'IMPORT SCHLIESSERDATEN'!DQ77</f>
        <v>0</v>
      </c>
      <c r="AG85" s="74">
        <f>IF('IMPORT SCHLIESSERDATEN'!DS77="V",9999,'IMPORT SCHLIESSERDATEN'!DS77)</f>
        <v>0</v>
      </c>
      <c r="AH85" s="74">
        <f>IF('IMPORT SCHLIESSERDATEN'!BZ77="V",9999,IF('IMPORT SCHLIESSERDATEN'!CD77="_",-1,'IMPORT SCHLIESSERDATEN'!BZ77))</f>
        <v>9999</v>
      </c>
      <c r="AI85" s="74">
        <f>IF('IMPORT SCHLIESSERDATEN'!CA77="V",9999,IF('IMPORT SCHLIESSERDATEN'!CD77="_",-1,'IMPORT SCHLIESSERDATEN'!CA77))</f>
        <v>30</v>
      </c>
      <c r="AJ85" s="74">
        <f>IF('IMPORT SCHLIESSERDATEN'!CB77="V",9999,IF('IMPORT SCHLIESSERDATEN'!CD77="_",-1,'IMPORT SCHLIESSERDATEN'!CB77))</f>
        <v>55</v>
      </c>
      <c r="AK85" s="74">
        <f>IF('IMPORT SCHLIESSERDATEN'!CC77="V",9999,IF('IMPORT SCHLIESSERDATEN'!CC77="_",-1,'IMPORT SCHLIESSERDATEN'!CC77))</f>
        <v>28</v>
      </c>
      <c r="AL85" s="74">
        <f>IF('IMPORT SCHLIESSERDATEN'!CD77="_",-1,'IMPORT SCHLIESSERDATEN'!CD77)</f>
        <v>375</v>
      </c>
      <c r="AM85" s="74">
        <f>'IMPORT SCHLIESSERDATEN'!CH77</f>
        <v>95</v>
      </c>
      <c r="AN85" s="74">
        <f>IF('IMPORT SCHLIESSERDATEN'!CE77="V",9999,'IMPORT SCHLIESSERDATEN'!CE77)</f>
        <v>34</v>
      </c>
      <c r="AO85" s="74">
        <f>IF('IMPORT SCHLIESSERDATEN'!CK77="_",-1,'IMPORT SCHLIESSERDATEN'!CK77)</f>
        <v>164</v>
      </c>
      <c r="AP85" s="74">
        <f>IF('IMPORT SCHLIESSERDATEN'!$U77="",0,1)</f>
        <v>1</v>
      </c>
      <c r="AQ85" s="74">
        <f>IF('IMPORT SCHLIESSERDATEN'!$V77="",0,1)</f>
        <v>0</v>
      </c>
      <c r="AR85" s="74">
        <f>IF('IMPORT SCHLIESSERDATEN'!$W77="",0,1)</f>
        <v>1</v>
      </c>
      <c r="AS85" s="74">
        <f>IF('IMPORT SCHLIESSERDATEN'!$AA77="",0,1)</f>
        <v>1</v>
      </c>
      <c r="AT85" s="74">
        <f>IF('IMPORT SCHLIESSERDATEN'!$AD77="",0,1) + IF('IMPORT SCHLIESSERDATEN'!$AE77="",0,2)</f>
        <v>2</v>
      </c>
      <c r="AU85" s="74" t="str">
        <f>IF('IMPORT SCHLIESSERDATEN'!$X77="",IF('IMPORT SCHLIESSERDATEN'!$Y77="","","F"),"V")</f>
        <v>V</v>
      </c>
      <c r="AV85" s="74" t="str">
        <f>IF('IMPORT SCHLIESSERDATEN'!$AB77&lt;&gt;"","M",IF('IMPORT SCHLIESSERDATEN'!$AD77&lt;&gt;"",IF(ISERR(SEARCH("UVIBIS",'IMPORT SCHLIESSERDATEN'!$B77)),"R","B"),IF(OR('IMPORT SCHLIESSERDATEN'!$AC77&lt;&gt;"",'IMPORT SCHLIESSERDATEN'!$AE77&lt;&gt;""),"E","")))</f>
        <v>E</v>
      </c>
      <c r="AW85" s="82"/>
      <c r="AX85" s="67"/>
    </row>
    <row r="86" spans="1:50" x14ac:dyDescent="0.25">
      <c r="A86" s="67">
        <f>IFERROR(IF(C86&lt;&gt;"",MAX($A$2:$A85)+1,""),"")</f>
        <v>74</v>
      </c>
      <c r="B86" s="223">
        <f t="shared" si="1"/>
        <v>74</v>
      </c>
      <c r="C86" s="216" t="str">
        <f>IF(J86=1,SUBSTITUTE('IMPORT SCHLIESSERDATEN'!$B78," Gangfl.",""),IF(J86=2,SUBSTITUTE('IMPORT SCHLIESSERDATEN'!$B78," Standfl.",""),'IMPORT SCHLIESSERDATEN'!$B78))</f>
        <v>TS 93 G GSR-EMF 2 /BG EN 5-7</v>
      </c>
      <c r="D86" s="216" t="str">
        <f>IF('IMPORT SCHLIESSERDATEN'!$AF78&lt;&gt;"",IF(COUNTA('IMPORT SCHLIESSERDATEN'!$AN78:$AU78)&gt;0,"X","G"),IF('IMPORT SCHLIESSERDATEN'!$AG78&lt;&gt;"","S",IF('IMPORT SCHLIESSERDATEN'!$AH78&lt;&gt;"","I",IF('IMPORT SCHLIESSERDATEN'!$AI78&lt;&gt;"","B",IF('IMPORT SCHLIESSERDATEN'!$AJ78&lt;&gt;"","D","")))))</f>
        <v>G</v>
      </c>
      <c r="E86" s="248" t="str">
        <f>'IMPORT SCHLIESSERDATEN'!AK78 &amp; IF('IMPORT SCHLIESSERDATEN'!AL78="",""," "&amp; 'IMPORT SCHLIESSERDATEN'!AL78)</f>
        <v>93 G</v>
      </c>
      <c r="F86" s="74">
        <f>IFERROR(IF(D86="X",2^(MATCH("",'IMPORT SCHLIESSERDATEN'!$AN78:$AU78,-1)-1),IF(AV86="F",2^(MATCH("",'IMPORT SCHLIESSERDATEN'!$BH78:$BK78,-1)-1),2^(MATCH("",'IMPORT SCHLIESSERDATEN'!$AV78:$BG78,-1)-1))),0)</f>
        <v>256</v>
      </c>
      <c r="G86" s="74">
        <f>IF(AND('IMPORT SCHLIESSERDATEN'!$O78='IMPORT SCHLIESSERDATEN'!$R78,'IMPORT SCHLIESSERDATEN'!$O78&lt;&gt;"",'IMPORT SCHLIESSERDATEN'!$R78&lt;&gt;""),1,0)  +  IF(AND('IMPORT SCHLIESSERDATEN'!$P78='IMPORT SCHLIESSERDATEN'!$S78,'IMPORT SCHLIESSERDATEN'!$P78&lt;&gt;"",'IMPORT SCHLIESSERDATEN'!$S78&lt;&gt;""),2,0)   +  IF(AND('IMPORT SCHLIESSERDATEN'!$O78='IMPORT SCHLIESSERDATEN'!$S78,'IMPORT SCHLIESSERDATEN'!$O78&lt;&gt;"",'IMPORT SCHLIESSERDATEN'!$S78&lt;&gt;""),4,0)   +  IF(AND('IMPORT SCHLIESSERDATEN'!$P78='IMPORT SCHLIESSERDATEN'!$R78,'IMPORT SCHLIESSERDATEN'!$P78&lt;&gt;"",'IMPORT SCHLIESSERDATEN'!$R78&lt;&gt;""),8,0)   +  IF('IMPORT SCHLIESSERDATEN'!$Q78&lt;&gt;"",IF('IMPORT SCHLIESSERDATEN'!$R78&lt;&gt;"",32,0) + IF('IMPORT SCHLIESSERDATEN'!$S78&lt;&gt;"",64,0),0)  +  IF('IMPORT SCHLIESSERDATEN'!$T78&lt;&gt;"",IF('IMPORT SCHLIESSERDATEN'!$Q78&lt;&gt;"",128+256,128),0)</f>
        <v>8</v>
      </c>
      <c r="H86" s="74">
        <f>IF('IMPORT SCHLIESSERDATEN'!$H78="",0,1) + IF('IMPORT SCHLIESSERDATEN'!$I78="",0,2) + IF('IMPORT SCHLIESSERDATEN'!$J78="",0,4) + IF('IMPORT SCHLIESSERDATEN'!$K78="",0,8) + IF('IMPORT SCHLIESSERDATEN'!$L78="",0,16) + IF('IMPORT SCHLIESSERDATEN'!$M78="",0,32) + IF('IMPORT SCHLIESSERDATEN'!$N78="",0,64)</f>
        <v>112</v>
      </c>
      <c r="I86" s="74">
        <f>IF('IMPORT SCHLIESSERDATEN'!$D78="",0,1) + IF('IMPORT SCHLIESSERDATEN'!$E78="",0,2) + IF('IMPORT SCHLIESSERDATEN'!$E78="S",4,0)</f>
        <v>2</v>
      </c>
      <c r="J86" s="74">
        <f>IF(ISERR(FIND(" Gangfl.",'IMPORT SCHLIESSERDATEN'!$B78)),IF(ISERR(FIND(" Standfl.",'IMPORT SCHLIESSERDATEN'!$B78)),0,2),1)</f>
        <v>2</v>
      </c>
      <c r="K86" s="74">
        <f>'IMPORT SCHLIESSERDATEN'!CL78</f>
        <v>0</v>
      </c>
      <c r="L86" s="74">
        <f>'IMPORT SCHLIESSERDATEN'!CN78</f>
        <v>0</v>
      </c>
      <c r="M86" s="74">
        <f>IF('IMPORT SCHLIESSERDATEN'!CS78="wie TS",-1,'IMPORT SCHLIESSERDATEN'!CS78)</f>
        <v>0</v>
      </c>
      <c r="N86" s="74">
        <f>IF(M86&lt;0,-1,'IMPORT SCHLIESSERDATEN'!CU78)</f>
        <v>0</v>
      </c>
      <c r="O86" s="74">
        <f>IF('IMPORT SCHLIESSERDATEN'!CZ78="wie TS",-1,'IMPORT SCHLIESSERDATEN'!CZ78)</f>
        <v>0</v>
      </c>
      <c r="P86" s="74">
        <f>IF(O86&lt;0,-1,'IMPORT SCHLIESSERDATEN'!DB78)</f>
        <v>0</v>
      </c>
      <c r="Q86" s="74">
        <f>'IMPORT SCHLIESSERDATEN'!DG78</f>
        <v>45</v>
      </c>
      <c r="R86" s="74">
        <f>'IMPORT SCHLIESSERDATEN'!DI78</f>
        <v>17</v>
      </c>
      <c r="S86" s="74">
        <f>'IMPORT SCHLIESSERDATEN'!DN78</f>
        <v>0</v>
      </c>
      <c r="T86" s="74">
        <f>IF('IMPORT SCHLIESSERDATEN'!DP78="V",9999,'IMPORT SCHLIESSERDATEN'!DP78)</f>
        <v>0</v>
      </c>
      <c r="U86" s="74">
        <f>'IMPORT SCHLIESSERDATEN'!BW78</f>
        <v>285</v>
      </c>
      <c r="V86" s="74">
        <f>'IMPORT SCHLIESSERDATEN'!BX78</f>
        <v>62</v>
      </c>
      <c r="W86" s="74">
        <f>'IMPORT SCHLIESSERDATEN'!BY78</f>
        <v>71</v>
      </c>
      <c r="X86" s="74">
        <f>'IMPORT SCHLIESSERDATEN'!CO78</f>
        <v>0</v>
      </c>
      <c r="Y86" s="74">
        <f>'IMPORT SCHLIESSERDATEN'!CQ78</f>
        <v>0</v>
      </c>
      <c r="Z86" s="74">
        <f>'IMPORT SCHLIESSERDATEN'!CV78</f>
        <v>0</v>
      </c>
      <c r="AA86" s="74">
        <f>'IMPORT SCHLIESSERDATEN'!CX78</f>
        <v>0</v>
      </c>
      <c r="AB86" s="74">
        <f>'IMPORT SCHLIESSERDATEN'!DC78</f>
        <v>0</v>
      </c>
      <c r="AC86" s="74">
        <f>'IMPORT SCHLIESSERDATEN'!DE78</f>
        <v>0</v>
      </c>
      <c r="AD86" s="74">
        <f>'IMPORT SCHLIESSERDATEN'!DJ78</f>
        <v>45</v>
      </c>
      <c r="AE86" s="74">
        <f>'IMPORT SCHLIESSERDATEN'!DL78</f>
        <v>0</v>
      </c>
      <c r="AF86" s="74">
        <f>'IMPORT SCHLIESSERDATEN'!DQ78</f>
        <v>0</v>
      </c>
      <c r="AG86" s="74">
        <f>IF('IMPORT SCHLIESSERDATEN'!DS78="V",9999,'IMPORT SCHLIESSERDATEN'!DS78)</f>
        <v>0</v>
      </c>
      <c r="AH86" s="74">
        <f>IF('IMPORT SCHLIESSERDATEN'!BZ78="V",9999,IF('IMPORT SCHLIESSERDATEN'!CD78="_",-1,'IMPORT SCHLIESSERDATEN'!BZ78))</f>
        <v>9999</v>
      </c>
      <c r="AI86" s="74">
        <f>IF('IMPORT SCHLIESSERDATEN'!CA78="V",9999,IF('IMPORT SCHLIESSERDATEN'!CD78="_",-1,'IMPORT SCHLIESSERDATEN'!CA78))</f>
        <v>30</v>
      </c>
      <c r="AJ86" s="74">
        <f>IF('IMPORT SCHLIESSERDATEN'!CB78="V",9999,IF('IMPORT SCHLIESSERDATEN'!CD78="_",-1,'IMPORT SCHLIESSERDATEN'!CB78))</f>
        <v>55</v>
      </c>
      <c r="AK86" s="74">
        <f>IF('IMPORT SCHLIESSERDATEN'!CC78="V",9999,IF('IMPORT SCHLIESSERDATEN'!CC78="_",-1,'IMPORT SCHLIESSERDATEN'!CC78))</f>
        <v>28</v>
      </c>
      <c r="AL86" s="74">
        <f>IF('IMPORT SCHLIESSERDATEN'!CD78="_",-1,'IMPORT SCHLIESSERDATEN'!CD78)</f>
        <v>375</v>
      </c>
      <c r="AM86" s="74">
        <f>'IMPORT SCHLIESSERDATEN'!CH78</f>
        <v>95</v>
      </c>
      <c r="AN86" s="74">
        <f>IF('IMPORT SCHLIESSERDATEN'!CE78="V",9999,'IMPORT SCHLIESSERDATEN'!CE78)</f>
        <v>34</v>
      </c>
      <c r="AO86" s="74">
        <f>IF('IMPORT SCHLIESSERDATEN'!CK78="_",-1,'IMPORT SCHLIESSERDATEN'!CK78)</f>
        <v>164</v>
      </c>
      <c r="AP86" s="74">
        <f>IF('IMPORT SCHLIESSERDATEN'!$U78="",0,1)</f>
        <v>1</v>
      </c>
      <c r="AQ86" s="74">
        <f>IF('IMPORT SCHLIESSERDATEN'!$V78="",0,1)</f>
        <v>0</v>
      </c>
      <c r="AR86" s="74">
        <f>IF('IMPORT SCHLIESSERDATEN'!$W78="",0,1)</f>
        <v>1</v>
      </c>
      <c r="AS86" s="74">
        <f>IF('IMPORT SCHLIESSERDATEN'!$AA78="",0,1)</f>
        <v>1</v>
      </c>
      <c r="AT86" s="74">
        <f>IF('IMPORT SCHLIESSERDATEN'!$AD78="",0,1) + IF('IMPORT SCHLIESSERDATEN'!$AE78="",0,2)</f>
        <v>2</v>
      </c>
      <c r="AU86" s="74" t="str">
        <f>IF('IMPORT SCHLIESSERDATEN'!$X78="",IF('IMPORT SCHLIESSERDATEN'!$Y78="","","F"),"V")</f>
        <v>V</v>
      </c>
      <c r="AV86" s="74" t="str">
        <f>IF('IMPORT SCHLIESSERDATEN'!$AB78&lt;&gt;"","M",IF('IMPORT SCHLIESSERDATEN'!$AD78&lt;&gt;"",IF(ISERR(SEARCH("UVIBIS",'IMPORT SCHLIESSERDATEN'!$B78)),"R","B"),IF(OR('IMPORT SCHLIESSERDATEN'!$AC78&lt;&gt;"",'IMPORT SCHLIESSERDATEN'!$AE78&lt;&gt;""),"E","")))</f>
        <v>E</v>
      </c>
      <c r="AW86" s="82"/>
      <c r="AX86" s="67"/>
    </row>
    <row r="87" spans="1:50" x14ac:dyDescent="0.25">
      <c r="A87" s="67">
        <f>IFERROR(IF(C87&lt;&gt;"",MAX($A$2:$A86)+1,""),"")</f>
        <v>75</v>
      </c>
      <c r="B87" s="223">
        <f t="shared" si="1"/>
        <v>75</v>
      </c>
      <c r="C87" s="216" t="str">
        <f>IF(J87=1,SUBSTITUTE('IMPORT SCHLIESSERDATEN'!$B79," Gangfl.",""),IF(J87=2,SUBSTITUTE('IMPORT SCHLIESSERDATEN'!$B79," Standfl.",""),'IMPORT SCHLIESSERDATEN'!$B79))</f>
        <v>TS 93 G GSR-EMR 1 /BG EN 5-7</v>
      </c>
      <c r="D87" s="216" t="str">
        <f>IF('IMPORT SCHLIESSERDATEN'!$AF79&lt;&gt;"",IF(COUNTA('IMPORT SCHLIESSERDATEN'!$AN79:$AU79)&gt;0,"X","G"),IF('IMPORT SCHLIESSERDATEN'!$AG79&lt;&gt;"","S",IF('IMPORT SCHLIESSERDATEN'!$AH79&lt;&gt;"","I",IF('IMPORT SCHLIESSERDATEN'!$AI79&lt;&gt;"","B",IF('IMPORT SCHLIESSERDATEN'!$AJ79&lt;&gt;"","D","")))))</f>
        <v>G</v>
      </c>
      <c r="E87" s="248" t="str">
        <f>'IMPORT SCHLIESSERDATEN'!AK79 &amp; IF('IMPORT SCHLIESSERDATEN'!AL79="",""," "&amp; 'IMPORT SCHLIESSERDATEN'!AL79)</f>
        <v>93 G</v>
      </c>
      <c r="F87" s="74">
        <f>IFERROR(IF(D87="X",2^(MATCH("",'IMPORT SCHLIESSERDATEN'!$AN79:$AU79,-1)-1),IF(AV87="F",2^(MATCH("",'IMPORT SCHLIESSERDATEN'!$BH79:$BK79,-1)-1),2^(MATCH("",'IMPORT SCHLIESSERDATEN'!$AV79:$BG79,-1)-1))),0)</f>
        <v>512</v>
      </c>
      <c r="G87" s="74">
        <f>IF(AND('IMPORT SCHLIESSERDATEN'!$O79='IMPORT SCHLIESSERDATEN'!$R79,'IMPORT SCHLIESSERDATEN'!$O79&lt;&gt;"",'IMPORT SCHLIESSERDATEN'!$R79&lt;&gt;""),1,0)  +  IF(AND('IMPORT SCHLIESSERDATEN'!$P79='IMPORT SCHLIESSERDATEN'!$S79,'IMPORT SCHLIESSERDATEN'!$P79&lt;&gt;"",'IMPORT SCHLIESSERDATEN'!$S79&lt;&gt;""),2,0)   +  IF(AND('IMPORT SCHLIESSERDATEN'!$O79='IMPORT SCHLIESSERDATEN'!$S79,'IMPORT SCHLIESSERDATEN'!$O79&lt;&gt;"",'IMPORT SCHLIESSERDATEN'!$S79&lt;&gt;""),4,0)   +  IF(AND('IMPORT SCHLIESSERDATEN'!$P79='IMPORT SCHLIESSERDATEN'!$R79,'IMPORT SCHLIESSERDATEN'!$P79&lt;&gt;"",'IMPORT SCHLIESSERDATEN'!$R79&lt;&gt;""),8,0)   +  IF('IMPORT SCHLIESSERDATEN'!$Q79&lt;&gt;"",IF('IMPORT SCHLIESSERDATEN'!$R79&lt;&gt;"",32,0) + IF('IMPORT SCHLIESSERDATEN'!$S79&lt;&gt;"",64,0),0)  +  IF('IMPORT SCHLIESSERDATEN'!$T79&lt;&gt;"",IF('IMPORT SCHLIESSERDATEN'!$Q79&lt;&gt;"",128+256,128),0)</f>
        <v>8</v>
      </c>
      <c r="H87" s="74">
        <f>IF('IMPORT SCHLIESSERDATEN'!$H79="",0,1) + IF('IMPORT SCHLIESSERDATEN'!$I79="",0,2) + IF('IMPORT SCHLIESSERDATEN'!$J79="",0,4) + IF('IMPORT SCHLIESSERDATEN'!$K79="",0,8) + IF('IMPORT SCHLIESSERDATEN'!$L79="",0,16) + IF('IMPORT SCHLIESSERDATEN'!$M79="",0,32) + IF('IMPORT SCHLIESSERDATEN'!$N79="",0,64)</f>
        <v>112</v>
      </c>
      <c r="I87" s="74">
        <f>IF('IMPORT SCHLIESSERDATEN'!$D79="",0,1) + IF('IMPORT SCHLIESSERDATEN'!$E79="",0,2) + IF('IMPORT SCHLIESSERDATEN'!$E79="S",4,0)</f>
        <v>2</v>
      </c>
      <c r="J87" s="74">
        <f>IF(ISERR(FIND(" Gangfl.",'IMPORT SCHLIESSERDATEN'!$B79)),IF(ISERR(FIND(" Standfl.",'IMPORT SCHLIESSERDATEN'!$B79)),0,2),1)</f>
        <v>2</v>
      </c>
      <c r="K87" s="74">
        <f>'IMPORT SCHLIESSERDATEN'!CL79</f>
        <v>0</v>
      </c>
      <c r="L87" s="74">
        <f>'IMPORT SCHLIESSERDATEN'!CN79</f>
        <v>0</v>
      </c>
      <c r="M87" s="74">
        <f>IF('IMPORT SCHLIESSERDATEN'!CS79="wie TS",-1,'IMPORT SCHLIESSERDATEN'!CS79)</f>
        <v>0</v>
      </c>
      <c r="N87" s="74">
        <f>IF(M87&lt;0,-1,'IMPORT SCHLIESSERDATEN'!CU79)</f>
        <v>0</v>
      </c>
      <c r="O87" s="74">
        <f>IF('IMPORT SCHLIESSERDATEN'!CZ79="wie TS",-1,'IMPORT SCHLIESSERDATEN'!CZ79)</f>
        <v>0</v>
      </c>
      <c r="P87" s="74">
        <f>IF(O87&lt;0,-1,'IMPORT SCHLIESSERDATEN'!DB79)</f>
        <v>0</v>
      </c>
      <c r="Q87" s="74">
        <f>'IMPORT SCHLIESSERDATEN'!DG79</f>
        <v>45</v>
      </c>
      <c r="R87" s="74">
        <f>'IMPORT SCHLIESSERDATEN'!DI79</f>
        <v>17</v>
      </c>
      <c r="S87" s="74">
        <f>'IMPORT SCHLIESSERDATEN'!DN79</f>
        <v>0</v>
      </c>
      <c r="T87" s="74">
        <f>IF('IMPORT SCHLIESSERDATEN'!DP79="V",9999,'IMPORT SCHLIESSERDATEN'!DP79)</f>
        <v>0</v>
      </c>
      <c r="U87" s="74">
        <f>'IMPORT SCHLIESSERDATEN'!BW79</f>
        <v>285</v>
      </c>
      <c r="V87" s="74">
        <f>'IMPORT SCHLIESSERDATEN'!BX79</f>
        <v>62</v>
      </c>
      <c r="W87" s="74">
        <f>'IMPORT SCHLIESSERDATEN'!BY79</f>
        <v>71</v>
      </c>
      <c r="X87" s="74">
        <f>'IMPORT SCHLIESSERDATEN'!CO79</f>
        <v>0</v>
      </c>
      <c r="Y87" s="74">
        <f>'IMPORT SCHLIESSERDATEN'!CQ79</f>
        <v>0</v>
      </c>
      <c r="Z87" s="74">
        <f>'IMPORT SCHLIESSERDATEN'!CV79</f>
        <v>0</v>
      </c>
      <c r="AA87" s="74">
        <f>'IMPORT SCHLIESSERDATEN'!CX79</f>
        <v>0</v>
      </c>
      <c r="AB87" s="74">
        <f>'IMPORT SCHLIESSERDATEN'!DC79</f>
        <v>0</v>
      </c>
      <c r="AC87" s="74">
        <f>'IMPORT SCHLIESSERDATEN'!DE79</f>
        <v>0</v>
      </c>
      <c r="AD87" s="74">
        <f>'IMPORT SCHLIESSERDATEN'!DJ79</f>
        <v>45</v>
      </c>
      <c r="AE87" s="74">
        <f>'IMPORT SCHLIESSERDATEN'!DL79</f>
        <v>0</v>
      </c>
      <c r="AF87" s="74">
        <f>'IMPORT SCHLIESSERDATEN'!DQ79</f>
        <v>0</v>
      </c>
      <c r="AG87" s="74">
        <f>IF('IMPORT SCHLIESSERDATEN'!DS79="V",9999,'IMPORT SCHLIESSERDATEN'!DS79)</f>
        <v>0</v>
      </c>
      <c r="AH87" s="74">
        <f>IF('IMPORT SCHLIESSERDATEN'!BZ79="V",9999,IF('IMPORT SCHLIESSERDATEN'!CD79="_",-1,'IMPORT SCHLIESSERDATEN'!BZ79))</f>
        <v>9999</v>
      </c>
      <c r="AI87" s="74">
        <f>IF('IMPORT SCHLIESSERDATEN'!CA79="V",9999,IF('IMPORT SCHLIESSERDATEN'!CD79="_",-1,'IMPORT SCHLIESSERDATEN'!CA79))</f>
        <v>30</v>
      </c>
      <c r="AJ87" s="74">
        <f>IF('IMPORT SCHLIESSERDATEN'!CB79="V",9999,IF('IMPORT SCHLIESSERDATEN'!CD79="_",-1,'IMPORT SCHLIESSERDATEN'!CB79))</f>
        <v>55</v>
      </c>
      <c r="AK87" s="74">
        <f>IF('IMPORT SCHLIESSERDATEN'!CC79="V",9999,IF('IMPORT SCHLIESSERDATEN'!CC79="_",-1,'IMPORT SCHLIESSERDATEN'!CC79))</f>
        <v>28</v>
      </c>
      <c r="AL87" s="74">
        <f>IF('IMPORT SCHLIESSERDATEN'!CD79="_",-1,'IMPORT SCHLIESSERDATEN'!CD79)</f>
        <v>375</v>
      </c>
      <c r="AM87" s="74">
        <f>'IMPORT SCHLIESSERDATEN'!CH79</f>
        <v>95</v>
      </c>
      <c r="AN87" s="74">
        <f>IF('IMPORT SCHLIESSERDATEN'!CE79="V",9999,'IMPORT SCHLIESSERDATEN'!CE79)</f>
        <v>34</v>
      </c>
      <c r="AO87" s="74">
        <f>IF('IMPORT SCHLIESSERDATEN'!CK79="_",-1,'IMPORT SCHLIESSERDATEN'!CK79)</f>
        <v>164</v>
      </c>
      <c r="AP87" s="74">
        <f>IF('IMPORT SCHLIESSERDATEN'!$U79="",0,1)</f>
        <v>1</v>
      </c>
      <c r="AQ87" s="74">
        <f>IF('IMPORT SCHLIESSERDATEN'!$V79="",0,1)</f>
        <v>0</v>
      </c>
      <c r="AR87" s="74">
        <f>IF('IMPORT SCHLIESSERDATEN'!$W79="",0,1)</f>
        <v>1</v>
      </c>
      <c r="AS87" s="74">
        <f>IF('IMPORT SCHLIESSERDATEN'!$AA79="",0,1)</f>
        <v>1</v>
      </c>
      <c r="AT87" s="74">
        <f>IF('IMPORT SCHLIESSERDATEN'!$AD79="",0,1) + IF('IMPORT SCHLIESSERDATEN'!$AE79="",0,2)</f>
        <v>1</v>
      </c>
      <c r="AU87" s="74" t="str">
        <f>IF('IMPORT SCHLIESSERDATEN'!$X79="",IF('IMPORT SCHLIESSERDATEN'!$Y79="","","F"),"V")</f>
        <v>V</v>
      </c>
      <c r="AV87" s="74" t="str">
        <f>IF('IMPORT SCHLIESSERDATEN'!$AB79&lt;&gt;"","M",IF('IMPORT SCHLIESSERDATEN'!$AD79&lt;&gt;"",IF(ISERR(SEARCH("UVIBIS",'IMPORT SCHLIESSERDATEN'!$B79)),"R","B"),IF(OR('IMPORT SCHLIESSERDATEN'!$AC79&lt;&gt;"",'IMPORT SCHLIESSERDATEN'!$AE79&lt;&gt;""),"E","")))</f>
        <v>R</v>
      </c>
      <c r="AW87" s="82"/>
      <c r="AX87" s="67"/>
    </row>
    <row r="88" spans="1:50" x14ac:dyDescent="0.25">
      <c r="A88" s="67">
        <f>IFERROR(IF(C88&lt;&gt;"",MAX($A$2:$A87)+1,""),"")</f>
        <v>76</v>
      </c>
      <c r="B88" s="223">
        <f t="shared" si="1"/>
        <v>76</v>
      </c>
      <c r="C88" s="216" t="str">
        <f>IF(J88=1,SUBSTITUTE('IMPORT SCHLIESSERDATEN'!$B80," Gangfl.",""),IF(J88=2,SUBSTITUTE('IMPORT SCHLIESSERDATEN'!$B80," Standfl.",""),'IMPORT SCHLIESSERDATEN'!$B80))</f>
        <v>TS 93 G GSR-EMR 1G /BG EN 5-7</v>
      </c>
      <c r="D88" s="216" t="str">
        <f>IF('IMPORT SCHLIESSERDATEN'!$AF80&lt;&gt;"",IF(COUNTA('IMPORT SCHLIESSERDATEN'!$AN80:$AU80)&gt;0,"X","G"),IF('IMPORT SCHLIESSERDATEN'!$AG80&lt;&gt;"","S",IF('IMPORT SCHLIESSERDATEN'!$AH80&lt;&gt;"","I",IF('IMPORT SCHLIESSERDATEN'!$AI80&lt;&gt;"","B",IF('IMPORT SCHLIESSERDATEN'!$AJ80&lt;&gt;"","D","")))))</f>
        <v>G</v>
      </c>
      <c r="E88" s="248" t="str">
        <f>'IMPORT SCHLIESSERDATEN'!AK80 &amp; IF('IMPORT SCHLIESSERDATEN'!AL80="",""," "&amp; 'IMPORT SCHLIESSERDATEN'!AL80)</f>
        <v>93 G</v>
      </c>
      <c r="F88" s="74">
        <f>IFERROR(IF(D88="X",2^(MATCH("",'IMPORT SCHLIESSERDATEN'!$AN80:$AU80,-1)-1),IF(AV88="F",2^(MATCH("",'IMPORT SCHLIESSERDATEN'!$BH80:$BK80,-1)-1),2^(MATCH("",'IMPORT SCHLIESSERDATEN'!$AV80:$BG80,-1)-1))),0)</f>
        <v>1024</v>
      </c>
      <c r="G88" s="74">
        <f>IF(AND('IMPORT SCHLIESSERDATEN'!$O80='IMPORT SCHLIESSERDATEN'!$R80,'IMPORT SCHLIESSERDATEN'!$O80&lt;&gt;"",'IMPORT SCHLIESSERDATEN'!$R80&lt;&gt;""),1,0)  +  IF(AND('IMPORT SCHLIESSERDATEN'!$P80='IMPORT SCHLIESSERDATEN'!$S80,'IMPORT SCHLIESSERDATEN'!$P80&lt;&gt;"",'IMPORT SCHLIESSERDATEN'!$S80&lt;&gt;""),2,0)   +  IF(AND('IMPORT SCHLIESSERDATEN'!$O80='IMPORT SCHLIESSERDATEN'!$S80,'IMPORT SCHLIESSERDATEN'!$O80&lt;&gt;"",'IMPORT SCHLIESSERDATEN'!$S80&lt;&gt;""),4,0)   +  IF(AND('IMPORT SCHLIESSERDATEN'!$P80='IMPORT SCHLIESSERDATEN'!$R80,'IMPORT SCHLIESSERDATEN'!$P80&lt;&gt;"",'IMPORT SCHLIESSERDATEN'!$R80&lt;&gt;""),8,0)   +  IF('IMPORT SCHLIESSERDATEN'!$Q80&lt;&gt;"",IF('IMPORT SCHLIESSERDATEN'!$R80&lt;&gt;"",32,0) + IF('IMPORT SCHLIESSERDATEN'!$S80&lt;&gt;"",64,0),0)  +  IF('IMPORT SCHLIESSERDATEN'!$T80&lt;&gt;"",IF('IMPORT SCHLIESSERDATEN'!$Q80&lt;&gt;"",128+256,128),0)</f>
        <v>8</v>
      </c>
      <c r="H88" s="74">
        <f>IF('IMPORT SCHLIESSERDATEN'!$H80="",0,1) + IF('IMPORT SCHLIESSERDATEN'!$I80="",0,2) + IF('IMPORT SCHLIESSERDATEN'!$J80="",0,4) + IF('IMPORT SCHLIESSERDATEN'!$K80="",0,8) + IF('IMPORT SCHLIESSERDATEN'!$L80="",0,16) + IF('IMPORT SCHLIESSERDATEN'!$M80="",0,32) + IF('IMPORT SCHLIESSERDATEN'!$N80="",0,64)</f>
        <v>112</v>
      </c>
      <c r="I88" s="74">
        <f>IF('IMPORT SCHLIESSERDATEN'!$D80="",0,1) + IF('IMPORT SCHLIESSERDATEN'!$E80="",0,2) + IF('IMPORT SCHLIESSERDATEN'!$E80="S",4,0)</f>
        <v>2</v>
      </c>
      <c r="J88" s="74">
        <f>IF(ISERR(FIND(" Gangfl.",'IMPORT SCHLIESSERDATEN'!$B80)),IF(ISERR(FIND(" Standfl.",'IMPORT SCHLIESSERDATEN'!$B80)),0,2),1)</f>
        <v>2</v>
      </c>
      <c r="K88" s="74">
        <f>'IMPORT SCHLIESSERDATEN'!CL80</f>
        <v>0</v>
      </c>
      <c r="L88" s="74">
        <f>'IMPORT SCHLIESSERDATEN'!CN80</f>
        <v>0</v>
      </c>
      <c r="M88" s="74">
        <f>IF('IMPORT SCHLIESSERDATEN'!CS80="wie TS",-1,'IMPORT SCHLIESSERDATEN'!CS80)</f>
        <v>0</v>
      </c>
      <c r="N88" s="74">
        <f>IF(M88&lt;0,-1,'IMPORT SCHLIESSERDATEN'!CU80)</f>
        <v>0</v>
      </c>
      <c r="O88" s="74">
        <f>IF('IMPORT SCHLIESSERDATEN'!CZ80="wie TS",-1,'IMPORT SCHLIESSERDATEN'!CZ80)</f>
        <v>0</v>
      </c>
      <c r="P88" s="74">
        <f>IF(O88&lt;0,-1,'IMPORT SCHLIESSERDATEN'!DB80)</f>
        <v>0</v>
      </c>
      <c r="Q88" s="74">
        <f>'IMPORT SCHLIESSERDATEN'!DG80</f>
        <v>45</v>
      </c>
      <c r="R88" s="74">
        <f>'IMPORT SCHLIESSERDATEN'!DI80</f>
        <v>17</v>
      </c>
      <c r="S88" s="74">
        <f>'IMPORT SCHLIESSERDATEN'!DN80</f>
        <v>0</v>
      </c>
      <c r="T88" s="74">
        <f>IF('IMPORT SCHLIESSERDATEN'!DP80="V",9999,'IMPORT SCHLIESSERDATEN'!DP80)</f>
        <v>0</v>
      </c>
      <c r="U88" s="74">
        <f>'IMPORT SCHLIESSERDATEN'!BW80</f>
        <v>285</v>
      </c>
      <c r="V88" s="74">
        <f>'IMPORT SCHLIESSERDATEN'!BX80</f>
        <v>62</v>
      </c>
      <c r="W88" s="74">
        <f>'IMPORT SCHLIESSERDATEN'!BY80</f>
        <v>71</v>
      </c>
      <c r="X88" s="74">
        <f>'IMPORT SCHLIESSERDATEN'!CO80</f>
        <v>0</v>
      </c>
      <c r="Y88" s="74">
        <f>'IMPORT SCHLIESSERDATEN'!CQ80</f>
        <v>0</v>
      </c>
      <c r="Z88" s="74">
        <f>'IMPORT SCHLIESSERDATEN'!CV80</f>
        <v>0</v>
      </c>
      <c r="AA88" s="74">
        <f>'IMPORT SCHLIESSERDATEN'!CX80</f>
        <v>0</v>
      </c>
      <c r="AB88" s="74">
        <f>'IMPORT SCHLIESSERDATEN'!DC80</f>
        <v>0</v>
      </c>
      <c r="AC88" s="74">
        <f>'IMPORT SCHLIESSERDATEN'!DE80</f>
        <v>0</v>
      </c>
      <c r="AD88" s="74">
        <f>'IMPORT SCHLIESSERDATEN'!DJ80</f>
        <v>45</v>
      </c>
      <c r="AE88" s="74">
        <f>'IMPORT SCHLIESSERDATEN'!DL80</f>
        <v>0</v>
      </c>
      <c r="AF88" s="74">
        <f>'IMPORT SCHLIESSERDATEN'!DQ80</f>
        <v>0</v>
      </c>
      <c r="AG88" s="74">
        <f>IF('IMPORT SCHLIESSERDATEN'!DS80="V",9999,'IMPORT SCHLIESSERDATEN'!DS80)</f>
        <v>0</v>
      </c>
      <c r="AH88" s="74">
        <f>IF('IMPORT SCHLIESSERDATEN'!BZ80="V",9999,IF('IMPORT SCHLIESSERDATEN'!CD80="_",-1,'IMPORT SCHLIESSERDATEN'!BZ80))</f>
        <v>9999</v>
      </c>
      <c r="AI88" s="74">
        <f>IF('IMPORT SCHLIESSERDATEN'!CA80="V",9999,IF('IMPORT SCHLIESSERDATEN'!CD80="_",-1,'IMPORT SCHLIESSERDATEN'!CA80))</f>
        <v>30</v>
      </c>
      <c r="AJ88" s="74">
        <f>IF('IMPORT SCHLIESSERDATEN'!CB80="V",9999,IF('IMPORT SCHLIESSERDATEN'!CD80="_",-1,'IMPORT SCHLIESSERDATEN'!CB80))</f>
        <v>55</v>
      </c>
      <c r="AK88" s="74">
        <f>IF('IMPORT SCHLIESSERDATEN'!CC80="V",9999,IF('IMPORT SCHLIESSERDATEN'!CC80="_",-1,'IMPORT SCHLIESSERDATEN'!CC80))</f>
        <v>28</v>
      </c>
      <c r="AL88" s="74">
        <f>IF('IMPORT SCHLIESSERDATEN'!CD80="_",-1,'IMPORT SCHLIESSERDATEN'!CD80)</f>
        <v>375</v>
      </c>
      <c r="AM88" s="74">
        <f>'IMPORT SCHLIESSERDATEN'!CH80</f>
        <v>95</v>
      </c>
      <c r="AN88" s="74">
        <f>IF('IMPORT SCHLIESSERDATEN'!CE80="V",9999,'IMPORT SCHLIESSERDATEN'!CE80)</f>
        <v>34</v>
      </c>
      <c r="AO88" s="74">
        <f>IF('IMPORT SCHLIESSERDATEN'!CK80="_",-1,'IMPORT SCHLIESSERDATEN'!CK80)</f>
        <v>164</v>
      </c>
      <c r="AP88" s="74">
        <f>IF('IMPORT SCHLIESSERDATEN'!$U80="",0,1)</f>
        <v>1</v>
      </c>
      <c r="AQ88" s="74">
        <f>IF('IMPORT SCHLIESSERDATEN'!$V80="",0,1)</f>
        <v>0</v>
      </c>
      <c r="AR88" s="74">
        <f>IF('IMPORT SCHLIESSERDATEN'!$W80="",0,1)</f>
        <v>1</v>
      </c>
      <c r="AS88" s="74">
        <f>IF('IMPORT SCHLIESSERDATEN'!$AA80="",0,1)</f>
        <v>1</v>
      </c>
      <c r="AT88" s="74">
        <f>IF('IMPORT SCHLIESSERDATEN'!$AD80="",0,1) + IF('IMPORT SCHLIESSERDATEN'!$AE80="",0,2)</f>
        <v>1</v>
      </c>
      <c r="AU88" s="74" t="str">
        <f>IF('IMPORT SCHLIESSERDATEN'!$X80="",IF('IMPORT SCHLIESSERDATEN'!$Y80="","","F"),"V")</f>
        <v>V</v>
      </c>
      <c r="AV88" s="74" t="str">
        <f>IF('IMPORT SCHLIESSERDATEN'!$AB80&lt;&gt;"","M",IF('IMPORT SCHLIESSERDATEN'!$AD80&lt;&gt;"",IF(ISERR(SEARCH("UVIBIS",'IMPORT SCHLIESSERDATEN'!$B80)),"R","B"),IF(OR('IMPORT SCHLIESSERDATEN'!$AC80&lt;&gt;"",'IMPORT SCHLIESSERDATEN'!$AE80&lt;&gt;""),"E","")))</f>
        <v>R</v>
      </c>
      <c r="AW88" s="82"/>
      <c r="AX88" s="67"/>
    </row>
    <row r="89" spans="1:50" x14ac:dyDescent="0.25">
      <c r="A89" s="67">
        <f>IFERROR(IF(C89&lt;&gt;"",MAX($A$2:$A88)+1,""),"")</f>
        <v>77</v>
      </c>
      <c r="B89" s="223">
        <f t="shared" si="1"/>
        <v>77</v>
      </c>
      <c r="C89" s="216" t="str">
        <f>IF(J89=1,SUBSTITUTE('IMPORT SCHLIESSERDATEN'!$B81," Gangfl.",""),IF(J89=2,SUBSTITUTE('IMPORT SCHLIESSERDATEN'!$B81," Standfl.",""),'IMPORT SCHLIESSERDATEN'!$B81))</f>
        <v>TS 93 G GSR-EMR 2 /BG EN 5-7</v>
      </c>
      <c r="D89" s="216" t="str">
        <f>IF('IMPORT SCHLIESSERDATEN'!$AF81&lt;&gt;"",IF(COUNTA('IMPORT SCHLIESSERDATEN'!$AN81:$AU81)&gt;0,"X","G"),IF('IMPORT SCHLIESSERDATEN'!$AG81&lt;&gt;"","S",IF('IMPORT SCHLIESSERDATEN'!$AH81&lt;&gt;"","I",IF('IMPORT SCHLIESSERDATEN'!$AI81&lt;&gt;"","B",IF('IMPORT SCHLIESSERDATEN'!$AJ81&lt;&gt;"","D","")))))</f>
        <v>G</v>
      </c>
      <c r="E89" s="248" t="str">
        <f>'IMPORT SCHLIESSERDATEN'!AK81 &amp; IF('IMPORT SCHLIESSERDATEN'!AL81="",""," "&amp; 'IMPORT SCHLIESSERDATEN'!AL81)</f>
        <v>93 G</v>
      </c>
      <c r="F89" s="74">
        <f>IFERROR(IF(D89="X",2^(MATCH("",'IMPORT SCHLIESSERDATEN'!$AN81:$AU81,-1)-1),IF(AV89="F",2^(MATCH("",'IMPORT SCHLIESSERDATEN'!$BH81:$BK81,-1)-1),2^(MATCH("",'IMPORT SCHLIESSERDATEN'!$AV81:$BG81,-1)-1))),0)</f>
        <v>2048</v>
      </c>
      <c r="G89" s="74">
        <f>IF(AND('IMPORT SCHLIESSERDATEN'!$O81='IMPORT SCHLIESSERDATEN'!$R81,'IMPORT SCHLIESSERDATEN'!$O81&lt;&gt;"",'IMPORT SCHLIESSERDATEN'!$R81&lt;&gt;""),1,0)  +  IF(AND('IMPORT SCHLIESSERDATEN'!$P81='IMPORT SCHLIESSERDATEN'!$S81,'IMPORT SCHLIESSERDATEN'!$P81&lt;&gt;"",'IMPORT SCHLIESSERDATEN'!$S81&lt;&gt;""),2,0)   +  IF(AND('IMPORT SCHLIESSERDATEN'!$O81='IMPORT SCHLIESSERDATEN'!$S81,'IMPORT SCHLIESSERDATEN'!$O81&lt;&gt;"",'IMPORT SCHLIESSERDATEN'!$S81&lt;&gt;""),4,0)   +  IF(AND('IMPORT SCHLIESSERDATEN'!$P81='IMPORT SCHLIESSERDATEN'!$R81,'IMPORT SCHLIESSERDATEN'!$P81&lt;&gt;"",'IMPORT SCHLIESSERDATEN'!$R81&lt;&gt;""),8,0)   +  IF('IMPORT SCHLIESSERDATEN'!$Q81&lt;&gt;"",IF('IMPORT SCHLIESSERDATEN'!$R81&lt;&gt;"",32,0) + IF('IMPORT SCHLIESSERDATEN'!$S81&lt;&gt;"",64,0),0)  +  IF('IMPORT SCHLIESSERDATEN'!$T81&lt;&gt;"",IF('IMPORT SCHLIESSERDATEN'!$Q81&lt;&gt;"",128+256,128),0)</f>
        <v>8</v>
      </c>
      <c r="H89" s="74">
        <f>IF('IMPORT SCHLIESSERDATEN'!$H81="",0,1) + IF('IMPORT SCHLIESSERDATEN'!$I81="",0,2) + IF('IMPORT SCHLIESSERDATEN'!$J81="",0,4) + IF('IMPORT SCHLIESSERDATEN'!$K81="",0,8) + IF('IMPORT SCHLIESSERDATEN'!$L81="",0,16) + IF('IMPORT SCHLIESSERDATEN'!$M81="",0,32) + IF('IMPORT SCHLIESSERDATEN'!$N81="",0,64)</f>
        <v>112</v>
      </c>
      <c r="I89" s="74">
        <f>IF('IMPORT SCHLIESSERDATEN'!$D81="",0,1) + IF('IMPORT SCHLIESSERDATEN'!$E81="",0,2) + IF('IMPORT SCHLIESSERDATEN'!$E81="S",4,0)</f>
        <v>2</v>
      </c>
      <c r="J89" s="74">
        <f>IF(ISERR(FIND(" Gangfl.",'IMPORT SCHLIESSERDATEN'!$B81)),IF(ISERR(FIND(" Standfl.",'IMPORT SCHLIESSERDATEN'!$B81)),0,2),1)</f>
        <v>2</v>
      </c>
      <c r="K89" s="74">
        <f>'IMPORT SCHLIESSERDATEN'!CL81</f>
        <v>0</v>
      </c>
      <c r="L89" s="74">
        <f>'IMPORT SCHLIESSERDATEN'!CN81</f>
        <v>0</v>
      </c>
      <c r="M89" s="74">
        <f>IF('IMPORT SCHLIESSERDATEN'!CS81="wie TS",-1,'IMPORT SCHLIESSERDATEN'!CS81)</f>
        <v>0</v>
      </c>
      <c r="N89" s="74">
        <f>IF(M89&lt;0,-1,'IMPORT SCHLIESSERDATEN'!CU81)</f>
        <v>0</v>
      </c>
      <c r="O89" s="74">
        <f>IF('IMPORT SCHLIESSERDATEN'!CZ81="wie TS",-1,'IMPORT SCHLIESSERDATEN'!CZ81)</f>
        <v>0</v>
      </c>
      <c r="P89" s="74">
        <f>IF(O89&lt;0,-1,'IMPORT SCHLIESSERDATEN'!DB81)</f>
        <v>0</v>
      </c>
      <c r="Q89" s="74">
        <f>'IMPORT SCHLIESSERDATEN'!DG81</f>
        <v>45</v>
      </c>
      <c r="R89" s="74">
        <f>'IMPORT SCHLIESSERDATEN'!DI81</f>
        <v>17</v>
      </c>
      <c r="S89" s="74">
        <f>'IMPORT SCHLIESSERDATEN'!DN81</f>
        <v>0</v>
      </c>
      <c r="T89" s="74">
        <f>IF('IMPORT SCHLIESSERDATEN'!DP81="V",9999,'IMPORT SCHLIESSERDATEN'!DP81)</f>
        <v>0</v>
      </c>
      <c r="U89" s="74">
        <f>'IMPORT SCHLIESSERDATEN'!BW81</f>
        <v>285</v>
      </c>
      <c r="V89" s="74">
        <f>'IMPORT SCHLIESSERDATEN'!BX81</f>
        <v>62</v>
      </c>
      <c r="W89" s="74">
        <f>'IMPORT SCHLIESSERDATEN'!BY81</f>
        <v>71</v>
      </c>
      <c r="X89" s="74">
        <f>'IMPORT SCHLIESSERDATEN'!CO81</f>
        <v>0</v>
      </c>
      <c r="Y89" s="74">
        <f>'IMPORT SCHLIESSERDATEN'!CQ81</f>
        <v>0</v>
      </c>
      <c r="Z89" s="74">
        <f>'IMPORT SCHLIESSERDATEN'!CV81</f>
        <v>0</v>
      </c>
      <c r="AA89" s="74">
        <f>'IMPORT SCHLIESSERDATEN'!CX81</f>
        <v>0</v>
      </c>
      <c r="AB89" s="74">
        <f>'IMPORT SCHLIESSERDATEN'!DC81</f>
        <v>0</v>
      </c>
      <c r="AC89" s="74">
        <f>'IMPORT SCHLIESSERDATEN'!DE81</f>
        <v>0</v>
      </c>
      <c r="AD89" s="74">
        <f>'IMPORT SCHLIESSERDATEN'!DJ81</f>
        <v>45</v>
      </c>
      <c r="AE89" s="74">
        <f>'IMPORT SCHLIESSERDATEN'!DL81</f>
        <v>0</v>
      </c>
      <c r="AF89" s="74">
        <f>'IMPORT SCHLIESSERDATEN'!DQ81</f>
        <v>0</v>
      </c>
      <c r="AG89" s="74">
        <f>IF('IMPORT SCHLIESSERDATEN'!DS81="V",9999,'IMPORT SCHLIESSERDATEN'!DS81)</f>
        <v>0</v>
      </c>
      <c r="AH89" s="74">
        <f>IF('IMPORT SCHLIESSERDATEN'!BZ81="V",9999,IF('IMPORT SCHLIESSERDATEN'!CD81="_",-1,'IMPORT SCHLIESSERDATEN'!BZ81))</f>
        <v>9999</v>
      </c>
      <c r="AI89" s="74">
        <f>IF('IMPORT SCHLIESSERDATEN'!CA81="V",9999,IF('IMPORT SCHLIESSERDATEN'!CD81="_",-1,'IMPORT SCHLIESSERDATEN'!CA81))</f>
        <v>30</v>
      </c>
      <c r="AJ89" s="74">
        <f>IF('IMPORT SCHLIESSERDATEN'!CB81="V",9999,IF('IMPORT SCHLIESSERDATEN'!CD81="_",-1,'IMPORT SCHLIESSERDATEN'!CB81))</f>
        <v>55</v>
      </c>
      <c r="AK89" s="74">
        <f>IF('IMPORT SCHLIESSERDATEN'!CC81="V",9999,IF('IMPORT SCHLIESSERDATEN'!CC81="_",-1,'IMPORT SCHLIESSERDATEN'!CC81))</f>
        <v>28</v>
      </c>
      <c r="AL89" s="74">
        <f>IF('IMPORT SCHLIESSERDATEN'!CD81="_",-1,'IMPORT SCHLIESSERDATEN'!CD81)</f>
        <v>375</v>
      </c>
      <c r="AM89" s="74">
        <f>'IMPORT SCHLIESSERDATEN'!CH81</f>
        <v>95</v>
      </c>
      <c r="AN89" s="74">
        <f>IF('IMPORT SCHLIESSERDATEN'!CE81="V",9999,'IMPORT SCHLIESSERDATEN'!CE81)</f>
        <v>34</v>
      </c>
      <c r="AO89" s="74">
        <f>IF('IMPORT SCHLIESSERDATEN'!CK81="_",-1,'IMPORT SCHLIESSERDATEN'!CK81)</f>
        <v>164</v>
      </c>
      <c r="AP89" s="74">
        <f>IF('IMPORT SCHLIESSERDATEN'!$U81="",0,1)</f>
        <v>1</v>
      </c>
      <c r="AQ89" s="74">
        <f>IF('IMPORT SCHLIESSERDATEN'!$V81="",0,1)</f>
        <v>0</v>
      </c>
      <c r="AR89" s="74">
        <f>IF('IMPORT SCHLIESSERDATEN'!$W81="",0,1)</f>
        <v>1</v>
      </c>
      <c r="AS89" s="74">
        <f>IF('IMPORT SCHLIESSERDATEN'!$AA81="",0,1)</f>
        <v>1</v>
      </c>
      <c r="AT89" s="74">
        <f>IF('IMPORT SCHLIESSERDATEN'!$AD81="",0,1) + IF('IMPORT SCHLIESSERDATEN'!$AE81="",0,2)</f>
        <v>1</v>
      </c>
      <c r="AU89" s="74" t="str">
        <f>IF('IMPORT SCHLIESSERDATEN'!$X81="",IF('IMPORT SCHLIESSERDATEN'!$Y81="","","F"),"V")</f>
        <v>V</v>
      </c>
      <c r="AV89" s="74" t="str">
        <f>IF('IMPORT SCHLIESSERDATEN'!$AB81&lt;&gt;"","M",IF('IMPORT SCHLIESSERDATEN'!$AD81&lt;&gt;"",IF(ISERR(SEARCH("UVIBIS",'IMPORT SCHLIESSERDATEN'!$B81)),"R","B"),IF(OR('IMPORT SCHLIESSERDATEN'!$AC81&lt;&gt;"",'IMPORT SCHLIESSERDATEN'!$AE81&lt;&gt;""),"E","")))</f>
        <v>R</v>
      </c>
      <c r="AW89" s="82"/>
      <c r="AX89" s="67"/>
    </row>
    <row r="90" spans="1:50" x14ac:dyDescent="0.25">
      <c r="A90" s="67">
        <f>IFERROR(IF(C90&lt;&gt;"",MAX($A$2:$A89)+1,""),"")</f>
        <v>78</v>
      </c>
      <c r="B90" s="223">
        <f t="shared" si="1"/>
        <v>78</v>
      </c>
      <c r="C90" s="216" t="str">
        <f>IF(J90=1,SUBSTITUTE('IMPORT SCHLIESSERDATEN'!$B82," Gangfl.",""),IF(J90=2,SUBSTITUTE('IMPORT SCHLIESSERDATEN'!$B82," Standfl.",""),'IMPORT SCHLIESSERDATEN'!$B82))</f>
        <v>TS 97 EN 2-4</v>
      </c>
      <c r="D90" s="216" t="str">
        <f>IF('IMPORT SCHLIESSERDATEN'!$AF82&lt;&gt;"",IF(COUNTA('IMPORT SCHLIESSERDATEN'!$AN82:$AU82)&gt;0,"X","G"),IF('IMPORT SCHLIESSERDATEN'!$AG82&lt;&gt;"","S",IF('IMPORT SCHLIESSERDATEN'!$AH82&lt;&gt;"","I",IF('IMPORT SCHLIESSERDATEN'!$AI82&lt;&gt;"","B",IF('IMPORT SCHLIESSERDATEN'!$AJ82&lt;&gt;"","D","")))))</f>
        <v>G</v>
      </c>
      <c r="E90" s="248" t="str">
        <f>'IMPORT SCHLIESSERDATEN'!AK82 &amp; IF('IMPORT SCHLIESSERDATEN'!AL82="",""," "&amp; 'IMPORT SCHLIESSERDATEN'!AL82)</f>
        <v>97 B</v>
      </c>
      <c r="F90" s="74">
        <f>IFERROR(IF(D90="X",2^(MATCH("",'IMPORT SCHLIESSERDATEN'!$AN82:$AU82,-1)-1),IF(AV90="F",2^(MATCH("",'IMPORT SCHLIESSERDATEN'!$BH82:$BK82,-1)-1),2^(MATCH("",'IMPORT SCHLIESSERDATEN'!$AV82:$BG82,-1)-1))),0)</f>
        <v>1</v>
      </c>
      <c r="G90" s="74">
        <f>IF(AND('IMPORT SCHLIESSERDATEN'!$O82='IMPORT SCHLIESSERDATEN'!$R82,'IMPORT SCHLIESSERDATEN'!$O82&lt;&gt;"",'IMPORT SCHLIESSERDATEN'!$R82&lt;&gt;""),1,0)  +  IF(AND('IMPORT SCHLIESSERDATEN'!$P82='IMPORT SCHLIESSERDATEN'!$S82,'IMPORT SCHLIESSERDATEN'!$P82&lt;&gt;"",'IMPORT SCHLIESSERDATEN'!$S82&lt;&gt;""),2,0)   +  IF(AND('IMPORT SCHLIESSERDATEN'!$O82='IMPORT SCHLIESSERDATEN'!$S82,'IMPORT SCHLIESSERDATEN'!$O82&lt;&gt;"",'IMPORT SCHLIESSERDATEN'!$S82&lt;&gt;""),4,0)   +  IF(AND('IMPORT SCHLIESSERDATEN'!$P82='IMPORT SCHLIESSERDATEN'!$R82,'IMPORT SCHLIESSERDATEN'!$P82&lt;&gt;"",'IMPORT SCHLIESSERDATEN'!$R82&lt;&gt;""),8,0)   +  IF('IMPORT SCHLIESSERDATEN'!$Q82&lt;&gt;"",IF('IMPORT SCHLIESSERDATEN'!$R82&lt;&gt;"",32,0) + IF('IMPORT SCHLIESSERDATEN'!$S82&lt;&gt;"",64,0),0)  +  IF('IMPORT SCHLIESSERDATEN'!$T82&lt;&gt;"",IF('IMPORT SCHLIESSERDATEN'!$Q82&lt;&gt;"",128+256,128),0)</f>
        <v>5</v>
      </c>
      <c r="H90" s="74">
        <f>IF('IMPORT SCHLIESSERDATEN'!$H82="",0,1) + IF('IMPORT SCHLIESSERDATEN'!$I82="",0,2) + IF('IMPORT SCHLIESSERDATEN'!$J82="",0,4) + IF('IMPORT SCHLIESSERDATEN'!$K82="",0,8) + IF('IMPORT SCHLIESSERDATEN'!$L82="",0,16) + IF('IMPORT SCHLIESSERDATEN'!$M82="",0,32) + IF('IMPORT SCHLIESSERDATEN'!$N82="",0,64)</f>
        <v>14</v>
      </c>
      <c r="I90" s="74">
        <f>IF('IMPORT SCHLIESSERDATEN'!$D82="",0,1) + IF('IMPORT SCHLIESSERDATEN'!$E82="",0,2) + IF('IMPORT SCHLIESSERDATEN'!$E82="S",4,0)</f>
        <v>1</v>
      </c>
      <c r="J90" s="74">
        <f>IF(ISERR(FIND(" Gangfl.",'IMPORT SCHLIESSERDATEN'!$B82)),IF(ISERR(FIND(" Standfl.",'IMPORT SCHLIESSERDATEN'!$B82)),0,2),1)</f>
        <v>0</v>
      </c>
      <c r="K90" s="74">
        <f>'IMPORT SCHLIESSERDATEN'!CL82</f>
        <v>26</v>
      </c>
      <c r="L90" s="74">
        <f>'IMPORT SCHLIESSERDATEN'!CN82</f>
        <v>0</v>
      </c>
      <c r="M90" s="74">
        <f>IF('IMPORT SCHLIESSERDATEN'!CS82="wie TS",-1,'IMPORT SCHLIESSERDATEN'!CS82)</f>
        <v>0</v>
      </c>
      <c r="N90" s="74">
        <f>IF(M90&lt;0,-1,'IMPORT SCHLIESSERDATEN'!CU82)</f>
        <v>0</v>
      </c>
      <c r="O90" s="74">
        <f>IF('IMPORT SCHLIESSERDATEN'!CZ82="wie TS",-1,'IMPORT SCHLIESSERDATEN'!CZ82)</f>
        <v>26</v>
      </c>
      <c r="P90" s="74">
        <f>IF(O90&lt;0,-1,'IMPORT SCHLIESSERDATEN'!DB82)</f>
        <v>11</v>
      </c>
      <c r="Q90" s="74">
        <f>'IMPORT SCHLIESSERDATEN'!DG82</f>
        <v>0</v>
      </c>
      <c r="R90" s="74">
        <f>'IMPORT SCHLIESSERDATEN'!DI82</f>
        <v>0</v>
      </c>
      <c r="S90" s="74">
        <f>'IMPORT SCHLIESSERDATEN'!DN82</f>
        <v>0</v>
      </c>
      <c r="T90" s="74">
        <f>IF('IMPORT SCHLIESSERDATEN'!DP82="V",9999,'IMPORT SCHLIESSERDATEN'!DP82)</f>
        <v>0</v>
      </c>
      <c r="U90" s="74">
        <f>'IMPORT SCHLIESSERDATEN'!BW82</f>
        <v>340</v>
      </c>
      <c r="V90" s="74">
        <f>'IMPORT SCHLIESSERDATEN'!BX82</f>
        <v>37</v>
      </c>
      <c r="W90" s="74">
        <f>'IMPORT SCHLIESSERDATEN'!BY82</f>
        <v>49</v>
      </c>
      <c r="X90" s="74">
        <f>'IMPORT SCHLIESSERDATEN'!CO82</f>
        <v>26</v>
      </c>
      <c r="Y90" s="74">
        <f>'IMPORT SCHLIESSERDATEN'!CQ82</f>
        <v>11</v>
      </c>
      <c r="Z90" s="74">
        <f>'IMPORT SCHLIESSERDATEN'!CV82</f>
        <v>0</v>
      </c>
      <c r="AA90" s="74">
        <f>'IMPORT SCHLIESSERDATEN'!CX82</f>
        <v>0</v>
      </c>
      <c r="AB90" s="74">
        <f>'IMPORT SCHLIESSERDATEN'!DC82</f>
        <v>26</v>
      </c>
      <c r="AC90" s="74">
        <f>'IMPORT SCHLIESSERDATEN'!DE82</f>
        <v>1</v>
      </c>
      <c r="AD90" s="74">
        <f>'IMPORT SCHLIESSERDATEN'!DJ82</f>
        <v>0</v>
      </c>
      <c r="AE90" s="74">
        <f>'IMPORT SCHLIESSERDATEN'!DL82</f>
        <v>0</v>
      </c>
      <c r="AF90" s="74">
        <f>'IMPORT SCHLIESSERDATEN'!DQ82</f>
        <v>0</v>
      </c>
      <c r="AG90" s="74">
        <f>IF('IMPORT SCHLIESSERDATEN'!DS82="V",9999,'IMPORT SCHLIESSERDATEN'!DS82)</f>
        <v>0</v>
      </c>
      <c r="AH90" s="74">
        <f>IF('IMPORT SCHLIESSERDATEN'!BZ82="V",9999,IF('IMPORT SCHLIESSERDATEN'!CD82="_",-1,'IMPORT SCHLIESSERDATEN'!BZ82))</f>
        <v>340</v>
      </c>
      <c r="AI90" s="74">
        <f>IF('IMPORT SCHLIESSERDATEN'!CA82="V",9999,IF('IMPORT SCHLIESSERDATEN'!CD82="_",-1,'IMPORT SCHLIESSERDATEN'!CA82))</f>
        <v>16</v>
      </c>
      <c r="AJ90" s="74">
        <f>IF('IMPORT SCHLIESSERDATEN'!CB82="V",9999,IF('IMPORT SCHLIESSERDATEN'!CD82="_",-1,'IMPORT SCHLIESSERDATEN'!CB82))</f>
        <v>24</v>
      </c>
      <c r="AK90" s="74">
        <f>IF('IMPORT SCHLIESSERDATEN'!CC82="V",9999,IF('IMPORT SCHLIESSERDATEN'!CC82="_",-1,'IMPORT SCHLIESSERDATEN'!CC82))</f>
        <v>12</v>
      </c>
      <c r="AL90" s="74">
        <f>IF('IMPORT SCHLIESSERDATEN'!CD82="_",-1,'IMPORT SCHLIESSERDATEN'!CD82)</f>
        <v>210</v>
      </c>
      <c r="AM90" s="74">
        <f>'IMPORT SCHLIESSERDATEN'!CH82</f>
        <v>84</v>
      </c>
      <c r="AN90" s="74">
        <f>IF('IMPORT SCHLIESSERDATEN'!CE82="V",9999,'IMPORT SCHLIESSERDATEN'!CE82)</f>
        <v>20</v>
      </c>
      <c r="AO90" s="74">
        <f>IF('IMPORT SCHLIESSERDATEN'!CK82="_",-1,'IMPORT SCHLIESSERDATEN'!CK82)</f>
        <v>43</v>
      </c>
      <c r="AP90" s="74">
        <f>IF('IMPORT SCHLIESSERDATEN'!$U82="",0,1)</f>
        <v>0</v>
      </c>
      <c r="AQ90" s="74">
        <f>IF('IMPORT SCHLIESSERDATEN'!$V82="",0,1)</f>
        <v>0</v>
      </c>
      <c r="AR90" s="74">
        <f>IF('IMPORT SCHLIESSERDATEN'!$W82="",0,1)</f>
        <v>0</v>
      </c>
      <c r="AS90" s="74">
        <f>IF('IMPORT SCHLIESSERDATEN'!$AA82="",0,1)</f>
        <v>0</v>
      </c>
      <c r="AT90" s="74">
        <f>IF('IMPORT SCHLIESSERDATEN'!$AD82="",0,1) + IF('IMPORT SCHLIESSERDATEN'!$AE82="",0,2)</f>
        <v>0</v>
      </c>
      <c r="AU90" s="74" t="str">
        <f>IF('IMPORT SCHLIESSERDATEN'!$X82="",IF('IMPORT SCHLIESSERDATEN'!$Y82="","","F"),"V")</f>
        <v/>
      </c>
      <c r="AV90" s="74" t="str">
        <f>IF('IMPORT SCHLIESSERDATEN'!$AB82&lt;&gt;"","M",IF('IMPORT SCHLIESSERDATEN'!$AD82&lt;&gt;"",IF(ISERR(SEARCH("UVIBIS",'IMPORT SCHLIESSERDATEN'!$B82)),"R","B"),IF(OR('IMPORT SCHLIESSERDATEN'!$AC82&lt;&gt;"",'IMPORT SCHLIESSERDATEN'!$AE82&lt;&gt;""),"E","")))</f>
        <v/>
      </c>
      <c r="AW90" s="82"/>
      <c r="AX90" s="67"/>
    </row>
    <row r="91" spans="1:50" x14ac:dyDescent="0.25">
      <c r="A91" s="67">
        <f>IFERROR(IF(C91&lt;&gt;"",MAX($A$2:$A90)+1,""),"")</f>
        <v>79</v>
      </c>
      <c r="B91" s="223">
        <f t="shared" si="1"/>
        <v>79</v>
      </c>
      <c r="C91" s="216" t="str">
        <f>IF(J91=1,SUBSTITUTE('IMPORT SCHLIESSERDATEN'!$B83," Gangfl.",""),IF(J91=2,SUBSTITUTE('IMPORT SCHLIESSERDATEN'!$B83," Standfl.",""),'IMPORT SCHLIESSERDATEN'!$B83))</f>
        <v>TS 97 RF EN 2-4</v>
      </c>
      <c r="D91" s="216" t="str">
        <f>IF('IMPORT SCHLIESSERDATEN'!$AF83&lt;&gt;"",IF(COUNTA('IMPORT SCHLIESSERDATEN'!$AN83:$AU83)&gt;0,"X","G"),IF('IMPORT SCHLIESSERDATEN'!$AG83&lt;&gt;"","S",IF('IMPORT SCHLIESSERDATEN'!$AH83&lt;&gt;"","I",IF('IMPORT SCHLIESSERDATEN'!$AI83&lt;&gt;"","B",IF('IMPORT SCHLIESSERDATEN'!$AJ83&lt;&gt;"","D","")))))</f>
        <v>G</v>
      </c>
      <c r="E91" s="248" t="str">
        <f>'IMPORT SCHLIESSERDATEN'!AK83 &amp; IF('IMPORT SCHLIESSERDATEN'!AL83="",""," "&amp; 'IMPORT SCHLIESSERDATEN'!AL83)</f>
        <v>97 B</v>
      </c>
      <c r="F91" s="74">
        <f>IFERROR(IF(D91="X",2^(MATCH("",'IMPORT SCHLIESSERDATEN'!$AN83:$AU83,-1)-1),IF(AV91="F",2^(MATCH("",'IMPORT SCHLIESSERDATEN'!$BH83:$BK83,-1)-1),2^(MATCH("",'IMPORT SCHLIESSERDATEN'!$AV83:$BG83,-1)-1))),0)</f>
        <v>2</v>
      </c>
      <c r="G91" s="74">
        <f>IF(AND('IMPORT SCHLIESSERDATEN'!$O83='IMPORT SCHLIESSERDATEN'!$R83,'IMPORT SCHLIESSERDATEN'!$O83&lt;&gt;"",'IMPORT SCHLIESSERDATEN'!$R83&lt;&gt;""),1,0)  +  IF(AND('IMPORT SCHLIESSERDATEN'!$P83='IMPORT SCHLIESSERDATEN'!$S83,'IMPORT SCHLIESSERDATEN'!$P83&lt;&gt;"",'IMPORT SCHLIESSERDATEN'!$S83&lt;&gt;""),2,0)   +  IF(AND('IMPORT SCHLIESSERDATEN'!$O83='IMPORT SCHLIESSERDATEN'!$S83,'IMPORT SCHLIESSERDATEN'!$O83&lt;&gt;"",'IMPORT SCHLIESSERDATEN'!$S83&lt;&gt;""),4,0)   +  IF(AND('IMPORT SCHLIESSERDATEN'!$P83='IMPORT SCHLIESSERDATEN'!$R83,'IMPORT SCHLIESSERDATEN'!$P83&lt;&gt;"",'IMPORT SCHLIESSERDATEN'!$R83&lt;&gt;""),8,0)   +  IF('IMPORT SCHLIESSERDATEN'!$Q83&lt;&gt;"",IF('IMPORT SCHLIESSERDATEN'!$R83&lt;&gt;"",32,0) + IF('IMPORT SCHLIESSERDATEN'!$S83&lt;&gt;"",64,0),0)  +  IF('IMPORT SCHLIESSERDATEN'!$T83&lt;&gt;"",IF('IMPORT SCHLIESSERDATEN'!$Q83&lt;&gt;"",128+256,128),0)</f>
        <v>5</v>
      </c>
      <c r="H91" s="74">
        <f>IF('IMPORT SCHLIESSERDATEN'!$H83="",0,1) + IF('IMPORT SCHLIESSERDATEN'!$I83="",0,2) + IF('IMPORT SCHLIESSERDATEN'!$J83="",0,4) + IF('IMPORT SCHLIESSERDATEN'!$K83="",0,8) + IF('IMPORT SCHLIESSERDATEN'!$L83="",0,16) + IF('IMPORT SCHLIESSERDATEN'!$M83="",0,32) + IF('IMPORT SCHLIESSERDATEN'!$N83="",0,64)</f>
        <v>14</v>
      </c>
      <c r="I91" s="74">
        <f>IF('IMPORT SCHLIESSERDATEN'!$D83="",0,1) + IF('IMPORT SCHLIESSERDATEN'!$E83="",0,2) + IF('IMPORT SCHLIESSERDATEN'!$E83="S",4,0)</f>
        <v>1</v>
      </c>
      <c r="J91" s="74">
        <f>IF(ISERR(FIND(" Gangfl.",'IMPORT SCHLIESSERDATEN'!$B83)),IF(ISERR(FIND(" Standfl.",'IMPORT SCHLIESSERDATEN'!$B83)),0,2),1)</f>
        <v>0</v>
      </c>
      <c r="K91" s="74">
        <f>'IMPORT SCHLIESSERDATEN'!CL83</f>
        <v>26</v>
      </c>
      <c r="L91" s="74">
        <f>'IMPORT SCHLIESSERDATEN'!CN83</f>
        <v>0</v>
      </c>
      <c r="M91" s="74">
        <f>IF('IMPORT SCHLIESSERDATEN'!CS83="wie TS",-1,'IMPORT SCHLIESSERDATEN'!CS83)</f>
        <v>0</v>
      </c>
      <c r="N91" s="74">
        <f>IF(M91&lt;0,-1,'IMPORT SCHLIESSERDATEN'!CU83)</f>
        <v>0</v>
      </c>
      <c r="O91" s="74">
        <f>IF('IMPORT SCHLIESSERDATEN'!CZ83="wie TS",-1,'IMPORT SCHLIESSERDATEN'!CZ83)</f>
        <v>26</v>
      </c>
      <c r="P91" s="74">
        <f>IF(O91&lt;0,-1,'IMPORT SCHLIESSERDATEN'!DB83)</f>
        <v>11</v>
      </c>
      <c r="Q91" s="74">
        <f>'IMPORT SCHLIESSERDATEN'!DG83</f>
        <v>0</v>
      </c>
      <c r="R91" s="74">
        <f>'IMPORT SCHLIESSERDATEN'!DI83</f>
        <v>0</v>
      </c>
      <c r="S91" s="74">
        <f>'IMPORT SCHLIESSERDATEN'!DN83</f>
        <v>0</v>
      </c>
      <c r="T91" s="74">
        <f>IF('IMPORT SCHLIESSERDATEN'!DP83="V",9999,'IMPORT SCHLIESSERDATEN'!DP83)</f>
        <v>0</v>
      </c>
      <c r="U91" s="74">
        <f>'IMPORT SCHLIESSERDATEN'!BW83</f>
        <v>340</v>
      </c>
      <c r="V91" s="74">
        <f>'IMPORT SCHLIESSERDATEN'!BX83</f>
        <v>37</v>
      </c>
      <c r="W91" s="74">
        <f>'IMPORT SCHLIESSERDATEN'!BY83</f>
        <v>49</v>
      </c>
      <c r="X91" s="74">
        <f>'IMPORT SCHLIESSERDATEN'!CO83</f>
        <v>26</v>
      </c>
      <c r="Y91" s="74">
        <f>'IMPORT SCHLIESSERDATEN'!CQ83</f>
        <v>11</v>
      </c>
      <c r="Z91" s="74">
        <f>'IMPORT SCHLIESSERDATEN'!CV83</f>
        <v>0</v>
      </c>
      <c r="AA91" s="74">
        <f>'IMPORT SCHLIESSERDATEN'!CX83</f>
        <v>0</v>
      </c>
      <c r="AB91" s="74">
        <f>'IMPORT SCHLIESSERDATEN'!DC83</f>
        <v>26</v>
      </c>
      <c r="AC91" s="74">
        <f>'IMPORT SCHLIESSERDATEN'!DE83</f>
        <v>1</v>
      </c>
      <c r="AD91" s="74">
        <f>'IMPORT SCHLIESSERDATEN'!DJ83</f>
        <v>0</v>
      </c>
      <c r="AE91" s="74">
        <f>'IMPORT SCHLIESSERDATEN'!DL83</f>
        <v>0</v>
      </c>
      <c r="AF91" s="74">
        <f>'IMPORT SCHLIESSERDATEN'!DQ83</f>
        <v>0</v>
      </c>
      <c r="AG91" s="74">
        <f>IF('IMPORT SCHLIESSERDATEN'!DS83="V",9999,'IMPORT SCHLIESSERDATEN'!DS83)</f>
        <v>0</v>
      </c>
      <c r="AH91" s="74">
        <f>IF('IMPORT SCHLIESSERDATEN'!BZ83="V",9999,IF('IMPORT SCHLIESSERDATEN'!CD83="_",-1,'IMPORT SCHLIESSERDATEN'!BZ83))</f>
        <v>340</v>
      </c>
      <c r="AI91" s="74">
        <f>IF('IMPORT SCHLIESSERDATEN'!CA83="V",9999,IF('IMPORT SCHLIESSERDATEN'!CD83="_",-1,'IMPORT SCHLIESSERDATEN'!CA83))</f>
        <v>16</v>
      </c>
      <c r="AJ91" s="74">
        <f>IF('IMPORT SCHLIESSERDATEN'!CB83="V",9999,IF('IMPORT SCHLIESSERDATEN'!CD83="_",-1,'IMPORT SCHLIESSERDATEN'!CB83))</f>
        <v>24</v>
      </c>
      <c r="AK91" s="74">
        <f>IF('IMPORT SCHLIESSERDATEN'!CC83="V",9999,IF('IMPORT SCHLIESSERDATEN'!CC83="_",-1,'IMPORT SCHLIESSERDATEN'!CC83))</f>
        <v>12</v>
      </c>
      <c r="AL91" s="74">
        <f>IF('IMPORT SCHLIESSERDATEN'!CD83="_",-1,'IMPORT SCHLIESSERDATEN'!CD83)</f>
        <v>210</v>
      </c>
      <c r="AM91" s="74">
        <f>'IMPORT SCHLIESSERDATEN'!CH83</f>
        <v>84</v>
      </c>
      <c r="AN91" s="74">
        <f>IF('IMPORT SCHLIESSERDATEN'!CE83="V",9999,'IMPORT SCHLIESSERDATEN'!CE83)</f>
        <v>20</v>
      </c>
      <c r="AO91" s="74">
        <f>IF('IMPORT SCHLIESSERDATEN'!CK83="_",-1,'IMPORT SCHLIESSERDATEN'!CK83)</f>
        <v>106</v>
      </c>
      <c r="AP91" s="74">
        <f>IF('IMPORT SCHLIESSERDATEN'!$U83="",0,1)</f>
        <v>0</v>
      </c>
      <c r="AQ91" s="74">
        <f>IF('IMPORT SCHLIESSERDATEN'!$V83="",0,1)</f>
        <v>0</v>
      </c>
      <c r="AR91" s="74">
        <f>IF('IMPORT SCHLIESSERDATEN'!$W83="",0,1)</f>
        <v>0</v>
      </c>
      <c r="AS91" s="74">
        <f>IF('IMPORT SCHLIESSERDATEN'!$AA83="",0,1)</f>
        <v>0</v>
      </c>
      <c r="AT91" s="74">
        <f>IF('IMPORT SCHLIESSERDATEN'!$AD83="",0,1) + IF('IMPORT SCHLIESSERDATEN'!$AE83="",0,2)</f>
        <v>0</v>
      </c>
      <c r="AU91" s="74" t="str">
        <f>IF('IMPORT SCHLIESSERDATEN'!$X83="",IF('IMPORT SCHLIESSERDATEN'!$Y83="","","F"),"V")</f>
        <v/>
      </c>
      <c r="AV91" s="74" t="str">
        <f>IF('IMPORT SCHLIESSERDATEN'!$AB83&lt;&gt;"","M",IF('IMPORT SCHLIESSERDATEN'!$AD83&lt;&gt;"",IF(ISERR(SEARCH("UVIBIS",'IMPORT SCHLIESSERDATEN'!$B83)),"R","B"),IF(OR('IMPORT SCHLIESSERDATEN'!$AC83&lt;&gt;"",'IMPORT SCHLIESSERDATEN'!$AE83&lt;&gt;""),"E","")))</f>
        <v>M</v>
      </c>
      <c r="AW91" s="82"/>
      <c r="AX91" s="67"/>
    </row>
    <row r="92" spans="1:50" x14ac:dyDescent="0.25">
      <c r="A92" s="67">
        <f>IFERROR(IF(C92&lt;&gt;"",MAX($A$2:$A91)+1,""),"")</f>
        <v>80</v>
      </c>
      <c r="B92" s="223">
        <f t="shared" si="1"/>
        <v>80</v>
      </c>
      <c r="C92" s="216" t="str">
        <f>IF(J92=1,SUBSTITUTE('IMPORT SCHLIESSERDATEN'!$B84," Gangfl.",""),IF(J92=2,SUBSTITUTE('IMPORT SCHLIESSERDATEN'!$B84," Standfl.",""),'IMPORT SCHLIESSERDATEN'!$B84))</f>
        <v>TS 98 XEA EN 1-6</v>
      </c>
      <c r="D92" s="216" t="str">
        <f>IF('IMPORT SCHLIESSERDATEN'!$AF84&lt;&gt;"",IF(COUNTA('IMPORT SCHLIESSERDATEN'!$AN84:$AU84)&gt;0,"X","G"),IF('IMPORT SCHLIESSERDATEN'!$AG84&lt;&gt;"","S",IF('IMPORT SCHLIESSERDATEN'!$AH84&lt;&gt;"","I",IF('IMPORT SCHLIESSERDATEN'!$AI84&lt;&gt;"","B",IF('IMPORT SCHLIESSERDATEN'!$AJ84&lt;&gt;"","D","")))))</f>
        <v>X</v>
      </c>
      <c r="E92" s="248" t="str">
        <f>'IMPORT SCHLIESSERDATEN'!AK84 &amp; IF('IMPORT SCHLIESSERDATEN'!AL84="",""," "&amp; 'IMPORT SCHLIESSERDATEN'!AL84)</f>
        <v>98</v>
      </c>
      <c r="F92" s="74">
        <f>IFERROR(IF(D92="X",2^(MATCH("",'IMPORT SCHLIESSERDATEN'!$AN84:$AU84,-1)-1),IF(AV92="F",2^(MATCH("",'IMPORT SCHLIESSERDATEN'!$BH84:$BK84,-1)-1),2^(MATCH("",'IMPORT SCHLIESSERDATEN'!$AV84:$BG84,-1)-1))),0)</f>
        <v>1</v>
      </c>
      <c r="G92" s="74">
        <f>IF(AND('IMPORT SCHLIESSERDATEN'!$O84='IMPORT SCHLIESSERDATEN'!$R84,'IMPORT SCHLIESSERDATEN'!$O84&lt;&gt;"",'IMPORT SCHLIESSERDATEN'!$R84&lt;&gt;""),1,0)  +  IF(AND('IMPORT SCHLIESSERDATEN'!$P84='IMPORT SCHLIESSERDATEN'!$S84,'IMPORT SCHLIESSERDATEN'!$P84&lt;&gt;"",'IMPORT SCHLIESSERDATEN'!$S84&lt;&gt;""),2,0)   +  IF(AND('IMPORT SCHLIESSERDATEN'!$O84='IMPORT SCHLIESSERDATEN'!$S84,'IMPORT SCHLIESSERDATEN'!$O84&lt;&gt;"",'IMPORT SCHLIESSERDATEN'!$S84&lt;&gt;""),4,0)   +  IF(AND('IMPORT SCHLIESSERDATEN'!$P84='IMPORT SCHLIESSERDATEN'!$R84,'IMPORT SCHLIESSERDATEN'!$P84&lt;&gt;"",'IMPORT SCHLIESSERDATEN'!$R84&lt;&gt;""),8,0)   +  IF('IMPORT SCHLIESSERDATEN'!$Q84&lt;&gt;"",IF('IMPORT SCHLIESSERDATEN'!$R84&lt;&gt;"",32,0) + IF('IMPORT SCHLIESSERDATEN'!$S84&lt;&gt;"",64,0),0)  +  IF('IMPORT SCHLIESSERDATEN'!$T84&lt;&gt;"",IF('IMPORT SCHLIESSERDATEN'!$Q84&lt;&gt;"",128+256,128),0)</f>
        <v>15</v>
      </c>
      <c r="H92" s="74">
        <f>IF('IMPORT SCHLIESSERDATEN'!$H84="",0,1) + IF('IMPORT SCHLIESSERDATEN'!$I84="",0,2) + IF('IMPORT SCHLIESSERDATEN'!$J84="",0,4) + IF('IMPORT SCHLIESSERDATEN'!$K84="",0,8) + IF('IMPORT SCHLIESSERDATEN'!$L84="",0,16) + IF('IMPORT SCHLIESSERDATEN'!$M84="",0,32) + IF('IMPORT SCHLIESSERDATEN'!$N84="",0,64)</f>
        <v>63</v>
      </c>
      <c r="I92" s="74">
        <f>IF('IMPORT SCHLIESSERDATEN'!$D84="",0,1) + IF('IMPORT SCHLIESSERDATEN'!$E84="",0,2) + IF('IMPORT SCHLIESSERDATEN'!$E84="S",4,0)</f>
        <v>1</v>
      </c>
      <c r="J92" s="74">
        <f>IF(ISERR(FIND(" Gangfl.",'IMPORT SCHLIESSERDATEN'!$B84)),IF(ISERR(FIND(" Standfl.",'IMPORT SCHLIESSERDATEN'!$B84)),0,2),1)</f>
        <v>0</v>
      </c>
      <c r="K92" s="74">
        <f>'IMPORT SCHLIESSERDATEN'!CL84</f>
        <v>74</v>
      </c>
      <c r="L92" s="74">
        <f>'IMPORT SCHLIESSERDATEN'!CN84</f>
        <v>4</v>
      </c>
      <c r="M92" s="74">
        <f>IF('IMPORT SCHLIESSERDATEN'!CS84="wie TS",-1,'IMPORT SCHLIESSERDATEN'!CS84)</f>
        <v>74</v>
      </c>
      <c r="N92" s="74">
        <f>IF(M92&lt;0,-1,'IMPORT SCHLIESSERDATEN'!CU84)</f>
        <v>4</v>
      </c>
      <c r="O92" s="74">
        <f>IF('IMPORT SCHLIESSERDATEN'!CZ84="wie TS",-1,'IMPORT SCHLIESSERDATEN'!CZ84)</f>
        <v>74</v>
      </c>
      <c r="P92" s="74">
        <f>IF(O92&lt;0,-1,'IMPORT SCHLIESSERDATEN'!DB84)</f>
        <v>17</v>
      </c>
      <c r="Q92" s="74">
        <f>'IMPORT SCHLIESSERDATEN'!DG84</f>
        <v>74</v>
      </c>
      <c r="R92" s="74">
        <f>'IMPORT SCHLIESSERDATEN'!DI84</f>
        <v>17</v>
      </c>
      <c r="S92" s="74">
        <f>'IMPORT SCHLIESSERDATEN'!DN84</f>
        <v>74</v>
      </c>
      <c r="T92" s="74">
        <f>IF('IMPORT SCHLIESSERDATEN'!DP84="V",9999,'IMPORT SCHLIESSERDATEN'!DP84)</f>
        <v>9999</v>
      </c>
      <c r="U92" s="74">
        <f>'IMPORT SCHLIESSERDATEN'!BW84</f>
        <v>327</v>
      </c>
      <c r="V92" s="74">
        <f>'IMPORT SCHLIESSERDATEN'!BX84</f>
        <v>59</v>
      </c>
      <c r="W92" s="74">
        <f>'IMPORT SCHLIESSERDATEN'!BY84</f>
        <v>60</v>
      </c>
      <c r="X92" s="74">
        <f>'IMPORT SCHLIESSERDATEN'!CO84</f>
        <v>74</v>
      </c>
      <c r="Y92" s="74">
        <f>'IMPORT SCHLIESSERDATEN'!CQ84</f>
        <v>12</v>
      </c>
      <c r="Z92" s="74">
        <f>'IMPORT SCHLIESSERDATEN'!CV84</f>
        <v>74</v>
      </c>
      <c r="AA92" s="74">
        <f>'IMPORT SCHLIESSERDATEN'!CX84</f>
        <v>12</v>
      </c>
      <c r="AB92" s="74">
        <f>'IMPORT SCHLIESSERDATEN'!DC84</f>
        <v>74</v>
      </c>
      <c r="AC92" s="74">
        <f>'IMPORT SCHLIESSERDATEN'!DE84</f>
        <v>0</v>
      </c>
      <c r="AD92" s="74">
        <f>'IMPORT SCHLIESSERDATEN'!DJ84</f>
        <v>74</v>
      </c>
      <c r="AE92" s="74">
        <f>'IMPORT SCHLIESSERDATEN'!DL84</f>
        <v>0</v>
      </c>
      <c r="AF92" s="74">
        <f>'IMPORT SCHLIESSERDATEN'!DQ84</f>
        <v>74</v>
      </c>
      <c r="AG92" s="74">
        <f>IF('IMPORT SCHLIESSERDATEN'!DS84="V",9999,'IMPORT SCHLIESSERDATEN'!DS84)</f>
        <v>9999</v>
      </c>
      <c r="AH92" s="74">
        <f>IF('IMPORT SCHLIESSERDATEN'!BZ84="V",9999,IF('IMPORT SCHLIESSERDATEN'!CD84="_",-1,'IMPORT SCHLIESSERDATEN'!BZ84))</f>
        <v>518</v>
      </c>
      <c r="AI92" s="74">
        <f>IF('IMPORT SCHLIESSERDATEN'!CA84="V",9999,IF('IMPORT SCHLIESSERDATEN'!CD84="_",-1,'IMPORT SCHLIESSERDATEN'!CA84))</f>
        <v>23</v>
      </c>
      <c r="AJ92" s="74">
        <f>IF('IMPORT SCHLIESSERDATEN'!CB84="V",9999,IF('IMPORT SCHLIESSERDATEN'!CD84="_",-1,'IMPORT SCHLIESSERDATEN'!CB84))</f>
        <v>32</v>
      </c>
      <c r="AK92" s="74">
        <f>IF('IMPORT SCHLIESSERDATEN'!CC84="V",9999,IF('IMPORT SCHLIESSERDATEN'!CC84="_",-1,'IMPORT SCHLIESSERDATEN'!CC84))</f>
        <v>16</v>
      </c>
      <c r="AL92" s="74">
        <f>IF('IMPORT SCHLIESSERDATEN'!CD84="_",-1,'IMPORT SCHLIESSERDATEN'!CD84)</f>
        <v>375</v>
      </c>
      <c r="AM92" s="74">
        <f>'IMPORT SCHLIESSERDATEN'!CH84</f>
        <v>101</v>
      </c>
      <c r="AN92" s="74">
        <f>IF('IMPORT SCHLIESSERDATEN'!CE84="V",9999,'IMPORT SCHLIESSERDATEN'!CE84)</f>
        <v>30</v>
      </c>
      <c r="AO92" s="74">
        <f>IF('IMPORT SCHLIESSERDATEN'!CK84="_",-1,'IMPORT SCHLIESSERDATEN'!CK84)</f>
        <v>45</v>
      </c>
      <c r="AP92" s="74">
        <f>IF('IMPORT SCHLIESSERDATEN'!$U84="",0,1)</f>
        <v>1</v>
      </c>
      <c r="AQ92" s="74">
        <f>IF('IMPORT SCHLIESSERDATEN'!$V84="",0,1)</f>
        <v>1</v>
      </c>
      <c r="AR92" s="74">
        <f>IF('IMPORT SCHLIESSERDATEN'!$W84="",0,1)</f>
        <v>0</v>
      </c>
      <c r="AS92" s="74">
        <f>IF('IMPORT SCHLIESSERDATEN'!$AA84="",0,1)</f>
        <v>1</v>
      </c>
      <c r="AT92" s="74">
        <f>IF('IMPORT SCHLIESSERDATEN'!$AD84="",0,1) + IF('IMPORT SCHLIESSERDATEN'!$AE84="",0,2)</f>
        <v>0</v>
      </c>
      <c r="AU92" s="74" t="str">
        <f>IF('IMPORT SCHLIESSERDATEN'!$X84="",IF('IMPORT SCHLIESSERDATEN'!$Y84="","","F"),"V")</f>
        <v>V</v>
      </c>
      <c r="AV92" s="74" t="str">
        <f>IF('IMPORT SCHLIESSERDATEN'!$AB84&lt;&gt;"","M",IF('IMPORT SCHLIESSERDATEN'!$AD84&lt;&gt;"",IF(ISERR(SEARCH("UVIBIS",'IMPORT SCHLIESSERDATEN'!$B84)),"R","B"),IF(OR('IMPORT SCHLIESSERDATEN'!$AC84&lt;&gt;"",'IMPORT SCHLIESSERDATEN'!$AE84&lt;&gt;""),"E","")))</f>
        <v/>
      </c>
      <c r="AW92" s="82"/>
      <c r="AX92" s="67"/>
    </row>
    <row r="93" spans="1:50" x14ac:dyDescent="0.25">
      <c r="A93" s="67">
        <f>IFERROR(IF(C93&lt;&gt;"",MAX($A$2:$A92)+1,""),"")</f>
        <v>81</v>
      </c>
      <c r="B93" s="223">
        <f t="shared" si="1"/>
        <v>81</v>
      </c>
      <c r="C93" s="216" t="str">
        <f>IF(J93=1,SUBSTITUTE('IMPORT SCHLIESSERDATEN'!$B85," Gangfl.",""),IF(J93=2,SUBSTITUTE('IMPORT SCHLIESSERDATEN'!$B85," Standfl.",""),'IMPORT SCHLIESSERDATEN'!$B85))</f>
        <v>TS 98 RF XEA EN 1-6</v>
      </c>
      <c r="D93" s="216" t="str">
        <f>IF('IMPORT SCHLIESSERDATEN'!$AF85&lt;&gt;"",IF(COUNTA('IMPORT SCHLIESSERDATEN'!$AN85:$AU85)&gt;0,"X","G"),IF('IMPORT SCHLIESSERDATEN'!$AG85&lt;&gt;"","S",IF('IMPORT SCHLIESSERDATEN'!$AH85&lt;&gt;"","I",IF('IMPORT SCHLIESSERDATEN'!$AI85&lt;&gt;"","B",IF('IMPORT SCHLIESSERDATEN'!$AJ85&lt;&gt;"","D","")))))</f>
        <v>X</v>
      </c>
      <c r="E93" s="248" t="str">
        <f>'IMPORT SCHLIESSERDATEN'!AK85 &amp; IF('IMPORT SCHLIESSERDATEN'!AL85="",""," "&amp; 'IMPORT SCHLIESSERDATEN'!AL85)</f>
        <v>98</v>
      </c>
      <c r="F93" s="74">
        <f>IFERROR(IF(D93="X",2^(MATCH("",'IMPORT SCHLIESSERDATEN'!$AN85:$AU85,-1)-1),IF(AV93="F",2^(MATCH("",'IMPORT SCHLIESSERDATEN'!$BH85:$BK85,-1)-1),2^(MATCH("",'IMPORT SCHLIESSERDATEN'!$AV85:$BG85,-1)-1))),0)</f>
        <v>2</v>
      </c>
      <c r="G93" s="74">
        <f>IF(AND('IMPORT SCHLIESSERDATEN'!$O85='IMPORT SCHLIESSERDATEN'!$R85,'IMPORT SCHLIESSERDATEN'!$O85&lt;&gt;"",'IMPORT SCHLIESSERDATEN'!$R85&lt;&gt;""),1,0)  +  IF(AND('IMPORT SCHLIESSERDATEN'!$P85='IMPORT SCHLIESSERDATEN'!$S85,'IMPORT SCHLIESSERDATEN'!$P85&lt;&gt;"",'IMPORT SCHLIESSERDATEN'!$S85&lt;&gt;""),2,0)   +  IF(AND('IMPORT SCHLIESSERDATEN'!$O85='IMPORT SCHLIESSERDATEN'!$S85,'IMPORT SCHLIESSERDATEN'!$O85&lt;&gt;"",'IMPORT SCHLIESSERDATEN'!$S85&lt;&gt;""),4,0)   +  IF(AND('IMPORT SCHLIESSERDATEN'!$P85='IMPORT SCHLIESSERDATEN'!$R85,'IMPORT SCHLIESSERDATEN'!$P85&lt;&gt;"",'IMPORT SCHLIESSERDATEN'!$R85&lt;&gt;""),8,0)   +  IF('IMPORT SCHLIESSERDATEN'!$Q85&lt;&gt;"",IF('IMPORT SCHLIESSERDATEN'!$R85&lt;&gt;"",32,0) + IF('IMPORT SCHLIESSERDATEN'!$S85&lt;&gt;"",64,0),0)  +  IF('IMPORT SCHLIESSERDATEN'!$T85&lt;&gt;"",IF('IMPORT SCHLIESSERDATEN'!$Q85&lt;&gt;"",128+256,128),0)</f>
        <v>15</v>
      </c>
      <c r="H93" s="74">
        <f>IF('IMPORT SCHLIESSERDATEN'!$H85="",0,1) + IF('IMPORT SCHLIESSERDATEN'!$I85="",0,2) + IF('IMPORT SCHLIESSERDATEN'!$J85="",0,4) + IF('IMPORT SCHLIESSERDATEN'!$K85="",0,8) + IF('IMPORT SCHLIESSERDATEN'!$L85="",0,16) + IF('IMPORT SCHLIESSERDATEN'!$M85="",0,32) + IF('IMPORT SCHLIESSERDATEN'!$N85="",0,64)</f>
        <v>63</v>
      </c>
      <c r="I93" s="74">
        <f>IF('IMPORT SCHLIESSERDATEN'!$D85="",0,1) + IF('IMPORT SCHLIESSERDATEN'!$E85="",0,2) + IF('IMPORT SCHLIESSERDATEN'!$E85="S",4,0)</f>
        <v>1</v>
      </c>
      <c r="J93" s="74">
        <f>IF(ISERR(FIND(" Gangfl.",'IMPORT SCHLIESSERDATEN'!$B85)),IF(ISERR(FIND(" Standfl.",'IMPORT SCHLIESSERDATEN'!$B85)),0,2),1)</f>
        <v>0</v>
      </c>
      <c r="K93" s="74">
        <f>'IMPORT SCHLIESSERDATEN'!CL85</f>
        <v>74</v>
      </c>
      <c r="L93" s="74">
        <f>'IMPORT SCHLIESSERDATEN'!CN85</f>
        <v>4</v>
      </c>
      <c r="M93" s="74">
        <f>IF('IMPORT SCHLIESSERDATEN'!CS85="wie TS",-1,'IMPORT SCHLIESSERDATEN'!CS85)</f>
        <v>74</v>
      </c>
      <c r="N93" s="74">
        <f>IF(M93&lt;0,-1,'IMPORT SCHLIESSERDATEN'!CU85)</f>
        <v>4</v>
      </c>
      <c r="O93" s="74">
        <f>IF('IMPORT SCHLIESSERDATEN'!CZ85="wie TS",-1,'IMPORT SCHLIESSERDATEN'!CZ85)</f>
        <v>74</v>
      </c>
      <c r="P93" s="74">
        <f>IF(O93&lt;0,-1,'IMPORT SCHLIESSERDATEN'!DB85)</f>
        <v>17</v>
      </c>
      <c r="Q93" s="74">
        <f>'IMPORT SCHLIESSERDATEN'!DG85</f>
        <v>74</v>
      </c>
      <c r="R93" s="74">
        <f>'IMPORT SCHLIESSERDATEN'!DI85</f>
        <v>17</v>
      </c>
      <c r="S93" s="74">
        <f>'IMPORT SCHLIESSERDATEN'!DN85</f>
        <v>74</v>
      </c>
      <c r="T93" s="74">
        <f>IF('IMPORT SCHLIESSERDATEN'!DP85="V",9999,'IMPORT SCHLIESSERDATEN'!DP85)</f>
        <v>9999</v>
      </c>
      <c r="U93" s="74">
        <f>'IMPORT SCHLIESSERDATEN'!BW85</f>
        <v>327</v>
      </c>
      <c r="V93" s="74">
        <f>'IMPORT SCHLIESSERDATEN'!BX85</f>
        <v>59</v>
      </c>
      <c r="W93" s="74">
        <f>'IMPORT SCHLIESSERDATEN'!BY85</f>
        <v>60</v>
      </c>
      <c r="X93" s="74">
        <f>'IMPORT SCHLIESSERDATEN'!CO85</f>
        <v>74</v>
      </c>
      <c r="Y93" s="74">
        <f>'IMPORT SCHLIESSERDATEN'!CQ85</f>
        <v>12</v>
      </c>
      <c r="Z93" s="74">
        <f>'IMPORT SCHLIESSERDATEN'!CV85</f>
        <v>74</v>
      </c>
      <c r="AA93" s="74">
        <f>'IMPORT SCHLIESSERDATEN'!CX85</f>
        <v>12</v>
      </c>
      <c r="AB93" s="74">
        <f>'IMPORT SCHLIESSERDATEN'!DC85</f>
        <v>74</v>
      </c>
      <c r="AC93" s="74">
        <f>'IMPORT SCHLIESSERDATEN'!DE85</f>
        <v>0</v>
      </c>
      <c r="AD93" s="74">
        <f>'IMPORT SCHLIESSERDATEN'!DJ85</f>
        <v>74</v>
      </c>
      <c r="AE93" s="74">
        <f>'IMPORT SCHLIESSERDATEN'!DL85</f>
        <v>0</v>
      </c>
      <c r="AF93" s="74">
        <f>'IMPORT SCHLIESSERDATEN'!DQ85</f>
        <v>74</v>
      </c>
      <c r="AG93" s="74">
        <f>IF('IMPORT SCHLIESSERDATEN'!DS85="V",9999,'IMPORT SCHLIESSERDATEN'!DS85)</f>
        <v>9999</v>
      </c>
      <c r="AH93" s="74">
        <f>IF('IMPORT SCHLIESSERDATEN'!BZ85="V",9999,IF('IMPORT SCHLIESSERDATEN'!CD85="_",-1,'IMPORT SCHLIESSERDATEN'!BZ85))</f>
        <v>518</v>
      </c>
      <c r="AI93" s="74">
        <f>IF('IMPORT SCHLIESSERDATEN'!CA85="V",9999,IF('IMPORT SCHLIESSERDATEN'!CD85="_",-1,'IMPORT SCHLIESSERDATEN'!CA85))</f>
        <v>23</v>
      </c>
      <c r="AJ93" s="74">
        <f>IF('IMPORT SCHLIESSERDATEN'!CB85="V",9999,IF('IMPORT SCHLIESSERDATEN'!CD85="_",-1,'IMPORT SCHLIESSERDATEN'!CB85))</f>
        <v>32</v>
      </c>
      <c r="AK93" s="74">
        <f>IF('IMPORT SCHLIESSERDATEN'!CC85="V",9999,IF('IMPORT SCHLIESSERDATEN'!CC85="_",-1,'IMPORT SCHLIESSERDATEN'!CC85))</f>
        <v>16</v>
      </c>
      <c r="AL93" s="74">
        <f>IF('IMPORT SCHLIESSERDATEN'!CD85="_",-1,'IMPORT SCHLIESSERDATEN'!CD85)</f>
        <v>375</v>
      </c>
      <c r="AM93" s="74">
        <f>'IMPORT SCHLIESSERDATEN'!CH85</f>
        <v>101</v>
      </c>
      <c r="AN93" s="74">
        <f>IF('IMPORT SCHLIESSERDATEN'!CE85="V",9999,'IMPORT SCHLIESSERDATEN'!CE85)</f>
        <v>30</v>
      </c>
      <c r="AO93" s="74">
        <f>IF('IMPORT SCHLIESSERDATEN'!CK85="_",-1,'IMPORT SCHLIESSERDATEN'!CK85)</f>
        <v>45</v>
      </c>
      <c r="AP93" s="74">
        <f>IF('IMPORT SCHLIESSERDATEN'!$U85="",0,1)</f>
        <v>0</v>
      </c>
      <c r="AQ93" s="74">
        <f>IF('IMPORT SCHLIESSERDATEN'!$V85="",0,1)</f>
        <v>1</v>
      </c>
      <c r="AR93" s="74">
        <f>IF('IMPORT SCHLIESSERDATEN'!$W85="",0,1)</f>
        <v>0</v>
      </c>
      <c r="AS93" s="74">
        <f>IF('IMPORT SCHLIESSERDATEN'!$AA85="",0,1)</f>
        <v>1</v>
      </c>
      <c r="AT93" s="74">
        <f>IF('IMPORT SCHLIESSERDATEN'!$AD85="",0,1) + IF('IMPORT SCHLIESSERDATEN'!$AE85="",0,2)</f>
        <v>0</v>
      </c>
      <c r="AU93" s="74" t="str">
        <f>IF('IMPORT SCHLIESSERDATEN'!$X85="",IF('IMPORT SCHLIESSERDATEN'!$Y85="","","F"),"V")</f>
        <v>V</v>
      </c>
      <c r="AV93" s="74" t="str">
        <f>IF('IMPORT SCHLIESSERDATEN'!$AB85&lt;&gt;"","M",IF('IMPORT SCHLIESSERDATEN'!$AD85&lt;&gt;"",IF(ISERR(SEARCH("UVIBIS",'IMPORT SCHLIESSERDATEN'!$B85)),"R","B"),IF(OR('IMPORT SCHLIESSERDATEN'!$AC85&lt;&gt;"",'IMPORT SCHLIESSERDATEN'!$AE85&lt;&gt;""),"E","")))</f>
        <v>M</v>
      </c>
      <c r="AW93" s="82"/>
      <c r="AX93" s="67"/>
    </row>
    <row r="94" spans="1:50" x14ac:dyDescent="0.25">
      <c r="A94" s="67">
        <f>IFERROR(IF(C94&lt;&gt;"",MAX($A$2:$A93)+1,""),"")</f>
        <v>82</v>
      </c>
      <c r="B94" s="223">
        <f t="shared" si="1"/>
        <v>82</v>
      </c>
      <c r="C94" s="216" t="str">
        <f>IF(J94=1,SUBSTITUTE('IMPORT SCHLIESSERDATEN'!$B86," Gangfl.",""),IF(J94=2,SUBSTITUTE('IMPORT SCHLIESSERDATEN'!$B86," Standfl.",""),'IMPORT SCHLIESSERDATEN'!$B86))</f>
        <v>TS 98 EMF XEA EN 1-6</v>
      </c>
      <c r="D94" s="216" t="str">
        <f>IF('IMPORT SCHLIESSERDATEN'!$AF86&lt;&gt;"",IF(COUNTA('IMPORT SCHLIESSERDATEN'!$AN86:$AU86)&gt;0,"X","G"),IF('IMPORT SCHLIESSERDATEN'!$AG86&lt;&gt;"","S",IF('IMPORT SCHLIESSERDATEN'!$AH86&lt;&gt;"","I",IF('IMPORT SCHLIESSERDATEN'!$AI86&lt;&gt;"","B",IF('IMPORT SCHLIESSERDATEN'!$AJ86&lt;&gt;"","D","")))))</f>
        <v>X</v>
      </c>
      <c r="E94" s="248" t="str">
        <f>'IMPORT SCHLIESSERDATEN'!AK86 &amp; IF('IMPORT SCHLIESSERDATEN'!AL86="",""," "&amp; 'IMPORT SCHLIESSERDATEN'!AL86)</f>
        <v>98</v>
      </c>
      <c r="F94" s="74">
        <f>IFERROR(IF(D94="X",2^(MATCH("",'IMPORT SCHLIESSERDATEN'!$AN86:$AU86,-1)-1),IF(AV94="F",2^(MATCH("",'IMPORT SCHLIESSERDATEN'!$BH86:$BK86,-1)-1),2^(MATCH("",'IMPORT SCHLIESSERDATEN'!$AV86:$BG86,-1)-1))),0)</f>
        <v>4</v>
      </c>
      <c r="G94" s="74">
        <f>IF(AND('IMPORT SCHLIESSERDATEN'!$O86='IMPORT SCHLIESSERDATEN'!$R86,'IMPORT SCHLIESSERDATEN'!$O86&lt;&gt;"",'IMPORT SCHLIESSERDATEN'!$R86&lt;&gt;""),1,0)  +  IF(AND('IMPORT SCHLIESSERDATEN'!$P86='IMPORT SCHLIESSERDATEN'!$S86,'IMPORT SCHLIESSERDATEN'!$P86&lt;&gt;"",'IMPORT SCHLIESSERDATEN'!$S86&lt;&gt;""),2,0)   +  IF(AND('IMPORT SCHLIESSERDATEN'!$O86='IMPORT SCHLIESSERDATEN'!$S86,'IMPORT SCHLIESSERDATEN'!$O86&lt;&gt;"",'IMPORT SCHLIESSERDATEN'!$S86&lt;&gt;""),4,0)   +  IF(AND('IMPORT SCHLIESSERDATEN'!$P86='IMPORT SCHLIESSERDATEN'!$R86,'IMPORT SCHLIESSERDATEN'!$P86&lt;&gt;"",'IMPORT SCHLIESSERDATEN'!$R86&lt;&gt;""),8,0)   +  IF('IMPORT SCHLIESSERDATEN'!$Q86&lt;&gt;"",IF('IMPORT SCHLIESSERDATEN'!$R86&lt;&gt;"",32,0) + IF('IMPORT SCHLIESSERDATEN'!$S86&lt;&gt;"",64,0),0)  +  IF('IMPORT SCHLIESSERDATEN'!$T86&lt;&gt;"",IF('IMPORT SCHLIESSERDATEN'!$Q86&lt;&gt;"",128+256,128),0)</f>
        <v>9</v>
      </c>
      <c r="H94" s="74">
        <f>IF('IMPORT SCHLIESSERDATEN'!$H86="",0,1) + IF('IMPORT SCHLIESSERDATEN'!$I86="",0,2) + IF('IMPORT SCHLIESSERDATEN'!$J86="",0,4) + IF('IMPORT SCHLIESSERDATEN'!$K86="",0,8) + IF('IMPORT SCHLIESSERDATEN'!$L86="",0,16) + IF('IMPORT SCHLIESSERDATEN'!$M86="",0,32) + IF('IMPORT SCHLIESSERDATEN'!$N86="",0,64)</f>
        <v>63</v>
      </c>
      <c r="I94" s="74">
        <f>IF('IMPORT SCHLIESSERDATEN'!$D86="",0,1) + IF('IMPORT SCHLIESSERDATEN'!$E86="",0,2) + IF('IMPORT SCHLIESSERDATEN'!$E86="S",4,0)</f>
        <v>1</v>
      </c>
      <c r="J94" s="74">
        <f>IF(ISERR(FIND(" Gangfl.",'IMPORT SCHLIESSERDATEN'!$B86)),IF(ISERR(FIND(" Standfl.",'IMPORT SCHLIESSERDATEN'!$B86)),0,2),1)</f>
        <v>0</v>
      </c>
      <c r="K94" s="74">
        <f>'IMPORT SCHLIESSERDATEN'!CL86</f>
        <v>74</v>
      </c>
      <c r="L94" s="74">
        <f>'IMPORT SCHLIESSERDATEN'!CN86</f>
        <v>4</v>
      </c>
      <c r="M94" s="74">
        <f>IF('IMPORT SCHLIESSERDATEN'!CS86="wie TS",-1,'IMPORT SCHLIESSERDATEN'!CS86)</f>
        <v>0</v>
      </c>
      <c r="N94" s="74">
        <f>IF(M94&lt;0,-1,'IMPORT SCHLIESSERDATEN'!CU86)</f>
        <v>0</v>
      </c>
      <c r="O94" s="74">
        <f>IF('IMPORT SCHLIESSERDATEN'!CZ86="wie TS",-1,'IMPORT SCHLIESSERDATEN'!CZ86)</f>
        <v>0</v>
      </c>
      <c r="P94" s="74">
        <f>IF(O94&lt;0,-1,'IMPORT SCHLIESSERDATEN'!DB86)</f>
        <v>0</v>
      </c>
      <c r="Q94" s="74">
        <f>'IMPORT SCHLIESSERDATEN'!DG86</f>
        <v>74</v>
      </c>
      <c r="R94" s="74">
        <f>'IMPORT SCHLIESSERDATEN'!DI86</f>
        <v>17</v>
      </c>
      <c r="S94" s="74">
        <f>'IMPORT SCHLIESSERDATEN'!DN86</f>
        <v>74</v>
      </c>
      <c r="T94" s="74">
        <f>IF('IMPORT SCHLIESSERDATEN'!DP86="V",9999,'IMPORT SCHLIESSERDATEN'!DP86)</f>
        <v>9999</v>
      </c>
      <c r="U94" s="74">
        <f>'IMPORT SCHLIESSERDATEN'!BW86</f>
        <v>327</v>
      </c>
      <c r="V94" s="74">
        <f>'IMPORT SCHLIESSERDATEN'!BX86</f>
        <v>59</v>
      </c>
      <c r="W94" s="74">
        <f>'IMPORT SCHLIESSERDATEN'!BY86</f>
        <v>60</v>
      </c>
      <c r="X94" s="74">
        <f>'IMPORT SCHLIESSERDATEN'!CO86</f>
        <v>74</v>
      </c>
      <c r="Y94" s="74">
        <f>'IMPORT SCHLIESSERDATEN'!CQ86</f>
        <v>12</v>
      </c>
      <c r="Z94" s="74">
        <f>'IMPORT SCHLIESSERDATEN'!CV86</f>
        <v>0</v>
      </c>
      <c r="AA94" s="74">
        <f>'IMPORT SCHLIESSERDATEN'!CX86</f>
        <v>0</v>
      </c>
      <c r="AB94" s="74">
        <f>'IMPORT SCHLIESSERDATEN'!DC86</f>
        <v>0</v>
      </c>
      <c r="AC94" s="74">
        <f>'IMPORT SCHLIESSERDATEN'!DE86</f>
        <v>0</v>
      </c>
      <c r="AD94" s="74">
        <f>'IMPORT SCHLIESSERDATEN'!DJ86</f>
        <v>74</v>
      </c>
      <c r="AE94" s="74">
        <f>'IMPORT SCHLIESSERDATEN'!DL86</f>
        <v>0</v>
      </c>
      <c r="AF94" s="74">
        <f>'IMPORT SCHLIESSERDATEN'!DQ86</f>
        <v>74</v>
      </c>
      <c r="AG94" s="74">
        <f>IF('IMPORT SCHLIESSERDATEN'!DS86="V",9999,'IMPORT SCHLIESSERDATEN'!DS86)</f>
        <v>9999</v>
      </c>
      <c r="AH94" s="74">
        <f>IF('IMPORT SCHLIESSERDATEN'!BZ86="V",9999,IF('IMPORT SCHLIESSERDATEN'!CD86="_",-1,'IMPORT SCHLIESSERDATEN'!BZ86))</f>
        <v>537</v>
      </c>
      <c r="AI94" s="74">
        <f>IF('IMPORT SCHLIESSERDATEN'!CA86="V",9999,IF('IMPORT SCHLIESSERDATEN'!CD86="_",-1,'IMPORT SCHLIESSERDATEN'!CA86))</f>
        <v>30</v>
      </c>
      <c r="AJ94" s="74">
        <f>IF('IMPORT SCHLIESSERDATEN'!CB86="V",9999,IF('IMPORT SCHLIESSERDATEN'!CD86="_",-1,'IMPORT SCHLIESSERDATEN'!CB86))</f>
        <v>39</v>
      </c>
      <c r="AK94" s="74">
        <f>IF('IMPORT SCHLIESSERDATEN'!CC86="V",9999,IF('IMPORT SCHLIESSERDATEN'!CC86="_",-1,'IMPORT SCHLIESSERDATEN'!CC86))</f>
        <v>20</v>
      </c>
      <c r="AL94" s="74">
        <f>IF('IMPORT SCHLIESSERDATEN'!CD86="_",-1,'IMPORT SCHLIESSERDATEN'!CD86)</f>
        <v>375</v>
      </c>
      <c r="AM94" s="74">
        <f>'IMPORT SCHLIESSERDATEN'!CH86</f>
        <v>101</v>
      </c>
      <c r="AN94" s="74">
        <f>IF('IMPORT SCHLIESSERDATEN'!CE86="V",9999,'IMPORT SCHLIESSERDATEN'!CE86)</f>
        <v>30</v>
      </c>
      <c r="AO94" s="74">
        <f>IF('IMPORT SCHLIESSERDATEN'!CK86="_",-1,'IMPORT SCHLIESSERDATEN'!CK86)</f>
        <v>166</v>
      </c>
      <c r="AP94" s="74">
        <f>IF('IMPORT SCHLIESSERDATEN'!$U86="",0,1)</f>
        <v>1</v>
      </c>
      <c r="AQ94" s="74">
        <f>IF('IMPORT SCHLIESSERDATEN'!$V86="",0,1)</f>
        <v>1</v>
      </c>
      <c r="AR94" s="74">
        <f>IF('IMPORT SCHLIESSERDATEN'!$W86="",0,1)</f>
        <v>0</v>
      </c>
      <c r="AS94" s="74">
        <f>IF('IMPORT SCHLIESSERDATEN'!$AA86="",0,1)</f>
        <v>1</v>
      </c>
      <c r="AT94" s="74">
        <f>IF('IMPORT SCHLIESSERDATEN'!$AD86="",0,1) + IF('IMPORT SCHLIESSERDATEN'!$AE86="",0,2)</f>
        <v>2</v>
      </c>
      <c r="AU94" s="74" t="str">
        <f>IF('IMPORT SCHLIESSERDATEN'!$X86="",IF('IMPORT SCHLIESSERDATEN'!$Y86="","","F"),"V")</f>
        <v>V</v>
      </c>
      <c r="AV94" s="74" t="str">
        <f>IF('IMPORT SCHLIESSERDATEN'!$AB86&lt;&gt;"","M",IF('IMPORT SCHLIESSERDATEN'!$AD86&lt;&gt;"",IF(ISERR(SEARCH("UVIBIS",'IMPORT SCHLIESSERDATEN'!$B86)),"R","B"),IF(OR('IMPORT SCHLIESSERDATEN'!$AC86&lt;&gt;"",'IMPORT SCHLIESSERDATEN'!$AE86&lt;&gt;""),"E","")))</f>
        <v>E</v>
      </c>
      <c r="AW94" s="82"/>
      <c r="AX94" s="67"/>
    </row>
    <row r="95" spans="1:50" x14ac:dyDescent="0.25">
      <c r="A95" s="67">
        <f>IFERROR(IF(C95&lt;&gt;"",MAX($A$2:$A94)+1,""),"")</f>
        <v>83</v>
      </c>
      <c r="B95" s="223">
        <f t="shared" si="1"/>
        <v>83</v>
      </c>
      <c r="C95" s="216" t="str">
        <f>IF(J95=1,SUBSTITUTE('IMPORT SCHLIESSERDATEN'!$B87," Gangfl.",""),IF(J95=2,SUBSTITUTE('IMPORT SCHLIESSERDATEN'!$B87," Standfl.",""),'IMPORT SCHLIESSERDATEN'!$B87))</f>
        <v>TS 98 EMR XEA EN 1-6</v>
      </c>
      <c r="D95" s="216" t="str">
        <f>IF('IMPORT SCHLIESSERDATEN'!$AF87&lt;&gt;"",IF(COUNTA('IMPORT SCHLIESSERDATEN'!$AN87:$AU87)&gt;0,"X","G"),IF('IMPORT SCHLIESSERDATEN'!$AG87&lt;&gt;"","S",IF('IMPORT SCHLIESSERDATEN'!$AH87&lt;&gt;"","I",IF('IMPORT SCHLIESSERDATEN'!$AI87&lt;&gt;"","B",IF('IMPORT SCHLIESSERDATEN'!$AJ87&lt;&gt;"","D","")))))</f>
        <v>X</v>
      </c>
      <c r="E95" s="248" t="str">
        <f>'IMPORT SCHLIESSERDATEN'!AK87 &amp; IF('IMPORT SCHLIESSERDATEN'!AL87="",""," "&amp; 'IMPORT SCHLIESSERDATEN'!AL87)</f>
        <v>98</v>
      </c>
      <c r="F95" s="74">
        <f>IFERROR(IF(D95="X",2^(MATCH("",'IMPORT SCHLIESSERDATEN'!$AN87:$AU87,-1)-1),IF(AV95="F",2^(MATCH("",'IMPORT SCHLIESSERDATEN'!$BH87:$BK87,-1)-1),2^(MATCH("",'IMPORT SCHLIESSERDATEN'!$AV87:$BG87,-1)-1))),0)</f>
        <v>8</v>
      </c>
      <c r="G95" s="74">
        <f>IF(AND('IMPORT SCHLIESSERDATEN'!$O87='IMPORT SCHLIESSERDATEN'!$R87,'IMPORT SCHLIESSERDATEN'!$O87&lt;&gt;"",'IMPORT SCHLIESSERDATEN'!$R87&lt;&gt;""),1,0)  +  IF(AND('IMPORT SCHLIESSERDATEN'!$P87='IMPORT SCHLIESSERDATEN'!$S87,'IMPORT SCHLIESSERDATEN'!$P87&lt;&gt;"",'IMPORT SCHLIESSERDATEN'!$S87&lt;&gt;""),2,0)   +  IF(AND('IMPORT SCHLIESSERDATEN'!$O87='IMPORT SCHLIESSERDATEN'!$S87,'IMPORT SCHLIESSERDATEN'!$O87&lt;&gt;"",'IMPORT SCHLIESSERDATEN'!$S87&lt;&gt;""),4,0)   +  IF(AND('IMPORT SCHLIESSERDATEN'!$P87='IMPORT SCHLIESSERDATEN'!$R87,'IMPORT SCHLIESSERDATEN'!$P87&lt;&gt;"",'IMPORT SCHLIESSERDATEN'!$R87&lt;&gt;""),8,0)   +  IF('IMPORT SCHLIESSERDATEN'!$Q87&lt;&gt;"",IF('IMPORT SCHLIESSERDATEN'!$R87&lt;&gt;"",32,0) + IF('IMPORT SCHLIESSERDATEN'!$S87&lt;&gt;"",64,0),0)  +  IF('IMPORT SCHLIESSERDATEN'!$T87&lt;&gt;"",IF('IMPORT SCHLIESSERDATEN'!$Q87&lt;&gt;"",128+256,128),0)</f>
        <v>9</v>
      </c>
      <c r="H95" s="74">
        <f>IF('IMPORT SCHLIESSERDATEN'!$H87="",0,1) + IF('IMPORT SCHLIESSERDATEN'!$I87="",0,2) + IF('IMPORT SCHLIESSERDATEN'!$J87="",0,4) + IF('IMPORT SCHLIESSERDATEN'!$K87="",0,8) + IF('IMPORT SCHLIESSERDATEN'!$L87="",0,16) + IF('IMPORT SCHLIESSERDATEN'!$M87="",0,32) + IF('IMPORT SCHLIESSERDATEN'!$N87="",0,64)</f>
        <v>63</v>
      </c>
      <c r="I95" s="74">
        <f>IF('IMPORT SCHLIESSERDATEN'!$D87="",0,1) + IF('IMPORT SCHLIESSERDATEN'!$E87="",0,2) + IF('IMPORT SCHLIESSERDATEN'!$E87="S",4,0)</f>
        <v>1</v>
      </c>
      <c r="J95" s="74">
        <f>IF(ISERR(FIND(" Gangfl.",'IMPORT SCHLIESSERDATEN'!$B87)),IF(ISERR(FIND(" Standfl.",'IMPORT SCHLIESSERDATEN'!$B87)),0,2),1)</f>
        <v>0</v>
      </c>
      <c r="K95" s="74">
        <f>'IMPORT SCHLIESSERDATEN'!CL87</f>
        <v>74</v>
      </c>
      <c r="L95" s="74">
        <f>'IMPORT SCHLIESSERDATEN'!CN87</f>
        <v>4</v>
      </c>
      <c r="M95" s="74">
        <f>IF('IMPORT SCHLIESSERDATEN'!CS87="wie TS",-1,'IMPORT SCHLIESSERDATEN'!CS87)</f>
        <v>0</v>
      </c>
      <c r="N95" s="74">
        <f>IF(M95&lt;0,-1,'IMPORT SCHLIESSERDATEN'!CU87)</f>
        <v>0</v>
      </c>
      <c r="O95" s="74">
        <f>IF('IMPORT SCHLIESSERDATEN'!CZ87="wie TS",-1,'IMPORT SCHLIESSERDATEN'!CZ87)</f>
        <v>0</v>
      </c>
      <c r="P95" s="74">
        <f>IF(O95&lt;0,-1,'IMPORT SCHLIESSERDATEN'!DB87)</f>
        <v>0</v>
      </c>
      <c r="Q95" s="74">
        <f>'IMPORT SCHLIESSERDATEN'!DG87</f>
        <v>74</v>
      </c>
      <c r="R95" s="74">
        <f>'IMPORT SCHLIESSERDATEN'!DI87</f>
        <v>17</v>
      </c>
      <c r="S95" s="74">
        <f>'IMPORT SCHLIESSERDATEN'!DN87</f>
        <v>0</v>
      </c>
      <c r="T95" s="74">
        <f>IF('IMPORT SCHLIESSERDATEN'!DP87="V",9999,'IMPORT SCHLIESSERDATEN'!DP87)</f>
        <v>0</v>
      </c>
      <c r="U95" s="74">
        <f>'IMPORT SCHLIESSERDATEN'!BW87</f>
        <v>327</v>
      </c>
      <c r="V95" s="74">
        <f>'IMPORT SCHLIESSERDATEN'!BX87</f>
        <v>59</v>
      </c>
      <c r="W95" s="74">
        <f>'IMPORT SCHLIESSERDATEN'!BY87</f>
        <v>60</v>
      </c>
      <c r="X95" s="74">
        <f>'IMPORT SCHLIESSERDATEN'!CO87</f>
        <v>74</v>
      </c>
      <c r="Y95" s="74">
        <f>'IMPORT SCHLIESSERDATEN'!CQ87</f>
        <v>13</v>
      </c>
      <c r="Z95" s="74">
        <f>'IMPORT SCHLIESSERDATEN'!CV87</f>
        <v>0</v>
      </c>
      <c r="AA95" s="74">
        <f>'IMPORT SCHLIESSERDATEN'!CX87</f>
        <v>0</v>
      </c>
      <c r="AB95" s="74">
        <f>'IMPORT SCHLIESSERDATEN'!DC87</f>
        <v>0</v>
      </c>
      <c r="AC95" s="74">
        <f>'IMPORT SCHLIESSERDATEN'!DE87</f>
        <v>0</v>
      </c>
      <c r="AD95" s="74">
        <f>'IMPORT SCHLIESSERDATEN'!DJ87</f>
        <v>74</v>
      </c>
      <c r="AE95" s="74">
        <f>'IMPORT SCHLIESSERDATEN'!DL87</f>
        <v>0</v>
      </c>
      <c r="AF95" s="74">
        <f>'IMPORT SCHLIESSERDATEN'!DQ87</f>
        <v>0</v>
      </c>
      <c r="AG95" s="74">
        <f>IF('IMPORT SCHLIESSERDATEN'!DS87="V",9999,'IMPORT SCHLIESSERDATEN'!DS87)</f>
        <v>0</v>
      </c>
      <c r="AH95" s="74">
        <f>IF('IMPORT SCHLIESSERDATEN'!BZ87="V",9999,IF('IMPORT SCHLIESSERDATEN'!CD87="_",-1,'IMPORT SCHLIESSERDATEN'!BZ87))</f>
        <v>883</v>
      </c>
      <c r="AI95" s="74">
        <f>IF('IMPORT SCHLIESSERDATEN'!CA87="V",9999,IF('IMPORT SCHLIESSERDATEN'!CD87="_",-1,'IMPORT SCHLIESSERDATEN'!CA87))</f>
        <v>30</v>
      </c>
      <c r="AJ95" s="74">
        <f>IF('IMPORT SCHLIESSERDATEN'!CB87="V",9999,IF('IMPORT SCHLIESSERDATEN'!CD87="_",-1,'IMPORT SCHLIESSERDATEN'!CB87))</f>
        <v>39</v>
      </c>
      <c r="AK95" s="74">
        <f>IF('IMPORT SCHLIESSERDATEN'!CC87="V",9999,IF('IMPORT SCHLIESSERDATEN'!CC87="_",-1,'IMPORT SCHLIESSERDATEN'!CC87))</f>
        <v>20</v>
      </c>
      <c r="AL95" s="74">
        <f>IF('IMPORT SCHLIESSERDATEN'!CD87="_",-1,'IMPORT SCHLIESSERDATEN'!CD87)</f>
        <v>375</v>
      </c>
      <c r="AM95" s="74">
        <f>'IMPORT SCHLIESSERDATEN'!CH87</f>
        <v>101</v>
      </c>
      <c r="AN95" s="74">
        <f>IF('IMPORT SCHLIESSERDATEN'!CE87="V",9999,'IMPORT SCHLIESSERDATEN'!CE87)</f>
        <v>30</v>
      </c>
      <c r="AO95" s="74">
        <f>IF('IMPORT SCHLIESSERDATEN'!CK87="_",-1,'IMPORT SCHLIESSERDATEN'!CK87)</f>
        <v>166</v>
      </c>
      <c r="AP95" s="74">
        <f>IF('IMPORT SCHLIESSERDATEN'!$U87="",0,1)</f>
        <v>1</v>
      </c>
      <c r="AQ95" s="74">
        <f>IF('IMPORT SCHLIESSERDATEN'!$V87="",0,1)</f>
        <v>1</v>
      </c>
      <c r="AR95" s="74">
        <f>IF('IMPORT SCHLIESSERDATEN'!$W87="",0,1)</f>
        <v>0</v>
      </c>
      <c r="AS95" s="74">
        <f>IF('IMPORT SCHLIESSERDATEN'!$AA87="",0,1)</f>
        <v>1</v>
      </c>
      <c r="AT95" s="74">
        <f>IF('IMPORT SCHLIESSERDATEN'!$AD87="",0,1) + IF('IMPORT SCHLIESSERDATEN'!$AE87="",0,2)</f>
        <v>1</v>
      </c>
      <c r="AU95" s="74" t="str">
        <f>IF('IMPORT SCHLIESSERDATEN'!$X87="",IF('IMPORT SCHLIESSERDATEN'!$Y87="","","F"),"V")</f>
        <v>V</v>
      </c>
      <c r="AV95" s="74" t="str">
        <f>IF('IMPORT SCHLIESSERDATEN'!$AB87&lt;&gt;"","M",IF('IMPORT SCHLIESSERDATEN'!$AD87&lt;&gt;"",IF(ISERR(SEARCH("UVIBIS",'IMPORT SCHLIESSERDATEN'!$B87)),"R","B"),IF(OR('IMPORT SCHLIESSERDATEN'!$AC87&lt;&gt;"",'IMPORT SCHLIESSERDATEN'!$AE87&lt;&gt;""),"E","")))</f>
        <v>R</v>
      </c>
      <c r="AW95" s="82"/>
      <c r="AX95" s="67"/>
    </row>
    <row r="96" spans="1:50" x14ac:dyDescent="0.25">
      <c r="A96" s="67">
        <f>IFERROR(IF(C96&lt;&gt;"",MAX($A$2:$A95)+1,""),"")</f>
        <v>84</v>
      </c>
      <c r="B96" s="223">
        <f t="shared" si="1"/>
        <v>84</v>
      </c>
      <c r="C96" s="216" t="str">
        <f>IF(J96=1,SUBSTITUTE('IMPORT SCHLIESSERDATEN'!$B88," Gangfl.",""),IF(J96=2,SUBSTITUTE('IMPORT SCHLIESSERDATEN'!$B88," Standfl.",""),'IMPORT SCHLIESSERDATEN'!$B88))</f>
        <v>TS 98 UVIBIS XEA EN 1-6</v>
      </c>
      <c r="D96" s="216" t="str">
        <f>IF('IMPORT SCHLIESSERDATEN'!$AF88&lt;&gt;"",IF(COUNTA('IMPORT SCHLIESSERDATEN'!$AN88:$AU88)&gt;0,"X","G"),IF('IMPORT SCHLIESSERDATEN'!$AG88&lt;&gt;"","S",IF('IMPORT SCHLIESSERDATEN'!$AH88&lt;&gt;"","I",IF('IMPORT SCHLIESSERDATEN'!$AI88&lt;&gt;"","B",IF('IMPORT SCHLIESSERDATEN'!$AJ88&lt;&gt;"","D","")))))</f>
        <v>X</v>
      </c>
      <c r="E96" s="248" t="str">
        <f>'IMPORT SCHLIESSERDATEN'!AK88 &amp; IF('IMPORT SCHLIESSERDATEN'!AL88="",""," "&amp; 'IMPORT SCHLIESSERDATEN'!AL88)</f>
        <v>98</v>
      </c>
      <c r="F96" s="74">
        <f>IFERROR(IF(D96="X",2^(MATCH("",'IMPORT SCHLIESSERDATEN'!$AN88:$AU88,-1)-1),IF(AV96="F",2^(MATCH("",'IMPORT SCHLIESSERDATEN'!$BH88:$BK88,-1)-1),2^(MATCH("",'IMPORT SCHLIESSERDATEN'!$AV88:$BG88,-1)-1))),0)</f>
        <v>16</v>
      </c>
      <c r="G96" s="74">
        <f>IF(AND('IMPORT SCHLIESSERDATEN'!$O88='IMPORT SCHLIESSERDATEN'!$R88,'IMPORT SCHLIESSERDATEN'!$O88&lt;&gt;"",'IMPORT SCHLIESSERDATEN'!$R88&lt;&gt;""),1,0)  +  IF(AND('IMPORT SCHLIESSERDATEN'!$P88='IMPORT SCHLIESSERDATEN'!$S88,'IMPORT SCHLIESSERDATEN'!$P88&lt;&gt;"",'IMPORT SCHLIESSERDATEN'!$S88&lt;&gt;""),2,0)   +  IF(AND('IMPORT SCHLIESSERDATEN'!$O88='IMPORT SCHLIESSERDATEN'!$S88,'IMPORT SCHLIESSERDATEN'!$O88&lt;&gt;"",'IMPORT SCHLIESSERDATEN'!$S88&lt;&gt;""),4,0)   +  IF(AND('IMPORT SCHLIESSERDATEN'!$P88='IMPORT SCHLIESSERDATEN'!$R88,'IMPORT SCHLIESSERDATEN'!$P88&lt;&gt;"",'IMPORT SCHLIESSERDATEN'!$R88&lt;&gt;""),8,0)   +  IF('IMPORT SCHLIESSERDATEN'!$Q88&lt;&gt;"",IF('IMPORT SCHLIESSERDATEN'!$R88&lt;&gt;"",32,0) + IF('IMPORT SCHLIESSERDATEN'!$S88&lt;&gt;"",64,0),0)  +  IF('IMPORT SCHLIESSERDATEN'!$T88&lt;&gt;"",IF('IMPORT SCHLIESSERDATEN'!$Q88&lt;&gt;"",128+256,128),0)</f>
        <v>9</v>
      </c>
      <c r="H96" s="74">
        <f>IF('IMPORT SCHLIESSERDATEN'!$H88="",0,1) + IF('IMPORT SCHLIESSERDATEN'!$I88="",0,2) + IF('IMPORT SCHLIESSERDATEN'!$J88="",0,4) + IF('IMPORT SCHLIESSERDATEN'!$K88="",0,8) + IF('IMPORT SCHLIESSERDATEN'!$L88="",0,16) + IF('IMPORT SCHLIESSERDATEN'!$M88="",0,32) + IF('IMPORT SCHLIESSERDATEN'!$N88="",0,64)</f>
        <v>63</v>
      </c>
      <c r="I96" s="74">
        <f>IF('IMPORT SCHLIESSERDATEN'!$D88="",0,1) + IF('IMPORT SCHLIESSERDATEN'!$E88="",0,2) + IF('IMPORT SCHLIESSERDATEN'!$E88="S",4,0)</f>
        <v>1</v>
      </c>
      <c r="J96" s="74">
        <f>IF(ISERR(FIND(" Gangfl.",'IMPORT SCHLIESSERDATEN'!$B88)),IF(ISERR(FIND(" Standfl.",'IMPORT SCHLIESSERDATEN'!$B88)),0,2),1)</f>
        <v>0</v>
      </c>
      <c r="K96" s="74">
        <f>'IMPORT SCHLIESSERDATEN'!CL88</f>
        <v>74</v>
      </c>
      <c r="L96" s="74">
        <f>'IMPORT SCHLIESSERDATEN'!CN88</f>
        <v>4</v>
      </c>
      <c r="M96" s="74">
        <f>IF('IMPORT SCHLIESSERDATEN'!CS88="wie TS",-1,'IMPORT SCHLIESSERDATEN'!CS88)</f>
        <v>0</v>
      </c>
      <c r="N96" s="74">
        <f>IF(M96&lt;0,-1,'IMPORT SCHLIESSERDATEN'!CU88)</f>
        <v>0</v>
      </c>
      <c r="O96" s="74">
        <f>IF('IMPORT SCHLIESSERDATEN'!CZ88="wie TS",-1,'IMPORT SCHLIESSERDATEN'!CZ88)</f>
        <v>0</v>
      </c>
      <c r="P96" s="74">
        <f>IF(O96&lt;0,-1,'IMPORT SCHLIESSERDATEN'!DB88)</f>
        <v>0</v>
      </c>
      <c r="Q96" s="74">
        <f>'IMPORT SCHLIESSERDATEN'!DG88</f>
        <v>74</v>
      </c>
      <c r="R96" s="74">
        <f>'IMPORT SCHLIESSERDATEN'!DI88</f>
        <v>17</v>
      </c>
      <c r="S96" s="74">
        <f>'IMPORT SCHLIESSERDATEN'!DN88</f>
        <v>0</v>
      </c>
      <c r="T96" s="74">
        <f>IF('IMPORT SCHLIESSERDATEN'!DP88="V",9999,'IMPORT SCHLIESSERDATEN'!DP88)</f>
        <v>0</v>
      </c>
      <c r="U96" s="74">
        <f>'IMPORT SCHLIESSERDATEN'!BW88</f>
        <v>327</v>
      </c>
      <c r="V96" s="74">
        <f>'IMPORT SCHLIESSERDATEN'!BX88</f>
        <v>59</v>
      </c>
      <c r="W96" s="74">
        <f>'IMPORT SCHLIESSERDATEN'!BY88</f>
        <v>60</v>
      </c>
      <c r="X96" s="74">
        <f>'IMPORT SCHLIESSERDATEN'!CO88</f>
        <v>74</v>
      </c>
      <c r="Y96" s="74">
        <f>'IMPORT SCHLIESSERDATEN'!CQ88</f>
        <v>13</v>
      </c>
      <c r="Z96" s="74">
        <f>'IMPORT SCHLIESSERDATEN'!CV88</f>
        <v>0</v>
      </c>
      <c r="AA96" s="74">
        <f>'IMPORT SCHLIESSERDATEN'!CX88</f>
        <v>0</v>
      </c>
      <c r="AB96" s="74">
        <f>'IMPORT SCHLIESSERDATEN'!DC88</f>
        <v>0</v>
      </c>
      <c r="AC96" s="74">
        <f>'IMPORT SCHLIESSERDATEN'!DE88</f>
        <v>0</v>
      </c>
      <c r="AD96" s="74">
        <f>'IMPORT SCHLIESSERDATEN'!DJ88</f>
        <v>74</v>
      </c>
      <c r="AE96" s="74">
        <f>'IMPORT SCHLIESSERDATEN'!DL88</f>
        <v>0</v>
      </c>
      <c r="AF96" s="74">
        <f>'IMPORT SCHLIESSERDATEN'!DQ88</f>
        <v>0</v>
      </c>
      <c r="AG96" s="74">
        <f>IF('IMPORT SCHLIESSERDATEN'!DS88="V",9999,'IMPORT SCHLIESSERDATEN'!DS88)</f>
        <v>0</v>
      </c>
      <c r="AH96" s="74">
        <f>IF('IMPORT SCHLIESSERDATEN'!BZ88="V",9999,IF('IMPORT SCHLIESSERDATEN'!CD88="_",-1,'IMPORT SCHLIESSERDATEN'!BZ88))</f>
        <v>890</v>
      </c>
      <c r="AI96" s="74">
        <f>IF('IMPORT SCHLIESSERDATEN'!CA88="V",9999,IF('IMPORT SCHLIESSERDATEN'!CD88="_",-1,'IMPORT SCHLIESSERDATEN'!CA88))</f>
        <v>34</v>
      </c>
      <c r="AJ96" s="74">
        <f>IF('IMPORT SCHLIESSERDATEN'!CB88="V",9999,IF('IMPORT SCHLIESSERDATEN'!CD88="_",-1,'IMPORT SCHLIESSERDATEN'!CB88))</f>
        <v>75</v>
      </c>
      <c r="AK96" s="74">
        <f>IF('IMPORT SCHLIESSERDATEN'!CC88="V",9999,IF('IMPORT SCHLIESSERDATEN'!CC88="_",-1,'IMPORT SCHLIESSERDATEN'!CC88))</f>
        <v>15</v>
      </c>
      <c r="AL96" s="74">
        <f>IF('IMPORT SCHLIESSERDATEN'!CD88="_",-1,'IMPORT SCHLIESSERDATEN'!CD88)</f>
        <v>375</v>
      </c>
      <c r="AM96" s="74">
        <f>'IMPORT SCHLIESSERDATEN'!CH88</f>
        <v>101</v>
      </c>
      <c r="AN96" s="74">
        <f>IF('IMPORT SCHLIESSERDATEN'!CE88="V",9999,'IMPORT SCHLIESSERDATEN'!CE88)</f>
        <v>30</v>
      </c>
      <c r="AO96" s="74">
        <f>IF('IMPORT SCHLIESSERDATEN'!CK88="_",-1,'IMPORT SCHLIESSERDATEN'!CK88)</f>
        <v>170</v>
      </c>
      <c r="AP96" s="74">
        <f>IF('IMPORT SCHLIESSERDATEN'!$U88="",0,1)</f>
        <v>1</v>
      </c>
      <c r="AQ96" s="74">
        <f>IF('IMPORT SCHLIESSERDATEN'!$V88="",0,1)</f>
        <v>1</v>
      </c>
      <c r="AR96" s="74">
        <f>IF('IMPORT SCHLIESSERDATEN'!$W88="",0,1)</f>
        <v>0</v>
      </c>
      <c r="AS96" s="74">
        <f>IF('IMPORT SCHLIESSERDATEN'!$AA88="",0,1)</f>
        <v>1</v>
      </c>
      <c r="AT96" s="74">
        <f>IF('IMPORT SCHLIESSERDATEN'!$AD88="",0,1) + IF('IMPORT SCHLIESSERDATEN'!$AE88="",0,2)</f>
        <v>1</v>
      </c>
      <c r="AU96" s="74" t="str">
        <f>IF('IMPORT SCHLIESSERDATEN'!$X88="",IF('IMPORT SCHLIESSERDATEN'!$Y88="","","F"),"V")</f>
        <v>V</v>
      </c>
      <c r="AV96" s="74" t="str">
        <f>IF('IMPORT SCHLIESSERDATEN'!$AB88&lt;&gt;"","M",IF('IMPORT SCHLIESSERDATEN'!$AD88&lt;&gt;"",IF(ISERR(SEARCH("UVIBIS",'IMPORT SCHLIESSERDATEN'!$B88)),"R","B"),IF(OR('IMPORT SCHLIESSERDATEN'!$AC88&lt;&gt;"",'IMPORT SCHLIESSERDATEN'!$AE88&lt;&gt;""),"E","")))</f>
        <v>B</v>
      </c>
      <c r="AW96" s="82"/>
      <c r="AX96" s="67"/>
    </row>
    <row r="97" spans="1:50" x14ac:dyDescent="0.25">
      <c r="A97" s="67">
        <f>IFERROR(IF(C97&lt;&gt;"",MAX($A$2:$A96)+1,""),"")</f>
        <v>85</v>
      </c>
      <c r="B97" s="223">
        <f t="shared" si="1"/>
        <v>85</v>
      </c>
      <c r="C97" s="216" t="str">
        <f>IF(J97=1,SUBSTITUTE('IMPORT SCHLIESSERDATEN'!$B89," Gangfl.",""),IF(J97=2,SUBSTITUTE('IMPORT SCHLIESSERDATEN'!$B89," Standfl.",""),'IMPORT SCHLIESSERDATEN'!$B89))</f>
        <v xml:space="preserve">TS 98 GSR XEA EN 1-6 </v>
      </c>
      <c r="D97" s="216" t="str">
        <f>IF('IMPORT SCHLIESSERDATEN'!$AF89&lt;&gt;"",IF(COUNTA('IMPORT SCHLIESSERDATEN'!$AN89:$AU89)&gt;0,"X","G"),IF('IMPORT SCHLIESSERDATEN'!$AG89&lt;&gt;"","S",IF('IMPORT SCHLIESSERDATEN'!$AH89&lt;&gt;"","I",IF('IMPORT SCHLIESSERDATEN'!$AI89&lt;&gt;"","B",IF('IMPORT SCHLIESSERDATEN'!$AJ89&lt;&gt;"","D","")))))</f>
        <v>X</v>
      </c>
      <c r="E97" s="248" t="str">
        <f>'IMPORT SCHLIESSERDATEN'!AK89 &amp; IF('IMPORT SCHLIESSERDATEN'!AL89="",""," "&amp; 'IMPORT SCHLIESSERDATEN'!AL89)</f>
        <v>98</v>
      </c>
      <c r="F97" s="74">
        <f>IFERROR(IF(D97="X",2^(MATCH("",'IMPORT SCHLIESSERDATEN'!$AN89:$AU89,-1)-1),IF(AV97="F",2^(MATCH("",'IMPORT SCHLIESSERDATEN'!$BH89:$BK89,-1)-1),2^(MATCH("",'IMPORT SCHLIESSERDATEN'!$AV89:$BG89,-1)-1))),0)</f>
        <v>32</v>
      </c>
      <c r="G97" s="74">
        <f>IF(AND('IMPORT SCHLIESSERDATEN'!$O89='IMPORT SCHLIESSERDATEN'!$R89,'IMPORT SCHLIESSERDATEN'!$O89&lt;&gt;"",'IMPORT SCHLIESSERDATEN'!$R89&lt;&gt;""),1,0)  +  IF(AND('IMPORT SCHLIESSERDATEN'!$P89='IMPORT SCHLIESSERDATEN'!$S89,'IMPORT SCHLIESSERDATEN'!$P89&lt;&gt;"",'IMPORT SCHLIESSERDATEN'!$S89&lt;&gt;""),2,0)   +  IF(AND('IMPORT SCHLIESSERDATEN'!$O89='IMPORT SCHLIESSERDATEN'!$S89,'IMPORT SCHLIESSERDATEN'!$O89&lt;&gt;"",'IMPORT SCHLIESSERDATEN'!$S89&lt;&gt;""),4,0)   +  IF(AND('IMPORT SCHLIESSERDATEN'!$P89='IMPORT SCHLIESSERDATEN'!$R89,'IMPORT SCHLIESSERDATEN'!$P89&lt;&gt;"",'IMPORT SCHLIESSERDATEN'!$R89&lt;&gt;""),8,0)   +  IF('IMPORT SCHLIESSERDATEN'!$Q89&lt;&gt;"",IF('IMPORT SCHLIESSERDATEN'!$R89&lt;&gt;"",32,0) + IF('IMPORT SCHLIESSERDATEN'!$S89&lt;&gt;"",64,0),0)  +  IF('IMPORT SCHLIESSERDATEN'!$T89&lt;&gt;"",IF('IMPORT SCHLIESSERDATEN'!$Q89&lt;&gt;"",128+256,128),0)</f>
        <v>9</v>
      </c>
      <c r="H97" s="74">
        <f>IF('IMPORT SCHLIESSERDATEN'!$H89="",0,1) + IF('IMPORT SCHLIESSERDATEN'!$I89="",0,2) + IF('IMPORT SCHLIESSERDATEN'!$J89="",0,4) + IF('IMPORT SCHLIESSERDATEN'!$K89="",0,8) + IF('IMPORT SCHLIESSERDATEN'!$L89="",0,16) + IF('IMPORT SCHLIESSERDATEN'!$M89="",0,32) + IF('IMPORT SCHLIESSERDATEN'!$N89="",0,64)</f>
        <v>63</v>
      </c>
      <c r="I97" s="74">
        <f>IF('IMPORT SCHLIESSERDATEN'!$D89="",0,1) + IF('IMPORT SCHLIESSERDATEN'!$E89="",0,2) + IF('IMPORT SCHLIESSERDATEN'!$E89="S",4,0)</f>
        <v>2</v>
      </c>
      <c r="J97" s="74">
        <f>IF(ISERR(FIND(" Gangfl.",'IMPORT SCHLIESSERDATEN'!$B89)),IF(ISERR(FIND(" Standfl.",'IMPORT SCHLIESSERDATEN'!$B89)),0,2),1)</f>
        <v>0</v>
      </c>
      <c r="K97" s="74">
        <f>'IMPORT SCHLIESSERDATEN'!CL89</f>
        <v>74</v>
      </c>
      <c r="L97" s="74">
        <f>'IMPORT SCHLIESSERDATEN'!CN89</f>
        <v>4</v>
      </c>
      <c r="M97" s="74">
        <f>IF('IMPORT SCHLIESSERDATEN'!CS89="wie TS",-1,'IMPORT SCHLIESSERDATEN'!CS89)</f>
        <v>0</v>
      </c>
      <c r="N97" s="74">
        <f>IF(M97&lt;0,-1,'IMPORT SCHLIESSERDATEN'!CU89)</f>
        <v>0</v>
      </c>
      <c r="O97" s="74">
        <f>IF('IMPORT SCHLIESSERDATEN'!CZ89="wie TS",-1,'IMPORT SCHLIESSERDATEN'!CZ89)</f>
        <v>0</v>
      </c>
      <c r="P97" s="74">
        <f>IF(O97&lt;0,-1,'IMPORT SCHLIESSERDATEN'!DB89)</f>
        <v>0</v>
      </c>
      <c r="Q97" s="74">
        <f>'IMPORT SCHLIESSERDATEN'!DG89</f>
        <v>0</v>
      </c>
      <c r="R97" s="74">
        <f>'IMPORT SCHLIESSERDATEN'!DI89</f>
        <v>0</v>
      </c>
      <c r="S97" s="74">
        <f>'IMPORT SCHLIESSERDATEN'!DN89</f>
        <v>0</v>
      </c>
      <c r="T97" s="74">
        <f>IF('IMPORT SCHLIESSERDATEN'!DP89="V",9999,'IMPORT SCHLIESSERDATEN'!DP89)</f>
        <v>0</v>
      </c>
      <c r="U97" s="74">
        <f>'IMPORT SCHLIESSERDATEN'!BW89</f>
        <v>327</v>
      </c>
      <c r="V97" s="74">
        <f>'IMPORT SCHLIESSERDATEN'!BX89</f>
        <v>59</v>
      </c>
      <c r="W97" s="74">
        <f>'IMPORT SCHLIESSERDATEN'!BY89</f>
        <v>60</v>
      </c>
      <c r="X97" s="74">
        <f>'IMPORT SCHLIESSERDATEN'!CO89</f>
        <v>74</v>
      </c>
      <c r="Y97" s="74">
        <f>'IMPORT SCHLIESSERDATEN'!CQ89</f>
        <v>13</v>
      </c>
      <c r="Z97" s="74">
        <f>'IMPORT SCHLIESSERDATEN'!CV89</f>
        <v>0</v>
      </c>
      <c r="AA97" s="74">
        <f>'IMPORT SCHLIESSERDATEN'!CX89</f>
        <v>0</v>
      </c>
      <c r="AB97" s="74">
        <f>'IMPORT SCHLIESSERDATEN'!DC89</f>
        <v>0</v>
      </c>
      <c r="AC97" s="74">
        <f>'IMPORT SCHLIESSERDATEN'!DE89</f>
        <v>0</v>
      </c>
      <c r="AD97" s="74">
        <f>'IMPORT SCHLIESSERDATEN'!DJ89</f>
        <v>0</v>
      </c>
      <c r="AE97" s="74">
        <f>'IMPORT SCHLIESSERDATEN'!DL89</f>
        <v>0</v>
      </c>
      <c r="AF97" s="74">
        <f>'IMPORT SCHLIESSERDATEN'!DQ89</f>
        <v>0</v>
      </c>
      <c r="AG97" s="74">
        <f>IF('IMPORT SCHLIESSERDATEN'!DS89="V",9999,'IMPORT SCHLIESSERDATEN'!DS89)</f>
        <v>0</v>
      </c>
      <c r="AH97" s="74">
        <f>IF('IMPORT SCHLIESSERDATEN'!BZ89="V",9999,IF('IMPORT SCHLIESSERDATEN'!CD89="_",-1,'IMPORT SCHLIESSERDATEN'!BZ89))</f>
        <v>9999</v>
      </c>
      <c r="AI97" s="74">
        <f>IF('IMPORT SCHLIESSERDATEN'!CA89="V",9999,IF('IMPORT SCHLIESSERDATEN'!CD89="_",-1,'IMPORT SCHLIESSERDATEN'!CA89))</f>
        <v>30</v>
      </c>
      <c r="AJ97" s="74">
        <f>IF('IMPORT SCHLIESSERDATEN'!CB89="V",9999,IF('IMPORT SCHLIESSERDATEN'!CD89="_",-1,'IMPORT SCHLIESSERDATEN'!CB89))</f>
        <v>35</v>
      </c>
      <c r="AK97" s="74">
        <f>IF('IMPORT SCHLIESSERDATEN'!CC89="V",9999,IF('IMPORT SCHLIESSERDATEN'!CC89="_",-1,'IMPORT SCHLIESSERDATEN'!CC89))</f>
        <v>18</v>
      </c>
      <c r="AL97" s="74">
        <f>IF('IMPORT SCHLIESSERDATEN'!CD89="_",-1,'IMPORT SCHLIESSERDATEN'!CD89)</f>
        <v>375</v>
      </c>
      <c r="AM97" s="74">
        <f>'IMPORT SCHLIESSERDATEN'!CH89</f>
        <v>101</v>
      </c>
      <c r="AN97" s="74">
        <f>IF('IMPORT SCHLIESSERDATEN'!CE89="V",9999,'IMPORT SCHLIESSERDATEN'!CE89)</f>
        <v>30</v>
      </c>
      <c r="AO97" s="74">
        <f>IF('IMPORT SCHLIESSERDATEN'!CK89="_",-1,'IMPORT SCHLIESSERDATEN'!CK89)</f>
        <v>53</v>
      </c>
      <c r="AP97" s="74">
        <f>IF('IMPORT SCHLIESSERDATEN'!$U89="",0,1)</f>
        <v>1</v>
      </c>
      <c r="AQ97" s="74">
        <f>IF('IMPORT SCHLIESSERDATEN'!$V89="",0,1)</f>
        <v>1</v>
      </c>
      <c r="AR97" s="74">
        <f>IF('IMPORT SCHLIESSERDATEN'!$W89="",0,1)</f>
        <v>1</v>
      </c>
      <c r="AS97" s="74">
        <f>IF('IMPORT SCHLIESSERDATEN'!$AA89="",0,1)</f>
        <v>1</v>
      </c>
      <c r="AT97" s="74">
        <f>IF('IMPORT SCHLIESSERDATEN'!$AD89="",0,1) + IF('IMPORT SCHLIESSERDATEN'!$AE89="",0,2)</f>
        <v>0</v>
      </c>
      <c r="AU97" s="74" t="str">
        <f>IF('IMPORT SCHLIESSERDATEN'!$X89="",IF('IMPORT SCHLIESSERDATEN'!$Y89="","","F"),"V")</f>
        <v>V</v>
      </c>
      <c r="AV97" s="74" t="str">
        <f>IF('IMPORT SCHLIESSERDATEN'!$AB89&lt;&gt;"","M",IF('IMPORT SCHLIESSERDATEN'!$AD89&lt;&gt;"",IF(ISERR(SEARCH("UVIBIS",'IMPORT SCHLIESSERDATEN'!$B89)),"R","B"),IF(OR('IMPORT SCHLIESSERDATEN'!$AC89&lt;&gt;"",'IMPORT SCHLIESSERDATEN'!$AE89&lt;&gt;""),"E","")))</f>
        <v/>
      </c>
      <c r="AW97" s="82"/>
      <c r="AX97" s="67"/>
    </row>
    <row r="98" spans="1:50" x14ac:dyDescent="0.25">
      <c r="A98" s="67">
        <f>IFERROR(IF(C98&lt;&gt;"",MAX($A$2:$A97)+1,""),"")</f>
        <v>86</v>
      </c>
      <c r="B98" s="223">
        <f t="shared" si="1"/>
        <v>86</v>
      </c>
      <c r="C98" s="216" t="str">
        <f>IF(J98=1,SUBSTITUTE('IMPORT SCHLIESSERDATEN'!$B90," Gangfl.",""),IF(J98=2,SUBSTITUTE('IMPORT SCHLIESSERDATEN'!$B90," Standfl.",""),'IMPORT SCHLIESSERDATEN'!$B90))</f>
        <v xml:space="preserve">TS 98 GSR-EMF XEA EN 1-6 </v>
      </c>
      <c r="D98" s="216" t="str">
        <f>IF('IMPORT SCHLIESSERDATEN'!$AF90&lt;&gt;"",IF(COUNTA('IMPORT SCHLIESSERDATEN'!$AN90:$AU90)&gt;0,"X","G"),IF('IMPORT SCHLIESSERDATEN'!$AG90&lt;&gt;"","S",IF('IMPORT SCHLIESSERDATEN'!$AH90&lt;&gt;"","I",IF('IMPORT SCHLIESSERDATEN'!$AI90&lt;&gt;"","B",IF('IMPORT SCHLIESSERDATEN'!$AJ90&lt;&gt;"","D","")))))</f>
        <v>X</v>
      </c>
      <c r="E98" s="248" t="str">
        <f>'IMPORT SCHLIESSERDATEN'!AK90 &amp; IF('IMPORT SCHLIESSERDATEN'!AL90="",""," "&amp; 'IMPORT SCHLIESSERDATEN'!AL90)</f>
        <v>98</v>
      </c>
      <c r="F98" s="74">
        <f>IFERROR(IF(D98="X",2^(MATCH("",'IMPORT SCHLIESSERDATEN'!$AN90:$AU90,-1)-1),IF(AV98="F",2^(MATCH("",'IMPORT SCHLIESSERDATEN'!$BH90:$BK90,-1)-1),2^(MATCH("",'IMPORT SCHLIESSERDATEN'!$AV90:$BG90,-1)-1))),0)</f>
        <v>64</v>
      </c>
      <c r="G98" s="74">
        <f>IF(AND('IMPORT SCHLIESSERDATEN'!$O90='IMPORT SCHLIESSERDATEN'!$R90,'IMPORT SCHLIESSERDATEN'!$O90&lt;&gt;"",'IMPORT SCHLIESSERDATEN'!$R90&lt;&gt;""),1,0)  +  IF(AND('IMPORT SCHLIESSERDATEN'!$P90='IMPORT SCHLIESSERDATEN'!$S90,'IMPORT SCHLIESSERDATEN'!$P90&lt;&gt;"",'IMPORT SCHLIESSERDATEN'!$S90&lt;&gt;""),2,0)   +  IF(AND('IMPORT SCHLIESSERDATEN'!$O90='IMPORT SCHLIESSERDATEN'!$S90,'IMPORT SCHLIESSERDATEN'!$O90&lt;&gt;"",'IMPORT SCHLIESSERDATEN'!$S90&lt;&gt;""),4,0)   +  IF(AND('IMPORT SCHLIESSERDATEN'!$P90='IMPORT SCHLIESSERDATEN'!$R90,'IMPORT SCHLIESSERDATEN'!$P90&lt;&gt;"",'IMPORT SCHLIESSERDATEN'!$R90&lt;&gt;""),8,0)   +  IF('IMPORT SCHLIESSERDATEN'!$Q90&lt;&gt;"",IF('IMPORT SCHLIESSERDATEN'!$R90&lt;&gt;"",32,0) + IF('IMPORT SCHLIESSERDATEN'!$S90&lt;&gt;"",64,0),0)  +  IF('IMPORT SCHLIESSERDATEN'!$T90&lt;&gt;"",IF('IMPORT SCHLIESSERDATEN'!$Q90&lt;&gt;"",128+256,128),0)</f>
        <v>9</v>
      </c>
      <c r="H98" s="74">
        <f>IF('IMPORT SCHLIESSERDATEN'!$H90="",0,1) + IF('IMPORT SCHLIESSERDATEN'!$I90="",0,2) + IF('IMPORT SCHLIESSERDATEN'!$J90="",0,4) + IF('IMPORT SCHLIESSERDATEN'!$K90="",0,8) + IF('IMPORT SCHLIESSERDATEN'!$L90="",0,16) + IF('IMPORT SCHLIESSERDATEN'!$M90="",0,32) + IF('IMPORT SCHLIESSERDATEN'!$N90="",0,64)</f>
        <v>63</v>
      </c>
      <c r="I98" s="74">
        <f>IF('IMPORT SCHLIESSERDATEN'!$D90="",0,1) + IF('IMPORT SCHLIESSERDATEN'!$E90="",0,2) + IF('IMPORT SCHLIESSERDATEN'!$E90="S",4,0)</f>
        <v>2</v>
      </c>
      <c r="J98" s="74">
        <f>IF(ISERR(FIND(" Gangfl.",'IMPORT SCHLIESSERDATEN'!$B90)),IF(ISERR(FIND(" Standfl.",'IMPORT SCHLIESSERDATEN'!$B90)),0,2),1)</f>
        <v>0</v>
      </c>
      <c r="K98" s="74">
        <f>'IMPORT SCHLIESSERDATEN'!CL90</f>
        <v>74</v>
      </c>
      <c r="L98" s="74">
        <f>'IMPORT SCHLIESSERDATEN'!CN90</f>
        <v>4</v>
      </c>
      <c r="M98" s="74">
        <f>IF('IMPORT SCHLIESSERDATEN'!CS90="wie TS",-1,'IMPORT SCHLIESSERDATEN'!CS90)</f>
        <v>0</v>
      </c>
      <c r="N98" s="74">
        <f>IF(M98&lt;0,-1,'IMPORT SCHLIESSERDATEN'!CU90)</f>
        <v>0</v>
      </c>
      <c r="O98" s="74">
        <f>IF('IMPORT SCHLIESSERDATEN'!CZ90="wie TS",-1,'IMPORT SCHLIESSERDATEN'!CZ90)</f>
        <v>0</v>
      </c>
      <c r="P98" s="74">
        <f>IF(O98&lt;0,-1,'IMPORT SCHLIESSERDATEN'!DB90)</f>
        <v>0</v>
      </c>
      <c r="Q98" s="74">
        <f>'IMPORT SCHLIESSERDATEN'!DG90</f>
        <v>0</v>
      </c>
      <c r="R98" s="74">
        <f>'IMPORT SCHLIESSERDATEN'!DI90</f>
        <v>0</v>
      </c>
      <c r="S98" s="74">
        <f>'IMPORT SCHLIESSERDATEN'!DN90</f>
        <v>0</v>
      </c>
      <c r="T98" s="74">
        <f>IF('IMPORT SCHLIESSERDATEN'!DP90="V",9999,'IMPORT SCHLIESSERDATEN'!DP90)</f>
        <v>0</v>
      </c>
      <c r="U98" s="74">
        <f>'IMPORT SCHLIESSERDATEN'!BW90</f>
        <v>327</v>
      </c>
      <c r="V98" s="74">
        <f>'IMPORT SCHLIESSERDATEN'!BX90</f>
        <v>59</v>
      </c>
      <c r="W98" s="74">
        <f>'IMPORT SCHLIESSERDATEN'!BY90</f>
        <v>60</v>
      </c>
      <c r="X98" s="74">
        <f>'IMPORT SCHLIESSERDATEN'!CO90</f>
        <v>74</v>
      </c>
      <c r="Y98" s="74">
        <f>'IMPORT SCHLIESSERDATEN'!CQ90</f>
        <v>13</v>
      </c>
      <c r="Z98" s="74">
        <f>'IMPORT SCHLIESSERDATEN'!CV90</f>
        <v>0</v>
      </c>
      <c r="AA98" s="74">
        <f>'IMPORT SCHLIESSERDATEN'!CX90</f>
        <v>0</v>
      </c>
      <c r="AB98" s="74">
        <f>'IMPORT SCHLIESSERDATEN'!DC90</f>
        <v>0</v>
      </c>
      <c r="AC98" s="74">
        <f>'IMPORT SCHLIESSERDATEN'!DE90</f>
        <v>0</v>
      </c>
      <c r="AD98" s="74">
        <f>'IMPORT SCHLIESSERDATEN'!DJ90</f>
        <v>0</v>
      </c>
      <c r="AE98" s="74">
        <f>'IMPORT SCHLIESSERDATEN'!DL90</f>
        <v>0</v>
      </c>
      <c r="AF98" s="74">
        <f>'IMPORT SCHLIESSERDATEN'!DQ90</f>
        <v>0</v>
      </c>
      <c r="AG98" s="74">
        <f>IF('IMPORT SCHLIESSERDATEN'!DS90="V",9999,'IMPORT SCHLIESSERDATEN'!DS90)</f>
        <v>0</v>
      </c>
      <c r="AH98" s="74">
        <f>IF('IMPORT SCHLIESSERDATEN'!BZ90="V",9999,IF('IMPORT SCHLIESSERDATEN'!CD90="_",-1,'IMPORT SCHLIESSERDATEN'!BZ90))</f>
        <v>9999</v>
      </c>
      <c r="AI98" s="74">
        <f>IF('IMPORT SCHLIESSERDATEN'!CA90="V",9999,IF('IMPORT SCHLIESSERDATEN'!CD90="_",-1,'IMPORT SCHLIESSERDATEN'!CA90))</f>
        <v>30</v>
      </c>
      <c r="AJ98" s="74">
        <f>IF('IMPORT SCHLIESSERDATEN'!CB90="V",9999,IF('IMPORT SCHLIESSERDATEN'!CD90="_",-1,'IMPORT SCHLIESSERDATEN'!CB90))</f>
        <v>35</v>
      </c>
      <c r="AK98" s="74">
        <f>IF('IMPORT SCHLIESSERDATEN'!CC90="V",9999,IF('IMPORT SCHLIESSERDATEN'!CC90="_",-1,'IMPORT SCHLIESSERDATEN'!CC90))</f>
        <v>18</v>
      </c>
      <c r="AL98" s="74">
        <f>IF('IMPORT SCHLIESSERDATEN'!CD90="_",-1,'IMPORT SCHLIESSERDATEN'!CD90)</f>
        <v>375</v>
      </c>
      <c r="AM98" s="74">
        <f>'IMPORT SCHLIESSERDATEN'!CH90</f>
        <v>101</v>
      </c>
      <c r="AN98" s="74">
        <f>IF('IMPORT SCHLIESSERDATEN'!CE90="V",9999,'IMPORT SCHLIESSERDATEN'!CE90)</f>
        <v>30</v>
      </c>
      <c r="AO98" s="74">
        <f>IF('IMPORT SCHLIESSERDATEN'!CK90="_",-1,'IMPORT SCHLIESSERDATEN'!CK90)</f>
        <v>166</v>
      </c>
      <c r="AP98" s="74">
        <f>IF('IMPORT SCHLIESSERDATEN'!$U90="",0,1)</f>
        <v>1</v>
      </c>
      <c r="AQ98" s="74">
        <f>IF('IMPORT SCHLIESSERDATEN'!$V90="",0,1)</f>
        <v>1</v>
      </c>
      <c r="AR98" s="74">
        <f>IF('IMPORT SCHLIESSERDATEN'!$W90="",0,1)</f>
        <v>1</v>
      </c>
      <c r="AS98" s="74">
        <f>IF('IMPORT SCHLIESSERDATEN'!$AA90="",0,1)</f>
        <v>1</v>
      </c>
      <c r="AT98" s="74">
        <f>IF('IMPORT SCHLIESSERDATEN'!$AD90="",0,1) + IF('IMPORT SCHLIESSERDATEN'!$AE90="",0,2)</f>
        <v>2</v>
      </c>
      <c r="AU98" s="74" t="str">
        <f>IF('IMPORT SCHLIESSERDATEN'!$X90="",IF('IMPORT SCHLIESSERDATEN'!$Y90="","","F"),"V")</f>
        <v>V</v>
      </c>
      <c r="AV98" s="74" t="str">
        <f>IF('IMPORT SCHLIESSERDATEN'!$AB90&lt;&gt;"","M",IF('IMPORT SCHLIESSERDATEN'!$AD90&lt;&gt;"",IF(ISERR(SEARCH("UVIBIS",'IMPORT SCHLIESSERDATEN'!$B90)),"R","B"),IF(OR('IMPORT SCHLIESSERDATEN'!$AC90&lt;&gt;"",'IMPORT SCHLIESSERDATEN'!$AE90&lt;&gt;""),"E","")))</f>
        <v>E</v>
      </c>
      <c r="AW98" s="82"/>
      <c r="AX98" s="67"/>
    </row>
    <row r="99" spans="1:50" x14ac:dyDescent="0.25">
      <c r="A99" s="67">
        <f>IFERROR(IF(C99&lt;&gt;"",MAX($A$2:$A98)+1,""),"")</f>
        <v>87</v>
      </c>
      <c r="B99" s="223">
        <f t="shared" si="1"/>
        <v>87</v>
      </c>
      <c r="C99" s="216" t="str">
        <f>IF(J99=1,SUBSTITUTE('IMPORT SCHLIESSERDATEN'!$B91," Gangfl.",""),IF(J99=2,SUBSTITUTE('IMPORT SCHLIESSERDATEN'!$B91," Standfl.",""),'IMPORT SCHLIESSERDATEN'!$B91))</f>
        <v xml:space="preserve">TS 98 GSR-EMR XEA EN 1-6 </v>
      </c>
      <c r="D99" s="216" t="str">
        <f>IF('IMPORT SCHLIESSERDATEN'!$AF91&lt;&gt;"",IF(COUNTA('IMPORT SCHLIESSERDATEN'!$AN91:$AU91)&gt;0,"X","G"),IF('IMPORT SCHLIESSERDATEN'!$AG91&lt;&gt;"","S",IF('IMPORT SCHLIESSERDATEN'!$AH91&lt;&gt;"","I",IF('IMPORT SCHLIESSERDATEN'!$AI91&lt;&gt;"","B",IF('IMPORT SCHLIESSERDATEN'!$AJ91&lt;&gt;"","D","")))))</f>
        <v>X</v>
      </c>
      <c r="E99" s="248" t="str">
        <f>'IMPORT SCHLIESSERDATEN'!AK91 &amp; IF('IMPORT SCHLIESSERDATEN'!AL91="",""," "&amp; 'IMPORT SCHLIESSERDATEN'!AL91)</f>
        <v>98</v>
      </c>
      <c r="F99" s="74">
        <f>IFERROR(IF(D99="X",2^(MATCH("",'IMPORT SCHLIESSERDATEN'!$AN91:$AU91,-1)-1),IF(AV99="F",2^(MATCH("",'IMPORT SCHLIESSERDATEN'!$BH91:$BK91,-1)-1),2^(MATCH("",'IMPORT SCHLIESSERDATEN'!$AV91:$BG91,-1)-1))),0)</f>
        <v>128</v>
      </c>
      <c r="G99" s="74">
        <f>IF(AND('IMPORT SCHLIESSERDATEN'!$O91='IMPORT SCHLIESSERDATEN'!$R91,'IMPORT SCHLIESSERDATEN'!$O91&lt;&gt;"",'IMPORT SCHLIESSERDATEN'!$R91&lt;&gt;""),1,0)  +  IF(AND('IMPORT SCHLIESSERDATEN'!$P91='IMPORT SCHLIESSERDATEN'!$S91,'IMPORT SCHLIESSERDATEN'!$P91&lt;&gt;"",'IMPORT SCHLIESSERDATEN'!$S91&lt;&gt;""),2,0)   +  IF(AND('IMPORT SCHLIESSERDATEN'!$O91='IMPORT SCHLIESSERDATEN'!$S91,'IMPORT SCHLIESSERDATEN'!$O91&lt;&gt;"",'IMPORT SCHLIESSERDATEN'!$S91&lt;&gt;""),4,0)   +  IF(AND('IMPORT SCHLIESSERDATEN'!$P91='IMPORT SCHLIESSERDATEN'!$R91,'IMPORT SCHLIESSERDATEN'!$P91&lt;&gt;"",'IMPORT SCHLIESSERDATEN'!$R91&lt;&gt;""),8,0)   +  IF('IMPORT SCHLIESSERDATEN'!$Q91&lt;&gt;"",IF('IMPORT SCHLIESSERDATEN'!$R91&lt;&gt;"",32,0) + IF('IMPORT SCHLIESSERDATEN'!$S91&lt;&gt;"",64,0),0)  +  IF('IMPORT SCHLIESSERDATEN'!$T91&lt;&gt;"",IF('IMPORT SCHLIESSERDATEN'!$Q91&lt;&gt;"",128+256,128),0)</f>
        <v>9</v>
      </c>
      <c r="H99" s="74">
        <f>IF('IMPORT SCHLIESSERDATEN'!$H91="",0,1) + IF('IMPORT SCHLIESSERDATEN'!$I91="",0,2) + IF('IMPORT SCHLIESSERDATEN'!$J91="",0,4) + IF('IMPORT SCHLIESSERDATEN'!$K91="",0,8) + IF('IMPORT SCHLIESSERDATEN'!$L91="",0,16) + IF('IMPORT SCHLIESSERDATEN'!$M91="",0,32) + IF('IMPORT SCHLIESSERDATEN'!$N91="",0,64)</f>
        <v>63</v>
      </c>
      <c r="I99" s="74">
        <f>IF('IMPORT SCHLIESSERDATEN'!$D91="",0,1) + IF('IMPORT SCHLIESSERDATEN'!$E91="",0,2) + IF('IMPORT SCHLIESSERDATEN'!$E91="S",4,0)</f>
        <v>2</v>
      </c>
      <c r="J99" s="74">
        <f>IF(ISERR(FIND(" Gangfl.",'IMPORT SCHLIESSERDATEN'!$B91)),IF(ISERR(FIND(" Standfl.",'IMPORT SCHLIESSERDATEN'!$B91)),0,2),1)</f>
        <v>0</v>
      </c>
      <c r="K99" s="74">
        <f>'IMPORT SCHLIESSERDATEN'!CL91</f>
        <v>74</v>
      </c>
      <c r="L99" s="74">
        <f>'IMPORT SCHLIESSERDATEN'!CN91</f>
        <v>4</v>
      </c>
      <c r="M99" s="74">
        <f>IF('IMPORT SCHLIESSERDATEN'!CS91="wie TS",-1,'IMPORT SCHLIESSERDATEN'!CS91)</f>
        <v>0</v>
      </c>
      <c r="N99" s="74">
        <f>IF(M99&lt;0,-1,'IMPORT SCHLIESSERDATEN'!CU91)</f>
        <v>0</v>
      </c>
      <c r="O99" s="74">
        <f>IF('IMPORT SCHLIESSERDATEN'!CZ91="wie TS",-1,'IMPORT SCHLIESSERDATEN'!CZ91)</f>
        <v>0</v>
      </c>
      <c r="P99" s="74">
        <f>IF(O99&lt;0,-1,'IMPORT SCHLIESSERDATEN'!DB91)</f>
        <v>0</v>
      </c>
      <c r="Q99" s="74">
        <f>'IMPORT SCHLIESSERDATEN'!DG91</f>
        <v>0</v>
      </c>
      <c r="R99" s="74">
        <f>'IMPORT SCHLIESSERDATEN'!DI91</f>
        <v>0</v>
      </c>
      <c r="S99" s="74">
        <f>'IMPORT SCHLIESSERDATEN'!DN91</f>
        <v>0</v>
      </c>
      <c r="T99" s="74">
        <f>IF('IMPORT SCHLIESSERDATEN'!DP91="V",9999,'IMPORT SCHLIESSERDATEN'!DP91)</f>
        <v>0</v>
      </c>
      <c r="U99" s="74">
        <f>'IMPORT SCHLIESSERDATEN'!BW91</f>
        <v>327</v>
      </c>
      <c r="V99" s="74">
        <f>'IMPORT SCHLIESSERDATEN'!BX91</f>
        <v>59</v>
      </c>
      <c r="W99" s="74">
        <f>'IMPORT SCHLIESSERDATEN'!BY91</f>
        <v>60</v>
      </c>
      <c r="X99" s="74">
        <f>'IMPORT SCHLIESSERDATEN'!CO91</f>
        <v>74</v>
      </c>
      <c r="Y99" s="74">
        <f>'IMPORT SCHLIESSERDATEN'!CQ91</f>
        <v>13</v>
      </c>
      <c r="Z99" s="74">
        <f>'IMPORT SCHLIESSERDATEN'!CV91</f>
        <v>0</v>
      </c>
      <c r="AA99" s="74">
        <f>'IMPORT SCHLIESSERDATEN'!CX91</f>
        <v>0</v>
      </c>
      <c r="AB99" s="74">
        <f>'IMPORT SCHLIESSERDATEN'!DC91</f>
        <v>0</v>
      </c>
      <c r="AC99" s="74">
        <f>'IMPORT SCHLIESSERDATEN'!DE91</f>
        <v>0</v>
      </c>
      <c r="AD99" s="74">
        <f>'IMPORT SCHLIESSERDATEN'!DJ91</f>
        <v>0</v>
      </c>
      <c r="AE99" s="74">
        <f>'IMPORT SCHLIESSERDATEN'!DL91</f>
        <v>0</v>
      </c>
      <c r="AF99" s="74">
        <f>'IMPORT SCHLIESSERDATEN'!DQ91</f>
        <v>0</v>
      </c>
      <c r="AG99" s="74">
        <f>IF('IMPORT SCHLIESSERDATEN'!DS91="V",9999,'IMPORT SCHLIESSERDATEN'!DS91)</f>
        <v>0</v>
      </c>
      <c r="AH99" s="74">
        <f>IF('IMPORT SCHLIESSERDATEN'!BZ91="V",9999,IF('IMPORT SCHLIESSERDATEN'!CD91="_",-1,'IMPORT SCHLIESSERDATEN'!BZ91))</f>
        <v>9999</v>
      </c>
      <c r="AI99" s="74">
        <f>IF('IMPORT SCHLIESSERDATEN'!CA91="V",9999,IF('IMPORT SCHLIESSERDATEN'!CD91="_",-1,'IMPORT SCHLIESSERDATEN'!CA91))</f>
        <v>30</v>
      </c>
      <c r="AJ99" s="74">
        <f>IF('IMPORT SCHLIESSERDATEN'!CB91="V",9999,IF('IMPORT SCHLIESSERDATEN'!CD91="_",-1,'IMPORT SCHLIESSERDATEN'!CB91))</f>
        <v>55</v>
      </c>
      <c r="AK99" s="74">
        <f>IF('IMPORT SCHLIESSERDATEN'!CC91="V",9999,IF('IMPORT SCHLIESSERDATEN'!CC91="_",-1,'IMPORT SCHLIESSERDATEN'!CC91))</f>
        <v>18</v>
      </c>
      <c r="AL99" s="74">
        <f>IF('IMPORT SCHLIESSERDATEN'!CD91="_",-1,'IMPORT SCHLIESSERDATEN'!CD91)</f>
        <v>375</v>
      </c>
      <c r="AM99" s="74">
        <f>'IMPORT SCHLIESSERDATEN'!CH91</f>
        <v>101</v>
      </c>
      <c r="AN99" s="74">
        <f>IF('IMPORT SCHLIESSERDATEN'!CE91="V",9999,'IMPORT SCHLIESSERDATEN'!CE91)</f>
        <v>30</v>
      </c>
      <c r="AO99" s="74">
        <f>IF('IMPORT SCHLIESSERDATEN'!CK91="_",-1,'IMPORT SCHLIESSERDATEN'!CK91)</f>
        <v>166</v>
      </c>
      <c r="AP99" s="74">
        <f>IF('IMPORT SCHLIESSERDATEN'!$U91="",0,1)</f>
        <v>1</v>
      </c>
      <c r="AQ99" s="74">
        <f>IF('IMPORT SCHLIESSERDATEN'!$V91="",0,1)</f>
        <v>1</v>
      </c>
      <c r="AR99" s="74">
        <f>IF('IMPORT SCHLIESSERDATEN'!$W91="",0,1)</f>
        <v>1</v>
      </c>
      <c r="AS99" s="74">
        <f>IF('IMPORT SCHLIESSERDATEN'!$AA91="",0,1)</f>
        <v>1</v>
      </c>
      <c r="AT99" s="74">
        <f>IF('IMPORT SCHLIESSERDATEN'!$AD91="",0,1) + IF('IMPORT SCHLIESSERDATEN'!$AE91="",0,2)</f>
        <v>1</v>
      </c>
      <c r="AU99" s="74" t="str">
        <f>IF('IMPORT SCHLIESSERDATEN'!$X91="",IF('IMPORT SCHLIESSERDATEN'!$Y91="","","F"),"V")</f>
        <v>V</v>
      </c>
      <c r="AV99" s="74" t="str">
        <f>IF('IMPORT SCHLIESSERDATEN'!$AB91&lt;&gt;"","M",IF('IMPORT SCHLIESSERDATEN'!$AD91&lt;&gt;"",IF(ISERR(SEARCH("UVIBIS",'IMPORT SCHLIESSERDATEN'!$B91)),"R","B"),IF(OR('IMPORT SCHLIESSERDATEN'!$AC91&lt;&gt;"",'IMPORT SCHLIESSERDATEN'!$AE91&lt;&gt;""),"E","")))</f>
        <v>R</v>
      </c>
      <c r="AW99" s="82"/>
      <c r="AX99" s="67"/>
    </row>
    <row r="100" spans="1:50" x14ac:dyDescent="0.25">
      <c r="A100" s="67">
        <f>IFERROR(IF(C100&lt;&gt;"",MAX($A$2:$A99)+1,""),"")</f>
        <v>88</v>
      </c>
      <c r="B100" s="223">
        <f t="shared" si="1"/>
        <v>88</v>
      </c>
      <c r="C100" s="216" t="str">
        <f>IF(J100=1,SUBSTITUTE('IMPORT SCHLIESSERDATEN'!$B92," Gangfl.",""),IF(J100=2,SUBSTITUTE('IMPORT SCHLIESSERDATEN'!$B92," Standfl.",""),'IMPORT SCHLIESSERDATEN'!$B92))</f>
        <v>TS 98 GSR BG XEA EN 1-6</v>
      </c>
      <c r="D100" s="216" t="str">
        <f>IF('IMPORT SCHLIESSERDATEN'!$AF92&lt;&gt;"",IF(COUNTA('IMPORT SCHLIESSERDATEN'!$AN92:$AU92)&gt;0,"X","G"),IF('IMPORT SCHLIESSERDATEN'!$AG92&lt;&gt;"","S",IF('IMPORT SCHLIESSERDATEN'!$AH92&lt;&gt;"","I",IF('IMPORT SCHLIESSERDATEN'!$AI92&lt;&gt;"","B",IF('IMPORT SCHLIESSERDATEN'!$AJ92&lt;&gt;"","D","")))))</f>
        <v>X</v>
      </c>
      <c r="E100" s="248" t="str">
        <f>'IMPORT SCHLIESSERDATEN'!AK92 &amp; IF('IMPORT SCHLIESSERDATEN'!AL92="",""," "&amp; 'IMPORT SCHLIESSERDATEN'!AL92)</f>
        <v>98</v>
      </c>
      <c r="F100" s="74">
        <f>IFERROR(IF(D100="X",2^(MATCH("",'IMPORT SCHLIESSERDATEN'!$AN92:$AU92,-1)-1),IF(AV100="F",2^(MATCH("",'IMPORT SCHLIESSERDATEN'!$BH92:$BK92,-1)-1),2^(MATCH("",'IMPORT SCHLIESSERDATEN'!$AV92:$BG92,-1)-1))),0)</f>
        <v>32</v>
      </c>
      <c r="G100" s="74">
        <f>IF(AND('IMPORT SCHLIESSERDATEN'!$O92='IMPORT SCHLIESSERDATEN'!$R92,'IMPORT SCHLIESSERDATEN'!$O92&lt;&gt;"",'IMPORT SCHLIESSERDATEN'!$R92&lt;&gt;""),1,0)  +  IF(AND('IMPORT SCHLIESSERDATEN'!$P92='IMPORT SCHLIESSERDATEN'!$S92,'IMPORT SCHLIESSERDATEN'!$P92&lt;&gt;"",'IMPORT SCHLIESSERDATEN'!$S92&lt;&gt;""),2,0)   +  IF(AND('IMPORT SCHLIESSERDATEN'!$O92='IMPORT SCHLIESSERDATEN'!$S92,'IMPORT SCHLIESSERDATEN'!$O92&lt;&gt;"",'IMPORT SCHLIESSERDATEN'!$S92&lt;&gt;""),4,0)   +  IF(AND('IMPORT SCHLIESSERDATEN'!$P92='IMPORT SCHLIESSERDATEN'!$R92,'IMPORT SCHLIESSERDATEN'!$P92&lt;&gt;"",'IMPORT SCHLIESSERDATEN'!$R92&lt;&gt;""),8,0)   +  IF('IMPORT SCHLIESSERDATEN'!$Q92&lt;&gt;"",IF('IMPORT SCHLIESSERDATEN'!$R92&lt;&gt;"",32,0) + IF('IMPORT SCHLIESSERDATEN'!$S92&lt;&gt;"",64,0),0)  +  IF('IMPORT SCHLIESSERDATEN'!$T92&lt;&gt;"",IF('IMPORT SCHLIESSERDATEN'!$Q92&lt;&gt;"",128+256,128),0)</f>
        <v>9</v>
      </c>
      <c r="H100" s="74">
        <f>IF('IMPORT SCHLIESSERDATEN'!$H92="",0,1) + IF('IMPORT SCHLIESSERDATEN'!$I92="",0,2) + IF('IMPORT SCHLIESSERDATEN'!$J92="",0,4) + IF('IMPORT SCHLIESSERDATEN'!$K92="",0,8) + IF('IMPORT SCHLIESSERDATEN'!$L92="",0,16) + IF('IMPORT SCHLIESSERDATEN'!$M92="",0,32) + IF('IMPORT SCHLIESSERDATEN'!$N92="",0,64)</f>
        <v>63</v>
      </c>
      <c r="I100" s="74">
        <f>IF('IMPORT SCHLIESSERDATEN'!$D92="",0,1) + IF('IMPORT SCHLIESSERDATEN'!$E92="",0,2) + IF('IMPORT SCHLIESSERDATEN'!$E92="S",4,0)</f>
        <v>2</v>
      </c>
      <c r="J100" s="74">
        <f>IF(ISERR(FIND(" Gangfl.",'IMPORT SCHLIESSERDATEN'!$B92)),IF(ISERR(FIND(" Standfl.",'IMPORT SCHLIESSERDATEN'!$B92)),0,2),1)</f>
        <v>1</v>
      </c>
      <c r="K100" s="74">
        <f>'IMPORT SCHLIESSERDATEN'!CL92</f>
        <v>0</v>
      </c>
      <c r="L100" s="74">
        <f>'IMPORT SCHLIESSERDATEN'!CN92</f>
        <v>0</v>
      </c>
      <c r="M100" s="74">
        <f>IF('IMPORT SCHLIESSERDATEN'!CS92="wie TS",-1,'IMPORT SCHLIESSERDATEN'!CS92)</f>
        <v>0</v>
      </c>
      <c r="N100" s="74">
        <f>IF(M100&lt;0,-1,'IMPORT SCHLIESSERDATEN'!CU92)</f>
        <v>0</v>
      </c>
      <c r="O100" s="74">
        <f>IF('IMPORT SCHLIESSERDATEN'!CZ92="wie TS",-1,'IMPORT SCHLIESSERDATEN'!CZ92)</f>
        <v>0</v>
      </c>
      <c r="P100" s="74">
        <f>IF(O100&lt;0,-1,'IMPORT SCHLIESSERDATEN'!DB92)</f>
        <v>0</v>
      </c>
      <c r="Q100" s="74">
        <f>'IMPORT SCHLIESSERDATEN'!DG92</f>
        <v>108</v>
      </c>
      <c r="R100" s="74">
        <f>'IMPORT SCHLIESSERDATEN'!DI92</f>
        <v>17</v>
      </c>
      <c r="S100" s="74">
        <f>'IMPORT SCHLIESSERDATEN'!DN92</f>
        <v>108</v>
      </c>
      <c r="T100" s="74">
        <f>IF('IMPORT SCHLIESSERDATEN'!DP92="V",9999,'IMPORT SCHLIESSERDATEN'!DP92)</f>
        <v>9999</v>
      </c>
      <c r="U100" s="74">
        <f>'IMPORT SCHLIESSERDATEN'!BW92</f>
        <v>327</v>
      </c>
      <c r="V100" s="74">
        <f>'IMPORT SCHLIESSERDATEN'!BX92</f>
        <v>59</v>
      </c>
      <c r="W100" s="74">
        <f>'IMPORT SCHLIESSERDATEN'!BY92</f>
        <v>60</v>
      </c>
      <c r="X100" s="74">
        <f>'IMPORT SCHLIESSERDATEN'!CO92</f>
        <v>0</v>
      </c>
      <c r="Y100" s="74">
        <f>'IMPORT SCHLIESSERDATEN'!CQ92</f>
        <v>0</v>
      </c>
      <c r="Z100" s="74">
        <f>'IMPORT SCHLIESSERDATEN'!CV92</f>
        <v>0</v>
      </c>
      <c r="AA100" s="74">
        <f>'IMPORT SCHLIESSERDATEN'!CX92</f>
        <v>0</v>
      </c>
      <c r="AB100" s="74">
        <f>'IMPORT SCHLIESSERDATEN'!DC92</f>
        <v>0</v>
      </c>
      <c r="AC100" s="74">
        <f>'IMPORT SCHLIESSERDATEN'!DE92</f>
        <v>0</v>
      </c>
      <c r="AD100" s="74">
        <f>'IMPORT SCHLIESSERDATEN'!DJ92</f>
        <v>108</v>
      </c>
      <c r="AE100" s="74">
        <f>'IMPORT SCHLIESSERDATEN'!DL92</f>
        <v>0</v>
      </c>
      <c r="AF100" s="74">
        <f>'IMPORT SCHLIESSERDATEN'!DQ92</f>
        <v>108</v>
      </c>
      <c r="AG100" s="74">
        <f>IF('IMPORT SCHLIESSERDATEN'!DS92="V",9999,'IMPORT SCHLIESSERDATEN'!DS92)</f>
        <v>9999</v>
      </c>
      <c r="AH100" s="74">
        <f>IF('IMPORT SCHLIESSERDATEN'!BZ92="V",9999,IF('IMPORT SCHLIESSERDATEN'!CD92="_",-1,'IMPORT SCHLIESSERDATEN'!BZ92))</f>
        <v>9999</v>
      </c>
      <c r="AI100" s="74">
        <f>IF('IMPORT SCHLIESSERDATEN'!CA92="V",9999,IF('IMPORT SCHLIESSERDATEN'!CD92="_",-1,'IMPORT SCHLIESSERDATEN'!CA92))</f>
        <v>30</v>
      </c>
      <c r="AJ100" s="74">
        <f>IF('IMPORT SCHLIESSERDATEN'!CB92="V",9999,IF('IMPORT SCHLIESSERDATEN'!CD92="_",-1,'IMPORT SCHLIESSERDATEN'!CB92))</f>
        <v>35</v>
      </c>
      <c r="AK100" s="74">
        <f>IF('IMPORT SCHLIESSERDATEN'!CC92="V",9999,IF('IMPORT SCHLIESSERDATEN'!CC92="_",-1,'IMPORT SCHLIESSERDATEN'!CC92))</f>
        <v>18</v>
      </c>
      <c r="AL100" s="74">
        <f>IF('IMPORT SCHLIESSERDATEN'!CD92="_",-1,'IMPORT SCHLIESSERDATEN'!CD92)</f>
        <v>375</v>
      </c>
      <c r="AM100" s="74">
        <f>'IMPORT SCHLIESSERDATEN'!CH92</f>
        <v>101</v>
      </c>
      <c r="AN100" s="74">
        <f>IF('IMPORT SCHLIESSERDATEN'!CE92="V",9999,'IMPORT SCHLIESSERDATEN'!CE92)</f>
        <v>30</v>
      </c>
      <c r="AO100" s="74">
        <f>IF('IMPORT SCHLIESSERDATEN'!CK92="_",-1,'IMPORT SCHLIESSERDATEN'!CK92)</f>
        <v>53</v>
      </c>
      <c r="AP100" s="74">
        <f>IF('IMPORT SCHLIESSERDATEN'!$U92="",0,1)</f>
        <v>1</v>
      </c>
      <c r="AQ100" s="74">
        <f>IF('IMPORT SCHLIESSERDATEN'!$V92="",0,1)</f>
        <v>1</v>
      </c>
      <c r="AR100" s="74">
        <f>IF('IMPORT SCHLIESSERDATEN'!$W92="",0,1)</f>
        <v>1</v>
      </c>
      <c r="AS100" s="74">
        <f>IF('IMPORT SCHLIESSERDATEN'!$AA92="",0,1)</f>
        <v>1</v>
      </c>
      <c r="AT100" s="74">
        <f>IF('IMPORT SCHLIESSERDATEN'!$AD92="",0,1) + IF('IMPORT SCHLIESSERDATEN'!$AE92="",0,2)</f>
        <v>0</v>
      </c>
      <c r="AU100" s="74" t="str">
        <f>IF('IMPORT SCHLIESSERDATEN'!$X92="",IF('IMPORT SCHLIESSERDATEN'!$Y92="","","F"),"V")</f>
        <v>V</v>
      </c>
      <c r="AV100" s="74" t="str">
        <f>IF('IMPORT SCHLIESSERDATEN'!$AB92&lt;&gt;"","M",IF('IMPORT SCHLIESSERDATEN'!$AD92&lt;&gt;"",IF(ISERR(SEARCH("UVIBIS",'IMPORT SCHLIESSERDATEN'!$B92)),"R","B"),IF(OR('IMPORT SCHLIESSERDATEN'!$AC92&lt;&gt;"",'IMPORT SCHLIESSERDATEN'!$AE92&lt;&gt;""),"E","")))</f>
        <v/>
      </c>
      <c r="AW100" s="82"/>
      <c r="AX100" s="67"/>
    </row>
    <row r="101" spans="1:50" x14ac:dyDescent="0.25">
      <c r="A101" s="67">
        <f>IFERROR(IF(C101&lt;&gt;"",MAX($A$2:$A100)+1,""),"")</f>
        <v>89</v>
      </c>
      <c r="B101" s="223">
        <f t="shared" si="1"/>
        <v>89</v>
      </c>
      <c r="C101" s="216" t="str">
        <f>IF(J101=1,SUBSTITUTE('IMPORT SCHLIESSERDATEN'!$B93," Gangfl.",""),IF(J101=2,SUBSTITUTE('IMPORT SCHLIESSERDATEN'!$B93," Standfl.",""),'IMPORT SCHLIESSERDATEN'!$B93))</f>
        <v>TS 98 GSR-EMF BG XEA EN 1-6</v>
      </c>
      <c r="D101" s="216" t="str">
        <f>IF('IMPORT SCHLIESSERDATEN'!$AF93&lt;&gt;"",IF(COUNTA('IMPORT SCHLIESSERDATEN'!$AN93:$AU93)&gt;0,"X","G"),IF('IMPORT SCHLIESSERDATEN'!$AG93&lt;&gt;"","S",IF('IMPORT SCHLIESSERDATEN'!$AH93&lt;&gt;"","I",IF('IMPORT SCHLIESSERDATEN'!$AI93&lt;&gt;"","B",IF('IMPORT SCHLIESSERDATEN'!$AJ93&lt;&gt;"","D","")))))</f>
        <v>X</v>
      </c>
      <c r="E101" s="248" t="str">
        <f>'IMPORT SCHLIESSERDATEN'!AK93 &amp; IF('IMPORT SCHLIESSERDATEN'!AL93="",""," "&amp; 'IMPORT SCHLIESSERDATEN'!AL93)</f>
        <v>98</v>
      </c>
      <c r="F101" s="74">
        <f>IFERROR(IF(D101="X",2^(MATCH("",'IMPORT SCHLIESSERDATEN'!$AN93:$AU93,-1)-1),IF(AV101="F",2^(MATCH("",'IMPORT SCHLIESSERDATEN'!$BH93:$BK93,-1)-1),2^(MATCH("",'IMPORT SCHLIESSERDATEN'!$AV93:$BG93,-1)-1))),0)</f>
        <v>64</v>
      </c>
      <c r="G101" s="74">
        <f>IF(AND('IMPORT SCHLIESSERDATEN'!$O93='IMPORT SCHLIESSERDATEN'!$R93,'IMPORT SCHLIESSERDATEN'!$O93&lt;&gt;"",'IMPORT SCHLIESSERDATEN'!$R93&lt;&gt;""),1,0)  +  IF(AND('IMPORT SCHLIESSERDATEN'!$P93='IMPORT SCHLIESSERDATEN'!$S93,'IMPORT SCHLIESSERDATEN'!$P93&lt;&gt;"",'IMPORT SCHLIESSERDATEN'!$S93&lt;&gt;""),2,0)   +  IF(AND('IMPORT SCHLIESSERDATEN'!$O93='IMPORT SCHLIESSERDATEN'!$S93,'IMPORT SCHLIESSERDATEN'!$O93&lt;&gt;"",'IMPORT SCHLIESSERDATEN'!$S93&lt;&gt;""),4,0)   +  IF(AND('IMPORT SCHLIESSERDATEN'!$P93='IMPORT SCHLIESSERDATEN'!$R93,'IMPORT SCHLIESSERDATEN'!$P93&lt;&gt;"",'IMPORT SCHLIESSERDATEN'!$R93&lt;&gt;""),8,0)   +  IF('IMPORT SCHLIESSERDATEN'!$Q93&lt;&gt;"",IF('IMPORT SCHLIESSERDATEN'!$R93&lt;&gt;"",32,0) + IF('IMPORT SCHLIESSERDATEN'!$S93&lt;&gt;"",64,0),0)  +  IF('IMPORT SCHLIESSERDATEN'!$T93&lt;&gt;"",IF('IMPORT SCHLIESSERDATEN'!$Q93&lt;&gt;"",128+256,128),0)</f>
        <v>9</v>
      </c>
      <c r="H101" s="74">
        <f>IF('IMPORT SCHLIESSERDATEN'!$H93="",0,1) + IF('IMPORT SCHLIESSERDATEN'!$I93="",0,2) + IF('IMPORT SCHLIESSERDATEN'!$J93="",0,4) + IF('IMPORT SCHLIESSERDATEN'!$K93="",0,8) + IF('IMPORT SCHLIESSERDATEN'!$L93="",0,16) + IF('IMPORT SCHLIESSERDATEN'!$M93="",0,32) + IF('IMPORT SCHLIESSERDATEN'!$N93="",0,64)</f>
        <v>63</v>
      </c>
      <c r="I101" s="74">
        <f>IF('IMPORT SCHLIESSERDATEN'!$D93="",0,1) + IF('IMPORT SCHLIESSERDATEN'!$E93="",0,2) + IF('IMPORT SCHLIESSERDATEN'!$E93="S",4,0)</f>
        <v>2</v>
      </c>
      <c r="J101" s="74">
        <f>IF(ISERR(FIND(" Gangfl.",'IMPORT SCHLIESSERDATEN'!$B93)),IF(ISERR(FIND(" Standfl.",'IMPORT SCHLIESSERDATEN'!$B93)),0,2),1)</f>
        <v>1</v>
      </c>
      <c r="K101" s="74">
        <f>'IMPORT SCHLIESSERDATEN'!CL93</f>
        <v>0</v>
      </c>
      <c r="L101" s="74">
        <f>'IMPORT SCHLIESSERDATEN'!CN93</f>
        <v>0</v>
      </c>
      <c r="M101" s="74">
        <f>IF('IMPORT SCHLIESSERDATEN'!CS93="wie TS",-1,'IMPORT SCHLIESSERDATEN'!CS93)</f>
        <v>0</v>
      </c>
      <c r="N101" s="74">
        <f>IF(M101&lt;0,-1,'IMPORT SCHLIESSERDATEN'!CU93)</f>
        <v>0</v>
      </c>
      <c r="O101" s="74">
        <f>IF('IMPORT SCHLIESSERDATEN'!CZ93="wie TS",-1,'IMPORT SCHLIESSERDATEN'!CZ93)</f>
        <v>0</v>
      </c>
      <c r="P101" s="74">
        <f>IF(O101&lt;0,-1,'IMPORT SCHLIESSERDATEN'!DB93)</f>
        <v>0</v>
      </c>
      <c r="Q101" s="74">
        <f>'IMPORT SCHLIESSERDATEN'!DG93</f>
        <v>108</v>
      </c>
      <c r="R101" s="74">
        <f>'IMPORT SCHLIESSERDATEN'!DI93</f>
        <v>17</v>
      </c>
      <c r="S101" s="74">
        <f>'IMPORT SCHLIESSERDATEN'!DN93</f>
        <v>108</v>
      </c>
      <c r="T101" s="74">
        <f>IF('IMPORT SCHLIESSERDATEN'!DP93="V",9999,'IMPORT SCHLIESSERDATEN'!DP93)</f>
        <v>9999</v>
      </c>
      <c r="U101" s="74">
        <f>'IMPORT SCHLIESSERDATEN'!BW93</f>
        <v>327</v>
      </c>
      <c r="V101" s="74">
        <f>'IMPORT SCHLIESSERDATEN'!BX93</f>
        <v>59</v>
      </c>
      <c r="W101" s="74">
        <f>'IMPORT SCHLIESSERDATEN'!BY93</f>
        <v>60</v>
      </c>
      <c r="X101" s="74">
        <f>'IMPORT SCHLIESSERDATEN'!CO93</f>
        <v>0</v>
      </c>
      <c r="Y101" s="74">
        <f>'IMPORT SCHLIESSERDATEN'!CQ93</f>
        <v>0</v>
      </c>
      <c r="Z101" s="74">
        <f>'IMPORT SCHLIESSERDATEN'!CV93</f>
        <v>0</v>
      </c>
      <c r="AA101" s="74">
        <f>'IMPORT SCHLIESSERDATEN'!CX93</f>
        <v>0</v>
      </c>
      <c r="AB101" s="74">
        <f>'IMPORT SCHLIESSERDATEN'!DC93</f>
        <v>0</v>
      </c>
      <c r="AC101" s="74">
        <f>'IMPORT SCHLIESSERDATEN'!DE93</f>
        <v>0</v>
      </c>
      <c r="AD101" s="74">
        <f>'IMPORT SCHLIESSERDATEN'!DJ93</f>
        <v>108</v>
      </c>
      <c r="AE101" s="74">
        <f>'IMPORT SCHLIESSERDATEN'!DL93</f>
        <v>0</v>
      </c>
      <c r="AF101" s="74">
        <f>'IMPORT SCHLIESSERDATEN'!DQ93</f>
        <v>108</v>
      </c>
      <c r="AG101" s="74">
        <f>IF('IMPORT SCHLIESSERDATEN'!DS93="V",9999,'IMPORT SCHLIESSERDATEN'!DS93)</f>
        <v>9999</v>
      </c>
      <c r="AH101" s="74">
        <f>IF('IMPORT SCHLIESSERDATEN'!BZ93="V",9999,IF('IMPORT SCHLIESSERDATEN'!CD93="_",-1,'IMPORT SCHLIESSERDATEN'!BZ93))</f>
        <v>9999</v>
      </c>
      <c r="AI101" s="74">
        <f>IF('IMPORT SCHLIESSERDATEN'!CA93="V",9999,IF('IMPORT SCHLIESSERDATEN'!CD93="_",-1,'IMPORT SCHLIESSERDATEN'!CA93))</f>
        <v>30</v>
      </c>
      <c r="AJ101" s="74">
        <f>IF('IMPORT SCHLIESSERDATEN'!CB93="V",9999,IF('IMPORT SCHLIESSERDATEN'!CD93="_",-1,'IMPORT SCHLIESSERDATEN'!CB93))</f>
        <v>35</v>
      </c>
      <c r="AK101" s="74">
        <f>IF('IMPORT SCHLIESSERDATEN'!CC93="V",9999,IF('IMPORT SCHLIESSERDATEN'!CC93="_",-1,'IMPORT SCHLIESSERDATEN'!CC93))</f>
        <v>18</v>
      </c>
      <c r="AL101" s="74">
        <f>IF('IMPORT SCHLIESSERDATEN'!CD93="_",-1,'IMPORT SCHLIESSERDATEN'!CD93)</f>
        <v>375</v>
      </c>
      <c r="AM101" s="74">
        <f>'IMPORT SCHLIESSERDATEN'!CH93</f>
        <v>101</v>
      </c>
      <c r="AN101" s="74">
        <f>IF('IMPORT SCHLIESSERDATEN'!CE93="V",9999,'IMPORT SCHLIESSERDATEN'!CE93)</f>
        <v>30</v>
      </c>
      <c r="AO101" s="74">
        <f>IF('IMPORT SCHLIESSERDATEN'!CK93="_",-1,'IMPORT SCHLIESSERDATEN'!CK93)</f>
        <v>166</v>
      </c>
      <c r="AP101" s="74">
        <f>IF('IMPORT SCHLIESSERDATEN'!$U93="",0,1)</f>
        <v>1</v>
      </c>
      <c r="AQ101" s="74">
        <f>IF('IMPORT SCHLIESSERDATEN'!$V93="",0,1)</f>
        <v>1</v>
      </c>
      <c r="AR101" s="74">
        <f>IF('IMPORT SCHLIESSERDATEN'!$W93="",0,1)</f>
        <v>1</v>
      </c>
      <c r="AS101" s="74">
        <f>IF('IMPORT SCHLIESSERDATEN'!$AA93="",0,1)</f>
        <v>1</v>
      </c>
      <c r="AT101" s="74">
        <f>IF('IMPORT SCHLIESSERDATEN'!$AD93="",0,1) + IF('IMPORT SCHLIESSERDATEN'!$AE93="",0,2)</f>
        <v>2</v>
      </c>
      <c r="AU101" s="74" t="str">
        <f>IF('IMPORT SCHLIESSERDATEN'!$X93="",IF('IMPORT SCHLIESSERDATEN'!$Y93="","","F"),"V")</f>
        <v>V</v>
      </c>
      <c r="AV101" s="74" t="str">
        <f>IF('IMPORT SCHLIESSERDATEN'!$AB93&lt;&gt;"","M",IF('IMPORT SCHLIESSERDATEN'!$AD93&lt;&gt;"",IF(ISERR(SEARCH("UVIBIS",'IMPORT SCHLIESSERDATEN'!$B93)),"R","B"),IF(OR('IMPORT SCHLIESSERDATEN'!$AC93&lt;&gt;"",'IMPORT SCHLIESSERDATEN'!$AE93&lt;&gt;""),"E","")))</f>
        <v>E</v>
      </c>
      <c r="AW101" s="82"/>
      <c r="AX101" s="67"/>
    </row>
    <row r="102" spans="1:50" x14ac:dyDescent="0.25">
      <c r="A102" s="67">
        <f>IFERROR(IF(C102&lt;&gt;"",MAX($A$2:$A101)+1,""),"")</f>
        <v>90</v>
      </c>
      <c r="B102" s="223">
        <f t="shared" si="1"/>
        <v>90</v>
      </c>
      <c r="C102" s="216" t="str">
        <f>IF(J102=1,SUBSTITUTE('IMPORT SCHLIESSERDATEN'!$B94," Gangfl.",""),IF(J102=2,SUBSTITUTE('IMPORT SCHLIESSERDATEN'!$B94," Standfl.",""),'IMPORT SCHLIESSERDATEN'!$B94))</f>
        <v>TS 98 GSR-EMR BG XEA EN 1-6</v>
      </c>
      <c r="D102" s="216" t="str">
        <f>IF('IMPORT SCHLIESSERDATEN'!$AF94&lt;&gt;"",IF(COUNTA('IMPORT SCHLIESSERDATEN'!$AN94:$AU94)&gt;0,"X","G"),IF('IMPORT SCHLIESSERDATEN'!$AG94&lt;&gt;"","S",IF('IMPORT SCHLIESSERDATEN'!$AH94&lt;&gt;"","I",IF('IMPORT SCHLIESSERDATEN'!$AI94&lt;&gt;"","B",IF('IMPORT SCHLIESSERDATEN'!$AJ94&lt;&gt;"","D","")))))</f>
        <v>X</v>
      </c>
      <c r="E102" s="248" t="str">
        <f>'IMPORT SCHLIESSERDATEN'!AK94 &amp; IF('IMPORT SCHLIESSERDATEN'!AL94="",""," "&amp; 'IMPORT SCHLIESSERDATEN'!AL94)</f>
        <v>98</v>
      </c>
      <c r="F102" s="74">
        <f>IFERROR(IF(D102="X",2^(MATCH("",'IMPORT SCHLIESSERDATEN'!$AN94:$AU94,-1)-1),IF(AV102="F",2^(MATCH("",'IMPORT SCHLIESSERDATEN'!$BH94:$BK94,-1)-1),2^(MATCH("",'IMPORT SCHLIESSERDATEN'!$AV94:$BG94,-1)-1))),0)</f>
        <v>128</v>
      </c>
      <c r="G102" s="74">
        <f>IF(AND('IMPORT SCHLIESSERDATEN'!$O94='IMPORT SCHLIESSERDATEN'!$R94,'IMPORT SCHLIESSERDATEN'!$O94&lt;&gt;"",'IMPORT SCHLIESSERDATEN'!$R94&lt;&gt;""),1,0)  +  IF(AND('IMPORT SCHLIESSERDATEN'!$P94='IMPORT SCHLIESSERDATEN'!$S94,'IMPORT SCHLIESSERDATEN'!$P94&lt;&gt;"",'IMPORT SCHLIESSERDATEN'!$S94&lt;&gt;""),2,0)   +  IF(AND('IMPORT SCHLIESSERDATEN'!$O94='IMPORT SCHLIESSERDATEN'!$S94,'IMPORT SCHLIESSERDATEN'!$O94&lt;&gt;"",'IMPORT SCHLIESSERDATEN'!$S94&lt;&gt;""),4,0)   +  IF(AND('IMPORT SCHLIESSERDATEN'!$P94='IMPORT SCHLIESSERDATEN'!$R94,'IMPORT SCHLIESSERDATEN'!$P94&lt;&gt;"",'IMPORT SCHLIESSERDATEN'!$R94&lt;&gt;""),8,0)   +  IF('IMPORT SCHLIESSERDATEN'!$Q94&lt;&gt;"",IF('IMPORT SCHLIESSERDATEN'!$R94&lt;&gt;"",32,0) + IF('IMPORT SCHLIESSERDATEN'!$S94&lt;&gt;"",64,0),0)  +  IF('IMPORT SCHLIESSERDATEN'!$T94&lt;&gt;"",IF('IMPORT SCHLIESSERDATEN'!$Q94&lt;&gt;"",128+256,128),0)</f>
        <v>9</v>
      </c>
      <c r="H102" s="74">
        <f>IF('IMPORT SCHLIESSERDATEN'!$H94="",0,1) + IF('IMPORT SCHLIESSERDATEN'!$I94="",0,2) + IF('IMPORT SCHLIESSERDATEN'!$J94="",0,4) + IF('IMPORT SCHLIESSERDATEN'!$K94="",0,8) + IF('IMPORT SCHLIESSERDATEN'!$L94="",0,16) + IF('IMPORT SCHLIESSERDATEN'!$M94="",0,32) + IF('IMPORT SCHLIESSERDATEN'!$N94="",0,64)</f>
        <v>63</v>
      </c>
      <c r="I102" s="74">
        <f>IF('IMPORT SCHLIESSERDATEN'!$D94="",0,1) + IF('IMPORT SCHLIESSERDATEN'!$E94="",0,2) + IF('IMPORT SCHLIESSERDATEN'!$E94="S",4,0)</f>
        <v>2</v>
      </c>
      <c r="J102" s="74">
        <f>IF(ISERR(FIND(" Gangfl.",'IMPORT SCHLIESSERDATEN'!$B94)),IF(ISERR(FIND(" Standfl.",'IMPORT SCHLIESSERDATEN'!$B94)),0,2),1)</f>
        <v>1</v>
      </c>
      <c r="K102" s="74">
        <f>'IMPORT SCHLIESSERDATEN'!CL94</f>
        <v>0</v>
      </c>
      <c r="L102" s="74">
        <f>'IMPORT SCHLIESSERDATEN'!CN94</f>
        <v>0</v>
      </c>
      <c r="M102" s="74">
        <f>IF('IMPORT SCHLIESSERDATEN'!CS94="wie TS",-1,'IMPORT SCHLIESSERDATEN'!CS94)</f>
        <v>0</v>
      </c>
      <c r="N102" s="74">
        <f>IF(M102&lt;0,-1,'IMPORT SCHLIESSERDATEN'!CU94)</f>
        <v>0</v>
      </c>
      <c r="O102" s="74">
        <f>IF('IMPORT SCHLIESSERDATEN'!CZ94="wie TS",-1,'IMPORT SCHLIESSERDATEN'!CZ94)</f>
        <v>0</v>
      </c>
      <c r="P102" s="74">
        <f>IF(O102&lt;0,-1,'IMPORT SCHLIESSERDATEN'!DB94)</f>
        <v>0</v>
      </c>
      <c r="Q102" s="74">
        <f>'IMPORT SCHLIESSERDATEN'!DG94</f>
        <v>108</v>
      </c>
      <c r="R102" s="74">
        <f>'IMPORT SCHLIESSERDATEN'!DI94</f>
        <v>17</v>
      </c>
      <c r="S102" s="74">
        <f>'IMPORT SCHLIESSERDATEN'!DN94</f>
        <v>108</v>
      </c>
      <c r="T102" s="74">
        <f>IF('IMPORT SCHLIESSERDATEN'!DP94="V",9999,'IMPORT SCHLIESSERDATEN'!DP94)</f>
        <v>9999</v>
      </c>
      <c r="U102" s="74">
        <f>'IMPORT SCHLIESSERDATEN'!BW94</f>
        <v>327</v>
      </c>
      <c r="V102" s="74">
        <f>'IMPORT SCHLIESSERDATEN'!BX94</f>
        <v>59</v>
      </c>
      <c r="W102" s="74">
        <f>'IMPORT SCHLIESSERDATEN'!BY94</f>
        <v>60</v>
      </c>
      <c r="X102" s="74">
        <f>'IMPORT SCHLIESSERDATEN'!CO94</f>
        <v>0</v>
      </c>
      <c r="Y102" s="74">
        <f>'IMPORT SCHLIESSERDATEN'!CQ94</f>
        <v>0</v>
      </c>
      <c r="Z102" s="74">
        <f>'IMPORT SCHLIESSERDATEN'!CV94</f>
        <v>0</v>
      </c>
      <c r="AA102" s="74">
        <f>'IMPORT SCHLIESSERDATEN'!CX94</f>
        <v>0</v>
      </c>
      <c r="AB102" s="74">
        <f>'IMPORT SCHLIESSERDATEN'!DC94</f>
        <v>0</v>
      </c>
      <c r="AC102" s="74">
        <f>'IMPORT SCHLIESSERDATEN'!DE94</f>
        <v>0</v>
      </c>
      <c r="AD102" s="74">
        <f>'IMPORT SCHLIESSERDATEN'!DJ94</f>
        <v>108</v>
      </c>
      <c r="AE102" s="74">
        <f>'IMPORT SCHLIESSERDATEN'!DL94</f>
        <v>0</v>
      </c>
      <c r="AF102" s="74">
        <f>'IMPORT SCHLIESSERDATEN'!DQ94</f>
        <v>108</v>
      </c>
      <c r="AG102" s="74">
        <f>IF('IMPORT SCHLIESSERDATEN'!DS94="V",9999,'IMPORT SCHLIESSERDATEN'!DS94)</f>
        <v>9999</v>
      </c>
      <c r="AH102" s="74">
        <f>IF('IMPORT SCHLIESSERDATEN'!BZ94="V",9999,IF('IMPORT SCHLIESSERDATEN'!CD94="_",-1,'IMPORT SCHLIESSERDATEN'!BZ94))</f>
        <v>9999</v>
      </c>
      <c r="AI102" s="74">
        <f>IF('IMPORT SCHLIESSERDATEN'!CA94="V",9999,IF('IMPORT SCHLIESSERDATEN'!CD94="_",-1,'IMPORT SCHLIESSERDATEN'!CA94))</f>
        <v>30</v>
      </c>
      <c r="AJ102" s="74">
        <f>IF('IMPORT SCHLIESSERDATEN'!CB94="V",9999,IF('IMPORT SCHLIESSERDATEN'!CD94="_",-1,'IMPORT SCHLIESSERDATEN'!CB94))</f>
        <v>55</v>
      </c>
      <c r="AK102" s="74">
        <f>IF('IMPORT SCHLIESSERDATEN'!CC94="V",9999,IF('IMPORT SCHLIESSERDATEN'!CC94="_",-1,'IMPORT SCHLIESSERDATEN'!CC94))</f>
        <v>18</v>
      </c>
      <c r="AL102" s="74">
        <f>IF('IMPORT SCHLIESSERDATEN'!CD94="_",-1,'IMPORT SCHLIESSERDATEN'!CD94)</f>
        <v>375</v>
      </c>
      <c r="AM102" s="74">
        <f>'IMPORT SCHLIESSERDATEN'!CH94</f>
        <v>101</v>
      </c>
      <c r="AN102" s="74">
        <f>IF('IMPORT SCHLIESSERDATEN'!CE94="V",9999,'IMPORT SCHLIESSERDATEN'!CE94)</f>
        <v>30</v>
      </c>
      <c r="AO102" s="74">
        <f>IF('IMPORT SCHLIESSERDATEN'!CK94="_",-1,'IMPORT SCHLIESSERDATEN'!CK94)</f>
        <v>166</v>
      </c>
      <c r="AP102" s="74">
        <f>IF('IMPORT SCHLIESSERDATEN'!$U94="",0,1)</f>
        <v>1</v>
      </c>
      <c r="AQ102" s="74">
        <f>IF('IMPORT SCHLIESSERDATEN'!$V94="",0,1)</f>
        <v>1</v>
      </c>
      <c r="AR102" s="74">
        <f>IF('IMPORT SCHLIESSERDATEN'!$W94="",0,1)</f>
        <v>1</v>
      </c>
      <c r="AS102" s="74">
        <f>IF('IMPORT SCHLIESSERDATEN'!$AA94="",0,1)</f>
        <v>1</v>
      </c>
      <c r="AT102" s="74">
        <f>IF('IMPORT SCHLIESSERDATEN'!$AD94="",0,1) + IF('IMPORT SCHLIESSERDATEN'!$AE94="",0,2)</f>
        <v>1</v>
      </c>
      <c r="AU102" s="74" t="str">
        <f>IF('IMPORT SCHLIESSERDATEN'!$X94="",IF('IMPORT SCHLIESSERDATEN'!$Y94="","","F"),"V")</f>
        <v>V</v>
      </c>
      <c r="AV102" s="74" t="str">
        <f>IF('IMPORT SCHLIESSERDATEN'!$AB94&lt;&gt;"","M",IF('IMPORT SCHLIESSERDATEN'!$AD94&lt;&gt;"",IF(ISERR(SEARCH("UVIBIS",'IMPORT SCHLIESSERDATEN'!$B94)),"R","B"),IF(OR('IMPORT SCHLIESSERDATEN'!$AC94&lt;&gt;"",'IMPORT SCHLIESSERDATEN'!$AE94&lt;&gt;""),"E","")))</f>
        <v>R</v>
      </c>
      <c r="AW102" s="82"/>
      <c r="AX102" s="67"/>
    </row>
    <row r="103" spans="1:50" x14ac:dyDescent="0.25">
      <c r="A103" s="67">
        <f>IFERROR(IF(C103&lt;&gt;"",MAX($A$2:$A102)+1,""),"")</f>
        <v>91</v>
      </c>
      <c r="B103" s="223">
        <f t="shared" si="1"/>
        <v>91</v>
      </c>
      <c r="C103" s="216" t="str">
        <f>IF(J103=1,SUBSTITUTE('IMPORT SCHLIESSERDATEN'!$B95," Gangfl.",""),IF(J103=2,SUBSTITUTE('IMPORT SCHLIESSERDATEN'!$B95," Standfl.",""),'IMPORT SCHLIESSERDATEN'!$B95))</f>
        <v>TS 98 GSR BG XEA EN 1-6</v>
      </c>
      <c r="D103" s="216" t="str">
        <f>IF('IMPORT SCHLIESSERDATEN'!$AF95&lt;&gt;"",IF(COUNTA('IMPORT SCHLIESSERDATEN'!$AN95:$AU95)&gt;0,"X","G"),IF('IMPORT SCHLIESSERDATEN'!$AG95&lt;&gt;"","S",IF('IMPORT SCHLIESSERDATEN'!$AH95&lt;&gt;"","I",IF('IMPORT SCHLIESSERDATEN'!$AI95&lt;&gt;"","B",IF('IMPORT SCHLIESSERDATEN'!$AJ95&lt;&gt;"","D","")))))</f>
        <v>X</v>
      </c>
      <c r="E103" s="248" t="str">
        <f>'IMPORT SCHLIESSERDATEN'!AK95 &amp; IF('IMPORT SCHLIESSERDATEN'!AL95="",""," "&amp; 'IMPORT SCHLIESSERDATEN'!AL95)</f>
        <v>98</v>
      </c>
      <c r="F103" s="74">
        <f>IFERROR(IF(D103="X",2^(MATCH("",'IMPORT SCHLIESSERDATEN'!$AN95:$AU95,-1)-1),IF(AV103="F",2^(MATCH("",'IMPORT SCHLIESSERDATEN'!$BH95:$BK95,-1)-1),2^(MATCH("",'IMPORT SCHLIESSERDATEN'!$AV95:$BG95,-1)-1))),0)</f>
        <v>32</v>
      </c>
      <c r="G103" s="74">
        <f>IF(AND('IMPORT SCHLIESSERDATEN'!$O95='IMPORT SCHLIESSERDATEN'!$R95,'IMPORT SCHLIESSERDATEN'!$O95&lt;&gt;"",'IMPORT SCHLIESSERDATEN'!$R95&lt;&gt;""),1,0)  +  IF(AND('IMPORT SCHLIESSERDATEN'!$P95='IMPORT SCHLIESSERDATEN'!$S95,'IMPORT SCHLIESSERDATEN'!$P95&lt;&gt;"",'IMPORT SCHLIESSERDATEN'!$S95&lt;&gt;""),2,0)   +  IF(AND('IMPORT SCHLIESSERDATEN'!$O95='IMPORT SCHLIESSERDATEN'!$S95,'IMPORT SCHLIESSERDATEN'!$O95&lt;&gt;"",'IMPORT SCHLIESSERDATEN'!$S95&lt;&gt;""),4,0)   +  IF(AND('IMPORT SCHLIESSERDATEN'!$P95='IMPORT SCHLIESSERDATEN'!$R95,'IMPORT SCHLIESSERDATEN'!$P95&lt;&gt;"",'IMPORT SCHLIESSERDATEN'!$R95&lt;&gt;""),8,0)   +  IF('IMPORT SCHLIESSERDATEN'!$Q95&lt;&gt;"",IF('IMPORT SCHLIESSERDATEN'!$R95&lt;&gt;"",32,0) + IF('IMPORT SCHLIESSERDATEN'!$S95&lt;&gt;"",64,0),0)  +  IF('IMPORT SCHLIESSERDATEN'!$T95&lt;&gt;"",IF('IMPORT SCHLIESSERDATEN'!$Q95&lt;&gt;"",128+256,128),0)</f>
        <v>9</v>
      </c>
      <c r="H103" s="74">
        <f>IF('IMPORT SCHLIESSERDATEN'!$H95="",0,1) + IF('IMPORT SCHLIESSERDATEN'!$I95="",0,2) + IF('IMPORT SCHLIESSERDATEN'!$J95="",0,4) + IF('IMPORT SCHLIESSERDATEN'!$K95="",0,8) + IF('IMPORT SCHLIESSERDATEN'!$L95="",0,16) + IF('IMPORT SCHLIESSERDATEN'!$M95="",0,32) + IF('IMPORT SCHLIESSERDATEN'!$N95="",0,64)</f>
        <v>63</v>
      </c>
      <c r="I103" s="74">
        <f>IF('IMPORT SCHLIESSERDATEN'!$D95="",0,1) + IF('IMPORT SCHLIESSERDATEN'!$E95="",0,2) + IF('IMPORT SCHLIESSERDATEN'!$E95="S",4,0)</f>
        <v>2</v>
      </c>
      <c r="J103" s="74">
        <f>IF(ISERR(FIND(" Gangfl.",'IMPORT SCHLIESSERDATEN'!$B95)),IF(ISERR(FIND(" Standfl.",'IMPORT SCHLIESSERDATEN'!$B95)),0,2),1)</f>
        <v>2</v>
      </c>
      <c r="K103" s="74">
        <f>'IMPORT SCHLIESSERDATEN'!CL95</f>
        <v>0</v>
      </c>
      <c r="L103" s="74">
        <f>'IMPORT SCHLIESSERDATEN'!CN95</f>
        <v>0</v>
      </c>
      <c r="M103" s="74">
        <f>IF('IMPORT SCHLIESSERDATEN'!CS95="wie TS",-1,'IMPORT SCHLIESSERDATEN'!CS95)</f>
        <v>0</v>
      </c>
      <c r="N103" s="74">
        <f>IF(M103&lt;0,-1,'IMPORT SCHLIESSERDATEN'!CU95)</f>
        <v>0</v>
      </c>
      <c r="O103" s="74">
        <f>IF('IMPORT SCHLIESSERDATEN'!CZ95="wie TS",-1,'IMPORT SCHLIESSERDATEN'!CZ95)</f>
        <v>0</v>
      </c>
      <c r="P103" s="74">
        <f>IF(O103&lt;0,-1,'IMPORT SCHLIESSERDATEN'!DB95)</f>
        <v>0</v>
      </c>
      <c r="Q103" s="74">
        <f>'IMPORT SCHLIESSERDATEN'!DG95</f>
        <v>40</v>
      </c>
      <c r="R103" s="74">
        <f>'IMPORT SCHLIESSERDATEN'!DI95</f>
        <v>17</v>
      </c>
      <c r="S103" s="74">
        <f>'IMPORT SCHLIESSERDATEN'!DN95</f>
        <v>40</v>
      </c>
      <c r="T103" s="74">
        <f>IF('IMPORT SCHLIESSERDATEN'!DP95="V",9999,'IMPORT SCHLIESSERDATEN'!DP95)</f>
        <v>9999</v>
      </c>
      <c r="U103" s="74">
        <f>'IMPORT SCHLIESSERDATEN'!BW95</f>
        <v>327</v>
      </c>
      <c r="V103" s="74">
        <f>'IMPORT SCHLIESSERDATEN'!BX95</f>
        <v>59</v>
      </c>
      <c r="W103" s="74">
        <f>'IMPORT SCHLIESSERDATEN'!BY95</f>
        <v>60</v>
      </c>
      <c r="X103" s="74">
        <f>'IMPORT SCHLIESSERDATEN'!CO95</f>
        <v>0</v>
      </c>
      <c r="Y103" s="74">
        <f>'IMPORT SCHLIESSERDATEN'!CQ95</f>
        <v>0</v>
      </c>
      <c r="Z103" s="74">
        <f>'IMPORT SCHLIESSERDATEN'!CV95</f>
        <v>0</v>
      </c>
      <c r="AA103" s="74">
        <f>'IMPORT SCHLIESSERDATEN'!CX95</f>
        <v>0</v>
      </c>
      <c r="AB103" s="74">
        <f>'IMPORT SCHLIESSERDATEN'!DC95</f>
        <v>0</v>
      </c>
      <c r="AC103" s="74">
        <f>'IMPORT SCHLIESSERDATEN'!DE95</f>
        <v>0</v>
      </c>
      <c r="AD103" s="74">
        <f>'IMPORT SCHLIESSERDATEN'!DJ95</f>
        <v>40</v>
      </c>
      <c r="AE103" s="74">
        <f>'IMPORT SCHLIESSERDATEN'!DL95</f>
        <v>0</v>
      </c>
      <c r="AF103" s="74">
        <f>'IMPORT SCHLIESSERDATEN'!DQ95</f>
        <v>40</v>
      </c>
      <c r="AG103" s="74">
        <f>IF('IMPORT SCHLIESSERDATEN'!DS95="V",9999,'IMPORT SCHLIESSERDATEN'!DS95)</f>
        <v>9999</v>
      </c>
      <c r="AH103" s="74">
        <f>IF('IMPORT SCHLIESSERDATEN'!BZ95="V",9999,IF('IMPORT SCHLIESSERDATEN'!CD95="_",-1,'IMPORT SCHLIESSERDATEN'!BZ95))</f>
        <v>9999</v>
      </c>
      <c r="AI103" s="74">
        <f>IF('IMPORT SCHLIESSERDATEN'!CA95="V",9999,IF('IMPORT SCHLIESSERDATEN'!CD95="_",-1,'IMPORT SCHLIESSERDATEN'!CA95))</f>
        <v>30</v>
      </c>
      <c r="AJ103" s="74">
        <f>IF('IMPORT SCHLIESSERDATEN'!CB95="V",9999,IF('IMPORT SCHLIESSERDATEN'!CD95="_",-1,'IMPORT SCHLIESSERDATEN'!CB95))</f>
        <v>35</v>
      </c>
      <c r="AK103" s="74">
        <f>IF('IMPORT SCHLIESSERDATEN'!CC95="V",9999,IF('IMPORT SCHLIESSERDATEN'!CC95="_",-1,'IMPORT SCHLIESSERDATEN'!CC95))</f>
        <v>18</v>
      </c>
      <c r="AL103" s="74">
        <f>IF('IMPORT SCHLIESSERDATEN'!CD95="_",-1,'IMPORT SCHLIESSERDATEN'!CD95)</f>
        <v>375</v>
      </c>
      <c r="AM103" s="74">
        <f>'IMPORT SCHLIESSERDATEN'!CH95</f>
        <v>101</v>
      </c>
      <c r="AN103" s="74">
        <f>IF('IMPORT SCHLIESSERDATEN'!CE95="V",9999,'IMPORT SCHLIESSERDATEN'!CE95)</f>
        <v>30</v>
      </c>
      <c r="AO103" s="74">
        <f>IF('IMPORT SCHLIESSERDATEN'!CK95="_",-1,'IMPORT SCHLIESSERDATEN'!CK95)</f>
        <v>53</v>
      </c>
      <c r="AP103" s="74">
        <f>IF('IMPORT SCHLIESSERDATEN'!$U95="",0,1)</f>
        <v>1</v>
      </c>
      <c r="AQ103" s="74">
        <f>IF('IMPORT SCHLIESSERDATEN'!$V95="",0,1)</f>
        <v>1</v>
      </c>
      <c r="AR103" s="74">
        <f>IF('IMPORT SCHLIESSERDATEN'!$W95="",0,1)</f>
        <v>1</v>
      </c>
      <c r="AS103" s="74">
        <f>IF('IMPORT SCHLIESSERDATEN'!$AA95="",0,1)</f>
        <v>1</v>
      </c>
      <c r="AT103" s="74">
        <f>IF('IMPORT SCHLIESSERDATEN'!$AD95="",0,1) + IF('IMPORT SCHLIESSERDATEN'!$AE95="",0,2)</f>
        <v>0</v>
      </c>
      <c r="AU103" s="74" t="str">
        <f>IF('IMPORT SCHLIESSERDATEN'!$X95="",IF('IMPORT SCHLIESSERDATEN'!$Y95="","","F"),"V")</f>
        <v>V</v>
      </c>
      <c r="AV103" s="74" t="str">
        <f>IF('IMPORT SCHLIESSERDATEN'!$AB95&lt;&gt;"","M",IF('IMPORT SCHLIESSERDATEN'!$AD95&lt;&gt;"",IF(ISERR(SEARCH("UVIBIS",'IMPORT SCHLIESSERDATEN'!$B95)),"R","B"),IF(OR('IMPORT SCHLIESSERDATEN'!$AC95&lt;&gt;"",'IMPORT SCHLIESSERDATEN'!$AE95&lt;&gt;""),"E","")))</f>
        <v/>
      </c>
      <c r="AW103" s="82"/>
      <c r="AX103" s="67"/>
    </row>
    <row r="104" spans="1:50" x14ac:dyDescent="0.25">
      <c r="A104" s="67">
        <f>IFERROR(IF(C104&lt;&gt;"",MAX($A$2:$A103)+1,""),"")</f>
        <v>92</v>
      </c>
      <c r="B104" s="223">
        <f t="shared" si="1"/>
        <v>92</v>
      </c>
      <c r="C104" s="216" t="str">
        <f>IF(J104=1,SUBSTITUTE('IMPORT SCHLIESSERDATEN'!$B96," Gangfl.",""),IF(J104=2,SUBSTITUTE('IMPORT SCHLIESSERDATEN'!$B96," Standfl.",""),'IMPORT SCHLIESSERDATEN'!$B96))</f>
        <v>TS 98 GSR-EMF BG XEA EN 1-6</v>
      </c>
      <c r="D104" s="216" t="str">
        <f>IF('IMPORT SCHLIESSERDATEN'!$AF96&lt;&gt;"",IF(COUNTA('IMPORT SCHLIESSERDATEN'!$AN96:$AU96)&gt;0,"X","G"),IF('IMPORT SCHLIESSERDATEN'!$AG96&lt;&gt;"","S",IF('IMPORT SCHLIESSERDATEN'!$AH96&lt;&gt;"","I",IF('IMPORT SCHLIESSERDATEN'!$AI96&lt;&gt;"","B",IF('IMPORT SCHLIESSERDATEN'!$AJ96&lt;&gt;"","D","")))))</f>
        <v>X</v>
      </c>
      <c r="E104" s="248" t="str">
        <f>'IMPORT SCHLIESSERDATEN'!AK96 &amp; IF('IMPORT SCHLIESSERDATEN'!AL96="",""," "&amp; 'IMPORT SCHLIESSERDATEN'!AL96)</f>
        <v>98</v>
      </c>
      <c r="F104" s="74">
        <f>IFERROR(IF(D104="X",2^(MATCH("",'IMPORT SCHLIESSERDATEN'!$AN96:$AU96,-1)-1),IF(AV104="F",2^(MATCH("",'IMPORT SCHLIESSERDATEN'!$BH96:$BK96,-1)-1),2^(MATCH("",'IMPORT SCHLIESSERDATEN'!$AV96:$BG96,-1)-1))),0)</f>
        <v>64</v>
      </c>
      <c r="G104" s="74">
        <f>IF(AND('IMPORT SCHLIESSERDATEN'!$O96='IMPORT SCHLIESSERDATEN'!$R96,'IMPORT SCHLIESSERDATEN'!$O96&lt;&gt;"",'IMPORT SCHLIESSERDATEN'!$R96&lt;&gt;""),1,0)  +  IF(AND('IMPORT SCHLIESSERDATEN'!$P96='IMPORT SCHLIESSERDATEN'!$S96,'IMPORT SCHLIESSERDATEN'!$P96&lt;&gt;"",'IMPORT SCHLIESSERDATEN'!$S96&lt;&gt;""),2,0)   +  IF(AND('IMPORT SCHLIESSERDATEN'!$O96='IMPORT SCHLIESSERDATEN'!$S96,'IMPORT SCHLIESSERDATEN'!$O96&lt;&gt;"",'IMPORT SCHLIESSERDATEN'!$S96&lt;&gt;""),4,0)   +  IF(AND('IMPORT SCHLIESSERDATEN'!$P96='IMPORT SCHLIESSERDATEN'!$R96,'IMPORT SCHLIESSERDATEN'!$P96&lt;&gt;"",'IMPORT SCHLIESSERDATEN'!$R96&lt;&gt;""),8,0)   +  IF('IMPORT SCHLIESSERDATEN'!$Q96&lt;&gt;"",IF('IMPORT SCHLIESSERDATEN'!$R96&lt;&gt;"",32,0) + IF('IMPORT SCHLIESSERDATEN'!$S96&lt;&gt;"",64,0),0)  +  IF('IMPORT SCHLIESSERDATEN'!$T96&lt;&gt;"",IF('IMPORT SCHLIESSERDATEN'!$Q96&lt;&gt;"",128+256,128),0)</f>
        <v>9</v>
      </c>
      <c r="H104" s="74">
        <f>IF('IMPORT SCHLIESSERDATEN'!$H96="",0,1) + IF('IMPORT SCHLIESSERDATEN'!$I96="",0,2) + IF('IMPORT SCHLIESSERDATEN'!$J96="",0,4) + IF('IMPORT SCHLIESSERDATEN'!$K96="",0,8) + IF('IMPORT SCHLIESSERDATEN'!$L96="",0,16) + IF('IMPORT SCHLIESSERDATEN'!$M96="",0,32) + IF('IMPORT SCHLIESSERDATEN'!$N96="",0,64)</f>
        <v>63</v>
      </c>
      <c r="I104" s="74">
        <f>IF('IMPORT SCHLIESSERDATEN'!$D96="",0,1) + IF('IMPORT SCHLIESSERDATEN'!$E96="",0,2) + IF('IMPORT SCHLIESSERDATEN'!$E96="S",4,0)</f>
        <v>2</v>
      </c>
      <c r="J104" s="74">
        <f>IF(ISERR(FIND(" Gangfl.",'IMPORT SCHLIESSERDATEN'!$B96)),IF(ISERR(FIND(" Standfl.",'IMPORT SCHLIESSERDATEN'!$B96)),0,2),1)</f>
        <v>2</v>
      </c>
      <c r="K104" s="74">
        <f>'IMPORT SCHLIESSERDATEN'!CL96</f>
        <v>0</v>
      </c>
      <c r="L104" s="74">
        <f>'IMPORT SCHLIESSERDATEN'!CN96</f>
        <v>0</v>
      </c>
      <c r="M104" s="74">
        <f>IF('IMPORT SCHLIESSERDATEN'!CS96="wie TS",-1,'IMPORT SCHLIESSERDATEN'!CS96)</f>
        <v>0</v>
      </c>
      <c r="N104" s="74">
        <f>IF(M104&lt;0,-1,'IMPORT SCHLIESSERDATEN'!CU96)</f>
        <v>0</v>
      </c>
      <c r="O104" s="74">
        <f>IF('IMPORT SCHLIESSERDATEN'!CZ96="wie TS",-1,'IMPORT SCHLIESSERDATEN'!CZ96)</f>
        <v>0</v>
      </c>
      <c r="P104" s="74">
        <f>IF(O104&lt;0,-1,'IMPORT SCHLIESSERDATEN'!DB96)</f>
        <v>0</v>
      </c>
      <c r="Q104" s="74">
        <f>'IMPORT SCHLIESSERDATEN'!DG96</f>
        <v>40</v>
      </c>
      <c r="R104" s="74">
        <f>'IMPORT SCHLIESSERDATEN'!DI96</f>
        <v>17</v>
      </c>
      <c r="S104" s="74">
        <f>'IMPORT SCHLIESSERDATEN'!DN96</f>
        <v>40</v>
      </c>
      <c r="T104" s="74">
        <f>IF('IMPORT SCHLIESSERDATEN'!DP96="V",9999,'IMPORT SCHLIESSERDATEN'!DP96)</f>
        <v>9999</v>
      </c>
      <c r="U104" s="74">
        <f>'IMPORT SCHLIESSERDATEN'!BW96</f>
        <v>327</v>
      </c>
      <c r="V104" s="74">
        <f>'IMPORT SCHLIESSERDATEN'!BX96</f>
        <v>59</v>
      </c>
      <c r="W104" s="74">
        <f>'IMPORT SCHLIESSERDATEN'!BY96</f>
        <v>60</v>
      </c>
      <c r="X104" s="74">
        <f>'IMPORT SCHLIESSERDATEN'!CO96</f>
        <v>0</v>
      </c>
      <c r="Y104" s="74">
        <f>'IMPORT SCHLIESSERDATEN'!CQ96</f>
        <v>0</v>
      </c>
      <c r="Z104" s="74">
        <f>'IMPORT SCHLIESSERDATEN'!CV96</f>
        <v>0</v>
      </c>
      <c r="AA104" s="74">
        <f>'IMPORT SCHLIESSERDATEN'!CX96</f>
        <v>0</v>
      </c>
      <c r="AB104" s="74">
        <f>'IMPORT SCHLIESSERDATEN'!DC96</f>
        <v>0</v>
      </c>
      <c r="AC104" s="74">
        <f>'IMPORT SCHLIESSERDATEN'!DE96</f>
        <v>0</v>
      </c>
      <c r="AD104" s="74">
        <f>'IMPORT SCHLIESSERDATEN'!DJ96</f>
        <v>40</v>
      </c>
      <c r="AE104" s="74">
        <f>'IMPORT SCHLIESSERDATEN'!DL96</f>
        <v>0</v>
      </c>
      <c r="AF104" s="74">
        <f>'IMPORT SCHLIESSERDATEN'!DQ96</f>
        <v>40</v>
      </c>
      <c r="AG104" s="74">
        <f>IF('IMPORT SCHLIESSERDATEN'!DS96="V",9999,'IMPORT SCHLIESSERDATEN'!DS96)</f>
        <v>9999</v>
      </c>
      <c r="AH104" s="74">
        <f>IF('IMPORT SCHLIESSERDATEN'!BZ96="V",9999,IF('IMPORT SCHLIESSERDATEN'!CD96="_",-1,'IMPORT SCHLIESSERDATEN'!BZ96))</f>
        <v>9999</v>
      </c>
      <c r="AI104" s="74">
        <f>IF('IMPORT SCHLIESSERDATEN'!CA96="V",9999,IF('IMPORT SCHLIESSERDATEN'!CD96="_",-1,'IMPORT SCHLIESSERDATEN'!CA96))</f>
        <v>30</v>
      </c>
      <c r="AJ104" s="74">
        <f>IF('IMPORT SCHLIESSERDATEN'!CB96="V",9999,IF('IMPORT SCHLIESSERDATEN'!CD96="_",-1,'IMPORT SCHLIESSERDATEN'!CB96))</f>
        <v>35</v>
      </c>
      <c r="AK104" s="74">
        <f>IF('IMPORT SCHLIESSERDATEN'!CC96="V",9999,IF('IMPORT SCHLIESSERDATEN'!CC96="_",-1,'IMPORT SCHLIESSERDATEN'!CC96))</f>
        <v>18</v>
      </c>
      <c r="AL104" s="74">
        <f>IF('IMPORT SCHLIESSERDATEN'!CD96="_",-1,'IMPORT SCHLIESSERDATEN'!CD96)</f>
        <v>375</v>
      </c>
      <c r="AM104" s="74">
        <f>'IMPORT SCHLIESSERDATEN'!CH96</f>
        <v>101</v>
      </c>
      <c r="AN104" s="74">
        <f>IF('IMPORT SCHLIESSERDATEN'!CE96="V",9999,'IMPORT SCHLIESSERDATEN'!CE96)</f>
        <v>30</v>
      </c>
      <c r="AO104" s="74">
        <f>IF('IMPORT SCHLIESSERDATEN'!CK96="_",-1,'IMPORT SCHLIESSERDATEN'!CK96)</f>
        <v>166</v>
      </c>
      <c r="AP104" s="74">
        <f>IF('IMPORT SCHLIESSERDATEN'!$U96="",0,1)</f>
        <v>1</v>
      </c>
      <c r="AQ104" s="74">
        <f>IF('IMPORT SCHLIESSERDATEN'!$V96="",0,1)</f>
        <v>1</v>
      </c>
      <c r="AR104" s="74">
        <f>IF('IMPORT SCHLIESSERDATEN'!$W96="",0,1)</f>
        <v>1</v>
      </c>
      <c r="AS104" s="74">
        <f>IF('IMPORT SCHLIESSERDATEN'!$AA96="",0,1)</f>
        <v>1</v>
      </c>
      <c r="AT104" s="74">
        <f>IF('IMPORT SCHLIESSERDATEN'!$AD96="",0,1) + IF('IMPORT SCHLIESSERDATEN'!$AE96="",0,2)</f>
        <v>2</v>
      </c>
      <c r="AU104" s="74" t="str">
        <f>IF('IMPORT SCHLIESSERDATEN'!$X96="",IF('IMPORT SCHLIESSERDATEN'!$Y96="","","F"),"V")</f>
        <v>V</v>
      </c>
      <c r="AV104" s="74" t="str">
        <f>IF('IMPORT SCHLIESSERDATEN'!$AB96&lt;&gt;"","M",IF('IMPORT SCHLIESSERDATEN'!$AD96&lt;&gt;"",IF(ISERR(SEARCH("UVIBIS",'IMPORT SCHLIESSERDATEN'!$B96)),"R","B"),IF(OR('IMPORT SCHLIESSERDATEN'!$AC96&lt;&gt;"",'IMPORT SCHLIESSERDATEN'!$AE96&lt;&gt;""),"E","")))</f>
        <v>E</v>
      </c>
      <c r="AW104" s="82"/>
      <c r="AX104" s="67"/>
    </row>
    <row r="105" spans="1:50" x14ac:dyDescent="0.25">
      <c r="A105" s="67">
        <f>IFERROR(IF(C105&lt;&gt;"",MAX($A$2:$A104)+1,""),"")</f>
        <v>93</v>
      </c>
      <c r="B105" s="223">
        <f t="shared" si="1"/>
        <v>93</v>
      </c>
      <c r="C105" s="216" t="str">
        <f>IF(J105=1,SUBSTITUTE('IMPORT SCHLIESSERDATEN'!$B97," Gangfl.",""),IF(J105=2,SUBSTITUTE('IMPORT SCHLIESSERDATEN'!$B97," Standfl.",""),'IMPORT SCHLIESSERDATEN'!$B97))</f>
        <v>TS 98 GSR-EMR BG XEA EN 1-6</v>
      </c>
      <c r="D105" s="216" t="str">
        <f>IF('IMPORT SCHLIESSERDATEN'!$AF97&lt;&gt;"",IF(COUNTA('IMPORT SCHLIESSERDATEN'!$AN97:$AU97)&gt;0,"X","G"),IF('IMPORT SCHLIESSERDATEN'!$AG97&lt;&gt;"","S",IF('IMPORT SCHLIESSERDATEN'!$AH97&lt;&gt;"","I",IF('IMPORT SCHLIESSERDATEN'!$AI97&lt;&gt;"","B",IF('IMPORT SCHLIESSERDATEN'!$AJ97&lt;&gt;"","D","")))))</f>
        <v>X</v>
      </c>
      <c r="E105" s="248" t="str">
        <f>'IMPORT SCHLIESSERDATEN'!AK97 &amp; IF('IMPORT SCHLIESSERDATEN'!AL97="",""," "&amp; 'IMPORT SCHLIESSERDATEN'!AL97)</f>
        <v>98</v>
      </c>
      <c r="F105" s="74">
        <f>IFERROR(IF(D105="X",2^(MATCH("",'IMPORT SCHLIESSERDATEN'!$AN97:$AU97,-1)-1),IF(AV105="F",2^(MATCH("",'IMPORT SCHLIESSERDATEN'!$BH97:$BK97,-1)-1),2^(MATCH("",'IMPORT SCHLIESSERDATEN'!$AV97:$BG97,-1)-1))),0)</f>
        <v>128</v>
      </c>
      <c r="G105" s="74">
        <f>IF(AND('IMPORT SCHLIESSERDATEN'!$O97='IMPORT SCHLIESSERDATEN'!$R97,'IMPORT SCHLIESSERDATEN'!$O97&lt;&gt;"",'IMPORT SCHLIESSERDATEN'!$R97&lt;&gt;""),1,0)  +  IF(AND('IMPORT SCHLIESSERDATEN'!$P97='IMPORT SCHLIESSERDATEN'!$S97,'IMPORT SCHLIESSERDATEN'!$P97&lt;&gt;"",'IMPORT SCHLIESSERDATEN'!$S97&lt;&gt;""),2,0)   +  IF(AND('IMPORT SCHLIESSERDATEN'!$O97='IMPORT SCHLIESSERDATEN'!$S97,'IMPORT SCHLIESSERDATEN'!$O97&lt;&gt;"",'IMPORT SCHLIESSERDATEN'!$S97&lt;&gt;""),4,0)   +  IF(AND('IMPORT SCHLIESSERDATEN'!$P97='IMPORT SCHLIESSERDATEN'!$R97,'IMPORT SCHLIESSERDATEN'!$P97&lt;&gt;"",'IMPORT SCHLIESSERDATEN'!$R97&lt;&gt;""),8,0)   +  IF('IMPORT SCHLIESSERDATEN'!$Q97&lt;&gt;"",IF('IMPORT SCHLIESSERDATEN'!$R97&lt;&gt;"",32,0) + IF('IMPORT SCHLIESSERDATEN'!$S97&lt;&gt;"",64,0),0)  +  IF('IMPORT SCHLIESSERDATEN'!$T97&lt;&gt;"",IF('IMPORT SCHLIESSERDATEN'!$Q97&lt;&gt;"",128+256,128),0)</f>
        <v>9</v>
      </c>
      <c r="H105" s="74">
        <f>IF('IMPORT SCHLIESSERDATEN'!$H97="",0,1) + IF('IMPORT SCHLIESSERDATEN'!$I97="",0,2) + IF('IMPORT SCHLIESSERDATEN'!$J97="",0,4) + IF('IMPORT SCHLIESSERDATEN'!$K97="",0,8) + IF('IMPORT SCHLIESSERDATEN'!$L97="",0,16) + IF('IMPORT SCHLIESSERDATEN'!$M97="",0,32) + IF('IMPORT SCHLIESSERDATEN'!$N97="",0,64)</f>
        <v>63</v>
      </c>
      <c r="I105" s="74">
        <f>IF('IMPORT SCHLIESSERDATEN'!$D97="",0,1) + IF('IMPORT SCHLIESSERDATEN'!$E97="",0,2) + IF('IMPORT SCHLIESSERDATEN'!$E97="S",4,0)</f>
        <v>2</v>
      </c>
      <c r="J105" s="74">
        <f>IF(ISERR(FIND(" Gangfl.",'IMPORT SCHLIESSERDATEN'!$B97)),IF(ISERR(FIND(" Standfl.",'IMPORT SCHLIESSERDATEN'!$B97)),0,2),1)</f>
        <v>2</v>
      </c>
      <c r="K105" s="74">
        <f>'IMPORT SCHLIESSERDATEN'!CL97</f>
        <v>0</v>
      </c>
      <c r="L105" s="74">
        <f>'IMPORT SCHLIESSERDATEN'!CN97</f>
        <v>0</v>
      </c>
      <c r="M105" s="74">
        <f>IF('IMPORT SCHLIESSERDATEN'!CS97="wie TS",-1,'IMPORT SCHLIESSERDATEN'!CS97)</f>
        <v>0</v>
      </c>
      <c r="N105" s="74">
        <f>IF(M105&lt;0,-1,'IMPORT SCHLIESSERDATEN'!CU97)</f>
        <v>0</v>
      </c>
      <c r="O105" s="74">
        <f>IF('IMPORT SCHLIESSERDATEN'!CZ97="wie TS",-1,'IMPORT SCHLIESSERDATEN'!CZ97)</f>
        <v>0</v>
      </c>
      <c r="P105" s="74">
        <f>IF(O105&lt;0,-1,'IMPORT SCHLIESSERDATEN'!DB97)</f>
        <v>0</v>
      </c>
      <c r="Q105" s="74">
        <f>'IMPORT SCHLIESSERDATEN'!DG97</f>
        <v>40</v>
      </c>
      <c r="R105" s="74">
        <f>'IMPORT SCHLIESSERDATEN'!DI97</f>
        <v>17</v>
      </c>
      <c r="S105" s="74">
        <f>'IMPORT SCHLIESSERDATEN'!DN97</f>
        <v>40</v>
      </c>
      <c r="T105" s="74">
        <f>IF('IMPORT SCHLIESSERDATEN'!DP97="V",9999,'IMPORT SCHLIESSERDATEN'!DP97)</f>
        <v>9999</v>
      </c>
      <c r="U105" s="74">
        <f>'IMPORT SCHLIESSERDATEN'!BW97</f>
        <v>327</v>
      </c>
      <c r="V105" s="74">
        <f>'IMPORT SCHLIESSERDATEN'!BX97</f>
        <v>59</v>
      </c>
      <c r="W105" s="74">
        <f>'IMPORT SCHLIESSERDATEN'!BY97</f>
        <v>60</v>
      </c>
      <c r="X105" s="74">
        <f>'IMPORT SCHLIESSERDATEN'!CO97</f>
        <v>0</v>
      </c>
      <c r="Y105" s="74">
        <f>'IMPORT SCHLIESSERDATEN'!CQ97</f>
        <v>0</v>
      </c>
      <c r="Z105" s="74">
        <f>'IMPORT SCHLIESSERDATEN'!CV97</f>
        <v>0</v>
      </c>
      <c r="AA105" s="74">
        <f>'IMPORT SCHLIESSERDATEN'!CX97</f>
        <v>0</v>
      </c>
      <c r="AB105" s="74">
        <f>'IMPORT SCHLIESSERDATEN'!DC97</f>
        <v>0</v>
      </c>
      <c r="AC105" s="74">
        <f>'IMPORT SCHLIESSERDATEN'!DE97</f>
        <v>0</v>
      </c>
      <c r="AD105" s="74">
        <f>'IMPORT SCHLIESSERDATEN'!DJ97</f>
        <v>40</v>
      </c>
      <c r="AE105" s="74">
        <f>'IMPORT SCHLIESSERDATEN'!DL97</f>
        <v>0</v>
      </c>
      <c r="AF105" s="74">
        <f>'IMPORT SCHLIESSERDATEN'!DQ97</f>
        <v>40</v>
      </c>
      <c r="AG105" s="74">
        <f>IF('IMPORT SCHLIESSERDATEN'!DS97="V",9999,'IMPORT SCHLIESSERDATEN'!DS97)</f>
        <v>9999</v>
      </c>
      <c r="AH105" s="74">
        <f>IF('IMPORT SCHLIESSERDATEN'!BZ97="V",9999,IF('IMPORT SCHLIESSERDATEN'!CD97="_",-1,'IMPORT SCHLIESSERDATEN'!BZ97))</f>
        <v>9999</v>
      </c>
      <c r="AI105" s="74">
        <f>IF('IMPORT SCHLIESSERDATEN'!CA97="V",9999,IF('IMPORT SCHLIESSERDATEN'!CD97="_",-1,'IMPORT SCHLIESSERDATEN'!CA97))</f>
        <v>30</v>
      </c>
      <c r="AJ105" s="74">
        <f>IF('IMPORT SCHLIESSERDATEN'!CB97="V",9999,IF('IMPORT SCHLIESSERDATEN'!CD97="_",-1,'IMPORT SCHLIESSERDATEN'!CB97))</f>
        <v>55</v>
      </c>
      <c r="AK105" s="74">
        <f>IF('IMPORT SCHLIESSERDATEN'!CC97="V",9999,IF('IMPORT SCHLIESSERDATEN'!CC97="_",-1,'IMPORT SCHLIESSERDATEN'!CC97))</f>
        <v>28</v>
      </c>
      <c r="AL105" s="74">
        <f>IF('IMPORT SCHLIESSERDATEN'!CD97="_",-1,'IMPORT SCHLIESSERDATEN'!CD97)</f>
        <v>375</v>
      </c>
      <c r="AM105" s="74">
        <f>'IMPORT SCHLIESSERDATEN'!CH97</f>
        <v>101</v>
      </c>
      <c r="AN105" s="74">
        <f>IF('IMPORT SCHLIESSERDATEN'!CE97="V",9999,'IMPORT SCHLIESSERDATEN'!CE97)</f>
        <v>30</v>
      </c>
      <c r="AO105" s="74">
        <f>IF('IMPORT SCHLIESSERDATEN'!CK97="_",-1,'IMPORT SCHLIESSERDATEN'!CK97)</f>
        <v>166</v>
      </c>
      <c r="AP105" s="74">
        <f>IF('IMPORT SCHLIESSERDATEN'!$U97="",0,1)</f>
        <v>1</v>
      </c>
      <c r="AQ105" s="74">
        <f>IF('IMPORT SCHLIESSERDATEN'!$V97="",0,1)</f>
        <v>1</v>
      </c>
      <c r="AR105" s="74">
        <f>IF('IMPORT SCHLIESSERDATEN'!$W97="",0,1)</f>
        <v>1</v>
      </c>
      <c r="AS105" s="74">
        <f>IF('IMPORT SCHLIESSERDATEN'!$AA97="",0,1)</f>
        <v>1</v>
      </c>
      <c r="AT105" s="74">
        <f>IF('IMPORT SCHLIESSERDATEN'!$AD97="",0,1) + IF('IMPORT SCHLIESSERDATEN'!$AE97="",0,2)</f>
        <v>1</v>
      </c>
      <c r="AU105" s="74" t="str">
        <f>IF('IMPORT SCHLIESSERDATEN'!$X97="",IF('IMPORT SCHLIESSERDATEN'!$Y97="","","F"),"V")</f>
        <v>V</v>
      </c>
      <c r="AV105" s="74" t="str">
        <f>IF('IMPORT SCHLIESSERDATEN'!$AB97&lt;&gt;"","M",IF('IMPORT SCHLIESSERDATEN'!$AD97&lt;&gt;"",IF(ISERR(SEARCH("UVIBIS",'IMPORT SCHLIESSERDATEN'!$B97)),"R","B"),IF(OR('IMPORT SCHLIESSERDATEN'!$AC97&lt;&gt;"",'IMPORT SCHLIESSERDATEN'!$AE97&lt;&gt;""),"E","")))</f>
        <v>R</v>
      </c>
      <c r="AW105" s="82"/>
      <c r="AX105" s="67"/>
    </row>
    <row r="106" spans="1:50" x14ac:dyDescent="0.25">
      <c r="A106" s="67">
        <f>IFERROR(IF(C106&lt;&gt;"",MAX($A$2:$A105)+1,""),"")</f>
        <v>94</v>
      </c>
      <c r="B106" s="223">
        <f t="shared" si="1"/>
        <v>94</v>
      </c>
      <c r="C106" s="216" t="str">
        <f>IF(J106=1,SUBSTITUTE('IMPORT SCHLIESSERDATEN'!$B98," Gangfl.",""),IF(J106=2,SUBSTITUTE('IMPORT SCHLIESSERDATEN'!$B98," Standfl.",""),'IMPORT SCHLIESSERDATEN'!$B98))</f>
        <v>TS 99 FL EN 2-5</v>
      </c>
      <c r="D106" s="216" t="str">
        <f>IF('IMPORT SCHLIESSERDATEN'!$AF98&lt;&gt;"",IF(COUNTA('IMPORT SCHLIESSERDATEN'!$AN98:$AU98)&gt;0,"X","G"),IF('IMPORT SCHLIESSERDATEN'!$AG98&lt;&gt;"","S",IF('IMPORT SCHLIESSERDATEN'!$AH98&lt;&gt;"","I",IF('IMPORT SCHLIESSERDATEN'!$AI98&lt;&gt;"","B",IF('IMPORT SCHLIESSERDATEN'!$AJ98&lt;&gt;"","D","")))))</f>
        <v>G</v>
      </c>
      <c r="E106" s="248" t="str">
        <f>'IMPORT SCHLIESSERDATEN'!AK98 &amp; IF('IMPORT SCHLIESSERDATEN'!AL98="",""," "&amp; 'IMPORT SCHLIESSERDATEN'!AL98)</f>
        <v>99 B</v>
      </c>
      <c r="F106" s="74">
        <f>IFERROR(IF(D106="X",2^(MATCH("",'IMPORT SCHLIESSERDATEN'!$AN98:$AU98,-1)-1),IF(AV106="F",2^(MATCH("",'IMPORT SCHLIESSERDATEN'!$BH98:$BK98,-1)-1),2^(MATCH("",'IMPORT SCHLIESSERDATEN'!$AV98:$BG98,-1)-1))),0)</f>
        <v>0</v>
      </c>
      <c r="G106" s="74">
        <f>IF(AND('IMPORT SCHLIESSERDATEN'!$O98='IMPORT SCHLIESSERDATEN'!$R98,'IMPORT SCHLIESSERDATEN'!$O98&lt;&gt;"",'IMPORT SCHLIESSERDATEN'!$R98&lt;&gt;""),1,0)  +  IF(AND('IMPORT SCHLIESSERDATEN'!$P98='IMPORT SCHLIESSERDATEN'!$S98,'IMPORT SCHLIESSERDATEN'!$P98&lt;&gt;"",'IMPORT SCHLIESSERDATEN'!$S98&lt;&gt;""),2,0)   +  IF(AND('IMPORT SCHLIESSERDATEN'!$O98='IMPORT SCHLIESSERDATEN'!$S98,'IMPORT SCHLIESSERDATEN'!$O98&lt;&gt;"",'IMPORT SCHLIESSERDATEN'!$S98&lt;&gt;""),4,0)   +  IF(AND('IMPORT SCHLIESSERDATEN'!$P98='IMPORT SCHLIESSERDATEN'!$R98,'IMPORT SCHLIESSERDATEN'!$P98&lt;&gt;"",'IMPORT SCHLIESSERDATEN'!$R98&lt;&gt;""),8,0)   +  IF('IMPORT SCHLIESSERDATEN'!$Q98&lt;&gt;"",IF('IMPORT SCHLIESSERDATEN'!$R98&lt;&gt;"",32,0) + IF('IMPORT SCHLIESSERDATEN'!$S98&lt;&gt;"",64,0),0)  +  IF('IMPORT SCHLIESSERDATEN'!$T98&lt;&gt;"",IF('IMPORT SCHLIESSERDATEN'!$Q98&lt;&gt;"",128+256,128),0)</f>
        <v>1</v>
      </c>
      <c r="H106" s="74">
        <f>IF('IMPORT SCHLIESSERDATEN'!$H98="",0,1) + IF('IMPORT SCHLIESSERDATEN'!$I98="",0,2) + IF('IMPORT SCHLIESSERDATEN'!$J98="",0,4) + IF('IMPORT SCHLIESSERDATEN'!$K98="",0,8) + IF('IMPORT SCHLIESSERDATEN'!$L98="",0,16) + IF('IMPORT SCHLIESSERDATEN'!$M98="",0,32) + IF('IMPORT SCHLIESSERDATEN'!$N98="",0,64)</f>
        <v>30</v>
      </c>
      <c r="I106" s="74">
        <f>IF('IMPORT SCHLIESSERDATEN'!$D98="",0,1) + IF('IMPORT SCHLIESSERDATEN'!$E98="",0,2) + IF('IMPORT SCHLIESSERDATEN'!$E98="S",4,0)</f>
        <v>1</v>
      </c>
      <c r="J106" s="74">
        <f>IF(ISERR(FIND(" Gangfl.",'IMPORT SCHLIESSERDATEN'!$B98)),IF(ISERR(FIND(" Standfl.",'IMPORT SCHLIESSERDATEN'!$B98)),0,2),1)</f>
        <v>0</v>
      </c>
      <c r="K106" s="74">
        <f>'IMPORT SCHLIESSERDATEN'!CL98</f>
        <v>78</v>
      </c>
      <c r="L106" s="74">
        <f>'IMPORT SCHLIESSERDATEN'!CN98</f>
        <v>1</v>
      </c>
      <c r="M106" s="74">
        <f>IF('IMPORT SCHLIESSERDATEN'!CS98="wie TS",-1,'IMPORT SCHLIESSERDATEN'!CS98)</f>
        <v>0</v>
      </c>
      <c r="N106" s="74">
        <f>IF(M106&lt;0,-1,'IMPORT SCHLIESSERDATEN'!CU98)</f>
        <v>0</v>
      </c>
      <c r="O106" s="74">
        <f>IF('IMPORT SCHLIESSERDATEN'!CZ98="wie TS",-1,'IMPORT SCHLIESSERDATEN'!CZ98)</f>
        <v>0</v>
      </c>
      <c r="P106" s="74">
        <f>IF(O106&lt;0,-1,'IMPORT SCHLIESSERDATEN'!DB98)</f>
        <v>0</v>
      </c>
      <c r="Q106" s="74">
        <f>'IMPORT SCHLIESSERDATEN'!DG98</f>
        <v>0</v>
      </c>
      <c r="R106" s="74">
        <f>'IMPORT SCHLIESSERDATEN'!DI98</f>
        <v>0</v>
      </c>
      <c r="S106" s="74">
        <f>'IMPORT SCHLIESSERDATEN'!DN98</f>
        <v>0</v>
      </c>
      <c r="T106" s="74">
        <f>IF('IMPORT SCHLIESSERDATEN'!DP98="V",9999,'IMPORT SCHLIESSERDATEN'!DP98)</f>
        <v>0</v>
      </c>
      <c r="U106" s="74">
        <f>'IMPORT SCHLIESSERDATEN'!BW98</f>
        <v>413</v>
      </c>
      <c r="V106" s="74">
        <f>'IMPORT SCHLIESSERDATEN'!BX98</f>
        <v>52</v>
      </c>
      <c r="W106" s="74">
        <f>'IMPORT SCHLIESSERDATEN'!BY98</f>
        <v>71</v>
      </c>
      <c r="X106" s="74">
        <f>'IMPORT SCHLIESSERDATEN'!CO98</f>
        <v>143</v>
      </c>
      <c r="Y106" s="74">
        <f>'IMPORT SCHLIESSERDATEN'!CQ98</f>
        <v>11</v>
      </c>
      <c r="Z106" s="74">
        <f>'IMPORT SCHLIESSERDATEN'!CV98</f>
        <v>0</v>
      </c>
      <c r="AA106" s="74">
        <f>'IMPORT SCHLIESSERDATEN'!CX98</f>
        <v>0</v>
      </c>
      <c r="AB106" s="74">
        <f>'IMPORT SCHLIESSERDATEN'!DC98</f>
        <v>0</v>
      </c>
      <c r="AC106" s="74">
        <f>'IMPORT SCHLIESSERDATEN'!DE98</f>
        <v>0</v>
      </c>
      <c r="AD106" s="74">
        <f>'IMPORT SCHLIESSERDATEN'!DJ98</f>
        <v>0</v>
      </c>
      <c r="AE106" s="74">
        <f>'IMPORT SCHLIESSERDATEN'!DL98</f>
        <v>0</v>
      </c>
      <c r="AF106" s="74">
        <f>'IMPORT SCHLIESSERDATEN'!DQ98</f>
        <v>0</v>
      </c>
      <c r="AG106" s="74">
        <f>IF('IMPORT SCHLIESSERDATEN'!DS98="V",9999,'IMPORT SCHLIESSERDATEN'!DS98)</f>
        <v>0</v>
      </c>
      <c r="AH106" s="74">
        <f>IF('IMPORT SCHLIESSERDATEN'!BZ98="V",9999,IF('IMPORT SCHLIESSERDATEN'!CD98="_",-1,'IMPORT SCHLIESSERDATEN'!BZ98))</f>
        <v>442</v>
      </c>
      <c r="AI106" s="74">
        <f>IF('IMPORT SCHLIESSERDATEN'!CA98="V",9999,IF('IMPORT SCHLIESSERDATEN'!CD98="_",-1,'IMPORT SCHLIESSERDATEN'!CA98))</f>
        <v>23</v>
      </c>
      <c r="AJ106" s="74">
        <f>IF('IMPORT SCHLIESSERDATEN'!CB98="V",9999,IF('IMPORT SCHLIESSERDATEN'!CD98="_",-1,'IMPORT SCHLIESSERDATEN'!CB98))</f>
        <v>31</v>
      </c>
      <c r="AK106" s="74">
        <f>IF('IMPORT SCHLIESSERDATEN'!CC98="V",9999,IF('IMPORT SCHLIESSERDATEN'!CC98="_",-1,'IMPORT SCHLIESSERDATEN'!CC98))</f>
        <v>16</v>
      </c>
      <c r="AL106" s="74">
        <f>IF('IMPORT SCHLIESSERDATEN'!CD98="_",-1,'IMPORT SCHLIESSERDATEN'!CD98)</f>
        <v>375</v>
      </c>
      <c r="AM106" s="74">
        <f>'IMPORT SCHLIESSERDATEN'!CH98</f>
        <v>97</v>
      </c>
      <c r="AN106" s="74">
        <f>IF('IMPORT SCHLIESSERDATEN'!CE98="V",9999,'IMPORT SCHLIESSERDATEN'!CE98)</f>
        <v>27</v>
      </c>
      <c r="AO106" s="74">
        <f>IF('IMPORT SCHLIESSERDATEN'!CK98="_",-1,'IMPORT SCHLIESSERDATEN'!CK98)</f>
        <v>43</v>
      </c>
      <c r="AP106" s="74">
        <f>IF('IMPORT SCHLIESSERDATEN'!$U98="",0,1)</f>
        <v>1</v>
      </c>
      <c r="AQ106" s="74">
        <f>IF('IMPORT SCHLIESSERDATEN'!$V98="",0,1)</f>
        <v>1</v>
      </c>
      <c r="AR106" s="74">
        <f>IF('IMPORT SCHLIESSERDATEN'!$W98="",0,1)</f>
        <v>0</v>
      </c>
      <c r="AS106" s="74">
        <f>IF('IMPORT SCHLIESSERDATEN'!$AA98="",0,1)</f>
        <v>0</v>
      </c>
      <c r="AT106" s="74">
        <f>IF('IMPORT SCHLIESSERDATEN'!$AD98="",0,1) + IF('IMPORT SCHLIESSERDATEN'!$AE98="",0,2)</f>
        <v>2</v>
      </c>
      <c r="AU106" s="74" t="str">
        <f>IF('IMPORT SCHLIESSERDATEN'!$X98="",IF('IMPORT SCHLIESSERDATEN'!$Y98="","","F"),"V")</f>
        <v>F</v>
      </c>
      <c r="AV106" s="74" t="str">
        <f>IF('IMPORT SCHLIESSERDATEN'!$AB98&lt;&gt;"","M",IF('IMPORT SCHLIESSERDATEN'!$AD98&lt;&gt;"",IF(ISERR(SEARCH("UVIBIS",'IMPORT SCHLIESSERDATEN'!$B98)),"R","B"),IF(OR('IMPORT SCHLIESSERDATEN'!$AC98&lt;&gt;"",'IMPORT SCHLIESSERDATEN'!$AE98&lt;&gt;""),"E","")))</f>
        <v>E</v>
      </c>
      <c r="AW106" s="82"/>
      <c r="AX106" s="67"/>
    </row>
    <row r="107" spans="1:50" x14ac:dyDescent="0.25">
      <c r="A107" s="67">
        <f>IFERROR(IF(C107&lt;&gt;"",MAX($A$2:$A106)+1,""),"")</f>
        <v>95</v>
      </c>
      <c r="B107" s="223">
        <f t="shared" si="1"/>
        <v>95</v>
      </c>
      <c r="C107" s="216" t="str">
        <f>IF(J107=1,SUBSTITUTE('IMPORT SCHLIESSERDATEN'!$B99," Gangfl.",""),IF(J107=2,SUBSTITUTE('IMPORT SCHLIESSERDATEN'!$B99," Standfl.",""),'IMPORT SCHLIESSERDATEN'!$B99))</f>
        <v>TS 99 G FL EN 2-5</v>
      </c>
      <c r="D107" s="216" t="str">
        <f>IF('IMPORT SCHLIESSERDATEN'!$AF99&lt;&gt;"",IF(COUNTA('IMPORT SCHLIESSERDATEN'!$AN99:$AU99)&gt;0,"X","G"),IF('IMPORT SCHLIESSERDATEN'!$AG99&lt;&gt;"","S",IF('IMPORT SCHLIESSERDATEN'!$AH99&lt;&gt;"","I",IF('IMPORT SCHLIESSERDATEN'!$AI99&lt;&gt;"","B",IF('IMPORT SCHLIESSERDATEN'!$AJ99&lt;&gt;"","D","")))))</f>
        <v>G</v>
      </c>
      <c r="E107" s="248" t="str">
        <f>'IMPORT SCHLIESSERDATEN'!AK99 &amp; IF('IMPORT SCHLIESSERDATEN'!AL99="",""," "&amp; 'IMPORT SCHLIESSERDATEN'!AL99)</f>
        <v>99 B</v>
      </c>
      <c r="F107" s="74">
        <f>IFERROR(IF(D107="X",2^(MATCH("",'IMPORT SCHLIESSERDATEN'!$AN99:$AU99,-1)-1),IF(AV107="F",2^(MATCH("",'IMPORT SCHLIESSERDATEN'!$BH99:$BK99,-1)-1),2^(MATCH("",'IMPORT SCHLIESSERDATEN'!$AV99:$BG99,-1)-1))),0)</f>
        <v>0</v>
      </c>
      <c r="G107" s="74">
        <f>IF(AND('IMPORT SCHLIESSERDATEN'!$O99='IMPORT SCHLIESSERDATEN'!$R99,'IMPORT SCHLIESSERDATEN'!$O99&lt;&gt;"",'IMPORT SCHLIESSERDATEN'!$R99&lt;&gt;""),1,0)  +  IF(AND('IMPORT SCHLIESSERDATEN'!$P99='IMPORT SCHLIESSERDATEN'!$S99,'IMPORT SCHLIESSERDATEN'!$P99&lt;&gt;"",'IMPORT SCHLIESSERDATEN'!$S99&lt;&gt;""),2,0)   +  IF(AND('IMPORT SCHLIESSERDATEN'!$O99='IMPORT SCHLIESSERDATEN'!$S99,'IMPORT SCHLIESSERDATEN'!$O99&lt;&gt;"",'IMPORT SCHLIESSERDATEN'!$S99&lt;&gt;""),4,0)   +  IF(AND('IMPORT SCHLIESSERDATEN'!$P99='IMPORT SCHLIESSERDATEN'!$R99,'IMPORT SCHLIESSERDATEN'!$P99&lt;&gt;"",'IMPORT SCHLIESSERDATEN'!$R99&lt;&gt;""),8,0)   +  IF('IMPORT SCHLIESSERDATEN'!$Q99&lt;&gt;"",IF('IMPORT SCHLIESSERDATEN'!$R99&lt;&gt;"",32,0) + IF('IMPORT SCHLIESSERDATEN'!$S99&lt;&gt;"",64,0),0)  +  IF('IMPORT SCHLIESSERDATEN'!$T99&lt;&gt;"",IF('IMPORT SCHLIESSERDATEN'!$Q99&lt;&gt;"",128+256,128),0)</f>
        <v>4</v>
      </c>
      <c r="H107" s="74">
        <f>IF('IMPORT SCHLIESSERDATEN'!$H99="",0,1) + IF('IMPORT SCHLIESSERDATEN'!$I99="",0,2) + IF('IMPORT SCHLIESSERDATEN'!$J99="",0,4) + IF('IMPORT SCHLIESSERDATEN'!$K99="",0,8) + IF('IMPORT SCHLIESSERDATEN'!$L99="",0,16) + IF('IMPORT SCHLIESSERDATEN'!$M99="",0,32) + IF('IMPORT SCHLIESSERDATEN'!$N99="",0,64)</f>
        <v>30</v>
      </c>
      <c r="I107" s="74">
        <f>IF('IMPORT SCHLIESSERDATEN'!$D99="",0,1) + IF('IMPORT SCHLIESSERDATEN'!$E99="",0,2) + IF('IMPORT SCHLIESSERDATEN'!$E99="S",4,0)</f>
        <v>1</v>
      </c>
      <c r="J107" s="74">
        <f>IF(ISERR(FIND(" Gangfl.",'IMPORT SCHLIESSERDATEN'!$B99)),IF(ISERR(FIND(" Standfl.",'IMPORT SCHLIESSERDATEN'!$B99)),0,2),1)</f>
        <v>0</v>
      </c>
      <c r="K107" s="74">
        <f>'IMPORT SCHLIESSERDATEN'!CL99</f>
        <v>0</v>
      </c>
      <c r="L107" s="74">
        <f>'IMPORT SCHLIESSERDATEN'!CN99</f>
        <v>0</v>
      </c>
      <c r="M107" s="74">
        <f>IF('IMPORT SCHLIESSERDATEN'!CS99="wie TS",-1,'IMPORT SCHLIESSERDATEN'!CS99)</f>
        <v>0</v>
      </c>
      <c r="N107" s="74">
        <f>IF(M107&lt;0,-1,'IMPORT SCHLIESSERDATEN'!CU99)</f>
        <v>0</v>
      </c>
      <c r="O107" s="74">
        <f>IF('IMPORT SCHLIESSERDATEN'!CZ99="wie TS",-1,'IMPORT SCHLIESSERDATEN'!CZ99)</f>
        <v>78</v>
      </c>
      <c r="P107" s="74">
        <f>IF(O107&lt;0,-1,'IMPORT SCHLIESSERDATEN'!DB99)</f>
        <v>13</v>
      </c>
      <c r="Q107" s="74">
        <f>'IMPORT SCHLIESSERDATEN'!DG99</f>
        <v>0</v>
      </c>
      <c r="R107" s="74">
        <f>'IMPORT SCHLIESSERDATEN'!DI99</f>
        <v>0</v>
      </c>
      <c r="S107" s="74">
        <f>'IMPORT SCHLIESSERDATEN'!DN99</f>
        <v>0</v>
      </c>
      <c r="T107" s="74">
        <f>IF('IMPORT SCHLIESSERDATEN'!DP99="V",9999,'IMPORT SCHLIESSERDATEN'!DP99)</f>
        <v>0</v>
      </c>
      <c r="U107" s="74">
        <f>'IMPORT SCHLIESSERDATEN'!BW99</f>
        <v>413</v>
      </c>
      <c r="V107" s="74">
        <f>'IMPORT SCHLIESSERDATEN'!BX99</f>
        <v>52</v>
      </c>
      <c r="W107" s="74">
        <f>'IMPORT SCHLIESSERDATEN'!BY99</f>
        <v>71</v>
      </c>
      <c r="X107" s="74">
        <f>'IMPORT SCHLIESSERDATEN'!CO99</f>
        <v>0</v>
      </c>
      <c r="Y107" s="74">
        <f>'IMPORT SCHLIESSERDATEN'!CQ99</f>
        <v>0</v>
      </c>
      <c r="Z107" s="74">
        <f>'IMPORT SCHLIESSERDATEN'!CV99</f>
        <v>0</v>
      </c>
      <c r="AA107" s="74">
        <f>'IMPORT SCHLIESSERDATEN'!CX99</f>
        <v>0</v>
      </c>
      <c r="AB107" s="74">
        <f>'IMPORT SCHLIESSERDATEN'!DC99</f>
        <v>143</v>
      </c>
      <c r="AC107" s="74">
        <f>'IMPORT SCHLIESSERDATEN'!DE99</f>
        <v>0</v>
      </c>
      <c r="AD107" s="74">
        <f>'IMPORT SCHLIESSERDATEN'!DJ99</f>
        <v>0</v>
      </c>
      <c r="AE107" s="74">
        <f>'IMPORT SCHLIESSERDATEN'!DL99</f>
        <v>0</v>
      </c>
      <c r="AF107" s="74">
        <f>'IMPORT SCHLIESSERDATEN'!DQ99</f>
        <v>0</v>
      </c>
      <c r="AG107" s="74">
        <f>IF('IMPORT SCHLIESSERDATEN'!DS99="V",9999,'IMPORT SCHLIESSERDATEN'!DS99)</f>
        <v>0</v>
      </c>
      <c r="AH107" s="74">
        <f>IF('IMPORT SCHLIESSERDATEN'!BZ99="V",9999,IF('IMPORT SCHLIESSERDATEN'!CD99="_",-1,'IMPORT SCHLIESSERDATEN'!BZ99))</f>
        <v>442</v>
      </c>
      <c r="AI107" s="74">
        <f>IF('IMPORT SCHLIESSERDATEN'!CA99="V",9999,IF('IMPORT SCHLIESSERDATEN'!CD99="_",-1,'IMPORT SCHLIESSERDATEN'!CA99))</f>
        <v>23</v>
      </c>
      <c r="AJ107" s="74">
        <f>IF('IMPORT SCHLIESSERDATEN'!CB99="V",9999,IF('IMPORT SCHLIESSERDATEN'!CD99="_",-1,'IMPORT SCHLIESSERDATEN'!CB99))</f>
        <v>31</v>
      </c>
      <c r="AK107" s="74">
        <f>IF('IMPORT SCHLIESSERDATEN'!CC99="V",9999,IF('IMPORT SCHLIESSERDATEN'!CC99="_",-1,'IMPORT SCHLIESSERDATEN'!CC99))</f>
        <v>16</v>
      </c>
      <c r="AL107" s="74">
        <f>IF('IMPORT SCHLIESSERDATEN'!CD99="_",-1,'IMPORT SCHLIESSERDATEN'!CD99)</f>
        <v>375</v>
      </c>
      <c r="AM107" s="74">
        <f>'IMPORT SCHLIESSERDATEN'!CH99</f>
        <v>97</v>
      </c>
      <c r="AN107" s="74">
        <f>IF('IMPORT SCHLIESSERDATEN'!CE99="V",9999,'IMPORT SCHLIESSERDATEN'!CE99)</f>
        <v>27</v>
      </c>
      <c r="AO107" s="74">
        <f>IF('IMPORT SCHLIESSERDATEN'!CK99="_",-1,'IMPORT SCHLIESSERDATEN'!CK99)</f>
        <v>43</v>
      </c>
      <c r="AP107" s="74">
        <f>IF('IMPORT SCHLIESSERDATEN'!$U99="",0,1)</f>
        <v>1</v>
      </c>
      <c r="AQ107" s="74">
        <f>IF('IMPORT SCHLIESSERDATEN'!$V99="",0,1)</f>
        <v>1</v>
      </c>
      <c r="AR107" s="74">
        <f>IF('IMPORT SCHLIESSERDATEN'!$W99="",0,1)</f>
        <v>0</v>
      </c>
      <c r="AS107" s="74">
        <f>IF('IMPORT SCHLIESSERDATEN'!$AA99="",0,1)</f>
        <v>0</v>
      </c>
      <c r="AT107" s="74">
        <f>IF('IMPORT SCHLIESSERDATEN'!$AD99="",0,1) + IF('IMPORT SCHLIESSERDATEN'!$AE99="",0,2)</f>
        <v>2</v>
      </c>
      <c r="AU107" s="74" t="str">
        <f>IF('IMPORT SCHLIESSERDATEN'!$X99="",IF('IMPORT SCHLIESSERDATEN'!$Y99="","","F"),"V")</f>
        <v>F</v>
      </c>
      <c r="AV107" s="74" t="str">
        <f>IF('IMPORT SCHLIESSERDATEN'!$AB99&lt;&gt;"","M",IF('IMPORT SCHLIESSERDATEN'!$AD99&lt;&gt;"",IF(ISERR(SEARCH("UVIBIS",'IMPORT SCHLIESSERDATEN'!$B99)),"R","B"),IF(OR('IMPORT SCHLIESSERDATEN'!$AC99&lt;&gt;"",'IMPORT SCHLIESSERDATEN'!$AE99&lt;&gt;""),"E","")))</f>
        <v>E</v>
      </c>
      <c r="AW107" s="82"/>
      <c r="AX107" s="67"/>
    </row>
    <row r="108" spans="1:50" x14ac:dyDescent="0.25">
      <c r="A108" s="67">
        <f>IFERROR(IF(C108&lt;&gt;"",MAX($A$2:$A107)+1,""),"")</f>
        <v>96</v>
      </c>
      <c r="B108" s="223">
        <f t="shared" si="1"/>
        <v>96</v>
      </c>
      <c r="C108" s="216" t="str">
        <f>IF(J108=1,SUBSTITUTE('IMPORT SCHLIESSERDATEN'!$B100," Gangfl.",""),IF(J108=2,SUBSTITUTE('IMPORT SCHLIESSERDATEN'!$B100," Standfl.",""),'IMPORT SCHLIESSERDATEN'!$B100))</f>
        <v>TS 99 FLR EN 2-5</v>
      </c>
      <c r="D108" s="216" t="str">
        <f>IF('IMPORT SCHLIESSERDATEN'!$AF100&lt;&gt;"",IF(COUNTA('IMPORT SCHLIESSERDATEN'!$AN100:$AU100)&gt;0,"X","G"),IF('IMPORT SCHLIESSERDATEN'!$AG100&lt;&gt;"","S",IF('IMPORT SCHLIESSERDATEN'!$AH100&lt;&gt;"","I",IF('IMPORT SCHLIESSERDATEN'!$AI100&lt;&gt;"","B",IF('IMPORT SCHLIESSERDATEN'!$AJ100&lt;&gt;"","D","")))))</f>
        <v>G</v>
      </c>
      <c r="E108" s="248" t="str">
        <f>'IMPORT SCHLIESSERDATEN'!AK100 &amp; IF('IMPORT SCHLIESSERDATEN'!AL100="",""," "&amp; 'IMPORT SCHLIESSERDATEN'!AL100)</f>
        <v>99 B</v>
      </c>
      <c r="F108" s="74">
        <f>IFERROR(IF(D108="X",2^(MATCH("",'IMPORT SCHLIESSERDATEN'!$AN100:$AU100,-1)-1),IF(AV108="F",2^(MATCH("",'IMPORT SCHLIESSERDATEN'!$BH100:$BK100,-1)-1),2^(MATCH("",'IMPORT SCHLIESSERDATEN'!$AV100:$BG100,-1)-1))),0)</f>
        <v>0</v>
      </c>
      <c r="G108" s="74">
        <f>IF(AND('IMPORT SCHLIESSERDATEN'!$O100='IMPORT SCHLIESSERDATEN'!$R100,'IMPORT SCHLIESSERDATEN'!$O100&lt;&gt;"",'IMPORT SCHLIESSERDATEN'!$R100&lt;&gt;""),1,0)  +  IF(AND('IMPORT SCHLIESSERDATEN'!$P100='IMPORT SCHLIESSERDATEN'!$S100,'IMPORT SCHLIESSERDATEN'!$P100&lt;&gt;"",'IMPORT SCHLIESSERDATEN'!$S100&lt;&gt;""),2,0)   +  IF(AND('IMPORT SCHLIESSERDATEN'!$O100='IMPORT SCHLIESSERDATEN'!$S100,'IMPORT SCHLIESSERDATEN'!$O100&lt;&gt;"",'IMPORT SCHLIESSERDATEN'!$S100&lt;&gt;""),4,0)   +  IF(AND('IMPORT SCHLIESSERDATEN'!$P100='IMPORT SCHLIESSERDATEN'!$R100,'IMPORT SCHLIESSERDATEN'!$P100&lt;&gt;"",'IMPORT SCHLIESSERDATEN'!$R100&lt;&gt;""),8,0)   +  IF('IMPORT SCHLIESSERDATEN'!$Q100&lt;&gt;"",IF('IMPORT SCHLIESSERDATEN'!$R100&lt;&gt;"",32,0) + IF('IMPORT SCHLIESSERDATEN'!$S100&lt;&gt;"",64,0),0)  +  IF('IMPORT SCHLIESSERDATEN'!$T100&lt;&gt;"",IF('IMPORT SCHLIESSERDATEN'!$Q100&lt;&gt;"",128+256,128),0)</f>
        <v>4</v>
      </c>
      <c r="H108" s="74">
        <f>IF('IMPORT SCHLIESSERDATEN'!$H100="",0,1) + IF('IMPORT SCHLIESSERDATEN'!$I100="",0,2) + IF('IMPORT SCHLIESSERDATEN'!$J100="",0,4) + IF('IMPORT SCHLIESSERDATEN'!$K100="",0,8) + IF('IMPORT SCHLIESSERDATEN'!$L100="",0,16) + IF('IMPORT SCHLIESSERDATEN'!$M100="",0,32) + IF('IMPORT SCHLIESSERDATEN'!$N100="",0,64)</f>
        <v>30</v>
      </c>
      <c r="I108" s="74">
        <f>IF('IMPORT SCHLIESSERDATEN'!$D100="",0,1) + IF('IMPORT SCHLIESSERDATEN'!$E100="",0,2) + IF('IMPORT SCHLIESSERDATEN'!$E100="S",4,0)</f>
        <v>1</v>
      </c>
      <c r="J108" s="74">
        <f>IF(ISERR(FIND(" Gangfl.",'IMPORT SCHLIESSERDATEN'!$B100)),IF(ISERR(FIND(" Standfl.",'IMPORT SCHLIESSERDATEN'!$B100)),0,2),1)</f>
        <v>0</v>
      </c>
      <c r="K108" s="74">
        <f>'IMPORT SCHLIESSERDATEN'!CL100</f>
        <v>0</v>
      </c>
      <c r="L108" s="74">
        <f>'IMPORT SCHLIESSERDATEN'!CN100</f>
        <v>0</v>
      </c>
      <c r="M108" s="74">
        <f>IF('IMPORT SCHLIESSERDATEN'!CS100="wie TS",-1,'IMPORT SCHLIESSERDATEN'!CS100)</f>
        <v>0</v>
      </c>
      <c r="N108" s="74">
        <f>IF(M108&lt;0,-1,'IMPORT SCHLIESSERDATEN'!CU100)</f>
        <v>0</v>
      </c>
      <c r="O108" s="74">
        <f>IF('IMPORT SCHLIESSERDATEN'!CZ100="wie TS",-1,'IMPORT SCHLIESSERDATEN'!CZ100)</f>
        <v>78</v>
      </c>
      <c r="P108" s="74">
        <f>IF(O108&lt;0,-1,'IMPORT SCHLIESSERDATEN'!DB100)</f>
        <v>1</v>
      </c>
      <c r="Q108" s="74">
        <f>'IMPORT SCHLIESSERDATEN'!DG100</f>
        <v>0</v>
      </c>
      <c r="R108" s="74">
        <f>'IMPORT SCHLIESSERDATEN'!DI100</f>
        <v>0</v>
      </c>
      <c r="S108" s="74">
        <f>'IMPORT SCHLIESSERDATEN'!DN100</f>
        <v>0</v>
      </c>
      <c r="T108" s="74">
        <f>IF('IMPORT SCHLIESSERDATEN'!DP100="V",9999,'IMPORT SCHLIESSERDATEN'!DP100)</f>
        <v>0</v>
      </c>
      <c r="U108" s="74">
        <f>'IMPORT SCHLIESSERDATEN'!BW100</f>
        <v>785</v>
      </c>
      <c r="V108" s="74">
        <f>'IMPORT SCHLIESSERDATEN'!BX100</f>
        <v>52</v>
      </c>
      <c r="W108" s="74">
        <f>'IMPORT SCHLIESSERDATEN'!BY100</f>
        <v>71</v>
      </c>
      <c r="X108" s="74">
        <f>'IMPORT SCHLIESSERDATEN'!CO100</f>
        <v>0</v>
      </c>
      <c r="Y108" s="74">
        <f>'IMPORT SCHLIESSERDATEN'!CQ100</f>
        <v>0</v>
      </c>
      <c r="Z108" s="74">
        <f>'IMPORT SCHLIESSERDATEN'!CV100</f>
        <v>0</v>
      </c>
      <c r="AA108" s="74">
        <f>'IMPORT SCHLIESSERDATEN'!CX100</f>
        <v>0</v>
      </c>
      <c r="AB108" s="74">
        <f>'IMPORT SCHLIESSERDATEN'!DC100</f>
        <v>143</v>
      </c>
      <c r="AC108" s="74">
        <f>'IMPORT SCHLIESSERDATEN'!DE100</f>
        <v>0</v>
      </c>
      <c r="AD108" s="74">
        <f>'IMPORT SCHLIESSERDATEN'!DJ100</f>
        <v>0</v>
      </c>
      <c r="AE108" s="74">
        <f>'IMPORT SCHLIESSERDATEN'!DL100</f>
        <v>0</v>
      </c>
      <c r="AF108" s="74">
        <f>'IMPORT SCHLIESSERDATEN'!DQ100</f>
        <v>0</v>
      </c>
      <c r="AG108" s="74">
        <f>IF('IMPORT SCHLIESSERDATEN'!DS100="V",9999,'IMPORT SCHLIESSERDATEN'!DS100)</f>
        <v>0</v>
      </c>
      <c r="AH108" s="74">
        <f>IF('IMPORT SCHLIESSERDATEN'!BZ100="V",9999,IF('IMPORT SCHLIESSERDATEN'!CD100="_",-1,'IMPORT SCHLIESSERDATEN'!BZ100))</f>
        <v>442</v>
      </c>
      <c r="AI108" s="74">
        <f>IF('IMPORT SCHLIESSERDATEN'!CA100="V",9999,IF('IMPORT SCHLIESSERDATEN'!CD100="_",-1,'IMPORT SCHLIESSERDATEN'!CA100))</f>
        <v>23</v>
      </c>
      <c r="AJ108" s="74">
        <f>IF('IMPORT SCHLIESSERDATEN'!CB100="V",9999,IF('IMPORT SCHLIESSERDATEN'!CD100="_",-1,'IMPORT SCHLIESSERDATEN'!CB100))</f>
        <v>31</v>
      </c>
      <c r="AK108" s="74">
        <f>IF('IMPORT SCHLIESSERDATEN'!CC100="V",9999,IF('IMPORT SCHLIESSERDATEN'!CC100="_",-1,'IMPORT SCHLIESSERDATEN'!CC100))</f>
        <v>16</v>
      </c>
      <c r="AL108" s="74">
        <f>IF('IMPORT SCHLIESSERDATEN'!CD100="_",-1,'IMPORT SCHLIESSERDATEN'!CD100)</f>
        <v>375</v>
      </c>
      <c r="AM108" s="74">
        <f>'IMPORT SCHLIESSERDATEN'!CH100</f>
        <v>97</v>
      </c>
      <c r="AN108" s="74">
        <f>IF('IMPORT SCHLIESSERDATEN'!CE100="V",9999,'IMPORT SCHLIESSERDATEN'!CE100)</f>
        <v>27</v>
      </c>
      <c r="AO108" s="74">
        <f>IF('IMPORT SCHLIESSERDATEN'!CK100="_",-1,'IMPORT SCHLIESSERDATEN'!CK100)</f>
        <v>43</v>
      </c>
      <c r="AP108" s="74">
        <f>IF('IMPORT SCHLIESSERDATEN'!$U100="",0,1)</f>
        <v>1</v>
      </c>
      <c r="AQ108" s="74">
        <f>IF('IMPORT SCHLIESSERDATEN'!$V100="",0,1)</f>
        <v>1</v>
      </c>
      <c r="AR108" s="74">
        <f>IF('IMPORT SCHLIESSERDATEN'!$W100="",0,1)</f>
        <v>0</v>
      </c>
      <c r="AS108" s="74">
        <f>IF('IMPORT SCHLIESSERDATEN'!$AA100="",0,1)</f>
        <v>0</v>
      </c>
      <c r="AT108" s="74">
        <f>IF('IMPORT SCHLIESSERDATEN'!$AD100="",0,1) + IF('IMPORT SCHLIESSERDATEN'!$AE100="",0,2)</f>
        <v>1</v>
      </c>
      <c r="AU108" s="74" t="str">
        <f>IF('IMPORT SCHLIESSERDATEN'!$X100="",IF('IMPORT SCHLIESSERDATEN'!$Y100="","","F"),"V")</f>
        <v>F</v>
      </c>
      <c r="AV108" s="74" t="str">
        <f>IF('IMPORT SCHLIESSERDATEN'!$AB100&lt;&gt;"","M",IF('IMPORT SCHLIESSERDATEN'!$AD100&lt;&gt;"",IF(ISERR(SEARCH("UVIBIS",'IMPORT SCHLIESSERDATEN'!$B100)),"R","B"),IF(OR('IMPORT SCHLIESSERDATEN'!$AC100&lt;&gt;"",'IMPORT SCHLIESSERDATEN'!$AE100&lt;&gt;""),"E","")))</f>
        <v>R</v>
      </c>
      <c r="AW108" s="82"/>
      <c r="AX108" s="67"/>
    </row>
    <row r="109" spans="1:50" x14ac:dyDescent="0.25">
      <c r="A109" s="67">
        <f>IFERROR(IF(C109&lt;&gt;"",MAX($A$2:$A108)+1,""),"")</f>
        <v>97</v>
      </c>
      <c r="B109" s="223">
        <f t="shared" si="1"/>
        <v>97</v>
      </c>
      <c r="C109" s="216" t="str">
        <f>IF(J109=1,SUBSTITUTE('IMPORT SCHLIESSERDATEN'!$B101," Gangfl.",""),IF(J109=2,SUBSTITUTE('IMPORT SCHLIESSERDATEN'!$B101," Standfl.",""),'IMPORT SCHLIESSERDATEN'!$B101))</f>
        <v>TS 99 FLR-K EN 2-5</v>
      </c>
      <c r="D109" s="216" t="str">
        <f>IF('IMPORT SCHLIESSERDATEN'!$AF101&lt;&gt;"",IF(COUNTA('IMPORT SCHLIESSERDATEN'!$AN101:$AU101)&gt;0,"X","G"),IF('IMPORT SCHLIESSERDATEN'!$AG101&lt;&gt;"","S",IF('IMPORT SCHLIESSERDATEN'!$AH101&lt;&gt;"","I",IF('IMPORT SCHLIESSERDATEN'!$AI101&lt;&gt;"","B",IF('IMPORT SCHLIESSERDATEN'!$AJ101&lt;&gt;"","D","")))))</f>
        <v>G</v>
      </c>
      <c r="E109" s="248" t="str">
        <f>'IMPORT SCHLIESSERDATEN'!AK101 &amp; IF('IMPORT SCHLIESSERDATEN'!AL101="",""," "&amp; 'IMPORT SCHLIESSERDATEN'!AL101)</f>
        <v>99 B</v>
      </c>
      <c r="F109" s="74">
        <f>IFERROR(IF(D109="X",2^(MATCH("",'IMPORT SCHLIESSERDATEN'!$AN101:$AU101,-1)-1),IF(AV109="F",2^(MATCH("",'IMPORT SCHLIESSERDATEN'!$BH101:$BK101,-1)-1),2^(MATCH("",'IMPORT SCHLIESSERDATEN'!$AV101:$BG101,-1)-1))),0)</f>
        <v>0</v>
      </c>
      <c r="G109" s="74">
        <f>IF(AND('IMPORT SCHLIESSERDATEN'!$O101='IMPORT SCHLIESSERDATEN'!$R101,'IMPORT SCHLIESSERDATEN'!$O101&lt;&gt;"",'IMPORT SCHLIESSERDATEN'!$R101&lt;&gt;""),1,0)  +  IF(AND('IMPORT SCHLIESSERDATEN'!$P101='IMPORT SCHLIESSERDATEN'!$S101,'IMPORT SCHLIESSERDATEN'!$P101&lt;&gt;"",'IMPORT SCHLIESSERDATEN'!$S101&lt;&gt;""),2,0)   +  IF(AND('IMPORT SCHLIESSERDATEN'!$O101='IMPORT SCHLIESSERDATEN'!$S101,'IMPORT SCHLIESSERDATEN'!$O101&lt;&gt;"",'IMPORT SCHLIESSERDATEN'!$S101&lt;&gt;""),4,0)   +  IF(AND('IMPORT SCHLIESSERDATEN'!$P101='IMPORT SCHLIESSERDATEN'!$R101,'IMPORT SCHLIESSERDATEN'!$P101&lt;&gt;"",'IMPORT SCHLIESSERDATEN'!$R101&lt;&gt;""),8,0)   +  IF('IMPORT SCHLIESSERDATEN'!$Q101&lt;&gt;"",IF('IMPORT SCHLIESSERDATEN'!$R101&lt;&gt;"",32,0) + IF('IMPORT SCHLIESSERDATEN'!$S101&lt;&gt;"",64,0),0)  +  IF('IMPORT SCHLIESSERDATEN'!$T101&lt;&gt;"",IF('IMPORT SCHLIESSERDATEN'!$Q101&lt;&gt;"",128+256,128),0)</f>
        <v>1</v>
      </c>
      <c r="H109" s="74">
        <f>IF('IMPORT SCHLIESSERDATEN'!$H101="",0,1) + IF('IMPORT SCHLIESSERDATEN'!$I101="",0,2) + IF('IMPORT SCHLIESSERDATEN'!$J101="",0,4) + IF('IMPORT SCHLIESSERDATEN'!$K101="",0,8) + IF('IMPORT SCHLIESSERDATEN'!$L101="",0,16) + IF('IMPORT SCHLIESSERDATEN'!$M101="",0,32) + IF('IMPORT SCHLIESSERDATEN'!$N101="",0,64)</f>
        <v>30</v>
      </c>
      <c r="I109" s="74">
        <f>IF('IMPORT SCHLIESSERDATEN'!$D101="",0,1) + IF('IMPORT SCHLIESSERDATEN'!$E101="",0,2) + IF('IMPORT SCHLIESSERDATEN'!$E101="S",4,0)</f>
        <v>1</v>
      </c>
      <c r="J109" s="74">
        <f>IF(ISERR(FIND(" Gangfl.",'IMPORT SCHLIESSERDATEN'!$B101)),IF(ISERR(FIND(" Standfl.",'IMPORT SCHLIESSERDATEN'!$B101)),0,2),1)</f>
        <v>0</v>
      </c>
      <c r="K109" s="74">
        <f>'IMPORT SCHLIESSERDATEN'!CL101</f>
        <v>78</v>
      </c>
      <c r="L109" s="74">
        <f>'IMPORT SCHLIESSERDATEN'!CN101</f>
        <v>1</v>
      </c>
      <c r="M109" s="74">
        <f>IF('IMPORT SCHLIESSERDATEN'!CS101="wie TS",-1,'IMPORT SCHLIESSERDATEN'!CS101)</f>
        <v>0</v>
      </c>
      <c r="N109" s="74">
        <f>IF(M109&lt;0,-1,'IMPORT SCHLIESSERDATEN'!CU101)</f>
        <v>0</v>
      </c>
      <c r="O109" s="74">
        <f>IF('IMPORT SCHLIESSERDATEN'!CZ101="wie TS",-1,'IMPORT SCHLIESSERDATEN'!CZ101)</f>
        <v>0</v>
      </c>
      <c r="P109" s="74">
        <f>IF(O109&lt;0,-1,'IMPORT SCHLIESSERDATEN'!DB101)</f>
        <v>0</v>
      </c>
      <c r="Q109" s="74">
        <f>'IMPORT SCHLIESSERDATEN'!DG101</f>
        <v>0</v>
      </c>
      <c r="R109" s="74">
        <f>'IMPORT SCHLIESSERDATEN'!DI101</f>
        <v>0</v>
      </c>
      <c r="S109" s="74">
        <f>'IMPORT SCHLIESSERDATEN'!DN101</f>
        <v>0</v>
      </c>
      <c r="T109" s="74">
        <f>IF('IMPORT SCHLIESSERDATEN'!DP101="V",9999,'IMPORT SCHLIESSERDATEN'!DP101)</f>
        <v>0</v>
      </c>
      <c r="U109" s="74">
        <f>'IMPORT SCHLIESSERDATEN'!BW101</f>
        <v>413</v>
      </c>
      <c r="V109" s="74">
        <f>'IMPORT SCHLIESSERDATEN'!BX101</f>
        <v>52</v>
      </c>
      <c r="W109" s="74">
        <f>'IMPORT SCHLIESSERDATEN'!BY101</f>
        <v>71</v>
      </c>
      <c r="X109" s="74">
        <f>'IMPORT SCHLIESSERDATEN'!CO101</f>
        <v>143</v>
      </c>
      <c r="Y109" s="74">
        <f>'IMPORT SCHLIESSERDATEN'!CQ101</f>
        <v>13</v>
      </c>
      <c r="Z109" s="74">
        <f>'IMPORT SCHLIESSERDATEN'!CV101</f>
        <v>0</v>
      </c>
      <c r="AA109" s="74">
        <f>'IMPORT SCHLIESSERDATEN'!CX101</f>
        <v>0</v>
      </c>
      <c r="AB109" s="74">
        <f>'IMPORT SCHLIESSERDATEN'!DC101</f>
        <v>0</v>
      </c>
      <c r="AC109" s="74">
        <f>'IMPORT SCHLIESSERDATEN'!DE101</f>
        <v>0</v>
      </c>
      <c r="AD109" s="74">
        <f>'IMPORT SCHLIESSERDATEN'!DJ101</f>
        <v>0</v>
      </c>
      <c r="AE109" s="74">
        <f>'IMPORT SCHLIESSERDATEN'!DL101</f>
        <v>0</v>
      </c>
      <c r="AF109" s="74">
        <f>'IMPORT SCHLIESSERDATEN'!DQ101</f>
        <v>0</v>
      </c>
      <c r="AG109" s="74">
        <f>IF('IMPORT SCHLIESSERDATEN'!DS101="V",9999,'IMPORT SCHLIESSERDATEN'!DS101)</f>
        <v>0</v>
      </c>
      <c r="AH109" s="74">
        <f>IF('IMPORT SCHLIESSERDATEN'!BZ101="V",9999,IF('IMPORT SCHLIESSERDATEN'!CD101="_",-1,'IMPORT SCHLIESSERDATEN'!BZ101))</f>
        <v>864</v>
      </c>
      <c r="AI109" s="74">
        <f>IF('IMPORT SCHLIESSERDATEN'!CA101="V",9999,IF('IMPORT SCHLIESSERDATEN'!CD101="_",-1,'IMPORT SCHLIESSERDATEN'!CA101))</f>
        <v>30</v>
      </c>
      <c r="AJ109" s="74">
        <f>IF('IMPORT SCHLIESSERDATEN'!CB101="V",9999,IF('IMPORT SCHLIESSERDATEN'!CD101="_",-1,'IMPORT SCHLIESSERDATEN'!CB101))</f>
        <v>40</v>
      </c>
      <c r="AK109" s="74">
        <f>IF('IMPORT SCHLIESSERDATEN'!CC101="V",9999,IF('IMPORT SCHLIESSERDATEN'!CC101="_",-1,'IMPORT SCHLIESSERDATEN'!CC101))</f>
        <v>20</v>
      </c>
      <c r="AL109" s="74">
        <f>IF('IMPORT SCHLIESSERDATEN'!CD101="_",-1,'IMPORT SCHLIESSERDATEN'!CD101)</f>
        <v>375</v>
      </c>
      <c r="AM109" s="74">
        <f>'IMPORT SCHLIESSERDATEN'!CH101</f>
        <v>97</v>
      </c>
      <c r="AN109" s="74">
        <f>IF('IMPORT SCHLIESSERDATEN'!CE101="V",9999,'IMPORT SCHLIESSERDATEN'!CE101)</f>
        <v>27</v>
      </c>
      <c r="AO109" s="74">
        <f>IF('IMPORT SCHLIESSERDATEN'!CK101="_",-1,'IMPORT SCHLIESSERDATEN'!CK101)</f>
        <v>51</v>
      </c>
      <c r="AP109" s="74">
        <f>IF('IMPORT SCHLIESSERDATEN'!$U101="",0,1)</f>
        <v>1</v>
      </c>
      <c r="AQ109" s="74">
        <f>IF('IMPORT SCHLIESSERDATEN'!$V101="",0,1)</f>
        <v>1</v>
      </c>
      <c r="AR109" s="74">
        <f>IF('IMPORT SCHLIESSERDATEN'!$W101="",0,1)</f>
        <v>0</v>
      </c>
      <c r="AS109" s="74">
        <f>IF('IMPORT SCHLIESSERDATEN'!$AA101="",0,1)</f>
        <v>0</v>
      </c>
      <c r="AT109" s="74">
        <f>IF('IMPORT SCHLIESSERDATEN'!$AD101="",0,1) + IF('IMPORT SCHLIESSERDATEN'!$AE101="",0,2)</f>
        <v>1</v>
      </c>
      <c r="AU109" s="74" t="str">
        <f>IF('IMPORT SCHLIESSERDATEN'!$X101="",IF('IMPORT SCHLIESSERDATEN'!$Y101="","","F"),"V")</f>
        <v>F</v>
      </c>
      <c r="AV109" s="74" t="str">
        <f>IF('IMPORT SCHLIESSERDATEN'!$AB101&lt;&gt;"","M",IF('IMPORT SCHLIESSERDATEN'!$AD101&lt;&gt;"",IF(ISERR(SEARCH("UVIBIS",'IMPORT SCHLIESSERDATEN'!$B101)),"R","B"),IF(OR('IMPORT SCHLIESSERDATEN'!$AC101&lt;&gt;"",'IMPORT SCHLIESSERDATEN'!$AE101&lt;&gt;""),"E","")))</f>
        <v>R</v>
      </c>
      <c r="AW109" s="82"/>
      <c r="AX109" s="67"/>
    </row>
    <row r="110" spans="1:50" x14ac:dyDescent="0.25">
      <c r="A110" s="67">
        <f>IFERROR(IF(C110&lt;&gt;"",MAX($A$2:$A109)+1,""),"")</f>
        <v>98</v>
      </c>
      <c r="B110" s="223">
        <f t="shared" si="1"/>
        <v>98</v>
      </c>
      <c r="C110" s="216" t="str">
        <f>IF(J110=1,SUBSTITUTE('IMPORT SCHLIESSERDATEN'!$B102," Gangfl.",""),IF(J110=2,SUBSTITUTE('IMPORT SCHLIESSERDATEN'!$B102," Standfl.",""),'IMPORT SCHLIESSERDATEN'!$B102))</f>
        <v>TS 99  FL GSR-EMR 0 EN 2-5</v>
      </c>
      <c r="D110" s="216" t="str">
        <f>IF('IMPORT SCHLIESSERDATEN'!$AF102&lt;&gt;"",IF(COUNTA('IMPORT SCHLIESSERDATEN'!$AN102:$AU102)&gt;0,"X","G"),IF('IMPORT SCHLIESSERDATEN'!$AG102&lt;&gt;"","S",IF('IMPORT SCHLIESSERDATEN'!$AH102&lt;&gt;"","I",IF('IMPORT SCHLIESSERDATEN'!$AI102&lt;&gt;"","B",IF('IMPORT SCHLIESSERDATEN'!$AJ102&lt;&gt;"","D","")))))</f>
        <v>G</v>
      </c>
      <c r="E110" s="248" t="str">
        <f>'IMPORT SCHLIESSERDATEN'!AK102 &amp; IF('IMPORT SCHLIESSERDATEN'!AL102="",""," "&amp; 'IMPORT SCHLIESSERDATEN'!AL102)</f>
        <v>99 B</v>
      </c>
      <c r="F110" s="74">
        <f>IFERROR(IF(D110="X",2^(MATCH("",'IMPORT SCHLIESSERDATEN'!$AN102:$AU102,-1)-1),IF(AV110="F",2^(MATCH("",'IMPORT SCHLIESSERDATEN'!$BH102:$BK102,-1)-1),2^(MATCH("",'IMPORT SCHLIESSERDATEN'!$AV102:$BG102,-1)-1))),0)</f>
        <v>0</v>
      </c>
      <c r="G110" s="74">
        <f>IF(AND('IMPORT SCHLIESSERDATEN'!$O102='IMPORT SCHLIESSERDATEN'!$R102,'IMPORT SCHLIESSERDATEN'!$O102&lt;&gt;"",'IMPORT SCHLIESSERDATEN'!$R102&lt;&gt;""),1,0)  +  IF(AND('IMPORT SCHLIESSERDATEN'!$P102='IMPORT SCHLIESSERDATEN'!$S102,'IMPORT SCHLIESSERDATEN'!$P102&lt;&gt;"",'IMPORT SCHLIESSERDATEN'!$S102&lt;&gt;""),2,0)   +  IF(AND('IMPORT SCHLIESSERDATEN'!$O102='IMPORT SCHLIESSERDATEN'!$S102,'IMPORT SCHLIESSERDATEN'!$O102&lt;&gt;"",'IMPORT SCHLIESSERDATEN'!$S102&lt;&gt;""),4,0)   +  IF(AND('IMPORT SCHLIESSERDATEN'!$P102='IMPORT SCHLIESSERDATEN'!$R102,'IMPORT SCHLIESSERDATEN'!$P102&lt;&gt;"",'IMPORT SCHLIESSERDATEN'!$R102&lt;&gt;""),8,0)   +  IF('IMPORT SCHLIESSERDATEN'!$Q102&lt;&gt;"",IF('IMPORT SCHLIESSERDATEN'!$R102&lt;&gt;"",32,0) + IF('IMPORT SCHLIESSERDATEN'!$S102&lt;&gt;"",64,0),0)  +  IF('IMPORT SCHLIESSERDATEN'!$T102&lt;&gt;"",IF('IMPORT SCHLIESSERDATEN'!$Q102&lt;&gt;"",128+256,128),0)</f>
        <v>1</v>
      </c>
      <c r="H110" s="74">
        <f>IF('IMPORT SCHLIESSERDATEN'!$H102="",0,1) + IF('IMPORT SCHLIESSERDATEN'!$I102="",0,2) + IF('IMPORT SCHLIESSERDATEN'!$J102="",0,4) + IF('IMPORT SCHLIESSERDATEN'!$K102="",0,8) + IF('IMPORT SCHLIESSERDATEN'!$L102="",0,16) + IF('IMPORT SCHLIESSERDATEN'!$M102="",0,32) + IF('IMPORT SCHLIESSERDATEN'!$N102="",0,64)</f>
        <v>30</v>
      </c>
      <c r="I110" s="74">
        <f>IF('IMPORT SCHLIESSERDATEN'!$D102="",0,1) + IF('IMPORT SCHLIESSERDATEN'!$E102="",0,2) + IF('IMPORT SCHLIESSERDATEN'!$E102="S",4,0)</f>
        <v>2</v>
      </c>
      <c r="J110" s="74">
        <f>IF(ISERR(FIND(" Gangfl.",'IMPORT SCHLIESSERDATEN'!$B102)),IF(ISERR(FIND(" Standfl.",'IMPORT SCHLIESSERDATEN'!$B102)),0,2),1)</f>
        <v>0</v>
      </c>
      <c r="K110" s="74">
        <f>'IMPORT SCHLIESSERDATEN'!CL102</f>
        <v>78</v>
      </c>
      <c r="L110" s="74">
        <f>'IMPORT SCHLIESSERDATEN'!CN102</f>
        <v>1</v>
      </c>
      <c r="M110" s="74">
        <f>IF('IMPORT SCHLIESSERDATEN'!CS102="wie TS",-1,'IMPORT SCHLIESSERDATEN'!CS102)</f>
        <v>0</v>
      </c>
      <c r="N110" s="74">
        <f>IF(M110&lt;0,-1,'IMPORT SCHLIESSERDATEN'!CU102)</f>
        <v>0</v>
      </c>
      <c r="O110" s="74">
        <f>IF('IMPORT SCHLIESSERDATEN'!CZ102="wie TS",-1,'IMPORT SCHLIESSERDATEN'!CZ102)</f>
        <v>0</v>
      </c>
      <c r="P110" s="74">
        <f>IF(O110&lt;0,-1,'IMPORT SCHLIESSERDATEN'!DB102)</f>
        <v>0</v>
      </c>
      <c r="Q110" s="74">
        <f>'IMPORT SCHLIESSERDATEN'!DG102</f>
        <v>0</v>
      </c>
      <c r="R110" s="74">
        <f>'IMPORT SCHLIESSERDATEN'!DI102</f>
        <v>0</v>
      </c>
      <c r="S110" s="74">
        <f>'IMPORT SCHLIESSERDATEN'!DN102</f>
        <v>0</v>
      </c>
      <c r="T110" s="74">
        <f>IF('IMPORT SCHLIESSERDATEN'!DP102="V",9999,'IMPORT SCHLIESSERDATEN'!DP102)</f>
        <v>0</v>
      </c>
      <c r="U110" s="74">
        <f>'IMPORT SCHLIESSERDATEN'!BW102</f>
        <v>413</v>
      </c>
      <c r="V110" s="74">
        <f>'IMPORT SCHLIESSERDATEN'!BX102</f>
        <v>52</v>
      </c>
      <c r="W110" s="74">
        <f>'IMPORT SCHLIESSERDATEN'!BY102</f>
        <v>71</v>
      </c>
      <c r="X110" s="74">
        <f>'IMPORT SCHLIESSERDATEN'!CO102</f>
        <v>84</v>
      </c>
      <c r="Y110" s="74">
        <f>'IMPORT SCHLIESSERDATEN'!CQ102</f>
        <v>13</v>
      </c>
      <c r="Z110" s="74">
        <f>'IMPORT SCHLIESSERDATEN'!CV102</f>
        <v>0</v>
      </c>
      <c r="AA110" s="74">
        <f>'IMPORT SCHLIESSERDATEN'!CX102</f>
        <v>0</v>
      </c>
      <c r="AB110" s="74">
        <f>'IMPORT SCHLIESSERDATEN'!DC102</f>
        <v>0</v>
      </c>
      <c r="AC110" s="74">
        <f>'IMPORT SCHLIESSERDATEN'!DE102</f>
        <v>0</v>
      </c>
      <c r="AD110" s="74">
        <f>'IMPORT SCHLIESSERDATEN'!DJ102</f>
        <v>0</v>
      </c>
      <c r="AE110" s="74">
        <f>'IMPORT SCHLIESSERDATEN'!DL102</f>
        <v>0</v>
      </c>
      <c r="AF110" s="74">
        <f>'IMPORT SCHLIESSERDATEN'!DQ102</f>
        <v>0</v>
      </c>
      <c r="AG110" s="74">
        <f>IF('IMPORT SCHLIESSERDATEN'!DS102="V",9999,'IMPORT SCHLIESSERDATEN'!DS102)</f>
        <v>0</v>
      </c>
      <c r="AH110" s="74">
        <f>IF('IMPORT SCHLIESSERDATEN'!BZ102="V",9999,IF('IMPORT SCHLIESSERDATEN'!CD102="_",-1,'IMPORT SCHLIESSERDATEN'!BZ102))</f>
        <v>9999</v>
      </c>
      <c r="AI110" s="74">
        <f>IF('IMPORT SCHLIESSERDATEN'!CA102="V",9999,IF('IMPORT SCHLIESSERDATEN'!CD102="_",-1,'IMPORT SCHLIESSERDATEN'!CA102))</f>
        <v>30</v>
      </c>
      <c r="AJ110" s="74">
        <f>IF('IMPORT SCHLIESSERDATEN'!CB102="V",9999,IF('IMPORT SCHLIESSERDATEN'!CD102="_",-1,'IMPORT SCHLIESSERDATEN'!CB102))</f>
        <v>55</v>
      </c>
      <c r="AK110" s="74">
        <f>IF('IMPORT SCHLIESSERDATEN'!CC102="V",9999,IF('IMPORT SCHLIESSERDATEN'!CC102="_",-1,'IMPORT SCHLIESSERDATEN'!CC102))</f>
        <v>28</v>
      </c>
      <c r="AL110" s="74">
        <f>IF('IMPORT SCHLIESSERDATEN'!CD102="_",-1,'IMPORT SCHLIESSERDATEN'!CD102)</f>
        <v>375</v>
      </c>
      <c r="AM110" s="74">
        <f>'IMPORT SCHLIESSERDATEN'!CH102</f>
        <v>97</v>
      </c>
      <c r="AN110" s="74">
        <f>IF('IMPORT SCHLIESSERDATEN'!CE102="V",9999,'IMPORT SCHLIESSERDATEN'!CE102)</f>
        <v>27</v>
      </c>
      <c r="AO110" s="74">
        <f>IF('IMPORT SCHLIESSERDATEN'!CK102="_",-1,'IMPORT SCHLIESSERDATEN'!CK102)</f>
        <v>51</v>
      </c>
      <c r="AP110" s="74">
        <f>IF('IMPORT SCHLIESSERDATEN'!$U102="",0,1)</f>
        <v>1</v>
      </c>
      <c r="AQ110" s="74">
        <f>IF('IMPORT SCHLIESSERDATEN'!$V102="",0,1)</f>
        <v>1</v>
      </c>
      <c r="AR110" s="74">
        <f>IF('IMPORT SCHLIESSERDATEN'!$W102="",0,1)</f>
        <v>0</v>
      </c>
      <c r="AS110" s="74">
        <f>IF('IMPORT SCHLIESSERDATEN'!$AA102="",0,1)</f>
        <v>1</v>
      </c>
      <c r="AT110" s="74">
        <f>IF('IMPORT SCHLIESSERDATEN'!$AD102="",0,1) + IF('IMPORT SCHLIESSERDATEN'!$AE102="",0,2)</f>
        <v>1</v>
      </c>
      <c r="AU110" s="74" t="str">
        <f>IF('IMPORT SCHLIESSERDATEN'!$X102="",IF('IMPORT SCHLIESSERDATEN'!$Y102="","","F"),"V")</f>
        <v>F</v>
      </c>
      <c r="AV110" s="74" t="str">
        <f>IF('IMPORT SCHLIESSERDATEN'!$AB102&lt;&gt;"","M",IF('IMPORT SCHLIESSERDATEN'!$AD102&lt;&gt;"",IF(ISERR(SEARCH("UVIBIS",'IMPORT SCHLIESSERDATEN'!$B102)),"R","B"),IF(OR('IMPORT SCHLIESSERDATEN'!$AC102&lt;&gt;"",'IMPORT SCHLIESSERDATEN'!$AE102&lt;&gt;""),"E","")))</f>
        <v>R</v>
      </c>
      <c r="AW110" s="82"/>
      <c r="AX110" s="67"/>
    </row>
    <row r="111" spans="1:50" x14ac:dyDescent="0.25">
      <c r="A111" s="67">
        <f>IFERROR(IF(C111&lt;&gt;"",MAX($A$2:$A110)+1,""),"")</f>
        <v>99</v>
      </c>
      <c r="B111" s="223">
        <f t="shared" si="1"/>
        <v>99</v>
      </c>
      <c r="C111" s="216" t="str">
        <f>IF(J111=1,SUBSTITUTE('IMPORT SCHLIESSERDATEN'!$B103," Gangfl.",""),IF(J111=2,SUBSTITUTE('IMPORT SCHLIESSERDATEN'!$B103," Standfl.",""),'IMPORT SCHLIESSERDATEN'!$B103))</f>
        <v>TS 99  FL GSR-EMR 1 EN 2-5</v>
      </c>
      <c r="D111" s="216" t="str">
        <f>IF('IMPORT SCHLIESSERDATEN'!$AF103&lt;&gt;"",IF(COUNTA('IMPORT SCHLIESSERDATEN'!$AN103:$AU103)&gt;0,"X","G"),IF('IMPORT SCHLIESSERDATEN'!$AG103&lt;&gt;"","S",IF('IMPORT SCHLIESSERDATEN'!$AH103&lt;&gt;"","I",IF('IMPORT SCHLIESSERDATEN'!$AI103&lt;&gt;"","B",IF('IMPORT SCHLIESSERDATEN'!$AJ103&lt;&gt;"","D","")))))</f>
        <v>G</v>
      </c>
      <c r="E111" s="248" t="str">
        <f>'IMPORT SCHLIESSERDATEN'!AK103 &amp; IF('IMPORT SCHLIESSERDATEN'!AL103="",""," "&amp; 'IMPORT SCHLIESSERDATEN'!AL103)</f>
        <v>99 B</v>
      </c>
      <c r="F111" s="74">
        <f>IFERROR(IF(D111="X",2^(MATCH("",'IMPORT SCHLIESSERDATEN'!$AN103:$AU103,-1)-1),IF(AV111="F",2^(MATCH("",'IMPORT SCHLIESSERDATEN'!$BH103:$BK103,-1)-1),2^(MATCH("",'IMPORT SCHLIESSERDATEN'!$AV103:$BG103,-1)-1))),0)</f>
        <v>0</v>
      </c>
      <c r="G111" s="74">
        <f>IF(AND('IMPORT SCHLIESSERDATEN'!$O103='IMPORT SCHLIESSERDATEN'!$R103,'IMPORT SCHLIESSERDATEN'!$O103&lt;&gt;"",'IMPORT SCHLIESSERDATEN'!$R103&lt;&gt;""),1,0)  +  IF(AND('IMPORT SCHLIESSERDATEN'!$P103='IMPORT SCHLIESSERDATEN'!$S103,'IMPORT SCHLIESSERDATEN'!$P103&lt;&gt;"",'IMPORT SCHLIESSERDATEN'!$S103&lt;&gt;""),2,0)   +  IF(AND('IMPORT SCHLIESSERDATEN'!$O103='IMPORT SCHLIESSERDATEN'!$S103,'IMPORT SCHLIESSERDATEN'!$O103&lt;&gt;"",'IMPORT SCHLIESSERDATEN'!$S103&lt;&gt;""),4,0)   +  IF(AND('IMPORT SCHLIESSERDATEN'!$P103='IMPORT SCHLIESSERDATEN'!$R103,'IMPORT SCHLIESSERDATEN'!$P103&lt;&gt;"",'IMPORT SCHLIESSERDATEN'!$R103&lt;&gt;""),8,0)   +  IF('IMPORT SCHLIESSERDATEN'!$Q103&lt;&gt;"",IF('IMPORT SCHLIESSERDATEN'!$R103&lt;&gt;"",32,0) + IF('IMPORT SCHLIESSERDATEN'!$S103&lt;&gt;"",64,0),0)  +  IF('IMPORT SCHLIESSERDATEN'!$T103&lt;&gt;"",IF('IMPORT SCHLIESSERDATEN'!$Q103&lt;&gt;"",128+256,128),0)</f>
        <v>1</v>
      </c>
      <c r="H111" s="74">
        <f>IF('IMPORT SCHLIESSERDATEN'!$H103="",0,1) + IF('IMPORT SCHLIESSERDATEN'!$I103="",0,2) + IF('IMPORT SCHLIESSERDATEN'!$J103="",0,4) + IF('IMPORT SCHLIESSERDATEN'!$K103="",0,8) + IF('IMPORT SCHLIESSERDATEN'!$L103="",0,16) + IF('IMPORT SCHLIESSERDATEN'!$M103="",0,32) + IF('IMPORT SCHLIESSERDATEN'!$N103="",0,64)</f>
        <v>30</v>
      </c>
      <c r="I111" s="74">
        <f>IF('IMPORT SCHLIESSERDATEN'!$D103="",0,1) + IF('IMPORT SCHLIESSERDATEN'!$E103="",0,2) + IF('IMPORT SCHLIESSERDATEN'!$E103="S",4,0)</f>
        <v>2</v>
      </c>
      <c r="J111" s="74">
        <f>IF(ISERR(FIND(" Gangfl.",'IMPORT SCHLIESSERDATEN'!$B103)),IF(ISERR(FIND(" Standfl.",'IMPORT SCHLIESSERDATEN'!$B103)),0,2),1)</f>
        <v>0</v>
      </c>
      <c r="K111" s="74">
        <f>'IMPORT SCHLIESSERDATEN'!CL103</f>
        <v>78</v>
      </c>
      <c r="L111" s="74">
        <f>'IMPORT SCHLIESSERDATEN'!CN103</f>
        <v>1</v>
      </c>
      <c r="M111" s="74">
        <f>IF('IMPORT SCHLIESSERDATEN'!CS103="wie TS",-1,'IMPORT SCHLIESSERDATEN'!CS103)</f>
        <v>0</v>
      </c>
      <c r="N111" s="74">
        <f>IF(M111&lt;0,-1,'IMPORT SCHLIESSERDATEN'!CU103)</f>
        <v>0</v>
      </c>
      <c r="O111" s="74">
        <f>IF('IMPORT SCHLIESSERDATEN'!CZ103="wie TS",-1,'IMPORT SCHLIESSERDATEN'!CZ103)</f>
        <v>0</v>
      </c>
      <c r="P111" s="74">
        <f>IF(O111&lt;0,-1,'IMPORT SCHLIESSERDATEN'!DB103)</f>
        <v>0</v>
      </c>
      <c r="Q111" s="74">
        <f>'IMPORT SCHLIESSERDATEN'!DG103</f>
        <v>0</v>
      </c>
      <c r="R111" s="74">
        <f>'IMPORT SCHLIESSERDATEN'!DI103</f>
        <v>0</v>
      </c>
      <c r="S111" s="74">
        <f>'IMPORT SCHLIESSERDATEN'!DN103</f>
        <v>0</v>
      </c>
      <c r="T111" s="74">
        <f>IF('IMPORT SCHLIESSERDATEN'!DP103="V",9999,'IMPORT SCHLIESSERDATEN'!DP103)</f>
        <v>0</v>
      </c>
      <c r="U111" s="74">
        <f>'IMPORT SCHLIESSERDATEN'!BW103</f>
        <v>413</v>
      </c>
      <c r="V111" s="74">
        <f>'IMPORT SCHLIESSERDATEN'!BX103</f>
        <v>52</v>
      </c>
      <c r="W111" s="74">
        <f>'IMPORT SCHLIESSERDATEN'!BY103</f>
        <v>71</v>
      </c>
      <c r="X111" s="74">
        <f>'IMPORT SCHLIESSERDATEN'!CO103</f>
        <v>84</v>
      </c>
      <c r="Y111" s="74">
        <f>'IMPORT SCHLIESSERDATEN'!CQ103</f>
        <v>13</v>
      </c>
      <c r="Z111" s="74">
        <f>'IMPORT SCHLIESSERDATEN'!CV103</f>
        <v>0</v>
      </c>
      <c r="AA111" s="74">
        <f>'IMPORT SCHLIESSERDATEN'!CX103</f>
        <v>0</v>
      </c>
      <c r="AB111" s="74">
        <f>'IMPORT SCHLIESSERDATEN'!DC103</f>
        <v>0</v>
      </c>
      <c r="AC111" s="74">
        <f>'IMPORT SCHLIESSERDATEN'!DE103</f>
        <v>0</v>
      </c>
      <c r="AD111" s="74">
        <f>'IMPORT SCHLIESSERDATEN'!DJ103</f>
        <v>0</v>
      </c>
      <c r="AE111" s="74">
        <f>'IMPORT SCHLIESSERDATEN'!DL103</f>
        <v>0</v>
      </c>
      <c r="AF111" s="74">
        <f>'IMPORT SCHLIESSERDATEN'!DQ103</f>
        <v>0</v>
      </c>
      <c r="AG111" s="74">
        <f>IF('IMPORT SCHLIESSERDATEN'!DS103="V",9999,'IMPORT SCHLIESSERDATEN'!DS103)</f>
        <v>0</v>
      </c>
      <c r="AH111" s="74">
        <f>IF('IMPORT SCHLIESSERDATEN'!BZ103="V",9999,IF('IMPORT SCHLIESSERDATEN'!CD103="_",-1,'IMPORT SCHLIESSERDATEN'!BZ103))</f>
        <v>9999</v>
      </c>
      <c r="AI111" s="74">
        <f>IF('IMPORT SCHLIESSERDATEN'!CA103="V",9999,IF('IMPORT SCHLIESSERDATEN'!CD103="_",-1,'IMPORT SCHLIESSERDATEN'!CA103))</f>
        <v>30</v>
      </c>
      <c r="AJ111" s="74">
        <f>IF('IMPORT SCHLIESSERDATEN'!CB103="V",9999,IF('IMPORT SCHLIESSERDATEN'!CD103="_",-1,'IMPORT SCHLIESSERDATEN'!CB103))</f>
        <v>55</v>
      </c>
      <c r="AK111" s="74">
        <f>IF('IMPORT SCHLIESSERDATEN'!CC103="V",9999,IF('IMPORT SCHLIESSERDATEN'!CC103="_",-1,'IMPORT SCHLIESSERDATEN'!CC103))</f>
        <v>28</v>
      </c>
      <c r="AL111" s="74">
        <f>IF('IMPORT SCHLIESSERDATEN'!CD103="_",-1,'IMPORT SCHLIESSERDATEN'!CD103)</f>
        <v>375</v>
      </c>
      <c r="AM111" s="74">
        <f>'IMPORT SCHLIESSERDATEN'!CH103</f>
        <v>97</v>
      </c>
      <c r="AN111" s="74">
        <f>IF('IMPORT SCHLIESSERDATEN'!CE103="V",9999,'IMPORT SCHLIESSERDATEN'!CE103)</f>
        <v>27</v>
      </c>
      <c r="AO111" s="74">
        <f>IF('IMPORT SCHLIESSERDATEN'!CK103="_",-1,'IMPORT SCHLIESSERDATEN'!CK103)</f>
        <v>51</v>
      </c>
      <c r="AP111" s="74">
        <f>IF('IMPORT SCHLIESSERDATEN'!$U103="",0,1)</f>
        <v>1</v>
      </c>
      <c r="AQ111" s="74">
        <f>IF('IMPORT SCHLIESSERDATEN'!$V103="",0,1)</f>
        <v>1</v>
      </c>
      <c r="AR111" s="74">
        <f>IF('IMPORT SCHLIESSERDATEN'!$W103="",0,1)</f>
        <v>0</v>
      </c>
      <c r="AS111" s="74">
        <f>IF('IMPORT SCHLIESSERDATEN'!$AA103="",0,1)</f>
        <v>1</v>
      </c>
      <c r="AT111" s="74">
        <f>IF('IMPORT SCHLIESSERDATEN'!$AD103="",0,1) + IF('IMPORT SCHLIESSERDATEN'!$AE103="",0,2)</f>
        <v>1</v>
      </c>
      <c r="AU111" s="74" t="str">
        <f>IF('IMPORT SCHLIESSERDATEN'!$X103="",IF('IMPORT SCHLIESSERDATEN'!$Y103="","","F"),"V")</f>
        <v>F</v>
      </c>
      <c r="AV111" s="74" t="str">
        <f>IF('IMPORT SCHLIESSERDATEN'!$AB103&lt;&gt;"","M",IF('IMPORT SCHLIESSERDATEN'!$AD103&lt;&gt;"",IF(ISERR(SEARCH("UVIBIS",'IMPORT SCHLIESSERDATEN'!$B103)),"R","B"),IF(OR('IMPORT SCHLIESSERDATEN'!$AC103&lt;&gt;"",'IMPORT SCHLIESSERDATEN'!$AE103&lt;&gt;""),"E","")))</f>
        <v>R</v>
      </c>
      <c r="AW111" s="82"/>
      <c r="AX111" s="67"/>
    </row>
    <row r="112" spans="1:50" x14ac:dyDescent="0.25">
      <c r="A112" s="67">
        <f>IFERROR(IF(C112&lt;&gt;"",MAX($A$2:$A111)+1,""),"")</f>
        <v>100</v>
      </c>
      <c r="B112" s="223">
        <f t="shared" si="1"/>
        <v>100</v>
      </c>
      <c r="C112" s="216" t="str">
        <f>IF(J112=1,SUBSTITUTE('IMPORT SCHLIESSERDATEN'!$B104," Gangfl.",""),IF(J112=2,SUBSTITUTE('IMPORT SCHLIESSERDATEN'!$B104," Standfl.",""),'IMPORT SCHLIESSERDATEN'!$B104))</f>
        <v>TS 71 EN 4</v>
      </c>
      <c r="D112" s="216" t="str">
        <f>IF('IMPORT SCHLIESSERDATEN'!$AF104&lt;&gt;"",IF(COUNTA('IMPORT SCHLIESSERDATEN'!$AN104:$AU104)&gt;0,"X","G"),IF('IMPORT SCHLIESSERDATEN'!$AG104&lt;&gt;"","S",IF('IMPORT SCHLIESSERDATEN'!$AH104&lt;&gt;"","I",IF('IMPORT SCHLIESSERDATEN'!$AI104&lt;&gt;"","B",IF('IMPORT SCHLIESSERDATEN'!$AJ104&lt;&gt;"","D","")))))</f>
        <v>S</v>
      </c>
      <c r="E112" s="248" t="str">
        <f>'IMPORT SCHLIESSERDATEN'!AK104 &amp; IF('IMPORT SCHLIESSERDATEN'!AL104="",""," "&amp; 'IMPORT SCHLIESSERDATEN'!AL104)</f>
        <v>71 B</v>
      </c>
      <c r="F112" s="74">
        <f>IFERROR(IF(D112="X",2^(MATCH("",'IMPORT SCHLIESSERDATEN'!$AN104:$AU104,-1)-1),IF(AV112="F",2^(MATCH("",'IMPORT SCHLIESSERDATEN'!$BH104:$BK104,-1)-1),2^(MATCH("",'IMPORT SCHLIESSERDATEN'!$AV104:$BG104,-1)-1))),0)</f>
        <v>0</v>
      </c>
      <c r="G112" s="74">
        <f>IF(AND('IMPORT SCHLIESSERDATEN'!$O104='IMPORT SCHLIESSERDATEN'!$R104,'IMPORT SCHLIESSERDATEN'!$O104&lt;&gt;"",'IMPORT SCHLIESSERDATEN'!$R104&lt;&gt;""),1,0)  +  IF(AND('IMPORT SCHLIESSERDATEN'!$P104='IMPORT SCHLIESSERDATEN'!$S104,'IMPORT SCHLIESSERDATEN'!$P104&lt;&gt;"",'IMPORT SCHLIESSERDATEN'!$S104&lt;&gt;""),2,0)   +  IF(AND('IMPORT SCHLIESSERDATEN'!$O104='IMPORT SCHLIESSERDATEN'!$S104,'IMPORT SCHLIESSERDATEN'!$O104&lt;&gt;"",'IMPORT SCHLIESSERDATEN'!$S104&lt;&gt;""),4,0)   +  IF(AND('IMPORT SCHLIESSERDATEN'!$P104='IMPORT SCHLIESSERDATEN'!$R104,'IMPORT SCHLIESSERDATEN'!$P104&lt;&gt;"",'IMPORT SCHLIESSERDATEN'!$R104&lt;&gt;""),8,0)   +  IF('IMPORT SCHLIESSERDATEN'!$Q104&lt;&gt;"",IF('IMPORT SCHLIESSERDATEN'!$R104&lt;&gt;"",32,0) + IF('IMPORT SCHLIESSERDATEN'!$S104&lt;&gt;"",64,0),0)  +  IF('IMPORT SCHLIESSERDATEN'!$T104&lt;&gt;"",IF('IMPORT SCHLIESSERDATEN'!$Q104&lt;&gt;"",128+256,128),0)</f>
        <v>3</v>
      </c>
      <c r="H112" s="74">
        <f>IF('IMPORT SCHLIESSERDATEN'!$H104="",0,1) + IF('IMPORT SCHLIESSERDATEN'!$I104="",0,2) + IF('IMPORT SCHLIESSERDATEN'!$J104="",0,4) + IF('IMPORT SCHLIESSERDATEN'!$K104="",0,8) + IF('IMPORT SCHLIESSERDATEN'!$L104="",0,16) + IF('IMPORT SCHLIESSERDATEN'!$M104="",0,32) + IF('IMPORT SCHLIESSERDATEN'!$N104="",0,64)</f>
        <v>8</v>
      </c>
      <c r="I112" s="74">
        <f>IF('IMPORT SCHLIESSERDATEN'!$D104="",0,1) + IF('IMPORT SCHLIESSERDATEN'!$E104="",0,2) + IF('IMPORT SCHLIESSERDATEN'!$E104="S",4,0)</f>
        <v>1</v>
      </c>
      <c r="J112" s="74">
        <f>IF(ISERR(FIND(" Gangfl.",'IMPORT SCHLIESSERDATEN'!$B104)),IF(ISERR(FIND(" Standfl.",'IMPORT SCHLIESSERDATEN'!$B104)),0,2),1)</f>
        <v>0</v>
      </c>
      <c r="K112" s="74">
        <f>'IMPORT SCHLIESSERDATEN'!CL104</f>
        <v>77</v>
      </c>
      <c r="L112" s="74">
        <f>'IMPORT SCHLIESSERDATEN'!CN104</f>
        <v>6</v>
      </c>
      <c r="M112" s="74">
        <f>IF('IMPORT SCHLIESSERDATEN'!CS104="wie TS",-1,'IMPORT SCHLIESSERDATEN'!CS104)</f>
        <v>77</v>
      </c>
      <c r="N112" s="74">
        <f>IF(M112&lt;0,-1,'IMPORT SCHLIESSERDATEN'!CU104)</f>
        <v>6</v>
      </c>
      <c r="O112" s="74">
        <f>IF('IMPORT SCHLIESSERDATEN'!CZ104="wie TS",-1,'IMPORT SCHLIESSERDATEN'!CZ104)</f>
        <v>0</v>
      </c>
      <c r="P112" s="74">
        <f>IF(O112&lt;0,-1,'IMPORT SCHLIESSERDATEN'!DB104)</f>
        <v>0</v>
      </c>
      <c r="Q112" s="74">
        <f>'IMPORT SCHLIESSERDATEN'!DG104</f>
        <v>0</v>
      </c>
      <c r="R112" s="74">
        <f>'IMPORT SCHLIESSERDATEN'!DI104</f>
        <v>0</v>
      </c>
      <c r="S112" s="74">
        <f>'IMPORT SCHLIESSERDATEN'!DN104</f>
        <v>0</v>
      </c>
      <c r="T112" s="74">
        <f>IF('IMPORT SCHLIESSERDATEN'!DP104="V",9999,'IMPORT SCHLIESSERDATEN'!DP104)</f>
        <v>0</v>
      </c>
      <c r="U112" s="74">
        <f>'IMPORT SCHLIESSERDATEN'!BW104</f>
        <v>232</v>
      </c>
      <c r="V112" s="74">
        <f>'IMPORT SCHLIESSERDATEN'!BX104</f>
        <v>45</v>
      </c>
      <c r="W112" s="74">
        <f>'IMPORT SCHLIESSERDATEN'!BY104</f>
        <v>68</v>
      </c>
      <c r="X112" s="74">
        <f>'IMPORT SCHLIESSERDATEN'!CO104</f>
        <v>245</v>
      </c>
      <c r="Y112" s="74">
        <f>'IMPORT SCHLIESSERDATEN'!CQ104</f>
        <v>22</v>
      </c>
      <c r="Z112" s="74">
        <f>'IMPORT SCHLIESSERDATEN'!CV104</f>
        <v>245</v>
      </c>
      <c r="AA112" s="74">
        <f>'IMPORT SCHLIESSERDATEN'!CX104</f>
        <v>22</v>
      </c>
      <c r="AB112" s="74">
        <f>'IMPORT SCHLIESSERDATEN'!DC104</f>
        <v>0</v>
      </c>
      <c r="AC112" s="74">
        <f>'IMPORT SCHLIESSERDATEN'!DE104</f>
        <v>0</v>
      </c>
      <c r="AD112" s="74">
        <f>'IMPORT SCHLIESSERDATEN'!DJ104</f>
        <v>0</v>
      </c>
      <c r="AE112" s="74">
        <f>'IMPORT SCHLIESSERDATEN'!DL104</f>
        <v>0</v>
      </c>
      <c r="AF112" s="74">
        <f>'IMPORT SCHLIESSERDATEN'!DQ104</f>
        <v>0</v>
      </c>
      <c r="AG112" s="74">
        <f>IF('IMPORT SCHLIESSERDATEN'!DS104="V",9999,'IMPORT SCHLIESSERDATEN'!DS104)</f>
        <v>0</v>
      </c>
      <c r="AH112" s="74">
        <f>IF('IMPORT SCHLIESSERDATEN'!BZ104="V",9999,IF('IMPORT SCHLIESSERDATEN'!CD104="_",-1,'IMPORT SCHLIESSERDATEN'!BZ104))</f>
        <v>305</v>
      </c>
      <c r="AI112" s="74">
        <f>IF('IMPORT SCHLIESSERDATEN'!CA104="V",9999,IF('IMPORT SCHLIESSERDATEN'!CD104="_",-1,'IMPORT SCHLIESSERDATEN'!CA104))</f>
        <v>20</v>
      </c>
      <c r="AJ112" s="74">
        <f>IF('IMPORT SCHLIESSERDATEN'!CB104="V",9999,IF('IMPORT SCHLIESSERDATEN'!CD104="_",-1,'IMPORT SCHLIESSERDATEN'!CB104))</f>
        <v>20</v>
      </c>
      <c r="AK112" s="74">
        <f>IF('IMPORT SCHLIESSERDATEN'!CC104="V",9999,IF('IMPORT SCHLIESSERDATEN'!CC104="_",-1,'IMPORT SCHLIESSERDATEN'!CC104))</f>
        <v>0</v>
      </c>
      <c r="AL112" s="74">
        <f>IF('IMPORT SCHLIESSERDATEN'!CD104="_",-1,'IMPORT SCHLIESSERDATEN'!CD104)</f>
        <v>250</v>
      </c>
      <c r="AM112" s="74">
        <f>'IMPORT SCHLIESSERDATEN'!CH104</f>
        <v>117</v>
      </c>
      <c r="AN112" s="74">
        <f>IF('IMPORT SCHLIESSERDATEN'!CE104="V",9999,'IMPORT SCHLIESSERDATEN'!CE104)</f>
        <v>22</v>
      </c>
      <c r="AO112" s="74">
        <f>IF('IMPORT SCHLIESSERDATEN'!CK104="_",-1,'IMPORT SCHLIESSERDATEN'!CK104)</f>
        <v>-1</v>
      </c>
      <c r="AP112" s="74">
        <f>IF('IMPORT SCHLIESSERDATEN'!$U104="",0,1)</f>
        <v>1</v>
      </c>
      <c r="AQ112" s="74">
        <f>IF('IMPORT SCHLIESSERDATEN'!$V104="",0,1)</f>
        <v>0</v>
      </c>
      <c r="AR112" s="74">
        <f>IF('IMPORT SCHLIESSERDATEN'!$W104="",0,1)</f>
        <v>0</v>
      </c>
      <c r="AS112" s="74">
        <f>IF('IMPORT SCHLIESSERDATEN'!$AA104="",0,1)</f>
        <v>0</v>
      </c>
      <c r="AT112" s="74">
        <f>IF('IMPORT SCHLIESSERDATEN'!$AD104="",0,1) + IF('IMPORT SCHLIESSERDATEN'!$AE104="",0,2)</f>
        <v>0</v>
      </c>
      <c r="AU112" s="74" t="str">
        <f>IF('IMPORT SCHLIESSERDATEN'!$X104="",IF('IMPORT SCHLIESSERDATEN'!$Y104="","","F"),"V")</f>
        <v/>
      </c>
      <c r="AV112" s="74" t="str">
        <f>IF('IMPORT SCHLIESSERDATEN'!$AB104&lt;&gt;"","M",IF('IMPORT SCHLIESSERDATEN'!$AD104&lt;&gt;"",IF(ISERR(SEARCH("UVIBIS",'IMPORT SCHLIESSERDATEN'!$B104)),"R","B"),IF(OR('IMPORT SCHLIESSERDATEN'!$AC104&lt;&gt;"",'IMPORT SCHLIESSERDATEN'!$AE104&lt;&gt;""),"E","")))</f>
        <v/>
      </c>
      <c r="AW112" s="82"/>
      <c r="AX112" s="67"/>
    </row>
    <row r="113" spans="1:50" x14ac:dyDescent="0.25">
      <c r="A113" s="67">
        <f>IFERROR(IF(C113&lt;&gt;"",MAX($A$2:$A112)+1,""),"")</f>
        <v>101</v>
      </c>
      <c r="B113" s="223">
        <f t="shared" si="1"/>
        <v>101</v>
      </c>
      <c r="C113" s="216" t="str">
        <f>IF(J113=1,SUBSTITUTE('IMPORT SCHLIESSERDATEN'!$B105," Gangfl.",""),IF(J113=2,SUBSTITUTE('IMPORT SCHLIESSERDATEN'!$B105," Standfl.",""),'IMPORT SCHLIESSERDATEN'!$B105))</f>
        <v>TS 71 RF EN 4</v>
      </c>
      <c r="D113" s="216" t="str">
        <f>IF('IMPORT SCHLIESSERDATEN'!$AF105&lt;&gt;"",IF(COUNTA('IMPORT SCHLIESSERDATEN'!$AN105:$AU105)&gt;0,"X","G"),IF('IMPORT SCHLIESSERDATEN'!$AG105&lt;&gt;"","S",IF('IMPORT SCHLIESSERDATEN'!$AH105&lt;&gt;"","I",IF('IMPORT SCHLIESSERDATEN'!$AI105&lt;&gt;"","B",IF('IMPORT SCHLIESSERDATEN'!$AJ105&lt;&gt;"","D","")))))</f>
        <v>S</v>
      </c>
      <c r="E113" s="248" t="str">
        <f>'IMPORT SCHLIESSERDATEN'!AK105 &amp; IF('IMPORT SCHLIESSERDATEN'!AL105="",""," "&amp; 'IMPORT SCHLIESSERDATEN'!AL105)</f>
        <v>71 B</v>
      </c>
      <c r="F113" s="74">
        <f>IFERROR(IF(D113="X",2^(MATCH("",'IMPORT SCHLIESSERDATEN'!$AN105:$AU105,-1)-1),IF(AV113="F",2^(MATCH("",'IMPORT SCHLIESSERDATEN'!$BH105:$BK105,-1)-1),2^(MATCH("",'IMPORT SCHLIESSERDATEN'!$AV105:$BG105,-1)-1))),0)</f>
        <v>0</v>
      </c>
      <c r="G113" s="74">
        <f>IF(AND('IMPORT SCHLIESSERDATEN'!$O105='IMPORT SCHLIESSERDATEN'!$R105,'IMPORT SCHLIESSERDATEN'!$O105&lt;&gt;"",'IMPORT SCHLIESSERDATEN'!$R105&lt;&gt;""),1,0)  +  IF(AND('IMPORT SCHLIESSERDATEN'!$P105='IMPORT SCHLIESSERDATEN'!$S105,'IMPORT SCHLIESSERDATEN'!$P105&lt;&gt;"",'IMPORT SCHLIESSERDATEN'!$S105&lt;&gt;""),2,0)   +  IF(AND('IMPORT SCHLIESSERDATEN'!$O105='IMPORT SCHLIESSERDATEN'!$S105,'IMPORT SCHLIESSERDATEN'!$O105&lt;&gt;"",'IMPORT SCHLIESSERDATEN'!$S105&lt;&gt;""),4,0)   +  IF(AND('IMPORT SCHLIESSERDATEN'!$P105='IMPORT SCHLIESSERDATEN'!$R105,'IMPORT SCHLIESSERDATEN'!$P105&lt;&gt;"",'IMPORT SCHLIESSERDATEN'!$R105&lt;&gt;""),8,0)   +  IF('IMPORT SCHLIESSERDATEN'!$Q105&lt;&gt;"",IF('IMPORT SCHLIESSERDATEN'!$R105&lt;&gt;"",32,0) + IF('IMPORT SCHLIESSERDATEN'!$S105&lt;&gt;"",64,0),0)  +  IF('IMPORT SCHLIESSERDATEN'!$T105&lt;&gt;"",IF('IMPORT SCHLIESSERDATEN'!$Q105&lt;&gt;"",128+256,128),0)</f>
        <v>3</v>
      </c>
      <c r="H113" s="74">
        <f>IF('IMPORT SCHLIESSERDATEN'!$H105="",0,1) + IF('IMPORT SCHLIESSERDATEN'!$I105="",0,2) + IF('IMPORT SCHLIESSERDATEN'!$J105="",0,4) + IF('IMPORT SCHLIESSERDATEN'!$K105="",0,8) + IF('IMPORT SCHLIESSERDATEN'!$L105="",0,16) + IF('IMPORT SCHLIESSERDATEN'!$M105="",0,32) + IF('IMPORT SCHLIESSERDATEN'!$N105="",0,64)</f>
        <v>8</v>
      </c>
      <c r="I113" s="74">
        <f>IF('IMPORT SCHLIESSERDATEN'!$D105="",0,1) + IF('IMPORT SCHLIESSERDATEN'!$E105="",0,2) + IF('IMPORT SCHLIESSERDATEN'!$E105="S",4,0)</f>
        <v>1</v>
      </c>
      <c r="J113" s="74">
        <f>IF(ISERR(FIND(" Gangfl.",'IMPORT SCHLIESSERDATEN'!$B105)),IF(ISERR(FIND(" Standfl.",'IMPORT SCHLIESSERDATEN'!$B105)),0,2),1)</f>
        <v>0</v>
      </c>
      <c r="K113" s="74">
        <f>'IMPORT SCHLIESSERDATEN'!CL105</f>
        <v>77</v>
      </c>
      <c r="L113" s="74">
        <f>'IMPORT SCHLIESSERDATEN'!CN105</f>
        <v>6</v>
      </c>
      <c r="M113" s="74">
        <f>IF('IMPORT SCHLIESSERDATEN'!CS105="wie TS",-1,'IMPORT SCHLIESSERDATEN'!CS105)</f>
        <v>77</v>
      </c>
      <c r="N113" s="74">
        <f>IF(M113&lt;0,-1,'IMPORT SCHLIESSERDATEN'!CU105)</f>
        <v>6</v>
      </c>
      <c r="O113" s="74">
        <f>IF('IMPORT SCHLIESSERDATEN'!CZ105="wie TS",-1,'IMPORT SCHLIESSERDATEN'!CZ105)</f>
        <v>0</v>
      </c>
      <c r="P113" s="74">
        <f>IF(O113&lt;0,-1,'IMPORT SCHLIESSERDATEN'!DB105)</f>
        <v>0</v>
      </c>
      <c r="Q113" s="74">
        <f>'IMPORT SCHLIESSERDATEN'!DG105</f>
        <v>0</v>
      </c>
      <c r="R113" s="74">
        <f>'IMPORT SCHLIESSERDATEN'!DI105</f>
        <v>0</v>
      </c>
      <c r="S113" s="74">
        <f>'IMPORT SCHLIESSERDATEN'!DN105</f>
        <v>0</v>
      </c>
      <c r="T113" s="74">
        <f>IF('IMPORT SCHLIESSERDATEN'!DP105="V",9999,'IMPORT SCHLIESSERDATEN'!DP105)</f>
        <v>0</v>
      </c>
      <c r="U113" s="74">
        <f>'IMPORT SCHLIESSERDATEN'!BW105</f>
        <v>232</v>
      </c>
      <c r="V113" s="74">
        <f>'IMPORT SCHLIESSERDATEN'!BX105</f>
        <v>45</v>
      </c>
      <c r="W113" s="74">
        <f>'IMPORT SCHLIESSERDATEN'!BY105</f>
        <v>68</v>
      </c>
      <c r="X113" s="74">
        <f>'IMPORT SCHLIESSERDATEN'!CO105</f>
        <v>245</v>
      </c>
      <c r="Y113" s="74">
        <f>'IMPORT SCHLIESSERDATEN'!CQ105</f>
        <v>22</v>
      </c>
      <c r="Z113" s="74">
        <f>'IMPORT SCHLIESSERDATEN'!CV105</f>
        <v>245</v>
      </c>
      <c r="AA113" s="74">
        <f>'IMPORT SCHLIESSERDATEN'!CX105</f>
        <v>22</v>
      </c>
      <c r="AB113" s="74">
        <f>'IMPORT SCHLIESSERDATEN'!DC105</f>
        <v>0</v>
      </c>
      <c r="AC113" s="74">
        <f>'IMPORT SCHLIESSERDATEN'!DE105</f>
        <v>0</v>
      </c>
      <c r="AD113" s="74">
        <f>'IMPORT SCHLIESSERDATEN'!DJ105</f>
        <v>0</v>
      </c>
      <c r="AE113" s="74">
        <f>'IMPORT SCHLIESSERDATEN'!DL105</f>
        <v>0</v>
      </c>
      <c r="AF113" s="74">
        <f>'IMPORT SCHLIESSERDATEN'!DQ105</f>
        <v>0</v>
      </c>
      <c r="AG113" s="74">
        <f>IF('IMPORT SCHLIESSERDATEN'!DS105="V",9999,'IMPORT SCHLIESSERDATEN'!DS105)</f>
        <v>0</v>
      </c>
      <c r="AH113" s="74">
        <f>IF('IMPORT SCHLIESSERDATEN'!BZ105="V",9999,IF('IMPORT SCHLIESSERDATEN'!CD105="_",-1,'IMPORT SCHLIESSERDATEN'!BZ105))</f>
        <v>305</v>
      </c>
      <c r="AI113" s="74">
        <f>IF('IMPORT SCHLIESSERDATEN'!CA105="V",9999,IF('IMPORT SCHLIESSERDATEN'!CD105="_",-1,'IMPORT SCHLIESSERDATEN'!CA105))</f>
        <v>30</v>
      </c>
      <c r="AJ113" s="74">
        <f>IF('IMPORT SCHLIESSERDATEN'!CB105="V",9999,IF('IMPORT SCHLIESSERDATEN'!CD105="_",-1,'IMPORT SCHLIESSERDATEN'!CB105))</f>
        <v>20</v>
      </c>
      <c r="AK113" s="74">
        <f>IF('IMPORT SCHLIESSERDATEN'!CC105="V",9999,IF('IMPORT SCHLIESSERDATEN'!CC105="_",-1,'IMPORT SCHLIESSERDATEN'!CC105))</f>
        <v>0</v>
      </c>
      <c r="AL113" s="74">
        <f>IF('IMPORT SCHLIESSERDATEN'!CD105="_",-1,'IMPORT SCHLIESSERDATEN'!CD105)</f>
        <v>250</v>
      </c>
      <c r="AM113" s="74">
        <f>'IMPORT SCHLIESSERDATEN'!CH105</f>
        <v>117</v>
      </c>
      <c r="AN113" s="74">
        <f>IF('IMPORT SCHLIESSERDATEN'!CE105="V",9999,'IMPORT SCHLIESSERDATEN'!CE105)</f>
        <v>22</v>
      </c>
      <c r="AO113" s="74">
        <f>IF('IMPORT SCHLIESSERDATEN'!CK105="_",-1,'IMPORT SCHLIESSERDATEN'!CK105)</f>
        <v>-1</v>
      </c>
      <c r="AP113" s="74">
        <f>IF('IMPORT SCHLIESSERDATEN'!$U105="",0,1)</f>
        <v>0</v>
      </c>
      <c r="AQ113" s="74">
        <f>IF('IMPORT SCHLIESSERDATEN'!$V105="",0,1)</f>
        <v>0</v>
      </c>
      <c r="AR113" s="74">
        <f>IF('IMPORT SCHLIESSERDATEN'!$W105="",0,1)</f>
        <v>0</v>
      </c>
      <c r="AS113" s="74">
        <f>IF('IMPORT SCHLIESSERDATEN'!$AA105="",0,1)</f>
        <v>0</v>
      </c>
      <c r="AT113" s="74">
        <f>IF('IMPORT SCHLIESSERDATEN'!$AD105="",0,1) + IF('IMPORT SCHLIESSERDATEN'!$AE105="",0,2)</f>
        <v>0</v>
      </c>
      <c r="AU113" s="74" t="str">
        <f>IF('IMPORT SCHLIESSERDATEN'!$X105="",IF('IMPORT SCHLIESSERDATEN'!$Y105="","","F"),"V")</f>
        <v/>
      </c>
      <c r="AV113" s="74" t="str">
        <f>IF('IMPORT SCHLIESSERDATEN'!$AB105&lt;&gt;"","M",IF('IMPORT SCHLIESSERDATEN'!$AD105&lt;&gt;"",IF(ISERR(SEARCH("UVIBIS",'IMPORT SCHLIESSERDATEN'!$B105)),"R","B"),IF(OR('IMPORT SCHLIESSERDATEN'!$AC105&lt;&gt;"",'IMPORT SCHLIESSERDATEN'!$AE105&lt;&gt;""),"E","")))</f>
        <v>M</v>
      </c>
      <c r="AW113" s="82"/>
      <c r="AX113" s="67"/>
    </row>
    <row r="114" spans="1:50" x14ac:dyDescent="0.25">
      <c r="A114" s="67">
        <f>IFERROR(IF(C114&lt;&gt;"",MAX($A$2:$A113)+1,""),"")</f>
        <v>102</v>
      </c>
      <c r="B114" s="223">
        <f t="shared" si="1"/>
        <v>102</v>
      </c>
      <c r="C114" s="216" t="str">
        <f>IF(J114=1,SUBSTITUTE('IMPORT SCHLIESSERDATEN'!$B106," Gangfl.",""),IF(J114=2,SUBSTITUTE('IMPORT SCHLIESSERDATEN'!$B106," Standfl.",""),'IMPORT SCHLIESSERDATEN'!$B106))</f>
        <v>TS 72 EN 2-4</v>
      </c>
      <c r="D114" s="216" t="str">
        <f>IF('IMPORT SCHLIESSERDATEN'!$AF106&lt;&gt;"",IF(COUNTA('IMPORT SCHLIESSERDATEN'!$AN106:$AU106)&gt;0,"X","G"),IF('IMPORT SCHLIESSERDATEN'!$AG106&lt;&gt;"","S",IF('IMPORT SCHLIESSERDATEN'!$AH106&lt;&gt;"","I",IF('IMPORT SCHLIESSERDATEN'!$AI106&lt;&gt;"","B",IF('IMPORT SCHLIESSERDATEN'!$AJ106&lt;&gt;"","D","")))))</f>
        <v>S</v>
      </c>
      <c r="E114" s="248" t="str">
        <f>'IMPORT SCHLIESSERDATEN'!AK106 &amp; IF('IMPORT SCHLIESSERDATEN'!AL106="",""," "&amp; 'IMPORT SCHLIESSERDATEN'!AL106)</f>
        <v>72 B</v>
      </c>
      <c r="F114" s="74">
        <f>IFERROR(IF(D114="X",2^(MATCH("",'IMPORT SCHLIESSERDATEN'!$AN106:$AU106,-1)-1),IF(AV114="F",2^(MATCH("",'IMPORT SCHLIESSERDATEN'!$BH106:$BK106,-1)-1),2^(MATCH("",'IMPORT SCHLIESSERDATEN'!$AV106:$BG106,-1)-1))),0)</f>
        <v>0</v>
      </c>
      <c r="G114" s="74">
        <f>IF(AND('IMPORT SCHLIESSERDATEN'!$O106='IMPORT SCHLIESSERDATEN'!$R106,'IMPORT SCHLIESSERDATEN'!$O106&lt;&gt;"",'IMPORT SCHLIESSERDATEN'!$R106&lt;&gt;""),1,0)  +  IF(AND('IMPORT SCHLIESSERDATEN'!$P106='IMPORT SCHLIESSERDATEN'!$S106,'IMPORT SCHLIESSERDATEN'!$P106&lt;&gt;"",'IMPORT SCHLIESSERDATEN'!$S106&lt;&gt;""),2,0)   +  IF(AND('IMPORT SCHLIESSERDATEN'!$O106='IMPORT SCHLIESSERDATEN'!$S106,'IMPORT SCHLIESSERDATEN'!$O106&lt;&gt;"",'IMPORT SCHLIESSERDATEN'!$S106&lt;&gt;""),4,0)   +  IF(AND('IMPORT SCHLIESSERDATEN'!$P106='IMPORT SCHLIESSERDATEN'!$R106,'IMPORT SCHLIESSERDATEN'!$P106&lt;&gt;"",'IMPORT SCHLIESSERDATEN'!$R106&lt;&gt;""),8,0)   +  IF('IMPORT SCHLIESSERDATEN'!$Q106&lt;&gt;"",IF('IMPORT SCHLIESSERDATEN'!$R106&lt;&gt;"",32,0) + IF('IMPORT SCHLIESSERDATEN'!$S106&lt;&gt;"",64,0),0)  +  IF('IMPORT SCHLIESSERDATEN'!$T106&lt;&gt;"",IF('IMPORT SCHLIESSERDATEN'!$Q106&lt;&gt;"",128+256,128),0)</f>
        <v>3</v>
      </c>
      <c r="H114" s="74">
        <f>IF('IMPORT SCHLIESSERDATEN'!$H106="",0,1) + IF('IMPORT SCHLIESSERDATEN'!$I106="",0,2) + IF('IMPORT SCHLIESSERDATEN'!$J106="",0,4) + IF('IMPORT SCHLIESSERDATEN'!$K106="",0,8) + IF('IMPORT SCHLIESSERDATEN'!$L106="",0,16) + IF('IMPORT SCHLIESSERDATEN'!$M106="",0,32) + IF('IMPORT SCHLIESSERDATEN'!$N106="",0,64)</f>
        <v>14</v>
      </c>
      <c r="I114" s="74">
        <f>IF('IMPORT SCHLIESSERDATEN'!$D106="",0,1) + IF('IMPORT SCHLIESSERDATEN'!$E106="",0,2) + IF('IMPORT SCHLIESSERDATEN'!$E106="S",4,0)</f>
        <v>1</v>
      </c>
      <c r="J114" s="74">
        <f>IF(ISERR(FIND(" Gangfl.",'IMPORT SCHLIESSERDATEN'!$B106)),IF(ISERR(FIND(" Standfl.",'IMPORT SCHLIESSERDATEN'!$B106)),0,2),1)</f>
        <v>0</v>
      </c>
      <c r="K114" s="74">
        <f>'IMPORT SCHLIESSERDATEN'!CL106</f>
        <v>77</v>
      </c>
      <c r="L114" s="74">
        <f>'IMPORT SCHLIESSERDATEN'!CN106</f>
        <v>6</v>
      </c>
      <c r="M114" s="74">
        <f>IF('IMPORT SCHLIESSERDATEN'!CS106="wie TS",-1,'IMPORT SCHLIESSERDATEN'!CS106)</f>
        <v>77</v>
      </c>
      <c r="N114" s="74">
        <f>IF(M114&lt;0,-1,'IMPORT SCHLIESSERDATEN'!CU106)</f>
        <v>6</v>
      </c>
      <c r="O114" s="74">
        <f>IF('IMPORT SCHLIESSERDATEN'!CZ106="wie TS",-1,'IMPORT SCHLIESSERDATEN'!CZ106)</f>
        <v>0</v>
      </c>
      <c r="P114" s="74">
        <f>IF(O114&lt;0,-1,'IMPORT SCHLIESSERDATEN'!DB106)</f>
        <v>0</v>
      </c>
      <c r="Q114" s="74">
        <f>'IMPORT SCHLIESSERDATEN'!DG106</f>
        <v>0</v>
      </c>
      <c r="R114" s="74">
        <f>'IMPORT SCHLIESSERDATEN'!DI106</f>
        <v>0</v>
      </c>
      <c r="S114" s="74">
        <f>'IMPORT SCHLIESSERDATEN'!DN106</f>
        <v>0</v>
      </c>
      <c r="T114" s="74">
        <f>IF('IMPORT SCHLIESSERDATEN'!DP106="V",9999,'IMPORT SCHLIESSERDATEN'!DP106)</f>
        <v>0</v>
      </c>
      <c r="U114" s="74">
        <f>'IMPORT SCHLIESSERDATEN'!BW106</f>
        <v>232</v>
      </c>
      <c r="V114" s="74">
        <f>'IMPORT SCHLIESSERDATEN'!BX106</f>
        <v>45</v>
      </c>
      <c r="W114" s="74">
        <f>'IMPORT SCHLIESSERDATEN'!BY106</f>
        <v>68</v>
      </c>
      <c r="X114" s="74">
        <f>'IMPORT SCHLIESSERDATEN'!CO106</f>
        <v>245</v>
      </c>
      <c r="Y114" s="74">
        <f>'IMPORT SCHLIESSERDATEN'!CQ106</f>
        <v>22</v>
      </c>
      <c r="Z114" s="74">
        <f>'IMPORT SCHLIESSERDATEN'!CV106</f>
        <v>245</v>
      </c>
      <c r="AA114" s="74">
        <f>'IMPORT SCHLIESSERDATEN'!CX106</f>
        <v>22</v>
      </c>
      <c r="AB114" s="74">
        <f>'IMPORT SCHLIESSERDATEN'!DC106</f>
        <v>0</v>
      </c>
      <c r="AC114" s="74">
        <f>'IMPORT SCHLIESSERDATEN'!DE106</f>
        <v>0</v>
      </c>
      <c r="AD114" s="74">
        <f>'IMPORT SCHLIESSERDATEN'!DJ106</f>
        <v>0</v>
      </c>
      <c r="AE114" s="74">
        <f>'IMPORT SCHLIESSERDATEN'!DL106</f>
        <v>0</v>
      </c>
      <c r="AF114" s="74">
        <f>'IMPORT SCHLIESSERDATEN'!DQ106</f>
        <v>0</v>
      </c>
      <c r="AG114" s="74">
        <f>IF('IMPORT SCHLIESSERDATEN'!DS106="V",9999,'IMPORT SCHLIESSERDATEN'!DS106)</f>
        <v>0</v>
      </c>
      <c r="AH114" s="74">
        <f>IF('IMPORT SCHLIESSERDATEN'!BZ106="V",9999,IF('IMPORT SCHLIESSERDATEN'!CD106="_",-1,'IMPORT SCHLIESSERDATEN'!BZ106))</f>
        <v>305</v>
      </c>
      <c r="AI114" s="74">
        <f>IF('IMPORT SCHLIESSERDATEN'!CA106="V",9999,IF('IMPORT SCHLIESSERDATEN'!CD106="_",-1,'IMPORT SCHLIESSERDATEN'!CA106))</f>
        <v>20</v>
      </c>
      <c r="AJ114" s="74">
        <f>IF('IMPORT SCHLIESSERDATEN'!CB106="V",9999,IF('IMPORT SCHLIESSERDATEN'!CD106="_",-1,'IMPORT SCHLIESSERDATEN'!CB106))</f>
        <v>20</v>
      </c>
      <c r="AK114" s="74">
        <f>IF('IMPORT SCHLIESSERDATEN'!CC106="V",9999,IF('IMPORT SCHLIESSERDATEN'!CC106="_",-1,'IMPORT SCHLIESSERDATEN'!CC106))</f>
        <v>0</v>
      </c>
      <c r="AL114" s="74">
        <f>IF('IMPORT SCHLIESSERDATEN'!CD106="_",-1,'IMPORT SCHLIESSERDATEN'!CD106)</f>
        <v>250</v>
      </c>
      <c r="AM114" s="74">
        <f>'IMPORT SCHLIESSERDATEN'!CH106</f>
        <v>117</v>
      </c>
      <c r="AN114" s="74">
        <f>IF('IMPORT SCHLIESSERDATEN'!CE106="V",9999,'IMPORT SCHLIESSERDATEN'!CE106)</f>
        <v>22</v>
      </c>
      <c r="AO114" s="74">
        <f>IF('IMPORT SCHLIESSERDATEN'!CK106="_",-1,'IMPORT SCHLIESSERDATEN'!CK106)</f>
        <v>-1</v>
      </c>
      <c r="AP114" s="74">
        <f>IF('IMPORT SCHLIESSERDATEN'!$U106="",0,1)</f>
        <v>1</v>
      </c>
      <c r="AQ114" s="74">
        <f>IF('IMPORT SCHLIESSERDATEN'!$V106="",0,1)</f>
        <v>0</v>
      </c>
      <c r="AR114" s="74">
        <f>IF('IMPORT SCHLIESSERDATEN'!$W106="",0,1)</f>
        <v>0</v>
      </c>
      <c r="AS114" s="74">
        <f>IF('IMPORT SCHLIESSERDATEN'!$AA106="",0,1)</f>
        <v>0</v>
      </c>
      <c r="AT114" s="74">
        <f>IF('IMPORT SCHLIESSERDATEN'!$AD106="",0,1) + IF('IMPORT SCHLIESSERDATEN'!$AE106="",0,2)</f>
        <v>0</v>
      </c>
      <c r="AU114" s="74" t="str">
        <f>IF('IMPORT SCHLIESSERDATEN'!$X106="",IF('IMPORT SCHLIESSERDATEN'!$Y106="","","F"),"V")</f>
        <v/>
      </c>
      <c r="AV114" s="74" t="str">
        <f>IF('IMPORT SCHLIESSERDATEN'!$AB106&lt;&gt;"","M",IF('IMPORT SCHLIESSERDATEN'!$AD106&lt;&gt;"",IF(ISERR(SEARCH("UVIBIS",'IMPORT SCHLIESSERDATEN'!$B106)),"R","B"),IF(OR('IMPORT SCHLIESSERDATEN'!$AC106&lt;&gt;"",'IMPORT SCHLIESSERDATEN'!$AE106&lt;&gt;""),"E","")))</f>
        <v/>
      </c>
      <c r="AW114" s="82"/>
      <c r="AX114" s="67"/>
    </row>
    <row r="115" spans="1:50" x14ac:dyDescent="0.25">
      <c r="A115" s="67">
        <f>IFERROR(IF(C115&lt;&gt;"",MAX($A$2:$A114)+1,""),"")</f>
        <v>103</v>
      </c>
      <c r="B115" s="223">
        <f t="shared" si="1"/>
        <v>103</v>
      </c>
      <c r="C115" s="216" t="str">
        <f>IF(J115=1,SUBSTITUTE('IMPORT SCHLIESSERDATEN'!$B107," Gangfl.",""),IF(J115=2,SUBSTITUTE('IMPORT SCHLIESSERDATEN'!$B107," Standfl.",""),'IMPORT SCHLIESSERDATEN'!$B107))</f>
        <v>TS 72 RF EN 2-4</v>
      </c>
      <c r="D115" s="216" t="str">
        <f>IF('IMPORT SCHLIESSERDATEN'!$AF107&lt;&gt;"",IF(COUNTA('IMPORT SCHLIESSERDATEN'!$AN107:$AU107)&gt;0,"X","G"),IF('IMPORT SCHLIESSERDATEN'!$AG107&lt;&gt;"","S",IF('IMPORT SCHLIESSERDATEN'!$AH107&lt;&gt;"","I",IF('IMPORT SCHLIESSERDATEN'!$AI107&lt;&gt;"","B",IF('IMPORT SCHLIESSERDATEN'!$AJ107&lt;&gt;"","D","")))))</f>
        <v>S</v>
      </c>
      <c r="E115" s="248" t="str">
        <f>'IMPORT SCHLIESSERDATEN'!AK107 &amp; IF('IMPORT SCHLIESSERDATEN'!AL107="",""," "&amp; 'IMPORT SCHLIESSERDATEN'!AL107)</f>
        <v>72 B</v>
      </c>
      <c r="F115" s="74">
        <f>IFERROR(IF(D115="X",2^(MATCH("",'IMPORT SCHLIESSERDATEN'!$AN107:$AU107,-1)-1),IF(AV115="F",2^(MATCH("",'IMPORT SCHLIESSERDATEN'!$BH107:$BK107,-1)-1),2^(MATCH("",'IMPORT SCHLIESSERDATEN'!$AV107:$BG107,-1)-1))),0)</f>
        <v>0</v>
      </c>
      <c r="G115" s="74">
        <f>IF(AND('IMPORT SCHLIESSERDATEN'!$O107='IMPORT SCHLIESSERDATEN'!$R107,'IMPORT SCHLIESSERDATEN'!$O107&lt;&gt;"",'IMPORT SCHLIESSERDATEN'!$R107&lt;&gt;""),1,0)  +  IF(AND('IMPORT SCHLIESSERDATEN'!$P107='IMPORT SCHLIESSERDATEN'!$S107,'IMPORT SCHLIESSERDATEN'!$P107&lt;&gt;"",'IMPORT SCHLIESSERDATEN'!$S107&lt;&gt;""),2,0)   +  IF(AND('IMPORT SCHLIESSERDATEN'!$O107='IMPORT SCHLIESSERDATEN'!$S107,'IMPORT SCHLIESSERDATEN'!$O107&lt;&gt;"",'IMPORT SCHLIESSERDATEN'!$S107&lt;&gt;""),4,0)   +  IF(AND('IMPORT SCHLIESSERDATEN'!$P107='IMPORT SCHLIESSERDATEN'!$R107,'IMPORT SCHLIESSERDATEN'!$P107&lt;&gt;"",'IMPORT SCHLIESSERDATEN'!$R107&lt;&gt;""),8,0)   +  IF('IMPORT SCHLIESSERDATEN'!$Q107&lt;&gt;"",IF('IMPORT SCHLIESSERDATEN'!$R107&lt;&gt;"",32,0) + IF('IMPORT SCHLIESSERDATEN'!$S107&lt;&gt;"",64,0),0)  +  IF('IMPORT SCHLIESSERDATEN'!$T107&lt;&gt;"",IF('IMPORT SCHLIESSERDATEN'!$Q107&lt;&gt;"",128+256,128),0)</f>
        <v>3</v>
      </c>
      <c r="H115" s="74">
        <f>IF('IMPORT SCHLIESSERDATEN'!$H107="",0,1) + IF('IMPORT SCHLIESSERDATEN'!$I107="",0,2) + IF('IMPORT SCHLIESSERDATEN'!$J107="",0,4) + IF('IMPORT SCHLIESSERDATEN'!$K107="",0,8) + IF('IMPORT SCHLIESSERDATEN'!$L107="",0,16) + IF('IMPORT SCHLIESSERDATEN'!$M107="",0,32) + IF('IMPORT SCHLIESSERDATEN'!$N107="",0,64)</f>
        <v>14</v>
      </c>
      <c r="I115" s="74">
        <f>IF('IMPORT SCHLIESSERDATEN'!$D107="",0,1) + IF('IMPORT SCHLIESSERDATEN'!$E107="",0,2) + IF('IMPORT SCHLIESSERDATEN'!$E107="S",4,0)</f>
        <v>1</v>
      </c>
      <c r="J115" s="74">
        <f>IF(ISERR(FIND(" Gangfl.",'IMPORT SCHLIESSERDATEN'!$B107)),IF(ISERR(FIND(" Standfl.",'IMPORT SCHLIESSERDATEN'!$B107)),0,2),1)</f>
        <v>0</v>
      </c>
      <c r="K115" s="74">
        <f>'IMPORT SCHLIESSERDATEN'!CL107</f>
        <v>77</v>
      </c>
      <c r="L115" s="74">
        <f>'IMPORT SCHLIESSERDATEN'!CN107</f>
        <v>6</v>
      </c>
      <c r="M115" s="74">
        <f>IF('IMPORT SCHLIESSERDATEN'!CS107="wie TS",-1,'IMPORT SCHLIESSERDATEN'!CS107)</f>
        <v>77</v>
      </c>
      <c r="N115" s="74">
        <f>IF(M115&lt;0,-1,'IMPORT SCHLIESSERDATEN'!CU107)</f>
        <v>6</v>
      </c>
      <c r="O115" s="74">
        <f>IF('IMPORT SCHLIESSERDATEN'!CZ107="wie TS",-1,'IMPORT SCHLIESSERDATEN'!CZ107)</f>
        <v>0</v>
      </c>
      <c r="P115" s="74">
        <f>IF(O115&lt;0,-1,'IMPORT SCHLIESSERDATEN'!DB107)</f>
        <v>0</v>
      </c>
      <c r="Q115" s="74">
        <f>'IMPORT SCHLIESSERDATEN'!DG107</f>
        <v>0</v>
      </c>
      <c r="R115" s="74">
        <f>'IMPORT SCHLIESSERDATEN'!DI107</f>
        <v>0</v>
      </c>
      <c r="S115" s="74">
        <f>'IMPORT SCHLIESSERDATEN'!DN107</f>
        <v>0</v>
      </c>
      <c r="T115" s="74">
        <f>IF('IMPORT SCHLIESSERDATEN'!DP107="V",9999,'IMPORT SCHLIESSERDATEN'!DP107)</f>
        <v>0</v>
      </c>
      <c r="U115" s="74">
        <f>'IMPORT SCHLIESSERDATEN'!BW107</f>
        <v>232</v>
      </c>
      <c r="V115" s="74">
        <f>'IMPORT SCHLIESSERDATEN'!BX107</f>
        <v>45</v>
      </c>
      <c r="W115" s="74">
        <f>'IMPORT SCHLIESSERDATEN'!BY107</f>
        <v>68</v>
      </c>
      <c r="X115" s="74">
        <f>'IMPORT SCHLIESSERDATEN'!CO107</f>
        <v>245</v>
      </c>
      <c r="Y115" s="74">
        <f>'IMPORT SCHLIESSERDATEN'!CQ107</f>
        <v>22</v>
      </c>
      <c r="Z115" s="74">
        <f>'IMPORT SCHLIESSERDATEN'!CV107</f>
        <v>245</v>
      </c>
      <c r="AA115" s="74">
        <f>'IMPORT SCHLIESSERDATEN'!CX107</f>
        <v>22</v>
      </c>
      <c r="AB115" s="74">
        <f>'IMPORT SCHLIESSERDATEN'!DC107</f>
        <v>0</v>
      </c>
      <c r="AC115" s="74">
        <f>'IMPORT SCHLIESSERDATEN'!DE107</f>
        <v>0</v>
      </c>
      <c r="AD115" s="74">
        <f>'IMPORT SCHLIESSERDATEN'!DJ107</f>
        <v>0</v>
      </c>
      <c r="AE115" s="74">
        <f>'IMPORT SCHLIESSERDATEN'!DL107</f>
        <v>0</v>
      </c>
      <c r="AF115" s="74">
        <f>'IMPORT SCHLIESSERDATEN'!DQ107</f>
        <v>0</v>
      </c>
      <c r="AG115" s="74">
        <f>IF('IMPORT SCHLIESSERDATEN'!DS107="V",9999,'IMPORT SCHLIESSERDATEN'!DS107)</f>
        <v>0</v>
      </c>
      <c r="AH115" s="74">
        <f>IF('IMPORT SCHLIESSERDATEN'!BZ107="V",9999,IF('IMPORT SCHLIESSERDATEN'!CD107="_",-1,'IMPORT SCHLIESSERDATEN'!BZ107))</f>
        <v>305</v>
      </c>
      <c r="AI115" s="74">
        <f>IF('IMPORT SCHLIESSERDATEN'!CA107="V",9999,IF('IMPORT SCHLIESSERDATEN'!CD107="_",-1,'IMPORT SCHLIESSERDATEN'!CA107))</f>
        <v>30</v>
      </c>
      <c r="AJ115" s="74">
        <f>IF('IMPORT SCHLIESSERDATEN'!CB107="V",9999,IF('IMPORT SCHLIESSERDATEN'!CD107="_",-1,'IMPORT SCHLIESSERDATEN'!CB107))</f>
        <v>20</v>
      </c>
      <c r="AK115" s="74">
        <f>IF('IMPORT SCHLIESSERDATEN'!CC107="V",9999,IF('IMPORT SCHLIESSERDATEN'!CC107="_",-1,'IMPORT SCHLIESSERDATEN'!CC107))</f>
        <v>0</v>
      </c>
      <c r="AL115" s="74">
        <f>IF('IMPORT SCHLIESSERDATEN'!CD107="_",-1,'IMPORT SCHLIESSERDATEN'!CD107)</f>
        <v>250</v>
      </c>
      <c r="AM115" s="74">
        <f>'IMPORT SCHLIESSERDATEN'!CH107</f>
        <v>117</v>
      </c>
      <c r="AN115" s="74">
        <f>IF('IMPORT SCHLIESSERDATEN'!CE107="V",9999,'IMPORT SCHLIESSERDATEN'!CE107)</f>
        <v>22</v>
      </c>
      <c r="AO115" s="74">
        <f>IF('IMPORT SCHLIESSERDATEN'!CK107="_",-1,'IMPORT SCHLIESSERDATEN'!CK107)</f>
        <v>-1</v>
      </c>
      <c r="AP115" s="74">
        <f>IF('IMPORT SCHLIESSERDATEN'!$U107="",0,1)</f>
        <v>0</v>
      </c>
      <c r="AQ115" s="74">
        <f>IF('IMPORT SCHLIESSERDATEN'!$V107="",0,1)</f>
        <v>0</v>
      </c>
      <c r="AR115" s="74">
        <f>IF('IMPORT SCHLIESSERDATEN'!$W107="",0,1)</f>
        <v>0</v>
      </c>
      <c r="AS115" s="74">
        <f>IF('IMPORT SCHLIESSERDATEN'!$AA107="",0,1)</f>
        <v>0</v>
      </c>
      <c r="AT115" s="74">
        <f>IF('IMPORT SCHLIESSERDATEN'!$AD107="",0,1) + IF('IMPORT SCHLIESSERDATEN'!$AE107="",0,2)</f>
        <v>0</v>
      </c>
      <c r="AU115" s="74" t="str">
        <f>IF('IMPORT SCHLIESSERDATEN'!$X107="",IF('IMPORT SCHLIESSERDATEN'!$Y107="","","F"),"V")</f>
        <v/>
      </c>
      <c r="AV115" s="74" t="str">
        <f>IF('IMPORT SCHLIESSERDATEN'!$AB107&lt;&gt;"","M",IF('IMPORT SCHLIESSERDATEN'!$AD107&lt;&gt;"",IF(ISERR(SEARCH("UVIBIS",'IMPORT SCHLIESSERDATEN'!$B107)),"R","B"),IF(OR('IMPORT SCHLIESSERDATEN'!$AC107&lt;&gt;"",'IMPORT SCHLIESSERDATEN'!$AE107&lt;&gt;""),"E","")))</f>
        <v>M</v>
      </c>
      <c r="AW115" s="82"/>
      <c r="AX115" s="67"/>
    </row>
    <row r="116" spans="1:50" x14ac:dyDescent="0.25">
      <c r="A116" s="67">
        <f>IFERROR(IF(C116&lt;&gt;"",MAX($A$2:$A115)+1,""),"")</f>
        <v>104</v>
      </c>
      <c r="B116" s="223">
        <f t="shared" si="1"/>
        <v>104</v>
      </c>
      <c r="C116" s="216" t="str">
        <f>IF(J116=1,SUBSTITUTE('IMPORT SCHLIESSERDATEN'!$B108," Gangfl.",""),IF(J116=2,SUBSTITUTE('IMPORT SCHLIESSERDATEN'!$B108," Standfl.",""),'IMPORT SCHLIESSERDATEN'!$B108))</f>
        <v>TS 73V EN 2-4</v>
      </c>
      <c r="D116" s="216" t="str">
        <f>IF('IMPORT SCHLIESSERDATEN'!$AF108&lt;&gt;"",IF(COUNTA('IMPORT SCHLIESSERDATEN'!$AN108:$AU108)&gt;0,"X","G"),IF('IMPORT SCHLIESSERDATEN'!$AG108&lt;&gt;"","S",IF('IMPORT SCHLIESSERDATEN'!$AH108&lt;&gt;"","I",IF('IMPORT SCHLIESSERDATEN'!$AI108&lt;&gt;"","B",IF('IMPORT SCHLIESSERDATEN'!$AJ108&lt;&gt;"","D","")))))</f>
        <v>S</v>
      </c>
      <c r="E116" s="248" t="str">
        <f>'IMPORT SCHLIESSERDATEN'!AK108 &amp; IF('IMPORT SCHLIESSERDATEN'!AL108="",""," "&amp; 'IMPORT SCHLIESSERDATEN'!AL108)</f>
        <v>73V B</v>
      </c>
      <c r="F116" s="74">
        <f>IFERROR(IF(D116="X",2^(MATCH("",'IMPORT SCHLIESSERDATEN'!$AN108:$AU108,-1)-1),IF(AV116="F",2^(MATCH("",'IMPORT SCHLIESSERDATEN'!$BH108:$BK108,-1)-1),2^(MATCH("",'IMPORT SCHLIESSERDATEN'!$AV108:$BG108,-1)-1))),0)</f>
        <v>0</v>
      </c>
      <c r="G116" s="74">
        <f>IF(AND('IMPORT SCHLIESSERDATEN'!$O108='IMPORT SCHLIESSERDATEN'!$R108,'IMPORT SCHLIESSERDATEN'!$O108&lt;&gt;"",'IMPORT SCHLIESSERDATEN'!$R108&lt;&gt;""),1,0)  +  IF(AND('IMPORT SCHLIESSERDATEN'!$P108='IMPORT SCHLIESSERDATEN'!$S108,'IMPORT SCHLIESSERDATEN'!$P108&lt;&gt;"",'IMPORT SCHLIESSERDATEN'!$S108&lt;&gt;""),2,0)   +  IF(AND('IMPORT SCHLIESSERDATEN'!$O108='IMPORT SCHLIESSERDATEN'!$S108,'IMPORT SCHLIESSERDATEN'!$O108&lt;&gt;"",'IMPORT SCHLIESSERDATEN'!$S108&lt;&gt;""),4,0)   +  IF(AND('IMPORT SCHLIESSERDATEN'!$P108='IMPORT SCHLIESSERDATEN'!$R108,'IMPORT SCHLIESSERDATEN'!$P108&lt;&gt;"",'IMPORT SCHLIESSERDATEN'!$R108&lt;&gt;""),8,0)   +  IF('IMPORT SCHLIESSERDATEN'!$Q108&lt;&gt;"",IF('IMPORT SCHLIESSERDATEN'!$R108&lt;&gt;"",32,0) + IF('IMPORT SCHLIESSERDATEN'!$S108&lt;&gt;"",64,0),0)  +  IF('IMPORT SCHLIESSERDATEN'!$T108&lt;&gt;"",IF('IMPORT SCHLIESSERDATEN'!$Q108&lt;&gt;"",128+256,128),0)</f>
        <v>3</v>
      </c>
      <c r="H116" s="74">
        <f>IF('IMPORT SCHLIESSERDATEN'!$H108="",0,1) + IF('IMPORT SCHLIESSERDATEN'!$I108="",0,2) + IF('IMPORT SCHLIESSERDATEN'!$J108="",0,4) + IF('IMPORT SCHLIESSERDATEN'!$K108="",0,8) + IF('IMPORT SCHLIESSERDATEN'!$L108="",0,16) + IF('IMPORT SCHLIESSERDATEN'!$M108="",0,32) + IF('IMPORT SCHLIESSERDATEN'!$N108="",0,64)</f>
        <v>14</v>
      </c>
      <c r="I116" s="74">
        <f>IF('IMPORT SCHLIESSERDATEN'!$D108="",0,1) + IF('IMPORT SCHLIESSERDATEN'!$E108="",0,2) + IF('IMPORT SCHLIESSERDATEN'!$E108="S",4,0)</f>
        <v>1</v>
      </c>
      <c r="J116" s="74">
        <f>IF(ISERR(FIND(" Gangfl.",'IMPORT SCHLIESSERDATEN'!$B108)),IF(ISERR(FIND(" Standfl.",'IMPORT SCHLIESSERDATEN'!$B108)),0,2),1)</f>
        <v>0</v>
      </c>
      <c r="K116" s="74">
        <f>'IMPORT SCHLIESSERDATEN'!CL108</f>
        <v>120</v>
      </c>
      <c r="L116" s="74">
        <f>'IMPORT SCHLIESSERDATEN'!CN108</f>
        <v>8</v>
      </c>
      <c r="M116" s="74">
        <f>IF('IMPORT SCHLIESSERDATEN'!CS108="wie TS",-1,'IMPORT SCHLIESSERDATEN'!CS108)</f>
        <v>120</v>
      </c>
      <c r="N116" s="74">
        <f>IF(M116&lt;0,-1,'IMPORT SCHLIESSERDATEN'!CU108)</f>
        <v>8</v>
      </c>
      <c r="O116" s="74">
        <f>IF('IMPORT SCHLIESSERDATEN'!CZ108="wie TS",-1,'IMPORT SCHLIESSERDATEN'!CZ108)</f>
        <v>0</v>
      </c>
      <c r="P116" s="74">
        <f>IF(O116&lt;0,-1,'IMPORT SCHLIESSERDATEN'!DB108)</f>
        <v>0</v>
      </c>
      <c r="Q116" s="74">
        <f>'IMPORT SCHLIESSERDATEN'!DG108</f>
        <v>0</v>
      </c>
      <c r="R116" s="74">
        <f>'IMPORT SCHLIESSERDATEN'!DI108</f>
        <v>0</v>
      </c>
      <c r="S116" s="74">
        <f>'IMPORT SCHLIESSERDATEN'!DN108</f>
        <v>0</v>
      </c>
      <c r="T116" s="74">
        <f>IF('IMPORT SCHLIESSERDATEN'!DP108="V",9999,'IMPORT SCHLIESSERDATEN'!DP108)</f>
        <v>0</v>
      </c>
      <c r="U116" s="74">
        <f>'IMPORT SCHLIESSERDATEN'!BW108</f>
        <v>225</v>
      </c>
      <c r="V116" s="74">
        <f>'IMPORT SCHLIESSERDATEN'!BX108</f>
        <v>40</v>
      </c>
      <c r="W116" s="74">
        <f>'IMPORT SCHLIESSERDATEN'!BY108</f>
        <v>60</v>
      </c>
      <c r="X116" s="74">
        <f>'IMPORT SCHLIESSERDATEN'!CO108</f>
        <v>245</v>
      </c>
      <c r="Y116" s="74">
        <f>'IMPORT SCHLIESSERDATEN'!CQ108</f>
        <v>22</v>
      </c>
      <c r="Z116" s="74">
        <f>'IMPORT SCHLIESSERDATEN'!CV108</f>
        <v>245</v>
      </c>
      <c r="AA116" s="74">
        <f>'IMPORT SCHLIESSERDATEN'!CX108</f>
        <v>22</v>
      </c>
      <c r="AB116" s="74">
        <f>'IMPORT SCHLIESSERDATEN'!DC108</f>
        <v>0</v>
      </c>
      <c r="AC116" s="74">
        <f>'IMPORT SCHLIESSERDATEN'!DE108</f>
        <v>0</v>
      </c>
      <c r="AD116" s="74">
        <f>'IMPORT SCHLIESSERDATEN'!DJ108</f>
        <v>0</v>
      </c>
      <c r="AE116" s="74">
        <f>'IMPORT SCHLIESSERDATEN'!DL108</f>
        <v>0</v>
      </c>
      <c r="AF116" s="74">
        <f>'IMPORT SCHLIESSERDATEN'!DQ108</f>
        <v>0</v>
      </c>
      <c r="AG116" s="74">
        <f>IF('IMPORT SCHLIESSERDATEN'!DS108="V",9999,'IMPORT SCHLIESSERDATEN'!DS108)</f>
        <v>0</v>
      </c>
      <c r="AH116" s="74">
        <f>IF('IMPORT SCHLIESSERDATEN'!BZ108="V",9999,IF('IMPORT SCHLIESSERDATEN'!CD108="_",-1,'IMPORT SCHLIESSERDATEN'!BZ108))</f>
        <v>305</v>
      </c>
      <c r="AI116" s="74">
        <f>IF('IMPORT SCHLIESSERDATEN'!CA108="V",9999,IF('IMPORT SCHLIESSERDATEN'!CD108="_",-1,'IMPORT SCHLIESSERDATEN'!CA108))</f>
        <v>20</v>
      </c>
      <c r="AJ116" s="74">
        <f>IF('IMPORT SCHLIESSERDATEN'!CB108="V",9999,IF('IMPORT SCHLIESSERDATEN'!CD108="_",-1,'IMPORT SCHLIESSERDATEN'!CB108))</f>
        <v>20</v>
      </c>
      <c r="AK116" s="74">
        <f>IF('IMPORT SCHLIESSERDATEN'!CC108="V",9999,IF('IMPORT SCHLIESSERDATEN'!CC108="_",-1,'IMPORT SCHLIESSERDATEN'!CC108))</f>
        <v>0</v>
      </c>
      <c r="AL116" s="74">
        <f>IF('IMPORT SCHLIESSERDATEN'!CD108="_",-1,'IMPORT SCHLIESSERDATEN'!CD108)</f>
        <v>250</v>
      </c>
      <c r="AM116" s="74">
        <f>'IMPORT SCHLIESSERDATEN'!CH108</f>
        <v>74</v>
      </c>
      <c r="AN116" s="74">
        <f>IF('IMPORT SCHLIESSERDATEN'!CE108="V",9999,'IMPORT SCHLIESSERDATEN'!CE108)</f>
        <v>20</v>
      </c>
      <c r="AO116" s="74">
        <f>IF('IMPORT SCHLIESSERDATEN'!CK108="_",-1,'IMPORT SCHLIESSERDATEN'!CK108)</f>
        <v>-1</v>
      </c>
      <c r="AP116" s="74">
        <f>IF('IMPORT SCHLIESSERDATEN'!$U108="",0,1)</f>
        <v>1</v>
      </c>
      <c r="AQ116" s="74">
        <f>IF('IMPORT SCHLIESSERDATEN'!$V108="",0,1)</f>
        <v>0</v>
      </c>
      <c r="AR116" s="74">
        <f>IF('IMPORT SCHLIESSERDATEN'!$W108="",0,1)</f>
        <v>0</v>
      </c>
      <c r="AS116" s="74">
        <f>IF('IMPORT SCHLIESSERDATEN'!$AA108="",0,1)</f>
        <v>0</v>
      </c>
      <c r="AT116" s="74">
        <f>IF('IMPORT SCHLIESSERDATEN'!$AD108="",0,1) + IF('IMPORT SCHLIESSERDATEN'!$AE108="",0,2)</f>
        <v>0</v>
      </c>
      <c r="AU116" s="74" t="str">
        <f>IF('IMPORT SCHLIESSERDATEN'!$X108="",IF('IMPORT SCHLIESSERDATEN'!$Y108="","","F"),"V")</f>
        <v/>
      </c>
      <c r="AV116" s="74" t="str">
        <f>IF('IMPORT SCHLIESSERDATEN'!$AB108&lt;&gt;"","M",IF('IMPORT SCHLIESSERDATEN'!$AD108&lt;&gt;"",IF(ISERR(SEARCH("UVIBIS",'IMPORT SCHLIESSERDATEN'!$B108)),"R","B"),IF(OR('IMPORT SCHLIESSERDATEN'!$AC108&lt;&gt;"",'IMPORT SCHLIESSERDATEN'!$AE108&lt;&gt;""),"E","")))</f>
        <v/>
      </c>
      <c r="AW116" s="82"/>
      <c r="AX116" s="67"/>
    </row>
    <row r="117" spans="1:50" x14ac:dyDescent="0.25">
      <c r="A117" s="67">
        <f>IFERROR(IF(C117&lt;&gt;"",MAX($A$2:$A116)+1,""),"")</f>
        <v>105</v>
      </c>
      <c r="B117" s="223">
        <f t="shared" ref="B117:B145" si="2">ROW()-ROW($B$12)</f>
        <v>105</v>
      </c>
      <c r="C117" s="216" t="str">
        <f>IF(J117=1,SUBSTITUTE('IMPORT SCHLIESSERDATEN'!$B109," Gangfl.",""),IF(J117=2,SUBSTITUTE('IMPORT SCHLIESSERDATEN'!$B109," Standfl.",""),'IMPORT SCHLIESSERDATEN'!$B109))</f>
        <v>TS 73V EN 2-4 + SR</v>
      </c>
      <c r="D117" s="216" t="str">
        <f>IF('IMPORT SCHLIESSERDATEN'!$AF109&lt;&gt;"",IF(COUNTA('IMPORT SCHLIESSERDATEN'!$AN109:$AU109)&gt;0,"X","G"),IF('IMPORT SCHLIESSERDATEN'!$AG109&lt;&gt;"","S",IF('IMPORT SCHLIESSERDATEN'!$AH109&lt;&gt;"","I",IF('IMPORT SCHLIESSERDATEN'!$AI109&lt;&gt;"","B",IF('IMPORT SCHLIESSERDATEN'!$AJ109&lt;&gt;"","D","")))))</f>
        <v>S</v>
      </c>
      <c r="E117" s="248" t="str">
        <f>'IMPORT SCHLIESSERDATEN'!AK109 &amp; IF('IMPORT SCHLIESSERDATEN'!AL109="",""," "&amp; 'IMPORT SCHLIESSERDATEN'!AL109)</f>
        <v>73V B</v>
      </c>
      <c r="F117" s="74">
        <f>IFERROR(IF(D117="X",2^(MATCH("",'IMPORT SCHLIESSERDATEN'!$AN109:$AU109,-1)-1),IF(AV117="F",2^(MATCH("",'IMPORT SCHLIESSERDATEN'!$BH109:$BK109,-1)-1),2^(MATCH("",'IMPORT SCHLIESSERDATEN'!$AV109:$BG109,-1)-1))),0)</f>
        <v>0</v>
      </c>
      <c r="G117" s="74">
        <f>IF(AND('IMPORT SCHLIESSERDATEN'!$O109='IMPORT SCHLIESSERDATEN'!$R109,'IMPORT SCHLIESSERDATEN'!$O109&lt;&gt;"",'IMPORT SCHLIESSERDATEN'!$R109&lt;&gt;""),1,0)  +  IF(AND('IMPORT SCHLIESSERDATEN'!$P109='IMPORT SCHLIESSERDATEN'!$S109,'IMPORT SCHLIESSERDATEN'!$P109&lt;&gt;"",'IMPORT SCHLIESSERDATEN'!$S109&lt;&gt;""),2,0)   +  IF(AND('IMPORT SCHLIESSERDATEN'!$O109='IMPORT SCHLIESSERDATEN'!$S109,'IMPORT SCHLIESSERDATEN'!$O109&lt;&gt;"",'IMPORT SCHLIESSERDATEN'!$S109&lt;&gt;""),4,0)   +  IF(AND('IMPORT SCHLIESSERDATEN'!$P109='IMPORT SCHLIESSERDATEN'!$R109,'IMPORT SCHLIESSERDATEN'!$P109&lt;&gt;"",'IMPORT SCHLIESSERDATEN'!$R109&lt;&gt;""),8,0)   +  IF('IMPORT SCHLIESSERDATEN'!$Q109&lt;&gt;"",IF('IMPORT SCHLIESSERDATEN'!$R109&lt;&gt;"",32,0) + IF('IMPORT SCHLIESSERDATEN'!$S109&lt;&gt;"",64,0),0)  +  IF('IMPORT SCHLIESSERDATEN'!$T109&lt;&gt;"",IF('IMPORT SCHLIESSERDATEN'!$Q109&lt;&gt;"",128+256,128),0)</f>
        <v>1</v>
      </c>
      <c r="H117" s="74">
        <f>IF('IMPORT SCHLIESSERDATEN'!$H109="",0,1) + IF('IMPORT SCHLIESSERDATEN'!$I109="",0,2) + IF('IMPORT SCHLIESSERDATEN'!$J109="",0,4) + IF('IMPORT SCHLIESSERDATEN'!$K109="",0,8) + IF('IMPORT SCHLIESSERDATEN'!$L109="",0,16) + IF('IMPORT SCHLIESSERDATEN'!$M109="",0,32) + IF('IMPORT SCHLIESSERDATEN'!$N109="",0,64)</f>
        <v>14</v>
      </c>
      <c r="I117" s="74">
        <f>IF('IMPORT SCHLIESSERDATEN'!$D109="",0,1) + IF('IMPORT SCHLIESSERDATEN'!$E109="",0,2) + IF('IMPORT SCHLIESSERDATEN'!$E109="S",4,0)</f>
        <v>2</v>
      </c>
      <c r="J117" s="74">
        <f>IF(ISERR(FIND(" Gangfl.",'IMPORT SCHLIESSERDATEN'!$B109)),IF(ISERR(FIND(" Standfl.",'IMPORT SCHLIESSERDATEN'!$B109)),0,2),1)</f>
        <v>0</v>
      </c>
      <c r="K117" s="74">
        <f>'IMPORT SCHLIESSERDATEN'!CL109</f>
        <v>120</v>
      </c>
      <c r="L117" s="74">
        <f>'IMPORT SCHLIESSERDATEN'!CN109</f>
        <v>8</v>
      </c>
      <c r="M117" s="74">
        <f>IF('IMPORT SCHLIESSERDATEN'!CS109="wie TS",-1,'IMPORT SCHLIESSERDATEN'!CS109)</f>
        <v>0</v>
      </c>
      <c r="N117" s="74">
        <f>IF(M117&lt;0,-1,'IMPORT SCHLIESSERDATEN'!CU109)</f>
        <v>0</v>
      </c>
      <c r="O117" s="74">
        <f>IF('IMPORT SCHLIESSERDATEN'!CZ109="wie TS",-1,'IMPORT SCHLIESSERDATEN'!CZ109)</f>
        <v>0</v>
      </c>
      <c r="P117" s="74">
        <f>IF(O117&lt;0,-1,'IMPORT SCHLIESSERDATEN'!DB109)</f>
        <v>0</v>
      </c>
      <c r="Q117" s="74">
        <f>'IMPORT SCHLIESSERDATEN'!DG109</f>
        <v>0</v>
      </c>
      <c r="R117" s="74">
        <f>'IMPORT SCHLIESSERDATEN'!DI109</f>
        <v>0</v>
      </c>
      <c r="S117" s="74">
        <f>'IMPORT SCHLIESSERDATEN'!DN109</f>
        <v>0</v>
      </c>
      <c r="T117" s="74">
        <f>IF('IMPORT SCHLIESSERDATEN'!DP109="V",9999,'IMPORT SCHLIESSERDATEN'!DP109)</f>
        <v>0</v>
      </c>
      <c r="U117" s="74">
        <f>'IMPORT SCHLIESSERDATEN'!BW109</f>
        <v>225</v>
      </c>
      <c r="V117" s="74">
        <f>'IMPORT SCHLIESSERDATEN'!BX109</f>
        <v>40</v>
      </c>
      <c r="W117" s="74">
        <f>'IMPORT SCHLIESSERDATEN'!BY109</f>
        <v>60</v>
      </c>
      <c r="X117" s="74">
        <f>'IMPORT SCHLIESSERDATEN'!CO109</f>
        <v>245</v>
      </c>
      <c r="Y117" s="74">
        <f>'IMPORT SCHLIESSERDATEN'!CQ109</f>
        <v>22</v>
      </c>
      <c r="Z117" s="74">
        <f>'IMPORT SCHLIESSERDATEN'!CV109</f>
        <v>0</v>
      </c>
      <c r="AA117" s="74">
        <f>'IMPORT SCHLIESSERDATEN'!CX109</f>
        <v>0</v>
      </c>
      <c r="AB117" s="74">
        <f>'IMPORT SCHLIESSERDATEN'!DC109</f>
        <v>0</v>
      </c>
      <c r="AC117" s="74">
        <f>'IMPORT SCHLIESSERDATEN'!DE109</f>
        <v>0</v>
      </c>
      <c r="AD117" s="74">
        <f>'IMPORT SCHLIESSERDATEN'!DJ109</f>
        <v>0</v>
      </c>
      <c r="AE117" s="74">
        <f>'IMPORT SCHLIESSERDATEN'!DL109</f>
        <v>0</v>
      </c>
      <c r="AF117" s="74">
        <f>'IMPORT SCHLIESSERDATEN'!DQ109</f>
        <v>0</v>
      </c>
      <c r="AG117" s="74">
        <f>IF('IMPORT SCHLIESSERDATEN'!DS109="V",9999,'IMPORT SCHLIESSERDATEN'!DS109)</f>
        <v>0</v>
      </c>
      <c r="AH117" s="74">
        <f>IF('IMPORT SCHLIESSERDATEN'!BZ109="V",9999,IF('IMPORT SCHLIESSERDATEN'!CD109="_",-1,'IMPORT SCHLIESSERDATEN'!BZ109))</f>
        <v>305</v>
      </c>
      <c r="AI117" s="74">
        <f>IF('IMPORT SCHLIESSERDATEN'!CA109="V",9999,IF('IMPORT SCHLIESSERDATEN'!CD109="_",-1,'IMPORT SCHLIESSERDATEN'!CA109))</f>
        <v>20</v>
      </c>
      <c r="AJ117" s="74">
        <f>IF('IMPORT SCHLIESSERDATEN'!CB109="V",9999,IF('IMPORT SCHLIESSERDATEN'!CD109="_",-1,'IMPORT SCHLIESSERDATEN'!CB109))</f>
        <v>20</v>
      </c>
      <c r="AK117" s="74">
        <f>IF('IMPORT SCHLIESSERDATEN'!CC109="V",9999,IF('IMPORT SCHLIESSERDATEN'!CC109="_",-1,'IMPORT SCHLIESSERDATEN'!CC109))</f>
        <v>0</v>
      </c>
      <c r="AL117" s="74">
        <f>IF('IMPORT SCHLIESSERDATEN'!CD109="_",-1,'IMPORT SCHLIESSERDATEN'!CD109)</f>
        <v>250</v>
      </c>
      <c r="AM117" s="74">
        <f>'IMPORT SCHLIESSERDATEN'!CH109</f>
        <v>74</v>
      </c>
      <c r="AN117" s="74">
        <f>IF('IMPORT SCHLIESSERDATEN'!CE109="V",9999,'IMPORT SCHLIESSERDATEN'!CE109)</f>
        <v>20</v>
      </c>
      <c r="AO117" s="74">
        <f>IF('IMPORT SCHLIESSERDATEN'!CK109="_",-1,'IMPORT SCHLIESSERDATEN'!CK109)</f>
        <v>-1</v>
      </c>
      <c r="AP117" s="74">
        <f>IF('IMPORT SCHLIESSERDATEN'!$U109="",0,1)</f>
        <v>1</v>
      </c>
      <c r="AQ117" s="74">
        <f>IF('IMPORT SCHLIESSERDATEN'!$V109="",0,1)</f>
        <v>0</v>
      </c>
      <c r="AR117" s="74">
        <f>IF('IMPORT SCHLIESSERDATEN'!$W109="",0,1)</f>
        <v>1</v>
      </c>
      <c r="AS117" s="74">
        <f>IF('IMPORT SCHLIESSERDATEN'!$AA109="",0,1)</f>
        <v>0</v>
      </c>
      <c r="AT117" s="74">
        <f>IF('IMPORT SCHLIESSERDATEN'!$AD109="",0,1) + IF('IMPORT SCHLIESSERDATEN'!$AE109="",0,2)</f>
        <v>0</v>
      </c>
      <c r="AU117" s="74" t="str">
        <f>IF('IMPORT SCHLIESSERDATEN'!$X109="",IF('IMPORT SCHLIESSERDATEN'!$Y109="","","F"),"V")</f>
        <v/>
      </c>
      <c r="AV117" s="74" t="str">
        <f>IF('IMPORT SCHLIESSERDATEN'!$AB109&lt;&gt;"","M",IF('IMPORT SCHLIESSERDATEN'!$AD109&lt;&gt;"",IF(ISERR(SEARCH("UVIBIS",'IMPORT SCHLIESSERDATEN'!$B109)),"R","B"),IF(OR('IMPORT SCHLIESSERDATEN'!$AC109&lt;&gt;"",'IMPORT SCHLIESSERDATEN'!$AE109&lt;&gt;""),"E","")))</f>
        <v/>
      </c>
      <c r="AW117" s="82"/>
      <c r="AX117" s="67"/>
    </row>
    <row r="118" spans="1:50" x14ac:dyDescent="0.25">
      <c r="A118" s="67">
        <f>IFERROR(IF(C118&lt;&gt;"",MAX($A$2:$A117)+1,""),"")</f>
        <v>106</v>
      </c>
      <c r="B118" s="223">
        <f t="shared" si="2"/>
        <v>106</v>
      </c>
      <c r="C118" s="216" t="str">
        <f>IF(J118=1,SUBSTITUTE('IMPORT SCHLIESSERDATEN'!$B110," Gangfl.",""),IF(J118=2,SUBSTITUTE('IMPORT SCHLIESSERDATEN'!$B110," Standfl.",""),'IMPORT SCHLIESSERDATEN'!$B110))</f>
        <v>TS 73V RF EN 2-4</v>
      </c>
      <c r="D118" s="216" t="str">
        <f>IF('IMPORT SCHLIESSERDATEN'!$AF110&lt;&gt;"",IF(COUNTA('IMPORT SCHLIESSERDATEN'!$AN110:$AU110)&gt;0,"X","G"),IF('IMPORT SCHLIESSERDATEN'!$AG110&lt;&gt;"","S",IF('IMPORT SCHLIESSERDATEN'!$AH110&lt;&gt;"","I",IF('IMPORT SCHLIESSERDATEN'!$AI110&lt;&gt;"","B",IF('IMPORT SCHLIESSERDATEN'!$AJ110&lt;&gt;"","D","")))))</f>
        <v>S</v>
      </c>
      <c r="E118" s="248" t="str">
        <f>'IMPORT SCHLIESSERDATEN'!AK110 &amp; IF('IMPORT SCHLIESSERDATEN'!AL110="",""," "&amp; 'IMPORT SCHLIESSERDATEN'!AL110)</f>
        <v>73V B</v>
      </c>
      <c r="F118" s="74">
        <f>IFERROR(IF(D118="X",2^(MATCH("",'IMPORT SCHLIESSERDATEN'!$AN110:$AU110,-1)-1),IF(AV118="F",2^(MATCH("",'IMPORT SCHLIESSERDATEN'!$BH110:$BK110,-1)-1),2^(MATCH("",'IMPORT SCHLIESSERDATEN'!$AV110:$BG110,-1)-1))),0)</f>
        <v>0</v>
      </c>
      <c r="G118" s="74">
        <f>IF(AND('IMPORT SCHLIESSERDATEN'!$O110='IMPORT SCHLIESSERDATEN'!$R110,'IMPORT SCHLIESSERDATEN'!$O110&lt;&gt;"",'IMPORT SCHLIESSERDATEN'!$R110&lt;&gt;""),1,0)  +  IF(AND('IMPORT SCHLIESSERDATEN'!$P110='IMPORT SCHLIESSERDATEN'!$S110,'IMPORT SCHLIESSERDATEN'!$P110&lt;&gt;"",'IMPORT SCHLIESSERDATEN'!$S110&lt;&gt;""),2,0)   +  IF(AND('IMPORT SCHLIESSERDATEN'!$O110='IMPORT SCHLIESSERDATEN'!$S110,'IMPORT SCHLIESSERDATEN'!$O110&lt;&gt;"",'IMPORT SCHLIESSERDATEN'!$S110&lt;&gt;""),4,0)   +  IF(AND('IMPORT SCHLIESSERDATEN'!$P110='IMPORT SCHLIESSERDATEN'!$R110,'IMPORT SCHLIESSERDATEN'!$P110&lt;&gt;"",'IMPORT SCHLIESSERDATEN'!$R110&lt;&gt;""),8,0)   +  IF('IMPORT SCHLIESSERDATEN'!$Q110&lt;&gt;"",IF('IMPORT SCHLIESSERDATEN'!$R110&lt;&gt;"",32,0) + IF('IMPORT SCHLIESSERDATEN'!$S110&lt;&gt;"",64,0),0)  +  IF('IMPORT SCHLIESSERDATEN'!$T110&lt;&gt;"",IF('IMPORT SCHLIESSERDATEN'!$Q110&lt;&gt;"",128+256,128),0)</f>
        <v>3</v>
      </c>
      <c r="H118" s="74">
        <f>IF('IMPORT SCHLIESSERDATEN'!$H110="",0,1) + IF('IMPORT SCHLIESSERDATEN'!$I110="",0,2) + IF('IMPORT SCHLIESSERDATEN'!$J110="",0,4) + IF('IMPORT SCHLIESSERDATEN'!$K110="",0,8) + IF('IMPORT SCHLIESSERDATEN'!$L110="",0,16) + IF('IMPORT SCHLIESSERDATEN'!$M110="",0,32) + IF('IMPORT SCHLIESSERDATEN'!$N110="",0,64)</f>
        <v>14</v>
      </c>
      <c r="I118" s="74">
        <f>IF('IMPORT SCHLIESSERDATEN'!$D110="",0,1) + IF('IMPORT SCHLIESSERDATEN'!$E110="",0,2) + IF('IMPORT SCHLIESSERDATEN'!$E110="S",4,0)</f>
        <v>1</v>
      </c>
      <c r="J118" s="74">
        <f>IF(ISERR(FIND(" Gangfl.",'IMPORT SCHLIESSERDATEN'!$B110)),IF(ISERR(FIND(" Standfl.",'IMPORT SCHLIESSERDATEN'!$B110)),0,2),1)</f>
        <v>0</v>
      </c>
      <c r="K118" s="74">
        <f>'IMPORT SCHLIESSERDATEN'!CL110</f>
        <v>120</v>
      </c>
      <c r="L118" s="74">
        <f>'IMPORT SCHLIESSERDATEN'!CN110</f>
        <v>8</v>
      </c>
      <c r="M118" s="74">
        <f>IF('IMPORT SCHLIESSERDATEN'!CS110="wie TS",-1,'IMPORT SCHLIESSERDATEN'!CS110)</f>
        <v>120</v>
      </c>
      <c r="N118" s="74">
        <f>IF(M118&lt;0,-1,'IMPORT SCHLIESSERDATEN'!CU110)</f>
        <v>8</v>
      </c>
      <c r="O118" s="74">
        <f>IF('IMPORT SCHLIESSERDATEN'!CZ110="wie TS",-1,'IMPORT SCHLIESSERDATEN'!CZ110)</f>
        <v>0</v>
      </c>
      <c r="P118" s="74">
        <f>IF(O118&lt;0,-1,'IMPORT SCHLIESSERDATEN'!DB110)</f>
        <v>0</v>
      </c>
      <c r="Q118" s="74">
        <f>'IMPORT SCHLIESSERDATEN'!DG110</f>
        <v>0</v>
      </c>
      <c r="R118" s="74">
        <f>'IMPORT SCHLIESSERDATEN'!DI110</f>
        <v>0</v>
      </c>
      <c r="S118" s="74">
        <f>'IMPORT SCHLIESSERDATEN'!DN110</f>
        <v>0</v>
      </c>
      <c r="T118" s="74">
        <f>IF('IMPORT SCHLIESSERDATEN'!DP110="V",9999,'IMPORT SCHLIESSERDATEN'!DP110)</f>
        <v>0</v>
      </c>
      <c r="U118" s="74">
        <f>'IMPORT SCHLIESSERDATEN'!BW110</f>
        <v>225</v>
      </c>
      <c r="V118" s="74">
        <f>'IMPORT SCHLIESSERDATEN'!BX110</f>
        <v>40</v>
      </c>
      <c r="W118" s="74">
        <f>'IMPORT SCHLIESSERDATEN'!BY110</f>
        <v>60</v>
      </c>
      <c r="X118" s="74">
        <f>'IMPORT SCHLIESSERDATEN'!CO110</f>
        <v>245</v>
      </c>
      <c r="Y118" s="74">
        <f>'IMPORT SCHLIESSERDATEN'!CQ110</f>
        <v>22</v>
      </c>
      <c r="Z118" s="74">
        <f>'IMPORT SCHLIESSERDATEN'!CV110</f>
        <v>245</v>
      </c>
      <c r="AA118" s="74">
        <f>'IMPORT SCHLIESSERDATEN'!CX110</f>
        <v>22</v>
      </c>
      <c r="AB118" s="74">
        <f>'IMPORT SCHLIESSERDATEN'!DC110</f>
        <v>0</v>
      </c>
      <c r="AC118" s="74">
        <f>'IMPORT SCHLIESSERDATEN'!DE110</f>
        <v>0</v>
      </c>
      <c r="AD118" s="74">
        <f>'IMPORT SCHLIESSERDATEN'!DJ110</f>
        <v>0</v>
      </c>
      <c r="AE118" s="74">
        <f>'IMPORT SCHLIESSERDATEN'!DL110</f>
        <v>0</v>
      </c>
      <c r="AF118" s="74">
        <f>'IMPORT SCHLIESSERDATEN'!DQ110</f>
        <v>0</v>
      </c>
      <c r="AG118" s="74">
        <f>IF('IMPORT SCHLIESSERDATEN'!DS110="V",9999,'IMPORT SCHLIESSERDATEN'!DS110)</f>
        <v>0</v>
      </c>
      <c r="AH118" s="74">
        <f>IF('IMPORT SCHLIESSERDATEN'!BZ110="V",9999,IF('IMPORT SCHLIESSERDATEN'!CD110="_",-1,'IMPORT SCHLIESSERDATEN'!BZ110))</f>
        <v>305</v>
      </c>
      <c r="AI118" s="74">
        <f>IF('IMPORT SCHLIESSERDATEN'!CA110="V",9999,IF('IMPORT SCHLIESSERDATEN'!CD110="_",-1,'IMPORT SCHLIESSERDATEN'!CA110))</f>
        <v>30</v>
      </c>
      <c r="AJ118" s="74">
        <f>IF('IMPORT SCHLIESSERDATEN'!CB110="V",9999,IF('IMPORT SCHLIESSERDATEN'!CD110="_",-1,'IMPORT SCHLIESSERDATEN'!CB110))</f>
        <v>20</v>
      </c>
      <c r="AK118" s="74">
        <f>IF('IMPORT SCHLIESSERDATEN'!CC110="V",9999,IF('IMPORT SCHLIESSERDATEN'!CC110="_",-1,'IMPORT SCHLIESSERDATEN'!CC110))</f>
        <v>0</v>
      </c>
      <c r="AL118" s="74">
        <f>IF('IMPORT SCHLIESSERDATEN'!CD110="_",-1,'IMPORT SCHLIESSERDATEN'!CD110)</f>
        <v>250</v>
      </c>
      <c r="AM118" s="74">
        <f>'IMPORT SCHLIESSERDATEN'!CH110</f>
        <v>74</v>
      </c>
      <c r="AN118" s="74">
        <f>IF('IMPORT SCHLIESSERDATEN'!CE110="V",9999,'IMPORT SCHLIESSERDATEN'!CE110)</f>
        <v>20</v>
      </c>
      <c r="AO118" s="74">
        <f>IF('IMPORT SCHLIESSERDATEN'!CK110="_",-1,'IMPORT SCHLIESSERDATEN'!CK110)</f>
        <v>-1</v>
      </c>
      <c r="AP118" s="74">
        <f>IF('IMPORT SCHLIESSERDATEN'!$U110="",0,1)</f>
        <v>0</v>
      </c>
      <c r="AQ118" s="74">
        <f>IF('IMPORT SCHLIESSERDATEN'!$V110="",0,1)</f>
        <v>0</v>
      </c>
      <c r="AR118" s="74">
        <f>IF('IMPORT SCHLIESSERDATEN'!$W110="",0,1)</f>
        <v>0</v>
      </c>
      <c r="AS118" s="74">
        <f>IF('IMPORT SCHLIESSERDATEN'!$AA110="",0,1)</f>
        <v>0</v>
      </c>
      <c r="AT118" s="74">
        <f>IF('IMPORT SCHLIESSERDATEN'!$AD110="",0,1) + IF('IMPORT SCHLIESSERDATEN'!$AE110="",0,2)</f>
        <v>0</v>
      </c>
      <c r="AU118" s="74" t="str">
        <f>IF('IMPORT SCHLIESSERDATEN'!$X110="",IF('IMPORT SCHLIESSERDATEN'!$Y110="","","F"),"V")</f>
        <v/>
      </c>
      <c r="AV118" s="74" t="str">
        <f>IF('IMPORT SCHLIESSERDATEN'!$AB110&lt;&gt;"","M",IF('IMPORT SCHLIESSERDATEN'!$AD110&lt;&gt;"",IF(ISERR(SEARCH("UVIBIS",'IMPORT SCHLIESSERDATEN'!$B110)),"R","B"),IF(OR('IMPORT SCHLIESSERDATEN'!$AC110&lt;&gt;"",'IMPORT SCHLIESSERDATEN'!$AE110&lt;&gt;""),"E","")))</f>
        <v>M</v>
      </c>
      <c r="AW118" s="82"/>
      <c r="AX118" s="67"/>
    </row>
    <row r="119" spans="1:50" x14ac:dyDescent="0.25">
      <c r="A119" s="67">
        <f>IFERROR(IF(C119&lt;&gt;"",MAX($A$2:$A118)+1,""),"")</f>
        <v>107</v>
      </c>
      <c r="B119" s="223">
        <f t="shared" si="2"/>
        <v>107</v>
      </c>
      <c r="C119" s="216" t="str">
        <f>IF(J119=1,SUBSTITUTE('IMPORT SCHLIESSERDATEN'!$B111," Gangfl.",""),IF(J119=2,SUBSTITUTE('IMPORT SCHLIESSERDATEN'!$B111," Standfl.",""),'IMPORT SCHLIESSERDATEN'!$B111))</f>
        <v>TS 73 EMF EN 4</v>
      </c>
      <c r="D119" s="216" t="str">
        <f>IF('IMPORT SCHLIESSERDATEN'!$AF111&lt;&gt;"",IF(COUNTA('IMPORT SCHLIESSERDATEN'!$AN111:$AU111)&gt;0,"X","G"),IF('IMPORT SCHLIESSERDATEN'!$AG111&lt;&gt;"","S",IF('IMPORT SCHLIESSERDATEN'!$AH111&lt;&gt;"","I",IF('IMPORT SCHLIESSERDATEN'!$AI111&lt;&gt;"","B",IF('IMPORT SCHLIESSERDATEN'!$AJ111&lt;&gt;"","D","")))))</f>
        <v>S</v>
      </c>
      <c r="E119" s="248" t="str">
        <f>'IMPORT SCHLIESSERDATEN'!AK111 &amp; IF('IMPORT SCHLIESSERDATEN'!AL111="",""," "&amp; 'IMPORT SCHLIESSERDATEN'!AL111)</f>
        <v>73 B</v>
      </c>
      <c r="F119" s="74">
        <f>IFERROR(IF(D119="X",2^(MATCH("",'IMPORT SCHLIESSERDATEN'!$AN111:$AU111,-1)-1),IF(AV119="F",2^(MATCH("",'IMPORT SCHLIESSERDATEN'!$BH111:$BK111,-1)-1),2^(MATCH("",'IMPORT SCHLIESSERDATEN'!$AV111:$BG111,-1)-1))),0)</f>
        <v>0</v>
      </c>
      <c r="G119" s="74">
        <f>IF(AND('IMPORT SCHLIESSERDATEN'!$O111='IMPORT SCHLIESSERDATEN'!$R111,'IMPORT SCHLIESSERDATEN'!$O111&lt;&gt;"",'IMPORT SCHLIESSERDATEN'!$R111&lt;&gt;""),1,0)  +  IF(AND('IMPORT SCHLIESSERDATEN'!$P111='IMPORT SCHLIESSERDATEN'!$S111,'IMPORT SCHLIESSERDATEN'!$P111&lt;&gt;"",'IMPORT SCHLIESSERDATEN'!$S111&lt;&gt;""),2,0)   +  IF(AND('IMPORT SCHLIESSERDATEN'!$O111='IMPORT SCHLIESSERDATEN'!$S111,'IMPORT SCHLIESSERDATEN'!$O111&lt;&gt;"",'IMPORT SCHLIESSERDATEN'!$S111&lt;&gt;""),4,0)   +  IF(AND('IMPORT SCHLIESSERDATEN'!$P111='IMPORT SCHLIESSERDATEN'!$R111,'IMPORT SCHLIESSERDATEN'!$P111&lt;&gt;"",'IMPORT SCHLIESSERDATEN'!$R111&lt;&gt;""),8,0)   +  IF('IMPORT SCHLIESSERDATEN'!$Q111&lt;&gt;"",IF('IMPORT SCHLIESSERDATEN'!$R111&lt;&gt;"",32,0) + IF('IMPORT SCHLIESSERDATEN'!$S111&lt;&gt;"",64,0),0)  +  IF('IMPORT SCHLIESSERDATEN'!$T111&lt;&gt;"",IF('IMPORT SCHLIESSERDATEN'!$Q111&lt;&gt;"",128+256,128),0)</f>
        <v>3</v>
      </c>
      <c r="H119" s="74">
        <f>IF('IMPORT SCHLIESSERDATEN'!$H111="",0,1) + IF('IMPORT SCHLIESSERDATEN'!$I111="",0,2) + IF('IMPORT SCHLIESSERDATEN'!$J111="",0,4) + IF('IMPORT SCHLIESSERDATEN'!$K111="",0,8) + IF('IMPORT SCHLIESSERDATEN'!$L111="",0,16) + IF('IMPORT SCHLIESSERDATEN'!$M111="",0,32) + IF('IMPORT SCHLIESSERDATEN'!$N111="",0,64)</f>
        <v>8</v>
      </c>
      <c r="I119" s="74">
        <f>IF('IMPORT SCHLIESSERDATEN'!$D111="",0,1) + IF('IMPORT SCHLIESSERDATEN'!$E111="",0,2) + IF('IMPORT SCHLIESSERDATEN'!$E111="S",4,0)</f>
        <v>1</v>
      </c>
      <c r="J119" s="74">
        <f>IF(ISERR(FIND(" Gangfl.",'IMPORT SCHLIESSERDATEN'!$B111)),IF(ISERR(FIND(" Standfl.",'IMPORT SCHLIESSERDATEN'!$B111)),0,2),1)</f>
        <v>0</v>
      </c>
      <c r="K119" s="74">
        <f>'IMPORT SCHLIESSERDATEN'!CL111</f>
        <v>110</v>
      </c>
      <c r="L119" s="74">
        <f>'IMPORT SCHLIESSERDATEN'!CN111</f>
        <v>8</v>
      </c>
      <c r="M119" s="74">
        <f>IF('IMPORT SCHLIESSERDATEN'!CS111="wie TS",-1,'IMPORT SCHLIESSERDATEN'!CS111)</f>
        <v>110</v>
      </c>
      <c r="N119" s="74">
        <f>IF(M119&lt;0,-1,'IMPORT SCHLIESSERDATEN'!CU111)</f>
        <v>8</v>
      </c>
      <c r="O119" s="74">
        <f>IF('IMPORT SCHLIESSERDATEN'!CZ111="wie TS",-1,'IMPORT SCHLIESSERDATEN'!CZ111)</f>
        <v>0</v>
      </c>
      <c r="P119" s="74">
        <f>IF(O119&lt;0,-1,'IMPORT SCHLIESSERDATEN'!DB111)</f>
        <v>0</v>
      </c>
      <c r="Q119" s="74">
        <f>'IMPORT SCHLIESSERDATEN'!DG111</f>
        <v>0</v>
      </c>
      <c r="R119" s="74">
        <f>'IMPORT SCHLIESSERDATEN'!DI111</f>
        <v>0</v>
      </c>
      <c r="S119" s="74">
        <f>'IMPORT SCHLIESSERDATEN'!DN111</f>
        <v>0</v>
      </c>
      <c r="T119" s="74">
        <f>IF('IMPORT SCHLIESSERDATEN'!DP111="V",9999,'IMPORT SCHLIESSERDATEN'!DP111)</f>
        <v>0</v>
      </c>
      <c r="U119" s="74">
        <f>'IMPORT SCHLIESSERDATEN'!BW111</f>
        <v>320</v>
      </c>
      <c r="V119" s="74">
        <f>'IMPORT SCHLIESSERDATEN'!BX111</f>
        <v>46</v>
      </c>
      <c r="W119" s="74">
        <f>'IMPORT SCHLIESSERDATEN'!BY111</f>
        <v>60</v>
      </c>
      <c r="X119" s="74">
        <f>'IMPORT SCHLIESSERDATEN'!CO111</f>
        <v>245</v>
      </c>
      <c r="Y119" s="74">
        <f>'IMPORT SCHLIESSERDATEN'!CQ111</f>
        <v>22</v>
      </c>
      <c r="Z119" s="74">
        <f>'IMPORT SCHLIESSERDATEN'!CV111</f>
        <v>245</v>
      </c>
      <c r="AA119" s="74">
        <f>'IMPORT SCHLIESSERDATEN'!CX111</f>
        <v>22</v>
      </c>
      <c r="AB119" s="74">
        <f>'IMPORT SCHLIESSERDATEN'!DC111</f>
        <v>0</v>
      </c>
      <c r="AC119" s="74">
        <f>'IMPORT SCHLIESSERDATEN'!DE111</f>
        <v>0</v>
      </c>
      <c r="AD119" s="74">
        <f>'IMPORT SCHLIESSERDATEN'!DJ111</f>
        <v>0</v>
      </c>
      <c r="AE119" s="74">
        <f>'IMPORT SCHLIESSERDATEN'!DL111</f>
        <v>0</v>
      </c>
      <c r="AF119" s="74">
        <f>'IMPORT SCHLIESSERDATEN'!DQ111</f>
        <v>0</v>
      </c>
      <c r="AG119" s="74">
        <f>IF('IMPORT SCHLIESSERDATEN'!DS111="V",9999,'IMPORT SCHLIESSERDATEN'!DS111)</f>
        <v>0</v>
      </c>
      <c r="AH119" s="74">
        <f>IF('IMPORT SCHLIESSERDATEN'!BZ111="V",9999,IF('IMPORT SCHLIESSERDATEN'!CD111="_",-1,'IMPORT SCHLIESSERDATEN'!BZ111))</f>
        <v>305</v>
      </c>
      <c r="AI119" s="74">
        <f>IF('IMPORT SCHLIESSERDATEN'!CA111="V",9999,IF('IMPORT SCHLIESSERDATEN'!CD111="_",-1,'IMPORT SCHLIESSERDATEN'!CA111))</f>
        <v>20</v>
      </c>
      <c r="AJ119" s="74">
        <f>IF('IMPORT SCHLIESSERDATEN'!CB111="V",9999,IF('IMPORT SCHLIESSERDATEN'!CD111="_",-1,'IMPORT SCHLIESSERDATEN'!CB111))</f>
        <v>20</v>
      </c>
      <c r="AK119" s="74">
        <f>IF('IMPORT SCHLIESSERDATEN'!CC111="V",9999,IF('IMPORT SCHLIESSERDATEN'!CC111="_",-1,'IMPORT SCHLIESSERDATEN'!CC111))</f>
        <v>0</v>
      </c>
      <c r="AL119" s="74">
        <f>IF('IMPORT SCHLIESSERDATEN'!CD111="_",-1,'IMPORT SCHLIESSERDATEN'!CD111)</f>
        <v>250</v>
      </c>
      <c r="AM119" s="74">
        <f>'IMPORT SCHLIESSERDATEN'!CH111</f>
        <v>84</v>
      </c>
      <c r="AN119" s="74">
        <f>IF('IMPORT SCHLIESSERDATEN'!CE111="V",9999,'IMPORT SCHLIESSERDATEN'!CE111)</f>
        <v>22</v>
      </c>
      <c r="AO119" s="74">
        <f>IF('IMPORT SCHLIESSERDATEN'!CK111="_",-1,'IMPORT SCHLIESSERDATEN'!CK111)</f>
        <v>-1</v>
      </c>
      <c r="AP119" s="74">
        <f>IF('IMPORT SCHLIESSERDATEN'!$U111="",0,1)</f>
        <v>1</v>
      </c>
      <c r="AQ119" s="74">
        <f>IF('IMPORT SCHLIESSERDATEN'!$V111="",0,1)</f>
        <v>0</v>
      </c>
      <c r="AR119" s="74">
        <f>IF('IMPORT SCHLIESSERDATEN'!$W111="",0,1)</f>
        <v>0</v>
      </c>
      <c r="AS119" s="74">
        <f>IF('IMPORT SCHLIESSERDATEN'!$AA111="",0,1)</f>
        <v>0</v>
      </c>
      <c r="AT119" s="74">
        <f>IF('IMPORT SCHLIESSERDATEN'!$AD111="",0,1) + IF('IMPORT SCHLIESSERDATEN'!$AE111="",0,2)</f>
        <v>2</v>
      </c>
      <c r="AU119" s="74" t="str">
        <f>IF('IMPORT SCHLIESSERDATEN'!$X111="",IF('IMPORT SCHLIESSERDATEN'!$Y111="","","F"),"V")</f>
        <v/>
      </c>
      <c r="AV119" s="74" t="str">
        <f>IF('IMPORT SCHLIESSERDATEN'!$AB111&lt;&gt;"","M",IF('IMPORT SCHLIESSERDATEN'!$AD111&lt;&gt;"",IF(ISERR(SEARCH("UVIBIS",'IMPORT SCHLIESSERDATEN'!$B111)),"R","B"),IF(OR('IMPORT SCHLIESSERDATEN'!$AC111&lt;&gt;"",'IMPORT SCHLIESSERDATEN'!$AE111&lt;&gt;""),"E","")))</f>
        <v>E</v>
      </c>
      <c r="AW119" s="82"/>
      <c r="AX119" s="67"/>
    </row>
    <row r="120" spans="1:50" x14ac:dyDescent="0.25">
      <c r="A120" s="67">
        <f>IFERROR(IF(C120&lt;&gt;"",MAX($A$2:$A119)+1,""),"")</f>
        <v>108</v>
      </c>
      <c r="B120" s="223">
        <f t="shared" si="2"/>
        <v>108</v>
      </c>
      <c r="C120" s="216" t="str">
        <f>IF(J120=1,SUBSTITUTE('IMPORT SCHLIESSERDATEN'!$B112," Gangfl.",""),IF(J120=2,SUBSTITUTE('IMPORT SCHLIESSERDATEN'!$B112," Standfl.",""),'IMPORT SCHLIESSERDATEN'!$B112))</f>
        <v>TS 73 EMF EN 5</v>
      </c>
      <c r="D120" s="216" t="str">
        <f>IF('IMPORT SCHLIESSERDATEN'!$AF112&lt;&gt;"",IF(COUNTA('IMPORT SCHLIESSERDATEN'!$AN112:$AU112)&gt;0,"X","G"),IF('IMPORT SCHLIESSERDATEN'!$AG112&lt;&gt;"","S",IF('IMPORT SCHLIESSERDATEN'!$AH112&lt;&gt;"","I",IF('IMPORT SCHLIESSERDATEN'!$AI112&lt;&gt;"","B",IF('IMPORT SCHLIESSERDATEN'!$AJ112&lt;&gt;"","D","")))))</f>
        <v>S</v>
      </c>
      <c r="E120" s="248" t="str">
        <f>'IMPORT SCHLIESSERDATEN'!AK112 &amp; IF('IMPORT SCHLIESSERDATEN'!AL112="",""," "&amp; 'IMPORT SCHLIESSERDATEN'!AL112)</f>
        <v>73 B</v>
      </c>
      <c r="F120" s="74">
        <f>IFERROR(IF(D120="X",2^(MATCH("",'IMPORT SCHLIESSERDATEN'!$AN112:$AU112,-1)-1),IF(AV120="F",2^(MATCH("",'IMPORT SCHLIESSERDATEN'!$BH112:$BK112,-1)-1),2^(MATCH("",'IMPORT SCHLIESSERDATEN'!$AV112:$BG112,-1)-1))),0)</f>
        <v>0</v>
      </c>
      <c r="G120" s="74">
        <f>IF(AND('IMPORT SCHLIESSERDATEN'!$O112='IMPORT SCHLIESSERDATEN'!$R112,'IMPORT SCHLIESSERDATEN'!$O112&lt;&gt;"",'IMPORT SCHLIESSERDATEN'!$R112&lt;&gt;""),1,0)  +  IF(AND('IMPORT SCHLIESSERDATEN'!$P112='IMPORT SCHLIESSERDATEN'!$S112,'IMPORT SCHLIESSERDATEN'!$P112&lt;&gt;"",'IMPORT SCHLIESSERDATEN'!$S112&lt;&gt;""),2,0)   +  IF(AND('IMPORT SCHLIESSERDATEN'!$O112='IMPORT SCHLIESSERDATEN'!$S112,'IMPORT SCHLIESSERDATEN'!$O112&lt;&gt;"",'IMPORT SCHLIESSERDATEN'!$S112&lt;&gt;""),4,0)   +  IF(AND('IMPORT SCHLIESSERDATEN'!$P112='IMPORT SCHLIESSERDATEN'!$R112,'IMPORT SCHLIESSERDATEN'!$P112&lt;&gt;"",'IMPORT SCHLIESSERDATEN'!$R112&lt;&gt;""),8,0)   +  IF('IMPORT SCHLIESSERDATEN'!$Q112&lt;&gt;"",IF('IMPORT SCHLIESSERDATEN'!$R112&lt;&gt;"",32,0) + IF('IMPORT SCHLIESSERDATEN'!$S112&lt;&gt;"",64,0),0)  +  IF('IMPORT SCHLIESSERDATEN'!$T112&lt;&gt;"",IF('IMPORT SCHLIESSERDATEN'!$Q112&lt;&gt;"",128+256,128),0)</f>
        <v>3</v>
      </c>
      <c r="H120" s="74">
        <f>IF('IMPORT SCHLIESSERDATEN'!$H112="",0,1) + IF('IMPORT SCHLIESSERDATEN'!$I112="",0,2) + IF('IMPORT SCHLIESSERDATEN'!$J112="",0,4) + IF('IMPORT SCHLIESSERDATEN'!$K112="",0,8) + IF('IMPORT SCHLIESSERDATEN'!$L112="",0,16) + IF('IMPORT SCHLIESSERDATEN'!$M112="",0,32) + IF('IMPORT SCHLIESSERDATEN'!$N112="",0,64)</f>
        <v>16</v>
      </c>
      <c r="I120" s="74">
        <f>IF('IMPORT SCHLIESSERDATEN'!$D112="",0,1) + IF('IMPORT SCHLIESSERDATEN'!$E112="",0,2) + IF('IMPORT SCHLIESSERDATEN'!$E112="S",4,0)</f>
        <v>1</v>
      </c>
      <c r="J120" s="74">
        <f>IF(ISERR(FIND(" Gangfl.",'IMPORT SCHLIESSERDATEN'!$B112)),IF(ISERR(FIND(" Standfl.",'IMPORT SCHLIESSERDATEN'!$B112)),0,2),1)</f>
        <v>0</v>
      </c>
      <c r="K120" s="74">
        <f>'IMPORT SCHLIESSERDATEN'!CL112</f>
        <v>110</v>
      </c>
      <c r="L120" s="74">
        <f>'IMPORT SCHLIESSERDATEN'!CN112</f>
        <v>8</v>
      </c>
      <c r="M120" s="74">
        <f>IF('IMPORT SCHLIESSERDATEN'!CS112="wie TS",-1,'IMPORT SCHLIESSERDATEN'!CS112)</f>
        <v>110</v>
      </c>
      <c r="N120" s="74">
        <f>IF(M120&lt;0,-1,'IMPORT SCHLIESSERDATEN'!CU112)</f>
        <v>8</v>
      </c>
      <c r="O120" s="74">
        <f>IF('IMPORT SCHLIESSERDATEN'!CZ112="wie TS",-1,'IMPORT SCHLIESSERDATEN'!CZ112)</f>
        <v>0</v>
      </c>
      <c r="P120" s="74">
        <f>IF(O120&lt;0,-1,'IMPORT SCHLIESSERDATEN'!DB112)</f>
        <v>0</v>
      </c>
      <c r="Q120" s="74">
        <f>'IMPORT SCHLIESSERDATEN'!DG112</f>
        <v>0</v>
      </c>
      <c r="R120" s="74">
        <f>'IMPORT SCHLIESSERDATEN'!DI112</f>
        <v>0</v>
      </c>
      <c r="S120" s="74">
        <f>'IMPORT SCHLIESSERDATEN'!DN112</f>
        <v>0</v>
      </c>
      <c r="T120" s="74">
        <f>IF('IMPORT SCHLIESSERDATEN'!DP112="V",9999,'IMPORT SCHLIESSERDATEN'!DP112)</f>
        <v>0</v>
      </c>
      <c r="U120" s="74">
        <f>'IMPORT SCHLIESSERDATEN'!BW112</f>
        <v>320</v>
      </c>
      <c r="V120" s="74">
        <f>'IMPORT SCHLIESSERDATEN'!BX112</f>
        <v>46</v>
      </c>
      <c r="W120" s="74">
        <f>'IMPORT SCHLIESSERDATEN'!BY112</f>
        <v>60</v>
      </c>
      <c r="X120" s="74">
        <f>'IMPORT SCHLIESSERDATEN'!CO112</f>
        <v>245</v>
      </c>
      <c r="Y120" s="74">
        <f>'IMPORT SCHLIESSERDATEN'!CQ112</f>
        <v>22</v>
      </c>
      <c r="Z120" s="74">
        <f>'IMPORT SCHLIESSERDATEN'!CV112</f>
        <v>245</v>
      </c>
      <c r="AA120" s="74">
        <f>'IMPORT SCHLIESSERDATEN'!CX112</f>
        <v>22</v>
      </c>
      <c r="AB120" s="74">
        <f>'IMPORT SCHLIESSERDATEN'!DC112</f>
        <v>0</v>
      </c>
      <c r="AC120" s="74">
        <f>'IMPORT SCHLIESSERDATEN'!DE112</f>
        <v>0</v>
      </c>
      <c r="AD120" s="74">
        <f>'IMPORT SCHLIESSERDATEN'!DJ112</f>
        <v>0</v>
      </c>
      <c r="AE120" s="74">
        <f>'IMPORT SCHLIESSERDATEN'!DL112</f>
        <v>0</v>
      </c>
      <c r="AF120" s="74">
        <f>'IMPORT SCHLIESSERDATEN'!DQ112</f>
        <v>0</v>
      </c>
      <c r="AG120" s="74">
        <f>IF('IMPORT SCHLIESSERDATEN'!DS112="V",9999,'IMPORT SCHLIESSERDATEN'!DS112)</f>
        <v>0</v>
      </c>
      <c r="AH120" s="74">
        <f>IF('IMPORT SCHLIESSERDATEN'!BZ112="V",9999,IF('IMPORT SCHLIESSERDATEN'!CD112="_",-1,'IMPORT SCHLIESSERDATEN'!BZ112))</f>
        <v>305</v>
      </c>
      <c r="AI120" s="74">
        <f>IF('IMPORT SCHLIESSERDATEN'!CA112="V",9999,IF('IMPORT SCHLIESSERDATEN'!CD112="_",-1,'IMPORT SCHLIESSERDATEN'!CA112))</f>
        <v>20</v>
      </c>
      <c r="AJ120" s="74">
        <f>IF('IMPORT SCHLIESSERDATEN'!CB112="V",9999,IF('IMPORT SCHLIESSERDATEN'!CD112="_",-1,'IMPORT SCHLIESSERDATEN'!CB112))</f>
        <v>20</v>
      </c>
      <c r="AK120" s="74">
        <f>IF('IMPORT SCHLIESSERDATEN'!CC112="V",9999,IF('IMPORT SCHLIESSERDATEN'!CC112="_",-1,'IMPORT SCHLIESSERDATEN'!CC112))</f>
        <v>0</v>
      </c>
      <c r="AL120" s="74">
        <f>IF('IMPORT SCHLIESSERDATEN'!CD112="_",-1,'IMPORT SCHLIESSERDATEN'!CD112)</f>
        <v>250</v>
      </c>
      <c r="AM120" s="74">
        <f>'IMPORT SCHLIESSERDATEN'!CH112</f>
        <v>84</v>
      </c>
      <c r="AN120" s="74">
        <f>IF('IMPORT SCHLIESSERDATEN'!CE112="V",9999,'IMPORT SCHLIESSERDATEN'!CE112)</f>
        <v>22</v>
      </c>
      <c r="AO120" s="74">
        <f>IF('IMPORT SCHLIESSERDATEN'!CK112="_",-1,'IMPORT SCHLIESSERDATEN'!CK112)</f>
        <v>-1</v>
      </c>
      <c r="AP120" s="74">
        <f>IF('IMPORT SCHLIESSERDATEN'!$U112="",0,1)</f>
        <v>1</v>
      </c>
      <c r="AQ120" s="74">
        <f>IF('IMPORT SCHLIESSERDATEN'!$V112="",0,1)</f>
        <v>0</v>
      </c>
      <c r="AR120" s="74">
        <f>IF('IMPORT SCHLIESSERDATEN'!$W112="",0,1)</f>
        <v>0</v>
      </c>
      <c r="AS120" s="74">
        <f>IF('IMPORT SCHLIESSERDATEN'!$AA112="",0,1)</f>
        <v>0</v>
      </c>
      <c r="AT120" s="74">
        <f>IF('IMPORT SCHLIESSERDATEN'!$AD112="",0,1) + IF('IMPORT SCHLIESSERDATEN'!$AE112="",0,2)</f>
        <v>2</v>
      </c>
      <c r="AU120" s="74" t="str">
        <f>IF('IMPORT SCHLIESSERDATEN'!$X112="",IF('IMPORT SCHLIESSERDATEN'!$Y112="","","F"),"V")</f>
        <v/>
      </c>
      <c r="AV120" s="74" t="str">
        <f>IF('IMPORT SCHLIESSERDATEN'!$AB112&lt;&gt;"","M",IF('IMPORT SCHLIESSERDATEN'!$AD112&lt;&gt;"",IF(ISERR(SEARCH("UVIBIS",'IMPORT SCHLIESSERDATEN'!$B112)),"R","B"),IF(OR('IMPORT SCHLIESSERDATEN'!$AC112&lt;&gt;"",'IMPORT SCHLIESSERDATEN'!$AE112&lt;&gt;""),"E","")))</f>
        <v>E</v>
      </c>
      <c r="AW120" s="82"/>
      <c r="AX120" s="67"/>
    </row>
    <row r="121" spans="1:50" x14ac:dyDescent="0.25">
      <c r="A121" s="67">
        <f>IFERROR(IF(C121&lt;&gt;"",MAX($A$2:$A120)+1,""),"")</f>
        <v>109</v>
      </c>
      <c r="B121" s="223">
        <f t="shared" si="2"/>
        <v>109</v>
      </c>
      <c r="C121" s="216" t="str">
        <f>IF(J121=1,SUBSTITUTE('IMPORT SCHLIESSERDATEN'!$B113," Gangfl.",""),IF(J121=2,SUBSTITUTE('IMPORT SCHLIESSERDATEN'!$B113," Standfl.",""),'IMPORT SCHLIESSERDATEN'!$B113))</f>
        <v>TS 73 EMF EN 6</v>
      </c>
      <c r="D121" s="216" t="str">
        <f>IF('IMPORT SCHLIESSERDATEN'!$AF113&lt;&gt;"",IF(COUNTA('IMPORT SCHLIESSERDATEN'!$AN113:$AU113)&gt;0,"X","G"),IF('IMPORT SCHLIESSERDATEN'!$AG113&lt;&gt;"","S",IF('IMPORT SCHLIESSERDATEN'!$AH113&lt;&gt;"","I",IF('IMPORT SCHLIESSERDATEN'!$AI113&lt;&gt;"","B",IF('IMPORT SCHLIESSERDATEN'!$AJ113&lt;&gt;"","D","")))))</f>
        <v>S</v>
      </c>
      <c r="E121" s="248" t="str">
        <f>'IMPORT SCHLIESSERDATEN'!AK113 &amp; IF('IMPORT SCHLIESSERDATEN'!AL113="",""," "&amp; 'IMPORT SCHLIESSERDATEN'!AL113)</f>
        <v>73 B</v>
      </c>
      <c r="F121" s="74">
        <f>IFERROR(IF(D121="X",2^(MATCH("",'IMPORT SCHLIESSERDATEN'!$AN113:$AU113,-1)-1),IF(AV121="F",2^(MATCH("",'IMPORT SCHLIESSERDATEN'!$BH113:$BK113,-1)-1),2^(MATCH("",'IMPORT SCHLIESSERDATEN'!$AV113:$BG113,-1)-1))),0)</f>
        <v>0</v>
      </c>
      <c r="G121" s="74">
        <f>IF(AND('IMPORT SCHLIESSERDATEN'!$O113='IMPORT SCHLIESSERDATEN'!$R113,'IMPORT SCHLIESSERDATEN'!$O113&lt;&gt;"",'IMPORT SCHLIESSERDATEN'!$R113&lt;&gt;""),1,0)  +  IF(AND('IMPORT SCHLIESSERDATEN'!$P113='IMPORT SCHLIESSERDATEN'!$S113,'IMPORT SCHLIESSERDATEN'!$P113&lt;&gt;"",'IMPORT SCHLIESSERDATEN'!$S113&lt;&gt;""),2,0)   +  IF(AND('IMPORT SCHLIESSERDATEN'!$O113='IMPORT SCHLIESSERDATEN'!$S113,'IMPORT SCHLIESSERDATEN'!$O113&lt;&gt;"",'IMPORT SCHLIESSERDATEN'!$S113&lt;&gt;""),4,0)   +  IF(AND('IMPORT SCHLIESSERDATEN'!$P113='IMPORT SCHLIESSERDATEN'!$R113,'IMPORT SCHLIESSERDATEN'!$P113&lt;&gt;"",'IMPORT SCHLIESSERDATEN'!$R113&lt;&gt;""),8,0)   +  IF('IMPORT SCHLIESSERDATEN'!$Q113&lt;&gt;"",IF('IMPORT SCHLIESSERDATEN'!$R113&lt;&gt;"",32,0) + IF('IMPORT SCHLIESSERDATEN'!$S113&lt;&gt;"",64,0),0)  +  IF('IMPORT SCHLIESSERDATEN'!$T113&lt;&gt;"",IF('IMPORT SCHLIESSERDATEN'!$Q113&lt;&gt;"",128+256,128),0)</f>
        <v>3</v>
      </c>
      <c r="H121" s="74">
        <f>IF('IMPORT SCHLIESSERDATEN'!$H113="",0,1) + IF('IMPORT SCHLIESSERDATEN'!$I113="",0,2) + IF('IMPORT SCHLIESSERDATEN'!$J113="",0,4) + IF('IMPORT SCHLIESSERDATEN'!$K113="",0,8) + IF('IMPORT SCHLIESSERDATEN'!$L113="",0,16) + IF('IMPORT SCHLIESSERDATEN'!$M113="",0,32) + IF('IMPORT SCHLIESSERDATEN'!$N113="",0,64)</f>
        <v>32</v>
      </c>
      <c r="I121" s="74">
        <f>IF('IMPORT SCHLIESSERDATEN'!$D113="",0,1) + IF('IMPORT SCHLIESSERDATEN'!$E113="",0,2) + IF('IMPORT SCHLIESSERDATEN'!$E113="S",4,0)</f>
        <v>1</v>
      </c>
      <c r="J121" s="74">
        <f>IF(ISERR(FIND(" Gangfl.",'IMPORT SCHLIESSERDATEN'!$B113)),IF(ISERR(FIND(" Standfl.",'IMPORT SCHLIESSERDATEN'!$B113)),0,2),1)</f>
        <v>0</v>
      </c>
      <c r="K121" s="74">
        <f>'IMPORT SCHLIESSERDATEN'!CL113</f>
        <v>110</v>
      </c>
      <c r="L121" s="74">
        <f>'IMPORT SCHLIESSERDATEN'!CN113</f>
        <v>8</v>
      </c>
      <c r="M121" s="74">
        <f>IF('IMPORT SCHLIESSERDATEN'!CS113="wie TS",-1,'IMPORT SCHLIESSERDATEN'!CS113)</f>
        <v>110</v>
      </c>
      <c r="N121" s="74">
        <f>IF(M121&lt;0,-1,'IMPORT SCHLIESSERDATEN'!CU113)</f>
        <v>8</v>
      </c>
      <c r="O121" s="74">
        <f>IF('IMPORT SCHLIESSERDATEN'!CZ113="wie TS",-1,'IMPORT SCHLIESSERDATEN'!CZ113)</f>
        <v>0</v>
      </c>
      <c r="P121" s="74">
        <f>IF(O121&lt;0,-1,'IMPORT SCHLIESSERDATEN'!DB113)</f>
        <v>0</v>
      </c>
      <c r="Q121" s="74">
        <f>'IMPORT SCHLIESSERDATEN'!DG113</f>
        <v>0</v>
      </c>
      <c r="R121" s="74">
        <f>'IMPORT SCHLIESSERDATEN'!DI113</f>
        <v>0</v>
      </c>
      <c r="S121" s="74">
        <f>'IMPORT SCHLIESSERDATEN'!DN113</f>
        <v>0</v>
      </c>
      <c r="T121" s="74">
        <f>IF('IMPORT SCHLIESSERDATEN'!DP113="V",9999,'IMPORT SCHLIESSERDATEN'!DP113)</f>
        <v>0</v>
      </c>
      <c r="U121" s="74">
        <f>'IMPORT SCHLIESSERDATEN'!BW113</f>
        <v>320</v>
      </c>
      <c r="V121" s="74">
        <f>'IMPORT SCHLIESSERDATEN'!BX113</f>
        <v>46</v>
      </c>
      <c r="W121" s="74">
        <f>'IMPORT SCHLIESSERDATEN'!BY113</f>
        <v>60</v>
      </c>
      <c r="X121" s="74">
        <f>'IMPORT SCHLIESSERDATEN'!CO113</f>
        <v>245</v>
      </c>
      <c r="Y121" s="74">
        <f>'IMPORT SCHLIESSERDATEN'!CQ113</f>
        <v>22</v>
      </c>
      <c r="Z121" s="74">
        <f>'IMPORT SCHLIESSERDATEN'!CV113</f>
        <v>245</v>
      </c>
      <c r="AA121" s="74">
        <f>'IMPORT SCHLIESSERDATEN'!CX113</f>
        <v>22</v>
      </c>
      <c r="AB121" s="74">
        <f>'IMPORT SCHLIESSERDATEN'!DC113</f>
        <v>0</v>
      </c>
      <c r="AC121" s="74">
        <f>'IMPORT SCHLIESSERDATEN'!DE113</f>
        <v>0</v>
      </c>
      <c r="AD121" s="74">
        <f>'IMPORT SCHLIESSERDATEN'!DJ113</f>
        <v>0</v>
      </c>
      <c r="AE121" s="74">
        <f>'IMPORT SCHLIESSERDATEN'!DL113</f>
        <v>0</v>
      </c>
      <c r="AF121" s="74">
        <f>'IMPORT SCHLIESSERDATEN'!DQ113</f>
        <v>0</v>
      </c>
      <c r="AG121" s="74">
        <f>IF('IMPORT SCHLIESSERDATEN'!DS113="V",9999,'IMPORT SCHLIESSERDATEN'!DS113)</f>
        <v>0</v>
      </c>
      <c r="AH121" s="74">
        <f>IF('IMPORT SCHLIESSERDATEN'!BZ113="V",9999,IF('IMPORT SCHLIESSERDATEN'!CD113="_",-1,'IMPORT SCHLIESSERDATEN'!BZ113))</f>
        <v>305</v>
      </c>
      <c r="AI121" s="74">
        <f>IF('IMPORT SCHLIESSERDATEN'!CA113="V",9999,IF('IMPORT SCHLIESSERDATEN'!CD113="_",-1,'IMPORT SCHLIESSERDATEN'!CA113))</f>
        <v>20</v>
      </c>
      <c r="AJ121" s="74">
        <f>IF('IMPORT SCHLIESSERDATEN'!CB113="V",9999,IF('IMPORT SCHLIESSERDATEN'!CD113="_",-1,'IMPORT SCHLIESSERDATEN'!CB113))</f>
        <v>20</v>
      </c>
      <c r="AK121" s="74">
        <f>IF('IMPORT SCHLIESSERDATEN'!CC113="V",9999,IF('IMPORT SCHLIESSERDATEN'!CC113="_",-1,'IMPORT SCHLIESSERDATEN'!CC113))</f>
        <v>0</v>
      </c>
      <c r="AL121" s="74">
        <f>IF('IMPORT SCHLIESSERDATEN'!CD113="_",-1,'IMPORT SCHLIESSERDATEN'!CD113)</f>
        <v>250</v>
      </c>
      <c r="AM121" s="74">
        <f>'IMPORT SCHLIESSERDATEN'!CH113</f>
        <v>84</v>
      </c>
      <c r="AN121" s="74">
        <f>IF('IMPORT SCHLIESSERDATEN'!CE113="V",9999,'IMPORT SCHLIESSERDATEN'!CE113)</f>
        <v>22</v>
      </c>
      <c r="AO121" s="74">
        <f>IF('IMPORT SCHLIESSERDATEN'!CK113="_",-1,'IMPORT SCHLIESSERDATEN'!CK113)</f>
        <v>-1</v>
      </c>
      <c r="AP121" s="74">
        <f>IF('IMPORT SCHLIESSERDATEN'!$U113="",0,1)</f>
        <v>1</v>
      </c>
      <c r="AQ121" s="74">
        <f>IF('IMPORT SCHLIESSERDATEN'!$V113="",0,1)</f>
        <v>0</v>
      </c>
      <c r="AR121" s="74">
        <f>IF('IMPORT SCHLIESSERDATEN'!$W113="",0,1)</f>
        <v>0</v>
      </c>
      <c r="AS121" s="74">
        <f>IF('IMPORT SCHLIESSERDATEN'!$AA113="",0,1)</f>
        <v>0</v>
      </c>
      <c r="AT121" s="74">
        <f>IF('IMPORT SCHLIESSERDATEN'!$AD113="",0,1) + IF('IMPORT SCHLIESSERDATEN'!$AE113="",0,2)</f>
        <v>2</v>
      </c>
      <c r="AU121" s="74" t="str">
        <f>IF('IMPORT SCHLIESSERDATEN'!$X113="",IF('IMPORT SCHLIESSERDATEN'!$Y113="","","F"),"V")</f>
        <v/>
      </c>
      <c r="AV121" s="74" t="str">
        <f>IF('IMPORT SCHLIESSERDATEN'!$AB113&lt;&gt;"","M",IF('IMPORT SCHLIESSERDATEN'!$AD113&lt;&gt;"",IF(ISERR(SEARCH("UVIBIS",'IMPORT SCHLIESSERDATEN'!$B113)),"R","B"),IF(OR('IMPORT SCHLIESSERDATEN'!$AC113&lt;&gt;"",'IMPORT SCHLIESSERDATEN'!$AE113&lt;&gt;""),"E","")))</f>
        <v>E</v>
      </c>
      <c r="AW121" s="82"/>
      <c r="AX121" s="67"/>
    </row>
    <row r="122" spans="1:50" x14ac:dyDescent="0.25">
      <c r="A122" s="67">
        <f>IFERROR(IF(C122&lt;&gt;"",MAX($A$2:$A121)+1,""),"")</f>
        <v>110</v>
      </c>
      <c r="B122" s="223">
        <f t="shared" si="2"/>
        <v>110</v>
      </c>
      <c r="C122" s="216" t="str">
        <f>IF(J122=1,SUBSTITUTE('IMPORT SCHLIESSERDATEN'!$B114," Gangfl.",""),IF(J122=2,SUBSTITUTE('IMPORT SCHLIESSERDATEN'!$B114," Standfl.",""),'IMPORT SCHLIESSERDATEN'!$B114))</f>
        <v>TS 73 FL EN 4</v>
      </c>
      <c r="D122" s="216" t="str">
        <f>IF('IMPORT SCHLIESSERDATEN'!$AF114&lt;&gt;"",IF(COUNTA('IMPORT SCHLIESSERDATEN'!$AN114:$AU114)&gt;0,"X","G"),IF('IMPORT SCHLIESSERDATEN'!$AG114&lt;&gt;"","S",IF('IMPORT SCHLIESSERDATEN'!$AH114&lt;&gt;"","I",IF('IMPORT SCHLIESSERDATEN'!$AI114&lt;&gt;"","B",IF('IMPORT SCHLIESSERDATEN'!$AJ114&lt;&gt;"","D","")))))</f>
        <v>S</v>
      </c>
      <c r="E122" s="248" t="str">
        <f>'IMPORT SCHLIESSERDATEN'!AK114 &amp; IF('IMPORT SCHLIESSERDATEN'!AL114="",""," "&amp; 'IMPORT SCHLIESSERDATEN'!AL114)</f>
        <v>73 B</v>
      </c>
      <c r="F122" s="74">
        <f>IFERROR(IF(D122="X",2^(MATCH("",'IMPORT SCHLIESSERDATEN'!$AN114:$AU114,-1)-1),IF(AV122="F",2^(MATCH("",'IMPORT SCHLIESSERDATEN'!$BH114:$BK114,-1)-1),2^(MATCH("",'IMPORT SCHLIESSERDATEN'!$AV114:$BG114,-1)-1))),0)</f>
        <v>0</v>
      </c>
      <c r="G122" s="74">
        <f>IF(AND('IMPORT SCHLIESSERDATEN'!$O114='IMPORT SCHLIESSERDATEN'!$R114,'IMPORT SCHLIESSERDATEN'!$O114&lt;&gt;"",'IMPORT SCHLIESSERDATEN'!$R114&lt;&gt;""),1,0)  +  IF(AND('IMPORT SCHLIESSERDATEN'!$P114='IMPORT SCHLIESSERDATEN'!$S114,'IMPORT SCHLIESSERDATEN'!$P114&lt;&gt;"",'IMPORT SCHLIESSERDATEN'!$S114&lt;&gt;""),2,0)   +  IF(AND('IMPORT SCHLIESSERDATEN'!$O114='IMPORT SCHLIESSERDATEN'!$S114,'IMPORT SCHLIESSERDATEN'!$O114&lt;&gt;"",'IMPORT SCHLIESSERDATEN'!$S114&lt;&gt;""),4,0)   +  IF(AND('IMPORT SCHLIESSERDATEN'!$P114='IMPORT SCHLIESSERDATEN'!$R114,'IMPORT SCHLIESSERDATEN'!$P114&lt;&gt;"",'IMPORT SCHLIESSERDATEN'!$R114&lt;&gt;""),8,0)   +  IF('IMPORT SCHLIESSERDATEN'!$Q114&lt;&gt;"",IF('IMPORT SCHLIESSERDATEN'!$R114&lt;&gt;"",32,0) + IF('IMPORT SCHLIESSERDATEN'!$S114&lt;&gt;"",64,0),0)  +  IF('IMPORT SCHLIESSERDATEN'!$T114&lt;&gt;"",IF('IMPORT SCHLIESSERDATEN'!$Q114&lt;&gt;"",128+256,128),0)</f>
        <v>3</v>
      </c>
      <c r="H122" s="74">
        <f>IF('IMPORT SCHLIESSERDATEN'!$H114="",0,1) + IF('IMPORT SCHLIESSERDATEN'!$I114="",0,2) + IF('IMPORT SCHLIESSERDATEN'!$J114="",0,4) + IF('IMPORT SCHLIESSERDATEN'!$K114="",0,8) + IF('IMPORT SCHLIESSERDATEN'!$L114="",0,16) + IF('IMPORT SCHLIESSERDATEN'!$M114="",0,32) + IF('IMPORT SCHLIESSERDATEN'!$N114="",0,64)</f>
        <v>8</v>
      </c>
      <c r="I122" s="74">
        <f>IF('IMPORT SCHLIESSERDATEN'!$D114="",0,1) + IF('IMPORT SCHLIESSERDATEN'!$E114="",0,2) + IF('IMPORT SCHLIESSERDATEN'!$E114="S",4,0)</f>
        <v>1</v>
      </c>
      <c r="J122" s="74">
        <f>IF(ISERR(FIND(" Gangfl.",'IMPORT SCHLIESSERDATEN'!$B114)),IF(ISERR(FIND(" Standfl.",'IMPORT SCHLIESSERDATEN'!$B114)),0,2),1)</f>
        <v>0</v>
      </c>
      <c r="K122" s="74">
        <f>'IMPORT SCHLIESSERDATEN'!CL114</f>
        <v>110</v>
      </c>
      <c r="L122" s="74">
        <f>'IMPORT SCHLIESSERDATEN'!CN114</f>
        <v>8</v>
      </c>
      <c r="M122" s="74">
        <f>IF('IMPORT SCHLIESSERDATEN'!CS114="wie TS",-1,'IMPORT SCHLIESSERDATEN'!CS114)</f>
        <v>110</v>
      </c>
      <c r="N122" s="74">
        <f>IF(M122&lt;0,-1,'IMPORT SCHLIESSERDATEN'!CU114)</f>
        <v>8</v>
      </c>
      <c r="O122" s="74">
        <f>IF('IMPORT SCHLIESSERDATEN'!CZ114="wie TS",-1,'IMPORT SCHLIESSERDATEN'!CZ114)</f>
        <v>0</v>
      </c>
      <c r="P122" s="74">
        <f>IF(O122&lt;0,-1,'IMPORT SCHLIESSERDATEN'!DB114)</f>
        <v>0</v>
      </c>
      <c r="Q122" s="74">
        <f>'IMPORT SCHLIESSERDATEN'!DG114</f>
        <v>0</v>
      </c>
      <c r="R122" s="74">
        <f>'IMPORT SCHLIESSERDATEN'!DI114</f>
        <v>0</v>
      </c>
      <c r="S122" s="74">
        <f>'IMPORT SCHLIESSERDATEN'!DN114</f>
        <v>0</v>
      </c>
      <c r="T122" s="74">
        <f>IF('IMPORT SCHLIESSERDATEN'!DP114="V",9999,'IMPORT SCHLIESSERDATEN'!DP114)</f>
        <v>0</v>
      </c>
      <c r="U122" s="74">
        <f>'IMPORT SCHLIESSERDATEN'!BW114</f>
        <v>320</v>
      </c>
      <c r="V122" s="74">
        <f>'IMPORT SCHLIESSERDATEN'!BX114</f>
        <v>46</v>
      </c>
      <c r="W122" s="74">
        <f>'IMPORT SCHLIESSERDATEN'!BY114</f>
        <v>60</v>
      </c>
      <c r="X122" s="74">
        <f>'IMPORT SCHLIESSERDATEN'!CO114</f>
        <v>245</v>
      </c>
      <c r="Y122" s="74">
        <f>'IMPORT SCHLIESSERDATEN'!CQ114</f>
        <v>22</v>
      </c>
      <c r="Z122" s="74">
        <f>'IMPORT SCHLIESSERDATEN'!CV114</f>
        <v>245</v>
      </c>
      <c r="AA122" s="74">
        <f>'IMPORT SCHLIESSERDATEN'!CX114</f>
        <v>22</v>
      </c>
      <c r="AB122" s="74">
        <f>'IMPORT SCHLIESSERDATEN'!DC114</f>
        <v>0</v>
      </c>
      <c r="AC122" s="74">
        <f>'IMPORT SCHLIESSERDATEN'!DE114</f>
        <v>0</v>
      </c>
      <c r="AD122" s="74">
        <f>'IMPORT SCHLIESSERDATEN'!DJ114</f>
        <v>0</v>
      </c>
      <c r="AE122" s="74">
        <f>'IMPORT SCHLIESSERDATEN'!DL114</f>
        <v>0</v>
      </c>
      <c r="AF122" s="74">
        <f>'IMPORT SCHLIESSERDATEN'!DQ114</f>
        <v>0</v>
      </c>
      <c r="AG122" s="74">
        <f>IF('IMPORT SCHLIESSERDATEN'!DS114="V",9999,'IMPORT SCHLIESSERDATEN'!DS114)</f>
        <v>0</v>
      </c>
      <c r="AH122" s="74">
        <f>IF('IMPORT SCHLIESSERDATEN'!BZ114="V",9999,IF('IMPORT SCHLIESSERDATEN'!CD114="_",-1,'IMPORT SCHLIESSERDATEN'!BZ114))</f>
        <v>305</v>
      </c>
      <c r="AI122" s="74">
        <f>IF('IMPORT SCHLIESSERDATEN'!CA114="V",9999,IF('IMPORT SCHLIESSERDATEN'!CD114="_",-1,'IMPORT SCHLIESSERDATEN'!CA114))</f>
        <v>30</v>
      </c>
      <c r="AJ122" s="74">
        <f>IF('IMPORT SCHLIESSERDATEN'!CB114="V",9999,IF('IMPORT SCHLIESSERDATEN'!CD114="_",-1,'IMPORT SCHLIESSERDATEN'!CB114))</f>
        <v>20</v>
      </c>
      <c r="AK122" s="74">
        <f>IF('IMPORT SCHLIESSERDATEN'!CC114="V",9999,IF('IMPORT SCHLIESSERDATEN'!CC114="_",-1,'IMPORT SCHLIESSERDATEN'!CC114))</f>
        <v>0</v>
      </c>
      <c r="AL122" s="74">
        <f>IF('IMPORT SCHLIESSERDATEN'!CD114="_",-1,'IMPORT SCHLIESSERDATEN'!CD114)</f>
        <v>250</v>
      </c>
      <c r="AM122" s="74">
        <f>'IMPORT SCHLIESSERDATEN'!CH114</f>
        <v>84</v>
      </c>
      <c r="AN122" s="74">
        <f>IF('IMPORT SCHLIESSERDATEN'!CE114="V",9999,'IMPORT SCHLIESSERDATEN'!CE114)</f>
        <v>22</v>
      </c>
      <c r="AO122" s="74">
        <f>IF('IMPORT SCHLIESSERDATEN'!CK114="_",-1,'IMPORT SCHLIESSERDATEN'!CK114)</f>
        <v>-1</v>
      </c>
      <c r="AP122" s="74">
        <f>IF('IMPORT SCHLIESSERDATEN'!$U114="",0,1)</f>
        <v>1</v>
      </c>
      <c r="AQ122" s="74">
        <f>IF('IMPORT SCHLIESSERDATEN'!$V114="",0,1)</f>
        <v>0</v>
      </c>
      <c r="AR122" s="74">
        <f>IF('IMPORT SCHLIESSERDATEN'!$W114="",0,1)</f>
        <v>0</v>
      </c>
      <c r="AS122" s="74">
        <f>IF('IMPORT SCHLIESSERDATEN'!$AA114="",0,1)</f>
        <v>0</v>
      </c>
      <c r="AT122" s="74">
        <f>IF('IMPORT SCHLIESSERDATEN'!$AD114="",0,1) + IF('IMPORT SCHLIESSERDATEN'!$AE114="",0,2)</f>
        <v>2</v>
      </c>
      <c r="AU122" s="74" t="str">
        <f>IF('IMPORT SCHLIESSERDATEN'!$X114="",IF('IMPORT SCHLIESSERDATEN'!$Y114="","","F"),"V")</f>
        <v>F</v>
      </c>
      <c r="AV122" s="74" t="str">
        <f>IF('IMPORT SCHLIESSERDATEN'!$AB114&lt;&gt;"","M",IF('IMPORT SCHLIESSERDATEN'!$AD114&lt;&gt;"",IF(ISERR(SEARCH("UVIBIS",'IMPORT SCHLIESSERDATEN'!$B114)),"R","B"),IF(OR('IMPORT SCHLIESSERDATEN'!$AC114&lt;&gt;"",'IMPORT SCHLIESSERDATEN'!$AE114&lt;&gt;""),"E","")))</f>
        <v>E</v>
      </c>
      <c r="AW122" s="82"/>
      <c r="AX122" s="67"/>
    </row>
    <row r="123" spans="1:50" x14ac:dyDescent="0.25">
      <c r="A123" s="67">
        <f>IFERROR(IF(C123&lt;&gt;"",MAX($A$2:$A122)+1,""),"")</f>
        <v>111</v>
      </c>
      <c r="B123" s="223">
        <f t="shared" si="2"/>
        <v>111</v>
      </c>
      <c r="C123" s="216" t="str">
        <f>IF(J123=1,SUBSTITUTE('IMPORT SCHLIESSERDATEN'!$B115," Gangfl.",""),IF(J123=2,SUBSTITUTE('IMPORT SCHLIESSERDATEN'!$B115," Standfl.",""),'IMPORT SCHLIESSERDATEN'!$B115))</f>
        <v>TS 73 FL EN 5</v>
      </c>
      <c r="D123" s="216" t="str">
        <f>IF('IMPORT SCHLIESSERDATEN'!$AF115&lt;&gt;"",IF(COUNTA('IMPORT SCHLIESSERDATEN'!$AN115:$AU115)&gt;0,"X","G"),IF('IMPORT SCHLIESSERDATEN'!$AG115&lt;&gt;"","S",IF('IMPORT SCHLIESSERDATEN'!$AH115&lt;&gt;"","I",IF('IMPORT SCHLIESSERDATEN'!$AI115&lt;&gt;"","B",IF('IMPORT SCHLIESSERDATEN'!$AJ115&lt;&gt;"","D","")))))</f>
        <v>S</v>
      </c>
      <c r="E123" s="248" t="str">
        <f>'IMPORT SCHLIESSERDATEN'!AK115 &amp; IF('IMPORT SCHLIESSERDATEN'!AL115="",""," "&amp; 'IMPORT SCHLIESSERDATEN'!AL115)</f>
        <v>73 B</v>
      </c>
      <c r="F123" s="74">
        <f>IFERROR(IF(D123="X",2^(MATCH("",'IMPORT SCHLIESSERDATEN'!$AN115:$AU115,-1)-1),IF(AV123="F",2^(MATCH("",'IMPORT SCHLIESSERDATEN'!$BH115:$BK115,-1)-1),2^(MATCH("",'IMPORT SCHLIESSERDATEN'!$AV115:$BG115,-1)-1))),0)</f>
        <v>0</v>
      </c>
      <c r="G123" s="74">
        <f>IF(AND('IMPORT SCHLIESSERDATEN'!$O115='IMPORT SCHLIESSERDATEN'!$R115,'IMPORT SCHLIESSERDATEN'!$O115&lt;&gt;"",'IMPORT SCHLIESSERDATEN'!$R115&lt;&gt;""),1,0)  +  IF(AND('IMPORT SCHLIESSERDATEN'!$P115='IMPORT SCHLIESSERDATEN'!$S115,'IMPORT SCHLIESSERDATEN'!$P115&lt;&gt;"",'IMPORT SCHLIESSERDATEN'!$S115&lt;&gt;""),2,0)   +  IF(AND('IMPORT SCHLIESSERDATEN'!$O115='IMPORT SCHLIESSERDATEN'!$S115,'IMPORT SCHLIESSERDATEN'!$O115&lt;&gt;"",'IMPORT SCHLIESSERDATEN'!$S115&lt;&gt;""),4,0)   +  IF(AND('IMPORT SCHLIESSERDATEN'!$P115='IMPORT SCHLIESSERDATEN'!$R115,'IMPORT SCHLIESSERDATEN'!$P115&lt;&gt;"",'IMPORT SCHLIESSERDATEN'!$R115&lt;&gt;""),8,0)   +  IF('IMPORT SCHLIESSERDATEN'!$Q115&lt;&gt;"",IF('IMPORT SCHLIESSERDATEN'!$R115&lt;&gt;"",32,0) + IF('IMPORT SCHLIESSERDATEN'!$S115&lt;&gt;"",64,0),0)  +  IF('IMPORT SCHLIESSERDATEN'!$T115&lt;&gt;"",IF('IMPORT SCHLIESSERDATEN'!$Q115&lt;&gt;"",128+256,128),0)</f>
        <v>3</v>
      </c>
      <c r="H123" s="74">
        <f>IF('IMPORT SCHLIESSERDATEN'!$H115="",0,1) + IF('IMPORT SCHLIESSERDATEN'!$I115="",0,2) + IF('IMPORT SCHLIESSERDATEN'!$J115="",0,4) + IF('IMPORT SCHLIESSERDATEN'!$K115="",0,8) + IF('IMPORT SCHLIESSERDATEN'!$L115="",0,16) + IF('IMPORT SCHLIESSERDATEN'!$M115="",0,32) + IF('IMPORT SCHLIESSERDATEN'!$N115="",0,64)</f>
        <v>16</v>
      </c>
      <c r="I123" s="74">
        <f>IF('IMPORT SCHLIESSERDATEN'!$D115="",0,1) + IF('IMPORT SCHLIESSERDATEN'!$E115="",0,2) + IF('IMPORT SCHLIESSERDATEN'!$E115="S",4,0)</f>
        <v>1</v>
      </c>
      <c r="J123" s="74">
        <f>IF(ISERR(FIND(" Gangfl.",'IMPORT SCHLIESSERDATEN'!$B115)),IF(ISERR(FIND(" Standfl.",'IMPORT SCHLIESSERDATEN'!$B115)),0,2),1)</f>
        <v>0</v>
      </c>
      <c r="K123" s="74">
        <f>'IMPORT SCHLIESSERDATEN'!CL115</f>
        <v>110</v>
      </c>
      <c r="L123" s="74">
        <f>'IMPORT SCHLIESSERDATEN'!CN115</f>
        <v>8</v>
      </c>
      <c r="M123" s="74">
        <f>IF('IMPORT SCHLIESSERDATEN'!CS115="wie TS",-1,'IMPORT SCHLIESSERDATEN'!CS115)</f>
        <v>110</v>
      </c>
      <c r="N123" s="74">
        <f>IF(M123&lt;0,-1,'IMPORT SCHLIESSERDATEN'!CU115)</f>
        <v>8</v>
      </c>
      <c r="O123" s="74">
        <f>IF('IMPORT SCHLIESSERDATEN'!CZ115="wie TS",-1,'IMPORT SCHLIESSERDATEN'!CZ115)</f>
        <v>0</v>
      </c>
      <c r="P123" s="74">
        <f>IF(O123&lt;0,-1,'IMPORT SCHLIESSERDATEN'!DB115)</f>
        <v>0</v>
      </c>
      <c r="Q123" s="74">
        <f>'IMPORT SCHLIESSERDATEN'!DG115</f>
        <v>0</v>
      </c>
      <c r="R123" s="74">
        <f>'IMPORT SCHLIESSERDATEN'!DI115</f>
        <v>0</v>
      </c>
      <c r="S123" s="74">
        <f>'IMPORT SCHLIESSERDATEN'!DN115</f>
        <v>0</v>
      </c>
      <c r="T123" s="74">
        <f>IF('IMPORT SCHLIESSERDATEN'!DP115="V",9999,'IMPORT SCHLIESSERDATEN'!DP115)</f>
        <v>0</v>
      </c>
      <c r="U123" s="74">
        <f>'IMPORT SCHLIESSERDATEN'!BW115</f>
        <v>320</v>
      </c>
      <c r="V123" s="74">
        <f>'IMPORT SCHLIESSERDATEN'!BX115</f>
        <v>46</v>
      </c>
      <c r="W123" s="74">
        <f>'IMPORT SCHLIESSERDATEN'!BY115</f>
        <v>60</v>
      </c>
      <c r="X123" s="74">
        <f>'IMPORT SCHLIESSERDATEN'!CO115</f>
        <v>245</v>
      </c>
      <c r="Y123" s="74">
        <f>'IMPORT SCHLIESSERDATEN'!CQ115</f>
        <v>22</v>
      </c>
      <c r="Z123" s="74">
        <f>'IMPORT SCHLIESSERDATEN'!CV115</f>
        <v>245</v>
      </c>
      <c r="AA123" s="74">
        <f>'IMPORT SCHLIESSERDATEN'!CX115</f>
        <v>22</v>
      </c>
      <c r="AB123" s="74">
        <f>'IMPORT SCHLIESSERDATEN'!DC115</f>
        <v>0</v>
      </c>
      <c r="AC123" s="74">
        <f>'IMPORT SCHLIESSERDATEN'!DE115</f>
        <v>0</v>
      </c>
      <c r="AD123" s="74">
        <f>'IMPORT SCHLIESSERDATEN'!DJ115</f>
        <v>0</v>
      </c>
      <c r="AE123" s="74">
        <f>'IMPORT SCHLIESSERDATEN'!DL115</f>
        <v>0</v>
      </c>
      <c r="AF123" s="74">
        <f>'IMPORT SCHLIESSERDATEN'!DQ115</f>
        <v>0</v>
      </c>
      <c r="AG123" s="74">
        <f>IF('IMPORT SCHLIESSERDATEN'!DS115="V",9999,'IMPORT SCHLIESSERDATEN'!DS115)</f>
        <v>0</v>
      </c>
      <c r="AH123" s="74">
        <f>IF('IMPORT SCHLIESSERDATEN'!BZ115="V",9999,IF('IMPORT SCHLIESSERDATEN'!CD115="_",-1,'IMPORT SCHLIESSERDATEN'!BZ115))</f>
        <v>305</v>
      </c>
      <c r="AI123" s="74">
        <f>IF('IMPORT SCHLIESSERDATEN'!CA115="V",9999,IF('IMPORT SCHLIESSERDATEN'!CD115="_",-1,'IMPORT SCHLIESSERDATEN'!CA115))</f>
        <v>30</v>
      </c>
      <c r="AJ123" s="74">
        <f>IF('IMPORT SCHLIESSERDATEN'!CB115="V",9999,IF('IMPORT SCHLIESSERDATEN'!CD115="_",-1,'IMPORT SCHLIESSERDATEN'!CB115))</f>
        <v>20</v>
      </c>
      <c r="AK123" s="74">
        <f>IF('IMPORT SCHLIESSERDATEN'!CC115="V",9999,IF('IMPORT SCHLIESSERDATEN'!CC115="_",-1,'IMPORT SCHLIESSERDATEN'!CC115))</f>
        <v>0</v>
      </c>
      <c r="AL123" s="74">
        <f>IF('IMPORT SCHLIESSERDATEN'!CD115="_",-1,'IMPORT SCHLIESSERDATEN'!CD115)</f>
        <v>250</v>
      </c>
      <c r="AM123" s="74">
        <f>'IMPORT SCHLIESSERDATEN'!CH115</f>
        <v>84</v>
      </c>
      <c r="AN123" s="74">
        <f>IF('IMPORT SCHLIESSERDATEN'!CE115="V",9999,'IMPORT SCHLIESSERDATEN'!CE115)</f>
        <v>22</v>
      </c>
      <c r="AO123" s="74">
        <f>IF('IMPORT SCHLIESSERDATEN'!CK115="_",-1,'IMPORT SCHLIESSERDATEN'!CK115)</f>
        <v>-1</v>
      </c>
      <c r="AP123" s="74">
        <f>IF('IMPORT SCHLIESSERDATEN'!$U115="",0,1)</f>
        <v>1</v>
      </c>
      <c r="AQ123" s="74">
        <f>IF('IMPORT SCHLIESSERDATEN'!$V115="",0,1)</f>
        <v>0</v>
      </c>
      <c r="AR123" s="74">
        <f>IF('IMPORT SCHLIESSERDATEN'!$W115="",0,1)</f>
        <v>0</v>
      </c>
      <c r="AS123" s="74">
        <f>IF('IMPORT SCHLIESSERDATEN'!$AA115="",0,1)</f>
        <v>0</v>
      </c>
      <c r="AT123" s="74">
        <f>IF('IMPORT SCHLIESSERDATEN'!$AD115="",0,1) + IF('IMPORT SCHLIESSERDATEN'!$AE115="",0,2)</f>
        <v>2</v>
      </c>
      <c r="AU123" s="74" t="str">
        <f>IF('IMPORT SCHLIESSERDATEN'!$X115="",IF('IMPORT SCHLIESSERDATEN'!$Y115="","","F"),"V")</f>
        <v>F</v>
      </c>
      <c r="AV123" s="74" t="str">
        <f>IF('IMPORT SCHLIESSERDATEN'!$AB115&lt;&gt;"","M",IF('IMPORT SCHLIESSERDATEN'!$AD115&lt;&gt;"",IF(ISERR(SEARCH("UVIBIS",'IMPORT SCHLIESSERDATEN'!$B115)),"R","B"),IF(OR('IMPORT SCHLIESSERDATEN'!$AC115&lt;&gt;"",'IMPORT SCHLIESSERDATEN'!$AE115&lt;&gt;""),"E","")))</f>
        <v>E</v>
      </c>
      <c r="AW123" s="82"/>
      <c r="AX123" s="67"/>
    </row>
    <row r="124" spans="1:50" x14ac:dyDescent="0.25">
      <c r="A124" s="67">
        <f>IFERROR(IF(C124&lt;&gt;"",MAX($A$2:$A123)+1,""),"")</f>
        <v>112</v>
      </c>
      <c r="B124" s="223">
        <f t="shared" si="2"/>
        <v>112</v>
      </c>
      <c r="C124" s="216" t="str">
        <f>IF(J124=1,SUBSTITUTE('IMPORT SCHLIESSERDATEN'!$B116," Gangfl.",""),IF(J124=2,SUBSTITUTE('IMPORT SCHLIESSERDATEN'!$B116," Standfl.",""),'IMPORT SCHLIESSERDATEN'!$B116))</f>
        <v>TS 73 FL EN 6</v>
      </c>
      <c r="D124" s="216" t="str">
        <f>IF('IMPORT SCHLIESSERDATEN'!$AF116&lt;&gt;"",IF(COUNTA('IMPORT SCHLIESSERDATEN'!$AN116:$AU116)&gt;0,"X","G"),IF('IMPORT SCHLIESSERDATEN'!$AG116&lt;&gt;"","S",IF('IMPORT SCHLIESSERDATEN'!$AH116&lt;&gt;"","I",IF('IMPORT SCHLIESSERDATEN'!$AI116&lt;&gt;"","B",IF('IMPORT SCHLIESSERDATEN'!$AJ116&lt;&gt;"","D","")))))</f>
        <v>S</v>
      </c>
      <c r="E124" s="248" t="str">
        <f>'IMPORT SCHLIESSERDATEN'!AK116 &amp; IF('IMPORT SCHLIESSERDATEN'!AL116="",""," "&amp; 'IMPORT SCHLIESSERDATEN'!AL116)</f>
        <v>73 B</v>
      </c>
      <c r="F124" s="74">
        <f>IFERROR(IF(D124="X",2^(MATCH("",'IMPORT SCHLIESSERDATEN'!$AN116:$AU116,-1)-1),IF(AV124="F",2^(MATCH("",'IMPORT SCHLIESSERDATEN'!$BH116:$BK116,-1)-1),2^(MATCH("",'IMPORT SCHLIESSERDATEN'!$AV116:$BG116,-1)-1))),0)</f>
        <v>0</v>
      </c>
      <c r="G124" s="74">
        <f>IF(AND('IMPORT SCHLIESSERDATEN'!$O116='IMPORT SCHLIESSERDATEN'!$R116,'IMPORT SCHLIESSERDATEN'!$O116&lt;&gt;"",'IMPORT SCHLIESSERDATEN'!$R116&lt;&gt;""),1,0)  +  IF(AND('IMPORT SCHLIESSERDATEN'!$P116='IMPORT SCHLIESSERDATEN'!$S116,'IMPORT SCHLIESSERDATEN'!$P116&lt;&gt;"",'IMPORT SCHLIESSERDATEN'!$S116&lt;&gt;""),2,0)   +  IF(AND('IMPORT SCHLIESSERDATEN'!$O116='IMPORT SCHLIESSERDATEN'!$S116,'IMPORT SCHLIESSERDATEN'!$O116&lt;&gt;"",'IMPORT SCHLIESSERDATEN'!$S116&lt;&gt;""),4,0)   +  IF(AND('IMPORT SCHLIESSERDATEN'!$P116='IMPORT SCHLIESSERDATEN'!$R116,'IMPORT SCHLIESSERDATEN'!$P116&lt;&gt;"",'IMPORT SCHLIESSERDATEN'!$R116&lt;&gt;""),8,0)   +  IF('IMPORT SCHLIESSERDATEN'!$Q116&lt;&gt;"",IF('IMPORT SCHLIESSERDATEN'!$R116&lt;&gt;"",32,0) + IF('IMPORT SCHLIESSERDATEN'!$S116&lt;&gt;"",64,0),0)  +  IF('IMPORT SCHLIESSERDATEN'!$T116&lt;&gt;"",IF('IMPORT SCHLIESSERDATEN'!$Q116&lt;&gt;"",128+256,128),0)</f>
        <v>3</v>
      </c>
      <c r="H124" s="74">
        <f>IF('IMPORT SCHLIESSERDATEN'!$H116="",0,1) + IF('IMPORT SCHLIESSERDATEN'!$I116="",0,2) + IF('IMPORT SCHLIESSERDATEN'!$J116="",0,4) + IF('IMPORT SCHLIESSERDATEN'!$K116="",0,8) + IF('IMPORT SCHLIESSERDATEN'!$L116="",0,16) + IF('IMPORT SCHLIESSERDATEN'!$M116="",0,32) + IF('IMPORT SCHLIESSERDATEN'!$N116="",0,64)</f>
        <v>32</v>
      </c>
      <c r="I124" s="74">
        <f>IF('IMPORT SCHLIESSERDATEN'!$D116="",0,1) + IF('IMPORT SCHLIESSERDATEN'!$E116="",0,2) + IF('IMPORT SCHLIESSERDATEN'!$E116="S",4,0)</f>
        <v>1</v>
      </c>
      <c r="J124" s="74">
        <f>IF(ISERR(FIND(" Gangfl.",'IMPORT SCHLIESSERDATEN'!$B116)),IF(ISERR(FIND(" Standfl.",'IMPORT SCHLIESSERDATEN'!$B116)),0,2),1)</f>
        <v>0</v>
      </c>
      <c r="K124" s="74">
        <f>'IMPORT SCHLIESSERDATEN'!CL116</f>
        <v>110</v>
      </c>
      <c r="L124" s="74">
        <f>'IMPORT SCHLIESSERDATEN'!CN116</f>
        <v>8</v>
      </c>
      <c r="M124" s="74">
        <f>IF('IMPORT SCHLIESSERDATEN'!CS116="wie TS",-1,'IMPORT SCHLIESSERDATEN'!CS116)</f>
        <v>110</v>
      </c>
      <c r="N124" s="74">
        <f>IF(M124&lt;0,-1,'IMPORT SCHLIESSERDATEN'!CU116)</f>
        <v>8</v>
      </c>
      <c r="O124" s="74">
        <f>IF('IMPORT SCHLIESSERDATEN'!CZ116="wie TS",-1,'IMPORT SCHLIESSERDATEN'!CZ116)</f>
        <v>0</v>
      </c>
      <c r="P124" s="74">
        <f>IF(O124&lt;0,-1,'IMPORT SCHLIESSERDATEN'!DB116)</f>
        <v>0</v>
      </c>
      <c r="Q124" s="74">
        <f>'IMPORT SCHLIESSERDATEN'!DG116</f>
        <v>0</v>
      </c>
      <c r="R124" s="74">
        <f>'IMPORT SCHLIESSERDATEN'!DI116</f>
        <v>0</v>
      </c>
      <c r="S124" s="74">
        <f>'IMPORT SCHLIESSERDATEN'!DN116</f>
        <v>0</v>
      </c>
      <c r="T124" s="74">
        <f>IF('IMPORT SCHLIESSERDATEN'!DP116="V",9999,'IMPORT SCHLIESSERDATEN'!DP116)</f>
        <v>0</v>
      </c>
      <c r="U124" s="74">
        <f>'IMPORT SCHLIESSERDATEN'!BW116</f>
        <v>320</v>
      </c>
      <c r="V124" s="74">
        <f>'IMPORT SCHLIESSERDATEN'!BX116</f>
        <v>46</v>
      </c>
      <c r="W124" s="74">
        <f>'IMPORT SCHLIESSERDATEN'!BY116</f>
        <v>60</v>
      </c>
      <c r="X124" s="74">
        <f>'IMPORT SCHLIESSERDATEN'!CO116</f>
        <v>245</v>
      </c>
      <c r="Y124" s="74">
        <f>'IMPORT SCHLIESSERDATEN'!CQ116</f>
        <v>22</v>
      </c>
      <c r="Z124" s="74">
        <f>'IMPORT SCHLIESSERDATEN'!CV116</f>
        <v>245</v>
      </c>
      <c r="AA124" s="74">
        <f>'IMPORT SCHLIESSERDATEN'!CX116</f>
        <v>22</v>
      </c>
      <c r="AB124" s="74">
        <f>'IMPORT SCHLIESSERDATEN'!DC116</f>
        <v>0</v>
      </c>
      <c r="AC124" s="74">
        <f>'IMPORT SCHLIESSERDATEN'!DE116</f>
        <v>0</v>
      </c>
      <c r="AD124" s="74">
        <f>'IMPORT SCHLIESSERDATEN'!DJ116</f>
        <v>0</v>
      </c>
      <c r="AE124" s="74">
        <f>'IMPORT SCHLIESSERDATEN'!DL116</f>
        <v>0</v>
      </c>
      <c r="AF124" s="74">
        <f>'IMPORT SCHLIESSERDATEN'!DQ116</f>
        <v>0</v>
      </c>
      <c r="AG124" s="74">
        <f>IF('IMPORT SCHLIESSERDATEN'!DS116="V",9999,'IMPORT SCHLIESSERDATEN'!DS116)</f>
        <v>0</v>
      </c>
      <c r="AH124" s="74">
        <f>IF('IMPORT SCHLIESSERDATEN'!BZ116="V",9999,IF('IMPORT SCHLIESSERDATEN'!CD116="_",-1,'IMPORT SCHLIESSERDATEN'!BZ116))</f>
        <v>305</v>
      </c>
      <c r="AI124" s="74">
        <f>IF('IMPORT SCHLIESSERDATEN'!CA116="V",9999,IF('IMPORT SCHLIESSERDATEN'!CD116="_",-1,'IMPORT SCHLIESSERDATEN'!CA116))</f>
        <v>30</v>
      </c>
      <c r="AJ124" s="74">
        <f>IF('IMPORT SCHLIESSERDATEN'!CB116="V",9999,IF('IMPORT SCHLIESSERDATEN'!CD116="_",-1,'IMPORT SCHLIESSERDATEN'!CB116))</f>
        <v>20</v>
      </c>
      <c r="AK124" s="74">
        <f>IF('IMPORT SCHLIESSERDATEN'!CC116="V",9999,IF('IMPORT SCHLIESSERDATEN'!CC116="_",-1,'IMPORT SCHLIESSERDATEN'!CC116))</f>
        <v>0</v>
      </c>
      <c r="AL124" s="74">
        <f>IF('IMPORT SCHLIESSERDATEN'!CD116="_",-1,'IMPORT SCHLIESSERDATEN'!CD116)</f>
        <v>250</v>
      </c>
      <c r="AM124" s="74">
        <f>'IMPORT SCHLIESSERDATEN'!CH116</f>
        <v>84</v>
      </c>
      <c r="AN124" s="74">
        <f>IF('IMPORT SCHLIESSERDATEN'!CE116="V",9999,'IMPORT SCHLIESSERDATEN'!CE116)</f>
        <v>22</v>
      </c>
      <c r="AO124" s="74">
        <f>IF('IMPORT SCHLIESSERDATEN'!CK116="_",-1,'IMPORT SCHLIESSERDATEN'!CK116)</f>
        <v>-1</v>
      </c>
      <c r="AP124" s="74">
        <f>IF('IMPORT SCHLIESSERDATEN'!$U116="",0,1)</f>
        <v>1</v>
      </c>
      <c r="AQ124" s="74">
        <f>IF('IMPORT SCHLIESSERDATEN'!$V116="",0,1)</f>
        <v>0</v>
      </c>
      <c r="AR124" s="74">
        <f>IF('IMPORT SCHLIESSERDATEN'!$W116="",0,1)</f>
        <v>0</v>
      </c>
      <c r="AS124" s="74">
        <f>IF('IMPORT SCHLIESSERDATEN'!$AA116="",0,1)</f>
        <v>0</v>
      </c>
      <c r="AT124" s="74">
        <f>IF('IMPORT SCHLIESSERDATEN'!$AD116="",0,1) + IF('IMPORT SCHLIESSERDATEN'!$AE116="",0,2)</f>
        <v>2</v>
      </c>
      <c r="AU124" s="74" t="str">
        <f>IF('IMPORT SCHLIESSERDATEN'!$X116="",IF('IMPORT SCHLIESSERDATEN'!$Y116="","","F"),"V")</f>
        <v>F</v>
      </c>
      <c r="AV124" s="74" t="str">
        <f>IF('IMPORT SCHLIESSERDATEN'!$AB116&lt;&gt;"","M",IF('IMPORT SCHLIESSERDATEN'!$AD116&lt;&gt;"",IF(ISERR(SEARCH("UVIBIS",'IMPORT SCHLIESSERDATEN'!$B116)),"R","B"),IF(OR('IMPORT SCHLIESSERDATEN'!$AC116&lt;&gt;"",'IMPORT SCHLIESSERDATEN'!$AE116&lt;&gt;""),"E","")))</f>
        <v>E</v>
      </c>
      <c r="AW124" s="82"/>
      <c r="AX124" s="67"/>
    </row>
    <row r="125" spans="1:50" x14ac:dyDescent="0.25">
      <c r="A125" s="67">
        <f>IFERROR(IF(C125&lt;&gt;"",MAX($A$2:$A124)+1,""),"")</f>
        <v>113</v>
      </c>
      <c r="B125" s="223">
        <f t="shared" si="2"/>
        <v>113</v>
      </c>
      <c r="C125" s="216" t="str">
        <f>IF(J125=1,SUBSTITUTE('IMPORT SCHLIESSERDATEN'!$B117," Gangfl.",""),IF(J125=2,SUBSTITUTE('IMPORT SCHLIESSERDATEN'!$B117," Standfl.",""),'IMPORT SCHLIESSERDATEN'!$B117))</f>
        <v>TS 83 EN 2-6</v>
      </c>
      <c r="D125" s="216" t="str">
        <f>IF('IMPORT SCHLIESSERDATEN'!$AF117&lt;&gt;"",IF(COUNTA('IMPORT SCHLIESSERDATEN'!$AN117:$AU117)&gt;0,"X","G"),IF('IMPORT SCHLIESSERDATEN'!$AG117&lt;&gt;"","S",IF('IMPORT SCHLIESSERDATEN'!$AH117&lt;&gt;"","I",IF('IMPORT SCHLIESSERDATEN'!$AI117&lt;&gt;"","B",IF('IMPORT SCHLIESSERDATEN'!$AJ117&lt;&gt;"","D","")))))</f>
        <v>S</v>
      </c>
      <c r="E125" s="248" t="str">
        <f>'IMPORT SCHLIESSERDATEN'!AK117 &amp; IF('IMPORT SCHLIESSERDATEN'!AL117="",""," "&amp; 'IMPORT SCHLIESSERDATEN'!AL117)</f>
        <v>83 B</v>
      </c>
      <c r="F125" s="74">
        <f>IFERROR(IF(D125="X",2^(MATCH("",'IMPORT SCHLIESSERDATEN'!$AN117:$AU117,-1)-1),IF(AV125="F",2^(MATCH("",'IMPORT SCHLIESSERDATEN'!$BH117:$BK117,-1)-1),2^(MATCH("",'IMPORT SCHLIESSERDATEN'!$AV117:$BG117,-1)-1))),0)</f>
        <v>0</v>
      </c>
      <c r="G125" s="74">
        <f>IF(AND('IMPORT SCHLIESSERDATEN'!$O117='IMPORT SCHLIESSERDATEN'!$R117,'IMPORT SCHLIESSERDATEN'!$O117&lt;&gt;"",'IMPORT SCHLIESSERDATEN'!$R117&lt;&gt;""),1,0)  +  IF(AND('IMPORT SCHLIESSERDATEN'!$P117='IMPORT SCHLIESSERDATEN'!$S117,'IMPORT SCHLIESSERDATEN'!$P117&lt;&gt;"",'IMPORT SCHLIESSERDATEN'!$S117&lt;&gt;""),2,0)   +  IF(AND('IMPORT SCHLIESSERDATEN'!$O117='IMPORT SCHLIESSERDATEN'!$S117,'IMPORT SCHLIESSERDATEN'!$O117&lt;&gt;"",'IMPORT SCHLIESSERDATEN'!$S117&lt;&gt;""),4,0)   +  IF(AND('IMPORT SCHLIESSERDATEN'!$P117='IMPORT SCHLIESSERDATEN'!$R117,'IMPORT SCHLIESSERDATEN'!$P117&lt;&gt;"",'IMPORT SCHLIESSERDATEN'!$R117&lt;&gt;""),8,0)   +  IF('IMPORT SCHLIESSERDATEN'!$Q117&lt;&gt;"",IF('IMPORT SCHLIESSERDATEN'!$R117&lt;&gt;"",32,0) + IF('IMPORT SCHLIESSERDATEN'!$S117&lt;&gt;"",64,0),0)  +  IF('IMPORT SCHLIESSERDATEN'!$T117&lt;&gt;"",IF('IMPORT SCHLIESSERDATEN'!$Q117&lt;&gt;"",128+256,128),0)</f>
        <v>3</v>
      </c>
      <c r="H125" s="74">
        <f>IF('IMPORT SCHLIESSERDATEN'!$H117="",0,1) + IF('IMPORT SCHLIESSERDATEN'!$I117="",0,2) + IF('IMPORT SCHLIESSERDATEN'!$J117="",0,4) + IF('IMPORT SCHLIESSERDATEN'!$K117="",0,8) + IF('IMPORT SCHLIESSERDATEN'!$L117="",0,16) + IF('IMPORT SCHLIESSERDATEN'!$M117="",0,32) + IF('IMPORT SCHLIESSERDATEN'!$N117="",0,64)</f>
        <v>62</v>
      </c>
      <c r="I125" s="74">
        <f>IF('IMPORT SCHLIESSERDATEN'!$D117="",0,1) + IF('IMPORT SCHLIESSERDATEN'!$E117="",0,2) + IF('IMPORT SCHLIESSERDATEN'!$E117="S",4,0)</f>
        <v>1</v>
      </c>
      <c r="J125" s="74">
        <f>IF(ISERR(FIND(" Gangfl.",'IMPORT SCHLIESSERDATEN'!$B117)),IF(ISERR(FIND(" Standfl.",'IMPORT SCHLIESSERDATEN'!$B117)),0,2),1)</f>
        <v>0</v>
      </c>
      <c r="K125" s="74">
        <f>'IMPORT SCHLIESSERDATEN'!CL117</f>
        <v>107</v>
      </c>
      <c r="L125" s="74">
        <f>'IMPORT SCHLIESSERDATEN'!CN117</f>
        <v>8</v>
      </c>
      <c r="M125" s="74">
        <f>IF('IMPORT SCHLIESSERDATEN'!CS117="wie TS",-1,'IMPORT SCHLIESSERDATEN'!CS117)</f>
        <v>107</v>
      </c>
      <c r="N125" s="74">
        <f>IF(M125&lt;0,-1,'IMPORT SCHLIESSERDATEN'!CU117)</f>
        <v>8</v>
      </c>
      <c r="O125" s="74">
        <f>IF('IMPORT SCHLIESSERDATEN'!CZ117="wie TS",-1,'IMPORT SCHLIESSERDATEN'!CZ117)</f>
        <v>0</v>
      </c>
      <c r="P125" s="74">
        <f>IF(O125&lt;0,-1,'IMPORT SCHLIESSERDATEN'!DB117)</f>
        <v>0</v>
      </c>
      <c r="Q125" s="74">
        <f>'IMPORT SCHLIESSERDATEN'!DG117</f>
        <v>0</v>
      </c>
      <c r="R125" s="74">
        <f>'IMPORT SCHLIESSERDATEN'!DI117</f>
        <v>0</v>
      </c>
      <c r="S125" s="74">
        <f>'IMPORT SCHLIESSERDATEN'!DN117</f>
        <v>0</v>
      </c>
      <c r="T125" s="74">
        <f>IF('IMPORT SCHLIESSERDATEN'!DP117="V",9999,'IMPORT SCHLIESSERDATEN'!DP117)</f>
        <v>0</v>
      </c>
      <c r="U125" s="74">
        <f>'IMPORT SCHLIESSERDATEN'!BW117</f>
        <v>245</v>
      </c>
      <c r="V125" s="74">
        <f>'IMPORT SCHLIESSERDATEN'!BX117</f>
        <v>46</v>
      </c>
      <c r="W125" s="74">
        <f>'IMPORT SCHLIESSERDATEN'!BY117</f>
        <v>60</v>
      </c>
      <c r="X125" s="74">
        <f>'IMPORT SCHLIESSERDATEN'!CO117</f>
        <v>245</v>
      </c>
      <c r="Y125" s="74">
        <f>'IMPORT SCHLIESSERDATEN'!CQ117</f>
        <v>22</v>
      </c>
      <c r="Z125" s="74">
        <f>'IMPORT SCHLIESSERDATEN'!CV117</f>
        <v>245</v>
      </c>
      <c r="AA125" s="74">
        <f>'IMPORT SCHLIESSERDATEN'!CX117</f>
        <v>22</v>
      </c>
      <c r="AB125" s="74">
        <f>'IMPORT SCHLIESSERDATEN'!DC117</f>
        <v>0</v>
      </c>
      <c r="AC125" s="74">
        <f>'IMPORT SCHLIESSERDATEN'!DE117</f>
        <v>0</v>
      </c>
      <c r="AD125" s="74">
        <f>'IMPORT SCHLIESSERDATEN'!DJ117</f>
        <v>0</v>
      </c>
      <c r="AE125" s="74">
        <f>'IMPORT SCHLIESSERDATEN'!DL117</f>
        <v>0</v>
      </c>
      <c r="AF125" s="74">
        <f>'IMPORT SCHLIESSERDATEN'!DQ117</f>
        <v>0</v>
      </c>
      <c r="AG125" s="74">
        <f>IF('IMPORT SCHLIESSERDATEN'!DS117="V",9999,'IMPORT SCHLIESSERDATEN'!DS117)</f>
        <v>0</v>
      </c>
      <c r="AH125" s="74">
        <f>IF('IMPORT SCHLIESSERDATEN'!BZ117="V",9999,IF('IMPORT SCHLIESSERDATEN'!CD117="_",-1,'IMPORT SCHLIESSERDATEN'!BZ117))</f>
        <v>305</v>
      </c>
      <c r="AI125" s="74">
        <f>IF('IMPORT SCHLIESSERDATEN'!CA117="V",9999,IF('IMPORT SCHLIESSERDATEN'!CD117="_",-1,'IMPORT SCHLIESSERDATEN'!CA117))</f>
        <v>20</v>
      </c>
      <c r="AJ125" s="74">
        <f>IF('IMPORT SCHLIESSERDATEN'!CB117="V",9999,IF('IMPORT SCHLIESSERDATEN'!CD117="_",-1,'IMPORT SCHLIESSERDATEN'!CB117))</f>
        <v>20</v>
      </c>
      <c r="AK125" s="74">
        <f>IF('IMPORT SCHLIESSERDATEN'!CC117="V",9999,IF('IMPORT SCHLIESSERDATEN'!CC117="_",-1,'IMPORT SCHLIESSERDATEN'!CC117))</f>
        <v>0</v>
      </c>
      <c r="AL125" s="74">
        <f>IF('IMPORT SCHLIESSERDATEN'!CD117="_",-1,'IMPORT SCHLIESSERDATEN'!CD117)</f>
        <v>250</v>
      </c>
      <c r="AM125" s="74">
        <f>'IMPORT SCHLIESSERDATEN'!CH117</f>
        <v>87</v>
      </c>
      <c r="AN125" s="74">
        <f>IF('IMPORT SCHLIESSERDATEN'!CE117="V",9999,'IMPORT SCHLIESSERDATEN'!CE117)</f>
        <v>25</v>
      </c>
      <c r="AO125" s="74">
        <f>IF('IMPORT SCHLIESSERDATEN'!CK117="_",-1,'IMPORT SCHLIESSERDATEN'!CK117)</f>
        <v>-1</v>
      </c>
      <c r="AP125" s="74">
        <f>IF('IMPORT SCHLIESSERDATEN'!$U117="",0,1)</f>
        <v>1</v>
      </c>
      <c r="AQ125" s="74">
        <f>IF('IMPORT SCHLIESSERDATEN'!$V117="",0,1)</f>
        <v>0</v>
      </c>
      <c r="AR125" s="74">
        <f>IF('IMPORT SCHLIESSERDATEN'!$W117="",0,1)</f>
        <v>0</v>
      </c>
      <c r="AS125" s="74">
        <f>IF('IMPORT SCHLIESSERDATEN'!$AA117="",0,1)</f>
        <v>1</v>
      </c>
      <c r="AT125" s="74">
        <f>IF('IMPORT SCHLIESSERDATEN'!$AD117="",0,1) + IF('IMPORT SCHLIESSERDATEN'!$AE117="",0,2)</f>
        <v>0</v>
      </c>
      <c r="AU125" s="74" t="str">
        <f>IF('IMPORT SCHLIESSERDATEN'!$X117="",IF('IMPORT SCHLIESSERDATEN'!$Y117="","","F"),"V")</f>
        <v/>
      </c>
      <c r="AV125" s="74" t="str">
        <f>IF('IMPORT SCHLIESSERDATEN'!$AB117&lt;&gt;"","M",IF('IMPORT SCHLIESSERDATEN'!$AD117&lt;&gt;"",IF(ISERR(SEARCH("UVIBIS",'IMPORT SCHLIESSERDATEN'!$B117)),"R","B"),IF(OR('IMPORT SCHLIESSERDATEN'!$AC117&lt;&gt;"",'IMPORT SCHLIESSERDATEN'!$AE117&lt;&gt;""),"E","")))</f>
        <v/>
      </c>
      <c r="AW125" s="82"/>
      <c r="AX125" s="67"/>
    </row>
    <row r="126" spans="1:50" x14ac:dyDescent="0.25">
      <c r="A126" s="67">
        <f>IFERROR(IF(C126&lt;&gt;"",MAX($A$2:$A125)+1,""),"")</f>
        <v>114</v>
      </c>
      <c r="B126" s="223">
        <f t="shared" si="2"/>
        <v>114</v>
      </c>
      <c r="C126" s="216" t="str">
        <f>IF(J126=1,SUBSTITUTE('IMPORT SCHLIESSERDATEN'!$B118," Gangfl.",""),IF(J126=2,SUBSTITUTE('IMPORT SCHLIESSERDATEN'!$B118," Standfl.",""),'IMPORT SCHLIESSERDATEN'!$B118))</f>
        <v>TS 83 EN 2-6 + SR</v>
      </c>
      <c r="D126" s="216" t="str">
        <f>IF('IMPORT SCHLIESSERDATEN'!$AF118&lt;&gt;"",IF(COUNTA('IMPORT SCHLIESSERDATEN'!$AN118:$AU118)&gt;0,"X","G"),IF('IMPORT SCHLIESSERDATEN'!$AG118&lt;&gt;"","S",IF('IMPORT SCHLIESSERDATEN'!$AH118&lt;&gt;"","I",IF('IMPORT SCHLIESSERDATEN'!$AI118&lt;&gt;"","B",IF('IMPORT SCHLIESSERDATEN'!$AJ118&lt;&gt;"","D","")))))</f>
        <v>S</v>
      </c>
      <c r="E126" s="248" t="str">
        <f>'IMPORT SCHLIESSERDATEN'!AK118 &amp; IF('IMPORT SCHLIESSERDATEN'!AL118="",""," "&amp; 'IMPORT SCHLIESSERDATEN'!AL118)</f>
        <v>83 B</v>
      </c>
      <c r="F126" s="74">
        <f>IFERROR(IF(D126="X",2^(MATCH("",'IMPORT SCHLIESSERDATEN'!$AN118:$AU118,-1)-1),IF(AV126="F",2^(MATCH("",'IMPORT SCHLIESSERDATEN'!$BH118:$BK118,-1)-1),2^(MATCH("",'IMPORT SCHLIESSERDATEN'!$AV118:$BG118,-1)-1))),0)</f>
        <v>0</v>
      </c>
      <c r="G126" s="74">
        <f>IF(AND('IMPORT SCHLIESSERDATEN'!$O118='IMPORT SCHLIESSERDATEN'!$R118,'IMPORT SCHLIESSERDATEN'!$O118&lt;&gt;"",'IMPORT SCHLIESSERDATEN'!$R118&lt;&gt;""),1,0)  +  IF(AND('IMPORT SCHLIESSERDATEN'!$P118='IMPORT SCHLIESSERDATEN'!$S118,'IMPORT SCHLIESSERDATEN'!$P118&lt;&gt;"",'IMPORT SCHLIESSERDATEN'!$S118&lt;&gt;""),2,0)   +  IF(AND('IMPORT SCHLIESSERDATEN'!$O118='IMPORT SCHLIESSERDATEN'!$S118,'IMPORT SCHLIESSERDATEN'!$O118&lt;&gt;"",'IMPORT SCHLIESSERDATEN'!$S118&lt;&gt;""),4,0)   +  IF(AND('IMPORT SCHLIESSERDATEN'!$P118='IMPORT SCHLIESSERDATEN'!$R118,'IMPORT SCHLIESSERDATEN'!$P118&lt;&gt;"",'IMPORT SCHLIESSERDATEN'!$R118&lt;&gt;""),8,0)   +  IF('IMPORT SCHLIESSERDATEN'!$Q118&lt;&gt;"",IF('IMPORT SCHLIESSERDATEN'!$R118&lt;&gt;"",32,0) + IF('IMPORT SCHLIESSERDATEN'!$S118&lt;&gt;"",64,0),0)  +  IF('IMPORT SCHLIESSERDATEN'!$T118&lt;&gt;"",IF('IMPORT SCHLIESSERDATEN'!$Q118&lt;&gt;"",128+256,128),0)</f>
        <v>1</v>
      </c>
      <c r="H126" s="74">
        <f>IF('IMPORT SCHLIESSERDATEN'!$H118="",0,1) + IF('IMPORT SCHLIESSERDATEN'!$I118="",0,2) + IF('IMPORT SCHLIESSERDATEN'!$J118="",0,4) + IF('IMPORT SCHLIESSERDATEN'!$K118="",0,8) + IF('IMPORT SCHLIESSERDATEN'!$L118="",0,16) + IF('IMPORT SCHLIESSERDATEN'!$M118="",0,32) + IF('IMPORT SCHLIESSERDATEN'!$N118="",0,64)</f>
        <v>62</v>
      </c>
      <c r="I126" s="74">
        <f>IF('IMPORT SCHLIESSERDATEN'!$D118="",0,1) + IF('IMPORT SCHLIESSERDATEN'!$E118="",0,2) + IF('IMPORT SCHLIESSERDATEN'!$E118="S",4,0)</f>
        <v>2</v>
      </c>
      <c r="J126" s="74">
        <f>IF(ISERR(FIND(" Gangfl.",'IMPORT SCHLIESSERDATEN'!$B118)),IF(ISERR(FIND(" Standfl.",'IMPORT SCHLIESSERDATEN'!$B118)),0,2),1)</f>
        <v>0</v>
      </c>
      <c r="K126" s="74">
        <f>'IMPORT SCHLIESSERDATEN'!CL118</f>
        <v>107</v>
      </c>
      <c r="L126" s="74">
        <f>'IMPORT SCHLIESSERDATEN'!CN118</f>
        <v>8</v>
      </c>
      <c r="M126" s="74">
        <f>IF('IMPORT SCHLIESSERDATEN'!CS118="wie TS",-1,'IMPORT SCHLIESSERDATEN'!CS118)</f>
        <v>0</v>
      </c>
      <c r="N126" s="74">
        <f>IF(M126&lt;0,-1,'IMPORT SCHLIESSERDATEN'!CU118)</f>
        <v>0</v>
      </c>
      <c r="O126" s="74">
        <f>IF('IMPORT SCHLIESSERDATEN'!CZ118="wie TS",-1,'IMPORT SCHLIESSERDATEN'!CZ118)</f>
        <v>0</v>
      </c>
      <c r="P126" s="74">
        <f>IF(O126&lt;0,-1,'IMPORT SCHLIESSERDATEN'!DB118)</f>
        <v>0</v>
      </c>
      <c r="Q126" s="74">
        <f>'IMPORT SCHLIESSERDATEN'!DG118</f>
        <v>0</v>
      </c>
      <c r="R126" s="74">
        <f>'IMPORT SCHLIESSERDATEN'!DI118</f>
        <v>0</v>
      </c>
      <c r="S126" s="74">
        <f>'IMPORT SCHLIESSERDATEN'!DN118</f>
        <v>0</v>
      </c>
      <c r="T126" s="74">
        <f>IF('IMPORT SCHLIESSERDATEN'!DP118="V",9999,'IMPORT SCHLIESSERDATEN'!DP118)</f>
        <v>0</v>
      </c>
      <c r="U126" s="74">
        <f>'IMPORT SCHLIESSERDATEN'!BW118</f>
        <v>245</v>
      </c>
      <c r="V126" s="74">
        <f>'IMPORT SCHLIESSERDATEN'!BX118</f>
        <v>46</v>
      </c>
      <c r="W126" s="74">
        <f>'IMPORT SCHLIESSERDATEN'!BY118</f>
        <v>60</v>
      </c>
      <c r="X126" s="74">
        <f>'IMPORT SCHLIESSERDATEN'!CO118</f>
        <v>245</v>
      </c>
      <c r="Y126" s="74">
        <f>'IMPORT SCHLIESSERDATEN'!CQ118</f>
        <v>22</v>
      </c>
      <c r="Z126" s="74">
        <f>'IMPORT SCHLIESSERDATEN'!CV118</f>
        <v>0</v>
      </c>
      <c r="AA126" s="74">
        <f>'IMPORT SCHLIESSERDATEN'!CX118</f>
        <v>0</v>
      </c>
      <c r="AB126" s="74">
        <f>'IMPORT SCHLIESSERDATEN'!DC118</f>
        <v>0</v>
      </c>
      <c r="AC126" s="74">
        <f>'IMPORT SCHLIESSERDATEN'!DE118</f>
        <v>0</v>
      </c>
      <c r="AD126" s="74">
        <f>'IMPORT SCHLIESSERDATEN'!DJ118</f>
        <v>0</v>
      </c>
      <c r="AE126" s="74">
        <f>'IMPORT SCHLIESSERDATEN'!DL118</f>
        <v>0</v>
      </c>
      <c r="AF126" s="74">
        <f>'IMPORT SCHLIESSERDATEN'!DQ118</f>
        <v>0</v>
      </c>
      <c r="AG126" s="74">
        <f>IF('IMPORT SCHLIESSERDATEN'!DS118="V",9999,'IMPORT SCHLIESSERDATEN'!DS118)</f>
        <v>0</v>
      </c>
      <c r="AH126" s="74">
        <f>IF('IMPORT SCHLIESSERDATEN'!BZ118="V",9999,IF('IMPORT SCHLIESSERDATEN'!CD118="_",-1,'IMPORT SCHLIESSERDATEN'!BZ118))</f>
        <v>305</v>
      </c>
      <c r="AI126" s="74">
        <f>IF('IMPORT SCHLIESSERDATEN'!CA118="V",9999,IF('IMPORT SCHLIESSERDATEN'!CD118="_",-1,'IMPORT SCHLIESSERDATEN'!CA118))</f>
        <v>20</v>
      </c>
      <c r="AJ126" s="74">
        <f>IF('IMPORT SCHLIESSERDATEN'!CB118="V",9999,IF('IMPORT SCHLIESSERDATEN'!CD118="_",-1,'IMPORT SCHLIESSERDATEN'!CB118))</f>
        <v>20</v>
      </c>
      <c r="AK126" s="74">
        <f>IF('IMPORT SCHLIESSERDATEN'!CC118="V",9999,IF('IMPORT SCHLIESSERDATEN'!CC118="_",-1,'IMPORT SCHLIESSERDATEN'!CC118))</f>
        <v>0</v>
      </c>
      <c r="AL126" s="74">
        <f>IF('IMPORT SCHLIESSERDATEN'!CD118="_",-1,'IMPORT SCHLIESSERDATEN'!CD118)</f>
        <v>250</v>
      </c>
      <c r="AM126" s="74">
        <f>'IMPORT SCHLIESSERDATEN'!CH118</f>
        <v>87</v>
      </c>
      <c r="AN126" s="74">
        <f>IF('IMPORT SCHLIESSERDATEN'!CE118="V",9999,'IMPORT SCHLIESSERDATEN'!CE118)</f>
        <v>25</v>
      </c>
      <c r="AO126" s="74">
        <f>IF('IMPORT SCHLIESSERDATEN'!CK118="_",-1,'IMPORT SCHLIESSERDATEN'!CK118)</f>
        <v>-1</v>
      </c>
      <c r="AP126" s="74">
        <f>IF('IMPORT SCHLIESSERDATEN'!$U118="",0,1)</f>
        <v>1</v>
      </c>
      <c r="AQ126" s="74">
        <f>IF('IMPORT SCHLIESSERDATEN'!$V118="",0,1)</f>
        <v>0</v>
      </c>
      <c r="AR126" s="74">
        <f>IF('IMPORT SCHLIESSERDATEN'!$W118="",0,1)</f>
        <v>1</v>
      </c>
      <c r="AS126" s="74">
        <f>IF('IMPORT SCHLIESSERDATEN'!$AA118="",0,1)</f>
        <v>1</v>
      </c>
      <c r="AT126" s="74">
        <f>IF('IMPORT SCHLIESSERDATEN'!$AD118="",0,1) + IF('IMPORT SCHLIESSERDATEN'!$AE118="",0,2)</f>
        <v>0</v>
      </c>
      <c r="AU126" s="74" t="str">
        <f>IF('IMPORT SCHLIESSERDATEN'!$X118="",IF('IMPORT SCHLIESSERDATEN'!$Y118="","","F"),"V")</f>
        <v/>
      </c>
      <c r="AV126" s="74" t="str">
        <f>IF('IMPORT SCHLIESSERDATEN'!$AB118&lt;&gt;"","M",IF('IMPORT SCHLIESSERDATEN'!$AD118&lt;&gt;"",IF(ISERR(SEARCH("UVIBIS",'IMPORT SCHLIESSERDATEN'!$B118)),"R","B"),IF(OR('IMPORT SCHLIESSERDATEN'!$AC118&lt;&gt;"",'IMPORT SCHLIESSERDATEN'!$AE118&lt;&gt;""),"E","")))</f>
        <v/>
      </c>
      <c r="AW126" s="82"/>
      <c r="AX126" s="67"/>
    </row>
    <row r="127" spans="1:50" x14ac:dyDescent="0.25">
      <c r="A127" s="67">
        <f>IFERROR(IF(C127&lt;&gt;"",MAX($A$2:$A126)+1,""),"")</f>
        <v>115</v>
      </c>
      <c r="B127" s="223">
        <f t="shared" si="2"/>
        <v>115</v>
      </c>
      <c r="C127" s="216" t="str">
        <f>IF(J127=1,SUBSTITUTE('IMPORT SCHLIESSERDATEN'!$B119," Gangfl.",""),IF(J127=2,SUBSTITUTE('IMPORT SCHLIESSERDATEN'!$B119," Standfl.",""),'IMPORT SCHLIESSERDATEN'!$B119))</f>
        <v>TS 83 RF EN 2-6</v>
      </c>
      <c r="D127" s="216" t="str">
        <f>IF('IMPORT SCHLIESSERDATEN'!$AF119&lt;&gt;"",IF(COUNTA('IMPORT SCHLIESSERDATEN'!$AN119:$AU119)&gt;0,"X","G"),IF('IMPORT SCHLIESSERDATEN'!$AG119&lt;&gt;"","S",IF('IMPORT SCHLIESSERDATEN'!$AH119&lt;&gt;"","I",IF('IMPORT SCHLIESSERDATEN'!$AI119&lt;&gt;"","B",IF('IMPORT SCHLIESSERDATEN'!$AJ119&lt;&gt;"","D","")))))</f>
        <v>S</v>
      </c>
      <c r="E127" s="248" t="str">
        <f>'IMPORT SCHLIESSERDATEN'!AK119 &amp; IF('IMPORT SCHLIESSERDATEN'!AL119="",""," "&amp; 'IMPORT SCHLIESSERDATEN'!AL119)</f>
        <v>83 B</v>
      </c>
      <c r="F127" s="74">
        <f>IFERROR(IF(D127="X",2^(MATCH("",'IMPORT SCHLIESSERDATEN'!$AN119:$AU119,-1)-1),IF(AV127="F",2^(MATCH("",'IMPORT SCHLIESSERDATEN'!$BH119:$BK119,-1)-1),2^(MATCH("",'IMPORT SCHLIESSERDATEN'!$AV119:$BG119,-1)-1))),0)</f>
        <v>0</v>
      </c>
      <c r="G127" s="74">
        <f>IF(AND('IMPORT SCHLIESSERDATEN'!$O119='IMPORT SCHLIESSERDATEN'!$R119,'IMPORT SCHLIESSERDATEN'!$O119&lt;&gt;"",'IMPORT SCHLIESSERDATEN'!$R119&lt;&gt;""),1,0)  +  IF(AND('IMPORT SCHLIESSERDATEN'!$P119='IMPORT SCHLIESSERDATEN'!$S119,'IMPORT SCHLIESSERDATEN'!$P119&lt;&gt;"",'IMPORT SCHLIESSERDATEN'!$S119&lt;&gt;""),2,0)   +  IF(AND('IMPORT SCHLIESSERDATEN'!$O119='IMPORT SCHLIESSERDATEN'!$S119,'IMPORT SCHLIESSERDATEN'!$O119&lt;&gt;"",'IMPORT SCHLIESSERDATEN'!$S119&lt;&gt;""),4,0)   +  IF(AND('IMPORT SCHLIESSERDATEN'!$P119='IMPORT SCHLIESSERDATEN'!$R119,'IMPORT SCHLIESSERDATEN'!$P119&lt;&gt;"",'IMPORT SCHLIESSERDATEN'!$R119&lt;&gt;""),8,0)   +  IF('IMPORT SCHLIESSERDATEN'!$Q119&lt;&gt;"",IF('IMPORT SCHLIESSERDATEN'!$R119&lt;&gt;"",32,0) + IF('IMPORT SCHLIESSERDATEN'!$S119&lt;&gt;"",64,0),0)  +  IF('IMPORT SCHLIESSERDATEN'!$T119&lt;&gt;"",IF('IMPORT SCHLIESSERDATEN'!$Q119&lt;&gt;"",128+256,128),0)</f>
        <v>3</v>
      </c>
      <c r="H127" s="74">
        <f>IF('IMPORT SCHLIESSERDATEN'!$H119="",0,1) + IF('IMPORT SCHLIESSERDATEN'!$I119="",0,2) + IF('IMPORT SCHLIESSERDATEN'!$J119="",0,4) + IF('IMPORT SCHLIESSERDATEN'!$K119="",0,8) + IF('IMPORT SCHLIESSERDATEN'!$L119="",0,16) + IF('IMPORT SCHLIESSERDATEN'!$M119="",0,32) + IF('IMPORT SCHLIESSERDATEN'!$N119="",0,64)</f>
        <v>62</v>
      </c>
      <c r="I127" s="74">
        <f>IF('IMPORT SCHLIESSERDATEN'!$D119="",0,1) + IF('IMPORT SCHLIESSERDATEN'!$E119="",0,2) + IF('IMPORT SCHLIESSERDATEN'!$E119="S",4,0)</f>
        <v>1</v>
      </c>
      <c r="J127" s="74">
        <f>IF(ISERR(FIND(" Gangfl.",'IMPORT SCHLIESSERDATEN'!$B119)),IF(ISERR(FIND(" Standfl.",'IMPORT SCHLIESSERDATEN'!$B119)),0,2),1)</f>
        <v>0</v>
      </c>
      <c r="K127" s="74">
        <f>'IMPORT SCHLIESSERDATEN'!CL119</f>
        <v>107</v>
      </c>
      <c r="L127" s="74">
        <f>'IMPORT SCHLIESSERDATEN'!CN119</f>
        <v>8</v>
      </c>
      <c r="M127" s="74">
        <f>IF('IMPORT SCHLIESSERDATEN'!CS119="wie TS",-1,'IMPORT SCHLIESSERDATEN'!CS119)</f>
        <v>107</v>
      </c>
      <c r="N127" s="74">
        <f>IF(M127&lt;0,-1,'IMPORT SCHLIESSERDATEN'!CU119)</f>
        <v>8</v>
      </c>
      <c r="O127" s="74">
        <f>IF('IMPORT SCHLIESSERDATEN'!CZ119="wie TS",-1,'IMPORT SCHLIESSERDATEN'!CZ119)</f>
        <v>0</v>
      </c>
      <c r="P127" s="74">
        <f>IF(O127&lt;0,-1,'IMPORT SCHLIESSERDATEN'!DB119)</f>
        <v>0</v>
      </c>
      <c r="Q127" s="74">
        <f>'IMPORT SCHLIESSERDATEN'!DG119</f>
        <v>0</v>
      </c>
      <c r="R127" s="74">
        <f>'IMPORT SCHLIESSERDATEN'!DI119</f>
        <v>0</v>
      </c>
      <c r="S127" s="74">
        <f>'IMPORT SCHLIESSERDATEN'!DN119</f>
        <v>0</v>
      </c>
      <c r="T127" s="74">
        <f>IF('IMPORT SCHLIESSERDATEN'!DP119="V",9999,'IMPORT SCHLIESSERDATEN'!DP119)</f>
        <v>0</v>
      </c>
      <c r="U127" s="74">
        <f>'IMPORT SCHLIESSERDATEN'!BW119</f>
        <v>245</v>
      </c>
      <c r="V127" s="74">
        <f>'IMPORT SCHLIESSERDATEN'!BX119</f>
        <v>46</v>
      </c>
      <c r="W127" s="74">
        <f>'IMPORT SCHLIESSERDATEN'!BY119</f>
        <v>60</v>
      </c>
      <c r="X127" s="74">
        <f>'IMPORT SCHLIESSERDATEN'!CO119</f>
        <v>245</v>
      </c>
      <c r="Y127" s="74">
        <f>'IMPORT SCHLIESSERDATEN'!CQ119</f>
        <v>22</v>
      </c>
      <c r="Z127" s="74">
        <f>'IMPORT SCHLIESSERDATEN'!CV119</f>
        <v>245</v>
      </c>
      <c r="AA127" s="74">
        <f>'IMPORT SCHLIESSERDATEN'!CX119</f>
        <v>22</v>
      </c>
      <c r="AB127" s="74">
        <f>'IMPORT SCHLIESSERDATEN'!DC119</f>
        <v>0</v>
      </c>
      <c r="AC127" s="74">
        <f>'IMPORT SCHLIESSERDATEN'!DE119</f>
        <v>0</v>
      </c>
      <c r="AD127" s="74">
        <f>'IMPORT SCHLIESSERDATEN'!DJ119</f>
        <v>0</v>
      </c>
      <c r="AE127" s="74">
        <f>'IMPORT SCHLIESSERDATEN'!DL119</f>
        <v>0</v>
      </c>
      <c r="AF127" s="74">
        <f>'IMPORT SCHLIESSERDATEN'!DQ119</f>
        <v>0</v>
      </c>
      <c r="AG127" s="74">
        <f>IF('IMPORT SCHLIESSERDATEN'!DS119="V",9999,'IMPORT SCHLIESSERDATEN'!DS119)</f>
        <v>0</v>
      </c>
      <c r="AH127" s="74">
        <f>IF('IMPORT SCHLIESSERDATEN'!BZ119="V",9999,IF('IMPORT SCHLIESSERDATEN'!CD119="_",-1,'IMPORT SCHLIESSERDATEN'!BZ119))</f>
        <v>305</v>
      </c>
      <c r="AI127" s="74">
        <f>IF('IMPORT SCHLIESSERDATEN'!CA119="V",9999,IF('IMPORT SCHLIESSERDATEN'!CD119="_",-1,'IMPORT SCHLIESSERDATEN'!CA119))</f>
        <v>30</v>
      </c>
      <c r="AJ127" s="74">
        <f>IF('IMPORT SCHLIESSERDATEN'!CB119="V",9999,IF('IMPORT SCHLIESSERDATEN'!CD119="_",-1,'IMPORT SCHLIESSERDATEN'!CB119))</f>
        <v>20</v>
      </c>
      <c r="AK127" s="74">
        <f>IF('IMPORT SCHLIESSERDATEN'!CC119="V",9999,IF('IMPORT SCHLIESSERDATEN'!CC119="_",-1,'IMPORT SCHLIESSERDATEN'!CC119))</f>
        <v>0</v>
      </c>
      <c r="AL127" s="74">
        <f>IF('IMPORT SCHLIESSERDATEN'!CD119="_",-1,'IMPORT SCHLIESSERDATEN'!CD119)</f>
        <v>250</v>
      </c>
      <c r="AM127" s="74">
        <f>'IMPORT SCHLIESSERDATEN'!CH119</f>
        <v>87</v>
      </c>
      <c r="AN127" s="74">
        <f>IF('IMPORT SCHLIESSERDATEN'!CE119="V",9999,'IMPORT SCHLIESSERDATEN'!CE119)</f>
        <v>25</v>
      </c>
      <c r="AO127" s="74">
        <f>IF('IMPORT SCHLIESSERDATEN'!CK119="_",-1,'IMPORT SCHLIESSERDATEN'!CK119)</f>
        <v>-1</v>
      </c>
      <c r="AP127" s="74">
        <f>IF('IMPORT SCHLIESSERDATEN'!$U119="",0,1)</f>
        <v>0</v>
      </c>
      <c r="AQ127" s="74">
        <f>IF('IMPORT SCHLIESSERDATEN'!$V119="",0,1)</f>
        <v>0</v>
      </c>
      <c r="AR127" s="74">
        <f>IF('IMPORT SCHLIESSERDATEN'!$W119="",0,1)</f>
        <v>0</v>
      </c>
      <c r="AS127" s="74">
        <f>IF('IMPORT SCHLIESSERDATEN'!$AA119="",0,1)</f>
        <v>1</v>
      </c>
      <c r="AT127" s="74">
        <f>IF('IMPORT SCHLIESSERDATEN'!$AD119="",0,1) + IF('IMPORT SCHLIESSERDATEN'!$AE119="",0,2)</f>
        <v>0</v>
      </c>
      <c r="AU127" s="74" t="str">
        <f>IF('IMPORT SCHLIESSERDATEN'!$X119="",IF('IMPORT SCHLIESSERDATEN'!$Y119="","","F"),"V")</f>
        <v/>
      </c>
      <c r="AV127" s="74" t="str">
        <f>IF('IMPORT SCHLIESSERDATEN'!$AB119&lt;&gt;"","M",IF('IMPORT SCHLIESSERDATEN'!$AD119&lt;&gt;"",IF(ISERR(SEARCH("UVIBIS",'IMPORT SCHLIESSERDATEN'!$B119)),"R","B"),IF(OR('IMPORT SCHLIESSERDATEN'!$AC119&lt;&gt;"",'IMPORT SCHLIESSERDATEN'!$AE119&lt;&gt;""),"E","")))</f>
        <v>M</v>
      </c>
      <c r="AW127" s="82"/>
      <c r="AX127" s="67"/>
    </row>
    <row r="128" spans="1:50" x14ac:dyDescent="0.25">
      <c r="A128" s="67">
        <f>IFERROR(IF(C128&lt;&gt;"",MAX($A$2:$A127)+1,""),"")</f>
        <v>116</v>
      </c>
      <c r="B128" s="223">
        <f t="shared" si="2"/>
        <v>116</v>
      </c>
      <c r="C128" s="216" t="str">
        <f>IF(J128=1,SUBSTITUTE('IMPORT SCHLIESSERDATEN'!$B120," Gangfl.",""),IF(J128=2,SUBSTITUTE('IMPORT SCHLIESSERDATEN'!$B120," Standfl.",""),'IMPORT SCHLIESSERDATEN'!$B120))</f>
        <v>TS 83 SV EN 2-6</v>
      </c>
      <c r="D128" s="216" t="str">
        <f>IF('IMPORT SCHLIESSERDATEN'!$AF120&lt;&gt;"",IF(COUNTA('IMPORT SCHLIESSERDATEN'!$AN120:$AU120)&gt;0,"X","G"),IF('IMPORT SCHLIESSERDATEN'!$AG120&lt;&gt;"","S",IF('IMPORT SCHLIESSERDATEN'!$AH120&lt;&gt;"","I",IF('IMPORT SCHLIESSERDATEN'!$AI120&lt;&gt;"","B",IF('IMPORT SCHLIESSERDATEN'!$AJ120&lt;&gt;"","D","")))))</f>
        <v>S</v>
      </c>
      <c r="E128" s="248" t="str">
        <f>'IMPORT SCHLIESSERDATEN'!AK120 &amp; IF('IMPORT SCHLIESSERDATEN'!AL120="",""," "&amp; 'IMPORT SCHLIESSERDATEN'!AL120)</f>
        <v>83 B</v>
      </c>
      <c r="F128" s="74">
        <f>IFERROR(IF(D128="X",2^(MATCH("",'IMPORT SCHLIESSERDATEN'!$AN120:$AU120,-1)-1),IF(AV128="F",2^(MATCH("",'IMPORT SCHLIESSERDATEN'!$BH120:$BK120,-1)-1),2^(MATCH("",'IMPORT SCHLIESSERDATEN'!$AV120:$BG120,-1)-1))),0)</f>
        <v>0</v>
      </c>
      <c r="G128" s="74">
        <f>IF(AND('IMPORT SCHLIESSERDATEN'!$O120='IMPORT SCHLIESSERDATEN'!$R120,'IMPORT SCHLIESSERDATEN'!$O120&lt;&gt;"",'IMPORT SCHLIESSERDATEN'!$R120&lt;&gt;""),1,0)  +  IF(AND('IMPORT SCHLIESSERDATEN'!$P120='IMPORT SCHLIESSERDATEN'!$S120,'IMPORT SCHLIESSERDATEN'!$P120&lt;&gt;"",'IMPORT SCHLIESSERDATEN'!$S120&lt;&gt;""),2,0)   +  IF(AND('IMPORT SCHLIESSERDATEN'!$O120='IMPORT SCHLIESSERDATEN'!$S120,'IMPORT SCHLIESSERDATEN'!$O120&lt;&gt;"",'IMPORT SCHLIESSERDATEN'!$S120&lt;&gt;""),4,0)   +  IF(AND('IMPORT SCHLIESSERDATEN'!$P120='IMPORT SCHLIESSERDATEN'!$R120,'IMPORT SCHLIESSERDATEN'!$P120&lt;&gt;"",'IMPORT SCHLIESSERDATEN'!$R120&lt;&gt;""),8,0)   +  IF('IMPORT SCHLIESSERDATEN'!$Q120&lt;&gt;"",IF('IMPORT SCHLIESSERDATEN'!$R120&lt;&gt;"",32,0) + IF('IMPORT SCHLIESSERDATEN'!$S120&lt;&gt;"",64,0),0)  +  IF('IMPORT SCHLIESSERDATEN'!$T120&lt;&gt;"",IF('IMPORT SCHLIESSERDATEN'!$Q120&lt;&gt;"",128+256,128),0)</f>
        <v>3</v>
      </c>
      <c r="H128" s="74">
        <f>IF('IMPORT SCHLIESSERDATEN'!$H120="",0,1) + IF('IMPORT SCHLIESSERDATEN'!$I120="",0,2) + IF('IMPORT SCHLIESSERDATEN'!$J120="",0,4) + IF('IMPORT SCHLIESSERDATEN'!$K120="",0,8) + IF('IMPORT SCHLIESSERDATEN'!$L120="",0,16) + IF('IMPORT SCHLIESSERDATEN'!$M120="",0,32) + IF('IMPORT SCHLIESSERDATEN'!$N120="",0,64)</f>
        <v>62</v>
      </c>
      <c r="I128" s="74">
        <f>IF('IMPORT SCHLIESSERDATEN'!$D120="",0,1) + IF('IMPORT SCHLIESSERDATEN'!$E120="",0,2) + IF('IMPORT SCHLIESSERDATEN'!$E120="S",4,0)</f>
        <v>1</v>
      </c>
      <c r="J128" s="74">
        <f>IF(ISERR(FIND(" Gangfl.",'IMPORT SCHLIESSERDATEN'!$B120)),IF(ISERR(FIND(" Standfl.",'IMPORT SCHLIESSERDATEN'!$B120)),0,2),1)</f>
        <v>0</v>
      </c>
      <c r="K128" s="74">
        <f>'IMPORT SCHLIESSERDATEN'!CL120</f>
        <v>107</v>
      </c>
      <c r="L128" s="74">
        <f>'IMPORT SCHLIESSERDATEN'!CN120</f>
        <v>8</v>
      </c>
      <c r="M128" s="74">
        <f>IF('IMPORT SCHLIESSERDATEN'!CS120="wie TS",-1,'IMPORT SCHLIESSERDATEN'!CS120)</f>
        <v>107</v>
      </c>
      <c r="N128" s="74">
        <f>IF(M128&lt;0,-1,'IMPORT SCHLIESSERDATEN'!CU120)</f>
        <v>8</v>
      </c>
      <c r="O128" s="74">
        <f>IF('IMPORT SCHLIESSERDATEN'!CZ120="wie TS",-1,'IMPORT SCHLIESSERDATEN'!CZ120)</f>
        <v>0</v>
      </c>
      <c r="P128" s="74">
        <f>IF(O128&lt;0,-1,'IMPORT SCHLIESSERDATEN'!DB120)</f>
        <v>0</v>
      </c>
      <c r="Q128" s="74">
        <f>'IMPORT SCHLIESSERDATEN'!DG120</f>
        <v>0</v>
      </c>
      <c r="R128" s="74">
        <f>'IMPORT SCHLIESSERDATEN'!DI120</f>
        <v>0</v>
      </c>
      <c r="S128" s="74">
        <f>'IMPORT SCHLIESSERDATEN'!DN120</f>
        <v>0</v>
      </c>
      <c r="T128" s="74">
        <f>IF('IMPORT SCHLIESSERDATEN'!DP120="V",9999,'IMPORT SCHLIESSERDATEN'!DP120)</f>
        <v>0</v>
      </c>
      <c r="U128" s="74">
        <f>'IMPORT SCHLIESSERDATEN'!BW120</f>
        <v>245</v>
      </c>
      <c r="V128" s="74">
        <f>'IMPORT SCHLIESSERDATEN'!BX120</f>
        <v>46</v>
      </c>
      <c r="W128" s="74">
        <f>'IMPORT SCHLIESSERDATEN'!BY120</f>
        <v>60</v>
      </c>
      <c r="X128" s="74">
        <f>'IMPORT SCHLIESSERDATEN'!CO120</f>
        <v>245</v>
      </c>
      <c r="Y128" s="74">
        <f>'IMPORT SCHLIESSERDATEN'!CQ120</f>
        <v>22</v>
      </c>
      <c r="Z128" s="74">
        <f>'IMPORT SCHLIESSERDATEN'!CV120</f>
        <v>245</v>
      </c>
      <c r="AA128" s="74">
        <f>'IMPORT SCHLIESSERDATEN'!CX120</f>
        <v>22</v>
      </c>
      <c r="AB128" s="74">
        <f>'IMPORT SCHLIESSERDATEN'!DC120</f>
        <v>0</v>
      </c>
      <c r="AC128" s="74">
        <f>'IMPORT SCHLIESSERDATEN'!DE120</f>
        <v>0</v>
      </c>
      <c r="AD128" s="74">
        <f>'IMPORT SCHLIESSERDATEN'!DJ120</f>
        <v>0</v>
      </c>
      <c r="AE128" s="74">
        <f>'IMPORT SCHLIESSERDATEN'!DL120</f>
        <v>0</v>
      </c>
      <c r="AF128" s="74">
        <f>'IMPORT SCHLIESSERDATEN'!DQ120</f>
        <v>0</v>
      </c>
      <c r="AG128" s="74">
        <f>IF('IMPORT SCHLIESSERDATEN'!DS120="V",9999,'IMPORT SCHLIESSERDATEN'!DS120)</f>
        <v>0</v>
      </c>
      <c r="AH128" s="74">
        <f>IF('IMPORT SCHLIESSERDATEN'!BZ120="V",9999,IF('IMPORT SCHLIESSERDATEN'!CD120="_",-1,'IMPORT SCHLIESSERDATEN'!BZ120))</f>
        <v>305</v>
      </c>
      <c r="AI128" s="74">
        <f>IF('IMPORT SCHLIESSERDATEN'!CA120="V",9999,IF('IMPORT SCHLIESSERDATEN'!CD120="_",-1,'IMPORT SCHLIESSERDATEN'!CA120))</f>
        <v>20</v>
      </c>
      <c r="AJ128" s="74">
        <f>IF('IMPORT SCHLIESSERDATEN'!CB120="V",9999,IF('IMPORT SCHLIESSERDATEN'!CD120="_",-1,'IMPORT SCHLIESSERDATEN'!CB120))</f>
        <v>20</v>
      </c>
      <c r="AK128" s="74">
        <f>IF('IMPORT SCHLIESSERDATEN'!CC120="V",9999,IF('IMPORT SCHLIESSERDATEN'!CC120="_",-1,'IMPORT SCHLIESSERDATEN'!CC120))</f>
        <v>0</v>
      </c>
      <c r="AL128" s="74">
        <f>IF('IMPORT SCHLIESSERDATEN'!CD120="_",-1,'IMPORT SCHLIESSERDATEN'!CD120)</f>
        <v>250</v>
      </c>
      <c r="AM128" s="74">
        <f>'IMPORT SCHLIESSERDATEN'!CH120</f>
        <v>87</v>
      </c>
      <c r="AN128" s="74">
        <f>IF('IMPORT SCHLIESSERDATEN'!CE120="V",9999,'IMPORT SCHLIESSERDATEN'!CE120)</f>
        <v>25</v>
      </c>
      <c r="AO128" s="74">
        <f>IF('IMPORT SCHLIESSERDATEN'!CK120="_",-1,'IMPORT SCHLIESSERDATEN'!CK120)</f>
        <v>-1</v>
      </c>
      <c r="AP128" s="74">
        <f>IF('IMPORT SCHLIESSERDATEN'!$U120="",0,1)</f>
        <v>1</v>
      </c>
      <c r="AQ128" s="74">
        <f>IF('IMPORT SCHLIESSERDATEN'!$V120="",0,1)</f>
        <v>0</v>
      </c>
      <c r="AR128" s="74">
        <f>IF('IMPORT SCHLIESSERDATEN'!$W120="",0,1)</f>
        <v>0</v>
      </c>
      <c r="AS128" s="74">
        <f>IF('IMPORT SCHLIESSERDATEN'!$AA120="",0,1)</f>
        <v>1</v>
      </c>
      <c r="AT128" s="74">
        <f>IF('IMPORT SCHLIESSERDATEN'!$AD120="",0,1) + IF('IMPORT SCHLIESSERDATEN'!$AE120="",0,2)</f>
        <v>0</v>
      </c>
      <c r="AU128" s="74" t="str">
        <f>IF('IMPORT SCHLIESSERDATEN'!$X120="",IF('IMPORT SCHLIESSERDATEN'!$Y120="","","F"),"V")</f>
        <v>V</v>
      </c>
      <c r="AV128" s="74" t="str">
        <f>IF('IMPORT SCHLIESSERDATEN'!$AB120&lt;&gt;"","M",IF('IMPORT SCHLIESSERDATEN'!$AD120&lt;&gt;"",IF(ISERR(SEARCH("UVIBIS",'IMPORT SCHLIESSERDATEN'!$B120)),"R","B"),IF(OR('IMPORT SCHLIESSERDATEN'!$AC120&lt;&gt;"",'IMPORT SCHLIESSERDATEN'!$AE120&lt;&gt;""),"E","")))</f>
        <v/>
      </c>
      <c r="AW128" s="82"/>
      <c r="AX128" s="67"/>
    </row>
    <row r="129" spans="1:50" x14ac:dyDescent="0.25">
      <c r="A129" s="67">
        <f>IFERROR(IF(C129&lt;&gt;"",MAX($A$2:$A128)+1,""),"")</f>
        <v>117</v>
      </c>
      <c r="B129" s="223">
        <f t="shared" si="2"/>
        <v>117</v>
      </c>
      <c r="C129" s="216" t="str">
        <f>IF(J129=1,SUBSTITUTE('IMPORT SCHLIESSERDATEN'!$B121," Gangfl.",""),IF(J129=2,SUBSTITUTE('IMPORT SCHLIESSERDATEN'!$B121," Standfl.",""),'IMPORT SCHLIESSERDATEN'!$B121))</f>
        <v>TS 83 EN 5-7</v>
      </c>
      <c r="D129" s="216" t="str">
        <f>IF('IMPORT SCHLIESSERDATEN'!$AF121&lt;&gt;"",IF(COUNTA('IMPORT SCHLIESSERDATEN'!$AN121:$AU121)&gt;0,"X","G"),IF('IMPORT SCHLIESSERDATEN'!$AG121&lt;&gt;"","S",IF('IMPORT SCHLIESSERDATEN'!$AH121&lt;&gt;"","I",IF('IMPORT SCHLIESSERDATEN'!$AI121&lt;&gt;"","B",IF('IMPORT SCHLIESSERDATEN'!$AJ121&lt;&gt;"","D","")))))</f>
        <v>S</v>
      </c>
      <c r="E129" s="248" t="str">
        <f>'IMPORT SCHLIESSERDATEN'!AK121 &amp; IF('IMPORT SCHLIESSERDATEN'!AL121="",""," "&amp; 'IMPORT SCHLIESSERDATEN'!AL121)</f>
        <v>83 B</v>
      </c>
      <c r="F129" s="74">
        <f>IFERROR(IF(D129="X",2^(MATCH("",'IMPORT SCHLIESSERDATEN'!$AN121:$AU121,-1)-1),IF(AV129="F",2^(MATCH("",'IMPORT SCHLIESSERDATEN'!$BH121:$BK121,-1)-1),2^(MATCH("",'IMPORT SCHLIESSERDATEN'!$AV121:$BG121,-1)-1))),0)</f>
        <v>0</v>
      </c>
      <c r="G129" s="74">
        <f>IF(AND('IMPORT SCHLIESSERDATEN'!$O121='IMPORT SCHLIESSERDATEN'!$R121,'IMPORT SCHLIESSERDATEN'!$O121&lt;&gt;"",'IMPORT SCHLIESSERDATEN'!$R121&lt;&gt;""),1,0)  +  IF(AND('IMPORT SCHLIESSERDATEN'!$P121='IMPORT SCHLIESSERDATEN'!$S121,'IMPORT SCHLIESSERDATEN'!$P121&lt;&gt;"",'IMPORT SCHLIESSERDATEN'!$S121&lt;&gt;""),2,0)   +  IF(AND('IMPORT SCHLIESSERDATEN'!$O121='IMPORT SCHLIESSERDATEN'!$S121,'IMPORT SCHLIESSERDATEN'!$O121&lt;&gt;"",'IMPORT SCHLIESSERDATEN'!$S121&lt;&gt;""),4,0)   +  IF(AND('IMPORT SCHLIESSERDATEN'!$P121='IMPORT SCHLIESSERDATEN'!$R121,'IMPORT SCHLIESSERDATEN'!$P121&lt;&gt;"",'IMPORT SCHLIESSERDATEN'!$R121&lt;&gt;""),8,0)   +  IF('IMPORT SCHLIESSERDATEN'!$Q121&lt;&gt;"",IF('IMPORT SCHLIESSERDATEN'!$R121&lt;&gt;"",32,0) + IF('IMPORT SCHLIESSERDATEN'!$S121&lt;&gt;"",64,0),0)  +  IF('IMPORT SCHLIESSERDATEN'!$T121&lt;&gt;"",IF('IMPORT SCHLIESSERDATEN'!$Q121&lt;&gt;"",128+256,128),0)</f>
        <v>3</v>
      </c>
      <c r="H129" s="74">
        <f>IF('IMPORT SCHLIESSERDATEN'!$H121="",0,1) + IF('IMPORT SCHLIESSERDATEN'!$I121="",0,2) + IF('IMPORT SCHLIESSERDATEN'!$J121="",0,4) + IF('IMPORT SCHLIESSERDATEN'!$K121="",0,8) + IF('IMPORT SCHLIESSERDATEN'!$L121="",0,16) + IF('IMPORT SCHLIESSERDATEN'!$M121="",0,32) + IF('IMPORT SCHLIESSERDATEN'!$N121="",0,64)</f>
        <v>112</v>
      </c>
      <c r="I129" s="74">
        <f>IF('IMPORT SCHLIESSERDATEN'!$D121="",0,1) + IF('IMPORT SCHLIESSERDATEN'!$E121="",0,2) + IF('IMPORT SCHLIESSERDATEN'!$E121="S",4,0)</f>
        <v>1</v>
      </c>
      <c r="J129" s="74">
        <f>IF(ISERR(FIND(" Gangfl.",'IMPORT SCHLIESSERDATEN'!$B121)),IF(ISERR(FIND(" Standfl.",'IMPORT SCHLIESSERDATEN'!$B121)),0,2),1)</f>
        <v>0</v>
      </c>
      <c r="K129" s="74">
        <f>'IMPORT SCHLIESSERDATEN'!CL121</f>
        <v>102</v>
      </c>
      <c r="L129" s="74">
        <f>'IMPORT SCHLIESSERDATEN'!CN121</f>
        <v>8</v>
      </c>
      <c r="M129" s="74">
        <f>IF('IMPORT SCHLIESSERDATEN'!CS121="wie TS",-1,'IMPORT SCHLIESSERDATEN'!CS121)</f>
        <v>102</v>
      </c>
      <c r="N129" s="74">
        <f>IF(M129&lt;0,-1,'IMPORT SCHLIESSERDATEN'!CU121)</f>
        <v>8</v>
      </c>
      <c r="O129" s="74">
        <f>IF('IMPORT SCHLIESSERDATEN'!CZ121="wie TS",-1,'IMPORT SCHLIESSERDATEN'!CZ121)</f>
        <v>0</v>
      </c>
      <c r="P129" s="74">
        <f>IF(O129&lt;0,-1,'IMPORT SCHLIESSERDATEN'!DB121)</f>
        <v>0</v>
      </c>
      <c r="Q129" s="74">
        <f>'IMPORT SCHLIESSERDATEN'!DG121</f>
        <v>0</v>
      </c>
      <c r="R129" s="74">
        <f>'IMPORT SCHLIESSERDATEN'!DI121</f>
        <v>0</v>
      </c>
      <c r="S129" s="74">
        <f>'IMPORT SCHLIESSERDATEN'!DN121</f>
        <v>0</v>
      </c>
      <c r="T129" s="74">
        <f>IF('IMPORT SCHLIESSERDATEN'!DP121="V",9999,'IMPORT SCHLIESSERDATEN'!DP121)</f>
        <v>0</v>
      </c>
      <c r="U129" s="74">
        <f>'IMPORT SCHLIESSERDATEN'!BW121</f>
        <v>293</v>
      </c>
      <c r="V129" s="74">
        <f>'IMPORT SCHLIESSERDATEN'!BX121</f>
        <v>48</v>
      </c>
      <c r="W129" s="74">
        <f>'IMPORT SCHLIESSERDATEN'!BY121</f>
        <v>60</v>
      </c>
      <c r="X129" s="74">
        <f>'IMPORT SCHLIESSERDATEN'!CO121</f>
        <v>245</v>
      </c>
      <c r="Y129" s="74">
        <f>'IMPORT SCHLIESSERDATEN'!CQ121</f>
        <v>22</v>
      </c>
      <c r="Z129" s="74">
        <f>'IMPORT SCHLIESSERDATEN'!CV121</f>
        <v>245</v>
      </c>
      <c r="AA129" s="74">
        <f>'IMPORT SCHLIESSERDATEN'!CX121</f>
        <v>22</v>
      </c>
      <c r="AB129" s="74">
        <f>'IMPORT SCHLIESSERDATEN'!DC121</f>
        <v>0</v>
      </c>
      <c r="AC129" s="74">
        <f>'IMPORT SCHLIESSERDATEN'!DE121</f>
        <v>0</v>
      </c>
      <c r="AD129" s="74">
        <f>'IMPORT SCHLIESSERDATEN'!DJ121</f>
        <v>0</v>
      </c>
      <c r="AE129" s="74">
        <f>'IMPORT SCHLIESSERDATEN'!DL121</f>
        <v>0</v>
      </c>
      <c r="AF129" s="74">
        <f>'IMPORT SCHLIESSERDATEN'!DQ121</f>
        <v>0</v>
      </c>
      <c r="AG129" s="74">
        <f>IF('IMPORT SCHLIESSERDATEN'!DS121="V",9999,'IMPORT SCHLIESSERDATEN'!DS121)</f>
        <v>0</v>
      </c>
      <c r="AH129" s="74">
        <f>IF('IMPORT SCHLIESSERDATEN'!BZ121="V",9999,IF('IMPORT SCHLIESSERDATEN'!CD121="_",-1,'IMPORT SCHLIESSERDATEN'!BZ121))</f>
        <v>305</v>
      </c>
      <c r="AI129" s="74">
        <f>IF('IMPORT SCHLIESSERDATEN'!CA121="V",9999,IF('IMPORT SCHLIESSERDATEN'!CD121="_",-1,'IMPORT SCHLIESSERDATEN'!CA121))</f>
        <v>20</v>
      </c>
      <c r="AJ129" s="74">
        <f>IF('IMPORT SCHLIESSERDATEN'!CB121="V",9999,IF('IMPORT SCHLIESSERDATEN'!CD121="_",-1,'IMPORT SCHLIESSERDATEN'!CB121))</f>
        <v>20</v>
      </c>
      <c r="AK129" s="74">
        <f>IF('IMPORT SCHLIESSERDATEN'!CC121="V",9999,IF('IMPORT SCHLIESSERDATEN'!CC121="_",-1,'IMPORT SCHLIESSERDATEN'!CC121))</f>
        <v>0</v>
      </c>
      <c r="AL129" s="74">
        <f>IF('IMPORT SCHLIESSERDATEN'!CD121="_",-1,'IMPORT SCHLIESSERDATEN'!CD121)</f>
        <v>250</v>
      </c>
      <c r="AM129" s="74">
        <f>'IMPORT SCHLIESSERDATEN'!CH121</f>
        <v>92</v>
      </c>
      <c r="AN129" s="74">
        <f>IF('IMPORT SCHLIESSERDATEN'!CE121="V",9999,'IMPORT SCHLIESSERDATEN'!CE121)</f>
        <v>25</v>
      </c>
      <c r="AO129" s="74">
        <f>IF('IMPORT SCHLIESSERDATEN'!CK121="_",-1,'IMPORT SCHLIESSERDATEN'!CK121)</f>
        <v>-1</v>
      </c>
      <c r="AP129" s="74">
        <f>IF('IMPORT SCHLIESSERDATEN'!$U121="",0,1)</f>
        <v>1</v>
      </c>
      <c r="AQ129" s="74">
        <f>IF('IMPORT SCHLIESSERDATEN'!$V121="",0,1)</f>
        <v>0</v>
      </c>
      <c r="AR129" s="74">
        <f>IF('IMPORT SCHLIESSERDATEN'!$W121="",0,1)</f>
        <v>0</v>
      </c>
      <c r="AS129" s="74">
        <f>IF('IMPORT SCHLIESSERDATEN'!$AA121="",0,1)</f>
        <v>1</v>
      </c>
      <c r="AT129" s="74">
        <f>IF('IMPORT SCHLIESSERDATEN'!$AD121="",0,1) + IF('IMPORT SCHLIESSERDATEN'!$AE121="",0,2)</f>
        <v>0</v>
      </c>
      <c r="AU129" s="74" t="str">
        <f>IF('IMPORT SCHLIESSERDATEN'!$X121="",IF('IMPORT SCHLIESSERDATEN'!$Y121="","","F"),"V")</f>
        <v/>
      </c>
      <c r="AV129" s="74" t="str">
        <f>IF('IMPORT SCHLIESSERDATEN'!$AB121&lt;&gt;"","M",IF('IMPORT SCHLIESSERDATEN'!$AD121&lt;&gt;"",IF(ISERR(SEARCH("UVIBIS",'IMPORT SCHLIESSERDATEN'!$B121)),"R","B"),IF(OR('IMPORT SCHLIESSERDATEN'!$AC121&lt;&gt;"",'IMPORT SCHLIESSERDATEN'!$AE121&lt;&gt;""),"E","")))</f>
        <v/>
      </c>
      <c r="AW129" s="82"/>
      <c r="AX129" s="67"/>
    </row>
    <row r="130" spans="1:50" x14ac:dyDescent="0.25">
      <c r="A130" s="67">
        <f>IFERROR(IF(C130&lt;&gt;"",MAX($A$2:$A129)+1,""),"")</f>
        <v>118</v>
      </c>
      <c r="B130" s="223">
        <f t="shared" si="2"/>
        <v>118</v>
      </c>
      <c r="C130" s="216" t="str">
        <f>IF(J130=1,SUBSTITUTE('IMPORT SCHLIESSERDATEN'!$B122," Gangfl.",""),IF(J130=2,SUBSTITUTE('IMPORT SCHLIESSERDATEN'!$B122," Standfl.",""),'IMPORT SCHLIESSERDATEN'!$B122))</f>
        <v>TS 83 EN 5-7 + SR</v>
      </c>
      <c r="D130" s="216" t="str">
        <f>IF('IMPORT SCHLIESSERDATEN'!$AF122&lt;&gt;"",IF(COUNTA('IMPORT SCHLIESSERDATEN'!$AN122:$AU122)&gt;0,"X","G"),IF('IMPORT SCHLIESSERDATEN'!$AG122&lt;&gt;"","S",IF('IMPORT SCHLIESSERDATEN'!$AH122&lt;&gt;"","I",IF('IMPORT SCHLIESSERDATEN'!$AI122&lt;&gt;"","B",IF('IMPORT SCHLIESSERDATEN'!$AJ122&lt;&gt;"","D","")))))</f>
        <v>S</v>
      </c>
      <c r="E130" s="248" t="str">
        <f>'IMPORT SCHLIESSERDATEN'!AK122 &amp; IF('IMPORT SCHLIESSERDATEN'!AL122="",""," "&amp; 'IMPORT SCHLIESSERDATEN'!AL122)</f>
        <v>83 B</v>
      </c>
      <c r="F130" s="74">
        <f>IFERROR(IF(D130="X",2^(MATCH("",'IMPORT SCHLIESSERDATEN'!$AN122:$AU122,-1)-1),IF(AV130="F",2^(MATCH("",'IMPORT SCHLIESSERDATEN'!$BH122:$BK122,-1)-1),2^(MATCH("",'IMPORT SCHLIESSERDATEN'!$AV122:$BG122,-1)-1))),0)</f>
        <v>0</v>
      </c>
      <c r="G130" s="74">
        <f>IF(AND('IMPORT SCHLIESSERDATEN'!$O122='IMPORT SCHLIESSERDATEN'!$R122,'IMPORT SCHLIESSERDATEN'!$O122&lt;&gt;"",'IMPORT SCHLIESSERDATEN'!$R122&lt;&gt;""),1,0)  +  IF(AND('IMPORT SCHLIESSERDATEN'!$P122='IMPORT SCHLIESSERDATEN'!$S122,'IMPORT SCHLIESSERDATEN'!$P122&lt;&gt;"",'IMPORT SCHLIESSERDATEN'!$S122&lt;&gt;""),2,0)   +  IF(AND('IMPORT SCHLIESSERDATEN'!$O122='IMPORT SCHLIESSERDATEN'!$S122,'IMPORT SCHLIESSERDATEN'!$O122&lt;&gt;"",'IMPORT SCHLIESSERDATEN'!$S122&lt;&gt;""),4,0)   +  IF(AND('IMPORT SCHLIESSERDATEN'!$P122='IMPORT SCHLIESSERDATEN'!$R122,'IMPORT SCHLIESSERDATEN'!$P122&lt;&gt;"",'IMPORT SCHLIESSERDATEN'!$R122&lt;&gt;""),8,0)   +  IF('IMPORT SCHLIESSERDATEN'!$Q122&lt;&gt;"",IF('IMPORT SCHLIESSERDATEN'!$R122&lt;&gt;"",32,0) + IF('IMPORT SCHLIESSERDATEN'!$S122&lt;&gt;"",64,0),0)  +  IF('IMPORT SCHLIESSERDATEN'!$T122&lt;&gt;"",IF('IMPORT SCHLIESSERDATEN'!$Q122&lt;&gt;"",128+256,128),0)</f>
        <v>9</v>
      </c>
      <c r="H130" s="74">
        <f>IF('IMPORT SCHLIESSERDATEN'!$H122="",0,1) + IF('IMPORT SCHLIESSERDATEN'!$I122="",0,2) + IF('IMPORT SCHLIESSERDATEN'!$J122="",0,4) + IF('IMPORT SCHLIESSERDATEN'!$K122="",0,8) + IF('IMPORT SCHLIESSERDATEN'!$L122="",0,16) + IF('IMPORT SCHLIESSERDATEN'!$M122="",0,32) + IF('IMPORT SCHLIESSERDATEN'!$N122="",0,64)</f>
        <v>112</v>
      </c>
      <c r="I130" s="74">
        <f>IF('IMPORT SCHLIESSERDATEN'!$D122="",0,1) + IF('IMPORT SCHLIESSERDATEN'!$E122="",0,2) + IF('IMPORT SCHLIESSERDATEN'!$E122="S",4,0)</f>
        <v>2</v>
      </c>
      <c r="J130" s="74">
        <f>IF(ISERR(FIND(" Gangfl.",'IMPORT SCHLIESSERDATEN'!$B122)),IF(ISERR(FIND(" Standfl.",'IMPORT SCHLIESSERDATEN'!$B122)),0,2),1)</f>
        <v>0</v>
      </c>
      <c r="K130" s="74">
        <f>'IMPORT SCHLIESSERDATEN'!CL122</f>
        <v>102</v>
      </c>
      <c r="L130" s="74">
        <f>'IMPORT SCHLIESSERDATEN'!CN122</f>
        <v>8</v>
      </c>
      <c r="M130" s="74">
        <f>IF('IMPORT SCHLIESSERDATEN'!CS122="wie TS",-1,'IMPORT SCHLIESSERDATEN'!CS122)</f>
        <v>0</v>
      </c>
      <c r="N130" s="74">
        <f>IF(M130&lt;0,-1,'IMPORT SCHLIESSERDATEN'!CU122)</f>
        <v>0</v>
      </c>
      <c r="O130" s="74">
        <f>IF('IMPORT SCHLIESSERDATEN'!CZ122="wie TS",-1,'IMPORT SCHLIESSERDATEN'!CZ122)</f>
        <v>0</v>
      </c>
      <c r="P130" s="74">
        <f>IF(O130&lt;0,-1,'IMPORT SCHLIESSERDATEN'!DB122)</f>
        <v>0</v>
      </c>
      <c r="Q130" s="74">
        <f>'IMPORT SCHLIESSERDATEN'!DG122</f>
        <v>0</v>
      </c>
      <c r="R130" s="74">
        <f>'IMPORT SCHLIESSERDATEN'!DI122</f>
        <v>0</v>
      </c>
      <c r="S130" s="74">
        <f>'IMPORT SCHLIESSERDATEN'!DN122</f>
        <v>0</v>
      </c>
      <c r="T130" s="74">
        <f>IF('IMPORT SCHLIESSERDATEN'!DP122="V",9999,'IMPORT SCHLIESSERDATEN'!DP122)</f>
        <v>0</v>
      </c>
      <c r="U130" s="74">
        <f>'IMPORT SCHLIESSERDATEN'!BW122</f>
        <v>293</v>
      </c>
      <c r="V130" s="74">
        <f>'IMPORT SCHLIESSERDATEN'!BX122</f>
        <v>48</v>
      </c>
      <c r="W130" s="74">
        <f>'IMPORT SCHLIESSERDATEN'!BY122</f>
        <v>60</v>
      </c>
      <c r="X130" s="74">
        <f>'IMPORT SCHLIESSERDATEN'!CO122</f>
        <v>245</v>
      </c>
      <c r="Y130" s="74">
        <f>'IMPORT SCHLIESSERDATEN'!CQ122</f>
        <v>22</v>
      </c>
      <c r="Z130" s="74">
        <f>'IMPORT SCHLIESSERDATEN'!CV122</f>
        <v>0</v>
      </c>
      <c r="AA130" s="74">
        <f>'IMPORT SCHLIESSERDATEN'!CX122</f>
        <v>0</v>
      </c>
      <c r="AB130" s="74">
        <f>'IMPORT SCHLIESSERDATEN'!DC122</f>
        <v>0</v>
      </c>
      <c r="AC130" s="74">
        <f>'IMPORT SCHLIESSERDATEN'!DE122</f>
        <v>0</v>
      </c>
      <c r="AD130" s="74">
        <f>'IMPORT SCHLIESSERDATEN'!DJ122</f>
        <v>0</v>
      </c>
      <c r="AE130" s="74">
        <f>'IMPORT SCHLIESSERDATEN'!DL122</f>
        <v>0</v>
      </c>
      <c r="AF130" s="74">
        <f>'IMPORT SCHLIESSERDATEN'!DQ122</f>
        <v>0</v>
      </c>
      <c r="AG130" s="74">
        <f>IF('IMPORT SCHLIESSERDATEN'!DS122="V",9999,'IMPORT SCHLIESSERDATEN'!DS122)</f>
        <v>0</v>
      </c>
      <c r="AH130" s="74">
        <f>IF('IMPORT SCHLIESSERDATEN'!BZ122="V",9999,IF('IMPORT SCHLIESSERDATEN'!CD122="_",-1,'IMPORT SCHLIESSERDATEN'!BZ122))</f>
        <v>305</v>
      </c>
      <c r="AI130" s="74">
        <f>IF('IMPORT SCHLIESSERDATEN'!CA122="V",9999,IF('IMPORT SCHLIESSERDATEN'!CD122="_",-1,'IMPORT SCHLIESSERDATEN'!CA122))</f>
        <v>20</v>
      </c>
      <c r="AJ130" s="74">
        <f>IF('IMPORT SCHLIESSERDATEN'!CB122="V",9999,IF('IMPORT SCHLIESSERDATEN'!CD122="_",-1,'IMPORT SCHLIESSERDATEN'!CB122))</f>
        <v>20</v>
      </c>
      <c r="AK130" s="74">
        <f>IF('IMPORT SCHLIESSERDATEN'!CC122="V",9999,IF('IMPORT SCHLIESSERDATEN'!CC122="_",-1,'IMPORT SCHLIESSERDATEN'!CC122))</f>
        <v>0</v>
      </c>
      <c r="AL130" s="74">
        <f>IF('IMPORT SCHLIESSERDATEN'!CD122="_",-1,'IMPORT SCHLIESSERDATEN'!CD122)</f>
        <v>250</v>
      </c>
      <c r="AM130" s="74">
        <f>'IMPORT SCHLIESSERDATEN'!CH122</f>
        <v>92</v>
      </c>
      <c r="AN130" s="74">
        <f>IF('IMPORT SCHLIESSERDATEN'!CE122="V",9999,'IMPORT SCHLIESSERDATEN'!CE122)</f>
        <v>25</v>
      </c>
      <c r="AO130" s="74">
        <f>IF('IMPORT SCHLIESSERDATEN'!CK122="_",-1,'IMPORT SCHLIESSERDATEN'!CK122)</f>
        <v>-1</v>
      </c>
      <c r="AP130" s="74">
        <f>IF('IMPORT SCHLIESSERDATEN'!$U122="",0,1)</f>
        <v>1</v>
      </c>
      <c r="AQ130" s="74">
        <f>IF('IMPORT SCHLIESSERDATEN'!$V122="",0,1)</f>
        <v>0</v>
      </c>
      <c r="AR130" s="74">
        <f>IF('IMPORT SCHLIESSERDATEN'!$W122="",0,1)</f>
        <v>1</v>
      </c>
      <c r="AS130" s="74">
        <f>IF('IMPORT SCHLIESSERDATEN'!$AA122="",0,1)</f>
        <v>1</v>
      </c>
      <c r="AT130" s="74">
        <f>IF('IMPORT SCHLIESSERDATEN'!$AD122="",0,1) + IF('IMPORT SCHLIESSERDATEN'!$AE122="",0,2)</f>
        <v>0</v>
      </c>
      <c r="AU130" s="74" t="str">
        <f>IF('IMPORT SCHLIESSERDATEN'!$X122="",IF('IMPORT SCHLIESSERDATEN'!$Y122="","","F"),"V")</f>
        <v/>
      </c>
      <c r="AV130" s="74" t="str">
        <f>IF('IMPORT SCHLIESSERDATEN'!$AB122&lt;&gt;"","M",IF('IMPORT SCHLIESSERDATEN'!$AD122&lt;&gt;"",IF(ISERR(SEARCH("UVIBIS",'IMPORT SCHLIESSERDATEN'!$B122)),"R","B"),IF(OR('IMPORT SCHLIESSERDATEN'!$AC122&lt;&gt;"",'IMPORT SCHLIESSERDATEN'!$AE122&lt;&gt;""),"E","")))</f>
        <v/>
      </c>
      <c r="AW130" s="82"/>
      <c r="AX130" s="67"/>
    </row>
    <row r="131" spans="1:50" x14ac:dyDescent="0.25">
      <c r="A131" s="67">
        <f>IFERROR(IF(C131&lt;&gt;"",MAX($A$2:$A130)+1,""),"")</f>
        <v>119</v>
      </c>
      <c r="B131" s="223">
        <f t="shared" si="2"/>
        <v>119</v>
      </c>
      <c r="C131" s="216" t="str">
        <f>IF(J131=1,SUBSTITUTE('IMPORT SCHLIESSERDATEN'!$B123," Gangfl.",""),IF(J131=2,SUBSTITUTE('IMPORT SCHLIESSERDATEN'!$B123," Standfl.",""),'IMPORT SCHLIESSERDATEN'!$B123))</f>
        <v>TS 83 RF EN 5-7</v>
      </c>
      <c r="D131" s="216" t="str">
        <f>IF('IMPORT SCHLIESSERDATEN'!$AF123&lt;&gt;"",IF(COUNTA('IMPORT SCHLIESSERDATEN'!$AN123:$AU123)&gt;0,"X","G"),IF('IMPORT SCHLIESSERDATEN'!$AG123&lt;&gt;"","S",IF('IMPORT SCHLIESSERDATEN'!$AH123&lt;&gt;"","I",IF('IMPORT SCHLIESSERDATEN'!$AI123&lt;&gt;"","B",IF('IMPORT SCHLIESSERDATEN'!$AJ123&lt;&gt;"","D","")))))</f>
        <v>S</v>
      </c>
      <c r="E131" s="248" t="str">
        <f>'IMPORT SCHLIESSERDATEN'!AK123 &amp; IF('IMPORT SCHLIESSERDATEN'!AL123="",""," "&amp; 'IMPORT SCHLIESSERDATEN'!AL123)</f>
        <v>83 B</v>
      </c>
      <c r="F131" s="74">
        <f>IFERROR(IF(D131="X",2^(MATCH("",'IMPORT SCHLIESSERDATEN'!$AN123:$AU123,-1)-1),IF(AV131="F",2^(MATCH("",'IMPORT SCHLIESSERDATEN'!$BH123:$BK123,-1)-1),2^(MATCH("",'IMPORT SCHLIESSERDATEN'!$AV123:$BG123,-1)-1))),0)</f>
        <v>0</v>
      </c>
      <c r="G131" s="74">
        <f>IF(AND('IMPORT SCHLIESSERDATEN'!$O123='IMPORT SCHLIESSERDATEN'!$R123,'IMPORT SCHLIESSERDATEN'!$O123&lt;&gt;"",'IMPORT SCHLIESSERDATEN'!$R123&lt;&gt;""),1,0)  +  IF(AND('IMPORT SCHLIESSERDATEN'!$P123='IMPORT SCHLIESSERDATEN'!$S123,'IMPORT SCHLIESSERDATEN'!$P123&lt;&gt;"",'IMPORT SCHLIESSERDATEN'!$S123&lt;&gt;""),2,0)   +  IF(AND('IMPORT SCHLIESSERDATEN'!$O123='IMPORT SCHLIESSERDATEN'!$S123,'IMPORT SCHLIESSERDATEN'!$O123&lt;&gt;"",'IMPORT SCHLIESSERDATEN'!$S123&lt;&gt;""),4,0)   +  IF(AND('IMPORT SCHLIESSERDATEN'!$P123='IMPORT SCHLIESSERDATEN'!$R123,'IMPORT SCHLIESSERDATEN'!$P123&lt;&gt;"",'IMPORT SCHLIESSERDATEN'!$R123&lt;&gt;""),8,0)   +  IF('IMPORT SCHLIESSERDATEN'!$Q123&lt;&gt;"",IF('IMPORT SCHLIESSERDATEN'!$R123&lt;&gt;"",32,0) + IF('IMPORT SCHLIESSERDATEN'!$S123&lt;&gt;"",64,0),0)  +  IF('IMPORT SCHLIESSERDATEN'!$T123&lt;&gt;"",IF('IMPORT SCHLIESSERDATEN'!$Q123&lt;&gt;"",128+256,128),0)</f>
        <v>3</v>
      </c>
      <c r="H131" s="74">
        <f>IF('IMPORT SCHLIESSERDATEN'!$H123="",0,1) + IF('IMPORT SCHLIESSERDATEN'!$I123="",0,2) + IF('IMPORT SCHLIESSERDATEN'!$J123="",0,4) + IF('IMPORT SCHLIESSERDATEN'!$K123="",0,8) + IF('IMPORT SCHLIESSERDATEN'!$L123="",0,16) + IF('IMPORT SCHLIESSERDATEN'!$M123="",0,32) + IF('IMPORT SCHLIESSERDATEN'!$N123="",0,64)</f>
        <v>112</v>
      </c>
      <c r="I131" s="74">
        <f>IF('IMPORT SCHLIESSERDATEN'!$D123="",0,1) + IF('IMPORT SCHLIESSERDATEN'!$E123="",0,2) + IF('IMPORT SCHLIESSERDATEN'!$E123="S",4,0)</f>
        <v>1</v>
      </c>
      <c r="J131" s="74">
        <f>IF(ISERR(FIND(" Gangfl.",'IMPORT SCHLIESSERDATEN'!$B123)),IF(ISERR(FIND(" Standfl.",'IMPORT SCHLIESSERDATEN'!$B123)),0,2),1)</f>
        <v>0</v>
      </c>
      <c r="K131" s="74">
        <f>'IMPORT SCHLIESSERDATEN'!CL123</f>
        <v>102</v>
      </c>
      <c r="L131" s="74">
        <f>'IMPORT SCHLIESSERDATEN'!CN123</f>
        <v>8</v>
      </c>
      <c r="M131" s="74">
        <f>IF('IMPORT SCHLIESSERDATEN'!CS123="wie TS",-1,'IMPORT SCHLIESSERDATEN'!CS123)</f>
        <v>102</v>
      </c>
      <c r="N131" s="74">
        <f>IF(M131&lt;0,-1,'IMPORT SCHLIESSERDATEN'!CU123)</f>
        <v>8</v>
      </c>
      <c r="O131" s="74">
        <f>IF('IMPORT SCHLIESSERDATEN'!CZ123="wie TS",-1,'IMPORT SCHLIESSERDATEN'!CZ123)</f>
        <v>0</v>
      </c>
      <c r="P131" s="74">
        <f>IF(O131&lt;0,-1,'IMPORT SCHLIESSERDATEN'!DB123)</f>
        <v>0</v>
      </c>
      <c r="Q131" s="74">
        <f>'IMPORT SCHLIESSERDATEN'!DG123</f>
        <v>0</v>
      </c>
      <c r="R131" s="74">
        <f>'IMPORT SCHLIESSERDATEN'!DI123</f>
        <v>0</v>
      </c>
      <c r="S131" s="74">
        <f>'IMPORT SCHLIESSERDATEN'!DN123</f>
        <v>0</v>
      </c>
      <c r="T131" s="74">
        <f>IF('IMPORT SCHLIESSERDATEN'!DP123="V",9999,'IMPORT SCHLIESSERDATEN'!DP123)</f>
        <v>0</v>
      </c>
      <c r="U131" s="74">
        <f>'IMPORT SCHLIESSERDATEN'!BW123</f>
        <v>293</v>
      </c>
      <c r="V131" s="74">
        <f>'IMPORT SCHLIESSERDATEN'!BX123</f>
        <v>48</v>
      </c>
      <c r="W131" s="74">
        <f>'IMPORT SCHLIESSERDATEN'!BY123</f>
        <v>60</v>
      </c>
      <c r="X131" s="74">
        <f>'IMPORT SCHLIESSERDATEN'!CO123</f>
        <v>245</v>
      </c>
      <c r="Y131" s="74">
        <f>'IMPORT SCHLIESSERDATEN'!CQ123</f>
        <v>22</v>
      </c>
      <c r="Z131" s="74">
        <f>'IMPORT SCHLIESSERDATEN'!CV123</f>
        <v>245</v>
      </c>
      <c r="AA131" s="74">
        <f>'IMPORT SCHLIESSERDATEN'!CX123</f>
        <v>22</v>
      </c>
      <c r="AB131" s="74">
        <f>'IMPORT SCHLIESSERDATEN'!DC123</f>
        <v>0</v>
      </c>
      <c r="AC131" s="74">
        <f>'IMPORT SCHLIESSERDATEN'!DE123</f>
        <v>0</v>
      </c>
      <c r="AD131" s="74">
        <f>'IMPORT SCHLIESSERDATEN'!DJ123</f>
        <v>0</v>
      </c>
      <c r="AE131" s="74">
        <f>'IMPORT SCHLIESSERDATEN'!DL123</f>
        <v>0</v>
      </c>
      <c r="AF131" s="74">
        <f>'IMPORT SCHLIESSERDATEN'!DQ123</f>
        <v>0</v>
      </c>
      <c r="AG131" s="74">
        <f>IF('IMPORT SCHLIESSERDATEN'!DS123="V",9999,'IMPORT SCHLIESSERDATEN'!DS123)</f>
        <v>0</v>
      </c>
      <c r="AH131" s="74">
        <f>IF('IMPORT SCHLIESSERDATEN'!BZ123="V",9999,IF('IMPORT SCHLIESSERDATEN'!CD123="_",-1,'IMPORT SCHLIESSERDATEN'!BZ123))</f>
        <v>305</v>
      </c>
      <c r="AI131" s="74">
        <f>IF('IMPORT SCHLIESSERDATEN'!CA123="V",9999,IF('IMPORT SCHLIESSERDATEN'!CD123="_",-1,'IMPORT SCHLIESSERDATEN'!CA123))</f>
        <v>30</v>
      </c>
      <c r="AJ131" s="74">
        <f>IF('IMPORT SCHLIESSERDATEN'!CB123="V",9999,IF('IMPORT SCHLIESSERDATEN'!CD123="_",-1,'IMPORT SCHLIESSERDATEN'!CB123))</f>
        <v>20</v>
      </c>
      <c r="AK131" s="74">
        <f>IF('IMPORT SCHLIESSERDATEN'!CC123="V",9999,IF('IMPORT SCHLIESSERDATEN'!CC123="_",-1,'IMPORT SCHLIESSERDATEN'!CC123))</f>
        <v>0</v>
      </c>
      <c r="AL131" s="74">
        <f>IF('IMPORT SCHLIESSERDATEN'!CD123="_",-1,'IMPORT SCHLIESSERDATEN'!CD123)</f>
        <v>250</v>
      </c>
      <c r="AM131" s="74">
        <f>'IMPORT SCHLIESSERDATEN'!CH123</f>
        <v>92</v>
      </c>
      <c r="AN131" s="74">
        <f>IF('IMPORT SCHLIESSERDATEN'!CE123="V",9999,'IMPORT SCHLIESSERDATEN'!CE123)</f>
        <v>25</v>
      </c>
      <c r="AO131" s="74">
        <f>IF('IMPORT SCHLIESSERDATEN'!CK123="_",-1,'IMPORT SCHLIESSERDATEN'!CK123)</f>
        <v>-1</v>
      </c>
      <c r="AP131" s="74">
        <f>IF('IMPORT SCHLIESSERDATEN'!$U123="",0,1)</f>
        <v>0</v>
      </c>
      <c r="AQ131" s="74">
        <f>IF('IMPORT SCHLIESSERDATEN'!$V123="",0,1)</f>
        <v>0</v>
      </c>
      <c r="AR131" s="74">
        <f>IF('IMPORT SCHLIESSERDATEN'!$W123="",0,1)</f>
        <v>0</v>
      </c>
      <c r="AS131" s="74">
        <f>IF('IMPORT SCHLIESSERDATEN'!$AA123="",0,1)</f>
        <v>1</v>
      </c>
      <c r="AT131" s="74">
        <f>IF('IMPORT SCHLIESSERDATEN'!$AD123="",0,1) + IF('IMPORT SCHLIESSERDATEN'!$AE123="",0,2)</f>
        <v>0</v>
      </c>
      <c r="AU131" s="74" t="str">
        <f>IF('IMPORT SCHLIESSERDATEN'!$X123="",IF('IMPORT SCHLIESSERDATEN'!$Y123="","","F"),"V")</f>
        <v/>
      </c>
      <c r="AV131" s="74" t="str">
        <f>IF('IMPORT SCHLIESSERDATEN'!$AB123&lt;&gt;"","M",IF('IMPORT SCHLIESSERDATEN'!$AD123&lt;&gt;"",IF(ISERR(SEARCH("UVIBIS",'IMPORT SCHLIESSERDATEN'!$B123)),"R","B"),IF(OR('IMPORT SCHLIESSERDATEN'!$AC123&lt;&gt;"",'IMPORT SCHLIESSERDATEN'!$AE123&lt;&gt;""),"E","")))</f>
        <v>M</v>
      </c>
      <c r="AW131" s="82"/>
      <c r="AX131" s="67"/>
    </row>
    <row r="132" spans="1:50" x14ac:dyDescent="0.25">
      <c r="A132" s="67">
        <f>IFERROR(IF(C132&lt;&gt;"",MAX($A$2:$A131)+1,""),"")</f>
        <v>120</v>
      </c>
      <c r="B132" s="223">
        <f t="shared" si="2"/>
        <v>120</v>
      </c>
      <c r="C132" s="216" t="str">
        <f>IF(J132=1,SUBSTITUTE('IMPORT SCHLIESSERDATEN'!$B124," Gangfl.",""),IF(J132=2,SUBSTITUTE('IMPORT SCHLIESSERDATEN'!$B124," Standfl.",""),'IMPORT SCHLIESSERDATEN'!$B124))</f>
        <v>TS 83 SV EN 5-7</v>
      </c>
      <c r="D132" s="216" t="str">
        <f>IF('IMPORT SCHLIESSERDATEN'!$AF124&lt;&gt;"",IF(COUNTA('IMPORT SCHLIESSERDATEN'!$AN124:$AU124)&gt;0,"X","G"),IF('IMPORT SCHLIESSERDATEN'!$AG124&lt;&gt;"","S",IF('IMPORT SCHLIESSERDATEN'!$AH124&lt;&gt;"","I",IF('IMPORT SCHLIESSERDATEN'!$AI124&lt;&gt;"","B",IF('IMPORT SCHLIESSERDATEN'!$AJ124&lt;&gt;"","D","")))))</f>
        <v>S</v>
      </c>
      <c r="E132" s="248" t="str">
        <f>'IMPORT SCHLIESSERDATEN'!AK124 &amp; IF('IMPORT SCHLIESSERDATEN'!AL124="",""," "&amp; 'IMPORT SCHLIESSERDATEN'!AL124)</f>
        <v>83 B</v>
      </c>
      <c r="F132" s="74">
        <f>IFERROR(IF(D132="X",2^(MATCH("",'IMPORT SCHLIESSERDATEN'!$AN124:$AU124,-1)-1),IF(AV132="F",2^(MATCH("",'IMPORT SCHLIESSERDATEN'!$BH124:$BK124,-1)-1),2^(MATCH("",'IMPORT SCHLIESSERDATEN'!$AV124:$BG124,-1)-1))),0)</f>
        <v>0</v>
      </c>
      <c r="G132" s="74">
        <f>IF(AND('IMPORT SCHLIESSERDATEN'!$O124='IMPORT SCHLIESSERDATEN'!$R124,'IMPORT SCHLIESSERDATEN'!$O124&lt;&gt;"",'IMPORT SCHLIESSERDATEN'!$R124&lt;&gt;""),1,0)  +  IF(AND('IMPORT SCHLIESSERDATEN'!$P124='IMPORT SCHLIESSERDATEN'!$S124,'IMPORT SCHLIESSERDATEN'!$P124&lt;&gt;"",'IMPORT SCHLIESSERDATEN'!$S124&lt;&gt;""),2,0)   +  IF(AND('IMPORT SCHLIESSERDATEN'!$O124='IMPORT SCHLIESSERDATEN'!$S124,'IMPORT SCHLIESSERDATEN'!$O124&lt;&gt;"",'IMPORT SCHLIESSERDATEN'!$S124&lt;&gt;""),4,0)   +  IF(AND('IMPORT SCHLIESSERDATEN'!$P124='IMPORT SCHLIESSERDATEN'!$R124,'IMPORT SCHLIESSERDATEN'!$P124&lt;&gt;"",'IMPORT SCHLIESSERDATEN'!$R124&lt;&gt;""),8,0)   +  IF('IMPORT SCHLIESSERDATEN'!$Q124&lt;&gt;"",IF('IMPORT SCHLIESSERDATEN'!$R124&lt;&gt;"",32,0) + IF('IMPORT SCHLIESSERDATEN'!$S124&lt;&gt;"",64,0),0)  +  IF('IMPORT SCHLIESSERDATEN'!$T124&lt;&gt;"",IF('IMPORT SCHLIESSERDATEN'!$Q124&lt;&gt;"",128+256,128),0)</f>
        <v>3</v>
      </c>
      <c r="H132" s="74">
        <f>IF('IMPORT SCHLIESSERDATEN'!$H124="",0,1) + IF('IMPORT SCHLIESSERDATEN'!$I124="",0,2) + IF('IMPORT SCHLIESSERDATEN'!$J124="",0,4) + IF('IMPORT SCHLIESSERDATEN'!$K124="",0,8) + IF('IMPORT SCHLIESSERDATEN'!$L124="",0,16) + IF('IMPORT SCHLIESSERDATEN'!$M124="",0,32) + IF('IMPORT SCHLIESSERDATEN'!$N124="",0,64)</f>
        <v>112</v>
      </c>
      <c r="I132" s="74">
        <f>IF('IMPORT SCHLIESSERDATEN'!$D124="",0,1) + IF('IMPORT SCHLIESSERDATEN'!$E124="",0,2) + IF('IMPORT SCHLIESSERDATEN'!$E124="S",4,0)</f>
        <v>1</v>
      </c>
      <c r="J132" s="74">
        <f>IF(ISERR(FIND(" Gangfl.",'IMPORT SCHLIESSERDATEN'!$B124)),IF(ISERR(FIND(" Standfl.",'IMPORT SCHLIESSERDATEN'!$B124)),0,2),1)</f>
        <v>0</v>
      </c>
      <c r="K132" s="74">
        <f>'IMPORT SCHLIESSERDATEN'!CL124</f>
        <v>102</v>
      </c>
      <c r="L132" s="74">
        <f>'IMPORT SCHLIESSERDATEN'!CN124</f>
        <v>8</v>
      </c>
      <c r="M132" s="74">
        <f>IF('IMPORT SCHLIESSERDATEN'!CS124="wie TS",-1,'IMPORT SCHLIESSERDATEN'!CS124)</f>
        <v>102</v>
      </c>
      <c r="N132" s="74">
        <f>IF(M132&lt;0,-1,'IMPORT SCHLIESSERDATEN'!CU124)</f>
        <v>8</v>
      </c>
      <c r="O132" s="74">
        <f>IF('IMPORT SCHLIESSERDATEN'!CZ124="wie TS",-1,'IMPORT SCHLIESSERDATEN'!CZ124)</f>
        <v>0</v>
      </c>
      <c r="P132" s="74">
        <f>IF(O132&lt;0,-1,'IMPORT SCHLIESSERDATEN'!DB124)</f>
        <v>0</v>
      </c>
      <c r="Q132" s="74">
        <f>'IMPORT SCHLIESSERDATEN'!DG124</f>
        <v>0</v>
      </c>
      <c r="R132" s="74">
        <f>'IMPORT SCHLIESSERDATEN'!DI124</f>
        <v>0</v>
      </c>
      <c r="S132" s="74">
        <f>'IMPORT SCHLIESSERDATEN'!DN124</f>
        <v>0</v>
      </c>
      <c r="T132" s="74">
        <f>IF('IMPORT SCHLIESSERDATEN'!DP124="V",9999,'IMPORT SCHLIESSERDATEN'!DP124)</f>
        <v>0</v>
      </c>
      <c r="U132" s="74">
        <f>'IMPORT SCHLIESSERDATEN'!BW124</f>
        <v>293</v>
      </c>
      <c r="V132" s="74">
        <f>'IMPORT SCHLIESSERDATEN'!BX124</f>
        <v>48</v>
      </c>
      <c r="W132" s="74">
        <f>'IMPORT SCHLIESSERDATEN'!BY124</f>
        <v>60</v>
      </c>
      <c r="X132" s="74">
        <f>'IMPORT SCHLIESSERDATEN'!CO124</f>
        <v>245</v>
      </c>
      <c r="Y132" s="74">
        <f>'IMPORT SCHLIESSERDATEN'!CQ124</f>
        <v>22</v>
      </c>
      <c r="Z132" s="74">
        <f>'IMPORT SCHLIESSERDATEN'!CV124</f>
        <v>245</v>
      </c>
      <c r="AA132" s="74">
        <f>'IMPORT SCHLIESSERDATEN'!CX124</f>
        <v>22</v>
      </c>
      <c r="AB132" s="74">
        <f>'IMPORT SCHLIESSERDATEN'!DC124</f>
        <v>0</v>
      </c>
      <c r="AC132" s="74">
        <f>'IMPORT SCHLIESSERDATEN'!DE124</f>
        <v>0</v>
      </c>
      <c r="AD132" s="74">
        <f>'IMPORT SCHLIESSERDATEN'!DJ124</f>
        <v>0</v>
      </c>
      <c r="AE132" s="74">
        <f>'IMPORT SCHLIESSERDATEN'!DL124</f>
        <v>0</v>
      </c>
      <c r="AF132" s="74">
        <f>'IMPORT SCHLIESSERDATEN'!DQ124</f>
        <v>0</v>
      </c>
      <c r="AG132" s="74">
        <f>IF('IMPORT SCHLIESSERDATEN'!DS124="V",9999,'IMPORT SCHLIESSERDATEN'!DS124)</f>
        <v>0</v>
      </c>
      <c r="AH132" s="74">
        <f>IF('IMPORT SCHLIESSERDATEN'!BZ124="V",9999,IF('IMPORT SCHLIESSERDATEN'!CD124="_",-1,'IMPORT SCHLIESSERDATEN'!BZ124))</f>
        <v>305</v>
      </c>
      <c r="AI132" s="74">
        <f>IF('IMPORT SCHLIESSERDATEN'!CA124="V",9999,IF('IMPORT SCHLIESSERDATEN'!CD124="_",-1,'IMPORT SCHLIESSERDATEN'!CA124))</f>
        <v>20</v>
      </c>
      <c r="AJ132" s="74">
        <f>IF('IMPORT SCHLIESSERDATEN'!CB124="V",9999,IF('IMPORT SCHLIESSERDATEN'!CD124="_",-1,'IMPORT SCHLIESSERDATEN'!CB124))</f>
        <v>20</v>
      </c>
      <c r="AK132" s="74">
        <f>IF('IMPORT SCHLIESSERDATEN'!CC124="V",9999,IF('IMPORT SCHLIESSERDATEN'!CC124="_",-1,'IMPORT SCHLIESSERDATEN'!CC124))</f>
        <v>0</v>
      </c>
      <c r="AL132" s="74">
        <f>IF('IMPORT SCHLIESSERDATEN'!CD124="_",-1,'IMPORT SCHLIESSERDATEN'!CD124)</f>
        <v>250</v>
      </c>
      <c r="AM132" s="74">
        <f>'IMPORT SCHLIESSERDATEN'!CH124</f>
        <v>92</v>
      </c>
      <c r="AN132" s="74">
        <f>IF('IMPORT SCHLIESSERDATEN'!CE124="V",9999,'IMPORT SCHLIESSERDATEN'!CE124)</f>
        <v>25</v>
      </c>
      <c r="AO132" s="74">
        <f>IF('IMPORT SCHLIESSERDATEN'!CK124="_",-1,'IMPORT SCHLIESSERDATEN'!CK124)</f>
        <v>-1</v>
      </c>
      <c r="AP132" s="74">
        <f>IF('IMPORT SCHLIESSERDATEN'!$U124="",0,1)</f>
        <v>1</v>
      </c>
      <c r="AQ132" s="74">
        <f>IF('IMPORT SCHLIESSERDATEN'!$V124="",0,1)</f>
        <v>0</v>
      </c>
      <c r="AR132" s="74">
        <f>IF('IMPORT SCHLIESSERDATEN'!$W124="",0,1)</f>
        <v>0</v>
      </c>
      <c r="AS132" s="74">
        <f>IF('IMPORT SCHLIESSERDATEN'!$AA124="",0,1)</f>
        <v>1</v>
      </c>
      <c r="AT132" s="74">
        <f>IF('IMPORT SCHLIESSERDATEN'!$AD124="",0,1) + IF('IMPORT SCHLIESSERDATEN'!$AE124="",0,2)</f>
        <v>0</v>
      </c>
      <c r="AU132" s="74" t="str">
        <f>IF('IMPORT SCHLIESSERDATEN'!$X124="",IF('IMPORT SCHLIESSERDATEN'!$Y124="","","F"),"V")</f>
        <v>V</v>
      </c>
      <c r="AV132" s="74" t="str">
        <f>IF('IMPORT SCHLIESSERDATEN'!$AB124&lt;&gt;"","M",IF('IMPORT SCHLIESSERDATEN'!$AD124&lt;&gt;"",IF(ISERR(SEARCH("UVIBIS",'IMPORT SCHLIESSERDATEN'!$B124)),"R","B"),IF(OR('IMPORT SCHLIESSERDATEN'!$AC124&lt;&gt;"",'IMPORT SCHLIESSERDATEN'!$AE124&lt;&gt;""),"E","")))</f>
        <v/>
      </c>
      <c r="AW132" s="82"/>
      <c r="AX132" s="67"/>
    </row>
    <row r="133" spans="1:50" x14ac:dyDescent="0.25">
      <c r="A133" s="67">
        <f>IFERROR(IF(C133&lt;&gt;"",MAX($A$2:$A132)+1,""),"")</f>
        <v>121</v>
      </c>
      <c r="B133" s="223">
        <f t="shared" si="2"/>
        <v>121</v>
      </c>
      <c r="C133" s="216" t="str">
        <f>IF(J133=1,SUBSTITUTE('IMPORT SCHLIESSERDATEN'!$B125," Gangfl.",""),IF(J133=2,SUBSTITUTE('IMPORT SCHLIESSERDATEN'!$B125," Standfl.",""),'IMPORT SCHLIESSERDATEN'!$B125))</f>
        <v>ITS 96 EN 2-4</v>
      </c>
      <c r="D133" s="216" t="str">
        <f>IF('IMPORT SCHLIESSERDATEN'!$AF125&lt;&gt;"",IF(COUNTA('IMPORT SCHLIESSERDATEN'!$AN125:$AU125)&gt;0,"X","G"),IF('IMPORT SCHLIESSERDATEN'!$AG125&lt;&gt;"","S",IF('IMPORT SCHLIESSERDATEN'!$AH125&lt;&gt;"","I",IF('IMPORT SCHLIESSERDATEN'!$AI125&lt;&gt;"","B",IF('IMPORT SCHLIESSERDATEN'!$AJ125&lt;&gt;"","D","")))))</f>
        <v>I</v>
      </c>
      <c r="E133" s="248" t="str">
        <f>'IMPORT SCHLIESSERDATEN'!AK125 &amp; IF('IMPORT SCHLIESSERDATEN'!AL125="",""," "&amp; 'IMPORT SCHLIESSERDATEN'!AL125)</f>
        <v>96</v>
      </c>
      <c r="F133" s="74">
        <f>IFERROR(IF(D133="X",2^(MATCH("",'IMPORT SCHLIESSERDATEN'!$AN125:$AU125,-1)-1),IF(AV133="F",2^(MATCH("",'IMPORT SCHLIESSERDATEN'!$BH125:$BK125,-1)-1),2^(MATCH("",'IMPORT SCHLIESSERDATEN'!$AV125:$BG125,-1)-1))),0)</f>
        <v>1</v>
      </c>
      <c r="G133" s="74">
        <f>IF(AND('IMPORT SCHLIESSERDATEN'!$O125='IMPORT SCHLIESSERDATEN'!$R125,'IMPORT SCHLIESSERDATEN'!$O125&lt;&gt;"",'IMPORT SCHLIESSERDATEN'!$R125&lt;&gt;""),1,0)  +  IF(AND('IMPORT SCHLIESSERDATEN'!$P125='IMPORT SCHLIESSERDATEN'!$S125,'IMPORT SCHLIESSERDATEN'!$P125&lt;&gt;"",'IMPORT SCHLIESSERDATEN'!$S125&lt;&gt;""),2,0)   +  IF(AND('IMPORT SCHLIESSERDATEN'!$O125='IMPORT SCHLIESSERDATEN'!$S125,'IMPORT SCHLIESSERDATEN'!$O125&lt;&gt;"",'IMPORT SCHLIESSERDATEN'!$S125&lt;&gt;""),4,0)   +  IF(AND('IMPORT SCHLIESSERDATEN'!$P125='IMPORT SCHLIESSERDATEN'!$R125,'IMPORT SCHLIESSERDATEN'!$P125&lt;&gt;"",'IMPORT SCHLIESSERDATEN'!$R125&lt;&gt;""),8,0)   +  IF('IMPORT SCHLIESSERDATEN'!$Q125&lt;&gt;"",IF('IMPORT SCHLIESSERDATEN'!$R125&lt;&gt;"",32,0) + IF('IMPORT SCHLIESSERDATEN'!$S125&lt;&gt;"",64,0),0)  +  IF('IMPORT SCHLIESSERDATEN'!$T125&lt;&gt;"",IF('IMPORT SCHLIESSERDATEN'!$Q125&lt;&gt;"",128+256,128),0)</f>
        <v>96</v>
      </c>
      <c r="H133" s="74">
        <f>IF('IMPORT SCHLIESSERDATEN'!$H125="",0,1) + IF('IMPORT SCHLIESSERDATEN'!$I125="",0,2) + IF('IMPORT SCHLIESSERDATEN'!$J125="",0,4) + IF('IMPORT SCHLIESSERDATEN'!$K125="",0,8) + IF('IMPORT SCHLIESSERDATEN'!$L125="",0,16) + IF('IMPORT SCHLIESSERDATEN'!$M125="",0,32) + IF('IMPORT SCHLIESSERDATEN'!$N125="",0,64)</f>
        <v>14</v>
      </c>
      <c r="I133" s="74">
        <f>IF('IMPORT SCHLIESSERDATEN'!$D125="",0,1) + IF('IMPORT SCHLIESSERDATEN'!$E125="",0,2) + IF('IMPORT SCHLIESSERDATEN'!$E125="S",4,0)</f>
        <v>1</v>
      </c>
      <c r="J133" s="74">
        <f>IF(ISERR(FIND(" Gangfl.",'IMPORT SCHLIESSERDATEN'!$B125)),IF(ISERR(FIND(" Standfl.",'IMPORT SCHLIESSERDATEN'!$B125)),0,2),1)</f>
        <v>0</v>
      </c>
      <c r="K133" s="74">
        <f>'IMPORT SCHLIESSERDATEN'!CL125</f>
        <v>73</v>
      </c>
      <c r="L133" s="74">
        <f>'IMPORT SCHLIESSERDATEN'!CN125</f>
        <v>8.5</v>
      </c>
      <c r="M133" s="74">
        <f>IF('IMPORT SCHLIESSERDATEN'!CS125="wie TS",-1,'IMPORT SCHLIESSERDATEN'!CS125)</f>
        <v>73</v>
      </c>
      <c r="N133" s="74">
        <f>IF(M133&lt;0,-1,'IMPORT SCHLIESSERDATEN'!CU125)</f>
        <v>3</v>
      </c>
      <c r="O133" s="74">
        <f>IF('IMPORT SCHLIESSERDATEN'!CZ125="wie TS",-1,'IMPORT SCHLIESSERDATEN'!CZ125)</f>
        <v>0</v>
      </c>
      <c r="P133" s="74">
        <f>IF(O133&lt;0,-1,'IMPORT SCHLIESSERDATEN'!DB125)</f>
        <v>0</v>
      </c>
      <c r="Q133" s="74">
        <f>'IMPORT SCHLIESSERDATEN'!DG125</f>
        <v>0</v>
      </c>
      <c r="R133" s="74">
        <f>'IMPORT SCHLIESSERDATEN'!DI125</f>
        <v>0</v>
      </c>
      <c r="S133" s="74">
        <f>'IMPORT SCHLIESSERDATEN'!DN125</f>
        <v>0</v>
      </c>
      <c r="T133" s="74">
        <f>IF('IMPORT SCHLIESSERDATEN'!DP125="V",9999,'IMPORT SCHLIESSERDATEN'!DP125)</f>
        <v>0</v>
      </c>
      <c r="U133" s="74">
        <f>'IMPORT SCHLIESSERDATEN'!BW125</f>
        <v>338</v>
      </c>
      <c r="V133" s="74">
        <f>'IMPORT SCHLIESSERDATEN'!BX125</f>
        <v>32</v>
      </c>
      <c r="W133" s="74">
        <f>'IMPORT SCHLIESSERDATEN'!BY125</f>
        <v>45</v>
      </c>
      <c r="X133" s="74">
        <f>'IMPORT SCHLIESSERDATEN'!CO125</f>
        <v>145</v>
      </c>
      <c r="Y133" s="74">
        <f>'IMPORT SCHLIESSERDATEN'!CQ125</f>
        <v>0</v>
      </c>
      <c r="Z133" s="74">
        <f>'IMPORT SCHLIESSERDATEN'!CV125</f>
        <v>145</v>
      </c>
      <c r="AA133" s="74">
        <f>'IMPORT SCHLIESSERDATEN'!CX125</f>
        <v>11.5</v>
      </c>
      <c r="AB133" s="74">
        <f>'IMPORT SCHLIESSERDATEN'!DC125</f>
        <v>0</v>
      </c>
      <c r="AC133" s="74">
        <f>'IMPORT SCHLIESSERDATEN'!DE125</f>
        <v>0</v>
      </c>
      <c r="AD133" s="74">
        <f>'IMPORT SCHLIESSERDATEN'!DJ125</f>
        <v>0</v>
      </c>
      <c r="AE133" s="74">
        <f>'IMPORT SCHLIESSERDATEN'!DL125</f>
        <v>0</v>
      </c>
      <c r="AF133" s="74">
        <f>'IMPORT SCHLIESSERDATEN'!DQ125</f>
        <v>0</v>
      </c>
      <c r="AG133" s="74">
        <f>IF('IMPORT SCHLIESSERDATEN'!DS125="V",9999,'IMPORT SCHLIESSERDATEN'!DS125)</f>
        <v>0</v>
      </c>
      <c r="AH133" s="74">
        <f>IF('IMPORT SCHLIESSERDATEN'!BZ125="V",9999,IF('IMPORT SCHLIESSERDATEN'!CD125="_",-1,'IMPORT SCHLIESSERDATEN'!BZ125))</f>
        <v>440</v>
      </c>
      <c r="AI133" s="74">
        <f>IF('IMPORT SCHLIESSERDATEN'!CA125="V",9999,IF('IMPORT SCHLIESSERDATEN'!CD125="_",-1,'IMPORT SCHLIESSERDATEN'!CA125))</f>
        <v>12</v>
      </c>
      <c r="AJ133" s="74">
        <f>IF('IMPORT SCHLIESSERDATEN'!CB125="V",9999,IF('IMPORT SCHLIESSERDATEN'!CD125="_",-1,'IMPORT SCHLIESSERDATEN'!CB125))</f>
        <v>20</v>
      </c>
      <c r="AK133" s="74">
        <f>IF('IMPORT SCHLIESSERDATEN'!CC125="V",9999,IF('IMPORT SCHLIESSERDATEN'!CC125="_",-1,'IMPORT SCHLIESSERDATEN'!CC125))</f>
        <v>9999</v>
      </c>
      <c r="AL133" s="74">
        <f>IF('IMPORT SCHLIESSERDATEN'!CD125="_",-1,'IMPORT SCHLIESSERDATEN'!CD125)</f>
        <v>375</v>
      </c>
      <c r="AM133" s="74">
        <f>'IMPORT SCHLIESSERDATEN'!CH125</f>
        <v>102</v>
      </c>
      <c r="AN133" s="74">
        <f>IF('IMPORT SCHLIESSERDATEN'!CE125="V",9999,'IMPORT SCHLIESSERDATEN'!CE125)</f>
        <v>9999</v>
      </c>
      <c r="AO133" s="74">
        <f>IF('IMPORT SCHLIESSERDATEN'!CK125="_",-1,'IMPORT SCHLIESSERDATEN'!CK125)</f>
        <v>90</v>
      </c>
      <c r="AP133" s="74">
        <f>IF('IMPORT SCHLIESSERDATEN'!$U125="",0,1)</f>
        <v>1</v>
      </c>
      <c r="AQ133" s="74">
        <f>IF('IMPORT SCHLIESSERDATEN'!$V125="",0,1)</f>
        <v>1</v>
      </c>
      <c r="AR133" s="74">
        <f>IF('IMPORT SCHLIESSERDATEN'!$W125="",0,1)</f>
        <v>0</v>
      </c>
      <c r="AS133" s="74">
        <f>IF('IMPORT SCHLIESSERDATEN'!$AA125="",0,1)</f>
        <v>0</v>
      </c>
      <c r="AT133" s="74">
        <f>IF('IMPORT SCHLIESSERDATEN'!$AD125="",0,1) + IF('IMPORT SCHLIESSERDATEN'!$AE125="",0,2)</f>
        <v>0</v>
      </c>
      <c r="AU133" s="74" t="str">
        <f>IF('IMPORT SCHLIESSERDATEN'!$X125="",IF('IMPORT SCHLIESSERDATEN'!$Y125="","","F"),"V")</f>
        <v/>
      </c>
      <c r="AV133" s="74" t="str">
        <f>IF('IMPORT SCHLIESSERDATEN'!$AB125&lt;&gt;"","M",IF('IMPORT SCHLIESSERDATEN'!$AD125&lt;&gt;"",IF(ISERR(SEARCH("UVIBIS",'IMPORT SCHLIESSERDATEN'!$B125)),"R","B"),IF(OR('IMPORT SCHLIESSERDATEN'!$AC125&lt;&gt;"",'IMPORT SCHLIESSERDATEN'!$AE125&lt;&gt;""),"E","")))</f>
        <v/>
      </c>
      <c r="AW133" s="82"/>
      <c r="AX133" s="67"/>
    </row>
    <row r="134" spans="1:50" x14ac:dyDescent="0.25">
      <c r="A134" s="67">
        <f>IFERROR(IF(C134&lt;&gt;"",MAX($A$2:$A133)+1,""),"")</f>
        <v>122</v>
      </c>
      <c r="B134" s="223">
        <f t="shared" si="2"/>
        <v>122</v>
      </c>
      <c r="C134" s="216" t="str">
        <f>IF(J134=1,SUBSTITUTE('IMPORT SCHLIESSERDATEN'!$B126," Gangfl.",""),IF(J134=2,SUBSTITUTE('IMPORT SCHLIESSERDATEN'!$B126," Standfl.",""),'IMPORT SCHLIESSERDATEN'!$B126))</f>
        <v>ITS 96 RF EN 2-4</v>
      </c>
      <c r="D134" s="216" t="str">
        <f>IF('IMPORT SCHLIESSERDATEN'!$AF126&lt;&gt;"",IF(COUNTA('IMPORT SCHLIESSERDATEN'!$AN126:$AU126)&gt;0,"X","G"),IF('IMPORT SCHLIESSERDATEN'!$AG126&lt;&gt;"","S",IF('IMPORT SCHLIESSERDATEN'!$AH126&lt;&gt;"","I",IF('IMPORT SCHLIESSERDATEN'!$AI126&lt;&gt;"","B",IF('IMPORT SCHLIESSERDATEN'!$AJ126&lt;&gt;"","D","")))))</f>
        <v>I</v>
      </c>
      <c r="E134" s="248" t="str">
        <f>'IMPORT SCHLIESSERDATEN'!AK126 &amp; IF('IMPORT SCHLIESSERDATEN'!AL126="",""," "&amp; 'IMPORT SCHLIESSERDATEN'!AL126)</f>
        <v>96</v>
      </c>
      <c r="F134" s="74">
        <f>IFERROR(IF(D134="X",2^(MATCH("",'IMPORT SCHLIESSERDATEN'!$AN126:$AU126,-1)-1),IF(AV134="F",2^(MATCH("",'IMPORT SCHLIESSERDATEN'!$BH126:$BK126,-1)-1),2^(MATCH("",'IMPORT SCHLIESSERDATEN'!$AV126:$BG126,-1)-1))),0)</f>
        <v>2</v>
      </c>
      <c r="G134" s="74">
        <f>IF(AND('IMPORT SCHLIESSERDATEN'!$O126='IMPORT SCHLIESSERDATEN'!$R126,'IMPORT SCHLIESSERDATEN'!$O126&lt;&gt;"",'IMPORT SCHLIESSERDATEN'!$R126&lt;&gt;""),1,0)  +  IF(AND('IMPORT SCHLIESSERDATEN'!$P126='IMPORT SCHLIESSERDATEN'!$S126,'IMPORT SCHLIESSERDATEN'!$P126&lt;&gt;"",'IMPORT SCHLIESSERDATEN'!$S126&lt;&gt;""),2,0)   +  IF(AND('IMPORT SCHLIESSERDATEN'!$O126='IMPORT SCHLIESSERDATEN'!$S126,'IMPORT SCHLIESSERDATEN'!$O126&lt;&gt;"",'IMPORT SCHLIESSERDATEN'!$S126&lt;&gt;""),4,0)   +  IF(AND('IMPORT SCHLIESSERDATEN'!$P126='IMPORT SCHLIESSERDATEN'!$R126,'IMPORT SCHLIESSERDATEN'!$P126&lt;&gt;"",'IMPORT SCHLIESSERDATEN'!$R126&lt;&gt;""),8,0)   +  IF('IMPORT SCHLIESSERDATEN'!$Q126&lt;&gt;"",IF('IMPORT SCHLIESSERDATEN'!$R126&lt;&gt;"",32,0) + IF('IMPORT SCHLIESSERDATEN'!$S126&lt;&gt;"",64,0),0)  +  IF('IMPORT SCHLIESSERDATEN'!$T126&lt;&gt;"",IF('IMPORT SCHLIESSERDATEN'!$Q126&lt;&gt;"",128+256,128),0)</f>
        <v>96</v>
      </c>
      <c r="H134" s="74">
        <f>IF('IMPORT SCHLIESSERDATEN'!$H126="",0,1) + IF('IMPORT SCHLIESSERDATEN'!$I126="",0,2) + IF('IMPORT SCHLIESSERDATEN'!$J126="",0,4) + IF('IMPORT SCHLIESSERDATEN'!$K126="",0,8) + IF('IMPORT SCHLIESSERDATEN'!$L126="",0,16) + IF('IMPORT SCHLIESSERDATEN'!$M126="",0,32) + IF('IMPORT SCHLIESSERDATEN'!$N126="",0,64)</f>
        <v>14</v>
      </c>
      <c r="I134" s="74">
        <f>IF('IMPORT SCHLIESSERDATEN'!$D126="",0,1) + IF('IMPORT SCHLIESSERDATEN'!$E126="",0,2) + IF('IMPORT SCHLIESSERDATEN'!$E126="S",4,0)</f>
        <v>1</v>
      </c>
      <c r="J134" s="74">
        <f>IF(ISERR(FIND(" Gangfl.",'IMPORT SCHLIESSERDATEN'!$B126)),IF(ISERR(FIND(" Standfl.",'IMPORT SCHLIESSERDATEN'!$B126)),0,2),1)</f>
        <v>0</v>
      </c>
      <c r="K134" s="74">
        <f>'IMPORT SCHLIESSERDATEN'!CL126</f>
        <v>73</v>
      </c>
      <c r="L134" s="74">
        <f>'IMPORT SCHLIESSERDATEN'!CN126</f>
        <v>8.5</v>
      </c>
      <c r="M134" s="74">
        <f>IF('IMPORT SCHLIESSERDATEN'!CS126="wie TS",-1,'IMPORT SCHLIESSERDATEN'!CS126)</f>
        <v>73</v>
      </c>
      <c r="N134" s="74">
        <f>IF(M134&lt;0,-1,'IMPORT SCHLIESSERDATEN'!CU126)</f>
        <v>3</v>
      </c>
      <c r="O134" s="74">
        <f>IF('IMPORT SCHLIESSERDATEN'!CZ126="wie TS",-1,'IMPORT SCHLIESSERDATEN'!CZ126)</f>
        <v>0</v>
      </c>
      <c r="P134" s="74">
        <f>IF(O134&lt;0,-1,'IMPORT SCHLIESSERDATEN'!DB126)</f>
        <v>0</v>
      </c>
      <c r="Q134" s="74">
        <f>'IMPORT SCHLIESSERDATEN'!DG126</f>
        <v>0</v>
      </c>
      <c r="R134" s="74">
        <f>'IMPORT SCHLIESSERDATEN'!DI126</f>
        <v>0</v>
      </c>
      <c r="S134" s="74">
        <f>'IMPORT SCHLIESSERDATEN'!DN126</f>
        <v>0</v>
      </c>
      <c r="T134" s="74">
        <f>IF('IMPORT SCHLIESSERDATEN'!DP126="V",9999,'IMPORT SCHLIESSERDATEN'!DP126)</f>
        <v>0</v>
      </c>
      <c r="U134" s="74">
        <f>'IMPORT SCHLIESSERDATEN'!BW126</f>
        <v>338</v>
      </c>
      <c r="V134" s="74">
        <f>'IMPORT SCHLIESSERDATEN'!BX126</f>
        <v>32</v>
      </c>
      <c r="W134" s="74">
        <f>'IMPORT SCHLIESSERDATEN'!BY126</f>
        <v>45</v>
      </c>
      <c r="X134" s="74">
        <f>'IMPORT SCHLIESSERDATEN'!CO126</f>
        <v>145</v>
      </c>
      <c r="Y134" s="74">
        <f>'IMPORT SCHLIESSERDATEN'!CQ126</f>
        <v>0</v>
      </c>
      <c r="Z134" s="74">
        <f>'IMPORT SCHLIESSERDATEN'!CV126</f>
        <v>145</v>
      </c>
      <c r="AA134" s="74">
        <f>'IMPORT SCHLIESSERDATEN'!CX126</f>
        <v>11.5</v>
      </c>
      <c r="AB134" s="74">
        <f>'IMPORT SCHLIESSERDATEN'!DC126</f>
        <v>0</v>
      </c>
      <c r="AC134" s="74">
        <f>'IMPORT SCHLIESSERDATEN'!DE126</f>
        <v>0</v>
      </c>
      <c r="AD134" s="74">
        <f>'IMPORT SCHLIESSERDATEN'!DJ126</f>
        <v>0</v>
      </c>
      <c r="AE134" s="74">
        <f>'IMPORT SCHLIESSERDATEN'!DL126</f>
        <v>0</v>
      </c>
      <c r="AF134" s="74">
        <f>'IMPORT SCHLIESSERDATEN'!DQ126</f>
        <v>0</v>
      </c>
      <c r="AG134" s="74">
        <f>IF('IMPORT SCHLIESSERDATEN'!DS126="V",9999,'IMPORT SCHLIESSERDATEN'!DS126)</f>
        <v>0</v>
      </c>
      <c r="AH134" s="74">
        <f>IF('IMPORT SCHLIESSERDATEN'!BZ126="V",9999,IF('IMPORT SCHLIESSERDATEN'!CD126="_",-1,'IMPORT SCHLIESSERDATEN'!BZ126))</f>
        <v>440</v>
      </c>
      <c r="AI134" s="74">
        <f>IF('IMPORT SCHLIESSERDATEN'!CA126="V",9999,IF('IMPORT SCHLIESSERDATEN'!CD126="_",-1,'IMPORT SCHLIESSERDATEN'!CA126))</f>
        <v>12</v>
      </c>
      <c r="AJ134" s="74">
        <f>IF('IMPORT SCHLIESSERDATEN'!CB126="V",9999,IF('IMPORT SCHLIESSERDATEN'!CD126="_",-1,'IMPORT SCHLIESSERDATEN'!CB126))</f>
        <v>20</v>
      </c>
      <c r="AK134" s="74">
        <f>IF('IMPORT SCHLIESSERDATEN'!CC126="V",9999,IF('IMPORT SCHLIESSERDATEN'!CC126="_",-1,'IMPORT SCHLIESSERDATEN'!CC126))</f>
        <v>9999</v>
      </c>
      <c r="AL134" s="74">
        <f>IF('IMPORT SCHLIESSERDATEN'!CD126="_",-1,'IMPORT SCHLIESSERDATEN'!CD126)</f>
        <v>375</v>
      </c>
      <c r="AM134" s="74">
        <f>'IMPORT SCHLIESSERDATEN'!CH126</f>
        <v>102</v>
      </c>
      <c r="AN134" s="74">
        <f>IF('IMPORT SCHLIESSERDATEN'!CE126="V",9999,'IMPORT SCHLIESSERDATEN'!CE126)</f>
        <v>9999</v>
      </c>
      <c r="AO134" s="74">
        <f>IF('IMPORT SCHLIESSERDATEN'!CK126="_",-1,'IMPORT SCHLIESSERDATEN'!CK126)</f>
        <v>90</v>
      </c>
      <c r="AP134" s="74">
        <f>IF('IMPORT SCHLIESSERDATEN'!$U126="",0,1)</f>
        <v>0</v>
      </c>
      <c r="AQ134" s="74">
        <f>IF('IMPORT SCHLIESSERDATEN'!$V126="",0,1)</f>
        <v>1</v>
      </c>
      <c r="AR134" s="74">
        <f>IF('IMPORT SCHLIESSERDATEN'!$W126="",0,1)</f>
        <v>0</v>
      </c>
      <c r="AS134" s="74">
        <f>IF('IMPORT SCHLIESSERDATEN'!$AA126="",0,1)</f>
        <v>0</v>
      </c>
      <c r="AT134" s="74">
        <f>IF('IMPORT SCHLIESSERDATEN'!$AD126="",0,1) + IF('IMPORT SCHLIESSERDATEN'!$AE126="",0,2)</f>
        <v>0</v>
      </c>
      <c r="AU134" s="74" t="str">
        <f>IF('IMPORT SCHLIESSERDATEN'!$X126="",IF('IMPORT SCHLIESSERDATEN'!$Y126="","","F"),"V")</f>
        <v/>
      </c>
      <c r="AV134" s="74" t="str">
        <f>IF('IMPORT SCHLIESSERDATEN'!$AB126&lt;&gt;"","M",IF('IMPORT SCHLIESSERDATEN'!$AD126&lt;&gt;"",IF(ISERR(SEARCH("UVIBIS",'IMPORT SCHLIESSERDATEN'!$B126)),"R","B"),IF(OR('IMPORT SCHLIESSERDATEN'!$AC126&lt;&gt;"",'IMPORT SCHLIESSERDATEN'!$AE126&lt;&gt;""),"E","")))</f>
        <v>M</v>
      </c>
      <c r="AW134" s="82"/>
      <c r="AX134" s="67"/>
    </row>
    <row r="135" spans="1:50" x14ac:dyDescent="0.25">
      <c r="A135" s="67">
        <f>IFERROR(IF(C135&lt;&gt;"",MAX($A$2:$A134)+1,""),"")</f>
        <v>123</v>
      </c>
      <c r="B135" s="223">
        <f t="shared" si="2"/>
        <v>123</v>
      </c>
      <c r="C135" s="216" t="str">
        <f>IF(J135=1,SUBSTITUTE('IMPORT SCHLIESSERDATEN'!$B127," Gangfl.",""),IF(J135=2,SUBSTITUTE('IMPORT SCHLIESSERDATEN'!$B127," Standfl.",""),'IMPORT SCHLIESSERDATEN'!$B127))</f>
        <v>ITS 96 EMF EN 2-4</v>
      </c>
      <c r="D135" s="216" t="str">
        <f>IF('IMPORT SCHLIESSERDATEN'!$AF127&lt;&gt;"",IF(COUNTA('IMPORT SCHLIESSERDATEN'!$AN127:$AU127)&gt;0,"X","G"),IF('IMPORT SCHLIESSERDATEN'!$AG127&lt;&gt;"","S",IF('IMPORT SCHLIESSERDATEN'!$AH127&lt;&gt;"","I",IF('IMPORT SCHLIESSERDATEN'!$AI127&lt;&gt;"","B",IF('IMPORT SCHLIESSERDATEN'!$AJ127&lt;&gt;"","D","")))))</f>
        <v>I</v>
      </c>
      <c r="E135" s="248" t="str">
        <f>'IMPORT SCHLIESSERDATEN'!AK127 &amp; IF('IMPORT SCHLIESSERDATEN'!AL127="",""," "&amp; 'IMPORT SCHLIESSERDATEN'!AL127)</f>
        <v>96</v>
      </c>
      <c r="F135" s="74">
        <f>IFERROR(IF(D135="X",2^(MATCH("",'IMPORT SCHLIESSERDATEN'!$AN127:$AU127,-1)-1),IF(AV135="F",2^(MATCH("",'IMPORT SCHLIESSERDATEN'!$BH127:$BK127,-1)-1),2^(MATCH("",'IMPORT SCHLIESSERDATEN'!$AV127:$BG127,-1)-1))),0)</f>
        <v>4</v>
      </c>
      <c r="G135" s="74">
        <f>IF(AND('IMPORT SCHLIESSERDATEN'!$O127='IMPORT SCHLIESSERDATEN'!$R127,'IMPORT SCHLIESSERDATEN'!$O127&lt;&gt;"",'IMPORT SCHLIESSERDATEN'!$R127&lt;&gt;""),1,0)  +  IF(AND('IMPORT SCHLIESSERDATEN'!$P127='IMPORT SCHLIESSERDATEN'!$S127,'IMPORT SCHLIESSERDATEN'!$P127&lt;&gt;"",'IMPORT SCHLIESSERDATEN'!$S127&lt;&gt;""),2,0)   +  IF(AND('IMPORT SCHLIESSERDATEN'!$O127='IMPORT SCHLIESSERDATEN'!$S127,'IMPORT SCHLIESSERDATEN'!$O127&lt;&gt;"",'IMPORT SCHLIESSERDATEN'!$S127&lt;&gt;""),4,0)   +  IF(AND('IMPORT SCHLIESSERDATEN'!$P127='IMPORT SCHLIESSERDATEN'!$R127,'IMPORT SCHLIESSERDATEN'!$P127&lt;&gt;"",'IMPORT SCHLIESSERDATEN'!$R127&lt;&gt;""),8,0)   +  IF('IMPORT SCHLIESSERDATEN'!$Q127&lt;&gt;"",IF('IMPORT SCHLIESSERDATEN'!$R127&lt;&gt;"",32,0) + IF('IMPORT SCHLIESSERDATEN'!$S127&lt;&gt;"",64,0),0)  +  IF('IMPORT SCHLIESSERDATEN'!$T127&lt;&gt;"",IF('IMPORT SCHLIESSERDATEN'!$Q127&lt;&gt;"",128+256,128),0)</f>
        <v>32</v>
      </c>
      <c r="H135" s="74">
        <f>IF('IMPORT SCHLIESSERDATEN'!$H127="",0,1) + IF('IMPORT SCHLIESSERDATEN'!$I127="",0,2) + IF('IMPORT SCHLIESSERDATEN'!$J127="",0,4) + IF('IMPORT SCHLIESSERDATEN'!$K127="",0,8) + IF('IMPORT SCHLIESSERDATEN'!$L127="",0,16) + IF('IMPORT SCHLIESSERDATEN'!$M127="",0,32) + IF('IMPORT SCHLIESSERDATEN'!$N127="",0,64)</f>
        <v>14</v>
      </c>
      <c r="I135" s="74">
        <f>IF('IMPORT SCHLIESSERDATEN'!$D127="",0,1) + IF('IMPORT SCHLIESSERDATEN'!$E127="",0,2) + IF('IMPORT SCHLIESSERDATEN'!$E127="S",4,0)</f>
        <v>1</v>
      </c>
      <c r="J135" s="74">
        <f>IF(ISERR(FIND(" Gangfl.",'IMPORT SCHLIESSERDATEN'!$B127)),IF(ISERR(FIND(" Standfl.",'IMPORT SCHLIESSERDATEN'!$B127)),0,2),1)</f>
        <v>0</v>
      </c>
      <c r="K135" s="74">
        <f>'IMPORT SCHLIESSERDATEN'!CL127</f>
        <v>73</v>
      </c>
      <c r="L135" s="74">
        <f>'IMPORT SCHLIESSERDATEN'!CN127</f>
        <v>8.5</v>
      </c>
      <c r="M135" s="74">
        <f>IF('IMPORT SCHLIESSERDATEN'!CS127="wie TS",-1,'IMPORT SCHLIESSERDATEN'!CS127)</f>
        <v>73</v>
      </c>
      <c r="N135" s="74">
        <f>IF(M135&lt;0,-1,'IMPORT SCHLIESSERDATEN'!CU127)</f>
        <v>3</v>
      </c>
      <c r="O135" s="74">
        <f>IF('IMPORT SCHLIESSERDATEN'!CZ127="wie TS",-1,'IMPORT SCHLIESSERDATEN'!CZ127)</f>
        <v>0</v>
      </c>
      <c r="P135" s="74">
        <f>IF(O135&lt;0,-1,'IMPORT SCHLIESSERDATEN'!DB127)</f>
        <v>0</v>
      </c>
      <c r="Q135" s="74">
        <f>'IMPORT SCHLIESSERDATEN'!DG127</f>
        <v>0</v>
      </c>
      <c r="R135" s="74">
        <f>'IMPORT SCHLIESSERDATEN'!DI127</f>
        <v>0</v>
      </c>
      <c r="S135" s="74">
        <f>'IMPORT SCHLIESSERDATEN'!DN127</f>
        <v>0</v>
      </c>
      <c r="T135" s="74">
        <f>IF('IMPORT SCHLIESSERDATEN'!DP127="V",9999,'IMPORT SCHLIESSERDATEN'!DP127)</f>
        <v>0</v>
      </c>
      <c r="U135" s="74">
        <f>'IMPORT SCHLIESSERDATEN'!BW127</f>
        <v>338</v>
      </c>
      <c r="V135" s="74">
        <f>'IMPORT SCHLIESSERDATEN'!BX127</f>
        <v>32</v>
      </c>
      <c r="W135" s="74">
        <f>'IMPORT SCHLIESSERDATEN'!BY127</f>
        <v>45</v>
      </c>
      <c r="X135" s="74">
        <f>'IMPORT SCHLIESSERDATEN'!CO127</f>
        <v>90</v>
      </c>
      <c r="Y135" s="74">
        <f>'IMPORT SCHLIESSERDATEN'!CQ127</f>
        <v>0</v>
      </c>
      <c r="Z135" s="74">
        <f>'IMPORT SCHLIESSERDATEN'!CV127</f>
        <v>90</v>
      </c>
      <c r="AA135" s="74">
        <f>'IMPORT SCHLIESSERDATEN'!CX127</f>
        <v>11.5</v>
      </c>
      <c r="AB135" s="74">
        <f>'IMPORT SCHLIESSERDATEN'!DC127</f>
        <v>0</v>
      </c>
      <c r="AC135" s="74">
        <f>'IMPORT SCHLIESSERDATEN'!DE127</f>
        <v>0</v>
      </c>
      <c r="AD135" s="74">
        <f>'IMPORT SCHLIESSERDATEN'!DJ127</f>
        <v>0</v>
      </c>
      <c r="AE135" s="74">
        <f>'IMPORT SCHLIESSERDATEN'!DL127</f>
        <v>0</v>
      </c>
      <c r="AF135" s="74">
        <f>'IMPORT SCHLIESSERDATEN'!DQ127</f>
        <v>0</v>
      </c>
      <c r="AG135" s="74">
        <f>IF('IMPORT SCHLIESSERDATEN'!DS127="V",9999,'IMPORT SCHLIESSERDATEN'!DS127)</f>
        <v>0</v>
      </c>
      <c r="AH135" s="74">
        <f>IF('IMPORT SCHLIESSERDATEN'!BZ127="V",9999,IF('IMPORT SCHLIESSERDATEN'!CD127="_",-1,'IMPORT SCHLIESSERDATEN'!BZ127))</f>
        <v>527</v>
      </c>
      <c r="AI135" s="74">
        <f>IF('IMPORT SCHLIESSERDATEN'!CA127="V",9999,IF('IMPORT SCHLIESSERDATEN'!CD127="_",-1,'IMPORT SCHLIESSERDATEN'!CA127))</f>
        <v>30</v>
      </c>
      <c r="AJ135" s="74">
        <f>IF('IMPORT SCHLIESSERDATEN'!CB127="V",9999,IF('IMPORT SCHLIESSERDATEN'!CD127="_",-1,'IMPORT SCHLIESSERDATEN'!CB127))</f>
        <v>31</v>
      </c>
      <c r="AK135" s="74">
        <f>IF('IMPORT SCHLIESSERDATEN'!CC127="V",9999,IF('IMPORT SCHLIESSERDATEN'!CC127="_",-1,'IMPORT SCHLIESSERDATEN'!CC127))</f>
        <v>9999</v>
      </c>
      <c r="AL135" s="74">
        <f>IF('IMPORT SCHLIESSERDATEN'!CD127="_",-1,'IMPORT SCHLIESSERDATEN'!CD127)</f>
        <v>375</v>
      </c>
      <c r="AM135" s="74">
        <f>'IMPORT SCHLIESSERDATEN'!CH127</f>
        <v>102</v>
      </c>
      <c r="AN135" s="74">
        <f>IF('IMPORT SCHLIESSERDATEN'!CE127="V",9999,'IMPORT SCHLIESSERDATEN'!CE127)</f>
        <v>9999</v>
      </c>
      <c r="AO135" s="74">
        <f>IF('IMPORT SCHLIESSERDATEN'!CK127="_",-1,'IMPORT SCHLIESSERDATEN'!CK127)</f>
        <v>138</v>
      </c>
      <c r="AP135" s="74">
        <f>IF('IMPORT SCHLIESSERDATEN'!$U127="",0,1)</f>
        <v>1</v>
      </c>
      <c r="AQ135" s="74">
        <f>IF('IMPORT SCHLIESSERDATEN'!$V127="",0,1)</f>
        <v>1</v>
      </c>
      <c r="AR135" s="74">
        <f>IF('IMPORT SCHLIESSERDATEN'!$W127="",0,1)</f>
        <v>0</v>
      </c>
      <c r="AS135" s="74">
        <f>IF('IMPORT SCHLIESSERDATEN'!$AA127="",0,1)</f>
        <v>0</v>
      </c>
      <c r="AT135" s="74">
        <f>IF('IMPORT SCHLIESSERDATEN'!$AD127="",0,1) + IF('IMPORT SCHLIESSERDATEN'!$AE127="",0,2)</f>
        <v>2</v>
      </c>
      <c r="AU135" s="74" t="str">
        <f>IF('IMPORT SCHLIESSERDATEN'!$X127="",IF('IMPORT SCHLIESSERDATEN'!$Y127="","","F"),"V")</f>
        <v/>
      </c>
      <c r="AV135" s="74" t="str">
        <f>IF('IMPORT SCHLIESSERDATEN'!$AB127&lt;&gt;"","M",IF('IMPORT SCHLIESSERDATEN'!$AD127&lt;&gt;"",IF(ISERR(SEARCH("UVIBIS",'IMPORT SCHLIESSERDATEN'!$B127)),"R","B"),IF(OR('IMPORT SCHLIESSERDATEN'!$AC127&lt;&gt;"",'IMPORT SCHLIESSERDATEN'!$AE127&lt;&gt;""),"E","")))</f>
        <v>E</v>
      </c>
      <c r="AW135" s="82"/>
      <c r="AX135" s="67"/>
    </row>
    <row r="136" spans="1:50" x14ac:dyDescent="0.25">
      <c r="A136" s="67">
        <f>IFERROR(IF(C136&lt;&gt;"",MAX($A$2:$A135)+1,""),"")</f>
        <v>124</v>
      </c>
      <c r="B136" s="223">
        <f t="shared" si="2"/>
        <v>124</v>
      </c>
      <c r="C136" s="216" t="str">
        <f>IF(J136=1,SUBSTITUTE('IMPORT SCHLIESSERDATEN'!$B128," Gangfl.",""),IF(J136=2,SUBSTITUTE('IMPORT SCHLIESSERDATEN'!$B128," Standfl.",""),'IMPORT SCHLIESSERDATEN'!$B128))</f>
        <v>ITS 96 GSR EN 2-4</v>
      </c>
      <c r="D136" s="216" t="str">
        <f>IF('IMPORT SCHLIESSERDATEN'!$AF128&lt;&gt;"",IF(COUNTA('IMPORT SCHLIESSERDATEN'!$AN128:$AU128)&gt;0,"X","G"),IF('IMPORT SCHLIESSERDATEN'!$AG128&lt;&gt;"","S",IF('IMPORT SCHLIESSERDATEN'!$AH128&lt;&gt;"","I",IF('IMPORT SCHLIESSERDATEN'!$AI128&lt;&gt;"","B",IF('IMPORT SCHLIESSERDATEN'!$AJ128&lt;&gt;"","D","")))))</f>
        <v>I</v>
      </c>
      <c r="E136" s="248" t="str">
        <f>'IMPORT SCHLIESSERDATEN'!AK128 &amp; IF('IMPORT SCHLIESSERDATEN'!AL128="",""," "&amp; 'IMPORT SCHLIESSERDATEN'!AL128)</f>
        <v>96</v>
      </c>
      <c r="F136" s="74">
        <f>IFERROR(IF(D136="X",2^(MATCH("",'IMPORT SCHLIESSERDATEN'!$AN128:$AU128,-1)-1),IF(AV136="F",2^(MATCH("",'IMPORT SCHLIESSERDATEN'!$BH128:$BK128,-1)-1),2^(MATCH("",'IMPORT SCHLIESSERDATEN'!$AV128:$BG128,-1)-1))),0)</f>
        <v>16</v>
      </c>
      <c r="G136" s="74">
        <f>IF(AND('IMPORT SCHLIESSERDATEN'!$O128='IMPORT SCHLIESSERDATEN'!$R128,'IMPORT SCHLIESSERDATEN'!$O128&lt;&gt;"",'IMPORT SCHLIESSERDATEN'!$R128&lt;&gt;""),1,0)  +  IF(AND('IMPORT SCHLIESSERDATEN'!$P128='IMPORT SCHLIESSERDATEN'!$S128,'IMPORT SCHLIESSERDATEN'!$P128&lt;&gt;"",'IMPORT SCHLIESSERDATEN'!$S128&lt;&gt;""),2,0)   +  IF(AND('IMPORT SCHLIESSERDATEN'!$O128='IMPORT SCHLIESSERDATEN'!$S128,'IMPORT SCHLIESSERDATEN'!$O128&lt;&gt;"",'IMPORT SCHLIESSERDATEN'!$S128&lt;&gt;""),4,0)   +  IF(AND('IMPORT SCHLIESSERDATEN'!$P128='IMPORT SCHLIESSERDATEN'!$R128,'IMPORT SCHLIESSERDATEN'!$P128&lt;&gt;"",'IMPORT SCHLIESSERDATEN'!$R128&lt;&gt;""),8,0)   +  IF('IMPORT SCHLIESSERDATEN'!$Q128&lt;&gt;"",IF('IMPORT SCHLIESSERDATEN'!$R128&lt;&gt;"",32,0) + IF('IMPORT SCHLIESSERDATEN'!$S128&lt;&gt;"",64,0),0)  +  IF('IMPORT SCHLIESSERDATEN'!$T128&lt;&gt;"",IF('IMPORT SCHLIESSERDATEN'!$Q128&lt;&gt;"",128+256,128),0)</f>
        <v>32</v>
      </c>
      <c r="H136" s="74">
        <f>IF('IMPORT SCHLIESSERDATEN'!$H128="",0,1) + IF('IMPORT SCHLIESSERDATEN'!$I128="",0,2) + IF('IMPORT SCHLIESSERDATEN'!$J128="",0,4) + IF('IMPORT SCHLIESSERDATEN'!$K128="",0,8) + IF('IMPORT SCHLIESSERDATEN'!$L128="",0,16) + IF('IMPORT SCHLIESSERDATEN'!$M128="",0,32) + IF('IMPORT SCHLIESSERDATEN'!$N128="",0,64)</f>
        <v>14</v>
      </c>
      <c r="I136" s="74">
        <f>IF('IMPORT SCHLIESSERDATEN'!$D128="",0,1) + IF('IMPORT SCHLIESSERDATEN'!$E128="",0,2) + IF('IMPORT SCHLIESSERDATEN'!$E128="S",4,0)</f>
        <v>2</v>
      </c>
      <c r="J136" s="74">
        <f>IF(ISERR(FIND(" Gangfl.",'IMPORT SCHLIESSERDATEN'!$B128)),IF(ISERR(FIND(" Standfl.",'IMPORT SCHLIESSERDATEN'!$B128)),0,2),1)</f>
        <v>0</v>
      </c>
      <c r="K136" s="74">
        <f>'IMPORT SCHLIESSERDATEN'!CL128</f>
        <v>73</v>
      </c>
      <c r="L136" s="74">
        <f>'IMPORT SCHLIESSERDATEN'!CN128</f>
        <v>8.5</v>
      </c>
      <c r="M136" s="74">
        <f>IF('IMPORT SCHLIESSERDATEN'!CS128="wie TS",-1,'IMPORT SCHLIESSERDATEN'!CS128)</f>
        <v>73</v>
      </c>
      <c r="N136" s="74">
        <f>IF(M136&lt;0,-1,'IMPORT SCHLIESSERDATEN'!CU128)</f>
        <v>3</v>
      </c>
      <c r="O136" s="74">
        <f>IF('IMPORT SCHLIESSERDATEN'!CZ128="wie TS",-1,'IMPORT SCHLIESSERDATEN'!CZ128)</f>
        <v>0</v>
      </c>
      <c r="P136" s="74">
        <f>IF(O136&lt;0,-1,'IMPORT SCHLIESSERDATEN'!DB128)</f>
        <v>0</v>
      </c>
      <c r="Q136" s="74">
        <f>'IMPORT SCHLIESSERDATEN'!DG128</f>
        <v>0</v>
      </c>
      <c r="R136" s="74">
        <f>'IMPORT SCHLIESSERDATEN'!DI128</f>
        <v>0</v>
      </c>
      <c r="S136" s="74">
        <f>'IMPORT SCHLIESSERDATEN'!DN128</f>
        <v>0</v>
      </c>
      <c r="T136" s="74">
        <f>IF('IMPORT SCHLIESSERDATEN'!DP128="V",9999,'IMPORT SCHLIESSERDATEN'!DP128)</f>
        <v>0</v>
      </c>
      <c r="U136" s="74">
        <f>'IMPORT SCHLIESSERDATEN'!BW128</f>
        <v>338</v>
      </c>
      <c r="V136" s="74">
        <f>'IMPORT SCHLIESSERDATEN'!BX128</f>
        <v>32</v>
      </c>
      <c r="W136" s="74">
        <f>'IMPORT SCHLIESSERDATEN'!BY128</f>
        <v>45</v>
      </c>
      <c r="X136" s="74">
        <f>'IMPORT SCHLIESSERDATEN'!CO128</f>
        <v>90</v>
      </c>
      <c r="Y136" s="74">
        <f>'IMPORT SCHLIESSERDATEN'!CQ128</f>
        <v>0</v>
      </c>
      <c r="Z136" s="74">
        <f>'IMPORT SCHLIESSERDATEN'!CV128</f>
        <v>90</v>
      </c>
      <c r="AA136" s="74">
        <f>'IMPORT SCHLIESSERDATEN'!CX128</f>
        <v>0</v>
      </c>
      <c r="AB136" s="74">
        <f>'IMPORT SCHLIESSERDATEN'!DC128</f>
        <v>0</v>
      </c>
      <c r="AC136" s="74">
        <f>'IMPORT SCHLIESSERDATEN'!DE128</f>
        <v>0</v>
      </c>
      <c r="AD136" s="74">
        <f>'IMPORT SCHLIESSERDATEN'!DJ128</f>
        <v>0</v>
      </c>
      <c r="AE136" s="74">
        <f>'IMPORT SCHLIESSERDATEN'!DL128</f>
        <v>0</v>
      </c>
      <c r="AF136" s="74">
        <f>'IMPORT SCHLIESSERDATEN'!DQ128</f>
        <v>0</v>
      </c>
      <c r="AG136" s="74">
        <f>IF('IMPORT SCHLIESSERDATEN'!DS128="V",9999,'IMPORT SCHLIESSERDATEN'!DS128)</f>
        <v>0</v>
      </c>
      <c r="AH136" s="74">
        <f>IF('IMPORT SCHLIESSERDATEN'!BZ128="V",9999,IF('IMPORT SCHLIESSERDATEN'!CD128="_",-1,'IMPORT SCHLIESSERDATEN'!BZ128))</f>
        <v>9999</v>
      </c>
      <c r="AI136" s="74">
        <f>IF('IMPORT SCHLIESSERDATEN'!CA128="V",9999,IF('IMPORT SCHLIESSERDATEN'!CD128="_",-1,'IMPORT SCHLIESSERDATEN'!CA128))</f>
        <v>30</v>
      </c>
      <c r="AJ136" s="74">
        <f>IF('IMPORT SCHLIESSERDATEN'!CB128="V",9999,IF('IMPORT SCHLIESSERDATEN'!CD128="_",-1,'IMPORT SCHLIESSERDATEN'!CB128))</f>
        <v>31</v>
      </c>
      <c r="AK136" s="74">
        <f>IF('IMPORT SCHLIESSERDATEN'!CC128="V",9999,IF('IMPORT SCHLIESSERDATEN'!CC128="_",-1,'IMPORT SCHLIESSERDATEN'!CC128))</f>
        <v>9999</v>
      </c>
      <c r="AL136" s="74">
        <f>IF('IMPORT SCHLIESSERDATEN'!CD128="_",-1,'IMPORT SCHLIESSERDATEN'!CD128)</f>
        <v>375</v>
      </c>
      <c r="AM136" s="74">
        <f>'IMPORT SCHLIESSERDATEN'!CH128</f>
        <v>102</v>
      </c>
      <c r="AN136" s="74">
        <f>IF('IMPORT SCHLIESSERDATEN'!CE128="V",9999,'IMPORT SCHLIESSERDATEN'!CE128)</f>
        <v>9999</v>
      </c>
      <c r="AO136" s="74">
        <f>IF('IMPORT SCHLIESSERDATEN'!CK128="_",-1,'IMPORT SCHLIESSERDATEN'!CK128)</f>
        <v>90</v>
      </c>
      <c r="AP136" s="74">
        <f>IF('IMPORT SCHLIESSERDATEN'!$U128="",0,1)</f>
        <v>1</v>
      </c>
      <c r="AQ136" s="74">
        <f>IF('IMPORT SCHLIESSERDATEN'!$V128="",0,1)</f>
        <v>1</v>
      </c>
      <c r="AR136" s="74">
        <f>IF('IMPORT SCHLIESSERDATEN'!$W128="",0,1)</f>
        <v>1</v>
      </c>
      <c r="AS136" s="74">
        <f>IF('IMPORT SCHLIESSERDATEN'!$AA128="",0,1)</f>
        <v>0</v>
      </c>
      <c r="AT136" s="74">
        <f>IF('IMPORT SCHLIESSERDATEN'!$AD128="",0,1) + IF('IMPORT SCHLIESSERDATEN'!$AE128="",0,2)</f>
        <v>0</v>
      </c>
      <c r="AU136" s="74" t="str">
        <f>IF('IMPORT SCHLIESSERDATEN'!$X128="",IF('IMPORT SCHLIESSERDATEN'!$Y128="","","F"),"V")</f>
        <v/>
      </c>
      <c r="AV136" s="74" t="str">
        <f>IF('IMPORT SCHLIESSERDATEN'!$AB128&lt;&gt;"","M",IF('IMPORT SCHLIESSERDATEN'!$AD128&lt;&gt;"",IF(ISERR(SEARCH("UVIBIS",'IMPORT SCHLIESSERDATEN'!$B128)),"R","B"),IF(OR('IMPORT SCHLIESSERDATEN'!$AC128&lt;&gt;"",'IMPORT SCHLIESSERDATEN'!$AE128&lt;&gt;""),"E","")))</f>
        <v/>
      </c>
      <c r="AW136" s="82"/>
      <c r="AX136" s="67"/>
    </row>
    <row r="137" spans="1:50" x14ac:dyDescent="0.25">
      <c r="A137" s="67">
        <f>IFERROR(IF(C137&lt;&gt;"",MAX($A$2:$A136)+1,""),"")</f>
        <v>125</v>
      </c>
      <c r="B137" s="223">
        <f t="shared" si="2"/>
        <v>125</v>
      </c>
      <c r="C137" s="216" t="str">
        <f>IF(J137=1,SUBSTITUTE('IMPORT SCHLIESSERDATEN'!$B129," Gangfl.",""),IF(J137=2,SUBSTITUTE('IMPORT SCHLIESSERDATEN'!$B129," Standfl.",""),'IMPORT SCHLIESSERDATEN'!$B129))</f>
        <v>ITS 96 GSR RF EN 2-4</v>
      </c>
      <c r="D137" s="216" t="str">
        <f>IF('IMPORT SCHLIESSERDATEN'!$AF129&lt;&gt;"",IF(COUNTA('IMPORT SCHLIESSERDATEN'!$AN129:$AU129)&gt;0,"X","G"),IF('IMPORT SCHLIESSERDATEN'!$AG129&lt;&gt;"","S",IF('IMPORT SCHLIESSERDATEN'!$AH129&lt;&gt;"","I",IF('IMPORT SCHLIESSERDATEN'!$AI129&lt;&gt;"","B",IF('IMPORT SCHLIESSERDATEN'!$AJ129&lt;&gt;"","D","")))))</f>
        <v>I</v>
      </c>
      <c r="E137" s="248" t="str">
        <f>'IMPORT SCHLIESSERDATEN'!AK129 &amp; IF('IMPORT SCHLIESSERDATEN'!AL129="",""," "&amp; 'IMPORT SCHLIESSERDATEN'!AL129)</f>
        <v>96</v>
      </c>
      <c r="F137" s="74">
        <f>IFERROR(IF(D137="X",2^(MATCH("",'IMPORT SCHLIESSERDATEN'!$AN129:$AU129,-1)-1),IF(AV137="F",2^(MATCH("",'IMPORT SCHLIESSERDATEN'!$BH129:$BK129,-1)-1),2^(MATCH("",'IMPORT SCHLIESSERDATEN'!$AV129:$BG129,-1)-1))),0)</f>
        <v>32</v>
      </c>
      <c r="G137" s="74">
        <f>IF(AND('IMPORT SCHLIESSERDATEN'!$O129='IMPORT SCHLIESSERDATEN'!$R129,'IMPORT SCHLIESSERDATEN'!$O129&lt;&gt;"",'IMPORT SCHLIESSERDATEN'!$R129&lt;&gt;""),1,0)  +  IF(AND('IMPORT SCHLIESSERDATEN'!$P129='IMPORT SCHLIESSERDATEN'!$S129,'IMPORT SCHLIESSERDATEN'!$P129&lt;&gt;"",'IMPORT SCHLIESSERDATEN'!$S129&lt;&gt;""),2,0)   +  IF(AND('IMPORT SCHLIESSERDATEN'!$O129='IMPORT SCHLIESSERDATEN'!$S129,'IMPORT SCHLIESSERDATEN'!$O129&lt;&gt;"",'IMPORT SCHLIESSERDATEN'!$S129&lt;&gt;""),4,0)   +  IF(AND('IMPORT SCHLIESSERDATEN'!$P129='IMPORT SCHLIESSERDATEN'!$R129,'IMPORT SCHLIESSERDATEN'!$P129&lt;&gt;"",'IMPORT SCHLIESSERDATEN'!$R129&lt;&gt;""),8,0)   +  IF('IMPORT SCHLIESSERDATEN'!$Q129&lt;&gt;"",IF('IMPORT SCHLIESSERDATEN'!$R129&lt;&gt;"",32,0) + IF('IMPORT SCHLIESSERDATEN'!$S129&lt;&gt;"",64,0),0)  +  IF('IMPORT SCHLIESSERDATEN'!$T129&lt;&gt;"",IF('IMPORT SCHLIESSERDATEN'!$Q129&lt;&gt;"",128+256,128),0)</f>
        <v>32</v>
      </c>
      <c r="H137" s="74">
        <f>IF('IMPORT SCHLIESSERDATEN'!$H129="",0,1) + IF('IMPORT SCHLIESSERDATEN'!$I129="",0,2) + IF('IMPORT SCHLIESSERDATEN'!$J129="",0,4) + IF('IMPORT SCHLIESSERDATEN'!$K129="",0,8) + IF('IMPORT SCHLIESSERDATEN'!$L129="",0,16) + IF('IMPORT SCHLIESSERDATEN'!$M129="",0,32) + IF('IMPORT SCHLIESSERDATEN'!$N129="",0,64)</f>
        <v>14</v>
      </c>
      <c r="I137" s="74">
        <f>IF('IMPORT SCHLIESSERDATEN'!$D129="",0,1) + IF('IMPORT SCHLIESSERDATEN'!$E129="",0,2) + IF('IMPORT SCHLIESSERDATEN'!$E129="S",4,0)</f>
        <v>2</v>
      </c>
      <c r="J137" s="74">
        <f>IF(ISERR(FIND(" Gangfl.",'IMPORT SCHLIESSERDATEN'!$B129)),IF(ISERR(FIND(" Standfl.",'IMPORT SCHLIESSERDATEN'!$B129)),0,2),1)</f>
        <v>0</v>
      </c>
      <c r="K137" s="74">
        <f>'IMPORT SCHLIESSERDATEN'!CL129</f>
        <v>73</v>
      </c>
      <c r="L137" s="74">
        <f>'IMPORT SCHLIESSERDATEN'!CN129</f>
        <v>8.5</v>
      </c>
      <c r="M137" s="74">
        <f>IF('IMPORT SCHLIESSERDATEN'!CS129="wie TS",-1,'IMPORT SCHLIESSERDATEN'!CS129)</f>
        <v>73</v>
      </c>
      <c r="N137" s="74">
        <f>IF(M137&lt;0,-1,'IMPORT SCHLIESSERDATEN'!CU129)</f>
        <v>3</v>
      </c>
      <c r="O137" s="74">
        <f>IF('IMPORT SCHLIESSERDATEN'!CZ129="wie TS",-1,'IMPORT SCHLIESSERDATEN'!CZ129)</f>
        <v>0</v>
      </c>
      <c r="P137" s="74">
        <f>IF(O137&lt;0,-1,'IMPORT SCHLIESSERDATEN'!DB129)</f>
        <v>0</v>
      </c>
      <c r="Q137" s="74">
        <f>'IMPORT SCHLIESSERDATEN'!DG129</f>
        <v>0</v>
      </c>
      <c r="R137" s="74">
        <f>'IMPORT SCHLIESSERDATEN'!DI129</f>
        <v>0</v>
      </c>
      <c r="S137" s="74">
        <f>'IMPORT SCHLIESSERDATEN'!DN129</f>
        <v>0</v>
      </c>
      <c r="T137" s="74">
        <f>IF('IMPORT SCHLIESSERDATEN'!DP129="V",9999,'IMPORT SCHLIESSERDATEN'!DP129)</f>
        <v>0</v>
      </c>
      <c r="U137" s="74">
        <f>'IMPORT SCHLIESSERDATEN'!BW129</f>
        <v>338</v>
      </c>
      <c r="V137" s="74">
        <f>'IMPORT SCHLIESSERDATEN'!BX129</f>
        <v>32</v>
      </c>
      <c r="W137" s="74">
        <f>'IMPORT SCHLIESSERDATEN'!BY129</f>
        <v>45</v>
      </c>
      <c r="X137" s="74">
        <f>'IMPORT SCHLIESSERDATEN'!CO129</f>
        <v>90</v>
      </c>
      <c r="Y137" s="74">
        <f>'IMPORT SCHLIESSERDATEN'!CQ129</f>
        <v>0</v>
      </c>
      <c r="Z137" s="74">
        <f>'IMPORT SCHLIESSERDATEN'!CV129</f>
        <v>90</v>
      </c>
      <c r="AA137" s="74">
        <f>'IMPORT SCHLIESSERDATEN'!CX129</f>
        <v>0</v>
      </c>
      <c r="AB137" s="74">
        <f>'IMPORT SCHLIESSERDATEN'!DC129</f>
        <v>0</v>
      </c>
      <c r="AC137" s="74">
        <f>'IMPORT SCHLIESSERDATEN'!DE129</f>
        <v>0</v>
      </c>
      <c r="AD137" s="74">
        <f>'IMPORT SCHLIESSERDATEN'!DJ129</f>
        <v>0</v>
      </c>
      <c r="AE137" s="74">
        <f>'IMPORT SCHLIESSERDATEN'!DL129</f>
        <v>0</v>
      </c>
      <c r="AF137" s="74">
        <f>'IMPORT SCHLIESSERDATEN'!DQ129</f>
        <v>0</v>
      </c>
      <c r="AG137" s="74">
        <f>IF('IMPORT SCHLIESSERDATEN'!DS129="V",9999,'IMPORT SCHLIESSERDATEN'!DS129)</f>
        <v>0</v>
      </c>
      <c r="AH137" s="74">
        <f>IF('IMPORT SCHLIESSERDATEN'!BZ129="V",9999,IF('IMPORT SCHLIESSERDATEN'!CD129="_",-1,'IMPORT SCHLIESSERDATEN'!BZ129))</f>
        <v>9999</v>
      </c>
      <c r="AI137" s="74">
        <f>IF('IMPORT SCHLIESSERDATEN'!CA129="V",9999,IF('IMPORT SCHLIESSERDATEN'!CD129="_",-1,'IMPORT SCHLIESSERDATEN'!CA129))</f>
        <v>30</v>
      </c>
      <c r="AJ137" s="74">
        <f>IF('IMPORT SCHLIESSERDATEN'!CB129="V",9999,IF('IMPORT SCHLIESSERDATEN'!CD129="_",-1,'IMPORT SCHLIESSERDATEN'!CB129))</f>
        <v>31</v>
      </c>
      <c r="AK137" s="74">
        <f>IF('IMPORT SCHLIESSERDATEN'!CC129="V",9999,IF('IMPORT SCHLIESSERDATEN'!CC129="_",-1,'IMPORT SCHLIESSERDATEN'!CC129))</f>
        <v>9999</v>
      </c>
      <c r="AL137" s="74">
        <f>IF('IMPORT SCHLIESSERDATEN'!CD129="_",-1,'IMPORT SCHLIESSERDATEN'!CD129)</f>
        <v>375</v>
      </c>
      <c r="AM137" s="74">
        <f>'IMPORT SCHLIESSERDATEN'!CH129</f>
        <v>102</v>
      </c>
      <c r="AN137" s="74">
        <f>IF('IMPORT SCHLIESSERDATEN'!CE129="V",9999,'IMPORT SCHLIESSERDATEN'!CE129)</f>
        <v>9999</v>
      </c>
      <c r="AO137" s="74">
        <f>IF('IMPORT SCHLIESSERDATEN'!CK129="_",-1,'IMPORT SCHLIESSERDATEN'!CK129)</f>
        <v>90</v>
      </c>
      <c r="AP137" s="74">
        <f>IF('IMPORT SCHLIESSERDATEN'!$U129="",0,1)</f>
        <v>1</v>
      </c>
      <c r="AQ137" s="74">
        <f>IF('IMPORT SCHLIESSERDATEN'!$V129="",0,1)</f>
        <v>1</v>
      </c>
      <c r="AR137" s="74">
        <f>IF('IMPORT SCHLIESSERDATEN'!$W129="",0,1)</f>
        <v>1</v>
      </c>
      <c r="AS137" s="74">
        <f>IF('IMPORT SCHLIESSERDATEN'!$AA129="",0,1)</f>
        <v>0</v>
      </c>
      <c r="AT137" s="74">
        <f>IF('IMPORT SCHLIESSERDATEN'!$AD129="",0,1) + IF('IMPORT SCHLIESSERDATEN'!$AE129="",0,2)</f>
        <v>0</v>
      </c>
      <c r="AU137" s="74" t="str">
        <f>IF('IMPORT SCHLIESSERDATEN'!$X129="",IF('IMPORT SCHLIESSERDATEN'!$Y129="","","F"),"V")</f>
        <v/>
      </c>
      <c r="AV137" s="74" t="str">
        <f>IF('IMPORT SCHLIESSERDATEN'!$AB129&lt;&gt;"","M",IF('IMPORT SCHLIESSERDATEN'!$AD129&lt;&gt;"",IF(ISERR(SEARCH("UVIBIS",'IMPORT SCHLIESSERDATEN'!$B129)),"R","B"),IF(OR('IMPORT SCHLIESSERDATEN'!$AC129&lt;&gt;"",'IMPORT SCHLIESSERDATEN'!$AE129&lt;&gt;""),"E","")))</f>
        <v>M</v>
      </c>
      <c r="AW137" s="82"/>
      <c r="AX137" s="67"/>
    </row>
    <row r="138" spans="1:50" x14ac:dyDescent="0.25">
      <c r="A138" s="67">
        <f>IFERROR(IF(C138&lt;&gt;"",MAX($A$2:$A137)+1,""),"")</f>
        <v>126</v>
      </c>
      <c r="B138" s="223">
        <f t="shared" si="2"/>
        <v>126</v>
      </c>
      <c r="C138" s="216" t="str">
        <f>IF(J138=1,SUBSTITUTE('IMPORT SCHLIESSERDATEN'!$B130," Gangfl.",""),IF(J138=2,SUBSTITUTE('IMPORT SCHLIESSERDATEN'!$B130," Standfl.",""),'IMPORT SCHLIESSERDATEN'!$B130))</f>
        <v>ITS 96 GSR-EMF EN 2-4</v>
      </c>
      <c r="D138" s="216" t="str">
        <f>IF('IMPORT SCHLIESSERDATEN'!$AF130&lt;&gt;"",IF(COUNTA('IMPORT SCHLIESSERDATEN'!$AN130:$AU130)&gt;0,"X","G"),IF('IMPORT SCHLIESSERDATEN'!$AG130&lt;&gt;"","S",IF('IMPORT SCHLIESSERDATEN'!$AH130&lt;&gt;"","I",IF('IMPORT SCHLIESSERDATEN'!$AI130&lt;&gt;"","B",IF('IMPORT SCHLIESSERDATEN'!$AJ130&lt;&gt;"","D","")))))</f>
        <v>I</v>
      </c>
      <c r="E138" s="248" t="str">
        <f>'IMPORT SCHLIESSERDATEN'!AK130 &amp; IF('IMPORT SCHLIESSERDATEN'!AL130="",""," "&amp; 'IMPORT SCHLIESSERDATEN'!AL130)</f>
        <v>96</v>
      </c>
      <c r="F138" s="74">
        <f>IFERROR(IF(D138="X",2^(MATCH("",'IMPORT SCHLIESSERDATEN'!$AN130:$AU130,-1)-1),IF(AV138="F",2^(MATCH("",'IMPORT SCHLIESSERDATEN'!$BH130:$BK130,-1)-1),2^(MATCH("",'IMPORT SCHLIESSERDATEN'!$AV130:$BG130,-1)-1))),0)</f>
        <v>256</v>
      </c>
      <c r="G138" s="74">
        <f>IF(AND('IMPORT SCHLIESSERDATEN'!$O130='IMPORT SCHLIESSERDATEN'!$R130,'IMPORT SCHLIESSERDATEN'!$O130&lt;&gt;"",'IMPORT SCHLIESSERDATEN'!$R130&lt;&gt;""),1,0)  +  IF(AND('IMPORT SCHLIESSERDATEN'!$P130='IMPORT SCHLIESSERDATEN'!$S130,'IMPORT SCHLIESSERDATEN'!$P130&lt;&gt;"",'IMPORT SCHLIESSERDATEN'!$S130&lt;&gt;""),2,0)   +  IF(AND('IMPORT SCHLIESSERDATEN'!$O130='IMPORT SCHLIESSERDATEN'!$S130,'IMPORT SCHLIESSERDATEN'!$O130&lt;&gt;"",'IMPORT SCHLIESSERDATEN'!$S130&lt;&gt;""),4,0)   +  IF(AND('IMPORT SCHLIESSERDATEN'!$P130='IMPORT SCHLIESSERDATEN'!$R130,'IMPORT SCHLIESSERDATEN'!$P130&lt;&gt;"",'IMPORT SCHLIESSERDATEN'!$R130&lt;&gt;""),8,0)   +  IF('IMPORT SCHLIESSERDATEN'!$Q130&lt;&gt;"",IF('IMPORT SCHLIESSERDATEN'!$R130&lt;&gt;"",32,0) + IF('IMPORT SCHLIESSERDATEN'!$S130&lt;&gt;"",64,0),0)  +  IF('IMPORT SCHLIESSERDATEN'!$T130&lt;&gt;"",IF('IMPORT SCHLIESSERDATEN'!$Q130&lt;&gt;"",128+256,128),0)</f>
        <v>32</v>
      </c>
      <c r="H138" s="74">
        <f>IF('IMPORT SCHLIESSERDATEN'!$H130="",0,1) + IF('IMPORT SCHLIESSERDATEN'!$I130="",0,2) + IF('IMPORT SCHLIESSERDATEN'!$J130="",0,4) + IF('IMPORT SCHLIESSERDATEN'!$K130="",0,8) + IF('IMPORT SCHLIESSERDATEN'!$L130="",0,16) + IF('IMPORT SCHLIESSERDATEN'!$M130="",0,32) + IF('IMPORT SCHLIESSERDATEN'!$N130="",0,64)</f>
        <v>14</v>
      </c>
      <c r="I138" s="74">
        <f>IF('IMPORT SCHLIESSERDATEN'!$D130="",0,1) + IF('IMPORT SCHLIESSERDATEN'!$E130="",0,2) + IF('IMPORT SCHLIESSERDATEN'!$E130="S",4,0)</f>
        <v>2</v>
      </c>
      <c r="J138" s="74">
        <f>IF(ISERR(FIND(" Gangfl.",'IMPORT SCHLIESSERDATEN'!$B130)),IF(ISERR(FIND(" Standfl.",'IMPORT SCHLIESSERDATEN'!$B130)),0,2),1)</f>
        <v>0</v>
      </c>
      <c r="K138" s="74">
        <f>'IMPORT SCHLIESSERDATEN'!CL130</f>
        <v>73</v>
      </c>
      <c r="L138" s="74">
        <f>'IMPORT SCHLIESSERDATEN'!CN130</f>
        <v>8.5</v>
      </c>
      <c r="M138" s="74">
        <f>IF('IMPORT SCHLIESSERDATEN'!CS130="wie TS",-1,'IMPORT SCHLIESSERDATEN'!CS130)</f>
        <v>73</v>
      </c>
      <c r="N138" s="74">
        <f>IF(M138&lt;0,-1,'IMPORT SCHLIESSERDATEN'!CU130)</f>
        <v>3</v>
      </c>
      <c r="O138" s="74">
        <f>IF('IMPORT SCHLIESSERDATEN'!CZ130="wie TS",-1,'IMPORT SCHLIESSERDATEN'!CZ130)</f>
        <v>0</v>
      </c>
      <c r="P138" s="74">
        <f>IF(O138&lt;0,-1,'IMPORT SCHLIESSERDATEN'!DB130)</f>
        <v>0</v>
      </c>
      <c r="Q138" s="74">
        <f>'IMPORT SCHLIESSERDATEN'!DG130</f>
        <v>0</v>
      </c>
      <c r="R138" s="74">
        <f>'IMPORT SCHLIESSERDATEN'!DI130</f>
        <v>0</v>
      </c>
      <c r="S138" s="74">
        <f>'IMPORT SCHLIESSERDATEN'!DN130</f>
        <v>0</v>
      </c>
      <c r="T138" s="74">
        <f>IF('IMPORT SCHLIESSERDATEN'!DP130="V",9999,'IMPORT SCHLIESSERDATEN'!DP130)</f>
        <v>0</v>
      </c>
      <c r="U138" s="74">
        <f>'IMPORT SCHLIESSERDATEN'!BW130</f>
        <v>338</v>
      </c>
      <c r="V138" s="74">
        <f>'IMPORT SCHLIESSERDATEN'!BX130</f>
        <v>32</v>
      </c>
      <c r="W138" s="74">
        <f>'IMPORT SCHLIESSERDATEN'!BY130</f>
        <v>45</v>
      </c>
      <c r="X138" s="74">
        <f>'IMPORT SCHLIESSERDATEN'!CO130</f>
        <v>90</v>
      </c>
      <c r="Y138" s="74">
        <f>'IMPORT SCHLIESSERDATEN'!CQ130</f>
        <v>0</v>
      </c>
      <c r="Z138" s="74">
        <f>'IMPORT SCHLIESSERDATEN'!CV130</f>
        <v>90</v>
      </c>
      <c r="AA138" s="74">
        <f>'IMPORT SCHLIESSERDATEN'!CX130</f>
        <v>0</v>
      </c>
      <c r="AB138" s="74">
        <f>'IMPORT SCHLIESSERDATEN'!DC130</f>
        <v>0</v>
      </c>
      <c r="AC138" s="74">
        <f>'IMPORT SCHLIESSERDATEN'!DE130</f>
        <v>0</v>
      </c>
      <c r="AD138" s="74">
        <f>'IMPORT SCHLIESSERDATEN'!DJ130</f>
        <v>0</v>
      </c>
      <c r="AE138" s="74">
        <f>'IMPORT SCHLIESSERDATEN'!DL130</f>
        <v>0</v>
      </c>
      <c r="AF138" s="74">
        <f>'IMPORT SCHLIESSERDATEN'!DQ130</f>
        <v>0</v>
      </c>
      <c r="AG138" s="74">
        <f>IF('IMPORT SCHLIESSERDATEN'!DS130="V",9999,'IMPORT SCHLIESSERDATEN'!DS130)</f>
        <v>0</v>
      </c>
      <c r="AH138" s="74">
        <f>IF('IMPORT SCHLIESSERDATEN'!BZ130="V",9999,IF('IMPORT SCHLIESSERDATEN'!CD130="_",-1,'IMPORT SCHLIESSERDATEN'!BZ130))</f>
        <v>9999</v>
      </c>
      <c r="AI138" s="74">
        <f>IF('IMPORT SCHLIESSERDATEN'!CA130="V",9999,IF('IMPORT SCHLIESSERDATEN'!CD130="_",-1,'IMPORT SCHLIESSERDATEN'!CA130))</f>
        <v>30</v>
      </c>
      <c r="AJ138" s="74">
        <f>IF('IMPORT SCHLIESSERDATEN'!CB130="V",9999,IF('IMPORT SCHLIESSERDATEN'!CD130="_",-1,'IMPORT SCHLIESSERDATEN'!CB130))</f>
        <v>31</v>
      </c>
      <c r="AK138" s="74">
        <f>IF('IMPORT SCHLIESSERDATEN'!CC130="V",9999,IF('IMPORT SCHLIESSERDATEN'!CC130="_",-1,'IMPORT SCHLIESSERDATEN'!CC130))</f>
        <v>9999</v>
      </c>
      <c r="AL138" s="74">
        <f>IF('IMPORT SCHLIESSERDATEN'!CD130="_",-1,'IMPORT SCHLIESSERDATEN'!CD130)</f>
        <v>375</v>
      </c>
      <c r="AM138" s="74">
        <f>'IMPORT SCHLIESSERDATEN'!CH130</f>
        <v>102</v>
      </c>
      <c r="AN138" s="74">
        <f>IF('IMPORT SCHLIESSERDATEN'!CE130="V",9999,'IMPORT SCHLIESSERDATEN'!CE130)</f>
        <v>9999</v>
      </c>
      <c r="AO138" s="74">
        <f>IF('IMPORT SCHLIESSERDATEN'!CK130="_",-1,'IMPORT SCHLIESSERDATEN'!CK130)</f>
        <v>138</v>
      </c>
      <c r="AP138" s="74">
        <f>IF('IMPORT SCHLIESSERDATEN'!$U130="",0,1)</f>
        <v>1</v>
      </c>
      <c r="AQ138" s="74">
        <f>IF('IMPORT SCHLIESSERDATEN'!$V130="",0,1)</f>
        <v>1</v>
      </c>
      <c r="AR138" s="74">
        <f>IF('IMPORT SCHLIESSERDATEN'!$W130="",0,1)</f>
        <v>1</v>
      </c>
      <c r="AS138" s="74">
        <f>IF('IMPORT SCHLIESSERDATEN'!$AA130="",0,1)</f>
        <v>0</v>
      </c>
      <c r="AT138" s="74">
        <f>IF('IMPORT SCHLIESSERDATEN'!$AD130="",0,1) + IF('IMPORT SCHLIESSERDATEN'!$AE130="",0,2)</f>
        <v>2</v>
      </c>
      <c r="AU138" s="74" t="str">
        <f>IF('IMPORT SCHLIESSERDATEN'!$X130="",IF('IMPORT SCHLIESSERDATEN'!$Y130="","","F"),"V")</f>
        <v/>
      </c>
      <c r="AV138" s="74" t="str">
        <f>IF('IMPORT SCHLIESSERDATEN'!$AB130&lt;&gt;"","M",IF('IMPORT SCHLIESSERDATEN'!$AD130&lt;&gt;"",IF(ISERR(SEARCH("UVIBIS",'IMPORT SCHLIESSERDATEN'!$B130)),"R","B"),IF(OR('IMPORT SCHLIESSERDATEN'!$AC130&lt;&gt;"",'IMPORT SCHLIESSERDATEN'!$AE130&lt;&gt;""),"E","")))</f>
        <v>E</v>
      </c>
      <c r="AW138" s="82"/>
      <c r="AX138" s="67"/>
    </row>
    <row r="139" spans="1:50" x14ac:dyDescent="0.25">
      <c r="A139" s="67">
        <f>IFERROR(IF(C139&lt;&gt;"",MAX($A$2:$A138)+1,""),"")</f>
        <v>127</v>
      </c>
      <c r="B139" s="223">
        <f t="shared" si="2"/>
        <v>127</v>
      </c>
      <c r="C139" s="216" t="str">
        <f>IF(J139=1,SUBSTITUTE('IMPORT SCHLIESSERDATEN'!$B131," Gangfl.",""),IF(J139=2,SUBSTITUTE('IMPORT SCHLIESSERDATEN'!$B131," Standfl.",""),'IMPORT SCHLIESSERDATEN'!$B131))</f>
        <v>ITS 96 EN 3-6</v>
      </c>
      <c r="D139" s="216" t="str">
        <f>IF('IMPORT SCHLIESSERDATEN'!$AF131&lt;&gt;"",IF(COUNTA('IMPORT SCHLIESSERDATEN'!$AN131:$AU131)&gt;0,"X","G"),IF('IMPORT SCHLIESSERDATEN'!$AG131&lt;&gt;"","S",IF('IMPORT SCHLIESSERDATEN'!$AH131&lt;&gt;"","I",IF('IMPORT SCHLIESSERDATEN'!$AI131&lt;&gt;"","B",IF('IMPORT SCHLIESSERDATEN'!$AJ131&lt;&gt;"","D","")))))</f>
        <v>I</v>
      </c>
      <c r="E139" s="248" t="str">
        <f>'IMPORT SCHLIESSERDATEN'!AK131 &amp; IF('IMPORT SCHLIESSERDATEN'!AL131="",""," "&amp; 'IMPORT SCHLIESSERDATEN'!AL131)</f>
        <v>96</v>
      </c>
      <c r="F139" s="74">
        <f>IFERROR(IF(D139="X",2^(MATCH("",'IMPORT SCHLIESSERDATEN'!$AN131:$AU131,-1)-1),IF(AV139="F",2^(MATCH("",'IMPORT SCHLIESSERDATEN'!$BH131:$BK131,-1)-1),2^(MATCH("",'IMPORT SCHLIESSERDATEN'!$AV131:$BG131,-1)-1))),0)</f>
        <v>1</v>
      </c>
      <c r="G139" s="74">
        <f>IF(AND('IMPORT SCHLIESSERDATEN'!$O131='IMPORT SCHLIESSERDATEN'!$R131,'IMPORT SCHLIESSERDATEN'!$O131&lt;&gt;"",'IMPORT SCHLIESSERDATEN'!$R131&lt;&gt;""),1,0)  +  IF(AND('IMPORT SCHLIESSERDATEN'!$P131='IMPORT SCHLIESSERDATEN'!$S131,'IMPORT SCHLIESSERDATEN'!$P131&lt;&gt;"",'IMPORT SCHLIESSERDATEN'!$S131&lt;&gt;""),2,0)   +  IF(AND('IMPORT SCHLIESSERDATEN'!$O131='IMPORT SCHLIESSERDATEN'!$S131,'IMPORT SCHLIESSERDATEN'!$O131&lt;&gt;"",'IMPORT SCHLIESSERDATEN'!$S131&lt;&gt;""),4,0)   +  IF(AND('IMPORT SCHLIESSERDATEN'!$P131='IMPORT SCHLIESSERDATEN'!$R131,'IMPORT SCHLIESSERDATEN'!$P131&lt;&gt;"",'IMPORT SCHLIESSERDATEN'!$R131&lt;&gt;""),8,0)   +  IF('IMPORT SCHLIESSERDATEN'!$Q131&lt;&gt;"",IF('IMPORT SCHLIESSERDATEN'!$R131&lt;&gt;"",32,0) + IF('IMPORT SCHLIESSERDATEN'!$S131&lt;&gt;"",64,0),0)  +  IF('IMPORT SCHLIESSERDATEN'!$T131&lt;&gt;"",IF('IMPORT SCHLIESSERDATEN'!$Q131&lt;&gt;"",128+256,128),0)</f>
        <v>96</v>
      </c>
      <c r="H139" s="74">
        <f>IF('IMPORT SCHLIESSERDATEN'!$H131="",0,1) + IF('IMPORT SCHLIESSERDATEN'!$I131="",0,2) + IF('IMPORT SCHLIESSERDATEN'!$J131="",0,4) + IF('IMPORT SCHLIESSERDATEN'!$K131="",0,8) + IF('IMPORT SCHLIESSERDATEN'!$L131="",0,16) + IF('IMPORT SCHLIESSERDATEN'!$M131="",0,32) + IF('IMPORT SCHLIESSERDATEN'!$N131="",0,64)</f>
        <v>60</v>
      </c>
      <c r="I139" s="74">
        <f>IF('IMPORT SCHLIESSERDATEN'!$D131="",0,1) + IF('IMPORT SCHLIESSERDATEN'!$E131="",0,2) + IF('IMPORT SCHLIESSERDATEN'!$E131="S",4,0)</f>
        <v>1</v>
      </c>
      <c r="J139" s="74">
        <f>IF(ISERR(FIND(" Gangfl.",'IMPORT SCHLIESSERDATEN'!$B131)),IF(ISERR(FIND(" Standfl.",'IMPORT SCHLIESSERDATEN'!$B131)),0,2),1)</f>
        <v>0</v>
      </c>
      <c r="K139" s="74">
        <f>'IMPORT SCHLIESSERDATEN'!CL131</f>
        <v>70</v>
      </c>
      <c r="L139" s="74">
        <f>'IMPORT SCHLIESSERDATEN'!CN131</f>
        <v>8.5</v>
      </c>
      <c r="M139" s="74">
        <f>IF('IMPORT SCHLIESSERDATEN'!CS131="wie TS",-1,'IMPORT SCHLIESSERDATEN'!CS131)</f>
        <v>70</v>
      </c>
      <c r="N139" s="74">
        <f>IF(M139&lt;0,-1,'IMPORT SCHLIESSERDATEN'!CU131)</f>
        <v>3</v>
      </c>
      <c r="O139" s="74">
        <f>IF('IMPORT SCHLIESSERDATEN'!CZ131="wie TS",-1,'IMPORT SCHLIESSERDATEN'!CZ131)</f>
        <v>0</v>
      </c>
      <c r="P139" s="74">
        <f>IF(O139&lt;0,-1,'IMPORT SCHLIESSERDATEN'!DB131)</f>
        <v>0</v>
      </c>
      <c r="Q139" s="74">
        <f>'IMPORT SCHLIESSERDATEN'!DG131</f>
        <v>0</v>
      </c>
      <c r="R139" s="74">
        <f>'IMPORT SCHLIESSERDATEN'!DI131</f>
        <v>0</v>
      </c>
      <c r="S139" s="74">
        <f>'IMPORT SCHLIESSERDATEN'!DN131</f>
        <v>0</v>
      </c>
      <c r="T139" s="74">
        <f>IF('IMPORT SCHLIESSERDATEN'!DP131="V",9999,'IMPORT SCHLIESSERDATEN'!DP131)</f>
        <v>0</v>
      </c>
      <c r="U139" s="74">
        <f>'IMPORT SCHLIESSERDATEN'!BW131</f>
        <v>352</v>
      </c>
      <c r="V139" s="74">
        <f>'IMPORT SCHLIESSERDATEN'!BX131</f>
        <v>40</v>
      </c>
      <c r="W139" s="74">
        <f>'IMPORT SCHLIESSERDATEN'!BY131</f>
        <v>54</v>
      </c>
      <c r="X139" s="74">
        <f>'IMPORT SCHLIESSERDATEN'!CO131</f>
        <v>145</v>
      </c>
      <c r="Y139" s="74">
        <f>'IMPORT SCHLIESSERDATEN'!CQ131</f>
        <v>0</v>
      </c>
      <c r="Z139" s="74">
        <f>'IMPORT SCHLIESSERDATEN'!CV131</f>
        <v>145</v>
      </c>
      <c r="AA139" s="74">
        <f>'IMPORT SCHLIESSERDATEN'!CX131</f>
        <v>11.5</v>
      </c>
      <c r="AB139" s="74">
        <f>'IMPORT SCHLIESSERDATEN'!DC131</f>
        <v>0</v>
      </c>
      <c r="AC139" s="74">
        <f>'IMPORT SCHLIESSERDATEN'!DE131</f>
        <v>0</v>
      </c>
      <c r="AD139" s="74">
        <f>'IMPORT SCHLIESSERDATEN'!DJ131</f>
        <v>0</v>
      </c>
      <c r="AE139" s="74">
        <f>'IMPORT SCHLIESSERDATEN'!DL131</f>
        <v>0</v>
      </c>
      <c r="AF139" s="74">
        <f>'IMPORT SCHLIESSERDATEN'!DQ131</f>
        <v>0</v>
      </c>
      <c r="AG139" s="74">
        <f>IF('IMPORT SCHLIESSERDATEN'!DS131="V",9999,'IMPORT SCHLIESSERDATEN'!DS131)</f>
        <v>0</v>
      </c>
      <c r="AH139" s="74">
        <f>IF('IMPORT SCHLIESSERDATEN'!BZ131="V",9999,IF('IMPORT SCHLIESSERDATEN'!CD131="_",-1,'IMPORT SCHLIESSERDATEN'!BZ131))</f>
        <v>440</v>
      </c>
      <c r="AI139" s="74">
        <f>IF('IMPORT SCHLIESSERDATEN'!CA131="V",9999,IF('IMPORT SCHLIESSERDATEN'!CD131="_",-1,'IMPORT SCHLIESSERDATEN'!CA131))</f>
        <v>12</v>
      </c>
      <c r="AJ139" s="74">
        <f>IF('IMPORT SCHLIESSERDATEN'!CB131="V",9999,IF('IMPORT SCHLIESSERDATEN'!CD131="_",-1,'IMPORT SCHLIESSERDATEN'!CB131))</f>
        <v>20</v>
      </c>
      <c r="AK139" s="74">
        <f>IF('IMPORT SCHLIESSERDATEN'!CC131="V",9999,IF('IMPORT SCHLIESSERDATEN'!CC131="_",-1,'IMPORT SCHLIESSERDATEN'!CC131))</f>
        <v>9999</v>
      </c>
      <c r="AL139" s="74">
        <f>IF('IMPORT SCHLIESSERDATEN'!CD131="_",-1,'IMPORT SCHLIESSERDATEN'!CD131)</f>
        <v>375</v>
      </c>
      <c r="AM139" s="74">
        <f>'IMPORT SCHLIESSERDATEN'!CH131</f>
        <v>105</v>
      </c>
      <c r="AN139" s="74">
        <f>IF('IMPORT SCHLIESSERDATEN'!CE131="V",9999,'IMPORT SCHLIESSERDATEN'!CE131)</f>
        <v>9999</v>
      </c>
      <c r="AO139" s="74">
        <f>IF('IMPORT SCHLIESSERDATEN'!CK131="_",-1,'IMPORT SCHLIESSERDATEN'!CK131)</f>
        <v>90</v>
      </c>
      <c r="AP139" s="74">
        <f>IF('IMPORT SCHLIESSERDATEN'!$U131="",0,1)</f>
        <v>1</v>
      </c>
      <c r="AQ139" s="74">
        <f>IF('IMPORT SCHLIESSERDATEN'!$V131="",0,1)</f>
        <v>1</v>
      </c>
      <c r="AR139" s="74">
        <f>IF('IMPORT SCHLIESSERDATEN'!$W131="",0,1)</f>
        <v>0</v>
      </c>
      <c r="AS139" s="74">
        <f>IF('IMPORT SCHLIESSERDATEN'!$AA131="",0,1)</f>
        <v>0</v>
      </c>
      <c r="AT139" s="74">
        <f>IF('IMPORT SCHLIESSERDATEN'!$AD131="",0,1) + IF('IMPORT SCHLIESSERDATEN'!$AE131="",0,2)</f>
        <v>0</v>
      </c>
      <c r="AU139" s="74" t="str">
        <f>IF('IMPORT SCHLIESSERDATEN'!$X131="",IF('IMPORT SCHLIESSERDATEN'!$Y131="","","F"),"V")</f>
        <v/>
      </c>
      <c r="AV139" s="74" t="str">
        <f>IF('IMPORT SCHLIESSERDATEN'!$AB131&lt;&gt;"","M",IF('IMPORT SCHLIESSERDATEN'!$AD131&lt;&gt;"",IF(ISERR(SEARCH("UVIBIS",'IMPORT SCHLIESSERDATEN'!$B131)),"R","B"),IF(OR('IMPORT SCHLIESSERDATEN'!$AC131&lt;&gt;"",'IMPORT SCHLIESSERDATEN'!$AE131&lt;&gt;""),"E","")))</f>
        <v/>
      </c>
      <c r="AW139" s="82"/>
      <c r="AX139" s="67"/>
    </row>
    <row r="140" spans="1:50" x14ac:dyDescent="0.25">
      <c r="A140" s="67">
        <f>IFERROR(IF(C140&lt;&gt;"",MAX($A$2:$A139)+1,""),"")</f>
        <v>128</v>
      </c>
      <c r="B140" s="223">
        <f t="shared" si="2"/>
        <v>128</v>
      </c>
      <c r="C140" s="216" t="str">
        <f>IF(J140=1,SUBSTITUTE('IMPORT SCHLIESSERDATEN'!$B132," Gangfl.",""),IF(J140=2,SUBSTITUTE('IMPORT SCHLIESSERDATEN'!$B132," Standfl.",""),'IMPORT SCHLIESSERDATEN'!$B132))</f>
        <v>ITS 96 RF EN 3-6</v>
      </c>
      <c r="D140" s="216" t="str">
        <f>IF('IMPORT SCHLIESSERDATEN'!$AF132&lt;&gt;"",IF(COUNTA('IMPORT SCHLIESSERDATEN'!$AN132:$AU132)&gt;0,"X","G"),IF('IMPORT SCHLIESSERDATEN'!$AG132&lt;&gt;"","S",IF('IMPORT SCHLIESSERDATEN'!$AH132&lt;&gt;"","I",IF('IMPORT SCHLIESSERDATEN'!$AI132&lt;&gt;"","B",IF('IMPORT SCHLIESSERDATEN'!$AJ132&lt;&gt;"","D","")))))</f>
        <v>I</v>
      </c>
      <c r="E140" s="248" t="str">
        <f>'IMPORT SCHLIESSERDATEN'!AK132 &amp; IF('IMPORT SCHLIESSERDATEN'!AL132="",""," "&amp; 'IMPORT SCHLIESSERDATEN'!AL132)</f>
        <v>96</v>
      </c>
      <c r="F140" s="74">
        <f>IFERROR(IF(D140="X",2^(MATCH("",'IMPORT SCHLIESSERDATEN'!$AN132:$AU132,-1)-1),IF(AV140="F",2^(MATCH("",'IMPORT SCHLIESSERDATEN'!$BH132:$BK132,-1)-1),2^(MATCH("",'IMPORT SCHLIESSERDATEN'!$AV132:$BG132,-1)-1))),0)</f>
        <v>2</v>
      </c>
      <c r="G140" s="74">
        <f>IF(AND('IMPORT SCHLIESSERDATEN'!$O132='IMPORT SCHLIESSERDATEN'!$R132,'IMPORT SCHLIESSERDATEN'!$O132&lt;&gt;"",'IMPORT SCHLIESSERDATEN'!$R132&lt;&gt;""),1,0)  +  IF(AND('IMPORT SCHLIESSERDATEN'!$P132='IMPORT SCHLIESSERDATEN'!$S132,'IMPORT SCHLIESSERDATEN'!$P132&lt;&gt;"",'IMPORT SCHLIESSERDATEN'!$S132&lt;&gt;""),2,0)   +  IF(AND('IMPORT SCHLIESSERDATEN'!$O132='IMPORT SCHLIESSERDATEN'!$S132,'IMPORT SCHLIESSERDATEN'!$O132&lt;&gt;"",'IMPORT SCHLIESSERDATEN'!$S132&lt;&gt;""),4,0)   +  IF(AND('IMPORT SCHLIESSERDATEN'!$P132='IMPORT SCHLIESSERDATEN'!$R132,'IMPORT SCHLIESSERDATEN'!$P132&lt;&gt;"",'IMPORT SCHLIESSERDATEN'!$R132&lt;&gt;""),8,0)   +  IF('IMPORT SCHLIESSERDATEN'!$Q132&lt;&gt;"",IF('IMPORT SCHLIESSERDATEN'!$R132&lt;&gt;"",32,0) + IF('IMPORT SCHLIESSERDATEN'!$S132&lt;&gt;"",64,0),0)  +  IF('IMPORT SCHLIESSERDATEN'!$T132&lt;&gt;"",IF('IMPORT SCHLIESSERDATEN'!$Q132&lt;&gt;"",128+256,128),0)</f>
        <v>96</v>
      </c>
      <c r="H140" s="74">
        <f>IF('IMPORT SCHLIESSERDATEN'!$H132="",0,1) + IF('IMPORT SCHLIESSERDATEN'!$I132="",0,2) + IF('IMPORT SCHLIESSERDATEN'!$J132="",0,4) + IF('IMPORT SCHLIESSERDATEN'!$K132="",0,8) + IF('IMPORT SCHLIESSERDATEN'!$L132="",0,16) + IF('IMPORT SCHLIESSERDATEN'!$M132="",0,32) + IF('IMPORT SCHLIESSERDATEN'!$N132="",0,64)</f>
        <v>60</v>
      </c>
      <c r="I140" s="74">
        <f>IF('IMPORT SCHLIESSERDATEN'!$D132="",0,1) + IF('IMPORT SCHLIESSERDATEN'!$E132="",0,2) + IF('IMPORT SCHLIESSERDATEN'!$E132="S",4,0)</f>
        <v>1</v>
      </c>
      <c r="J140" s="74">
        <f>IF(ISERR(FIND(" Gangfl.",'IMPORT SCHLIESSERDATEN'!$B132)),IF(ISERR(FIND(" Standfl.",'IMPORT SCHLIESSERDATEN'!$B132)),0,2),1)</f>
        <v>0</v>
      </c>
      <c r="K140" s="74">
        <f>'IMPORT SCHLIESSERDATEN'!CL132</f>
        <v>70</v>
      </c>
      <c r="L140" s="74">
        <f>'IMPORT SCHLIESSERDATEN'!CN132</f>
        <v>8.5</v>
      </c>
      <c r="M140" s="74">
        <f>IF('IMPORT SCHLIESSERDATEN'!CS132="wie TS",-1,'IMPORT SCHLIESSERDATEN'!CS132)</f>
        <v>70</v>
      </c>
      <c r="N140" s="74">
        <f>IF(M140&lt;0,-1,'IMPORT SCHLIESSERDATEN'!CU132)</f>
        <v>3</v>
      </c>
      <c r="O140" s="74">
        <f>IF('IMPORT SCHLIESSERDATEN'!CZ132="wie TS",-1,'IMPORT SCHLIESSERDATEN'!CZ132)</f>
        <v>0</v>
      </c>
      <c r="P140" s="74">
        <f>IF(O140&lt;0,-1,'IMPORT SCHLIESSERDATEN'!DB132)</f>
        <v>0</v>
      </c>
      <c r="Q140" s="74">
        <f>'IMPORT SCHLIESSERDATEN'!DG132</f>
        <v>0</v>
      </c>
      <c r="R140" s="74">
        <f>'IMPORT SCHLIESSERDATEN'!DI132</f>
        <v>0</v>
      </c>
      <c r="S140" s="74">
        <f>'IMPORT SCHLIESSERDATEN'!DN132</f>
        <v>0</v>
      </c>
      <c r="T140" s="74">
        <f>IF('IMPORT SCHLIESSERDATEN'!DP132="V",9999,'IMPORT SCHLIESSERDATEN'!DP132)</f>
        <v>0</v>
      </c>
      <c r="U140" s="74">
        <f>'IMPORT SCHLIESSERDATEN'!BW132</f>
        <v>352</v>
      </c>
      <c r="V140" s="74">
        <f>'IMPORT SCHLIESSERDATEN'!BX132</f>
        <v>40</v>
      </c>
      <c r="W140" s="74">
        <f>'IMPORT SCHLIESSERDATEN'!BY132</f>
        <v>54</v>
      </c>
      <c r="X140" s="74">
        <f>'IMPORT SCHLIESSERDATEN'!CO132</f>
        <v>145</v>
      </c>
      <c r="Y140" s="74">
        <f>'IMPORT SCHLIESSERDATEN'!CQ132</f>
        <v>0</v>
      </c>
      <c r="Z140" s="74">
        <f>'IMPORT SCHLIESSERDATEN'!CV132</f>
        <v>145</v>
      </c>
      <c r="AA140" s="74">
        <f>'IMPORT SCHLIESSERDATEN'!CX132</f>
        <v>11.5</v>
      </c>
      <c r="AB140" s="74">
        <f>'IMPORT SCHLIESSERDATEN'!DC132</f>
        <v>0</v>
      </c>
      <c r="AC140" s="74">
        <f>'IMPORT SCHLIESSERDATEN'!DE132</f>
        <v>0</v>
      </c>
      <c r="AD140" s="74">
        <f>'IMPORT SCHLIESSERDATEN'!DJ132</f>
        <v>0</v>
      </c>
      <c r="AE140" s="74">
        <f>'IMPORT SCHLIESSERDATEN'!DL132</f>
        <v>0</v>
      </c>
      <c r="AF140" s="74">
        <f>'IMPORT SCHLIESSERDATEN'!DQ132</f>
        <v>0</v>
      </c>
      <c r="AG140" s="74">
        <f>IF('IMPORT SCHLIESSERDATEN'!DS132="V",9999,'IMPORT SCHLIESSERDATEN'!DS132)</f>
        <v>0</v>
      </c>
      <c r="AH140" s="74">
        <f>IF('IMPORT SCHLIESSERDATEN'!BZ132="V",9999,IF('IMPORT SCHLIESSERDATEN'!CD132="_",-1,'IMPORT SCHLIESSERDATEN'!BZ132))</f>
        <v>440</v>
      </c>
      <c r="AI140" s="74">
        <f>IF('IMPORT SCHLIESSERDATEN'!CA132="V",9999,IF('IMPORT SCHLIESSERDATEN'!CD132="_",-1,'IMPORT SCHLIESSERDATEN'!CA132))</f>
        <v>12</v>
      </c>
      <c r="AJ140" s="74">
        <f>IF('IMPORT SCHLIESSERDATEN'!CB132="V",9999,IF('IMPORT SCHLIESSERDATEN'!CD132="_",-1,'IMPORT SCHLIESSERDATEN'!CB132))</f>
        <v>20</v>
      </c>
      <c r="AK140" s="74">
        <f>IF('IMPORT SCHLIESSERDATEN'!CC132="V",9999,IF('IMPORT SCHLIESSERDATEN'!CC132="_",-1,'IMPORT SCHLIESSERDATEN'!CC132))</f>
        <v>9999</v>
      </c>
      <c r="AL140" s="74">
        <f>IF('IMPORT SCHLIESSERDATEN'!CD132="_",-1,'IMPORT SCHLIESSERDATEN'!CD132)</f>
        <v>375</v>
      </c>
      <c r="AM140" s="74">
        <f>'IMPORT SCHLIESSERDATEN'!CH132</f>
        <v>105</v>
      </c>
      <c r="AN140" s="74">
        <f>IF('IMPORT SCHLIESSERDATEN'!CE132="V",9999,'IMPORT SCHLIESSERDATEN'!CE132)</f>
        <v>9999</v>
      </c>
      <c r="AO140" s="74">
        <f>IF('IMPORT SCHLIESSERDATEN'!CK132="_",-1,'IMPORT SCHLIESSERDATEN'!CK132)</f>
        <v>90</v>
      </c>
      <c r="AP140" s="74">
        <f>IF('IMPORT SCHLIESSERDATEN'!$U132="",0,1)</f>
        <v>0</v>
      </c>
      <c r="AQ140" s="74">
        <f>IF('IMPORT SCHLIESSERDATEN'!$V132="",0,1)</f>
        <v>1</v>
      </c>
      <c r="AR140" s="74">
        <f>IF('IMPORT SCHLIESSERDATEN'!$W132="",0,1)</f>
        <v>0</v>
      </c>
      <c r="AS140" s="74">
        <f>IF('IMPORT SCHLIESSERDATEN'!$AA132="",0,1)</f>
        <v>0</v>
      </c>
      <c r="AT140" s="74">
        <f>IF('IMPORT SCHLIESSERDATEN'!$AD132="",0,1) + IF('IMPORT SCHLIESSERDATEN'!$AE132="",0,2)</f>
        <v>0</v>
      </c>
      <c r="AU140" s="74" t="str">
        <f>IF('IMPORT SCHLIESSERDATEN'!$X132="",IF('IMPORT SCHLIESSERDATEN'!$Y132="","","F"),"V")</f>
        <v/>
      </c>
      <c r="AV140" s="74" t="str">
        <f>IF('IMPORT SCHLIESSERDATEN'!$AB132&lt;&gt;"","M",IF('IMPORT SCHLIESSERDATEN'!$AD132&lt;&gt;"",IF(ISERR(SEARCH("UVIBIS",'IMPORT SCHLIESSERDATEN'!$B132)),"R","B"),IF(OR('IMPORT SCHLIESSERDATEN'!$AC132&lt;&gt;"",'IMPORT SCHLIESSERDATEN'!$AE132&lt;&gt;""),"E","")))</f>
        <v>M</v>
      </c>
      <c r="AW140" s="82"/>
      <c r="AX140" s="67"/>
    </row>
    <row r="141" spans="1:50" x14ac:dyDescent="0.25">
      <c r="A141" s="67">
        <f>IFERROR(IF(C141&lt;&gt;"",MAX($A$2:$A140)+1,""),"")</f>
        <v>129</v>
      </c>
      <c r="B141" s="223">
        <f t="shared" si="2"/>
        <v>129</v>
      </c>
      <c r="C141" s="216" t="str">
        <f>IF(J141=1,SUBSTITUTE('IMPORT SCHLIESSERDATEN'!$B133," Gangfl.",""),IF(J141=2,SUBSTITUTE('IMPORT SCHLIESSERDATEN'!$B133," Standfl.",""),'IMPORT SCHLIESSERDATEN'!$B133))</f>
        <v>ITS 96 EMF EN 3-6</v>
      </c>
      <c r="D141" s="216" t="str">
        <f>IF('IMPORT SCHLIESSERDATEN'!$AF133&lt;&gt;"",IF(COUNTA('IMPORT SCHLIESSERDATEN'!$AN133:$AU133)&gt;0,"X","G"),IF('IMPORT SCHLIESSERDATEN'!$AG133&lt;&gt;"","S",IF('IMPORT SCHLIESSERDATEN'!$AH133&lt;&gt;"","I",IF('IMPORT SCHLIESSERDATEN'!$AI133&lt;&gt;"","B",IF('IMPORT SCHLIESSERDATEN'!$AJ133&lt;&gt;"","D","")))))</f>
        <v>I</v>
      </c>
      <c r="E141" s="248" t="str">
        <f>'IMPORT SCHLIESSERDATEN'!AK133 &amp; IF('IMPORT SCHLIESSERDATEN'!AL133="",""," "&amp; 'IMPORT SCHLIESSERDATEN'!AL133)</f>
        <v>96</v>
      </c>
      <c r="F141" s="74">
        <f>IFERROR(IF(D141="X",2^(MATCH("",'IMPORT SCHLIESSERDATEN'!$AN133:$AU133,-1)-1),IF(AV141="F",2^(MATCH("",'IMPORT SCHLIESSERDATEN'!$BH133:$BK133,-1)-1),2^(MATCH("",'IMPORT SCHLIESSERDATEN'!$AV133:$BG133,-1)-1))),0)</f>
        <v>4</v>
      </c>
      <c r="G141" s="74">
        <f>IF(AND('IMPORT SCHLIESSERDATEN'!$O133='IMPORT SCHLIESSERDATEN'!$R133,'IMPORT SCHLIESSERDATEN'!$O133&lt;&gt;"",'IMPORT SCHLIESSERDATEN'!$R133&lt;&gt;""),1,0)  +  IF(AND('IMPORT SCHLIESSERDATEN'!$P133='IMPORT SCHLIESSERDATEN'!$S133,'IMPORT SCHLIESSERDATEN'!$P133&lt;&gt;"",'IMPORT SCHLIESSERDATEN'!$S133&lt;&gt;""),2,0)   +  IF(AND('IMPORT SCHLIESSERDATEN'!$O133='IMPORT SCHLIESSERDATEN'!$S133,'IMPORT SCHLIESSERDATEN'!$O133&lt;&gt;"",'IMPORT SCHLIESSERDATEN'!$S133&lt;&gt;""),4,0)   +  IF(AND('IMPORT SCHLIESSERDATEN'!$P133='IMPORT SCHLIESSERDATEN'!$R133,'IMPORT SCHLIESSERDATEN'!$P133&lt;&gt;"",'IMPORT SCHLIESSERDATEN'!$R133&lt;&gt;""),8,0)   +  IF('IMPORT SCHLIESSERDATEN'!$Q133&lt;&gt;"",IF('IMPORT SCHLIESSERDATEN'!$R133&lt;&gt;"",32,0) + IF('IMPORT SCHLIESSERDATEN'!$S133&lt;&gt;"",64,0),0)  +  IF('IMPORT SCHLIESSERDATEN'!$T133&lt;&gt;"",IF('IMPORT SCHLIESSERDATEN'!$Q133&lt;&gt;"",128+256,128),0)</f>
        <v>32</v>
      </c>
      <c r="H141" s="74">
        <f>IF('IMPORT SCHLIESSERDATEN'!$H133="",0,1) + IF('IMPORT SCHLIESSERDATEN'!$I133="",0,2) + IF('IMPORT SCHLIESSERDATEN'!$J133="",0,4) + IF('IMPORT SCHLIESSERDATEN'!$K133="",0,8) + IF('IMPORT SCHLIESSERDATEN'!$L133="",0,16) + IF('IMPORT SCHLIESSERDATEN'!$M133="",0,32) + IF('IMPORT SCHLIESSERDATEN'!$N133="",0,64)</f>
        <v>60</v>
      </c>
      <c r="I141" s="74">
        <f>IF('IMPORT SCHLIESSERDATEN'!$D133="",0,1) + IF('IMPORT SCHLIESSERDATEN'!$E133="",0,2) + IF('IMPORT SCHLIESSERDATEN'!$E133="S",4,0)</f>
        <v>1</v>
      </c>
      <c r="J141" s="74">
        <f>IF(ISERR(FIND(" Gangfl.",'IMPORT SCHLIESSERDATEN'!$B133)),IF(ISERR(FIND(" Standfl.",'IMPORT SCHLIESSERDATEN'!$B133)),0,2),1)</f>
        <v>0</v>
      </c>
      <c r="K141" s="74">
        <f>'IMPORT SCHLIESSERDATEN'!CL133</f>
        <v>70</v>
      </c>
      <c r="L141" s="74">
        <f>'IMPORT SCHLIESSERDATEN'!CN133</f>
        <v>8.5</v>
      </c>
      <c r="M141" s="74">
        <f>IF('IMPORT SCHLIESSERDATEN'!CS133="wie TS",-1,'IMPORT SCHLIESSERDATEN'!CS133)</f>
        <v>70</v>
      </c>
      <c r="N141" s="74">
        <f>IF(M141&lt;0,-1,'IMPORT SCHLIESSERDATEN'!CU133)</f>
        <v>3</v>
      </c>
      <c r="O141" s="74">
        <f>IF('IMPORT SCHLIESSERDATEN'!CZ133="wie TS",-1,'IMPORT SCHLIESSERDATEN'!CZ133)</f>
        <v>0</v>
      </c>
      <c r="P141" s="74">
        <f>IF(O141&lt;0,-1,'IMPORT SCHLIESSERDATEN'!DB133)</f>
        <v>0</v>
      </c>
      <c r="Q141" s="74">
        <f>'IMPORT SCHLIESSERDATEN'!DG133</f>
        <v>0</v>
      </c>
      <c r="R141" s="74">
        <f>'IMPORT SCHLIESSERDATEN'!DI133</f>
        <v>0</v>
      </c>
      <c r="S141" s="74">
        <f>'IMPORT SCHLIESSERDATEN'!DN133</f>
        <v>0</v>
      </c>
      <c r="T141" s="74">
        <f>IF('IMPORT SCHLIESSERDATEN'!DP133="V",9999,'IMPORT SCHLIESSERDATEN'!DP133)</f>
        <v>0</v>
      </c>
      <c r="U141" s="74">
        <f>'IMPORT SCHLIESSERDATEN'!BW133</f>
        <v>352</v>
      </c>
      <c r="V141" s="74">
        <f>'IMPORT SCHLIESSERDATEN'!BX133</f>
        <v>40</v>
      </c>
      <c r="W141" s="74">
        <f>'IMPORT SCHLIESSERDATEN'!BY133</f>
        <v>54</v>
      </c>
      <c r="X141" s="74">
        <f>'IMPORT SCHLIESSERDATEN'!CO133</f>
        <v>90</v>
      </c>
      <c r="Y141" s="74">
        <f>'IMPORT SCHLIESSERDATEN'!CQ133</f>
        <v>0</v>
      </c>
      <c r="Z141" s="74">
        <f>'IMPORT SCHLIESSERDATEN'!CV133</f>
        <v>90</v>
      </c>
      <c r="AA141" s="74">
        <f>'IMPORT SCHLIESSERDATEN'!CX133</f>
        <v>11.5</v>
      </c>
      <c r="AB141" s="74">
        <f>'IMPORT SCHLIESSERDATEN'!DC133</f>
        <v>0</v>
      </c>
      <c r="AC141" s="74">
        <f>'IMPORT SCHLIESSERDATEN'!DE133</f>
        <v>0</v>
      </c>
      <c r="AD141" s="74">
        <f>'IMPORT SCHLIESSERDATEN'!DJ133</f>
        <v>0</v>
      </c>
      <c r="AE141" s="74">
        <f>'IMPORT SCHLIESSERDATEN'!DL133</f>
        <v>0</v>
      </c>
      <c r="AF141" s="74">
        <f>'IMPORT SCHLIESSERDATEN'!DQ133</f>
        <v>0</v>
      </c>
      <c r="AG141" s="74">
        <f>IF('IMPORT SCHLIESSERDATEN'!DS133="V",9999,'IMPORT SCHLIESSERDATEN'!DS133)</f>
        <v>0</v>
      </c>
      <c r="AH141" s="74">
        <f>IF('IMPORT SCHLIESSERDATEN'!BZ133="V",9999,IF('IMPORT SCHLIESSERDATEN'!CD133="_",-1,'IMPORT SCHLIESSERDATEN'!BZ133))</f>
        <v>527</v>
      </c>
      <c r="AI141" s="74">
        <f>IF('IMPORT SCHLIESSERDATEN'!CA133="V",9999,IF('IMPORT SCHLIESSERDATEN'!CD133="_",-1,'IMPORT SCHLIESSERDATEN'!CA133))</f>
        <v>30</v>
      </c>
      <c r="AJ141" s="74">
        <f>IF('IMPORT SCHLIESSERDATEN'!CB133="V",9999,IF('IMPORT SCHLIESSERDATEN'!CD133="_",-1,'IMPORT SCHLIESSERDATEN'!CB133))</f>
        <v>31</v>
      </c>
      <c r="AK141" s="74">
        <f>IF('IMPORT SCHLIESSERDATEN'!CC133="V",9999,IF('IMPORT SCHLIESSERDATEN'!CC133="_",-1,'IMPORT SCHLIESSERDATEN'!CC133))</f>
        <v>9999</v>
      </c>
      <c r="AL141" s="74">
        <f>IF('IMPORT SCHLIESSERDATEN'!CD133="_",-1,'IMPORT SCHLIESSERDATEN'!CD133)</f>
        <v>375</v>
      </c>
      <c r="AM141" s="74">
        <f>'IMPORT SCHLIESSERDATEN'!CH133</f>
        <v>105</v>
      </c>
      <c r="AN141" s="74">
        <f>IF('IMPORT SCHLIESSERDATEN'!CE133="V",9999,'IMPORT SCHLIESSERDATEN'!CE133)</f>
        <v>9999</v>
      </c>
      <c r="AO141" s="74">
        <f>IF('IMPORT SCHLIESSERDATEN'!CK133="_",-1,'IMPORT SCHLIESSERDATEN'!CK133)</f>
        <v>138</v>
      </c>
      <c r="AP141" s="74">
        <f>IF('IMPORT SCHLIESSERDATEN'!$U133="",0,1)</f>
        <v>1</v>
      </c>
      <c r="AQ141" s="74">
        <f>IF('IMPORT SCHLIESSERDATEN'!$V133="",0,1)</f>
        <v>1</v>
      </c>
      <c r="AR141" s="74">
        <f>IF('IMPORT SCHLIESSERDATEN'!$W133="",0,1)</f>
        <v>0</v>
      </c>
      <c r="AS141" s="74">
        <f>IF('IMPORT SCHLIESSERDATEN'!$AA133="",0,1)</f>
        <v>0</v>
      </c>
      <c r="AT141" s="74">
        <f>IF('IMPORT SCHLIESSERDATEN'!$AD133="",0,1) + IF('IMPORT SCHLIESSERDATEN'!$AE133="",0,2)</f>
        <v>2</v>
      </c>
      <c r="AU141" s="74" t="str">
        <f>IF('IMPORT SCHLIESSERDATEN'!$X133="",IF('IMPORT SCHLIESSERDATEN'!$Y133="","","F"),"V")</f>
        <v/>
      </c>
      <c r="AV141" s="74" t="str">
        <f>IF('IMPORT SCHLIESSERDATEN'!$AB133&lt;&gt;"","M",IF('IMPORT SCHLIESSERDATEN'!$AD133&lt;&gt;"",IF(ISERR(SEARCH("UVIBIS",'IMPORT SCHLIESSERDATEN'!$B133)),"R","B"),IF(OR('IMPORT SCHLIESSERDATEN'!$AC133&lt;&gt;"",'IMPORT SCHLIESSERDATEN'!$AE133&lt;&gt;""),"E","")))</f>
        <v>E</v>
      </c>
      <c r="AW141" s="82"/>
      <c r="AX141" s="67"/>
    </row>
    <row r="142" spans="1:50" x14ac:dyDescent="0.25">
      <c r="A142" s="67">
        <f>IFERROR(IF(C142&lt;&gt;"",MAX($A$2:$A141)+1,""),"")</f>
        <v>130</v>
      </c>
      <c r="B142" s="223">
        <f t="shared" si="2"/>
        <v>130</v>
      </c>
      <c r="C142" s="216" t="str">
        <f>IF(J142=1,SUBSTITUTE('IMPORT SCHLIESSERDATEN'!$B134," Gangfl.",""),IF(J142=2,SUBSTITUTE('IMPORT SCHLIESSERDATEN'!$B134," Standfl.",""),'IMPORT SCHLIESSERDATEN'!$B134))</f>
        <v>ITS 96 GSR EN 3-6</v>
      </c>
      <c r="D142" s="216" t="str">
        <f>IF('IMPORT SCHLIESSERDATEN'!$AF134&lt;&gt;"",IF(COUNTA('IMPORT SCHLIESSERDATEN'!$AN134:$AU134)&gt;0,"X","G"),IF('IMPORT SCHLIESSERDATEN'!$AG134&lt;&gt;"","S",IF('IMPORT SCHLIESSERDATEN'!$AH134&lt;&gt;"","I",IF('IMPORT SCHLIESSERDATEN'!$AI134&lt;&gt;"","B",IF('IMPORT SCHLIESSERDATEN'!$AJ134&lt;&gt;"","D","")))))</f>
        <v>I</v>
      </c>
      <c r="E142" s="248" t="str">
        <f>'IMPORT SCHLIESSERDATEN'!AK134 &amp; IF('IMPORT SCHLIESSERDATEN'!AL134="",""," "&amp; 'IMPORT SCHLIESSERDATEN'!AL134)</f>
        <v>96</v>
      </c>
      <c r="F142" s="74">
        <f>IFERROR(IF(D142="X",2^(MATCH("",'IMPORT SCHLIESSERDATEN'!$AN134:$AU134,-1)-1),IF(AV142="F",2^(MATCH("",'IMPORT SCHLIESSERDATEN'!$BH134:$BK134,-1)-1),2^(MATCH("",'IMPORT SCHLIESSERDATEN'!$AV134:$BG134,-1)-1))),0)</f>
        <v>16</v>
      </c>
      <c r="G142" s="74">
        <f>IF(AND('IMPORT SCHLIESSERDATEN'!$O134='IMPORT SCHLIESSERDATEN'!$R134,'IMPORT SCHLIESSERDATEN'!$O134&lt;&gt;"",'IMPORT SCHLIESSERDATEN'!$R134&lt;&gt;""),1,0)  +  IF(AND('IMPORT SCHLIESSERDATEN'!$P134='IMPORT SCHLIESSERDATEN'!$S134,'IMPORT SCHLIESSERDATEN'!$P134&lt;&gt;"",'IMPORT SCHLIESSERDATEN'!$S134&lt;&gt;""),2,0)   +  IF(AND('IMPORT SCHLIESSERDATEN'!$O134='IMPORT SCHLIESSERDATEN'!$S134,'IMPORT SCHLIESSERDATEN'!$O134&lt;&gt;"",'IMPORT SCHLIESSERDATEN'!$S134&lt;&gt;""),4,0)   +  IF(AND('IMPORT SCHLIESSERDATEN'!$P134='IMPORT SCHLIESSERDATEN'!$R134,'IMPORT SCHLIESSERDATEN'!$P134&lt;&gt;"",'IMPORT SCHLIESSERDATEN'!$R134&lt;&gt;""),8,0)   +  IF('IMPORT SCHLIESSERDATEN'!$Q134&lt;&gt;"",IF('IMPORT SCHLIESSERDATEN'!$R134&lt;&gt;"",32,0) + IF('IMPORT SCHLIESSERDATEN'!$S134&lt;&gt;"",64,0),0)  +  IF('IMPORT SCHLIESSERDATEN'!$T134&lt;&gt;"",IF('IMPORT SCHLIESSERDATEN'!$Q134&lt;&gt;"",128+256,128),0)</f>
        <v>32</v>
      </c>
      <c r="H142" s="74">
        <f>IF('IMPORT SCHLIESSERDATEN'!$H134="",0,1) + IF('IMPORT SCHLIESSERDATEN'!$I134="",0,2) + IF('IMPORT SCHLIESSERDATEN'!$J134="",0,4) + IF('IMPORT SCHLIESSERDATEN'!$K134="",0,8) + IF('IMPORT SCHLIESSERDATEN'!$L134="",0,16) + IF('IMPORT SCHLIESSERDATEN'!$M134="",0,32) + IF('IMPORT SCHLIESSERDATEN'!$N134="",0,64)</f>
        <v>60</v>
      </c>
      <c r="I142" s="74">
        <f>IF('IMPORT SCHLIESSERDATEN'!$D134="",0,1) + IF('IMPORT SCHLIESSERDATEN'!$E134="",0,2) + IF('IMPORT SCHLIESSERDATEN'!$E134="S",4,0)</f>
        <v>2</v>
      </c>
      <c r="J142" s="74">
        <f>IF(ISERR(FIND(" Gangfl.",'IMPORT SCHLIESSERDATEN'!$B134)),IF(ISERR(FIND(" Standfl.",'IMPORT SCHLIESSERDATEN'!$B134)),0,2),1)</f>
        <v>0</v>
      </c>
      <c r="K142" s="74">
        <f>'IMPORT SCHLIESSERDATEN'!CL134</f>
        <v>70</v>
      </c>
      <c r="L142" s="74">
        <f>'IMPORT SCHLIESSERDATEN'!CN134</f>
        <v>8.5</v>
      </c>
      <c r="M142" s="74">
        <f>IF('IMPORT SCHLIESSERDATEN'!CS134="wie TS",-1,'IMPORT SCHLIESSERDATEN'!CS134)</f>
        <v>0</v>
      </c>
      <c r="N142" s="74">
        <f>IF(M142&lt;0,-1,'IMPORT SCHLIESSERDATEN'!CU134)</f>
        <v>0</v>
      </c>
      <c r="O142" s="74">
        <f>IF('IMPORT SCHLIESSERDATEN'!CZ134="wie TS",-1,'IMPORT SCHLIESSERDATEN'!CZ134)</f>
        <v>0</v>
      </c>
      <c r="P142" s="74">
        <f>IF(O142&lt;0,-1,'IMPORT SCHLIESSERDATEN'!DB134)</f>
        <v>0</v>
      </c>
      <c r="Q142" s="74">
        <f>'IMPORT SCHLIESSERDATEN'!DG134</f>
        <v>0</v>
      </c>
      <c r="R142" s="74">
        <f>'IMPORT SCHLIESSERDATEN'!DI134</f>
        <v>0</v>
      </c>
      <c r="S142" s="74">
        <f>'IMPORT SCHLIESSERDATEN'!DN134</f>
        <v>0</v>
      </c>
      <c r="T142" s="74">
        <f>IF('IMPORT SCHLIESSERDATEN'!DP134="V",9999,'IMPORT SCHLIESSERDATEN'!DP134)</f>
        <v>0</v>
      </c>
      <c r="U142" s="74">
        <f>'IMPORT SCHLIESSERDATEN'!BW134</f>
        <v>352</v>
      </c>
      <c r="V142" s="74">
        <f>'IMPORT SCHLIESSERDATEN'!BX134</f>
        <v>40</v>
      </c>
      <c r="W142" s="74">
        <f>'IMPORT SCHLIESSERDATEN'!BY134</f>
        <v>54</v>
      </c>
      <c r="X142" s="74">
        <f>'IMPORT SCHLIESSERDATEN'!CO134</f>
        <v>90</v>
      </c>
      <c r="Y142" s="74">
        <f>'IMPORT SCHLIESSERDATEN'!CQ134</f>
        <v>0</v>
      </c>
      <c r="Z142" s="74">
        <f>'IMPORT SCHLIESSERDATEN'!CV134</f>
        <v>0</v>
      </c>
      <c r="AA142" s="74">
        <f>'IMPORT SCHLIESSERDATEN'!CX134</f>
        <v>0</v>
      </c>
      <c r="AB142" s="74">
        <f>'IMPORT SCHLIESSERDATEN'!DC134</f>
        <v>0</v>
      </c>
      <c r="AC142" s="74">
        <f>'IMPORT SCHLIESSERDATEN'!DE134</f>
        <v>0</v>
      </c>
      <c r="AD142" s="74">
        <f>'IMPORT SCHLIESSERDATEN'!DJ134</f>
        <v>0</v>
      </c>
      <c r="AE142" s="74">
        <f>'IMPORT SCHLIESSERDATEN'!DL134</f>
        <v>0</v>
      </c>
      <c r="AF142" s="74">
        <f>'IMPORT SCHLIESSERDATEN'!DQ134</f>
        <v>0</v>
      </c>
      <c r="AG142" s="74">
        <f>IF('IMPORT SCHLIESSERDATEN'!DS134="V",9999,'IMPORT SCHLIESSERDATEN'!DS134)</f>
        <v>0</v>
      </c>
      <c r="AH142" s="74">
        <f>IF('IMPORT SCHLIESSERDATEN'!BZ134="V",9999,IF('IMPORT SCHLIESSERDATEN'!CD134="_",-1,'IMPORT SCHLIESSERDATEN'!BZ134))</f>
        <v>9999</v>
      </c>
      <c r="AI142" s="74">
        <f>IF('IMPORT SCHLIESSERDATEN'!CA134="V",9999,IF('IMPORT SCHLIESSERDATEN'!CD134="_",-1,'IMPORT SCHLIESSERDATEN'!CA134))</f>
        <v>30</v>
      </c>
      <c r="AJ142" s="74">
        <f>IF('IMPORT SCHLIESSERDATEN'!CB134="V",9999,IF('IMPORT SCHLIESSERDATEN'!CD134="_",-1,'IMPORT SCHLIESSERDATEN'!CB134))</f>
        <v>31</v>
      </c>
      <c r="AK142" s="74">
        <f>IF('IMPORT SCHLIESSERDATEN'!CC134="V",9999,IF('IMPORT SCHLIESSERDATEN'!CC134="_",-1,'IMPORT SCHLIESSERDATEN'!CC134))</f>
        <v>9999</v>
      </c>
      <c r="AL142" s="74">
        <f>IF('IMPORT SCHLIESSERDATEN'!CD134="_",-1,'IMPORT SCHLIESSERDATEN'!CD134)</f>
        <v>375</v>
      </c>
      <c r="AM142" s="74">
        <f>'IMPORT SCHLIESSERDATEN'!CH134</f>
        <v>105</v>
      </c>
      <c r="AN142" s="74">
        <f>IF('IMPORT SCHLIESSERDATEN'!CE134="V",9999,'IMPORT SCHLIESSERDATEN'!CE134)</f>
        <v>9999</v>
      </c>
      <c r="AO142" s="74">
        <f>IF('IMPORT SCHLIESSERDATEN'!CK134="_",-1,'IMPORT SCHLIESSERDATEN'!CK134)</f>
        <v>90</v>
      </c>
      <c r="AP142" s="74">
        <f>IF('IMPORT SCHLIESSERDATEN'!$U134="",0,1)</f>
        <v>1</v>
      </c>
      <c r="AQ142" s="74">
        <f>IF('IMPORT SCHLIESSERDATEN'!$V134="",0,1)</f>
        <v>1</v>
      </c>
      <c r="AR142" s="74">
        <f>IF('IMPORT SCHLIESSERDATEN'!$W134="",0,1)</f>
        <v>1</v>
      </c>
      <c r="AS142" s="74">
        <f>IF('IMPORT SCHLIESSERDATEN'!$AA134="",0,1)</f>
        <v>0</v>
      </c>
      <c r="AT142" s="74">
        <f>IF('IMPORT SCHLIESSERDATEN'!$AD134="",0,1) + IF('IMPORT SCHLIESSERDATEN'!$AE134="",0,2)</f>
        <v>0</v>
      </c>
      <c r="AU142" s="74" t="str">
        <f>IF('IMPORT SCHLIESSERDATEN'!$X134="",IF('IMPORT SCHLIESSERDATEN'!$Y134="","","F"),"V")</f>
        <v/>
      </c>
      <c r="AV142" s="74" t="str">
        <f>IF('IMPORT SCHLIESSERDATEN'!$AB134&lt;&gt;"","M",IF('IMPORT SCHLIESSERDATEN'!$AD134&lt;&gt;"",IF(ISERR(SEARCH("UVIBIS",'IMPORT SCHLIESSERDATEN'!$B134)),"R","B"),IF(OR('IMPORT SCHLIESSERDATEN'!$AC134&lt;&gt;"",'IMPORT SCHLIESSERDATEN'!$AE134&lt;&gt;""),"E","")))</f>
        <v/>
      </c>
      <c r="AW142" s="82"/>
      <c r="AX142" s="67"/>
    </row>
    <row r="143" spans="1:50" x14ac:dyDescent="0.25">
      <c r="A143" s="67">
        <f>IFERROR(IF(C143&lt;&gt;"",MAX($A$2:$A142)+1,""),"")</f>
        <v>131</v>
      </c>
      <c r="B143" s="223">
        <f t="shared" si="2"/>
        <v>131</v>
      </c>
      <c r="C143" s="216" t="str">
        <f>IF(J143=1,SUBSTITUTE('IMPORT SCHLIESSERDATEN'!$B135," Gangfl.",""),IF(J143=2,SUBSTITUTE('IMPORT SCHLIESSERDATEN'!$B135," Standfl.",""),'IMPORT SCHLIESSERDATEN'!$B135))</f>
        <v>ITS 96 GSR RF EN 3-6</v>
      </c>
      <c r="D143" s="216" t="str">
        <f>IF('IMPORT SCHLIESSERDATEN'!$AF135&lt;&gt;"",IF(COUNTA('IMPORT SCHLIESSERDATEN'!$AN135:$AU135)&gt;0,"X","G"),IF('IMPORT SCHLIESSERDATEN'!$AG135&lt;&gt;"","S",IF('IMPORT SCHLIESSERDATEN'!$AH135&lt;&gt;"","I",IF('IMPORT SCHLIESSERDATEN'!$AI135&lt;&gt;"","B",IF('IMPORT SCHLIESSERDATEN'!$AJ135&lt;&gt;"","D","")))))</f>
        <v>I</v>
      </c>
      <c r="E143" s="248" t="str">
        <f>'IMPORT SCHLIESSERDATEN'!AK135 &amp; IF('IMPORT SCHLIESSERDATEN'!AL135="",""," "&amp; 'IMPORT SCHLIESSERDATEN'!AL135)</f>
        <v>96</v>
      </c>
      <c r="F143" s="74">
        <f>IFERROR(IF(D143="X",2^(MATCH("",'IMPORT SCHLIESSERDATEN'!$AN135:$AU135,-1)-1),IF(AV143="F",2^(MATCH("",'IMPORT SCHLIESSERDATEN'!$BH135:$BK135,-1)-1),2^(MATCH("",'IMPORT SCHLIESSERDATEN'!$AV135:$BG135,-1)-1))),0)</f>
        <v>32</v>
      </c>
      <c r="G143" s="74">
        <f>IF(AND('IMPORT SCHLIESSERDATEN'!$O135='IMPORT SCHLIESSERDATEN'!$R135,'IMPORT SCHLIESSERDATEN'!$O135&lt;&gt;"",'IMPORT SCHLIESSERDATEN'!$R135&lt;&gt;""),1,0)  +  IF(AND('IMPORT SCHLIESSERDATEN'!$P135='IMPORT SCHLIESSERDATEN'!$S135,'IMPORT SCHLIESSERDATEN'!$P135&lt;&gt;"",'IMPORT SCHLIESSERDATEN'!$S135&lt;&gt;""),2,0)   +  IF(AND('IMPORT SCHLIESSERDATEN'!$O135='IMPORT SCHLIESSERDATEN'!$S135,'IMPORT SCHLIESSERDATEN'!$O135&lt;&gt;"",'IMPORT SCHLIESSERDATEN'!$S135&lt;&gt;""),4,0)   +  IF(AND('IMPORT SCHLIESSERDATEN'!$P135='IMPORT SCHLIESSERDATEN'!$R135,'IMPORT SCHLIESSERDATEN'!$P135&lt;&gt;"",'IMPORT SCHLIESSERDATEN'!$R135&lt;&gt;""),8,0)   +  IF('IMPORT SCHLIESSERDATEN'!$Q135&lt;&gt;"",IF('IMPORT SCHLIESSERDATEN'!$R135&lt;&gt;"",32,0) + IF('IMPORT SCHLIESSERDATEN'!$S135&lt;&gt;"",64,0),0)  +  IF('IMPORT SCHLIESSERDATEN'!$T135&lt;&gt;"",IF('IMPORT SCHLIESSERDATEN'!$Q135&lt;&gt;"",128+256,128),0)</f>
        <v>32</v>
      </c>
      <c r="H143" s="74">
        <f>IF('IMPORT SCHLIESSERDATEN'!$H135="",0,1) + IF('IMPORT SCHLIESSERDATEN'!$I135="",0,2) + IF('IMPORT SCHLIESSERDATEN'!$J135="",0,4) + IF('IMPORT SCHLIESSERDATEN'!$K135="",0,8) + IF('IMPORT SCHLIESSERDATEN'!$L135="",0,16) + IF('IMPORT SCHLIESSERDATEN'!$M135="",0,32) + IF('IMPORT SCHLIESSERDATEN'!$N135="",0,64)</f>
        <v>60</v>
      </c>
      <c r="I143" s="74">
        <f>IF('IMPORT SCHLIESSERDATEN'!$D135="",0,1) + IF('IMPORT SCHLIESSERDATEN'!$E135="",0,2) + IF('IMPORT SCHLIESSERDATEN'!$E135="S",4,0)</f>
        <v>2</v>
      </c>
      <c r="J143" s="74">
        <f>IF(ISERR(FIND(" Gangfl.",'IMPORT SCHLIESSERDATEN'!$B135)),IF(ISERR(FIND(" Standfl.",'IMPORT SCHLIESSERDATEN'!$B135)),0,2),1)</f>
        <v>0</v>
      </c>
      <c r="K143" s="74">
        <f>'IMPORT SCHLIESSERDATEN'!CL135</f>
        <v>70</v>
      </c>
      <c r="L143" s="74">
        <f>'IMPORT SCHLIESSERDATEN'!CN135</f>
        <v>8.5</v>
      </c>
      <c r="M143" s="74">
        <f>IF('IMPORT SCHLIESSERDATEN'!CS135="wie TS",-1,'IMPORT SCHLIESSERDATEN'!CS135)</f>
        <v>0</v>
      </c>
      <c r="N143" s="74">
        <f>IF(M143&lt;0,-1,'IMPORT SCHLIESSERDATEN'!CU135)</f>
        <v>0</v>
      </c>
      <c r="O143" s="74">
        <f>IF('IMPORT SCHLIESSERDATEN'!CZ135="wie TS",-1,'IMPORT SCHLIESSERDATEN'!CZ135)</f>
        <v>0</v>
      </c>
      <c r="P143" s="74">
        <f>IF(O143&lt;0,-1,'IMPORT SCHLIESSERDATEN'!DB135)</f>
        <v>0</v>
      </c>
      <c r="Q143" s="74">
        <f>'IMPORT SCHLIESSERDATEN'!DG135</f>
        <v>0</v>
      </c>
      <c r="R143" s="74">
        <f>'IMPORT SCHLIESSERDATEN'!DI135</f>
        <v>0</v>
      </c>
      <c r="S143" s="74">
        <f>'IMPORT SCHLIESSERDATEN'!DN135</f>
        <v>0</v>
      </c>
      <c r="T143" s="74">
        <f>IF('IMPORT SCHLIESSERDATEN'!DP135="V",9999,'IMPORT SCHLIESSERDATEN'!DP135)</f>
        <v>0</v>
      </c>
      <c r="U143" s="74">
        <f>'IMPORT SCHLIESSERDATEN'!BW135</f>
        <v>352</v>
      </c>
      <c r="V143" s="74">
        <f>'IMPORT SCHLIESSERDATEN'!BX135</f>
        <v>40</v>
      </c>
      <c r="W143" s="74">
        <f>'IMPORT SCHLIESSERDATEN'!BY135</f>
        <v>54</v>
      </c>
      <c r="X143" s="74">
        <f>'IMPORT SCHLIESSERDATEN'!CO135</f>
        <v>90</v>
      </c>
      <c r="Y143" s="74">
        <f>'IMPORT SCHLIESSERDATEN'!CQ135</f>
        <v>0</v>
      </c>
      <c r="Z143" s="74">
        <f>'IMPORT SCHLIESSERDATEN'!CV135</f>
        <v>0</v>
      </c>
      <c r="AA143" s="74">
        <f>'IMPORT SCHLIESSERDATEN'!CX135</f>
        <v>0</v>
      </c>
      <c r="AB143" s="74">
        <f>'IMPORT SCHLIESSERDATEN'!DC135</f>
        <v>0</v>
      </c>
      <c r="AC143" s="74">
        <f>'IMPORT SCHLIESSERDATEN'!DE135</f>
        <v>0</v>
      </c>
      <c r="AD143" s="74">
        <f>'IMPORT SCHLIESSERDATEN'!DJ135</f>
        <v>0</v>
      </c>
      <c r="AE143" s="74">
        <f>'IMPORT SCHLIESSERDATEN'!DL135</f>
        <v>0</v>
      </c>
      <c r="AF143" s="74">
        <f>'IMPORT SCHLIESSERDATEN'!DQ135</f>
        <v>0</v>
      </c>
      <c r="AG143" s="74">
        <f>IF('IMPORT SCHLIESSERDATEN'!DS135="V",9999,'IMPORT SCHLIESSERDATEN'!DS135)</f>
        <v>0</v>
      </c>
      <c r="AH143" s="74">
        <f>IF('IMPORT SCHLIESSERDATEN'!BZ135="V",9999,IF('IMPORT SCHLIESSERDATEN'!CD135="_",-1,'IMPORT SCHLIESSERDATEN'!BZ135))</f>
        <v>9999</v>
      </c>
      <c r="AI143" s="74">
        <f>IF('IMPORT SCHLIESSERDATEN'!CA135="V",9999,IF('IMPORT SCHLIESSERDATEN'!CD135="_",-1,'IMPORT SCHLIESSERDATEN'!CA135))</f>
        <v>30</v>
      </c>
      <c r="AJ143" s="74">
        <f>IF('IMPORT SCHLIESSERDATEN'!CB135="V",9999,IF('IMPORT SCHLIESSERDATEN'!CD135="_",-1,'IMPORT SCHLIESSERDATEN'!CB135))</f>
        <v>31</v>
      </c>
      <c r="AK143" s="74">
        <f>IF('IMPORT SCHLIESSERDATEN'!CC135="V",9999,IF('IMPORT SCHLIESSERDATEN'!CC135="_",-1,'IMPORT SCHLIESSERDATEN'!CC135))</f>
        <v>9999</v>
      </c>
      <c r="AL143" s="74">
        <f>IF('IMPORT SCHLIESSERDATEN'!CD135="_",-1,'IMPORT SCHLIESSERDATEN'!CD135)</f>
        <v>375</v>
      </c>
      <c r="AM143" s="74">
        <f>'IMPORT SCHLIESSERDATEN'!CH135</f>
        <v>105</v>
      </c>
      <c r="AN143" s="74">
        <f>IF('IMPORT SCHLIESSERDATEN'!CE135="V",9999,'IMPORT SCHLIESSERDATEN'!CE135)</f>
        <v>9999</v>
      </c>
      <c r="AO143" s="74">
        <f>IF('IMPORT SCHLIESSERDATEN'!CK135="_",-1,'IMPORT SCHLIESSERDATEN'!CK135)</f>
        <v>90</v>
      </c>
      <c r="AP143" s="74">
        <f>IF('IMPORT SCHLIESSERDATEN'!$U135="",0,1)</f>
        <v>0</v>
      </c>
      <c r="AQ143" s="74">
        <f>IF('IMPORT SCHLIESSERDATEN'!$V135="",0,1)</f>
        <v>1</v>
      </c>
      <c r="AR143" s="74">
        <f>IF('IMPORT SCHLIESSERDATEN'!$W135="",0,1)</f>
        <v>1</v>
      </c>
      <c r="AS143" s="74">
        <f>IF('IMPORT SCHLIESSERDATEN'!$AA135="",0,1)</f>
        <v>0</v>
      </c>
      <c r="AT143" s="74">
        <f>IF('IMPORT SCHLIESSERDATEN'!$AD135="",0,1) + IF('IMPORT SCHLIESSERDATEN'!$AE135="",0,2)</f>
        <v>0</v>
      </c>
      <c r="AU143" s="74" t="str">
        <f>IF('IMPORT SCHLIESSERDATEN'!$X135="",IF('IMPORT SCHLIESSERDATEN'!$Y135="","","F"),"V")</f>
        <v/>
      </c>
      <c r="AV143" s="74" t="str">
        <f>IF('IMPORT SCHLIESSERDATEN'!$AB135&lt;&gt;"","M",IF('IMPORT SCHLIESSERDATEN'!$AD135&lt;&gt;"",IF(ISERR(SEARCH("UVIBIS",'IMPORT SCHLIESSERDATEN'!$B135)),"R","B"),IF(OR('IMPORT SCHLIESSERDATEN'!$AC135&lt;&gt;"",'IMPORT SCHLIESSERDATEN'!$AE135&lt;&gt;""),"E","")))</f>
        <v>M</v>
      </c>
      <c r="AW143" s="82"/>
      <c r="AX143" s="67"/>
    </row>
    <row r="144" spans="1:50" x14ac:dyDescent="0.25">
      <c r="A144" s="67">
        <f>IFERROR(IF(C144&lt;&gt;"",MAX($A$2:$A143)+1,""),"")</f>
        <v>132</v>
      </c>
      <c r="B144" s="223">
        <f t="shared" si="2"/>
        <v>132</v>
      </c>
      <c r="C144" s="216" t="str">
        <f>IF(J144=1,SUBSTITUTE('IMPORT SCHLIESSERDATEN'!$B136," Gangfl.",""),IF(J144=2,SUBSTITUTE('IMPORT SCHLIESSERDATEN'!$B136," Standfl.",""),'IMPORT SCHLIESSERDATEN'!$B136))</f>
        <v>ITS 96 GSR-EMF EN 3-6</v>
      </c>
      <c r="D144" s="216" t="str">
        <f>IF('IMPORT SCHLIESSERDATEN'!$AF136&lt;&gt;"",IF(COUNTA('IMPORT SCHLIESSERDATEN'!$AN136:$AU136)&gt;0,"X","G"),IF('IMPORT SCHLIESSERDATEN'!$AG136&lt;&gt;"","S",IF('IMPORT SCHLIESSERDATEN'!$AH136&lt;&gt;"","I",IF('IMPORT SCHLIESSERDATEN'!$AI136&lt;&gt;"","B",IF('IMPORT SCHLIESSERDATEN'!$AJ136&lt;&gt;"","D","")))))</f>
        <v>I</v>
      </c>
      <c r="E144" s="248" t="str">
        <f>'IMPORT SCHLIESSERDATEN'!AK136 &amp; IF('IMPORT SCHLIESSERDATEN'!AL136="",""," "&amp; 'IMPORT SCHLIESSERDATEN'!AL136)</f>
        <v>96</v>
      </c>
      <c r="F144" s="74">
        <f>IFERROR(IF(D144="X",2^(MATCH("",'IMPORT SCHLIESSERDATEN'!$AN136:$AU136,-1)-1),IF(AV144="F",2^(MATCH("",'IMPORT SCHLIESSERDATEN'!$BH136:$BK136,-1)-1),2^(MATCH("",'IMPORT SCHLIESSERDATEN'!$AV136:$BG136,-1)-1))),0)</f>
        <v>256</v>
      </c>
      <c r="G144" s="74">
        <f>IF(AND('IMPORT SCHLIESSERDATEN'!$O136='IMPORT SCHLIESSERDATEN'!$R136,'IMPORT SCHLIESSERDATEN'!$O136&lt;&gt;"",'IMPORT SCHLIESSERDATEN'!$R136&lt;&gt;""),1,0)  +  IF(AND('IMPORT SCHLIESSERDATEN'!$P136='IMPORT SCHLIESSERDATEN'!$S136,'IMPORT SCHLIESSERDATEN'!$P136&lt;&gt;"",'IMPORT SCHLIESSERDATEN'!$S136&lt;&gt;""),2,0)   +  IF(AND('IMPORT SCHLIESSERDATEN'!$O136='IMPORT SCHLIESSERDATEN'!$S136,'IMPORT SCHLIESSERDATEN'!$O136&lt;&gt;"",'IMPORT SCHLIESSERDATEN'!$S136&lt;&gt;""),4,0)   +  IF(AND('IMPORT SCHLIESSERDATEN'!$P136='IMPORT SCHLIESSERDATEN'!$R136,'IMPORT SCHLIESSERDATEN'!$P136&lt;&gt;"",'IMPORT SCHLIESSERDATEN'!$R136&lt;&gt;""),8,0)   +  IF('IMPORT SCHLIESSERDATEN'!$Q136&lt;&gt;"",IF('IMPORT SCHLIESSERDATEN'!$R136&lt;&gt;"",32,0) + IF('IMPORT SCHLIESSERDATEN'!$S136&lt;&gt;"",64,0),0)  +  IF('IMPORT SCHLIESSERDATEN'!$T136&lt;&gt;"",IF('IMPORT SCHLIESSERDATEN'!$Q136&lt;&gt;"",128+256,128),0)</f>
        <v>32</v>
      </c>
      <c r="H144" s="74">
        <f>IF('IMPORT SCHLIESSERDATEN'!$H136="",0,1) + IF('IMPORT SCHLIESSERDATEN'!$I136="",0,2) + IF('IMPORT SCHLIESSERDATEN'!$J136="",0,4) + IF('IMPORT SCHLIESSERDATEN'!$K136="",0,8) + IF('IMPORT SCHLIESSERDATEN'!$L136="",0,16) + IF('IMPORT SCHLIESSERDATEN'!$M136="",0,32) + IF('IMPORT SCHLIESSERDATEN'!$N136="",0,64)</f>
        <v>60</v>
      </c>
      <c r="I144" s="74">
        <f>IF('IMPORT SCHLIESSERDATEN'!$D136="",0,1) + IF('IMPORT SCHLIESSERDATEN'!$E136="",0,2) + IF('IMPORT SCHLIESSERDATEN'!$E136="S",4,0)</f>
        <v>2</v>
      </c>
      <c r="J144" s="74">
        <f>IF(ISERR(FIND(" Gangfl.",'IMPORT SCHLIESSERDATEN'!$B136)),IF(ISERR(FIND(" Standfl.",'IMPORT SCHLIESSERDATEN'!$B136)),0,2),1)</f>
        <v>0</v>
      </c>
      <c r="K144" s="74">
        <f>'IMPORT SCHLIESSERDATEN'!CL136</f>
        <v>70</v>
      </c>
      <c r="L144" s="74">
        <f>'IMPORT SCHLIESSERDATEN'!CN136</f>
        <v>8.5</v>
      </c>
      <c r="M144" s="74">
        <f>IF('IMPORT SCHLIESSERDATEN'!CS136="wie TS",-1,'IMPORT SCHLIESSERDATEN'!CS136)</f>
        <v>0</v>
      </c>
      <c r="N144" s="74">
        <f>IF(M144&lt;0,-1,'IMPORT SCHLIESSERDATEN'!CU136)</f>
        <v>0</v>
      </c>
      <c r="O144" s="74">
        <f>IF('IMPORT SCHLIESSERDATEN'!CZ136="wie TS",-1,'IMPORT SCHLIESSERDATEN'!CZ136)</f>
        <v>0</v>
      </c>
      <c r="P144" s="74">
        <f>IF(O144&lt;0,-1,'IMPORT SCHLIESSERDATEN'!DB136)</f>
        <v>0</v>
      </c>
      <c r="Q144" s="74">
        <f>'IMPORT SCHLIESSERDATEN'!DG136</f>
        <v>0</v>
      </c>
      <c r="R144" s="74">
        <f>'IMPORT SCHLIESSERDATEN'!DI136</f>
        <v>0</v>
      </c>
      <c r="S144" s="74">
        <f>'IMPORT SCHLIESSERDATEN'!DN136</f>
        <v>0</v>
      </c>
      <c r="T144" s="74">
        <f>IF('IMPORT SCHLIESSERDATEN'!DP136="V",9999,'IMPORT SCHLIESSERDATEN'!DP136)</f>
        <v>0</v>
      </c>
      <c r="U144" s="74">
        <f>'IMPORT SCHLIESSERDATEN'!BW136</f>
        <v>352</v>
      </c>
      <c r="V144" s="74">
        <f>'IMPORT SCHLIESSERDATEN'!BX136</f>
        <v>40</v>
      </c>
      <c r="W144" s="74">
        <f>'IMPORT SCHLIESSERDATEN'!BY136</f>
        <v>54</v>
      </c>
      <c r="X144" s="74">
        <f>'IMPORT SCHLIESSERDATEN'!CO136</f>
        <v>90</v>
      </c>
      <c r="Y144" s="74">
        <f>'IMPORT SCHLIESSERDATEN'!CQ136</f>
        <v>0</v>
      </c>
      <c r="Z144" s="74">
        <f>'IMPORT SCHLIESSERDATEN'!CV136</f>
        <v>0</v>
      </c>
      <c r="AA144" s="74">
        <f>'IMPORT SCHLIESSERDATEN'!CX136</f>
        <v>0</v>
      </c>
      <c r="AB144" s="74">
        <f>'IMPORT SCHLIESSERDATEN'!DC136</f>
        <v>0</v>
      </c>
      <c r="AC144" s="74">
        <f>'IMPORT SCHLIESSERDATEN'!DE136</f>
        <v>0</v>
      </c>
      <c r="AD144" s="74">
        <f>'IMPORT SCHLIESSERDATEN'!DJ136</f>
        <v>0</v>
      </c>
      <c r="AE144" s="74">
        <f>'IMPORT SCHLIESSERDATEN'!DL136</f>
        <v>0</v>
      </c>
      <c r="AF144" s="74">
        <f>'IMPORT SCHLIESSERDATEN'!DQ136</f>
        <v>0</v>
      </c>
      <c r="AG144" s="74">
        <f>IF('IMPORT SCHLIESSERDATEN'!DS136="V",9999,'IMPORT SCHLIESSERDATEN'!DS136)</f>
        <v>0</v>
      </c>
      <c r="AH144" s="74">
        <f>IF('IMPORT SCHLIESSERDATEN'!BZ136="V",9999,IF('IMPORT SCHLIESSERDATEN'!CD136="_",-1,'IMPORT SCHLIESSERDATEN'!BZ136))</f>
        <v>9999</v>
      </c>
      <c r="AI144" s="74">
        <f>IF('IMPORT SCHLIESSERDATEN'!CA136="V",9999,IF('IMPORT SCHLIESSERDATEN'!CD136="_",-1,'IMPORT SCHLIESSERDATEN'!CA136))</f>
        <v>30</v>
      </c>
      <c r="AJ144" s="74">
        <f>IF('IMPORT SCHLIESSERDATEN'!CB136="V",9999,IF('IMPORT SCHLIESSERDATEN'!CD136="_",-1,'IMPORT SCHLIESSERDATEN'!CB136))</f>
        <v>31</v>
      </c>
      <c r="AK144" s="74">
        <f>IF('IMPORT SCHLIESSERDATEN'!CC136="V",9999,IF('IMPORT SCHLIESSERDATEN'!CC136="_",-1,'IMPORT SCHLIESSERDATEN'!CC136))</f>
        <v>9999</v>
      </c>
      <c r="AL144" s="74">
        <f>IF('IMPORT SCHLIESSERDATEN'!CD136="_",-1,'IMPORT SCHLIESSERDATEN'!CD136)</f>
        <v>375</v>
      </c>
      <c r="AM144" s="74">
        <f>'IMPORT SCHLIESSERDATEN'!CH136</f>
        <v>105</v>
      </c>
      <c r="AN144" s="74">
        <f>IF('IMPORT SCHLIESSERDATEN'!CE136="V",9999,'IMPORT SCHLIESSERDATEN'!CE136)</f>
        <v>9999</v>
      </c>
      <c r="AO144" s="74">
        <f>IF('IMPORT SCHLIESSERDATEN'!CK136="_",-1,'IMPORT SCHLIESSERDATEN'!CK136)</f>
        <v>138</v>
      </c>
      <c r="AP144" s="74">
        <f>IF('IMPORT SCHLIESSERDATEN'!$U136="",0,1)</f>
        <v>1</v>
      </c>
      <c r="AQ144" s="74">
        <f>IF('IMPORT SCHLIESSERDATEN'!$V136="",0,1)</f>
        <v>1</v>
      </c>
      <c r="AR144" s="74">
        <f>IF('IMPORT SCHLIESSERDATEN'!$W136="",0,1)</f>
        <v>1</v>
      </c>
      <c r="AS144" s="74">
        <f>IF('IMPORT SCHLIESSERDATEN'!$AA136="",0,1)</f>
        <v>0</v>
      </c>
      <c r="AT144" s="74">
        <f>IF('IMPORT SCHLIESSERDATEN'!$AD136="",0,1) + IF('IMPORT SCHLIESSERDATEN'!$AE136="",0,2)</f>
        <v>2</v>
      </c>
      <c r="AU144" s="74" t="str">
        <f>IF('IMPORT SCHLIESSERDATEN'!$X136="",IF('IMPORT SCHLIESSERDATEN'!$Y136="","","F"),"V")</f>
        <v/>
      </c>
      <c r="AV144" s="74" t="str">
        <f>IF('IMPORT SCHLIESSERDATEN'!$AB136&lt;&gt;"","M",IF('IMPORT SCHLIESSERDATEN'!$AD136&lt;&gt;"",IF(ISERR(SEARCH("UVIBIS",'IMPORT SCHLIESSERDATEN'!$B136)),"R","B"),IF(OR('IMPORT SCHLIESSERDATEN'!$AC136&lt;&gt;"",'IMPORT SCHLIESSERDATEN'!$AE136&lt;&gt;""),"E","")))</f>
        <v>E</v>
      </c>
      <c r="AW144" s="82"/>
      <c r="AX144" s="67"/>
    </row>
    <row r="145" spans="1:50" x14ac:dyDescent="0.25">
      <c r="A145" s="67">
        <f>IFERROR(IF(C145&lt;&gt;"",MAX($A$2:$A144)+1,""),"")</f>
        <v>133</v>
      </c>
      <c r="B145" s="223">
        <f t="shared" si="2"/>
        <v>133</v>
      </c>
      <c r="C145" s="216" t="str">
        <f>IF(J145=1,SUBSTITUTE('IMPORT SCHLIESSERDATEN'!$B137," Gangfl.",""),IF(J145=2,SUBSTITUTE('IMPORT SCHLIESSERDATEN'!$B137," Standfl.",""),'IMPORT SCHLIESSERDATEN'!$B137))</f>
        <v>ITS 96 FL EN 3-6</v>
      </c>
      <c r="D145" s="216" t="str">
        <f>IF('IMPORT SCHLIESSERDATEN'!$AF137&lt;&gt;"",IF(COUNTA('IMPORT SCHLIESSERDATEN'!$AN137:$AU137)&gt;0,"X","G"),IF('IMPORT SCHLIESSERDATEN'!$AG137&lt;&gt;"","S",IF('IMPORT SCHLIESSERDATEN'!$AH137&lt;&gt;"","I",IF('IMPORT SCHLIESSERDATEN'!$AI137&lt;&gt;"","B",IF('IMPORT SCHLIESSERDATEN'!$AJ137&lt;&gt;"","D","")))))</f>
        <v>I</v>
      </c>
      <c r="E145" s="248" t="str">
        <f>'IMPORT SCHLIESSERDATEN'!AK137 &amp; IF('IMPORT SCHLIESSERDATEN'!AL137="",""," "&amp; 'IMPORT SCHLIESSERDATEN'!AL137)</f>
        <v>96</v>
      </c>
      <c r="F145" s="74">
        <f>IFERROR(IF(D145="X",2^(MATCH("",'IMPORT SCHLIESSERDATEN'!$AN137:$AU137,-1)-1),IF(AV145="F",2^(MATCH("",'IMPORT SCHLIESSERDATEN'!$BH137:$BK137,-1)-1),2^(MATCH("",'IMPORT SCHLIESSERDATEN'!$AV137:$BG137,-1)-1))),0)</f>
        <v>4</v>
      </c>
      <c r="G145" s="74">
        <f>IF(AND('IMPORT SCHLIESSERDATEN'!$O137='IMPORT SCHLIESSERDATEN'!$R137,'IMPORT SCHLIESSERDATEN'!$O137&lt;&gt;"",'IMPORT SCHLIESSERDATEN'!$R137&lt;&gt;""),1,0)  +  IF(AND('IMPORT SCHLIESSERDATEN'!$P137='IMPORT SCHLIESSERDATEN'!$S137,'IMPORT SCHLIESSERDATEN'!$P137&lt;&gt;"",'IMPORT SCHLIESSERDATEN'!$S137&lt;&gt;""),2,0)   +  IF(AND('IMPORT SCHLIESSERDATEN'!$O137='IMPORT SCHLIESSERDATEN'!$S137,'IMPORT SCHLIESSERDATEN'!$O137&lt;&gt;"",'IMPORT SCHLIESSERDATEN'!$S137&lt;&gt;""),4,0)   +  IF(AND('IMPORT SCHLIESSERDATEN'!$P137='IMPORT SCHLIESSERDATEN'!$R137,'IMPORT SCHLIESSERDATEN'!$P137&lt;&gt;"",'IMPORT SCHLIESSERDATEN'!$R137&lt;&gt;""),8,0)   +  IF('IMPORT SCHLIESSERDATEN'!$Q137&lt;&gt;"",IF('IMPORT SCHLIESSERDATEN'!$R137&lt;&gt;"",32,0) + IF('IMPORT SCHLIESSERDATEN'!$S137&lt;&gt;"",64,0),0)  +  IF('IMPORT SCHLIESSERDATEN'!$T137&lt;&gt;"",IF('IMPORT SCHLIESSERDATEN'!$Q137&lt;&gt;"",128+256,128),0)</f>
        <v>32</v>
      </c>
      <c r="H145" s="74">
        <f>IF('IMPORT SCHLIESSERDATEN'!$H137="",0,1) + IF('IMPORT SCHLIESSERDATEN'!$I137="",0,2) + IF('IMPORT SCHLIESSERDATEN'!$J137="",0,4) + IF('IMPORT SCHLIESSERDATEN'!$K137="",0,8) + IF('IMPORT SCHLIESSERDATEN'!$L137="",0,16) + IF('IMPORT SCHLIESSERDATEN'!$M137="",0,32) + IF('IMPORT SCHLIESSERDATEN'!$N137="",0,64)</f>
        <v>60</v>
      </c>
      <c r="I145" s="74">
        <f>IF('IMPORT SCHLIESSERDATEN'!$D137="",0,1) + IF('IMPORT SCHLIESSERDATEN'!$E137="",0,2) + IF('IMPORT SCHLIESSERDATEN'!$E137="S",4,0)</f>
        <v>1</v>
      </c>
      <c r="J145" s="74">
        <f>IF(ISERR(FIND(" Gangfl.",'IMPORT SCHLIESSERDATEN'!$B137)),IF(ISERR(FIND(" Standfl.",'IMPORT SCHLIESSERDATEN'!$B137)),0,2),1)</f>
        <v>0</v>
      </c>
      <c r="K145" s="74">
        <f>'IMPORT SCHLIESSERDATEN'!CL137</f>
        <v>70</v>
      </c>
      <c r="L145" s="74">
        <f>'IMPORT SCHLIESSERDATEN'!CN137</f>
        <v>8.5</v>
      </c>
      <c r="M145" s="74">
        <f>IF('IMPORT SCHLIESSERDATEN'!CS137="wie TS",-1,'IMPORT SCHLIESSERDATEN'!CS137)</f>
        <v>70</v>
      </c>
      <c r="N145" s="74">
        <f>IF(M145&lt;0,-1,'IMPORT SCHLIESSERDATEN'!CU137)</f>
        <v>3</v>
      </c>
      <c r="O145" s="74">
        <f>IF('IMPORT SCHLIESSERDATEN'!CZ137="wie TS",-1,'IMPORT SCHLIESSERDATEN'!CZ137)</f>
        <v>0</v>
      </c>
      <c r="P145" s="74">
        <f>IF(O145&lt;0,-1,'IMPORT SCHLIESSERDATEN'!DB137)</f>
        <v>0</v>
      </c>
      <c r="Q145" s="74">
        <f>'IMPORT SCHLIESSERDATEN'!DG137</f>
        <v>0</v>
      </c>
      <c r="R145" s="74">
        <f>'IMPORT SCHLIESSERDATEN'!DI137</f>
        <v>0</v>
      </c>
      <c r="S145" s="74">
        <f>'IMPORT SCHLIESSERDATEN'!DN137</f>
        <v>0</v>
      </c>
      <c r="T145" s="74">
        <f>IF('IMPORT SCHLIESSERDATEN'!DP137="V",9999,'IMPORT SCHLIESSERDATEN'!DP137)</f>
        <v>0</v>
      </c>
      <c r="U145" s="74">
        <f>'IMPORT SCHLIESSERDATEN'!BW137</f>
        <v>540</v>
      </c>
      <c r="V145" s="74">
        <f>'IMPORT SCHLIESSERDATEN'!BX137</f>
        <v>40</v>
      </c>
      <c r="W145" s="74">
        <f>'IMPORT SCHLIESSERDATEN'!BY137</f>
        <v>54</v>
      </c>
      <c r="X145" s="74">
        <f>'IMPORT SCHLIESSERDATEN'!CO137</f>
        <v>145</v>
      </c>
      <c r="Y145" s="74">
        <f>'IMPORT SCHLIESSERDATEN'!CQ137</f>
        <v>0</v>
      </c>
      <c r="Z145" s="74">
        <f>'IMPORT SCHLIESSERDATEN'!CV137</f>
        <v>145</v>
      </c>
      <c r="AA145" s="74">
        <f>'IMPORT SCHLIESSERDATEN'!CX137</f>
        <v>11.5</v>
      </c>
      <c r="AB145" s="74">
        <f>'IMPORT SCHLIESSERDATEN'!DC137</f>
        <v>0</v>
      </c>
      <c r="AC145" s="74">
        <f>'IMPORT SCHLIESSERDATEN'!DE137</f>
        <v>0</v>
      </c>
      <c r="AD145" s="74">
        <f>'IMPORT SCHLIESSERDATEN'!DJ137</f>
        <v>0</v>
      </c>
      <c r="AE145" s="74">
        <f>'IMPORT SCHLIESSERDATEN'!DL137</f>
        <v>0</v>
      </c>
      <c r="AF145" s="74">
        <f>'IMPORT SCHLIESSERDATEN'!DQ137</f>
        <v>0</v>
      </c>
      <c r="AG145" s="74">
        <f>IF('IMPORT SCHLIESSERDATEN'!DS137="V",9999,'IMPORT SCHLIESSERDATEN'!DS137)</f>
        <v>0</v>
      </c>
      <c r="AH145" s="74">
        <f>IF('IMPORT SCHLIESSERDATEN'!BZ137="V",9999,IF('IMPORT SCHLIESSERDATEN'!CD137="_",-1,'IMPORT SCHLIESSERDATEN'!BZ137))</f>
        <v>440</v>
      </c>
      <c r="AI145" s="74">
        <f>IF('IMPORT SCHLIESSERDATEN'!CA137="V",9999,IF('IMPORT SCHLIESSERDATEN'!CD137="_",-1,'IMPORT SCHLIESSERDATEN'!CA137))</f>
        <v>12</v>
      </c>
      <c r="AJ145" s="74">
        <f>IF('IMPORT SCHLIESSERDATEN'!CB137="V",9999,IF('IMPORT SCHLIESSERDATEN'!CD137="_",-1,'IMPORT SCHLIESSERDATEN'!CB137))</f>
        <v>20</v>
      </c>
      <c r="AK145" s="74">
        <f>IF('IMPORT SCHLIESSERDATEN'!CC137="V",9999,IF('IMPORT SCHLIESSERDATEN'!CC137="_",-1,'IMPORT SCHLIESSERDATEN'!CC137))</f>
        <v>9999</v>
      </c>
      <c r="AL145" s="74">
        <f>IF('IMPORT SCHLIESSERDATEN'!CD137="_",-1,'IMPORT SCHLIESSERDATEN'!CD137)</f>
        <v>375</v>
      </c>
      <c r="AM145" s="74">
        <f>'IMPORT SCHLIESSERDATEN'!CH137</f>
        <v>105</v>
      </c>
      <c r="AN145" s="74">
        <f>IF('IMPORT SCHLIESSERDATEN'!CE137="V",9999,'IMPORT SCHLIESSERDATEN'!CE137)</f>
        <v>9999</v>
      </c>
      <c r="AO145" s="74">
        <f>IF('IMPORT SCHLIESSERDATEN'!CK137="_",-1,'IMPORT SCHLIESSERDATEN'!CK137)</f>
        <v>90</v>
      </c>
      <c r="AP145" s="74">
        <f>IF('IMPORT SCHLIESSERDATEN'!$U137="",0,1)</f>
        <v>1</v>
      </c>
      <c r="AQ145" s="74">
        <f>IF('IMPORT SCHLIESSERDATEN'!$V137="",0,1)</f>
        <v>1</v>
      </c>
      <c r="AR145" s="74">
        <f>IF('IMPORT SCHLIESSERDATEN'!$W137="",0,1)</f>
        <v>0</v>
      </c>
      <c r="AS145" s="74">
        <f>IF('IMPORT SCHLIESSERDATEN'!$AA137="",0,1)</f>
        <v>0</v>
      </c>
      <c r="AT145" s="74">
        <f>IF('IMPORT SCHLIESSERDATEN'!$AD137="",0,1) + IF('IMPORT SCHLIESSERDATEN'!$AE137="",0,2)</f>
        <v>2</v>
      </c>
      <c r="AU145" s="74" t="str">
        <f>IF('IMPORT SCHLIESSERDATEN'!$X137="",IF('IMPORT SCHLIESSERDATEN'!$Y137="","","F"),"V")</f>
        <v>F</v>
      </c>
      <c r="AV145" s="74" t="str">
        <f>IF('IMPORT SCHLIESSERDATEN'!$AB137&lt;&gt;"","M",IF('IMPORT SCHLIESSERDATEN'!$AD137&lt;&gt;"",IF(ISERR(SEARCH("UVIBIS",'IMPORT SCHLIESSERDATEN'!$B137)),"R","B"),IF(OR('IMPORT SCHLIESSERDATEN'!$AC137&lt;&gt;"",'IMPORT SCHLIESSERDATEN'!$AE137&lt;&gt;""),"E","")))</f>
        <v>E</v>
      </c>
      <c r="AW145" s="82"/>
      <c r="AX145" s="67"/>
    </row>
    <row r="146" spans="1:50" x14ac:dyDescent="0.25">
      <c r="A146" s="67">
        <f>IFERROR(IF(C146&lt;&gt;"",MAX($A$2:$A145)+1,""),"")</f>
        <v>134</v>
      </c>
      <c r="B146" s="223">
        <f t="shared" si="1"/>
        <v>134</v>
      </c>
      <c r="C146" s="216" t="str">
        <f>IF(J146=1,SUBSTITUTE('IMPORT SCHLIESSERDATEN'!$B138," Gangfl.",""),IF(J146=2,SUBSTITUTE('IMPORT SCHLIESSERDATEN'!$B138," Standfl.",""),'IMPORT SCHLIESSERDATEN'!$B138))</f>
        <v>ITS 96 GSR FL EN 3-6</v>
      </c>
      <c r="D146" s="216" t="str">
        <f>IF('IMPORT SCHLIESSERDATEN'!$AF138&lt;&gt;"",IF(COUNTA('IMPORT SCHLIESSERDATEN'!$AN138:$AU138)&gt;0,"X","G"),IF('IMPORT SCHLIESSERDATEN'!$AG138&lt;&gt;"","S",IF('IMPORT SCHLIESSERDATEN'!$AH138&lt;&gt;"","I",IF('IMPORT SCHLIESSERDATEN'!$AI138&lt;&gt;"","B",IF('IMPORT SCHLIESSERDATEN'!$AJ138&lt;&gt;"","D","")))))</f>
        <v>I</v>
      </c>
      <c r="E146" s="248" t="str">
        <f>'IMPORT SCHLIESSERDATEN'!AK138 &amp; IF('IMPORT SCHLIESSERDATEN'!AL138="",""," "&amp; 'IMPORT SCHLIESSERDATEN'!AL138)</f>
        <v>96</v>
      </c>
      <c r="F146" s="74">
        <f>IFERROR(IF(D146="X",2^(MATCH("",'IMPORT SCHLIESSERDATEN'!$AN138:$AU138,-1)-1),IF(AV146="F",2^(MATCH("",'IMPORT SCHLIESSERDATEN'!$BH138:$BK138,-1)-1),2^(MATCH("",'IMPORT SCHLIESSERDATEN'!$AV138:$BG138,-1)-1))),0)</f>
        <v>256</v>
      </c>
      <c r="G146" s="74">
        <f>IF(AND('IMPORT SCHLIESSERDATEN'!$O138='IMPORT SCHLIESSERDATEN'!$R138,'IMPORT SCHLIESSERDATEN'!$O138&lt;&gt;"",'IMPORT SCHLIESSERDATEN'!$R138&lt;&gt;""),1,0)  +  IF(AND('IMPORT SCHLIESSERDATEN'!$P138='IMPORT SCHLIESSERDATEN'!$S138,'IMPORT SCHLIESSERDATEN'!$P138&lt;&gt;"",'IMPORT SCHLIESSERDATEN'!$S138&lt;&gt;""),2,0)   +  IF(AND('IMPORT SCHLIESSERDATEN'!$O138='IMPORT SCHLIESSERDATEN'!$S138,'IMPORT SCHLIESSERDATEN'!$O138&lt;&gt;"",'IMPORT SCHLIESSERDATEN'!$S138&lt;&gt;""),4,0)   +  IF(AND('IMPORT SCHLIESSERDATEN'!$P138='IMPORT SCHLIESSERDATEN'!$R138,'IMPORT SCHLIESSERDATEN'!$P138&lt;&gt;"",'IMPORT SCHLIESSERDATEN'!$R138&lt;&gt;""),8,0)   +  IF('IMPORT SCHLIESSERDATEN'!$Q138&lt;&gt;"",IF('IMPORT SCHLIESSERDATEN'!$R138&lt;&gt;"",32,0) + IF('IMPORT SCHLIESSERDATEN'!$S138&lt;&gt;"",64,0),0)  +  IF('IMPORT SCHLIESSERDATEN'!$T138&lt;&gt;"",IF('IMPORT SCHLIESSERDATEN'!$Q138&lt;&gt;"",128+256,128),0)</f>
        <v>32</v>
      </c>
      <c r="H146" s="74">
        <f>IF('IMPORT SCHLIESSERDATEN'!$H138="",0,1) + IF('IMPORT SCHLIESSERDATEN'!$I138="",0,2) + IF('IMPORT SCHLIESSERDATEN'!$J138="",0,4) + IF('IMPORT SCHLIESSERDATEN'!$K138="",0,8) + IF('IMPORT SCHLIESSERDATEN'!$L138="",0,16) + IF('IMPORT SCHLIESSERDATEN'!$M138="",0,32) + IF('IMPORT SCHLIESSERDATEN'!$N138="",0,64)</f>
        <v>60</v>
      </c>
      <c r="I146" s="74">
        <f>IF('IMPORT SCHLIESSERDATEN'!$D138="",0,1) + IF('IMPORT SCHLIESSERDATEN'!$E138="",0,2) + IF('IMPORT SCHLIESSERDATEN'!$E138="S",4,0)</f>
        <v>2</v>
      </c>
      <c r="J146" s="74">
        <f>IF(ISERR(FIND(" Gangfl.",'IMPORT SCHLIESSERDATEN'!$B138)),IF(ISERR(FIND(" Standfl.",'IMPORT SCHLIESSERDATEN'!$B138)),0,2),1)</f>
        <v>0</v>
      </c>
      <c r="K146" s="74">
        <f>'IMPORT SCHLIESSERDATEN'!CL138</f>
        <v>70</v>
      </c>
      <c r="L146" s="74">
        <f>'IMPORT SCHLIESSERDATEN'!CN138</f>
        <v>8.5</v>
      </c>
      <c r="M146" s="74">
        <f>IF('IMPORT SCHLIESSERDATEN'!CS138="wie TS",-1,'IMPORT SCHLIESSERDATEN'!CS138)</f>
        <v>0</v>
      </c>
      <c r="N146" s="74">
        <f>IF(M146&lt;0,-1,'IMPORT SCHLIESSERDATEN'!CU138)</f>
        <v>0</v>
      </c>
      <c r="O146" s="74">
        <f>IF('IMPORT SCHLIESSERDATEN'!CZ138="wie TS",-1,'IMPORT SCHLIESSERDATEN'!CZ138)</f>
        <v>0</v>
      </c>
      <c r="P146" s="74">
        <f>IF(O146&lt;0,-1,'IMPORT SCHLIESSERDATEN'!DB138)</f>
        <v>0</v>
      </c>
      <c r="Q146" s="74">
        <f>'IMPORT SCHLIESSERDATEN'!DG138</f>
        <v>0</v>
      </c>
      <c r="R146" s="74">
        <f>'IMPORT SCHLIESSERDATEN'!DI138</f>
        <v>0</v>
      </c>
      <c r="S146" s="74">
        <f>'IMPORT SCHLIESSERDATEN'!DN138</f>
        <v>0</v>
      </c>
      <c r="T146" s="74">
        <f>IF('IMPORT SCHLIESSERDATEN'!DP138="V",9999,'IMPORT SCHLIESSERDATEN'!DP138)</f>
        <v>0</v>
      </c>
      <c r="U146" s="74">
        <f>'IMPORT SCHLIESSERDATEN'!BW138</f>
        <v>540</v>
      </c>
      <c r="V146" s="74">
        <f>'IMPORT SCHLIESSERDATEN'!BX138</f>
        <v>40</v>
      </c>
      <c r="W146" s="74">
        <f>'IMPORT SCHLIESSERDATEN'!BY138</f>
        <v>54</v>
      </c>
      <c r="X146" s="74">
        <f>'IMPORT SCHLIESSERDATEN'!CO138</f>
        <v>90</v>
      </c>
      <c r="Y146" s="74">
        <f>'IMPORT SCHLIESSERDATEN'!CQ138</f>
        <v>0</v>
      </c>
      <c r="Z146" s="74">
        <f>'IMPORT SCHLIESSERDATEN'!CV138</f>
        <v>0</v>
      </c>
      <c r="AA146" s="74">
        <f>'IMPORT SCHLIESSERDATEN'!CX138</f>
        <v>0</v>
      </c>
      <c r="AB146" s="74">
        <f>'IMPORT SCHLIESSERDATEN'!DC138</f>
        <v>0</v>
      </c>
      <c r="AC146" s="74">
        <f>'IMPORT SCHLIESSERDATEN'!DE138</f>
        <v>0</v>
      </c>
      <c r="AD146" s="74">
        <f>'IMPORT SCHLIESSERDATEN'!DJ138</f>
        <v>0</v>
      </c>
      <c r="AE146" s="74">
        <f>'IMPORT SCHLIESSERDATEN'!DL138</f>
        <v>0</v>
      </c>
      <c r="AF146" s="74">
        <f>'IMPORT SCHLIESSERDATEN'!DQ138</f>
        <v>0</v>
      </c>
      <c r="AG146" s="74">
        <f>IF('IMPORT SCHLIESSERDATEN'!DS138="V",9999,'IMPORT SCHLIESSERDATEN'!DS138)</f>
        <v>0</v>
      </c>
      <c r="AH146" s="74">
        <f>IF('IMPORT SCHLIESSERDATEN'!BZ138="V",9999,IF('IMPORT SCHLIESSERDATEN'!CD138="_",-1,'IMPORT SCHLIESSERDATEN'!BZ138))</f>
        <v>9999</v>
      </c>
      <c r="AI146" s="74">
        <f>IF('IMPORT SCHLIESSERDATEN'!CA138="V",9999,IF('IMPORT SCHLIESSERDATEN'!CD138="_",-1,'IMPORT SCHLIESSERDATEN'!CA138))</f>
        <v>30</v>
      </c>
      <c r="AJ146" s="74">
        <f>IF('IMPORT SCHLIESSERDATEN'!CB138="V",9999,IF('IMPORT SCHLIESSERDATEN'!CD138="_",-1,'IMPORT SCHLIESSERDATEN'!CB138))</f>
        <v>31</v>
      </c>
      <c r="AK146" s="74">
        <f>IF('IMPORT SCHLIESSERDATEN'!CC138="V",9999,IF('IMPORT SCHLIESSERDATEN'!CC138="_",-1,'IMPORT SCHLIESSERDATEN'!CC138))</f>
        <v>9999</v>
      </c>
      <c r="AL146" s="74">
        <f>IF('IMPORT SCHLIESSERDATEN'!CD138="_",-1,'IMPORT SCHLIESSERDATEN'!CD138)</f>
        <v>375</v>
      </c>
      <c r="AM146" s="74">
        <f>'IMPORT SCHLIESSERDATEN'!CH138</f>
        <v>105</v>
      </c>
      <c r="AN146" s="74">
        <f>IF('IMPORT SCHLIESSERDATEN'!CE138="V",9999,'IMPORT SCHLIESSERDATEN'!CE138)</f>
        <v>9999</v>
      </c>
      <c r="AO146" s="74">
        <f>IF('IMPORT SCHLIESSERDATEN'!CK138="_",-1,'IMPORT SCHLIESSERDATEN'!CK138)</f>
        <v>90</v>
      </c>
      <c r="AP146" s="74">
        <f>IF('IMPORT SCHLIESSERDATEN'!$U138="",0,1)</f>
        <v>1</v>
      </c>
      <c r="AQ146" s="74">
        <f>IF('IMPORT SCHLIESSERDATEN'!$V138="",0,1)</f>
        <v>1</v>
      </c>
      <c r="AR146" s="74">
        <f>IF('IMPORT SCHLIESSERDATEN'!$W138="",0,1)</f>
        <v>1</v>
      </c>
      <c r="AS146" s="74">
        <f>IF('IMPORT SCHLIESSERDATEN'!$AA138="",0,1)</f>
        <v>0</v>
      </c>
      <c r="AT146" s="74">
        <f>IF('IMPORT SCHLIESSERDATEN'!$AD138="",0,1) + IF('IMPORT SCHLIESSERDATEN'!$AE138="",0,2)</f>
        <v>2</v>
      </c>
      <c r="AU146" s="74" t="str">
        <f>IF('IMPORT SCHLIESSERDATEN'!$X138="",IF('IMPORT SCHLIESSERDATEN'!$Y138="","","F"),"V")</f>
        <v>F</v>
      </c>
      <c r="AV146" s="74" t="str">
        <f>IF('IMPORT SCHLIESSERDATEN'!$AB138&lt;&gt;"","M",IF('IMPORT SCHLIESSERDATEN'!$AD138&lt;&gt;"",IF(ISERR(SEARCH("UVIBIS",'IMPORT SCHLIESSERDATEN'!$B138)),"R","B"),IF(OR('IMPORT SCHLIESSERDATEN'!$AC138&lt;&gt;"",'IMPORT SCHLIESSERDATEN'!$AE138&lt;&gt;""),"E","")))</f>
        <v>E</v>
      </c>
      <c r="AW146" s="82"/>
      <c r="AX146" s="67"/>
    </row>
    <row r="147" spans="1:50" x14ac:dyDescent="0.25">
      <c r="A147" s="67">
        <f>IFERROR(IF(C147&lt;&gt;"",MAX($A$2:$A146)+1,""),"")</f>
        <v>135</v>
      </c>
      <c r="B147" s="223">
        <f t="shared" si="1"/>
        <v>135</v>
      </c>
      <c r="C147" s="216" t="str">
        <f>IF(J147=1,SUBSTITUTE('IMPORT SCHLIESSERDATEN'!$B139," Gangfl.",""),IF(J147=2,SUBSTITUTE('IMPORT SCHLIESSERDATEN'!$B139," Standfl.",""),'IMPORT SCHLIESSERDATEN'!$B139))</f>
        <v>BTS 75V EN 1-4</v>
      </c>
      <c r="D147" s="216" t="str">
        <f>IF('IMPORT SCHLIESSERDATEN'!$AF139&lt;&gt;"",IF(COUNTA('IMPORT SCHLIESSERDATEN'!$AN139:$AU139)&gt;0,"X","G"),IF('IMPORT SCHLIESSERDATEN'!$AG139&lt;&gt;"","S",IF('IMPORT SCHLIESSERDATEN'!$AH139&lt;&gt;"","I",IF('IMPORT SCHLIESSERDATEN'!$AI139&lt;&gt;"","B",IF('IMPORT SCHLIESSERDATEN'!$AJ139&lt;&gt;"","D","")))))</f>
        <v>B</v>
      </c>
      <c r="E147" s="248" t="str">
        <f>'IMPORT SCHLIESSERDATEN'!AK139 &amp; IF('IMPORT SCHLIESSERDATEN'!AL139="",""," "&amp; 'IMPORT SCHLIESSERDATEN'!AL139)</f>
        <v>75V</v>
      </c>
      <c r="F147" s="74">
        <f>IFERROR(IF(D147="X",2^(MATCH("",'IMPORT SCHLIESSERDATEN'!$AN139:$AU139,-1)-1),IF(AV147="F",2^(MATCH("",'IMPORT SCHLIESSERDATEN'!$BH139:$BK139,-1)-1),2^(MATCH("",'IMPORT SCHLIESSERDATEN'!$AV139:$BG139,-1)-1))),0)</f>
        <v>0</v>
      </c>
      <c r="G147" s="74">
        <f>IF(AND('IMPORT SCHLIESSERDATEN'!$O139='IMPORT SCHLIESSERDATEN'!$R139,'IMPORT SCHLIESSERDATEN'!$O139&lt;&gt;"",'IMPORT SCHLIESSERDATEN'!$R139&lt;&gt;""),1,0)  +  IF(AND('IMPORT SCHLIESSERDATEN'!$P139='IMPORT SCHLIESSERDATEN'!$S139,'IMPORT SCHLIESSERDATEN'!$P139&lt;&gt;"",'IMPORT SCHLIESSERDATEN'!$S139&lt;&gt;""),2,0)   +  IF(AND('IMPORT SCHLIESSERDATEN'!$O139='IMPORT SCHLIESSERDATEN'!$S139,'IMPORT SCHLIESSERDATEN'!$O139&lt;&gt;"",'IMPORT SCHLIESSERDATEN'!$S139&lt;&gt;""),4,0)   +  IF(AND('IMPORT SCHLIESSERDATEN'!$P139='IMPORT SCHLIESSERDATEN'!$R139,'IMPORT SCHLIESSERDATEN'!$P139&lt;&gt;"",'IMPORT SCHLIESSERDATEN'!$R139&lt;&gt;""),8,0)   +  IF('IMPORT SCHLIESSERDATEN'!$Q139&lt;&gt;"",IF('IMPORT SCHLIESSERDATEN'!$R139&lt;&gt;"",32,0) + IF('IMPORT SCHLIESSERDATEN'!$S139&lt;&gt;"",64,0),0)  +  IF('IMPORT SCHLIESSERDATEN'!$T139&lt;&gt;"",IF('IMPORT SCHLIESSERDATEN'!$Q139&lt;&gt;"",128+256,128),0)</f>
        <v>384</v>
      </c>
      <c r="H147" s="74">
        <f>IF('IMPORT SCHLIESSERDATEN'!$H139="",0,1) + IF('IMPORT SCHLIESSERDATEN'!$I139="",0,2) + IF('IMPORT SCHLIESSERDATEN'!$J139="",0,4) + IF('IMPORT SCHLIESSERDATEN'!$K139="",0,8) + IF('IMPORT SCHLIESSERDATEN'!$L139="",0,16) + IF('IMPORT SCHLIESSERDATEN'!$M139="",0,32) + IF('IMPORT SCHLIESSERDATEN'!$N139="",0,64)</f>
        <v>15</v>
      </c>
      <c r="I147" s="74">
        <f>IF('IMPORT SCHLIESSERDATEN'!$D139="",0,1) + IF('IMPORT SCHLIESSERDATEN'!$E139="",0,2) + IF('IMPORT SCHLIESSERDATEN'!$E139="S",4,0)</f>
        <v>3</v>
      </c>
      <c r="J147" s="74">
        <f>IF(ISERR(FIND(" Gangfl.",'IMPORT SCHLIESSERDATEN'!$B139)),IF(ISERR(FIND(" Standfl.",'IMPORT SCHLIESSERDATEN'!$B139)),0,2),1)</f>
        <v>0</v>
      </c>
      <c r="K147" s="74">
        <f>'IMPORT SCHLIESSERDATEN'!CL139</f>
        <v>0</v>
      </c>
      <c r="L147" s="74">
        <f>'IMPORT SCHLIESSERDATEN'!CN139</f>
        <v>0</v>
      </c>
      <c r="M147" s="74">
        <f>IF('IMPORT SCHLIESSERDATEN'!CS139="wie TS",-1,'IMPORT SCHLIESSERDATEN'!CS139)</f>
        <v>0</v>
      </c>
      <c r="N147" s="74">
        <f>IF(M147&lt;0,-1,'IMPORT SCHLIESSERDATEN'!CU139)</f>
        <v>0</v>
      </c>
      <c r="O147" s="74">
        <f>IF('IMPORT SCHLIESSERDATEN'!CZ139="wie TS",-1,'IMPORT SCHLIESSERDATEN'!CZ139)</f>
        <v>-54</v>
      </c>
      <c r="P147" s="74">
        <f>IF(O147&lt;0,-1,'IMPORT SCHLIESSERDATEN'!DB139)</f>
        <v>-1</v>
      </c>
      <c r="Q147" s="74">
        <f>'IMPORT SCHLIESSERDATEN'!DG139</f>
        <v>0</v>
      </c>
      <c r="R147" s="74">
        <f>'IMPORT SCHLIESSERDATEN'!DI139</f>
        <v>0</v>
      </c>
      <c r="S147" s="74">
        <f>'IMPORT SCHLIESSERDATEN'!DN139</f>
        <v>0</v>
      </c>
      <c r="T147" s="74">
        <f>IF('IMPORT SCHLIESSERDATEN'!DP139="V",9999,'IMPORT SCHLIESSERDATEN'!DP139)</f>
        <v>0</v>
      </c>
      <c r="U147" s="74">
        <f>'IMPORT SCHLIESSERDATEN'!BW139</f>
        <v>285</v>
      </c>
      <c r="V147" s="74">
        <f>'IMPORT SCHLIESSERDATEN'!BX139</f>
        <v>82</v>
      </c>
      <c r="W147" s="74">
        <f>'IMPORT SCHLIESSERDATEN'!BY139</f>
        <v>50</v>
      </c>
      <c r="X147" s="74">
        <f>'IMPORT SCHLIESSERDATEN'!CO139</f>
        <v>0</v>
      </c>
      <c r="Y147" s="74">
        <f>'IMPORT SCHLIESSERDATEN'!CQ139</f>
        <v>0</v>
      </c>
      <c r="Z147" s="74">
        <f>'IMPORT SCHLIESSERDATEN'!CV139</f>
        <v>0</v>
      </c>
      <c r="AA147" s="74">
        <f>'IMPORT SCHLIESSERDATEN'!CX139</f>
        <v>0</v>
      </c>
      <c r="AB147" s="74">
        <f>'IMPORT SCHLIESSERDATEN'!DC139</f>
        <v>0</v>
      </c>
      <c r="AC147" s="74">
        <f>'IMPORT SCHLIESSERDATEN'!DE139</f>
        <v>0</v>
      </c>
      <c r="AD147" s="74">
        <f>'IMPORT SCHLIESSERDATEN'!DJ139</f>
        <v>0</v>
      </c>
      <c r="AE147" s="74">
        <f>'IMPORT SCHLIESSERDATEN'!DL139</f>
        <v>0</v>
      </c>
      <c r="AF147" s="74">
        <f>'IMPORT SCHLIESSERDATEN'!DQ139</f>
        <v>0</v>
      </c>
      <c r="AG147" s="74">
        <f>IF('IMPORT SCHLIESSERDATEN'!DS139="V",9999,'IMPORT SCHLIESSERDATEN'!DS139)</f>
        <v>0</v>
      </c>
      <c r="AH147" s="74">
        <f>IF('IMPORT SCHLIESSERDATEN'!BZ139="V",9999,IF('IMPORT SCHLIESSERDATEN'!CD139="_",-1,'IMPORT SCHLIESSERDATEN'!BZ139))</f>
        <v>-1</v>
      </c>
      <c r="AI147" s="74">
        <f>IF('IMPORT SCHLIESSERDATEN'!CA139="V",9999,IF('IMPORT SCHLIESSERDATEN'!CD139="_",-1,'IMPORT SCHLIESSERDATEN'!CA139))</f>
        <v>-1</v>
      </c>
      <c r="AJ147" s="74">
        <f>IF('IMPORT SCHLIESSERDATEN'!CB139="V",9999,IF('IMPORT SCHLIESSERDATEN'!CD139="_",-1,'IMPORT SCHLIESSERDATEN'!CB139))</f>
        <v>-1</v>
      </c>
      <c r="AK147" s="74">
        <f>IF('IMPORT SCHLIESSERDATEN'!CC139="V",9999,IF('IMPORT SCHLIESSERDATEN'!CC139="_",-1,'IMPORT SCHLIESSERDATEN'!CC139))</f>
        <v>-1</v>
      </c>
      <c r="AL147" s="74">
        <f>IF('IMPORT SCHLIESSERDATEN'!CD139="_",-1,'IMPORT SCHLIESSERDATEN'!CD139)</f>
        <v>-1</v>
      </c>
      <c r="AM147" s="74">
        <f>'IMPORT SCHLIESSERDATEN'!CH139</f>
        <v>0</v>
      </c>
      <c r="AN147" s="74">
        <f>IF('IMPORT SCHLIESSERDATEN'!CE139="V",9999,'IMPORT SCHLIESSERDATEN'!CE139)</f>
        <v>41</v>
      </c>
      <c r="AO147" s="74">
        <f>IF('IMPORT SCHLIESSERDATEN'!CK139="_",-1,'IMPORT SCHLIESSERDATEN'!CK139)</f>
        <v>-1</v>
      </c>
      <c r="AP147" s="74">
        <f>IF('IMPORT SCHLIESSERDATEN'!$U139="",0,1)</f>
        <v>0</v>
      </c>
      <c r="AQ147" s="74">
        <f>IF('IMPORT SCHLIESSERDATEN'!$V139="",0,1)</f>
        <v>0</v>
      </c>
      <c r="AR147" s="74">
        <f>IF('IMPORT SCHLIESSERDATEN'!$W139="",0,1)</f>
        <v>0</v>
      </c>
      <c r="AS147" s="74">
        <f>IF('IMPORT SCHLIESSERDATEN'!$AA139="",0,1)</f>
        <v>1</v>
      </c>
      <c r="AT147" s="74">
        <f>IF('IMPORT SCHLIESSERDATEN'!$AD139="",0,1) + IF('IMPORT SCHLIESSERDATEN'!$AE139="",0,2)</f>
        <v>0</v>
      </c>
      <c r="AU147" s="74" t="str">
        <f>IF('IMPORT SCHLIESSERDATEN'!$X139="",IF('IMPORT SCHLIESSERDATEN'!$Y139="","","F"),"V")</f>
        <v/>
      </c>
      <c r="AV147" s="74" t="str">
        <f>IF('IMPORT SCHLIESSERDATEN'!$AB139&lt;&gt;"","M",IF('IMPORT SCHLIESSERDATEN'!$AD139&lt;&gt;"",IF(ISERR(SEARCH("UVIBIS",'IMPORT SCHLIESSERDATEN'!$B139)),"R","B"),IF(OR('IMPORT SCHLIESSERDATEN'!$AC139&lt;&gt;"",'IMPORT SCHLIESSERDATEN'!$AE139&lt;&gt;""),"E","")))</f>
        <v>M</v>
      </c>
      <c r="AW147" s="82"/>
      <c r="AX147" s="67"/>
    </row>
    <row r="148" spans="1:50" x14ac:dyDescent="0.25">
      <c r="A148" s="67">
        <f>IFERROR(IF(C148&lt;&gt;"",MAX($A$2:$A147)+1,""),"")</f>
        <v>136</v>
      </c>
      <c r="B148" s="223">
        <f t="shared" si="1"/>
        <v>136</v>
      </c>
      <c r="C148" s="216" t="str">
        <f>IF(J148=1,SUBSTITUTE('IMPORT SCHLIESSERDATEN'!$B140," Gangfl.",""),IF(J148=2,SUBSTITUTE('IMPORT SCHLIESSERDATEN'!$B140," Standfl.",""),'IMPORT SCHLIESSERDATEN'!$B140))</f>
        <v>BTS 80 EN 3</v>
      </c>
      <c r="D148" s="216" t="str">
        <f>IF('IMPORT SCHLIESSERDATEN'!$AF140&lt;&gt;"",IF(COUNTA('IMPORT SCHLIESSERDATEN'!$AN140:$AU140)&gt;0,"X","G"),IF('IMPORT SCHLIESSERDATEN'!$AG140&lt;&gt;"","S",IF('IMPORT SCHLIESSERDATEN'!$AH140&lt;&gt;"","I",IF('IMPORT SCHLIESSERDATEN'!$AI140&lt;&gt;"","B",IF('IMPORT SCHLIESSERDATEN'!$AJ140&lt;&gt;"","D","")))))</f>
        <v>B</v>
      </c>
      <c r="E148" s="248" t="str">
        <f>'IMPORT SCHLIESSERDATEN'!AK140 &amp; IF('IMPORT SCHLIESSERDATEN'!AL140="",""," "&amp; 'IMPORT SCHLIESSERDATEN'!AL140)</f>
        <v>80</v>
      </c>
      <c r="F148" s="74">
        <f>IFERROR(IF(D148="X",2^(MATCH("",'IMPORT SCHLIESSERDATEN'!$AN140:$AU140,-1)-1),IF(AV148="F",2^(MATCH("",'IMPORT SCHLIESSERDATEN'!$BH140:$BK140,-1)-1),2^(MATCH("",'IMPORT SCHLIESSERDATEN'!$AV140:$BG140,-1)-1))),0)</f>
        <v>0</v>
      </c>
      <c r="G148" s="74">
        <f>IF(AND('IMPORT SCHLIESSERDATEN'!$O140='IMPORT SCHLIESSERDATEN'!$R140,'IMPORT SCHLIESSERDATEN'!$O140&lt;&gt;"",'IMPORT SCHLIESSERDATEN'!$R140&lt;&gt;""),1,0)  +  IF(AND('IMPORT SCHLIESSERDATEN'!$P140='IMPORT SCHLIESSERDATEN'!$S140,'IMPORT SCHLIESSERDATEN'!$P140&lt;&gt;"",'IMPORT SCHLIESSERDATEN'!$S140&lt;&gt;""),2,0)   +  IF(AND('IMPORT SCHLIESSERDATEN'!$O140='IMPORT SCHLIESSERDATEN'!$S140,'IMPORT SCHLIESSERDATEN'!$O140&lt;&gt;"",'IMPORT SCHLIESSERDATEN'!$S140&lt;&gt;""),4,0)   +  IF(AND('IMPORT SCHLIESSERDATEN'!$P140='IMPORT SCHLIESSERDATEN'!$R140,'IMPORT SCHLIESSERDATEN'!$P140&lt;&gt;"",'IMPORT SCHLIESSERDATEN'!$R140&lt;&gt;""),8,0)   +  IF('IMPORT SCHLIESSERDATEN'!$Q140&lt;&gt;"",IF('IMPORT SCHLIESSERDATEN'!$R140&lt;&gt;"",32,0) + IF('IMPORT SCHLIESSERDATEN'!$S140&lt;&gt;"",64,0),0)  +  IF('IMPORT SCHLIESSERDATEN'!$T140&lt;&gt;"",IF('IMPORT SCHLIESSERDATEN'!$Q140&lt;&gt;"",128+256,128),0)</f>
        <v>384</v>
      </c>
      <c r="H148" s="74">
        <f>IF('IMPORT SCHLIESSERDATEN'!$H140="",0,1) + IF('IMPORT SCHLIESSERDATEN'!$I140="",0,2) + IF('IMPORT SCHLIESSERDATEN'!$J140="",0,4) + IF('IMPORT SCHLIESSERDATEN'!$K140="",0,8) + IF('IMPORT SCHLIESSERDATEN'!$L140="",0,16) + IF('IMPORT SCHLIESSERDATEN'!$M140="",0,32) + IF('IMPORT SCHLIESSERDATEN'!$N140="",0,64)</f>
        <v>4</v>
      </c>
      <c r="I148" s="74">
        <f>IF('IMPORT SCHLIESSERDATEN'!$D140="",0,1) + IF('IMPORT SCHLIESSERDATEN'!$E140="",0,2) + IF('IMPORT SCHLIESSERDATEN'!$E140="S",4,0)</f>
        <v>3</v>
      </c>
      <c r="J148" s="74">
        <f>IF(ISERR(FIND(" Gangfl.",'IMPORT SCHLIESSERDATEN'!$B140)),IF(ISERR(FIND(" Standfl.",'IMPORT SCHLIESSERDATEN'!$B140)),0,2),1)</f>
        <v>0</v>
      </c>
      <c r="K148" s="74">
        <f>'IMPORT SCHLIESSERDATEN'!CL140</f>
        <v>0</v>
      </c>
      <c r="L148" s="74">
        <f>'IMPORT SCHLIESSERDATEN'!CN140</f>
        <v>0</v>
      </c>
      <c r="M148" s="74">
        <f>IF('IMPORT SCHLIESSERDATEN'!CS140="wie TS",-1,'IMPORT SCHLIESSERDATEN'!CS140)</f>
        <v>0</v>
      </c>
      <c r="N148" s="74">
        <f>IF(M148&lt;0,-1,'IMPORT SCHLIESSERDATEN'!CU140)</f>
        <v>0</v>
      </c>
      <c r="O148" s="74">
        <f>IF('IMPORT SCHLIESSERDATEN'!CZ140="wie TS",-1,'IMPORT SCHLIESSERDATEN'!CZ140)</f>
        <v>-54</v>
      </c>
      <c r="P148" s="74">
        <f>IF(O148&lt;0,-1,'IMPORT SCHLIESSERDATEN'!DB140)</f>
        <v>-1</v>
      </c>
      <c r="Q148" s="74">
        <f>'IMPORT SCHLIESSERDATEN'!DG140</f>
        <v>0</v>
      </c>
      <c r="R148" s="74">
        <f>'IMPORT SCHLIESSERDATEN'!DI140</f>
        <v>0</v>
      </c>
      <c r="S148" s="74">
        <f>'IMPORT SCHLIESSERDATEN'!DN140</f>
        <v>0</v>
      </c>
      <c r="T148" s="74">
        <f>IF('IMPORT SCHLIESSERDATEN'!DP140="V",9999,'IMPORT SCHLIESSERDATEN'!DP140)</f>
        <v>0</v>
      </c>
      <c r="U148" s="74">
        <f>'IMPORT SCHLIESSERDATEN'!BW140</f>
        <v>341</v>
      </c>
      <c r="V148" s="74">
        <f>'IMPORT SCHLIESSERDATEN'!BX140</f>
        <v>78</v>
      </c>
      <c r="W148" s="74">
        <f>'IMPORT SCHLIESSERDATEN'!BY140</f>
        <v>60</v>
      </c>
      <c r="X148" s="74">
        <f>'IMPORT SCHLIESSERDATEN'!CO140</f>
        <v>0</v>
      </c>
      <c r="Y148" s="74">
        <f>'IMPORT SCHLIESSERDATEN'!CQ140</f>
        <v>0</v>
      </c>
      <c r="Z148" s="74">
        <f>'IMPORT SCHLIESSERDATEN'!CV140</f>
        <v>0</v>
      </c>
      <c r="AA148" s="74">
        <f>'IMPORT SCHLIESSERDATEN'!CX140</f>
        <v>0</v>
      </c>
      <c r="AB148" s="74">
        <f>'IMPORT SCHLIESSERDATEN'!DC140</f>
        <v>0</v>
      </c>
      <c r="AC148" s="74">
        <f>'IMPORT SCHLIESSERDATEN'!DE140</f>
        <v>0</v>
      </c>
      <c r="AD148" s="74">
        <f>'IMPORT SCHLIESSERDATEN'!DJ140</f>
        <v>0</v>
      </c>
      <c r="AE148" s="74">
        <f>'IMPORT SCHLIESSERDATEN'!DL140</f>
        <v>0</v>
      </c>
      <c r="AF148" s="74">
        <f>'IMPORT SCHLIESSERDATEN'!DQ140</f>
        <v>0</v>
      </c>
      <c r="AG148" s="74">
        <f>IF('IMPORT SCHLIESSERDATEN'!DS140="V",9999,'IMPORT SCHLIESSERDATEN'!DS140)</f>
        <v>0</v>
      </c>
      <c r="AH148" s="74">
        <f>IF('IMPORT SCHLIESSERDATEN'!BZ140="V",9999,IF('IMPORT SCHLIESSERDATEN'!CD140="_",-1,'IMPORT SCHLIESSERDATEN'!BZ140))</f>
        <v>-1</v>
      </c>
      <c r="AI148" s="74">
        <f>IF('IMPORT SCHLIESSERDATEN'!CA140="V",9999,IF('IMPORT SCHLIESSERDATEN'!CD140="_",-1,'IMPORT SCHLIESSERDATEN'!CA140))</f>
        <v>-1</v>
      </c>
      <c r="AJ148" s="74">
        <f>IF('IMPORT SCHLIESSERDATEN'!CB140="V",9999,IF('IMPORT SCHLIESSERDATEN'!CD140="_",-1,'IMPORT SCHLIESSERDATEN'!CB140))</f>
        <v>-1</v>
      </c>
      <c r="AK148" s="74">
        <f>IF('IMPORT SCHLIESSERDATEN'!CC140="V",9999,IF('IMPORT SCHLIESSERDATEN'!CC140="_",-1,'IMPORT SCHLIESSERDATEN'!CC140))</f>
        <v>-1</v>
      </c>
      <c r="AL148" s="74">
        <f>IF('IMPORT SCHLIESSERDATEN'!CD140="_",-1,'IMPORT SCHLIESSERDATEN'!CD140)</f>
        <v>-1</v>
      </c>
      <c r="AM148" s="74">
        <f>'IMPORT SCHLIESSERDATEN'!CH140</f>
        <v>0</v>
      </c>
      <c r="AN148" s="74">
        <f>IF('IMPORT SCHLIESSERDATEN'!CE140="V",9999,'IMPORT SCHLIESSERDATEN'!CE140)</f>
        <v>39</v>
      </c>
      <c r="AO148" s="74">
        <f>IF('IMPORT SCHLIESSERDATEN'!CK140="_",-1,'IMPORT SCHLIESSERDATEN'!CK140)</f>
        <v>-1</v>
      </c>
      <c r="AP148" s="74">
        <f>IF('IMPORT SCHLIESSERDATEN'!$U140="",0,1)</f>
        <v>0</v>
      </c>
      <c r="AQ148" s="74">
        <f>IF('IMPORT SCHLIESSERDATEN'!$V140="",0,1)</f>
        <v>0</v>
      </c>
      <c r="AR148" s="74">
        <f>IF('IMPORT SCHLIESSERDATEN'!$W140="",0,1)</f>
        <v>0</v>
      </c>
      <c r="AS148" s="74">
        <f>IF('IMPORT SCHLIESSERDATEN'!$AA140="",0,1)</f>
        <v>1</v>
      </c>
      <c r="AT148" s="74">
        <f>IF('IMPORT SCHLIESSERDATEN'!$AD140="",0,1) + IF('IMPORT SCHLIESSERDATEN'!$AE140="",0,2)</f>
        <v>0</v>
      </c>
      <c r="AU148" s="74" t="str">
        <f>IF('IMPORT SCHLIESSERDATEN'!$X140="",IF('IMPORT SCHLIESSERDATEN'!$Y140="","","F"),"V")</f>
        <v/>
      </c>
      <c r="AV148" s="74" t="str">
        <f>IF('IMPORT SCHLIESSERDATEN'!$AB140&lt;&gt;"","M",IF('IMPORT SCHLIESSERDATEN'!$AD140&lt;&gt;"",IF(ISERR(SEARCH("UVIBIS",'IMPORT SCHLIESSERDATEN'!$B140)),"R","B"),IF(OR('IMPORT SCHLIESSERDATEN'!$AC140&lt;&gt;"",'IMPORT SCHLIESSERDATEN'!$AE140&lt;&gt;""),"E","")))</f>
        <v>M</v>
      </c>
      <c r="AW148" s="82"/>
      <c r="AX148" s="67"/>
    </row>
    <row r="149" spans="1:50" x14ac:dyDescent="0.25">
      <c r="A149" s="67">
        <f>IFERROR(IF(C149&lt;&gt;"",MAX($A$2:$A148)+1,""),"")</f>
        <v>137</v>
      </c>
      <c r="B149" s="223">
        <f t="shared" si="1"/>
        <v>137</v>
      </c>
      <c r="C149" s="216" t="str">
        <f>IF(J149=1,SUBSTITUTE('IMPORT SCHLIESSERDATEN'!$B141," Gangfl.",""),IF(J149=2,SUBSTITUTE('IMPORT SCHLIESSERDATEN'!$B141," Standfl.",""),'IMPORT SCHLIESSERDATEN'!$B141))</f>
        <v>BTS 80 EN 4</v>
      </c>
      <c r="D149" s="216" t="str">
        <f>IF('IMPORT SCHLIESSERDATEN'!$AF141&lt;&gt;"",IF(COUNTA('IMPORT SCHLIESSERDATEN'!$AN141:$AU141)&gt;0,"X","G"),IF('IMPORT SCHLIESSERDATEN'!$AG141&lt;&gt;"","S",IF('IMPORT SCHLIESSERDATEN'!$AH141&lt;&gt;"","I",IF('IMPORT SCHLIESSERDATEN'!$AI141&lt;&gt;"","B",IF('IMPORT SCHLIESSERDATEN'!$AJ141&lt;&gt;"","D","")))))</f>
        <v>B</v>
      </c>
      <c r="E149" s="248" t="str">
        <f>'IMPORT SCHLIESSERDATEN'!AK141 &amp; IF('IMPORT SCHLIESSERDATEN'!AL141="",""," "&amp; 'IMPORT SCHLIESSERDATEN'!AL141)</f>
        <v>80</v>
      </c>
      <c r="F149" s="74">
        <f>IFERROR(IF(D149="X",2^(MATCH("",'IMPORT SCHLIESSERDATEN'!$AN141:$AU141,-1)-1),IF(AV149="F",2^(MATCH("",'IMPORT SCHLIESSERDATEN'!$BH141:$BK141,-1)-1),2^(MATCH("",'IMPORT SCHLIESSERDATEN'!$AV141:$BG141,-1)-1))),0)</f>
        <v>0</v>
      </c>
      <c r="G149" s="74">
        <f>IF(AND('IMPORT SCHLIESSERDATEN'!$O141='IMPORT SCHLIESSERDATEN'!$R141,'IMPORT SCHLIESSERDATEN'!$O141&lt;&gt;"",'IMPORT SCHLIESSERDATEN'!$R141&lt;&gt;""),1,0)  +  IF(AND('IMPORT SCHLIESSERDATEN'!$P141='IMPORT SCHLIESSERDATEN'!$S141,'IMPORT SCHLIESSERDATEN'!$P141&lt;&gt;"",'IMPORT SCHLIESSERDATEN'!$S141&lt;&gt;""),2,0)   +  IF(AND('IMPORT SCHLIESSERDATEN'!$O141='IMPORT SCHLIESSERDATEN'!$S141,'IMPORT SCHLIESSERDATEN'!$O141&lt;&gt;"",'IMPORT SCHLIESSERDATEN'!$S141&lt;&gt;""),4,0)   +  IF(AND('IMPORT SCHLIESSERDATEN'!$P141='IMPORT SCHLIESSERDATEN'!$R141,'IMPORT SCHLIESSERDATEN'!$P141&lt;&gt;"",'IMPORT SCHLIESSERDATEN'!$R141&lt;&gt;""),8,0)   +  IF('IMPORT SCHLIESSERDATEN'!$Q141&lt;&gt;"",IF('IMPORT SCHLIESSERDATEN'!$R141&lt;&gt;"",32,0) + IF('IMPORT SCHLIESSERDATEN'!$S141&lt;&gt;"",64,0),0)  +  IF('IMPORT SCHLIESSERDATEN'!$T141&lt;&gt;"",IF('IMPORT SCHLIESSERDATEN'!$Q141&lt;&gt;"",128+256,128),0)</f>
        <v>384</v>
      </c>
      <c r="H149" s="74">
        <f>IF('IMPORT SCHLIESSERDATEN'!$H141="",0,1) + IF('IMPORT SCHLIESSERDATEN'!$I141="",0,2) + IF('IMPORT SCHLIESSERDATEN'!$J141="",0,4) + IF('IMPORT SCHLIESSERDATEN'!$K141="",0,8) + IF('IMPORT SCHLIESSERDATEN'!$L141="",0,16) + IF('IMPORT SCHLIESSERDATEN'!$M141="",0,32) + IF('IMPORT SCHLIESSERDATEN'!$N141="",0,64)</f>
        <v>8</v>
      </c>
      <c r="I149" s="74">
        <f>IF('IMPORT SCHLIESSERDATEN'!$D141="",0,1) + IF('IMPORT SCHLIESSERDATEN'!$E141="",0,2) + IF('IMPORT SCHLIESSERDATEN'!$E141="S",4,0)</f>
        <v>3</v>
      </c>
      <c r="J149" s="74">
        <f>IF(ISERR(FIND(" Gangfl.",'IMPORT SCHLIESSERDATEN'!$B141)),IF(ISERR(FIND(" Standfl.",'IMPORT SCHLIESSERDATEN'!$B141)),0,2),1)</f>
        <v>0</v>
      </c>
      <c r="K149" s="74">
        <f>'IMPORT SCHLIESSERDATEN'!CL141</f>
        <v>0</v>
      </c>
      <c r="L149" s="74">
        <f>'IMPORT SCHLIESSERDATEN'!CN141</f>
        <v>0</v>
      </c>
      <c r="M149" s="74">
        <f>IF('IMPORT SCHLIESSERDATEN'!CS141="wie TS",-1,'IMPORT SCHLIESSERDATEN'!CS141)</f>
        <v>0</v>
      </c>
      <c r="N149" s="74">
        <f>IF(M149&lt;0,-1,'IMPORT SCHLIESSERDATEN'!CU141)</f>
        <v>0</v>
      </c>
      <c r="O149" s="74">
        <f>IF('IMPORT SCHLIESSERDATEN'!CZ141="wie TS",-1,'IMPORT SCHLIESSERDATEN'!CZ141)</f>
        <v>-54</v>
      </c>
      <c r="P149" s="74">
        <f>IF(O149&lt;0,-1,'IMPORT SCHLIESSERDATEN'!DB141)</f>
        <v>-1</v>
      </c>
      <c r="Q149" s="74">
        <f>'IMPORT SCHLIESSERDATEN'!DG141</f>
        <v>0</v>
      </c>
      <c r="R149" s="74">
        <f>'IMPORT SCHLIESSERDATEN'!DI141</f>
        <v>0</v>
      </c>
      <c r="S149" s="74">
        <f>'IMPORT SCHLIESSERDATEN'!DN141</f>
        <v>0</v>
      </c>
      <c r="T149" s="74">
        <f>IF('IMPORT SCHLIESSERDATEN'!DP141="V",9999,'IMPORT SCHLIESSERDATEN'!DP141)</f>
        <v>0</v>
      </c>
      <c r="U149" s="74">
        <f>'IMPORT SCHLIESSERDATEN'!BW141</f>
        <v>341</v>
      </c>
      <c r="V149" s="74">
        <f>'IMPORT SCHLIESSERDATEN'!BX141</f>
        <v>78</v>
      </c>
      <c r="W149" s="74">
        <f>'IMPORT SCHLIESSERDATEN'!BY141</f>
        <v>60</v>
      </c>
      <c r="X149" s="74">
        <f>'IMPORT SCHLIESSERDATEN'!CO141</f>
        <v>0</v>
      </c>
      <c r="Y149" s="74">
        <f>'IMPORT SCHLIESSERDATEN'!CQ141</f>
        <v>0</v>
      </c>
      <c r="Z149" s="74">
        <f>'IMPORT SCHLIESSERDATEN'!CV141</f>
        <v>0</v>
      </c>
      <c r="AA149" s="74">
        <f>'IMPORT SCHLIESSERDATEN'!CX141</f>
        <v>0</v>
      </c>
      <c r="AB149" s="74">
        <f>'IMPORT SCHLIESSERDATEN'!DC141</f>
        <v>0</v>
      </c>
      <c r="AC149" s="74">
        <f>'IMPORT SCHLIESSERDATEN'!DE141</f>
        <v>0</v>
      </c>
      <c r="AD149" s="74">
        <f>'IMPORT SCHLIESSERDATEN'!DJ141</f>
        <v>0</v>
      </c>
      <c r="AE149" s="74">
        <f>'IMPORT SCHLIESSERDATEN'!DL141</f>
        <v>0</v>
      </c>
      <c r="AF149" s="74">
        <f>'IMPORT SCHLIESSERDATEN'!DQ141</f>
        <v>0</v>
      </c>
      <c r="AG149" s="74">
        <f>IF('IMPORT SCHLIESSERDATEN'!DS141="V",9999,'IMPORT SCHLIESSERDATEN'!DS141)</f>
        <v>0</v>
      </c>
      <c r="AH149" s="74">
        <f>IF('IMPORT SCHLIESSERDATEN'!BZ141="V",9999,IF('IMPORT SCHLIESSERDATEN'!CD141="_",-1,'IMPORT SCHLIESSERDATEN'!BZ141))</f>
        <v>-1</v>
      </c>
      <c r="AI149" s="74">
        <f>IF('IMPORT SCHLIESSERDATEN'!CA141="V",9999,IF('IMPORT SCHLIESSERDATEN'!CD141="_",-1,'IMPORT SCHLIESSERDATEN'!CA141))</f>
        <v>-1</v>
      </c>
      <c r="AJ149" s="74">
        <f>IF('IMPORT SCHLIESSERDATEN'!CB141="V",9999,IF('IMPORT SCHLIESSERDATEN'!CD141="_",-1,'IMPORT SCHLIESSERDATEN'!CB141))</f>
        <v>-1</v>
      </c>
      <c r="AK149" s="74">
        <f>IF('IMPORT SCHLIESSERDATEN'!CC141="V",9999,IF('IMPORT SCHLIESSERDATEN'!CC141="_",-1,'IMPORT SCHLIESSERDATEN'!CC141))</f>
        <v>-1</v>
      </c>
      <c r="AL149" s="74">
        <f>IF('IMPORT SCHLIESSERDATEN'!CD141="_",-1,'IMPORT SCHLIESSERDATEN'!CD141)</f>
        <v>-1</v>
      </c>
      <c r="AM149" s="74">
        <f>'IMPORT SCHLIESSERDATEN'!CH141</f>
        <v>0</v>
      </c>
      <c r="AN149" s="74">
        <f>IF('IMPORT SCHLIESSERDATEN'!CE141="V",9999,'IMPORT SCHLIESSERDATEN'!CE141)</f>
        <v>39</v>
      </c>
      <c r="AO149" s="74">
        <f>IF('IMPORT SCHLIESSERDATEN'!CK141="_",-1,'IMPORT SCHLIESSERDATEN'!CK141)</f>
        <v>-1</v>
      </c>
      <c r="AP149" s="74">
        <f>IF('IMPORT SCHLIESSERDATEN'!$U141="",0,1)</f>
        <v>0</v>
      </c>
      <c r="AQ149" s="74">
        <f>IF('IMPORT SCHLIESSERDATEN'!$V141="",0,1)</f>
        <v>0</v>
      </c>
      <c r="AR149" s="74">
        <f>IF('IMPORT SCHLIESSERDATEN'!$W141="",0,1)</f>
        <v>0</v>
      </c>
      <c r="AS149" s="74">
        <f>IF('IMPORT SCHLIESSERDATEN'!$AA141="",0,1)</f>
        <v>1</v>
      </c>
      <c r="AT149" s="74">
        <f>IF('IMPORT SCHLIESSERDATEN'!$AD141="",0,1) + IF('IMPORT SCHLIESSERDATEN'!$AE141="",0,2)</f>
        <v>0</v>
      </c>
      <c r="AU149" s="74" t="str">
        <f>IF('IMPORT SCHLIESSERDATEN'!$X141="",IF('IMPORT SCHLIESSERDATEN'!$Y141="","","F"),"V")</f>
        <v/>
      </c>
      <c r="AV149" s="74" t="str">
        <f>IF('IMPORT SCHLIESSERDATEN'!$AB141&lt;&gt;"","M",IF('IMPORT SCHLIESSERDATEN'!$AD141&lt;&gt;"",IF(ISERR(SEARCH("UVIBIS",'IMPORT SCHLIESSERDATEN'!$B141)),"R","B"),IF(OR('IMPORT SCHLIESSERDATEN'!$AC141&lt;&gt;"",'IMPORT SCHLIESSERDATEN'!$AE141&lt;&gt;""),"E","")))</f>
        <v>M</v>
      </c>
      <c r="AW149" s="82"/>
      <c r="AX149" s="67"/>
    </row>
    <row r="150" spans="1:50" x14ac:dyDescent="0.25">
      <c r="A150" s="67">
        <f>IFERROR(IF(C150&lt;&gt;"",MAX($A$2:$A149)+1,""),"")</f>
        <v>138</v>
      </c>
      <c r="B150" s="223">
        <f t="shared" ref="B150:B200" si="3">ROW()-ROW($B$12)</f>
        <v>138</v>
      </c>
      <c r="C150" s="216" t="str">
        <f>IF(J150=1,SUBSTITUTE('IMPORT SCHLIESSERDATEN'!$B142," Gangfl.",""),IF(J150=2,SUBSTITUTE('IMPORT SCHLIESSERDATEN'!$B142," Standfl.",""),'IMPORT SCHLIESSERDATEN'!$B142))</f>
        <v>BTS 80 EN 6</v>
      </c>
      <c r="D150" s="216" t="str">
        <f>IF('IMPORT SCHLIESSERDATEN'!$AF142&lt;&gt;"",IF(COUNTA('IMPORT SCHLIESSERDATEN'!$AN142:$AU142)&gt;0,"X","G"),IF('IMPORT SCHLIESSERDATEN'!$AG142&lt;&gt;"","S",IF('IMPORT SCHLIESSERDATEN'!$AH142&lt;&gt;"","I",IF('IMPORT SCHLIESSERDATEN'!$AI142&lt;&gt;"","B",IF('IMPORT SCHLIESSERDATEN'!$AJ142&lt;&gt;"","D","")))))</f>
        <v>B</v>
      </c>
      <c r="E150" s="248" t="str">
        <f>'IMPORT SCHLIESSERDATEN'!AK142 &amp; IF('IMPORT SCHLIESSERDATEN'!AL142="",""," "&amp; 'IMPORT SCHLIESSERDATEN'!AL142)</f>
        <v>80</v>
      </c>
      <c r="F150" s="74">
        <f>IFERROR(IF(D150="X",2^(MATCH("",'IMPORT SCHLIESSERDATEN'!$AN142:$AU142,-1)-1),IF(AV150="F",2^(MATCH("",'IMPORT SCHLIESSERDATEN'!$BH142:$BK142,-1)-1),2^(MATCH("",'IMPORT SCHLIESSERDATEN'!$AV142:$BG142,-1)-1))),0)</f>
        <v>0</v>
      </c>
      <c r="G150" s="74">
        <f>IF(AND('IMPORT SCHLIESSERDATEN'!$O142='IMPORT SCHLIESSERDATEN'!$R142,'IMPORT SCHLIESSERDATEN'!$O142&lt;&gt;"",'IMPORT SCHLIESSERDATEN'!$R142&lt;&gt;""),1,0)  +  IF(AND('IMPORT SCHLIESSERDATEN'!$P142='IMPORT SCHLIESSERDATEN'!$S142,'IMPORT SCHLIESSERDATEN'!$P142&lt;&gt;"",'IMPORT SCHLIESSERDATEN'!$S142&lt;&gt;""),2,0)   +  IF(AND('IMPORT SCHLIESSERDATEN'!$O142='IMPORT SCHLIESSERDATEN'!$S142,'IMPORT SCHLIESSERDATEN'!$O142&lt;&gt;"",'IMPORT SCHLIESSERDATEN'!$S142&lt;&gt;""),4,0)   +  IF(AND('IMPORT SCHLIESSERDATEN'!$P142='IMPORT SCHLIESSERDATEN'!$R142,'IMPORT SCHLIESSERDATEN'!$P142&lt;&gt;"",'IMPORT SCHLIESSERDATEN'!$R142&lt;&gt;""),8,0)   +  IF('IMPORT SCHLIESSERDATEN'!$Q142&lt;&gt;"",IF('IMPORT SCHLIESSERDATEN'!$R142&lt;&gt;"",32,0) + IF('IMPORT SCHLIESSERDATEN'!$S142&lt;&gt;"",64,0),0)  +  IF('IMPORT SCHLIESSERDATEN'!$T142&lt;&gt;"",IF('IMPORT SCHLIESSERDATEN'!$Q142&lt;&gt;"",128+256,128),0)</f>
        <v>384</v>
      </c>
      <c r="H150" s="74">
        <f>IF('IMPORT SCHLIESSERDATEN'!$H142="",0,1) + IF('IMPORT SCHLIESSERDATEN'!$I142="",0,2) + IF('IMPORT SCHLIESSERDATEN'!$J142="",0,4) + IF('IMPORT SCHLIESSERDATEN'!$K142="",0,8) + IF('IMPORT SCHLIESSERDATEN'!$L142="",0,16) + IF('IMPORT SCHLIESSERDATEN'!$M142="",0,32) + IF('IMPORT SCHLIESSERDATEN'!$N142="",0,64)</f>
        <v>32</v>
      </c>
      <c r="I150" s="74">
        <f>IF('IMPORT SCHLIESSERDATEN'!$D142="",0,1) + IF('IMPORT SCHLIESSERDATEN'!$E142="",0,2) + IF('IMPORT SCHLIESSERDATEN'!$E142="S",4,0)</f>
        <v>3</v>
      </c>
      <c r="J150" s="74">
        <f>IF(ISERR(FIND(" Gangfl.",'IMPORT SCHLIESSERDATEN'!$B142)),IF(ISERR(FIND(" Standfl.",'IMPORT SCHLIESSERDATEN'!$B142)),0,2),1)</f>
        <v>0</v>
      </c>
      <c r="K150" s="74">
        <f>'IMPORT SCHLIESSERDATEN'!CL142</f>
        <v>0</v>
      </c>
      <c r="L150" s="74">
        <f>'IMPORT SCHLIESSERDATEN'!CN142</f>
        <v>0</v>
      </c>
      <c r="M150" s="74">
        <f>IF('IMPORT SCHLIESSERDATEN'!CS142="wie TS",-1,'IMPORT SCHLIESSERDATEN'!CS142)</f>
        <v>0</v>
      </c>
      <c r="N150" s="74">
        <f>IF(M150&lt;0,-1,'IMPORT SCHLIESSERDATEN'!CU142)</f>
        <v>0</v>
      </c>
      <c r="O150" s="74">
        <f>IF('IMPORT SCHLIESSERDATEN'!CZ142="wie TS",-1,'IMPORT SCHLIESSERDATEN'!CZ142)</f>
        <v>-54</v>
      </c>
      <c r="P150" s="74">
        <f>IF(O150&lt;0,-1,'IMPORT SCHLIESSERDATEN'!DB142)</f>
        <v>-1</v>
      </c>
      <c r="Q150" s="74">
        <f>'IMPORT SCHLIESSERDATEN'!DG142</f>
        <v>0</v>
      </c>
      <c r="R150" s="74">
        <f>'IMPORT SCHLIESSERDATEN'!DI142</f>
        <v>0</v>
      </c>
      <c r="S150" s="74">
        <f>'IMPORT SCHLIESSERDATEN'!DN142</f>
        <v>0</v>
      </c>
      <c r="T150" s="74">
        <f>IF('IMPORT SCHLIESSERDATEN'!DP142="V",9999,'IMPORT SCHLIESSERDATEN'!DP142)</f>
        <v>0</v>
      </c>
      <c r="U150" s="74">
        <f>'IMPORT SCHLIESSERDATEN'!BW142</f>
        <v>341</v>
      </c>
      <c r="V150" s="74">
        <f>'IMPORT SCHLIESSERDATEN'!BX142</f>
        <v>78</v>
      </c>
      <c r="W150" s="74">
        <f>'IMPORT SCHLIESSERDATEN'!BY142</f>
        <v>60</v>
      </c>
      <c r="X150" s="74">
        <f>'IMPORT SCHLIESSERDATEN'!CO142</f>
        <v>0</v>
      </c>
      <c r="Y150" s="74">
        <f>'IMPORT SCHLIESSERDATEN'!CQ142</f>
        <v>0</v>
      </c>
      <c r="Z150" s="74">
        <f>'IMPORT SCHLIESSERDATEN'!CV142</f>
        <v>0</v>
      </c>
      <c r="AA150" s="74">
        <f>'IMPORT SCHLIESSERDATEN'!CX142</f>
        <v>0</v>
      </c>
      <c r="AB150" s="74">
        <f>'IMPORT SCHLIESSERDATEN'!DC142</f>
        <v>0</v>
      </c>
      <c r="AC150" s="74">
        <f>'IMPORT SCHLIESSERDATEN'!DE142</f>
        <v>0</v>
      </c>
      <c r="AD150" s="74">
        <f>'IMPORT SCHLIESSERDATEN'!DJ142</f>
        <v>0</v>
      </c>
      <c r="AE150" s="74">
        <f>'IMPORT SCHLIESSERDATEN'!DL142</f>
        <v>0</v>
      </c>
      <c r="AF150" s="74">
        <f>'IMPORT SCHLIESSERDATEN'!DQ142</f>
        <v>0</v>
      </c>
      <c r="AG150" s="74">
        <f>IF('IMPORT SCHLIESSERDATEN'!DS142="V",9999,'IMPORT SCHLIESSERDATEN'!DS142)</f>
        <v>0</v>
      </c>
      <c r="AH150" s="74">
        <f>IF('IMPORT SCHLIESSERDATEN'!BZ142="V",9999,IF('IMPORT SCHLIESSERDATEN'!CD142="_",-1,'IMPORT SCHLIESSERDATEN'!BZ142))</f>
        <v>-1</v>
      </c>
      <c r="AI150" s="74">
        <f>IF('IMPORT SCHLIESSERDATEN'!CA142="V",9999,IF('IMPORT SCHLIESSERDATEN'!CD142="_",-1,'IMPORT SCHLIESSERDATEN'!CA142))</f>
        <v>-1</v>
      </c>
      <c r="AJ150" s="74">
        <f>IF('IMPORT SCHLIESSERDATEN'!CB142="V",9999,IF('IMPORT SCHLIESSERDATEN'!CD142="_",-1,'IMPORT SCHLIESSERDATEN'!CB142))</f>
        <v>-1</v>
      </c>
      <c r="AK150" s="74">
        <f>IF('IMPORT SCHLIESSERDATEN'!CC142="V",9999,IF('IMPORT SCHLIESSERDATEN'!CC142="_",-1,'IMPORT SCHLIESSERDATEN'!CC142))</f>
        <v>-1</v>
      </c>
      <c r="AL150" s="74">
        <f>IF('IMPORT SCHLIESSERDATEN'!CD142="_",-1,'IMPORT SCHLIESSERDATEN'!CD142)</f>
        <v>-1</v>
      </c>
      <c r="AM150" s="74">
        <f>'IMPORT SCHLIESSERDATEN'!CH142</f>
        <v>0</v>
      </c>
      <c r="AN150" s="74">
        <f>IF('IMPORT SCHLIESSERDATEN'!CE142="V",9999,'IMPORT SCHLIESSERDATEN'!CE142)</f>
        <v>39</v>
      </c>
      <c r="AO150" s="74">
        <f>IF('IMPORT SCHLIESSERDATEN'!CK142="_",-1,'IMPORT SCHLIESSERDATEN'!CK142)</f>
        <v>-1</v>
      </c>
      <c r="AP150" s="74">
        <f>IF('IMPORT SCHLIESSERDATEN'!$U142="",0,1)</f>
        <v>0</v>
      </c>
      <c r="AQ150" s="74">
        <f>IF('IMPORT SCHLIESSERDATEN'!$V142="",0,1)</f>
        <v>0</v>
      </c>
      <c r="AR150" s="74">
        <f>IF('IMPORT SCHLIESSERDATEN'!$W142="",0,1)</f>
        <v>0</v>
      </c>
      <c r="AS150" s="74">
        <f>IF('IMPORT SCHLIESSERDATEN'!$AA142="",0,1)</f>
        <v>1</v>
      </c>
      <c r="AT150" s="74">
        <f>IF('IMPORT SCHLIESSERDATEN'!$AD142="",0,1) + IF('IMPORT SCHLIESSERDATEN'!$AE142="",0,2)</f>
        <v>0</v>
      </c>
      <c r="AU150" s="74" t="str">
        <f>IF('IMPORT SCHLIESSERDATEN'!$X142="",IF('IMPORT SCHLIESSERDATEN'!$Y142="","","F"),"V")</f>
        <v/>
      </c>
      <c r="AV150" s="74" t="str">
        <f>IF('IMPORT SCHLIESSERDATEN'!$AB142&lt;&gt;"","M",IF('IMPORT SCHLIESSERDATEN'!$AD142&lt;&gt;"",IF(ISERR(SEARCH("UVIBIS",'IMPORT SCHLIESSERDATEN'!$B142)),"R","B"),IF(OR('IMPORT SCHLIESSERDATEN'!$AC142&lt;&gt;"",'IMPORT SCHLIESSERDATEN'!$AE142&lt;&gt;""),"E","")))</f>
        <v>M</v>
      </c>
      <c r="AW150" s="82"/>
      <c r="AX150" s="67"/>
    </row>
    <row r="151" spans="1:50" x14ac:dyDescent="0.25">
      <c r="A151" s="67">
        <f>IFERROR(IF(C151&lt;&gt;"",MAX($A$2:$A150)+1,""),"")</f>
        <v>139</v>
      </c>
      <c r="B151" s="223">
        <f t="shared" si="3"/>
        <v>139</v>
      </c>
      <c r="C151" s="216" t="str">
        <f>IF(J151=1,SUBSTITUTE('IMPORT SCHLIESSERDATEN'!$B143," Gangfl.",""),IF(J151=2,SUBSTITUTE('IMPORT SCHLIESSERDATEN'!$B143," Standfl.",""),'IMPORT SCHLIESSERDATEN'!$B143))</f>
        <v>BTS 80 F EN 4</v>
      </c>
      <c r="D151" s="216" t="str">
        <f>IF('IMPORT SCHLIESSERDATEN'!$AF143&lt;&gt;"",IF(COUNTA('IMPORT SCHLIESSERDATEN'!$AN143:$AU143)&gt;0,"X","G"),IF('IMPORT SCHLIESSERDATEN'!$AG143&lt;&gt;"","S",IF('IMPORT SCHLIESSERDATEN'!$AH143&lt;&gt;"","I",IF('IMPORT SCHLIESSERDATEN'!$AI143&lt;&gt;"","B",IF('IMPORT SCHLIESSERDATEN'!$AJ143&lt;&gt;"","D","")))))</f>
        <v>B</v>
      </c>
      <c r="E151" s="248" t="str">
        <f>'IMPORT SCHLIESSERDATEN'!AK143 &amp; IF('IMPORT SCHLIESSERDATEN'!AL143="",""," "&amp; 'IMPORT SCHLIESSERDATEN'!AL143)</f>
        <v>80 F</v>
      </c>
      <c r="F151" s="74">
        <f>IFERROR(IF(D151="X",2^(MATCH("",'IMPORT SCHLIESSERDATEN'!$AN143:$AU143,-1)-1),IF(AV151="F",2^(MATCH("",'IMPORT SCHLIESSERDATEN'!$BH143:$BK143,-1)-1),2^(MATCH("",'IMPORT SCHLIESSERDATEN'!$AV143:$BG143,-1)-1))),0)</f>
        <v>0</v>
      </c>
      <c r="G151" s="74">
        <f>IF(AND('IMPORT SCHLIESSERDATEN'!$O143='IMPORT SCHLIESSERDATEN'!$R143,'IMPORT SCHLIESSERDATEN'!$O143&lt;&gt;"",'IMPORT SCHLIESSERDATEN'!$R143&lt;&gt;""),1,0)  +  IF(AND('IMPORT SCHLIESSERDATEN'!$P143='IMPORT SCHLIESSERDATEN'!$S143,'IMPORT SCHLIESSERDATEN'!$P143&lt;&gt;"",'IMPORT SCHLIESSERDATEN'!$S143&lt;&gt;""),2,0)   +  IF(AND('IMPORT SCHLIESSERDATEN'!$O143='IMPORT SCHLIESSERDATEN'!$S143,'IMPORT SCHLIESSERDATEN'!$O143&lt;&gt;"",'IMPORT SCHLIESSERDATEN'!$S143&lt;&gt;""),4,0)   +  IF(AND('IMPORT SCHLIESSERDATEN'!$P143='IMPORT SCHLIESSERDATEN'!$R143,'IMPORT SCHLIESSERDATEN'!$P143&lt;&gt;"",'IMPORT SCHLIESSERDATEN'!$R143&lt;&gt;""),8,0)   +  IF('IMPORT SCHLIESSERDATEN'!$Q143&lt;&gt;"",IF('IMPORT SCHLIESSERDATEN'!$R143&lt;&gt;"",32,0) + IF('IMPORT SCHLIESSERDATEN'!$S143&lt;&gt;"",64,0),0)  +  IF('IMPORT SCHLIESSERDATEN'!$T143&lt;&gt;"",IF('IMPORT SCHLIESSERDATEN'!$Q143&lt;&gt;"",128+256,128),0)</f>
        <v>128</v>
      </c>
      <c r="H151" s="74">
        <f>IF('IMPORT SCHLIESSERDATEN'!$H143="",0,1) + IF('IMPORT SCHLIESSERDATEN'!$I143="",0,2) + IF('IMPORT SCHLIESSERDATEN'!$J143="",0,4) + IF('IMPORT SCHLIESSERDATEN'!$K143="",0,8) + IF('IMPORT SCHLIESSERDATEN'!$L143="",0,16) + IF('IMPORT SCHLIESSERDATEN'!$M143="",0,32) + IF('IMPORT SCHLIESSERDATEN'!$N143="",0,64)</f>
        <v>8</v>
      </c>
      <c r="I151" s="74">
        <f>IF('IMPORT SCHLIESSERDATEN'!$D143="",0,1) + IF('IMPORT SCHLIESSERDATEN'!$E143="",0,2) + IF('IMPORT SCHLIESSERDATEN'!$E143="S",4,0)</f>
        <v>1</v>
      </c>
      <c r="J151" s="74">
        <f>IF(ISERR(FIND(" Gangfl.",'IMPORT SCHLIESSERDATEN'!$B143)),IF(ISERR(FIND(" Standfl.",'IMPORT SCHLIESSERDATEN'!$B143)),0,2),1)</f>
        <v>0</v>
      </c>
      <c r="K151" s="74">
        <f>'IMPORT SCHLIESSERDATEN'!CL143</f>
        <v>0</v>
      </c>
      <c r="L151" s="74">
        <f>'IMPORT SCHLIESSERDATEN'!CN143</f>
        <v>0</v>
      </c>
      <c r="M151" s="74">
        <f>IF('IMPORT SCHLIESSERDATEN'!CS143="wie TS",-1,'IMPORT SCHLIESSERDATEN'!CS143)</f>
        <v>0</v>
      </c>
      <c r="N151" s="74">
        <f>IF(M151&lt;0,-1,'IMPORT SCHLIESSERDATEN'!CU143)</f>
        <v>0</v>
      </c>
      <c r="O151" s="74">
        <f>IF('IMPORT SCHLIESSERDATEN'!CZ143="wie TS",-1,'IMPORT SCHLIESSERDATEN'!CZ143)</f>
        <v>-54</v>
      </c>
      <c r="P151" s="74">
        <f>IF(O151&lt;0,-1,'IMPORT SCHLIESSERDATEN'!DB143)</f>
        <v>-1</v>
      </c>
      <c r="Q151" s="74">
        <f>'IMPORT SCHLIESSERDATEN'!DG143</f>
        <v>0</v>
      </c>
      <c r="R151" s="74">
        <f>'IMPORT SCHLIESSERDATEN'!DI143</f>
        <v>0</v>
      </c>
      <c r="S151" s="74">
        <f>'IMPORT SCHLIESSERDATEN'!DN143</f>
        <v>0</v>
      </c>
      <c r="T151" s="74">
        <f>IF('IMPORT SCHLIESSERDATEN'!DP143="V",9999,'IMPORT SCHLIESSERDATEN'!DP143)</f>
        <v>0</v>
      </c>
      <c r="U151" s="74">
        <f>'IMPORT SCHLIESSERDATEN'!BW143</f>
        <v>341</v>
      </c>
      <c r="V151" s="74">
        <f>'IMPORT SCHLIESSERDATEN'!BX143</f>
        <v>78</v>
      </c>
      <c r="W151" s="74">
        <f>'IMPORT SCHLIESSERDATEN'!BY143</f>
        <v>60</v>
      </c>
      <c r="X151" s="74">
        <f>'IMPORT SCHLIESSERDATEN'!CO143</f>
        <v>0</v>
      </c>
      <c r="Y151" s="74">
        <f>'IMPORT SCHLIESSERDATEN'!CQ143</f>
        <v>0</v>
      </c>
      <c r="Z151" s="74">
        <f>'IMPORT SCHLIESSERDATEN'!CV143</f>
        <v>0</v>
      </c>
      <c r="AA151" s="74">
        <f>'IMPORT SCHLIESSERDATEN'!CX143</f>
        <v>0</v>
      </c>
      <c r="AB151" s="74">
        <f>'IMPORT SCHLIESSERDATEN'!DC143</f>
        <v>0</v>
      </c>
      <c r="AC151" s="74">
        <f>'IMPORT SCHLIESSERDATEN'!DE143</f>
        <v>0</v>
      </c>
      <c r="AD151" s="74">
        <f>'IMPORT SCHLIESSERDATEN'!DJ143</f>
        <v>0</v>
      </c>
      <c r="AE151" s="74">
        <f>'IMPORT SCHLIESSERDATEN'!DL143</f>
        <v>0</v>
      </c>
      <c r="AF151" s="74">
        <f>'IMPORT SCHLIESSERDATEN'!DQ143</f>
        <v>0</v>
      </c>
      <c r="AG151" s="74">
        <f>IF('IMPORT SCHLIESSERDATEN'!DS143="V",9999,'IMPORT SCHLIESSERDATEN'!DS143)</f>
        <v>0</v>
      </c>
      <c r="AH151" s="74">
        <f>IF('IMPORT SCHLIESSERDATEN'!BZ143="V",9999,IF('IMPORT SCHLIESSERDATEN'!CD143="_",-1,'IMPORT SCHLIESSERDATEN'!BZ143))</f>
        <v>-1</v>
      </c>
      <c r="AI151" s="74">
        <f>IF('IMPORT SCHLIESSERDATEN'!CA143="V",9999,IF('IMPORT SCHLIESSERDATEN'!CD143="_",-1,'IMPORT SCHLIESSERDATEN'!CA143))</f>
        <v>-1</v>
      </c>
      <c r="AJ151" s="74">
        <f>IF('IMPORT SCHLIESSERDATEN'!CB143="V",9999,IF('IMPORT SCHLIESSERDATEN'!CD143="_",-1,'IMPORT SCHLIESSERDATEN'!CB143))</f>
        <v>-1</v>
      </c>
      <c r="AK151" s="74">
        <f>IF('IMPORT SCHLIESSERDATEN'!CC143="V",9999,IF('IMPORT SCHLIESSERDATEN'!CC143="_",-1,'IMPORT SCHLIESSERDATEN'!CC143))</f>
        <v>-1</v>
      </c>
      <c r="AL151" s="74">
        <f>IF('IMPORT SCHLIESSERDATEN'!CD143="_",-1,'IMPORT SCHLIESSERDATEN'!CD143)</f>
        <v>-1</v>
      </c>
      <c r="AM151" s="74">
        <f>'IMPORT SCHLIESSERDATEN'!CH143</f>
        <v>0</v>
      </c>
      <c r="AN151" s="74">
        <f>IF('IMPORT SCHLIESSERDATEN'!CE143="V",9999,'IMPORT SCHLIESSERDATEN'!CE143)</f>
        <v>39</v>
      </c>
      <c r="AO151" s="74">
        <f>IF('IMPORT SCHLIESSERDATEN'!CK143="_",-1,'IMPORT SCHLIESSERDATEN'!CK143)</f>
        <v>-1</v>
      </c>
      <c r="AP151" s="74">
        <f>IF('IMPORT SCHLIESSERDATEN'!$U143="",0,1)</f>
        <v>1</v>
      </c>
      <c r="AQ151" s="74">
        <f>IF('IMPORT SCHLIESSERDATEN'!$V143="",0,1)</f>
        <v>0</v>
      </c>
      <c r="AR151" s="74">
        <f>IF('IMPORT SCHLIESSERDATEN'!$W143="",0,1)</f>
        <v>0</v>
      </c>
      <c r="AS151" s="74">
        <f>IF('IMPORT SCHLIESSERDATEN'!$AA143="",0,1)</f>
        <v>1</v>
      </c>
      <c r="AT151" s="74">
        <f>IF('IMPORT SCHLIESSERDATEN'!$AD143="",0,1) + IF('IMPORT SCHLIESSERDATEN'!$AE143="",0,2)</f>
        <v>0</v>
      </c>
      <c r="AU151" s="74" t="str">
        <f>IF('IMPORT SCHLIESSERDATEN'!$X143="",IF('IMPORT SCHLIESSERDATEN'!$Y143="","","F"),"V")</f>
        <v/>
      </c>
      <c r="AV151" s="74" t="str">
        <f>IF('IMPORT SCHLIESSERDATEN'!$AB143&lt;&gt;"","M",IF('IMPORT SCHLIESSERDATEN'!$AD143&lt;&gt;"",IF(ISERR(SEARCH("UVIBIS",'IMPORT SCHLIESSERDATEN'!$B143)),"R","B"),IF(OR('IMPORT SCHLIESSERDATEN'!$AC143&lt;&gt;"",'IMPORT SCHLIESSERDATEN'!$AE143&lt;&gt;""),"E","")))</f>
        <v/>
      </c>
      <c r="AW151" s="82"/>
      <c r="AX151" s="67"/>
    </row>
    <row r="152" spans="1:50" x14ac:dyDescent="0.25">
      <c r="A152" s="67">
        <f>IFERROR(IF(C152&lt;&gt;"",MAX($A$2:$A151)+1,""),"")</f>
        <v>140</v>
      </c>
      <c r="B152" s="223">
        <f t="shared" si="3"/>
        <v>140</v>
      </c>
      <c r="C152" s="216" t="str">
        <f>IF(J152=1,SUBSTITUTE('IMPORT SCHLIESSERDATEN'!$B144," Gangfl.",""),IF(J152=2,SUBSTITUTE('IMPORT SCHLIESSERDATEN'!$B144," Standfl.",""),'IMPORT SCHLIESSERDATEN'!$B144))</f>
        <v>BTS 80 F EN 5</v>
      </c>
      <c r="D152" s="216" t="str">
        <f>IF('IMPORT SCHLIESSERDATEN'!$AF144&lt;&gt;"",IF(COUNTA('IMPORT SCHLIESSERDATEN'!$AN144:$AU144)&gt;0,"X","G"),IF('IMPORT SCHLIESSERDATEN'!$AG144&lt;&gt;"","S",IF('IMPORT SCHLIESSERDATEN'!$AH144&lt;&gt;"","I",IF('IMPORT SCHLIESSERDATEN'!$AI144&lt;&gt;"","B",IF('IMPORT SCHLIESSERDATEN'!$AJ144&lt;&gt;"","D","")))))</f>
        <v>B</v>
      </c>
      <c r="E152" s="248" t="str">
        <f>'IMPORT SCHLIESSERDATEN'!AK144 &amp; IF('IMPORT SCHLIESSERDATEN'!AL144="",""," "&amp; 'IMPORT SCHLIESSERDATEN'!AL144)</f>
        <v>80 F</v>
      </c>
      <c r="F152" s="74">
        <f>IFERROR(IF(D152="X",2^(MATCH("",'IMPORT SCHLIESSERDATEN'!$AN144:$AU144,-1)-1),IF(AV152="F",2^(MATCH("",'IMPORT SCHLIESSERDATEN'!$BH144:$BK144,-1)-1),2^(MATCH("",'IMPORT SCHLIESSERDATEN'!$AV144:$BG144,-1)-1))),0)</f>
        <v>0</v>
      </c>
      <c r="G152" s="74">
        <f>IF(AND('IMPORT SCHLIESSERDATEN'!$O144='IMPORT SCHLIESSERDATEN'!$R144,'IMPORT SCHLIESSERDATEN'!$O144&lt;&gt;"",'IMPORT SCHLIESSERDATEN'!$R144&lt;&gt;""),1,0)  +  IF(AND('IMPORT SCHLIESSERDATEN'!$P144='IMPORT SCHLIESSERDATEN'!$S144,'IMPORT SCHLIESSERDATEN'!$P144&lt;&gt;"",'IMPORT SCHLIESSERDATEN'!$S144&lt;&gt;""),2,0)   +  IF(AND('IMPORT SCHLIESSERDATEN'!$O144='IMPORT SCHLIESSERDATEN'!$S144,'IMPORT SCHLIESSERDATEN'!$O144&lt;&gt;"",'IMPORT SCHLIESSERDATEN'!$S144&lt;&gt;""),4,0)   +  IF(AND('IMPORT SCHLIESSERDATEN'!$P144='IMPORT SCHLIESSERDATEN'!$R144,'IMPORT SCHLIESSERDATEN'!$P144&lt;&gt;"",'IMPORT SCHLIESSERDATEN'!$R144&lt;&gt;""),8,0)   +  IF('IMPORT SCHLIESSERDATEN'!$Q144&lt;&gt;"",IF('IMPORT SCHLIESSERDATEN'!$R144&lt;&gt;"",32,0) + IF('IMPORT SCHLIESSERDATEN'!$S144&lt;&gt;"",64,0),0)  +  IF('IMPORT SCHLIESSERDATEN'!$T144&lt;&gt;"",IF('IMPORT SCHLIESSERDATEN'!$Q144&lt;&gt;"",128+256,128),0)</f>
        <v>128</v>
      </c>
      <c r="H152" s="74">
        <f>IF('IMPORT SCHLIESSERDATEN'!$H144="",0,1) + IF('IMPORT SCHLIESSERDATEN'!$I144="",0,2) + IF('IMPORT SCHLIESSERDATEN'!$J144="",0,4) + IF('IMPORT SCHLIESSERDATEN'!$K144="",0,8) + IF('IMPORT SCHLIESSERDATEN'!$L144="",0,16) + IF('IMPORT SCHLIESSERDATEN'!$M144="",0,32) + IF('IMPORT SCHLIESSERDATEN'!$N144="",0,64)</f>
        <v>16</v>
      </c>
      <c r="I152" s="74">
        <f>IF('IMPORT SCHLIESSERDATEN'!$D144="",0,1) + IF('IMPORT SCHLIESSERDATEN'!$E144="",0,2) + IF('IMPORT SCHLIESSERDATEN'!$E144="S",4,0)</f>
        <v>1</v>
      </c>
      <c r="J152" s="74">
        <f>IF(ISERR(FIND(" Gangfl.",'IMPORT SCHLIESSERDATEN'!$B144)),IF(ISERR(FIND(" Standfl.",'IMPORT SCHLIESSERDATEN'!$B144)),0,2),1)</f>
        <v>0</v>
      </c>
      <c r="K152" s="74">
        <f>'IMPORT SCHLIESSERDATEN'!CL144</f>
        <v>0</v>
      </c>
      <c r="L152" s="74">
        <f>'IMPORT SCHLIESSERDATEN'!CN144</f>
        <v>0</v>
      </c>
      <c r="M152" s="74">
        <f>IF('IMPORT SCHLIESSERDATEN'!CS144="wie TS",-1,'IMPORT SCHLIESSERDATEN'!CS144)</f>
        <v>0</v>
      </c>
      <c r="N152" s="74">
        <f>IF(M152&lt;0,-1,'IMPORT SCHLIESSERDATEN'!CU144)</f>
        <v>0</v>
      </c>
      <c r="O152" s="74">
        <f>IF('IMPORT SCHLIESSERDATEN'!CZ144="wie TS",-1,'IMPORT SCHLIESSERDATEN'!CZ144)</f>
        <v>-54</v>
      </c>
      <c r="P152" s="74">
        <f>IF(O152&lt;0,-1,'IMPORT SCHLIESSERDATEN'!DB144)</f>
        <v>-1</v>
      </c>
      <c r="Q152" s="74">
        <f>'IMPORT SCHLIESSERDATEN'!DG144</f>
        <v>0</v>
      </c>
      <c r="R152" s="74">
        <f>'IMPORT SCHLIESSERDATEN'!DI144</f>
        <v>0</v>
      </c>
      <c r="S152" s="74">
        <f>'IMPORT SCHLIESSERDATEN'!DN144</f>
        <v>0</v>
      </c>
      <c r="T152" s="74">
        <f>IF('IMPORT SCHLIESSERDATEN'!DP144="V",9999,'IMPORT SCHLIESSERDATEN'!DP144)</f>
        <v>0</v>
      </c>
      <c r="U152" s="74">
        <f>'IMPORT SCHLIESSERDATEN'!BW144</f>
        <v>341</v>
      </c>
      <c r="V152" s="74">
        <f>'IMPORT SCHLIESSERDATEN'!BX144</f>
        <v>78</v>
      </c>
      <c r="W152" s="74">
        <f>'IMPORT SCHLIESSERDATEN'!BY144</f>
        <v>60</v>
      </c>
      <c r="X152" s="74">
        <f>'IMPORT SCHLIESSERDATEN'!CO144</f>
        <v>0</v>
      </c>
      <c r="Y152" s="74">
        <f>'IMPORT SCHLIESSERDATEN'!CQ144</f>
        <v>0</v>
      </c>
      <c r="Z152" s="74">
        <f>'IMPORT SCHLIESSERDATEN'!CV144</f>
        <v>0</v>
      </c>
      <c r="AA152" s="74">
        <f>'IMPORT SCHLIESSERDATEN'!CX144</f>
        <v>0</v>
      </c>
      <c r="AB152" s="74">
        <f>'IMPORT SCHLIESSERDATEN'!DC144</f>
        <v>0</v>
      </c>
      <c r="AC152" s="74">
        <f>'IMPORT SCHLIESSERDATEN'!DE144</f>
        <v>0</v>
      </c>
      <c r="AD152" s="74">
        <f>'IMPORT SCHLIESSERDATEN'!DJ144</f>
        <v>0</v>
      </c>
      <c r="AE152" s="74">
        <f>'IMPORT SCHLIESSERDATEN'!DL144</f>
        <v>0</v>
      </c>
      <c r="AF152" s="74">
        <f>'IMPORT SCHLIESSERDATEN'!DQ144</f>
        <v>0</v>
      </c>
      <c r="AG152" s="74">
        <f>IF('IMPORT SCHLIESSERDATEN'!DS144="V",9999,'IMPORT SCHLIESSERDATEN'!DS144)</f>
        <v>0</v>
      </c>
      <c r="AH152" s="74">
        <f>IF('IMPORT SCHLIESSERDATEN'!BZ144="V",9999,IF('IMPORT SCHLIESSERDATEN'!CD144="_",-1,'IMPORT SCHLIESSERDATEN'!BZ144))</f>
        <v>-1</v>
      </c>
      <c r="AI152" s="74">
        <f>IF('IMPORT SCHLIESSERDATEN'!CA144="V",9999,IF('IMPORT SCHLIESSERDATEN'!CD144="_",-1,'IMPORT SCHLIESSERDATEN'!CA144))</f>
        <v>-1</v>
      </c>
      <c r="AJ152" s="74">
        <f>IF('IMPORT SCHLIESSERDATEN'!CB144="V",9999,IF('IMPORT SCHLIESSERDATEN'!CD144="_",-1,'IMPORT SCHLIESSERDATEN'!CB144))</f>
        <v>-1</v>
      </c>
      <c r="AK152" s="74">
        <f>IF('IMPORT SCHLIESSERDATEN'!CC144="V",9999,IF('IMPORT SCHLIESSERDATEN'!CC144="_",-1,'IMPORT SCHLIESSERDATEN'!CC144))</f>
        <v>-1</v>
      </c>
      <c r="AL152" s="74">
        <f>IF('IMPORT SCHLIESSERDATEN'!CD144="_",-1,'IMPORT SCHLIESSERDATEN'!CD144)</f>
        <v>-1</v>
      </c>
      <c r="AM152" s="74">
        <f>'IMPORT SCHLIESSERDATEN'!CH144</f>
        <v>0</v>
      </c>
      <c r="AN152" s="74">
        <f>IF('IMPORT SCHLIESSERDATEN'!CE144="V",9999,'IMPORT SCHLIESSERDATEN'!CE144)</f>
        <v>39</v>
      </c>
      <c r="AO152" s="74">
        <f>IF('IMPORT SCHLIESSERDATEN'!CK144="_",-1,'IMPORT SCHLIESSERDATEN'!CK144)</f>
        <v>-1</v>
      </c>
      <c r="AP152" s="74">
        <f>IF('IMPORT SCHLIESSERDATEN'!$U144="",0,1)</f>
        <v>1</v>
      </c>
      <c r="AQ152" s="74">
        <f>IF('IMPORT SCHLIESSERDATEN'!$V144="",0,1)</f>
        <v>0</v>
      </c>
      <c r="AR152" s="74">
        <f>IF('IMPORT SCHLIESSERDATEN'!$W144="",0,1)</f>
        <v>0</v>
      </c>
      <c r="AS152" s="74">
        <f>IF('IMPORT SCHLIESSERDATEN'!$AA144="",0,1)</f>
        <v>1</v>
      </c>
      <c r="AT152" s="74">
        <f>IF('IMPORT SCHLIESSERDATEN'!$AD144="",0,1) + IF('IMPORT SCHLIESSERDATEN'!$AE144="",0,2)</f>
        <v>0</v>
      </c>
      <c r="AU152" s="74" t="str">
        <f>IF('IMPORT SCHLIESSERDATEN'!$X144="",IF('IMPORT SCHLIESSERDATEN'!$Y144="","","F"),"V")</f>
        <v/>
      </c>
      <c r="AV152" s="74" t="str">
        <f>IF('IMPORT SCHLIESSERDATEN'!$AB144&lt;&gt;"","M",IF('IMPORT SCHLIESSERDATEN'!$AD144&lt;&gt;"",IF(ISERR(SEARCH("UVIBIS",'IMPORT SCHLIESSERDATEN'!$B144)),"R","B"),IF(OR('IMPORT SCHLIESSERDATEN'!$AC144&lt;&gt;"",'IMPORT SCHLIESSERDATEN'!$AE144&lt;&gt;""),"E","")))</f>
        <v/>
      </c>
      <c r="AW152" s="82"/>
      <c r="AX152" s="67"/>
    </row>
    <row r="153" spans="1:50" x14ac:dyDescent="0.25">
      <c r="A153" s="67">
        <f>IFERROR(IF(C153&lt;&gt;"",MAX($A$2:$A152)+1,""),"")</f>
        <v>141</v>
      </c>
      <c r="B153" s="223">
        <f t="shared" si="3"/>
        <v>141</v>
      </c>
      <c r="C153" s="216" t="str">
        <f>IF(J153=1,SUBSTITUTE('IMPORT SCHLIESSERDATEN'!$B145," Gangfl.",""),IF(J153=2,SUBSTITUTE('IMPORT SCHLIESSERDATEN'!$B145," Standfl.",""),'IMPORT SCHLIESSERDATEN'!$B145))</f>
        <v>BTS 80 F EN 6</v>
      </c>
      <c r="D153" s="216" t="str">
        <f>IF('IMPORT SCHLIESSERDATEN'!$AF145&lt;&gt;"",IF(COUNTA('IMPORT SCHLIESSERDATEN'!$AN145:$AU145)&gt;0,"X","G"),IF('IMPORT SCHLIESSERDATEN'!$AG145&lt;&gt;"","S",IF('IMPORT SCHLIESSERDATEN'!$AH145&lt;&gt;"","I",IF('IMPORT SCHLIESSERDATEN'!$AI145&lt;&gt;"","B",IF('IMPORT SCHLIESSERDATEN'!$AJ145&lt;&gt;"","D","")))))</f>
        <v>B</v>
      </c>
      <c r="E153" s="248" t="str">
        <f>'IMPORT SCHLIESSERDATEN'!AK145 &amp; IF('IMPORT SCHLIESSERDATEN'!AL145="",""," "&amp; 'IMPORT SCHLIESSERDATEN'!AL145)</f>
        <v>80 F</v>
      </c>
      <c r="F153" s="74">
        <f>IFERROR(IF(D153="X",2^(MATCH("",'IMPORT SCHLIESSERDATEN'!$AN145:$AU145,-1)-1),IF(AV153="F",2^(MATCH("",'IMPORT SCHLIESSERDATEN'!$BH145:$BK145,-1)-1),2^(MATCH("",'IMPORT SCHLIESSERDATEN'!$AV145:$BG145,-1)-1))),0)</f>
        <v>0</v>
      </c>
      <c r="G153" s="74">
        <f>IF(AND('IMPORT SCHLIESSERDATEN'!$O145='IMPORT SCHLIESSERDATEN'!$R145,'IMPORT SCHLIESSERDATEN'!$O145&lt;&gt;"",'IMPORT SCHLIESSERDATEN'!$R145&lt;&gt;""),1,0)  +  IF(AND('IMPORT SCHLIESSERDATEN'!$P145='IMPORT SCHLIESSERDATEN'!$S145,'IMPORT SCHLIESSERDATEN'!$P145&lt;&gt;"",'IMPORT SCHLIESSERDATEN'!$S145&lt;&gt;""),2,0)   +  IF(AND('IMPORT SCHLIESSERDATEN'!$O145='IMPORT SCHLIESSERDATEN'!$S145,'IMPORT SCHLIESSERDATEN'!$O145&lt;&gt;"",'IMPORT SCHLIESSERDATEN'!$S145&lt;&gt;""),4,0)   +  IF(AND('IMPORT SCHLIESSERDATEN'!$P145='IMPORT SCHLIESSERDATEN'!$R145,'IMPORT SCHLIESSERDATEN'!$P145&lt;&gt;"",'IMPORT SCHLIESSERDATEN'!$R145&lt;&gt;""),8,0)   +  IF('IMPORT SCHLIESSERDATEN'!$Q145&lt;&gt;"",IF('IMPORT SCHLIESSERDATEN'!$R145&lt;&gt;"",32,0) + IF('IMPORT SCHLIESSERDATEN'!$S145&lt;&gt;"",64,0),0)  +  IF('IMPORT SCHLIESSERDATEN'!$T145&lt;&gt;"",IF('IMPORT SCHLIESSERDATEN'!$Q145&lt;&gt;"",128+256,128),0)</f>
        <v>128</v>
      </c>
      <c r="H153" s="74">
        <f>IF('IMPORT SCHLIESSERDATEN'!$H145="",0,1) + IF('IMPORT SCHLIESSERDATEN'!$I145="",0,2) + IF('IMPORT SCHLIESSERDATEN'!$J145="",0,4) + IF('IMPORT SCHLIESSERDATEN'!$K145="",0,8) + IF('IMPORT SCHLIESSERDATEN'!$L145="",0,16) + IF('IMPORT SCHLIESSERDATEN'!$M145="",0,32) + IF('IMPORT SCHLIESSERDATEN'!$N145="",0,64)</f>
        <v>32</v>
      </c>
      <c r="I153" s="74">
        <f>IF('IMPORT SCHLIESSERDATEN'!$D145="",0,1) + IF('IMPORT SCHLIESSERDATEN'!$E145="",0,2) + IF('IMPORT SCHLIESSERDATEN'!$E145="S",4,0)</f>
        <v>1</v>
      </c>
      <c r="J153" s="74">
        <f>IF(ISERR(FIND(" Gangfl.",'IMPORT SCHLIESSERDATEN'!$B145)),IF(ISERR(FIND(" Standfl.",'IMPORT SCHLIESSERDATEN'!$B145)),0,2),1)</f>
        <v>0</v>
      </c>
      <c r="K153" s="74">
        <f>'IMPORT SCHLIESSERDATEN'!CL145</f>
        <v>0</v>
      </c>
      <c r="L153" s="74">
        <f>'IMPORT SCHLIESSERDATEN'!CN145</f>
        <v>0</v>
      </c>
      <c r="M153" s="74">
        <f>IF('IMPORT SCHLIESSERDATEN'!CS145="wie TS",-1,'IMPORT SCHLIESSERDATEN'!CS145)</f>
        <v>0</v>
      </c>
      <c r="N153" s="74">
        <f>IF(M153&lt;0,-1,'IMPORT SCHLIESSERDATEN'!CU145)</f>
        <v>0</v>
      </c>
      <c r="O153" s="74">
        <f>IF('IMPORT SCHLIESSERDATEN'!CZ145="wie TS",-1,'IMPORT SCHLIESSERDATEN'!CZ145)</f>
        <v>-54</v>
      </c>
      <c r="P153" s="74">
        <f>IF(O153&lt;0,-1,'IMPORT SCHLIESSERDATEN'!DB145)</f>
        <v>-1</v>
      </c>
      <c r="Q153" s="74">
        <f>'IMPORT SCHLIESSERDATEN'!DG145</f>
        <v>0</v>
      </c>
      <c r="R153" s="74">
        <f>'IMPORT SCHLIESSERDATEN'!DI145</f>
        <v>0</v>
      </c>
      <c r="S153" s="74">
        <f>'IMPORT SCHLIESSERDATEN'!DN145</f>
        <v>0</v>
      </c>
      <c r="T153" s="74">
        <f>IF('IMPORT SCHLIESSERDATEN'!DP145="V",9999,'IMPORT SCHLIESSERDATEN'!DP145)</f>
        <v>0</v>
      </c>
      <c r="U153" s="74">
        <f>'IMPORT SCHLIESSERDATEN'!BW145</f>
        <v>341</v>
      </c>
      <c r="V153" s="74">
        <f>'IMPORT SCHLIESSERDATEN'!BX145</f>
        <v>78</v>
      </c>
      <c r="W153" s="74">
        <f>'IMPORT SCHLIESSERDATEN'!BY145</f>
        <v>60</v>
      </c>
      <c r="X153" s="74">
        <f>'IMPORT SCHLIESSERDATEN'!CO145</f>
        <v>0</v>
      </c>
      <c r="Y153" s="74">
        <f>'IMPORT SCHLIESSERDATEN'!CQ145</f>
        <v>0</v>
      </c>
      <c r="Z153" s="74">
        <f>'IMPORT SCHLIESSERDATEN'!CV145</f>
        <v>0</v>
      </c>
      <c r="AA153" s="74">
        <f>'IMPORT SCHLIESSERDATEN'!CX145</f>
        <v>0</v>
      </c>
      <c r="AB153" s="74">
        <f>'IMPORT SCHLIESSERDATEN'!DC145</f>
        <v>0</v>
      </c>
      <c r="AC153" s="74">
        <f>'IMPORT SCHLIESSERDATEN'!DE145</f>
        <v>0</v>
      </c>
      <c r="AD153" s="74">
        <f>'IMPORT SCHLIESSERDATEN'!DJ145</f>
        <v>0</v>
      </c>
      <c r="AE153" s="74">
        <f>'IMPORT SCHLIESSERDATEN'!DL145</f>
        <v>0</v>
      </c>
      <c r="AF153" s="74">
        <f>'IMPORT SCHLIESSERDATEN'!DQ145</f>
        <v>0</v>
      </c>
      <c r="AG153" s="74">
        <f>IF('IMPORT SCHLIESSERDATEN'!DS145="V",9999,'IMPORT SCHLIESSERDATEN'!DS145)</f>
        <v>0</v>
      </c>
      <c r="AH153" s="74">
        <f>IF('IMPORT SCHLIESSERDATEN'!BZ145="V",9999,IF('IMPORT SCHLIESSERDATEN'!CD145="_",-1,'IMPORT SCHLIESSERDATEN'!BZ145))</f>
        <v>-1</v>
      </c>
      <c r="AI153" s="74">
        <f>IF('IMPORT SCHLIESSERDATEN'!CA145="V",9999,IF('IMPORT SCHLIESSERDATEN'!CD145="_",-1,'IMPORT SCHLIESSERDATEN'!CA145))</f>
        <v>-1</v>
      </c>
      <c r="AJ153" s="74">
        <f>IF('IMPORT SCHLIESSERDATEN'!CB145="V",9999,IF('IMPORT SCHLIESSERDATEN'!CD145="_",-1,'IMPORT SCHLIESSERDATEN'!CB145))</f>
        <v>-1</v>
      </c>
      <c r="AK153" s="74">
        <f>IF('IMPORT SCHLIESSERDATEN'!CC145="V",9999,IF('IMPORT SCHLIESSERDATEN'!CC145="_",-1,'IMPORT SCHLIESSERDATEN'!CC145))</f>
        <v>-1</v>
      </c>
      <c r="AL153" s="74">
        <f>IF('IMPORT SCHLIESSERDATEN'!CD145="_",-1,'IMPORT SCHLIESSERDATEN'!CD145)</f>
        <v>-1</v>
      </c>
      <c r="AM153" s="74">
        <f>'IMPORT SCHLIESSERDATEN'!CH145</f>
        <v>0</v>
      </c>
      <c r="AN153" s="74">
        <f>IF('IMPORT SCHLIESSERDATEN'!CE145="V",9999,'IMPORT SCHLIESSERDATEN'!CE145)</f>
        <v>39</v>
      </c>
      <c r="AO153" s="74">
        <f>IF('IMPORT SCHLIESSERDATEN'!CK145="_",-1,'IMPORT SCHLIESSERDATEN'!CK145)</f>
        <v>-1</v>
      </c>
      <c r="AP153" s="74">
        <f>IF('IMPORT SCHLIESSERDATEN'!$U145="",0,1)</f>
        <v>1</v>
      </c>
      <c r="AQ153" s="74">
        <f>IF('IMPORT SCHLIESSERDATEN'!$V145="",0,1)</f>
        <v>0</v>
      </c>
      <c r="AR153" s="74">
        <f>IF('IMPORT SCHLIESSERDATEN'!$W145="",0,1)</f>
        <v>0</v>
      </c>
      <c r="AS153" s="74">
        <f>IF('IMPORT SCHLIESSERDATEN'!$AA145="",0,1)</f>
        <v>1</v>
      </c>
      <c r="AT153" s="74">
        <f>IF('IMPORT SCHLIESSERDATEN'!$AD145="",0,1) + IF('IMPORT SCHLIESSERDATEN'!$AE145="",0,2)</f>
        <v>0</v>
      </c>
      <c r="AU153" s="74" t="str">
        <f>IF('IMPORT SCHLIESSERDATEN'!$X145="",IF('IMPORT SCHLIESSERDATEN'!$Y145="","","F"),"V")</f>
        <v/>
      </c>
      <c r="AV153" s="74" t="str">
        <f>IF('IMPORT SCHLIESSERDATEN'!$AB145&lt;&gt;"","M",IF('IMPORT SCHLIESSERDATEN'!$AD145&lt;&gt;"",IF(ISERR(SEARCH("UVIBIS",'IMPORT SCHLIESSERDATEN'!$B145)),"R","B"),IF(OR('IMPORT SCHLIESSERDATEN'!$AC145&lt;&gt;"",'IMPORT SCHLIESSERDATEN'!$AE145&lt;&gt;""),"E","")))</f>
        <v/>
      </c>
      <c r="AW153" s="82"/>
      <c r="AX153" s="67"/>
    </row>
    <row r="154" spans="1:50" x14ac:dyDescent="0.25">
      <c r="A154" s="67">
        <f>IFERROR(IF(C154&lt;&gt;"",MAX($A$2:$A153)+1,""),"")</f>
        <v>142</v>
      </c>
      <c r="B154" s="223">
        <f t="shared" si="3"/>
        <v>142</v>
      </c>
      <c r="C154" s="216" t="str">
        <f>IF(J154=1,SUBSTITUTE('IMPORT SCHLIESSERDATEN'!$B146," Gangfl.",""),IF(J154=2,SUBSTITUTE('IMPORT SCHLIESSERDATEN'!$B146," Standfl.",""),'IMPORT SCHLIESSERDATEN'!$B146))</f>
        <v>BTS 80 F EN 4 + SR</v>
      </c>
      <c r="D154" s="216" t="str">
        <f>IF('IMPORT SCHLIESSERDATEN'!$AF146&lt;&gt;"",IF(COUNTA('IMPORT SCHLIESSERDATEN'!$AN146:$AU146)&gt;0,"X","G"),IF('IMPORT SCHLIESSERDATEN'!$AG146&lt;&gt;"","S",IF('IMPORT SCHLIESSERDATEN'!$AH146&lt;&gt;"","I",IF('IMPORT SCHLIESSERDATEN'!$AI146&lt;&gt;"","B",IF('IMPORT SCHLIESSERDATEN'!$AJ146&lt;&gt;"","D","")))))</f>
        <v>B</v>
      </c>
      <c r="E154" s="248" t="str">
        <f>'IMPORT SCHLIESSERDATEN'!AK146 &amp; IF('IMPORT SCHLIESSERDATEN'!AL146="",""," "&amp; 'IMPORT SCHLIESSERDATEN'!AL146)</f>
        <v>80 F</v>
      </c>
      <c r="F154" s="74">
        <f>IFERROR(IF(D154="X",2^(MATCH("",'IMPORT SCHLIESSERDATEN'!$AN146:$AU146,-1)-1),IF(AV154="F",2^(MATCH("",'IMPORT SCHLIESSERDATEN'!$BH146:$BK146,-1)-1),2^(MATCH("",'IMPORT SCHLIESSERDATEN'!$AV146:$BG146,-1)-1))),0)</f>
        <v>0</v>
      </c>
      <c r="G154" s="74">
        <f>IF(AND('IMPORT SCHLIESSERDATEN'!$O146='IMPORT SCHLIESSERDATEN'!$R146,'IMPORT SCHLIESSERDATEN'!$O146&lt;&gt;"",'IMPORT SCHLIESSERDATEN'!$R146&lt;&gt;""),1,0)  +  IF(AND('IMPORT SCHLIESSERDATEN'!$P146='IMPORT SCHLIESSERDATEN'!$S146,'IMPORT SCHLIESSERDATEN'!$P146&lt;&gt;"",'IMPORT SCHLIESSERDATEN'!$S146&lt;&gt;""),2,0)   +  IF(AND('IMPORT SCHLIESSERDATEN'!$O146='IMPORT SCHLIESSERDATEN'!$S146,'IMPORT SCHLIESSERDATEN'!$O146&lt;&gt;"",'IMPORT SCHLIESSERDATEN'!$S146&lt;&gt;""),4,0)   +  IF(AND('IMPORT SCHLIESSERDATEN'!$P146='IMPORT SCHLIESSERDATEN'!$R146,'IMPORT SCHLIESSERDATEN'!$P146&lt;&gt;"",'IMPORT SCHLIESSERDATEN'!$R146&lt;&gt;""),8,0)   +  IF('IMPORT SCHLIESSERDATEN'!$Q146&lt;&gt;"",IF('IMPORT SCHLIESSERDATEN'!$R146&lt;&gt;"",32,0) + IF('IMPORT SCHLIESSERDATEN'!$S146&lt;&gt;"",64,0),0)  +  IF('IMPORT SCHLIESSERDATEN'!$T146&lt;&gt;"",IF('IMPORT SCHLIESSERDATEN'!$Q146&lt;&gt;"",128+256,128),0)</f>
        <v>128</v>
      </c>
      <c r="H154" s="74">
        <f>IF('IMPORT SCHLIESSERDATEN'!$H146="",0,1) + IF('IMPORT SCHLIESSERDATEN'!$I146="",0,2) + IF('IMPORT SCHLIESSERDATEN'!$J146="",0,4) + IF('IMPORT SCHLIESSERDATEN'!$K146="",0,8) + IF('IMPORT SCHLIESSERDATEN'!$L146="",0,16) + IF('IMPORT SCHLIESSERDATEN'!$M146="",0,32) + IF('IMPORT SCHLIESSERDATEN'!$N146="",0,64)</f>
        <v>8</v>
      </c>
      <c r="I154" s="74">
        <f>IF('IMPORT SCHLIESSERDATEN'!$D146="",0,1) + IF('IMPORT SCHLIESSERDATEN'!$E146="",0,2) + IF('IMPORT SCHLIESSERDATEN'!$E146="S",4,0)</f>
        <v>2</v>
      </c>
      <c r="J154" s="74">
        <f>IF(ISERR(FIND(" Gangfl.",'IMPORT SCHLIESSERDATEN'!$B146)),IF(ISERR(FIND(" Standfl.",'IMPORT SCHLIESSERDATEN'!$B146)),0,2),1)</f>
        <v>0</v>
      </c>
      <c r="K154" s="74">
        <f>'IMPORT SCHLIESSERDATEN'!CL146</f>
        <v>0</v>
      </c>
      <c r="L154" s="74">
        <f>'IMPORT SCHLIESSERDATEN'!CN146</f>
        <v>0</v>
      </c>
      <c r="M154" s="74">
        <f>IF('IMPORT SCHLIESSERDATEN'!CS146="wie TS",-1,'IMPORT SCHLIESSERDATEN'!CS146)</f>
        <v>0</v>
      </c>
      <c r="N154" s="74">
        <f>IF(M154&lt;0,-1,'IMPORT SCHLIESSERDATEN'!CU146)</f>
        <v>0</v>
      </c>
      <c r="O154" s="74">
        <f>IF('IMPORT SCHLIESSERDATEN'!CZ146="wie TS",-1,'IMPORT SCHLIESSERDATEN'!CZ146)</f>
        <v>-54</v>
      </c>
      <c r="P154" s="74">
        <f>IF(O154&lt;0,-1,'IMPORT SCHLIESSERDATEN'!DB146)</f>
        <v>-1</v>
      </c>
      <c r="Q154" s="74">
        <f>'IMPORT SCHLIESSERDATEN'!DG146</f>
        <v>0</v>
      </c>
      <c r="R154" s="74">
        <f>'IMPORT SCHLIESSERDATEN'!DI146</f>
        <v>0</v>
      </c>
      <c r="S154" s="74">
        <f>'IMPORT SCHLIESSERDATEN'!DN146</f>
        <v>0</v>
      </c>
      <c r="T154" s="74">
        <f>IF('IMPORT SCHLIESSERDATEN'!DP146="V",9999,'IMPORT SCHLIESSERDATEN'!DP146)</f>
        <v>0</v>
      </c>
      <c r="U154" s="74">
        <f>'IMPORT SCHLIESSERDATEN'!BW146</f>
        <v>341</v>
      </c>
      <c r="V154" s="74">
        <f>'IMPORT SCHLIESSERDATEN'!BX146</f>
        <v>78</v>
      </c>
      <c r="W154" s="74">
        <f>'IMPORT SCHLIESSERDATEN'!BY146</f>
        <v>60</v>
      </c>
      <c r="X154" s="74">
        <f>'IMPORT SCHLIESSERDATEN'!CO146</f>
        <v>0</v>
      </c>
      <c r="Y154" s="74">
        <f>'IMPORT SCHLIESSERDATEN'!CQ146</f>
        <v>0</v>
      </c>
      <c r="Z154" s="74">
        <f>'IMPORT SCHLIESSERDATEN'!CV146</f>
        <v>0</v>
      </c>
      <c r="AA154" s="74">
        <f>'IMPORT SCHLIESSERDATEN'!CX146</f>
        <v>0</v>
      </c>
      <c r="AB154" s="74">
        <f>'IMPORT SCHLIESSERDATEN'!DC146</f>
        <v>0</v>
      </c>
      <c r="AC154" s="74">
        <f>'IMPORT SCHLIESSERDATEN'!DE146</f>
        <v>0</v>
      </c>
      <c r="AD154" s="74">
        <f>'IMPORT SCHLIESSERDATEN'!DJ146</f>
        <v>0</v>
      </c>
      <c r="AE154" s="74">
        <f>'IMPORT SCHLIESSERDATEN'!DL146</f>
        <v>0</v>
      </c>
      <c r="AF154" s="74">
        <f>'IMPORT SCHLIESSERDATEN'!DQ146</f>
        <v>0</v>
      </c>
      <c r="AG154" s="74">
        <f>IF('IMPORT SCHLIESSERDATEN'!DS146="V",9999,'IMPORT SCHLIESSERDATEN'!DS146)</f>
        <v>0</v>
      </c>
      <c r="AH154" s="74">
        <f>IF('IMPORT SCHLIESSERDATEN'!BZ146="V",9999,IF('IMPORT SCHLIESSERDATEN'!CD146="_",-1,'IMPORT SCHLIESSERDATEN'!BZ146))</f>
        <v>-1</v>
      </c>
      <c r="AI154" s="74">
        <f>IF('IMPORT SCHLIESSERDATEN'!CA146="V",9999,IF('IMPORT SCHLIESSERDATEN'!CD146="_",-1,'IMPORT SCHLIESSERDATEN'!CA146))</f>
        <v>-1</v>
      </c>
      <c r="AJ154" s="74">
        <f>IF('IMPORT SCHLIESSERDATEN'!CB146="V",9999,IF('IMPORT SCHLIESSERDATEN'!CD146="_",-1,'IMPORT SCHLIESSERDATEN'!CB146))</f>
        <v>-1</v>
      </c>
      <c r="AK154" s="74">
        <f>IF('IMPORT SCHLIESSERDATEN'!CC146="V",9999,IF('IMPORT SCHLIESSERDATEN'!CC146="_",-1,'IMPORT SCHLIESSERDATEN'!CC146))</f>
        <v>-1</v>
      </c>
      <c r="AL154" s="74">
        <f>IF('IMPORT SCHLIESSERDATEN'!CD146="_",-1,'IMPORT SCHLIESSERDATEN'!CD146)</f>
        <v>-1</v>
      </c>
      <c r="AM154" s="74">
        <f>'IMPORT SCHLIESSERDATEN'!CH146</f>
        <v>0</v>
      </c>
      <c r="AN154" s="74">
        <f>IF('IMPORT SCHLIESSERDATEN'!CE146="V",9999,'IMPORT SCHLIESSERDATEN'!CE146)</f>
        <v>39</v>
      </c>
      <c r="AO154" s="74">
        <f>IF('IMPORT SCHLIESSERDATEN'!CK146="_",-1,'IMPORT SCHLIESSERDATEN'!CK146)</f>
        <v>-1</v>
      </c>
      <c r="AP154" s="74">
        <f>IF('IMPORT SCHLIESSERDATEN'!$U146="",0,1)</f>
        <v>1</v>
      </c>
      <c r="AQ154" s="74">
        <f>IF('IMPORT SCHLIESSERDATEN'!$V146="",0,1)</f>
        <v>0</v>
      </c>
      <c r="AR154" s="74">
        <f>IF('IMPORT SCHLIESSERDATEN'!$W146="",0,1)</f>
        <v>0</v>
      </c>
      <c r="AS154" s="74">
        <f>IF('IMPORT SCHLIESSERDATEN'!$AA146="",0,1)</f>
        <v>1</v>
      </c>
      <c r="AT154" s="74">
        <f>IF('IMPORT SCHLIESSERDATEN'!$AD146="",0,1) + IF('IMPORT SCHLIESSERDATEN'!$AE146="",0,2)</f>
        <v>0</v>
      </c>
      <c r="AU154" s="74" t="str">
        <f>IF('IMPORT SCHLIESSERDATEN'!$X146="",IF('IMPORT SCHLIESSERDATEN'!$Y146="","","F"),"V")</f>
        <v/>
      </c>
      <c r="AV154" s="74" t="str">
        <f>IF('IMPORT SCHLIESSERDATEN'!$AB146&lt;&gt;"","M",IF('IMPORT SCHLIESSERDATEN'!$AD146&lt;&gt;"",IF(ISERR(SEARCH("UVIBIS",'IMPORT SCHLIESSERDATEN'!$B146)),"R","B"),IF(OR('IMPORT SCHLIESSERDATEN'!$AC146&lt;&gt;"",'IMPORT SCHLIESSERDATEN'!$AE146&lt;&gt;""),"E","")))</f>
        <v/>
      </c>
      <c r="AW154" s="82"/>
      <c r="AX154" s="67"/>
    </row>
    <row r="155" spans="1:50" x14ac:dyDescent="0.25">
      <c r="A155" s="67">
        <f>IFERROR(IF(C155&lt;&gt;"",MAX($A$2:$A154)+1,""),"")</f>
        <v>143</v>
      </c>
      <c r="B155" s="223">
        <f t="shared" si="3"/>
        <v>143</v>
      </c>
      <c r="C155" s="216" t="str">
        <f>IF(J155=1,SUBSTITUTE('IMPORT SCHLIESSERDATEN'!$B147," Gangfl.",""),IF(J155=2,SUBSTITUTE('IMPORT SCHLIESSERDATEN'!$B147," Standfl.",""),'IMPORT SCHLIESSERDATEN'!$B147))</f>
        <v>BTS 80 F EN 5 + SR</v>
      </c>
      <c r="D155" s="216" t="str">
        <f>IF('IMPORT SCHLIESSERDATEN'!$AF147&lt;&gt;"",IF(COUNTA('IMPORT SCHLIESSERDATEN'!$AN147:$AU147)&gt;0,"X","G"),IF('IMPORT SCHLIESSERDATEN'!$AG147&lt;&gt;"","S",IF('IMPORT SCHLIESSERDATEN'!$AH147&lt;&gt;"","I",IF('IMPORT SCHLIESSERDATEN'!$AI147&lt;&gt;"","B",IF('IMPORT SCHLIESSERDATEN'!$AJ147&lt;&gt;"","D","")))))</f>
        <v>B</v>
      </c>
      <c r="E155" s="248" t="str">
        <f>'IMPORT SCHLIESSERDATEN'!AK147 &amp; IF('IMPORT SCHLIESSERDATEN'!AL147="",""," "&amp; 'IMPORT SCHLIESSERDATEN'!AL147)</f>
        <v>80 F</v>
      </c>
      <c r="F155" s="74">
        <f>IFERROR(IF(D155="X",2^(MATCH("",'IMPORT SCHLIESSERDATEN'!$AN147:$AU147,-1)-1),IF(AV155="F",2^(MATCH("",'IMPORT SCHLIESSERDATEN'!$BH147:$BK147,-1)-1),2^(MATCH("",'IMPORT SCHLIESSERDATEN'!$AV147:$BG147,-1)-1))),0)</f>
        <v>0</v>
      </c>
      <c r="G155" s="74">
        <f>IF(AND('IMPORT SCHLIESSERDATEN'!$O147='IMPORT SCHLIESSERDATEN'!$R147,'IMPORT SCHLIESSERDATEN'!$O147&lt;&gt;"",'IMPORT SCHLIESSERDATEN'!$R147&lt;&gt;""),1,0)  +  IF(AND('IMPORT SCHLIESSERDATEN'!$P147='IMPORT SCHLIESSERDATEN'!$S147,'IMPORT SCHLIESSERDATEN'!$P147&lt;&gt;"",'IMPORT SCHLIESSERDATEN'!$S147&lt;&gt;""),2,0)   +  IF(AND('IMPORT SCHLIESSERDATEN'!$O147='IMPORT SCHLIESSERDATEN'!$S147,'IMPORT SCHLIESSERDATEN'!$O147&lt;&gt;"",'IMPORT SCHLIESSERDATEN'!$S147&lt;&gt;""),4,0)   +  IF(AND('IMPORT SCHLIESSERDATEN'!$P147='IMPORT SCHLIESSERDATEN'!$R147,'IMPORT SCHLIESSERDATEN'!$P147&lt;&gt;"",'IMPORT SCHLIESSERDATEN'!$R147&lt;&gt;""),8,0)   +  IF('IMPORT SCHLIESSERDATEN'!$Q147&lt;&gt;"",IF('IMPORT SCHLIESSERDATEN'!$R147&lt;&gt;"",32,0) + IF('IMPORT SCHLIESSERDATEN'!$S147&lt;&gt;"",64,0),0)  +  IF('IMPORT SCHLIESSERDATEN'!$T147&lt;&gt;"",IF('IMPORT SCHLIESSERDATEN'!$Q147&lt;&gt;"",128+256,128),0)</f>
        <v>128</v>
      </c>
      <c r="H155" s="74">
        <f>IF('IMPORT SCHLIESSERDATEN'!$H147="",0,1) + IF('IMPORT SCHLIESSERDATEN'!$I147="",0,2) + IF('IMPORT SCHLIESSERDATEN'!$J147="",0,4) + IF('IMPORT SCHLIESSERDATEN'!$K147="",0,8) + IF('IMPORT SCHLIESSERDATEN'!$L147="",0,16) + IF('IMPORT SCHLIESSERDATEN'!$M147="",0,32) + IF('IMPORT SCHLIESSERDATEN'!$N147="",0,64)</f>
        <v>16</v>
      </c>
      <c r="I155" s="74">
        <f>IF('IMPORT SCHLIESSERDATEN'!$D147="",0,1) + IF('IMPORT SCHLIESSERDATEN'!$E147="",0,2) + IF('IMPORT SCHLIESSERDATEN'!$E147="S",4,0)</f>
        <v>2</v>
      </c>
      <c r="J155" s="74">
        <f>IF(ISERR(FIND(" Gangfl.",'IMPORT SCHLIESSERDATEN'!$B147)),IF(ISERR(FIND(" Standfl.",'IMPORT SCHLIESSERDATEN'!$B147)),0,2),1)</f>
        <v>0</v>
      </c>
      <c r="K155" s="74">
        <f>'IMPORT SCHLIESSERDATEN'!CL147</f>
        <v>0</v>
      </c>
      <c r="L155" s="74">
        <f>'IMPORT SCHLIESSERDATEN'!CN147</f>
        <v>0</v>
      </c>
      <c r="M155" s="74">
        <f>IF('IMPORT SCHLIESSERDATEN'!CS147="wie TS",-1,'IMPORT SCHLIESSERDATEN'!CS147)</f>
        <v>0</v>
      </c>
      <c r="N155" s="74">
        <f>IF(M155&lt;0,-1,'IMPORT SCHLIESSERDATEN'!CU147)</f>
        <v>0</v>
      </c>
      <c r="O155" s="74">
        <f>IF('IMPORT SCHLIESSERDATEN'!CZ147="wie TS",-1,'IMPORT SCHLIESSERDATEN'!CZ147)</f>
        <v>-54</v>
      </c>
      <c r="P155" s="74">
        <f>IF(O155&lt;0,-1,'IMPORT SCHLIESSERDATEN'!DB147)</f>
        <v>-1</v>
      </c>
      <c r="Q155" s="74">
        <f>'IMPORT SCHLIESSERDATEN'!DG147</f>
        <v>0</v>
      </c>
      <c r="R155" s="74">
        <f>'IMPORT SCHLIESSERDATEN'!DI147</f>
        <v>0</v>
      </c>
      <c r="S155" s="74">
        <f>'IMPORT SCHLIESSERDATEN'!DN147</f>
        <v>0</v>
      </c>
      <c r="T155" s="74">
        <f>IF('IMPORT SCHLIESSERDATEN'!DP147="V",9999,'IMPORT SCHLIESSERDATEN'!DP147)</f>
        <v>0</v>
      </c>
      <c r="U155" s="74">
        <f>'IMPORT SCHLIESSERDATEN'!BW147</f>
        <v>341</v>
      </c>
      <c r="V155" s="74">
        <f>'IMPORT SCHLIESSERDATEN'!BX147</f>
        <v>78</v>
      </c>
      <c r="W155" s="74">
        <f>'IMPORT SCHLIESSERDATEN'!BY147</f>
        <v>60</v>
      </c>
      <c r="X155" s="74">
        <f>'IMPORT SCHLIESSERDATEN'!CO147</f>
        <v>0</v>
      </c>
      <c r="Y155" s="74">
        <f>'IMPORT SCHLIESSERDATEN'!CQ147</f>
        <v>0</v>
      </c>
      <c r="Z155" s="74">
        <f>'IMPORT SCHLIESSERDATEN'!CV147</f>
        <v>0</v>
      </c>
      <c r="AA155" s="74">
        <f>'IMPORT SCHLIESSERDATEN'!CX147</f>
        <v>0</v>
      </c>
      <c r="AB155" s="74">
        <f>'IMPORT SCHLIESSERDATEN'!DC147</f>
        <v>0</v>
      </c>
      <c r="AC155" s="74">
        <f>'IMPORT SCHLIESSERDATEN'!DE147</f>
        <v>0</v>
      </c>
      <c r="AD155" s="74">
        <f>'IMPORT SCHLIESSERDATEN'!DJ147</f>
        <v>0</v>
      </c>
      <c r="AE155" s="74">
        <f>'IMPORT SCHLIESSERDATEN'!DL147</f>
        <v>0</v>
      </c>
      <c r="AF155" s="74">
        <f>'IMPORT SCHLIESSERDATEN'!DQ147</f>
        <v>0</v>
      </c>
      <c r="AG155" s="74">
        <f>IF('IMPORT SCHLIESSERDATEN'!DS147="V",9999,'IMPORT SCHLIESSERDATEN'!DS147)</f>
        <v>0</v>
      </c>
      <c r="AH155" s="74">
        <f>IF('IMPORT SCHLIESSERDATEN'!BZ147="V",9999,IF('IMPORT SCHLIESSERDATEN'!CD147="_",-1,'IMPORT SCHLIESSERDATEN'!BZ147))</f>
        <v>-1</v>
      </c>
      <c r="AI155" s="74">
        <f>IF('IMPORT SCHLIESSERDATEN'!CA147="V",9999,IF('IMPORT SCHLIESSERDATEN'!CD147="_",-1,'IMPORT SCHLIESSERDATEN'!CA147))</f>
        <v>-1</v>
      </c>
      <c r="AJ155" s="74">
        <f>IF('IMPORT SCHLIESSERDATEN'!CB147="V",9999,IF('IMPORT SCHLIESSERDATEN'!CD147="_",-1,'IMPORT SCHLIESSERDATEN'!CB147))</f>
        <v>-1</v>
      </c>
      <c r="AK155" s="74">
        <f>IF('IMPORT SCHLIESSERDATEN'!CC147="V",9999,IF('IMPORT SCHLIESSERDATEN'!CC147="_",-1,'IMPORT SCHLIESSERDATEN'!CC147))</f>
        <v>-1</v>
      </c>
      <c r="AL155" s="74">
        <f>IF('IMPORT SCHLIESSERDATEN'!CD147="_",-1,'IMPORT SCHLIESSERDATEN'!CD147)</f>
        <v>-1</v>
      </c>
      <c r="AM155" s="74">
        <f>'IMPORT SCHLIESSERDATEN'!CH147</f>
        <v>0</v>
      </c>
      <c r="AN155" s="74">
        <f>IF('IMPORT SCHLIESSERDATEN'!CE147="V",9999,'IMPORT SCHLIESSERDATEN'!CE147)</f>
        <v>39</v>
      </c>
      <c r="AO155" s="74">
        <f>IF('IMPORT SCHLIESSERDATEN'!CK147="_",-1,'IMPORT SCHLIESSERDATEN'!CK147)</f>
        <v>-1</v>
      </c>
      <c r="AP155" s="74">
        <f>IF('IMPORT SCHLIESSERDATEN'!$U147="",0,1)</f>
        <v>1</v>
      </c>
      <c r="AQ155" s="74">
        <f>IF('IMPORT SCHLIESSERDATEN'!$V147="",0,1)</f>
        <v>0</v>
      </c>
      <c r="AR155" s="74">
        <f>IF('IMPORT SCHLIESSERDATEN'!$W147="",0,1)</f>
        <v>0</v>
      </c>
      <c r="AS155" s="74">
        <f>IF('IMPORT SCHLIESSERDATEN'!$AA147="",0,1)</f>
        <v>1</v>
      </c>
      <c r="AT155" s="74">
        <f>IF('IMPORT SCHLIESSERDATEN'!$AD147="",0,1) + IF('IMPORT SCHLIESSERDATEN'!$AE147="",0,2)</f>
        <v>0</v>
      </c>
      <c r="AU155" s="74" t="str">
        <f>IF('IMPORT SCHLIESSERDATEN'!$X147="",IF('IMPORT SCHLIESSERDATEN'!$Y147="","","F"),"V")</f>
        <v/>
      </c>
      <c r="AV155" s="74" t="str">
        <f>IF('IMPORT SCHLIESSERDATEN'!$AB147&lt;&gt;"","M",IF('IMPORT SCHLIESSERDATEN'!$AD147&lt;&gt;"",IF(ISERR(SEARCH("UVIBIS",'IMPORT SCHLIESSERDATEN'!$B147)),"R","B"),IF(OR('IMPORT SCHLIESSERDATEN'!$AC147&lt;&gt;"",'IMPORT SCHLIESSERDATEN'!$AE147&lt;&gt;""),"E","")))</f>
        <v/>
      </c>
      <c r="AW155" s="82"/>
      <c r="AX155" s="67"/>
    </row>
    <row r="156" spans="1:50" x14ac:dyDescent="0.25">
      <c r="A156" s="67">
        <f>IFERROR(IF(C156&lt;&gt;"",MAX($A$2:$A155)+1,""),"")</f>
        <v>144</v>
      </c>
      <c r="B156" s="223">
        <f t="shared" si="3"/>
        <v>144</v>
      </c>
      <c r="C156" s="216" t="str">
        <f>IF(J156=1,SUBSTITUTE('IMPORT SCHLIESSERDATEN'!$B148," Gangfl.",""),IF(J156=2,SUBSTITUTE('IMPORT SCHLIESSERDATEN'!$B148," Standfl.",""),'IMPORT SCHLIESSERDATEN'!$B148))</f>
        <v>BTS 80 F EN 6 + SR</v>
      </c>
      <c r="D156" s="216" t="str">
        <f>IF('IMPORT SCHLIESSERDATEN'!$AF148&lt;&gt;"",IF(COUNTA('IMPORT SCHLIESSERDATEN'!$AN148:$AU148)&gt;0,"X","G"),IF('IMPORT SCHLIESSERDATEN'!$AG148&lt;&gt;"","S",IF('IMPORT SCHLIESSERDATEN'!$AH148&lt;&gt;"","I",IF('IMPORT SCHLIESSERDATEN'!$AI148&lt;&gt;"","B",IF('IMPORT SCHLIESSERDATEN'!$AJ148&lt;&gt;"","D","")))))</f>
        <v>B</v>
      </c>
      <c r="E156" s="248" t="str">
        <f>'IMPORT SCHLIESSERDATEN'!AK148 &amp; IF('IMPORT SCHLIESSERDATEN'!AL148="",""," "&amp; 'IMPORT SCHLIESSERDATEN'!AL148)</f>
        <v>80 F</v>
      </c>
      <c r="F156" s="74">
        <f>IFERROR(IF(D156="X",2^(MATCH("",'IMPORT SCHLIESSERDATEN'!$AN148:$AU148,-1)-1),IF(AV156="F",2^(MATCH("",'IMPORT SCHLIESSERDATEN'!$BH148:$BK148,-1)-1),2^(MATCH("",'IMPORT SCHLIESSERDATEN'!$AV148:$BG148,-1)-1))),0)</f>
        <v>0</v>
      </c>
      <c r="G156" s="74">
        <f>IF(AND('IMPORT SCHLIESSERDATEN'!$O148='IMPORT SCHLIESSERDATEN'!$R148,'IMPORT SCHLIESSERDATEN'!$O148&lt;&gt;"",'IMPORT SCHLIESSERDATEN'!$R148&lt;&gt;""),1,0)  +  IF(AND('IMPORT SCHLIESSERDATEN'!$P148='IMPORT SCHLIESSERDATEN'!$S148,'IMPORT SCHLIESSERDATEN'!$P148&lt;&gt;"",'IMPORT SCHLIESSERDATEN'!$S148&lt;&gt;""),2,0)   +  IF(AND('IMPORT SCHLIESSERDATEN'!$O148='IMPORT SCHLIESSERDATEN'!$S148,'IMPORT SCHLIESSERDATEN'!$O148&lt;&gt;"",'IMPORT SCHLIESSERDATEN'!$S148&lt;&gt;""),4,0)   +  IF(AND('IMPORT SCHLIESSERDATEN'!$P148='IMPORT SCHLIESSERDATEN'!$R148,'IMPORT SCHLIESSERDATEN'!$P148&lt;&gt;"",'IMPORT SCHLIESSERDATEN'!$R148&lt;&gt;""),8,0)   +  IF('IMPORT SCHLIESSERDATEN'!$Q148&lt;&gt;"",IF('IMPORT SCHLIESSERDATEN'!$R148&lt;&gt;"",32,0) + IF('IMPORT SCHLIESSERDATEN'!$S148&lt;&gt;"",64,0),0)  +  IF('IMPORT SCHLIESSERDATEN'!$T148&lt;&gt;"",IF('IMPORT SCHLIESSERDATEN'!$Q148&lt;&gt;"",128+256,128),0)</f>
        <v>128</v>
      </c>
      <c r="H156" s="74">
        <f>IF('IMPORT SCHLIESSERDATEN'!$H148="",0,1) + IF('IMPORT SCHLIESSERDATEN'!$I148="",0,2) + IF('IMPORT SCHLIESSERDATEN'!$J148="",0,4) + IF('IMPORT SCHLIESSERDATEN'!$K148="",0,8) + IF('IMPORT SCHLIESSERDATEN'!$L148="",0,16) + IF('IMPORT SCHLIESSERDATEN'!$M148="",0,32) + IF('IMPORT SCHLIESSERDATEN'!$N148="",0,64)</f>
        <v>32</v>
      </c>
      <c r="I156" s="74">
        <f>IF('IMPORT SCHLIESSERDATEN'!$D148="",0,1) + IF('IMPORT SCHLIESSERDATEN'!$E148="",0,2) + IF('IMPORT SCHLIESSERDATEN'!$E148="S",4,0)</f>
        <v>2</v>
      </c>
      <c r="J156" s="74">
        <f>IF(ISERR(FIND(" Gangfl.",'IMPORT SCHLIESSERDATEN'!$B148)),IF(ISERR(FIND(" Standfl.",'IMPORT SCHLIESSERDATEN'!$B148)),0,2),1)</f>
        <v>0</v>
      </c>
      <c r="K156" s="74">
        <f>'IMPORT SCHLIESSERDATEN'!CL148</f>
        <v>0</v>
      </c>
      <c r="L156" s="74">
        <f>'IMPORT SCHLIESSERDATEN'!CN148</f>
        <v>0</v>
      </c>
      <c r="M156" s="74">
        <f>IF('IMPORT SCHLIESSERDATEN'!CS148="wie TS",-1,'IMPORT SCHLIESSERDATEN'!CS148)</f>
        <v>0</v>
      </c>
      <c r="N156" s="74">
        <f>IF(M156&lt;0,-1,'IMPORT SCHLIESSERDATEN'!CU148)</f>
        <v>0</v>
      </c>
      <c r="O156" s="74">
        <f>IF('IMPORT SCHLIESSERDATEN'!CZ148="wie TS",-1,'IMPORT SCHLIESSERDATEN'!CZ148)</f>
        <v>-54</v>
      </c>
      <c r="P156" s="74">
        <f>IF(O156&lt;0,-1,'IMPORT SCHLIESSERDATEN'!DB148)</f>
        <v>-1</v>
      </c>
      <c r="Q156" s="74">
        <f>'IMPORT SCHLIESSERDATEN'!DG148</f>
        <v>0</v>
      </c>
      <c r="R156" s="74">
        <f>'IMPORT SCHLIESSERDATEN'!DI148</f>
        <v>0</v>
      </c>
      <c r="S156" s="74">
        <f>'IMPORT SCHLIESSERDATEN'!DN148</f>
        <v>0</v>
      </c>
      <c r="T156" s="74">
        <f>IF('IMPORT SCHLIESSERDATEN'!DP148="V",9999,'IMPORT SCHLIESSERDATEN'!DP148)</f>
        <v>0</v>
      </c>
      <c r="U156" s="74">
        <f>'IMPORT SCHLIESSERDATEN'!BW148</f>
        <v>341</v>
      </c>
      <c r="V156" s="74">
        <f>'IMPORT SCHLIESSERDATEN'!BX148</f>
        <v>78</v>
      </c>
      <c r="W156" s="74">
        <f>'IMPORT SCHLIESSERDATEN'!BY148</f>
        <v>60</v>
      </c>
      <c r="X156" s="74">
        <f>'IMPORT SCHLIESSERDATEN'!CO148</f>
        <v>0</v>
      </c>
      <c r="Y156" s="74">
        <f>'IMPORT SCHLIESSERDATEN'!CQ148</f>
        <v>0</v>
      </c>
      <c r="Z156" s="74">
        <f>'IMPORT SCHLIESSERDATEN'!CV148</f>
        <v>0</v>
      </c>
      <c r="AA156" s="74">
        <f>'IMPORT SCHLIESSERDATEN'!CX148</f>
        <v>0</v>
      </c>
      <c r="AB156" s="74">
        <f>'IMPORT SCHLIESSERDATEN'!DC148</f>
        <v>0</v>
      </c>
      <c r="AC156" s="74">
        <f>'IMPORT SCHLIESSERDATEN'!DE148</f>
        <v>0</v>
      </c>
      <c r="AD156" s="74">
        <f>'IMPORT SCHLIESSERDATEN'!DJ148</f>
        <v>0</v>
      </c>
      <c r="AE156" s="74">
        <f>'IMPORT SCHLIESSERDATEN'!DL148</f>
        <v>0</v>
      </c>
      <c r="AF156" s="74">
        <f>'IMPORT SCHLIESSERDATEN'!DQ148</f>
        <v>0</v>
      </c>
      <c r="AG156" s="74">
        <f>IF('IMPORT SCHLIESSERDATEN'!DS148="V",9999,'IMPORT SCHLIESSERDATEN'!DS148)</f>
        <v>0</v>
      </c>
      <c r="AH156" s="74">
        <f>IF('IMPORT SCHLIESSERDATEN'!BZ148="V",9999,IF('IMPORT SCHLIESSERDATEN'!CD148="_",-1,'IMPORT SCHLIESSERDATEN'!BZ148))</f>
        <v>-1</v>
      </c>
      <c r="AI156" s="74">
        <f>IF('IMPORT SCHLIESSERDATEN'!CA148="V",9999,IF('IMPORT SCHLIESSERDATEN'!CD148="_",-1,'IMPORT SCHLIESSERDATEN'!CA148))</f>
        <v>-1</v>
      </c>
      <c r="AJ156" s="74">
        <f>IF('IMPORT SCHLIESSERDATEN'!CB148="V",9999,IF('IMPORT SCHLIESSERDATEN'!CD148="_",-1,'IMPORT SCHLIESSERDATEN'!CB148))</f>
        <v>-1</v>
      </c>
      <c r="AK156" s="74">
        <f>IF('IMPORT SCHLIESSERDATEN'!CC148="V",9999,IF('IMPORT SCHLIESSERDATEN'!CC148="_",-1,'IMPORT SCHLIESSERDATEN'!CC148))</f>
        <v>-1</v>
      </c>
      <c r="AL156" s="74">
        <f>IF('IMPORT SCHLIESSERDATEN'!CD148="_",-1,'IMPORT SCHLIESSERDATEN'!CD148)</f>
        <v>-1</v>
      </c>
      <c r="AM156" s="74">
        <f>'IMPORT SCHLIESSERDATEN'!CH148</f>
        <v>0</v>
      </c>
      <c r="AN156" s="74">
        <f>IF('IMPORT SCHLIESSERDATEN'!CE148="V",9999,'IMPORT SCHLIESSERDATEN'!CE148)</f>
        <v>39</v>
      </c>
      <c r="AO156" s="74">
        <f>IF('IMPORT SCHLIESSERDATEN'!CK148="_",-1,'IMPORT SCHLIESSERDATEN'!CK148)</f>
        <v>-1</v>
      </c>
      <c r="AP156" s="74">
        <f>IF('IMPORT SCHLIESSERDATEN'!$U148="",0,1)</f>
        <v>1</v>
      </c>
      <c r="AQ156" s="74">
        <f>IF('IMPORT SCHLIESSERDATEN'!$V148="",0,1)</f>
        <v>0</v>
      </c>
      <c r="AR156" s="74">
        <f>IF('IMPORT SCHLIESSERDATEN'!$W148="",0,1)</f>
        <v>0</v>
      </c>
      <c r="AS156" s="74">
        <f>IF('IMPORT SCHLIESSERDATEN'!$AA148="",0,1)</f>
        <v>1</v>
      </c>
      <c r="AT156" s="74">
        <f>IF('IMPORT SCHLIESSERDATEN'!$AD148="",0,1) + IF('IMPORT SCHLIESSERDATEN'!$AE148="",0,2)</f>
        <v>0</v>
      </c>
      <c r="AU156" s="74" t="str">
        <f>IF('IMPORT SCHLIESSERDATEN'!$X148="",IF('IMPORT SCHLIESSERDATEN'!$Y148="","","F"),"V")</f>
        <v/>
      </c>
      <c r="AV156" s="74" t="str">
        <f>IF('IMPORT SCHLIESSERDATEN'!$AB148&lt;&gt;"","M",IF('IMPORT SCHLIESSERDATEN'!$AD148&lt;&gt;"",IF(ISERR(SEARCH("UVIBIS",'IMPORT SCHLIESSERDATEN'!$B148)),"R","B"),IF(OR('IMPORT SCHLIESSERDATEN'!$AC148&lt;&gt;"",'IMPORT SCHLIESSERDATEN'!$AE148&lt;&gt;""),"E","")))</f>
        <v/>
      </c>
      <c r="AW156" s="82"/>
      <c r="AX156" s="67"/>
    </row>
    <row r="157" spans="1:50" x14ac:dyDescent="0.25">
      <c r="A157" s="67">
        <f>IFERROR(IF(C157&lt;&gt;"",MAX($A$2:$A156)+1,""),"")</f>
        <v>145</v>
      </c>
      <c r="B157" s="223">
        <f t="shared" si="3"/>
        <v>145</v>
      </c>
      <c r="C157" s="216" t="str">
        <f>IF(J157=1,SUBSTITUTE('IMPORT SCHLIESSERDATEN'!$B149," Gangfl.",""),IF(J157=2,SUBSTITUTE('IMPORT SCHLIESSERDATEN'!$B149," Standfl.",""),'IMPORT SCHLIESSERDATEN'!$B149))</f>
        <v>BTS 80 EMB EN 4</v>
      </c>
      <c r="D157" s="216" t="str">
        <f>IF('IMPORT SCHLIESSERDATEN'!$AF149&lt;&gt;"",IF(COUNTA('IMPORT SCHLIESSERDATEN'!$AN149:$AU149)&gt;0,"X","G"),IF('IMPORT SCHLIESSERDATEN'!$AG149&lt;&gt;"","S",IF('IMPORT SCHLIESSERDATEN'!$AH149&lt;&gt;"","I",IF('IMPORT SCHLIESSERDATEN'!$AI149&lt;&gt;"","B",IF('IMPORT SCHLIESSERDATEN'!$AJ149&lt;&gt;"","D","")))))</f>
        <v>B</v>
      </c>
      <c r="E157" s="248" t="str">
        <f>'IMPORT SCHLIESSERDATEN'!AK149 &amp; IF('IMPORT SCHLIESSERDATEN'!AL149="",""," "&amp; 'IMPORT SCHLIESSERDATEN'!AL149)</f>
        <v>80 EMB</v>
      </c>
      <c r="F157" s="74">
        <f>IFERROR(IF(D157="X",2^(MATCH("",'IMPORT SCHLIESSERDATEN'!$AN149:$AU149,-1)-1),IF(AV157="F",2^(MATCH("",'IMPORT SCHLIESSERDATEN'!$BH149:$BK149,-1)-1),2^(MATCH("",'IMPORT SCHLIESSERDATEN'!$AV149:$BG149,-1)-1))),0)</f>
        <v>0</v>
      </c>
      <c r="G157" s="74">
        <f>IF(AND('IMPORT SCHLIESSERDATEN'!$O149='IMPORT SCHLIESSERDATEN'!$R149,'IMPORT SCHLIESSERDATEN'!$O149&lt;&gt;"",'IMPORT SCHLIESSERDATEN'!$R149&lt;&gt;""),1,0)  +  IF(AND('IMPORT SCHLIESSERDATEN'!$P149='IMPORT SCHLIESSERDATEN'!$S149,'IMPORT SCHLIESSERDATEN'!$P149&lt;&gt;"",'IMPORT SCHLIESSERDATEN'!$S149&lt;&gt;""),2,0)   +  IF(AND('IMPORT SCHLIESSERDATEN'!$O149='IMPORT SCHLIESSERDATEN'!$S149,'IMPORT SCHLIESSERDATEN'!$O149&lt;&gt;"",'IMPORT SCHLIESSERDATEN'!$S149&lt;&gt;""),4,0)   +  IF(AND('IMPORT SCHLIESSERDATEN'!$P149='IMPORT SCHLIESSERDATEN'!$R149,'IMPORT SCHLIESSERDATEN'!$P149&lt;&gt;"",'IMPORT SCHLIESSERDATEN'!$R149&lt;&gt;""),8,0)   +  IF('IMPORT SCHLIESSERDATEN'!$Q149&lt;&gt;"",IF('IMPORT SCHLIESSERDATEN'!$R149&lt;&gt;"",32,0) + IF('IMPORT SCHLIESSERDATEN'!$S149&lt;&gt;"",64,0),0)  +  IF('IMPORT SCHLIESSERDATEN'!$T149&lt;&gt;"",IF('IMPORT SCHLIESSERDATEN'!$Q149&lt;&gt;"",128+256,128),0)</f>
        <v>128</v>
      </c>
      <c r="H157" s="74">
        <f>IF('IMPORT SCHLIESSERDATEN'!$H149="",0,1) + IF('IMPORT SCHLIESSERDATEN'!$I149="",0,2) + IF('IMPORT SCHLIESSERDATEN'!$J149="",0,4) + IF('IMPORT SCHLIESSERDATEN'!$K149="",0,8) + IF('IMPORT SCHLIESSERDATEN'!$L149="",0,16) + IF('IMPORT SCHLIESSERDATEN'!$M149="",0,32) + IF('IMPORT SCHLIESSERDATEN'!$N149="",0,64)</f>
        <v>8</v>
      </c>
      <c r="I157" s="74">
        <f>IF('IMPORT SCHLIESSERDATEN'!$D149="",0,1) + IF('IMPORT SCHLIESSERDATEN'!$E149="",0,2) + IF('IMPORT SCHLIESSERDATEN'!$E149="S",4,0)</f>
        <v>1</v>
      </c>
      <c r="J157" s="74">
        <f>IF(ISERR(FIND(" Gangfl.",'IMPORT SCHLIESSERDATEN'!$B149)),IF(ISERR(FIND(" Standfl.",'IMPORT SCHLIESSERDATEN'!$B149)),0,2),1)</f>
        <v>0</v>
      </c>
      <c r="K157" s="74">
        <f>'IMPORT SCHLIESSERDATEN'!CL149</f>
        <v>0</v>
      </c>
      <c r="L157" s="74">
        <f>'IMPORT SCHLIESSERDATEN'!CN149</f>
        <v>0</v>
      </c>
      <c r="M157" s="74">
        <f>IF('IMPORT SCHLIESSERDATEN'!CS149="wie TS",-1,'IMPORT SCHLIESSERDATEN'!CS149)</f>
        <v>0</v>
      </c>
      <c r="N157" s="74">
        <f>IF(M157&lt;0,-1,'IMPORT SCHLIESSERDATEN'!CU149)</f>
        <v>0</v>
      </c>
      <c r="O157" s="74">
        <f>IF('IMPORT SCHLIESSERDATEN'!CZ149="wie TS",-1,'IMPORT SCHLIESSERDATEN'!CZ149)</f>
        <v>-54</v>
      </c>
      <c r="P157" s="74">
        <f>IF(O157&lt;0,-1,'IMPORT SCHLIESSERDATEN'!DB149)</f>
        <v>-1</v>
      </c>
      <c r="Q157" s="74">
        <f>'IMPORT SCHLIESSERDATEN'!DG149</f>
        <v>0</v>
      </c>
      <c r="R157" s="74">
        <f>'IMPORT SCHLIESSERDATEN'!DI149</f>
        <v>0</v>
      </c>
      <c r="S157" s="74">
        <f>'IMPORT SCHLIESSERDATEN'!DN149</f>
        <v>0</v>
      </c>
      <c r="T157" s="74">
        <f>IF('IMPORT SCHLIESSERDATEN'!DP149="V",9999,'IMPORT SCHLIESSERDATEN'!DP149)</f>
        <v>0</v>
      </c>
      <c r="U157" s="74">
        <f>'IMPORT SCHLIESSERDATEN'!BW149</f>
        <v>341</v>
      </c>
      <c r="V157" s="74">
        <f>'IMPORT SCHLIESSERDATEN'!BX149</f>
        <v>78</v>
      </c>
      <c r="W157" s="74">
        <f>'IMPORT SCHLIESSERDATEN'!BY149</f>
        <v>60</v>
      </c>
      <c r="X157" s="74">
        <f>'IMPORT SCHLIESSERDATEN'!CO149</f>
        <v>0</v>
      </c>
      <c r="Y157" s="74">
        <f>'IMPORT SCHLIESSERDATEN'!CQ149</f>
        <v>0</v>
      </c>
      <c r="Z157" s="74">
        <f>'IMPORT SCHLIESSERDATEN'!CV149</f>
        <v>0</v>
      </c>
      <c r="AA157" s="74">
        <f>'IMPORT SCHLIESSERDATEN'!CX149</f>
        <v>0</v>
      </c>
      <c r="AB157" s="74">
        <f>'IMPORT SCHLIESSERDATEN'!DC149</f>
        <v>0</v>
      </c>
      <c r="AC157" s="74">
        <f>'IMPORT SCHLIESSERDATEN'!DE149</f>
        <v>0</v>
      </c>
      <c r="AD157" s="74">
        <f>'IMPORT SCHLIESSERDATEN'!DJ149</f>
        <v>0</v>
      </c>
      <c r="AE157" s="74">
        <f>'IMPORT SCHLIESSERDATEN'!DL149</f>
        <v>0</v>
      </c>
      <c r="AF157" s="74">
        <f>'IMPORT SCHLIESSERDATEN'!DQ149</f>
        <v>0</v>
      </c>
      <c r="AG157" s="74">
        <f>IF('IMPORT SCHLIESSERDATEN'!DS149="V",9999,'IMPORT SCHLIESSERDATEN'!DS149)</f>
        <v>0</v>
      </c>
      <c r="AH157" s="74">
        <f>IF('IMPORT SCHLIESSERDATEN'!BZ149="V",9999,IF('IMPORT SCHLIESSERDATEN'!CD149="_",-1,'IMPORT SCHLIESSERDATEN'!BZ149))</f>
        <v>-1</v>
      </c>
      <c r="AI157" s="74">
        <f>IF('IMPORT SCHLIESSERDATEN'!CA149="V",9999,IF('IMPORT SCHLIESSERDATEN'!CD149="_",-1,'IMPORT SCHLIESSERDATEN'!CA149))</f>
        <v>-1</v>
      </c>
      <c r="AJ157" s="74">
        <f>IF('IMPORT SCHLIESSERDATEN'!CB149="V",9999,IF('IMPORT SCHLIESSERDATEN'!CD149="_",-1,'IMPORT SCHLIESSERDATEN'!CB149))</f>
        <v>-1</v>
      </c>
      <c r="AK157" s="74">
        <f>IF('IMPORT SCHLIESSERDATEN'!CC149="V",9999,IF('IMPORT SCHLIESSERDATEN'!CC149="_",-1,'IMPORT SCHLIESSERDATEN'!CC149))</f>
        <v>-1</v>
      </c>
      <c r="AL157" s="74">
        <f>IF('IMPORT SCHLIESSERDATEN'!CD149="_",-1,'IMPORT SCHLIESSERDATEN'!CD149)</f>
        <v>-1</v>
      </c>
      <c r="AM157" s="74">
        <f>'IMPORT SCHLIESSERDATEN'!CH149</f>
        <v>0</v>
      </c>
      <c r="AN157" s="74">
        <f>IF('IMPORT SCHLIESSERDATEN'!CE149="V",9999,'IMPORT SCHLIESSERDATEN'!CE149)</f>
        <v>39</v>
      </c>
      <c r="AO157" s="74">
        <f>IF('IMPORT SCHLIESSERDATEN'!CK149="_",-1,'IMPORT SCHLIESSERDATEN'!CK149)</f>
        <v>-1</v>
      </c>
      <c r="AP157" s="74">
        <f>IF('IMPORT SCHLIESSERDATEN'!$U149="",0,1)</f>
        <v>1</v>
      </c>
      <c r="AQ157" s="74">
        <f>IF('IMPORT SCHLIESSERDATEN'!$V149="",0,1)</f>
        <v>0</v>
      </c>
      <c r="AR157" s="74">
        <f>IF('IMPORT SCHLIESSERDATEN'!$W149="",0,1)</f>
        <v>0</v>
      </c>
      <c r="AS157" s="74">
        <f>IF('IMPORT SCHLIESSERDATEN'!$AA149="",0,1)</f>
        <v>1</v>
      </c>
      <c r="AT157" s="74">
        <f>IF('IMPORT SCHLIESSERDATEN'!$AD149="",0,1) + IF('IMPORT SCHLIESSERDATEN'!$AE149="",0,2)</f>
        <v>2</v>
      </c>
      <c r="AU157" s="74" t="str">
        <f>IF('IMPORT SCHLIESSERDATEN'!$X149="",IF('IMPORT SCHLIESSERDATEN'!$Y149="","","F"),"V")</f>
        <v/>
      </c>
      <c r="AV157" s="74" t="str">
        <f>IF('IMPORT SCHLIESSERDATEN'!$AB149&lt;&gt;"","M",IF('IMPORT SCHLIESSERDATEN'!$AD149&lt;&gt;"",IF(ISERR(SEARCH("UVIBIS",'IMPORT SCHLIESSERDATEN'!$B149)),"R","B"),IF(OR('IMPORT SCHLIESSERDATEN'!$AC149&lt;&gt;"",'IMPORT SCHLIESSERDATEN'!$AE149&lt;&gt;""),"E","")))</f>
        <v>E</v>
      </c>
      <c r="AW157" s="82"/>
      <c r="AX157" s="67"/>
    </row>
    <row r="158" spans="1:50" x14ac:dyDescent="0.25">
      <c r="A158" s="67">
        <f>IFERROR(IF(C158&lt;&gt;"",MAX($A$2:$A157)+1,""),"")</f>
        <v>146</v>
      </c>
      <c r="B158" s="223">
        <f t="shared" si="3"/>
        <v>146</v>
      </c>
      <c r="C158" s="216" t="str">
        <f>IF(J158=1,SUBSTITUTE('IMPORT SCHLIESSERDATEN'!$B150," Gangfl.",""),IF(J158=2,SUBSTITUTE('IMPORT SCHLIESSERDATEN'!$B150," Standfl.",""),'IMPORT SCHLIESSERDATEN'!$B150))</f>
        <v>BTS 80 EMB EN 5</v>
      </c>
      <c r="D158" s="216" t="str">
        <f>IF('IMPORT SCHLIESSERDATEN'!$AF150&lt;&gt;"",IF(COUNTA('IMPORT SCHLIESSERDATEN'!$AN150:$AU150)&gt;0,"X","G"),IF('IMPORT SCHLIESSERDATEN'!$AG150&lt;&gt;"","S",IF('IMPORT SCHLIESSERDATEN'!$AH150&lt;&gt;"","I",IF('IMPORT SCHLIESSERDATEN'!$AI150&lt;&gt;"","B",IF('IMPORT SCHLIESSERDATEN'!$AJ150&lt;&gt;"","D","")))))</f>
        <v>B</v>
      </c>
      <c r="E158" s="248" t="str">
        <f>'IMPORT SCHLIESSERDATEN'!AK150 &amp; IF('IMPORT SCHLIESSERDATEN'!AL150="",""," "&amp; 'IMPORT SCHLIESSERDATEN'!AL150)</f>
        <v>80 EMB</v>
      </c>
      <c r="F158" s="74">
        <f>IFERROR(IF(D158="X",2^(MATCH("",'IMPORT SCHLIESSERDATEN'!$AN150:$AU150,-1)-1),IF(AV158="F",2^(MATCH("",'IMPORT SCHLIESSERDATEN'!$BH150:$BK150,-1)-1),2^(MATCH("",'IMPORT SCHLIESSERDATEN'!$AV150:$BG150,-1)-1))),0)</f>
        <v>0</v>
      </c>
      <c r="G158" s="74">
        <f>IF(AND('IMPORT SCHLIESSERDATEN'!$O150='IMPORT SCHLIESSERDATEN'!$R150,'IMPORT SCHLIESSERDATEN'!$O150&lt;&gt;"",'IMPORT SCHLIESSERDATEN'!$R150&lt;&gt;""),1,0)  +  IF(AND('IMPORT SCHLIESSERDATEN'!$P150='IMPORT SCHLIESSERDATEN'!$S150,'IMPORT SCHLIESSERDATEN'!$P150&lt;&gt;"",'IMPORT SCHLIESSERDATEN'!$S150&lt;&gt;""),2,0)   +  IF(AND('IMPORT SCHLIESSERDATEN'!$O150='IMPORT SCHLIESSERDATEN'!$S150,'IMPORT SCHLIESSERDATEN'!$O150&lt;&gt;"",'IMPORT SCHLIESSERDATEN'!$S150&lt;&gt;""),4,0)   +  IF(AND('IMPORT SCHLIESSERDATEN'!$P150='IMPORT SCHLIESSERDATEN'!$R150,'IMPORT SCHLIESSERDATEN'!$P150&lt;&gt;"",'IMPORT SCHLIESSERDATEN'!$R150&lt;&gt;""),8,0)   +  IF('IMPORT SCHLIESSERDATEN'!$Q150&lt;&gt;"",IF('IMPORT SCHLIESSERDATEN'!$R150&lt;&gt;"",32,0) + IF('IMPORT SCHLIESSERDATEN'!$S150&lt;&gt;"",64,0),0)  +  IF('IMPORT SCHLIESSERDATEN'!$T150&lt;&gt;"",IF('IMPORT SCHLIESSERDATEN'!$Q150&lt;&gt;"",128+256,128),0)</f>
        <v>128</v>
      </c>
      <c r="H158" s="74">
        <f>IF('IMPORT SCHLIESSERDATEN'!$H150="",0,1) + IF('IMPORT SCHLIESSERDATEN'!$I150="",0,2) + IF('IMPORT SCHLIESSERDATEN'!$J150="",0,4) + IF('IMPORT SCHLIESSERDATEN'!$K150="",0,8) + IF('IMPORT SCHLIESSERDATEN'!$L150="",0,16) + IF('IMPORT SCHLIESSERDATEN'!$M150="",0,32) + IF('IMPORT SCHLIESSERDATEN'!$N150="",0,64)</f>
        <v>16</v>
      </c>
      <c r="I158" s="74">
        <f>IF('IMPORT SCHLIESSERDATEN'!$D150="",0,1) + IF('IMPORT SCHLIESSERDATEN'!$E150="",0,2) + IF('IMPORT SCHLIESSERDATEN'!$E150="S",4,0)</f>
        <v>1</v>
      </c>
      <c r="J158" s="74">
        <f>IF(ISERR(FIND(" Gangfl.",'IMPORT SCHLIESSERDATEN'!$B150)),IF(ISERR(FIND(" Standfl.",'IMPORT SCHLIESSERDATEN'!$B150)),0,2),1)</f>
        <v>0</v>
      </c>
      <c r="K158" s="74">
        <f>'IMPORT SCHLIESSERDATEN'!CL150</f>
        <v>0</v>
      </c>
      <c r="L158" s="74">
        <f>'IMPORT SCHLIESSERDATEN'!CN150</f>
        <v>0</v>
      </c>
      <c r="M158" s="74">
        <f>IF('IMPORT SCHLIESSERDATEN'!CS150="wie TS",-1,'IMPORT SCHLIESSERDATEN'!CS150)</f>
        <v>0</v>
      </c>
      <c r="N158" s="74">
        <f>IF(M158&lt;0,-1,'IMPORT SCHLIESSERDATEN'!CU150)</f>
        <v>0</v>
      </c>
      <c r="O158" s="74">
        <f>IF('IMPORT SCHLIESSERDATEN'!CZ150="wie TS",-1,'IMPORT SCHLIESSERDATEN'!CZ150)</f>
        <v>-54</v>
      </c>
      <c r="P158" s="74">
        <f>IF(O158&lt;0,-1,'IMPORT SCHLIESSERDATEN'!DB150)</f>
        <v>-1</v>
      </c>
      <c r="Q158" s="74">
        <f>'IMPORT SCHLIESSERDATEN'!DG150</f>
        <v>0</v>
      </c>
      <c r="R158" s="74">
        <f>'IMPORT SCHLIESSERDATEN'!DI150</f>
        <v>0</v>
      </c>
      <c r="S158" s="74">
        <f>'IMPORT SCHLIESSERDATEN'!DN150</f>
        <v>0</v>
      </c>
      <c r="T158" s="74">
        <f>IF('IMPORT SCHLIESSERDATEN'!DP150="V",9999,'IMPORT SCHLIESSERDATEN'!DP150)</f>
        <v>0</v>
      </c>
      <c r="U158" s="74">
        <f>'IMPORT SCHLIESSERDATEN'!BW150</f>
        <v>341</v>
      </c>
      <c r="V158" s="74">
        <f>'IMPORT SCHLIESSERDATEN'!BX150</f>
        <v>78</v>
      </c>
      <c r="W158" s="74">
        <f>'IMPORT SCHLIESSERDATEN'!BY150</f>
        <v>60</v>
      </c>
      <c r="X158" s="74">
        <f>'IMPORT SCHLIESSERDATEN'!CO150</f>
        <v>0</v>
      </c>
      <c r="Y158" s="74">
        <f>'IMPORT SCHLIESSERDATEN'!CQ150</f>
        <v>0</v>
      </c>
      <c r="Z158" s="74">
        <f>'IMPORT SCHLIESSERDATEN'!CV150</f>
        <v>0</v>
      </c>
      <c r="AA158" s="74">
        <f>'IMPORT SCHLIESSERDATEN'!CX150</f>
        <v>0</v>
      </c>
      <c r="AB158" s="74">
        <f>'IMPORT SCHLIESSERDATEN'!DC150</f>
        <v>0</v>
      </c>
      <c r="AC158" s="74">
        <f>'IMPORT SCHLIESSERDATEN'!DE150</f>
        <v>0</v>
      </c>
      <c r="AD158" s="74">
        <f>'IMPORT SCHLIESSERDATEN'!DJ150</f>
        <v>0</v>
      </c>
      <c r="AE158" s="74">
        <f>'IMPORT SCHLIESSERDATEN'!DL150</f>
        <v>0</v>
      </c>
      <c r="AF158" s="74">
        <f>'IMPORT SCHLIESSERDATEN'!DQ150</f>
        <v>0</v>
      </c>
      <c r="AG158" s="74">
        <f>IF('IMPORT SCHLIESSERDATEN'!DS150="V",9999,'IMPORT SCHLIESSERDATEN'!DS150)</f>
        <v>0</v>
      </c>
      <c r="AH158" s="74">
        <f>IF('IMPORT SCHLIESSERDATEN'!BZ150="V",9999,IF('IMPORT SCHLIESSERDATEN'!CD150="_",-1,'IMPORT SCHLIESSERDATEN'!BZ150))</f>
        <v>-1</v>
      </c>
      <c r="AI158" s="74">
        <f>IF('IMPORT SCHLIESSERDATEN'!CA150="V",9999,IF('IMPORT SCHLIESSERDATEN'!CD150="_",-1,'IMPORT SCHLIESSERDATEN'!CA150))</f>
        <v>-1</v>
      </c>
      <c r="AJ158" s="74">
        <f>IF('IMPORT SCHLIESSERDATEN'!CB150="V",9999,IF('IMPORT SCHLIESSERDATEN'!CD150="_",-1,'IMPORT SCHLIESSERDATEN'!CB150))</f>
        <v>-1</v>
      </c>
      <c r="AK158" s="74">
        <f>IF('IMPORT SCHLIESSERDATEN'!CC150="V",9999,IF('IMPORT SCHLIESSERDATEN'!CC150="_",-1,'IMPORT SCHLIESSERDATEN'!CC150))</f>
        <v>-1</v>
      </c>
      <c r="AL158" s="74">
        <f>IF('IMPORT SCHLIESSERDATEN'!CD150="_",-1,'IMPORT SCHLIESSERDATEN'!CD150)</f>
        <v>-1</v>
      </c>
      <c r="AM158" s="74">
        <f>'IMPORT SCHLIESSERDATEN'!CH150</f>
        <v>0</v>
      </c>
      <c r="AN158" s="74">
        <f>IF('IMPORT SCHLIESSERDATEN'!CE150="V",9999,'IMPORT SCHLIESSERDATEN'!CE150)</f>
        <v>39</v>
      </c>
      <c r="AO158" s="74">
        <f>IF('IMPORT SCHLIESSERDATEN'!CK150="_",-1,'IMPORT SCHLIESSERDATEN'!CK150)</f>
        <v>-1</v>
      </c>
      <c r="AP158" s="74">
        <f>IF('IMPORT SCHLIESSERDATEN'!$U150="",0,1)</f>
        <v>1</v>
      </c>
      <c r="AQ158" s="74">
        <f>IF('IMPORT SCHLIESSERDATEN'!$V150="",0,1)</f>
        <v>0</v>
      </c>
      <c r="AR158" s="74">
        <f>IF('IMPORT SCHLIESSERDATEN'!$W150="",0,1)</f>
        <v>0</v>
      </c>
      <c r="AS158" s="74">
        <f>IF('IMPORT SCHLIESSERDATEN'!$AA150="",0,1)</f>
        <v>1</v>
      </c>
      <c r="AT158" s="74">
        <f>IF('IMPORT SCHLIESSERDATEN'!$AD150="",0,1) + IF('IMPORT SCHLIESSERDATEN'!$AE150="",0,2)</f>
        <v>2</v>
      </c>
      <c r="AU158" s="74" t="str">
        <f>IF('IMPORT SCHLIESSERDATEN'!$X150="",IF('IMPORT SCHLIESSERDATEN'!$Y150="","","F"),"V")</f>
        <v/>
      </c>
      <c r="AV158" s="74" t="str">
        <f>IF('IMPORT SCHLIESSERDATEN'!$AB150&lt;&gt;"","M",IF('IMPORT SCHLIESSERDATEN'!$AD150&lt;&gt;"",IF(ISERR(SEARCH("UVIBIS",'IMPORT SCHLIESSERDATEN'!$B150)),"R","B"),IF(OR('IMPORT SCHLIESSERDATEN'!$AC150&lt;&gt;"",'IMPORT SCHLIESSERDATEN'!$AE150&lt;&gt;""),"E","")))</f>
        <v>E</v>
      </c>
      <c r="AW158" s="82"/>
      <c r="AX158" s="67"/>
    </row>
    <row r="159" spans="1:50" x14ac:dyDescent="0.25">
      <c r="A159" s="67">
        <f>IFERROR(IF(C159&lt;&gt;"",MAX($A$2:$A158)+1,""),"")</f>
        <v>147</v>
      </c>
      <c r="B159" s="223">
        <f t="shared" si="3"/>
        <v>147</v>
      </c>
      <c r="C159" s="216" t="str">
        <f>IF(J159=1,SUBSTITUTE('IMPORT SCHLIESSERDATEN'!$B151," Gangfl.",""),IF(J159=2,SUBSTITUTE('IMPORT SCHLIESSERDATEN'!$B151," Standfl.",""),'IMPORT SCHLIESSERDATEN'!$B151))</f>
        <v>BTS 80 EMB EN 6</v>
      </c>
      <c r="D159" s="216" t="str">
        <f>IF('IMPORT SCHLIESSERDATEN'!$AF151&lt;&gt;"",IF(COUNTA('IMPORT SCHLIESSERDATEN'!$AN151:$AU151)&gt;0,"X","G"),IF('IMPORT SCHLIESSERDATEN'!$AG151&lt;&gt;"","S",IF('IMPORT SCHLIESSERDATEN'!$AH151&lt;&gt;"","I",IF('IMPORT SCHLIESSERDATEN'!$AI151&lt;&gt;"","B",IF('IMPORT SCHLIESSERDATEN'!$AJ151&lt;&gt;"","D","")))))</f>
        <v>B</v>
      </c>
      <c r="E159" s="248" t="str">
        <f>'IMPORT SCHLIESSERDATEN'!AK151 &amp; IF('IMPORT SCHLIESSERDATEN'!AL151="",""," "&amp; 'IMPORT SCHLIESSERDATEN'!AL151)</f>
        <v>80 EMB</v>
      </c>
      <c r="F159" s="74">
        <f>IFERROR(IF(D159="X",2^(MATCH("",'IMPORT SCHLIESSERDATEN'!$AN151:$AU151,-1)-1),IF(AV159="F",2^(MATCH("",'IMPORT SCHLIESSERDATEN'!$BH151:$BK151,-1)-1),2^(MATCH("",'IMPORT SCHLIESSERDATEN'!$AV151:$BG151,-1)-1))),0)</f>
        <v>0</v>
      </c>
      <c r="G159" s="74">
        <f>IF(AND('IMPORT SCHLIESSERDATEN'!$O151='IMPORT SCHLIESSERDATEN'!$R151,'IMPORT SCHLIESSERDATEN'!$O151&lt;&gt;"",'IMPORT SCHLIESSERDATEN'!$R151&lt;&gt;""),1,0)  +  IF(AND('IMPORT SCHLIESSERDATEN'!$P151='IMPORT SCHLIESSERDATEN'!$S151,'IMPORT SCHLIESSERDATEN'!$P151&lt;&gt;"",'IMPORT SCHLIESSERDATEN'!$S151&lt;&gt;""),2,0)   +  IF(AND('IMPORT SCHLIESSERDATEN'!$O151='IMPORT SCHLIESSERDATEN'!$S151,'IMPORT SCHLIESSERDATEN'!$O151&lt;&gt;"",'IMPORT SCHLIESSERDATEN'!$S151&lt;&gt;""),4,0)   +  IF(AND('IMPORT SCHLIESSERDATEN'!$P151='IMPORT SCHLIESSERDATEN'!$R151,'IMPORT SCHLIESSERDATEN'!$P151&lt;&gt;"",'IMPORT SCHLIESSERDATEN'!$R151&lt;&gt;""),8,0)   +  IF('IMPORT SCHLIESSERDATEN'!$Q151&lt;&gt;"",IF('IMPORT SCHLIESSERDATEN'!$R151&lt;&gt;"",32,0) + IF('IMPORT SCHLIESSERDATEN'!$S151&lt;&gt;"",64,0),0)  +  IF('IMPORT SCHLIESSERDATEN'!$T151&lt;&gt;"",IF('IMPORT SCHLIESSERDATEN'!$Q151&lt;&gt;"",128+256,128),0)</f>
        <v>128</v>
      </c>
      <c r="H159" s="74">
        <f>IF('IMPORT SCHLIESSERDATEN'!$H151="",0,1) + IF('IMPORT SCHLIESSERDATEN'!$I151="",0,2) + IF('IMPORT SCHLIESSERDATEN'!$J151="",0,4) + IF('IMPORT SCHLIESSERDATEN'!$K151="",0,8) + IF('IMPORT SCHLIESSERDATEN'!$L151="",0,16) + IF('IMPORT SCHLIESSERDATEN'!$M151="",0,32) + IF('IMPORT SCHLIESSERDATEN'!$N151="",0,64)</f>
        <v>32</v>
      </c>
      <c r="I159" s="74">
        <f>IF('IMPORT SCHLIESSERDATEN'!$D151="",0,1) + IF('IMPORT SCHLIESSERDATEN'!$E151="",0,2) + IF('IMPORT SCHLIESSERDATEN'!$E151="S",4,0)</f>
        <v>1</v>
      </c>
      <c r="J159" s="74">
        <f>IF(ISERR(FIND(" Gangfl.",'IMPORT SCHLIESSERDATEN'!$B151)),IF(ISERR(FIND(" Standfl.",'IMPORT SCHLIESSERDATEN'!$B151)),0,2),1)</f>
        <v>0</v>
      </c>
      <c r="K159" s="74">
        <f>'IMPORT SCHLIESSERDATEN'!CL151</f>
        <v>0</v>
      </c>
      <c r="L159" s="74">
        <f>'IMPORT SCHLIESSERDATEN'!CN151</f>
        <v>0</v>
      </c>
      <c r="M159" s="74">
        <f>IF('IMPORT SCHLIESSERDATEN'!CS151="wie TS",-1,'IMPORT SCHLIESSERDATEN'!CS151)</f>
        <v>0</v>
      </c>
      <c r="N159" s="74">
        <f>IF(M159&lt;0,-1,'IMPORT SCHLIESSERDATEN'!CU151)</f>
        <v>0</v>
      </c>
      <c r="O159" s="74">
        <f>IF('IMPORT SCHLIESSERDATEN'!CZ151="wie TS",-1,'IMPORT SCHLIESSERDATEN'!CZ151)</f>
        <v>-54</v>
      </c>
      <c r="P159" s="74">
        <f>IF(O159&lt;0,-1,'IMPORT SCHLIESSERDATEN'!DB151)</f>
        <v>-1</v>
      </c>
      <c r="Q159" s="74">
        <f>'IMPORT SCHLIESSERDATEN'!DG151</f>
        <v>0</v>
      </c>
      <c r="R159" s="74">
        <f>'IMPORT SCHLIESSERDATEN'!DI151</f>
        <v>0</v>
      </c>
      <c r="S159" s="74">
        <f>'IMPORT SCHLIESSERDATEN'!DN151</f>
        <v>0</v>
      </c>
      <c r="T159" s="74">
        <f>IF('IMPORT SCHLIESSERDATEN'!DP151="V",9999,'IMPORT SCHLIESSERDATEN'!DP151)</f>
        <v>0</v>
      </c>
      <c r="U159" s="74">
        <f>'IMPORT SCHLIESSERDATEN'!BW151</f>
        <v>341</v>
      </c>
      <c r="V159" s="74">
        <f>'IMPORT SCHLIESSERDATEN'!BX151</f>
        <v>78</v>
      </c>
      <c r="W159" s="74">
        <f>'IMPORT SCHLIESSERDATEN'!BY151</f>
        <v>60</v>
      </c>
      <c r="X159" s="74">
        <f>'IMPORT SCHLIESSERDATEN'!CO151</f>
        <v>0</v>
      </c>
      <c r="Y159" s="74">
        <f>'IMPORT SCHLIESSERDATEN'!CQ151</f>
        <v>0</v>
      </c>
      <c r="Z159" s="74">
        <f>'IMPORT SCHLIESSERDATEN'!CV151</f>
        <v>0</v>
      </c>
      <c r="AA159" s="74">
        <f>'IMPORT SCHLIESSERDATEN'!CX151</f>
        <v>0</v>
      </c>
      <c r="AB159" s="74">
        <f>'IMPORT SCHLIESSERDATEN'!DC151</f>
        <v>0</v>
      </c>
      <c r="AC159" s="74">
        <f>'IMPORT SCHLIESSERDATEN'!DE151</f>
        <v>0</v>
      </c>
      <c r="AD159" s="74">
        <f>'IMPORT SCHLIESSERDATEN'!DJ151</f>
        <v>0</v>
      </c>
      <c r="AE159" s="74">
        <f>'IMPORT SCHLIESSERDATEN'!DL151</f>
        <v>0</v>
      </c>
      <c r="AF159" s="74">
        <f>'IMPORT SCHLIESSERDATEN'!DQ151</f>
        <v>0</v>
      </c>
      <c r="AG159" s="74">
        <f>IF('IMPORT SCHLIESSERDATEN'!DS151="V",9999,'IMPORT SCHLIESSERDATEN'!DS151)</f>
        <v>0</v>
      </c>
      <c r="AH159" s="74">
        <f>IF('IMPORT SCHLIESSERDATEN'!BZ151="V",9999,IF('IMPORT SCHLIESSERDATEN'!CD151="_",-1,'IMPORT SCHLIESSERDATEN'!BZ151))</f>
        <v>-1</v>
      </c>
      <c r="AI159" s="74">
        <f>IF('IMPORT SCHLIESSERDATEN'!CA151="V",9999,IF('IMPORT SCHLIESSERDATEN'!CD151="_",-1,'IMPORT SCHLIESSERDATEN'!CA151))</f>
        <v>-1</v>
      </c>
      <c r="AJ159" s="74">
        <f>IF('IMPORT SCHLIESSERDATEN'!CB151="V",9999,IF('IMPORT SCHLIESSERDATEN'!CD151="_",-1,'IMPORT SCHLIESSERDATEN'!CB151))</f>
        <v>-1</v>
      </c>
      <c r="AK159" s="74">
        <f>IF('IMPORT SCHLIESSERDATEN'!CC151="V",9999,IF('IMPORT SCHLIESSERDATEN'!CC151="_",-1,'IMPORT SCHLIESSERDATEN'!CC151))</f>
        <v>-1</v>
      </c>
      <c r="AL159" s="74">
        <f>IF('IMPORT SCHLIESSERDATEN'!CD151="_",-1,'IMPORT SCHLIESSERDATEN'!CD151)</f>
        <v>-1</v>
      </c>
      <c r="AM159" s="74">
        <f>'IMPORT SCHLIESSERDATEN'!CH151</f>
        <v>0</v>
      </c>
      <c r="AN159" s="74">
        <f>IF('IMPORT SCHLIESSERDATEN'!CE151="V",9999,'IMPORT SCHLIESSERDATEN'!CE151)</f>
        <v>39</v>
      </c>
      <c r="AO159" s="74">
        <f>IF('IMPORT SCHLIESSERDATEN'!CK151="_",-1,'IMPORT SCHLIESSERDATEN'!CK151)</f>
        <v>-1</v>
      </c>
      <c r="AP159" s="74">
        <f>IF('IMPORT SCHLIESSERDATEN'!$U151="",0,1)</f>
        <v>1</v>
      </c>
      <c r="AQ159" s="74">
        <f>IF('IMPORT SCHLIESSERDATEN'!$V151="",0,1)</f>
        <v>0</v>
      </c>
      <c r="AR159" s="74">
        <f>IF('IMPORT SCHLIESSERDATEN'!$W151="",0,1)</f>
        <v>0</v>
      </c>
      <c r="AS159" s="74">
        <f>IF('IMPORT SCHLIESSERDATEN'!$AA151="",0,1)</f>
        <v>1</v>
      </c>
      <c r="AT159" s="74">
        <f>IF('IMPORT SCHLIESSERDATEN'!$AD151="",0,1) + IF('IMPORT SCHLIESSERDATEN'!$AE151="",0,2)</f>
        <v>2</v>
      </c>
      <c r="AU159" s="74" t="str">
        <f>IF('IMPORT SCHLIESSERDATEN'!$X151="",IF('IMPORT SCHLIESSERDATEN'!$Y151="","","F"),"V")</f>
        <v/>
      </c>
      <c r="AV159" s="74" t="str">
        <f>IF('IMPORT SCHLIESSERDATEN'!$AB151&lt;&gt;"","M",IF('IMPORT SCHLIESSERDATEN'!$AD151&lt;&gt;"",IF(ISERR(SEARCH("UVIBIS",'IMPORT SCHLIESSERDATEN'!$B151)),"R","B"),IF(OR('IMPORT SCHLIESSERDATEN'!$AC151&lt;&gt;"",'IMPORT SCHLIESSERDATEN'!$AE151&lt;&gt;""),"E","")))</f>
        <v>E</v>
      </c>
      <c r="AW159" s="82"/>
      <c r="AX159" s="67"/>
    </row>
    <row r="160" spans="1:50" x14ac:dyDescent="0.25">
      <c r="A160" s="67">
        <f>IFERROR(IF(C160&lt;&gt;"",MAX($A$2:$A159)+1,""),"")</f>
        <v>148</v>
      </c>
      <c r="B160" s="223">
        <f t="shared" si="3"/>
        <v>148</v>
      </c>
      <c r="C160" s="216" t="str">
        <f>IF(J160=1,SUBSTITUTE('IMPORT SCHLIESSERDATEN'!$B152," Gangfl.",""),IF(J160=2,SUBSTITUTE('IMPORT SCHLIESSERDATEN'!$B152," Standfl.",""),'IMPORT SCHLIESSERDATEN'!$B152))</f>
        <v>BTS 80 EMB EN 4 + SR</v>
      </c>
      <c r="D160" s="216" t="str">
        <f>IF('IMPORT SCHLIESSERDATEN'!$AF152&lt;&gt;"",IF(COUNTA('IMPORT SCHLIESSERDATEN'!$AN152:$AU152)&gt;0,"X","G"),IF('IMPORT SCHLIESSERDATEN'!$AG152&lt;&gt;"","S",IF('IMPORT SCHLIESSERDATEN'!$AH152&lt;&gt;"","I",IF('IMPORT SCHLIESSERDATEN'!$AI152&lt;&gt;"","B",IF('IMPORT SCHLIESSERDATEN'!$AJ152&lt;&gt;"","D","")))))</f>
        <v>B</v>
      </c>
      <c r="E160" s="248" t="str">
        <f>'IMPORT SCHLIESSERDATEN'!AK152 &amp; IF('IMPORT SCHLIESSERDATEN'!AL152="",""," "&amp; 'IMPORT SCHLIESSERDATEN'!AL152)</f>
        <v>80 EMB</v>
      </c>
      <c r="F160" s="74">
        <f>IFERROR(IF(D160="X",2^(MATCH("",'IMPORT SCHLIESSERDATEN'!$AN152:$AU152,-1)-1),IF(AV160="F",2^(MATCH("",'IMPORT SCHLIESSERDATEN'!$BH152:$BK152,-1)-1),2^(MATCH("",'IMPORT SCHLIESSERDATEN'!$AV152:$BG152,-1)-1))),0)</f>
        <v>0</v>
      </c>
      <c r="G160" s="74">
        <f>IF(AND('IMPORT SCHLIESSERDATEN'!$O152='IMPORT SCHLIESSERDATEN'!$R152,'IMPORT SCHLIESSERDATEN'!$O152&lt;&gt;"",'IMPORT SCHLIESSERDATEN'!$R152&lt;&gt;""),1,0)  +  IF(AND('IMPORT SCHLIESSERDATEN'!$P152='IMPORT SCHLIESSERDATEN'!$S152,'IMPORT SCHLIESSERDATEN'!$P152&lt;&gt;"",'IMPORT SCHLIESSERDATEN'!$S152&lt;&gt;""),2,0)   +  IF(AND('IMPORT SCHLIESSERDATEN'!$O152='IMPORT SCHLIESSERDATEN'!$S152,'IMPORT SCHLIESSERDATEN'!$O152&lt;&gt;"",'IMPORT SCHLIESSERDATEN'!$S152&lt;&gt;""),4,0)   +  IF(AND('IMPORT SCHLIESSERDATEN'!$P152='IMPORT SCHLIESSERDATEN'!$R152,'IMPORT SCHLIESSERDATEN'!$P152&lt;&gt;"",'IMPORT SCHLIESSERDATEN'!$R152&lt;&gt;""),8,0)   +  IF('IMPORT SCHLIESSERDATEN'!$Q152&lt;&gt;"",IF('IMPORT SCHLIESSERDATEN'!$R152&lt;&gt;"",32,0) + IF('IMPORT SCHLIESSERDATEN'!$S152&lt;&gt;"",64,0),0)  +  IF('IMPORT SCHLIESSERDATEN'!$T152&lt;&gt;"",IF('IMPORT SCHLIESSERDATEN'!$Q152&lt;&gt;"",128+256,128),0)</f>
        <v>128</v>
      </c>
      <c r="H160" s="74">
        <f>IF('IMPORT SCHLIESSERDATEN'!$H152="",0,1) + IF('IMPORT SCHLIESSERDATEN'!$I152="",0,2) + IF('IMPORT SCHLIESSERDATEN'!$J152="",0,4) + IF('IMPORT SCHLIESSERDATEN'!$K152="",0,8) + IF('IMPORT SCHLIESSERDATEN'!$L152="",0,16) + IF('IMPORT SCHLIESSERDATEN'!$M152="",0,32) + IF('IMPORT SCHLIESSERDATEN'!$N152="",0,64)</f>
        <v>8</v>
      </c>
      <c r="I160" s="74">
        <f>IF('IMPORT SCHLIESSERDATEN'!$D152="",0,1) + IF('IMPORT SCHLIESSERDATEN'!$E152="",0,2) + IF('IMPORT SCHLIESSERDATEN'!$E152="S",4,0)</f>
        <v>2</v>
      </c>
      <c r="J160" s="74">
        <f>IF(ISERR(FIND(" Gangfl.",'IMPORT SCHLIESSERDATEN'!$B152)),IF(ISERR(FIND(" Standfl.",'IMPORT SCHLIESSERDATEN'!$B152)),0,2),1)</f>
        <v>0</v>
      </c>
      <c r="K160" s="74">
        <f>'IMPORT SCHLIESSERDATEN'!CL152</f>
        <v>0</v>
      </c>
      <c r="L160" s="74">
        <f>'IMPORT SCHLIESSERDATEN'!CN152</f>
        <v>0</v>
      </c>
      <c r="M160" s="74">
        <f>IF('IMPORT SCHLIESSERDATEN'!CS152="wie TS",-1,'IMPORT SCHLIESSERDATEN'!CS152)</f>
        <v>0</v>
      </c>
      <c r="N160" s="74">
        <f>IF(M160&lt;0,-1,'IMPORT SCHLIESSERDATEN'!CU152)</f>
        <v>0</v>
      </c>
      <c r="O160" s="74">
        <f>IF('IMPORT SCHLIESSERDATEN'!CZ152="wie TS",-1,'IMPORT SCHLIESSERDATEN'!CZ152)</f>
        <v>-54</v>
      </c>
      <c r="P160" s="74">
        <f>IF(O160&lt;0,-1,'IMPORT SCHLIESSERDATEN'!DB152)</f>
        <v>-1</v>
      </c>
      <c r="Q160" s="74">
        <f>'IMPORT SCHLIESSERDATEN'!DG152</f>
        <v>0</v>
      </c>
      <c r="R160" s="74">
        <f>'IMPORT SCHLIESSERDATEN'!DI152</f>
        <v>0</v>
      </c>
      <c r="S160" s="74">
        <f>'IMPORT SCHLIESSERDATEN'!DN152</f>
        <v>0</v>
      </c>
      <c r="T160" s="74">
        <f>IF('IMPORT SCHLIESSERDATEN'!DP152="V",9999,'IMPORT SCHLIESSERDATEN'!DP152)</f>
        <v>0</v>
      </c>
      <c r="U160" s="74">
        <f>'IMPORT SCHLIESSERDATEN'!BW152</f>
        <v>341</v>
      </c>
      <c r="V160" s="74">
        <f>'IMPORT SCHLIESSERDATEN'!BX152</f>
        <v>78</v>
      </c>
      <c r="W160" s="74">
        <f>'IMPORT SCHLIESSERDATEN'!BY152</f>
        <v>60</v>
      </c>
      <c r="X160" s="74">
        <f>'IMPORT SCHLIESSERDATEN'!CO152</f>
        <v>0</v>
      </c>
      <c r="Y160" s="74">
        <f>'IMPORT SCHLIESSERDATEN'!CQ152</f>
        <v>0</v>
      </c>
      <c r="Z160" s="74">
        <f>'IMPORT SCHLIESSERDATEN'!CV152</f>
        <v>0</v>
      </c>
      <c r="AA160" s="74">
        <f>'IMPORT SCHLIESSERDATEN'!CX152</f>
        <v>0</v>
      </c>
      <c r="AB160" s="74">
        <f>'IMPORT SCHLIESSERDATEN'!DC152</f>
        <v>0</v>
      </c>
      <c r="AC160" s="74">
        <f>'IMPORT SCHLIESSERDATEN'!DE152</f>
        <v>0</v>
      </c>
      <c r="AD160" s="74">
        <f>'IMPORT SCHLIESSERDATEN'!DJ152</f>
        <v>0</v>
      </c>
      <c r="AE160" s="74">
        <f>'IMPORT SCHLIESSERDATEN'!DL152</f>
        <v>0</v>
      </c>
      <c r="AF160" s="74">
        <f>'IMPORT SCHLIESSERDATEN'!DQ152</f>
        <v>0</v>
      </c>
      <c r="AG160" s="74">
        <f>IF('IMPORT SCHLIESSERDATEN'!DS152="V",9999,'IMPORT SCHLIESSERDATEN'!DS152)</f>
        <v>0</v>
      </c>
      <c r="AH160" s="74">
        <f>IF('IMPORT SCHLIESSERDATEN'!BZ152="V",9999,IF('IMPORT SCHLIESSERDATEN'!CD152="_",-1,'IMPORT SCHLIESSERDATEN'!BZ152))</f>
        <v>-1</v>
      </c>
      <c r="AI160" s="74">
        <f>IF('IMPORT SCHLIESSERDATEN'!CA152="V",9999,IF('IMPORT SCHLIESSERDATEN'!CD152="_",-1,'IMPORT SCHLIESSERDATEN'!CA152))</f>
        <v>-1</v>
      </c>
      <c r="AJ160" s="74">
        <f>IF('IMPORT SCHLIESSERDATEN'!CB152="V",9999,IF('IMPORT SCHLIESSERDATEN'!CD152="_",-1,'IMPORT SCHLIESSERDATEN'!CB152))</f>
        <v>-1</v>
      </c>
      <c r="AK160" s="74">
        <f>IF('IMPORT SCHLIESSERDATEN'!CC152="V",9999,IF('IMPORT SCHLIESSERDATEN'!CC152="_",-1,'IMPORT SCHLIESSERDATEN'!CC152))</f>
        <v>-1</v>
      </c>
      <c r="AL160" s="74">
        <f>IF('IMPORT SCHLIESSERDATEN'!CD152="_",-1,'IMPORT SCHLIESSERDATEN'!CD152)</f>
        <v>-1</v>
      </c>
      <c r="AM160" s="74">
        <f>'IMPORT SCHLIESSERDATEN'!CH152</f>
        <v>0</v>
      </c>
      <c r="AN160" s="74">
        <f>IF('IMPORT SCHLIESSERDATEN'!CE152="V",9999,'IMPORT SCHLIESSERDATEN'!CE152)</f>
        <v>39</v>
      </c>
      <c r="AO160" s="74">
        <f>IF('IMPORT SCHLIESSERDATEN'!CK152="_",-1,'IMPORT SCHLIESSERDATEN'!CK152)</f>
        <v>-1</v>
      </c>
      <c r="AP160" s="74">
        <f>IF('IMPORT SCHLIESSERDATEN'!$U152="",0,1)</f>
        <v>1</v>
      </c>
      <c r="AQ160" s="74">
        <f>IF('IMPORT SCHLIESSERDATEN'!$V152="",0,1)</f>
        <v>0</v>
      </c>
      <c r="AR160" s="74">
        <f>IF('IMPORT SCHLIESSERDATEN'!$W152="",0,1)</f>
        <v>0</v>
      </c>
      <c r="AS160" s="74">
        <f>IF('IMPORT SCHLIESSERDATEN'!$AA152="",0,1)</f>
        <v>1</v>
      </c>
      <c r="AT160" s="74">
        <f>IF('IMPORT SCHLIESSERDATEN'!$AD152="",0,1) + IF('IMPORT SCHLIESSERDATEN'!$AE152="",0,2)</f>
        <v>2</v>
      </c>
      <c r="AU160" s="74" t="str">
        <f>IF('IMPORT SCHLIESSERDATEN'!$X152="",IF('IMPORT SCHLIESSERDATEN'!$Y152="","","F"),"V")</f>
        <v/>
      </c>
      <c r="AV160" s="74" t="str">
        <f>IF('IMPORT SCHLIESSERDATEN'!$AB152&lt;&gt;"","M",IF('IMPORT SCHLIESSERDATEN'!$AD152&lt;&gt;"",IF(ISERR(SEARCH("UVIBIS",'IMPORT SCHLIESSERDATEN'!$B152)),"R","B"),IF(OR('IMPORT SCHLIESSERDATEN'!$AC152&lt;&gt;"",'IMPORT SCHLIESSERDATEN'!$AE152&lt;&gt;""),"E","")))</f>
        <v>E</v>
      </c>
      <c r="AW160" s="82"/>
      <c r="AX160" s="67"/>
    </row>
    <row r="161" spans="1:50" x14ac:dyDescent="0.25">
      <c r="A161" s="67">
        <f>IFERROR(IF(C161&lt;&gt;"",MAX($A$2:$A160)+1,""),"")</f>
        <v>149</v>
      </c>
      <c r="B161" s="223">
        <f t="shared" si="3"/>
        <v>149</v>
      </c>
      <c r="C161" s="216" t="str">
        <f>IF(J161=1,SUBSTITUTE('IMPORT SCHLIESSERDATEN'!$B153," Gangfl.",""),IF(J161=2,SUBSTITUTE('IMPORT SCHLIESSERDATEN'!$B153," Standfl.",""),'IMPORT SCHLIESSERDATEN'!$B153))</f>
        <v>BTS 80 EMB EN 5 + SR</v>
      </c>
      <c r="D161" s="216" t="str">
        <f>IF('IMPORT SCHLIESSERDATEN'!$AF153&lt;&gt;"",IF(COUNTA('IMPORT SCHLIESSERDATEN'!$AN153:$AU153)&gt;0,"X","G"),IF('IMPORT SCHLIESSERDATEN'!$AG153&lt;&gt;"","S",IF('IMPORT SCHLIESSERDATEN'!$AH153&lt;&gt;"","I",IF('IMPORT SCHLIESSERDATEN'!$AI153&lt;&gt;"","B",IF('IMPORT SCHLIESSERDATEN'!$AJ153&lt;&gt;"","D","")))))</f>
        <v>B</v>
      </c>
      <c r="E161" s="248" t="str">
        <f>'IMPORT SCHLIESSERDATEN'!AK153 &amp; IF('IMPORT SCHLIESSERDATEN'!AL153="",""," "&amp; 'IMPORT SCHLIESSERDATEN'!AL153)</f>
        <v>80 EMB</v>
      </c>
      <c r="F161" s="74">
        <f>IFERROR(IF(D161="X",2^(MATCH("",'IMPORT SCHLIESSERDATEN'!$AN153:$AU153,-1)-1),IF(AV161="F",2^(MATCH("",'IMPORT SCHLIESSERDATEN'!$BH153:$BK153,-1)-1),2^(MATCH("",'IMPORT SCHLIESSERDATEN'!$AV153:$BG153,-1)-1))),0)</f>
        <v>0</v>
      </c>
      <c r="G161" s="74">
        <f>IF(AND('IMPORT SCHLIESSERDATEN'!$O153='IMPORT SCHLIESSERDATEN'!$R153,'IMPORT SCHLIESSERDATEN'!$O153&lt;&gt;"",'IMPORT SCHLIESSERDATEN'!$R153&lt;&gt;""),1,0)  +  IF(AND('IMPORT SCHLIESSERDATEN'!$P153='IMPORT SCHLIESSERDATEN'!$S153,'IMPORT SCHLIESSERDATEN'!$P153&lt;&gt;"",'IMPORT SCHLIESSERDATEN'!$S153&lt;&gt;""),2,0)   +  IF(AND('IMPORT SCHLIESSERDATEN'!$O153='IMPORT SCHLIESSERDATEN'!$S153,'IMPORT SCHLIESSERDATEN'!$O153&lt;&gt;"",'IMPORT SCHLIESSERDATEN'!$S153&lt;&gt;""),4,0)   +  IF(AND('IMPORT SCHLIESSERDATEN'!$P153='IMPORT SCHLIESSERDATEN'!$R153,'IMPORT SCHLIESSERDATEN'!$P153&lt;&gt;"",'IMPORT SCHLIESSERDATEN'!$R153&lt;&gt;""),8,0)   +  IF('IMPORT SCHLIESSERDATEN'!$Q153&lt;&gt;"",IF('IMPORT SCHLIESSERDATEN'!$R153&lt;&gt;"",32,0) + IF('IMPORT SCHLIESSERDATEN'!$S153&lt;&gt;"",64,0),0)  +  IF('IMPORT SCHLIESSERDATEN'!$T153&lt;&gt;"",IF('IMPORT SCHLIESSERDATEN'!$Q153&lt;&gt;"",128+256,128),0)</f>
        <v>128</v>
      </c>
      <c r="H161" s="74">
        <f>IF('IMPORT SCHLIESSERDATEN'!$H153="",0,1) + IF('IMPORT SCHLIESSERDATEN'!$I153="",0,2) + IF('IMPORT SCHLIESSERDATEN'!$J153="",0,4) + IF('IMPORT SCHLIESSERDATEN'!$K153="",0,8) + IF('IMPORT SCHLIESSERDATEN'!$L153="",0,16) + IF('IMPORT SCHLIESSERDATEN'!$M153="",0,32) + IF('IMPORT SCHLIESSERDATEN'!$N153="",0,64)</f>
        <v>16</v>
      </c>
      <c r="I161" s="74">
        <f>IF('IMPORT SCHLIESSERDATEN'!$D153="",0,1) + IF('IMPORT SCHLIESSERDATEN'!$E153="",0,2) + IF('IMPORT SCHLIESSERDATEN'!$E153="S",4,0)</f>
        <v>2</v>
      </c>
      <c r="J161" s="74">
        <f>IF(ISERR(FIND(" Gangfl.",'IMPORT SCHLIESSERDATEN'!$B153)),IF(ISERR(FIND(" Standfl.",'IMPORT SCHLIESSERDATEN'!$B153)),0,2),1)</f>
        <v>0</v>
      </c>
      <c r="K161" s="74">
        <f>'IMPORT SCHLIESSERDATEN'!CL153</f>
        <v>0</v>
      </c>
      <c r="L161" s="74">
        <f>'IMPORT SCHLIESSERDATEN'!CN153</f>
        <v>0</v>
      </c>
      <c r="M161" s="74">
        <f>IF('IMPORT SCHLIESSERDATEN'!CS153="wie TS",-1,'IMPORT SCHLIESSERDATEN'!CS153)</f>
        <v>0</v>
      </c>
      <c r="N161" s="74">
        <f>IF(M161&lt;0,-1,'IMPORT SCHLIESSERDATEN'!CU153)</f>
        <v>0</v>
      </c>
      <c r="O161" s="74">
        <f>IF('IMPORT SCHLIESSERDATEN'!CZ153="wie TS",-1,'IMPORT SCHLIESSERDATEN'!CZ153)</f>
        <v>-54</v>
      </c>
      <c r="P161" s="74">
        <f>IF(O161&lt;0,-1,'IMPORT SCHLIESSERDATEN'!DB153)</f>
        <v>-1</v>
      </c>
      <c r="Q161" s="74">
        <f>'IMPORT SCHLIESSERDATEN'!DG153</f>
        <v>0</v>
      </c>
      <c r="R161" s="74">
        <f>'IMPORT SCHLIESSERDATEN'!DI153</f>
        <v>0</v>
      </c>
      <c r="S161" s="74">
        <f>'IMPORT SCHLIESSERDATEN'!DN153</f>
        <v>0</v>
      </c>
      <c r="T161" s="74">
        <f>IF('IMPORT SCHLIESSERDATEN'!DP153="V",9999,'IMPORT SCHLIESSERDATEN'!DP153)</f>
        <v>0</v>
      </c>
      <c r="U161" s="74">
        <f>'IMPORT SCHLIESSERDATEN'!BW153</f>
        <v>341</v>
      </c>
      <c r="V161" s="74">
        <f>'IMPORT SCHLIESSERDATEN'!BX153</f>
        <v>78</v>
      </c>
      <c r="W161" s="74">
        <f>'IMPORT SCHLIESSERDATEN'!BY153</f>
        <v>60</v>
      </c>
      <c r="X161" s="74">
        <f>'IMPORT SCHLIESSERDATEN'!CO153</f>
        <v>0</v>
      </c>
      <c r="Y161" s="74">
        <f>'IMPORT SCHLIESSERDATEN'!CQ153</f>
        <v>0</v>
      </c>
      <c r="Z161" s="74">
        <f>'IMPORT SCHLIESSERDATEN'!CV153</f>
        <v>0</v>
      </c>
      <c r="AA161" s="74">
        <f>'IMPORT SCHLIESSERDATEN'!CX153</f>
        <v>0</v>
      </c>
      <c r="AB161" s="74">
        <f>'IMPORT SCHLIESSERDATEN'!DC153</f>
        <v>0</v>
      </c>
      <c r="AC161" s="74">
        <f>'IMPORT SCHLIESSERDATEN'!DE153</f>
        <v>0</v>
      </c>
      <c r="AD161" s="74">
        <f>'IMPORT SCHLIESSERDATEN'!DJ153</f>
        <v>0</v>
      </c>
      <c r="AE161" s="74">
        <f>'IMPORT SCHLIESSERDATEN'!DL153</f>
        <v>0</v>
      </c>
      <c r="AF161" s="74">
        <f>'IMPORT SCHLIESSERDATEN'!DQ153</f>
        <v>0</v>
      </c>
      <c r="AG161" s="74">
        <f>IF('IMPORT SCHLIESSERDATEN'!DS153="V",9999,'IMPORT SCHLIESSERDATEN'!DS153)</f>
        <v>0</v>
      </c>
      <c r="AH161" s="74">
        <f>IF('IMPORT SCHLIESSERDATEN'!BZ153="V",9999,IF('IMPORT SCHLIESSERDATEN'!CD153="_",-1,'IMPORT SCHLIESSERDATEN'!BZ153))</f>
        <v>-1</v>
      </c>
      <c r="AI161" s="74">
        <f>IF('IMPORT SCHLIESSERDATEN'!CA153="V",9999,IF('IMPORT SCHLIESSERDATEN'!CD153="_",-1,'IMPORT SCHLIESSERDATEN'!CA153))</f>
        <v>-1</v>
      </c>
      <c r="AJ161" s="74">
        <f>IF('IMPORT SCHLIESSERDATEN'!CB153="V",9999,IF('IMPORT SCHLIESSERDATEN'!CD153="_",-1,'IMPORT SCHLIESSERDATEN'!CB153))</f>
        <v>-1</v>
      </c>
      <c r="AK161" s="74">
        <f>IF('IMPORT SCHLIESSERDATEN'!CC153="V",9999,IF('IMPORT SCHLIESSERDATEN'!CC153="_",-1,'IMPORT SCHLIESSERDATEN'!CC153))</f>
        <v>-1</v>
      </c>
      <c r="AL161" s="74">
        <f>IF('IMPORT SCHLIESSERDATEN'!CD153="_",-1,'IMPORT SCHLIESSERDATEN'!CD153)</f>
        <v>-1</v>
      </c>
      <c r="AM161" s="74">
        <f>'IMPORT SCHLIESSERDATEN'!CH153</f>
        <v>0</v>
      </c>
      <c r="AN161" s="74">
        <f>IF('IMPORT SCHLIESSERDATEN'!CE153="V",9999,'IMPORT SCHLIESSERDATEN'!CE153)</f>
        <v>39</v>
      </c>
      <c r="AO161" s="74">
        <f>IF('IMPORT SCHLIESSERDATEN'!CK153="_",-1,'IMPORT SCHLIESSERDATEN'!CK153)</f>
        <v>-1</v>
      </c>
      <c r="AP161" s="74">
        <f>IF('IMPORT SCHLIESSERDATEN'!$U153="",0,1)</f>
        <v>1</v>
      </c>
      <c r="AQ161" s="74">
        <f>IF('IMPORT SCHLIESSERDATEN'!$V153="",0,1)</f>
        <v>0</v>
      </c>
      <c r="AR161" s="74">
        <f>IF('IMPORT SCHLIESSERDATEN'!$W153="",0,1)</f>
        <v>0</v>
      </c>
      <c r="AS161" s="74">
        <f>IF('IMPORT SCHLIESSERDATEN'!$AA153="",0,1)</f>
        <v>1</v>
      </c>
      <c r="AT161" s="74">
        <f>IF('IMPORT SCHLIESSERDATEN'!$AD153="",0,1) + IF('IMPORT SCHLIESSERDATEN'!$AE153="",0,2)</f>
        <v>2</v>
      </c>
      <c r="AU161" s="74" t="str">
        <f>IF('IMPORT SCHLIESSERDATEN'!$X153="",IF('IMPORT SCHLIESSERDATEN'!$Y153="","","F"),"V")</f>
        <v/>
      </c>
      <c r="AV161" s="74" t="str">
        <f>IF('IMPORT SCHLIESSERDATEN'!$AB153&lt;&gt;"","M",IF('IMPORT SCHLIESSERDATEN'!$AD153&lt;&gt;"",IF(ISERR(SEARCH("UVIBIS",'IMPORT SCHLIESSERDATEN'!$B153)),"R","B"),IF(OR('IMPORT SCHLIESSERDATEN'!$AC153&lt;&gt;"",'IMPORT SCHLIESSERDATEN'!$AE153&lt;&gt;""),"E","")))</f>
        <v>E</v>
      </c>
      <c r="AW161" s="82"/>
      <c r="AX161" s="67"/>
    </row>
    <row r="162" spans="1:50" x14ac:dyDescent="0.25">
      <c r="A162" s="67">
        <f>IFERROR(IF(C162&lt;&gt;"",MAX($A$2:$A161)+1,""),"")</f>
        <v>150</v>
      </c>
      <c r="B162" s="223">
        <f t="shared" si="3"/>
        <v>150</v>
      </c>
      <c r="C162" s="216" t="str">
        <f>IF(J162=1,SUBSTITUTE('IMPORT SCHLIESSERDATEN'!$B154," Gangfl.",""),IF(J162=2,SUBSTITUTE('IMPORT SCHLIESSERDATEN'!$B154," Standfl.",""),'IMPORT SCHLIESSERDATEN'!$B154))</f>
        <v>BTS 80 EMB EN 6 + SR</v>
      </c>
      <c r="D162" s="216" t="str">
        <f>IF('IMPORT SCHLIESSERDATEN'!$AF154&lt;&gt;"",IF(COUNTA('IMPORT SCHLIESSERDATEN'!$AN154:$AU154)&gt;0,"X","G"),IF('IMPORT SCHLIESSERDATEN'!$AG154&lt;&gt;"","S",IF('IMPORT SCHLIESSERDATEN'!$AH154&lt;&gt;"","I",IF('IMPORT SCHLIESSERDATEN'!$AI154&lt;&gt;"","B",IF('IMPORT SCHLIESSERDATEN'!$AJ154&lt;&gt;"","D","")))))</f>
        <v>B</v>
      </c>
      <c r="E162" s="248" t="str">
        <f>'IMPORT SCHLIESSERDATEN'!AK154 &amp; IF('IMPORT SCHLIESSERDATEN'!AL154="",""," "&amp; 'IMPORT SCHLIESSERDATEN'!AL154)</f>
        <v>80 EMB</v>
      </c>
      <c r="F162" s="74">
        <f>IFERROR(IF(D162="X",2^(MATCH("",'IMPORT SCHLIESSERDATEN'!$AN154:$AU154,-1)-1),IF(AV162="F",2^(MATCH("",'IMPORT SCHLIESSERDATEN'!$BH154:$BK154,-1)-1),2^(MATCH("",'IMPORT SCHLIESSERDATEN'!$AV154:$BG154,-1)-1))),0)</f>
        <v>0</v>
      </c>
      <c r="G162" s="74">
        <f>IF(AND('IMPORT SCHLIESSERDATEN'!$O154='IMPORT SCHLIESSERDATEN'!$R154,'IMPORT SCHLIESSERDATEN'!$O154&lt;&gt;"",'IMPORT SCHLIESSERDATEN'!$R154&lt;&gt;""),1,0)  +  IF(AND('IMPORT SCHLIESSERDATEN'!$P154='IMPORT SCHLIESSERDATEN'!$S154,'IMPORT SCHLIESSERDATEN'!$P154&lt;&gt;"",'IMPORT SCHLIESSERDATEN'!$S154&lt;&gt;""),2,0)   +  IF(AND('IMPORT SCHLIESSERDATEN'!$O154='IMPORT SCHLIESSERDATEN'!$S154,'IMPORT SCHLIESSERDATEN'!$O154&lt;&gt;"",'IMPORT SCHLIESSERDATEN'!$S154&lt;&gt;""),4,0)   +  IF(AND('IMPORT SCHLIESSERDATEN'!$P154='IMPORT SCHLIESSERDATEN'!$R154,'IMPORT SCHLIESSERDATEN'!$P154&lt;&gt;"",'IMPORT SCHLIESSERDATEN'!$R154&lt;&gt;""),8,0)   +  IF('IMPORT SCHLIESSERDATEN'!$Q154&lt;&gt;"",IF('IMPORT SCHLIESSERDATEN'!$R154&lt;&gt;"",32,0) + IF('IMPORT SCHLIESSERDATEN'!$S154&lt;&gt;"",64,0),0)  +  IF('IMPORT SCHLIESSERDATEN'!$T154&lt;&gt;"",IF('IMPORT SCHLIESSERDATEN'!$Q154&lt;&gt;"",128+256,128),0)</f>
        <v>128</v>
      </c>
      <c r="H162" s="74">
        <f>IF('IMPORT SCHLIESSERDATEN'!$H154="",0,1) + IF('IMPORT SCHLIESSERDATEN'!$I154="",0,2) + IF('IMPORT SCHLIESSERDATEN'!$J154="",0,4) + IF('IMPORT SCHLIESSERDATEN'!$K154="",0,8) + IF('IMPORT SCHLIESSERDATEN'!$L154="",0,16) + IF('IMPORT SCHLIESSERDATEN'!$M154="",0,32) + IF('IMPORT SCHLIESSERDATEN'!$N154="",0,64)</f>
        <v>32</v>
      </c>
      <c r="I162" s="74">
        <f>IF('IMPORT SCHLIESSERDATEN'!$D154="",0,1) + IF('IMPORT SCHLIESSERDATEN'!$E154="",0,2) + IF('IMPORT SCHLIESSERDATEN'!$E154="S",4,0)</f>
        <v>2</v>
      </c>
      <c r="J162" s="74">
        <f>IF(ISERR(FIND(" Gangfl.",'IMPORT SCHLIESSERDATEN'!$B154)),IF(ISERR(FIND(" Standfl.",'IMPORT SCHLIESSERDATEN'!$B154)),0,2),1)</f>
        <v>0</v>
      </c>
      <c r="K162" s="74">
        <f>'IMPORT SCHLIESSERDATEN'!CL154</f>
        <v>0</v>
      </c>
      <c r="L162" s="74">
        <f>'IMPORT SCHLIESSERDATEN'!CN154</f>
        <v>0</v>
      </c>
      <c r="M162" s="74">
        <f>IF('IMPORT SCHLIESSERDATEN'!CS154="wie TS",-1,'IMPORT SCHLIESSERDATEN'!CS154)</f>
        <v>0</v>
      </c>
      <c r="N162" s="74">
        <f>IF(M162&lt;0,-1,'IMPORT SCHLIESSERDATEN'!CU154)</f>
        <v>0</v>
      </c>
      <c r="O162" s="74">
        <f>IF('IMPORT SCHLIESSERDATEN'!CZ154="wie TS",-1,'IMPORT SCHLIESSERDATEN'!CZ154)</f>
        <v>-54</v>
      </c>
      <c r="P162" s="74">
        <f>IF(O162&lt;0,-1,'IMPORT SCHLIESSERDATEN'!DB154)</f>
        <v>-1</v>
      </c>
      <c r="Q162" s="74">
        <f>'IMPORT SCHLIESSERDATEN'!DG154</f>
        <v>0</v>
      </c>
      <c r="R162" s="74">
        <f>'IMPORT SCHLIESSERDATEN'!DI154</f>
        <v>0</v>
      </c>
      <c r="S162" s="74">
        <f>'IMPORT SCHLIESSERDATEN'!DN154</f>
        <v>0</v>
      </c>
      <c r="T162" s="74">
        <f>IF('IMPORT SCHLIESSERDATEN'!DP154="V",9999,'IMPORT SCHLIESSERDATEN'!DP154)</f>
        <v>0</v>
      </c>
      <c r="U162" s="74">
        <f>'IMPORT SCHLIESSERDATEN'!BW154</f>
        <v>341</v>
      </c>
      <c r="V162" s="74">
        <f>'IMPORT SCHLIESSERDATEN'!BX154</f>
        <v>78</v>
      </c>
      <c r="W162" s="74">
        <f>'IMPORT SCHLIESSERDATEN'!BY154</f>
        <v>60</v>
      </c>
      <c r="X162" s="74">
        <f>'IMPORT SCHLIESSERDATEN'!CO154</f>
        <v>0</v>
      </c>
      <c r="Y162" s="74">
        <f>'IMPORT SCHLIESSERDATEN'!CQ154</f>
        <v>0</v>
      </c>
      <c r="Z162" s="74">
        <f>'IMPORT SCHLIESSERDATEN'!CV154</f>
        <v>0</v>
      </c>
      <c r="AA162" s="74">
        <f>'IMPORT SCHLIESSERDATEN'!CX154</f>
        <v>0</v>
      </c>
      <c r="AB162" s="74">
        <f>'IMPORT SCHLIESSERDATEN'!DC154</f>
        <v>0</v>
      </c>
      <c r="AC162" s="74">
        <f>'IMPORT SCHLIESSERDATEN'!DE154</f>
        <v>0</v>
      </c>
      <c r="AD162" s="74">
        <f>'IMPORT SCHLIESSERDATEN'!DJ154</f>
        <v>0</v>
      </c>
      <c r="AE162" s="74">
        <f>'IMPORT SCHLIESSERDATEN'!DL154</f>
        <v>0</v>
      </c>
      <c r="AF162" s="74">
        <f>'IMPORT SCHLIESSERDATEN'!DQ154</f>
        <v>0</v>
      </c>
      <c r="AG162" s="74">
        <f>IF('IMPORT SCHLIESSERDATEN'!DS154="V",9999,'IMPORT SCHLIESSERDATEN'!DS154)</f>
        <v>0</v>
      </c>
      <c r="AH162" s="74">
        <f>IF('IMPORT SCHLIESSERDATEN'!BZ154="V",9999,IF('IMPORT SCHLIESSERDATEN'!CD154="_",-1,'IMPORT SCHLIESSERDATEN'!BZ154))</f>
        <v>-1</v>
      </c>
      <c r="AI162" s="74">
        <f>IF('IMPORT SCHLIESSERDATEN'!CA154="V",9999,IF('IMPORT SCHLIESSERDATEN'!CD154="_",-1,'IMPORT SCHLIESSERDATEN'!CA154))</f>
        <v>-1</v>
      </c>
      <c r="AJ162" s="74">
        <f>IF('IMPORT SCHLIESSERDATEN'!CB154="V",9999,IF('IMPORT SCHLIESSERDATEN'!CD154="_",-1,'IMPORT SCHLIESSERDATEN'!CB154))</f>
        <v>-1</v>
      </c>
      <c r="AK162" s="74">
        <f>IF('IMPORT SCHLIESSERDATEN'!CC154="V",9999,IF('IMPORT SCHLIESSERDATEN'!CC154="_",-1,'IMPORT SCHLIESSERDATEN'!CC154))</f>
        <v>-1</v>
      </c>
      <c r="AL162" s="74">
        <f>IF('IMPORT SCHLIESSERDATEN'!CD154="_",-1,'IMPORT SCHLIESSERDATEN'!CD154)</f>
        <v>-1</v>
      </c>
      <c r="AM162" s="74">
        <f>'IMPORT SCHLIESSERDATEN'!CH154</f>
        <v>0</v>
      </c>
      <c r="AN162" s="74">
        <f>IF('IMPORT SCHLIESSERDATEN'!CE154="V",9999,'IMPORT SCHLIESSERDATEN'!CE154)</f>
        <v>39</v>
      </c>
      <c r="AO162" s="74">
        <f>IF('IMPORT SCHLIESSERDATEN'!CK154="_",-1,'IMPORT SCHLIESSERDATEN'!CK154)</f>
        <v>-1</v>
      </c>
      <c r="AP162" s="74">
        <f>IF('IMPORT SCHLIESSERDATEN'!$U154="",0,1)</f>
        <v>1</v>
      </c>
      <c r="AQ162" s="74">
        <f>IF('IMPORT SCHLIESSERDATEN'!$V154="",0,1)</f>
        <v>0</v>
      </c>
      <c r="AR162" s="74">
        <f>IF('IMPORT SCHLIESSERDATEN'!$W154="",0,1)</f>
        <v>0</v>
      </c>
      <c r="AS162" s="74">
        <f>IF('IMPORT SCHLIESSERDATEN'!$AA154="",0,1)</f>
        <v>1</v>
      </c>
      <c r="AT162" s="74">
        <f>IF('IMPORT SCHLIESSERDATEN'!$AD154="",0,1) + IF('IMPORT SCHLIESSERDATEN'!$AE154="",0,2)</f>
        <v>2</v>
      </c>
      <c r="AU162" s="74" t="str">
        <f>IF('IMPORT SCHLIESSERDATEN'!$X154="",IF('IMPORT SCHLIESSERDATEN'!$Y154="","","F"),"V")</f>
        <v/>
      </c>
      <c r="AV162" s="74" t="str">
        <f>IF('IMPORT SCHLIESSERDATEN'!$AB154&lt;&gt;"","M",IF('IMPORT SCHLIESSERDATEN'!$AD154&lt;&gt;"",IF(ISERR(SEARCH("UVIBIS",'IMPORT SCHLIESSERDATEN'!$B154)),"R","B"),IF(OR('IMPORT SCHLIESSERDATEN'!$AC154&lt;&gt;"",'IMPORT SCHLIESSERDATEN'!$AE154&lt;&gt;""),"E","")))</f>
        <v>E</v>
      </c>
      <c r="AW162" s="82"/>
      <c r="AX162" s="67"/>
    </row>
    <row r="163" spans="1:50" x14ac:dyDescent="0.25">
      <c r="A163" s="67">
        <f>IFERROR(IF(C163&lt;&gt;"",MAX($A$2:$A162)+1,""),"")</f>
        <v>151</v>
      </c>
      <c r="B163" s="223">
        <f t="shared" si="3"/>
        <v>151</v>
      </c>
      <c r="C163" s="216" t="str">
        <f>IF(J163=1,SUBSTITUTE('IMPORT SCHLIESSERDATEN'!$B155," Gangfl.",""),IF(J163=2,SUBSTITUTE('IMPORT SCHLIESSERDATEN'!$B155," Standfl.",""),'IMPORT SCHLIESSERDATEN'!$B155))</f>
        <v>BTS 80 FLB EN 4</v>
      </c>
      <c r="D163" s="216" t="str">
        <f>IF('IMPORT SCHLIESSERDATEN'!$AF155&lt;&gt;"",IF(COUNTA('IMPORT SCHLIESSERDATEN'!$AN155:$AU155)&gt;0,"X","G"),IF('IMPORT SCHLIESSERDATEN'!$AG155&lt;&gt;"","S",IF('IMPORT SCHLIESSERDATEN'!$AH155&lt;&gt;"","I",IF('IMPORT SCHLIESSERDATEN'!$AI155&lt;&gt;"","B",IF('IMPORT SCHLIESSERDATEN'!$AJ155&lt;&gt;"","D","")))))</f>
        <v>B</v>
      </c>
      <c r="E163" s="248" t="str">
        <f>'IMPORT SCHLIESSERDATEN'!AK155 &amp; IF('IMPORT SCHLIESSERDATEN'!AL155="",""," "&amp; 'IMPORT SCHLIESSERDATEN'!AL155)</f>
        <v>80 FLB</v>
      </c>
      <c r="F163" s="74">
        <f>IFERROR(IF(D163="X",2^(MATCH("",'IMPORT SCHLIESSERDATEN'!$AN155:$AU155,-1)-1),IF(AV163="F",2^(MATCH("",'IMPORT SCHLIESSERDATEN'!$BH155:$BK155,-1)-1),2^(MATCH("",'IMPORT SCHLIESSERDATEN'!$AV155:$BG155,-1)-1))),0)</f>
        <v>0</v>
      </c>
      <c r="G163" s="74">
        <f>IF(AND('IMPORT SCHLIESSERDATEN'!$O155='IMPORT SCHLIESSERDATEN'!$R155,'IMPORT SCHLIESSERDATEN'!$O155&lt;&gt;"",'IMPORT SCHLIESSERDATEN'!$R155&lt;&gt;""),1,0)  +  IF(AND('IMPORT SCHLIESSERDATEN'!$P155='IMPORT SCHLIESSERDATEN'!$S155,'IMPORT SCHLIESSERDATEN'!$P155&lt;&gt;"",'IMPORT SCHLIESSERDATEN'!$S155&lt;&gt;""),2,0)   +  IF(AND('IMPORT SCHLIESSERDATEN'!$O155='IMPORT SCHLIESSERDATEN'!$S155,'IMPORT SCHLIESSERDATEN'!$O155&lt;&gt;"",'IMPORT SCHLIESSERDATEN'!$S155&lt;&gt;""),4,0)   +  IF(AND('IMPORT SCHLIESSERDATEN'!$P155='IMPORT SCHLIESSERDATEN'!$R155,'IMPORT SCHLIESSERDATEN'!$P155&lt;&gt;"",'IMPORT SCHLIESSERDATEN'!$R155&lt;&gt;""),8,0)   +  IF('IMPORT SCHLIESSERDATEN'!$Q155&lt;&gt;"",IF('IMPORT SCHLIESSERDATEN'!$R155&lt;&gt;"",32,0) + IF('IMPORT SCHLIESSERDATEN'!$S155&lt;&gt;"",64,0),0)  +  IF('IMPORT SCHLIESSERDATEN'!$T155&lt;&gt;"",IF('IMPORT SCHLIESSERDATEN'!$Q155&lt;&gt;"",128+256,128),0)</f>
        <v>128</v>
      </c>
      <c r="H163" s="74">
        <f>IF('IMPORT SCHLIESSERDATEN'!$H155="",0,1) + IF('IMPORT SCHLIESSERDATEN'!$I155="",0,2) + IF('IMPORT SCHLIESSERDATEN'!$J155="",0,4) + IF('IMPORT SCHLIESSERDATEN'!$K155="",0,8) + IF('IMPORT SCHLIESSERDATEN'!$L155="",0,16) + IF('IMPORT SCHLIESSERDATEN'!$M155="",0,32) + IF('IMPORT SCHLIESSERDATEN'!$N155="",0,64)</f>
        <v>8</v>
      </c>
      <c r="I163" s="74">
        <f>IF('IMPORT SCHLIESSERDATEN'!$D155="",0,1) + IF('IMPORT SCHLIESSERDATEN'!$E155="",0,2) + IF('IMPORT SCHLIESSERDATEN'!$E155="S",4,0)</f>
        <v>1</v>
      </c>
      <c r="J163" s="74">
        <f>IF(ISERR(FIND(" Gangfl.",'IMPORT SCHLIESSERDATEN'!$B155)),IF(ISERR(FIND(" Standfl.",'IMPORT SCHLIESSERDATEN'!$B155)),0,2),1)</f>
        <v>0</v>
      </c>
      <c r="K163" s="74">
        <f>'IMPORT SCHLIESSERDATEN'!CL155</f>
        <v>0</v>
      </c>
      <c r="L163" s="74">
        <f>'IMPORT SCHLIESSERDATEN'!CN155</f>
        <v>0</v>
      </c>
      <c r="M163" s="74">
        <f>IF('IMPORT SCHLIESSERDATEN'!CS155="wie TS",-1,'IMPORT SCHLIESSERDATEN'!CS155)</f>
        <v>0</v>
      </c>
      <c r="N163" s="74">
        <f>IF(M163&lt;0,-1,'IMPORT SCHLIESSERDATEN'!CU155)</f>
        <v>0</v>
      </c>
      <c r="O163" s="74">
        <f>IF('IMPORT SCHLIESSERDATEN'!CZ155="wie TS",-1,'IMPORT SCHLIESSERDATEN'!CZ155)</f>
        <v>-54</v>
      </c>
      <c r="P163" s="74">
        <f>IF(O163&lt;0,-1,'IMPORT SCHLIESSERDATEN'!DB155)</f>
        <v>-1</v>
      </c>
      <c r="Q163" s="74">
        <f>'IMPORT SCHLIESSERDATEN'!DG155</f>
        <v>0</v>
      </c>
      <c r="R163" s="74">
        <f>'IMPORT SCHLIESSERDATEN'!DI155</f>
        <v>0</v>
      </c>
      <c r="S163" s="74">
        <f>'IMPORT SCHLIESSERDATEN'!DN155</f>
        <v>0</v>
      </c>
      <c r="T163" s="74">
        <f>IF('IMPORT SCHLIESSERDATEN'!DP155="V",9999,'IMPORT SCHLIESSERDATEN'!DP155)</f>
        <v>0</v>
      </c>
      <c r="U163" s="74">
        <f>'IMPORT SCHLIESSERDATEN'!BW155</f>
        <v>341</v>
      </c>
      <c r="V163" s="74">
        <f>'IMPORT SCHLIESSERDATEN'!BX155</f>
        <v>78</v>
      </c>
      <c r="W163" s="74">
        <f>'IMPORT SCHLIESSERDATEN'!BY155</f>
        <v>60</v>
      </c>
      <c r="X163" s="74">
        <f>'IMPORT SCHLIESSERDATEN'!CO155</f>
        <v>0</v>
      </c>
      <c r="Y163" s="74">
        <f>'IMPORT SCHLIESSERDATEN'!CQ155</f>
        <v>0</v>
      </c>
      <c r="Z163" s="74">
        <f>'IMPORT SCHLIESSERDATEN'!CV155</f>
        <v>0</v>
      </c>
      <c r="AA163" s="74">
        <f>'IMPORT SCHLIESSERDATEN'!CX155</f>
        <v>0</v>
      </c>
      <c r="AB163" s="74">
        <f>'IMPORT SCHLIESSERDATEN'!DC155</f>
        <v>0</v>
      </c>
      <c r="AC163" s="74">
        <f>'IMPORT SCHLIESSERDATEN'!DE155</f>
        <v>0</v>
      </c>
      <c r="AD163" s="74">
        <f>'IMPORT SCHLIESSERDATEN'!DJ155</f>
        <v>0</v>
      </c>
      <c r="AE163" s="74">
        <f>'IMPORT SCHLIESSERDATEN'!DL155</f>
        <v>0</v>
      </c>
      <c r="AF163" s="74">
        <f>'IMPORT SCHLIESSERDATEN'!DQ155</f>
        <v>0</v>
      </c>
      <c r="AG163" s="74">
        <f>IF('IMPORT SCHLIESSERDATEN'!DS155="V",9999,'IMPORT SCHLIESSERDATEN'!DS155)</f>
        <v>0</v>
      </c>
      <c r="AH163" s="74">
        <f>IF('IMPORT SCHLIESSERDATEN'!BZ155="V",9999,IF('IMPORT SCHLIESSERDATEN'!CD155="_",-1,'IMPORT SCHLIESSERDATEN'!BZ155))</f>
        <v>-1</v>
      </c>
      <c r="AI163" s="74">
        <f>IF('IMPORT SCHLIESSERDATEN'!CA155="V",9999,IF('IMPORT SCHLIESSERDATEN'!CD155="_",-1,'IMPORT SCHLIESSERDATEN'!CA155))</f>
        <v>-1</v>
      </c>
      <c r="AJ163" s="74">
        <f>IF('IMPORT SCHLIESSERDATEN'!CB155="V",9999,IF('IMPORT SCHLIESSERDATEN'!CD155="_",-1,'IMPORT SCHLIESSERDATEN'!CB155))</f>
        <v>-1</v>
      </c>
      <c r="AK163" s="74">
        <f>IF('IMPORT SCHLIESSERDATEN'!CC155="V",9999,IF('IMPORT SCHLIESSERDATEN'!CC155="_",-1,'IMPORT SCHLIESSERDATEN'!CC155))</f>
        <v>-1</v>
      </c>
      <c r="AL163" s="74">
        <f>IF('IMPORT SCHLIESSERDATEN'!CD155="_",-1,'IMPORT SCHLIESSERDATEN'!CD155)</f>
        <v>-1</v>
      </c>
      <c r="AM163" s="74">
        <f>'IMPORT SCHLIESSERDATEN'!CH155</f>
        <v>0</v>
      </c>
      <c r="AN163" s="74">
        <f>IF('IMPORT SCHLIESSERDATEN'!CE155="V",9999,'IMPORT SCHLIESSERDATEN'!CE155)</f>
        <v>39</v>
      </c>
      <c r="AO163" s="74">
        <f>IF('IMPORT SCHLIESSERDATEN'!CK155="_",-1,'IMPORT SCHLIESSERDATEN'!CK155)</f>
        <v>-1</v>
      </c>
      <c r="AP163" s="74">
        <f>IF('IMPORT SCHLIESSERDATEN'!$U155="",0,1)</f>
        <v>1</v>
      </c>
      <c r="AQ163" s="74">
        <f>IF('IMPORT SCHLIESSERDATEN'!$V155="",0,1)</f>
        <v>0</v>
      </c>
      <c r="AR163" s="74">
        <f>IF('IMPORT SCHLIESSERDATEN'!$W155="",0,1)</f>
        <v>0</v>
      </c>
      <c r="AS163" s="74">
        <f>IF('IMPORT SCHLIESSERDATEN'!$AA155="",0,1)</f>
        <v>0</v>
      </c>
      <c r="AT163" s="74">
        <f>IF('IMPORT SCHLIESSERDATEN'!$AD155="",0,1) + IF('IMPORT SCHLIESSERDATEN'!$AE155="",0,2)</f>
        <v>2</v>
      </c>
      <c r="AU163" s="74" t="str">
        <f>IF('IMPORT SCHLIESSERDATEN'!$X155="",IF('IMPORT SCHLIESSERDATEN'!$Y155="","","F"),"V")</f>
        <v>F</v>
      </c>
      <c r="AV163" s="74" t="str">
        <f>IF('IMPORT SCHLIESSERDATEN'!$AB155&lt;&gt;"","M",IF('IMPORT SCHLIESSERDATEN'!$AD155&lt;&gt;"",IF(ISERR(SEARCH("UVIBIS",'IMPORT SCHLIESSERDATEN'!$B155)),"R","B"),IF(OR('IMPORT SCHLIESSERDATEN'!$AC155&lt;&gt;"",'IMPORT SCHLIESSERDATEN'!$AE155&lt;&gt;""),"E","")))</f>
        <v>E</v>
      </c>
      <c r="AW163" s="82"/>
      <c r="AX163" s="67"/>
    </row>
    <row r="164" spans="1:50" x14ac:dyDescent="0.25">
      <c r="A164" s="67">
        <f>IFERROR(IF(C164&lt;&gt;"",MAX($A$2:$A163)+1,""),"")</f>
        <v>152</v>
      </c>
      <c r="B164" s="223">
        <f t="shared" si="3"/>
        <v>152</v>
      </c>
      <c r="C164" s="216" t="str">
        <f>IF(J164=1,SUBSTITUTE('IMPORT SCHLIESSERDATEN'!$B156," Gangfl.",""),IF(J164=2,SUBSTITUTE('IMPORT SCHLIESSERDATEN'!$B156," Standfl.",""),'IMPORT SCHLIESSERDATEN'!$B156))</f>
        <v>BTS 80 FLB EN 5</v>
      </c>
      <c r="D164" s="216" t="str">
        <f>IF('IMPORT SCHLIESSERDATEN'!$AF156&lt;&gt;"",IF(COUNTA('IMPORT SCHLIESSERDATEN'!$AN156:$AU156)&gt;0,"X","G"),IF('IMPORT SCHLIESSERDATEN'!$AG156&lt;&gt;"","S",IF('IMPORT SCHLIESSERDATEN'!$AH156&lt;&gt;"","I",IF('IMPORT SCHLIESSERDATEN'!$AI156&lt;&gt;"","B",IF('IMPORT SCHLIESSERDATEN'!$AJ156&lt;&gt;"","D","")))))</f>
        <v>B</v>
      </c>
      <c r="E164" s="248" t="str">
        <f>'IMPORT SCHLIESSERDATEN'!AK156 &amp; IF('IMPORT SCHLIESSERDATEN'!AL156="",""," "&amp; 'IMPORT SCHLIESSERDATEN'!AL156)</f>
        <v>80 FLB</v>
      </c>
      <c r="F164" s="74">
        <f>IFERROR(IF(D164="X",2^(MATCH("",'IMPORT SCHLIESSERDATEN'!$AN156:$AU156,-1)-1),IF(AV164="F",2^(MATCH("",'IMPORT SCHLIESSERDATEN'!$BH156:$BK156,-1)-1),2^(MATCH("",'IMPORT SCHLIESSERDATEN'!$AV156:$BG156,-1)-1))),0)</f>
        <v>0</v>
      </c>
      <c r="G164" s="74">
        <f>IF(AND('IMPORT SCHLIESSERDATEN'!$O156='IMPORT SCHLIESSERDATEN'!$R156,'IMPORT SCHLIESSERDATEN'!$O156&lt;&gt;"",'IMPORT SCHLIESSERDATEN'!$R156&lt;&gt;""),1,0)  +  IF(AND('IMPORT SCHLIESSERDATEN'!$P156='IMPORT SCHLIESSERDATEN'!$S156,'IMPORT SCHLIESSERDATEN'!$P156&lt;&gt;"",'IMPORT SCHLIESSERDATEN'!$S156&lt;&gt;""),2,0)   +  IF(AND('IMPORT SCHLIESSERDATEN'!$O156='IMPORT SCHLIESSERDATEN'!$S156,'IMPORT SCHLIESSERDATEN'!$O156&lt;&gt;"",'IMPORT SCHLIESSERDATEN'!$S156&lt;&gt;""),4,0)   +  IF(AND('IMPORT SCHLIESSERDATEN'!$P156='IMPORT SCHLIESSERDATEN'!$R156,'IMPORT SCHLIESSERDATEN'!$P156&lt;&gt;"",'IMPORT SCHLIESSERDATEN'!$R156&lt;&gt;""),8,0)   +  IF('IMPORT SCHLIESSERDATEN'!$Q156&lt;&gt;"",IF('IMPORT SCHLIESSERDATEN'!$R156&lt;&gt;"",32,0) + IF('IMPORT SCHLIESSERDATEN'!$S156&lt;&gt;"",64,0),0)  +  IF('IMPORT SCHLIESSERDATEN'!$T156&lt;&gt;"",IF('IMPORT SCHLIESSERDATEN'!$Q156&lt;&gt;"",128+256,128),0)</f>
        <v>128</v>
      </c>
      <c r="H164" s="74">
        <f>IF('IMPORT SCHLIESSERDATEN'!$H156="",0,1) + IF('IMPORT SCHLIESSERDATEN'!$I156="",0,2) + IF('IMPORT SCHLIESSERDATEN'!$J156="",0,4) + IF('IMPORT SCHLIESSERDATEN'!$K156="",0,8) + IF('IMPORT SCHLIESSERDATEN'!$L156="",0,16) + IF('IMPORT SCHLIESSERDATEN'!$M156="",0,32) + IF('IMPORT SCHLIESSERDATEN'!$N156="",0,64)</f>
        <v>16</v>
      </c>
      <c r="I164" s="74">
        <f>IF('IMPORT SCHLIESSERDATEN'!$D156="",0,1) + IF('IMPORT SCHLIESSERDATEN'!$E156="",0,2) + IF('IMPORT SCHLIESSERDATEN'!$E156="S",4,0)</f>
        <v>1</v>
      </c>
      <c r="J164" s="74">
        <f>IF(ISERR(FIND(" Gangfl.",'IMPORT SCHLIESSERDATEN'!$B156)),IF(ISERR(FIND(" Standfl.",'IMPORT SCHLIESSERDATEN'!$B156)),0,2),1)</f>
        <v>0</v>
      </c>
      <c r="K164" s="74">
        <f>'IMPORT SCHLIESSERDATEN'!CL156</f>
        <v>0</v>
      </c>
      <c r="L164" s="74">
        <f>'IMPORT SCHLIESSERDATEN'!CN156</f>
        <v>0</v>
      </c>
      <c r="M164" s="74">
        <f>IF('IMPORT SCHLIESSERDATEN'!CS156="wie TS",-1,'IMPORT SCHLIESSERDATEN'!CS156)</f>
        <v>0</v>
      </c>
      <c r="N164" s="74">
        <f>IF(M164&lt;0,-1,'IMPORT SCHLIESSERDATEN'!CU156)</f>
        <v>0</v>
      </c>
      <c r="O164" s="74">
        <f>IF('IMPORT SCHLIESSERDATEN'!CZ156="wie TS",-1,'IMPORT SCHLIESSERDATEN'!CZ156)</f>
        <v>-54</v>
      </c>
      <c r="P164" s="74">
        <f>IF(O164&lt;0,-1,'IMPORT SCHLIESSERDATEN'!DB156)</f>
        <v>-1</v>
      </c>
      <c r="Q164" s="74">
        <f>'IMPORT SCHLIESSERDATEN'!DG156</f>
        <v>0</v>
      </c>
      <c r="R164" s="74">
        <f>'IMPORT SCHLIESSERDATEN'!DI156</f>
        <v>0</v>
      </c>
      <c r="S164" s="74">
        <f>'IMPORT SCHLIESSERDATEN'!DN156</f>
        <v>0</v>
      </c>
      <c r="T164" s="74">
        <f>IF('IMPORT SCHLIESSERDATEN'!DP156="V",9999,'IMPORT SCHLIESSERDATEN'!DP156)</f>
        <v>0</v>
      </c>
      <c r="U164" s="74">
        <f>'IMPORT SCHLIESSERDATEN'!BW156</f>
        <v>341</v>
      </c>
      <c r="V164" s="74">
        <f>'IMPORT SCHLIESSERDATEN'!BX156</f>
        <v>78</v>
      </c>
      <c r="W164" s="74">
        <f>'IMPORT SCHLIESSERDATEN'!BY156</f>
        <v>60</v>
      </c>
      <c r="X164" s="74">
        <f>'IMPORT SCHLIESSERDATEN'!CO156</f>
        <v>0</v>
      </c>
      <c r="Y164" s="74">
        <f>'IMPORT SCHLIESSERDATEN'!CQ156</f>
        <v>0</v>
      </c>
      <c r="Z164" s="74">
        <f>'IMPORT SCHLIESSERDATEN'!CV156</f>
        <v>0</v>
      </c>
      <c r="AA164" s="74">
        <f>'IMPORT SCHLIESSERDATEN'!CX156</f>
        <v>0</v>
      </c>
      <c r="AB164" s="74">
        <f>'IMPORT SCHLIESSERDATEN'!DC156</f>
        <v>0</v>
      </c>
      <c r="AC164" s="74">
        <f>'IMPORT SCHLIESSERDATEN'!DE156</f>
        <v>0</v>
      </c>
      <c r="AD164" s="74">
        <f>'IMPORT SCHLIESSERDATEN'!DJ156</f>
        <v>0</v>
      </c>
      <c r="AE164" s="74">
        <f>'IMPORT SCHLIESSERDATEN'!DL156</f>
        <v>0</v>
      </c>
      <c r="AF164" s="74">
        <f>'IMPORT SCHLIESSERDATEN'!DQ156</f>
        <v>0</v>
      </c>
      <c r="AG164" s="74">
        <f>IF('IMPORT SCHLIESSERDATEN'!DS156="V",9999,'IMPORT SCHLIESSERDATEN'!DS156)</f>
        <v>0</v>
      </c>
      <c r="AH164" s="74">
        <f>IF('IMPORT SCHLIESSERDATEN'!BZ156="V",9999,IF('IMPORT SCHLIESSERDATEN'!CD156="_",-1,'IMPORT SCHLIESSERDATEN'!BZ156))</f>
        <v>-1</v>
      </c>
      <c r="AI164" s="74">
        <f>IF('IMPORT SCHLIESSERDATEN'!CA156="V",9999,IF('IMPORT SCHLIESSERDATEN'!CD156="_",-1,'IMPORT SCHLIESSERDATEN'!CA156))</f>
        <v>-1</v>
      </c>
      <c r="AJ164" s="74">
        <f>IF('IMPORT SCHLIESSERDATEN'!CB156="V",9999,IF('IMPORT SCHLIESSERDATEN'!CD156="_",-1,'IMPORT SCHLIESSERDATEN'!CB156))</f>
        <v>-1</v>
      </c>
      <c r="AK164" s="74">
        <f>IF('IMPORT SCHLIESSERDATEN'!CC156="V",9999,IF('IMPORT SCHLIESSERDATEN'!CC156="_",-1,'IMPORT SCHLIESSERDATEN'!CC156))</f>
        <v>-1</v>
      </c>
      <c r="AL164" s="74">
        <f>IF('IMPORT SCHLIESSERDATEN'!CD156="_",-1,'IMPORT SCHLIESSERDATEN'!CD156)</f>
        <v>-1</v>
      </c>
      <c r="AM164" s="74">
        <f>'IMPORT SCHLIESSERDATEN'!CH156</f>
        <v>0</v>
      </c>
      <c r="AN164" s="74">
        <f>IF('IMPORT SCHLIESSERDATEN'!CE156="V",9999,'IMPORT SCHLIESSERDATEN'!CE156)</f>
        <v>39</v>
      </c>
      <c r="AO164" s="74">
        <f>IF('IMPORT SCHLIESSERDATEN'!CK156="_",-1,'IMPORT SCHLIESSERDATEN'!CK156)</f>
        <v>-1</v>
      </c>
      <c r="AP164" s="74">
        <f>IF('IMPORT SCHLIESSERDATEN'!$U156="",0,1)</f>
        <v>1</v>
      </c>
      <c r="AQ164" s="74">
        <f>IF('IMPORT SCHLIESSERDATEN'!$V156="",0,1)</f>
        <v>0</v>
      </c>
      <c r="AR164" s="74">
        <f>IF('IMPORT SCHLIESSERDATEN'!$W156="",0,1)</f>
        <v>0</v>
      </c>
      <c r="AS164" s="74">
        <f>IF('IMPORT SCHLIESSERDATEN'!$AA156="",0,1)</f>
        <v>0</v>
      </c>
      <c r="AT164" s="74">
        <f>IF('IMPORT SCHLIESSERDATEN'!$AD156="",0,1) + IF('IMPORT SCHLIESSERDATEN'!$AE156="",0,2)</f>
        <v>2</v>
      </c>
      <c r="AU164" s="74" t="str">
        <f>IF('IMPORT SCHLIESSERDATEN'!$X156="",IF('IMPORT SCHLIESSERDATEN'!$Y156="","","F"),"V")</f>
        <v>F</v>
      </c>
      <c r="AV164" s="74" t="str">
        <f>IF('IMPORT SCHLIESSERDATEN'!$AB156&lt;&gt;"","M",IF('IMPORT SCHLIESSERDATEN'!$AD156&lt;&gt;"",IF(ISERR(SEARCH("UVIBIS",'IMPORT SCHLIESSERDATEN'!$B156)),"R","B"),IF(OR('IMPORT SCHLIESSERDATEN'!$AC156&lt;&gt;"",'IMPORT SCHLIESSERDATEN'!$AE156&lt;&gt;""),"E","")))</f>
        <v>E</v>
      </c>
      <c r="AW164" s="82"/>
      <c r="AX164" s="67"/>
    </row>
    <row r="165" spans="1:50" x14ac:dyDescent="0.25">
      <c r="A165" s="67">
        <f>IFERROR(IF(C165&lt;&gt;"",MAX($A$2:$A164)+1,""),"")</f>
        <v>153</v>
      </c>
      <c r="B165" s="223">
        <f t="shared" si="3"/>
        <v>153</v>
      </c>
      <c r="C165" s="216" t="str">
        <f>IF(J165=1,SUBSTITUTE('IMPORT SCHLIESSERDATEN'!$B157," Gangfl.",""),IF(J165=2,SUBSTITUTE('IMPORT SCHLIESSERDATEN'!$B157," Standfl.",""),'IMPORT SCHLIESSERDATEN'!$B157))</f>
        <v>BTS 80 FLB EN 6</v>
      </c>
      <c r="D165" s="216" t="str">
        <f>IF('IMPORT SCHLIESSERDATEN'!$AF157&lt;&gt;"",IF(COUNTA('IMPORT SCHLIESSERDATEN'!$AN157:$AU157)&gt;0,"X","G"),IF('IMPORT SCHLIESSERDATEN'!$AG157&lt;&gt;"","S",IF('IMPORT SCHLIESSERDATEN'!$AH157&lt;&gt;"","I",IF('IMPORT SCHLIESSERDATEN'!$AI157&lt;&gt;"","B",IF('IMPORT SCHLIESSERDATEN'!$AJ157&lt;&gt;"","D","")))))</f>
        <v>B</v>
      </c>
      <c r="E165" s="248" t="str">
        <f>'IMPORT SCHLIESSERDATEN'!AK157 &amp; IF('IMPORT SCHLIESSERDATEN'!AL157="",""," "&amp; 'IMPORT SCHLIESSERDATEN'!AL157)</f>
        <v>80 FLB</v>
      </c>
      <c r="F165" s="74">
        <f>IFERROR(IF(D165="X",2^(MATCH("",'IMPORT SCHLIESSERDATEN'!$AN157:$AU157,-1)-1),IF(AV165="F",2^(MATCH("",'IMPORT SCHLIESSERDATEN'!$BH157:$BK157,-1)-1),2^(MATCH("",'IMPORT SCHLIESSERDATEN'!$AV157:$BG157,-1)-1))),0)</f>
        <v>0</v>
      </c>
      <c r="G165" s="74">
        <f>IF(AND('IMPORT SCHLIESSERDATEN'!$O157='IMPORT SCHLIESSERDATEN'!$R157,'IMPORT SCHLIESSERDATEN'!$O157&lt;&gt;"",'IMPORT SCHLIESSERDATEN'!$R157&lt;&gt;""),1,0)  +  IF(AND('IMPORT SCHLIESSERDATEN'!$P157='IMPORT SCHLIESSERDATEN'!$S157,'IMPORT SCHLIESSERDATEN'!$P157&lt;&gt;"",'IMPORT SCHLIESSERDATEN'!$S157&lt;&gt;""),2,0)   +  IF(AND('IMPORT SCHLIESSERDATEN'!$O157='IMPORT SCHLIESSERDATEN'!$S157,'IMPORT SCHLIESSERDATEN'!$O157&lt;&gt;"",'IMPORT SCHLIESSERDATEN'!$S157&lt;&gt;""),4,0)   +  IF(AND('IMPORT SCHLIESSERDATEN'!$P157='IMPORT SCHLIESSERDATEN'!$R157,'IMPORT SCHLIESSERDATEN'!$P157&lt;&gt;"",'IMPORT SCHLIESSERDATEN'!$R157&lt;&gt;""),8,0)   +  IF('IMPORT SCHLIESSERDATEN'!$Q157&lt;&gt;"",IF('IMPORT SCHLIESSERDATEN'!$R157&lt;&gt;"",32,0) + IF('IMPORT SCHLIESSERDATEN'!$S157&lt;&gt;"",64,0),0)  +  IF('IMPORT SCHLIESSERDATEN'!$T157&lt;&gt;"",IF('IMPORT SCHLIESSERDATEN'!$Q157&lt;&gt;"",128+256,128),0)</f>
        <v>128</v>
      </c>
      <c r="H165" s="74">
        <f>IF('IMPORT SCHLIESSERDATEN'!$H157="",0,1) + IF('IMPORT SCHLIESSERDATEN'!$I157="",0,2) + IF('IMPORT SCHLIESSERDATEN'!$J157="",0,4) + IF('IMPORT SCHLIESSERDATEN'!$K157="",0,8) + IF('IMPORT SCHLIESSERDATEN'!$L157="",0,16) + IF('IMPORT SCHLIESSERDATEN'!$M157="",0,32) + IF('IMPORT SCHLIESSERDATEN'!$N157="",0,64)</f>
        <v>32</v>
      </c>
      <c r="I165" s="74">
        <f>IF('IMPORT SCHLIESSERDATEN'!$D157="",0,1) + IF('IMPORT SCHLIESSERDATEN'!$E157="",0,2) + IF('IMPORT SCHLIESSERDATEN'!$E157="S",4,0)</f>
        <v>1</v>
      </c>
      <c r="J165" s="74">
        <f>IF(ISERR(FIND(" Gangfl.",'IMPORT SCHLIESSERDATEN'!$B157)),IF(ISERR(FIND(" Standfl.",'IMPORT SCHLIESSERDATEN'!$B157)),0,2),1)</f>
        <v>0</v>
      </c>
      <c r="K165" s="74">
        <f>'IMPORT SCHLIESSERDATEN'!CL157</f>
        <v>0</v>
      </c>
      <c r="L165" s="74">
        <f>'IMPORT SCHLIESSERDATEN'!CN157</f>
        <v>0</v>
      </c>
      <c r="M165" s="74">
        <f>IF('IMPORT SCHLIESSERDATEN'!CS157="wie TS",-1,'IMPORT SCHLIESSERDATEN'!CS157)</f>
        <v>0</v>
      </c>
      <c r="N165" s="74">
        <f>IF(M165&lt;0,-1,'IMPORT SCHLIESSERDATEN'!CU157)</f>
        <v>0</v>
      </c>
      <c r="O165" s="74">
        <f>IF('IMPORT SCHLIESSERDATEN'!CZ157="wie TS",-1,'IMPORT SCHLIESSERDATEN'!CZ157)</f>
        <v>-54</v>
      </c>
      <c r="P165" s="74">
        <f>IF(O165&lt;0,-1,'IMPORT SCHLIESSERDATEN'!DB157)</f>
        <v>-1</v>
      </c>
      <c r="Q165" s="74">
        <f>'IMPORT SCHLIESSERDATEN'!DG157</f>
        <v>0</v>
      </c>
      <c r="R165" s="74">
        <f>'IMPORT SCHLIESSERDATEN'!DI157</f>
        <v>0</v>
      </c>
      <c r="S165" s="74">
        <f>'IMPORT SCHLIESSERDATEN'!DN157</f>
        <v>0</v>
      </c>
      <c r="T165" s="74">
        <f>IF('IMPORT SCHLIESSERDATEN'!DP157="V",9999,'IMPORT SCHLIESSERDATEN'!DP157)</f>
        <v>0</v>
      </c>
      <c r="U165" s="74">
        <f>'IMPORT SCHLIESSERDATEN'!BW157</f>
        <v>341</v>
      </c>
      <c r="V165" s="74">
        <f>'IMPORT SCHLIESSERDATEN'!BX157</f>
        <v>78</v>
      </c>
      <c r="W165" s="74">
        <f>'IMPORT SCHLIESSERDATEN'!BY157</f>
        <v>60</v>
      </c>
      <c r="X165" s="74">
        <f>'IMPORT SCHLIESSERDATEN'!CO157</f>
        <v>0</v>
      </c>
      <c r="Y165" s="74">
        <f>'IMPORT SCHLIESSERDATEN'!CQ157</f>
        <v>0</v>
      </c>
      <c r="Z165" s="74">
        <f>'IMPORT SCHLIESSERDATEN'!CV157</f>
        <v>0</v>
      </c>
      <c r="AA165" s="74">
        <f>'IMPORT SCHLIESSERDATEN'!CX157</f>
        <v>0</v>
      </c>
      <c r="AB165" s="74">
        <f>'IMPORT SCHLIESSERDATEN'!DC157</f>
        <v>0</v>
      </c>
      <c r="AC165" s="74">
        <f>'IMPORT SCHLIESSERDATEN'!DE157</f>
        <v>0</v>
      </c>
      <c r="AD165" s="74">
        <f>'IMPORT SCHLIESSERDATEN'!DJ157</f>
        <v>0</v>
      </c>
      <c r="AE165" s="74">
        <f>'IMPORT SCHLIESSERDATEN'!DL157</f>
        <v>0</v>
      </c>
      <c r="AF165" s="74">
        <f>'IMPORT SCHLIESSERDATEN'!DQ157</f>
        <v>0</v>
      </c>
      <c r="AG165" s="74">
        <f>IF('IMPORT SCHLIESSERDATEN'!DS157="V",9999,'IMPORT SCHLIESSERDATEN'!DS157)</f>
        <v>0</v>
      </c>
      <c r="AH165" s="74">
        <f>IF('IMPORT SCHLIESSERDATEN'!BZ157="V",9999,IF('IMPORT SCHLIESSERDATEN'!CD157="_",-1,'IMPORT SCHLIESSERDATEN'!BZ157))</f>
        <v>-1</v>
      </c>
      <c r="AI165" s="74">
        <f>IF('IMPORT SCHLIESSERDATEN'!CA157="V",9999,IF('IMPORT SCHLIESSERDATEN'!CD157="_",-1,'IMPORT SCHLIESSERDATEN'!CA157))</f>
        <v>-1</v>
      </c>
      <c r="AJ165" s="74">
        <f>IF('IMPORT SCHLIESSERDATEN'!CB157="V",9999,IF('IMPORT SCHLIESSERDATEN'!CD157="_",-1,'IMPORT SCHLIESSERDATEN'!CB157))</f>
        <v>-1</v>
      </c>
      <c r="AK165" s="74">
        <f>IF('IMPORT SCHLIESSERDATEN'!CC157="V",9999,IF('IMPORT SCHLIESSERDATEN'!CC157="_",-1,'IMPORT SCHLIESSERDATEN'!CC157))</f>
        <v>-1</v>
      </c>
      <c r="AL165" s="74">
        <f>IF('IMPORT SCHLIESSERDATEN'!CD157="_",-1,'IMPORT SCHLIESSERDATEN'!CD157)</f>
        <v>-1</v>
      </c>
      <c r="AM165" s="74">
        <f>'IMPORT SCHLIESSERDATEN'!CH157</f>
        <v>0</v>
      </c>
      <c r="AN165" s="74">
        <f>IF('IMPORT SCHLIESSERDATEN'!CE157="V",9999,'IMPORT SCHLIESSERDATEN'!CE157)</f>
        <v>39</v>
      </c>
      <c r="AO165" s="74">
        <f>IF('IMPORT SCHLIESSERDATEN'!CK157="_",-1,'IMPORT SCHLIESSERDATEN'!CK157)</f>
        <v>-1</v>
      </c>
      <c r="AP165" s="74">
        <f>IF('IMPORT SCHLIESSERDATEN'!$U157="",0,1)</f>
        <v>1</v>
      </c>
      <c r="AQ165" s="74">
        <f>IF('IMPORT SCHLIESSERDATEN'!$V157="",0,1)</f>
        <v>0</v>
      </c>
      <c r="AR165" s="74">
        <f>IF('IMPORT SCHLIESSERDATEN'!$W157="",0,1)</f>
        <v>0</v>
      </c>
      <c r="AS165" s="74">
        <f>IF('IMPORT SCHLIESSERDATEN'!$AA157="",0,1)</f>
        <v>0</v>
      </c>
      <c r="AT165" s="74">
        <f>IF('IMPORT SCHLIESSERDATEN'!$AD157="",0,1) + IF('IMPORT SCHLIESSERDATEN'!$AE157="",0,2)</f>
        <v>2</v>
      </c>
      <c r="AU165" s="74" t="str">
        <f>IF('IMPORT SCHLIESSERDATEN'!$X157="",IF('IMPORT SCHLIESSERDATEN'!$Y157="","","F"),"V")</f>
        <v>F</v>
      </c>
      <c r="AV165" s="74" t="str">
        <f>IF('IMPORT SCHLIESSERDATEN'!$AB157&lt;&gt;"","M",IF('IMPORT SCHLIESSERDATEN'!$AD157&lt;&gt;"",IF(ISERR(SEARCH("UVIBIS",'IMPORT SCHLIESSERDATEN'!$B157)),"R","B"),IF(OR('IMPORT SCHLIESSERDATEN'!$AC157&lt;&gt;"",'IMPORT SCHLIESSERDATEN'!$AE157&lt;&gt;""),"E","")))</f>
        <v>E</v>
      </c>
      <c r="AW165" s="82"/>
      <c r="AX165" s="67"/>
    </row>
    <row r="166" spans="1:50" x14ac:dyDescent="0.25">
      <c r="A166" s="67">
        <f>IFERROR(IF(C166&lt;&gt;"",MAX($A$2:$A165)+1,""),"")</f>
        <v>154</v>
      </c>
      <c r="B166" s="223">
        <f t="shared" si="3"/>
        <v>154</v>
      </c>
      <c r="C166" s="216" t="str">
        <f>'IMPORT SCHLIESSERDATEN'!$B158</f>
        <v>BTS 75V EN 1-4 Pendeltür</v>
      </c>
      <c r="D166" s="216" t="str">
        <f>IF('IMPORT SCHLIESSERDATEN'!$AF158&lt;&gt;"",IF(COUNTA('IMPORT SCHLIESSERDATEN'!$AN158:$AU158)&gt;0,"X","G"),IF('IMPORT SCHLIESSERDATEN'!$AG158&lt;&gt;"","S",IF('IMPORT SCHLIESSERDATEN'!$AH158&lt;&gt;"","I",IF('IMPORT SCHLIESSERDATEN'!$AI158&lt;&gt;"","B",IF('IMPORT SCHLIESSERDATEN'!$AJ158&lt;&gt;"","D","")))))</f>
        <v>B</v>
      </c>
      <c r="E166" s="248" t="str">
        <f>'IMPORT SCHLIESSERDATEN'!AK158 &amp; IF('IMPORT SCHLIESSERDATEN'!AL158="",""," "&amp; 'IMPORT SCHLIESSERDATEN'!AL158)</f>
        <v>75V</v>
      </c>
      <c r="F166" s="74">
        <f>IFERROR(IF(D166="X",2^(MATCH("",'IMPORT SCHLIESSERDATEN'!$AN158:$AU158,-1)-1),IF(AV166="F",2^(MATCH("",'IMPORT SCHLIESSERDATEN'!$BH158:$BK158,-1)-1),2^(MATCH("",'IMPORT SCHLIESSERDATEN'!$AV158:$BG158,-1)-1))),0)</f>
        <v>0</v>
      </c>
      <c r="G166" s="74">
        <f>IF(AND('IMPORT SCHLIESSERDATEN'!$O158='IMPORT SCHLIESSERDATEN'!$R158,'IMPORT SCHLIESSERDATEN'!$O158&lt;&gt;"",'IMPORT SCHLIESSERDATEN'!$R158&lt;&gt;""),1,0)  +  IF(AND('IMPORT SCHLIESSERDATEN'!$P158='IMPORT SCHLIESSERDATEN'!$S158,'IMPORT SCHLIESSERDATEN'!$P158&lt;&gt;"",'IMPORT SCHLIESSERDATEN'!$S158&lt;&gt;""),2,0)   +  IF(AND('IMPORT SCHLIESSERDATEN'!$O158='IMPORT SCHLIESSERDATEN'!$S158,'IMPORT SCHLIESSERDATEN'!$O158&lt;&gt;"",'IMPORT SCHLIESSERDATEN'!$S158&lt;&gt;""),4,0)   +  IF(AND('IMPORT SCHLIESSERDATEN'!$P158='IMPORT SCHLIESSERDATEN'!$R158,'IMPORT SCHLIESSERDATEN'!$P158&lt;&gt;"",'IMPORT SCHLIESSERDATEN'!$R158&lt;&gt;""),8,0)   +  IF('IMPORT SCHLIESSERDATEN'!$Q158&lt;&gt;"",IF('IMPORT SCHLIESSERDATEN'!$R158&lt;&gt;"",32,0) + IF('IMPORT SCHLIESSERDATEN'!$S158&lt;&gt;"",64,0),0)  +  IF('IMPORT SCHLIESSERDATEN'!$T158&lt;&gt;"",IF('IMPORT SCHLIESSERDATEN'!$Q158&lt;&gt;"",128+256,128),0)</f>
        <v>384</v>
      </c>
      <c r="H166" s="74">
        <f>IF('IMPORT SCHLIESSERDATEN'!$H158="",0,1) + IF('IMPORT SCHLIESSERDATEN'!$I158="",0,2) + IF('IMPORT SCHLIESSERDATEN'!$J158="",0,4) + IF('IMPORT SCHLIESSERDATEN'!$K158="",0,8) + IF('IMPORT SCHLIESSERDATEN'!$L158="",0,16) + IF('IMPORT SCHLIESSERDATEN'!$M158="",0,32) + IF('IMPORT SCHLIESSERDATEN'!$N158="",0,64)</f>
        <v>15</v>
      </c>
      <c r="I166" s="74">
        <f>IF('IMPORT SCHLIESSERDATEN'!$D158="",0,1) + IF('IMPORT SCHLIESSERDATEN'!$E158="",0,2) + IF('IMPORT SCHLIESSERDATEN'!$E158="S",4,0)</f>
        <v>3</v>
      </c>
      <c r="J166" s="74">
        <f>IF(ISERR(FIND(" Gangfl.",'IMPORT SCHLIESSERDATEN'!$B158)),IF(ISERR(FIND(" Standfl.",'IMPORT SCHLIESSERDATEN'!$B158)),0,2),1)</f>
        <v>0</v>
      </c>
      <c r="K166" s="74">
        <f>'IMPORT SCHLIESSERDATEN'!CL158</f>
        <v>0</v>
      </c>
      <c r="L166" s="74">
        <f>'IMPORT SCHLIESSERDATEN'!CN158</f>
        <v>0</v>
      </c>
      <c r="M166" s="74">
        <f>IF('IMPORT SCHLIESSERDATEN'!CS158="wie TS",-1,'IMPORT SCHLIESSERDATEN'!CS158)</f>
        <v>0</v>
      </c>
      <c r="N166" s="74">
        <f>IF(M166&lt;0,-1,'IMPORT SCHLIESSERDATEN'!CU158)</f>
        <v>0</v>
      </c>
      <c r="O166" s="74">
        <f>IF('IMPORT SCHLIESSERDATEN'!CZ158="wie TS",-1,'IMPORT SCHLIESSERDATEN'!CZ158)</f>
        <v>0</v>
      </c>
      <c r="P166" s="74">
        <f>IF(O166&lt;0,-1,'IMPORT SCHLIESSERDATEN'!DB158)</f>
        <v>0</v>
      </c>
      <c r="Q166" s="74">
        <f>'IMPORT SCHLIESSERDATEN'!DG158</f>
        <v>0</v>
      </c>
      <c r="R166" s="74">
        <f>'IMPORT SCHLIESSERDATEN'!DI158</f>
        <v>0</v>
      </c>
      <c r="S166" s="74">
        <f>'IMPORT SCHLIESSERDATEN'!DN158</f>
        <v>0</v>
      </c>
      <c r="T166" s="74">
        <f>IF('IMPORT SCHLIESSERDATEN'!DP158="V",9999,'IMPORT SCHLIESSERDATEN'!DP158)</f>
        <v>0</v>
      </c>
      <c r="U166" s="74">
        <f>'IMPORT SCHLIESSERDATEN'!BW158</f>
        <v>0</v>
      </c>
      <c r="V166" s="74">
        <f>'IMPORT SCHLIESSERDATEN'!BX158</f>
        <v>0</v>
      </c>
      <c r="W166" s="74">
        <f>'IMPORT SCHLIESSERDATEN'!BY158</f>
        <v>0</v>
      </c>
      <c r="X166" s="74">
        <f>'IMPORT SCHLIESSERDATEN'!CO158</f>
        <v>0</v>
      </c>
      <c r="Y166" s="74">
        <f>'IMPORT SCHLIESSERDATEN'!CQ158</f>
        <v>0</v>
      </c>
      <c r="Z166" s="74">
        <f>'IMPORT SCHLIESSERDATEN'!CV158</f>
        <v>0</v>
      </c>
      <c r="AA166" s="74">
        <f>'IMPORT SCHLIESSERDATEN'!CX158</f>
        <v>0</v>
      </c>
      <c r="AB166" s="74">
        <f>'IMPORT SCHLIESSERDATEN'!DC158</f>
        <v>0</v>
      </c>
      <c r="AC166" s="74">
        <f>'IMPORT SCHLIESSERDATEN'!DE158</f>
        <v>0</v>
      </c>
      <c r="AD166" s="74">
        <f>'IMPORT SCHLIESSERDATEN'!DJ158</f>
        <v>0</v>
      </c>
      <c r="AE166" s="74">
        <f>'IMPORT SCHLIESSERDATEN'!DL158</f>
        <v>0</v>
      </c>
      <c r="AF166" s="74">
        <f>'IMPORT SCHLIESSERDATEN'!DQ158</f>
        <v>0</v>
      </c>
      <c r="AG166" s="74">
        <f>IF('IMPORT SCHLIESSERDATEN'!DS158="V",9999,'IMPORT SCHLIESSERDATEN'!DS158)</f>
        <v>0</v>
      </c>
      <c r="AH166" s="74">
        <f>IF('IMPORT SCHLIESSERDATEN'!BZ158="V",9999,IF('IMPORT SCHLIESSERDATEN'!CD158="_",-1,'IMPORT SCHLIESSERDATEN'!BZ158))</f>
        <v>-1</v>
      </c>
      <c r="AI166" s="74">
        <f>IF('IMPORT SCHLIESSERDATEN'!CA158="V",9999,IF('IMPORT SCHLIESSERDATEN'!CD158="_",-1,'IMPORT SCHLIESSERDATEN'!CA158))</f>
        <v>-1</v>
      </c>
      <c r="AJ166" s="74">
        <f>IF('IMPORT SCHLIESSERDATEN'!CB158="V",9999,IF('IMPORT SCHLIESSERDATEN'!CD158="_",-1,'IMPORT SCHLIESSERDATEN'!CB158))</f>
        <v>-1</v>
      </c>
      <c r="AK166" s="74">
        <f>IF('IMPORT SCHLIESSERDATEN'!CC158="V",9999,IF('IMPORT SCHLIESSERDATEN'!CC158="_",-1,'IMPORT SCHLIESSERDATEN'!CC158))</f>
        <v>-1</v>
      </c>
      <c r="AL166" s="74">
        <f>IF('IMPORT SCHLIESSERDATEN'!CD158="_",-1,'IMPORT SCHLIESSERDATEN'!CD158)</f>
        <v>-1</v>
      </c>
      <c r="AM166" s="74">
        <f>'IMPORT SCHLIESSERDATEN'!CH158</f>
        <v>0</v>
      </c>
      <c r="AN166" s="74">
        <f>IF('IMPORT SCHLIESSERDATEN'!CE158="V",9999,'IMPORT SCHLIESSERDATEN'!CE158)</f>
        <v>41</v>
      </c>
      <c r="AO166" s="74">
        <f>IF('IMPORT SCHLIESSERDATEN'!CK158="_",-1,'IMPORT SCHLIESSERDATEN'!CK158)</f>
        <v>-1</v>
      </c>
      <c r="AP166" s="74">
        <f>IF('IMPORT SCHLIESSERDATEN'!$U158="",0,1)</f>
        <v>0</v>
      </c>
      <c r="AQ166" s="74">
        <f>IF('IMPORT SCHLIESSERDATEN'!$V158="",0,1)</f>
        <v>0</v>
      </c>
      <c r="AR166" s="74">
        <f>IF('IMPORT SCHLIESSERDATEN'!$W158="",0,1)</f>
        <v>0</v>
      </c>
      <c r="AS166" s="74">
        <f>IF('IMPORT SCHLIESSERDATEN'!$AA158="",0,1)</f>
        <v>1</v>
      </c>
      <c r="AT166" s="74">
        <f>IF('IMPORT SCHLIESSERDATEN'!$AD158="",0,1) + IF('IMPORT SCHLIESSERDATEN'!$AE158="",0,2)</f>
        <v>0</v>
      </c>
      <c r="AU166" s="74" t="str">
        <f>IF('IMPORT SCHLIESSERDATEN'!$X158="",IF('IMPORT SCHLIESSERDATEN'!$Y158="","","F"),"V")</f>
        <v/>
      </c>
      <c r="AV166" s="74" t="str">
        <f>IF('IMPORT SCHLIESSERDATEN'!$AB158&lt;&gt;"","M",IF('IMPORT SCHLIESSERDATEN'!$AD158&lt;&gt;"",IF(ISERR(SEARCH("UVIBIS",'IMPORT SCHLIESSERDATEN'!$B158)),"R","B"),IF(OR('IMPORT SCHLIESSERDATEN'!$AC158&lt;&gt;"",'IMPORT SCHLIESSERDATEN'!$AE158&lt;&gt;""),"E","")))</f>
        <v>M</v>
      </c>
      <c r="AW166" s="82"/>
      <c r="AX166" s="67"/>
    </row>
    <row r="167" spans="1:50" x14ac:dyDescent="0.25">
      <c r="A167" s="67">
        <f>IFERROR(IF(C167&lt;&gt;"",MAX($A$2:$A166)+1,""),"")</f>
        <v>155</v>
      </c>
      <c r="B167" s="223">
        <f t="shared" si="3"/>
        <v>155</v>
      </c>
      <c r="C167" s="216" t="str">
        <f>'IMPORT SCHLIESSERDATEN'!$B159</f>
        <v>BTS 80 EN 3 Pendeltür</v>
      </c>
      <c r="D167" s="216" t="str">
        <f>IF('IMPORT SCHLIESSERDATEN'!$AF159&lt;&gt;"",IF(COUNTA('IMPORT SCHLIESSERDATEN'!$AN159:$AU159)&gt;0,"X","G"),IF('IMPORT SCHLIESSERDATEN'!$AG159&lt;&gt;"","S",IF('IMPORT SCHLIESSERDATEN'!$AH159&lt;&gt;"","I",IF('IMPORT SCHLIESSERDATEN'!$AI159&lt;&gt;"","B",IF('IMPORT SCHLIESSERDATEN'!$AJ159&lt;&gt;"","D","")))))</f>
        <v>B</v>
      </c>
      <c r="E167" s="248" t="str">
        <f>'IMPORT SCHLIESSERDATEN'!AK159 &amp; IF('IMPORT SCHLIESSERDATEN'!AL159="",""," "&amp; 'IMPORT SCHLIESSERDATEN'!AL159)</f>
        <v>80</v>
      </c>
      <c r="F167" s="74">
        <f>IFERROR(IF(D167="X",2^(MATCH("",'IMPORT SCHLIESSERDATEN'!$AN159:$AU159,-1)-1),IF(AV167="F",2^(MATCH("",'IMPORT SCHLIESSERDATEN'!$BH159:$BK159,-1)-1),2^(MATCH("",'IMPORT SCHLIESSERDATEN'!$AV159:$BG159,-1)-1))),0)</f>
        <v>0</v>
      </c>
      <c r="G167" s="74">
        <f>IF(AND('IMPORT SCHLIESSERDATEN'!$O159='IMPORT SCHLIESSERDATEN'!$R159,'IMPORT SCHLIESSERDATEN'!$O159&lt;&gt;"",'IMPORT SCHLIESSERDATEN'!$R159&lt;&gt;""),1,0)  +  IF(AND('IMPORT SCHLIESSERDATEN'!$P159='IMPORT SCHLIESSERDATEN'!$S159,'IMPORT SCHLIESSERDATEN'!$P159&lt;&gt;"",'IMPORT SCHLIESSERDATEN'!$S159&lt;&gt;""),2,0)   +  IF(AND('IMPORT SCHLIESSERDATEN'!$O159='IMPORT SCHLIESSERDATEN'!$S159,'IMPORT SCHLIESSERDATEN'!$O159&lt;&gt;"",'IMPORT SCHLIESSERDATEN'!$S159&lt;&gt;""),4,0)   +  IF(AND('IMPORT SCHLIESSERDATEN'!$P159='IMPORT SCHLIESSERDATEN'!$R159,'IMPORT SCHLIESSERDATEN'!$P159&lt;&gt;"",'IMPORT SCHLIESSERDATEN'!$R159&lt;&gt;""),8,0)   +  IF('IMPORT SCHLIESSERDATEN'!$Q159&lt;&gt;"",IF('IMPORT SCHLIESSERDATEN'!$R159&lt;&gt;"",32,0) + IF('IMPORT SCHLIESSERDATEN'!$S159&lt;&gt;"",64,0),0)  +  IF('IMPORT SCHLIESSERDATEN'!$T159&lt;&gt;"",IF('IMPORT SCHLIESSERDATEN'!$Q159&lt;&gt;"",128+256,128),0)</f>
        <v>384</v>
      </c>
      <c r="H167" s="74">
        <f>IF('IMPORT SCHLIESSERDATEN'!$H159="",0,1) + IF('IMPORT SCHLIESSERDATEN'!$I159="",0,2) + IF('IMPORT SCHLIESSERDATEN'!$J159="",0,4) + IF('IMPORT SCHLIESSERDATEN'!$K159="",0,8) + IF('IMPORT SCHLIESSERDATEN'!$L159="",0,16) + IF('IMPORT SCHLIESSERDATEN'!$M159="",0,32) + IF('IMPORT SCHLIESSERDATEN'!$N159="",0,64)</f>
        <v>4</v>
      </c>
      <c r="I167" s="74">
        <f>IF('IMPORT SCHLIESSERDATEN'!$D159="",0,1) + IF('IMPORT SCHLIESSERDATEN'!$E159="",0,2) + IF('IMPORT SCHLIESSERDATEN'!$E159="S",4,0)</f>
        <v>3</v>
      </c>
      <c r="J167" s="74">
        <f>IF(ISERR(FIND(" Gangfl.",'IMPORT SCHLIESSERDATEN'!$B159)),IF(ISERR(FIND(" Standfl.",'IMPORT SCHLIESSERDATEN'!$B159)),0,2),1)</f>
        <v>0</v>
      </c>
      <c r="K167" s="74">
        <f>'IMPORT SCHLIESSERDATEN'!CL159</f>
        <v>0</v>
      </c>
      <c r="L167" s="74">
        <f>'IMPORT SCHLIESSERDATEN'!CN159</f>
        <v>0</v>
      </c>
      <c r="M167" s="74">
        <f>IF('IMPORT SCHLIESSERDATEN'!CS159="wie TS",-1,'IMPORT SCHLIESSERDATEN'!CS159)</f>
        <v>0</v>
      </c>
      <c r="N167" s="74">
        <f>IF(M167&lt;0,-1,'IMPORT SCHLIESSERDATEN'!CU159)</f>
        <v>0</v>
      </c>
      <c r="O167" s="74">
        <f>IF('IMPORT SCHLIESSERDATEN'!CZ159="wie TS",-1,'IMPORT SCHLIESSERDATEN'!CZ159)</f>
        <v>0</v>
      </c>
      <c r="P167" s="74">
        <f>IF(O167&lt;0,-1,'IMPORT SCHLIESSERDATEN'!DB159)</f>
        <v>0</v>
      </c>
      <c r="Q167" s="74">
        <f>'IMPORT SCHLIESSERDATEN'!DG159</f>
        <v>0</v>
      </c>
      <c r="R167" s="74">
        <f>'IMPORT SCHLIESSERDATEN'!DI159</f>
        <v>0</v>
      </c>
      <c r="S167" s="74">
        <f>'IMPORT SCHLIESSERDATEN'!DN159</f>
        <v>0</v>
      </c>
      <c r="T167" s="74">
        <f>IF('IMPORT SCHLIESSERDATEN'!DP159="V",9999,'IMPORT SCHLIESSERDATEN'!DP159)</f>
        <v>0</v>
      </c>
      <c r="U167" s="74">
        <f>'IMPORT SCHLIESSERDATEN'!BW159</f>
        <v>341</v>
      </c>
      <c r="V167" s="74">
        <f>'IMPORT SCHLIESSERDATEN'!BX159</f>
        <v>78</v>
      </c>
      <c r="W167" s="74">
        <f>'IMPORT SCHLIESSERDATEN'!BY159</f>
        <v>60</v>
      </c>
      <c r="X167" s="74">
        <f>'IMPORT SCHLIESSERDATEN'!CO159</f>
        <v>0</v>
      </c>
      <c r="Y167" s="74">
        <f>'IMPORT SCHLIESSERDATEN'!CQ159</f>
        <v>0</v>
      </c>
      <c r="Z167" s="74">
        <f>'IMPORT SCHLIESSERDATEN'!CV159</f>
        <v>0</v>
      </c>
      <c r="AA167" s="74">
        <f>'IMPORT SCHLIESSERDATEN'!CX159</f>
        <v>0</v>
      </c>
      <c r="AB167" s="74">
        <f>'IMPORT SCHLIESSERDATEN'!DC159</f>
        <v>0</v>
      </c>
      <c r="AC167" s="74">
        <f>'IMPORT SCHLIESSERDATEN'!DE159</f>
        <v>0</v>
      </c>
      <c r="AD167" s="74">
        <f>'IMPORT SCHLIESSERDATEN'!DJ159</f>
        <v>0</v>
      </c>
      <c r="AE167" s="74">
        <f>'IMPORT SCHLIESSERDATEN'!DL159</f>
        <v>0</v>
      </c>
      <c r="AF167" s="74">
        <f>'IMPORT SCHLIESSERDATEN'!DQ159</f>
        <v>0</v>
      </c>
      <c r="AG167" s="74">
        <f>IF('IMPORT SCHLIESSERDATEN'!DS159="V",9999,'IMPORT SCHLIESSERDATEN'!DS159)</f>
        <v>0</v>
      </c>
      <c r="AH167" s="74">
        <f>IF('IMPORT SCHLIESSERDATEN'!BZ159="V",9999,IF('IMPORT SCHLIESSERDATEN'!CD159="_",-1,'IMPORT SCHLIESSERDATEN'!BZ159))</f>
        <v>-1</v>
      </c>
      <c r="AI167" s="74">
        <f>IF('IMPORT SCHLIESSERDATEN'!CA159="V",9999,IF('IMPORT SCHLIESSERDATEN'!CD159="_",-1,'IMPORT SCHLIESSERDATEN'!CA159))</f>
        <v>-1</v>
      </c>
      <c r="AJ167" s="74">
        <f>IF('IMPORT SCHLIESSERDATEN'!CB159="V",9999,IF('IMPORT SCHLIESSERDATEN'!CD159="_",-1,'IMPORT SCHLIESSERDATEN'!CB159))</f>
        <v>-1</v>
      </c>
      <c r="AK167" s="74">
        <f>IF('IMPORT SCHLIESSERDATEN'!CC159="V",9999,IF('IMPORT SCHLIESSERDATEN'!CC159="_",-1,'IMPORT SCHLIESSERDATEN'!CC159))</f>
        <v>-1</v>
      </c>
      <c r="AL167" s="74">
        <f>IF('IMPORT SCHLIESSERDATEN'!CD159="_",-1,'IMPORT SCHLIESSERDATEN'!CD159)</f>
        <v>-1</v>
      </c>
      <c r="AM167" s="74">
        <f>'IMPORT SCHLIESSERDATEN'!CH159</f>
        <v>0</v>
      </c>
      <c r="AN167" s="74">
        <f>IF('IMPORT SCHLIESSERDATEN'!CE159="V",9999,'IMPORT SCHLIESSERDATEN'!CE159)</f>
        <v>39</v>
      </c>
      <c r="AO167" s="74">
        <f>IF('IMPORT SCHLIESSERDATEN'!CK159="_",-1,'IMPORT SCHLIESSERDATEN'!CK159)</f>
        <v>-1</v>
      </c>
      <c r="AP167" s="74">
        <f>IF('IMPORT SCHLIESSERDATEN'!$U159="",0,1)</f>
        <v>0</v>
      </c>
      <c r="AQ167" s="74">
        <f>IF('IMPORT SCHLIESSERDATEN'!$V159="",0,1)</f>
        <v>0</v>
      </c>
      <c r="AR167" s="74">
        <f>IF('IMPORT SCHLIESSERDATEN'!$W159="",0,1)</f>
        <v>0</v>
      </c>
      <c r="AS167" s="74">
        <f>IF('IMPORT SCHLIESSERDATEN'!$AA159="",0,1)</f>
        <v>1</v>
      </c>
      <c r="AT167" s="74">
        <f>IF('IMPORT SCHLIESSERDATEN'!$AD159="",0,1) + IF('IMPORT SCHLIESSERDATEN'!$AE159="",0,2)</f>
        <v>0</v>
      </c>
      <c r="AU167" s="74" t="str">
        <f>IF('IMPORT SCHLIESSERDATEN'!$X159="",IF('IMPORT SCHLIESSERDATEN'!$Y159="","","F"),"V")</f>
        <v/>
      </c>
      <c r="AV167" s="74" t="str">
        <f>IF('IMPORT SCHLIESSERDATEN'!$AB159&lt;&gt;"","M",IF('IMPORT SCHLIESSERDATEN'!$AD159&lt;&gt;"",IF(ISERR(SEARCH("UVIBIS",'IMPORT SCHLIESSERDATEN'!$B159)),"R","B"),IF(OR('IMPORT SCHLIESSERDATEN'!$AC159&lt;&gt;"",'IMPORT SCHLIESSERDATEN'!$AE159&lt;&gt;""),"E","")))</f>
        <v>M</v>
      </c>
      <c r="AW167" s="82"/>
      <c r="AX167" s="67"/>
    </row>
    <row r="168" spans="1:50" x14ac:dyDescent="0.25">
      <c r="A168" s="67">
        <f>IFERROR(IF(C168&lt;&gt;"",MAX($A$2:$A167)+1,""),"")</f>
        <v>156</v>
      </c>
      <c r="B168" s="223">
        <f t="shared" si="3"/>
        <v>156</v>
      </c>
      <c r="C168" s="216" t="str">
        <f>'IMPORT SCHLIESSERDATEN'!$B160</f>
        <v>BTS 80 EN 4 Pendeltür</v>
      </c>
      <c r="D168" s="216" t="str">
        <f>IF('IMPORT SCHLIESSERDATEN'!$AF160&lt;&gt;"",IF(COUNTA('IMPORT SCHLIESSERDATEN'!$AN160:$AU160)&gt;0,"X","G"),IF('IMPORT SCHLIESSERDATEN'!$AG160&lt;&gt;"","S",IF('IMPORT SCHLIESSERDATEN'!$AH160&lt;&gt;"","I",IF('IMPORT SCHLIESSERDATEN'!$AI160&lt;&gt;"","B",IF('IMPORT SCHLIESSERDATEN'!$AJ160&lt;&gt;"","D","")))))</f>
        <v>B</v>
      </c>
      <c r="E168" s="248" t="str">
        <f>'IMPORT SCHLIESSERDATEN'!AK160 &amp; IF('IMPORT SCHLIESSERDATEN'!AL160="",""," "&amp; 'IMPORT SCHLIESSERDATEN'!AL160)</f>
        <v>80</v>
      </c>
      <c r="F168" s="74">
        <f>IFERROR(IF(D168="X",2^(MATCH("",'IMPORT SCHLIESSERDATEN'!$AN160:$AU160,-1)-1),IF(AV168="F",2^(MATCH("",'IMPORT SCHLIESSERDATEN'!$BH160:$BK160,-1)-1),2^(MATCH("",'IMPORT SCHLIESSERDATEN'!$AV160:$BG160,-1)-1))),0)</f>
        <v>0</v>
      </c>
      <c r="G168" s="74">
        <f>IF(AND('IMPORT SCHLIESSERDATEN'!$O160='IMPORT SCHLIESSERDATEN'!$R160,'IMPORT SCHLIESSERDATEN'!$O160&lt;&gt;"",'IMPORT SCHLIESSERDATEN'!$R160&lt;&gt;""),1,0)  +  IF(AND('IMPORT SCHLIESSERDATEN'!$P160='IMPORT SCHLIESSERDATEN'!$S160,'IMPORT SCHLIESSERDATEN'!$P160&lt;&gt;"",'IMPORT SCHLIESSERDATEN'!$S160&lt;&gt;""),2,0)   +  IF(AND('IMPORT SCHLIESSERDATEN'!$O160='IMPORT SCHLIESSERDATEN'!$S160,'IMPORT SCHLIESSERDATEN'!$O160&lt;&gt;"",'IMPORT SCHLIESSERDATEN'!$S160&lt;&gt;""),4,0)   +  IF(AND('IMPORT SCHLIESSERDATEN'!$P160='IMPORT SCHLIESSERDATEN'!$R160,'IMPORT SCHLIESSERDATEN'!$P160&lt;&gt;"",'IMPORT SCHLIESSERDATEN'!$R160&lt;&gt;""),8,0)   +  IF('IMPORT SCHLIESSERDATEN'!$Q160&lt;&gt;"",IF('IMPORT SCHLIESSERDATEN'!$R160&lt;&gt;"",32,0) + IF('IMPORT SCHLIESSERDATEN'!$S160&lt;&gt;"",64,0),0)  +  IF('IMPORT SCHLIESSERDATEN'!$T160&lt;&gt;"",IF('IMPORT SCHLIESSERDATEN'!$Q160&lt;&gt;"",128+256,128),0)</f>
        <v>384</v>
      </c>
      <c r="H168" s="74">
        <f>IF('IMPORT SCHLIESSERDATEN'!$H160="",0,1) + IF('IMPORT SCHLIESSERDATEN'!$I160="",0,2) + IF('IMPORT SCHLIESSERDATEN'!$J160="",0,4) + IF('IMPORT SCHLIESSERDATEN'!$K160="",0,8) + IF('IMPORT SCHLIESSERDATEN'!$L160="",0,16) + IF('IMPORT SCHLIESSERDATEN'!$M160="",0,32) + IF('IMPORT SCHLIESSERDATEN'!$N160="",0,64)</f>
        <v>8</v>
      </c>
      <c r="I168" s="74">
        <f>IF('IMPORT SCHLIESSERDATEN'!$D160="",0,1) + IF('IMPORT SCHLIESSERDATEN'!$E160="",0,2) + IF('IMPORT SCHLIESSERDATEN'!$E160="S",4,0)</f>
        <v>3</v>
      </c>
      <c r="J168" s="74">
        <f>IF(ISERR(FIND(" Gangfl.",'IMPORT SCHLIESSERDATEN'!$B160)),IF(ISERR(FIND(" Standfl.",'IMPORT SCHLIESSERDATEN'!$B160)),0,2),1)</f>
        <v>0</v>
      </c>
      <c r="K168" s="74">
        <f>'IMPORT SCHLIESSERDATEN'!CL160</f>
        <v>0</v>
      </c>
      <c r="L168" s="74">
        <f>'IMPORT SCHLIESSERDATEN'!CN160</f>
        <v>0</v>
      </c>
      <c r="M168" s="74">
        <f>IF('IMPORT SCHLIESSERDATEN'!CS160="wie TS",-1,'IMPORT SCHLIESSERDATEN'!CS160)</f>
        <v>0</v>
      </c>
      <c r="N168" s="74">
        <f>IF(M168&lt;0,-1,'IMPORT SCHLIESSERDATEN'!CU160)</f>
        <v>0</v>
      </c>
      <c r="O168" s="74">
        <f>IF('IMPORT SCHLIESSERDATEN'!CZ160="wie TS",-1,'IMPORT SCHLIESSERDATEN'!CZ160)</f>
        <v>0</v>
      </c>
      <c r="P168" s="74">
        <f>IF(O168&lt;0,-1,'IMPORT SCHLIESSERDATEN'!DB160)</f>
        <v>0</v>
      </c>
      <c r="Q168" s="74">
        <f>'IMPORT SCHLIESSERDATEN'!DG160</f>
        <v>0</v>
      </c>
      <c r="R168" s="74">
        <f>'IMPORT SCHLIESSERDATEN'!DI160</f>
        <v>0</v>
      </c>
      <c r="S168" s="74">
        <f>'IMPORT SCHLIESSERDATEN'!DN160</f>
        <v>0</v>
      </c>
      <c r="T168" s="74">
        <f>IF('IMPORT SCHLIESSERDATEN'!DP160="V",9999,'IMPORT SCHLIESSERDATEN'!DP160)</f>
        <v>0</v>
      </c>
      <c r="U168" s="74">
        <f>'IMPORT SCHLIESSERDATEN'!BW160</f>
        <v>341</v>
      </c>
      <c r="V168" s="74">
        <f>'IMPORT SCHLIESSERDATEN'!BX160</f>
        <v>78</v>
      </c>
      <c r="W168" s="74">
        <f>'IMPORT SCHLIESSERDATEN'!BY160</f>
        <v>60</v>
      </c>
      <c r="X168" s="74">
        <f>'IMPORT SCHLIESSERDATEN'!CO160</f>
        <v>0</v>
      </c>
      <c r="Y168" s="74">
        <f>'IMPORT SCHLIESSERDATEN'!CQ160</f>
        <v>0</v>
      </c>
      <c r="Z168" s="74">
        <f>'IMPORT SCHLIESSERDATEN'!CV160</f>
        <v>0</v>
      </c>
      <c r="AA168" s="74">
        <f>'IMPORT SCHLIESSERDATEN'!CX160</f>
        <v>0</v>
      </c>
      <c r="AB168" s="74">
        <f>'IMPORT SCHLIESSERDATEN'!DC160</f>
        <v>0</v>
      </c>
      <c r="AC168" s="74">
        <f>'IMPORT SCHLIESSERDATEN'!DE160</f>
        <v>0</v>
      </c>
      <c r="AD168" s="74">
        <f>'IMPORT SCHLIESSERDATEN'!DJ160</f>
        <v>0</v>
      </c>
      <c r="AE168" s="74">
        <f>'IMPORT SCHLIESSERDATEN'!DL160</f>
        <v>0</v>
      </c>
      <c r="AF168" s="74">
        <f>'IMPORT SCHLIESSERDATEN'!DQ160</f>
        <v>0</v>
      </c>
      <c r="AG168" s="74">
        <f>IF('IMPORT SCHLIESSERDATEN'!DS160="V",9999,'IMPORT SCHLIESSERDATEN'!DS160)</f>
        <v>0</v>
      </c>
      <c r="AH168" s="74">
        <f>IF('IMPORT SCHLIESSERDATEN'!BZ160="V",9999,IF('IMPORT SCHLIESSERDATEN'!CD160="_",-1,'IMPORT SCHLIESSERDATEN'!BZ160))</f>
        <v>-1</v>
      </c>
      <c r="AI168" s="74">
        <f>IF('IMPORT SCHLIESSERDATEN'!CA160="V",9999,IF('IMPORT SCHLIESSERDATEN'!CD160="_",-1,'IMPORT SCHLIESSERDATEN'!CA160))</f>
        <v>-1</v>
      </c>
      <c r="AJ168" s="74">
        <f>IF('IMPORT SCHLIESSERDATEN'!CB160="V",9999,IF('IMPORT SCHLIESSERDATEN'!CD160="_",-1,'IMPORT SCHLIESSERDATEN'!CB160))</f>
        <v>-1</v>
      </c>
      <c r="AK168" s="74">
        <f>IF('IMPORT SCHLIESSERDATEN'!CC160="V",9999,IF('IMPORT SCHLIESSERDATEN'!CC160="_",-1,'IMPORT SCHLIESSERDATEN'!CC160))</f>
        <v>-1</v>
      </c>
      <c r="AL168" s="74">
        <f>IF('IMPORT SCHLIESSERDATEN'!CD160="_",-1,'IMPORT SCHLIESSERDATEN'!CD160)</f>
        <v>-1</v>
      </c>
      <c r="AM168" s="74">
        <f>'IMPORT SCHLIESSERDATEN'!CH160</f>
        <v>0</v>
      </c>
      <c r="AN168" s="74">
        <f>IF('IMPORT SCHLIESSERDATEN'!CE160="V",9999,'IMPORT SCHLIESSERDATEN'!CE160)</f>
        <v>39</v>
      </c>
      <c r="AO168" s="74">
        <f>IF('IMPORT SCHLIESSERDATEN'!CK160="_",-1,'IMPORT SCHLIESSERDATEN'!CK160)</f>
        <v>-1</v>
      </c>
      <c r="AP168" s="74">
        <f>IF('IMPORT SCHLIESSERDATEN'!$U160="",0,1)</f>
        <v>0</v>
      </c>
      <c r="AQ168" s="74">
        <f>IF('IMPORT SCHLIESSERDATEN'!$V160="",0,1)</f>
        <v>0</v>
      </c>
      <c r="AR168" s="74">
        <f>IF('IMPORT SCHLIESSERDATEN'!$W160="",0,1)</f>
        <v>0</v>
      </c>
      <c r="AS168" s="74">
        <f>IF('IMPORT SCHLIESSERDATEN'!$AA160="",0,1)</f>
        <v>1</v>
      </c>
      <c r="AT168" s="74">
        <f>IF('IMPORT SCHLIESSERDATEN'!$AD160="",0,1) + IF('IMPORT SCHLIESSERDATEN'!$AE160="",0,2)</f>
        <v>0</v>
      </c>
      <c r="AU168" s="74" t="str">
        <f>IF('IMPORT SCHLIESSERDATEN'!$X160="",IF('IMPORT SCHLIESSERDATEN'!$Y160="","","F"),"V")</f>
        <v/>
      </c>
      <c r="AV168" s="74" t="str">
        <f>IF('IMPORT SCHLIESSERDATEN'!$AB160&lt;&gt;"","M",IF('IMPORT SCHLIESSERDATEN'!$AD160&lt;&gt;"",IF(ISERR(SEARCH("UVIBIS",'IMPORT SCHLIESSERDATEN'!$B160)),"R","B"),IF(OR('IMPORT SCHLIESSERDATEN'!$AC160&lt;&gt;"",'IMPORT SCHLIESSERDATEN'!$AE160&lt;&gt;""),"E","")))</f>
        <v>M</v>
      </c>
      <c r="AW168" s="82"/>
      <c r="AX168" s="67"/>
    </row>
    <row r="169" spans="1:50" x14ac:dyDescent="0.25">
      <c r="A169" s="67">
        <f>IFERROR(IF(C169&lt;&gt;"",MAX($A$2:$A168)+1,""),"")</f>
        <v>157</v>
      </c>
      <c r="B169" s="223">
        <f t="shared" si="3"/>
        <v>157</v>
      </c>
      <c r="C169" s="216" t="str">
        <f>'IMPORT SCHLIESSERDATEN'!$B161</f>
        <v>BTS 80 EN 6 Pendeltür</v>
      </c>
      <c r="D169" s="216" t="str">
        <f>IF('IMPORT SCHLIESSERDATEN'!$AF161&lt;&gt;"",IF(COUNTA('IMPORT SCHLIESSERDATEN'!$AN161:$AU161)&gt;0,"X","G"),IF('IMPORT SCHLIESSERDATEN'!$AG161&lt;&gt;"","S",IF('IMPORT SCHLIESSERDATEN'!$AH161&lt;&gt;"","I",IF('IMPORT SCHLIESSERDATEN'!$AI161&lt;&gt;"","B",IF('IMPORT SCHLIESSERDATEN'!$AJ161&lt;&gt;"","D","")))))</f>
        <v>B</v>
      </c>
      <c r="E169" s="248" t="str">
        <f>'IMPORT SCHLIESSERDATEN'!AK161 &amp; IF('IMPORT SCHLIESSERDATEN'!AL161="",""," "&amp; 'IMPORT SCHLIESSERDATEN'!AL161)</f>
        <v>80</v>
      </c>
      <c r="F169" s="74">
        <f>IFERROR(IF(D169="X",2^(MATCH("",'IMPORT SCHLIESSERDATEN'!$AN161:$AU161,-1)-1),IF(AV169="F",2^(MATCH("",'IMPORT SCHLIESSERDATEN'!$BH161:$BK161,-1)-1),2^(MATCH("",'IMPORT SCHLIESSERDATEN'!$AV161:$BG161,-1)-1))),0)</f>
        <v>0</v>
      </c>
      <c r="G169" s="74">
        <f>IF(AND('IMPORT SCHLIESSERDATEN'!$O161='IMPORT SCHLIESSERDATEN'!$R161,'IMPORT SCHLIESSERDATEN'!$O161&lt;&gt;"",'IMPORT SCHLIESSERDATEN'!$R161&lt;&gt;""),1,0)  +  IF(AND('IMPORT SCHLIESSERDATEN'!$P161='IMPORT SCHLIESSERDATEN'!$S161,'IMPORT SCHLIESSERDATEN'!$P161&lt;&gt;"",'IMPORT SCHLIESSERDATEN'!$S161&lt;&gt;""),2,0)   +  IF(AND('IMPORT SCHLIESSERDATEN'!$O161='IMPORT SCHLIESSERDATEN'!$S161,'IMPORT SCHLIESSERDATEN'!$O161&lt;&gt;"",'IMPORT SCHLIESSERDATEN'!$S161&lt;&gt;""),4,0)   +  IF(AND('IMPORT SCHLIESSERDATEN'!$P161='IMPORT SCHLIESSERDATEN'!$R161,'IMPORT SCHLIESSERDATEN'!$P161&lt;&gt;"",'IMPORT SCHLIESSERDATEN'!$R161&lt;&gt;""),8,0)   +  IF('IMPORT SCHLIESSERDATEN'!$Q161&lt;&gt;"",IF('IMPORT SCHLIESSERDATEN'!$R161&lt;&gt;"",32,0) + IF('IMPORT SCHLIESSERDATEN'!$S161&lt;&gt;"",64,0),0)  +  IF('IMPORT SCHLIESSERDATEN'!$T161&lt;&gt;"",IF('IMPORT SCHLIESSERDATEN'!$Q161&lt;&gt;"",128+256,128),0)</f>
        <v>384</v>
      </c>
      <c r="H169" s="74">
        <f>IF('IMPORT SCHLIESSERDATEN'!$H161="",0,1) + IF('IMPORT SCHLIESSERDATEN'!$I161="",0,2) + IF('IMPORT SCHLIESSERDATEN'!$J161="",0,4) + IF('IMPORT SCHLIESSERDATEN'!$K161="",0,8) + IF('IMPORT SCHLIESSERDATEN'!$L161="",0,16) + IF('IMPORT SCHLIESSERDATEN'!$M161="",0,32) + IF('IMPORT SCHLIESSERDATEN'!$N161="",0,64)</f>
        <v>32</v>
      </c>
      <c r="I169" s="74">
        <f>IF('IMPORT SCHLIESSERDATEN'!$D161="",0,1) + IF('IMPORT SCHLIESSERDATEN'!$E161="",0,2) + IF('IMPORT SCHLIESSERDATEN'!$E161="S",4,0)</f>
        <v>3</v>
      </c>
      <c r="J169" s="74">
        <f>IF(ISERR(FIND(" Gangfl.",'IMPORT SCHLIESSERDATEN'!$B161)),IF(ISERR(FIND(" Standfl.",'IMPORT SCHLIESSERDATEN'!$B161)),0,2),1)</f>
        <v>0</v>
      </c>
      <c r="K169" s="74">
        <f>'IMPORT SCHLIESSERDATEN'!CL161</f>
        <v>0</v>
      </c>
      <c r="L169" s="74">
        <f>'IMPORT SCHLIESSERDATEN'!CN161</f>
        <v>0</v>
      </c>
      <c r="M169" s="74">
        <f>IF('IMPORT SCHLIESSERDATEN'!CS161="wie TS",-1,'IMPORT SCHLIESSERDATEN'!CS161)</f>
        <v>0</v>
      </c>
      <c r="N169" s="74">
        <f>IF(M169&lt;0,-1,'IMPORT SCHLIESSERDATEN'!CU161)</f>
        <v>0</v>
      </c>
      <c r="O169" s="74">
        <f>IF('IMPORT SCHLIESSERDATEN'!CZ161="wie TS",-1,'IMPORT SCHLIESSERDATEN'!CZ161)</f>
        <v>0</v>
      </c>
      <c r="P169" s="74">
        <f>IF(O169&lt;0,-1,'IMPORT SCHLIESSERDATEN'!DB161)</f>
        <v>0</v>
      </c>
      <c r="Q169" s="74">
        <f>'IMPORT SCHLIESSERDATEN'!DG161</f>
        <v>0</v>
      </c>
      <c r="R169" s="74">
        <f>'IMPORT SCHLIESSERDATEN'!DI161</f>
        <v>0</v>
      </c>
      <c r="S169" s="74">
        <f>'IMPORT SCHLIESSERDATEN'!DN161</f>
        <v>0</v>
      </c>
      <c r="T169" s="74">
        <f>IF('IMPORT SCHLIESSERDATEN'!DP161="V",9999,'IMPORT SCHLIESSERDATEN'!DP161)</f>
        <v>0</v>
      </c>
      <c r="U169" s="74">
        <f>'IMPORT SCHLIESSERDATEN'!BW161</f>
        <v>341</v>
      </c>
      <c r="V169" s="74">
        <f>'IMPORT SCHLIESSERDATEN'!BX161</f>
        <v>78</v>
      </c>
      <c r="W169" s="74">
        <f>'IMPORT SCHLIESSERDATEN'!BY161</f>
        <v>60</v>
      </c>
      <c r="X169" s="74">
        <f>'IMPORT SCHLIESSERDATEN'!CO161</f>
        <v>0</v>
      </c>
      <c r="Y169" s="74">
        <f>'IMPORT SCHLIESSERDATEN'!CQ161</f>
        <v>0</v>
      </c>
      <c r="Z169" s="74">
        <f>'IMPORT SCHLIESSERDATEN'!CV161</f>
        <v>0</v>
      </c>
      <c r="AA169" s="74">
        <f>'IMPORT SCHLIESSERDATEN'!CX161</f>
        <v>0</v>
      </c>
      <c r="AB169" s="74">
        <f>'IMPORT SCHLIESSERDATEN'!DC161</f>
        <v>0</v>
      </c>
      <c r="AC169" s="74">
        <f>'IMPORT SCHLIESSERDATEN'!DE161</f>
        <v>0</v>
      </c>
      <c r="AD169" s="74">
        <f>'IMPORT SCHLIESSERDATEN'!DJ161</f>
        <v>0</v>
      </c>
      <c r="AE169" s="74">
        <f>'IMPORT SCHLIESSERDATEN'!DL161</f>
        <v>0</v>
      </c>
      <c r="AF169" s="74">
        <f>'IMPORT SCHLIESSERDATEN'!DQ161</f>
        <v>0</v>
      </c>
      <c r="AG169" s="74">
        <f>IF('IMPORT SCHLIESSERDATEN'!DS161="V",9999,'IMPORT SCHLIESSERDATEN'!DS161)</f>
        <v>0</v>
      </c>
      <c r="AH169" s="74">
        <f>IF('IMPORT SCHLIESSERDATEN'!BZ161="V",9999,IF('IMPORT SCHLIESSERDATEN'!CD161="_",-1,'IMPORT SCHLIESSERDATEN'!BZ161))</f>
        <v>-1</v>
      </c>
      <c r="AI169" s="74">
        <f>IF('IMPORT SCHLIESSERDATEN'!CA161="V",9999,IF('IMPORT SCHLIESSERDATEN'!CD161="_",-1,'IMPORT SCHLIESSERDATEN'!CA161))</f>
        <v>-1</v>
      </c>
      <c r="AJ169" s="74">
        <f>IF('IMPORT SCHLIESSERDATEN'!CB161="V",9999,IF('IMPORT SCHLIESSERDATEN'!CD161="_",-1,'IMPORT SCHLIESSERDATEN'!CB161))</f>
        <v>-1</v>
      </c>
      <c r="AK169" s="74">
        <f>IF('IMPORT SCHLIESSERDATEN'!CC161="V",9999,IF('IMPORT SCHLIESSERDATEN'!CC161="_",-1,'IMPORT SCHLIESSERDATEN'!CC161))</f>
        <v>-1</v>
      </c>
      <c r="AL169" s="74">
        <f>IF('IMPORT SCHLIESSERDATEN'!CD161="_",-1,'IMPORT SCHLIESSERDATEN'!CD161)</f>
        <v>-1</v>
      </c>
      <c r="AM169" s="74">
        <f>'IMPORT SCHLIESSERDATEN'!CH161</f>
        <v>0</v>
      </c>
      <c r="AN169" s="74">
        <f>IF('IMPORT SCHLIESSERDATEN'!CE161="V",9999,'IMPORT SCHLIESSERDATEN'!CE161)</f>
        <v>39</v>
      </c>
      <c r="AO169" s="74">
        <f>IF('IMPORT SCHLIESSERDATEN'!CK161="_",-1,'IMPORT SCHLIESSERDATEN'!CK161)</f>
        <v>-1</v>
      </c>
      <c r="AP169" s="74">
        <f>IF('IMPORT SCHLIESSERDATEN'!$U161="",0,1)</f>
        <v>0</v>
      </c>
      <c r="AQ169" s="74">
        <f>IF('IMPORT SCHLIESSERDATEN'!$V161="",0,1)</f>
        <v>0</v>
      </c>
      <c r="AR169" s="74">
        <f>IF('IMPORT SCHLIESSERDATEN'!$W161="",0,1)</f>
        <v>0</v>
      </c>
      <c r="AS169" s="74">
        <f>IF('IMPORT SCHLIESSERDATEN'!$AA161="",0,1)</f>
        <v>1</v>
      </c>
      <c r="AT169" s="74">
        <f>IF('IMPORT SCHLIESSERDATEN'!$AD161="",0,1) + IF('IMPORT SCHLIESSERDATEN'!$AE161="",0,2)</f>
        <v>0</v>
      </c>
      <c r="AU169" s="74" t="str">
        <f>IF('IMPORT SCHLIESSERDATEN'!$X161="",IF('IMPORT SCHLIESSERDATEN'!$Y161="","","F"),"V")</f>
        <v/>
      </c>
      <c r="AV169" s="74" t="str">
        <f>IF('IMPORT SCHLIESSERDATEN'!$AB161&lt;&gt;"","M",IF('IMPORT SCHLIESSERDATEN'!$AD161&lt;&gt;"",IF(ISERR(SEARCH("UVIBIS",'IMPORT SCHLIESSERDATEN'!$B161)),"R","B"),IF(OR('IMPORT SCHLIESSERDATEN'!$AC161&lt;&gt;"",'IMPORT SCHLIESSERDATEN'!$AE161&lt;&gt;""),"E","")))</f>
        <v>M</v>
      </c>
      <c r="AW169" s="82"/>
      <c r="AX169" s="67"/>
    </row>
    <row r="170" spans="1:50" x14ac:dyDescent="0.25">
      <c r="A170" s="67">
        <f>IFERROR(IF(C170&lt;&gt;"",MAX($A$2:$A169)+1,""),"")</f>
        <v>158</v>
      </c>
      <c r="B170" s="223">
        <f t="shared" si="3"/>
        <v>158</v>
      </c>
      <c r="C170" s="216" t="str">
        <f>'IMPORT SCHLIESSERDATEN'!$B162</f>
        <v>BTS 84 EN 2 Pendeltür</v>
      </c>
      <c r="D170" s="216" t="str">
        <f>IF('IMPORT SCHLIESSERDATEN'!$AF162&lt;&gt;"",IF(COUNTA('IMPORT SCHLIESSERDATEN'!$AN162:$AU162)&gt;0,"X","G"),IF('IMPORT SCHLIESSERDATEN'!$AG162&lt;&gt;"","S",IF('IMPORT SCHLIESSERDATEN'!$AH162&lt;&gt;"","I",IF('IMPORT SCHLIESSERDATEN'!$AI162&lt;&gt;"","B",IF('IMPORT SCHLIESSERDATEN'!$AJ162&lt;&gt;"","D","")))))</f>
        <v>B</v>
      </c>
      <c r="E170" s="248" t="str">
        <f>'IMPORT SCHLIESSERDATEN'!AK162 &amp; IF('IMPORT SCHLIESSERDATEN'!AL162="",""," "&amp; 'IMPORT SCHLIESSERDATEN'!AL162)</f>
        <v>84</v>
      </c>
      <c r="F170" s="74">
        <f>IFERROR(IF(D170="X",2^(MATCH("",'IMPORT SCHLIESSERDATEN'!$AN162:$AU162,-1)-1),IF(AV170="F",2^(MATCH("",'IMPORT SCHLIESSERDATEN'!$BH162:$BK162,-1)-1),2^(MATCH("",'IMPORT SCHLIESSERDATEN'!$AV162:$BG162,-1)-1))),0)</f>
        <v>0</v>
      </c>
      <c r="G170" s="74">
        <f>IF(AND('IMPORT SCHLIESSERDATEN'!$O162='IMPORT SCHLIESSERDATEN'!$R162,'IMPORT SCHLIESSERDATEN'!$O162&lt;&gt;"",'IMPORT SCHLIESSERDATEN'!$R162&lt;&gt;""),1,0)  +  IF(AND('IMPORT SCHLIESSERDATEN'!$P162='IMPORT SCHLIESSERDATEN'!$S162,'IMPORT SCHLIESSERDATEN'!$P162&lt;&gt;"",'IMPORT SCHLIESSERDATEN'!$S162&lt;&gt;""),2,0)   +  IF(AND('IMPORT SCHLIESSERDATEN'!$O162='IMPORT SCHLIESSERDATEN'!$S162,'IMPORT SCHLIESSERDATEN'!$O162&lt;&gt;"",'IMPORT SCHLIESSERDATEN'!$S162&lt;&gt;""),4,0)   +  IF(AND('IMPORT SCHLIESSERDATEN'!$P162='IMPORT SCHLIESSERDATEN'!$R162,'IMPORT SCHLIESSERDATEN'!$P162&lt;&gt;"",'IMPORT SCHLIESSERDATEN'!$R162&lt;&gt;""),8,0)   +  IF('IMPORT SCHLIESSERDATEN'!$Q162&lt;&gt;"",IF('IMPORT SCHLIESSERDATEN'!$R162&lt;&gt;"",32,0) + IF('IMPORT SCHLIESSERDATEN'!$S162&lt;&gt;"",64,0),0)  +  IF('IMPORT SCHLIESSERDATEN'!$T162&lt;&gt;"",IF('IMPORT SCHLIESSERDATEN'!$Q162&lt;&gt;"",128+256,128),0)</f>
        <v>384</v>
      </c>
      <c r="H170" s="74">
        <f>IF('IMPORT SCHLIESSERDATEN'!$H162="",0,1) + IF('IMPORT SCHLIESSERDATEN'!$I162="",0,2) + IF('IMPORT SCHLIESSERDATEN'!$J162="",0,4) + IF('IMPORT SCHLIESSERDATEN'!$K162="",0,8) + IF('IMPORT SCHLIESSERDATEN'!$L162="",0,16) + IF('IMPORT SCHLIESSERDATEN'!$M162="",0,32) + IF('IMPORT SCHLIESSERDATEN'!$N162="",0,64)</f>
        <v>2</v>
      </c>
      <c r="I170" s="74">
        <f>IF('IMPORT SCHLIESSERDATEN'!$D162="",0,1) + IF('IMPORT SCHLIESSERDATEN'!$E162="",0,2) + IF('IMPORT SCHLIESSERDATEN'!$E162="S",4,0)</f>
        <v>3</v>
      </c>
      <c r="J170" s="74">
        <f>IF(ISERR(FIND(" Gangfl.",'IMPORT SCHLIESSERDATEN'!$B162)),IF(ISERR(FIND(" Standfl.",'IMPORT SCHLIESSERDATEN'!$B162)),0,2),1)</f>
        <v>0</v>
      </c>
      <c r="K170" s="74">
        <f>'IMPORT SCHLIESSERDATEN'!CL162</f>
        <v>0</v>
      </c>
      <c r="L170" s="74">
        <f>'IMPORT SCHLIESSERDATEN'!CN162</f>
        <v>0</v>
      </c>
      <c r="M170" s="74">
        <f>IF('IMPORT SCHLIESSERDATEN'!CS162="wie TS",-1,'IMPORT SCHLIESSERDATEN'!CS162)</f>
        <v>0</v>
      </c>
      <c r="N170" s="74">
        <f>IF(M170&lt;0,-1,'IMPORT SCHLIESSERDATEN'!CU162)</f>
        <v>0</v>
      </c>
      <c r="O170" s="74">
        <f>IF('IMPORT SCHLIESSERDATEN'!CZ162="wie TS",-1,'IMPORT SCHLIESSERDATEN'!CZ162)</f>
        <v>0</v>
      </c>
      <c r="P170" s="74">
        <f>IF(O170&lt;0,-1,'IMPORT SCHLIESSERDATEN'!DB162)</f>
        <v>0</v>
      </c>
      <c r="Q170" s="74">
        <f>'IMPORT SCHLIESSERDATEN'!DG162</f>
        <v>0</v>
      </c>
      <c r="R170" s="74">
        <f>'IMPORT SCHLIESSERDATEN'!DI162</f>
        <v>0</v>
      </c>
      <c r="S170" s="74">
        <f>'IMPORT SCHLIESSERDATEN'!DN162</f>
        <v>0</v>
      </c>
      <c r="T170" s="74">
        <f>IF('IMPORT SCHLIESSERDATEN'!DP162="V",9999,'IMPORT SCHLIESSERDATEN'!DP162)</f>
        <v>0</v>
      </c>
      <c r="U170" s="74">
        <f>'IMPORT SCHLIESSERDATEN'!BW162</f>
        <v>306</v>
      </c>
      <c r="V170" s="74">
        <f>'IMPORT SCHLIESSERDATEN'!BX162</f>
        <v>108</v>
      </c>
      <c r="W170" s="74">
        <f>'IMPORT SCHLIESSERDATEN'!BY162</f>
        <v>40</v>
      </c>
      <c r="X170" s="74">
        <f>'IMPORT SCHLIESSERDATEN'!CO162</f>
        <v>0</v>
      </c>
      <c r="Y170" s="74">
        <f>'IMPORT SCHLIESSERDATEN'!CQ162</f>
        <v>0</v>
      </c>
      <c r="Z170" s="74">
        <f>'IMPORT SCHLIESSERDATEN'!CV162</f>
        <v>0</v>
      </c>
      <c r="AA170" s="74">
        <f>'IMPORT SCHLIESSERDATEN'!CX162</f>
        <v>0</v>
      </c>
      <c r="AB170" s="74">
        <f>'IMPORT SCHLIESSERDATEN'!DC162</f>
        <v>0</v>
      </c>
      <c r="AC170" s="74">
        <f>'IMPORT SCHLIESSERDATEN'!DE162</f>
        <v>0</v>
      </c>
      <c r="AD170" s="74">
        <f>'IMPORT SCHLIESSERDATEN'!DJ162</f>
        <v>0</v>
      </c>
      <c r="AE170" s="74">
        <f>'IMPORT SCHLIESSERDATEN'!DL162</f>
        <v>0</v>
      </c>
      <c r="AF170" s="74">
        <f>'IMPORT SCHLIESSERDATEN'!DQ162</f>
        <v>0</v>
      </c>
      <c r="AG170" s="74">
        <f>IF('IMPORT SCHLIESSERDATEN'!DS162="V",9999,'IMPORT SCHLIESSERDATEN'!DS162)</f>
        <v>0</v>
      </c>
      <c r="AH170" s="74">
        <f>IF('IMPORT SCHLIESSERDATEN'!BZ162="V",9999,IF('IMPORT SCHLIESSERDATEN'!CD162="_",-1,'IMPORT SCHLIESSERDATEN'!BZ162))</f>
        <v>-1</v>
      </c>
      <c r="AI170" s="74">
        <f>IF('IMPORT SCHLIESSERDATEN'!CA162="V",9999,IF('IMPORT SCHLIESSERDATEN'!CD162="_",-1,'IMPORT SCHLIESSERDATEN'!CA162))</f>
        <v>-1</v>
      </c>
      <c r="AJ170" s="74">
        <f>IF('IMPORT SCHLIESSERDATEN'!CB162="V",9999,IF('IMPORT SCHLIESSERDATEN'!CD162="_",-1,'IMPORT SCHLIESSERDATEN'!CB162))</f>
        <v>-1</v>
      </c>
      <c r="AK170" s="74">
        <f>IF('IMPORT SCHLIESSERDATEN'!CC162="V",9999,IF('IMPORT SCHLIESSERDATEN'!CC162="_",-1,'IMPORT SCHLIESSERDATEN'!CC162))</f>
        <v>-1</v>
      </c>
      <c r="AL170" s="74">
        <f>IF('IMPORT SCHLIESSERDATEN'!CD162="_",-1,'IMPORT SCHLIESSERDATEN'!CD162)</f>
        <v>-1</v>
      </c>
      <c r="AM170" s="74">
        <f>'IMPORT SCHLIESSERDATEN'!CH162</f>
        <v>0</v>
      </c>
      <c r="AN170" s="74">
        <f>IF('IMPORT SCHLIESSERDATEN'!CE162="V",9999,'IMPORT SCHLIESSERDATEN'!CE162)</f>
        <v>54</v>
      </c>
      <c r="AO170" s="74">
        <f>IF('IMPORT SCHLIESSERDATEN'!CK162="_",-1,'IMPORT SCHLIESSERDATEN'!CK162)</f>
        <v>-1</v>
      </c>
      <c r="AP170" s="74">
        <f>IF('IMPORT SCHLIESSERDATEN'!$U162="",0,1)</f>
        <v>0</v>
      </c>
      <c r="AQ170" s="74">
        <f>IF('IMPORT SCHLIESSERDATEN'!$V162="",0,1)</f>
        <v>0</v>
      </c>
      <c r="AR170" s="74">
        <f>IF('IMPORT SCHLIESSERDATEN'!$W162="",0,1)</f>
        <v>0</v>
      </c>
      <c r="AS170" s="74">
        <f>IF('IMPORT SCHLIESSERDATEN'!$AA162="",0,1)</f>
        <v>0</v>
      </c>
      <c r="AT170" s="74">
        <f>IF('IMPORT SCHLIESSERDATEN'!$AD162="",0,1) + IF('IMPORT SCHLIESSERDATEN'!$AE162="",0,2)</f>
        <v>0</v>
      </c>
      <c r="AU170" s="74" t="str">
        <f>IF('IMPORT SCHLIESSERDATEN'!$X162="",IF('IMPORT SCHLIESSERDATEN'!$Y162="","","F"),"V")</f>
        <v/>
      </c>
      <c r="AV170" s="74" t="str">
        <f>IF('IMPORT SCHLIESSERDATEN'!$AB162&lt;&gt;"","M",IF('IMPORT SCHLIESSERDATEN'!$AD162&lt;&gt;"",IF(ISERR(SEARCH("UVIBIS",'IMPORT SCHLIESSERDATEN'!$B162)),"R","B"),IF(OR('IMPORT SCHLIESSERDATEN'!$AC162&lt;&gt;"",'IMPORT SCHLIESSERDATEN'!$AE162&lt;&gt;""),"E","")))</f>
        <v>M</v>
      </c>
      <c r="AW170" s="82"/>
      <c r="AX170" s="67"/>
    </row>
    <row r="171" spans="1:50" x14ac:dyDescent="0.25">
      <c r="A171" s="67">
        <f>IFERROR(IF(C171&lt;&gt;"",MAX($A$2:$A170)+1,""),"")</f>
        <v>159</v>
      </c>
      <c r="B171" s="223">
        <f t="shared" si="3"/>
        <v>159</v>
      </c>
      <c r="C171" s="216" t="str">
        <f>'IMPORT SCHLIESSERDATEN'!$B163</f>
        <v>BTS 84 EN 3 Pendeltür</v>
      </c>
      <c r="D171" s="216" t="str">
        <f>IF('IMPORT SCHLIESSERDATEN'!$AF163&lt;&gt;"",IF(COUNTA('IMPORT SCHLIESSERDATEN'!$AN163:$AU163)&gt;0,"X","G"),IF('IMPORT SCHLIESSERDATEN'!$AG163&lt;&gt;"","S",IF('IMPORT SCHLIESSERDATEN'!$AH163&lt;&gt;"","I",IF('IMPORT SCHLIESSERDATEN'!$AI163&lt;&gt;"","B",IF('IMPORT SCHLIESSERDATEN'!$AJ163&lt;&gt;"","D","")))))</f>
        <v>B</v>
      </c>
      <c r="E171" s="248" t="str">
        <f>'IMPORT SCHLIESSERDATEN'!AK163 &amp; IF('IMPORT SCHLIESSERDATEN'!AL163="",""," "&amp; 'IMPORT SCHLIESSERDATEN'!AL163)</f>
        <v>84</v>
      </c>
      <c r="F171" s="74">
        <f>IFERROR(IF(D171="X",2^(MATCH("",'IMPORT SCHLIESSERDATEN'!$AN163:$AU163,-1)-1),IF(AV171="F",2^(MATCH("",'IMPORT SCHLIESSERDATEN'!$BH163:$BK163,-1)-1),2^(MATCH("",'IMPORT SCHLIESSERDATEN'!$AV163:$BG163,-1)-1))),0)</f>
        <v>0</v>
      </c>
      <c r="G171" s="74">
        <f>IF(AND('IMPORT SCHLIESSERDATEN'!$O163='IMPORT SCHLIESSERDATEN'!$R163,'IMPORT SCHLIESSERDATEN'!$O163&lt;&gt;"",'IMPORT SCHLIESSERDATEN'!$R163&lt;&gt;""),1,0)  +  IF(AND('IMPORT SCHLIESSERDATEN'!$P163='IMPORT SCHLIESSERDATEN'!$S163,'IMPORT SCHLIESSERDATEN'!$P163&lt;&gt;"",'IMPORT SCHLIESSERDATEN'!$S163&lt;&gt;""),2,0)   +  IF(AND('IMPORT SCHLIESSERDATEN'!$O163='IMPORT SCHLIESSERDATEN'!$S163,'IMPORT SCHLIESSERDATEN'!$O163&lt;&gt;"",'IMPORT SCHLIESSERDATEN'!$S163&lt;&gt;""),4,0)   +  IF(AND('IMPORT SCHLIESSERDATEN'!$P163='IMPORT SCHLIESSERDATEN'!$R163,'IMPORT SCHLIESSERDATEN'!$P163&lt;&gt;"",'IMPORT SCHLIESSERDATEN'!$R163&lt;&gt;""),8,0)   +  IF('IMPORT SCHLIESSERDATEN'!$Q163&lt;&gt;"",IF('IMPORT SCHLIESSERDATEN'!$R163&lt;&gt;"",32,0) + IF('IMPORT SCHLIESSERDATEN'!$S163&lt;&gt;"",64,0),0)  +  IF('IMPORT SCHLIESSERDATEN'!$T163&lt;&gt;"",IF('IMPORT SCHLIESSERDATEN'!$Q163&lt;&gt;"",128+256,128),0)</f>
        <v>384</v>
      </c>
      <c r="H171" s="74">
        <f>IF('IMPORT SCHLIESSERDATEN'!$H163="",0,1) + IF('IMPORT SCHLIESSERDATEN'!$I163="",0,2) + IF('IMPORT SCHLIESSERDATEN'!$J163="",0,4) + IF('IMPORT SCHLIESSERDATEN'!$K163="",0,8) + IF('IMPORT SCHLIESSERDATEN'!$L163="",0,16) + IF('IMPORT SCHLIESSERDATEN'!$M163="",0,32) + IF('IMPORT SCHLIESSERDATEN'!$N163="",0,64)</f>
        <v>4</v>
      </c>
      <c r="I171" s="74">
        <f>IF('IMPORT SCHLIESSERDATEN'!$D163="",0,1) + IF('IMPORT SCHLIESSERDATEN'!$E163="",0,2) + IF('IMPORT SCHLIESSERDATEN'!$E163="S",4,0)</f>
        <v>3</v>
      </c>
      <c r="J171" s="74">
        <f>IF(ISERR(FIND(" Gangfl.",'IMPORT SCHLIESSERDATEN'!$B163)),IF(ISERR(FIND(" Standfl.",'IMPORT SCHLIESSERDATEN'!$B163)),0,2),1)</f>
        <v>0</v>
      </c>
      <c r="K171" s="74">
        <f>'IMPORT SCHLIESSERDATEN'!CL163</f>
        <v>0</v>
      </c>
      <c r="L171" s="74">
        <f>'IMPORT SCHLIESSERDATEN'!CN163</f>
        <v>0</v>
      </c>
      <c r="M171" s="74">
        <f>IF('IMPORT SCHLIESSERDATEN'!CS163="wie TS",-1,'IMPORT SCHLIESSERDATEN'!CS163)</f>
        <v>0</v>
      </c>
      <c r="N171" s="74">
        <f>IF(M171&lt;0,-1,'IMPORT SCHLIESSERDATEN'!CU163)</f>
        <v>0</v>
      </c>
      <c r="O171" s="74">
        <f>IF('IMPORT SCHLIESSERDATEN'!CZ163="wie TS",-1,'IMPORT SCHLIESSERDATEN'!CZ163)</f>
        <v>0</v>
      </c>
      <c r="P171" s="74">
        <f>IF(O171&lt;0,-1,'IMPORT SCHLIESSERDATEN'!DB163)</f>
        <v>0</v>
      </c>
      <c r="Q171" s="74">
        <f>'IMPORT SCHLIESSERDATEN'!DG163</f>
        <v>0</v>
      </c>
      <c r="R171" s="74">
        <f>'IMPORT SCHLIESSERDATEN'!DI163</f>
        <v>0</v>
      </c>
      <c r="S171" s="74">
        <f>'IMPORT SCHLIESSERDATEN'!DN163</f>
        <v>0</v>
      </c>
      <c r="T171" s="74">
        <f>IF('IMPORT SCHLIESSERDATEN'!DP163="V",9999,'IMPORT SCHLIESSERDATEN'!DP163)</f>
        <v>0</v>
      </c>
      <c r="U171" s="74">
        <f>'IMPORT SCHLIESSERDATEN'!BW163</f>
        <v>306</v>
      </c>
      <c r="V171" s="74">
        <f>'IMPORT SCHLIESSERDATEN'!BX163</f>
        <v>108</v>
      </c>
      <c r="W171" s="74">
        <f>'IMPORT SCHLIESSERDATEN'!BY163</f>
        <v>40</v>
      </c>
      <c r="X171" s="74">
        <f>'IMPORT SCHLIESSERDATEN'!CO163</f>
        <v>0</v>
      </c>
      <c r="Y171" s="74">
        <f>'IMPORT SCHLIESSERDATEN'!CQ163</f>
        <v>0</v>
      </c>
      <c r="Z171" s="74">
        <f>'IMPORT SCHLIESSERDATEN'!CV163</f>
        <v>0</v>
      </c>
      <c r="AA171" s="74">
        <f>'IMPORT SCHLIESSERDATEN'!CX163</f>
        <v>0</v>
      </c>
      <c r="AB171" s="74">
        <f>'IMPORT SCHLIESSERDATEN'!DC163</f>
        <v>0</v>
      </c>
      <c r="AC171" s="74">
        <f>'IMPORT SCHLIESSERDATEN'!DE163</f>
        <v>0</v>
      </c>
      <c r="AD171" s="74">
        <f>'IMPORT SCHLIESSERDATEN'!DJ163</f>
        <v>0</v>
      </c>
      <c r="AE171" s="74">
        <f>'IMPORT SCHLIESSERDATEN'!DL163</f>
        <v>0</v>
      </c>
      <c r="AF171" s="74">
        <f>'IMPORT SCHLIESSERDATEN'!DQ163</f>
        <v>0</v>
      </c>
      <c r="AG171" s="74">
        <f>IF('IMPORT SCHLIESSERDATEN'!DS163="V",9999,'IMPORT SCHLIESSERDATEN'!DS163)</f>
        <v>0</v>
      </c>
      <c r="AH171" s="74">
        <f>IF('IMPORT SCHLIESSERDATEN'!BZ163="V",9999,IF('IMPORT SCHLIESSERDATEN'!CD163="_",-1,'IMPORT SCHLIESSERDATEN'!BZ163))</f>
        <v>-1</v>
      </c>
      <c r="AI171" s="74">
        <f>IF('IMPORT SCHLIESSERDATEN'!CA163="V",9999,IF('IMPORT SCHLIESSERDATEN'!CD163="_",-1,'IMPORT SCHLIESSERDATEN'!CA163))</f>
        <v>-1</v>
      </c>
      <c r="AJ171" s="74">
        <f>IF('IMPORT SCHLIESSERDATEN'!CB163="V",9999,IF('IMPORT SCHLIESSERDATEN'!CD163="_",-1,'IMPORT SCHLIESSERDATEN'!CB163))</f>
        <v>-1</v>
      </c>
      <c r="AK171" s="74">
        <f>IF('IMPORT SCHLIESSERDATEN'!CC163="V",9999,IF('IMPORT SCHLIESSERDATEN'!CC163="_",-1,'IMPORT SCHLIESSERDATEN'!CC163))</f>
        <v>-1</v>
      </c>
      <c r="AL171" s="74">
        <f>IF('IMPORT SCHLIESSERDATEN'!CD163="_",-1,'IMPORT SCHLIESSERDATEN'!CD163)</f>
        <v>-1</v>
      </c>
      <c r="AM171" s="74">
        <f>'IMPORT SCHLIESSERDATEN'!CH163</f>
        <v>0</v>
      </c>
      <c r="AN171" s="74">
        <f>IF('IMPORT SCHLIESSERDATEN'!CE163="V",9999,'IMPORT SCHLIESSERDATEN'!CE163)</f>
        <v>54</v>
      </c>
      <c r="AO171" s="74">
        <f>IF('IMPORT SCHLIESSERDATEN'!CK163="_",-1,'IMPORT SCHLIESSERDATEN'!CK163)</f>
        <v>-1</v>
      </c>
      <c r="AP171" s="74">
        <f>IF('IMPORT SCHLIESSERDATEN'!$U163="",0,1)</f>
        <v>0</v>
      </c>
      <c r="AQ171" s="74">
        <f>IF('IMPORT SCHLIESSERDATEN'!$V163="",0,1)</f>
        <v>0</v>
      </c>
      <c r="AR171" s="74">
        <f>IF('IMPORT SCHLIESSERDATEN'!$W163="",0,1)</f>
        <v>0</v>
      </c>
      <c r="AS171" s="74">
        <f>IF('IMPORT SCHLIESSERDATEN'!$AA163="",0,1)</f>
        <v>0</v>
      </c>
      <c r="AT171" s="74">
        <f>IF('IMPORT SCHLIESSERDATEN'!$AD163="",0,1) + IF('IMPORT SCHLIESSERDATEN'!$AE163="",0,2)</f>
        <v>0</v>
      </c>
      <c r="AU171" s="74" t="str">
        <f>IF('IMPORT SCHLIESSERDATEN'!$X163="",IF('IMPORT SCHLIESSERDATEN'!$Y163="","","F"),"V")</f>
        <v/>
      </c>
      <c r="AV171" s="74" t="str">
        <f>IF('IMPORT SCHLIESSERDATEN'!$AB163&lt;&gt;"","M",IF('IMPORT SCHLIESSERDATEN'!$AD163&lt;&gt;"",IF(ISERR(SEARCH("UVIBIS",'IMPORT SCHLIESSERDATEN'!$B163)),"R","B"),IF(OR('IMPORT SCHLIESSERDATEN'!$AC163&lt;&gt;"",'IMPORT SCHLIESSERDATEN'!$AE163&lt;&gt;""),"E","")))</f>
        <v>M</v>
      </c>
      <c r="AW171" s="82"/>
      <c r="AX171" s="67"/>
    </row>
    <row r="172" spans="1:50" x14ac:dyDescent="0.25">
      <c r="A172" s="67">
        <f>IFERROR(IF(C172&lt;&gt;"",MAX($A$2:$A171)+1,""),"")</f>
        <v>160</v>
      </c>
      <c r="B172" s="223">
        <f t="shared" si="3"/>
        <v>160</v>
      </c>
      <c r="C172" s="216" t="str">
        <f>'IMPORT SCHLIESSERDATEN'!$B164</f>
        <v>BTS 84 EN 4 Pendeltür</v>
      </c>
      <c r="D172" s="216" t="str">
        <f>IF('IMPORT SCHLIESSERDATEN'!$AF164&lt;&gt;"",IF(COUNTA('IMPORT SCHLIESSERDATEN'!$AN164:$AU164)&gt;0,"X","G"),IF('IMPORT SCHLIESSERDATEN'!$AG164&lt;&gt;"","S",IF('IMPORT SCHLIESSERDATEN'!$AH164&lt;&gt;"","I",IF('IMPORT SCHLIESSERDATEN'!$AI164&lt;&gt;"","B",IF('IMPORT SCHLIESSERDATEN'!$AJ164&lt;&gt;"","D","")))))</f>
        <v>B</v>
      </c>
      <c r="E172" s="248" t="str">
        <f>'IMPORT SCHLIESSERDATEN'!AK164 &amp; IF('IMPORT SCHLIESSERDATEN'!AL164="",""," "&amp; 'IMPORT SCHLIESSERDATEN'!AL164)</f>
        <v>84</v>
      </c>
      <c r="F172" s="74">
        <f>IFERROR(IF(D172="X",2^(MATCH("",'IMPORT SCHLIESSERDATEN'!$AN164:$AU164,-1)-1),IF(AV172="F",2^(MATCH("",'IMPORT SCHLIESSERDATEN'!$BH164:$BK164,-1)-1),2^(MATCH("",'IMPORT SCHLIESSERDATEN'!$AV164:$BG164,-1)-1))),0)</f>
        <v>0</v>
      </c>
      <c r="G172" s="74">
        <f>IF(AND('IMPORT SCHLIESSERDATEN'!$O164='IMPORT SCHLIESSERDATEN'!$R164,'IMPORT SCHLIESSERDATEN'!$O164&lt;&gt;"",'IMPORT SCHLIESSERDATEN'!$R164&lt;&gt;""),1,0)  +  IF(AND('IMPORT SCHLIESSERDATEN'!$P164='IMPORT SCHLIESSERDATEN'!$S164,'IMPORT SCHLIESSERDATEN'!$P164&lt;&gt;"",'IMPORT SCHLIESSERDATEN'!$S164&lt;&gt;""),2,0)   +  IF(AND('IMPORT SCHLIESSERDATEN'!$O164='IMPORT SCHLIESSERDATEN'!$S164,'IMPORT SCHLIESSERDATEN'!$O164&lt;&gt;"",'IMPORT SCHLIESSERDATEN'!$S164&lt;&gt;""),4,0)   +  IF(AND('IMPORT SCHLIESSERDATEN'!$P164='IMPORT SCHLIESSERDATEN'!$R164,'IMPORT SCHLIESSERDATEN'!$P164&lt;&gt;"",'IMPORT SCHLIESSERDATEN'!$R164&lt;&gt;""),8,0)   +  IF('IMPORT SCHLIESSERDATEN'!$Q164&lt;&gt;"",IF('IMPORT SCHLIESSERDATEN'!$R164&lt;&gt;"",32,0) + IF('IMPORT SCHLIESSERDATEN'!$S164&lt;&gt;"",64,0),0)  +  IF('IMPORT SCHLIESSERDATEN'!$T164&lt;&gt;"",IF('IMPORT SCHLIESSERDATEN'!$Q164&lt;&gt;"",128+256,128),0)</f>
        <v>384</v>
      </c>
      <c r="H172" s="74">
        <f>IF('IMPORT SCHLIESSERDATEN'!$H164="",0,1) + IF('IMPORT SCHLIESSERDATEN'!$I164="",0,2) + IF('IMPORT SCHLIESSERDATEN'!$J164="",0,4) + IF('IMPORT SCHLIESSERDATEN'!$K164="",0,8) + IF('IMPORT SCHLIESSERDATEN'!$L164="",0,16) + IF('IMPORT SCHLIESSERDATEN'!$M164="",0,32) + IF('IMPORT SCHLIESSERDATEN'!$N164="",0,64)</f>
        <v>8</v>
      </c>
      <c r="I172" s="74">
        <f>IF('IMPORT SCHLIESSERDATEN'!$D164="",0,1) + IF('IMPORT SCHLIESSERDATEN'!$E164="",0,2) + IF('IMPORT SCHLIESSERDATEN'!$E164="S",4,0)</f>
        <v>3</v>
      </c>
      <c r="J172" s="74">
        <f>IF(ISERR(FIND(" Gangfl.",'IMPORT SCHLIESSERDATEN'!$B164)),IF(ISERR(FIND(" Standfl.",'IMPORT SCHLIESSERDATEN'!$B164)),0,2),1)</f>
        <v>0</v>
      </c>
      <c r="K172" s="74">
        <f>'IMPORT SCHLIESSERDATEN'!CL164</f>
        <v>0</v>
      </c>
      <c r="L172" s="74">
        <f>'IMPORT SCHLIESSERDATEN'!CN164</f>
        <v>0</v>
      </c>
      <c r="M172" s="74">
        <f>IF('IMPORT SCHLIESSERDATEN'!CS164="wie TS",-1,'IMPORT SCHLIESSERDATEN'!CS164)</f>
        <v>0</v>
      </c>
      <c r="N172" s="74">
        <f>IF(M172&lt;0,-1,'IMPORT SCHLIESSERDATEN'!CU164)</f>
        <v>0</v>
      </c>
      <c r="O172" s="74">
        <f>IF('IMPORT SCHLIESSERDATEN'!CZ164="wie TS",-1,'IMPORT SCHLIESSERDATEN'!CZ164)</f>
        <v>0</v>
      </c>
      <c r="P172" s="74">
        <f>IF(O172&lt;0,-1,'IMPORT SCHLIESSERDATEN'!DB164)</f>
        <v>0</v>
      </c>
      <c r="Q172" s="74">
        <f>'IMPORT SCHLIESSERDATEN'!DG164</f>
        <v>0</v>
      </c>
      <c r="R172" s="74">
        <f>'IMPORT SCHLIESSERDATEN'!DI164</f>
        <v>0</v>
      </c>
      <c r="S172" s="74">
        <f>'IMPORT SCHLIESSERDATEN'!DN164</f>
        <v>0</v>
      </c>
      <c r="T172" s="74">
        <f>IF('IMPORT SCHLIESSERDATEN'!DP164="V",9999,'IMPORT SCHLIESSERDATEN'!DP164)</f>
        <v>0</v>
      </c>
      <c r="U172" s="74">
        <f>'IMPORT SCHLIESSERDATEN'!BW164</f>
        <v>306</v>
      </c>
      <c r="V172" s="74">
        <f>'IMPORT SCHLIESSERDATEN'!BX164</f>
        <v>108</v>
      </c>
      <c r="W172" s="74">
        <f>'IMPORT SCHLIESSERDATEN'!BY164</f>
        <v>40</v>
      </c>
      <c r="X172" s="74">
        <f>'IMPORT SCHLIESSERDATEN'!CO164</f>
        <v>0</v>
      </c>
      <c r="Y172" s="74">
        <f>'IMPORT SCHLIESSERDATEN'!CQ164</f>
        <v>0</v>
      </c>
      <c r="Z172" s="74">
        <f>'IMPORT SCHLIESSERDATEN'!CV164</f>
        <v>0</v>
      </c>
      <c r="AA172" s="74">
        <f>'IMPORT SCHLIESSERDATEN'!CX164</f>
        <v>0</v>
      </c>
      <c r="AB172" s="74">
        <f>'IMPORT SCHLIESSERDATEN'!DC164</f>
        <v>0</v>
      </c>
      <c r="AC172" s="74">
        <f>'IMPORT SCHLIESSERDATEN'!DE164</f>
        <v>0</v>
      </c>
      <c r="AD172" s="74">
        <f>'IMPORT SCHLIESSERDATEN'!DJ164</f>
        <v>0</v>
      </c>
      <c r="AE172" s="74">
        <f>'IMPORT SCHLIESSERDATEN'!DL164</f>
        <v>0</v>
      </c>
      <c r="AF172" s="74">
        <f>'IMPORT SCHLIESSERDATEN'!DQ164</f>
        <v>0</v>
      </c>
      <c r="AG172" s="74">
        <f>IF('IMPORT SCHLIESSERDATEN'!DS164="V",9999,'IMPORT SCHLIESSERDATEN'!DS164)</f>
        <v>0</v>
      </c>
      <c r="AH172" s="74">
        <f>IF('IMPORT SCHLIESSERDATEN'!BZ164="V",9999,IF('IMPORT SCHLIESSERDATEN'!CD164="_",-1,'IMPORT SCHLIESSERDATEN'!BZ164))</f>
        <v>-1</v>
      </c>
      <c r="AI172" s="74">
        <f>IF('IMPORT SCHLIESSERDATEN'!CA164="V",9999,IF('IMPORT SCHLIESSERDATEN'!CD164="_",-1,'IMPORT SCHLIESSERDATEN'!CA164))</f>
        <v>-1</v>
      </c>
      <c r="AJ172" s="74">
        <f>IF('IMPORT SCHLIESSERDATEN'!CB164="V",9999,IF('IMPORT SCHLIESSERDATEN'!CD164="_",-1,'IMPORT SCHLIESSERDATEN'!CB164))</f>
        <v>-1</v>
      </c>
      <c r="AK172" s="74">
        <f>IF('IMPORT SCHLIESSERDATEN'!CC164="V",9999,IF('IMPORT SCHLIESSERDATEN'!CC164="_",-1,'IMPORT SCHLIESSERDATEN'!CC164))</f>
        <v>-1</v>
      </c>
      <c r="AL172" s="74">
        <f>IF('IMPORT SCHLIESSERDATEN'!CD164="_",-1,'IMPORT SCHLIESSERDATEN'!CD164)</f>
        <v>-1</v>
      </c>
      <c r="AM172" s="74">
        <f>'IMPORT SCHLIESSERDATEN'!CH164</f>
        <v>0</v>
      </c>
      <c r="AN172" s="74">
        <f>IF('IMPORT SCHLIESSERDATEN'!CE164="V",9999,'IMPORT SCHLIESSERDATEN'!CE164)</f>
        <v>54</v>
      </c>
      <c r="AO172" s="74">
        <f>IF('IMPORT SCHLIESSERDATEN'!CK164="_",-1,'IMPORT SCHLIESSERDATEN'!CK164)</f>
        <v>-1</v>
      </c>
      <c r="AP172" s="74">
        <f>IF('IMPORT SCHLIESSERDATEN'!$U164="",0,1)</f>
        <v>0</v>
      </c>
      <c r="AQ172" s="74">
        <f>IF('IMPORT SCHLIESSERDATEN'!$V164="",0,1)</f>
        <v>0</v>
      </c>
      <c r="AR172" s="74">
        <f>IF('IMPORT SCHLIESSERDATEN'!$W164="",0,1)</f>
        <v>0</v>
      </c>
      <c r="AS172" s="74">
        <f>IF('IMPORT SCHLIESSERDATEN'!$AA164="",0,1)</f>
        <v>0</v>
      </c>
      <c r="AT172" s="74">
        <f>IF('IMPORT SCHLIESSERDATEN'!$AD164="",0,1) + IF('IMPORT SCHLIESSERDATEN'!$AE164="",0,2)</f>
        <v>0</v>
      </c>
      <c r="AU172" s="74" t="str">
        <f>IF('IMPORT SCHLIESSERDATEN'!$X164="",IF('IMPORT SCHLIESSERDATEN'!$Y164="","","F"),"V")</f>
        <v/>
      </c>
      <c r="AV172" s="74" t="str">
        <f>IF('IMPORT SCHLIESSERDATEN'!$AB164&lt;&gt;"","M",IF('IMPORT SCHLIESSERDATEN'!$AD164&lt;&gt;"",IF(ISERR(SEARCH("UVIBIS",'IMPORT SCHLIESSERDATEN'!$B164)),"R","B"),IF(OR('IMPORT SCHLIESSERDATEN'!$AC164&lt;&gt;"",'IMPORT SCHLIESSERDATEN'!$AE164&lt;&gt;""),"E","")))</f>
        <v>M</v>
      </c>
      <c r="AW172" s="82"/>
      <c r="AX172" s="67"/>
    </row>
    <row r="173" spans="1:50" x14ac:dyDescent="0.25">
      <c r="A173" s="67">
        <f>IFERROR(IF(C173&lt;&gt;"",MAX($A$2:$A172)+1,""),"")</f>
        <v>161</v>
      </c>
      <c r="B173" s="223">
        <f t="shared" si="3"/>
        <v>161</v>
      </c>
      <c r="C173" s="216" t="str">
        <f>'IMPORT SCHLIESSERDATEN'!$B165</f>
        <v>RTS 85 EN 3 Pendeltür</v>
      </c>
      <c r="D173" s="216" t="str">
        <f>IF('IMPORT SCHLIESSERDATEN'!$AF165&lt;&gt;"",IF(COUNTA('IMPORT SCHLIESSERDATEN'!$AN165:$AU165)&gt;0,"X","G"),IF('IMPORT SCHLIESSERDATEN'!$AG165&lt;&gt;"","S",IF('IMPORT SCHLIESSERDATEN'!$AH165&lt;&gt;"","I",IF('IMPORT SCHLIESSERDATEN'!$AI165&lt;&gt;"","B",IF('IMPORT SCHLIESSERDATEN'!$AJ165&lt;&gt;"","D","")))))</f>
        <v>I</v>
      </c>
      <c r="E173" s="248" t="str">
        <f>'IMPORT SCHLIESSERDATEN'!AK165 &amp; IF('IMPORT SCHLIESSERDATEN'!AL165="",""," "&amp; 'IMPORT SCHLIESSERDATEN'!AL165)</f>
        <v>85</v>
      </c>
      <c r="F173" s="74">
        <f>IFERROR(IF(D173="X",2^(MATCH("",'IMPORT SCHLIESSERDATEN'!$AN165:$AU165,-1)-1),IF(AV173="F",2^(MATCH("",'IMPORT SCHLIESSERDATEN'!$BH165:$BK165,-1)-1),2^(MATCH("",'IMPORT SCHLIESSERDATEN'!$AV165:$BG165,-1)-1))),0)</f>
        <v>0</v>
      </c>
      <c r="G173" s="74">
        <f>IF(AND('IMPORT SCHLIESSERDATEN'!$O165='IMPORT SCHLIESSERDATEN'!$R165,'IMPORT SCHLIESSERDATEN'!$O165&lt;&gt;"",'IMPORT SCHLIESSERDATEN'!$R165&lt;&gt;""),1,0)  +  IF(AND('IMPORT SCHLIESSERDATEN'!$P165='IMPORT SCHLIESSERDATEN'!$S165,'IMPORT SCHLIESSERDATEN'!$P165&lt;&gt;"",'IMPORT SCHLIESSERDATEN'!$S165&lt;&gt;""),2,0)   +  IF(AND('IMPORT SCHLIESSERDATEN'!$O165='IMPORT SCHLIESSERDATEN'!$S165,'IMPORT SCHLIESSERDATEN'!$O165&lt;&gt;"",'IMPORT SCHLIESSERDATEN'!$S165&lt;&gt;""),4,0)   +  IF(AND('IMPORT SCHLIESSERDATEN'!$P165='IMPORT SCHLIESSERDATEN'!$R165,'IMPORT SCHLIESSERDATEN'!$P165&lt;&gt;"",'IMPORT SCHLIESSERDATEN'!$R165&lt;&gt;""),8,0)   +  IF('IMPORT SCHLIESSERDATEN'!$Q165&lt;&gt;"",IF('IMPORT SCHLIESSERDATEN'!$R165&lt;&gt;"",32,0) + IF('IMPORT SCHLIESSERDATEN'!$S165&lt;&gt;"",64,0),0)  +  IF('IMPORT SCHLIESSERDATEN'!$T165&lt;&gt;"",IF('IMPORT SCHLIESSERDATEN'!$Q165&lt;&gt;"",128+256,128),0)</f>
        <v>0</v>
      </c>
      <c r="H173" s="74">
        <f>IF('IMPORT SCHLIESSERDATEN'!$H165="",0,1) + IF('IMPORT SCHLIESSERDATEN'!$I165="",0,2) + IF('IMPORT SCHLIESSERDATEN'!$J165="",0,4) + IF('IMPORT SCHLIESSERDATEN'!$K165="",0,8) + IF('IMPORT SCHLIESSERDATEN'!$L165="",0,16) + IF('IMPORT SCHLIESSERDATEN'!$M165="",0,32) + IF('IMPORT SCHLIESSERDATEN'!$N165="",0,64)</f>
        <v>4</v>
      </c>
      <c r="I173" s="74">
        <f>IF('IMPORT SCHLIESSERDATEN'!$D165="",0,1) + IF('IMPORT SCHLIESSERDATEN'!$E165="",0,2) + IF('IMPORT SCHLIESSERDATEN'!$E165="S",4,0)</f>
        <v>3</v>
      </c>
      <c r="J173" s="74">
        <f>IF(ISERR(FIND(" Gangfl.",'IMPORT SCHLIESSERDATEN'!$B165)),IF(ISERR(FIND(" Standfl.",'IMPORT SCHLIESSERDATEN'!$B165)),0,2),1)</f>
        <v>0</v>
      </c>
      <c r="K173" s="74">
        <f>'IMPORT SCHLIESSERDATEN'!CL165</f>
        <v>0</v>
      </c>
      <c r="L173" s="74">
        <f>'IMPORT SCHLIESSERDATEN'!CN165</f>
        <v>0</v>
      </c>
      <c r="M173" s="74">
        <f>IF('IMPORT SCHLIESSERDATEN'!CS165="wie TS",-1,'IMPORT SCHLIESSERDATEN'!CS165)</f>
        <v>0</v>
      </c>
      <c r="N173" s="74">
        <f>IF(M173&lt;0,-1,'IMPORT SCHLIESSERDATEN'!CU165)</f>
        <v>0</v>
      </c>
      <c r="O173" s="74">
        <f>IF('IMPORT SCHLIESSERDATEN'!CZ165="wie TS",-1,'IMPORT SCHLIESSERDATEN'!CZ165)</f>
        <v>0</v>
      </c>
      <c r="P173" s="74">
        <f>IF(O173&lt;0,-1,'IMPORT SCHLIESSERDATEN'!DB165)</f>
        <v>0</v>
      </c>
      <c r="Q173" s="74">
        <f>'IMPORT SCHLIESSERDATEN'!DG165</f>
        <v>0</v>
      </c>
      <c r="R173" s="74">
        <f>'IMPORT SCHLIESSERDATEN'!DI165</f>
        <v>0</v>
      </c>
      <c r="S173" s="74">
        <f>'IMPORT SCHLIESSERDATEN'!DN165</f>
        <v>0</v>
      </c>
      <c r="T173" s="74">
        <f>IF('IMPORT SCHLIESSERDATEN'!DP165="V",9999,'IMPORT SCHLIESSERDATEN'!DP165)</f>
        <v>0</v>
      </c>
      <c r="U173" s="74">
        <f>'IMPORT SCHLIESSERDATEN'!BW165</f>
        <v>329</v>
      </c>
      <c r="V173" s="74">
        <f>'IMPORT SCHLIESSERDATEN'!BX165</f>
        <v>84</v>
      </c>
      <c r="W173" s="74">
        <f>'IMPORT SCHLIESSERDATEN'!BY165</f>
        <v>39</v>
      </c>
      <c r="X173" s="74">
        <f>'IMPORT SCHLIESSERDATEN'!CO165</f>
        <v>0</v>
      </c>
      <c r="Y173" s="74">
        <f>'IMPORT SCHLIESSERDATEN'!CQ165</f>
        <v>0</v>
      </c>
      <c r="Z173" s="74">
        <f>'IMPORT SCHLIESSERDATEN'!CV165</f>
        <v>0</v>
      </c>
      <c r="AA173" s="74">
        <f>'IMPORT SCHLIESSERDATEN'!CX165</f>
        <v>0</v>
      </c>
      <c r="AB173" s="74">
        <f>'IMPORT SCHLIESSERDATEN'!DC165</f>
        <v>0</v>
      </c>
      <c r="AC173" s="74">
        <f>'IMPORT SCHLIESSERDATEN'!DE165</f>
        <v>0</v>
      </c>
      <c r="AD173" s="74">
        <f>'IMPORT SCHLIESSERDATEN'!DJ165</f>
        <v>0</v>
      </c>
      <c r="AE173" s="74">
        <f>'IMPORT SCHLIESSERDATEN'!DL165</f>
        <v>0</v>
      </c>
      <c r="AF173" s="74">
        <f>'IMPORT SCHLIESSERDATEN'!DQ165</f>
        <v>0</v>
      </c>
      <c r="AG173" s="74">
        <f>IF('IMPORT SCHLIESSERDATEN'!DS165="V",9999,'IMPORT SCHLIESSERDATEN'!DS165)</f>
        <v>0</v>
      </c>
      <c r="AH173" s="74">
        <f>IF('IMPORT SCHLIESSERDATEN'!BZ165="V",9999,IF('IMPORT SCHLIESSERDATEN'!CD165="_",-1,'IMPORT SCHLIESSERDATEN'!BZ165))</f>
        <v>-1</v>
      </c>
      <c r="AI173" s="74">
        <f>IF('IMPORT SCHLIESSERDATEN'!CA165="V",9999,IF('IMPORT SCHLIESSERDATEN'!CD165="_",-1,'IMPORT SCHLIESSERDATEN'!CA165))</f>
        <v>-1</v>
      </c>
      <c r="AJ173" s="74">
        <f>IF('IMPORT SCHLIESSERDATEN'!CB165="V",9999,IF('IMPORT SCHLIESSERDATEN'!CD165="_",-1,'IMPORT SCHLIESSERDATEN'!CB165))</f>
        <v>-1</v>
      </c>
      <c r="AK173" s="74">
        <f>IF('IMPORT SCHLIESSERDATEN'!CC165="V",9999,IF('IMPORT SCHLIESSERDATEN'!CC165="_",-1,'IMPORT SCHLIESSERDATEN'!CC165))</f>
        <v>-1</v>
      </c>
      <c r="AL173" s="74">
        <f>IF('IMPORT SCHLIESSERDATEN'!CD165="_",-1,'IMPORT SCHLIESSERDATEN'!CD165)</f>
        <v>-1</v>
      </c>
      <c r="AM173" s="74">
        <f>'IMPORT SCHLIESSERDATEN'!CH165</f>
        <v>0</v>
      </c>
      <c r="AN173" s="74">
        <f>IF('IMPORT SCHLIESSERDATEN'!CE165="V",9999,'IMPORT SCHLIESSERDATEN'!CE165)</f>
        <v>42</v>
      </c>
      <c r="AO173" s="74">
        <f>IF('IMPORT SCHLIESSERDATEN'!CK165="_",-1,'IMPORT SCHLIESSERDATEN'!CK165)</f>
        <v>-1</v>
      </c>
      <c r="AP173" s="74">
        <f>IF('IMPORT SCHLIESSERDATEN'!$U165="",0,1)</f>
        <v>0</v>
      </c>
      <c r="AQ173" s="74">
        <f>IF('IMPORT SCHLIESSERDATEN'!$V165="",0,1)</f>
        <v>0</v>
      </c>
      <c r="AR173" s="74">
        <f>IF('IMPORT SCHLIESSERDATEN'!$W165="",0,1)</f>
        <v>0</v>
      </c>
      <c r="AS173" s="74">
        <f>IF('IMPORT SCHLIESSERDATEN'!$AA165="",0,1)</f>
        <v>0</v>
      </c>
      <c r="AT173" s="74">
        <f>IF('IMPORT SCHLIESSERDATEN'!$AD165="",0,1) + IF('IMPORT SCHLIESSERDATEN'!$AE165="",0,2)</f>
        <v>0</v>
      </c>
      <c r="AU173" s="74" t="str">
        <f>IF('IMPORT SCHLIESSERDATEN'!$X165="",IF('IMPORT SCHLIESSERDATEN'!$Y165="","","F"),"V")</f>
        <v/>
      </c>
      <c r="AV173" s="74" t="str">
        <f>IF('IMPORT SCHLIESSERDATEN'!$AB165&lt;&gt;"","M",IF('IMPORT SCHLIESSERDATEN'!$AD165&lt;&gt;"",IF(ISERR(SEARCH("UVIBIS",'IMPORT SCHLIESSERDATEN'!$B165)),"R","B"),IF(OR('IMPORT SCHLIESSERDATEN'!$AC165&lt;&gt;"",'IMPORT SCHLIESSERDATEN'!$AE165&lt;&gt;""),"E","")))</f>
        <v/>
      </c>
      <c r="AW173" s="82"/>
      <c r="AX173" s="67"/>
    </row>
    <row r="174" spans="1:50" x14ac:dyDescent="0.25">
      <c r="A174" s="67">
        <f>IFERROR(IF(C174&lt;&gt;"",MAX($A$2:$A173)+1,""),"")</f>
        <v>162</v>
      </c>
      <c r="B174" s="223">
        <f t="shared" si="3"/>
        <v>162</v>
      </c>
      <c r="C174" s="216" t="str">
        <f>'IMPORT SCHLIESSERDATEN'!$B166</f>
        <v>RTS 85 EN 4 Pendeltür</v>
      </c>
      <c r="D174" s="216" t="str">
        <f>IF('IMPORT SCHLIESSERDATEN'!$AF166&lt;&gt;"",IF(COUNTA('IMPORT SCHLIESSERDATEN'!$AN166:$AU166)&gt;0,"X","G"),IF('IMPORT SCHLIESSERDATEN'!$AG166&lt;&gt;"","S",IF('IMPORT SCHLIESSERDATEN'!$AH166&lt;&gt;"","I",IF('IMPORT SCHLIESSERDATEN'!$AI166&lt;&gt;"","B",IF('IMPORT SCHLIESSERDATEN'!$AJ166&lt;&gt;"","D","")))))</f>
        <v>I</v>
      </c>
      <c r="E174" s="248" t="str">
        <f>'IMPORT SCHLIESSERDATEN'!AK166 &amp; IF('IMPORT SCHLIESSERDATEN'!AL166="",""," "&amp; 'IMPORT SCHLIESSERDATEN'!AL166)</f>
        <v>85</v>
      </c>
      <c r="F174" s="74">
        <f>IFERROR(IF(D174="X",2^(MATCH("",'IMPORT SCHLIESSERDATEN'!$AN166:$AU166,-1)-1),IF(AV174="F",2^(MATCH("",'IMPORT SCHLIESSERDATEN'!$BH166:$BK166,-1)-1),2^(MATCH("",'IMPORT SCHLIESSERDATEN'!$AV166:$BG166,-1)-1))),0)</f>
        <v>0</v>
      </c>
      <c r="G174" s="74">
        <f>IF(AND('IMPORT SCHLIESSERDATEN'!$O166='IMPORT SCHLIESSERDATEN'!$R166,'IMPORT SCHLIESSERDATEN'!$O166&lt;&gt;"",'IMPORT SCHLIESSERDATEN'!$R166&lt;&gt;""),1,0)  +  IF(AND('IMPORT SCHLIESSERDATEN'!$P166='IMPORT SCHLIESSERDATEN'!$S166,'IMPORT SCHLIESSERDATEN'!$P166&lt;&gt;"",'IMPORT SCHLIESSERDATEN'!$S166&lt;&gt;""),2,0)   +  IF(AND('IMPORT SCHLIESSERDATEN'!$O166='IMPORT SCHLIESSERDATEN'!$S166,'IMPORT SCHLIESSERDATEN'!$O166&lt;&gt;"",'IMPORT SCHLIESSERDATEN'!$S166&lt;&gt;""),4,0)   +  IF(AND('IMPORT SCHLIESSERDATEN'!$P166='IMPORT SCHLIESSERDATEN'!$R166,'IMPORT SCHLIESSERDATEN'!$P166&lt;&gt;"",'IMPORT SCHLIESSERDATEN'!$R166&lt;&gt;""),8,0)   +  IF('IMPORT SCHLIESSERDATEN'!$Q166&lt;&gt;"",IF('IMPORT SCHLIESSERDATEN'!$R166&lt;&gt;"",32,0) + IF('IMPORT SCHLIESSERDATEN'!$S166&lt;&gt;"",64,0),0)  +  IF('IMPORT SCHLIESSERDATEN'!$T166&lt;&gt;"",IF('IMPORT SCHLIESSERDATEN'!$Q166&lt;&gt;"",128+256,128),0)</f>
        <v>0</v>
      </c>
      <c r="H174" s="74">
        <f>IF('IMPORT SCHLIESSERDATEN'!$H166="",0,1) + IF('IMPORT SCHLIESSERDATEN'!$I166="",0,2) + IF('IMPORT SCHLIESSERDATEN'!$J166="",0,4) + IF('IMPORT SCHLIESSERDATEN'!$K166="",0,8) + IF('IMPORT SCHLIESSERDATEN'!$L166="",0,16) + IF('IMPORT SCHLIESSERDATEN'!$M166="",0,32) + IF('IMPORT SCHLIESSERDATEN'!$N166="",0,64)</f>
        <v>8</v>
      </c>
      <c r="I174" s="74">
        <f>IF('IMPORT SCHLIESSERDATEN'!$D166="",0,1) + IF('IMPORT SCHLIESSERDATEN'!$E166="",0,2) + IF('IMPORT SCHLIESSERDATEN'!$E166="S",4,0)</f>
        <v>3</v>
      </c>
      <c r="J174" s="74">
        <f>IF(ISERR(FIND(" Gangfl.",'IMPORT SCHLIESSERDATEN'!$B166)),IF(ISERR(FIND(" Standfl.",'IMPORT SCHLIESSERDATEN'!$B166)),0,2),1)</f>
        <v>0</v>
      </c>
      <c r="K174" s="74">
        <f>'IMPORT SCHLIESSERDATEN'!CL166</f>
        <v>0</v>
      </c>
      <c r="L174" s="74">
        <f>'IMPORT SCHLIESSERDATEN'!CN166</f>
        <v>0</v>
      </c>
      <c r="M174" s="74">
        <f>IF('IMPORT SCHLIESSERDATEN'!CS166="wie TS",-1,'IMPORT SCHLIESSERDATEN'!CS166)</f>
        <v>0</v>
      </c>
      <c r="N174" s="74">
        <f>IF(M174&lt;0,-1,'IMPORT SCHLIESSERDATEN'!CU166)</f>
        <v>0</v>
      </c>
      <c r="O174" s="74">
        <f>IF('IMPORT SCHLIESSERDATEN'!CZ166="wie TS",-1,'IMPORT SCHLIESSERDATEN'!CZ166)</f>
        <v>0</v>
      </c>
      <c r="P174" s="74">
        <f>IF(O174&lt;0,-1,'IMPORT SCHLIESSERDATEN'!DB166)</f>
        <v>0</v>
      </c>
      <c r="Q174" s="74">
        <f>'IMPORT SCHLIESSERDATEN'!DG166</f>
        <v>0</v>
      </c>
      <c r="R174" s="74">
        <f>'IMPORT SCHLIESSERDATEN'!DI166</f>
        <v>0</v>
      </c>
      <c r="S174" s="74">
        <f>'IMPORT SCHLIESSERDATEN'!DN166</f>
        <v>0</v>
      </c>
      <c r="T174" s="74">
        <f>IF('IMPORT SCHLIESSERDATEN'!DP166="V",9999,'IMPORT SCHLIESSERDATEN'!DP166)</f>
        <v>0</v>
      </c>
      <c r="U174" s="74">
        <f>'IMPORT SCHLIESSERDATEN'!BW166</f>
        <v>329</v>
      </c>
      <c r="V174" s="74">
        <f>'IMPORT SCHLIESSERDATEN'!BX166</f>
        <v>84</v>
      </c>
      <c r="W174" s="74">
        <f>'IMPORT SCHLIESSERDATEN'!BY166</f>
        <v>39</v>
      </c>
      <c r="X174" s="74">
        <f>'IMPORT SCHLIESSERDATEN'!CO166</f>
        <v>0</v>
      </c>
      <c r="Y174" s="74">
        <f>'IMPORT SCHLIESSERDATEN'!CQ166</f>
        <v>0</v>
      </c>
      <c r="Z174" s="74">
        <f>'IMPORT SCHLIESSERDATEN'!CV166</f>
        <v>0</v>
      </c>
      <c r="AA174" s="74">
        <f>'IMPORT SCHLIESSERDATEN'!CX166</f>
        <v>0</v>
      </c>
      <c r="AB174" s="74">
        <f>'IMPORT SCHLIESSERDATEN'!DC166</f>
        <v>0</v>
      </c>
      <c r="AC174" s="74">
        <f>'IMPORT SCHLIESSERDATEN'!DE166</f>
        <v>0</v>
      </c>
      <c r="AD174" s="74">
        <f>'IMPORT SCHLIESSERDATEN'!DJ166</f>
        <v>0</v>
      </c>
      <c r="AE174" s="74">
        <f>'IMPORT SCHLIESSERDATEN'!DL166</f>
        <v>0</v>
      </c>
      <c r="AF174" s="74">
        <f>'IMPORT SCHLIESSERDATEN'!DQ166</f>
        <v>0</v>
      </c>
      <c r="AG174" s="74">
        <f>IF('IMPORT SCHLIESSERDATEN'!DS166="V",9999,'IMPORT SCHLIESSERDATEN'!DS166)</f>
        <v>0</v>
      </c>
      <c r="AH174" s="74">
        <f>IF('IMPORT SCHLIESSERDATEN'!BZ166="V",9999,IF('IMPORT SCHLIESSERDATEN'!CD166="_",-1,'IMPORT SCHLIESSERDATEN'!BZ166))</f>
        <v>-1</v>
      </c>
      <c r="AI174" s="74">
        <f>IF('IMPORT SCHLIESSERDATEN'!CA166="V",9999,IF('IMPORT SCHLIESSERDATEN'!CD166="_",-1,'IMPORT SCHLIESSERDATEN'!CA166))</f>
        <v>-1</v>
      </c>
      <c r="AJ174" s="74">
        <f>IF('IMPORT SCHLIESSERDATEN'!CB166="V",9999,IF('IMPORT SCHLIESSERDATEN'!CD166="_",-1,'IMPORT SCHLIESSERDATEN'!CB166))</f>
        <v>-1</v>
      </c>
      <c r="AK174" s="74">
        <f>IF('IMPORT SCHLIESSERDATEN'!CC166="V",9999,IF('IMPORT SCHLIESSERDATEN'!CC166="_",-1,'IMPORT SCHLIESSERDATEN'!CC166))</f>
        <v>-1</v>
      </c>
      <c r="AL174" s="74">
        <f>IF('IMPORT SCHLIESSERDATEN'!CD166="_",-1,'IMPORT SCHLIESSERDATEN'!CD166)</f>
        <v>-1</v>
      </c>
      <c r="AM174" s="74">
        <f>'IMPORT SCHLIESSERDATEN'!CH166</f>
        <v>0</v>
      </c>
      <c r="AN174" s="74">
        <f>IF('IMPORT SCHLIESSERDATEN'!CE166="V",9999,'IMPORT SCHLIESSERDATEN'!CE166)</f>
        <v>42</v>
      </c>
      <c r="AO174" s="74">
        <f>IF('IMPORT SCHLIESSERDATEN'!CK166="_",-1,'IMPORT SCHLIESSERDATEN'!CK166)</f>
        <v>-1</v>
      </c>
      <c r="AP174" s="74">
        <f>IF('IMPORT SCHLIESSERDATEN'!$U166="",0,1)</f>
        <v>0</v>
      </c>
      <c r="AQ174" s="74">
        <f>IF('IMPORT SCHLIESSERDATEN'!$V166="",0,1)</f>
        <v>0</v>
      </c>
      <c r="AR174" s="74">
        <f>IF('IMPORT SCHLIESSERDATEN'!$W166="",0,1)</f>
        <v>0</v>
      </c>
      <c r="AS174" s="74">
        <f>IF('IMPORT SCHLIESSERDATEN'!$AA166="",0,1)</f>
        <v>0</v>
      </c>
      <c r="AT174" s="74">
        <f>IF('IMPORT SCHLIESSERDATEN'!$AD166="",0,1) + IF('IMPORT SCHLIESSERDATEN'!$AE166="",0,2)</f>
        <v>0</v>
      </c>
      <c r="AU174" s="74" t="str">
        <f>IF('IMPORT SCHLIESSERDATEN'!$X166="",IF('IMPORT SCHLIESSERDATEN'!$Y166="","","F"),"V")</f>
        <v/>
      </c>
      <c r="AV174" s="74" t="str">
        <f>IF('IMPORT SCHLIESSERDATEN'!$AB166&lt;&gt;"","M",IF('IMPORT SCHLIESSERDATEN'!$AD166&lt;&gt;"",IF(ISERR(SEARCH("UVIBIS",'IMPORT SCHLIESSERDATEN'!$B166)),"R","B"),IF(OR('IMPORT SCHLIESSERDATEN'!$AC166&lt;&gt;"",'IMPORT SCHLIESSERDATEN'!$AE166&lt;&gt;""),"E","")))</f>
        <v/>
      </c>
      <c r="AW174" s="82"/>
      <c r="AX174" s="67"/>
    </row>
    <row r="175" spans="1:50" x14ac:dyDescent="0.25">
      <c r="A175" s="67">
        <f>IFERROR(IF(C175&lt;&gt;"",MAX($A$2:$A174)+1,""),"")</f>
        <v>163</v>
      </c>
      <c r="B175" s="223">
        <f t="shared" si="3"/>
        <v>163</v>
      </c>
      <c r="C175" s="216" t="str">
        <f>'IMPORT SCHLIESSERDATEN'!$B167</f>
        <v>RTS 85 EN 5 Pendeltür</v>
      </c>
      <c r="D175" s="216" t="str">
        <f>IF('IMPORT SCHLIESSERDATEN'!$AF167&lt;&gt;"",IF(COUNTA('IMPORT SCHLIESSERDATEN'!$AN167:$AU167)&gt;0,"X","G"),IF('IMPORT SCHLIESSERDATEN'!$AG167&lt;&gt;"","S",IF('IMPORT SCHLIESSERDATEN'!$AH167&lt;&gt;"","I",IF('IMPORT SCHLIESSERDATEN'!$AI167&lt;&gt;"","B",IF('IMPORT SCHLIESSERDATEN'!$AJ167&lt;&gt;"","D","")))))</f>
        <v>I</v>
      </c>
      <c r="E175" s="248" t="str">
        <f>'IMPORT SCHLIESSERDATEN'!AK167 &amp; IF('IMPORT SCHLIESSERDATEN'!AL167="",""," "&amp; 'IMPORT SCHLIESSERDATEN'!AL167)</f>
        <v>85</v>
      </c>
      <c r="F175" s="74">
        <f>IFERROR(IF(D175="X",2^(MATCH("",'IMPORT SCHLIESSERDATEN'!$AN167:$AU167,-1)-1),IF(AV175="F",2^(MATCH("",'IMPORT SCHLIESSERDATEN'!$BH167:$BK167,-1)-1),2^(MATCH("",'IMPORT SCHLIESSERDATEN'!$AV167:$BG167,-1)-1))),0)</f>
        <v>0</v>
      </c>
      <c r="G175" s="74">
        <f>IF(AND('IMPORT SCHLIESSERDATEN'!$O167='IMPORT SCHLIESSERDATEN'!$R167,'IMPORT SCHLIESSERDATEN'!$O167&lt;&gt;"",'IMPORT SCHLIESSERDATEN'!$R167&lt;&gt;""),1,0)  +  IF(AND('IMPORT SCHLIESSERDATEN'!$P167='IMPORT SCHLIESSERDATEN'!$S167,'IMPORT SCHLIESSERDATEN'!$P167&lt;&gt;"",'IMPORT SCHLIESSERDATEN'!$S167&lt;&gt;""),2,0)   +  IF(AND('IMPORT SCHLIESSERDATEN'!$O167='IMPORT SCHLIESSERDATEN'!$S167,'IMPORT SCHLIESSERDATEN'!$O167&lt;&gt;"",'IMPORT SCHLIESSERDATEN'!$S167&lt;&gt;""),4,0)   +  IF(AND('IMPORT SCHLIESSERDATEN'!$P167='IMPORT SCHLIESSERDATEN'!$R167,'IMPORT SCHLIESSERDATEN'!$P167&lt;&gt;"",'IMPORT SCHLIESSERDATEN'!$R167&lt;&gt;""),8,0)   +  IF('IMPORT SCHLIESSERDATEN'!$Q167&lt;&gt;"",IF('IMPORT SCHLIESSERDATEN'!$R167&lt;&gt;"",32,0) + IF('IMPORT SCHLIESSERDATEN'!$S167&lt;&gt;"",64,0),0)  +  IF('IMPORT SCHLIESSERDATEN'!$T167&lt;&gt;"",IF('IMPORT SCHLIESSERDATEN'!$Q167&lt;&gt;"",128+256,128),0)</f>
        <v>0</v>
      </c>
      <c r="H175" s="74">
        <f>IF('IMPORT SCHLIESSERDATEN'!$H167="",0,1) + IF('IMPORT SCHLIESSERDATEN'!$I167="",0,2) + IF('IMPORT SCHLIESSERDATEN'!$J167="",0,4) + IF('IMPORT SCHLIESSERDATEN'!$K167="",0,8) + IF('IMPORT SCHLIESSERDATEN'!$L167="",0,16) + IF('IMPORT SCHLIESSERDATEN'!$M167="",0,32) + IF('IMPORT SCHLIESSERDATEN'!$N167="",0,64)</f>
        <v>16</v>
      </c>
      <c r="I175" s="74">
        <f>IF('IMPORT SCHLIESSERDATEN'!$D167="",0,1) + IF('IMPORT SCHLIESSERDATEN'!$E167="",0,2) + IF('IMPORT SCHLIESSERDATEN'!$E167="S",4,0)</f>
        <v>3</v>
      </c>
      <c r="J175" s="74">
        <f>IF(ISERR(FIND(" Gangfl.",'IMPORT SCHLIESSERDATEN'!$B167)),IF(ISERR(FIND(" Standfl.",'IMPORT SCHLIESSERDATEN'!$B167)),0,2),1)</f>
        <v>0</v>
      </c>
      <c r="K175" s="74">
        <f>'IMPORT SCHLIESSERDATEN'!CL167</f>
        <v>0</v>
      </c>
      <c r="L175" s="74">
        <f>'IMPORT SCHLIESSERDATEN'!CN167</f>
        <v>0</v>
      </c>
      <c r="M175" s="74">
        <f>IF('IMPORT SCHLIESSERDATEN'!CS167="wie TS",-1,'IMPORT SCHLIESSERDATEN'!CS167)</f>
        <v>0</v>
      </c>
      <c r="N175" s="74">
        <f>IF(M175&lt;0,-1,'IMPORT SCHLIESSERDATEN'!CU167)</f>
        <v>0</v>
      </c>
      <c r="O175" s="74">
        <f>IF('IMPORT SCHLIESSERDATEN'!CZ167="wie TS",-1,'IMPORT SCHLIESSERDATEN'!CZ167)</f>
        <v>0</v>
      </c>
      <c r="P175" s="74">
        <f>IF(O175&lt;0,-1,'IMPORT SCHLIESSERDATEN'!DB167)</f>
        <v>0</v>
      </c>
      <c r="Q175" s="74">
        <f>'IMPORT SCHLIESSERDATEN'!DG167</f>
        <v>0</v>
      </c>
      <c r="R175" s="74">
        <f>'IMPORT SCHLIESSERDATEN'!DI167</f>
        <v>0</v>
      </c>
      <c r="S175" s="74">
        <f>'IMPORT SCHLIESSERDATEN'!DN167</f>
        <v>0</v>
      </c>
      <c r="T175" s="74">
        <f>IF('IMPORT SCHLIESSERDATEN'!DP167="V",9999,'IMPORT SCHLIESSERDATEN'!DP167)</f>
        <v>0</v>
      </c>
      <c r="U175" s="74">
        <f>'IMPORT SCHLIESSERDATEN'!BW167</f>
        <v>329</v>
      </c>
      <c r="V175" s="74">
        <f>'IMPORT SCHLIESSERDATEN'!BX167</f>
        <v>84</v>
      </c>
      <c r="W175" s="74">
        <f>'IMPORT SCHLIESSERDATEN'!BY167</f>
        <v>39</v>
      </c>
      <c r="X175" s="74">
        <f>'IMPORT SCHLIESSERDATEN'!CO167</f>
        <v>0</v>
      </c>
      <c r="Y175" s="74">
        <f>'IMPORT SCHLIESSERDATEN'!CQ167</f>
        <v>0</v>
      </c>
      <c r="Z175" s="74">
        <f>'IMPORT SCHLIESSERDATEN'!CV167</f>
        <v>0</v>
      </c>
      <c r="AA175" s="74">
        <f>'IMPORT SCHLIESSERDATEN'!CX167</f>
        <v>0</v>
      </c>
      <c r="AB175" s="74">
        <f>'IMPORT SCHLIESSERDATEN'!DC167</f>
        <v>0</v>
      </c>
      <c r="AC175" s="74">
        <f>'IMPORT SCHLIESSERDATEN'!DE167</f>
        <v>0</v>
      </c>
      <c r="AD175" s="74">
        <f>'IMPORT SCHLIESSERDATEN'!DJ167</f>
        <v>0</v>
      </c>
      <c r="AE175" s="74">
        <f>'IMPORT SCHLIESSERDATEN'!DL167</f>
        <v>0</v>
      </c>
      <c r="AF175" s="74">
        <f>'IMPORT SCHLIESSERDATEN'!DQ167</f>
        <v>0</v>
      </c>
      <c r="AG175" s="74">
        <f>IF('IMPORT SCHLIESSERDATEN'!DS167="V",9999,'IMPORT SCHLIESSERDATEN'!DS167)</f>
        <v>0</v>
      </c>
      <c r="AH175" s="74">
        <f>IF('IMPORT SCHLIESSERDATEN'!BZ167="V",9999,IF('IMPORT SCHLIESSERDATEN'!CD167="_",-1,'IMPORT SCHLIESSERDATEN'!BZ167))</f>
        <v>-1</v>
      </c>
      <c r="AI175" s="74">
        <f>IF('IMPORT SCHLIESSERDATEN'!CA167="V",9999,IF('IMPORT SCHLIESSERDATEN'!CD167="_",-1,'IMPORT SCHLIESSERDATEN'!CA167))</f>
        <v>-1</v>
      </c>
      <c r="AJ175" s="74">
        <f>IF('IMPORT SCHLIESSERDATEN'!CB167="V",9999,IF('IMPORT SCHLIESSERDATEN'!CD167="_",-1,'IMPORT SCHLIESSERDATEN'!CB167))</f>
        <v>-1</v>
      </c>
      <c r="AK175" s="74">
        <f>IF('IMPORT SCHLIESSERDATEN'!CC167="V",9999,IF('IMPORT SCHLIESSERDATEN'!CC167="_",-1,'IMPORT SCHLIESSERDATEN'!CC167))</f>
        <v>-1</v>
      </c>
      <c r="AL175" s="74">
        <f>IF('IMPORT SCHLIESSERDATEN'!CD167="_",-1,'IMPORT SCHLIESSERDATEN'!CD167)</f>
        <v>-1</v>
      </c>
      <c r="AM175" s="74">
        <f>'IMPORT SCHLIESSERDATEN'!CH167</f>
        <v>0</v>
      </c>
      <c r="AN175" s="74">
        <f>IF('IMPORT SCHLIESSERDATEN'!CE167="V",9999,'IMPORT SCHLIESSERDATEN'!CE167)</f>
        <v>42</v>
      </c>
      <c r="AO175" s="74">
        <f>IF('IMPORT SCHLIESSERDATEN'!CK167="_",-1,'IMPORT SCHLIESSERDATEN'!CK167)</f>
        <v>-1</v>
      </c>
      <c r="AP175" s="74">
        <f>IF('IMPORT SCHLIESSERDATEN'!$U167="",0,1)</f>
        <v>0</v>
      </c>
      <c r="AQ175" s="74">
        <f>IF('IMPORT SCHLIESSERDATEN'!$V167="",0,1)</f>
        <v>0</v>
      </c>
      <c r="AR175" s="74">
        <f>IF('IMPORT SCHLIESSERDATEN'!$W167="",0,1)</f>
        <v>0</v>
      </c>
      <c r="AS175" s="74">
        <f>IF('IMPORT SCHLIESSERDATEN'!$AA167="",0,1)</f>
        <v>0</v>
      </c>
      <c r="AT175" s="74">
        <f>IF('IMPORT SCHLIESSERDATEN'!$AD167="",0,1) + IF('IMPORT SCHLIESSERDATEN'!$AE167="",0,2)</f>
        <v>0</v>
      </c>
      <c r="AU175" s="74" t="str">
        <f>IF('IMPORT SCHLIESSERDATEN'!$X167="",IF('IMPORT SCHLIESSERDATEN'!$Y167="","","F"),"V")</f>
        <v/>
      </c>
      <c r="AV175" s="74" t="str">
        <f>IF('IMPORT SCHLIESSERDATEN'!$AB167&lt;&gt;"","M",IF('IMPORT SCHLIESSERDATEN'!$AD167&lt;&gt;"",IF(ISERR(SEARCH("UVIBIS",'IMPORT SCHLIESSERDATEN'!$B167)),"R","B"),IF(OR('IMPORT SCHLIESSERDATEN'!$AC167&lt;&gt;"",'IMPORT SCHLIESSERDATEN'!$AE167&lt;&gt;""),"E","")))</f>
        <v/>
      </c>
      <c r="AW175" s="82"/>
      <c r="AX175" s="67"/>
    </row>
    <row r="176" spans="1:50" x14ac:dyDescent="0.25">
      <c r="A176" s="67">
        <f>IFERROR(IF(C176&lt;&gt;"",MAX($A$2:$A175)+1,""),"")</f>
        <v>164</v>
      </c>
      <c r="B176" s="223">
        <f t="shared" si="3"/>
        <v>164</v>
      </c>
      <c r="C176" s="216" t="str">
        <f>'IMPORT SCHLIESSERDATEN'!$B168</f>
        <v>ED100 G N</v>
      </c>
      <c r="D176" s="216" t="str">
        <f>IF('IMPORT SCHLIESSERDATEN'!$AF168&lt;&gt;"",IF(COUNTA('IMPORT SCHLIESSERDATEN'!$AN168:$AU168)&gt;0,"X","G"),IF('IMPORT SCHLIESSERDATEN'!$AG168&lt;&gt;"","S",IF('IMPORT SCHLIESSERDATEN'!$AH168&lt;&gt;"","I",IF('IMPORT SCHLIESSERDATEN'!$AI168&lt;&gt;"","B",IF('IMPORT SCHLIESSERDATEN'!$AJ168&lt;&gt;"","D","")))))</f>
        <v>D</v>
      </c>
      <c r="E176" s="248" t="str">
        <f>'IMPORT SCHLIESSERDATEN'!AK168 &amp; IF('IMPORT SCHLIESSERDATEN'!AL168="",""," "&amp; 'IMPORT SCHLIESSERDATEN'!AL168)</f>
        <v>100 1</v>
      </c>
      <c r="F176" s="74">
        <f>IFERROR(IF(D176="X",2^(MATCH("",'IMPORT SCHLIESSERDATEN'!$AN168:$AU168,-1)-1),IF(AV176="F",2^(MATCH("",'IMPORT SCHLIESSERDATEN'!$BH168:$BK168,-1)-1),2^(MATCH("",'IMPORT SCHLIESSERDATEN'!$AV168:$BG168,-1)-1))),0)</f>
        <v>0</v>
      </c>
      <c r="G176" s="74">
        <f>IF(AND('IMPORT SCHLIESSERDATEN'!$O168='IMPORT SCHLIESSERDATEN'!$R168,'IMPORT SCHLIESSERDATEN'!$O168&lt;&gt;"",'IMPORT SCHLIESSERDATEN'!$R168&lt;&gt;""),1,0)  +  IF(AND('IMPORT SCHLIESSERDATEN'!$P168='IMPORT SCHLIESSERDATEN'!$S168,'IMPORT SCHLIESSERDATEN'!$P168&lt;&gt;"",'IMPORT SCHLIESSERDATEN'!$S168&lt;&gt;""),2,0)   +  IF(AND('IMPORT SCHLIESSERDATEN'!$O168='IMPORT SCHLIESSERDATEN'!$S168,'IMPORT SCHLIESSERDATEN'!$O168&lt;&gt;"",'IMPORT SCHLIESSERDATEN'!$S168&lt;&gt;""),4,0)   +  IF(AND('IMPORT SCHLIESSERDATEN'!$P168='IMPORT SCHLIESSERDATEN'!$R168,'IMPORT SCHLIESSERDATEN'!$P168&lt;&gt;"",'IMPORT SCHLIESSERDATEN'!$R168&lt;&gt;""),8,0)   +  IF('IMPORT SCHLIESSERDATEN'!$Q168&lt;&gt;"",IF('IMPORT SCHLIESSERDATEN'!$R168&lt;&gt;"",32,0) + IF('IMPORT SCHLIESSERDATEN'!$S168&lt;&gt;"",64,0),0)  +  IF('IMPORT SCHLIESSERDATEN'!$T168&lt;&gt;"",IF('IMPORT SCHLIESSERDATEN'!$Q168&lt;&gt;"",128+256,128),0)</f>
        <v>6</v>
      </c>
      <c r="H176" s="74">
        <f>IF('IMPORT SCHLIESSERDATEN'!$H168="",0,1) + IF('IMPORT SCHLIESSERDATEN'!$I168="",0,2) + IF('IMPORT SCHLIESSERDATEN'!$J168="",0,4) + IF('IMPORT SCHLIESSERDATEN'!$K168="",0,8) + IF('IMPORT SCHLIESSERDATEN'!$L168="",0,16) + IF('IMPORT SCHLIESSERDATEN'!$M168="",0,32) + IF('IMPORT SCHLIESSERDATEN'!$N168="",0,64)</f>
        <v>14</v>
      </c>
      <c r="I176" s="74">
        <f>IF('IMPORT SCHLIESSERDATEN'!$D168="",0,1) + IF('IMPORT SCHLIESSERDATEN'!$E168="",0,2) + IF('IMPORT SCHLIESSERDATEN'!$E168="S",4,0)</f>
        <v>1</v>
      </c>
      <c r="J176" s="74">
        <f>IF(ISERR(FIND(" Gangfl.",'IMPORT SCHLIESSERDATEN'!$B168)),IF(ISERR(FIND(" Standfl.",'IMPORT SCHLIESSERDATEN'!$B168)),0,2),1)</f>
        <v>0</v>
      </c>
      <c r="K176" s="74">
        <f>'IMPORT SCHLIESSERDATEN'!CL168</f>
        <v>0</v>
      </c>
      <c r="L176" s="74">
        <f>'IMPORT SCHLIESSERDATEN'!CN168</f>
        <v>0</v>
      </c>
      <c r="M176" s="74">
        <f>IF('IMPORT SCHLIESSERDATEN'!CS168="wie TS",-1,'IMPORT SCHLIESSERDATEN'!CS168)</f>
        <v>15</v>
      </c>
      <c r="N176" s="74">
        <f>IF(M176&lt;0,-1,'IMPORT SCHLIESSERDATEN'!CU168)</f>
        <v>6</v>
      </c>
      <c r="O176" s="74">
        <f>IF('IMPORT SCHLIESSERDATEN'!CZ168="wie TS",-1,'IMPORT SCHLIESSERDATEN'!CZ168)</f>
        <v>15</v>
      </c>
      <c r="P176" s="74">
        <f>IF(O176&lt;0,-1,'IMPORT SCHLIESSERDATEN'!DB168)</f>
        <v>14</v>
      </c>
      <c r="Q176" s="74">
        <f>'IMPORT SCHLIESSERDATEN'!DG168</f>
        <v>0</v>
      </c>
      <c r="R176" s="74">
        <f>'IMPORT SCHLIESSERDATEN'!DI168</f>
        <v>0</v>
      </c>
      <c r="S176" s="74">
        <f>'IMPORT SCHLIESSERDATEN'!DN168</f>
        <v>0</v>
      </c>
      <c r="T176" s="74">
        <f>IF('IMPORT SCHLIESSERDATEN'!DP168="V",9999,'IMPORT SCHLIESSERDATEN'!DP168)</f>
        <v>0</v>
      </c>
      <c r="U176" s="74">
        <f>'IMPORT SCHLIESSERDATEN'!BW168</f>
        <v>685</v>
      </c>
      <c r="V176" s="74">
        <f>'IMPORT SCHLIESSERDATEN'!BX168</f>
        <v>130</v>
      </c>
      <c r="W176" s="74">
        <f>'IMPORT SCHLIESSERDATEN'!BY168</f>
        <v>70</v>
      </c>
      <c r="X176" s="74">
        <f>'IMPORT SCHLIESSERDATEN'!CO168</f>
        <v>0</v>
      </c>
      <c r="Y176" s="74">
        <f>'IMPORT SCHLIESSERDATEN'!CQ168</f>
        <v>0</v>
      </c>
      <c r="Z176" s="74">
        <f>'IMPORT SCHLIESSERDATEN'!CV168</f>
        <v>60</v>
      </c>
      <c r="AA176" s="74">
        <f>'IMPORT SCHLIESSERDATEN'!CX168</f>
        <v>20</v>
      </c>
      <c r="AB176" s="74">
        <f>'IMPORT SCHLIESSERDATEN'!DC168</f>
        <v>60</v>
      </c>
      <c r="AC176" s="74">
        <f>'IMPORT SCHLIESSERDATEN'!DE168</f>
        <v>26</v>
      </c>
      <c r="AD176" s="74">
        <f>'IMPORT SCHLIESSERDATEN'!DJ168</f>
        <v>0</v>
      </c>
      <c r="AE176" s="74">
        <f>'IMPORT SCHLIESSERDATEN'!DL168</f>
        <v>0</v>
      </c>
      <c r="AF176" s="74">
        <f>'IMPORT SCHLIESSERDATEN'!DQ168</f>
        <v>0</v>
      </c>
      <c r="AG176" s="74">
        <f>IF('IMPORT SCHLIESSERDATEN'!DS168="V",9999,'IMPORT SCHLIESSERDATEN'!DS168)</f>
        <v>0</v>
      </c>
      <c r="AH176" s="74">
        <f>IF('IMPORT SCHLIESSERDATEN'!BZ168="V",9999,IF('IMPORT SCHLIESSERDATEN'!CD168="_",-1,'IMPORT SCHLIESSERDATEN'!BZ168))</f>
        <v>640</v>
      </c>
      <c r="AI176" s="74">
        <f>IF('IMPORT SCHLIESSERDATEN'!CA168="V",9999,IF('IMPORT SCHLIESSERDATEN'!CD168="_",-1,'IMPORT SCHLIESSERDATEN'!CA168))</f>
        <v>23</v>
      </c>
      <c r="AJ176" s="74">
        <f>IF('IMPORT SCHLIESSERDATEN'!CB168="V",9999,IF('IMPORT SCHLIESSERDATEN'!CD168="_",-1,'IMPORT SCHLIESSERDATEN'!CB168))</f>
        <v>35</v>
      </c>
      <c r="AK176" s="74">
        <f>IF('IMPORT SCHLIESSERDATEN'!CC168="V",9999,IF('IMPORT SCHLIESSERDATEN'!CC168="_",-1,'IMPORT SCHLIESSERDATEN'!CC168))</f>
        <v>18</v>
      </c>
      <c r="AL176" s="74">
        <f>IF('IMPORT SCHLIESSERDATEN'!CD168="_",-1,'IMPORT SCHLIESSERDATEN'!CD168)</f>
        <v>400</v>
      </c>
      <c r="AM176" s="74">
        <f>'IMPORT SCHLIESSERDATEN'!CH168</f>
        <v>135</v>
      </c>
      <c r="AN176" s="74">
        <f>IF('IMPORT SCHLIESSERDATEN'!CE168="V",9999,'IMPORT SCHLIESSERDATEN'!CE168)</f>
        <v>61</v>
      </c>
      <c r="AO176" s="74">
        <f>IF('IMPORT SCHLIESSERDATEN'!CK168="_",-1,'IMPORT SCHLIESSERDATEN'!CK168)</f>
        <v>46</v>
      </c>
      <c r="AP176" s="74">
        <f>IF('IMPORT SCHLIESSERDATEN'!$U168="",0,1)</f>
        <v>1</v>
      </c>
      <c r="AQ176" s="74">
        <f>IF('IMPORT SCHLIESSERDATEN'!$V168="",0,1)</f>
        <v>1</v>
      </c>
      <c r="AR176" s="74">
        <f>IF('IMPORT SCHLIESSERDATEN'!$W168="",0,1)</f>
        <v>0</v>
      </c>
      <c r="AS176" s="74">
        <f>IF('IMPORT SCHLIESSERDATEN'!$AA168="",0,1)</f>
        <v>1</v>
      </c>
      <c r="AT176" s="74">
        <f>IF('IMPORT SCHLIESSERDATEN'!$AD168="",0,1) + IF('IMPORT SCHLIESSERDATEN'!$AE168="",0,2)</f>
        <v>2</v>
      </c>
      <c r="AU176" s="74" t="str">
        <f>IF('IMPORT SCHLIESSERDATEN'!$X168="",IF('IMPORT SCHLIESSERDATEN'!$Y168="","","F"),"V")</f>
        <v/>
      </c>
      <c r="AV176" s="74" t="str">
        <f>IF('IMPORT SCHLIESSERDATEN'!$AB168&lt;&gt;"","M",IF('IMPORT SCHLIESSERDATEN'!$AD168&lt;&gt;"",IF(ISERR(SEARCH("UVIBIS",'IMPORT SCHLIESSERDATEN'!$B168)),"R","B"),IF(OR('IMPORT SCHLIESSERDATEN'!$AC168&lt;&gt;"",'IMPORT SCHLIESSERDATEN'!$AE168&lt;&gt;""),"E","")))</f>
        <v>E</v>
      </c>
      <c r="AW176" s="82"/>
      <c r="AX176" s="67"/>
    </row>
    <row r="177" spans="1:50" x14ac:dyDescent="0.25">
      <c r="A177" s="67">
        <f>IFERROR(IF(C177&lt;&gt;"",MAX($A$2:$A176)+1,""),"")</f>
        <v>165</v>
      </c>
      <c r="B177" s="223">
        <f t="shared" si="3"/>
        <v>165</v>
      </c>
      <c r="C177" s="216" t="str">
        <f>'IMPORT SCHLIESSERDATEN'!$B169</f>
        <v>ED 100 GSR, (1 ED Gangfl. -1 TS am Standfl.)</v>
      </c>
      <c r="D177" s="216" t="str">
        <f>IF('IMPORT SCHLIESSERDATEN'!$AF169&lt;&gt;"",IF(COUNTA('IMPORT SCHLIESSERDATEN'!$AN169:$AU169)&gt;0,"X","G"),IF('IMPORT SCHLIESSERDATEN'!$AG169&lt;&gt;"","S",IF('IMPORT SCHLIESSERDATEN'!$AH169&lt;&gt;"","I",IF('IMPORT SCHLIESSERDATEN'!$AI169&lt;&gt;"","B",IF('IMPORT SCHLIESSERDATEN'!$AJ169&lt;&gt;"","D","")))))</f>
        <v>D</v>
      </c>
      <c r="E177" s="248" t="str">
        <f>'IMPORT SCHLIESSERDATEN'!AK169 &amp; IF('IMPORT SCHLIESSERDATEN'!AL169="",""," "&amp; 'IMPORT SCHLIESSERDATEN'!AL169)</f>
        <v>100 2</v>
      </c>
      <c r="F177" s="74">
        <f>IFERROR(IF(D177="X",2^(MATCH("",'IMPORT SCHLIESSERDATEN'!$AN169:$AU169,-1)-1),IF(AV177="F",2^(MATCH("",'IMPORT SCHLIESSERDATEN'!$BH169:$BK169,-1)-1),2^(MATCH("",'IMPORT SCHLIESSERDATEN'!$AV169:$BG169,-1)-1))),0)</f>
        <v>16</v>
      </c>
      <c r="G177" s="74">
        <f>IF(AND('IMPORT SCHLIESSERDATEN'!$O169='IMPORT SCHLIESSERDATEN'!$R169,'IMPORT SCHLIESSERDATEN'!$O169&lt;&gt;"",'IMPORT SCHLIESSERDATEN'!$R169&lt;&gt;""),1,0)  +  IF(AND('IMPORT SCHLIESSERDATEN'!$P169='IMPORT SCHLIESSERDATEN'!$S169,'IMPORT SCHLIESSERDATEN'!$P169&lt;&gt;"",'IMPORT SCHLIESSERDATEN'!$S169&lt;&gt;""),2,0)   +  IF(AND('IMPORT SCHLIESSERDATEN'!$O169='IMPORT SCHLIESSERDATEN'!$S169,'IMPORT SCHLIESSERDATEN'!$O169&lt;&gt;"",'IMPORT SCHLIESSERDATEN'!$S169&lt;&gt;""),4,0)   +  IF(AND('IMPORT SCHLIESSERDATEN'!$P169='IMPORT SCHLIESSERDATEN'!$R169,'IMPORT SCHLIESSERDATEN'!$P169&lt;&gt;"",'IMPORT SCHLIESSERDATEN'!$R169&lt;&gt;""),8,0)   +  IF('IMPORT SCHLIESSERDATEN'!$Q169&lt;&gt;"",IF('IMPORT SCHLIESSERDATEN'!$R169&lt;&gt;"",32,0) + IF('IMPORT SCHLIESSERDATEN'!$S169&lt;&gt;"",64,0),0)  +  IF('IMPORT SCHLIESSERDATEN'!$T169&lt;&gt;"",IF('IMPORT SCHLIESSERDATEN'!$Q169&lt;&gt;"",128+256,128),0)</f>
        <v>2</v>
      </c>
      <c r="H177" s="74">
        <f>IF('IMPORT SCHLIESSERDATEN'!$H169="",0,1) + IF('IMPORT SCHLIESSERDATEN'!$I169="",0,2) + IF('IMPORT SCHLIESSERDATEN'!$J169="",0,4) + IF('IMPORT SCHLIESSERDATEN'!$K169="",0,8) + IF('IMPORT SCHLIESSERDATEN'!$L169="",0,16) + IF('IMPORT SCHLIESSERDATEN'!$M169="",0,32) + IF('IMPORT SCHLIESSERDATEN'!$N169="",0,64)</f>
        <v>14</v>
      </c>
      <c r="I177" s="74">
        <f>IF('IMPORT SCHLIESSERDATEN'!$D169="",0,1) + IF('IMPORT SCHLIESSERDATEN'!$E169="",0,2) + IF('IMPORT SCHLIESSERDATEN'!$E169="S",4,0)</f>
        <v>2</v>
      </c>
      <c r="J177" s="74">
        <f>IF(ISERR(FIND(" Gangfl.",'IMPORT SCHLIESSERDATEN'!$B169)),IF(ISERR(FIND(" Standfl.",'IMPORT SCHLIESSERDATEN'!$B169)),0,2),1)</f>
        <v>1</v>
      </c>
      <c r="K177" s="74">
        <f>'IMPORT SCHLIESSERDATEN'!CL169</f>
        <v>0</v>
      </c>
      <c r="L177" s="74">
        <f>'IMPORT SCHLIESSERDATEN'!CN169</f>
        <v>0</v>
      </c>
      <c r="M177" s="74">
        <f>IF('IMPORT SCHLIESSERDATEN'!CS169="wie TS",-1,'IMPORT SCHLIESSERDATEN'!CS169)</f>
        <v>15</v>
      </c>
      <c r="N177" s="74">
        <f>IF(M177&lt;0,-1,'IMPORT SCHLIESSERDATEN'!CU169)</f>
        <v>6</v>
      </c>
      <c r="O177" s="74">
        <f>IF('IMPORT SCHLIESSERDATEN'!CZ169="wie TS",-1,'IMPORT SCHLIESSERDATEN'!CZ169)</f>
        <v>15</v>
      </c>
      <c r="P177" s="74">
        <f>IF(O177&lt;0,-1,'IMPORT SCHLIESSERDATEN'!DB169)</f>
        <v>14</v>
      </c>
      <c r="Q177" s="74">
        <f>'IMPORT SCHLIESSERDATEN'!DG169</f>
        <v>0</v>
      </c>
      <c r="R177" s="74">
        <f>'IMPORT SCHLIESSERDATEN'!DI169</f>
        <v>0</v>
      </c>
      <c r="S177" s="74">
        <f>'IMPORT SCHLIESSERDATEN'!DN169</f>
        <v>0</v>
      </c>
      <c r="T177" s="74">
        <f>IF('IMPORT SCHLIESSERDATEN'!DP169="V",9999,'IMPORT SCHLIESSERDATEN'!DP169)</f>
        <v>0</v>
      </c>
      <c r="U177" s="74">
        <f>'IMPORT SCHLIESSERDATEN'!BW169</f>
        <v>685</v>
      </c>
      <c r="V177" s="74">
        <f>'IMPORT SCHLIESSERDATEN'!BX169</f>
        <v>130</v>
      </c>
      <c r="W177" s="74">
        <f>'IMPORT SCHLIESSERDATEN'!BY169</f>
        <v>70</v>
      </c>
      <c r="X177" s="74">
        <f>'IMPORT SCHLIESSERDATEN'!CO169</f>
        <v>0</v>
      </c>
      <c r="Y177" s="74">
        <f>'IMPORT SCHLIESSERDATEN'!CQ169</f>
        <v>0</v>
      </c>
      <c r="Z177" s="74">
        <f>'IMPORT SCHLIESSERDATEN'!CV169</f>
        <v>60</v>
      </c>
      <c r="AA177" s="74">
        <f>'IMPORT SCHLIESSERDATEN'!CX169</f>
        <v>20</v>
      </c>
      <c r="AB177" s="74">
        <f>'IMPORT SCHLIESSERDATEN'!DC169</f>
        <v>60</v>
      </c>
      <c r="AC177" s="74">
        <f>'IMPORT SCHLIESSERDATEN'!DE169</f>
        <v>26</v>
      </c>
      <c r="AD177" s="74">
        <f>'IMPORT SCHLIESSERDATEN'!DJ169</f>
        <v>0</v>
      </c>
      <c r="AE177" s="74">
        <f>'IMPORT SCHLIESSERDATEN'!DL169</f>
        <v>0</v>
      </c>
      <c r="AF177" s="74">
        <f>'IMPORT SCHLIESSERDATEN'!DQ169</f>
        <v>0</v>
      </c>
      <c r="AG177" s="74">
        <f>IF('IMPORT SCHLIESSERDATEN'!DS169="V",9999,'IMPORT SCHLIESSERDATEN'!DS169)</f>
        <v>0</v>
      </c>
      <c r="AH177" s="74">
        <f>IF('IMPORT SCHLIESSERDATEN'!BZ169="V",9999,IF('IMPORT SCHLIESSERDATEN'!CD169="_",-1,'IMPORT SCHLIESSERDATEN'!BZ169))</f>
        <v>640</v>
      </c>
      <c r="AI177" s="74">
        <f>IF('IMPORT SCHLIESSERDATEN'!CA169="V",9999,IF('IMPORT SCHLIESSERDATEN'!CD169="_",-1,'IMPORT SCHLIESSERDATEN'!CA169))</f>
        <v>23</v>
      </c>
      <c r="AJ177" s="74">
        <f>IF('IMPORT SCHLIESSERDATEN'!CB169="V",9999,IF('IMPORT SCHLIESSERDATEN'!CD169="_",-1,'IMPORT SCHLIESSERDATEN'!CB169))</f>
        <v>35</v>
      </c>
      <c r="AK177" s="74">
        <f>IF('IMPORT SCHLIESSERDATEN'!CC169="V",9999,IF('IMPORT SCHLIESSERDATEN'!CC169="_",-1,'IMPORT SCHLIESSERDATEN'!CC169))</f>
        <v>18</v>
      </c>
      <c r="AL177" s="74">
        <f>IF('IMPORT SCHLIESSERDATEN'!CD169="_",-1,'IMPORT SCHLIESSERDATEN'!CD169)</f>
        <v>400</v>
      </c>
      <c r="AM177" s="74">
        <f>'IMPORT SCHLIESSERDATEN'!CH169</f>
        <v>135</v>
      </c>
      <c r="AN177" s="74">
        <f>IF('IMPORT SCHLIESSERDATEN'!CE169="V",9999,'IMPORT SCHLIESSERDATEN'!CE169)</f>
        <v>61</v>
      </c>
      <c r="AO177" s="74">
        <f>IF('IMPORT SCHLIESSERDATEN'!CK169="_",-1,'IMPORT SCHLIESSERDATEN'!CK169)</f>
        <v>46</v>
      </c>
      <c r="AP177" s="74">
        <f>IF('IMPORT SCHLIESSERDATEN'!$U169="",0,1)</f>
        <v>1</v>
      </c>
      <c r="AQ177" s="74">
        <f>IF('IMPORT SCHLIESSERDATEN'!$V169="",0,1)</f>
        <v>1</v>
      </c>
      <c r="AR177" s="74">
        <f>IF('IMPORT SCHLIESSERDATEN'!$W169="",0,1)</f>
        <v>1</v>
      </c>
      <c r="AS177" s="74">
        <f>IF('IMPORT SCHLIESSERDATEN'!$AA169="",0,1)</f>
        <v>1</v>
      </c>
      <c r="AT177" s="74">
        <f>IF('IMPORT SCHLIESSERDATEN'!$AD169="",0,1) + IF('IMPORT SCHLIESSERDATEN'!$AE169="",0,2)</f>
        <v>2</v>
      </c>
      <c r="AU177" s="74" t="str">
        <f>IF('IMPORT SCHLIESSERDATEN'!$X169="",IF('IMPORT SCHLIESSERDATEN'!$Y169="","","F"),"V")</f>
        <v/>
      </c>
      <c r="AV177" s="74" t="str">
        <f>IF('IMPORT SCHLIESSERDATEN'!$AB169&lt;&gt;"","M",IF('IMPORT SCHLIESSERDATEN'!$AD169&lt;&gt;"",IF(ISERR(SEARCH("UVIBIS",'IMPORT SCHLIESSERDATEN'!$B169)),"R","B"),IF(OR('IMPORT SCHLIESSERDATEN'!$AC169&lt;&gt;"",'IMPORT SCHLIESSERDATEN'!$AE169&lt;&gt;""),"E","")))</f>
        <v>E</v>
      </c>
      <c r="AW177" s="82"/>
      <c r="AX177" s="67"/>
    </row>
    <row r="178" spans="1:50" x14ac:dyDescent="0.25">
      <c r="A178" s="67">
        <f>IFERROR(IF(C178&lt;&gt;"",MAX($A$2:$A177)+1,""),"")</f>
        <v>166</v>
      </c>
      <c r="B178" s="223">
        <f t="shared" si="3"/>
        <v>166</v>
      </c>
      <c r="C178" s="216" t="str">
        <f>'IMPORT SCHLIESSERDATEN'!$B170</f>
        <v>ED 100 zweiflüglig, getrennt Gangfl.</v>
      </c>
      <c r="D178" s="216" t="str">
        <f>IF('IMPORT SCHLIESSERDATEN'!$AF170&lt;&gt;"",IF(COUNTA('IMPORT SCHLIESSERDATEN'!$AN170:$AU170)&gt;0,"X","G"),IF('IMPORT SCHLIESSERDATEN'!$AG170&lt;&gt;"","S",IF('IMPORT SCHLIESSERDATEN'!$AH170&lt;&gt;"","I",IF('IMPORT SCHLIESSERDATEN'!$AI170&lt;&gt;"","B",IF('IMPORT SCHLIESSERDATEN'!$AJ170&lt;&gt;"","D","")))))</f>
        <v>D</v>
      </c>
      <c r="E178" s="248" t="str">
        <f>'IMPORT SCHLIESSERDATEN'!AK170 &amp; IF('IMPORT SCHLIESSERDATEN'!AL170="",""," "&amp; 'IMPORT SCHLIESSERDATEN'!AL170)</f>
        <v>100 5</v>
      </c>
      <c r="F178" s="74">
        <f>IFERROR(IF(D178="X",2^(MATCH("",'IMPORT SCHLIESSERDATEN'!$AN170:$AU170,-1)-1),IF(AV178="F",2^(MATCH("",'IMPORT SCHLIESSERDATEN'!$BH170:$BK170,-1)-1),2^(MATCH("",'IMPORT SCHLIESSERDATEN'!$AV170:$BG170,-1)-1))),0)</f>
        <v>0</v>
      </c>
      <c r="G178" s="74">
        <f>IF(AND('IMPORT SCHLIESSERDATEN'!$O170='IMPORT SCHLIESSERDATEN'!$R170,'IMPORT SCHLIESSERDATEN'!$O170&lt;&gt;"",'IMPORT SCHLIESSERDATEN'!$R170&lt;&gt;""),1,0)  +  IF(AND('IMPORT SCHLIESSERDATEN'!$P170='IMPORT SCHLIESSERDATEN'!$S170,'IMPORT SCHLIESSERDATEN'!$P170&lt;&gt;"",'IMPORT SCHLIESSERDATEN'!$S170&lt;&gt;""),2,0)   +  IF(AND('IMPORT SCHLIESSERDATEN'!$O170='IMPORT SCHLIESSERDATEN'!$S170,'IMPORT SCHLIESSERDATEN'!$O170&lt;&gt;"",'IMPORT SCHLIESSERDATEN'!$S170&lt;&gt;""),4,0)   +  IF(AND('IMPORT SCHLIESSERDATEN'!$P170='IMPORT SCHLIESSERDATEN'!$R170,'IMPORT SCHLIESSERDATEN'!$P170&lt;&gt;"",'IMPORT SCHLIESSERDATEN'!$R170&lt;&gt;""),8,0)   +  IF('IMPORT SCHLIESSERDATEN'!$Q170&lt;&gt;"",IF('IMPORT SCHLIESSERDATEN'!$R170&lt;&gt;"",32,0) + IF('IMPORT SCHLIESSERDATEN'!$S170&lt;&gt;"",64,0),0)  +  IF('IMPORT SCHLIESSERDATEN'!$T170&lt;&gt;"",IF('IMPORT SCHLIESSERDATEN'!$Q170&lt;&gt;"",128+256,128),0)</f>
        <v>6</v>
      </c>
      <c r="H178" s="74">
        <f>IF('IMPORT SCHLIESSERDATEN'!$H170="",0,1) + IF('IMPORT SCHLIESSERDATEN'!$I170="",0,2) + IF('IMPORT SCHLIESSERDATEN'!$J170="",0,4) + IF('IMPORT SCHLIESSERDATEN'!$K170="",0,8) + IF('IMPORT SCHLIESSERDATEN'!$L170="",0,16) + IF('IMPORT SCHLIESSERDATEN'!$M170="",0,32) + IF('IMPORT SCHLIESSERDATEN'!$N170="",0,64)</f>
        <v>14</v>
      </c>
      <c r="I178" s="74">
        <f>IF('IMPORT SCHLIESSERDATEN'!$D170="",0,1) + IF('IMPORT SCHLIESSERDATEN'!$E170="",0,2) + IF('IMPORT SCHLIESSERDATEN'!$E170="S",4,0)</f>
        <v>2</v>
      </c>
      <c r="J178" s="74">
        <f>IF(ISERR(FIND(" Gangfl.",'IMPORT SCHLIESSERDATEN'!$B170)),IF(ISERR(FIND(" Standfl.",'IMPORT SCHLIESSERDATEN'!$B170)),0,2),1)</f>
        <v>1</v>
      </c>
      <c r="K178" s="74">
        <f>'IMPORT SCHLIESSERDATEN'!CL170</f>
        <v>0</v>
      </c>
      <c r="L178" s="74">
        <f>'IMPORT SCHLIESSERDATEN'!CN170</f>
        <v>0</v>
      </c>
      <c r="M178" s="74">
        <f>IF('IMPORT SCHLIESSERDATEN'!CS170="wie TS",-1,'IMPORT SCHLIESSERDATEN'!CS170)</f>
        <v>15</v>
      </c>
      <c r="N178" s="74">
        <f>IF(M178&lt;0,-1,'IMPORT SCHLIESSERDATEN'!CU170)</f>
        <v>6</v>
      </c>
      <c r="O178" s="74">
        <f>IF('IMPORT SCHLIESSERDATEN'!CZ170="wie TS",-1,'IMPORT SCHLIESSERDATEN'!CZ170)</f>
        <v>15</v>
      </c>
      <c r="P178" s="74">
        <f>IF(O178&lt;0,-1,'IMPORT SCHLIESSERDATEN'!DB170)</f>
        <v>14</v>
      </c>
      <c r="Q178" s="74">
        <f>'IMPORT SCHLIESSERDATEN'!DG170</f>
        <v>0</v>
      </c>
      <c r="R178" s="74">
        <f>'IMPORT SCHLIESSERDATEN'!DI170</f>
        <v>0</v>
      </c>
      <c r="S178" s="74">
        <f>'IMPORT SCHLIESSERDATEN'!DN170</f>
        <v>0</v>
      </c>
      <c r="T178" s="74">
        <f>IF('IMPORT SCHLIESSERDATEN'!DP170="V",9999,'IMPORT SCHLIESSERDATEN'!DP170)</f>
        <v>0</v>
      </c>
      <c r="U178" s="74">
        <f>'IMPORT SCHLIESSERDATEN'!BW170</f>
        <v>685</v>
      </c>
      <c r="V178" s="74">
        <f>'IMPORT SCHLIESSERDATEN'!BX170</f>
        <v>130</v>
      </c>
      <c r="W178" s="74">
        <f>'IMPORT SCHLIESSERDATEN'!BY170</f>
        <v>70</v>
      </c>
      <c r="X178" s="74">
        <f>'IMPORT SCHLIESSERDATEN'!CO170</f>
        <v>0</v>
      </c>
      <c r="Y178" s="74">
        <f>'IMPORT SCHLIESSERDATEN'!CQ170</f>
        <v>0</v>
      </c>
      <c r="Z178" s="74">
        <f>'IMPORT SCHLIESSERDATEN'!CV170</f>
        <v>60</v>
      </c>
      <c r="AA178" s="74">
        <f>'IMPORT SCHLIESSERDATEN'!CX170</f>
        <v>20</v>
      </c>
      <c r="AB178" s="74">
        <f>'IMPORT SCHLIESSERDATEN'!DC170</f>
        <v>60</v>
      </c>
      <c r="AC178" s="74">
        <f>'IMPORT SCHLIESSERDATEN'!DE170</f>
        <v>26</v>
      </c>
      <c r="AD178" s="74">
        <f>'IMPORT SCHLIESSERDATEN'!DJ170</f>
        <v>0</v>
      </c>
      <c r="AE178" s="74">
        <f>'IMPORT SCHLIESSERDATEN'!DL170</f>
        <v>0</v>
      </c>
      <c r="AF178" s="74">
        <f>'IMPORT SCHLIESSERDATEN'!DQ170</f>
        <v>0</v>
      </c>
      <c r="AG178" s="74">
        <f>IF('IMPORT SCHLIESSERDATEN'!DS170="V",9999,'IMPORT SCHLIESSERDATEN'!DS170)</f>
        <v>0</v>
      </c>
      <c r="AH178" s="74">
        <f>IF('IMPORT SCHLIESSERDATEN'!BZ170="V",9999,IF('IMPORT SCHLIESSERDATEN'!CD170="_",-1,'IMPORT SCHLIESSERDATEN'!BZ170))</f>
        <v>640</v>
      </c>
      <c r="AI178" s="74">
        <f>IF('IMPORT SCHLIESSERDATEN'!CA170="V",9999,IF('IMPORT SCHLIESSERDATEN'!CD170="_",-1,'IMPORT SCHLIESSERDATEN'!CA170))</f>
        <v>23</v>
      </c>
      <c r="AJ178" s="74">
        <f>IF('IMPORT SCHLIESSERDATEN'!CB170="V",9999,IF('IMPORT SCHLIESSERDATEN'!CD170="_",-1,'IMPORT SCHLIESSERDATEN'!CB170))</f>
        <v>35</v>
      </c>
      <c r="AK178" s="74">
        <f>IF('IMPORT SCHLIESSERDATEN'!CC170="V",9999,IF('IMPORT SCHLIESSERDATEN'!CC170="_",-1,'IMPORT SCHLIESSERDATEN'!CC170))</f>
        <v>18</v>
      </c>
      <c r="AL178" s="74">
        <f>IF('IMPORT SCHLIESSERDATEN'!CD170="_",-1,'IMPORT SCHLIESSERDATEN'!CD170)</f>
        <v>400</v>
      </c>
      <c r="AM178" s="74">
        <f>'IMPORT SCHLIESSERDATEN'!CH170</f>
        <v>135</v>
      </c>
      <c r="AN178" s="74">
        <f>IF('IMPORT SCHLIESSERDATEN'!CE170="V",9999,'IMPORT SCHLIESSERDATEN'!CE170)</f>
        <v>61</v>
      </c>
      <c r="AO178" s="74">
        <f>IF('IMPORT SCHLIESSERDATEN'!CK170="_",-1,'IMPORT SCHLIESSERDATEN'!CK170)</f>
        <v>46</v>
      </c>
      <c r="AP178" s="74">
        <f>IF('IMPORT SCHLIESSERDATEN'!$U170="",0,1)</f>
        <v>0</v>
      </c>
      <c r="AQ178" s="74">
        <f>IF('IMPORT SCHLIESSERDATEN'!$V170="",0,1)</f>
        <v>1</v>
      </c>
      <c r="AR178" s="74">
        <f>IF('IMPORT SCHLIESSERDATEN'!$W170="",0,1)</f>
        <v>1</v>
      </c>
      <c r="AS178" s="74">
        <f>IF('IMPORT SCHLIESSERDATEN'!$AA170="",0,1)</f>
        <v>1</v>
      </c>
      <c r="AT178" s="74">
        <f>IF('IMPORT SCHLIESSERDATEN'!$AD170="",0,1) + IF('IMPORT SCHLIESSERDATEN'!$AE170="",0,2)</f>
        <v>2</v>
      </c>
      <c r="AU178" s="74" t="str">
        <f>IF('IMPORT SCHLIESSERDATEN'!$X170="",IF('IMPORT SCHLIESSERDATEN'!$Y170="","","F"),"V")</f>
        <v/>
      </c>
      <c r="AV178" s="74" t="str">
        <f>IF('IMPORT SCHLIESSERDATEN'!$AB170&lt;&gt;"","M",IF('IMPORT SCHLIESSERDATEN'!$AD170&lt;&gt;"",IF(ISERR(SEARCH("UVIBIS",'IMPORT SCHLIESSERDATEN'!$B170)),"R","B"),IF(OR('IMPORT SCHLIESSERDATEN'!$AC170&lt;&gt;"",'IMPORT SCHLIESSERDATEN'!$AE170&lt;&gt;""),"E","")))</f>
        <v>E</v>
      </c>
      <c r="AW178" s="82"/>
      <c r="AX178" s="67"/>
    </row>
    <row r="179" spans="1:50" x14ac:dyDescent="0.25">
      <c r="A179" s="67">
        <f>IFERROR(IF(C179&lt;&gt;"",MAX($A$2:$A178)+1,""),"")</f>
        <v>167</v>
      </c>
      <c r="B179" s="223">
        <f t="shared" si="3"/>
        <v>167</v>
      </c>
      <c r="C179" s="216" t="str">
        <f>'IMPORT SCHLIESSERDATEN'!$B171</f>
        <v>ED 100 zweiflüglig, ESR Gangfl.</v>
      </c>
      <c r="D179" s="216" t="str">
        <f>IF('IMPORT SCHLIESSERDATEN'!$AF171&lt;&gt;"",IF(COUNTA('IMPORT SCHLIESSERDATEN'!$AN171:$AU171)&gt;0,"X","G"),IF('IMPORT SCHLIESSERDATEN'!$AG171&lt;&gt;"","S",IF('IMPORT SCHLIESSERDATEN'!$AH171&lt;&gt;"","I",IF('IMPORT SCHLIESSERDATEN'!$AI171&lt;&gt;"","B",IF('IMPORT SCHLIESSERDATEN'!$AJ171&lt;&gt;"","D","")))))</f>
        <v>D</v>
      </c>
      <c r="E179" s="248" t="str">
        <f>'IMPORT SCHLIESSERDATEN'!AK171 &amp; IF('IMPORT SCHLIESSERDATEN'!AL171="",""," "&amp; 'IMPORT SCHLIESSERDATEN'!AL171)</f>
        <v>100 3</v>
      </c>
      <c r="F179" s="74">
        <f>IFERROR(IF(D179="X",2^(MATCH("",'IMPORT SCHLIESSERDATEN'!$AN171:$AU171,-1)-1),IF(AV179="F",2^(MATCH("",'IMPORT SCHLIESSERDATEN'!$BH171:$BK171,-1)-1),2^(MATCH("",'IMPORT SCHLIESSERDATEN'!$AV171:$BG171,-1)-1))),0)</f>
        <v>0</v>
      </c>
      <c r="G179" s="74">
        <f>IF(AND('IMPORT SCHLIESSERDATEN'!$O171='IMPORT SCHLIESSERDATEN'!$R171,'IMPORT SCHLIESSERDATEN'!$O171&lt;&gt;"",'IMPORT SCHLIESSERDATEN'!$R171&lt;&gt;""),1,0)  +  IF(AND('IMPORT SCHLIESSERDATEN'!$P171='IMPORT SCHLIESSERDATEN'!$S171,'IMPORT SCHLIESSERDATEN'!$P171&lt;&gt;"",'IMPORT SCHLIESSERDATEN'!$S171&lt;&gt;""),2,0)   +  IF(AND('IMPORT SCHLIESSERDATEN'!$O171='IMPORT SCHLIESSERDATEN'!$S171,'IMPORT SCHLIESSERDATEN'!$O171&lt;&gt;"",'IMPORT SCHLIESSERDATEN'!$S171&lt;&gt;""),4,0)   +  IF(AND('IMPORT SCHLIESSERDATEN'!$P171='IMPORT SCHLIESSERDATEN'!$R171,'IMPORT SCHLIESSERDATEN'!$P171&lt;&gt;"",'IMPORT SCHLIESSERDATEN'!$R171&lt;&gt;""),8,0)   +  IF('IMPORT SCHLIESSERDATEN'!$Q171&lt;&gt;"",IF('IMPORT SCHLIESSERDATEN'!$R171&lt;&gt;"",32,0) + IF('IMPORT SCHLIESSERDATEN'!$S171&lt;&gt;"",64,0),0)  +  IF('IMPORT SCHLIESSERDATEN'!$T171&lt;&gt;"",IF('IMPORT SCHLIESSERDATEN'!$Q171&lt;&gt;"",128+256,128),0)</f>
        <v>6</v>
      </c>
      <c r="H179" s="74">
        <f>IF('IMPORT SCHLIESSERDATEN'!$H171="",0,1) + IF('IMPORT SCHLIESSERDATEN'!$I171="",0,2) + IF('IMPORT SCHLIESSERDATEN'!$J171="",0,4) + IF('IMPORT SCHLIESSERDATEN'!$K171="",0,8) + IF('IMPORT SCHLIESSERDATEN'!$L171="",0,16) + IF('IMPORT SCHLIESSERDATEN'!$M171="",0,32) + IF('IMPORT SCHLIESSERDATEN'!$N171="",0,64)</f>
        <v>14</v>
      </c>
      <c r="I179" s="74">
        <f>IF('IMPORT SCHLIESSERDATEN'!$D171="",0,1) + IF('IMPORT SCHLIESSERDATEN'!$E171="",0,2) + IF('IMPORT SCHLIESSERDATEN'!$E171="S",4,0)</f>
        <v>2</v>
      </c>
      <c r="J179" s="74">
        <f>IF(ISERR(FIND(" Gangfl.",'IMPORT SCHLIESSERDATEN'!$B171)),IF(ISERR(FIND(" Standfl.",'IMPORT SCHLIESSERDATEN'!$B171)),0,2),1)</f>
        <v>1</v>
      </c>
      <c r="K179" s="74">
        <f>'IMPORT SCHLIESSERDATEN'!CL171</f>
        <v>0</v>
      </c>
      <c r="L179" s="74">
        <f>'IMPORT SCHLIESSERDATEN'!CN171</f>
        <v>0</v>
      </c>
      <c r="M179" s="74">
        <f>IF('IMPORT SCHLIESSERDATEN'!CS171="wie TS",-1,'IMPORT SCHLIESSERDATEN'!CS171)</f>
        <v>15</v>
      </c>
      <c r="N179" s="74">
        <f>IF(M179&lt;0,-1,'IMPORT SCHLIESSERDATEN'!CU171)</f>
        <v>6</v>
      </c>
      <c r="O179" s="74">
        <f>IF('IMPORT SCHLIESSERDATEN'!CZ171="wie TS",-1,'IMPORT SCHLIESSERDATEN'!CZ171)</f>
        <v>15</v>
      </c>
      <c r="P179" s="74">
        <f>IF(O179&lt;0,-1,'IMPORT SCHLIESSERDATEN'!DB171)</f>
        <v>14</v>
      </c>
      <c r="Q179" s="74">
        <f>'IMPORT SCHLIESSERDATEN'!DG171</f>
        <v>0</v>
      </c>
      <c r="R179" s="74">
        <f>'IMPORT SCHLIESSERDATEN'!DI171</f>
        <v>0</v>
      </c>
      <c r="S179" s="74">
        <f>'IMPORT SCHLIESSERDATEN'!DN171</f>
        <v>0</v>
      </c>
      <c r="T179" s="74">
        <f>IF('IMPORT SCHLIESSERDATEN'!DP171="V",9999,'IMPORT SCHLIESSERDATEN'!DP171)</f>
        <v>0</v>
      </c>
      <c r="U179" s="74">
        <f>'IMPORT SCHLIESSERDATEN'!BW171</f>
        <v>685</v>
      </c>
      <c r="V179" s="74">
        <f>'IMPORT SCHLIESSERDATEN'!BX171</f>
        <v>130</v>
      </c>
      <c r="W179" s="74">
        <f>'IMPORT SCHLIESSERDATEN'!BY171</f>
        <v>70</v>
      </c>
      <c r="X179" s="74">
        <f>'IMPORT SCHLIESSERDATEN'!CO171</f>
        <v>0</v>
      </c>
      <c r="Y179" s="74">
        <f>'IMPORT SCHLIESSERDATEN'!CQ171</f>
        <v>0</v>
      </c>
      <c r="Z179" s="74">
        <f>'IMPORT SCHLIESSERDATEN'!CV171</f>
        <v>60</v>
      </c>
      <c r="AA179" s="74">
        <f>'IMPORT SCHLIESSERDATEN'!CX171</f>
        <v>20</v>
      </c>
      <c r="AB179" s="74">
        <f>'IMPORT SCHLIESSERDATEN'!DC171</f>
        <v>60</v>
      </c>
      <c r="AC179" s="74">
        <f>'IMPORT SCHLIESSERDATEN'!DE171</f>
        <v>26</v>
      </c>
      <c r="AD179" s="74">
        <f>'IMPORT SCHLIESSERDATEN'!DJ171</f>
        <v>0</v>
      </c>
      <c r="AE179" s="74">
        <f>'IMPORT SCHLIESSERDATEN'!DL171</f>
        <v>0</v>
      </c>
      <c r="AF179" s="74">
        <f>'IMPORT SCHLIESSERDATEN'!DQ171</f>
        <v>0</v>
      </c>
      <c r="AG179" s="74">
        <f>IF('IMPORT SCHLIESSERDATEN'!DS171="V",9999,'IMPORT SCHLIESSERDATEN'!DS171)</f>
        <v>0</v>
      </c>
      <c r="AH179" s="74">
        <f>IF('IMPORT SCHLIESSERDATEN'!BZ171="V",9999,IF('IMPORT SCHLIESSERDATEN'!CD171="_",-1,'IMPORT SCHLIESSERDATEN'!BZ171))</f>
        <v>640</v>
      </c>
      <c r="AI179" s="74">
        <f>IF('IMPORT SCHLIESSERDATEN'!CA171="V",9999,IF('IMPORT SCHLIESSERDATEN'!CD171="_",-1,'IMPORT SCHLIESSERDATEN'!CA171))</f>
        <v>23</v>
      </c>
      <c r="AJ179" s="74">
        <f>IF('IMPORT SCHLIESSERDATEN'!CB171="V",9999,IF('IMPORT SCHLIESSERDATEN'!CD171="_",-1,'IMPORT SCHLIESSERDATEN'!CB171))</f>
        <v>35</v>
      </c>
      <c r="AK179" s="74">
        <f>IF('IMPORT SCHLIESSERDATEN'!CC171="V",9999,IF('IMPORT SCHLIESSERDATEN'!CC171="_",-1,'IMPORT SCHLIESSERDATEN'!CC171))</f>
        <v>18</v>
      </c>
      <c r="AL179" s="74">
        <f>IF('IMPORT SCHLIESSERDATEN'!CD171="_",-1,'IMPORT SCHLIESSERDATEN'!CD171)</f>
        <v>400</v>
      </c>
      <c r="AM179" s="74">
        <f>'IMPORT SCHLIESSERDATEN'!CH171</f>
        <v>135</v>
      </c>
      <c r="AN179" s="74">
        <f>IF('IMPORT SCHLIESSERDATEN'!CE171="V",9999,'IMPORT SCHLIESSERDATEN'!CE171)</f>
        <v>61</v>
      </c>
      <c r="AO179" s="74">
        <f>IF('IMPORT SCHLIESSERDATEN'!CK171="_",-1,'IMPORT SCHLIESSERDATEN'!CK171)</f>
        <v>46</v>
      </c>
      <c r="AP179" s="74">
        <f>IF('IMPORT SCHLIESSERDATEN'!$U171="",0,1)</f>
        <v>1</v>
      </c>
      <c r="AQ179" s="74">
        <f>IF('IMPORT SCHLIESSERDATEN'!$V171="",0,1)</f>
        <v>1</v>
      </c>
      <c r="AR179" s="74">
        <f>IF('IMPORT SCHLIESSERDATEN'!$W171="",0,1)</f>
        <v>1</v>
      </c>
      <c r="AS179" s="74">
        <f>IF('IMPORT SCHLIESSERDATEN'!$AA171="",0,1)</f>
        <v>1</v>
      </c>
      <c r="AT179" s="74">
        <f>IF('IMPORT SCHLIESSERDATEN'!$AD171="",0,1) + IF('IMPORT SCHLIESSERDATEN'!$AE171="",0,2)</f>
        <v>2</v>
      </c>
      <c r="AU179" s="74" t="str">
        <f>IF('IMPORT SCHLIESSERDATEN'!$X171="",IF('IMPORT SCHLIESSERDATEN'!$Y171="","","F"),"V")</f>
        <v/>
      </c>
      <c r="AV179" s="74" t="str">
        <f>IF('IMPORT SCHLIESSERDATEN'!$AB171&lt;&gt;"","M",IF('IMPORT SCHLIESSERDATEN'!$AD171&lt;&gt;"",IF(ISERR(SEARCH("UVIBIS",'IMPORT SCHLIESSERDATEN'!$B171)),"R","B"),IF(OR('IMPORT SCHLIESSERDATEN'!$AC171&lt;&gt;"",'IMPORT SCHLIESSERDATEN'!$AE171&lt;&gt;""),"E","")))</f>
        <v>E</v>
      </c>
      <c r="AW179" s="82"/>
      <c r="AX179" s="67"/>
    </row>
    <row r="180" spans="1:50" x14ac:dyDescent="0.25">
      <c r="A180" s="67">
        <f>IFERROR(IF(C180&lt;&gt;"",MAX($A$2:$A179)+1,""),"")</f>
        <v>168</v>
      </c>
      <c r="B180" s="223">
        <f t="shared" si="3"/>
        <v>168</v>
      </c>
      <c r="C180" s="216" t="str">
        <f>'IMPORT SCHLIESSERDATEN'!$B172</f>
        <v>ED 100 mit Gleitschiene Standfl.</v>
      </c>
      <c r="D180" s="216" t="str">
        <f>IF('IMPORT SCHLIESSERDATEN'!$AF172&lt;&gt;"",IF(COUNTA('IMPORT SCHLIESSERDATEN'!$AN172:$AU172)&gt;0,"X","G"),IF('IMPORT SCHLIESSERDATEN'!$AG172&lt;&gt;"","S",IF('IMPORT SCHLIESSERDATEN'!$AH172&lt;&gt;"","I",IF('IMPORT SCHLIESSERDATEN'!$AI172&lt;&gt;"","B",IF('IMPORT SCHLIESSERDATEN'!$AJ172&lt;&gt;"","D","")))))</f>
        <v>D</v>
      </c>
      <c r="E180" s="248" t="str">
        <f>'IMPORT SCHLIESSERDATEN'!AK172 &amp; IF('IMPORT SCHLIESSERDATEN'!AL172="",""," "&amp; 'IMPORT SCHLIESSERDATEN'!AL172)</f>
        <v>100 4</v>
      </c>
      <c r="F180" s="74">
        <f>IFERROR(IF(D180="X",2^(MATCH("",'IMPORT SCHLIESSERDATEN'!$AN172:$AU172,-1)-1),IF(AV180="F",2^(MATCH("",'IMPORT SCHLIESSERDATEN'!$BH172:$BK172,-1)-1),2^(MATCH("",'IMPORT SCHLIESSERDATEN'!$AV172:$BG172,-1)-1))),0)</f>
        <v>0</v>
      </c>
      <c r="G180" s="74">
        <f>IF(AND('IMPORT SCHLIESSERDATEN'!$O172='IMPORT SCHLIESSERDATEN'!$R172,'IMPORT SCHLIESSERDATEN'!$O172&lt;&gt;"",'IMPORT SCHLIESSERDATEN'!$R172&lt;&gt;""),1,0)  +  IF(AND('IMPORT SCHLIESSERDATEN'!$P172='IMPORT SCHLIESSERDATEN'!$S172,'IMPORT SCHLIESSERDATEN'!$P172&lt;&gt;"",'IMPORT SCHLIESSERDATEN'!$S172&lt;&gt;""),2,0)   +  IF(AND('IMPORT SCHLIESSERDATEN'!$O172='IMPORT SCHLIESSERDATEN'!$S172,'IMPORT SCHLIESSERDATEN'!$O172&lt;&gt;"",'IMPORT SCHLIESSERDATEN'!$S172&lt;&gt;""),4,0)   +  IF(AND('IMPORT SCHLIESSERDATEN'!$P172='IMPORT SCHLIESSERDATEN'!$R172,'IMPORT SCHLIESSERDATEN'!$P172&lt;&gt;"",'IMPORT SCHLIESSERDATEN'!$R172&lt;&gt;""),8,0)   +  IF('IMPORT SCHLIESSERDATEN'!$Q172&lt;&gt;"",IF('IMPORT SCHLIESSERDATEN'!$R172&lt;&gt;"",32,0) + IF('IMPORT SCHLIESSERDATEN'!$S172&lt;&gt;"",64,0),0)  +  IF('IMPORT SCHLIESSERDATEN'!$T172&lt;&gt;"",IF('IMPORT SCHLIESSERDATEN'!$Q172&lt;&gt;"",128+256,128),0)</f>
        <v>6</v>
      </c>
      <c r="H180" s="74">
        <f>IF('IMPORT SCHLIESSERDATEN'!$H172="",0,1) + IF('IMPORT SCHLIESSERDATEN'!$I172="",0,2) + IF('IMPORT SCHLIESSERDATEN'!$J172="",0,4) + IF('IMPORT SCHLIESSERDATEN'!$K172="",0,8) + IF('IMPORT SCHLIESSERDATEN'!$L172="",0,16) + IF('IMPORT SCHLIESSERDATEN'!$M172="",0,32) + IF('IMPORT SCHLIESSERDATEN'!$N172="",0,64)</f>
        <v>14</v>
      </c>
      <c r="I180" s="74">
        <f>IF('IMPORT SCHLIESSERDATEN'!$D172="",0,1) + IF('IMPORT SCHLIESSERDATEN'!$E172="",0,2) + IF('IMPORT SCHLIESSERDATEN'!$E172="S",4,0)</f>
        <v>2</v>
      </c>
      <c r="J180" s="74">
        <f>IF(ISERR(FIND(" Gangfl.",'IMPORT SCHLIESSERDATEN'!$B172)),IF(ISERR(FIND(" Standfl.",'IMPORT SCHLIESSERDATEN'!$B172)),0,2),1)</f>
        <v>2</v>
      </c>
      <c r="K180" s="74">
        <f>'IMPORT SCHLIESSERDATEN'!CL172</f>
        <v>0</v>
      </c>
      <c r="L180" s="74">
        <f>'IMPORT SCHLIESSERDATEN'!CN172</f>
        <v>0</v>
      </c>
      <c r="M180" s="74">
        <f>IF('IMPORT SCHLIESSERDATEN'!CS172="wie TS",-1,'IMPORT SCHLIESSERDATEN'!CS172)</f>
        <v>15</v>
      </c>
      <c r="N180" s="74">
        <f>IF(M180&lt;0,-1,'IMPORT SCHLIESSERDATEN'!CU172)</f>
        <v>6</v>
      </c>
      <c r="O180" s="74">
        <f>IF('IMPORT SCHLIESSERDATEN'!CZ172="wie TS",-1,'IMPORT SCHLIESSERDATEN'!CZ172)</f>
        <v>15</v>
      </c>
      <c r="P180" s="74">
        <f>IF(O180&lt;0,-1,'IMPORT SCHLIESSERDATEN'!DB172)</f>
        <v>14</v>
      </c>
      <c r="Q180" s="74">
        <f>'IMPORT SCHLIESSERDATEN'!DG172</f>
        <v>0</v>
      </c>
      <c r="R180" s="74">
        <f>'IMPORT SCHLIESSERDATEN'!DI172</f>
        <v>0</v>
      </c>
      <c r="S180" s="74">
        <f>'IMPORT SCHLIESSERDATEN'!DN172</f>
        <v>0</v>
      </c>
      <c r="T180" s="74">
        <f>IF('IMPORT SCHLIESSERDATEN'!DP172="V",9999,'IMPORT SCHLIESSERDATEN'!DP172)</f>
        <v>0</v>
      </c>
      <c r="U180" s="74">
        <f>'IMPORT SCHLIESSERDATEN'!BW172</f>
        <v>685</v>
      </c>
      <c r="V180" s="74">
        <f>'IMPORT SCHLIESSERDATEN'!BX172</f>
        <v>130</v>
      </c>
      <c r="W180" s="74">
        <f>'IMPORT SCHLIESSERDATEN'!BY172</f>
        <v>70</v>
      </c>
      <c r="X180" s="74">
        <f>'IMPORT SCHLIESSERDATEN'!CO172</f>
        <v>0</v>
      </c>
      <c r="Y180" s="74">
        <f>'IMPORT SCHLIESSERDATEN'!CQ172</f>
        <v>0</v>
      </c>
      <c r="Z180" s="74">
        <f>'IMPORT SCHLIESSERDATEN'!CV172</f>
        <v>60</v>
      </c>
      <c r="AA180" s="74">
        <f>'IMPORT SCHLIESSERDATEN'!CX172</f>
        <v>20</v>
      </c>
      <c r="AB180" s="74">
        <f>'IMPORT SCHLIESSERDATEN'!DC172</f>
        <v>60</v>
      </c>
      <c r="AC180" s="74">
        <f>'IMPORT SCHLIESSERDATEN'!DE172</f>
        <v>26</v>
      </c>
      <c r="AD180" s="74">
        <f>'IMPORT SCHLIESSERDATEN'!DJ172</f>
        <v>0</v>
      </c>
      <c r="AE180" s="74">
        <f>'IMPORT SCHLIESSERDATEN'!DL172</f>
        <v>0</v>
      </c>
      <c r="AF180" s="74">
        <f>'IMPORT SCHLIESSERDATEN'!DQ172</f>
        <v>0</v>
      </c>
      <c r="AG180" s="74">
        <f>IF('IMPORT SCHLIESSERDATEN'!DS172="V",9999,'IMPORT SCHLIESSERDATEN'!DS172)</f>
        <v>0</v>
      </c>
      <c r="AH180" s="74">
        <f>IF('IMPORT SCHLIESSERDATEN'!BZ172="V",9999,IF('IMPORT SCHLIESSERDATEN'!CD172="_",-1,'IMPORT SCHLIESSERDATEN'!BZ172))</f>
        <v>640</v>
      </c>
      <c r="AI180" s="74">
        <f>IF('IMPORT SCHLIESSERDATEN'!CA172="V",9999,IF('IMPORT SCHLIESSERDATEN'!CD172="_",-1,'IMPORT SCHLIESSERDATEN'!CA172))</f>
        <v>23</v>
      </c>
      <c r="AJ180" s="74">
        <f>IF('IMPORT SCHLIESSERDATEN'!CB172="V",9999,IF('IMPORT SCHLIESSERDATEN'!CD172="_",-1,'IMPORT SCHLIESSERDATEN'!CB172))</f>
        <v>35</v>
      </c>
      <c r="AK180" s="74">
        <f>IF('IMPORT SCHLIESSERDATEN'!CC172="V",9999,IF('IMPORT SCHLIESSERDATEN'!CC172="_",-1,'IMPORT SCHLIESSERDATEN'!CC172))</f>
        <v>18</v>
      </c>
      <c r="AL180" s="74">
        <f>IF('IMPORT SCHLIESSERDATEN'!CD172="_",-1,'IMPORT SCHLIESSERDATEN'!CD172)</f>
        <v>400</v>
      </c>
      <c r="AM180" s="74">
        <f>'IMPORT SCHLIESSERDATEN'!CH172</f>
        <v>135</v>
      </c>
      <c r="AN180" s="74">
        <f>IF('IMPORT SCHLIESSERDATEN'!CE172="V",9999,'IMPORT SCHLIESSERDATEN'!CE172)</f>
        <v>61</v>
      </c>
      <c r="AO180" s="74">
        <f>IF('IMPORT SCHLIESSERDATEN'!CK172="_",-1,'IMPORT SCHLIESSERDATEN'!CK172)</f>
        <v>46</v>
      </c>
      <c r="AP180" s="74">
        <f>IF('IMPORT SCHLIESSERDATEN'!$U172="",0,1)</f>
        <v>1</v>
      </c>
      <c r="AQ180" s="74">
        <f>IF('IMPORT SCHLIESSERDATEN'!$V172="",0,1)</f>
        <v>1</v>
      </c>
      <c r="AR180" s="74">
        <f>IF('IMPORT SCHLIESSERDATEN'!$W172="",0,1)</f>
        <v>0</v>
      </c>
      <c r="AS180" s="74">
        <f>IF('IMPORT SCHLIESSERDATEN'!$AA172="",0,1)</f>
        <v>1</v>
      </c>
      <c r="AT180" s="74">
        <f>IF('IMPORT SCHLIESSERDATEN'!$AD172="",0,1) + IF('IMPORT SCHLIESSERDATEN'!$AE172="",0,2)</f>
        <v>2</v>
      </c>
      <c r="AU180" s="74" t="str">
        <f>IF('IMPORT SCHLIESSERDATEN'!$X172="",IF('IMPORT SCHLIESSERDATEN'!$Y172="","","F"),"V")</f>
        <v/>
      </c>
      <c r="AV180" s="74" t="str">
        <f>IF('IMPORT SCHLIESSERDATEN'!$AB172&lt;&gt;"","M",IF('IMPORT SCHLIESSERDATEN'!$AD172&lt;&gt;"",IF(ISERR(SEARCH("UVIBIS",'IMPORT SCHLIESSERDATEN'!$B172)),"R","B"),IF(OR('IMPORT SCHLIESSERDATEN'!$AC172&lt;&gt;"",'IMPORT SCHLIESSERDATEN'!$AE172&lt;&gt;""),"E","")))</f>
        <v>E</v>
      </c>
      <c r="AW180" s="82"/>
      <c r="AX180" s="67"/>
    </row>
    <row r="181" spans="1:50" x14ac:dyDescent="0.25">
      <c r="A181" s="67">
        <f>IFERROR(IF(C181&lt;&gt;"",MAX($A$2:$A180)+1,""),"")</f>
        <v>169</v>
      </c>
      <c r="B181" s="223">
        <f t="shared" si="3"/>
        <v>169</v>
      </c>
      <c r="C181" s="216" t="str">
        <f>'IMPORT SCHLIESSERDATEN'!$B173</f>
        <v>ED250 G N</v>
      </c>
      <c r="D181" s="216" t="str">
        <f>IF('IMPORT SCHLIESSERDATEN'!$AF173&lt;&gt;"",IF(COUNTA('IMPORT SCHLIESSERDATEN'!$AN173:$AU173)&gt;0,"X","G"),IF('IMPORT SCHLIESSERDATEN'!$AG173&lt;&gt;"","S",IF('IMPORT SCHLIESSERDATEN'!$AH173&lt;&gt;"","I",IF('IMPORT SCHLIESSERDATEN'!$AI173&lt;&gt;"","B",IF('IMPORT SCHLIESSERDATEN'!$AJ173&lt;&gt;"","D","")))))</f>
        <v>D</v>
      </c>
      <c r="E181" s="248" t="str">
        <f>'IMPORT SCHLIESSERDATEN'!AK173 &amp; IF('IMPORT SCHLIESSERDATEN'!AL173="",""," "&amp; 'IMPORT SCHLIESSERDATEN'!AL173)</f>
        <v>250 1</v>
      </c>
      <c r="F181" s="74">
        <f>IFERROR(IF(D181="X",2^(MATCH("",'IMPORT SCHLIESSERDATEN'!$AN173:$AU173,-1)-1),IF(AV181="F",2^(MATCH("",'IMPORT SCHLIESSERDATEN'!$BH173:$BK173,-1)-1),2^(MATCH("",'IMPORT SCHLIESSERDATEN'!$AV173:$BG173,-1)-1))),0)</f>
        <v>0</v>
      </c>
      <c r="G181" s="74">
        <f>IF(AND('IMPORT SCHLIESSERDATEN'!$O173='IMPORT SCHLIESSERDATEN'!$R173,'IMPORT SCHLIESSERDATEN'!$O173&lt;&gt;"",'IMPORT SCHLIESSERDATEN'!$R173&lt;&gt;""),1,0)  +  IF(AND('IMPORT SCHLIESSERDATEN'!$P173='IMPORT SCHLIESSERDATEN'!$S173,'IMPORT SCHLIESSERDATEN'!$P173&lt;&gt;"",'IMPORT SCHLIESSERDATEN'!$S173&lt;&gt;""),2,0)   +  IF(AND('IMPORT SCHLIESSERDATEN'!$O173='IMPORT SCHLIESSERDATEN'!$S173,'IMPORT SCHLIESSERDATEN'!$O173&lt;&gt;"",'IMPORT SCHLIESSERDATEN'!$S173&lt;&gt;""),4,0)   +  IF(AND('IMPORT SCHLIESSERDATEN'!$P173='IMPORT SCHLIESSERDATEN'!$R173,'IMPORT SCHLIESSERDATEN'!$P173&lt;&gt;"",'IMPORT SCHLIESSERDATEN'!$R173&lt;&gt;""),8,0)   +  IF('IMPORT SCHLIESSERDATEN'!$Q173&lt;&gt;"",IF('IMPORT SCHLIESSERDATEN'!$R173&lt;&gt;"",32,0) + IF('IMPORT SCHLIESSERDATEN'!$S173&lt;&gt;"",64,0),0)  +  IF('IMPORT SCHLIESSERDATEN'!$T173&lt;&gt;"",IF('IMPORT SCHLIESSERDATEN'!$Q173&lt;&gt;"",128+256,128),0)</f>
        <v>6</v>
      </c>
      <c r="H181" s="74">
        <f>IF('IMPORT SCHLIESSERDATEN'!$H173="",0,1) + IF('IMPORT SCHLIESSERDATEN'!$I173="",0,2) + IF('IMPORT SCHLIESSERDATEN'!$J173="",0,4) + IF('IMPORT SCHLIESSERDATEN'!$K173="",0,8) + IF('IMPORT SCHLIESSERDATEN'!$L173="",0,16) + IF('IMPORT SCHLIESSERDATEN'!$M173="",0,32) + IF('IMPORT SCHLIESSERDATEN'!$N173="",0,64)</f>
        <v>120</v>
      </c>
      <c r="I181" s="74">
        <f>IF('IMPORT SCHLIESSERDATEN'!$D173="",0,1) + IF('IMPORT SCHLIESSERDATEN'!$E173="",0,2) + IF('IMPORT SCHLIESSERDATEN'!$E173="S",4,0)</f>
        <v>1</v>
      </c>
      <c r="J181" s="74">
        <f>IF(ISERR(FIND(" Gangfl.",'IMPORT SCHLIESSERDATEN'!$B173)),IF(ISERR(FIND(" Standfl.",'IMPORT SCHLIESSERDATEN'!$B173)),0,2),1)</f>
        <v>0</v>
      </c>
      <c r="K181" s="74">
        <f>'IMPORT SCHLIESSERDATEN'!CL173</f>
        <v>0</v>
      </c>
      <c r="L181" s="74">
        <f>'IMPORT SCHLIESSERDATEN'!CN173</f>
        <v>0</v>
      </c>
      <c r="M181" s="74">
        <f>IF('IMPORT SCHLIESSERDATEN'!CS173="wie TS",-1,'IMPORT SCHLIESSERDATEN'!CS173)</f>
        <v>15</v>
      </c>
      <c r="N181" s="74">
        <f>IF(M181&lt;0,-1,'IMPORT SCHLIESSERDATEN'!CU173)</f>
        <v>6</v>
      </c>
      <c r="O181" s="74">
        <f>IF('IMPORT SCHLIESSERDATEN'!CZ173="wie TS",-1,'IMPORT SCHLIESSERDATEN'!CZ173)</f>
        <v>15</v>
      </c>
      <c r="P181" s="74">
        <f>IF(O181&lt;0,-1,'IMPORT SCHLIESSERDATEN'!DB173)</f>
        <v>14</v>
      </c>
      <c r="Q181" s="74">
        <f>'IMPORT SCHLIESSERDATEN'!DG173</f>
        <v>0</v>
      </c>
      <c r="R181" s="74">
        <f>'IMPORT SCHLIESSERDATEN'!DI173</f>
        <v>0</v>
      </c>
      <c r="S181" s="74">
        <f>'IMPORT SCHLIESSERDATEN'!DN173</f>
        <v>0</v>
      </c>
      <c r="T181" s="74">
        <f>IF('IMPORT SCHLIESSERDATEN'!DP173="V",9999,'IMPORT SCHLIESSERDATEN'!DP173)</f>
        <v>0</v>
      </c>
      <c r="U181" s="74">
        <f>'IMPORT SCHLIESSERDATEN'!BW173</f>
        <v>685</v>
      </c>
      <c r="V181" s="74">
        <f>'IMPORT SCHLIESSERDATEN'!BX173</f>
        <v>130</v>
      </c>
      <c r="W181" s="74">
        <f>'IMPORT SCHLIESSERDATEN'!BY173</f>
        <v>70</v>
      </c>
      <c r="X181" s="74">
        <f>'IMPORT SCHLIESSERDATEN'!CO173</f>
        <v>0</v>
      </c>
      <c r="Y181" s="74">
        <f>'IMPORT SCHLIESSERDATEN'!CQ173</f>
        <v>0</v>
      </c>
      <c r="Z181" s="74">
        <f>'IMPORT SCHLIESSERDATEN'!CV173</f>
        <v>60</v>
      </c>
      <c r="AA181" s="74">
        <f>'IMPORT SCHLIESSERDATEN'!CX173</f>
        <v>20</v>
      </c>
      <c r="AB181" s="74">
        <f>'IMPORT SCHLIESSERDATEN'!DC173</f>
        <v>60</v>
      </c>
      <c r="AC181" s="74">
        <f>'IMPORT SCHLIESSERDATEN'!DE173</f>
        <v>26</v>
      </c>
      <c r="AD181" s="74">
        <f>'IMPORT SCHLIESSERDATEN'!DJ173</f>
        <v>0</v>
      </c>
      <c r="AE181" s="74">
        <f>'IMPORT SCHLIESSERDATEN'!DL173</f>
        <v>0</v>
      </c>
      <c r="AF181" s="74">
        <f>'IMPORT SCHLIESSERDATEN'!DQ173</f>
        <v>0</v>
      </c>
      <c r="AG181" s="74">
        <f>IF('IMPORT SCHLIESSERDATEN'!DS173="V",9999,'IMPORT SCHLIESSERDATEN'!DS173)</f>
        <v>0</v>
      </c>
      <c r="AH181" s="74">
        <f>IF('IMPORT SCHLIESSERDATEN'!BZ173="V",9999,IF('IMPORT SCHLIESSERDATEN'!CD173="_",-1,'IMPORT SCHLIESSERDATEN'!BZ173))</f>
        <v>640</v>
      </c>
      <c r="AI181" s="74">
        <f>IF('IMPORT SCHLIESSERDATEN'!CA173="V",9999,IF('IMPORT SCHLIESSERDATEN'!CD173="_",-1,'IMPORT SCHLIESSERDATEN'!CA173))</f>
        <v>23</v>
      </c>
      <c r="AJ181" s="74">
        <f>IF('IMPORT SCHLIESSERDATEN'!CB173="V",9999,IF('IMPORT SCHLIESSERDATEN'!CD173="_",-1,'IMPORT SCHLIESSERDATEN'!CB173))</f>
        <v>35</v>
      </c>
      <c r="AK181" s="74">
        <f>IF('IMPORT SCHLIESSERDATEN'!CC173="V",9999,IF('IMPORT SCHLIESSERDATEN'!CC173="_",-1,'IMPORT SCHLIESSERDATEN'!CC173))</f>
        <v>18</v>
      </c>
      <c r="AL181" s="74">
        <f>IF('IMPORT SCHLIESSERDATEN'!CD173="_",-1,'IMPORT SCHLIESSERDATEN'!CD173)</f>
        <v>400</v>
      </c>
      <c r="AM181" s="74">
        <f>'IMPORT SCHLIESSERDATEN'!CH173</f>
        <v>135</v>
      </c>
      <c r="AN181" s="74">
        <f>IF('IMPORT SCHLIESSERDATEN'!CE173="V",9999,'IMPORT SCHLIESSERDATEN'!CE173)</f>
        <v>61</v>
      </c>
      <c r="AO181" s="74">
        <f>IF('IMPORT SCHLIESSERDATEN'!CK173="_",-1,'IMPORT SCHLIESSERDATEN'!CK173)</f>
        <v>46</v>
      </c>
      <c r="AP181" s="74">
        <f>IF('IMPORT SCHLIESSERDATEN'!$U173="",0,1)</f>
        <v>1</v>
      </c>
      <c r="AQ181" s="74">
        <f>IF('IMPORT SCHLIESSERDATEN'!$V173="",0,1)</f>
        <v>1</v>
      </c>
      <c r="AR181" s="74">
        <f>IF('IMPORT SCHLIESSERDATEN'!$W173="",0,1)</f>
        <v>0</v>
      </c>
      <c r="AS181" s="74">
        <f>IF('IMPORT SCHLIESSERDATEN'!$AA173="",0,1)</f>
        <v>1</v>
      </c>
      <c r="AT181" s="74">
        <f>IF('IMPORT SCHLIESSERDATEN'!$AD173="",0,1) + IF('IMPORT SCHLIESSERDATEN'!$AE173="",0,2)</f>
        <v>2</v>
      </c>
      <c r="AU181" s="74" t="str">
        <f>IF('IMPORT SCHLIESSERDATEN'!$X173="",IF('IMPORT SCHLIESSERDATEN'!$Y173="","","F"),"V")</f>
        <v/>
      </c>
      <c r="AV181" s="74" t="str">
        <f>IF('IMPORT SCHLIESSERDATEN'!$AB173&lt;&gt;"","M",IF('IMPORT SCHLIESSERDATEN'!$AD173&lt;&gt;"",IF(ISERR(SEARCH("UVIBIS",'IMPORT SCHLIESSERDATEN'!$B173)),"R","B"),IF(OR('IMPORT SCHLIESSERDATEN'!$AC173&lt;&gt;"",'IMPORT SCHLIESSERDATEN'!$AE173&lt;&gt;""),"E","")))</f>
        <v>E</v>
      </c>
      <c r="AW181" s="82"/>
      <c r="AX181" s="67"/>
    </row>
    <row r="182" spans="1:50" x14ac:dyDescent="0.25">
      <c r="A182" s="67">
        <f>IFERROR(IF(C182&lt;&gt;"",MAX($A$2:$A181)+1,""),"")</f>
        <v>170</v>
      </c>
      <c r="B182" s="223">
        <f t="shared" si="3"/>
        <v>170</v>
      </c>
      <c r="C182" s="216" t="str">
        <f>'IMPORT SCHLIESSERDATEN'!$B174</f>
        <v>ED 250 GSR, (1 ED Gangfl. -1 TS am Standfl.)</v>
      </c>
      <c r="D182" s="216" t="str">
        <f>IF('IMPORT SCHLIESSERDATEN'!$AF174&lt;&gt;"",IF(COUNTA('IMPORT SCHLIESSERDATEN'!$AN174:$AU174)&gt;0,"X","G"),IF('IMPORT SCHLIESSERDATEN'!$AG174&lt;&gt;"","S",IF('IMPORT SCHLIESSERDATEN'!$AH174&lt;&gt;"","I",IF('IMPORT SCHLIESSERDATEN'!$AI174&lt;&gt;"","B",IF('IMPORT SCHLIESSERDATEN'!$AJ174&lt;&gt;"","D","")))))</f>
        <v>D</v>
      </c>
      <c r="E182" s="248" t="str">
        <f>'IMPORT SCHLIESSERDATEN'!AK174 &amp; IF('IMPORT SCHLIESSERDATEN'!AL174="",""," "&amp; 'IMPORT SCHLIESSERDATEN'!AL174)</f>
        <v>250 2</v>
      </c>
      <c r="F182" s="74">
        <f>IFERROR(IF(D182="X",2^(MATCH("",'IMPORT SCHLIESSERDATEN'!$AN174:$AU174,-1)-1),IF(AV182="F",2^(MATCH("",'IMPORT SCHLIESSERDATEN'!$BH174:$BK174,-1)-1),2^(MATCH("",'IMPORT SCHLIESSERDATEN'!$AV174:$BG174,-1)-1))),0)</f>
        <v>16</v>
      </c>
      <c r="G182" s="74">
        <f>IF(AND('IMPORT SCHLIESSERDATEN'!$O174='IMPORT SCHLIESSERDATEN'!$R174,'IMPORT SCHLIESSERDATEN'!$O174&lt;&gt;"",'IMPORT SCHLIESSERDATEN'!$R174&lt;&gt;""),1,0)  +  IF(AND('IMPORT SCHLIESSERDATEN'!$P174='IMPORT SCHLIESSERDATEN'!$S174,'IMPORT SCHLIESSERDATEN'!$P174&lt;&gt;"",'IMPORT SCHLIESSERDATEN'!$S174&lt;&gt;""),2,0)   +  IF(AND('IMPORT SCHLIESSERDATEN'!$O174='IMPORT SCHLIESSERDATEN'!$S174,'IMPORT SCHLIESSERDATEN'!$O174&lt;&gt;"",'IMPORT SCHLIESSERDATEN'!$S174&lt;&gt;""),4,0)   +  IF(AND('IMPORT SCHLIESSERDATEN'!$P174='IMPORT SCHLIESSERDATEN'!$R174,'IMPORT SCHLIESSERDATEN'!$P174&lt;&gt;"",'IMPORT SCHLIESSERDATEN'!$R174&lt;&gt;""),8,0)   +  IF('IMPORT SCHLIESSERDATEN'!$Q174&lt;&gt;"",IF('IMPORT SCHLIESSERDATEN'!$R174&lt;&gt;"",32,0) + IF('IMPORT SCHLIESSERDATEN'!$S174&lt;&gt;"",64,0),0)  +  IF('IMPORT SCHLIESSERDATEN'!$T174&lt;&gt;"",IF('IMPORT SCHLIESSERDATEN'!$Q174&lt;&gt;"",128+256,128),0)</f>
        <v>2</v>
      </c>
      <c r="H182" s="74">
        <f>IF('IMPORT SCHLIESSERDATEN'!$H174="",0,1) + IF('IMPORT SCHLIESSERDATEN'!$I174="",0,2) + IF('IMPORT SCHLIESSERDATEN'!$J174="",0,4) + IF('IMPORT SCHLIESSERDATEN'!$K174="",0,8) + IF('IMPORT SCHLIESSERDATEN'!$L174="",0,16) + IF('IMPORT SCHLIESSERDATEN'!$M174="",0,32) + IF('IMPORT SCHLIESSERDATEN'!$N174="",0,64)</f>
        <v>120</v>
      </c>
      <c r="I182" s="74">
        <f>IF('IMPORT SCHLIESSERDATEN'!$D174="",0,1) + IF('IMPORT SCHLIESSERDATEN'!$E174="",0,2) + IF('IMPORT SCHLIESSERDATEN'!$E174="S",4,0)</f>
        <v>2</v>
      </c>
      <c r="J182" s="74">
        <f>IF(ISERR(FIND(" Gangfl.",'IMPORT SCHLIESSERDATEN'!$B174)),IF(ISERR(FIND(" Standfl.",'IMPORT SCHLIESSERDATEN'!$B174)),0,2),1)</f>
        <v>1</v>
      </c>
      <c r="K182" s="74">
        <f>'IMPORT SCHLIESSERDATEN'!CL174</f>
        <v>0</v>
      </c>
      <c r="L182" s="74">
        <f>'IMPORT SCHLIESSERDATEN'!CN174</f>
        <v>0</v>
      </c>
      <c r="M182" s="74">
        <f>IF('IMPORT SCHLIESSERDATEN'!CS174="wie TS",-1,'IMPORT SCHLIESSERDATEN'!CS174)</f>
        <v>15</v>
      </c>
      <c r="N182" s="74">
        <f>IF(M182&lt;0,-1,'IMPORT SCHLIESSERDATEN'!CU174)</f>
        <v>6</v>
      </c>
      <c r="O182" s="74">
        <f>IF('IMPORT SCHLIESSERDATEN'!CZ174="wie TS",-1,'IMPORT SCHLIESSERDATEN'!CZ174)</f>
        <v>15</v>
      </c>
      <c r="P182" s="74">
        <f>IF(O182&lt;0,-1,'IMPORT SCHLIESSERDATEN'!DB174)</f>
        <v>14</v>
      </c>
      <c r="Q182" s="74">
        <f>'IMPORT SCHLIESSERDATEN'!DG174</f>
        <v>0</v>
      </c>
      <c r="R182" s="74">
        <f>'IMPORT SCHLIESSERDATEN'!DI174</f>
        <v>0</v>
      </c>
      <c r="S182" s="74">
        <f>'IMPORT SCHLIESSERDATEN'!DN174</f>
        <v>0</v>
      </c>
      <c r="T182" s="74">
        <f>IF('IMPORT SCHLIESSERDATEN'!DP174="V",9999,'IMPORT SCHLIESSERDATEN'!DP174)</f>
        <v>0</v>
      </c>
      <c r="U182" s="74">
        <f>'IMPORT SCHLIESSERDATEN'!BW174</f>
        <v>685</v>
      </c>
      <c r="V182" s="74">
        <f>'IMPORT SCHLIESSERDATEN'!BX174</f>
        <v>130</v>
      </c>
      <c r="W182" s="74">
        <f>'IMPORT SCHLIESSERDATEN'!BY174</f>
        <v>70</v>
      </c>
      <c r="X182" s="74">
        <f>'IMPORT SCHLIESSERDATEN'!CO174</f>
        <v>0</v>
      </c>
      <c r="Y182" s="74">
        <f>'IMPORT SCHLIESSERDATEN'!CQ174</f>
        <v>0</v>
      </c>
      <c r="Z182" s="74">
        <f>'IMPORT SCHLIESSERDATEN'!CV174</f>
        <v>60</v>
      </c>
      <c r="AA182" s="74">
        <f>'IMPORT SCHLIESSERDATEN'!CX174</f>
        <v>20</v>
      </c>
      <c r="AB182" s="74">
        <f>'IMPORT SCHLIESSERDATEN'!DC174</f>
        <v>60</v>
      </c>
      <c r="AC182" s="74">
        <f>'IMPORT SCHLIESSERDATEN'!DE174</f>
        <v>26</v>
      </c>
      <c r="AD182" s="74">
        <f>'IMPORT SCHLIESSERDATEN'!DJ174</f>
        <v>0</v>
      </c>
      <c r="AE182" s="74">
        <f>'IMPORT SCHLIESSERDATEN'!DL174</f>
        <v>0</v>
      </c>
      <c r="AF182" s="74">
        <f>'IMPORT SCHLIESSERDATEN'!DQ174</f>
        <v>0</v>
      </c>
      <c r="AG182" s="74">
        <f>IF('IMPORT SCHLIESSERDATEN'!DS174="V",9999,'IMPORT SCHLIESSERDATEN'!DS174)</f>
        <v>0</v>
      </c>
      <c r="AH182" s="74">
        <f>IF('IMPORT SCHLIESSERDATEN'!BZ174="V",9999,IF('IMPORT SCHLIESSERDATEN'!CD174="_",-1,'IMPORT SCHLIESSERDATEN'!BZ174))</f>
        <v>640</v>
      </c>
      <c r="AI182" s="74">
        <f>IF('IMPORT SCHLIESSERDATEN'!CA174="V",9999,IF('IMPORT SCHLIESSERDATEN'!CD174="_",-1,'IMPORT SCHLIESSERDATEN'!CA174))</f>
        <v>23</v>
      </c>
      <c r="AJ182" s="74">
        <f>IF('IMPORT SCHLIESSERDATEN'!CB174="V",9999,IF('IMPORT SCHLIESSERDATEN'!CD174="_",-1,'IMPORT SCHLIESSERDATEN'!CB174))</f>
        <v>35</v>
      </c>
      <c r="AK182" s="74">
        <f>IF('IMPORT SCHLIESSERDATEN'!CC174="V",9999,IF('IMPORT SCHLIESSERDATEN'!CC174="_",-1,'IMPORT SCHLIESSERDATEN'!CC174))</f>
        <v>18</v>
      </c>
      <c r="AL182" s="74">
        <f>IF('IMPORT SCHLIESSERDATEN'!CD174="_",-1,'IMPORT SCHLIESSERDATEN'!CD174)</f>
        <v>400</v>
      </c>
      <c r="AM182" s="74">
        <f>'IMPORT SCHLIESSERDATEN'!CH174</f>
        <v>135</v>
      </c>
      <c r="AN182" s="74">
        <f>IF('IMPORT SCHLIESSERDATEN'!CE174="V",9999,'IMPORT SCHLIESSERDATEN'!CE174)</f>
        <v>61</v>
      </c>
      <c r="AO182" s="74">
        <f>IF('IMPORT SCHLIESSERDATEN'!CK174="_",-1,'IMPORT SCHLIESSERDATEN'!CK174)</f>
        <v>46</v>
      </c>
      <c r="AP182" s="74">
        <f>IF('IMPORT SCHLIESSERDATEN'!$U174="",0,1)</f>
        <v>1</v>
      </c>
      <c r="AQ182" s="74">
        <f>IF('IMPORT SCHLIESSERDATEN'!$V174="",0,1)</f>
        <v>1</v>
      </c>
      <c r="AR182" s="74">
        <f>IF('IMPORT SCHLIESSERDATEN'!$W174="",0,1)</f>
        <v>1</v>
      </c>
      <c r="AS182" s="74">
        <f>IF('IMPORT SCHLIESSERDATEN'!$AA174="",0,1)</f>
        <v>1</v>
      </c>
      <c r="AT182" s="74">
        <f>IF('IMPORT SCHLIESSERDATEN'!$AD174="",0,1) + IF('IMPORT SCHLIESSERDATEN'!$AE174="",0,2)</f>
        <v>2</v>
      </c>
      <c r="AU182" s="74" t="str">
        <f>IF('IMPORT SCHLIESSERDATEN'!$X174="",IF('IMPORT SCHLIESSERDATEN'!$Y174="","","F"),"V")</f>
        <v/>
      </c>
      <c r="AV182" s="74" t="str">
        <f>IF('IMPORT SCHLIESSERDATEN'!$AB174&lt;&gt;"","M",IF('IMPORT SCHLIESSERDATEN'!$AD174&lt;&gt;"",IF(ISERR(SEARCH("UVIBIS",'IMPORT SCHLIESSERDATEN'!$B174)),"R","B"),IF(OR('IMPORT SCHLIESSERDATEN'!$AC174&lt;&gt;"",'IMPORT SCHLIESSERDATEN'!$AE174&lt;&gt;""),"E","")))</f>
        <v>E</v>
      </c>
      <c r="AW182" s="82"/>
      <c r="AX182" s="67"/>
    </row>
    <row r="183" spans="1:50" x14ac:dyDescent="0.25">
      <c r="A183" s="67">
        <f>IFERROR(IF(C183&lt;&gt;"",MAX($A$2:$A182)+1,""),"")</f>
        <v>171</v>
      </c>
      <c r="B183" s="223">
        <f t="shared" si="3"/>
        <v>171</v>
      </c>
      <c r="C183" s="216" t="str">
        <f>'IMPORT SCHLIESSERDATEN'!$B175</f>
        <v>ED 250 zweiflüglig, getrennt Gangfl.</v>
      </c>
      <c r="D183" s="216" t="str">
        <f>IF('IMPORT SCHLIESSERDATEN'!$AF175&lt;&gt;"",IF(COUNTA('IMPORT SCHLIESSERDATEN'!$AN175:$AU175)&gt;0,"X","G"),IF('IMPORT SCHLIESSERDATEN'!$AG175&lt;&gt;"","S",IF('IMPORT SCHLIESSERDATEN'!$AH175&lt;&gt;"","I",IF('IMPORT SCHLIESSERDATEN'!$AI175&lt;&gt;"","B",IF('IMPORT SCHLIESSERDATEN'!$AJ175&lt;&gt;"","D","")))))</f>
        <v>D</v>
      </c>
      <c r="E183" s="248" t="str">
        <f>'IMPORT SCHLIESSERDATEN'!AK175 &amp; IF('IMPORT SCHLIESSERDATEN'!AL175="",""," "&amp; 'IMPORT SCHLIESSERDATEN'!AL175)</f>
        <v>250 5</v>
      </c>
      <c r="F183" s="74">
        <f>IFERROR(IF(D183="X",2^(MATCH("",'IMPORT SCHLIESSERDATEN'!$AN175:$AU175,-1)-1),IF(AV183="F",2^(MATCH("",'IMPORT SCHLIESSERDATEN'!$BH175:$BK175,-1)-1),2^(MATCH("",'IMPORT SCHLIESSERDATEN'!$AV175:$BG175,-1)-1))),0)</f>
        <v>0</v>
      </c>
      <c r="G183" s="74">
        <f>IF(AND('IMPORT SCHLIESSERDATEN'!$O175='IMPORT SCHLIESSERDATEN'!$R175,'IMPORT SCHLIESSERDATEN'!$O175&lt;&gt;"",'IMPORT SCHLIESSERDATEN'!$R175&lt;&gt;""),1,0)  +  IF(AND('IMPORT SCHLIESSERDATEN'!$P175='IMPORT SCHLIESSERDATEN'!$S175,'IMPORT SCHLIESSERDATEN'!$P175&lt;&gt;"",'IMPORT SCHLIESSERDATEN'!$S175&lt;&gt;""),2,0)   +  IF(AND('IMPORT SCHLIESSERDATEN'!$O175='IMPORT SCHLIESSERDATEN'!$S175,'IMPORT SCHLIESSERDATEN'!$O175&lt;&gt;"",'IMPORT SCHLIESSERDATEN'!$S175&lt;&gt;""),4,0)   +  IF(AND('IMPORT SCHLIESSERDATEN'!$P175='IMPORT SCHLIESSERDATEN'!$R175,'IMPORT SCHLIESSERDATEN'!$P175&lt;&gt;"",'IMPORT SCHLIESSERDATEN'!$R175&lt;&gt;""),8,0)   +  IF('IMPORT SCHLIESSERDATEN'!$Q175&lt;&gt;"",IF('IMPORT SCHLIESSERDATEN'!$R175&lt;&gt;"",32,0) + IF('IMPORT SCHLIESSERDATEN'!$S175&lt;&gt;"",64,0),0)  +  IF('IMPORT SCHLIESSERDATEN'!$T175&lt;&gt;"",IF('IMPORT SCHLIESSERDATEN'!$Q175&lt;&gt;"",128+256,128),0)</f>
        <v>6</v>
      </c>
      <c r="H183" s="74">
        <f>IF('IMPORT SCHLIESSERDATEN'!$H175="",0,1) + IF('IMPORT SCHLIESSERDATEN'!$I175="",0,2) + IF('IMPORT SCHLIESSERDATEN'!$J175="",0,4) + IF('IMPORT SCHLIESSERDATEN'!$K175="",0,8) + IF('IMPORT SCHLIESSERDATEN'!$L175="",0,16) + IF('IMPORT SCHLIESSERDATEN'!$M175="",0,32) + IF('IMPORT SCHLIESSERDATEN'!$N175="",0,64)</f>
        <v>120</v>
      </c>
      <c r="I183" s="74">
        <f>IF('IMPORT SCHLIESSERDATEN'!$D175="",0,1) + IF('IMPORT SCHLIESSERDATEN'!$E175="",0,2) + IF('IMPORT SCHLIESSERDATEN'!$E175="S",4,0)</f>
        <v>2</v>
      </c>
      <c r="J183" s="74">
        <f>IF(ISERR(FIND(" Gangfl.",'IMPORT SCHLIESSERDATEN'!$B175)),IF(ISERR(FIND(" Standfl.",'IMPORT SCHLIESSERDATEN'!$B175)),0,2),1)</f>
        <v>1</v>
      </c>
      <c r="K183" s="74">
        <f>'IMPORT SCHLIESSERDATEN'!CL175</f>
        <v>0</v>
      </c>
      <c r="L183" s="74">
        <f>'IMPORT SCHLIESSERDATEN'!CN175</f>
        <v>0</v>
      </c>
      <c r="M183" s="74">
        <f>IF('IMPORT SCHLIESSERDATEN'!CS175="wie TS",-1,'IMPORT SCHLIESSERDATEN'!CS175)</f>
        <v>15</v>
      </c>
      <c r="N183" s="74">
        <f>IF(M183&lt;0,-1,'IMPORT SCHLIESSERDATEN'!CU175)</f>
        <v>6</v>
      </c>
      <c r="O183" s="74">
        <f>IF('IMPORT SCHLIESSERDATEN'!CZ175="wie TS",-1,'IMPORT SCHLIESSERDATEN'!CZ175)</f>
        <v>15</v>
      </c>
      <c r="P183" s="74">
        <f>IF(O183&lt;0,-1,'IMPORT SCHLIESSERDATEN'!DB175)</f>
        <v>14</v>
      </c>
      <c r="Q183" s="74">
        <f>'IMPORT SCHLIESSERDATEN'!DG175</f>
        <v>0</v>
      </c>
      <c r="R183" s="74">
        <f>'IMPORT SCHLIESSERDATEN'!DI175</f>
        <v>0</v>
      </c>
      <c r="S183" s="74">
        <f>'IMPORT SCHLIESSERDATEN'!DN175</f>
        <v>0</v>
      </c>
      <c r="T183" s="74">
        <f>IF('IMPORT SCHLIESSERDATEN'!DP175="V",9999,'IMPORT SCHLIESSERDATEN'!DP175)</f>
        <v>0</v>
      </c>
      <c r="U183" s="74">
        <f>'IMPORT SCHLIESSERDATEN'!BW175</f>
        <v>685</v>
      </c>
      <c r="V183" s="74">
        <f>'IMPORT SCHLIESSERDATEN'!BX175</f>
        <v>130</v>
      </c>
      <c r="W183" s="74">
        <f>'IMPORT SCHLIESSERDATEN'!BY175</f>
        <v>70</v>
      </c>
      <c r="X183" s="74">
        <f>'IMPORT SCHLIESSERDATEN'!CO175</f>
        <v>0</v>
      </c>
      <c r="Y183" s="74">
        <f>'IMPORT SCHLIESSERDATEN'!CQ175</f>
        <v>0</v>
      </c>
      <c r="Z183" s="74">
        <f>'IMPORT SCHLIESSERDATEN'!CV175</f>
        <v>60</v>
      </c>
      <c r="AA183" s="74">
        <f>'IMPORT SCHLIESSERDATEN'!CX175</f>
        <v>20</v>
      </c>
      <c r="AB183" s="74">
        <f>'IMPORT SCHLIESSERDATEN'!DC175</f>
        <v>60</v>
      </c>
      <c r="AC183" s="74">
        <f>'IMPORT SCHLIESSERDATEN'!DE175</f>
        <v>26</v>
      </c>
      <c r="AD183" s="74">
        <f>'IMPORT SCHLIESSERDATEN'!DJ175</f>
        <v>0</v>
      </c>
      <c r="AE183" s="74">
        <f>'IMPORT SCHLIESSERDATEN'!DL175</f>
        <v>0</v>
      </c>
      <c r="AF183" s="74">
        <f>'IMPORT SCHLIESSERDATEN'!DQ175</f>
        <v>0</v>
      </c>
      <c r="AG183" s="74">
        <f>IF('IMPORT SCHLIESSERDATEN'!DS175="V",9999,'IMPORT SCHLIESSERDATEN'!DS175)</f>
        <v>0</v>
      </c>
      <c r="AH183" s="74">
        <f>IF('IMPORT SCHLIESSERDATEN'!BZ175="V",9999,IF('IMPORT SCHLIESSERDATEN'!CD175="_",-1,'IMPORT SCHLIESSERDATEN'!BZ175))</f>
        <v>640</v>
      </c>
      <c r="AI183" s="74">
        <f>IF('IMPORT SCHLIESSERDATEN'!CA175="V",9999,IF('IMPORT SCHLIESSERDATEN'!CD175="_",-1,'IMPORT SCHLIESSERDATEN'!CA175))</f>
        <v>23</v>
      </c>
      <c r="AJ183" s="74">
        <f>IF('IMPORT SCHLIESSERDATEN'!CB175="V",9999,IF('IMPORT SCHLIESSERDATEN'!CD175="_",-1,'IMPORT SCHLIESSERDATEN'!CB175))</f>
        <v>35</v>
      </c>
      <c r="AK183" s="74">
        <f>IF('IMPORT SCHLIESSERDATEN'!CC175="V",9999,IF('IMPORT SCHLIESSERDATEN'!CC175="_",-1,'IMPORT SCHLIESSERDATEN'!CC175))</f>
        <v>18</v>
      </c>
      <c r="AL183" s="74">
        <f>IF('IMPORT SCHLIESSERDATEN'!CD175="_",-1,'IMPORT SCHLIESSERDATEN'!CD175)</f>
        <v>400</v>
      </c>
      <c r="AM183" s="74">
        <f>'IMPORT SCHLIESSERDATEN'!CH175</f>
        <v>135</v>
      </c>
      <c r="AN183" s="74">
        <f>IF('IMPORT SCHLIESSERDATEN'!CE175="V",9999,'IMPORT SCHLIESSERDATEN'!CE175)</f>
        <v>61</v>
      </c>
      <c r="AO183" s="74">
        <f>IF('IMPORT SCHLIESSERDATEN'!CK175="_",-1,'IMPORT SCHLIESSERDATEN'!CK175)</f>
        <v>46</v>
      </c>
      <c r="AP183" s="74">
        <f>IF('IMPORT SCHLIESSERDATEN'!$U175="",0,1)</f>
        <v>0</v>
      </c>
      <c r="AQ183" s="74">
        <f>IF('IMPORT SCHLIESSERDATEN'!$V175="",0,1)</f>
        <v>1</v>
      </c>
      <c r="AR183" s="74">
        <f>IF('IMPORT SCHLIESSERDATEN'!$W175="",0,1)</f>
        <v>1</v>
      </c>
      <c r="AS183" s="74">
        <f>IF('IMPORT SCHLIESSERDATEN'!$AA175="",0,1)</f>
        <v>1</v>
      </c>
      <c r="AT183" s="74">
        <f>IF('IMPORT SCHLIESSERDATEN'!$AD175="",0,1) + IF('IMPORT SCHLIESSERDATEN'!$AE175="",0,2)</f>
        <v>2</v>
      </c>
      <c r="AU183" s="74" t="str">
        <f>IF('IMPORT SCHLIESSERDATEN'!$X175="",IF('IMPORT SCHLIESSERDATEN'!$Y175="","","F"),"V")</f>
        <v/>
      </c>
      <c r="AV183" s="74" t="str">
        <f>IF('IMPORT SCHLIESSERDATEN'!$AB175&lt;&gt;"","M",IF('IMPORT SCHLIESSERDATEN'!$AD175&lt;&gt;"",IF(ISERR(SEARCH("UVIBIS",'IMPORT SCHLIESSERDATEN'!$B175)),"R","B"),IF(OR('IMPORT SCHLIESSERDATEN'!$AC175&lt;&gt;"",'IMPORT SCHLIESSERDATEN'!$AE175&lt;&gt;""),"E","")))</f>
        <v>E</v>
      </c>
      <c r="AW183" s="82"/>
      <c r="AX183" s="67"/>
    </row>
    <row r="184" spans="1:50" x14ac:dyDescent="0.25">
      <c r="A184" s="67">
        <f>IFERROR(IF(C184&lt;&gt;"",MAX($A$2:$A183)+1,""),"")</f>
        <v>172</v>
      </c>
      <c r="B184" s="223">
        <f t="shared" si="3"/>
        <v>172</v>
      </c>
      <c r="C184" s="216" t="str">
        <f>'IMPORT SCHLIESSERDATEN'!$B176</f>
        <v>ED 250 zweiflüglig, ESR Gangfl.</v>
      </c>
      <c r="D184" s="216" t="str">
        <f>IF('IMPORT SCHLIESSERDATEN'!$AF176&lt;&gt;"",IF(COUNTA('IMPORT SCHLIESSERDATEN'!$AN176:$AU176)&gt;0,"X","G"),IF('IMPORT SCHLIESSERDATEN'!$AG176&lt;&gt;"","S",IF('IMPORT SCHLIESSERDATEN'!$AH176&lt;&gt;"","I",IF('IMPORT SCHLIESSERDATEN'!$AI176&lt;&gt;"","B",IF('IMPORT SCHLIESSERDATEN'!$AJ176&lt;&gt;"","D","")))))</f>
        <v>D</v>
      </c>
      <c r="E184" s="248" t="str">
        <f>'IMPORT SCHLIESSERDATEN'!AK176 &amp; IF('IMPORT SCHLIESSERDATEN'!AL176="",""," "&amp; 'IMPORT SCHLIESSERDATEN'!AL176)</f>
        <v>250 3</v>
      </c>
      <c r="F184" s="74">
        <f>IFERROR(IF(D184="X",2^(MATCH("",'IMPORT SCHLIESSERDATEN'!$AN176:$AU176,-1)-1),IF(AV184="F",2^(MATCH("",'IMPORT SCHLIESSERDATEN'!$BH176:$BK176,-1)-1),2^(MATCH("",'IMPORT SCHLIESSERDATEN'!$AV176:$BG176,-1)-1))),0)</f>
        <v>0</v>
      </c>
      <c r="G184" s="74">
        <f>IF(AND('IMPORT SCHLIESSERDATEN'!$O176='IMPORT SCHLIESSERDATEN'!$R176,'IMPORT SCHLIESSERDATEN'!$O176&lt;&gt;"",'IMPORT SCHLIESSERDATEN'!$R176&lt;&gt;""),1,0)  +  IF(AND('IMPORT SCHLIESSERDATEN'!$P176='IMPORT SCHLIESSERDATEN'!$S176,'IMPORT SCHLIESSERDATEN'!$P176&lt;&gt;"",'IMPORT SCHLIESSERDATEN'!$S176&lt;&gt;""),2,0)   +  IF(AND('IMPORT SCHLIESSERDATEN'!$O176='IMPORT SCHLIESSERDATEN'!$S176,'IMPORT SCHLIESSERDATEN'!$O176&lt;&gt;"",'IMPORT SCHLIESSERDATEN'!$S176&lt;&gt;""),4,0)   +  IF(AND('IMPORT SCHLIESSERDATEN'!$P176='IMPORT SCHLIESSERDATEN'!$R176,'IMPORT SCHLIESSERDATEN'!$P176&lt;&gt;"",'IMPORT SCHLIESSERDATEN'!$R176&lt;&gt;""),8,0)   +  IF('IMPORT SCHLIESSERDATEN'!$Q176&lt;&gt;"",IF('IMPORT SCHLIESSERDATEN'!$R176&lt;&gt;"",32,0) + IF('IMPORT SCHLIESSERDATEN'!$S176&lt;&gt;"",64,0),0)  +  IF('IMPORT SCHLIESSERDATEN'!$T176&lt;&gt;"",IF('IMPORT SCHLIESSERDATEN'!$Q176&lt;&gt;"",128+256,128),0)</f>
        <v>6</v>
      </c>
      <c r="H184" s="74">
        <f>IF('IMPORT SCHLIESSERDATEN'!$H176="",0,1) + IF('IMPORT SCHLIESSERDATEN'!$I176="",0,2) + IF('IMPORT SCHLIESSERDATEN'!$J176="",0,4) + IF('IMPORT SCHLIESSERDATEN'!$K176="",0,8) + IF('IMPORT SCHLIESSERDATEN'!$L176="",0,16) + IF('IMPORT SCHLIESSERDATEN'!$M176="",0,32) + IF('IMPORT SCHLIESSERDATEN'!$N176="",0,64)</f>
        <v>120</v>
      </c>
      <c r="I184" s="74">
        <f>IF('IMPORT SCHLIESSERDATEN'!$D176="",0,1) + IF('IMPORT SCHLIESSERDATEN'!$E176="",0,2) + IF('IMPORT SCHLIESSERDATEN'!$E176="S",4,0)</f>
        <v>2</v>
      </c>
      <c r="J184" s="74">
        <f>IF(ISERR(FIND(" Gangfl.",'IMPORT SCHLIESSERDATEN'!$B176)),IF(ISERR(FIND(" Standfl.",'IMPORT SCHLIESSERDATEN'!$B176)),0,2),1)</f>
        <v>1</v>
      </c>
      <c r="K184" s="74">
        <f>'IMPORT SCHLIESSERDATEN'!CL176</f>
        <v>0</v>
      </c>
      <c r="L184" s="74">
        <f>'IMPORT SCHLIESSERDATEN'!CN176</f>
        <v>0</v>
      </c>
      <c r="M184" s="74">
        <f>IF('IMPORT SCHLIESSERDATEN'!CS176="wie TS",-1,'IMPORT SCHLIESSERDATEN'!CS176)</f>
        <v>15</v>
      </c>
      <c r="N184" s="74">
        <f>IF(M184&lt;0,-1,'IMPORT SCHLIESSERDATEN'!CU176)</f>
        <v>6</v>
      </c>
      <c r="O184" s="74">
        <f>IF('IMPORT SCHLIESSERDATEN'!CZ176="wie TS",-1,'IMPORT SCHLIESSERDATEN'!CZ176)</f>
        <v>15</v>
      </c>
      <c r="P184" s="74">
        <f>IF(O184&lt;0,-1,'IMPORT SCHLIESSERDATEN'!DB176)</f>
        <v>14</v>
      </c>
      <c r="Q184" s="74">
        <f>'IMPORT SCHLIESSERDATEN'!DG176</f>
        <v>0</v>
      </c>
      <c r="R184" s="74">
        <f>'IMPORT SCHLIESSERDATEN'!DI176</f>
        <v>0</v>
      </c>
      <c r="S184" s="74">
        <f>'IMPORT SCHLIESSERDATEN'!DN176</f>
        <v>0</v>
      </c>
      <c r="T184" s="74">
        <f>IF('IMPORT SCHLIESSERDATEN'!DP176="V",9999,'IMPORT SCHLIESSERDATEN'!DP176)</f>
        <v>0</v>
      </c>
      <c r="U184" s="74">
        <f>'IMPORT SCHLIESSERDATEN'!BW176</f>
        <v>685</v>
      </c>
      <c r="V184" s="74">
        <f>'IMPORT SCHLIESSERDATEN'!BX176</f>
        <v>130</v>
      </c>
      <c r="W184" s="74">
        <f>'IMPORT SCHLIESSERDATEN'!BY176</f>
        <v>70</v>
      </c>
      <c r="X184" s="74">
        <f>'IMPORT SCHLIESSERDATEN'!CO176</f>
        <v>0</v>
      </c>
      <c r="Y184" s="74">
        <f>'IMPORT SCHLIESSERDATEN'!CQ176</f>
        <v>0</v>
      </c>
      <c r="Z184" s="74">
        <f>'IMPORT SCHLIESSERDATEN'!CV176</f>
        <v>60</v>
      </c>
      <c r="AA184" s="74">
        <f>'IMPORT SCHLIESSERDATEN'!CX176</f>
        <v>20</v>
      </c>
      <c r="AB184" s="74">
        <f>'IMPORT SCHLIESSERDATEN'!DC176</f>
        <v>60</v>
      </c>
      <c r="AC184" s="74">
        <f>'IMPORT SCHLIESSERDATEN'!DE176</f>
        <v>26</v>
      </c>
      <c r="AD184" s="74">
        <f>'IMPORT SCHLIESSERDATEN'!DJ176</f>
        <v>0</v>
      </c>
      <c r="AE184" s="74">
        <f>'IMPORT SCHLIESSERDATEN'!DL176</f>
        <v>0</v>
      </c>
      <c r="AF184" s="74">
        <f>'IMPORT SCHLIESSERDATEN'!DQ176</f>
        <v>0</v>
      </c>
      <c r="AG184" s="74">
        <f>IF('IMPORT SCHLIESSERDATEN'!DS176="V",9999,'IMPORT SCHLIESSERDATEN'!DS176)</f>
        <v>0</v>
      </c>
      <c r="AH184" s="74">
        <f>IF('IMPORT SCHLIESSERDATEN'!BZ176="V",9999,IF('IMPORT SCHLIESSERDATEN'!CD176="_",-1,'IMPORT SCHLIESSERDATEN'!BZ176))</f>
        <v>640</v>
      </c>
      <c r="AI184" s="74">
        <f>IF('IMPORT SCHLIESSERDATEN'!CA176="V",9999,IF('IMPORT SCHLIESSERDATEN'!CD176="_",-1,'IMPORT SCHLIESSERDATEN'!CA176))</f>
        <v>23</v>
      </c>
      <c r="AJ184" s="74">
        <f>IF('IMPORT SCHLIESSERDATEN'!CB176="V",9999,IF('IMPORT SCHLIESSERDATEN'!CD176="_",-1,'IMPORT SCHLIESSERDATEN'!CB176))</f>
        <v>35</v>
      </c>
      <c r="AK184" s="74">
        <f>IF('IMPORT SCHLIESSERDATEN'!CC176="V",9999,IF('IMPORT SCHLIESSERDATEN'!CC176="_",-1,'IMPORT SCHLIESSERDATEN'!CC176))</f>
        <v>18</v>
      </c>
      <c r="AL184" s="74">
        <f>IF('IMPORT SCHLIESSERDATEN'!CD176="_",-1,'IMPORT SCHLIESSERDATEN'!CD176)</f>
        <v>400</v>
      </c>
      <c r="AM184" s="74">
        <f>'IMPORT SCHLIESSERDATEN'!CH176</f>
        <v>135</v>
      </c>
      <c r="AN184" s="74">
        <f>IF('IMPORT SCHLIESSERDATEN'!CE176="V",9999,'IMPORT SCHLIESSERDATEN'!CE176)</f>
        <v>61</v>
      </c>
      <c r="AO184" s="74">
        <f>IF('IMPORT SCHLIESSERDATEN'!CK176="_",-1,'IMPORT SCHLIESSERDATEN'!CK176)</f>
        <v>46</v>
      </c>
      <c r="AP184" s="74">
        <f>IF('IMPORT SCHLIESSERDATEN'!$U176="",0,1)</f>
        <v>1</v>
      </c>
      <c r="AQ184" s="74">
        <f>IF('IMPORT SCHLIESSERDATEN'!$V176="",0,1)</f>
        <v>1</v>
      </c>
      <c r="AR184" s="74">
        <f>IF('IMPORT SCHLIESSERDATEN'!$W176="",0,1)</f>
        <v>1</v>
      </c>
      <c r="AS184" s="74">
        <f>IF('IMPORT SCHLIESSERDATEN'!$AA176="",0,1)</f>
        <v>1</v>
      </c>
      <c r="AT184" s="74">
        <f>IF('IMPORT SCHLIESSERDATEN'!$AD176="",0,1) + IF('IMPORT SCHLIESSERDATEN'!$AE176="",0,2)</f>
        <v>2</v>
      </c>
      <c r="AU184" s="74" t="str">
        <f>IF('IMPORT SCHLIESSERDATEN'!$X176="",IF('IMPORT SCHLIESSERDATEN'!$Y176="","","F"),"V")</f>
        <v/>
      </c>
      <c r="AV184" s="74" t="str">
        <f>IF('IMPORT SCHLIESSERDATEN'!$AB176&lt;&gt;"","M",IF('IMPORT SCHLIESSERDATEN'!$AD176&lt;&gt;"",IF(ISERR(SEARCH("UVIBIS",'IMPORT SCHLIESSERDATEN'!$B176)),"R","B"),IF(OR('IMPORT SCHLIESSERDATEN'!$AC176&lt;&gt;"",'IMPORT SCHLIESSERDATEN'!$AE176&lt;&gt;""),"E","")))</f>
        <v>E</v>
      </c>
      <c r="AW184" s="82"/>
      <c r="AX184" s="67"/>
    </row>
    <row r="185" spans="1:50" x14ac:dyDescent="0.25">
      <c r="A185" s="67">
        <f>IFERROR(IF(C185&lt;&gt;"",MAX($A$2:$A184)+1,""),"")</f>
        <v>173</v>
      </c>
      <c r="B185" s="223">
        <f t="shared" si="3"/>
        <v>173</v>
      </c>
      <c r="C185" s="216" t="str">
        <f>'IMPORT SCHLIESSERDATEN'!$B177</f>
        <v>ED 250 mit Gleitschiene Standfl.</v>
      </c>
      <c r="D185" s="216" t="str">
        <f>IF('IMPORT SCHLIESSERDATEN'!$AF177&lt;&gt;"",IF(COUNTA('IMPORT SCHLIESSERDATEN'!$AN177:$AU177)&gt;0,"X","G"),IF('IMPORT SCHLIESSERDATEN'!$AG177&lt;&gt;"","S",IF('IMPORT SCHLIESSERDATEN'!$AH177&lt;&gt;"","I",IF('IMPORT SCHLIESSERDATEN'!$AI177&lt;&gt;"","B",IF('IMPORT SCHLIESSERDATEN'!$AJ177&lt;&gt;"","D","")))))</f>
        <v>D</v>
      </c>
      <c r="E185" s="248" t="str">
        <f>'IMPORT SCHLIESSERDATEN'!AK177 &amp; IF('IMPORT SCHLIESSERDATEN'!AL177="",""," "&amp; 'IMPORT SCHLIESSERDATEN'!AL177)</f>
        <v>250 4</v>
      </c>
      <c r="F185" s="74">
        <f>IFERROR(IF(D185="X",2^(MATCH("",'IMPORT SCHLIESSERDATEN'!$AN177:$AU177,-1)-1),IF(AV185="F",2^(MATCH("",'IMPORT SCHLIESSERDATEN'!$BH177:$BK177,-1)-1),2^(MATCH("",'IMPORT SCHLIESSERDATEN'!$AV177:$BG177,-1)-1))),0)</f>
        <v>0</v>
      </c>
      <c r="G185" s="74">
        <f>IF(AND('IMPORT SCHLIESSERDATEN'!$O177='IMPORT SCHLIESSERDATEN'!$R177,'IMPORT SCHLIESSERDATEN'!$O177&lt;&gt;"",'IMPORT SCHLIESSERDATEN'!$R177&lt;&gt;""),1,0)  +  IF(AND('IMPORT SCHLIESSERDATEN'!$P177='IMPORT SCHLIESSERDATEN'!$S177,'IMPORT SCHLIESSERDATEN'!$P177&lt;&gt;"",'IMPORT SCHLIESSERDATEN'!$S177&lt;&gt;""),2,0)   +  IF(AND('IMPORT SCHLIESSERDATEN'!$O177='IMPORT SCHLIESSERDATEN'!$S177,'IMPORT SCHLIESSERDATEN'!$O177&lt;&gt;"",'IMPORT SCHLIESSERDATEN'!$S177&lt;&gt;""),4,0)   +  IF(AND('IMPORT SCHLIESSERDATEN'!$P177='IMPORT SCHLIESSERDATEN'!$R177,'IMPORT SCHLIESSERDATEN'!$P177&lt;&gt;"",'IMPORT SCHLIESSERDATEN'!$R177&lt;&gt;""),8,0)   +  IF('IMPORT SCHLIESSERDATEN'!$Q177&lt;&gt;"",IF('IMPORT SCHLIESSERDATEN'!$R177&lt;&gt;"",32,0) + IF('IMPORT SCHLIESSERDATEN'!$S177&lt;&gt;"",64,0),0)  +  IF('IMPORT SCHLIESSERDATEN'!$T177&lt;&gt;"",IF('IMPORT SCHLIESSERDATEN'!$Q177&lt;&gt;"",128+256,128),0)</f>
        <v>6</v>
      </c>
      <c r="H185" s="74">
        <f>IF('IMPORT SCHLIESSERDATEN'!$H177="",0,1) + IF('IMPORT SCHLIESSERDATEN'!$I177="",0,2) + IF('IMPORT SCHLIESSERDATEN'!$J177="",0,4) + IF('IMPORT SCHLIESSERDATEN'!$K177="",0,8) + IF('IMPORT SCHLIESSERDATEN'!$L177="",0,16) + IF('IMPORT SCHLIESSERDATEN'!$M177="",0,32) + IF('IMPORT SCHLIESSERDATEN'!$N177="",0,64)</f>
        <v>120</v>
      </c>
      <c r="I185" s="74">
        <f>IF('IMPORT SCHLIESSERDATEN'!$D177="",0,1) + IF('IMPORT SCHLIESSERDATEN'!$E177="",0,2) + IF('IMPORT SCHLIESSERDATEN'!$E177="S",4,0)</f>
        <v>2</v>
      </c>
      <c r="J185" s="74">
        <f>IF(ISERR(FIND(" Gangfl.",'IMPORT SCHLIESSERDATEN'!$B177)),IF(ISERR(FIND(" Standfl.",'IMPORT SCHLIESSERDATEN'!$B177)),0,2),1)</f>
        <v>2</v>
      </c>
      <c r="K185" s="74">
        <f>'IMPORT SCHLIESSERDATEN'!CL177</f>
        <v>0</v>
      </c>
      <c r="L185" s="74">
        <f>'IMPORT SCHLIESSERDATEN'!CN177</f>
        <v>0</v>
      </c>
      <c r="M185" s="74">
        <f>IF('IMPORT SCHLIESSERDATEN'!CS177="wie TS",-1,'IMPORT SCHLIESSERDATEN'!CS177)</f>
        <v>15</v>
      </c>
      <c r="N185" s="74">
        <f>IF(M185&lt;0,-1,'IMPORT SCHLIESSERDATEN'!CU177)</f>
        <v>6</v>
      </c>
      <c r="O185" s="74">
        <f>IF('IMPORT SCHLIESSERDATEN'!CZ177="wie TS",-1,'IMPORT SCHLIESSERDATEN'!CZ177)</f>
        <v>15</v>
      </c>
      <c r="P185" s="74">
        <f>IF(O185&lt;0,-1,'IMPORT SCHLIESSERDATEN'!DB177)</f>
        <v>14</v>
      </c>
      <c r="Q185" s="74">
        <f>'IMPORT SCHLIESSERDATEN'!DG177</f>
        <v>0</v>
      </c>
      <c r="R185" s="74">
        <f>'IMPORT SCHLIESSERDATEN'!DI177</f>
        <v>0</v>
      </c>
      <c r="S185" s="74">
        <f>'IMPORT SCHLIESSERDATEN'!DN177</f>
        <v>0</v>
      </c>
      <c r="T185" s="74">
        <f>IF('IMPORT SCHLIESSERDATEN'!DP177="V",9999,'IMPORT SCHLIESSERDATEN'!DP177)</f>
        <v>0</v>
      </c>
      <c r="U185" s="74">
        <f>'IMPORT SCHLIESSERDATEN'!BW177</f>
        <v>685</v>
      </c>
      <c r="V185" s="74">
        <f>'IMPORT SCHLIESSERDATEN'!BX177</f>
        <v>130</v>
      </c>
      <c r="W185" s="74">
        <f>'IMPORT SCHLIESSERDATEN'!BY177</f>
        <v>70</v>
      </c>
      <c r="X185" s="74">
        <f>'IMPORT SCHLIESSERDATEN'!CO177</f>
        <v>0</v>
      </c>
      <c r="Y185" s="74">
        <f>'IMPORT SCHLIESSERDATEN'!CQ177</f>
        <v>0</v>
      </c>
      <c r="Z185" s="74">
        <f>'IMPORT SCHLIESSERDATEN'!CV177</f>
        <v>60</v>
      </c>
      <c r="AA185" s="74">
        <f>'IMPORT SCHLIESSERDATEN'!CX177</f>
        <v>20</v>
      </c>
      <c r="AB185" s="74">
        <f>'IMPORT SCHLIESSERDATEN'!DC177</f>
        <v>60</v>
      </c>
      <c r="AC185" s="74">
        <f>'IMPORT SCHLIESSERDATEN'!DE177</f>
        <v>26</v>
      </c>
      <c r="AD185" s="74">
        <f>'IMPORT SCHLIESSERDATEN'!DJ177</f>
        <v>0</v>
      </c>
      <c r="AE185" s="74">
        <f>'IMPORT SCHLIESSERDATEN'!DL177</f>
        <v>0</v>
      </c>
      <c r="AF185" s="74">
        <f>'IMPORT SCHLIESSERDATEN'!DQ177</f>
        <v>0</v>
      </c>
      <c r="AG185" s="74">
        <f>IF('IMPORT SCHLIESSERDATEN'!DS177="V",9999,'IMPORT SCHLIESSERDATEN'!DS177)</f>
        <v>0</v>
      </c>
      <c r="AH185" s="74">
        <f>IF('IMPORT SCHLIESSERDATEN'!BZ177="V",9999,IF('IMPORT SCHLIESSERDATEN'!CD177="_",-1,'IMPORT SCHLIESSERDATEN'!BZ177))</f>
        <v>640</v>
      </c>
      <c r="AI185" s="74">
        <f>IF('IMPORT SCHLIESSERDATEN'!CA177="V",9999,IF('IMPORT SCHLIESSERDATEN'!CD177="_",-1,'IMPORT SCHLIESSERDATEN'!CA177))</f>
        <v>23</v>
      </c>
      <c r="AJ185" s="74">
        <f>IF('IMPORT SCHLIESSERDATEN'!CB177="V",9999,IF('IMPORT SCHLIESSERDATEN'!CD177="_",-1,'IMPORT SCHLIESSERDATEN'!CB177))</f>
        <v>35</v>
      </c>
      <c r="AK185" s="74">
        <f>IF('IMPORT SCHLIESSERDATEN'!CC177="V",9999,IF('IMPORT SCHLIESSERDATEN'!CC177="_",-1,'IMPORT SCHLIESSERDATEN'!CC177))</f>
        <v>18</v>
      </c>
      <c r="AL185" s="74">
        <f>IF('IMPORT SCHLIESSERDATEN'!CD177="_",-1,'IMPORT SCHLIESSERDATEN'!CD177)</f>
        <v>400</v>
      </c>
      <c r="AM185" s="74">
        <f>'IMPORT SCHLIESSERDATEN'!CH177</f>
        <v>135</v>
      </c>
      <c r="AN185" s="74">
        <f>IF('IMPORT SCHLIESSERDATEN'!CE177="V",9999,'IMPORT SCHLIESSERDATEN'!CE177)</f>
        <v>61</v>
      </c>
      <c r="AO185" s="74">
        <f>IF('IMPORT SCHLIESSERDATEN'!CK177="_",-1,'IMPORT SCHLIESSERDATEN'!CK177)</f>
        <v>46</v>
      </c>
      <c r="AP185" s="74">
        <f>IF('IMPORT SCHLIESSERDATEN'!$U177="",0,1)</f>
        <v>1</v>
      </c>
      <c r="AQ185" s="74">
        <f>IF('IMPORT SCHLIESSERDATEN'!$V177="",0,1)</f>
        <v>1</v>
      </c>
      <c r="AR185" s="74">
        <f>IF('IMPORT SCHLIESSERDATEN'!$W177="",0,1)</f>
        <v>0</v>
      </c>
      <c r="AS185" s="74">
        <f>IF('IMPORT SCHLIESSERDATEN'!$AA177="",0,1)</f>
        <v>1</v>
      </c>
      <c r="AT185" s="74">
        <f>IF('IMPORT SCHLIESSERDATEN'!$AD177="",0,1) + IF('IMPORT SCHLIESSERDATEN'!$AE177="",0,2)</f>
        <v>2</v>
      </c>
      <c r="AU185" s="74" t="str">
        <f>IF('IMPORT SCHLIESSERDATEN'!$X177="",IF('IMPORT SCHLIESSERDATEN'!$Y177="","","F"),"V")</f>
        <v/>
      </c>
      <c r="AV185" s="74" t="str">
        <f>IF('IMPORT SCHLIESSERDATEN'!$AB177&lt;&gt;"","M",IF('IMPORT SCHLIESSERDATEN'!$AD177&lt;&gt;"",IF(ISERR(SEARCH("UVIBIS",'IMPORT SCHLIESSERDATEN'!$B177)),"R","B"),IF(OR('IMPORT SCHLIESSERDATEN'!$AC177&lt;&gt;"",'IMPORT SCHLIESSERDATEN'!$AE177&lt;&gt;""),"E","")))</f>
        <v>E</v>
      </c>
      <c r="AW185" s="82"/>
      <c r="AX185" s="67"/>
    </row>
    <row r="186" spans="1:50" x14ac:dyDescent="0.25">
      <c r="A186" s="67">
        <f>IFERROR(IF(C186&lt;&gt;"",MAX($A$2:$A185)+1,""),"")</f>
        <v>174</v>
      </c>
      <c r="B186" s="223">
        <f t="shared" si="3"/>
        <v>174</v>
      </c>
      <c r="C186" s="216" t="str">
        <f>'IMPORT SCHLIESSERDATEN'!$B178</f>
        <v>ED100 GST N</v>
      </c>
      <c r="D186" s="216" t="str">
        <f>IF('IMPORT SCHLIESSERDATEN'!$AF178&lt;&gt;"",IF(COUNTA('IMPORT SCHLIESSERDATEN'!$AN178:$AU178)&gt;0,"X","G"),IF('IMPORT SCHLIESSERDATEN'!$AG178&lt;&gt;"","S",IF('IMPORT SCHLIESSERDATEN'!$AH178&lt;&gt;"","I",IF('IMPORT SCHLIESSERDATEN'!$AI178&lt;&gt;"","B",IF('IMPORT SCHLIESSERDATEN'!$AJ178&lt;&gt;"","D","")))))</f>
        <v>D</v>
      </c>
      <c r="E186" s="248" t="str">
        <f>'IMPORT SCHLIESSERDATEN'!AK178 &amp; IF('IMPORT SCHLIESSERDATEN'!AL178="",""," "&amp; 'IMPORT SCHLIESSERDATEN'!AL178)</f>
        <v>100 1</v>
      </c>
      <c r="F186" s="74">
        <f>IFERROR(IF(D186="X",2^(MATCH("",'IMPORT SCHLIESSERDATEN'!$AN178:$AU178,-1)-1),IF(AV186="F",2^(MATCH("",'IMPORT SCHLIESSERDATEN'!$BH178:$BK178,-1)-1),2^(MATCH("",'IMPORT SCHLIESSERDATEN'!$AV178:$BG178,-1)-1))),0)</f>
        <v>0</v>
      </c>
      <c r="G186" s="74">
        <f>IF(AND('IMPORT SCHLIESSERDATEN'!$O178='IMPORT SCHLIESSERDATEN'!$R178,'IMPORT SCHLIESSERDATEN'!$O178&lt;&gt;"",'IMPORT SCHLIESSERDATEN'!$R178&lt;&gt;""),1,0)  +  IF(AND('IMPORT SCHLIESSERDATEN'!$P178='IMPORT SCHLIESSERDATEN'!$S178,'IMPORT SCHLIESSERDATEN'!$P178&lt;&gt;"",'IMPORT SCHLIESSERDATEN'!$S178&lt;&gt;""),2,0)   +  IF(AND('IMPORT SCHLIESSERDATEN'!$O178='IMPORT SCHLIESSERDATEN'!$S178,'IMPORT SCHLIESSERDATEN'!$O178&lt;&gt;"",'IMPORT SCHLIESSERDATEN'!$S178&lt;&gt;""),4,0)   +  IF(AND('IMPORT SCHLIESSERDATEN'!$P178='IMPORT SCHLIESSERDATEN'!$R178,'IMPORT SCHLIESSERDATEN'!$P178&lt;&gt;"",'IMPORT SCHLIESSERDATEN'!$R178&lt;&gt;""),8,0)   +  IF('IMPORT SCHLIESSERDATEN'!$Q178&lt;&gt;"",IF('IMPORT SCHLIESSERDATEN'!$R178&lt;&gt;"",32,0) + IF('IMPORT SCHLIESSERDATEN'!$S178&lt;&gt;"",64,0),0)  +  IF('IMPORT SCHLIESSERDATEN'!$T178&lt;&gt;"",IF('IMPORT SCHLIESSERDATEN'!$Q178&lt;&gt;"",128+256,128),0)</f>
        <v>2</v>
      </c>
      <c r="H186" s="74">
        <f>IF('IMPORT SCHLIESSERDATEN'!$H178="",0,1) + IF('IMPORT SCHLIESSERDATEN'!$I178="",0,2) + IF('IMPORT SCHLIESSERDATEN'!$J178="",0,4) + IF('IMPORT SCHLIESSERDATEN'!$K178="",0,8) + IF('IMPORT SCHLIESSERDATEN'!$L178="",0,16) + IF('IMPORT SCHLIESSERDATEN'!$M178="",0,32) + IF('IMPORT SCHLIESSERDATEN'!$N178="",0,64)</f>
        <v>14</v>
      </c>
      <c r="I186" s="74">
        <f>IF('IMPORT SCHLIESSERDATEN'!$D178="",0,1) + IF('IMPORT SCHLIESSERDATEN'!$E178="",0,2) + IF('IMPORT SCHLIESSERDATEN'!$E178="S",4,0)</f>
        <v>1</v>
      </c>
      <c r="J186" s="74">
        <f>IF(ISERR(FIND(" Gangfl.",'IMPORT SCHLIESSERDATEN'!$B178)),IF(ISERR(FIND(" Standfl.",'IMPORT SCHLIESSERDATEN'!$B178)),0,2),1)</f>
        <v>0</v>
      </c>
      <c r="K186" s="74">
        <f>'IMPORT SCHLIESSERDATEN'!CL178</f>
        <v>0</v>
      </c>
      <c r="L186" s="74">
        <f>'IMPORT SCHLIESSERDATEN'!CN178</f>
        <v>0</v>
      </c>
      <c r="M186" s="74">
        <f>IF('IMPORT SCHLIESSERDATEN'!CS178="wie TS",-1,'IMPORT SCHLIESSERDATEN'!CS178)</f>
        <v>15</v>
      </c>
      <c r="N186" s="74">
        <f>IF(M186&lt;0,-1,'IMPORT SCHLIESSERDATEN'!CU178)</f>
        <v>6</v>
      </c>
      <c r="O186" s="74">
        <f>IF('IMPORT SCHLIESSERDATEN'!CZ178="wie TS",-1,'IMPORT SCHLIESSERDATEN'!CZ178)</f>
        <v>0</v>
      </c>
      <c r="P186" s="74">
        <f>IF(O186&lt;0,-1,'IMPORT SCHLIESSERDATEN'!DB178)</f>
        <v>0</v>
      </c>
      <c r="Q186" s="74">
        <f>'IMPORT SCHLIESSERDATEN'!DG178</f>
        <v>0</v>
      </c>
      <c r="R186" s="74">
        <f>'IMPORT SCHLIESSERDATEN'!DI178</f>
        <v>0</v>
      </c>
      <c r="S186" s="74">
        <f>'IMPORT SCHLIESSERDATEN'!DN178</f>
        <v>0</v>
      </c>
      <c r="T186" s="74">
        <f>IF('IMPORT SCHLIESSERDATEN'!DP178="V",9999,'IMPORT SCHLIESSERDATEN'!DP178)</f>
        <v>0</v>
      </c>
      <c r="U186" s="74">
        <f>'IMPORT SCHLIESSERDATEN'!BW178</f>
        <v>685</v>
      </c>
      <c r="V186" s="74">
        <f>'IMPORT SCHLIESSERDATEN'!BX178</f>
        <v>130</v>
      </c>
      <c r="W186" s="74">
        <f>'IMPORT SCHLIESSERDATEN'!BY178</f>
        <v>70</v>
      </c>
      <c r="X186" s="74">
        <f>'IMPORT SCHLIESSERDATEN'!CO178</f>
        <v>0</v>
      </c>
      <c r="Y186" s="74">
        <f>'IMPORT SCHLIESSERDATEN'!CQ178</f>
        <v>0</v>
      </c>
      <c r="Z186" s="74">
        <f>'IMPORT SCHLIESSERDATEN'!CV178</f>
        <v>270</v>
      </c>
      <c r="AA186" s="74">
        <f>'IMPORT SCHLIESSERDATEN'!CX178</f>
        <v>20</v>
      </c>
      <c r="AB186" s="74">
        <f>'IMPORT SCHLIESSERDATEN'!DC178</f>
        <v>0</v>
      </c>
      <c r="AC186" s="74">
        <f>'IMPORT SCHLIESSERDATEN'!DE178</f>
        <v>0</v>
      </c>
      <c r="AD186" s="74">
        <f>'IMPORT SCHLIESSERDATEN'!DJ178</f>
        <v>0</v>
      </c>
      <c r="AE186" s="74">
        <f>'IMPORT SCHLIESSERDATEN'!DL178</f>
        <v>0</v>
      </c>
      <c r="AF186" s="74">
        <f>'IMPORT SCHLIESSERDATEN'!DQ178</f>
        <v>0</v>
      </c>
      <c r="AG186" s="74">
        <f>IF('IMPORT SCHLIESSERDATEN'!DS178="V",9999,'IMPORT SCHLIESSERDATEN'!DS178)</f>
        <v>0</v>
      </c>
      <c r="AH186" s="74">
        <f>IF('IMPORT SCHLIESSERDATEN'!BZ178="V",9999,IF('IMPORT SCHLIESSERDATEN'!CD178="_",-1,'IMPORT SCHLIESSERDATEN'!BZ178))</f>
        <v>355</v>
      </c>
      <c r="AI186" s="74">
        <f>IF('IMPORT SCHLIESSERDATEN'!CA178="V",9999,IF('IMPORT SCHLIESSERDATEN'!CD178="_",-1,'IMPORT SCHLIESSERDATEN'!CA178))</f>
        <v>25</v>
      </c>
      <c r="AJ186" s="74">
        <f>IF('IMPORT SCHLIESSERDATEN'!CB178="V",9999,IF('IMPORT SCHLIESSERDATEN'!CD178="_",-1,'IMPORT SCHLIESSERDATEN'!CB178))</f>
        <v>30</v>
      </c>
      <c r="AK186" s="74">
        <f>IF('IMPORT SCHLIESSERDATEN'!CC178="V",9999,IF('IMPORT SCHLIESSERDATEN'!CC178="_",-1,'IMPORT SCHLIESSERDATEN'!CC178))</f>
        <v>30</v>
      </c>
      <c r="AL186" s="74">
        <f>IF('IMPORT SCHLIESSERDATEN'!CD178="_",-1,'IMPORT SCHLIESSERDATEN'!CD178)</f>
        <v>400</v>
      </c>
      <c r="AM186" s="74">
        <f>'IMPORT SCHLIESSERDATEN'!CH178</f>
        <v>135</v>
      </c>
      <c r="AN186" s="74">
        <f>IF('IMPORT SCHLIESSERDATEN'!CE178="V",9999,'IMPORT SCHLIESSERDATEN'!CE178)</f>
        <v>61</v>
      </c>
      <c r="AO186" s="74">
        <f>IF('IMPORT SCHLIESSERDATEN'!CK178="_",-1,'IMPORT SCHLIESSERDATEN'!CK178)</f>
        <v>-1</v>
      </c>
      <c r="AP186" s="74">
        <f>IF('IMPORT SCHLIESSERDATEN'!$U178="",0,1)</f>
        <v>1</v>
      </c>
      <c r="AQ186" s="74">
        <f>IF('IMPORT SCHLIESSERDATEN'!$V178="",0,1)</f>
        <v>1</v>
      </c>
      <c r="AR186" s="74">
        <f>IF('IMPORT SCHLIESSERDATEN'!$W178="",0,1)</f>
        <v>0</v>
      </c>
      <c r="AS186" s="74">
        <f>IF('IMPORT SCHLIESSERDATEN'!$AA178="",0,1)</f>
        <v>1</v>
      </c>
      <c r="AT186" s="74">
        <f>IF('IMPORT SCHLIESSERDATEN'!$AD178="",0,1) + IF('IMPORT SCHLIESSERDATEN'!$AE178="",0,2)</f>
        <v>2</v>
      </c>
      <c r="AU186" s="74" t="str">
        <f>IF('IMPORT SCHLIESSERDATEN'!$X178="",IF('IMPORT SCHLIESSERDATEN'!$Y178="","","F"),"V")</f>
        <v/>
      </c>
      <c r="AV186" s="74" t="str">
        <f>IF('IMPORT SCHLIESSERDATEN'!$AB178&lt;&gt;"","M",IF('IMPORT SCHLIESSERDATEN'!$AD178&lt;&gt;"",IF(ISERR(SEARCH("UVIBIS",'IMPORT SCHLIESSERDATEN'!$B178)),"R","B"),IF(OR('IMPORT SCHLIESSERDATEN'!$AC178&lt;&gt;"",'IMPORT SCHLIESSERDATEN'!$AE178&lt;&gt;""),"E","")))</f>
        <v>E</v>
      </c>
      <c r="AW186" s="82"/>
      <c r="AX186" s="67"/>
    </row>
    <row r="187" spans="1:50" x14ac:dyDescent="0.25">
      <c r="A187" s="67">
        <f>IFERROR(IF(C187&lt;&gt;"",MAX($A$2:$A186)+1,""),"")</f>
        <v>175</v>
      </c>
      <c r="B187" s="223">
        <f t="shared" si="3"/>
        <v>175</v>
      </c>
      <c r="C187" s="216" t="str">
        <f>'IMPORT SCHLIESSERDATEN'!$B179</f>
        <v>ED 100 GSR, (1 ED Gangfl. -1 TS am Standfl.)</v>
      </c>
      <c r="D187" s="216" t="str">
        <f>IF('IMPORT SCHLIESSERDATEN'!$AF179&lt;&gt;"",IF(COUNTA('IMPORT SCHLIESSERDATEN'!$AN179:$AU179)&gt;0,"X","G"),IF('IMPORT SCHLIESSERDATEN'!$AG179&lt;&gt;"","S",IF('IMPORT SCHLIESSERDATEN'!$AH179&lt;&gt;"","I",IF('IMPORT SCHLIESSERDATEN'!$AI179&lt;&gt;"","B",IF('IMPORT SCHLIESSERDATEN'!$AJ179&lt;&gt;"","D","")))))</f>
        <v>D</v>
      </c>
      <c r="E187" s="248" t="str">
        <f>'IMPORT SCHLIESSERDATEN'!AK179 &amp; IF('IMPORT SCHLIESSERDATEN'!AL179="",""," "&amp; 'IMPORT SCHLIESSERDATEN'!AL179)</f>
        <v>100 2</v>
      </c>
      <c r="F187" s="74">
        <f>IFERROR(IF(D187="X",2^(MATCH("",'IMPORT SCHLIESSERDATEN'!$AN179:$AU179,-1)-1),IF(AV187="F",2^(MATCH("",'IMPORT SCHLIESSERDATEN'!$BH179:$BK179,-1)-1),2^(MATCH("",'IMPORT SCHLIESSERDATEN'!$AV179:$BG179,-1)-1))),0)</f>
        <v>16</v>
      </c>
      <c r="G187" s="74">
        <f>IF(AND('IMPORT SCHLIESSERDATEN'!$O179='IMPORT SCHLIESSERDATEN'!$R179,'IMPORT SCHLIESSERDATEN'!$O179&lt;&gt;"",'IMPORT SCHLIESSERDATEN'!$R179&lt;&gt;""),1,0)  +  IF(AND('IMPORT SCHLIESSERDATEN'!$P179='IMPORT SCHLIESSERDATEN'!$S179,'IMPORT SCHLIESSERDATEN'!$P179&lt;&gt;"",'IMPORT SCHLIESSERDATEN'!$S179&lt;&gt;""),2,0)   +  IF(AND('IMPORT SCHLIESSERDATEN'!$O179='IMPORT SCHLIESSERDATEN'!$S179,'IMPORT SCHLIESSERDATEN'!$O179&lt;&gt;"",'IMPORT SCHLIESSERDATEN'!$S179&lt;&gt;""),4,0)   +  IF(AND('IMPORT SCHLIESSERDATEN'!$P179='IMPORT SCHLIESSERDATEN'!$R179,'IMPORT SCHLIESSERDATEN'!$P179&lt;&gt;"",'IMPORT SCHLIESSERDATEN'!$R179&lt;&gt;""),8,0)   +  IF('IMPORT SCHLIESSERDATEN'!$Q179&lt;&gt;"",IF('IMPORT SCHLIESSERDATEN'!$R179&lt;&gt;"",32,0) + IF('IMPORT SCHLIESSERDATEN'!$S179&lt;&gt;"",64,0),0)  +  IF('IMPORT SCHLIESSERDATEN'!$T179&lt;&gt;"",IF('IMPORT SCHLIESSERDATEN'!$Q179&lt;&gt;"",128+256,128),0)</f>
        <v>2</v>
      </c>
      <c r="H187" s="74">
        <f>IF('IMPORT SCHLIESSERDATEN'!$H179="",0,1) + IF('IMPORT SCHLIESSERDATEN'!$I179="",0,2) + IF('IMPORT SCHLIESSERDATEN'!$J179="",0,4) + IF('IMPORT SCHLIESSERDATEN'!$K179="",0,8) + IF('IMPORT SCHLIESSERDATEN'!$L179="",0,16) + IF('IMPORT SCHLIESSERDATEN'!$M179="",0,32) + IF('IMPORT SCHLIESSERDATEN'!$N179="",0,64)</f>
        <v>14</v>
      </c>
      <c r="I187" s="74">
        <f>IF('IMPORT SCHLIESSERDATEN'!$D179="",0,1) + IF('IMPORT SCHLIESSERDATEN'!$E179="",0,2) + IF('IMPORT SCHLIESSERDATEN'!$E179="S",4,0)</f>
        <v>2</v>
      </c>
      <c r="J187" s="74">
        <f>IF(ISERR(FIND(" Gangfl.",'IMPORT SCHLIESSERDATEN'!$B179)),IF(ISERR(FIND(" Standfl.",'IMPORT SCHLIESSERDATEN'!$B179)),0,2),1)</f>
        <v>1</v>
      </c>
      <c r="K187" s="74">
        <f>'IMPORT SCHLIESSERDATEN'!CL179</f>
        <v>0</v>
      </c>
      <c r="L187" s="74">
        <f>'IMPORT SCHLIESSERDATEN'!CN179</f>
        <v>0</v>
      </c>
      <c r="M187" s="74">
        <f>IF('IMPORT SCHLIESSERDATEN'!CS179="wie TS",-1,'IMPORT SCHLIESSERDATEN'!CS179)</f>
        <v>15</v>
      </c>
      <c r="N187" s="74">
        <f>IF(M187&lt;0,-1,'IMPORT SCHLIESSERDATEN'!CU179)</f>
        <v>6</v>
      </c>
      <c r="O187" s="74">
        <f>IF('IMPORT SCHLIESSERDATEN'!CZ179="wie TS",-1,'IMPORT SCHLIESSERDATEN'!CZ179)</f>
        <v>0</v>
      </c>
      <c r="P187" s="74">
        <f>IF(O187&lt;0,-1,'IMPORT SCHLIESSERDATEN'!DB179)</f>
        <v>0</v>
      </c>
      <c r="Q187" s="74">
        <f>'IMPORT SCHLIESSERDATEN'!DG179</f>
        <v>0</v>
      </c>
      <c r="R187" s="74">
        <f>'IMPORT SCHLIESSERDATEN'!DI179</f>
        <v>0</v>
      </c>
      <c r="S187" s="74">
        <f>'IMPORT SCHLIESSERDATEN'!DN179</f>
        <v>0</v>
      </c>
      <c r="T187" s="74">
        <f>IF('IMPORT SCHLIESSERDATEN'!DP179="V",9999,'IMPORT SCHLIESSERDATEN'!DP179)</f>
        <v>0</v>
      </c>
      <c r="U187" s="74">
        <f>'IMPORT SCHLIESSERDATEN'!BW179</f>
        <v>685</v>
      </c>
      <c r="V187" s="74">
        <f>'IMPORT SCHLIESSERDATEN'!BX179</f>
        <v>130</v>
      </c>
      <c r="W187" s="74">
        <f>'IMPORT SCHLIESSERDATEN'!BY179</f>
        <v>70</v>
      </c>
      <c r="X187" s="74">
        <f>'IMPORT SCHLIESSERDATEN'!CO179</f>
        <v>0</v>
      </c>
      <c r="Y187" s="74">
        <f>'IMPORT SCHLIESSERDATEN'!CQ179</f>
        <v>0</v>
      </c>
      <c r="Z187" s="74">
        <f>'IMPORT SCHLIESSERDATEN'!CV179</f>
        <v>270</v>
      </c>
      <c r="AA187" s="74">
        <f>'IMPORT SCHLIESSERDATEN'!CX179</f>
        <v>20</v>
      </c>
      <c r="AB187" s="74">
        <f>'IMPORT SCHLIESSERDATEN'!DC179</f>
        <v>0</v>
      </c>
      <c r="AC187" s="74">
        <f>'IMPORT SCHLIESSERDATEN'!DE179</f>
        <v>0</v>
      </c>
      <c r="AD187" s="74">
        <f>'IMPORT SCHLIESSERDATEN'!DJ179</f>
        <v>0</v>
      </c>
      <c r="AE187" s="74">
        <f>'IMPORT SCHLIESSERDATEN'!DL179</f>
        <v>0</v>
      </c>
      <c r="AF187" s="74">
        <f>'IMPORT SCHLIESSERDATEN'!DQ179</f>
        <v>0</v>
      </c>
      <c r="AG187" s="74">
        <f>IF('IMPORT SCHLIESSERDATEN'!DS179="V",9999,'IMPORT SCHLIESSERDATEN'!DS179)</f>
        <v>0</v>
      </c>
      <c r="AH187" s="74">
        <f>IF('IMPORT SCHLIESSERDATEN'!BZ179="V",9999,IF('IMPORT SCHLIESSERDATEN'!CD179="_",-1,'IMPORT SCHLIESSERDATEN'!BZ179))</f>
        <v>355</v>
      </c>
      <c r="AI187" s="74">
        <f>IF('IMPORT SCHLIESSERDATEN'!CA179="V",9999,IF('IMPORT SCHLIESSERDATEN'!CD179="_",-1,'IMPORT SCHLIESSERDATEN'!CA179))</f>
        <v>25</v>
      </c>
      <c r="AJ187" s="74">
        <f>IF('IMPORT SCHLIESSERDATEN'!CB179="V",9999,IF('IMPORT SCHLIESSERDATEN'!CD179="_",-1,'IMPORT SCHLIESSERDATEN'!CB179))</f>
        <v>30</v>
      </c>
      <c r="AK187" s="74">
        <f>IF('IMPORT SCHLIESSERDATEN'!CC179="V",9999,IF('IMPORT SCHLIESSERDATEN'!CC179="_",-1,'IMPORT SCHLIESSERDATEN'!CC179))</f>
        <v>30</v>
      </c>
      <c r="AL187" s="74">
        <f>IF('IMPORT SCHLIESSERDATEN'!CD179="_",-1,'IMPORT SCHLIESSERDATEN'!CD179)</f>
        <v>400</v>
      </c>
      <c r="AM187" s="74">
        <f>'IMPORT SCHLIESSERDATEN'!CH179</f>
        <v>135</v>
      </c>
      <c r="AN187" s="74">
        <f>IF('IMPORT SCHLIESSERDATEN'!CE179="V",9999,'IMPORT SCHLIESSERDATEN'!CE179)</f>
        <v>61</v>
      </c>
      <c r="AO187" s="74">
        <f>IF('IMPORT SCHLIESSERDATEN'!CK179="_",-1,'IMPORT SCHLIESSERDATEN'!CK179)</f>
        <v>-1</v>
      </c>
      <c r="AP187" s="74">
        <f>IF('IMPORT SCHLIESSERDATEN'!$U179="",0,1)</f>
        <v>1</v>
      </c>
      <c r="AQ187" s="74">
        <f>IF('IMPORT SCHLIESSERDATEN'!$V179="",0,1)</f>
        <v>1</v>
      </c>
      <c r="AR187" s="74">
        <f>IF('IMPORT SCHLIESSERDATEN'!$W179="",0,1)</f>
        <v>1</v>
      </c>
      <c r="AS187" s="74">
        <f>IF('IMPORT SCHLIESSERDATEN'!$AA179="",0,1)</f>
        <v>1</v>
      </c>
      <c r="AT187" s="74">
        <f>IF('IMPORT SCHLIESSERDATEN'!$AD179="",0,1) + IF('IMPORT SCHLIESSERDATEN'!$AE179="",0,2)</f>
        <v>2</v>
      </c>
      <c r="AU187" s="74" t="str">
        <f>IF('IMPORT SCHLIESSERDATEN'!$X179="",IF('IMPORT SCHLIESSERDATEN'!$Y179="","","F"),"V")</f>
        <v/>
      </c>
      <c r="AV187" s="74" t="str">
        <f>IF('IMPORT SCHLIESSERDATEN'!$AB179&lt;&gt;"","M",IF('IMPORT SCHLIESSERDATEN'!$AD179&lt;&gt;"",IF(ISERR(SEARCH("UVIBIS",'IMPORT SCHLIESSERDATEN'!$B179)),"R","B"),IF(OR('IMPORT SCHLIESSERDATEN'!$AC179&lt;&gt;"",'IMPORT SCHLIESSERDATEN'!$AE179&lt;&gt;""),"E","")))</f>
        <v>E</v>
      </c>
      <c r="AW187" s="82"/>
      <c r="AX187" s="67"/>
    </row>
    <row r="188" spans="1:50" x14ac:dyDescent="0.25">
      <c r="A188" s="67">
        <f>IFERROR(IF(C188&lt;&gt;"",MAX($A$2:$A187)+1,""),"")</f>
        <v>176</v>
      </c>
      <c r="B188" s="223">
        <f t="shared" si="3"/>
        <v>176</v>
      </c>
      <c r="C188" s="216" t="str">
        <f>'IMPORT SCHLIESSERDATEN'!$B180</f>
        <v>ED 100 zweiflüglig, getrennt Gangfl.</v>
      </c>
      <c r="D188" s="216" t="str">
        <f>IF('IMPORT SCHLIESSERDATEN'!$AF180&lt;&gt;"",IF(COUNTA('IMPORT SCHLIESSERDATEN'!$AN180:$AU180)&gt;0,"X","G"),IF('IMPORT SCHLIESSERDATEN'!$AG180&lt;&gt;"","S",IF('IMPORT SCHLIESSERDATEN'!$AH180&lt;&gt;"","I",IF('IMPORT SCHLIESSERDATEN'!$AI180&lt;&gt;"","B",IF('IMPORT SCHLIESSERDATEN'!$AJ180&lt;&gt;"","D","")))))</f>
        <v>D</v>
      </c>
      <c r="E188" s="248" t="str">
        <f>'IMPORT SCHLIESSERDATEN'!AK180 &amp; IF('IMPORT SCHLIESSERDATEN'!AL180="",""," "&amp; 'IMPORT SCHLIESSERDATEN'!AL180)</f>
        <v>100 5</v>
      </c>
      <c r="F188" s="74">
        <f>IFERROR(IF(D188="X",2^(MATCH("",'IMPORT SCHLIESSERDATEN'!$AN180:$AU180,-1)-1),IF(AV188="F",2^(MATCH("",'IMPORT SCHLIESSERDATEN'!$BH180:$BK180,-1)-1),2^(MATCH("",'IMPORT SCHLIESSERDATEN'!$AV180:$BG180,-1)-1))),0)</f>
        <v>0</v>
      </c>
      <c r="G188" s="74">
        <f>IF(AND('IMPORT SCHLIESSERDATEN'!$O180='IMPORT SCHLIESSERDATEN'!$R180,'IMPORT SCHLIESSERDATEN'!$O180&lt;&gt;"",'IMPORT SCHLIESSERDATEN'!$R180&lt;&gt;""),1,0)  +  IF(AND('IMPORT SCHLIESSERDATEN'!$P180='IMPORT SCHLIESSERDATEN'!$S180,'IMPORT SCHLIESSERDATEN'!$P180&lt;&gt;"",'IMPORT SCHLIESSERDATEN'!$S180&lt;&gt;""),2,0)   +  IF(AND('IMPORT SCHLIESSERDATEN'!$O180='IMPORT SCHLIESSERDATEN'!$S180,'IMPORT SCHLIESSERDATEN'!$O180&lt;&gt;"",'IMPORT SCHLIESSERDATEN'!$S180&lt;&gt;""),4,0)   +  IF(AND('IMPORT SCHLIESSERDATEN'!$P180='IMPORT SCHLIESSERDATEN'!$R180,'IMPORT SCHLIESSERDATEN'!$P180&lt;&gt;"",'IMPORT SCHLIESSERDATEN'!$R180&lt;&gt;""),8,0)   +  IF('IMPORT SCHLIESSERDATEN'!$Q180&lt;&gt;"",IF('IMPORT SCHLIESSERDATEN'!$R180&lt;&gt;"",32,0) + IF('IMPORT SCHLIESSERDATEN'!$S180&lt;&gt;"",64,0),0)  +  IF('IMPORT SCHLIESSERDATEN'!$T180&lt;&gt;"",IF('IMPORT SCHLIESSERDATEN'!$Q180&lt;&gt;"",128+256,128),0)</f>
        <v>2</v>
      </c>
      <c r="H188" s="74">
        <f>IF('IMPORT SCHLIESSERDATEN'!$H180="",0,1) + IF('IMPORT SCHLIESSERDATEN'!$I180="",0,2) + IF('IMPORT SCHLIESSERDATEN'!$J180="",0,4) + IF('IMPORT SCHLIESSERDATEN'!$K180="",0,8) + IF('IMPORT SCHLIESSERDATEN'!$L180="",0,16) + IF('IMPORT SCHLIESSERDATEN'!$M180="",0,32) + IF('IMPORT SCHLIESSERDATEN'!$N180="",0,64)</f>
        <v>14</v>
      </c>
      <c r="I188" s="74">
        <f>IF('IMPORT SCHLIESSERDATEN'!$D180="",0,1) + IF('IMPORT SCHLIESSERDATEN'!$E180="",0,2) + IF('IMPORT SCHLIESSERDATEN'!$E180="S",4,0)</f>
        <v>2</v>
      </c>
      <c r="J188" s="74">
        <f>IF(ISERR(FIND(" Gangfl.",'IMPORT SCHLIESSERDATEN'!$B180)),IF(ISERR(FIND(" Standfl.",'IMPORT SCHLIESSERDATEN'!$B180)),0,2),1)</f>
        <v>1</v>
      </c>
      <c r="K188" s="74">
        <f>'IMPORT SCHLIESSERDATEN'!CL180</f>
        <v>0</v>
      </c>
      <c r="L188" s="74">
        <f>'IMPORT SCHLIESSERDATEN'!CN180</f>
        <v>0</v>
      </c>
      <c r="M188" s="74">
        <f>IF('IMPORT SCHLIESSERDATEN'!CS180="wie TS",-1,'IMPORT SCHLIESSERDATEN'!CS180)</f>
        <v>15</v>
      </c>
      <c r="N188" s="74">
        <f>IF(M188&lt;0,-1,'IMPORT SCHLIESSERDATEN'!CU180)</f>
        <v>6</v>
      </c>
      <c r="O188" s="74">
        <f>IF('IMPORT SCHLIESSERDATEN'!CZ180="wie TS",-1,'IMPORT SCHLIESSERDATEN'!CZ180)</f>
        <v>0</v>
      </c>
      <c r="P188" s="74">
        <f>IF(O188&lt;0,-1,'IMPORT SCHLIESSERDATEN'!DB180)</f>
        <v>0</v>
      </c>
      <c r="Q188" s="74">
        <f>'IMPORT SCHLIESSERDATEN'!DG180</f>
        <v>0</v>
      </c>
      <c r="R188" s="74">
        <f>'IMPORT SCHLIESSERDATEN'!DI180</f>
        <v>0</v>
      </c>
      <c r="S188" s="74">
        <f>'IMPORT SCHLIESSERDATEN'!DN180</f>
        <v>0</v>
      </c>
      <c r="T188" s="74">
        <f>IF('IMPORT SCHLIESSERDATEN'!DP180="V",9999,'IMPORT SCHLIESSERDATEN'!DP180)</f>
        <v>0</v>
      </c>
      <c r="U188" s="74">
        <f>'IMPORT SCHLIESSERDATEN'!BW180</f>
        <v>685</v>
      </c>
      <c r="V188" s="74">
        <f>'IMPORT SCHLIESSERDATEN'!BX180</f>
        <v>130</v>
      </c>
      <c r="W188" s="74">
        <f>'IMPORT SCHLIESSERDATEN'!BY180</f>
        <v>70</v>
      </c>
      <c r="X188" s="74">
        <f>'IMPORT SCHLIESSERDATEN'!CO180</f>
        <v>0</v>
      </c>
      <c r="Y188" s="74">
        <f>'IMPORT SCHLIESSERDATEN'!CQ180</f>
        <v>0</v>
      </c>
      <c r="Z188" s="74">
        <f>'IMPORT SCHLIESSERDATEN'!CV180</f>
        <v>270</v>
      </c>
      <c r="AA188" s="74">
        <f>'IMPORT SCHLIESSERDATEN'!CX180</f>
        <v>20</v>
      </c>
      <c r="AB188" s="74">
        <f>'IMPORT SCHLIESSERDATEN'!DC180</f>
        <v>0</v>
      </c>
      <c r="AC188" s="74">
        <f>'IMPORT SCHLIESSERDATEN'!DE180</f>
        <v>0</v>
      </c>
      <c r="AD188" s="74">
        <f>'IMPORT SCHLIESSERDATEN'!DJ180</f>
        <v>0</v>
      </c>
      <c r="AE188" s="74">
        <f>'IMPORT SCHLIESSERDATEN'!DL180</f>
        <v>0</v>
      </c>
      <c r="AF188" s="74">
        <f>'IMPORT SCHLIESSERDATEN'!DQ180</f>
        <v>0</v>
      </c>
      <c r="AG188" s="74">
        <f>IF('IMPORT SCHLIESSERDATEN'!DS180="V",9999,'IMPORT SCHLIESSERDATEN'!DS180)</f>
        <v>0</v>
      </c>
      <c r="AH188" s="74">
        <f>IF('IMPORT SCHLIESSERDATEN'!BZ180="V",9999,IF('IMPORT SCHLIESSERDATEN'!CD180="_",-1,'IMPORT SCHLIESSERDATEN'!BZ180))</f>
        <v>355</v>
      </c>
      <c r="AI188" s="74">
        <f>IF('IMPORT SCHLIESSERDATEN'!CA180="V",9999,IF('IMPORT SCHLIESSERDATEN'!CD180="_",-1,'IMPORT SCHLIESSERDATEN'!CA180))</f>
        <v>25</v>
      </c>
      <c r="AJ188" s="74">
        <f>IF('IMPORT SCHLIESSERDATEN'!CB180="V",9999,IF('IMPORT SCHLIESSERDATEN'!CD180="_",-1,'IMPORT SCHLIESSERDATEN'!CB180))</f>
        <v>30</v>
      </c>
      <c r="AK188" s="74">
        <f>IF('IMPORT SCHLIESSERDATEN'!CC180="V",9999,IF('IMPORT SCHLIESSERDATEN'!CC180="_",-1,'IMPORT SCHLIESSERDATEN'!CC180))</f>
        <v>30</v>
      </c>
      <c r="AL188" s="74">
        <f>IF('IMPORT SCHLIESSERDATEN'!CD180="_",-1,'IMPORT SCHLIESSERDATEN'!CD180)</f>
        <v>400</v>
      </c>
      <c r="AM188" s="74">
        <f>'IMPORT SCHLIESSERDATEN'!CH180</f>
        <v>135</v>
      </c>
      <c r="AN188" s="74">
        <f>IF('IMPORT SCHLIESSERDATEN'!CE180="V",9999,'IMPORT SCHLIESSERDATEN'!CE180)</f>
        <v>61</v>
      </c>
      <c r="AO188" s="74">
        <f>IF('IMPORT SCHLIESSERDATEN'!CK180="_",-1,'IMPORT SCHLIESSERDATEN'!CK180)</f>
        <v>-1</v>
      </c>
      <c r="AP188" s="74">
        <f>IF('IMPORT SCHLIESSERDATEN'!$U180="",0,1)</f>
        <v>0</v>
      </c>
      <c r="AQ188" s="74">
        <f>IF('IMPORT SCHLIESSERDATEN'!$V180="",0,1)</f>
        <v>1</v>
      </c>
      <c r="AR188" s="74">
        <f>IF('IMPORT SCHLIESSERDATEN'!$W180="",0,1)</f>
        <v>1</v>
      </c>
      <c r="AS188" s="74">
        <f>IF('IMPORT SCHLIESSERDATEN'!$AA180="",0,1)</f>
        <v>1</v>
      </c>
      <c r="AT188" s="74">
        <f>IF('IMPORT SCHLIESSERDATEN'!$AD180="",0,1) + IF('IMPORT SCHLIESSERDATEN'!$AE180="",0,2)</f>
        <v>2</v>
      </c>
      <c r="AU188" s="74" t="str">
        <f>IF('IMPORT SCHLIESSERDATEN'!$X180="",IF('IMPORT SCHLIESSERDATEN'!$Y180="","","F"),"V")</f>
        <v/>
      </c>
      <c r="AV188" s="74" t="str">
        <f>IF('IMPORT SCHLIESSERDATEN'!$AB180&lt;&gt;"","M",IF('IMPORT SCHLIESSERDATEN'!$AD180&lt;&gt;"",IF(ISERR(SEARCH("UVIBIS",'IMPORT SCHLIESSERDATEN'!$B180)),"R","B"),IF(OR('IMPORT SCHLIESSERDATEN'!$AC180&lt;&gt;"",'IMPORT SCHLIESSERDATEN'!$AE180&lt;&gt;""),"E","")))</f>
        <v>E</v>
      </c>
      <c r="AW188" s="82"/>
      <c r="AX188" s="67"/>
    </row>
    <row r="189" spans="1:50" x14ac:dyDescent="0.25">
      <c r="A189" s="67">
        <f>IFERROR(IF(C189&lt;&gt;"",MAX($A$2:$A188)+1,""),"")</f>
        <v>177</v>
      </c>
      <c r="B189" s="223">
        <f t="shared" si="3"/>
        <v>177</v>
      </c>
      <c r="C189" s="216" t="str">
        <f>'IMPORT SCHLIESSERDATEN'!$B181</f>
        <v>ED 100 zweiflüglig, ESR Gangfl.</v>
      </c>
      <c r="D189" s="216" t="str">
        <f>IF('IMPORT SCHLIESSERDATEN'!$AF181&lt;&gt;"",IF(COUNTA('IMPORT SCHLIESSERDATEN'!$AN181:$AU181)&gt;0,"X","G"),IF('IMPORT SCHLIESSERDATEN'!$AG181&lt;&gt;"","S",IF('IMPORT SCHLIESSERDATEN'!$AH181&lt;&gt;"","I",IF('IMPORT SCHLIESSERDATEN'!$AI181&lt;&gt;"","B",IF('IMPORT SCHLIESSERDATEN'!$AJ181&lt;&gt;"","D","")))))</f>
        <v>D</v>
      </c>
      <c r="E189" s="248" t="str">
        <f>'IMPORT SCHLIESSERDATEN'!AK181 &amp; IF('IMPORT SCHLIESSERDATEN'!AL181="",""," "&amp; 'IMPORT SCHLIESSERDATEN'!AL181)</f>
        <v>100 3</v>
      </c>
      <c r="F189" s="74">
        <f>IFERROR(IF(D189="X",2^(MATCH("",'IMPORT SCHLIESSERDATEN'!$AN181:$AU181,-1)-1),IF(AV189="F",2^(MATCH("",'IMPORT SCHLIESSERDATEN'!$BH181:$BK181,-1)-1),2^(MATCH("",'IMPORT SCHLIESSERDATEN'!$AV181:$BG181,-1)-1))),0)</f>
        <v>0</v>
      </c>
      <c r="G189" s="74">
        <f>IF(AND('IMPORT SCHLIESSERDATEN'!$O181='IMPORT SCHLIESSERDATEN'!$R181,'IMPORT SCHLIESSERDATEN'!$O181&lt;&gt;"",'IMPORT SCHLIESSERDATEN'!$R181&lt;&gt;""),1,0)  +  IF(AND('IMPORT SCHLIESSERDATEN'!$P181='IMPORT SCHLIESSERDATEN'!$S181,'IMPORT SCHLIESSERDATEN'!$P181&lt;&gt;"",'IMPORT SCHLIESSERDATEN'!$S181&lt;&gt;""),2,0)   +  IF(AND('IMPORT SCHLIESSERDATEN'!$O181='IMPORT SCHLIESSERDATEN'!$S181,'IMPORT SCHLIESSERDATEN'!$O181&lt;&gt;"",'IMPORT SCHLIESSERDATEN'!$S181&lt;&gt;""),4,0)   +  IF(AND('IMPORT SCHLIESSERDATEN'!$P181='IMPORT SCHLIESSERDATEN'!$R181,'IMPORT SCHLIESSERDATEN'!$P181&lt;&gt;"",'IMPORT SCHLIESSERDATEN'!$R181&lt;&gt;""),8,0)   +  IF('IMPORT SCHLIESSERDATEN'!$Q181&lt;&gt;"",IF('IMPORT SCHLIESSERDATEN'!$R181&lt;&gt;"",32,0) + IF('IMPORT SCHLIESSERDATEN'!$S181&lt;&gt;"",64,0),0)  +  IF('IMPORT SCHLIESSERDATEN'!$T181&lt;&gt;"",IF('IMPORT SCHLIESSERDATEN'!$Q181&lt;&gt;"",128+256,128),0)</f>
        <v>2</v>
      </c>
      <c r="H189" s="74">
        <f>IF('IMPORT SCHLIESSERDATEN'!$H181="",0,1) + IF('IMPORT SCHLIESSERDATEN'!$I181="",0,2) + IF('IMPORT SCHLIESSERDATEN'!$J181="",0,4) + IF('IMPORT SCHLIESSERDATEN'!$K181="",0,8) + IF('IMPORT SCHLIESSERDATEN'!$L181="",0,16) + IF('IMPORT SCHLIESSERDATEN'!$M181="",0,32) + IF('IMPORT SCHLIESSERDATEN'!$N181="",0,64)</f>
        <v>14</v>
      </c>
      <c r="I189" s="74">
        <f>IF('IMPORT SCHLIESSERDATEN'!$D181="",0,1) + IF('IMPORT SCHLIESSERDATEN'!$E181="",0,2) + IF('IMPORT SCHLIESSERDATEN'!$E181="S",4,0)</f>
        <v>2</v>
      </c>
      <c r="J189" s="74">
        <f>IF(ISERR(FIND(" Gangfl.",'IMPORT SCHLIESSERDATEN'!$B181)),IF(ISERR(FIND(" Standfl.",'IMPORT SCHLIESSERDATEN'!$B181)),0,2),1)</f>
        <v>1</v>
      </c>
      <c r="K189" s="74">
        <f>'IMPORT SCHLIESSERDATEN'!CL181</f>
        <v>0</v>
      </c>
      <c r="L189" s="74">
        <f>'IMPORT SCHLIESSERDATEN'!CN181</f>
        <v>0</v>
      </c>
      <c r="M189" s="74">
        <f>IF('IMPORT SCHLIESSERDATEN'!CS181="wie TS",-1,'IMPORT SCHLIESSERDATEN'!CS181)</f>
        <v>15</v>
      </c>
      <c r="N189" s="74">
        <f>IF(M189&lt;0,-1,'IMPORT SCHLIESSERDATEN'!CU181)</f>
        <v>6</v>
      </c>
      <c r="O189" s="74">
        <f>IF('IMPORT SCHLIESSERDATEN'!CZ181="wie TS",-1,'IMPORT SCHLIESSERDATEN'!CZ181)</f>
        <v>0</v>
      </c>
      <c r="P189" s="74">
        <f>IF(O189&lt;0,-1,'IMPORT SCHLIESSERDATEN'!DB181)</f>
        <v>0</v>
      </c>
      <c r="Q189" s="74">
        <f>'IMPORT SCHLIESSERDATEN'!DG181</f>
        <v>0</v>
      </c>
      <c r="R189" s="74">
        <f>'IMPORT SCHLIESSERDATEN'!DI181</f>
        <v>0</v>
      </c>
      <c r="S189" s="74">
        <f>'IMPORT SCHLIESSERDATEN'!DN181</f>
        <v>0</v>
      </c>
      <c r="T189" s="74">
        <f>IF('IMPORT SCHLIESSERDATEN'!DP181="V",9999,'IMPORT SCHLIESSERDATEN'!DP181)</f>
        <v>0</v>
      </c>
      <c r="U189" s="74">
        <f>'IMPORT SCHLIESSERDATEN'!BW181</f>
        <v>685</v>
      </c>
      <c r="V189" s="74">
        <f>'IMPORT SCHLIESSERDATEN'!BX181</f>
        <v>130</v>
      </c>
      <c r="W189" s="74">
        <f>'IMPORT SCHLIESSERDATEN'!BY181</f>
        <v>70</v>
      </c>
      <c r="X189" s="74">
        <f>'IMPORT SCHLIESSERDATEN'!CO181</f>
        <v>0</v>
      </c>
      <c r="Y189" s="74">
        <f>'IMPORT SCHLIESSERDATEN'!CQ181</f>
        <v>0</v>
      </c>
      <c r="Z189" s="74">
        <f>'IMPORT SCHLIESSERDATEN'!CV181</f>
        <v>270</v>
      </c>
      <c r="AA189" s="74">
        <f>'IMPORT SCHLIESSERDATEN'!CX181</f>
        <v>20</v>
      </c>
      <c r="AB189" s="74">
        <f>'IMPORT SCHLIESSERDATEN'!DC181</f>
        <v>0</v>
      </c>
      <c r="AC189" s="74">
        <f>'IMPORT SCHLIESSERDATEN'!DE181</f>
        <v>0</v>
      </c>
      <c r="AD189" s="74">
        <f>'IMPORT SCHLIESSERDATEN'!DJ181</f>
        <v>0</v>
      </c>
      <c r="AE189" s="74">
        <f>'IMPORT SCHLIESSERDATEN'!DL181</f>
        <v>0</v>
      </c>
      <c r="AF189" s="74">
        <f>'IMPORT SCHLIESSERDATEN'!DQ181</f>
        <v>0</v>
      </c>
      <c r="AG189" s="74">
        <f>IF('IMPORT SCHLIESSERDATEN'!DS181="V",9999,'IMPORT SCHLIESSERDATEN'!DS181)</f>
        <v>0</v>
      </c>
      <c r="AH189" s="74">
        <f>IF('IMPORT SCHLIESSERDATEN'!BZ181="V",9999,IF('IMPORT SCHLIESSERDATEN'!CD181="_",-1,'IMPORT SCHLIESSERDATEN'!BZ181))</f>
        <v>355</v>
      </c>
      <c r="AI189" s="74">
        <f>IF('IMPORT SCHLIESSERDATEN'!CA181="V",9999,IF('IMPORT SCHLIESSERDATEN'!CD181="_",-1,'IMPORT SCHLIESSERDATEN'!CA181))</f>
        <v>25</v>
      </c>
      <c r="AJ189" s="74">
        <f>IF('IMPORT SCHLIESSERDATEN'!CB181="V",9999,IF('IMPORT SCHLIESSERDATEN'!CD181="_",-1,'IMPORT SCHLIESSERDATEN'!CB181))</f>
        <v>30</v>
      </c>
      <c r="AK189" s="74">
        <f>IF('IMPORT SCHLIESSERDATEN'!CC181="V",9999,IF('IMPORT SCHLIESSERDATEN'!CC181="_",-1,'IMPORT SCHLIESSERDATEN'!CC181))</f>
        <v>30</v>
      </c>
      <c r="AL189" s="74">
        <f>IF('IMPORT SCHLIESSERDATEN'!CD181="_",-1,'IMPORT SCHLIESSERDATEN'!CD181)</f>
        <v>400</v>
      </c>
      <c r="AM189" s="74">
        <f>'IMPORT SCHLIESSERDATEN'!CH181</f>
        <v>135</v>
      </c>
      <c r="AN189" s="74">
        <f>IF('IMPORT SCHLIESSERDATEN'!CE181="V",9999,'IMPORT SCHLIESSERDATEN'!CE181)</f>
        <v>61</v>
      </c>
      <c r="AO189" s="74">
        <f>IF('IMPORT SCHLIESSERDATEN'!CK181="_",-1,'IMPORT SCHLIESSERDATEN'!CK181)</f>
        <v>-1</v>
      </c>
      <c r="AP189" s="74">
        <f>IF('IMPORT SCHLIESSERDATEN'!$U181="",0,1)</f>
        <v>1</v>
      </c>
      <c r="AQ189" s="74">
        <f>IF('IMPORT SCHLIESSERDATEN'!$V181="",0,1)</f>
        <v>1</v>
      </c>
      <c r="AR189" s="74">
        <f>IF('IMPORT SCHLIESSERDATEN'!$W181="",0,1)</f>
        <v>1</v>
      </c>
      <c r="AS189" s="74">
        <f>IF('IMPORT SCHLIESSERDATEN'!$AA181="",0,1)</f>
        <v>1</v>
      </c>
      <c r="AT189" s="74">
        <f>IF('IMPORT SCHLIESSERDATEN'!$AD181="",0,1) + IF('IMPORT SCHLIESSERDATEN'!$AE181="",0,2)</f>
        <v>2</v>
      </c>
      <c r="AU189" s="74" t="str">
        <f>IF('IMPORT SCHLIESSERDATEN'!$X181="",IF('IMPORT SCHLIESSERDATEN'!$Y181="","","F"),"V")</f>
        <v/>
      </c>
      <c r="AV189" s="74" t="str">
        <f>IF('IMPORT SCHLIESSERDATEN'!$AB181&lt;&gt;"","M",IF('IMPORT SCHLIESSERDATEN'!$AD181&lt;&gt;"",IF(ISERR(SEARCH("UVIBIS",'IMPORT SCHLIESSERDATEN'!$B181)),"R","B"),IF(OR('IMPORT SCHLIESSERDATEN'!$AC181&lt;&gt;"",'IMPORT SCHLIESSERDATEN'!$AE181&lt;&gt;""),"E","")))</f>
        <v>E</v>
      </c>
      <c r="AW189" s="82"/>
      <c r="AX189" s="67"/>
    </row>
    <row r="190" spans="1:50" x14ac:dyDescent="0.25">
      <c r="A190" s="67">
        <f>IFERROR(IF(C190&lt;&gt;"",MAX($A$2:$A189)+1,""),"")</f>
        <v>178</v>
      </c>
      <c r="B190" s="223">
        <f t="shared" si="3"/>
        <v>178</v>
      </c>
      <c r="C190" s="216" t="str">
        <f>'IMPORT SCHLIESSERDATEN'!$B182</f>
        <v>ED 100 mit Gestänge Standfl.</v>
      </c>
      <c r="D190" s="216" t="str">
        <f>IF('IMPORT SCHLIESSERDATEN'!$AF182&lt;&gt;"",IF(COUNTA('IMPORT SCHLIESSERDATEN'!$AN182:$AU182)&gt;0,"X","G"),IF('IMPORT SCHLIESSERDATEN'!$AG182&lt;&gt;"","S",IF('IMPORT SCHLIESSERDATEN'!$AH182&lt;&gt;"","I",IF('IMPORT SCHLIESSERDATEN'!$AI182&lt;&gt;"","B",IF('IMPORT SCHLIESSERDATEN'!$AJ182&lt;&gt;"","D","")))))</f>
        <v>D</v>
      </c>
      <c r="E190" s="248" t="str">
        <f>'IMPORT SCHLIESSERDATEN'!AK182 &amp; IF('IMPORT SCHLIESSERDATEN'!AL182="",""," "&amp; 'IMPORT SCHLIESSERDATEN'!AL182)</f>
        <v>100 4</v>
      </c>
      <c r="F190" s="74">
        <f>IFERROR(IF(D190="X",2^(MATCH("",'IMPORT SCHLIESSERDATEN'!$AN182:$AU182,-1)-1),IF(AV190="F",2^(MATCH("",'IMPORT SCHLIESSERDATEN'!$BH182:$BK182,-1)-1),2^(MATCH("",'IMPORT SCHLIESSERDATEN'!$AV182:$BG182,-1)-1))),0)</f>
        <v>0</v>
      </c>
      <c r="G190" s="74">
        <f>IF(AND('IMPORT SCHLIESSERDATEN'!$O182='IMPORT SCHLIESSERDATEN'!$R182,'IMPORT SCHLIESSERDATEN'!$O182&lt;&gt;"",'IMPORT SCHLIESSERDATEN'!$R182&lt;&gt;""),1,0)  +  IF(AND('IMPORT SCHLIESSERDATEN'!$P182='IMPORT SCHLIESSERDATEN'!$S182,'IMPORT SCHLIESSERDATEN'!$P182&lt;&gt;"",'IMPORT SCHLIESSERDATEN'!$S182&lt;&gt;""),2,0)   +  IF(AND('IMPORT SCHLIESSERDATEN'!$O182='IMPORT SCHLIESSERDATEN'!$S182,'IMPORT SCHLIESSERDATEN'!$O182&lt;&gt;"",'IMPORT SCHLIESSERDATEN'!$S182&lt;&gt;""),4,0)   +  IF(AND('IMPORT SCHLIESSERDATEN'!$P182='IMPORT SCHLIESSERDATEN'!$R182,'IMPORT SCHLIESSERDATEN'!$P182&lt;&gt;"",'IMPORT SCHLIESSERDATEN'!$R182&lt;&gt;""),8,0)   +  IF('IMPORT SCHLIESSERDATEN'!$Q182&lt;&gt;"",IF('IMPORT SCHLIESSERDATEN'!$R182&lt;&gt;"",32,0) + IF('IMPORT SCHLIESSERDATEN'!$S182&lt;&gt;"",64,0),0)  +  IF('IMPORT SCHLIESSERDATEN'!$T182&lt;&gt;"",IF('IMPORT SCHLIESSERDATEN'!$Q182&lt;&gt;"",128+256,128),0)</f>
        <v>2</v>
      </c>
      <c r="H190" s="74">
        <f>IF('IMPORT SCHLIESSERDATEN'!$H182="",0,1) + IF('IMPORT SCHLIESSERDATEN'!$I182="",0,2) + IF('IMPORT SCHLIESSERDATEN'!$J182="",0,4) + IF('IMPORT SCHLIESSERDATEN'!$K182="",0,8) + IF('IMPORT SCHLIESSERDATEN'!$L182="",0,16) + IF('IMPORT SCHLIESSERDATEN'!$M182="",0,32) + IF('IMPORT SCHLIESSERDATEN'!$N182="",0,64)</f>
        <v>14</v>
      </c>
      <c r="I190" s="74">
        <f>IF('IMPORT SCHLIESSERDATEN'!$D182="",0,1) + IF('IMPORT SCHLIESSERDATEN'!$E182="",0,2) + IF('IMPORT SCHLIESSERDATEN'!$E182="S",4,0)</f>
        <v>2</v>
      </c>
      <c r="J190" s="74">
        <f>IF(ISERR(FIND(" Gangfl.",'IMPORT SCHLIESSERDATEN'!$B182)),IF(ISERR(FIND(" Standfl.",'IMPORT SCHLIESSERDATEN'!$B182)),0,2),1)</f>
        <v>2</v>
      </c>
      <c r="K190" s="74">
        <f>'IMPORT SCHLIESSERDATEN'!CL182</f>
        <v>0</v>
      </c>
      <c r="L190" s="74">
        <f>'IMPORT SCHLIESSERDATEN'!CN182</f>
        <v>0</v>
      </c>
      <c r="M190" s="74">
        <f>IF('IMPORT SCHLIESSERDATEN'!CS182="wie TS",-1,'IMPORT SCHLIESSERDATEN'!CS182)</f>
        <v>15</v>
      </c>
      <c r="N190" s="74">
        <f>IF(M190&lt;0,-1,'IMPORT SCHLIESSERDATEN'!CU182)</f>
        <v>6</v>
      </c>
      <c r="O190" s="74">
        <f>IF('IMPORT SCHLIESSERDATEN'!CZ182="wie TS",-1,'IMPORT SCHLIESSERDATEN'!CZ182)</f>
        <v>0</v>
      </c>
      <c r="P190" s="74">
        <f>IF(O190&lt;0,-1,'IMPORT SCHLIESSERDATEN'!DB182)</f>
        <v>0</v>
      </c>
      <c r="Q190" s="74">
        <f>'IMPORT SCHLIESSERDATEN'!DG182</f>
        <v>0</v>
      </c>
      <c r="R190" s="74">
        <f>'IMPORT SCHLIESSERDATEN'!DI182</f>
        <v>0</v>
      </c>
      <c r="S190" s="74">
        <f>'IMPORT SCHLIESSERDATEN'!DN182</f>
        <v>0</v>
      </c>
      <c r="T190" s="74">
        <f>IF('IMPORT SCHLIESSERDATEN'!DP182="V",9999,'IMPORT SCHLIESSERDATEN'!DP182)</f>
        <v>0</v>
      </c>
      <c r="U190" s="74">
        <f>'IMPORT SCHLIESSERDATEN'!BW182</f>
        <v>685</v>
      </c>
      <c r="V190" s="74">
        <f>'IMPORT SCHLIESSERDATEN'!BX182</f>
        <v>130</v>
      </c>
      <c r="W190" s="74">
        <f>'IMPORT SCHLIESSERDATEN'!BY182</f>
        <v>70</v>
      </c>
      <c r="X190" s="74">
        <f>'IMPORT SCHLIESSERDATEN'!CO182</f>
        <v>0</v>
      </c>
      <c r="Y190" s="74">
        <f>'IMPORT SCHLIESSERDATEN'!CQ182</f>
        <v>0</v>
      </c>
      <c r="Z190" s="74">
        <f>'IMPORT SCHLIESSERDATEN'!CV182</f>
        <v>270</v>
      </c>
      <c r="AA190" s="74">
        <f>'IMPORT SCHLIESSERDATEN'!CX182</f>
        <v>20</v>
      </c>
      <c r="AB190" s="74">
        <f>'IMPORT SCHLIESSERDATEN'!DC182</f>
        <v>0</v>
      </c>
      <c r="AC190" s="74">
        <f>'IMPORT SCHLIESSERDATEN'!DE182</f>
        <v>0</v>
      </c>
      <c r="AD190" s="74">
        <f>'IMPORT SCHLIESSERDATEN'!DJ182</f>
        <v>0</v>
      </c>
      <c r="AE190" s="74">
        <f>'IMPORT SCHLIESSERDATEN'!DL182</f>
        <v>0</v>
      </c>
      <c r="AF190" s="74">
        <f>'IMPORT SCHLIESSERDATEN'!DQ182</f>
        <v>0</v>
      </c>
      <c r="AG190" s="74">
        <f>IF('IMPORT SCHLIESSERDATEN'!DS182="V",9999,'IMPORT SCHLIESSERDATEN'!DS182)</f>
        <v>0</v>
      </c>
      <c r="AH190" s="74">
        <f>IF('IMPORT SCHLIESSERDATEN'!BZ182="V",9999,IF('IMPORT SCHLIESSERDATEN'!CD182="_",-1,'IMPORT SCHLIESSERDATEN'!BZ182))</f>
        <v>355</v>
      </c>
      <c r="AI190" s="74">
        <f>IF('IMPORT SCHLIESSERDATEN'!CA182="V",9999,IF('IMPORT SCHLIESSERDATEN'!CD182="_",-1,'IMPORT SCHLIESSERDATEN'!CA182))</f>
        <v>25</v>
      </c>
      <c r="AJ190" s="74">
        <f>IF('IMPORT SCHLIESSERDATEN'!CB182="V",9999,IF('IMPORT SCHLIESSERDATEN'!CD182="_",-1,'IMPORT SCHLIESSERDATEN'!CB182))</f>
        <v>30</v>
      </c>
      <c r="AK190" s="74">
        <f>IF('IMPORT SCHLIESSERDATEN'!CC182="V",9999,IF('IMPORT SCHLIESSERDATEN'!CC182="_",-1,'IMPORT SCHLIESSERDATEN'!CC182))</f>
        <v>30</v>
      </c>
      <c r="AL190" s="74">
        <f>IF('IMPORT SCHLIESSERDATEN'!CD182="_",-1,'IMPORT SCHLIESSERDATEN'!CD182)</f>
        <v>400</v>
      </c>
      <c r="AM190" s="74">
        <f>'IMPORT SCHLIESSERDATEN'!CH182</f>
        <v>135</v>
      </c>
      <c r="AN190" s="74">
        <f>IF('IMPORT SCHLIESSERDATEN'!CE182="V",9999,'IMPORT SCHLIESSERDATEN'!CE182)</f>
        <v>61</v>
      </c>
      <c r="AO190" s="74">
        <f>IF('IMPORT SCHLIESSERDATEN'!CK182="_",-1,'IMPORT SCHLIESSERDATEN'!CK182)</f>
        <v>-1</v>
      </c>
      <c r="AP190" s="74">
        <f>IF('IMPORT SCHLIESSERDATEN'!$U182="",0,1)</f>
        <v>1</v>
      </c>
      <c r="AQ190" s="74">
        <f>IF('IMPORT SCHLIESSERDATEN'!$V182="",0,1)</f>
        <v>1</v>
      </c>
      <c r="AR190" s="74">
        <f>IF('IMPORT SCHLIESSERDATEN'!$W182="",0,1)</f>
        <v>0</v>
      </c>
      <c r="AS190" s="74">
        <f>IF('IMPORT SCHLIESSERDATEN'!$AA182="",0,1)</f>
        <v>1</v>
      </c>
      <c r="AT190" s="74">
        <f>IF('IMPORT SCHLIESSERDATEN'!$AD182="",0,1) + IF('IMPORT SCHLIESSERDATEN'!$AE182="",0,2)</f>
        <v>2</v>
      </c>
      <c r="AU190" s="74" t="str">
        <f>IF('IMPORT SCHLIESSERDATEN'!$X182="",IF('IMPORT SCHLIESSERDATEN'!$Y182="","","F"),"V")</f>
        <v/>
      </c>
      <c r="AV190" s="74" t="str">
        <f>IF('IMPORT SCHLIESSERDATEN'!$AB182&lt;&gt;"","M",IF('IMPORT SCHLIESSERDATEN'!$AD182&lt;&gt;"",IF(ISERR(SEARCH("UVIBIS",'IMPORT SCHLIESSERDATEN'!$B182)),"R","B"),IF(OR('IMPORT SCHLIESSERDATEN'!$AC182&lt;&gt;"",'IMPORT SCHLIESSERDATEN'!$AE182&lt;&gt;""),"E","")))</f>
        <v>E</v>
      </c>
      <c r="AW190" s="82"/>
      <c r="AX190" s="67"/>
    </row>
    <row r="191" spans="1:50" x14ac:dyDescent="0.25">
      <c r="A191" s="67">
        <f>IFERROR(IF(C191&lt;&gt;"",MAX($A$2:$A190)+1,""),"")</f>
        <v>179</v>
      </c>
      <c r="B191" s="223">
        <f t="shared" si="3"/>
        <v>179</v>
      </c>
      <c r="C191" s="216" t="str">
        <f>'IMPORT SCHLIESSERDATEN'!$B183</f>
        <v>ED250 GST N</v>
      </c>
      <c r="D191" s="216" t="str">
        <f>IF('IMPORT SCHLIESSERDATEN'!$AF183&lt;&gt;"",IF(COUNTA('IMPORT SCHLIESSERDATEN'!$AN183:$AU183)&gt;0,"X","G"),IF('IMPORT SCHLIESSERDATEN'!$AG183&lt;&gt;"","S",IF('IMPORT SCHLIESSERDATEN'!$AH183&lt;&gt;"","I",IF('IMPORT SCHLIESSERDATEN'!$AI183&lt;&gt;"","B",IF('IMPORT SCHLIESSERDATEN'!$AJ183&lt;&gt;"","D","")))))</f>
        <v>D</v>
      </c>
      <c r="E191" s="248" t="str">
        <f>'IMPORT SCHLIESSERDATEN'!AK183 &amp; IF('IMPORT SCHLIESSERDATEN'!AL183="",""," "&amp; 'IMPORT SCHLIESSERDATEN'!AL183)</f>
        <v>250 1</v>
      </c>
      <c r="F191" s="74">
        <f>IFERROR(IF(D191="X",2^(MATCH("",'IMPORT SCHLIESSERDATEN'!$AN183:$AU183,-1)-1),IF(AV191="F",2^(MATCH("",'IMPORT SCHLIESSERDATEN'!$BH183:$BK183,-1)-1),2^(MATCH("",'IMPORT SCHLIESSERDATEN'!$AV183:$BG183,-1)-1))),0)</f>
        <v>0</v>
      </c>
      <c r="G191" s="74">
        <f>IF(AND('IMPORT SCHLIESSERDATEN'!$O183='IMPORT SCHLIESSERDATEN'!$R183,'IMPORT SCHLIESSERDATEN'!$O183&lt;&gt;"",'IMPORT SCHLIESSERDATEN'!$R183&lt;&gt;""),1,0)  +  IF(AND('IMPORT SCHLIESSERDATEN'!$P183='IMPORT SCHLIESSERDATEN'!$S183,'IMPORT SCHLIESSERDATEN'!$P183&lt;&gt;"",'IMPORT SCHLIESSERDATEN'!$S183&lt;&gt;""),2,0)   +  IF(AND('IMPORT SCHLIESSERDATEN'!$O183='IMPORT SCHLIESSERDATEN'!$S183,'IMPORT SCHLIESSERDATEN'!$O183&lt;&gt;"",'IMPORT SCHLIESSERDATEN'!$S183&lt;&gt;""),4,0)   +  IF(AND('IMPORT SCHLIESSERDATEN'!$P183='IMPORT SCHLIESSERDATEN'!$R183,'IMPORT SCHLIESSERDATEN'!$P183&lt;&gt;"",'IMPORT SCHLIESSERDATEN'!$R183&lt;&gt;""),8,0)   +  IF('IMPORT SCHLIESSERDATEN'!$Q183&lt;&gt;"",IF('IMPORT SCHLIESSERDATEN'!$R183&lt;&gt;"",32,0) + IF('IMPORT SCHLIESSERDATEN'!$S183&lt;&gt;"",64,0),0)  +  IF('IMPORT SCHLIESSERDATEN'!$T183&lt;&gt;"",IF('IMPORT SCHLIESSERDATEN'!$Q183&lt;&gt;"",128+256,128),0)</f>
        <v>2</v>
      </c>
      <c r="H191" s="74">
        <f>IF('IMPORT SCHLIESSERDATEN'!$H183="",0,1) + IF('IMPORT SCHLIESSERDATEN'!$I183="",0,2) + IF('IMPORT SCHLIESSERDATEN'!$J183="",0,4) + IF('IMPORT SCHLIESSERDATEN'!$K183="",0,8) + IF('IMPORT SCHLIESSERDATEN'!$L183="",0,16) + IF('IMPORT SCHLIESSERDATEN'!$M183="",0,32) + IF('IMPORT SCHLIESSERDATEN'!$N183="",0,64)</f>
        <v>120</v>
      </c>
      <c r="I191" s="74">
        <f>IF('IMPORT SCHLIESSERDATEN'!$D183="",0,1) + IF('IMPORT SCHLIESSERDATEN'!$E183="",0,2) + IF('IMPORT SCHLIESSERDATEN'!$E183="S",4,0)</f>
        <v>1</v>
      </c>
      <c r="J191" s="74">
        <f>IF(ISERR(FIND(" Gangfl.",'IMPORT SCHLIESSERDATEN'!$B183)),IF(ISERR(FIND(" Standfl.",'IMPORT SCHLIESSERDATEN'!$B183)),0,2),1)</f>
        <v>0</v>
      </c>
      <c r="K191" s="74">
        <f>'IMPORT SCHLIESSERDATEN'!CL183</f>
        <v>0</v>
      </c>
      <c r="L191" s="74">
        <f>'IMPORT SCHLIESSERDATEN'!CN183</f>
        <v>0</v>
      </c>
      <c r="M191" s="74">
        <f>IF('IMPORT SCHLIESSERDATEN'!CS183="wie TS",-1,'IMPORT SCHLIESSERDATEN'!CS183)</f>
        <v>15</v>
      </c>
      <c r="N191" s="74">
        <f>IF(M191&lt;0,-1,'IMPORT SCHLIESSERDATEN'!CU183)</f>
        <v>6</v>
      </c>
      <c r="O191" s="74">
        <f>IF('IMPORT SCHLIESSERDATEN'!CZ183="wie TS",-1,'IMPORT SCHLIESSERDATEN'!CZ183)</f>
        <v>0</v>
      </c>
      <c r="P191" s="74">
        <f>IF(O191&lt;0,-1,'IMPORT SCHLIESSERDATEN'!DB183)</f>
        <v>0</v>
      </c>
      <c r="Q191" s="74">
        <f>'IMPORT SCHLIESSERDATEN'!DG183</f>
        <v>0</v>
      </c>
      <c r="R191" s="74">
        <f>'IMPORT SCHLIESSERDATEN'!DI183</f>
        <v>0</v>
      </c>
      <c r="S191" s="74">
        <f>'IMPORT SCHLIESSERDATEN'!DN183</f>
        <v>0</v>
      </c>
      <c r="T191" s="74">
        <f>IF('IMPORT SCHLIESSERDATEN'!DP183="V",9999,'IMPORT SCHLIESSERDATEN'!DP183)</f>
        <v>0</v>
      </c>
      <c r="U191" s="74">
        <f>'IMPORT SCHLIESSERDATEN'!BW183</f>
        <v>685</v>
      </c>
      <c r="V191" s="74">
        <f>'IMPORT SCHLIESSERDATEN'!BX183</f>
        <v>130</v>
      </c>
      <c r="W191" s="74">
        <f>'IMPORT SCHLIESSERDATEN'!BY183</f>
        <v>70</v>
      </c>
      <c r="X191" s="74">
        <f>'IMPORT SCHLIESSERDATEN'!CO183</f>
        <v>0</v>
      </c>
      <c r="Y191" s="74">
        <f>'IMPORT SCHLIESSERDATEN'!CQ183</f>
        <v>0</v>
      </c>
      <c r="Z191" s="74">
        <f>'IMPORT SCHLIESSERDATEN'!CV183</f>
        <v>270</v>
      </c>
      <c r="AA191" s="74">
        <f>'IMPORT SCHLIESSERDATEN'!CX183</f>
        <v>20</v>
      </c>
      <c r="AB191" s="74">
        <f>'IMPORT SCHLIESSERDATEN'!DC183</f>
        <v>0</v>
      </c>
      <c r="AC191" s="74">
        <f>'IMPORT SCHLIESSERDATEN'!DE183</f>
        <v>0</v>
      </c>
      <c r="AD191" s="74">
        <f>'IMPORT SCHLIESSERDATEN'!DJ183</f>
        <v>0</v>
      </c>
      <c r="AE191" s="74">
        <f>'IMPORT SCHLIESSERDATEN'!DL183</f>
        <v>0</v>
      </c>
      <c r="AF191" s="74">
        <f>'IMPORT SCHLIESSERDATEN'!DQ183</f>
        <v>0</v>
      </c>
      <c r="AG191" s="74">
        <f>IF('IMPORT SCHLIESSERDATEN'!DS183="V",9999,'IMPORT SCHLIESSERDATEN'!DS183)</f>
        <v>0</v>
      </c>
      <c r="AH191" s="74">
        <f>IF('IMPORT SCHLIESSERDATEN'!BZ183="V",9999,IF('IMPORT SCHLIESSERDATEN'!CD183="_",-1,'IMPORT SCHLIESSERDATEN'!BZ183))</f>
        <v>355</v>
      </c>
      <c r="AI191" s="74">
        <f>IF('IMPORT SCHLIESSERDATEN'!CA183="V",9999,IF('IMPORT SCHLIESSERDATEN'!CD183="_",-1,'IMPORT SCHLIESSERDATEN'!CA183))</f>
        <v>25</v>
      </c>
      <c r="AJ191" s="74">
        <f>IF('IMPORT SCHLIESSERDATEN'!CB183="V",9999,IF('IMPORT SCHLIESSERDATEN'!CD183="_",-1,'IMPORT SCHLIESSERDATEN'!CB183))</f>
        <v>30</v>
      </c>
      <c r="AK191" s="74">
        <f>IF('IMPORT SCHLIESSERDATEN'!CC183="V",9999,IF('IMPORT SCHLIESSERDATEN'!CC183="_",-1,'IMPORT SCHLIESSERDATEN'!CC183))</f>
        <v>30</v>
      </c>
      <c r="AL191" s="74">
        <f>IF('IMPORT SCHLIESSERDATEN'!CD183="_",-1,'IMPORT SCHLIESSERDATEN'!CD183)</f>
        <v>400</v>
      </c>
      <c r="AM191" s="74">
        <f>'IMPORT SCHLIESSERDATEN'!CH183</f>
        <v>135</v>
      </c>
      <c r="AN191" s="74">
        <f>IF('IMPORT SCHLIESSERDATEN'!CE183="V",9999,'IMPORT SCHLIESSERDATEN'!CE183)</f>
        <v>61</v>
      </c>
      <c r="AO191" s="74">
        <f>IF('IMPORT SCHLIESSERDATEN'!CK183="_",-1,'IMPORT SCHLIESSERDATEN'!CK183)</f>
        <v>-1</v>
      </c>
      <c r="AP191" s="74">
        <f>IF('IMPORT SCHLIESSERDATEN'!$U183="",0,1)</f>
        <v>1</v>
      </c>
      <c r="AQ191" s="74">
        <f>IF('IMPORT SCHLIESSERDATEN'!$V183="",0,1)</f>
        <v>1</v>
      </c>
      <c r="AR191" s="74">
        <f>IF('IMPORT SCHLIESSERDATEN'!$W183="",0,1)</f>
        <v>0</v>
      </c>
      <c r="AS191" s="74">
        <f>IF('IMPORT SCHLIESSERDATEN'!$AA183="",0,1)</f>
        <v>1</v>
      </c>
      <c r="AT191" s="74">
        <f>IF('IMPORT SCHLIESSERDATEN'!$AD183="",0,1) + IF('IMPORT SCHLIESSERDATEN'!$AE183="",0,2)</f>
        <v>2</v>
      </c>
      <c r="AU191" s="74" t="str">
        <f>IF('IMPORT SCHLIESSERDATEN'!$X183="",IF('IMPORT SCHLIESSERDATEN'!$Y183="","","F"),"V")</f>
        <v/>
      </c>
      <c r="AV191" s="74" t="str">
        <f>IF('IMPORT SCHLIESSERDATEN'!$AB183&lt;&gt;"","M",IF('IMPORT SCHLIESSERDATEN'!$AD183&lt;&gt;"",IF(ISERR(SEARCH("UVIBIS",'IMPORT SCHLIESSERDATEN'!$B183)),"R","B"),IF(OR('IMPORT SCHLIESSERDATEN'!$AC183&lt;&gt;"",'IMPORT SCHLIESSERDATEN'!$AE183&lt;&gt;""),"E","")))</f>
        <v>E</v>
      </c>
      <c r="AW191" s="82"/>
      <c r="AX191" s="67"/>
    </row>
    <row r="192" spans="1:50" x14ac:dyDescent="0.25">
      <c r="A192" s="67">
        <f>IFERROR(IF(C192&lt;&gt;"",MAX($A$2:$A191)+1,""),"")</f>
        <v>180</v>
      </c>
      <c r="B192" s="223">
        <f t="shared" si="3"/>
        <v>180</v>
      </c>
      <c r="C192" s="216" t="str">
        <f>'IMPORT SCHLIESSERDATEN'!$B184</f>
        <v>ED 250 GSR, (1 ED Gangfl. -1 TS am Standfl.)</v>
      </c>
      <c r="D192" s="216" t="str">
        <f>IF('IMPORT SCHLIESSERDATEN'!$AF184&lt;&gt;"",IF(COUNTA('IMPORT SCHLIESSERDATEN'!$AN184:$AU184)&gt;0,"X","G"),IF('IMPORT SCHLIESSERDATEN'!$AG184&lt;&gt;"","S",IF('IMPORT SCHLIESSERDATEN'!$AH184&lt;&gt;"","I",IF('IMPORT SCHLIESSERDATEN'!$AI184&lt;&gt;"","B",IF('IMPORT SCHLIESSERDATEN'!$AJ184&lt;&gt;"","D","")))))</f>
        <v>D</v>
      </c>
      <c r="E192" s="248" t="str">
        <f>'IMPORT SCHLIESSERDATEN'!AK184 &amp; IF('IMPORT SCHLIESSERDATEN'!AL184="",""," "&amp; 'IMPORT SCHLIESSERDATEN'!AL184)</f>
        <v>250 2</v>
      </c>
      <c r="F192" s="74">
        <f>IFERROR(IF(D192="X",2^(MATCH("",'IMPORT SCHLIESSERDATEN'!$AN184:$AU184,-1)-1),IF(AV192="F",2^(MATCH("",'IMPORT SCHLIESSERDATEN'!$BH184:$BK184,-1)-1),2^(MATCH("",'IMPORT SCHLIESSERDATEN'!$AV184:$BG184,-1)-1))),0)</f>
        <v>16</v>
      </c>
      <c r="G192" s="74">
        <f>IF(AND('IMPORT SCHLIESSERDATEN'!$O184='IMPORT SCHLIESSERDATEN'!$R184,'IMPORT SCHLIESSERDATEN'!$O184&lt;&gt;"",'IMPORT SCHLIESSERDATEN'!$R184&lt;&gt;""),1,0)  +  IF(AND('IMPORT SCHLIESSERDATEN'!$P184='IMPORT SCHLIESSERDATEN'!$S184,'IMPORT SCHLIESSERDATEN'!$P184&lt;&gt;"",'IMPORT SCHLIESSERDATEN'!$S184&lt;&gt;""),2,0)   +  IF(AND('IMPORT SCHLIESSERDATEN'!$O184='IMPORT SCHLIESSERDATEN'!$S184,'IMPORT SCHLIESSERDATEN'!$O184&lt;&gt;"",'IMPORT SCHLIESSERDATEN'!$S184&lt;&gt;""),4,0)   +  IF(AND('IMPORT SCHLIESSERDATEN'!$P184='IMPORT SCHLIESSERDATEN'!$R184,'IMPORT SCHLIESSERDATEN'!$P184&lt;&gt;"",'IMPORT SCHLIESSERDATEN'!$R184&lt;&gt;""),8,0)   +  IF('IMPORT SCHLIESSERDATEN'!$Q184&lt;&gt;"",IF('IMPORT SCHLIESSERDATEN'!$R184&lt;&gt;"",32,0) + IF('IMPORT SCHLIESSERDATEN'!$S184&lt;&gt;"",64,0),0)  +  IF('IMPORT SCHLIESSERDATEN'!$T184&lt;&gt;"",IF('IMPORT SCHLIESSERDATEN'!$Q184&lt;&gt;"",128+256,128),0)</f>
        <v>2</v>
      </c>
      <c r="H192" s="74">
        <f>IF('IMPORT SCHLIESSERDATEN'!$H184="",0,1) + IF('IMPORT SCHLIESSERDATEN'!$I184="",0,2) + IF('IMPORT SCHLIESSERDATEN'!$J184="",0,4) + IF('IMPORT SCHLIESSERDATEN'!$K184="",0,8) + IF('IMPORT SCHLIESSERDATEN'!$L184="",0,16) + IF('IMPORT SCHLIESSERDATEN'!$M184="",0,32) + IF('IMPORT SCHLIESSERDATEN'!$N184="",0,64)</f>
        <v>120</v>
      </c>
      <c r="I192" s="74">
        <f>IF('IMPORT SCHLIESSERDATEN'!$D184="",0,1) + IF('IMPORT SCHLIESSERDATEN'!$E184="",0,2) + IF('IMPORT SCHLIESSERDATEN'!$E184="S",4,0)</f>
        <v>2</v>
      </c>
      <c r="J192" s="74">
        <f>IF(ISERR(FIND(" Gangfl.",'IMPORT SCHLIESSERDATEN'!$B184)),IF(ISERR(FIND(" Standfl.",'IMPORT SCHLIESSERDATEN'!$B184)),0,2),1)</f>
        <v>1</v>
      </c>
      <c r="K192" s="74">
        <f>'IMPORT SCHLIESSERDATEN'!CL184</f>
        <v>0</v>
      </c>
      <c r="L192" s="74">
        <f>'IMPORT SCHLIESSERDATEN'!CN184</f>
        <v>0</v>
      </c>
      <c r="M192" s="74">
        <f>IF('IMPORT SCHLIESSERDATEN'!CS184="wie TS",-1,'IMPORT SCHLIESSERDATEN'!CS184)</f>
        <v>15</v>
      </c>
      <c r="N192" s="74">
        <f>IF(M192&lt;0,-1,'IMPORT SCHLIESSERDATEN'!CU184)</f>
        <v>6</v>
      </c>
      <c r="O192" s="74">
        <f>IF('IMPORT SCHLIESSERDATEN'!CZ184="wie TS",-1,'IMPORT SCHLIESSERDATEN'!CZ184)</f>
        <v>0</v>
      </c>
      <c r="P192" s="74">
        <f>IF(O192&lt;0,-1,'IMPORT SCHLIESSERDATEN'!DB184)</f>
        <v>0</v>
      </c>
      <c r="Q192" s="74">
        <f>'IMPORT SCHLIESSERDATEN'!DG184</f>
        <v>0</v>
      </c>
      <c r="R192" s="74">
        <f>'IMPORT SCHLIESSERDATEN'!DI184</f>
        <v>0</v>
      </c>
      <c r="S192" s="74">
        <f>'IMPORT SCHLIESSERDATEN'!DN184</f>
        <v>0</v>
      </c>
      <c r="T192" s="74">
        <f>IF('IMPORT SCHLIESSERDATEN'!DP184="V",9999,'IMPORT SCHLIESSERDATEN'!DP184)</f>
        <v>0</v>
      </c>
      <c r="U192" s="74">
        <f>'IMPORT SCHLIESSERDATEN'!BW184</f>
        <v>685</v>
      </c>
      <c r="V192" s="74">
        <f>'IMPORT SCHLIESSERDATEN'!BX184</f>
        <v>130</v>
      </c>
      <c r="W192" s="74">
        <f>'IMPORT SCHLIESSERDATEN'!BY184</f>
        <v>70</v>
      </c>
      <c r="X192" s="74">
        <f>'IMPORT SCHLIESSERDATEN'!CO184</f>
        <v>0</v>
      </c>
      <c r="Y192" s="74">
        <f>'IMPORT SCHLIESSERDATEN'!CQ184</f>
        <v>0</v>
      </c>
      <c r="Z192" s="74">
        <f>'IMPORT SCHLIESSERDATEN'!CV184</f>
        <v>270</v>
      </c>
      <c r="AA192" s="74">
        <f>'IMPORT SCHLIESSERDATEN'!CX184</f>
        <v>20</v>
      </c>
      <c r="AB192" s="74">
        <f>'IMPORT SCHLIESSERDATEN'!DC184</f>
        <v>0</v>
      </c>
      <c r="AC192" s="74">
        <f>'IMPORT SCHLIESSERDATEN'!DE184</f>
        <v>0</v>
      </c>
      <c r="AD192" s="74">
        <f>'IMPORT SCHLIESSERDATEN'!DJ184</f>
        <v>0</v>
      </c>
      <c r="AE192" s="74">
        <f>'IMPORT SCHLIESSERDATEN'!DL184</f>
        <v>0</v>
      </c>
      <c r="AF192" s="74">
        <f>'IMPORT SCHLIESSERDATEN'!DQ184</f>
        <v>0</v>
      </c>
      <c r="AG192" s="74">
        <f>IF('IMPORT SCHLIESSERDATEN'!DS184="V",9999,'IMPORT SCHLIESSERDATEN'!DS184)</f>
        <v>0</v>
      </c>
      <c r="AH192" s="74">
        <f>IF('IMPORT SCHLIESSERDATEN'!BZ184="V",9999,IF('IMPORT SCHLIESSERDATEN'!CD184="_",-1,'IMPORT SCHLIESSERDATEN'!BZ184))</f>
        <v>355</v>
      </c>
      <c r="AI192" s="74">
        <f>IF('IMPORT SCHLIESSERDATEN'!CA184="V",9999,IF('IMPORT SCHLIESSERDATEN'!CD184="_",-1,'IMPORT SCHLIESSERDATEN'!CA184))</f>
        <v>25</v>
      </c>
      <c r="AJ192" s="74">
        <f>IF('IMPORT SCHLIESSERDATEN'!CB184="V",9999,IF('IMPORT SCHLIESSERDATEN'!CD184="_",-1,'IMPORT SCHLIESSERDATEN'!CB184))</f>
        <v>30</v>
      </c>
      <c r="AK192" s="74">
        <f>IF('IMPORT SCHLIESSERDATEN'!CC184="V",9999,IF('IMPORT SCHLIESSERDATEN'!CC184="_",-1,'IMPORT SCHLIESSERDATEN'!CC184))</f>
        <v>30</v>
      </c>
      <c r="AL192" s="74">
        <f>IF('IMPORT SCHLIESSERDATEN'!CD184="_",-1,'IMPORT SCHLIESSERDATEN'!CD184)</f>
        <v>400</v>
      </c>
      <c r="AM192" s="74">
        <f>'IMPORT SCHLIESSERDATEN'!CH184</f>
        <v>135</v>
      </c>
      <c r="AN192" s="74">
        <f>IF('IMPORT SCHLIESSERDATEN'!CE184="V",9999,'IMPORT SCHLIESSERDATEN'!CE184)</f>
        <v>61</v>
      </c>
      <c r="AO192" s="74">
        <f>IF('IMPORT SCHLIESSERDATEN'!CK184="_",-1,'IMPORT SCHLIESSERDATEN'!CK184)</f>
        <v>-1</v>
      </c>
      <c r="AP192" s="74">
        <f>IF('IMPORT SCHLIESSERDATEN'!$U184="",0,1)</f>
        <v>1</v>
      </c>
      <c r="AQ192" s="74">
        <f>IF('IMPORT SCHLIESSERDATEN'!$V184="",0,1)</f>
        <v>1</v>
      </c>
      <c r="AR192" s="74">
        <f>IF('IMPORT SCHLIESSERDATEN'!$W184="",0,1)</f>
        <v>1</v>
      </c>
      <c r="AS192" s="74">
        <f>IF('IMPORT SCHLIESSERDATEN'!$AA184="",0,1)</f>
        <v>1</v>
      </c>
      <c r="AT192" s="74">
        <f>IF('IMPORT SCHLIESSERDATEN'!$AD184="",0,1) + IF('IMPORT SCHLIESSERDATEN'!$AE184="",0,2)</f>
        <v>2</v>
      </c>
      <c r="AU192" s="74" t="str">
        <f>IF('IMPORT SCHLIESSERDATEN'!$X184="",IF('IMPORT SCHLIESSERDATEN'!$Y184="","","F"),"V")</f>
        <v/>
      </c>
      <c r="AV192" s="74" t="str">
        <f>IF('IMPORT SCHLIESSERDATEN'!$AB184&lt;&gt;"","M",IF('IMPORT SCHLIESSERDATEN'!$AD184&lt;&gt;"",IF(ISERR(SEARCH("UVIBIS",'IMPORT SCHLIESSERDATEN'!$B184)),"R","B"),IF(OR('IMPORT SCHLIESSERDATEN'!$AC184&lt;&gt;"",'IMPORT SCHLIESSERDATEN'!$AE184&lt;&gt;""),"E","")))</f>
        <v>E</v>
      </c>
      <c r="AW192" s="82"/>
      <c r="AX192" s="67"/>
    </row>
    <row r="193" spans="1:50" x14ac:dyDescent="0.25">
      <c r="A193" s="67">
        <f>IFERROR(IF(C193&lt;&gt;"",MAX($A$2:$A192)+1,""),"")</f>
        <v>181</v>
      </c>
      <c r="B193" s="223">
        <f t="shared" si="3"/>
        <v>181</v>
      </c>
      <c r="C193" s="216" t="str">
        <f>'IMPORT SCHLIESSERDATEN'!$B185</f>
        <v>ED 250 zweiflüglig, getrennt Gangfl.</v>
      </c>
      <c r="D193" s="216" t="str">
        <f>IF('IMPORT SCHLIESSERDATEN'!$AF185&lt;&gt;"",IF(COUNTA('IMPORT SCHLIESSERDATEN'!$AN185:$AU185)&gt;0,"X","G"),IF('IMPORT SCHLIESSERDATEN'!$AG185&lt;&gt;"","S",IF('IMPORT SCHLIESSERDATEN'!$AH185&lt;&gt;"","I",IF('IMPORT SCHLIESSERDATEN'!$AI185&lt;&gt;"","B",IF('IMPORT SCHLIESSERDATEN'!$AJ185&lt;&gt;"","D","")))))</f>
        <v>D</v>
      </c>
      <c r="E193" s="248" t="str">
        <f>'IMPORT SCHLIESSERDATEN'!AK185 &amp; IF('IMPORT SCHLIESSERDATEN'!AL185="",""," "&amp; 'IMPORT SCHLIESSERDATEN'!AL185)</f>
        <v>250 5</v>
      </c>
      <c r="F193" s="74">
        <f>IFERROR(IF(D193="X",2^(MATCH("",'IMPORT SCHLIESSERDATEN'!$AN185:$AU185,-1)-1),IF(AV193="F",2^(MATCH("",'IMPORT SCHLIESSERDATEN'!$BH185:$BK185,-1)-1),2^(MATCH("",'IMPORT SCHLIESSERDATEN'!$AV185:$BG185,-1)-1))),0)</f>
        <v>0</v>
      </c>
      <c r="G193" s="74">
        <f>IF(AND('IMPORT SCHLIESSERDATEN'!$O185='IMPORT SCHLIESSERDATEN'!$R185,'IMPORT SCHLIESSERDATEN'!$O185&lt;&gt;"",'IMPORT SCHLIESSERDATEN'!$R185&lt;&gt;""),1,0)  +  IF(AND('IMPORT SCHLIESSERDATEN'!$P185='IMPORT SCHLIESSERDATEN'!$S185,'IMPORT SCHLIESSERDATEN'!$P185&lt;&gt;"",'IMPORT SCHLIESSERDATEN'!$S185&lt;&gt;""),2,0)   +  IF(AND('IMPORT SCHLIESSERDATEN'!$O185='IMPORT SCHLIESSERDATEN'!$S185,'IMPORT SCHLIESSERDATEN'!$O185&lt;&gt;"",'IMPORT SCHLIESSERDATEN'!$S185&lt;&gt;""),4,0)   +  IF(AND('IMPORT SCHLIESSERDATEN'!$P185='IMPORT SCHLIESSERDATEN'!$R185,'IMPORT SCHLIESSERDATEN'!$P185&lt;&gt;"",'IMPORT SCHLIESSERDATEN'!$R185&lt;&gt;""),8,0)   +  IF('IMPORT SCHLIESSERDATEN'!$Q185&lt;&gt;"",IF('IMPORT SCHLIESSERDATEN'!$R185&lt;&gt;"",32,0) + IF('IMPORT SCHLIESSERDATEN'!$S185&lt;&gt;"",64,0),0)  +  IF('IMPORT SCHLIESSERDATEN'!$T185&lt;&gt;"",IF('IMPORT SCHLIESSERDATEN'!$Q185&lt;&gt;"",128+256,128),0)</f>
        <v>2</v>
      </c>
      <c r="H193" s="74">
        <f>IF('IMPORT SCHLIESSERDATEN'!$H185="",0,1) + IF('IMPORT SCHLIESSERDATEN'!$I185="",0,2) + IF('IMPORT SCHLIESSERDATEN'!$J185="",0,4) + IF('IMPORT SCHLIESSERDATEN'!$K185="",0,8) + IF('IMPORT SCHLIESSERDATEN'!$L185="",0,16) + IF('IMPORT SCHLIESSERDATEN'!$M185="",0,32) + IF('IMPORT SCHLIESSERDATEN'!$N185="",0,64)</f>
        <v>120</v>
      </c>
      <c r="I193" s="74">
        <f>IF('IMPORT SCHLIESSERDATEN'!$D185="",0,1) + IF('IMPORT SCHLIESSERDATEN'!$E185="",0,2) + IF('IMPORT SCHLIESSERDATEN'!$E185="S",4,0)</f>
        <v>2</v>
      </c>
      <c r="J193" s="74">
        <f>IF(ISERR(FIND(" Gangfl.",'IMPORT SCHLIESSERDATEN'!$B185)),IF(ISERR(FIND(" Standfl.",'IMPORT SCHLIESSERDATEN'!$B185)),0,2),1)</f>
        <v>1</v>
      </c>
      <c r="K193" s="74">
        <f>'IMPORT SCHLIESSERDATEN'!CL185</f>
        <v>0</v>
      </c>
      <c r="L193" s="74">
        <f>'IMPORT SCHLIESSERDATEN'!CN185</f>
        <v>0</v>
      </c>
      <c r="M193" s="74">
        <f>IF('IMPORT SCHLIESSERDATEN'!CS185="wie TS",-1,'IMPORT SCHLIESSERDATEN'!CS185)</f>
        <v>15</v>
      </c>
      <c r="N193" s="74">
        <f>IF(M193&lt;0,-1,'IMPORT SCHLIESSERDATEN'!CU185)</f>
        <v>6</v>
      </c>
      <c r="O193" s="74">
        <f>IF('IMPORT SCHLIESSERDATEN'!CZ185="wie TS",-1,'IMPORT SCHLIESSERDATEN'!CZ185)</f>
        <v>0</v>
      </c>
      <c r="P193" s="74">
        <f>IF(O193&lt;0,-1,'IMPORT SCHLIESSERDATEN'!DB185)</f>
        <v>0</v>
      </c>
      <c r="Q193" s="74">
        <f>'IMPORT SCHLIESSERDATEN'!DG185</f>
        <v>0</v>
      </c>
      <c r="R193" s="74">
        <f>'IMPORT SCHLIESSERDATEN'!DI185</f>
        <v>0</v>
      </c>
      <c r="S193" s="74">
        <f>'IMPORT SCHLIESSERDATEN'!DN185</f>
        <v>0</v>
      </c>
      <c r="T193" s="74">
        <f>IF('IMPORT SCHLIESSERDATEN'!DP185="V",9999,'IMPORT SCHLIESSERDATEN'!DP185)</f>
        <v>0</v>
      </c>
      <c r="U193" s="74">
        <f>'IMPORT SCHLIESSERDATEN'!BW185</f>
        <v>685</v>
      </c>
      <c r="V193" s="74">
        <f>'IMPORT SCHLIESSERDATEN'!BX185</f>
        <v>130</v>
      </c>
      <c r="W193" s="74">
        <f>'IMPORT SCHLIESSERDATEN'!BY185</f>
        <v>70</v>
      </c>
      <c r="X193" s="74">
        <f>'IMPORT SCHLIESSERDATEN'!CO185</f>
        <v>0</v>
      </c>
      <c r="Y193" s="74">
        <f>'IMPORT SCHLIESSERDATEN'!CQ185</f>
        <v>0</v>
      </c>
      <c r="Z193" s="74">
        <f>'IMPORT SCHLIESSERDATEN'!CV185</f>
        <v>270</v>
      </c>
      <c r="AA193" s="74">
        <f>'IMPORT SCHLIESSERDATEN'!CX185</f>
        <v>20</v>
      </c>
      <c r="AB193" s="74">
        <f>'IMPORT SCHLIESSERDATEN'!DC185</f>
        <v>0</v>
      </c>
      <c r="AC193" s="74">
        <f>'IMPORT SCHLIESSERDATEN'!DE185</f>
        <v>0</v>
      </c>
      <c r="AD193" s="74">
        <f>'IMPORT SCHLIESSERDATEN'!DJ185</f>
        <v>0</v>
      </c>
      <c r="AE193" s="74">
        <f>'IMPORT SCHLIESSERDATEN'!DL185</f>
        <v>0</v>
      </c>
      <c r="AF193" s="74">
        <f>'IMPORT SCHLIESSERDATEN'!DQ185</f>
        <v>0</v>
      </c>
      <c r="AG193" s="74">
        <f>IF('IMPORT SCHLIESSERDATEN'!DS185="V",9999,'IMPORT SCHLIESSERDATEN'!DS185)</f>
        <v>0</v>
      </c>
      <c r="AH193" s="74">
        <f>IF('IMPORT SCHLIESSERDATEN'!BZ185="V",9999,IF('IMPORT SCHLIESSERDATEN'!CD185="_",-1,'IMPORT SCHLIESSERDATEN'!BZ185))</f>
        <v>355</v>
      </c>
      <c r="AI193" s="74">
        <f>IF('IMPORT SCHLIESSERDATEN'!CA185="V",9999,IF('IMPORT SCHLIESSERDATEN'!CD185="_",-1,'IMPORT SCHLIESSERDATEN'!CA185))</f>
        <v>25</v>
      </c>
      <c r="AJ193" s="74">
        <f>IF('IMPORT SCHLIESSERDATEN'!CB185="V",9999,IF('IMPORT SCHLIESSERDATEN'!CD185="_",-1,'IMPORT SCHLIESSERDATEN'!CB185))</f>
        <v>30</v>
      </c>
      <c r="AK193" s="74">
        <f>IF('IMPORT SCHLIESSERDATEN'!CC185="V",9999,IF('IMPORT SCHLIESSERDATEN'!CC185="_",-1,'IMPORT SCHLIESSERDATEN'!CC185))</f>
        <v>30</v>
      </c>
      <c r="AL193" s="74">
        <f>IF('IMPORT SCHLIESSERDATEN'!CD185="_",-1,'IMPORT SCHLIESSERDATEN'!CD185)</f>
        <v>400</v>
      </c>
      <c r="AM193" s="74">
        <f>'IMPORT SCHLIESSERDATEN'!CH185</f>
        <v>135</v>
      </c>
      <c r="AN193" s="74">
        <f>IF('IMPORT SCHLIESSERDATEN'!CE185="V",9999,'IMPORT SCHLIESSERDATEN'!CE185)</f>
        <v>61</v>
      </c>
      <c r="AO193" s="74">
        <f>IF('IMPORT SCHLIESSERDATEN'!CK185="_",-1,'IMPORT SCHLIESSERDATEN'!CK185)</f>
        <v>-1</v>
      </c>
      <c r="AP193" s="74">
        <f>IF('IMPORT SCHLIESSERDATEN'!$U185="",0,1)</f>
        <v>0</v>
      </c>
      <c r="AQ193" s="74">
        <f>IF('IMPORT SCHLIESSERDATEN'!$V185="",0,1)</f>
        <v>1</v>
      </c>
      <c r="AR193" s="74">
        <f>IF('IMPORT SCHLIESSERDATEN'!$W185="",0,1)</f>
        <v>1</v>
      </c>
      <c r="AS193" s="74">
        <f>IF('IMPORT SCHLIESSERDATEN'!$AA185="",0,1)</f>
        <v>1</v>
      </c>
      <c r="AT193" s="74">
        <f>IF('IMPORT SCHLIESSERDATEN'!$AD185="",0,1) + IF('IMPORT SCHLIESSERDATEN'!$AE185="",0,2)</f>
        <v>2</v>
      </c>
      <c r="AU193" s="74" t="str">
        <f>IF('IMPORT SCHLIESSERDATEN'!$X185="",IF('IMPORT SCHLIESSERDATEN'!$Y185="","","F"),"V")</f>
        <v/>
      </c>
      <c r="AV193" s="74" t="str">
        <f>IF('IMPORT SCHLIESSERDATEN'!$AB185&lt;&gt;"","M",IF('IMPORT SCHLIESSERDATEN'!$AD185&lt;&gt;"",IF(ISERR(SEARCH("UVIBIS",'IMPORT SCHLIESSERDATEN'!$B185)),"R","B"),IF(OR('IMPORT SCHLIESSERDATEN'!$AC185&lt;&gt;"",'IMPORT SCHLIESSERDATEN'!$AE185&lt;&gt;""),"E","")))</f>
        <v>E</v>
      </c>
      <c r="AW193" s="82"/>
      <c r="AX193" s="67"/>
    </row>
    <row r="194" spans="1:50" x14ac:dyDescent="0.25">
      <c r="A194" s="67">
        <f>IFERROR(IF(C194&lt;&gt;"",MAX($A$2:$A193)+1,""),"")</f>
        <v>182</v>
      </c>
      <c r="B194" s="223">
        <f t="shared" si="3"/>
        <v>182</v>
      </c>
      <c r="C194" s="216" t="str">
        <f>'IMPORT SCHLIESSERDATEN'!$B186</f>
        <v>ED 250 zweiflüglig, ESR Gangfl.</v>
      </c>
      <c r="D194" s="216" t="str">
        <f>IF('IMPORT SCHLIESSERDATEN'!$AF186&lt;&gt;"",IF(COUNTA('IMPORT SCHLIESSERDATEN'!$AN186:$AU186)&gt;0,"X","G"),IF('IMPORT SCHLIESSERDATEN'!$AG186&lt;&gt;"","S",IF('IMPORT SCHLIESSERDATEN'!$AH186&lt;&gt;"","I",IF('IMPORT SCHLIESSERDATEN'!$AI186&lt;&gt;"","B",IF('IMPORT SCHLIESSERDATEN'!$AJ186&lt;&gt;"","D","")))))</f>
        <v>D</v>
      </c>
      <c r="E194" s="248" t="str">
        <f>'IMPORT SCHLIESSERDATEN'!AK186 &amp; IF('IMPORT SCHLIESSERDATEN'!AL186="",""," "&amp; 'IMPORT SCHLIESSERDATEN'!AL186)</f>
        <v>250 3</v>
      </c>
      <c r="F194" s="74">
        <f>IFERROR(IF(D194="X",2^(MATCH("",'IMPORT SCHLIESSERDATEN'!$AN186:$AU186,-1)-1),IF(AV194="F",2^(MATCH("",'IMPORT SCHLIESSERDATEN'!$BH186:$BK186,-1)-1),2^(MATCH("",'IMPORT SCHLIESSERDATEN'!$AV186:$BG186,-1)-1))),0)</f>
        <v>0</v>
      </c>
      <c r="G194" s="74">
        <f>IF(AND('IMPORT SCHLIESSERDATEN'!$O186='IMPORT SCHLIESSERDATEN'!$R186,'IMPORT SCHLIESSERDATEN'!$O186&lt;&gt;"",'IMPORT SCHLIESSERDATEN'!$R186&lt;&gt;""),1,0)  +  IF(AND('IMPORT SCHLIESSERDATEN'!$P186='IMPORT SCHLIESSERDATEN'!$S186,'IMPORT SCHLIESSERDATEN'!$P186&lt;&gt;"",'IMPORT SCHLIESSERDATEN'!$S186&lt;&gt;""),2,0)   +  IF(AND('IMPORT SCHLIESSERDATEN'!$O186='IMPORT SCHLIESSERDATEN'!$S186,'IMPORT SCHLIESSERDATEN'!$O186&lt;&gt;"",'IMPORT SCHLIESSERDATEN'!$S186&lt;&gt;""),4,0)   +  IF(AND('IMPORT SCHLIESSERDATEN'!$P186='IMPORT SCHLIESSERDATEN'!$R186,'IMPORT SCHLIESSERDATEN'!$P186&lt;&gt;"",'IMPORT SCHLIESSERDATEN'!$R186&lt;&gt;""),8,0)   +  IF('IMPORT SCHLIESSERDATEN'!$Q186&lt;&gt;"",IF('IMPORT SCHLIESSERDATEN'!$R186&lt;&gt;"",32,0) + IF('IMPORT SCHLIESSERDATEN'!$S186&lt;&gt;"",64,0),0)  +  IF('IMPORT SCHLIESSERDATEN'!$T186&lt;&gt;"",IF('IMPORT SCHLIESSERDATEN'!$Q186&lt;&gt;"",128+256,128),0)</f>
        <v>2</v>
      </c>
      <c r="H194" s="74">
        <f>IF('IMPORT SCHLIESSERDATEN'!$H186="",0,1) + IF('IMPORT SCHLIESSERDATEN'!$I186="",0,2) + IF('IMPORT SCHLIESSERDATEN'!$J186="",0,4) + IF('IMPORT SCHLIESSERDATEN'!$K186="",0,8) + IF('IMPORT SCHLIESSERDATEN'!$L186="",0,16) + IF('IMPORT SCHLIESSERDATEN'!$M186="",0,32) + IF('IMPORT SCHLIESSERDATEN'!$N186="",0,64)</f>
        <v>120</v>
      </c>
      <c r="I194" s="74">
        <f>IF('IMPORT SCHLIESSERDATEN'!$D186="",0,1) + IF('IMPORT SCHLIESSERDATEN'!$E186="",0,2) + IF('IMPORT SCHLIESSERDATEN'!$E186="S",4,0)</f>
        <v>2</v>
      </c>
      <c r="J194" s="74">
        <f>IF(ISERR(FIND(" Gangfl.",'IMPORT SCHLIESSERDATEN'!$B186)),IF(ISERR(FIND(" Standfl.",'IMPORT SCHLIESSERDATEN'!$B186)),0,2),1)</f>
        <v>1</v>
      </c>
      <c r="K194" s="74">
        <f>'IMPORT SCHLIESSERDATEN'!CL186</f>
        <v>0</v>
      </c>
      <c r="L194" s="74">
        <f>'IMPORT SCHLIESSERDATEN'!CN186</f>
        <v>0</v>
      </c>
      <c r="M194" s="74">
        <f>IF('IMPORT SCHLIESSERDATEN'!CS186="wie TS",-1,'IMPORT SCHLIESSERDATEN'!CS186)</f>
        <v>15</v>
      </c>
      <c r="N194" s="74">
        <f>IF(M194&lt;0,-1,'IMPORT SCHLIESSERDATEN'!CU186)</f>
        <v>6</v>
      </c>
      <c r="O194" s="74">
        <f>IF('IMPORT SCHLIESSERDATEN'!CZ186="wie TS",-1,'IMPORT SCHLIESSERDATEN'!CZ186)</f>
        <v>0</v>
      </c>
      <c r="P194" s="74">
        <f>IF(O194&lt;0,-1,'IMPORT SCHLIESSERDATEN'!DB186)</f>
        <v>0</v>
      </c>
      <c r="Q194" s="74">
        <f>'IMPORT SCHLIESSERDATEN'!DG186</f>
        <v>0</v>
      </c>
      <c r="R194" s="74">
        <f>'IMPORT SCHLIESSERDATEN'!DI186</f>
        <v>0</v>
      </c>
      <c r="S194" s="74">
        <f>'IMPORT SCHLIESSERDATEN'!DN186</f>
        <v>0</v>
      </c>
      <c r="T194" s="74">
        <f>IF('IMPORT SCHLIESSERDATEN'!DP186="V",9999,'IMPORT SCHLIESSERDATEN'!DP186)</f>
        <v>0</v>
      </c>
      <c r="U194" s="74">
        <f>'IMPORT SCHLIESSERDATEN'!BW186</f>
        <v>685</v>
      </c>
      <c r="V194" s="74">
        <f>'IMPORT SCHLIESSERDATEN'!BX186</f>
        <v>130</v>
      </c>
      <c r="W194" s="74">
        <f>'IMPORT SCHLIESSERDATEN'!BY186</f>
        <v>70</v>
      </c>
      <c r="X194" s="74">
        <f>'IMPORT SCHLIESSERDATEN'!CO186</f>
        <v>0</v>
      </c>
      <c r="Y194" s="74">
        <f>'IMPORT SCHLIESSERDATEN'!CQ186</f>
        <v>0</v>
      </c>
      <c r="Z194" s="74">
        <f>'IMPORT SCHLIESSERDATEN'!CV186</f>
        <v>270</v>
      </c>
      <c r="AA194" s="74">
        <f>'IMPORT SCHLIESSERDATEN'!CX186</f>
        <v>20</v>
      </c>
      <c r="AB194" s="74">
        <f>'IMPORT SCHLIESSERDATEN'!DC186</f>
        <v>0</v>
      </c>
      <c r="AC194" s="74">
        <f>'IMPORT SCHLIESSERDATEN'!DE186</f>
        <v>0</v>
      </c>
      <c r="AD194" s="74">
        <f>'IMPORT SCHLIESSERDATEN'!DJ186</f>
        <v>0</v>
      </c>
      <c r="AE194" s="74">
        <f>'IMPORT SCHLIESSERDATEN'!DL186</f>
        <v>0</v>
      </c>
      <c r="AF194" s="74">
        <f>'IMPORT SCHLIESSERDATEN'!DQ186</f>
        <v>0</v>
      </c>
      <c r="AG194" s="74">
        <f>IF('IMPORT SCHLIESSERDATEN'!DS186="V",9999,'IMPORT SCHLIESSERDATEN'!DS186)</f>
        <v>0</v>
      </c>
      <c r="AH194" s="74">
        <f>IF('IMPORT SCHLIESSERDATEN'!BZ186="V",9999,IF('IMPORT SCHLIESSERDATEN'!CD186="_",-1,'IMPORT SCHLIESSERDATEN'!BZ186))</f>
        <v>355</v>
      </c>
      <c r="AI194" s="74">
        <f>IF('IMPORT SCHLIESSERDATEN'!CA186="V",9999,IF('IMPORT SCHLIESSERDATEN'!CD186="_",-1,'IMPORT SCHLIESSERDATEN'!CA186))</f>
        <v>25</v>
      </c>
      <c r="AJ194" s="74">
        <f>IF('IMPORT SCHLIESSERDATEN'!CB186="V",9999,IF('IMPORT SCHLIESSERDATEN'!CD186="_",-1,'IMPORT SCHLIESSERDATEN'!CB186))</f>
        <v>30</v>
      </c>
      <c r="AK194" s="74">
        <f>IF('IMPORT SCHLIESSERDATEN'!CC186="V",9999,IF('IMPORT SCHLIESSERDATEN'!CC186="_",-1,'IMPORT SCHLIESSERDATEN'!CC186))</f>
        <v>30</v>
      </c>
      <c r="AL194" s="74">
        <f>IF('IMPORT SCHLIESSERDATEN'!CD186="_",-1,'IMPORT SCHLIESSERDATEN'!CD186)</f>
        <v>400</v>
      </c>
      <c r="AM194" s="74">
        <f>'IMPORT SCHLIESSERDATEN'!CH186</f>
        <v>135</v>
      </c>
      <c r="AN194" s="74">
        <f>IF('IMPORT SCHLIESSERDATEN'!CE186="V",9999,'IMPORT SCHLIESSERDATEN'!CE186)</f>
        <v>61</v>
      </c>
      <c r="AO194" s="74">
        <f>IF('IMPORT SCHLIESSERDATEN'!CK186="_",-1,'IMPORT SCHLIESSERDATEN'!CK186)</f>
        <v>-1</v>
      </c>
      <c r="AP194" s="74">
        <f>IF('IMPORT SCHLIESSERDATEN'!$U186="",0,1)</f>
        <v>1</v>
      </c>
      <c r="AQ194" s="74">
        <f>IF('IMPORT SCHLIESSERDATEN'!$V186="",0,1)</f>
        <v>1</v>
      </c>
      <c r="AR194" s="74">
        <f>IF('IMPORT SCHLIESSERDATEN'!$W186="",0,1)</f>
        <v>1</v>
      </c>
      <c r="AS194" s="74">
        <f>IF('IMPORT SCHLIESSERDATEN'!$AA186="",0,1)</f>
        <v>1</v>
      </c>
      <c r="AT194" s="74">
        <f>IF('IMPORT SCHLIESSERDATEN'!$AD186="",0,1) + IF('IMPORT SCHLIESSERDATEN'!$AE186="",0,2)</f>
        <v>2</v>
      </c>
      <c r="AU194" s="74" t="str">
        <f>IF('IMPORT SCHLIESSERDATEN'!$X186="",IF('IMPORT SCHLIESSERDATEN'!$Y186="","","F"),"V")</f>
        <v/>
      </c>
      <c r="AV194" s="74" t="str">
        <f>IF('IMPORT SCHLIESSERDATEN'!$AB186&lt;&gt;"","M",IF('IMPORT SCHLIESSERDATEN'!$AD186&lt;&gt;"",IF(ISERR(SEARCH("UVIBIS",'IMPORT SCHLIESSERDATEN'!$B186)),"R","B"),IF(OR('IMPORT SCHLIESSERDATEN'!$AC186&lt;&gt;"",'IMPORT SCHLIESSERDATEN'!$AE186&lt;&gt;""),"E","")))</f>
        <v>E</v>
      </c>
      <c r="AW194" s="82"/>
      <c r="AX194" s="67"/>
    </row>
    <row r="195" spans="1:50" x14ac:dyDescent="0.25">
      <c r="A195" s="67">
        <f>IFERROR(IF(C195&lt;&gt;"",MAX($A$2:$A194)+1,""),"")</f>
        <v>183</v>
      </c>
      <c r="B195" s="223">
        <f t="shared" si="3"/>
        <v>183</v>
      </c>
      <c r="C195" s="216" t="str">
        <f>'IMPORT SCHLIESSERDATEN'!$B187</f>
        <v>ED 250 mit Gestänge Standfl.</v>
      </c>
      <c r="D195" s="216" t="str">
        <f>IF('IMPORT SCHLIESSERDATEN'!$AF187&lt;&gt;"",IF(COUNTA('IMPORT SCHLIESSERDATEN'!$AN187:$AU187)&gt;0,"X","G"),IF('IMPORT SCHLIESSERDATEN'!$AG187&lt;&gt;"","S",IF('IMPORT SCHLIESSERDATEN'!$AH187&lt;&gt;"","I",IF('IMPORT SCHLIESSERDATEN'!$AI187&lt;&gt;"","B",IF('IMPORT SCHLIESSERDATEN'!$AJ187&lt;&gt;"","D","")))))</f>
        <v>D</v>
      </c>
      <c r="E195" s="248" t="str">
        <f>'IMPORT SCHLIESSERDATEN'!AK187 &amp; IF('IMPORT SCHLIESSERDATEN'!AL187="",""," "&amp; 'IMPORT SCHLIESSERDATEN'!AL187)</f>
        <v>250 4</v>
      </c>
      <c r="F195" s="74">
        <f>IFERROR(IF(D195="X",2^(MATCH("",'IMPORT SCHLIESSERDATEN'!$AN187:$AU187,-1)-1),IF(AV195="F",2^(MATCH("",'IMPORT SCHLIESSERDATEN'!$BH187:$BK187,-1)-1),2^(MATCH("",'IMPORT SCHLIESSERDATEN'!$AV187:$BG187,-1)-1))),0)</f>
        <v>0</v>
      </c>
      <c r="G195" s="74">
        <f>IF(AND('IMPORT SCHLIESSERDATEN'!$O187='IMPORT SCHLIESSERDATEN'!$R187,'IMPORT SCHLIESSERDATEN'!$O187&lt;&gt;"",'IMPORT SCHLIESSERDATEN'!$R187&lt;&gt;""),1,0)  +  IF(AND('IMPORT SCHLIESSERDATEN'!$P187='IMPORT SCHLIESSERDATEN'!$S187,'IMPORT SCHLIESSERDATEN'!$P187&lt;&gt;"",'IMPORT SCHLIESSERDATEN'!$S187&lt;&gt;""),2,0)   +  IF(AND('IMPORT SCHLIESSERDATEN'!$O187='IMPORT SCHLIESSERDATEN'!$S187,'IMPORT SCHLIESSERDATEN'!$O187&lt;&gt;"",'IMPORT SCHLIESSERDATEN'!$S187&lt;&gt;""),4,0)   +  IF(AND('IMPORT SCHLIESSERDATEN'!$P187='IMPORT SCHLIESSERDATEN'!$R187,'IMPORT SCHLIESSERDATEN'!$P187&lt;&gt;"",'IMPORT SCHLIESSERDATEN'!$R187&lt;&gt;""),8,0)   +  IF('IMPORT SCHLIESSERDATEN'!$Q187&lt;&gt;"",IF('IMPORT SCHLIESSERDATEN'!$R187&lt;&gt;"",32,0) + IF('IMPORT SCHLIESSERDATEN'!$S187&lt;&gt;"",64,0),0)  +  IF('IMPORT SCHLIESSERDATEN'!$T187&lt;&gt;"",IF('IMPORT SCHLIESSERDATEN'!$Q187&lt;&gt;"",128+256,128),0)</f>
        <v>2</v>
      </c>
      <c r="H195" s="74">
        <f>IF('IMPORT SCHLIESSERDATEN'!$H187="",0,1) + IF('IMPORT SCHLIESSERDATEN'!$I187="",0,2) + IF('IMPORT SCHLIESSERDATEN'!$J187="",0,4) + IF('IMPORT SCHLIESSERDATEN'!$K187="",0,8) + IF('IMPORT SCHLIESSERDATEN'!$L187="",0,16) + IF('IMPORT SCHLIESSERDATEN'!$M187="",0,32) + IF('IMPORT SCHLIESSERDATEN'!$N187="",0,64)</f>
        <v>120</v>
      </c>
      <c r="I195" s="74">
        <f>IF('IMPORT SCHLIESSERDATEN'!$D187="",0,1) + IF('IMPORT SCHLIESSERDATEN'!$E187="",0,2) + IF('IMPORT SCHLIESSERDATEN'!$E187="S",4,0)</f>
        <v>2</v>
      </c>
      <c r="J195" s="74">
        <f>IF(ISERR(FIND(" Gangfl.",'IMPORT SCHLIESSERDATEN'!$B187)),IF(ISERR(FIND(" Standfl.",'IMPORT SCHLIESSERDATEN'!$B187)),0,2),1)</f>
        <v>2</v>
      </c>
      <c r="K195" s="74">
        <f>'IMPORT SCHLIESSERDATEN'!CL187</f>
        <v>0</v>
      </c>
      <c r="L195" s="74">
        <f>'IMPORT SCHLIESSERDATEN'!CN187</f>
        <v>0</v>
      </c>
      <c r="M195" s="74">
        <f>IF('IMPORT SCHLIESSERDATEN'!CS187="wie TS",-1,'IMPORT SCHLIESSERDATEN'!CS187)</f>
        <v>15</v>
      </c>
      <c r="N195" s="74">
        <f>IF(M195&lt;0,-1,'IMPORT SCHLIESSERDATEN'!CU187)</f>
        <v>6</v>
      </c>
      <c r="O195" s="74">
        <f>IF('IMPORT SCHLIESSERDATEN'!CZ187="wie TS",-1,'IMPORT SCHLIESSERDATEN'!CZ187)</f>
        <v>0</v>
      </c>
      <c r="P195" s="74">
        <f>IF(O195&lt;0,-1,'IMPORT SCHLIESSERDATEN'!DB187)</f>
        <v>0</v>
      </c>
      <c r="Q195" s="74">
        <f>'IMPORT SCHLIESSERDATEN'!DG187</f>
        <v>0</v>
      </c>
      <c r="R195" s="74">
        <f>'IMPORT SCHLIESSERDATEN'!DI187</f>
        <v>0</v>
      </c>
      <c r="S195" s="74">
        <f>'IMPORT SCHLIESSERDATEN'!DN187</f>
        <v>0</v>
      </c>
      <c r="T195" s="74">
        <f>IF('IMPORT SCHLIESSERDATEN'!DP187="V",9999,'IMPORT SCHLIESSERDATEN'!DP187)</f>
        <v>0</v>
      </c>
      <c r="U195" s="74">
        <f>'IMPORT SCHLIESSERDATEN'!BW187</f>
        <v>685</v>
      </c>
      <c r="V195" s="74">
        <f>'IMPORT SCHLIESSERDATEN'!BX187</f>
        <v>130</v>
      </c>
      <c r="W195" s="74">
        <f>'IMPORT SCHLIESSERDATEN'!BY187</f>
        <v>70</v>
      </c>
      <c r="X195" s="74">
        <f>'IMPORT SCHLIESSERDATEN'!CO187</f>
        <v>0</v>
      </c>
      <c r="Y195" s="74">
        <f>'IMPORT SCHLIESSERDATEN'!CQ187</f>
        <v>0</v>
      </c>
      <c r="Z195" s="74">
        <f>'IMPORT SCHLIESSERDATEN'!CV187</f>
        <v>270</v>
      </c>
      <c r="AA195" s="74">
        <f>'IMPORT SCHLIESSERDATEN'!CX187</f>
        <v>20</v>
      </c>
      <c r="AB195" s="74">
        <f>'IMPORT SCHLIESSERDATEN'!DC187</f>
        <v>0</v>
      </c>
      <c r="AC195" s="74">
        <f>'IMPORT SCHLIESSERDATEN'!DE187</f>
        <v>0</v>
      </c>
      <c r="AD195" s="74">
        <f>'IMPORT SCHLIESSERDATEN'!DJ187</f>
        <v>0</v>
      </c>
      <c r="AE195" s="74">
        <f>'IMPORT SCHLIESSERDATEN'!DL187</f>
        <v>0</v>
      </c>
      <c r="AF195" s="74">
        <f>'IMPORT SCHLIESSERDATEN'!DQ187</f>
        <v>0</v>
      </c>
      <c r="AG195" s="74">
        <f>IF('IMPORT SCHLIESSERDATEN'!DS187="V",9999,'IMPORT SCHLIESSERDATEN'!DS187)</f>
        <v>0</v>
      </c>
      <c r="AH195" s="74">
        <f>IF('IMPORT SCHLIESSERDATEN'!BZ187="V",9999,IF('IMPORT SCHLIESSERDATEN'!CD187="_",-1,'IMPORT SCHLIESSERDATEN'!BZ187))</f>
        <v>355</v>
      </c>
      <c r="AI195" s="74">
        <f>IF('IMPORT SCHLIESSERDATEN'!CA187="V",9999,IF('IMPORT SCHLIESSERDATEN'!CD187="_",-1,'IMPORT SCHLIESSERDATEN'!CA187))</f>
        <v>25</v>
      </c>
      <c r="AJ195" s="74">
        <f>IF('IMPORT SCHLIESSERDATEN'!CB187="V",9999,IF('IMPORT SCHLIESSERDATEN'!CD187="_",-1,'IMPORT SCHLIESSERDATEN'!CB187))</f>
        <v>30</v>
      </c>
      <c r="AK195" s="74">
        <f>IF('IMPORT SCHLIESSERDATEN'!CC187="V",9999,IF('IMPORT SCHLIESSERDATEN'!CC187="_",-1,'IMPORT SCHLIESSERDATEN'!CC187))</f>
        <v>30</v>
      </c>
      <c r="AL195" s="74">
        <f>IF('IMPORT SCHLIESSERDATEN'!CD187="_",-1,'IMPORT SCHLIESSERDATEN'!CD187)</f>
        <v>400</v>
      </c>
      <c r="AM195" s="74">
        <f>'IMPORT SCHLIESSERDATEN'!CH187</f>
        <v>135</v>
      </c>
      <c r="AN195" s="74">
        <f>IF('IMPORT SCHLIESSERDATEN'!CE187="V",9999,'IMPORT SCHLIESSERDATEN'!CE187)</f>
        <v>61</v>
      </c>
      <c r="AO195" s="74">
        <f>IF('IMPORT SCHLIESSERDATEN'!CK187="_",-1,'IMPORT SCHLIESSERDATEN'!CK187)</f>
        <v>-1</v>
      </c>
      <c r="AP195" s="74">
        <f>IF('IMPORT SCHLIESSERDATEN'!$U187="",0,1)</f>
        <v>1</v>
      </c>
      <c r="AQ195" s="74">
        <f>IF('IMPORT SCHLIESSERDATEN'!$V187="",0,1)</f>
        <v>1</v>
      </c>
      <c r="AR195" s="74">
        <f>IF('IMPORT SCHLIESSERDATEN'!$W187="",0,1)</f>
        <v>0</v>
      </c>
      <c r="AS195" s="74">
        <f>IF('IMPORT SCHLIESSERDATEN'!$AA187="",0,1)</f>
        <v>1</v>
      </c>
      <c r="AT195" s="74">
        <f>IF('IMPORT SCHLIESSERDATEN'!$AD187="",0,1) + IF('IMPORT SCHLIESSERDATEN'!$AE187="",0,2)</f>
        <v>2</v>
      </c>
      <c r="AU195" s="74" t="str">
        <f>IF('IMPORT SCHLIESSERDATEN'!$X187="",IF('IMPORT SCHLIESSERDATEN'!$Y187="","","F"),"V")</f>
        <v/>
      </c>
      <c r="AV195" s="74" t="str">
        <f>IF('IMPORT SCHLIESSERDATEN'!$AB187&lt;&gt;"","M",IF('IMPORT SCHLIESSERDATEN'!$AD187&lt;&gt;"",IF(ISERR(SEARCH("UVIBIS",'IMPORT SCHLIESSERDATEN'!$B187)),"R","B"),IF(OR('IMPORT SCHLIESSERDATEN'!$AC187&lt;&gt;"",'IMPORT SCHLIESSERDATEN'!$AE187&lt;&gt;""),"E","")))</f>
        <v>E</v>
      </c>
      <c r="AW195" s="82"/>
      <c r="AX195" s="67"/>
    </row>
    <row r="196" spans="1:50" x14ac:dyDescent="0.25">
      <c r="A196" s="67">
        <f>IFERROR(IF(C196&lt;&gt;"",MAX($A$2:$A195)+1,""),"")</f>
        <v>184</v>
      </c>
      <c r="B196" s="223">
        <f t="shared" si="3"/>
        <v>184</v>
      </c>
      <c r="C196" s="216">
        <f>'IMPORT SCHLIESSERDATEN'!$B188</f>
        <v>0</v>
      </c>
      <c r="D196" s="216" t="str">
        <f>IF('IMPORT SCHLIESSERDATEN'!$AF188&lt;&gt;"",IF(COUNTA('IMPORT SCHLIESSERDATEN'!$AN188:$AU188)&gt;0,"X","G"),IF('IMPORT SCHLIESSERDATEN'!$AG188&lt;&gt;"","S",IF('IMPORT SCHLIESSERDATEN'!$AH188&lt;&gt;"","I",IF('IMPORT SCHLIESSERDATEN'!$AI188&lt;&gt;"","B",IF('IMPORT SCHLIESSERDATEN'!$AJ188&lt;&gt;"","D","")))))</f>
        <v/>
      </c>
      <c r="E196" s="248" t="str">
        <f>'IMPORT SCHLIESSERDATEN'!AK188 &amp; IF('IMPORT SCHLIESSERDATEN'!AL188="",""," "&amp; 'IMPORT SCHLIESSERDATEN'!AL188)</f>
        <v/>
      </c>
      <c r="F196" s="74">
        <f>IFERROR(IF(D196="X",2^(MATCH("",'IMPORT SCHLIESSERDATEN'!$AN188:$AU188,-1)-1),IF(AV196="F",2^(MATCH("",'IMPORT SCHLIESSERDATEN'!$BH188:$BK188,-1)-1),2^(MATCH("",'IMPORT SCHLIESSERDATEN'!$AV188:$BG188,-1)-1))),0)</f>
        <v>0</v>
      </c>
      <c r="G196" s="74">
        <f>IF(AND('IMPORT SCHLIESSERDATEN'!$O188='IMPORT SCHLIESSERDATEN'!$R188,'IMPORT SCHLIESSERDATEN'!$O188&lt;&gt;"",'IMPORT SCHLIESSERDATEN'!$R188&lt;&gt;""),1,0)  +  IF(AND('IMPORT SCHLIESSERDATEN'!$P188='IMPORT SCHLIESSERDATEN'!$S188,'IMPORT SCHLIESSERDATEN'!$P188&lt;&gt;"",'IMPORT SCHLIESSERDATEN'!$S188&lt;&gt;""),2,0)   +  IF(AND('IMPORT SCHLIESSERDATEN'!$O188='IMPORT SCHLIESSERDATEN'!$S188,'IMPORT SCHLIESSERDATEN'!$O188&lt;&gt;"",'IMPORT SCHLIESSERDATEN'!$S188&lt;&gt;""),4,0)   +  IF(AND('IMPORT SCHLIESSERDATEN'!$P188='IMPORT SCHLIESSERDATEN'!$R188,'IMPORT SCHLIESSERDATEN'!$P188&lt;&gt;"",'IMPORT SCHLIESSERDATEN'!$R188&lt;&gt;""),8,0)   +  IF('IMPORT SCHLIESSERDATEN'!$Q188&lt;&gt;"",IF('IMPORT SCHLIESSERDATEN'!$R188&lt;&gt;"",32,0) + IF('IMPORT SCHLIESSERDATEN'!$S188&lt;&gt;"",64,0),0)  +  IF('IMPORT SCHLIESSERDATEN'!$T188&lt;&gt;"",IF('IMPORT SCHLIESSERDATEN'!$Q188&lt;&gt;"",256,128),0)</f>
        <v>0</v>
      </c>
      <c r="H196" s="74">
        <f>IF('IMPORT SCHLIESSERDATEN'!$H188="",0,1) + IF('IMPORT SCHLIESSERDATEN'!$I188="",0,2) + IF('IMPORT SCHLIESSERDATEN'!$J188="",0,4) + IF('IMPORT SCHLIESSERDATEN'!$K188="",0,8) + IF('IMPORT SCHLIESSERDATEN'!$L188="",0,16) + IF('IMPORT SCHLIESSERDATEN'!$M188="",0,32) + IF('IMPORT SCHLIESSERDATEN'!$N188="",0,64)</f>
        <v>0</v>
      </c>
      <c r="I196" s="74">
        <f>IF('IMPORT SCHLIESSERDATEN'!$D188="",0,1) + IF('IMPORT SCHLIESSERDATEN'!$E188="",0,2) + IF('IMPORT SCHLIESSERDATEN'!$E188="S",4,0)</f>
        <v>0</v>
      </c>
      <c r="J196" s="74">
        <f>IF(ISERR(FIND(" Gangfl.",'IMPORT SCHLIESSERDATEN'!$B188)),IF(ISERR(FIND(" Standfl.",'IMPORT SCHLIESSERDATEN'!$B188)),0,2),1)</f>
        <v>0</v>
      </c>
      <c r="K196" s="74">
        <f>'IMPORT SCHLIESSERDATEN'!CL188</f>
        <v>0</v>
      </c>
      <c r="L196" s="74">
        <f>'IMPORT SCHLIESSERDATEN'!CN188</f>
        <v>0</v>
      </c>
      <c r="M196" s="74">
        <f>IF('IMPORT SCHLIESSERDATEN'!CS188="wie TS",-1,'IMPORT SCHLIESSERDATEN'!CS188)</f>
        <v>0</v>
      </c>
      <c r="N196" s="74">
        <f>IF(M196&lt;0,-1,'IMPORT SCHLIESSERDATEN'!CU188)</f>
        <v>0</v>
      </c>
      <c r="O196" s="74">
        <f>IF('IMPORT SCHLIESSERDATEN'!CZ188="wie TS",-1,'IMPORT SCHLIESSERDATEN'!CZ188)</f>
        <v>0</v>
      </c>
      <c r="P196" s="74">
        <f>IF(O196&lt;0,-1,'IMPORT SCHLIESSERDATEN'!DB188)</f>
        <v>0</v>
      </c>
      <c r="Q196" s="74">
        <f>'IMPORT SCHLIESSERDATEN'!DG188</f>
        <v>0</v>
      </c>
      <c r="R196" s="74">
        <f>'IMPORT SCHLIESSERDATEN'!DI188</f>
        <v>0</v>
      </c>
      <c r="S196" s="74">
        <f>'IMPORT SCHLIESSERDATEN'!DN188</f>
        <v>0</v>
      </c>
      <c r="T196" s="74">
        <f>IF('IMPORT SCHLIESSERDATEN'!DP188="V",9999,'IMPORT SCHLIESSERDATEN'!DP188)</f>
        <v>0</v>
      </c>
      <c r="U196" s="74">
        <f>'IMPORT SCHLIESSERDATEN'!BW188</f>
        <v>0</v>
      </c>
      <c r="V196" s="74">
        <f>'IMPORT SCHLIESSERDATEN'!BX188</f>
        <v>0</v>
      </c>
      <c r="W196" s="74">
        <f>'IMPORT SCHLIESSERDATEN'!BY188</f>
        <v>0</v>
      </c>
      <c r="X196" s="74">
        <f>'IMPORT SCHLIESSERDATEN'!CO188</f>
        <v>0</v>
      </c>
      <c r="Y196" s="74">
        <f>'IMPORT SCHLIESSERDATEN'!CQ188</f>
        <v>0</v>
      </c>
      <c r="Z196" s="74">
        <f>'IMPORT SCHLIESSERDATEN'!CV188</f>
        <v>0</v>
      </c>
      <c r="AA196" s="74">
        <f>'IMPORT SCHLIESSERDATEN'!CX188</f>
        <v>0</v>
      </c>
      <c r="AB196" s="74">
        <f>'IMPORT SCHLIESSERDATEN'!DC188</f>
        <v>0</v>
      </c>
      <c r="AC196" s="74">
        <f>'IMPORT SCHLIESSERDATEN'!DE188</f>
        <v>0</v>
      </c>
      <c r="AD196" s="74">
        <f>'IMPORT SCHLIESSERDATEN'!DJ188</f>
        <v>0</v>
      </c>
      <c r="AE196" s="74">
        <f>'IMPORT SCHLIESSERDATEN'!DL188</f>
        <v>0</v>
      </c>
      <c r="AF196" s="74">
        <f>'IMPORT SCHLIESSERDATEN'!DQ188</f>
        <v>0</v>
      </c>
      <c r="AG196" s="74">
        <f>IF('IMPORT SCHLIESSERDATEN'!DS188="V",9999,'IMPORT SCHLIESSERDATEN'!DS188)</f>
        <v>0</v>
      </c>
      <c r="AH196" s="74">
        <f>IF('IMPORT SCHLIESSERDATEN'!BZ188="V",9999,IF('IMPORT SCHLIESSERDATEN'!CD188="_",-1,'IMPORT SCHLIESSERDATEN'!BZ188))</f>
        <v>0</v>
      </c>
      <c r="AI196" s="74">
        <f>IF('IMPORT SCHLIESSERDATEN'!CA188="V",9999,IF('IMPORT SCHLIESSERDATEN'!CD188="_",-1,'IMPORT SCHLIESSERDATEN'!CA188))</f>
        <v>0</v>
      </c>
      <c r="AJ196" s="74">
        <f>IF('IMPORT SCHLIESSERDATEN'!CB188="V",9999,IF('IMPORT SCHLIESSERDATEN'!CD188="_",-1,'IMPORT SCHLIESSERDATEN'!CB188))</f>
        <v>0</v>
      </c>
      <c r="AK196" s="74">
        <f>IF('IMPORT SCHLIESSERDATEN'!CC188="V",9999,IF('IMPORT SCHLIESSERDATEN'!CC188="_",-1,'IMPORT SCHLIESSERDATEN'!CC188))</f>
        <v>0</v>
      </c>
      <c r="AL196" s="74">
        <f>IF('IMPORT SCHLIESSERDATEN'!CD188="_",-1,'IMPORT SCHLIESSERDATEN'!CD188)</f>
        <v>0</v>
      </c>
      <c r="AM196" s="74">
        <f>'IMPORT SCHLIESSERDATEN'!CH188</f>
        <v>0</v>
      </c>
      <c r="AN196" s="74">
        <f>IF('IMPORT SCHLIESSERDATEN'!CE188="V",9999,'IMPORT SCHLIESSERDATEN'!CE188)</f>
        <v>0</v>
      </c>
      <c r="AO196" s="74">
        <f>IF('IMPORT SCHLIESSERDATEN'!CK188="_",-1,'IMPORT SCHLIESSERDATEN'!CK188)</f>
        <v>0</v>
      </c>
      <c r="AP196" s="74">
        <f>IF('IMPORT SCHLIESSERDATEN'!$U188="",0,1)</f>
        <v>0</v>
      </c>
      <c r="AQ196" s="74">
        <f>IF('IMPORT SCHLIESSERDATEN'!$V188="",0,1)</f>
        <v>0</v>
      </c>
      <c r="AR196" s="74">
        <f>IF('IMPORT SCHLIESSERDATEN'!$W188="",0,1)</f>
        <v>0</v>
      </c>
      <c r="AS196" s="74">
        <f>IF('IMPORT SCHLIESSERDATEN'!$AA188="",0,1)</f>
        <v>0</v>
      </c>
      <c r="AT196" s="74">
        <f>IF('IMPORT SCHLIESSERDATEN'!$AD188="",0,1) + IF('IMPORT SCHLIESSERDATEN'!$AE188="",0,2)</f>
        <v>0</v>
      </c>
      <c r="AU196" s="74" t="str">
        <f>IF('IMPORT SCHLIESSERDATEN'!$X188="",IF('IMPORT SCHLIESSERDATEN'!$Y188="","","F"),"V")</f>
        <v/>
      </c>
      <c r="AV196" s="74" t="str">
        <f>IF('IMPORT SCHLIESSERDATEN'!$AB188&lt;&gt;"","M",IF('IMPORT SCHLIESSERDATEN'!$AD188&lt;&gt;"",IF(ISERR(SEARCH("UVIBIS",'IMPORT SCHLIESSERDATEN'!$B188)),"R","B"),IF(OR('IMPORT SCHLIESSERDATEN'!$AC188&lt;&gt;"",'IMPORT SCHLIESSERDATEN'!$AE188&lt;&gt;""),"E","")))</f>
        <v/>
      </c>
      <c r="AW196" s="82"/>
      <c r="AX196" s="67"/>
    </row>
    <row r="197" spans="1:50" x14ac:dyDescent="0.25">
      <c r="A197" s="67">
        <f>IFERROR(IF(C197&lt;&gt;"",MAX($A$2:$A196)+1,""),"")</f>
        <v>185</v>
      </c>
      <c r="B197" s="223">
        <f t="shared" si="3"/>
        <v>185</v>
      </c>
      <c r="C197" s="216">
        <f>'IMPORT SCHLIESSERDATEN'!$B189</f>
        <v>0</v>
      </c>
      <c r="D197" s="216" t="str">
        <f>IF('IMPORT SCHLIESSERDATEN'!$AF189&lt;&gt;"",IF(COUNTA('IMPORT SCHLIESSERDATEN'!$AN189:$AU189)&gt;0,"X","G"),IF('IMPORT SCHLIESSERDATEN'!$AG189&lt;&gt;"","S",IF('IMPORT SCHLIESSERDATEN'!$AH189&lt;&gt;"","I",IF('IMPORT SCHLIESSERDATEN'!$AI189&lt;&gt;"","B",IF('IMPORT SCHLIESSERDATEN'!$AJ189&lt;&gt;"","D","")))))</f>
        <v/>
      </c>
      <c r="E197" s="248" t="str">
        <f>'IMPORT SCHLIESSERDATEN'!AK189 &amp; IF('IMPORT SCHLIESSERDATEN'!AL189="",""," "&amp; 'IMPORT SCHLIESSERDATEN'!AL189)</f>
        <v/>
      </c>
      <c r="F197" s="74">
        <f>IFERROR(IF(D197="X",2^(MATCH("",'IMPORT SCHLIESSERDATEN'!$AN189:$AU189,-1)-1),IF(AV197="F",2^(MATCH("",'IMPORT SCHLIESSERDATEN'!$BH189:$BK189,-1)-1),2^(MATCH("",'IMPORT SCHLIESSERDATEN'!$AV189:$BG189,-1)-1))),0)</f>
        <v>0</v>
      </c>
      <c r="G197" s="74">
        <f>IF(AND('IMPORT SCHLIESSERDATEN'!$O189='IMPORT SCHLIESSERDATEN'!$R189,'IMPORT SCHLIESSERDATEN'!$O189&lt;&gt;"",'IMPORT SCHLIESSERDATEN'!$R189&lt;&gt;""),1,0)  +  IF(AND('IMPORT SCHLIESSERDATEN'!$P189='IMPORT SCHLIESSERDATEN'!$S189,'IMPORT SCHLIESSERDATEN'!$P189&lt;&gt;"",'IMPORT SCHLIESSERDATEN'!$S189&lt;&gt;""),2,0)   +  IF(AND('IMPORT SCHLIESSERDATEN'!$O189='IMPORT SCHLIESSERDATEN'!$S189,'IMPORT SCHLIESSERDATEN'!$O189&lt;&gt;"",'IMPORT SCHLIESSERDATEN'!$S189&lt;&gt;""),4,0)   +  IF(AND('IMPORT SCHLIESSERDATEN'!$P189='IMPORT SCHLIESSERDATEN'!$R189,'IMPORT SCHLIESSERDATEN'!$P189&lt;&gt;"",'IMPORT SCHLIESSERDATEN'!$R189&lt;&gt;""),8,0)   +  IF('IMPORT SCHLIESSERDATEN'!$Q189&lt;&gt;"",IF('IMPORT SCHLIESSERDATEN'!$R189&lt;&gt;"",32,0) + IF('IMPORT SCHLIESSERDATEN'!$S189&lt;&gt;"",64,0),0)  +  IF('IMPORT SCHLIESSERDATEN'!$T189&lt;&gt;"",IF('IMPORT SCHLIESSERDATEN'!$Q189&lt;&gt;"",256,128),0)</f>
        <v>0</v>
      </c>
      <c r="H197" s="74">
        <f>IF('IMPORT SCHLIESSERDATEN'!$H189="",0,1) + IF('IMPORT SCHLIESSERDATEN'!$I189="",0,2) + IF('IMPORT SCHLIESSERDATEN'!$J189="",0,4) + IF('IMPORT SCHLIESSERDATEN'!$K189="",0,8) + IF('IMPORT SCHLIESSERDATEN'!$L189="",0,16) + IF('IMPORT SCHLIESSERDATEN'!$M189="",0,32) + IF('IMPORT SCHLIESSERDATEN'!$N189="",0,64)</f>
        <v>0</v>
      </c>
      <c r="I197" s="74">
        <f>IF('IMPORT SCHLIESSERDATEN'!$D189="",0,1) + IF('IMPORT SCHLIESSERDATEN'!$E189="",0,2) + IF('IMPORT SCHLIESSERDATEN'!$E189="S",4,0)</f>
        <v>0</v>
      </c>
      <c r="J197" s="74">
        <f>IF(ISERR(FIND(" Gangfl.",'IMPORT SCHLIESSERDATEN'!$B189)),IF(ISERR(FIND(" Standfl.",'IMPORT SCHLIESSERDATEN'!$B189)),0,2),1)</f>
        <v>0</v>
      </c>
      <c r="K197" s="74">
        <f>'IMPORT SCHLIESSERDATEN'!CL189</f>
        <v>0</v>
      </c>
      <c r="L197" s="74">
        <f>'IMPORT SCHLIESSERDATEN'!CN189</f>
        <v>0</v>
      </c>
      <c r="M197" s="74">
        <f>IF('IMPORT SCHLIESSERDATEN'!CS189="wie TS",-1,'IMPORT SCHLIESSERDATEN'!CS189)</f>
        <v>0</v>
      </c>
      <c r="N197" s="74">
        <f>IF(M197&lt;0,-1,'IMPORT SCHLIESSERDATEN'!CU189)</f>
        <v>0</v>
      </c>
      <c r="O197" s="74">
        <f>IF('IMPORT SCHLIESSERDATEN'!CZ189="wie TS",-1,'IMPORT SCHLIESSERDATEN'!CZ189)</f>
        <v>0</v>
      </c>
      <c r="P197" s="74">
        <f>IF(O197&lt;0,-1,'IMPORT SCHLIESSERDATEN'!DB189)</f>
        <v>0</v>
      </c>
      <c r="Q197" s="74">
        <f>'IMPORT SCHLIESSERDATEN'!DG189</f>
        <v>0</v>
      </c>
      <c r="R197" s="74">
        <f>'IMPORT SCHLIESSERDATEN'!DI189</f>
        <v>0</v>
      </c>
      <c r="S197" s="74">
        <f>'IMPORT SCHLIESSERDATEN'!DN189</f>
        <v>0</v>
      </c>
      <c r="T197" s="74">
        <f>IF('IMPORT SCHLIESSERDATEN'!DP189="V",9999,'IMPORT SCHLIESSERDATEN'!DP189)</f>
        <v>0</v>
      </c>
      <c r="U197" s="74">
        <f>'IMPORT SCHLIESSERDATEN'!BW189</f>
        <v>0</v>
      </c>
      <c r="V197" s="74">
        <f>'IMPORT SCHLIESSERDATEN'!BX189</f>
        <v>0</v>
      </c>
      <c r="W197" s="74">
        <f>'IMPORT SCHLIESSERDATEN'!BY189</f>
        <v>0</v>
      </c>
      <c r="X197" s="74">
        <f>'IMPORT SCHLIESSERDATEN'!CO189</f>
        <v>0</v>
      </c>
      <c r="Y197" s="74">
        <f>'IMPORT SCHLIESSERDATEN'!CQ189</f>
        <v>0</v>
      </c>
      <c r="Z197" s="74">
        <f>'IMPORT SCHLIESSERDATEN'!CV189</f>
        <v>0</v>
      </c>
      <c r="AA197" s="74">
        <f>'IMPORT SCHLIESSERDATEN'!CX189</f>
        <v>0</v>
      </c>
      <c r="AB197" s="74">
        <f>'IMPORT SCHLIESSERDATEN'!DC189</f>
        <v>0</v>
      </c>
      <c r="AC197" s="74">
        <f>'IMPORT SCHLIESSERDATEN'!DE189</f>
        <v>0</v>
      </c>
      <c r="AD197" s="74">
        <f>'IMPORT SCHLIESSERDATEN'!DJ189</f>
        <v>0</v>
      </c>
      <c r="AE197" s="74">
        <f>'IMPORT SCHLIESSERDATEN'!DL189</f>
        <v>0</v>
      </c>
      <c r="AF197" s="74">
        <f>'IMPORT SCHLIESSERDATEN'!DQ189</f>
        <v>0</v>
      </c>
      <c r="AG197" s="74">
        <f>IF('IMPORT SCHLIESSERDATEN'!DS189="V",9999,'IMPORT SCHLIESSERDATEN'!DS189)</f>
        <v>0</v>
      </c>
      <c r="AH197" s="74">
        <f>IF('IMPORT SCHLIESSERDATEN'!BZ189="V",9999,IF('IMPORT SCHLIESSERDATEN'!CD189="_",-1,'IMPORT SCHLIESSERDATEN'!BZ189))</f>
        <v>0</v>
      </c>
      <c r="AI197" s="74">
        <f>IF('IMPORT SCHLIESSERDATEN'!CA189="V",9999,IF('IMPORT SCHLIESSERDATEN'!CD189="_",-1,'IMPORT SCHLIESSERDATEN'!CA189))</f>
        <v>0</v>
      </c>
      <c r="AJ197" s="74">
        <f>IF('IMPORT SCHLIESSERDATEN'!CB189="V",9999,IF('IMPORT SCHLIESSERDATEN'!CD189="_",-1,'IMPORT SCHLIESSERDATEN'!CB189))</f>
        <v>0</v>
      </c>
      <c r="AK197" s="74">
        <f>IF('IMPORT SCHLIESSERDATEN'!CC189="V",9999,IF('IMPORT SCHLIESSERDATEN'!CC189="_",-1,'IMPORT SCHLIESSERDATEN'!CC189))</f>
        <v>0</v>
      </c>
      <c r="AL197" s="74">
        <f>IF('IMPORT SCHLIESSERDATEN'!CD189="_",-1,'IMPORT SCHLIESSERDATEN'!CD189)</f>
        <v>0</v>
      </c>
      <c r="AM197" s="74">
        <f>'IMPORT SCHLIESSERDATEN'!CH189</f>
        <v>0</v>
      </c>
      <c r="AN197" s="74">
        <f>IF('IMPORT SCHLIESSERDATEN'!CE189="V",9999,'IMPORT SCHLIESSERDATEN'!CE189)</f>
        <v>0</v>
      </c>
      <c r="AO197" s="74">
        <f>IF('IMPORT SCHLIESSERDATEN'!CK189="_",-1,'IMPORT SCHLIESSERDATEN'!CK189)</f>
        <v>0</v>
      </c>
      <c r="AP197" s="74">
        <f>IF('IMPORT SCHLIESSERDATEN'!$U189="",0,1)</f>
        <v>0</v>
      </c>
      <c r="AQ197" s="74">
        <f>IF('IMPORT SCHLIESSERDATEN'!$V189="",0,1)</f>
        <v>0</v>
      </c>
      <c r="AR197" s="74">
        <f>IF('IMPORT SCHLIESSERDATEN'!$W189="",0,1)</f>
        <v>0</v>
      </c>
      <c r="AS197" s="74">
        <f>IF('IMPORT SCHLIESSERDATEN'!$AA189="",0,1)</f>
        <v>0</v>
      </c>
      <c r="AT197" s="74">
        <f>IF('IMPORT SCHLIESSERDATEN'!$AD189="",0,1) + IF('IMPORT SCHLIESSERDATEN'!$AE189="",0,2)</f>
        <v>0</v>
      </c>
      <c r="AU197" s="74" t="str">
        <f>IF('IMPORT SCHLIESSERDATEN'!$X189="",IF('IMPORT SCHLIESSERDATEN'!$Y189="","","F"),"V")</f>
        <v/>
      </c>
      <c r="AV197" s="74" t="str">
        <f>IF('IMPORT SCHLIESSERDATEN'!$AB189&lt;&gt;"","M",IF('IMPORT SCHLIESSERDATEN'!$AD189&lt;&gt;"",IF(ISERR(SEARCH("UVIBIS",'IMPORT SCHLIESSERDATEN'!$B189)),"R","B"),IF(OR('IMPORT SCHLIESSERDATEN'!$AC189&lt;&gt;"",'IMPORT SCHLIESSERDATEN'!$AE189&lt;&gt;""),"E","")))</f>
        <v/>
      </c>
      <c r="AW197" s="82"/>
      <c r="AX197" s="67"/>
    </row>
    <row r="198" spans="1:50" x14ac:dyDescent="0.25">
      <c r="A198" s="67">
        <f>IFERROR(IF(C198&lt;&gt;"",MAX($A$2:$A197)+1,""),"")</f>
        <v>186</v>
      </c>
      <c r="B198" s="223">
        <f t="shared" si="3"/>
        <v>186</v>
      </c>
      <c r="C198" s="216">
        <f>'IMPORT SCHLIESSERDATEN'!$B190</f>
        <v>0</v>
      </c>
      <c r="D198" s="216" t="str">
        <f>IF('IMPORT SCHLIESSERDATEN'!$AF190&lt;&gt;"",IF(COUNTA('IMPORT SCHLIESSERDATEN'!$AN190:$AU190)&gt;0,"X","G"),IF('IMPORT SCHLIESSERDATEN'!$AG190&lt;&gt;"","S",IF('IMPORT SCHLIESSERDATEN'!$AH190&lt;&gt;"","I",IF('IMPORT SCHLIESSERDATEN'!$AI190&lt;&gt;"","B",IF('IMPORT SCHLIESSERDATEN'!$AJ190&lt;&gt;"","D","")))))</f>
        <v/>
      </c>
      <c r="E198" s="248" t="str">
        <f>'IMPORT SCHLIESSERDATEN'!AK190 &amp; IF('IMPORT SCHLIESSERDATEN'!AL190="",""," "&amp; 'IMPORT SCHLIESSERDATEN'!AL190)</f>
        <v/>
      </c>
      <c r="F198" s="74">
        <f>IFERROR(IF(D198="X",2^(MATCH("",'IMPORT SCHLIESSERDATEN'!$AN190:$AU190,-1)-1),IF(AV198="F",2^(MATCH("",'IMPORT SCHLIESSERDATEN'!$BH190:$BK190,-1)-1),2^(MATCH("",'IMPORT SCHLIESSERDATEN'!$AV190:$BG190,-1)-1))),0)</f>
        <v>0</v>
      </c>
      <c r="G198" s="74">
        <f>IF(AND('IMPORT SCHLIESSERDATEN'!$O190='IMPORT SCHLIESSERDATEN'!$R190,'IMPORT SCHLIESSERDATEN'!$O190&lt;&gt;"",'IMPORT SCHLIESSERDATEN'!$R190&lt;&gt;""),1,0)  +  IF(AND('IMPORT SCHLIESSERDATEN'!$P190='IMPORT SCHLIESSERDATEN'!$S190,'IMPORT SCHLIESSERDATEN'!$P190&lt;&gt;"",'IMPORT SCHLIESSERDATEN'!$S190&lt;&gt;""),2,0)   +  IF(AND('IMPORT SCHLIESSERDATEN'!$O190='IMPORT SCHLIESSERDATEN'!$S190,'IMPORT SCHLIESSERDATEN'!$O190&lt;&gt;"",'IMPORT SCHLIESSERDATEN'!$S190&lt;&gt;""),4,0)   +  IF(AND('IMPORT SCHLIESSERDATEN'!$P190='IMPORT SCHLIESSERDATEN'!$R190,'IMPORT SCHLIESSERDATEN'!$P190&lt;&gt;"",'IMPORT SCHLIESSERDATEN'!$R190&lt;&gt;""),8,0)   +  IF('IMPORT SCHLIESSERDATEN'!$Q190&lt;&gt;"",IF('IMPORT SCHLIESSERDATEN'!$R190&lt;&gt;"",32,0) + IF('IMPORT SCHLIESSERDATEN'!$S190&lt;&gt;"",64,0),0)  +  IF('IMPORT SCHLIESSERDATEN'!$T190&lt;&gt;"",IF('IMPORT SCHLIESSERDATEN'!$Q190&lt;&gt;"",256,128),0)</f>
        <v>0</v>
      </c>
      <c r="H198" s="74">
        <f>IF('IMPORT SCHLIESSERDATEN'!$H190="",0,1) + IF('IMPORT SCHLIESSERDATEN'!$I190="",0,2) + IF('IMPORT SCHLIESSERDATEN'!$J190="",0,4) + IF('IMPORT SCHLIESSERDATEN'!$K190="",0,8) + IF('IMPORT SCHLIESSERDATEN'!$L190="",0,16) + IF('IMPORT SCHLIESSERDATEN'!$M190="",0,32) + IF('IMPORT SCHLIESSERDATEN'!$N190="",0,64)</f>
        <v>0</v>
      </c>
      <c r="I198" s="74">
        <f>IF('IMPORT SCHLIESSERDATEN'!$D190="",0,1) + IF('IMPORT SCHLIESSERDATEN'!$E190="",0,2) + IF('IMPORT SCHLIESSERDATEN'!$E190="S",4,0)</f>
        <v>0</v>
      </c>
      <c r="J198" s="74">
        <f>IF(ISERR(FIND(" Gangfl.",'IMPORT SCHLIESSERDATEN'!$B190)),IF(ISERR(FIND(" Standfl.",'IMPORT SCHLIESSERDATEN'!$B190)),0,2),1)</f>
        <v>0</v>
      </c>
      <c r="K198" s="74">
        <f>'IMPORT SCHLIESSERDATEN'!CL190</f>
        <v>0</v>
      </c>
      <c r="L198" s="74">
        <f>'IMPORT SCHLIESSERDATEN'!CN190</f>
        <v>0</v>
      </c>
      <c r="M198" s="74">
        <f>IF('IMPORT SCHLIESSERDATEN'!CS190="wie TS",-1,'IMPORT SCHLIESSERDATEN'!CS190)</f>
        <v>0</v>
      </c>
      <c r="N198" s="74">
        <f>IF(M198&lt;0,-1,'IMPORT SCHLIESSERDATEN'!CU190)</f>
        <v>0</v>
      </c>
      <c r="O198" s="74">
        <f>IF('IMPORT SCHLIESSERDATEN'!CZ190="wie TS",-1,'IMPORT SCHLIESSERDATEN'!CZ190)</f>
        <v>0</v>
      </c>
      <c r="P198" s="74">
        <f>IF(O198&lt;0,-1,'IMPORT SCHLIESSERDATEN'!DB190)</f>
        <v>0</v>
      </c>
      <c r="Q198" s="74">
        <f>'IMPORT SCHLIESSERDATEN'!DG190</f>
        <v>0</v>
      </c>
      <c r="R198" s="74">
        <f>'IMPORT SCHLIESSERDATEN'!DI190</f>
        <v>0</v>
      </c>
      <c r="S198" s="74">
        <f>'IMPORT SCHLIESSERDATEN'!DN190</f>
        <v>0</v>
      </c>
      <c r="T198" s="74">
        <f>IF('IMPORT SCHLIESSERDATEN'!DP190="V",9999,'IMPORT SCHLIESSERDATEN'!DP190)</f>
        <v>0</v>
      </c>
      <c r="U198" s="74">
        <f>'IMPORT SCHLIESSERDATEN'!BW190</f>
        <v>0</v>
      </c>
      <c r="V198" s="74">
        <f>'IMPORT SCHLIESSERDATEN'!BX190</f>
        <v>0</v>
      </c>
      <c r="W198" s="74">
        <f>'IMPORT SCHLIESSERDATEN'!BY190</f>
        <v>0</v>
      </c>
      <c r="X198" s="74">
        <f>'IMPORT SCHLIESSERDATEN'!CO190</f>
        <v>0</v>
      </c>
      <c r="Y198" s="74">
        <f>'IMPORT SCHLIESSERDATEN'!CQ190</f>
        <v>0</v>
      </c>
      <c r="Z198" s="74">
        <f>'IMPORT SCHLIESSERDATEN'!CV190</f>
        <v>0</v>
      </c>
      <c r="AA198" s="74">
        <f>'IMPORT SCHLIESSERDATEN'!CX190</f>
        <v>0</v>
      </c>
      <c r="AB198" s="74">
        <f>'IMPORT SCHLIESSERDATEN'!DC190</f>
        <v>0</v>
      </c>
      <c r="AC198" s="74">
        <f>'IMPORT SCHLIESSERDATEN'!DE190</f>
        <v>0</v>
      </c>
      <c r="AD198" s="74">
        <f>'IMPORT SCHLIESSERDATEN'!DJ190</f>
        <v>0</v>
      </c>
      <c r="AE198" s="74">
        <f>'IMPORT SCHLIESSERDATEN'!DL190</f>
        <v>0</v>
      </c>
      <c r="AF198" s="74">
        <f>'IMPORT SCHLIESSERDATEN'!DQ190</f>
        <v>0</v>
      </c>
      <c r="AG198" s="74">
        <f>IF('IMPORT SCHLIESSERDATEN'!DS190="V",9999,'IMPORT SCHLIESSERDATEN'!DS190)</f>
        <v>0</v>
      </c>
      <c r="AH198" s="74">
        <f>IF('IMPORT SCHLIESSERDATEN'!BZ190="V",9999,IF('IMPORT SCHLIESSERDATEN'!CD190="_",-1,'IMPORT SCHLIESSERDATEN'!BZ190))</f>
        <v>0</v>
      </c>
      <c r="AI198" s="74">
        <f>IF('IMPORT SCHLIESSERDATEN'!CA190="V",9999,IF('IMPORT SCHLIESSERDATEN'!CD190="_",-1,'IMPORT SCHLIESSERDATEN'!CA190))</f>
        <v>0</v>
      </c>
      <c r="AJ198" s="74">
        <f>IF('IMPORT SCHLIESSERDATEN'!CB190="V",9999,IF('IMPORT SCHLIESSERDATEN'!CD190="_",-1,'IMPORT SCHLIESSERDATEN'!CB190))</f>
        <v>0</v>
      </c>
      <c r="AK198" s="74">
        <f>IF('IMPORT SCHLIESSERDATEN'!CC190="V",9999,IF('IMPORT SCHLIESSERDATEN'!CC190="_",-1,'IMPORT SCHLIESSERDATEN'!CC190))</f>
        <v>0</v>
      </c>
      <c r="AL198" s="74">
        <f>IF('IMPORT SCHLIESSERDATEN'!CD190="_",-1,'IMPORT SCHLIESSERDATEN'!CD190)</f>
        <v>0</v>
      </c>
      <c r="AM198" s="74">
        <f>'IMPORT SCHLIESSERDATEN'!CH190</f>
        <v>0</v>
      </c>
      <c r="AN198" s="74">
        <f>IF('IMPORT SCHLIESSERDATEN'!CE190="V",9999,'IMPORT SCHLIESSERDATEN'!CE190)</f>
        <v>0</v>
      </c>
      <c r="AO198" s="74">
        <f>IF('IMPORT SCHLIESSERDATEN'!CK190="_",-1,'IMPORT SCHLIESSERDATEN'!CK190)</f>
        <v>0</v>
      </c>
      <c r="AP198" s="74">
        <f>IF('IMPORT SCHLIESSERDATEN'!$U190="",0,1)</f>
        <v>0</v>
      </c>
      <c r="AQ198" s="74">
        <f>IF('IMPORT SCHLIESSERDATEN'!$V190="",0,1)</f>
        <v>0</v>
      </c>
      <c r="AR198" s="74">
        <f>IF('IMPORT SCHLIESSERDATEN'!$W190="",0,1)</f>
        <v>0</v>
      </c>
      <c r="AS198" s="74">
        <f>IF('IMPORT SCHLIESSERDATEN'!$AA190="",0,1)</f>
        <v>0</v>
      </c>
      <c r="AT198" s="74">
        <f>IF('IMPORT SCHLIESSERDATEN'!$AD190="",0,1) + IF('IMPORT SCHLIESSERDATEN'!$AE190="",0,2)</f>
        <v>0</v>
      </c>
      <c r="AU198" s="74" t="str">
        <f>IF('IMPORT SCHLIESSERDATEN'!$X190="",IF('IMPORT SCHLIESSERDATEN'!$Y190="","","F"),"V")</f>
        <v/>
      </c>
      <c r="AV198" s="74" t="str">
        <f>IF('IMPORT SCHLIESSERDATEN'!$AB190&lt;&gt;"","M",IF('IMPORT SCHLIESSERDATEN'!$AD190&lt;&gt;"",IF(ISERR(SEARCH("UVIBIS",'IMPORT SCHLIESSERDATEN'!$B190)),"R","B"),IF(OR('IMPORT SCHLIESSERDATEN'!$AC190&lt;&gt;"",'IMPORT SCHLIESSERDATEN'!$AE190&lt;&gt;""),"E","")))</f>
        <v/>
      </c>
      <c r="AW198" s="82"/>
      <c r="AX198" s="67"/>
    </row>
    <row r="199" spans="1:50" x14ac:dyDescent="0.25">
      <c r="A199" s="67">
        <f>IFERROR(IF(C199&lt;&gt;"",MAX($A$2:$A198)+1,""),"")</f>
        <v>187</v>
      </c>
      <c r="B199" s="223">
        <f t="shared" si="3"/>
        <v>187</v>
      </c>
      <c r="C199" s="216">
        <f>'IMPORT SCHLIESSERDATEN'!$B191</f>
        <v>0</v>
      </c>
      <c r="D199" s="216" t="str">
        <f>IF('IMPORT SCHLIESSERDATEN'!$AF191&lt;&gt;"",IF(COUNTA('IMPORT SCHLIESSERDATEN'!$AN191:$AU191)&gt;0,"X","G"),IF('IMPORT SCHLIESSERDATEN'!$AG191&lt;&gt;"","S",IF('IMPORT SCHLIESSERDATEN'!$AH191&lt;&gt;"","I",IF('IMPORT SCHLIESSERDATEN'!$AI191&lt;&gt;"","B",IF('IMPORT SCHLIESSERDATEN'!$AJ191&lt;&gt;"","D","")))))</f>
        <v/>
      </c>
      <c r="E199" s="248" t="str">
        <f>'IMPORT SCHLIESSERDATEN'!AK191 &amp; IF('IMPORT SCHLIESSERDATEN'!AL191="",""," "&amp; 'IMPORT SCHLIESSERDATEN'!AL191)</f>
        <v/>
      </c>
      <c r="F199" s="74">
        <f>IFERROR(IF(D199="X",2^(MATCH("",'IMPORT SCHLIESSERDATEN'!$AN191:$AU191,-1)-1),IF(AV199="F",2^(MATCH("",'IMPORT SCHLIESSERDATEN'!$BH191:$BK191,-1)-1),2^(MATCH("",'IMPORT SCHLIESSERDATEN'!$AV191:$BG191,-1)-1))),0)</f>
        <v>0</v>
      </c>
      <c r="G199" s="74">
        <f>IF(AND('IMPORT SCHLIESSERDATEN'!$O191='IMPORT SCHLIESSERDATEN'!$R191,'IMPORT SCHLIESSERDATEN'!$O191&lt;&gt;"",'IMPORT SCHLIESSERDATEN'!$R191&lt;&gt;""),1,0)  +  IF(AND('IMPORT SCHLIESSERDATEN'!$P191='IMPORT SCHLIESSERDATEN'!$S191,'IMPORT SCHLIESSERDATEN'!$P191&lt;&gt;"",'IMPORT SCHLIESSERDATEN'!$S191&lt;&gt;""),2,0)   +  IF(AND('IMPORT SCHLIESSERDATEN'!$O191='IMPORT SCHLIESSERDATEN'!$S191,'IMPORT SCHLIESSERDATEN'!$O191&lt;&gt;"",'IMPORT SCHLIESSERDATEN'!$S191&lt;&gt;""),4,0)   +  IF(AND('IMPORT SCHLIESSERDATEN'!$P191='IMPORT SCHLIESSERDATEN'!$R191,'IMPORT SCHLIESSERDATEN'!$P191&lt;&gt;"",'IMPORT SCHLIESSERDATEN'!$R191&lt;&gt;""),8,0)   +  IF('IMPORT SCHLIESSERDATEN'!$Q191&lt;&gt;"",IF('IMPORT SCHLIESSERDATEN'!$R191&lt;&gt;"",32,0) + IF('IMPORT SCHLIESSERDATEN'!$S191&lt;&gt;"",64,0),0)  +  IF('IMPORT SCHLIESSERDATEN'!$T191&lt;&gt;"",IF('IMPORT SCHLIESSERDATEN'!$Q191&lt;&gt;"",256,128),0)</f>
        <v>0</v>
      </c>
      <c r="H199" s="74">
        <f>IF('IMPORT SCHLIESSERDATEN'!$H191="",0,1) + IF('IMPORT SCHLIESSERDATEN'!$I191="",0,2) + IF('IMPORT SCHLIESSERDATEN'!$J191="",0,4) + IF('IMPORT SCHLIESSERDATEN'!$K191="",0,8) + IF('IMPORT SCHLIESSERDATEN'!$L191="",0,16) + IF('IMPORT SCHLIESSERDATEN'!$M191="",0,32) + IF('IMPORT SCHLIESSERDATEN'!$N191="",0,64)</f>
        <v>0</v>
      </c>
      <c r="I199" s="74">
        <f>IF('IMPORT SCHLIESSERDATEN'!$D191="",0,1) + IF('IMPORT SCHLIESSERDATEN'!$E191="",0,2) + IF('IMPORT SCHLIESSERDATEN'!$E191="S",4,0)</f>
        <v>0</v>
      </c>
      <c r="J199" s="74">
        <f>IF(ISERR(FIND(" Gangfl.",'IMPORT SCHLIESSERDATEN'!$B191)),IF(ISERR(FIND(" Standfl.",'IMPORT SCHLIESSERDATEN'!$B191)),0,2),1)</f>
        <v>0</v>
      </c>
      <c r="K199" s="74">
        <f>'IMPORT SCHLIESSERDATEN'!CL191</f>
        <v>0</v>
      </c>
      <c r="L199" s="74">
        <f>'IMPORT SCHLIESSERDATEN'!CN191</f>
        <v>0</v>
      </c>
      <c r="M199" s="74">
        <f>IF('IMPORT SCHLIESSERDATEN'!CS191="wie TS",-1,'IMPORT SCHLIESSERDATEN'!CS191)</f>
        <v>0</v>
      </c>
      <c r="N199" s="74">
        <f>IF(M199&lt;0,-1,'IMPORT SCHLIESSERDATEN'!CU191)</f>
        <v>0</v>
      </c>
      <c r="O199" s="74">
        <f>IF('IMPORT SCHLIESSERDATEN'!CZ191="wie TS",-1,'IMPORT SCHLIESSERDATEN'!CZ191)</f>
        <v>0</v>
      </c>
      <c r="P199" s="74">
        <f>IF(O199&lt;0,-1,'IMPORT SCHLIESSERDATEN'!DB191)</f>
        <v>0</v>
      </c>
      <c r="Q199" s="74">
        <f>'IMPORT SCHLIESSERDATEN'!DG191</f>
        <v>0</v>
      </c>
      <c r="R199" s="74">
        <f>'IMPORT SCHLIESSERDATEN'!DI191</f>
        <v>0</v>
      </c>
      <c r="S199" s="74">
        <f>'IMPORT SCHLIESSERDATEN'!DN191</f>
        <v>0</v>
      </c>
      <c r="T199" s="74">
        <f>IF('IMPORT SCHLIESSERDATEN'!DP191="V",9999,'IMPORT SCHLIESSERDATEN'!DP191)</f>
        <v>0</v>
      </c>
      <c r="U199" s="74">
        <f>'IMPORT SCHLIESSERDATEN'!BW191</f>
        <v>0</v>
      </c>
      <c r="V199" s="74">
        <f>'IMPORT SCHLIESSERDATEN'!BX191</f>
        <v>0</v>
      </c>
      <c r="W199" s="74">
        <f>'IMPORT SCHLIESSERDATEN'!BY191</f>
        <v>0</v>
      </c>
      <c r="X199" s="74">
        <f>'IMPORT SCHLIESSERDATEN'!CO191</f>
        <v>0</v>
      </c>
      <c r="Y199" s="74">
        <f>'IMPORT SCHLIESSERDATEN'!CQ191</f>
        <v>0</v>
      </c>
      <c r="Z199" s="74">
        <f>'IMPORT SCHLIESSERDATEN'!CV191</f>
        <v>0</v>
      </c>
      <c r="AA199" s="74">
        <f>'IMPORT SCHLIESSERDATEN'!CX191</f>
        <v>0</v>
      </c>
      <c r="AB199" s="74">
        <f>'IMPORT SCHLIESSERDATEN'!DC191</f>
        <v>0</v>
      </c>
      <c r="AC199" s="74">
        <f>'IMPORT SCHLIESSERDATEN'!DE191</f>
        <v>0</v>
      </c>
      <c r="AD199" s="74">
        <f>'IMPORT SCHLIESSERDATEN'!DJ191</f>
        <v>0</v>
      </c>
      <c r="AE199" s="74">
        <f>'IMPORT SCHLIESSERDATEN'!DL191</f>
        <v>0</v>
      </c>
      <c r="AF199" s="74">
        <f>'IMPORT SCHLIESSERDATEN'!DQ191</f>
        <v>0</v>
      </c>
      <c r="AG199" s="74">
        <f>IF('IMPORT SCHLIESSERDATEN'!DS191="V",9999,'IMPORT SCHLIESSERDATEN'!DS191)</f>
        <v>0</v>
      </c>
      <c r="AH199" s="74">
        <f>IF('IMPORT SCHLIESSERDATEN'!BZ191="V",9999,IF('IMPORT SCHLIESSERDATEN'!CD191="_",-1,'IMPORT SCHLIESSERDATEN'!BZ191))</f>
        <v>0</v>
      </c>
      <c r="AI199" s="74">
        <f>IF('IMPORT SCHLIESSERDATEN'!CA191="V",9999,IF('IMPORT SCHLIESSERDATEN'!CD191="_",-1,'IMPORT SCHLIESSERDATEN'!CA191))</f>
        <v>0</v>
      </c>
      <c r="AJ199" s="74">
        <f>IF('IMPORT SCHLIESSERDATEN'!CB191="V",9999,IF('IMPORT SCHLIESSERDATEN'!CD191="_",-1,'IMPORT SCHLIESSERDATEN'!CB191))</f>
        <v>0</v>
      </c>
      <c r="AK199" s="74">
        <f>IF('IMPORT SCHLIESSERDATEN'!CC191="V",9999,IF('IMPORT SCHLIESSERDATEN'!CC191="_",-1,'IMPORT SCHLIESSERDATEN'!CC191))</f>
        <v>0</v>
      </c>
      <c r="AL199" s="74">
        <f>IF('IMPORT SCHLIESSERDATEN'!CD191="_",-1,'IMPORT SCHLIESSERDATEN'!CD191)</f>
        <v>0</v>
      </c>
      <c r="AM199" s="74">
        <f>'IMPORT SCHLIESSERDATEN'!CH191</f>
        <v>0</v>
      </c>
      <c r="AN199" s="74">
        <f>IF('IMPORT SCHLIESSERDATEN'!CE191="V",9999,'IMPORT SCHLIESSERDATEN'!CE191)</f>
        <v>0</v>
      </c>
      <c r="AO199" s="74">
        <f>IF('IMPORT SCHLIESSERDATEN'!CK191="_",-1,'IMPORT SCHLIESSERDATEN'!CK191)</f>
        <v>0</v>
      </c>
      <c r="AP199" s="74">
        <f>IF('IMPORT SCHLIESSERDATEN'!$U191="",0,1)</f>
        <v>0</v>
      </c>
      <c r="AQ199" s="74">
        <f>IF('IMPORT SCHLIESSERDATEN'!$V191="",0,1)</f>
        <v>0</v>
      </c>
      <c r="AR199" s="74">
        <f>IF('IMPORT SCHLIESSERDATEN'!$W191="",0,1)</f>
        <v>0</v>
      </c>
      <c r="AS199" s="74">
        <f>IF('IMPORT SCHLIESSERDATEN'!$AA191="",0,1)</f>
        <v>0</v>
      </c>
      <c r="AT199" s="74">
        <f>IF('IMPORT SCHLIESSERDATEN'!$AD191="",0,1) + IF('IMPORT SCHLIESSERDATEN'!$AE191="",0,2)</f>
        <v>0</v>
      </c>
      <c r="AU199" s="74" t="str">
        <f>IF('IMPORT SCHLIESSERDATEN'!$X191="",IF('IMPORT SCHLIESSERDATEN'!$Y191="","","F"),"V")</f>
        <v/>
      </c>
      <c r="AV199" s="74" t="str">
        <f>IF('IMPORT SCHLIESSERDATEN'!$AB191&lt;&gt;"","M",IF('IMPORT SCHLIESSERDATEN'!$AD191&lt;&gt;"",IF(ISERR(SEARCH("UVIBIS",'IMPORT SCHLIESSERDATEN'!$B191)),"R","B"),IF(OR('IMPORT SCHLIESSERDATEN'!$AC191&lt;&gt;"",'IMPORT SCHLIESSERDATEN'!$AE191&lt;&gt;""),"E","")))</f>
        <v/>
      </c>
      <c r="AW199" s="82"/>
      <c r="AX199" s="67"/>
    </row>
    <row r="200" spans="1:50" ht="15" customHeight="1" thickBot="1" x14ac:dyDescent="0.3">
      <c r="A200" s="67" t="str">
        <f>IFERROR(IF(C200&lt;&gt;"",MAX($A$2:$A199)+1,""),"")</f>
        <v/>
      </c>
      <c r="B200" s="223">
        <f t="shared" si="3"/>
        <v>188</v>
      </c>
      <c r="C200" s="228"/>
      <c r="D200" s="228"/>
      <c r="E200" s="228"/>
      <c r="F200" s="228"/>
      <c r="G200" s="228"/>
      <c r="H200" s="228"/>
      <c r="I200" s="228"/>
      <c r="J200" s="228"/>
      <c r="K200" s="228"/>
      <c r="L200" s="228"/>
      <c r="M200" s="228"/>
      <c r="N200" s="228"/>
      <c r="O200" s="228"/>
      <c r="P200" s="228"/>
      <c r="Q200" s="228"/>
      <c r="R200" s="228"/>
      <c r="S200" s="228"/>
      <c r="T200" s="228"/>
      <c r="U200" s="228"/>
      <c r="V200" s="228"/>
      <c r="W200" s="228"/>
      <c r="X200" s="229"/>
      <c r="Y200" s="229"/>
      <c r="Z200" s="229"/>
      <c r="AA200" s="229"/>
      <c r="AB200" s="229"/>
      <c r="AC200" s="229"/>
      <c r="AD200" s="229"/>
      <c r="AE200" s="229"/>
      <c r="AF200" s="229"/>
      <c r="AG200" s="229"/>
      <c r="AH200" s="229"/>
      <c r="AI200" s="229"/>
      <c r="AJ200" s="229"/>
      <c r="AK200" s="229"/>
      <c r="AL200" s="229"/>
      <c r="AM200" s="229"/>
      <c r="AN200" s="229"/>
      <c r="AO200" s="229"/>
      <c r="AP200" s="229"/>
      <c r="AQ200" s="229"/>
      <c r="AR200" s="229"/>
      <c r="AS200" s="229"/>
      <c r="AT200" s="228"/>
      <c r="AU200" s="228"/>
      <c r="AV200" s="230"/>
      <c r="AW200" s="82"/>
      <c r="AX200" s="67"/>
    </row>
    <row r="201" spans="1:50" ht="14.4" thickTop="1" x14ac:dyDescent="0.25">
      <c r="A201" s="67" t="str">
        <f>IFERROR(IF(C201&lt;&gt;"",MAX($A$2:$A200)+1,""),"")</f>
        <v/>
      </c>
      <c r="B201" s="223">
        <f t="shared" si="1"/>
        <v>189</v>
      </c>
      <c r="C201" s="216"/>
      <c r="D201" s="216"/>
      <c r="E201" s="248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  <c r="W201" s="74"/>
      <c r="X201" s="211"/>
      <c r="Y201" s="211"/>
      <c r="Z201" s="211"/>
      <c r="AA201" s="211"/>
      <c r="AB201" s="211"/>
      <c r="AC201" s="211"/>
      <c r="AD201" s="211"/>
      <c r="AE201" s="211"/>
      <c r="AF201" s="211"/>
      <c r="AG201" s="211"/>
      <c r="AH201" s="211"/>
      <c r="AI201" s="211"/>
      <c r="AJ201" s="211"/>
      <c r="AK201" s="211"/>
      <c r="AL201" s="211"/>
      <c r="AM201" s="211"/>
      <c r="AN201" s="211"/>
      <c r="AO201" s="211"/>
      <c r="AP201" s="211"/>
      <c r="AQ201" s="211"/>
      <c r="AR201" s="211"/>
      <c r="AS201" s="211"/>
      <c r="AT201" s="74"/>
      <c r="AU201" s="74"/>
      <c r="AV201" s="74"/>
      <c r="AW201" s="82" t="s">
        <v>1655</v>
      </c>
      <c r="AX201" s="67"/>
    </row>
    <row r="202" spans="1:50" x14ac:dyDescent="0.25">
      <c r="A202" s="67" t="str">
        <f>IFERROR(IF(C202&lt;&gt;"",MAX($A$2:$A201)+1,""),"")</f>
        <v/>
      </c>
      <c r="B202" s="223">
        <f t="shared" si="1"/>
        <v>190</v>
      </c>
      <c r="C202" s="216"/>
      <c r="D202" s="216"/>
      <c r="E202" s="248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/>
      <c r="U202" s="74"/>
      <c r="V202" s="74"/>
      <c r="W202" s="74"/>
      <c r="X202" s="211"/>
      <c r="Y202" s="211"/>
      <c r="Z202" s="211"/>
      <c r="AA202" s="211"/>
      <c r="AB202" s="211"/>
      <c r="AC202" s="211"/>
      <c r="AD202" s="211"/>
      <c r="AE202" s="211"/>
      <c r="AF202" s="211"/>
      <c r="AG202" s="211"/>
      <c r="AH202" s="211"/>
      <c r="AI202" s="211"/>
      <c r="AJ202" s="211"/>
      <c r="AK202" s="211"/>
      <c r="AL202" s="211"/>
      <c r="AM202" s="211"/>
      <c r="AN202" s="211"/>
      <c r="AO202" s="211"/>
      <c r="AP202" s="211"/>
      <c r="AQ202" s="211"/>
      <c r="AR202" s="211"/>
      <c r="AS202" s="211"/>
      <c r="AT202" s="74"/>
      <c r="AU202" s="74"/>
      <c r="AV202" s="74"/>
      <c r="AW202" s="82"/>
      <c r="AX202" s="67"/>
    </row>
    <row r="203" spans="1:50" x14ac:dyDescent="0.25">
      <c r="A203" s="67" t="str">
        <f>IFERROR(IF(C203&lt;&gt;"",MAX($A$2:$A202)+1,""),"")</f>
        <v/>
      </c>
      <c r="B203" s="223">
        <f t="shared" si="1"/>
        <v>191</v>
      </c>
      <c r="C203" s="216"/>
      <c r="D203" s="216"/>
      <c r="E203" s="248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74"/>
      <c r="U203" s="74"/>
      <c r="V203" s="74"/>
      <c r="W203" s="74"/>
      <c r="X203" s="211"/>
      <c r="Y203" s="211"/>
      <c r="Z203" s="211"/>
      <c r="AA203" s="211"/>
      <c r="AB203" s="211"/>
      <c r="AC203" s="211"/>
      <c r="AD203" s="211"/>
      <c r="AE203" s="211"/>
      <c r="AF203" s="211"/>
      <c r="AG203" s="211"/>
      <c r="AH203" s="211"/>
      <c r="AI203" s="211"/>
      <c r="AJ203" s="211"/>
      <c r="AK203" s="211"/>
      <c r="AL203" s="211"/>
      <c r="AM203" s="211"/>
      <c r="AN203" s="211"/>
      <c r="AO203" s="211"/>
      <c r="AP203" s="211"/>
      <c r="AQ203" s="211"/>
      <c r="AR203" s="211"/>
      <c r="AS203" s="211"/>
      <c r="AT203" s="74"/>
      <c r="AU203" s="74"/>
      <c r="AV203" s="74"/>
      <c r="AW203" s="82"/>
      <c r="AX203" s="67"/>
    </row>
    <row r="204" spans="1:50" x14ac:dyDescent="0.25">
      <c r="A204" s="67" t="str">
        <f>IFERROR(IF(C204&lt;&gt;"",MAX($A$2:$A203)+1,""),"")</f>
        <v/>
      </c>
      <c r="B204" s="223">
        <f t="shared" si="1"/>
        <v>192</v>
      </c>
      <c r="C204" s="216"/>
      <c r="D204" s="216"/>
      <c r="E204" s="248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4"/>
      <c r="Q204" s="74"/>
      <c r="R204" s="74"/>
      <c r="S204" s="74"/>
      <c r="T204" s="74"/>
      <c r="U204" s="74"/>
      <c r="V204" s="74"/>
      <c r="W204" s="74"/>
      <c r="X204" s="211"/>
      <c r="Y204" s="211"/>
      <c r="Z204" s="211"/>
      <c r="AA204" s="211"/>
      <c r="AB204" s="211"/>
      <c r="AC204" s="211"/>
      <c r="AD204" s="211"/>
      <c r="AE204" s="211"/>
      <c r="AF204" s="211"/>
      <c r="AG204" s="211"/>
      <c r="AH204" s="211"/>
      <c r="AI204" s="211"/>
      <c r="AJ204" s="211"/>
      <c r="AK204" s="211"/>
      <c r="AL204" s="211"/>
      <c r="AM204" s="211"/>
      <c r="AN204" s="211"/>
      <c r="AO204" s="211"/>
      <c r="AP204" s="211"/>
      <c r="AQ204" s="211"/>
      <c r="AR204" s="211"/>
      <c r="AS204" s="211"/>
      <c r="AT204" s="74"/>
      <c r="AU204" s="74"/>
      <c r="AV204" s="74"/>
      <c r="AW204" s="82"/>
      <c r="AX204" s="67"/>
    </row>
    <row r="205" spans="1:50" x14ac:dyDescent="0.25">
      <c r="A205" s="67" t="str">
        <f>IFERROR(IF(C205&lt;&gt;"",MAX($A$2:$A204)+1,""),"")</f>
        <v/>
      </c>
      <c r="B205" s="223">
        <f t="shared" si="1"/>
        <v>193</v>
      </c>
      <c r="C205" s="216"/>
      <c r="D205" s="216"/>
      <c r="E205" s="248"/>
      <c r="F205" s="74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  <c r="W205" s="74"/>
      <c r="X205" s="211"/>
      <c r="Y205" s="211"/>
      <c r="Z205" s="211"/>
      <c r="AA205" s="211"/>
      <c r="AB205" s="211"/>
      <c r="AC205" s="211"/>
      <c r="AD205" s="211"/>
      <c r="AE205" s="211"/>
      <c r="AF205" s="211"/>
      <c r="AG205" s="211"/>
      <c r="AH205" s="211"/>
      <c r="AI205" s="211"/>
      <c r="AJ205" s="211"/>
      <c r="AK205" s="211"/>
      <c r="AL205" s="211"/>
      <c r="AM205" s="211"/>
      <c r="AN205" s="211"/>
      <c r="AO205" s="211"/>
      <c r="AP205" s="211"/>
      <c r="AQ205" s="211"/>
      <c r="AR205" s="211"/>
      <c r="AS205" s="211"/>
      <c r="AT205" s="74"/>
      <c r="AU205" s="74"/>
      <c r="AV205" s="74"/>
      <c r="AW205" s="82"/>
      <c r="AX205" s="67"/>
    </row>
    <row r="206" spans="1:50" x14ac:dyDescent="0.25">
      <c r="A206" s="67" t="str">
        <f>IFERROR(IF(C206&lt;&gt;"",MAX($A$2:$A205)+1,""),"")</f>
        <v/>
      </c>
      <c r="B206" s="223">
        <f t="shared" si="1"/>
        <v>194</v>
      </c>
      <c r="C206" s="216"/>
      <c r="D206" s="216"/>
      <c r="E206" s="248"/>
      <c r="F206" s="74"/>
      <c r="G206" s="74"/>
      <c r="H206" s="74"/>
      <c r="I206" s="74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74"/>
      <c r="U206" s="74"/>
      <c r="V206" s="74"/>
      <c r="W206" s="74"/>
      <c r="X206" s="211"/>
      <c r="Y206" s="211"/>
      <c r="Z206" s="211"/>
      <c r="AA206" s="211"/>
      <c r="AB206" s="211"/>
      <c r="AC206" s="211"/>
      <c r="AD206" s="211"/>
      <c r="AE206" s="211"/>
      <c r="AF206" s="211"/>
      <c r="AG206" s="211"/>
      <c r="AH206" s="211"/>
      <c r="AI206" s="211"/>
      <c r="AJ206" s="211"/>
      <c r="AK206" s="211"/>
      <c r="AL206" s="211"/>
      <c r="AM206" s="211"/>
      <c r="AN206" s="211"/>
      <c r="AO206" s="211"/>
      <c r="AP206" s="211"/>
      <c r="AQ206" s="211"/>
      <c r="AR206" s="211"/>
      <c r="AS206" s="211"/>
      <c r="AT206" s="74"/>
      <c r="AU206" s="74"/>
      <c r="AV206" s="74"/>
      <c r="AW206" s="82"/>
      <c r="AX206" s="67"/>
    </row>
    <row r="207" spans="1:50" x14ac:dyDescent="0.25">
      <c r="A207" s="67" t="str">
        <f>IFERROR(IF(C207&lt;&gt;"",MAX($A$2:$A206)+1,""),"")</f>
        <v/>
      </c>
      <c r="B207" s="223">
        <f t="shared" si="1"/>
        <v>195</v>
      </c>
      <c r="C207" s="216"/>
      <c r="D207" s="216"/>
      <c r="E207" s="248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/>
      <c r="U207" s="74"/>
      <c r="V207" s="74"/>
      <c r="W207" s="74"/>
      <c r="X207" s="211"/>
      <c r="Y207" s="211"/>
      <c r="Z207" s="211"/>
      <c r="AA207" s="211"/>
      <c r="AB207" s="211"/>
      <c r="AC207" s="211"/>
      <c r="AD207" s="211"/>
      <c r="AE207" s="211"/>
      <c r="AF207" s="211"/>
      <c r="AG207" s="211"/>
      <c r="AH207" s="211"/>
      <c r="AI207" s="211"/>
      <c r="AJ207" s="211"/>
      <c r="AK207" s="211"/>
      <c r="AL207" s="211"/>
      <c r="AM207" s="211"/>
      <c r="AN207" s="211"/>
      <c r="AO207" s="211"/>
      <c r="AP207" s="211"/>
      <c r="AQ207" s="211"/>
      <c r="AR207" s="211"/>
      <c r="AS207" s="211"/>
      <c r="AT207" s="74"/>
      <c r="AU207" s="74"/>
      <c r="AV207" s="74"/>
      <c r="AW207" s="82"/>
      <c r="AX207" s="67"/>
    </row>
    <row r="208" spans="1:50" x14ac:dyDescent="0.25">
      <c r="A208" s="67" t="str">
        <f>IFERROR(IF(C208&lt;&gt;"",MAX($A$2:$A207)+1,""),"")</f>
        <v/>
      </c>
      <c r="B208" s="223">
        <f t="shared" si="1"/>
        <v>196</v>
      </c>
      <c r="C208" s="216"/>
      <c r="D208" s="216"/>
      <c r="E208" s="248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74"/>
      <c r="U208" s="74"/>
      <c r="V208" s="74"/>
      <c r="W208" s="74"/>
      <c r="X208" s="211"/>
      <c r="Y208" s="211"/>
      <c r="Z208" s="211"/>
      <c r="AA208" s="211"/>
      <c r="AB208" s="211"/>
      <c r="AC208" s="211"/>
      <c r="AD208" s="211"/>
      <c r="AE208" s="211"/>
      <c r="AF208" s="211"/>
      <c r="AG208" s="211"/>
      <c r="AH208" s="74">
        <f>IF('IMPORT SCHLIESSERDATEN'!BZ200="V",999,'IMPORT SCHLIESSERDATEN'!BZ200)</f>
        <v>0</v>
      </c>
      <c r="AI208" s="74">
        <f>IF('IMPORT SCHLIESSERDATEN'!CA200="V",999,'IMPORT SCHLIESSERDATEN'!CA200)</f>
        <v>0</v>
      </c>
      <c r="AJ208" s="74">
        <f>IF('IMPORT SCHLIESSERDATEN'!CB200="V",999,'IMPORT SCHLIESSERDATEN'!CB200)</f>
        <v>0</v>
      </c>
      <c r="AK208" s="74">
        <f>'IMPORT SCHLIESSERDATEN'!CC200</f>
        <v>0</v>
      </c>
      <c r="AL208" s="74">
        <f>'IMPORT SCHLIESSERDATEN'!CD200</f>
        <v>0</v>
      </c>
      <c r="AM208" s="74">
        <f>'IMPORT SCHLIESSERDATEN'!CH200</f>
        <v>0</v>
      </c>
      <c r="AN208" s="74"/>
      <c r="AO208" s="74">
        <f>'IMPORT SCHLIESSERDATEN'!CK200</f>
        <v>0</v>
      </c>
      <c r="AP208" s="74"/>
      <c r="AQ208" s="74"/>
      <c r="AR208" s="74"/>
      <c r="AS208" s="74"/>
      <c r="AT208" s="74"/>
      <c r="AU208" s="74"/>
      <c r="AV208" s="74"/>
      <c r="AW208" s="82"/>
      <c r="AX208" s="67"/>
    </row>
    <row r="209" spans="1:50" x14ac:dyDescent="0.25">
      <c r="A209" s="67" t="str">
        <f>IFERROR(IF(C209&lt;&gt;"",MAX($A$2:$A208)+1,""),"")</f>
        <v/>
      </c>
      <c r="B209" s="223">
        <f t="shared" si="1"/>
        <v>197</v>
      </c>
      <c r="C209" s="216"/>
      <c r="D209" s="216"/>
      <c r="E209" s="248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211"/>
      <c r="Y209" s="211"/>
      <c r="Z209" s="211"/>
      <c r="AA209" s="211"/>
      <c r="AB209" s="211"/>
      <c r="AC209" s="211"/>
      <c r="AD209" s="211"/>
      <c r="AE209" s="211"/>
      <c r="AF209" s="211"/>
      <c r="AG209" s="211"/>
      <c r="AH209" s="74">
        <f>IF('IMPORT SCHLIESSERDATEN'!BZ201="V",999,'IMPORT SCHLIESSERDATEN'!BZ201)</f>
        <v>0</v>
      </c>
      <c r="AI209" s="74">
        <f>IF('IMPORT SCHLIESSERDATEN'!CA201="V",999,'IMPORT SCHLIESSERDATEN'!CA201)</f>
        <v>0</v>
      </c>
      <c r="AJ209" s="74">
        <f>IF('IMPORT SCHLIESSERDATEN'!CB201="V",999,'IMPORT SCHLIESSERDATEN'!CB201)</f>
        <v>0</v>
      </c>
      <c r="AK209" s="74">
        <f>'IMPORT SCHLIESSERDATEN'!CC201</f>
        <v>0</v>
      </c>
      <c r="AL209" s="74">
        <f>'IMPORT SCHLIESSERDATEN'!CD201</f>
        <v>0</v>
      </c>
      <c r="AM209" s="74">
        <f>'IMPORT SCHLIESSERDATEN'!CH201</f>
        <v>0</v>
      </c>
      <c r="AN209" s="74"/>
      <c r="AO209" s="74">
        <f>'IMPORT SCHLIESSERDATEN'!CK201</f>
        <v>0</v>
      </c>
      <c r="AP209" s="74"/>
      <c r="AQ209" s="74"/>
      <c r="AR209" s="74"/>
      <c r="AS209" s="74"/>
      <c r="AT209" s="74"/>
      <c r="AU209" s="74"/>
      <c r="AV209" s="74"/>
      <c r="AW209" s="82"/>
      <c r="AX209" s="67"/>
    </row>
    <row r="210" spans="1:50" x14ac:dyDescent="0.25">
      <c r="A210" s="67" t="str">
        <f>IFERROR(IF(C210&lt;&gt;"",MAX($A$2:$A209)+1,""),"")</f>
        <v/>
      </c>
      <c r="B210" s="223">
        <f t="shared" si="1"/>
        <v>198</v>
      </c>
      <c r="C210" s="216"/>
      <c r="D210" s="216"/>
      <c r="E210" s="248"/>
      <c r="F210" s="74"/>
      <c r="G210" s="74"/>
      <c r="H210" s="74"/>
      <c r="I210" s="74"/>
      <c r="J210" s="74"/>
      <c r="K210" s="74"/>
      <c r="L210" s="74"/>
      <c r="M210" s="74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211"/>
      <c r="Y210" s="211"/>
      <c r="Z210" s="211"/>
      <c r="AA210" s="211"/>
      <c r="AB210" s="211"/>
      <c r="AC210" s="211"/>
      <c r="AD210" s="211"/>
      <c r="AE210" s="211"/>
      <c r="AF210" s="211"/>
      <c r="AG210" s="211"/>
      <c r="AH210" s="74">
        <f>IF('IMPORT SCHLIESSERDATEN'!BZ202="V",999,'IMPORT SCHLIESSERDATEN'!BZ202)</f>
        <v>0</v>
      </c>
      <c r="AI210" s="74">
        <f>IF('IMPORT SCHLIESSERDATEN'!CA202="V",999,'IMPORT SCHLIESSERDATEN'!CA202)</f>
        <v>0</v>
      </c>
      <c r="AJ210" s="74">
        <f>IF('IMPORT SCHLIESSERDATEN'!CB202="V",999,'IMPORT SCHLIESSERDATEN'!CB202)</f>
        <v>0</v>
      </c>
      <c r="AK210" s="74">
        <f>'IMPORT SCHLIESSERDATEN'!CC202</f>
        <v>0</v>
      </c>
      <c r="AL210" s="74">
        <f>'IMPORT SCHLIESSERDATEN'!CD202</f>
        <v>0</v>
      </c>
      <c r="AM210" s="74">
        <f>'IMPORT SCHLIESSERDATEN'!CH202</f>
        <v>0</v>
      </c>
      <c r="AN210" s="74"/>
      <c r="AO210" s="74">
        <f>'IMPORT SCHLIESSERDATEN'!CK202</f>
        <v>0</v>
      </c>
      <c r="AP210" s="74"/>
      <c r="AQ210" s="74"/>
      <c r="AR210" s="74"/>
      <c r="AS210" s="74"/>
      <c r="AT210" s="74"/>
      <c r="AU210" s="74"/>
      <c r="AV210" s="74"/>
      <c r="AW210" s="82"/>
      <c r="AX210" s="67"/>
    </row>
    <row r="211" spans="1:50" x14ac:dyDescent="0.25">
      <c r="A211" s="67" t="str">
        <f>IFERROR(IF(C211&lt;&gt;"",MAX($A$2:$A210)+1,""),"")</f>
        <v/>
      </c>
      <c r="B211" s="223">
        <f t="shared" si="1"/>
        <v>199</v>
      </c>
      <c r="C211" s="216"/>
      <c r="D211" s="216"/>
      <c r="E211" s="248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211"/>
      <c r="Y211" s="211"/>
      <c r="Z211" s="211"/>
      <c r="AA211" s="211"/>
      <c r="AB211" s="211"/>
      <c r="AC211" s="211"/>
      <c r="AD211" s="211"/>
      <c r="AE211" s="211"/>
      <c r="AF211" s="211"/>
      <c r="AG211" s="211"/>
      <c r="AH211" s="74">
        <f>IF('IMPORT SCHLIESSERDATEN'!BZ203="V",999,'IMPORT SCHLIESSERDATEN'!BZ203)</f>
        <v>0</v>
      </c>
      <c r="AI211" s="74">
        <f>IF('IMPORT SCHLIESSERDATEN'!CA203="V",999,'IMPORT SCHLIESSERDATEN'!CA203)</f>
        <v>0</v>
      </c>
      <c r="AJ211" s="74">
        <f>IF('IMPORT SCHLIESSERDATEN'!CB203="V",999,'IMPORT SCHLIESSERDATEN'!CB203)</f>
        <v>0</v>
      </c>
      <c r="AK211" s="74">
        <f>'IMPORT SCHLIESSERDATEN'!CC203</f>
        <v>0</v>
      </c>
      <c r="AL211" s="74">
        <f>'IMPORT SCHLIESSERDATEN'!CD203</f>
        <v>0</v>
      </c>
      <c r="AM211" s="74">
        <f>'IMPORT SCHLIESSERDATEN'!CH203</f>
        <v>0</v>
      </c>
      <c r="AN211" s="74"/>
      <c r="AO211" s="74">
        <f>'IMPORT SCHLIESSERDATEN'!CK203</f>
        <v>0</v>
      </c>
      <c r="AP211" s="74"/>
      <c r="AQ211" s="74"/>
      <c r="AR211" s="74"/>
      <c r="AS211" s="74"/>
      <c r="AT211" s="74"/>
      <c r="AU211" s="74"/>
      <c r="AV211" s="74"/>
      <c r="AW211" s="82"/>
      <c r="AX211" s="67"/>
    </row>
    <row r="212" spans="1:50" x14ac:dyDescent="0.25">
      <c r="A212" s="67" t="str">
        <f>IFERROR(IF(C212&lt;&gt;"",MAX($A$2:$A211)+1,""),"")</f>
        <v/>
      </c>
      <c r="B212" s="223">
        <f t="shared" si="1"/>
        <v>200</v>
      </c>
      <c r="C212" s="216"/>
      <c r="D212" s="216"/>
      <c r="E212" s="248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211"/>
      <c r="Y212" s="211"/>
      <c r="Z212" s="211"/>
      <c r="AA212" s="211"/>
      <c r="AB212" s="211"/>
      <c r="AC212" s="211"/>
      <c r="AD212" s="211"/>
      <c r="AE212" s="211"/>
      <c r="AF212" s="211"/>
      <c r="AG212" s="211"/>
      <c r="AH212" s="74">
        <f>IF('IMPORT SCHLIESSERDATEN'!BZ204="V",999,'IMPORT SCHLIESSERDATEN'!BZ204)</f>
        <v>0</v>
      </c>
      <c r="AI212" s="74">
        <f>IF('IMPORT SCHLIESSERDATEN'!CA204="V",999,'IMPORT SCHLIESSERDATEN'!CA204)</f>
        <v>0</v>
      </c>
      <c r="AJ212" s="74">
        <f>IF('IMPORT SCHLIESSERDATEN'!CB204="V",999,'IMPORT SCHLIESSERDATEN'!CB204)</f>
        <v>0</v>
      </c>
      <c r="AK212" s="74">
        <f>'IMPORT SCHLIESSERDATEN'!CC204</f>
        <v>0</v>
      </c>
      <c r="AL212" s="74">
        <f>'IMPORT SCHLIESSERDATEN'!CD204</f>
        <v>0</v>
      </c>
      <c r="AM212" s="74">
        <f>'IMPORT SCHLIESSERDATEN'!CH204</f>
        <v>0</v>
      </c>
      <c r="AN212" s="74"/>
      <c r="AO212" s="74">
        <f>'IMPORT SCHLIESSERDATEN'!CK204</f>
        <v>0</v>
      </c>
      <c r="AP212" s="74"/>
      <c r="AQ212" s="74"/>
      <c r="AR212" s="74"/>
      <c r="AS212" s="74"/>
      <c r="AT212" s="74"/>
      <c r="AU212" s="74"/>
      <c r="AV212" s="74"/>
      <c r="AW212" s="82"/>
      <c r="AX212" s="67"/>
    </row>
    <row r="213" spans="1:50" x14ac:dyDescent="0.25">
      <c r="A213" s="67" t="str">
        <f>IFERROR(IF(C213&lt;&gt;"",MAX($A$2:$A212)+1,""),"")</f>
        <v/>
      </c>
      <c r="B213" s="223">
        <f t="shared" si="1"/>
        <v>201</v>
      </c>
      <c r="C213" s="216"/>
      <c r="D213" s="216"/>
      <c r="E213" s="248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211"/>
      <c r="Y213" s="211"/>
      <c r="Z213" s="211"/>
      <c r="AA213" s="211"/>
      <c r="AB213" s="211"/>
      <c r="AC213" s="211"/>
      <c r="AD213" s="211"/>
      <c r="AE213" s="211"/>
      <c r="AF213" s="211"/>
      <c r="AG213" s="211"/>
      <c r="AH213" s="74">
        <f>IF('IMPORT SCHLIESSERDATEN'!BZ205="V",999,'IMPORT SCHLIESSERDATEN'!BZ205)</f>
        <v>0</v>
      </c>
      <c r="AI213" s="74">
        <f>IF('IMPORT SCHLIESSERDATEN'!CA205="V",999,'IMPORT SCHLIESSERDATEN'!CA205)</f>
        <v>0</v>
      </c>
      <c r="AJ213" s="74">
        <f>IF('IMPORT SCHLIESSERDATEN'!CB205="V",999,'IMPORT SCHLIESSERDATEN'!CB205)</f>
        <v>0</v>
      </c>
      <c r="AK213" s="74">
        <f>'IMPORT SCHLIESSERDATEN'!CC205</f>
        <v>0</v>
      </c>
      <c r="AL213" s="74">
        <f>'IMPORT SCHLIESSERDATEN'!CD205</f>
        <v>0</v>
      </c>
      <c r="AM213" s="74">
        <f>'IMPORT SCHLIESSERDATEN'!CH205</f>
        <v>0</v>
      </c>
      <c r="AN213" s="74"/>
      <c r="AO213" s="74">
        <f>'IMPORT SCHLIESSERDATEN'!CK205</f>
        <v>0</v>
      </c>
      <c r="AP213" s="74"/>
      <c r="AQ213" s="74"/>
      <c r="AR213" s="74"/>
      <c r="AS213" s="74"/>
      <c r="AT213" s="74"/>
      <c r="AU213" s="74"/>
      <c r="AV213" s="74"/>
      <c r="AW213" s="82"/>
      <c r="AX213" s="67"/>
    </row>
    <row r="214" spans="1:50" x14ac:dyDescent="0.25">
      <c r="A214" s="67" t="str">
        <f>IFERROR(IF(C214&lt;&gt;"",MAX($A$2:$A213)+1,""),"")</f>
        <v/>
      </c>
      <c r="B214" s="223">
        <f t="shared" si="1"/>
        <v>202</v>
      </c>
      <c r="C214" s="216"/>
      <c r="D214" s="216"/>
      <c r="E214" s="248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211"/>
      <c r="Y214" s="211"/>
      <c r="Z214" s="211"/>
      <c r="AA214" s="211"/>
      <c r="AB214" s="211"/>
      <c r="AC214" s="211"/>
      <c r="AD214" s="211"/>
      <c r="AE214" s="211"/>
      <c r="AF214" s="211"/>
      <c r="AG214" s="211"/>
      <c r="AH214" s="74">
        <f>IF('IMPORT SCHLIESSERDATEN'!BZ206="V",999,'IMPORT SCHLIESSERDATEN'!BZ206)</f>
        <v>0</v>
      </c>
      <c r="AI214" s="74">
        <f>IF('IMPORT SCHLIESSERDATEN'!CA206="V",999,'IMPORT SCHLIESSERDATEN'!CA206)</f>
        <v>0</v>
      </c>
      <c r="AJ214" s="74">
        <f>IF('IMPORT SCHLIESSERDATEN'!CB206="V",999,'IMPORT SCHLIESSERDATEN'!CB206)</f>
        <v>0</v>
      </c>
      <c r="AK214" s="74">
        <f>'IMPORT SCHLIESSERDATEN'!CC206</f>
        <v>0</v>
      </c>
      <c r="AL214" s="74">
        <f>'IMPORT SCHLIESSERDATEN'!CD206</f>
        <v>0</v>
      </c>
      <c r="AM214" s="74">
        <f>'IMPORT SCHLIESSERDATEN'!CH206</f>
        <v>0</v>
      </c>
      <c r="AN214" s="74"/>
      <c r="AO214" s="74">
        <f>'IMPORT SCHLIESSERDATEN'!CK206</f>
        <v>0</v>
      </c>
      <c r="AP214" s="74"/>
      <c r="AQ214" s="74"/>
      <c r="AR214" s="74"/>
      <c r="AS214" s="74"/>
      <c r="AT214" s="74"/>
      <c r="AU214" s="74"/>
      <c r="AV214" s="74"/>
      <c r="AW214" s="82"/>
      <c r="AX214" s="67"/>
    </row>
    <row r="215" spans="1:50" x14ac:dyDescent="0.25">
      <c r="A215" s="67" t="str">
        <f>IFERROR(IF(C215&lt;&gt;"",MAX($A$2:$A214)+1,""),"")</f>
        <v/>
      </c>
      <c r="B215" s="223">
        <f t="shared" si="1"/>
        <v>203</v>
      </c>
      <c r="C215" s="216"/>
      <c r="D215" s="216"/>
      <c r="E215" s="248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211"/>
      <c r="Y215" s="211"/>
      <c r="Z215" s="211"/>
      <c r="AA215" s="211"/>
      <c r="AB215" s="211"/>
      <c r="AC215" s="211"/>
      <c r="AD215" s="211"/>
      <c r="AE215" s="211"/>
      <c r="AF215" s="211"/>
      <c r="AG215" s="211"/>
      <c r="AH215" s="74">
        <f>IF('IMPORT SCHLIESSERDATEN'!BZ207="V",999,'IMPORT SCHLIESSERDATEN'!BZ207)</f>
        <v>0</v>
      </c>
      <c r="AI215" s="74">
        <f>IF('IMPORT SCHLIESSERDATEN'!CA207="V",999,'IMPORT SCHLIESSERDATEN'!CA207)</f>
        <v>0</v>
      </c>
      <c r="AJ215" s="74">
        <f>IF('IMPORT SCHLIESSERDATEN'!CB207="V",999,'IMPORT SCHLIESSERDATEN'!CB207)</f>
        <v>0</v>
      </c>
      <c r="AK215" s="74">
        <f>'IMPORT SCHLIESSERDATEN'!CC207</f>
        <v>0</v>
      </c>
      <c r="AL215" s="74">
        <f>'IMPORT SCHLIESSERDATEN'!CD207</f>
        <v>0</v>
      </c>
      <c r="AM215" s="74">
        <f>'IMPORT SCHLIESSERDATEN'!CH207</f>
        <v>0</v>
      </c>
      <c r="AN215" s="74"/>
      <c r="AO215" s="74">
        <f>'IMPORT SCHLIESSERDATEN'!CK207</f>
        <v>0</v>
      </c>
      <c r="AP215" s="74"/>
      <c r="AQ215" s="74"/>
      <c r="AR215" s="74"/>
      <c r="AS215" s="74"/>
      <c r="AT215" s="74"/>
      <c r="AU215" s="74"/>
      <c r="AV215" s="74"/>
      <c r="AW215" s="82"/>
      <c r="AX215" s="67"/>
    </row>
    <row r="216" spans="1:50" x14ac:dyDescent="0.25">
      <c r="A216" s="67" t="str">
        <f>IFERROR(IF(C216&lt;&gt;"",MAX($A$2:$A215)+1,""),"")</f>
        <v/>
      </c>
      <c r="B216" s="223">
        <f t="shared" si="1"/>
        <v>204</v>
      </c>
      <c r="C216" s="216"/>
      <c r="D216" s="216"/>
      <c r="E216" s="248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211"/>
      <c r="Y216" s="211"/>
      <c r="Z216" s="211"/>
      <c r="AA216" s="211"/>
      <c r="AB216" s="211"/>
      <c r="AC216" s="211"/>
      <c r="AD216" s="211"/>
      <c r="AE216" s="211"/>
      <c r="AF216" s="211"/>
      <c r="AG216" s="211"/>
      <c r="AH216" s="74">
        <f>IF('IMPORT SCHLIESSERDATEN'!BZ208="V",999,'IMPORT SCHLIESSERDATEN'!BZ208)</f>
        <v>0</v>
      </c>
      <c r="AI216" s="74">
        <f>IF('IMPORT SCHLIESSERDATEN'!CA208="V",999,'IMPORT SCHLIESSERDATEN'!CA208)</f>
        <v>0</v>
      </c>
      <c r="AJ216" s="74">
        <f>IF('IMPORT SCHLIESSERDATEN'!CB208="V",999,'IMPORT SCHLIESSERDATEN'!CB208)</f>
        <v>0</v>
      </c>
      <c r="AK216" s="74">
        <f>'IMPORT SCHLIESSERDATEN'!CC208</f>
        <v>0</v>
      </c>
      <c r="AL216" s="74">
        <f>'IMPORT SCHLIESSERDATEN'!CD208</f>
        <v>0</v>
      </c>
      <c r="AM216" s="74">
        <f>'IMPORT SCHLIESSERDATEN'!CH208</f>
        <v>0</v>
      </c>
      <c r="AN216" s="74"/>
      <c r="AO216" s="74">
        <f>'IMPORT SCHLIESSERDATEN'!CK208</f>
        <v>0</v>
      </c>
      <c r="AP216" s="74"/>
      <c r="AQ216" s="74"/>
      <c r="AR216" s="74"/>
      <c r="AS216" s="74"/>
      <c r="AT216" s="74"/>
      <c r="AU216" s="74"/>
      <c r="AV216" s="74"/>
      <c r="AW216" s="82"/>
      <c r="AX216" s="67"/>
    </row>
    <row r="217" spans="1:50" x14ac:dyDescent="0.25">
      <c r="A217" s="67" t="str">
        <f>IFERROR(IF(C217&lt;&gt;"",MAX($A$2:$A216)+1,""),"")</f>
        <v/>
      </c>
      <c r="B217" s="223">
        <f t="shared" si="1"/>
        <v>205</v>
      </c>
      <c r="C217" s="216"/>
      <c r="D217" s="216"/>
      <c r="E217" s="248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211"/>
      <c r="Y217" s="211"/>
      <c r="Z217" s="211"/>
      <c r="AA217" s="211"/>
      <c r="AB217" s="211"/>
      <c r="AC217" s="211"/>
      <c r="AD217" s="211"/>
      <c r="AE217" s="211"/>
      <c r="AF217" s="211"/>
      <c r="AG217" s="211"/>
      <c r="AH217" s="74">
        <f>IF('IMPORT SCHLIESSERDATEN'!BZ209="V",999,'IMPORT SCHLIESSERDATEN'!BZ209)</f>
        <v>0</v>
      </c>
      <c r="AI217" s="74">
        <f>IF('IMPORT SCHLIESSERDATEN'!CA209="V",999,'IMPORT SCHLIESSERDATEN'!CA209)</f>
        <v>0</v>
      </c>
      <c r="AJ217" s="74">
        <f>IF('IMPORT SCHLIESSERDATEN'!CB209="V",999,'IMPORT SCHLIESSERDATEN'!CB209)</f>
        <v>0</v>
      </c>
      <c r="AK217" s="74">
        <f>'IMPORT SCHLIESSERDATEN'!CC209</f>
        <v>0</v>
      </c>
      <c r="AL217" s="74">
        <f>'IMPORT SCHLIESSERDATEN'!CD209</f>
        <v>0</v>
      </c>
      <c r="AM217" s="74">
        <f>'IMPORT SCHLIESSERDATEN'!CH209</f>
        <v>0</v>
      </c>
      <c r="AN217" s="74"/>
      <c r="AO217" s="74">
        <f>'IMPORT SCHLIESSERDATEN'!CK209</f>
        <v>0</v>
      </c>
      <c r="AP217" s="74"/>
      <c r="AQ217" s="74"/>
      <c r="AR217" s="74"/>
      <c r="AS217" s="74"/>
      <c r="AT217" s="74"/>
      <c r="AU217" s="74"/>
      <c r="AV217" s="74"/>
      <c r="AW217" s="82"/>
      <c r="AX217" s="67"/>
    </row>
    <row r="218" spans="1:50" x14ac:dyDescent="0.25">
      <c r="A218" s="67" t="str">
        <f>IFERROR(IF(C218&lt;&gt;"",MAX($A$2:$A217)+1,""),"")</f>
        <v/>
      </c>
      <c r="B218" s="223">
        <f t="shared" si="1"/>
        <v>206</v>
      </c>
      <c r="C218" s="216"/>
      <c r="D218" s="216"/>
      <c r="E218" s="248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211"/>
      <c r="Y218" s="211"/>
      <c r="Z218" s="211"/>
      <c r="AA218" s="211"/>
      <c r="AB218" s="211"/>
      <c r="AC218" s="211"/>
      <c r="AD218" s="211"/>
      <c r="AE218" s="211"/>
      <c r="AF218" s="211"/>
      <c r="AG218" s="211"/>
      <c r="AH218" s="74">
        <f>IF('IMPORT SCHLIESSERDATEN'!BZ210="V",999,'IMPORT SCHLIESSERDATEN'!BZ210)</f>
        <v>0</v>
      </c>
      <c r="AI218" s="74">
        <f>IF('IMPORT SCHLIESSERDATEN'!CA210="V",999,'IMPORT SCHLIESSERDATEN'!CA210)</f>
        <v>0</v>
      </c>
      <c r="AJ218" s="74">
        <f>IF('IMPORT SCHLIESSERDATEN'!CB210="V",999,'IMPORT SCHLIESSERDATEN'!CB210)</f>
        <v>0</v>
      </c>
      <c r="AK218" s="74">
        <f>'IMPORT SCHLIESSERDATEN'!CC210</f>
        <v>0</v>
      </c>
      <c r="AL218" s="74">
        <f>'IMPORT SCHLIESSERDATEN'!CD210</f>
        <v>0</v>
      </c>
      <c r="AM218" s="74">
        <f>'IMPORT SCHLIESSERDATEN'!CH210</f>
        <v>0</v>
      </c>
      <c r="AN218" s="74"/>
      <c r="AO218" s="74">
        <f>'IMPORT SCHLIESSERDATEN'!CK210</f>
        <v>0</v>
      </c>
      <c r="AP218" s="74"/>
      <c r="AQ218" s="74"/>
      <c r="AR218" s="74"/>
      <c r="AS218" s="74"/>
      <c r="AT218" s="74"/>
      <c r="AU218" s="74"/>
      <c r="AV218" s="74"/>
      <c r="AW218" s="82"/>
      <c r="AX218" s="67"/>
    </row>
    <row r="219" spans="1:50" x14ac:dyDescent="0.25">
      <c r="A219" s="67" t="str">
        <f>IFERROR(IF(C219&lt;&gt;"",MAX($A$2:$A218)+1,""),"")</f>
        <v/>
      </c>
      <c r="B219" s="223">
        <f t="shared" si="1"/>
        <v>207</v>
      </c>
      <c r="C219" s="216"/>
      <c r="D219" s="216"/>
      <c r="E219" s="248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211"/>
      <c r="Y219" s="211"/>
      <c r="Z219" s="211"/>
      <c r="AA219" s="211"/>
      <c r="AB219" s="211"/>
      <c r="AC219" s="211"/>
      <c r="AD219" s="211"/>
      <c r="AE219" s="211"/>
      <c r="AF219" s="211"/>
      <c r="AG219" s="211"/>
      <c r="AH219" s="74">
        <f>IF('IMPORT SCHLIESSERDATEN'!BZ211="V",999,'IMPORT SCHLIESSERDATEN'!BZ211)</f>
        <v>0</v>
      </c>
      <c r="AI219" s="74">
        <f>IF('IMPORT SCHLIESSERDATEN'!CA211="V",999,'IMPORT SCHLIESSERDATEN'!CA211)</f>
        <v>0</v>
      </c>
      <c r="AJ219" s="74">
        <f>IF('IMPORT SCHLIESSERDATEN'!CB211="V",999,'IMPORT SCHLIESSERDATEN'!CB211)</f>
        <v>0</v>
      </c>
      <c r="AK219" s="74">
        <f>'IMPORT SCHLIESSERDATEN'!CC211</f>
        <v>0</v>
      </c>
      <c r="AL219" s="74">
        <f>'IMPORT SCHLIESSERDATEN'!CD211</f>
        <v>0</v>
      </c>
      <c r="AM219" s="74">
        <f>'IMPORT SCHLIESSERDATEN'!CH211</f>
        <v>0</v>
      </c>
      <c r="AN219" s="74"/>
      <c r="AO219" s="74">
        <f>'IMPORT SCHLIESSERDATEN'!CK211</f>
        <v>0</v>
      </c>
      <c r="AP219" s="74"/>
      <c r="AQ219" s="74"/>
      <c r="AR219" s="74"/>
      <c r="AS219" s="74"/>
      <c r="AT219" s="74"/>
      <c r="AU219" s="74"/>
      <c r="AV219" s="74"/>
      <c r="AW219" s="82"/>
      <c r="AX219" s="67"/>
    </row>
    <row r="220" spans="1:50" x14ac:dyDescent="0.25">
      <c r="A220" s="67" t="str">
        <f>IFERROR(IF(C220&lt;&gt;"",MAX($A$2:$A219)+1,""),"")</f>
        <v/>
      </c>
      <c r="B220" s="223">
        <f t="shared" si="1"/>
        <v>208</v>
      </c>
      <c r="C220" s="216"/>
      <c r="D220" s="216"/>
      <c r="E220" s="248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  <c r="W220" s="74"/>
      <c r="X220" s="211"/>
      <c r="Y220" s="211"/>
      <c r="Z220" s="211"/>
      <c r="AA220" s="211"/>
      <c r="AB220" s="211"/>
      <c r="AC220" s="211"/>
      <c r="AD220" s="211"/>
      <c r="AE220" s="211"/>
      <c r="AF220" s="211"/>
      <c r="AG220" s="211"/>
      <c r="AH220" s="74">
        <f>IF('IMPORT SCHLIESSERDATEN'!BZ212="V",999,'IMPORT SCHLIESSERDATEN'!BZ212)</f>
        <v>0</v>
      </c>
      <c r="AI220" s="74">
        <f>IF('IMPORT SCHLIESSERDATEN'!CA212="V",999,'IMPORT SCHLIESSERDATEN'!CA212)</f>
        <v>0</v>
      </c>
      <c r="AJ220" s="74">
        <f>IF('IMPORT SCHLIESSERDATEN'!CB212="V",999,'IMPORT SCHLIESSERDATEN'!CB212)</f>
        <v>0</v>
      </c>
      <c r="AK220" s="74">
        <f>'IMPORT SCHLIESSERDATEN'!CC212</f>
        <v>0</v>
      </c>
      <c r="AL220" s="74">
        <f>'IMPORT SCHLIESSERDATEN'!CD212</f>
        <v>0</v>
      </c>
      <c r="AM220" s="74">
        <f>'IMPORT SCHLIESSERDATEN'!CH212</f>
        <v>0</v>
      </c>
      <c r="AN220" s="74"/>
      <c r="AO220" s="74">
        <f>'IMPORT SCHLIESSERDATEN'!CK212</f>
        <v>0</v>
      </c>
      <c r="AP220" s="74"/>
      <c r="AQ220" s="74"/>
      <c r="AR220" s="74"/>
      <c r="AS220" s="74"/>
      <c r="AT220" s="74"/>
      <c r="AU220" s="74"/>
      <c r="AV220" s="74"/>
      <c r="AW220" s="82"/>
      <c r="AX220" s="67"/>
    </row>
    <row r="221" spans="1:50" x14ac:dyDescent="0.25">
      <c r="A221" s="67" t="str">
        <f>IFERROR(IF(C221&lt;&gt;"",MAX($A$2:$A220)+1,""),"")</f>
        <v/>
      </c>
      <c r="B221" s="223">
        <f t="shared" si="1"/>
        <v>209</v>
      </c>
      <c r="C221" s="216"/>
      <c r="D221" s="216"/>
      <c r="E221" s="248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  <c r="W221" s="74"/>
      <c r="X221" s="211"/>
      <c r="Y221" s="211"/>
      <c r="Z221" s="211"/>
      <c r="AA221" s="211"/>
      <c r="AB221" s="211"/>
      <c r="AC221" s="211"/>
      <c r="AD221" s="211"/>
      <c r="AE221" s="211"/>
      <c r="AF221" s="211"/>
      <c r="AG221" s="211"/>
      <c r="AH221" s="74">
        <f>IF('IMPORT SCHLIESSERDATEN'!BZ213="V",999,'IMPORT SCHLIESSERDATEN'!BZ213)</f>
        <v>0</v>
      </c>
      <c r="AI221" s="74">
        <f>IF('IMPORT SCHLIESSERDATEN'!CA213="V",999,'IMPORT SCHLIESSERDATEN'!CA213)</f>
        <v>0</v>
      </c>
      <c r="AJ221" s="74">
        <f>IF('IMPORT SCHLIESSERDATEN'!CB213="V",999,'IMPORT SCHLIESSERDATEN'!CB213)</f>
        <v>0</v>
      </c>
      <c r="AK221" s="74">
        <f>'IMPORT SCHLIESSERDATEN'!CC213</f>
        <v>0</v>
      </c>
      <c r="AL221" s="74">
        <f>'IMPORT SCHLIESSERDATEN'!CD213</f>
        <v>0</v>
      </c>
      <c r="AM221" s="74">
        <f>'IMPORT SCHLIESSERDATEN'!CH213</f>
        <v>0</v>
      </c>
      <c r="AN221" s="74"/>
      <c r="AO221" s="74">
        <f>'IMPORT SCHLIESSERDATEN'!CK213</f>
        <v>0</v>
      </c>
      <c r="AP221" s="74"/>
      <c r="AQ221" s="74"/>
      <c r="AR221" s="74"/>
      <c r="AS221" s="74"/>
      <c r="AT221" s="74"/>
      <c r="AU221" s="74"/>
      <c r="AV221" s="74"/>
      <c r="AW221" s="82"/>
      <c r="AX221" s="67"/>
    </row>
    <row r="222" spans="1:50" x14ac:dyDescent="0.25">
      <c r="A222" s="67" t="str">
        <f>IFERROR(IF(C222&lt;&gt;"",MAX($A$2:$A221)+1,""),"")</f>
        <v/>
      </c>
      <c r="B222" s="223">
        <f t="shared" si="1"/>
        <v>210</v>
      </c>
      <c r="C222" s="216"/>
      <c r="D222" s="216"/>
      <c r="E222" s="248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  <c r="W222" s="74"/>
      <c r="X222" s="211"/>
      <c r="Y222" s="211"/>
      <c r="Z222" s="211"/>
      <c r="AA222" s="211"/>
      <c r="AB222" s="211"/>
      <c r="AC222" s="211"/>
      <c r="AD222" s="211"/>
      <c r="AE222" s="211"/>
      <c r="AF222" s="211"/>
      <c r="AG222" s="211"/>
      <c r="AH222" s="74">
        <f>IF('IMPORT SCHLIESSERDATEN'!BZ214="V",999,'IMPORT SCHLIESSERDATEN'!BZ214)</f>
        <v>0</v>
      </c>
      <c r="AI222" s="74">
        <f>IF('IMPORT SCHLIESSERDATEN'!CA214="V",999,'IMPORT SCHLIESSERDATEN'!CA214)</f>
        <v>0</v>
      </c>
      <c r="AJ222" s="74">
        <f>IF('IMPORT SCHLIESSERDATEN'!CB214="V",999,'IMPORT SCHLIESSERDATEN'!CB214)</f>
        <v>0</v>
      </c>
      <c r="AK222" s="74">
        <f>'IMPORT SCHLIESSERDATEN'!CC214</f>
        <v>0</v>
      </c>
      <c r="AL222" s="74">
        <f>'IMPORT SCHLIESSERDATEN'!CD214</f>
        <v>0</v>
      </c>
      <c r="AM222" s="74">
        <f>'IMPORT SCHLIESSERDATEN'!CH214</f>
        <v>0</v>
      </c>
      <c r="AN222" s="74"/>
      <c r="AO222" s="74">
        <f>'IMPORT SCHLIESSERDATEN'!CK214</f>
        <v>0</v>
      </c>
      <c r="AP222" s="74"/>
      <c r="AQ222" s="74"/>
      <c r="AR222" s="74"/>
      <c r="AS222" s="74"/>
      <c r="AT222" s="74"/>
      <c r="AU222" s="74"/>
      <c r="AV222" s="74"/>
      <c r="AW222" s="82"/>
      <c r="AX222" s="67"/>
    </row>
    <row r="223" spans="1:50" x14ac:dyDescent="0.25">
      <c r="A223" s="67" t="str">
        <f>IFERROR(IF(C223&lt;&gt;"",MAX($A$2:$A222)+1,""),"")</f>
        <v/>
      </c>
      <c r="B223" s="223">
        <f t="shared" si="1"/>
        <v>211</v>
      </c>
      <c r="C223" s="216"/>
      <c r="D223" s="216"/>
      <c r="E223" s="248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  <c r="W223" s="74"/>
      <c r="X223" s="211"/>
      <c r="Y223" s="211"/>
      <c r="Z223" s="211"/>
      <c r="AA223" s="211"/>
      <c r="AB223" s="211"/>
      <c r="AC223" s="211"/>
      <c r="AD223" s="211"/>
      <c r="AE223" s="211"/>
      <c r="AF223" s="211"/>
      <c r="AG223" s="211"/>
      <c r="AH223" s="74">
        <f>IF('IMPORT SCHLIESSERDATEN'!BZ215="V",999,'IMPORT SCHLIESSERDATEN'!BZ215)</f>
        <v>0</v>
      </c>
      <c r="AI223" s="74">
        <f>IF('IMPORT SCHLIESSERDATEN'!CA215="V",999,'IMPORT SCHLIESSERDATEN'!CA215)</f>
        <v>0</v>
      </c>
      <c r="AJ223" s="74">
        <f>IF('IMPORT SCHLIESSERDATEN'!CB215="V",999,'IMPORT SCHLIESSERDATEN'!CB215)</f>
        <v>0</v>
      </c>
      <c r="AK223" s="74">
        <f>'IMPORT SCHLIESSERDATEN'!CC215</f>
        <v>0</v>
      </c>
      <c r="AL223" s="74">
        <f>'IMPORT SCHLIESSERDATEN'!CD215</f>
        <v>0</v>
      </c>
      <c r="AM223" s="74">
        <f>'IMPORT SCHLIESSERDATEN'!CH215</f>
        <v>0</v>
      </c>
      <c r="AN223" s="74"/>
      <c r="AO223" s="74">
        <f>'IMPORT SCHLIESSERDATEN'!CK215</f>
        <v>0</v>
      </c>
      <c r="AP223" s="74"/>
      <c r="AQ223" s="74"/>
      <c r="AR223" s="74"/>
      <c r="AS223" s="74"/>
      <c r="AT223" s="74"/>
      <c r="AU223" s="74"/>
      <c r="AV223" s="74"/>
      <c r="AW223" s="82"/>
      <c r="AX223" s="67"/>
    </row>
    <row r="224" spans="1:50" x14ac:dyDescent="0.25">
      <c r="A224" s="67" t="str">
        <f>IFERROR(IF(C224&lt;&gt;"",MAX($A$2:$A223)+1,""),"")</f>
        <v/>
      </c>
      <c r="B224" s="223">
        <f t="shared" si="1"/>
        <v>212</v>
      </c>
      <c r="C224" s="216"/>
      <c r="D224" s="216"/>
      <c r="E224" s="248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  <c r="W224" s="74"/>
      <c r="X224" s="211"/>
      <c r="Y224" s="211"/>
      <c r="Z224" s="211"/>
      <c r="AA224" s="211"/>
      <c r="AB224" s="211"/>
      <c r="AC224" s="211"/>
      <c r="AD224" s="211"/>
      <c r="AE224" s="211"/>
      <c r="AF224" s="211"/>
      <c r="AG224" s="211"/>
      <c r="AH224" s="74">
        <f>IF('IMPORT SCHLIESSERDATEN'!BZ216="V",999,'IMPORT SCHLIESSERDATEN'!BZ216)</f>
        <v>0</v>
      </c>
      <c r="AI224" s="74">
        <f>IF('IMPORT SCHLIESSERDATEN'!CA216="V",999,'IMPORT SCHLIESSERDATEN'!CA216)</f>
        <v>0</v>
      </c>
      <c r="AJ224" s="74">
        <f>IF('IMPORT SCHLIESSERDATEN'!CB216="V",999,'IMPORT SCHLIESSERDATEN'!CB216)</f>
        <v>0</v>
      </c>
      <c r="AK224" s="74">
        <f>'IMPORT SCHLIESSERDATEN'!CC216</f>
        <v>0</v>
      </c>
      <c r="AL224" s="74">
        <f>'IMPORT SCHLIESSERDATEN'!CD216</f>
        <v>0</v>
      </c>
      <c r="AM224" s="74">
        <f>'IMPORT SCHLIESSERDATEN'!CH216</f>
        <v>0</v>
      </c>
      <c r="AN224" s="74"/>
      <c r="AO224" s="74">
        <f>'IMPORT SCHLIESSERDATEN'!CK216</f>
        <v>0</v>
      </c>
      <c r="AP224" s="74"/>
      <c r="AQ224" s="74"/>
      <c r="AR224" s="74"/>
      <c r="AS224" s="74"/>
      <c r="AT224" s="74"/>
      <c r="AU224" s="74"/>
      <c r="AV224" s="74"/>
      <c r="AW224" s="82"/>
      <c r="AX224" s="67"/>
    </row>
    <row r="225" spans="1:50" x14ac:dyDescent="0.25">
      <c r="A225" s="67" t="str">
        <f>IFERROR(IF(C225&lt;&gt;"",MAX($A$2:$A224)+1,""),"")</f>
        <v/>
      </c>
      <c r="B225" s="223">
        <f t="shared" si="1"/>
        <v>213</v>
      </c>
      <c r="C225" s="216"/>
      <c r="D225" s="216"/>
      <c r="E225" s="248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  <c r="W225" s="74"/>
      <c r="X225" s="211"/>
      <c r="Y225" s="211"/>
      <c r="Z225" s="211"/>
      <c r="AA225" s="211"/>
      <c r="AB225" s="211"/>
      <c r="AC225" s="211"/>
      <c r="AD225" s="211"/>
      <c r="AE225" s="211"/>
      <c r="AF225" s="211"/>
      <c r="AG225" s="211"/>
      <c r="AH225" s="74">
        <f>IF('IMPORT SCHLIESSERDATEN'!BZ217="V",999,'IMPORT SCHLIESSERDATEN'!BZ217)</f>
        <v>0</v>
      </c>
      <c r="AI225" s="74">
        <f>IF('IMPORT SCHLIESSERDATEN'!CA217="V",999,'IMPORT SCHLIESSERDATEN'!CA217)</f>
        <v>0</v>
      </c>
      <c r="AJ225" s="74">
        <f>IF('IMPORT SCHLIESSERDATEN'!CB217="V",999,'IMPORT SCHLIESSERDATEN'!CB217)</f>
        <v>0</v>
      </c>
      <c r="AK225" s="74">
        <f>'IMPORT SCHLIESSERDATEN'!CC217</f>
        <v>0</v>
      </c>
      <c r="AL225" s="74">
        <f>'IMPORT SCHLIESSERDATEN'!CD217</f>
        <v>0</v>
      </c>
      <c r="AM225" s="74">
        <f>'IMPORT SCHLIESSERDATEN'!CH217</f>
        <v>0</v>
      </c>
      <c r="AN225" s="74"/>
      <c r="AO225" s="74">
        <f>'IMPORT SCHLIESSERDATEN'!CK217</f>
        <v>0</v>
      </c>
      <c r="AP225" s="74"/>
      <c r="AQ225" s="74"/>
      <c r="AR225" s="74"/>
      <c r="AS225" s="74"/>
      <c r="AT225" s="74"/>
      <c r="AU225" s="74"/>
      <c r="AV225" s="74"/>
      <c r="AW225" s="82"/>
      <c r="AX225" s="67"/>
    </row>
    <row r="226" spans="1:50" x14ac:dyDescent="0.25">
      <c r="A226" s="67" t="str">
        <f>IFERROR(IF(C226&lt;&gt;"",MAX($A$2:$A225)+1,""),"")</f>
        <v/>
      </c>
      <c r="B226" s="223">
        <f t="shared" si="1"/>
        <v>214</v>
      </c>
      <c r="C226" s="216"/>
      <c r="D226" s="216"/>
      <c r="E226" s="248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  <c r="W226" s="74"/>
      <c r="X226" s="211"/>
      <c r="Y226" s="211"/>
      <c r="Z226" s="211"/>
      <c r="AA226" s="211"/>
      <c r="AB226" s="211"/>
      <c r="AC226" s="211"/>
      <c r="AD226" s="211"/>
      <c r="AE226" s="211"/>
      <c r="AF226" s="211"/>
      <c r="AG226" s="211"/>
      <c r="AH226" s="74">
        <f>IF('IMPORT SCHLIESSERDATEN'!BZ218="V",999,'IMPORT SCHLIESSERDATEN'!BZ218)</f>
        <v>0</v>
      </c>
      <c r="AI226" s="74">
        <f>IF('IMPORT SCHLIESSERDATEN'!CA218="V",999,'IMPORT SCHLIESSERDATEN'!CA218)</f>
        <v>0</v>
      </c>
      <c r="AJ226" s="74">
        <f>IF('IMPORT SCHLIESSERDATEN'!CB218="V",999,'IMPORT SCHLIESSERDATEN'!CB218)</f>
        <v>0</v>
      </c>
      <c r="AK226" s="74">
        <f>'IMPORT SCHLIESSERDATEN'!CC218</f>
        <v>0</v>
      </c>
      <c r="AL226" s="74">
        <f>'IMPORT SCHLIESSERDATEN'!CD218</f>
        <v>0</v>
      </c>
      <c r="AM226" s="74">
        <f>'IMPORT SCHLIESSERDATEN'!CH218</f>
        <v>0</v>
      </c>
      <c r="AN226" s="74"/>
      <c r="AO226" s="74">
        <f>'IMPORT SCHLIESSERDATEN'!CK218</f>
        <v>0</v>
      </c>
      <c r="AP226" s="74"/>
      <c r="AQ226" s="74"/>
      <c r="AR226" s="74"/>
      <c r="AS226" s="74"/>
      <c r="AT226" s="74"/>
      <c r="AU226" s="74"/>
      <c r="AV226" s="74"/>
      <c r="AW226" s="82"/>
      <c r="AX226" s="67"/>
    </row>
    <row r="227" spans="1:50" x14ac:dyDescent="0.25">
      <c r="A227" s="67" t="str">
        <f>IFERROR(IF(C227&lt;&gt;"",MAX($A$2:$A226)+1,""),"")</f>
        <v/>
      </c>
      <c r="B227" s="223">
        <f t="shared" si="1"/>
        <v>215</v>
      </c>
      <c r="C227" s="216"/>
      <c r="D227" s="216"/>
      <c r="E227" s="248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  <c r="W227" s="74"/>
      <c r="X227" s="211"/>
      <c r="Y227" s="211"/>
      <c r="Z227" s="211"/>
      <c r="AA227" s="211"/>
      <c r="AB227" s="211"/>
      <c r="AC227" s="211"/>
      <c r="AD227" s="211"/>
      <c r="AE227" s="211"/>
      <c r="AF227" s="211"/>
      <c r="AG227" s="211"/>
      <c r="AH227" s="74">
        <f>IF('IMPORT SCHLIESSERDATEN'!BZ219="V",999,'IMPORT SCHLIESSERDATEN'!BZ219)</f>
        <v>0</v>
      </c>
      <c r="AI227" s="74">
        <f>IF('IMPORT SCHLIESSERDATEN'!CA219="V",999,'IMPORT SCHLIESSERDATEN'!CA219)</f>
        <v>0</v>
      </c>
      <c r="AJ227" s="74">
        <f>IF('IMPORT SCHLIESSERDATEN'!CB219="V",999,'IMPORT SCHLIESSERDATEN'!CB219)</f>
        <v>0</v>
      </c>
      <c r="AK227" s="74">
        <f>'IMPORT SCHLIESSERDATEN'!CC219</f>
        <v>0</v>
      </c>
      <c r="AL227" s="74">
        <f>'IMPORT SCHLIESSERDATEN'!CD219</f>
        <v>0</v>
      </c>
      <c r="AM227" s="74">
        <f>'IMPORT SCHLIESSERDATEN'!CH219</f>
        <v>0</v>
      </c>
      <c r="AN227" s="74"/>
      <c r="AO227" s="74">
        <f>'IMPORT SCHLIESSERDATEN'!CK219</f>
        <v>0</v>
      </c>
      <c r="AP227" s="74"/>
      <c r="AQ227" s="74"/>
      <c r="AR227" s="74"/>
      <c r="AS227" s="74"/>
      <c r="AT227" s="74"/>
      <c r="AU227" s="74"/>
      <c r="AV227" s="74"/>
      <c r="AW227" s="82"/>
      <c r="AX227" s="67"/>
    </row>
    <row r="228" spans="1:50" x14ac:dyDescent="0.25">
      <c r="A228" s="67" t="str">
        <f>IFERROR(IF(C228&lt;&gt;"",MAX($A$2:$A227)+1,""),"")</f>
        <v/>
      </c>
      <c r="B228" s="223">
        <f t="shared" si="1"/>
        <v>216</v>
      </c>
      <c r="C228" s="216"/>
      <c r="D228" s="216"/>
      <c r="E228" s="248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  <c r="W228" s="74"/>
      <c r="X228" s="211"/>
      <c r="Y228" s="211"/>
      <c r="Z228" s="211"/>
      <c r="AA228" s="211"/>
      <c r="AB228" s="211"/>
      <c r="AC228" s="211"/>
      <c r="AD228" s="211"/>
      <c r="AE228" s="211"/>
      <c r="AF228" s="211"/>
      <c r="AG228" s="211"/>
      <c r="AH228" s="74">
        <f>IF('IMPORT SCHLIESSERDATEN'!BZ220="V",999,'IMPORT SCHLIESSERDATEN'!BZ220)</f>
        <v>0</v>
      </c>
      <c r="AI228" s="74">
        <f>IF('IMPORT SCHLIESSERDATEN'!CA220="V",999,'IMPORT SCHLIESSERDATEN'!CA220)</f>
        <v>0</v>
      </c>
      <c r="AJ228" s="74">
        <f>IF('IMPORT SCHLIESSERDATEN'!CB220="V",999,'IMPORT SCHLIESSERDATEN'!CB220)</f>
        <v>0</v>
      </c>
      <c r="AK228" s="74">
        <f>'IMPORT SCHLIESSERDATEN'!CC220</f>
        <v>0</v>
      </c>
      <c r="AL228" s="74">
        <f>'IMPORT SCHLIESSERDATEN'!CD220</f>
        <v>0</v>
      </c>
      <c r="AM228" s="74">
        <f>'IMPORT SCHLIESSERDATEN'!CH220</f>
        <v>0</v>
      </c>
      <c r="AN228" s="74"/>
      <c r="AO228" s="74">
        <f>'IMPORT SCHLIESSERDATEN'!CK220</f>
        <v>0</v>
      </c>
      <c r="AP228" s="74"/>
      <c r="AQ228" s="74"/>
      <c r="AR228" s="74"/>
      <c r="AS228" s="74"/>
      <c r="AT228" s="74"/>
      <c r="AU228" s="74"/>
      <c r="AV228" s="74"/>
      <c r="AW228" s="82"/>
      <c r="AX228" s="67"/>
    </row>
    <row r="229" spans="1:50" x14ac:dyDescent="0.25">
      <c r="A229" s="67" t="str">
        <f>IFERROR(IF(C229&lt;&gt;"",MAX($A$2:$A228)+1,""),"")</f>
        <v/>
      </c>
      <c r="B229" s="223">
        <f t="shared" si="1"/>
        <v>217</v>
      </c>
      <c r="C229" s="216"/>
      <c r="D229" s="216"/>
      <c r="E229" s="248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  <c r="W229" s="74"/>
      <c r="X229" s="211"/>
      <c r="Y229" s="211"/>
      <c r="Z229" s="211"/>
      <c r="AA229" s="211"/>
      <c r="AB229" s="211"/>
      <c r="AC229" s="211"/>
      <c r="AD229" s="211"/>
      <c r="AE229" s="211"/>
      <c r="AF229" s="211"/>
      <c r="AG229" s="211"/>
      <c r="AH229" s="74">
        <f>IF('IMPORT SCHLIESSERDATEN'!BZ221="V",999,'IMPORT SCHLIESSERDATEN'!BZ221)</f>
        <v>0</v>
      </c>
      <c r="AI229" s="74">
        <f>IF('IMPORT SCHLIESSERDATEN'!CA221="V",999,'IMPORT SCHLIESSERDATEN'!CA221)</f>
        <v>0</v>
      </c>
      <c r="AJ229" s="74">
        <f>IF('IMPORT SCHLIESSERDATEN'!CB221="V",999,'IMPORT SCHLIESSERDATEN'!CB221)</f>
        <v>0</v>
      </c>
      <c r="AK229" s="74">
        <f>'IMPORT SCHLIESSERDATEN'!CC221</f>
        <v>0</v>
      </c>
      <c r="AL229" s="74">
        <f>'IMPORT SCHLIESSERDATEN'!CD221</f>
        <v>0</v>
      </c>
      <c r="AM229" s="74">
        <f>'IMPORT SCHLIESSERDATEN'!CH221</f>
        <v>0</v>
      </c>
      <c r="AN229" s="74"/>
      <c r="AO229" s="74">
        <f>'IMPORT SCHLIESSERDATEN'!CK221</f>
        <v>0</v>
      </c>
      <c r="AP229" s="74"/>
      <c r="AQ229" s="74"/>
      <c r="AR229" s="74"/>
      <c r="AS229" s="74"/>
      <c r="AT229" s="74"/>
      <c r="AU229" s="74"/>
      <c r="AV229" s="74"/>
      <c r="AW229" s="82"/>
      <c r="AX229" s="67"/>
    </row>
    <row r="230" spans="1:50" x14ac:dyDescent="0.25">
      <c r="A230" s="67" t="str">
        <f>IFERROR(IF(C230&lt;&gt;"",MAX($A$2:$A229)+1,""),"")</f>
        <v/>
      </c>
      <c r="B230" s="223">
        <f t="shared" si="1"/>
        <v>218</v>
      </c>
      <c r="C230" s="216"/>
      <c r="D230" s="216"/>
      <c r="E230" s="248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  <c r="W230" s="74"/>
      <c r="X230" s="211"/>
      <c r="Y230" s="211"/>
      <c r="Z230" s="211"/>
      <c r="AA230" s="211"/>
      <c r="AB230" s="211"/>
      <c r="AC230" s="211"/>
      <c r="AD230" s="211"/>
      <c r="AE230" s="211"/>
      <c r="AF230" s="211"/>
      <c r="AG230" s="211"/>
      <c r="AH230" s="74">
        <f>IF('IMPORT SCHLIESSERDATEN'!BZ222="V",999,'IMPORT SCHLIESSERDATEN'!BZ222)</f>
        <v>0</v>
      </c>
      <c r="AI230" s="74">
        <f>IF('IMPORT SCHLIESSERDATEN'!CA222="V",999,'IMPORT SCHLIESSERDATEN'!CA222)</f>
        <v>0</v>
      </c>
      <c r="AJ230" s="74">
        <f>IF('IMPORT SCHLIESSERDATEN'!CB222="V",999,'IMPORT SCHLIESSERDATEN'!CB222)</f>
        <v>0</v>
      </c>
      <c r="AK230" s="74">
        <f>'IMPORT SCHLIESSERDATEN'!CC222</f>
        <v>0</v>
      </c>
      <c r="AL230" s="74">
        <f>'IMPORT SCHLIESSERDATEN'!CD222</f>
        <v>0</v>
      </c>
      <c r="AM230" s="74">
        <f>'IMPORT SCHLIESSERDATEN'!CH222</f>
        <v>0</v>
      </c>
      <c r="AN230" s="74"/>
      <c r="AO230" s="74">
        <f>'IMPORT SCHLIESSERDATEN'!CK222</f>
        <v>0</v>
      </c>
      <c r="AP230" s="74"/>
      <c r="AQ230" s="74"/>
      <c r="AR230" s="74"/>
      <c r="AS230" s="74"/>
      <c r="AT230" s="74"/>
      <c r="AU230" s="74"/>
      <c r="AV230" s="74"/>
      <c r="AW230" s="82"/>
      <c r="AX230" s="67"/>
    </row>
    <row r="231" spans="1:50" x14ac:dyDescent="0.25">
      <c r="A231" s="67" t="str">
        <f>IFERROR(IF(C231&lt;&gt;"",MAX($A$2:$A230)+1,""),"")</f>
        <v/>
      </c>
      <c r="B231" s="223">
        <f t="shared" si="1"/>
        <v>219</v>
      </c>
      <c r="C231" s="216"/>
      <c r="D231" s="216"/>
      <c r="E231" s="248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  <c r="W231" s="74"/>
      <c r="X231" s="211"/>
      <c r="Y231" s="211"/>
      <c r="Z231" s="211"/>
      <c r="AA231" s="211"/>
      <c r="AB231" s="211"/>
      <c r="AC231" s="211"/>
      <c r="AD231" s="211"/>
      <c r="AE231" s="211"/>
      <c r="AF231" s="211"/>
      <c r="AG231" s="211"/>
      <c r="AH231" s="74">
        <f>IF('IMPORT SCHLIESSERDATEN'!BZ223="V",999,'IMPORT SCHLIESSERDATEN'!BZ223)</f>
        <v>0</v>
      </c>
      <c r="AI231" s="74">
        <f>IF('IMPORT SCHLIESSERDATEN'!CA223="V",999,'IMPORT SCHLIESSERDATEN'!CA223)</f>
        <v>0</v>
      </c>
      <c r="AJ231" s="74">
        <f>IF('IMPORT SCHLIESSERDATEN'!CB223="V",999,'IMPORT SCHLIESSERDATEN'!CB223)</f>
        <v>0</v>
      </c>
      <c r="AK231" s="74">
        <f>'IMPORT SCHLIESSERDATEN'!CC223</f>
        <v>0</v>
      </c>
      <c r="AL231" s="74">
        <f>'IMPORT SCHLIESSERDATEN'!CD223</f>
        <v>0</v>
      </c>
      <c r="AM231" s="74">
        <f>'IMPORT SCHLIESSERDATEN'!CH223</f>
        <v>0</v>
      </c>
      <c r="AN231" s="74"/>
      <c r="AO231" s="74">
        <f>'IMPORT SCHLIESSERDATEN'!CK223</f>
        <v>0</v>
      </c>
      <c r="AP231" s="74"/>
      <c r="AQ231" s="74"/>
      <c r="AR231" s="74"/>
      <c r="AS231" s="74"/>
      <c r="AT231" s="74"/>
      <c r="AU231" s="74"/>
      <c r="AV231" s="74"/>
      <c r="AW231" s="82"/>
      <c r="AX231" s="67"/>
    </row>
    <row r="232" spans="1:50" x14ac:dyDescent="0.25">
      <c r="A232" s="67" t="str">
        <f>IFERROR(IF(C232&lt;&gt;"",MAX($A$2:$A231)+1,""),"")</f>
        <v/>
      </c>
      <c r="B232" s="223">
        <f t="shared" si="1"/>
        <v>220</v>
      </c>
      <c r="C232" s="216"/>
      <c r="D232" s="216"/>
      <c r="E232" s="248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  <c r="W232" s="74"/>
      <c r="X232" s="211"/>
      <c r="Y232" s="211"/>
      <c r="Z232" s="211"/>
      <c r="AA232" s="211"/>
      <c r="AB232" s="211"/>
      <c r="AC232" s="211"/>
      <c r="AD232" s="211"/>
      <c r="AE232" s="211"/>
      <c r="AF232" s="211"/>
      <c r="AG232" s="211"/>
      <c r="AH232" s="74">
        <f>IF('IMPORT SCHLIESSERDATEN'!BZ224="V",999,'IMPORT SCHLIESSERDATEN'!BZ224)</f>
        <v>0</v>
      </c>
      <c r="AI232" s="74">
        <f>IF('IMPORT SCHLIESSERDATEN'!CA224="V",999,'IMPORT SCHLIESSERDATEN'!CA224)</f>
        <v>0</v>
      </c>
      <c r="AJ232" s="74">
        <f>IF('IMPORT SCHLIESSERDATEN'!CB224="V",999,'IMPORT SCHLIESSERDATEN'!CB224)</f>
        <v>0</v>
      </c>
      <c r="AK232" s="74">
        <f>'IMPORT SCHLIESSERDATEN'!CC224</f>
        <v>0</v>
      </c>
      <c r="AL232" s="74">
        <f>'IMPORT SCHLIESSERDATEN'!CD224</f>
        <v>0</v>
      </c>
      <c r="AM232" s="74">
        <f>'IMPORT SCHLIESSERDATEN'!CH224</f>
        <v>0</v>
      </c>
      <c r="AN232" s="74"/>
      <c r="AO232" s="74">
        <f>'IMPORT SCHLIESSERDATEN'!CK224</f>
        <v>0</v>
      </c>
      <c r="AP232" s="74"/>
      <c r="AQ232" s="74"/>
      <c r="AR232" s="74"/>
      <c r="AS232" s="74"/>
      <c r="AT232" s="74"/>
      <c r="AU232" s="74"/>
      <c r="AV232" s="74"/>
      <c r="AW232" s="82"/>
      <c r="AX232" s="67"/>
    </row>
    <row r="233" spans="1:50" x14ac:dyDescent="0.25">
      <c r="A233" s="67" t="str">
        <f>IFERROR(IF(C233&lt;&gt;"",MAX($A$2:$A232)+1,""),"")</f>
        <v/>
      </c>
      <c r="B233" s="223">
        <f t="shared" si="1"/>
        <v>221</v>
      </c>
      <c r="C233" s="216"/>
      <c r="D233" s="216"/>
      <c r="E233" s="248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  <c r="W233" s="74"/>
      <c r="X233" s="211"/>
      <c r="Y233" s="211"/>
      <c r="Z233" s="211"/>
      <c r="AA233" s="211"/>
      <c r="AB233" s="211"/>
      <c r="AC233" s="211"/>
      <c r="AD233" s="211"/>
      <c r="AE233" s="211"/>
      <c r="AF233" s="211"/>
      <c r="AG233" s="211"/>
      <c r="AH233" s="74">
        <f>IF('IMPORT SCHLIESSERDATEN'!BZ225="V",999,'IMPORT SCHLIESSERDATEN'!BZ225)</f>
        <v>0</v>
      </c>
      <c r="AI233" s="74">
        <f>IF('IMPORT SCHLIESSERDATEN'!CA225="V",999,'IMPORT SCHLIESSERDATEN'!CA225)</f>
        <v>0</v>
      </c>
      <c r="AJ233" s="74">
        <f>IF('IMPORT SCHLIESSERDATEN'!CB225="V",999,'IMPORT SCHLIESSERDATEN'!CB225)</f>
        <v>0</v>
      </c>
      <c r="AK233" s="74">
        <f>'IMPORT SCHLIESSERDATEN'!CC225</f>
        <v>0</v>
      </c>
      <c r="AL233" s="74">
        <f>'IMPORT SCHLIESSERDATEN'!CD225</f>
        <v>0</v>
      </c>
      <c r="AM233" s="74">
        <f>'IMPORT SCHLIESSERDATEN'!CH225</f>
        <v>0</v>
      </c>
      <c r="AN233" s="74"/>
      <c r="AO233" s="74">
        <f>'IMPORT SCHLIESSERDATEN'!CK225</f>
        <v>0</v>
      </c>
      <c r="AP233" s="74"/>
      <c r="AQ233" s="74"/>
      <c r="AR233" s="74"/>
      <c r="AS233" s="74"/>
      <c r="AT233" s="74"/>
      <c r="AU233" s="74"/>
      <c r="AV233" s="74"/>
      <c r="AW233" s="82"/>
      <c r="AX233" s="67"/>
    </row>
    <row r="234" spans="1:50" x14ac:dyDescent="0.25">
      <c r="A234" s="67" t="str">
        <f>IFERROR(IF(C234&lt;&gt;"",MAX($A$2:$A233)+1,""),"")</f>
        <v/>
      </c>
      <c r="B234" s="223">
        <f t="shared" si="1"/>
        <v>222</v>
      </c>
      <c r="C234" s="216"/>
      <c r="D234" s="216"/>
      <c r="E234" s="248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  <c r="W234" s="74"/>
      <c r="X234" s="211"/>
      <c r="Y234" s="211"/>
      <c r="Z234" s="211"/>
      <c r="AA234" s="211"/>
      <c r="AB234" s="211"/>
      <c r="AC234" s="211"/>
      <c r="AD234" s="211"/>
      <c r="AE234" s="211"/>
      <c r="AF234" s="211"/>
      <c r="AG234" s="211"/>
      <c r="AH234" s="74">
        <f>IF('IMPORT SCHLIESSERDATEN'!BZ226="V",999,'IMPORT SCHLIESSERDATEN'!BZ226)</f>
        <v>0</v>
      </c>
      <c r="AI234" s="74">
        <f>IF('IMPORT SCHLIESSERDATEN'!CA226="V",999,'IMPORT SCHLIESSERDATEN'!CA226)</f>
        <v>0</v>
      </c>
      <c r="AJ234" s="74">
        <f>IF('IMPORT SCHLIESSERDATEN'!CB226="V",999,'IMPORT SCHLIESSERDATEN'!CB226)</f>
        <v>0</v>
      </c>
      <c r="AK234" s="74">
        <f>'IMPORT SCHLIESSERDATEN'!CC226</f>
        <v>0</v>
      </c>
      <c r="AL234" s="74">
        <f>'IMPORT SCHLIESSERDATEN'!CD226</f>
        <v>0</v>
      </c>
      <c r="AM234" s="74">
        <f>'IMPORT SCHLIESSERDATEN'!CH226</f>
        <v>0</v>
      </c>
      <c r="AN234" s="74"/>
      <c r="AO234" s="74">
        <f>'IMPORT SCHLIESSERDATEN'!CK226</f>
        <v>0</v>
      </c>
      <c r="AP234" s="74"/>
      <c r="AQ234" s="74"/>
      <c r="AR234" s="74"/>
      <c r="AS234" s="74"/>
      <c r="AT234" s="74"/>
      <c r="AU234" s="74"/>
      <c r="AV234" s="74"/>
      <c r="AW234" s="82"/>
      <c r="AX234" s="67"/>
    </row>
    <row r="235" spans="1:50" x14ac:dyDescent="0.25">
      <c r="A235" s="67" t="str">
        <f>IFERROR(IF(C235&lt;&gt;"",MAX($A$2:$A234)+1,""),"")</f>
        <v/>
      </c>
      <c r="B235" s="223">
        <f t="shared" si="1"/>
        <v>223</v>
      </c>
      <c r="C235" s="216"/>
      <c r="D235" s="216"/>
      <c r="E235" s="248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  <c r="W235" s="74"/>
      <c r="X235" s="211"/>
      <c r="Y235" s="211"/>
      <c r="Z235" s="211"/>
      <c r="AA235" s="211"/>
      <c r="AB235" s="211"/>
      <c r="AC235" s="211"/>
      <c r="AD235" s="211"/>
      <c r="AE235" s="211"/>
      <c r="AF235" s="211"/>
      <c r="AG235" s="211"/>
      <c r="AH235" s="74">
        <f>IF('IMPORT SCHLIESSERDATEN'!BZ227="V",999,'IMPORT SCHLIESSERDATEN'!BZ227)</f>
        <v>0</v>
      </c>
      <c r="AI235" s="74">
        <f>IF('IMPORT SCHLIESSERDATEN'!CA227="V",999,'IMPORT SCHLIESSERDATEN'!CA227)</f>
        <v>0</v>
      </c>
      <c r="AJ235" s="74">
        <f>IF('IMPORT SCHLIESSERDATEN'!CB227="V",999,'IMPORT SCHLIESSERDATEN'!CB227)</f>
        <v>0</v>
      </c>
      <c r="AK235" s="74">
        <f>'IMPORT SCHLIESSERDATEN'!CC227</f>
        <v>0</v>
      </c>
      <c r="AL235" s="74">
        <f>'IMPORT SCHLIESSERDATEN'!CD227</f>
        <v>0</v>
      </c>
      <c r="AM235" s="74">
        <f>'IMPORT SCHLIESSERDATEN'!CH227</f>
        <v>0</v>
      </c>
      <c r="AN235" s="74"/>
      <c r="AO235" s="74">
        <f>'IMPORT SCHLIESSERDATEN'!CK227</f>
        <v>0</v>
      </c>
      <c r="AP235" s="74"/>
      <c r="AQ235" s="74"/>
      <c r="AR235" s="74"/>
      <c r="AS235" s="74"/>
      <c r="AT235" s="74"/>
      <c r="AU235" s="74"/>
      <c r="AV235" s="74"/>
      <c r="AW235" s="82"/>
      <c r="AX235" s="67"/>
    </row>
    <row r="236" spans="1:50" x14ac:dyDescent="0.25">
      <c r="A236" s="67" t="str">
        <f>IFERROR(IF(C236&lt;&gt;"",MAX($A$2:$A235)+1,""),"")</f>
        <v/>
      </c>
      <c r="B236" s="223">
        <f t="shared" si="1"/>
        <v>224</v>
      </c>
      <c r="C236" s="216"/>
      <c r="D236" s="216"/>
      <c r="E236" s="248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  <c r="W236" s="74"/>
      <c r="X236" s="211"/>
      <c r="Y236" s="211"/>
      <c r="Z236" s="211"/>
      <c r="AA236" s="211"/>
      <c r="AB236" s="211"/>
      <c r="AC236" s="211"/>
      <c r="AD236" s="211"/>
      <c r="AE236" s="211"/>
      <c r="AF236" s="211"/>
      <c r="AG236" s="211"/>
      <c r="AH236" s="74">
        <f>IF('IMPORT SCHLIESSERDATEN'!BZ228="V",999,'IMPORT SCHLIESSERDATEN'!BZ228)</f>
        <v>0</v>
      </c>
      <c r="AI236" s="74">
        <f>IF('IMPORT SCHLIESSERDATEN'!CA228="V",999,'IMPORT SCHLIESSERDATEN'!CA228)</f>
        <v>0</v>
      </c>
      <c r="AJ236" s="74">
        <f>IF('IMPORT SCHLIESSERDATEN'!CB228="V",999,'IMPORT SCHLIESSERDATEN'!CB228)</f>
        <v>0</v>
      </c>
      <c r="AK236" s="74">
        <f>'IMPORT SCHLIESSERDATEN'!CC228</f>
        <v>0</v>
      </c>
      <c r="AL236" s="74">
        <f>'IMPORT SCHLIESSERDATEN'!CD228</f>
        <v>0</v>
      </c>
      <c r="AM236" s="74">
        <f>'IMPORT SCHLIESSERDATEN'!CH228</f>
        <v>0</v>
      </c>
      <c r="AN236" s="74"/>
      <c r="AO236" s="74">
        <f>'IMPORT SCHLIESSERDATEN'!CK228</f>
        <v>0</v>
      </c>
      <c r="AP236" s="74"/>
      <c r="AQ236" s="74"/>
      <c r="AR236" s="74"/>
      <c r="AS236" s="74"/>
      <c r="AT236" s="74"/>
      <c r="AU236" s="74"/>
      <c r="AV236" s="74"/>
      <c r="AW236" s="82"/>
      <c r="AX236" s="67"/>
    </row>
    <row r="237" spans="1:50" x14ac:dyDescent="0.25">
      <c r="A237" s="67" t="str">
        <f>IFERROR(IF(C237&lt;&gt;"",MAX($A$2:$A236)+1,""),"")</f>
        <v/>
      </c>
      <c r="B237" s="223">
        <f t="shared" si="1"/>
        <v>225</v>
      </c>
      <c r="C237" s="216"/>
      <c r="D237" s="216"/>
      <c r="E237" s="248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  <c r="W237" s="74"/>
      <c r="X237" s="211"/>
      <c r="Y237" s="211"/>
      <c r="Z237" s="211"/>
      <c r="AA237" s="211"/>
      <c r="AB237" s="211"/>
      <c r="AC237" s="211"/>
      <c r="AD237" s="211"/>
      <c r="AE237" s="211"/>
      <c r="AF237" s="211"/>
      <c r="AG237" s="211"/>
      <c r="AH237" s="74">
        <f>IF('IMPORT SCHLIESSERDATEN'!BZ229="V",999,'IMPORT SCHLIESSERDATEN'!BZ229)</f>
        <v>0</v>
      </c>
      <c r="AI237" s="74">
        <f>IF('IMPORT SCHLIESSERDATEN'!CA229="V",999,'IMPORT SCHLIESSERDATEN'!CA229)</f>
        <v>0</v>
      </c>
      <c r="AJ237" s="74">
        <f>IF('IMPORT SCHLIESSERDATEN'!CB229="V",999,'IMPORT SCHLIESSERDATEN'!CB229)</f>
        <v>0</v>
      </c>
      <c r="AK237" s="74">
        <f>'IMPORT SCHLIESSERDATEN'!CC229</f>
        <v>0</v>
      </c>
      <c r="AL237" s="74">
        <f>'IMPORT SCHLIESSERDATEN'!CD229</f>
        <v>0</v>
      </c>
      <c r="AM237" s="74">
        <f>'IMPORT SCHLIESSERDATEN'!CH229</f>
        <v>0</v>
      </c>
      <c r="AN237" s="74"/>
      <c r="AO237" s="74">
        <f>'IMPORT SCHLIESSERDATEN'!CK229</f>
        <v>0</v>
      </c>
      <c r="AP237" s="74"/>
      <c r="AQ237" s="74"/>
      <c r="AR237" s="74"/>
      <c r="AS237" s="74"/>
      <c r="AT237" s="74"/>
      <c r="AU237" s="74"/>
      <c r="AV237" s="74"/>
      <c r="AW237" s="82"/>
      <c r="AX237" s="67"/>
    </row>
    <row r="238" spans="1:50" x14ac:dyDescent="0.25">
      <c r="A238" s="67" t="str">
        <f>IFERROR(IF(C238&lt;&gt;"",MAX($A$2:$A237)+1,""),"")</f>
        <v/>
      </c>
      <c r="B238" s="223">
        <f t="shared" si="1"/>
        <v>226</v>
      </c>
      <c r="C238" s="216"/>
      <c r="D238" s="216"/>
      <c r="E238" s="248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  <c r="W238" s="74"/>
      <c r="X238" s="211"/>
      <c r="Y238" s="211"/>
      <c r="Z238" s="211"/>
      <c r="AA238" s="211"/>
      <c r="AB238" s="211"/>
      <c r="AC238" s="211"/>
      <c r="AD238" s="211"/>
      <c r="AE238" s="211"/>
      <c r="AF238" s="211"/>
      <c r="AG238" s="211"/>
      <c r="AH238" s="74">
        <f>IF('IMPORT SCHLIESSERDATEN'!BZ230="V",999,'IMPORT SCHLIESSERDATEN'!BZ230)</f>
        <v>0</v>
      </c>
      <c r="AI238" s="74">
        <f>IF('IMPORT SCHLIESSERDATEN'!CA230="V",999,'IMPORT SCHLIESSERDATEN'!CA230)</f>
        <v>0</v>
      </c>
      <c r="AJ238" s="74">
        <f>IF('IMPORT SCHLIESSERDATEN'!CB230="V",999,'IMPORT SCHLIESSERDATEN'!CB230)</f>
        <v>0</v>
      </c>
      <c r="AK238" s="74">
        <f>'IMPORT SCHLIESSERDATEN'!CC230</f>
        <v>0</v>
      </c>
      <c r="AL238" s="74">
        <f>'IMPORT SCHLIESSERDATEN'!CD230</f>
        <v>0</v>
      </c>
      <c r="AM238" s="74">
        <f>'IMPORT SCHLIESSERDATEN'!CH230</f>
        <v>0</v>
      </c>
      <c r="AN238" s="74"/>
      <c r="AO238" s="74">
        <f>'IMPORT SCHLIESSERDATEN'!CK230</f>
        <v>0</v>
      </c>
      <c r="AP238" s="74"/>
      <c r="AQ238" s="74"/>
      <c r="AR238" s="74"/>
      <c r="AS238" s="74"/>
      <c r="AT238" s="74"/>
      <c r="AU238" s="74"/>
      <c r="AV238" s="74"/>
      <c r="AW238" s="82"/>
      <c r="AX238" s="67"/>
    </row>
    <row r="239" spans="1:50" x14ac:dyDescent="0.25">
      <c r="A239" s="67" t="str">
        <f>IFERROR(IF(C239&lt;&gt;"",MAX($A$2:$A238)+1,""),"")</f>
        <v/>
      </c>
      <c r="B239" s="223">
        <f t="shared" si="1"/>
        <v>227</v>
      </c>
      <c r="C239" s="216"/>
      <c r="D239" s="216"/>
      <c r="E239" s="248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  <c r="W239" s="74"/>
      <c r="X239" s="211"/>
      <c r="Y239" s="211"/>
      <c r="Z239" s="211"/>
      <c r="AA239" s="211"/>
      <c r="AB239" s="211"/>
      <c r="AC239" s="211"/>
      <c r="AD239" s="211"/>
      <c r="AE239" s="211"/>
      <c r="AF239" s="211"/>
      <c r="AG239" s="211"/>
      <c r="AH239" s="74">
        <f>IF('IMPORT SCHLIESSERDATEN'!BZ231="V",999,'IMPORT SCHLIESSERDATEN'!BZ231)</f>
        <v>0</v>
      </c>
      <c r="AI239" s="74">
        <f>IF('IMPORT SCHLIESSERDATEN'!CA231="V",999,'IMPORT SCHLIESSERDATEN'!CA231)</f>
        <v>0</v>
      </c>
      <c r="AJ239" s="74">
        <f>IF('IMPORT SCHLIESSERDATEN'!CB231="V",999,'IMPORT SCHLIESSERDATEN'!CB231)</f>
        <v>0</v>
      </c>
      <c r="AK239" s="74">
        <f>'IMPORT SCHLIESSERDATEN'!CC231</f>
        <v>0</v>
      </c>
      <c r="AL239" s="74">
        <f>'IMPORT SCHLIESSERDATEN'!CD231</f>
        <v>0</v>
      </c>
      <c r="AM239" s="74">
        <f>'IMPORT SCHLIESSERDATEN'!CH231</f>
        <v>0</v>
      </c>
      <c r="AN239" s="74"/>
      <c r="AO239" s="74">
        <f>'IMPORT SCHLIESSERDATEN'!CK231</f>
        <v>0</v>
      </c>
      <c r="AP239" s="74"/>
      <c r="AQ239" s="74"/>
      <c r="AR239" s="74"/>
      <c r="AS239" s="74"/>
      <c r="AT239" s="74"/>
      <c r="AU239" s="74"/>
      <c r="AV239" s="74"/>
      <c r="AW239" s="82"/>
      <c r="AX239" s="67"/>
    </row>
    <row r="240" spans="1:50" x14ac:dyDescent="0.25">
      <c r="A240" s="67" t="str">
        <f>IFERROR(IF(C240&lt;&gt;"",MAX($A$2:$A239)+1,""),"")</f>
        <v/>
      </c>
      <c r="B240" s="223">
        <f t="shared" si="1"/>
        <v>228</v>
      </c>
      <c r="C240" s="216"/>
      <c r="D240" s="216"/>
      <c r="E240" s="248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  <c r="W240" s="74"/>
      <c r="X240" s="211"/>
      <c r="Y240" s="211"/>
      <c r="Z240" s="211"/>
      <c r="AA240" s="211"/>
      <c r="AB240" s="211"/>
      <c r="AC240" s="211"/>
      <c r="AD240" s="211"/>
      <c r="AE240" s="211"/>
      <c r="AF240" s="211"/>
      <c r="AG240" s="211"/>
      <c r="AH240" s="74">
        <f>IF('IMPORT SCHLIESSERDATEN'!BZ232="V",999,'IMPORT SCHLIESSERDATEN'!BZ232)</f>
        <v>0</v>
      </c>
      <c r="AI240" s="74">
        <f>IF('IMPORT SCHLIESSERDATEN'!CA232="V",999,'IMPORT SCHLIESSERDATEN'!CA232)</f>
        <v>0</v>
      </c>
      <c r="AJ240" s="74">
        <f>IF('IMPORT SCHLIESSERDATEN'!CB232="V",999,'IMPORT SCHLIESSERDATEN'!CB232)</f>
        <v>0</v>
      </c>
      <c r="AK240" s="74">
        <f>'IMPORT SCHLIESSERDATEN'!CC232</f>
        <v>0</v>
      </c>
      <c r="AL240" s="74">
        <f>'IMPORT SCHLIESSERDATEN'!CD232</f>
        <v>0</v>
      </c>
      <c r="AM240" s="74">
        <f>'IMPORT SCHLIESSERDATEN'!CH232</f>
        <v>0</v>
      </c>
      <c r="AN240" s="74"/>
      <c r="AO240" s="74">
        <f>'IMPORT SCHLIESSERDATEN'!CK232</f>
        <v>0</v>
      </c>
      <c r="AP240" s="74"/>
      <c r="AQ240" s="74"/>
      <c r="AR240" s="74"/>
      <c r="AS240" s="74"/>
      <c r="AT240" s="74"/>
      <c r="AU240" s="74"/>
      <c r="AV240" s="74"/>
      <c r="AW240" s="82"/>
      <c r="AX240" s="67"/>
    </row>
    <row r="241" spans="1:50" x14ac:dyDescent="0.25">
      <c r="A241" s="67" t="str">
        <f>IFERROR(IF(C241&lt;&gt;"",MAX($A$2:$A240)+1,""),"")</f>
        <v/>
      </c>
      <c r="B241" s="223">
        <f t="shared" si="1"/>
        <v>229</v>
      </c>
      <c r="C241" s="216"/>
      <c r="D241" s="216"/>
      <c r="E241" s="248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  <c r="W241" s="74"/>
      <c r="X241" s="211"/>
      <c r="Y241" s="211"/>
      <c r="Z241" s="211"/>
      <c r="AA241" s="211"/>
      <c r="AB241" s="211"/>
      <c r="AC241" s="211"/>
      <c r="AD241" s="211"/>
      <c r="AE241" s="211"/>
      <c r="AF241" s="211"/>
      <c r="AG241" s="211"/>
      <c r="AH241" s="74">
        <f>IF('IMPORT SCHLIESSERDATEN'!BZ233="V",999,'IMPORT SCHLIESSERDATEN'!BZ233)</f>
        <v>0</v>
      </c>
      <c r="AI241" s="74">
        <f>IF('IMPORT SCHLIESSERDATEN'!CA233="V",999,'IMPORT SCHLIESSERDATEN'!CA233)</f>
        <v>0</v>
      </c>
      <c r="AJ241" s="74">
        <f>IF('IMPORT SCHLIESSERDATEN'!CB233="V",999,'IMPORT SCHLIESSERDATEN'!CB233)</f>
        <v>0</v>
      </c>
      <c r="AK241" s="74">
        <f>'IMPORT SCHLIESSERDATEN'!CC233</f>
        <v>0</v>
      </c>
      <c r="AL241" s="74">
        <f>'IMPORT SCHLIESSERDATEN'!CD233</f>
        <v>0</v>
      </c>
      <c r="AM241" s="74">
        <f>'IMPORT SCHLIESSERDATEN'!CH233</f>
        <v>0</v>
      </c>
      <c r="AN241" s="74"/>
      <c r="AO241" s="74">
        <f>'IMPORT SCHLIESSERDATEN'!CK233</f>
        <v>0</v>
      </c>
      <c r="AP241" s="74"/>
      <c r="AQ241" s="74"/>
      <c r="AR241" s="74"/>
      <c r="AS241" s="74"/>
      <c r="AT241" s="74"/>
      <c r="AU241" s="74"/>
      <c r="AV241" s="74"/>
      <c r="AW241" s="82"/>
      <c r="AX241" s="67"/>
    </row>
    <row r="242" spans="1:50" x14ac:dyDescent="0.25">
      <c r="A242" s="67" t="str">
        <f>IFERROR(IF(C242&lt;&gt;"",MAX($A$2:$A241)+1,""),"")</f>
        <v/>
      </c>
      <c r="B242" s="223">
        <f t="shared" si="1"/>
        <v>230</v>
      </c>
      <c r="C242" s="216"/>
      <c r="D242" s="216"/>
      <c r="E242" s="248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  <c r="W242" s="74"/>
      <c r="X242" s="211"/>
      <c r="Y242" s="211"/>
      <c r="Z242" s="211"/>
      <c r="AA242" s="211"/>
      <c r="AB242" s="211"/>
      <c r="AC242" s="211"/>
      <c r="AD242" s="211"/>
      <c r="AE242" s="211"/>
      <c r="AF242" s="211"/>
      <c r="AG242" s="211"/>
      <c r="AH242" s="74">
        <f>IF('IMPORT SCHLIESSERDATEN'!BZ234="V",999,'IMPORT SCHLIESSERDATEN'!BZ234)</f>
        <v>0</v>
      </c>
      <c r="AI242" s="74">
        <f>IF('IMPORT SCHLIESSERDATEN'!CA234="V",999,'IMPORT SCHLIESSERDATEN'!CA234)</f>
        <v>0</v>
      </c>
      <c r="AJ242" s="74">
        <f>IF('IMPORT SCHLIESSERDATEN'!CB234="V",999,'IMPORT SCHLIESSERDATEN'!CB234)</f>
        <v>0</v>
      </c>
      <c r="AK242" s="74">
        <f>'IMPORT SCHLIESSERDATEN'!CC234</f>
        <v>0</v>
      </c>
      <c r="AL242" s="74">
        <f>'IMPORT SCHLIESSERDATEN'!CD234</f>
        <v>0</v>
      </c>
      <c r="AM242" s="74">
        <f>'IMPORT SCHLIESSERDATEN'!CH234</f>
        <v>0</v>
      </c>
      <c r="AN242" s="74"/>
      <c r="AO242" s="74">
        <f>'IMPORT SCHLIESSERDATEN'!CK234</f>
        <v>0</v>
      </c>
      <c r="AP242" s="74"/>
      <c r="AQ242" s="74"/>
      <c r="AR242" s="74"/>
      <c r="AS242" s="74"/>
      <c r="AT242" s="74"/>
      <c r="AU242" s="74"/>
      <c r="AV242" s="74"/>
      <c r="AW242" s="82"/>
      <c r="AX242" s="67"/>
    </row>
    <row r="243" spans="1:50" x14ac:dyDescent="0.25">
      <c r="A243" s="67" t="str">
        <f>IFERROR(IF(C243&lt;&gt;"",MAX($A$2:$A242)+1,""),"")</f>
        <v/>
      </c>
      <c r="B243" s="223">
        <f t="shared" si="1"/>
        <v>231</v>
      </c>
      <c r="C243" s="216"/>
      <c r="D243" s="216"/>
      <c r="E243" s="248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  <c r="W243" s="74"/>
      <c r="X243" s="211"/>
      <c r="Y243" s="211"/>
      <c r="Z243" s="211"/>
      <c r="AA243" s="211"/>
      <c r="AB243" s="211"/>
      <c r="AC243" s="211"/>
      <c r="AD243" s="211"/>
      <c r="AE243" s="211"/>
      <c r="AF243" s="211"/>
      <c r="AG243" s="211"/>
      <c r="AH243" s="74">
        <f>IF('IMPORT SCHLIESSERDATEN'!BZ235="V",999,'IMPORT SCHLIESSERDATEN'!BZ235)</f>
        <v>0</v>
      </c>
      <c r="AI243" s="74">
        <f>IF('IMPORT SCHLIESSERDATEN'!CA235="V",999,'IMPORT SCHLIESSERDATEN'!CA235)</f>
        <v>0</v>
      </c>
      <c r="AJ243" s="74">
        <f>IF('IMPORT SCHLIESSERDATEN'!CB235="V",999,'IMPORT SCHLIESSERDATEN'!CB235)</f>
        <v>0</v>
      </c>
      <c r="AK243" s="74">
        <f>'IMPORT SCHLIESSERDATEN'!CC235</f>
        <v>0</v>
      </c>
      <c r="AL243" s="74">
        <f>'IMPORT SCHLIESSERDATEN'!CD235</f>
        <v>0</v>
      </c>
      <c r="AM243" s="74">
        <f>'IMPORT SCHLIESSERDATEN'!CH235</f>
        <v>0</v>
      </c>
      <c r="AN243" s="74"/>
      <c r="AO243" s="74">
        <f>'IMPORT SCHLIESSERDATEN'!CK235</f>
        <v>0</v>
      </c>
      <c r="AP243" s="74"/>
      <c r="AQ243" s="74"/>
      <c r="AR243" s="74"/>
      <c r="AS243" s="74"/>
      <c r="AT243" s="74"/>
      <c r="AU243" s="74"/>
      <c r="AV243" s="74"/>
      <c r="AW243" s="82"/>
      <c r="AX243" s="67"/>
    </row>
    <row r="244" spans="1:50" x14ac:dyDescent="0.25">
      <c r="A244" s="67" t="str">
        <f>IFERROR(IF(C244&lt;&gt;"",MAX($A$2:$A243)+1,""),"")</f>
        <v/>
      </c>
      <c r="B244" s="223">
        <f t="shared" si="1"/>
        <v>232</v>
      </c>
      <c r="C244" s="216"/>
      <c r="D244" s="216"/>
      <c r="E244" s="248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  <c r="W244" s="74"/>
      <c r="X244" s="211"/>
      <c r="Y244" s="211"/>
      <c r="Z244" s="211"/>
      <c r="AA244" s="211"/>
      <c r="AB244" s="211"/>
      <c r="AC244" s="211"/>
      <c r="AD244" s="211"/>
      <c r="AE244" s="211"/>
      <c r="AF244" s="211"/>
      <c r="AG244" s="211"/>
      <c r="AH244" s="74">
        <f>IF('IMPORT SCHLIESSERDATEN'!BZ236="V",999,'IMPORT SCHLIESSERDATEN'!BZ236)</f>
        <v>0</v>
      </c>
      <c r="AI244" s="74">
        <f>IF('IMPORT SCHLIESSERDATEN'!CA236="V",999,'IMPORT SCHLIESSERDATEN'!CA236)</f>
        <v>0</v>
      </c>
      <c r="AJ244" s="74">
        <f>IF('IMPORT SCHLIESSERDATEN'!CB236="V",999,'IMPORT SCHLIESSERDATEN'!CB236)</f>
        <v>0</v>
      </c>
      <c r="AK244" s="74">
        <f>'IMPORT SCHLIESSERDATEN'!CC236</f>
        <v>0</v>
      </c>
      <c r="AL244" s="74">
        <f>'IMPORT SCHLIESSERDATEN'!CD236</f>
        <v>0</v>
      </c>
      <c r="AM244" s="74">
        <f>'IMPORT SCHLIESSERDATEN'!CH236</f>
        <v>0</v>
      </c>
      <c r="AN244" s="74"/>
      <c r="AO244" s="74">
        <f>'IMPORT SCHLIESSERDATEN'!CK236</f>
        <v>0</v>
      </c>
      <c r="AP244" s="74"/>
      <c r="AQ244" s="74"/>
      <c r="AR244" s="74"/>
      <c r="AS244" s="74"/>
      <c r="AT244" s="74"/>
      <c r="AU244" s="74"/>
      <c r="AV244" s="74"/>
      <c r="AW244" s="82"/>
      <c r="AX244" s="67"/>
    </row>
    <row r="245" spans="1:50" x14ac:dyDescent="0.25">
      <c r="A245" s="67" t="str">
        <f>IFERROR(IF(C245&lt;&gt;"",MAX($A$2:$A244)+1,""),"")</f>
        <v/>
      </c>
      <c r="B245" s="223">
        <f t="shared" si="1"/>
        <v>233</v>
      </c>
      <c r="C245" s="216"/>
      <c r="D245" s="216"/>
      <c r="E245" s="248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  <c r="W245" s="74"/>
      <c r="X245" s="211"/>
      <c r="Y245" s="211"/>
      <c r="Z245" s="211"/>
      <c r="AA245" s="211"/>
      <c r="AB245" s="211"/>
      <c r="AC245" s="211"/>
      <c r="AD245" s="211"/>
      <c r="AE245" s="211"/>
      <c r="AF245" s="211"/>
      <c r="AG245" s="211"/>
      <c r="AH245" s="74">
        <f>IF('IMPORT SCHLIESSERDATEN'!BZ237="V",999,'IMPORT SCHLIESSERDATEN'!BZ237)</f>
        <v>0</v>
      </c>
      <c r="AI245" s="74">
        <f>IF('IMPORT SCHLIESSERDATEN'!CA237="V",999,'IMPORT SCHLIESSERDATEN'!CA237)</f>
        <v>0</v>
      </c>
      <c r="AJ245" s="74">
        <f>IF('IMPORT SCHLIESSERDATEN'!CB237="V",999,'IMPORT SCHLIESSERDATEN'!CB237)</f>
        <v>0</v>
      </c>
      <c r="AK245" s="74">
        <f>'IMPORT SCHLIESSERDATEN'!CC237</f>
        <v>0</v>
      </c>
      <c r="AL245" s="74">
        <f>'IMPORT SCHLIESSERDATEN'!CD237</f>
        <v>0</v>
      </c>
      <c r="AM245" s="74">
        <f>'IMPORT SCHLIESSERDATEN'!CH237</f>
        <v>0</v>
      </c>
      <c r="AN245" s="74"/>
      <c r="AO245" s="74">
        <f>'IMPORT SCHLIESSERDATEN'!CK237</f>
        <v>0</v>
      </c>
      <c r="AP245" s="74"/>
      <c r="AQ245" s="74"/>
      <c r="AR245" s="74"/>
      <c r="AS245" s="74"/>
      <c r="AT245" s="74"/>
      <c r="AU245" s="74"/>
      <c r="AV245" s="74"/>
      <c r="AW245" s="82"/>
      <c r="AX245" s="67"/>
    </row>
    <row r="246" spans="1:50" x14ac:dyDescent="0.25">
      <c r="A246" s="67" t="str">
        <f>IFERROR(IF(C246&lt;&gt;"",MAX($A$2:$A245)+1,""),"")</f>
        <v/>
      </c>
      <c r="B246" s="223">
        <f t="shared" si="1"/>
        <v>234</v>
      </c>
      <c r="C246" s="216"/>
      <c r="D246" s="216"/>
      <c r="E246" s="248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  <c r="W246" s="74"/>
      <c r="X246" s="211"/>
      <c r="Y246" s="211"/>
      <c r="Z246" s="211"/>
      <c r="AA246" s="211"/>
      <c r="AB246" s="211"/>
      <c r="AC246" s="211"/>
      <c r="AD246" s="211"/>
      <c r="AE246" s="211"/>
      <c r="AF246" s="211"/>
      <c r="AG246" s="211"/>
      <c r="AH246" s="74">
        <f>IF('IMPORT SCHLIESSERDATEN'!BZ238="V",999,'IMPORT SCHLIESSERDATEN'!BZ238)</f>
        <v>0</v>
      </c>
      <c r="AI246" s="74">
        <f>IF('IMPORT SCHLIESSERDATEN'!CA238="V",999,'IMPORT SCHLIESSERDATEN'!CA238)</f>
        <v>0</v>
      </c>
      <c r="AJ246" s="74">
        <f>IF('IMPORT SCHLIESSERDATEN'!CB238="V",999,'IMPORT SCHLIESSERDATEN'!CB238)</f>
        <v>0</v>
      </c>
      <c r="AK246" s="74">
        <f>'IMPORT SCHLIESSERDATEN'!CC238</f>
        <v>0</v>
      </c>
      <c r="AL246" s="74">
        <f>'IMPORT SCHLIESSERDATEN'!CD238</f>
        <v>0</v>
      </c>
      <c r="AM246" s="74">
        <f>'IMPORT SCHLIESSERDATEN'!CH238</f>
        <v>0</v>
      </c>
      <c r="AN246" s="74"/>
      <c r="AO246" s="74">
        <f>'IMPORT SCHLIESSERDATEN'!CK238</f>
        <v>0</v>
      </c>
      <c r="AP246" s="74"/>
      <c r="AQ246" s="74"/>
      <c r="AR246" s="74"/>
      <c r="AS246" s="74"/>
      <c r="AT246" s="74"/>
      <c r="AU246" s="74"/>
      <c r="AV246" s="74"/>
      <c r="AW246" s="82"/>
      <c r="AX246" s="67"/>
    </row>
    <row r="247" spans="1:50" x14ac:dyDescent="0.25">
      <c r="A247" s="67" t="str">
        <f>IFERROR(IF(C247&lt;&gt;"",MAX($A$2:$A246)+1,""),"")</f>
        <v/>
      </c>
      <c r="B247" s="223">
        <f t="shared" si="1"/>
        <v>235</v>
      </c>
      <c r="C247" s="216"/>
      <c r="D247" s="216"/>
      <c r="E247" s="248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  <c r="W247" s="74"/>
      <c r="X247" s="211"/>
      <c r="Y247" s="211"/>
      <c r="Z247" s="211"/>
      <c r="AA247" s="211"/>
      <c r="AB247" s="211"/>
      <c r="AC247" s="211"/>
      <c r="AD247" s="211"/>
      <c r="AE247" s="211"/>
      <c r="AF247" s="211"/>
      <c r="AG247" s="211"/>
      <c r="AH247" s="74">
        <f>IF('IMPORT SCHLIESSERDATEN'!BZ239="V",999,'IMPORT SCHLIESSERDATEN'!BZ239)</f>
        <v>0</v>
      </c>
      <c r="AI247" s="74">
        <f>IF('IMPORT SCHLIESSERDATEN'!CA239="V",999,'IMPORT SCHLIESSERDATEN'!CA239)</f>
        <v>0</v>
      </c>
      <c r="AJ247" s="74">
        <f>IF('IMPORT SCHLIESSERDATEN'!CB239="V",999,'IMPORT SCHLIESSERDATEN'!CB239)</f>
        <v>0</v>
      </c>
      <c r="AK247" s="74">
        <f>'IMPORT SCHLIESSERDATEN'!CC239</f>
        <v>0</v>
      </c>
      <c r="AL247" s="74">
        <f>'IMPORT SCHLIESSERDATEN'!CD239</f>
        <v>0</v>
      </c>
      <c r="AM247" s="74">
        <f>'IMPORT SCHLIESSERDATEN'!CH239</f>
        <v>0</v>
      </c>
      <c r="AN247" s="74"/>
      <c r="AO247" s="74">
        <f>'IMPORT SCHLIESSERDATEN'!CK239</f>
        <v>0</v>
      </c>
      <c r="AP247" s="74"/>
      <c r="AQ247" s="74"/>
      <c r="AR247" s="74"/>
      <c r="AS247" s="74"/>
      <c r="AT247" s="74"/>
      <c r="AU247" s="74"/>
      <c r="AV247" s="74"/>
      <c r="AW247" s="82"/>
      <c r="AX247" s="67"/>
    </row>
    <row r="248" spans="1:50" x14ac:dyDescent="0.25">
      <c r="A248" s="67" t="str">
        <f>IFERROR(IF(C248&lt;&gt;"",MAX($A$2:$A247)+1,""),"")</f>
        <v/>
      </c>
      <c r="B248" s="223">
        <f t="shared" si="1"/>
        <v>236</v>
      </c>
      <c r="C248" s="216"/>
      <c r="D248" s="216"/>
      <c r="E248" s="248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  <c r="W248" s="74"/>
      <c r="X248" s="211"/>
      <c r="Y248" s="211"/>
      <c r="Z248" s="211"/>
      <c r="AA248" s="211"/>
      <c r="AB248" s="211"/>
      <c r="AC248" s="211"/>
      <c r="AD248" s="211"/>
      <c r="AE248" s="211"/>
      <c r="AF248" s="211"/>
      <c r="AG248" s="211"/>
      <c r="AH248" s="74">
        <f>IF('IMPORT SCHLIESSERDATEN'!BZ240="V",999,'IMPORT SCHLIESSERDATEN'!BZ240)</f>
        <v>0</v>
      </c>
      <c r="AI248" s="74">
        <f>IF('IMPORT SCHLIESSERDATEN'!CA240="V",999,'IMPORT SCHLIESSERDATEN'!CA240)</f>
        <v>0</v>
      </c>
      <c r="AJ248" s="74">
        <f>IF('IMPORT SCHLIESSERDATEN'!CB240="V",999,'IMPORT SCHLIESSERDATEN'!CB240)</f>
        <v>0</v>
      </c>
      <c r="AK248" s="74">
        <f>'IMPORT SCHLIESSERDATEN'!CC240</f>
        <v>0</v>
      </c>
      <c r="AL248" s="74">
        <f>'IMPORT SCHLIESSERDATEN'!CD240</f>
        <v>0</v>
      </c>
      <c r="AM248" s="74">
        <f>'IMPORT SCHLIESSERDATEN'!CH240</f>
        <v>0</v>
      </c>
      <c r="AN248" s="74"/>
      <c r="AO248" s="74">
        <f>'IMPORT SCHLIESSERDATEN'!CK240</f>
        <v>0</v>
      </c>
      <c r="AP248" s="74"/>
      <c r="AQ248" s="74"/>
      <c r="AR248" s="74"/>
      <c r="AS248" s="74"/>
      <c r="AT248" s="74"/>
      <c r="AU248" s="74"/>
      <c r="AV248" s="74"/>
      <c r="AW248" s="82"/>
      <c r="AX248" s="67"/>
    </row>
    <row r="249" spans="1:50" x14ac:dyDescent="0.25">
      <c r="A249" s="67" t="str">
        <f>IFERROR(IF(C249&lt;&gt;"",MAX($A$2:$A248)+1,""),"")</f>
        <v/>
      </c>
      <c r="B249" s="223">
        <f t="shared" si="1"/>
        <v>237</v>
      </c>
      <c r="C249" s="216"/>
      <c r="D249" s="216"/>
      <c r="E249" s="248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  <c r="W249" s="74"/>
      <c r="X249" s="211"/>
      <c r="Y249" s="211"/>
      <c r="Z249" s="211"/>
      <c r="AA249" s="211"/>
      <c r="AB249" s="211"/>
      <c r="AC249" s="211"/>
      <c r="AD249" s="211"/>
      <c r="AE249" s="211"/>
      <c r="AF249" s="211"/>
      <c r="AG249" s="211"/>
      <c r="AH249" s="74">
        <f>IF('IMPORT SCHLIESSERDATEN'!BZ241="V",999,'IMPORT SCHLIESSERDATEN'!BZ241)</f>
        <v>0</v>
      </c>
      <c r="AI249" s="74">
        <f>IF('IMPORT SCHLIESSERDATEN'!CA241="V",999,'IMPORT SCHLIESSERDATEN'!CA241)</f>
        <v>0</v>
      </c>
      <c r="AJ249" s="74">
        <f>IF('IMPORT SCHLIESSERDATEN'!CB241="V",999,'IMPORT SCHLIESSERDATEN'!CB241)</f>
        <v>0</v>
      </c>
      <c r="AK249" s="74">
        <f>'IMPORT SCHLIESSERDATEN'!CC241</f>
        <v>0</v>
      </c>
      <c r="AL249" s="74">
        <f>'IMPORT SCHLIESSERDATEN'!CD241</f>
        <v>0</v>
      </c>
      <c r="AM249" s="74">
        <f>'IMPORT SCHLIESSERDATEN'!CH241</f>
        <v>0</v>
      </c>
      <c r="AN249" s="74"/>
      <c r="AO249" s="74">
        <f>'IMPORT SCHLIESSERDATEN'!CK241</f>
        <v>0</v>
      </c>
      <c r="AP249" s="74"/>
      <c r="AQ249" s="74"/>
      <c r="AR249" s="74"/>
      <c r="AS249" s="74"/>
      <c r="AT249" s="74"/>
      <c r="AU249" s="74"/>
      <c r="AV249" s="74"/>
      <c r="AW249" s="82"/>
      <c r="AX249" s="67"/>
    </row>
    <row r="250" spans="1:50" x14ac:dyDescent="0.25">
      <c r="A250" s="67" t="str">
        <f>IFERROR(IF(C250&lt;&gt;"",MAX($A$2:$A249)+1,""),"")</f>
        <v/>
      </c>
      <c r="B250" s="223">
        <f t="shared" ref="B250:B256" si="4">ROW()-ROW($B$12)</f>
        <v>238</v>
      </c>
      <c r="C250" s="216"/>
      <c r="D250" s="216"/>
      <c r="E250" s="248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  <c r="W250" s="74"/>
      <c r="X250" s="211"/>
      <c r="Y250" s="211"/>
      <c r="Z250" s="211"/>
      <c r="AA250" s="211"/>
      <c r="AB250" s="211"/>
      <c r="AC250" s="211"/>
      <c r="AD250" s="211"/>
      <c r="AE250" s="211"/>
      <c r="AF250" s="211"/>
      <c r="AG250" s="211"/>
      <c r="AH250" s="74">
        <f>IF('IMPORT SCHLIESSERDATEN'!BZ242="V",999,'IMPORT SCHLIESSERDATEN'!BZ242)</f>
        <v>0</v>
      </c>
      <c r="AI250" s="74">
        <f>IF('IMPORT SCHLIESSERDATEN'!CA242="V",999,'IMPORT SCHLIESSERDATEN'!CA242)</f>
        <v>0</v>
      </c>
      <c r="AJ250" s="74">
        <f>IF('IMPORT SCHLIESSERDATEN'!CB242="V",999,'IMPORT SCHLIESSERDATEN'!CB242)</f>
        <v>0</v>
      </c>
      <c r="AK250" s="74">
        <f>'IMPORT SCHLIESSERDATEN'!CC242</f>
        <v>0</v>
      </c>
      <c r="AL250" s="74">
        <f>'IMPORT SCHLIESSERDATEN'!CD242</f>
        <v>0</v>
      </c>
      <c r="AM250" s="74">
        <f>'IMPORT SCHLIESSERDATEN'!CH242</f>
        <v>0</v>
      </c>
      <c r="AN250" s="74"/>
      <c r="AO250" s="74">
        <f>'IMPORT SCHLIESSERDATEN'!CK242</f>
        <v>0</v>
      </c>
      <c r="AP250" s="74"/>
      <c r="AQ250" s="74"/>
      <c r="AR250" s="74"/>
      <c r="AS250" s="74"/>
      <c r="AT250" s="74"/>
      <c r="AU250" s="74"/>
      <c r="AV250" s="74"/>
      <c r="AW250" s="82"/>
      <c r="AX250" s="67"/>
    </row>
    <row r="251" spans="1:50" x14ac:dyDescent="0.25">
      <c r="A251" s="67" t="str">
        <f>IFERROR(IF(C251&lt;&gt;"",MAX($A$2:$A250)+1,""),"")</f>
        <v/>
      </c>
      <c r="B251" s="223">
        <f t="shared" si="4"/>
        <v>239</v>
      </c>
      <c r="C251" s="216"/>
      <c r="D251" s="216"/>
      <c r="E251" s="248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  <c r="W251" s="74"/>
      <c r="X251" s="211"/>
      <c r="Y251" s="211"/>
      <c r="Z251" s="211"/>
      <c r="AA251" s="211"/>
      <c r="AB251" s="211"/>
      <c r="AC251" s="211"/>
      <c r="AD251" s="211"/>
      <c r="AE251" s="211"/>
      <c r="AF251" s="211"/>
      <c r="AG251" s="211"/>
      <c r="AH251" s="74">
        <f>IF('IMPORT SCHLIESSERDATEN'!BZ243="V",999,'IMPORT SCHLIESSERDATEN'!BZ243)</f>
        <v>0</v>
      </c>
      <c r="AI251" s="74">
        <f>IF('IMPORT SCHLIESSERDATEN'!CA243="V",999,'IMPORT SCHLIESSERDATEN'!CA243)</f>
        <v>0</v>
      </c>
      <c r="AJ251" s="74">
        <f>IF('IMPORT SCHLIESSERDATEN'!CB243="V",999,'IMPORT SCHLIESSERDATEN'!CB243)</f>
        <v>0</v>
      </c>
      <c r="AK251" s="74">
        <f>'IMPORT SCHLIESSERDATEN'!CC243</f>
        <v>0</v>
      </c>
      <c r="AL251" s="74">
        <f>'IMPORT SCHLIESSERDATEN'!CD243</f>
        <v>0</v>
      </c>
      <c r="AM251" s="74">
        <f>'IMPORT SCHLIESSERDATEN'!CH243</f>
        <v>0</v>
      </c>
      <c r="AN251" s="74"/>
      <c r="AO251" s="74">
        <f>'IMPORT SCHLIESSERDATEN'!CK243</f>
        <v>0</v>
      </c>
      <c r="AP251" s="74"/>
      <c r="AQ251" s="74"/>
      <c r="AR251" s="74"/>
      <c r="AS251" s="74"/>
      <c r="AT251" s="74"/>
      <c r="AU251" s="74"/>
      <c r="AV251" s="74"/>
      <c r="AW251" s="82"/>
      <c r="AX251" s="67"/>
    </row>
    <row r="252" spans="1:50" x14ac:dyDescent="0.25">
      <c r="A252" s="67" t="str">
        <f>IFERROR(IF(C252&lt;&gt;"",MAX($A$2:$A251)+1,""),"")</f>
        <v/>
      </c>
      <c r="B252" s="223">
        <f t="shared" si="4"/>
        <v>240</v>
      </c>
      <c r="C252" s="216"/>
      <c r="D252" s="216"/>
      <c r="E252" s="248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  <c r="W252" s="74"/>
      <c r="X252" s="211"/>
      <c r="Y252" s="211"/>
      <c r="Z252" s="211"/>
      <c r="AA252" s="211"/>
      <c r="AB252" s="211"/>
      <c r="AC252" s="211"/>
      <c r="AD252" s="211"/>
      <c r="AE252" s="211"/>
      <c r="AF252" s="211"/>
      <c r="AG252" s="211"/>
      <c r="AH252" s="74">
        <f>IF('IMPORT SCHLIESSERDATEN'!BZ244="V",999,'IMPORT SCHLIESSERDATEN'!BZ244)</f>
        <v>0</v>
      </c>
      <c r="AI252" s="74">
        <f>IF('IMPORT SCHLIESSERDATEN'!CA244="V",999,'IMPORT SCHLIESSERDATEN'!CA244)</f>
        <v>0</v>
      </c>
      <c r="AJ252" s="74">
        <f>IF('IMPORT SCHLIESSERDATEN'!CB244="V",999,'IMPORT SCHLIESSERDATEN'!CB244)</f>
        <v>0</v>
      </c>
      <c r="AK252" s="74">
        <f>'IMPORT SCHLIESSERDATEN'!CC244</f>
        <v>0</v>
      </c>
      <c r="AL252" s="74">
        <f>'IMPORT SCHLIESSERDATEN'!CD244</f>
        <v>0</v>
      </c>
      <c r="AM252" s="74">
        <f>'IMPORT SCHLIESSERDATEN'!CH244</f>
        <v>0</v>
      </c>
      <c r="AN252" s="74"/>
      <c r="AO252" s="74">
        <f>'IMPORT SCHLIESSERDATEN'!CK244</f>
        <v>0</v>
      </c>
      <c r="AP252" s="74"/>
      <c r="AQ252" s="74"/>
      <c r="AR252" s="74"/>
      <c r="AS252" s="74"/>
      <c r="AT252" s="74"/>
      <c r="AU252" s="74"/>
      <c r="AV252" s="74"/>
      <c r="AW252" s="82"/>
      <c r="AX252" s="67"/>
    </row>
    <row r="253" spans="1:50" x14ac:dyDescent="0.25">
      <c r="A253" s="67" t="str">
        <f>IFERROR(IF(C253&lt;&gt;"",MAX($A$2:$A252)+1,""),"")</f>
        <v/>
      </c>
      <c r="B253" s="223">
        <f t="shared" si="4"/>
        <v>241</v>
      </c>
      <c r="C253" s="216"/>
      <c r="D253" s="216"/>
      <c r="E253" s="248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  <c r="W253" s="74"/>
      <c r="X253" s="211"/>
      <c r="Y253" s="211"/>
      <c r="Z253" s="211"/>
      <c r="AA253" s="211"/>
      <c r="AB253" s="211"/>
      <c r="AC253" s="211"/>
      <c r="AD253" s="211"/>
      <c r="AE253" s="211"/>
      <c r="AF253" s="211"/>
      <c r="AG253" s="211"/>
      <c r="AH253" s="74">
        <f>IF('IMPORT SCHLIESSERDATEN'!BZ245="V",999,'IMPORT SCHLIESSERDATEN'!BZ245)</f>
        <v>0</v>
      </c>
      <c r="AI253" s="74">
        <f>IF('IMPORT SCHLIESSERDATEN'!CA245="V",999,'IMPORT SCHLIESSERDATEN'!CA245)</f>
        <v>0</v>
      </c>
      <c r="AJ253" s="74">
        <f>IF('IMPORT SCHLIESSERDATEN'!CB245="V",999,'IMPORT SCHLIESSERDATEN'!CB245)</f>
        <v>0</v>
      </c>
      <c r="AK253" s="74">
        <f>'IMPORT SCHLIESSERDATEN'!CC245</f>
        <v>0</v>
      </c>
      <c r="AL253" s="74">
        <f>'IMPORT SCHLIESSERDATEN'!CD245</f>
        <v>0</v>
      </c>
      <c r="AM253" s="74">
        <f>'IMPORT SCHLIESSERDATEN'!CH245</f>
        <v>0</v>
      </c>
      <c r="AN253" s="74"/>
      <c r="AO253" s="74">
        <f>'IMPORT SCHLIESSERDATEN'!CK245</f>
        <v>0</v>
      </c>
      <c r="AP253" s="74"/>
      <c r="AQ253" s="74"/>
      <c r="AR253" s="74"/>
      <c r="AS253" s="74"/>
      <c r="AT253" s="74"/>
      <c r="AU253" s="74"/>
      <c r="AV253" s="74"/>
      <c r="AW253" s="82"/>
      <c r="AX253" s="67"/>
    </row>
    <row r="254" spans="1:50" x14ac:dyDescent="0.25">
      <c r="A254" s="67" t="str">
        <f>IFERROR(IF(C254&lt;&gt;"",MAX($A$2:$A253)+1,""),"")</f>
        <v/>
      </c>
      <c r="B254" s="223">
        <f t="shared" si="4"/>
        <v>242</v>
      </c>
      <c r="C254" s="216"/>
      <c r="D254" s="216"/>
      <c r="E254" s="248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  <c r="W254" s="74"/>
      <c r="X254" s="211"/>
      <c r="Y254" s="211"/>
      <c r="Z254" s="211"/>
      <c r="AA254" s="211"/>
      <c r="AB254" s="211"/>
      <c r="AC254" s="211"/>
      <c r="AD254" s="211"/>
      <c r="AE254" s="211"/>
      <c r="AF254" s="211"/>
      <c r="AG254" s="211"/>
      <c r="AH254" s="74">
        <f>IF('IMPORT SCHLIESSERDATEN'!BZ246="V",999,'IMPORT SCHLIESSERDATEN'!BZ246)</f>
        <v>0</v>
      </c>
      <c r="AI254" s="74">
        <f>IF('IMPORT SCHLIESSERDATEN'!CA246="V",999,'IMPORT SCHLIESSERDATEN'!CA246)</f>
        <v>0</v>
      </c>
      <c r="AJ254" s="74">
        <f>IF('IMPORT SCHLIESSERDATEN'!CB246="V",999,'IMPORT SCHLIESSERDATEN'!CB246)</f>
        <v>0</v>
      </c>
      <c r="AK254" s="74">
        <f>'IMPORT SCHLIESSERDATEN'!CC246</f>
        <v>0</v>
      </c>
      <c r="AL254" s="74">
        <f>'IMPORT SCHLIESSERDATEN'!CD246</f>
        <v>0</v>
      </c>
      <c r="AM254" s="74">
        <f>'IMPORT SCHLIESSERDATEN'!CH246</f>
        <v>0</v>
      </c>
      <c r="AN254" s="74"/>
      <c r="AO254" s="74">
        <f>'IMPORT SCHLIESSERDATEN'!CK246</f>
        <v>0</v>
      </c>
      <c r="AP254" s="74"/>
      <c r="AQ254" s="74"/>
      <c r="AR254" s="74"/>
      <c r="AS254" s="74"/>
      <c r="AT254" s="74"/>
      <c r="AU254" s="74"/>
      <c r="AV254" s="74"/>
      <c r="AW254" s="82"/>
      <c r="AX254" s="67"/>
    </row>
    <row r="255" spans="1:50" x14ac:dyDescent="0.25">
      <c r="A255" s="67" t="str">
        <f>IFERROR(IF(C255&lt;&gt;"",MAX($A$2:$A254)+1,""),"")</f>
        <v/>
      </c>
      <c r="B255" s="223">
        <f t="shared" si="4"/>
        <v>243</v>
      </c>
      <c r="C255" s="216"/>
      <c r="D255" s="216"/>
      <c r="E255" s="248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  <c r="W255" s="74"/>
      <c r="X255" s="211"/>
      <c r="Y255" s="211"/>
      <c r="Z255" s="211"/>
      <c r="AA255" s="211"/>
      <c r="AB255" s="211"/>
      <c r="AC255" s="211"/>
      <c r="AD255" s="211"/>
      <c r="AE255" s="211"/>
      <c r="AF255" s="211"/>
      <c r="AG255" s="211"/>
      <c r="AH255" s="74">
        <f>IF('IMPORT SCHLIESSERDATEN'!BZ247="V",999,'IMPORT SCHLIESSERDATEN'!BZ247)</f>
        <v>0</v>
      </c>
      <c r="AI255" s="74">
        <f>IF('IMPORT SCHLIESSERDATEN'!CA247="V",999,'IMPORT SCHLIESSERDATEN'!CA247)</f>
        <v>0</v>
      </c>
      <c r="AJ255" s="74">
        <f>IF('IMPORT SCHLIESSERDATEN'!CB247="V",999,'IMPORT SCHLIESSERDATEN'!CB247)</f>
        <v>0</v>
      </c>
      <c r="AK255" s="74">
        <f>'IMPORT SCHLIESSERDATEN'!CC247</f>
        <v>0</v>
      </c>
      <c r="AL255" s="74">
        <f>'IMPORT SCHLIESSERDATEN'!CD247</f>
        <v>0</v>
      </c>
      <c r="AM255" s="74">
        <f>'IMPORT SCHLIESSERDATEN'!CH247</f>
        <v>0</v>
      </c>
      <c r="AN255" s="74"/>
      <c r="AO255" s="74">
        <f>'IMPORT SCHLIESSERDATEN'!CK247</f>
        <v>0</v>
      </c>
      <c r="AP255" s="74"/>
      <c r="AQ255" s="74"/>
      <c r="AR255" s="74"/>
      <c r="AS255" s="74"/>
      <c r="AT255" s="74"/>
      <c r="AU255" s="74"/>
      <c r="AV255" s="74"/>
      <c r="AW255" s="82"/>
      <c r="AX255" s="67"/>
    </row>
    <row r="256" spans="1:50" x14ac:dyDescent="0.25">
      <c r="A256" s="67" t="str">
        <f>IFERROR(IF(C256&lt;&gt;"",MAX($A$2:$A255)+1,""),"")</f>
        <v/>
      </c>
      <c r="B256" s="223">
        <f t="shared" si="4"/>
        <v>244</v>
      </c>
      <c r="C256" s="216"/>
      <c r="D256" s="216"/>
      <c r="E256" s="248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211"/>
      <c r="Y256" s="211"/>
      <c r="Z256" s="211"/>
      <c r="AA256" s="211"/>
      <c r="AB256" s="211"/>
      <c r="AC256" s="211"/>
      <c r="AD256" s="211"/>
      <c r="AE256" s="211"/>
      <c r="AF256" s="211"/>
      <c r="AG256" s="211"/>
      <c r="AH256" s="74">
        <f>IF('IMPORT SCHLIESSERDATEN'!BZ248="V",999,'IMPORT SCHLIESSERDATEN'!BZ248)</f>
        <v>0</v>
      </c>
      <c r="AI256" s="74">
        <f>IF('IMPORT SCHLIESSERDATEN'!CA248="V",999,'IMPORT SCHLIESSERDATEN'!CA248)</f>
        <v>0</v>
      </c>
      <c r="AJ256" s="74">
        <f>IF('IMPORT SCHLIESSERDATEN'!CB248="V",999,'IMPORT SCHLIESSERDATEN'!CB248)</f>
        <v>0</v>
      </c>
      <c r="AK256" s="74">
        <f>'IMPORT SCHLIESSERDATEN'!CC248</f>
        <v>0</v>
      </c>
      <c r="AL256" s="74">
        <f>'IMPORT SCHLIESSERDATEN'!CD248</f>
        <v>0</v>
      </c>
      <c r="AM256" s="74">
        <f>'IMPORT SCHLIESSERDATEN'!CH248</f>
        <v>0</v>
      </c>
      <c r="AN256" s="74"/>
      <c r="AO256" s="74">
        <f>'IMPORT SCHLIESSERDATEN'!CK248</f>
        <v>0</v>
      </c>
      <c r="AP256" s="74"/>
      <c r="AQ256" s="74"/>
      <c r="AR256" s="74"/>
      <c r="AS256" s="74"/>
      <c r="AT256" s="74"/>
      <c r="AU256" s="74"/>
      <c r="AV256" s="74"/>
      <c r="AW256" s="82"/>
      <c r="AX256" s="67"/>
    </row>
    <row r="257" spans="1:50" x14ac:dyDescent="0.25">
      <c r="A257" s="67" t="str">
        <f>IFERROR(IF(C257&lt;&gt;"",MAX($A$2:$A256)+1,""),"")</f>
        <v/>
      </c>
      <c r="B257" s="223">
        <f t="shared" si="1"/>
        <v>245</v>
      </c>
      <c r="C257" s="216"/>
      <c r="D257" s="216"/>
      <c r="E257" s="248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  <c r="W257" s="74"/>
      <c r="X257" s="211"/>
      <c r="Y257" s="211"/>
      <c r="Z257" s="211"/>
      <c r="AA257" s="211"/>
      <c r="AB257" s="211"/>
      <c r="AC257" s="211"/>
      <c r="AD257" s="211"/>
      <c r="AE257" s="211"/>
      <c r="AF257" s="211"/>
      <c r="AG257" s="211"/>
      <c r="AH257" s="211"/>
      <c r="AI257" s="74"/>
      <c r="AJ257" s="211"/>
      <c r="AK257" s="74"/>
      <c r="AL257" s="211"/>
      <c r="AM257" s="211"/>
      <c r="AN257" s="211"/>
      <c r="AO257" s="74"/>
      <c r="AP257" s="74"/>
      <c r="AQ257" s="74"/>
      <c r="AR257" s="74"/>
      <c r="AS257" s="74"/>
      <c r="AT257" s="74"/>
      <c r="AU257" s="74"/>
      <c r="AV257" s="74"/>
      <c r="AW257" s="82"/>
      <c r="AX257" s="67"/>
    </row>
    <row r="258" spans="1:50" ht="15" customHeight="1" thickBot="1" x14ac:dyDescent="0.3">
      <c r="A258" s="67" t="str">
        <f>IFERROR(IF(C258&lt;&gt;"",MAX($A$2:$A257)+1,""),"")</f>
        <v/>
      </c>
      <c r="B258" s="223">
        <f t="shared" si="1"/>
        <v>246</v>
      </c>
      <c r="C258" s="227"/>
      <c r="D258" s="227"/>
      <c r="E258" s="249"/>
      <c r="F258" s="228"/>
      <c r="G258" s="228"/>
      <c r="H258" s="228"/>
      <c r="I258" s="228"/>
      <c r="J258" s="228"/>
      <c r="K258" s="228"/>
      <c r="L258" s="228"/>
      <c r="M258" s="228"/>
      <c r="N258" s="228"/>
      <c r="O258" s="228"/>
      <c r="P258" s="228"/>
      <c r="Q258" s="228"/>
      <c r="R258" s="228"/>
      <c r="S258" s="228"/>
      <c r="T258" s="228"/>
      <c r="U258" s="228"/>
      <c r="V258" s="228"/>
      <c r="W258" s="228"/>
      <c r="X258" s="229"/>
      <c r="Y258" s="229"/>
      <c r="Z258" s="229"/>
      <c r="AA258" s="229"/>
      <c r="AB258" s="229"/>
      <c r="AC258" s="229"/>
      <c r="AD258" s="229"/>
      <c r="AE258" s="229"/>
      <c r="AF258" s="229"/>
      <c r="AG258" s="229"/>
      <c r="AH258" s="229"/>
      <c r="AI258" s="228"/>
      <c r="AJ258" s="229"/>
      <c r="AK258" s="228"/>
      <c r="AL258" s="229"/>
      <c r="AM258" s="229"/>
      <c r="AN258" s="229"/>
      <c r="AO258" s="228"/>
      <c r="AP258" s="228"/>
      <c r="AQ258" s="228"/>
      <c r="AR258" s="228"/>
      <c r="AS258" s="228"/>
      <c r="AT258" s="228"/>
      <c r="AU258" s="228"/>
      <c r="AV258" s="230"/>
      <c r="AW258" s="82"/>
      <c r="AX258" s="67"/>
    </row>
    <row r="259" spans="1:50" ht="14.4" thickTop="1" x14ac:dyDescent="0.25">
      <c r="A259" s="67" t="str">
        <f>IFERROR(IF(C259&lt;&gt;"",MAX($A$2:$A258)+1,""),"")</f>
        <v/>
      </c>
      <c r="B259" s="223">
        <f t="shared" si="1"/>
        <v>247</v>
      </c>
      <c r="C259" s="248"/>
      <c r="D259" s="270"/>
      <c r="E259" s="248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  <c r="W259" s="74"/>
      <c r="X259" s="265"/>
      <c r="Y259" s="265"/>
      <c r="Z259" s="265"/>
      <c r="AA259" s="265"/>
      <c r="AB259" s="265"/>
      <c r="AC259" s="265"/>
      <c r="AD259" s="265"/>
      <c r="AE259" s="265"/>
      <c r="AF259" s="265"/>
      <c r="AG259" s="265"/>
      <c r="AH259" s="265"/>
      <c r="AI259" s="265"/>
      <c r="AJ259" s="265"/>
      <c r="AK259" s="265"/>
      <c r="AL259" s="265"/>
      <c r="AM259" s="265"/>
      <c r="AN259" s="265"/>
      <c r="AO259" s="74"/>
      <c r="AP259" s="74"/>
      <c r="AQ259" s="74"/>
      <c r="AR259" s="74"/>
      <c r="AS259" s="74"/>
      <c r="AT259" s="74"/>
      <c r="AU259" s="74"/>
      <c r="AV259" s="74"/>
      <c r="AW259" s="82" t="s">
        <v>1678</v>
      </c>
      <c r="AX259" s="67"/>
    </row>
    <row r="260" spans="1:50" x14ac:dyDescent="0.25">
      <c r="A260" s="67" t="str">
        <f>IFERROR(IF(C260&lt;&gt;"",MAX($A$2:$A259)+1,""),"")</f>
        <v/>
      </c>
      <c r="B260" s="223">
        <f t="shared" si="1"/>
        <v>248</v>
      </c>
      <c r="C260" s="248"/>
      <c r="D260" s="270"/>
      <c r="E260" s="248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  <c r="W260" s="74"/>
      <c r="X260" s="265"/>
      <c r="Y260" s="265"/>
      <c r="Z260" s="265"/>
      <c r="AA260" s="265"/>
      <c r="AB260" s="265"/>
      <c r="AC260" s="265"/>
      <c r="AD260" s="265"/>
      <c r="AE260" s="265"/>
      <c r="AF260" s="265"/>
      <c r="AG260" s="265"/>
      <c r="AH260" s="265"/>
      <c r="AI260" s="265"/>
      <c r="AJ260" s="265"/>
      <c r="AK260" s="265"/>
      <c r="AL260" s="265"/>
      <c r="AM260" s="265"/>
      <c r="AN260" s="265"/>
      <c r="AO260" s="74"/>
      <c r="AP260" s="74"/>
      <c r="AQ260" s="74"/>
      <c r="AR260" s="74"/>
      <c r="AS260" s="74"/>
      <c r="AT260" s="74"/>
      <c r="AU260" s="74"/>
      <c r="AV260" s="74"/>
      <c r="AW260" s="82"/>
      <c r="AX260" s="67"/>
    </row>
    <row r="261" spans="1:50" x14ac:dyDescent="0.25">
      <c r="A261" s="67" t="str">
        <f>IFERROR(IF(C261&lt;&gt;"",MAX($A$2:$A260)+1,""),"")</f>
        <v/>
      </c>
      <c r="B261" s="223">
        <f t="shared" si="1"/>
        <v>249</v>
      </c>
      <c r="C261" s="248"/>
      <c r="D261" s="270"/>
      <c r="E261" s="248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  <c r="W261" s="74"/>
      <c r="X261" s="265"/>
      <c r="Y261" s="265"/>
      <c r="Z261" s="265"/>
      <c r="AA261" s="265"/>
      <c r="AB261" s="265"/>
      <c r="AC261" s="265"/>
      <c r="AD261" s="265"/>
      <c r="AE261" s="265"/>
      <c r="AF261" s="265"/>
      <c r="AG261" s="265"/>
      <c r="AH261" s="265"/>
      <c r="AI261" s="265"/>
      <c r="AJ261" s="265"/>
      <c r="AK261" s="265"/>
      <c r="AL261" s="265"/>
      <c r="AM261" s="265"/>
      <c r="AN261" s="265"/>
      <c r="AO261" s="74"/>
      <c r="AP261" s="74"/>
      <c r="AQ261" s="74"/>
      <c r="AR261" s="74"/>
      <c r="AS261" s="74"/>
      <c r="AT261" s="74"/>
      <c r="AU261" s="74"/>
      <c r="AV261" s="74"/>
      <c r="AW261" s="82"/>
      <c r="AX261" s="67"/>
    </row>
    <row r="262" spans="1:50" x14ac:dyDescent="0.25">
      <c r="A262" s="67" t="str">
        <f>IFERROR(IF(C262&lt;&gt;"",MAX($A$2:$A261)+1,""),"")</f>
        <v/>
      </c>
      <c r="B262" s="223">
        <f t="shared" si="1"/>
        <v>250</v>
      </c>
      <c r="C262" s="248"/>
      <c r="D262" s="270"/>
      <c r="E262" s="248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  <c r="W262" s="74"/>
      <c r="X262" s="265"/>
      <c r="Y262" s="265"/>
      <c r="Z262" s="265"/>
      <c r="AA262" s="265"/>
      <c r="AB262" s="265"/>
      <c r="AC262" s="265"/>
      <c r="AD262" s="265"/>
      <c r="AE262" s="265"/>
      <c r="AF262" s="265"/>
      <c r="AG262" s="265"/>
      <c r="AH262" s="265"/>
      <c r="AI262" s="265"/>
      <c r="AJ262" s="265"/>
      <c r="AK262" s="265"/>
      <c r="AL262" s="265"/>
      <c r="AM262" s="265"/>
      <c r="AN262" s="265"/>
      <c r="AO262" s="74"/>
      <c r="AP262" s="74"/>
      <c r="AQ262" s="74"/>
      <c r="AR262" s="74"/>
      <c r="AS262" s="74"/>
      <c r="AT262" s="74"/>
      <c r="AU262" s="74"/>
      <c r="AV262" s="74"/>
      <c r="AW262" s="82"/>
      <c r="AX262" s="67"/>
    </row>
    <row r="263" spans="1:50" x14ac:dyDescent="0.25">
      <c r="A263" s="67" t="str">
        <f>IFERROR(IF(C263&lt;&gt;"",MAX($A$2:$A262)+1,""),"")</f>
        <v/>
      </c>
      <c r="B263" s="223">
        <f t="shared" si="1"/>
        <v>251</v>
      </c>
      <c r="C263" s="248"/>
      <c r="D263" s="270"/>
      <c r="E263" s="248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  <c r="W263" s="74"/>
      <c r="X263" s="265"/>
      <c r="Y263" s="265"/>
      <c r="Z263" s="265"/>
      <c r="AA263" s="265"/>
      <c r="AB263" s="265"/>
      <c r="AC263" s="265"/>
      <c r="AD263" s="265"/>
      <c r="AE263" s="265"/>
      <c r="AF263" s="265"/>
      <c r="AG263" s="265"/>
      <c r="AH263" s="265"/>
      <c r="AI263" s="265"/>
      <c r="AJ263" s="265"/>
      <c r="AK263" s="265"/>
      <c r="AL263" s="265"/>
      <c r="AM263" s="265"/>
      <c r="AN263" s="265"/>
      <c r="AO263" s="74"/>
      <c r="AP263" s="74"/>
      <c r="AQ263" s="74"/>
      <c r="AR263" s="74"/>
      <c r="AS263" s="74"/>
      <c r="AT263" s="74"/>
      <c r="AU263" s="74"/>
      <c r="AV263" s="74"/>
      <c r="AW263" s="82"/>
      <c r="AX263" s="67"/>
    </row>
    <row r="264" spans="1:50" x14ac:dyDescent="0.25">
      <c r="A264" s="67" t="str">
        <f>IFERROR(IF(C264&lt;&gt;"",MAX($A$2:$A263)+1,""),"")</f>
        <v/>
      </c>
      <c r="B264" s="223">
        <f t="shared" si="1"/>
        <v>252</v>
      </c>
      <c r="C264" s="248"/>
      <c r="D264" s="270"/>
      <c r="E264" s="248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  <c r="W264" s="74"/>
      <c r="X264" s="265"/>
      <c r="Y264" s="265"/>
      <c r="Z264" s="265"/>
      <c r="AA264" s="265"/>
      <c r="AB264" s="265"/>
      <c r="AC264" s="265"/>
      <c r="AD264" s="265"/>
      <c r="AE264" s="265"/>
      <c r="AF264" s="265"/>
      <c r="AG264" s="265"/>
      <c r="AH264" s="265"/>
      <c r="AI264" s="265"/>
      <c r="AJ264" s="265"/>
      <c r="AK264" s="265"/>
      <c r="AL264" s="265"/>
      <c r="AM264" s="265"/>
      <c r="AN264" s="265"/>
      <c r="AO264" s="74"/>
      <c r="AP264" s="74"/>
      <c r="AQ264" s="74"/>
      <c r="AR264" s="74"/>
      <c r="AS264" s="74"/>
      <c r="AT264" s="74"/>
      <c r="AU264" s="74"/>
      <c r="AV264" s="74"/>
      <c r="AW264" s="82"/>
      <c r="AX264" s="67"/>
    </row>
    <row r="265" spans="1:50" x14ac:dyDescent="0.25">
      <c r="A265" s="67" t="str">
        <f>IFERROR(IF(C265&lt;&gt;"",MAX($A$2:$A264)+1,""),"")</f>
        <v/>
      </c>
      <c r="B265" s="223">
        <f t="shared" si="1"/>
        <v>253</v>
      </c>
      <c r="C265" s="248"/>
      <c r="D265" s="270"/>
      <c r="E265" s="248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  <c r="W265" s="74"/>
      <c r="X265" s="265"/>
      <c r="Y265" s="265"/>
      <c r="Z265" s="265"/>
      <c r="AA265" s="265"/>
      <c r="AB265" s="265"/>
      <c r="AC265" s="265"/>
      <c r="AD265" s="265"/>
      <c r="AE265" s="265"/>
      <c r="AF265" s="265"/>
      <c r="AG265" s="265"/>
      <c r="AH265" s="265"/>
      <c r="AI265" s="265"/>
      <c r="AJ265" s="265"/>
      <c r="AK265" s="265"/>
      <c r="AL265" s="265"/>
      <c r="AM265" s="265"/>
      <c r="AN265" s="265"/>
      <c r="AO265" s="74"/>
      <c r="AP265" s="74"/>
      <c r="AQ265" s="74"/>
      <c r="AR265" s="74"/>
      <c r="AS265" s="74"/>
      <c r="AT265" s="74"/>
      <c r="AU265" s="74"/>
      <c r="AV265" s="74"/>
      <c r="AW265" s="82"/>
      <c r="AX265" s="67"/>
    </row>
    <row r="266" spans="1:50" x14ac:dyDescent="0.25">
      <c r="A266" s="67" t="str">
        <f>IFERROR(IF(C266&lt;&gt;"",MAX($A$2:$A265)+1,""),"")</f>
        <v/>
      </c>
      <c r="B266" s="223">
        <f t="shared" si="1"/>
        <v>254</v>
      </c>
      <c r="C266" s="248"/>
      <c r="D266" s="270"/>
      <c r="E266" s="248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  <c r="W266" s="74"/>
      <c r="X266" s="265"/>
      <c r="Y266" s="265"/>
      <c r="Z266" s="265"/>
      <c r="AA266" s="265"/>
      <c r="AB266" s="265"/>
      <c r="AC266" s="265"/>
      <c r="AD266" s="265"/>
      <c r="AE266" s="265"/>
      <c r="AF266" s="265"/>
      <c r="AG266" s="265"/>
      <c r="AH266" s="265"/>
      <c r="AI266" s="265"/>
      <c r="AJ266" s="265"/>
      <c r="AK266" s="265"/>
      <c r="AL266" s="265"/>
      <c r="AM266" s="265"/>
      <c r="AN266" s="265"/>
      <c r="AO266" s="74"/>
      <c r="AP266" s="74"/>
      <c r="AQ266" s="74"/>
      <c r="AR266" s="74"/>
      <c r="AS266" s="74"/>
      <c r="AT266" s="74"/>
      <c r="AU266" s="74"/>
      <c r="AV266" s="74"/>
      <c r="AW266" s="82"/>
      <c r="AX266" s="67"/>
    </row>
    <row r="267" spans="1:50" x14ac:dyDescent="0.25">
      <c r="A267" s="67" t="str">
        <f>IFERROR(IF(C267&lt;&gt;"",MAX($A$2:$A266)+1,""),"")</f>
        <v/>
      </c>
      <c r="B267" s="223">
        <f t="shared" si="1"/>
        <v>255</v>
      </c>
      <c r="C267" s="248"/>
      <c r="D267" s="270"/>
      <c r="E267" s="248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  <c r="W267" s="74"/>
      <c r="X267" s="265"/>
      <c r="Y267" s="265"/>
      <c r="Z267" s="265"/>
      <c r="AA267" s="265"/>
      <c r="AB267" s="265"/>
      <c r="AC267" s="265"/>
      <c r="AD267" s="265"/>
      <c r="AE267" s="265"/>
      <c r="AF267" s="265"/>
      <c r="AG267" s="265"/>
      <c r="AH267" s="265"/>
      <c r="AI267" s="265"/>
      <c r="AJ267" s="265"/>
      <c r="AK267" s="265"/>
      <c r="AL267" s="265"/>
      <c r="AM267" s="265"/>
      <c r="AN267" s="265"/>
      <c r="AO267" s="74"/>
      <c r="AP267" s="74"/>
      <c r="AQ267" s="74"/>
      <c r="AR267" s="74"/>
      <c r="AS267" s="74"/>
      <c r="AT267" s="74"/>
      <c r="AU267" s="74"/>
      <c r="AV267" s="74"/>
      <c r="AW267" s="82"/>
      <c r="AX267" s="67"/>
    </row>
    <row r="268" spans="1:50" x14ac:dyDescent="0.25">
      <c r="A268" s="67" t="str">
        <f>IFERROR(IF(C268&lt;&gt;"",MAX($A$2:$A267)+1,""),"")</f>
        <v/>
      </c>
      <c r="B268" s="223">
        <f t="shared" si="1"/>
        <v>256</v>
      </c>
      <c r="C268" s="248"/>
      <c r="D268" s="270"/>
      <c r="E268" s="248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  <c r="W268" s="74"/>
      <c r="X268" s="265"/>
      <c r="Y268" s="265"/>
      <c r="Z268" s="265"/>
      <c r="AA268" s="265"/>
      <c r="AB268" s="265"/>
      <c r="AC268" s="265"/>
      <c r="AD268" s="265"/>
      <c r="AE268" s="265"/>
      <c r="AF268" s="265"/>
      <c r="AG268" s="265"/>
      <c r="AH268" s="265"/>
      <c r="AI268" s="265"/>
      <c r="AJ268" s="265"/>
      <c r="AK268" s="265"/>
      <c r="AL268" s="265"/>
      <c r="AM268" s="265"/>
      <c r="AN268" s="265"/>
      <c r="AO268" s="74"/>
      <c r="AP268" s="74"/>
      <c r="AQ268" s="74"/>
      <c r="AR268" s="74"/>
      <c r="AS268" s="74"/>
      <c r="AT268" s="74"/>
      <c r="AU268" s="74"/>
      <c r="AV268" s="74"/>
      <c r="AW268" s="82"/>
      <c r="AX268" s="67"/>
    </row>
    <row r="269" spans="1:50" x14ac:dyDescent="0.25">
      <c r="A269" s="67" t="str">
        <f>IFERROR(IF(C269&lt;&gt;"",MAX($A$2:$A268)+1,""),"")</f>
        <v/>
      </c>
      <c r="B269" s="223">
        <f t="shared" si="1"/>
        <v>257</v>
      </c>
      <c r="C269" s="248"/>
      <c r="D269" s="270"/>
      <c r="E269" s="248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  <c r="W269" s="74"/>
      <c r="X269" s="265"/>
      <c r="Y269" s="265"/>
      <c r="Z269" s="265"/>
      <c r="AA269" s="265"/>
      <c r="AB269" s="265"/>
      <c r="AC269" s="265"/>
      <c r="AD269" s="265"/>
      <c r="AE269" s="265"/>
      <c r="AF269" s="265"/>
      <c r="AG269" s="265"/>
      <c r="AH269" s="265"/>
      <c r="AI269" s="265"/>
      <c r="AJ269" s="265"/>
      <c r="AK269" s="265"/>
      <c r="AL269" s="265"/>
      <c r="AM269" s="265"/>
      <c r="AN269" s="265"/>
      <c r="AO269" s="74"/>
      <c r="AP269" s="74"/>
      <c r="AQ269" s="74"/>
      <c r="AR269" s="74"/>
      <c r="AS269" s="74"/>
      <c r="AT269" s="74"/>
      <c r="AU269" s="74"/>
      <c r="AV269" s="74"/>
      <c r="AW269" s="82"/>
      <c r="AX269" s="67"/>
    </row>
    <row r="270" spans="1:50" x14ac:dyDescent="0.25">
      <c r="A270" s="67" t="str">
        <f>IFERROR(IF(C270&lt;&gt;"",MAX($A$2:$A269)+1,""),"")</f>
        <v/>
      </c>
      <c r="B270" s="223">
        <f t="shared" si="1"/>
        <v>258</v>
      </c>
      <c r="C270" s="248"/>
      <c r="D270" s="270"/>
      <c r="E270" s="248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  <c r="W270" s="74"/>
      <c r="X270" s="265"/>
      <c r="Y270" s="265"/>
      <c r="Z270" s="265"/>
      <c r="AA270" s="265"/>
      <c r="AB270" s="265"/>
      <c r="AC270" s="265"/>
      <c r="AD270" s="265"/>
      <c r="AE270" s="265"/>
      <c r="AF270" s="265"/>
      <c r="AG270" s="265"/>
      <c r="AH270" s="265"/>
      <c r="AI270" s="265"/>
      <c r="AJ270" s="265"/>
      <c r="AK270" s="265"/>
      <c r="AL270" s="265"/>
      <c r="AM270" s="265"/>
      <c r="AN270" s="265"/>
      <c r="AO270" s="74"/>
      <c r="AP270" s="74"/>
      <c r="AQ270" s="74"/>
      <c r="AR270" s="74"/>
      <c r="AS270" s="74"/>
      <c r="AT270" s="74"/>
      <c r="AU270" s="74"/>
      <c r="AV270" s="74"/>
      <c r="AW270" s="82"/>
      <c r="AX270" s="67"/>
    </row>
    <row r="271" spans="1:50" x14ac:dyDescent="0.25">
      <c r="A271" s="67" t="str">
        <f>IFERROR(IF(C271&lt;&gt;"",MAX($A$2:$A270)+1,""),"")</f>
        <v/>
      </c>
      <c r="B271" s="223">
        <f t="shared" si="1"/>
        <v>259</v>
      </c>
      <c r="C271" s="248"/>
      <c r="D271" s="270"/>
      <c r="E271" s="248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  <c r="W271" s="74"/>
      <c r="X271" s="265"/>
      <c r="Y271" s="265"/>
      <c r="Z271" s="265"/>
      <c r="AA271" s="265"/>
      <c r="AB271" s="265"/>
      <c r="AC271" s="265"/>
      <c r="AD271" s="265"/>
      <c r="AE271" s="265"/>
      <c r="AF271" s="265"/>
      <c r="AG271" s="265"/>
      <c r="AH271" s="265"/>
      <c r="AI271" s="265"/>
      <c r="AJ271" s="265"/>
      <c r="AK271" s="265"/>
      <c r="AL271" s="265"/>
      <c r="AM271" s="265"/>
      <c r="AN271" s="265"/>
      <c r="AO271" s="74"/>
      <c r="AP271" s="74"/>
      <c r="AQ271" s="74"/>
      <c r="AR271" s="74"/>
      <c r="AS271" s="74"/>
      <c r="AT271" s="74"/>
      <c r="AU271" s="74"/>
      <c r="AV271" s="74"/>
      <c r="AW271" s="82"/>
      <c r="AX271" s="67"/>
    </row>
    <row r="272" spans="1:50" x14ac:dyDescent="0.25">
      <c r="A272" s="67" t="str">
        <f>IFERROR(IF(C272&lt;&gt;"",MAX($A$2:$A271)+1,""),"")</f>
        <v/>
      </c>
      <c r="B272" s="223">
        <f t="shared" si="1"/>
        <v>260</v>
      </c>
      <c r="C272" s="248"/>
      <c r="D272" s="270"/>
      <c r="E272" s="248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  <c r="W272" s="74"/>
      <c r="X272" s="265"/>
      <c r="Y272" s="265"/>
      <c r="Z272" s="265"/>
      <c r="AA272" s="265"/>
      <c r="AB272" s="265"/>
      <c r="AC272" s="265"/>
      <c r="AD272" s="265"/>
      <c r="AE272" s="265"/>
      <c r="AF272" s="265"/>
      <c r="AG272" s="265"/>
      <c r="AH272" s="265"/>
      <c r="AI272" s="265"/>
      <c r="AJ272" s="265"/>
      <c r="AK272" s="265"/>
      <c r="AL272" s="265"/>
      <c r="AM272" s="265"/>
      <c r="AN272" s="265"/>
      <c r="AO272" s="74"/>
      <c r="AP272" s="74"/>
      <c r="AQ272" s="74"/>
      <c r="AR272" s="74"/>
      <c r="AS272" s="74"/>
      <c r="AT272" s="74"/>
      <c r="AU272" s="74"/>
      <c r="AV272" s="74"/>
      <c r="AW272" s="82"/>
      <c r="AX272" s="67"/>
    </row>
    <row r="273" spans="1:50" x14ac:dyDescent="0.25">
      <c r="A273" s="67" t="str">
        <f>IFERROR(IF(C273&lt;&gt;"",MAX($A$2:$A272)+1,""),"")</f>
        <v/>
      </c>
      <c r="B273" s="223">
        <f t="shared" si="1"/>
        <v>261</v>
      </c>
      <c r="C273" s="248"/>
      <c r="D273" s="270"/>
      <c r="E273" s="248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  <c r="W273" s="74"/>
      <c r="X273" s="265"/>
      <c r="Y273" s="265"/>
      <c r="Z273" s="265"/>
      <c r="AA273" s="265"/>
      <c r="AB273" s="265"/>
      <c r="AC273" s="265"/>
      <c r="AD273" s="265"/>
      <c r="AE273" s="265"/>
      <c r="AF273" s="265"/>
      <c r="AG273" s="265"/>
      <c r="AH273" s="265"/>
      <c r="AI273" s="265"/>
      <c r="AJ273" s="265"/>
      <c r="AK273" s="265"/>
      <c r="AL273" s="265"/>
      <c r="AM273" s="265"/>
      <c r="AN273" s="265"/>
      <c r="AO273" s="74"/>
      <c r="AP273" s="74"/>
      <c r="AQ273" s="74"/>
      <c r="AR273" s="74"/>
      <c r="AS273" s="74"/>
      <c r="AT273" s="74"/>
      <c r="AU273" s="74"/>
      <c r="AV273" s="74"/>
      <c r="AW273" s="82"/>
      <c r="AX273" s="67"/>
    </row>
    <row r="274" spans="1:50" x14ac:dyDescent="0.25">
      <c r="A274" s="67" t="str">
        <f>IFERROR(IF(C274&lt;&gt;"",MAX($A$2:$A273)+1,""),"")</f>
        <v/>
      </c>
      <c r="B274" s="223">
        <f t="shared" si="1"/>
        <v>262</v>
      </c>
      <c r="C274" s="248"/>
      <c r="D274" s="270"/>
      <c r="E274" s="248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  <c r="W274" s="74"/>
      <c r="X274" s="265"/>
      <c r="Y274" s="265"/>
      <c r="Z274" s="265"/>
      <c r="AA274" s="265"/>
      <c r="AB274" s="265"/>
      <c r="AC274" s="265"/>
      <c r="AD274" s="265"/>
      <c r="AE274" s="265"/>
      <c r="AF274" s="265"/>
      <c r="AG274" s="265"/>
      <c r="AH274" s="265"/>
      <c r="AI274" s="265"/>
      <c r="AJ274" s="265"/>
      <c r="AK274" s="265"/>
      <c r="AL274" s="265"/>
      <c r="AM274" s="265"/>
      <c r="AN274" s="265"/>
      <c r="AO274" s="74"/>
      <c r="AP274" s="74"/>
      <c r="AQ274" s="74"/>
      <c r="AR274" s="74"/>
      <c r="AS274" s="74"/>
      <c r="AT274" s="74"/>
      <c r="AU274" s="74"/>
      <c r="AV274" s="74"/>
      <c r="AW274" s="82"/>
      <c r="AX274" s="67"/>
    </row>
    <row r="275" spans="1:50" x14ac:dyDescent="0.25">
      <c r="A275" s="67" t="str">
        <f>IFERROR(IF(C275&lt;&gt;"",MAX($A$2:$A274)+1,""),"")</f>
        <v/>
      </c>
      <c r="B275" s="223">
        <f t="shared" si="1"/>
        <v>263</v>
      </c>
      <c r="C275" s="248"/>
      <c r="D275" s="270"/>
      <c r="E275" s="248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  <c r="W275" s="74"/>
      <c r="X275" s="265"/>
      <c r="Y275" s="265"/>
      <c r="Z275" s="265"/>
      <c r="AA275" s="265"/>
      <c r="AB275" s="265"/>
      <c r="AC275" s="265"/>
      <c r="AD275" s="265"/>
      <c r="AE275" s="265"/>
      <c r="AF275" s="265"/>
      <c r="AG275" s="265"/>
      <c r="AH275" s="265"/>
      <c r="AI275" s="265"/>
      <c r="AJ275" s="265"/>
      <c r="AK275" s="265"/>
      <c r="AL275" s="265"/>
      <c r="AM275" s="265"/>
      <c r="AN275" s="265"/>
      <c r="AO275" s="74"/>
      <c r="AP275" s="74"/>
      <c r="AQ275" s="74"/>
      <c r="AR275" s="74"/>
      <c r="AS275" s="74"/>
      <c r="AT275" s="74"/>
      <c r="AU275" s="74"/>
      <c r="AV275" s="74"/>
      <c r="AW275" s="82"/>
      <c r="AX275" s="67"/>
    </row>
    <row r="276" spans="1:50" x14ac:dyDescent="0.25">
      <c r="A276" s="67" t="str">
        <f>IFERROR(IF(C276&lt;&gt;"",MAX($A$2:$A275)+1,""),"")</f>
        <v/>
      </c>
      <c r="B276" s="223">
        <f t="shared" si="1"/>
        <v>264</v>
      </c>
      <c r="C276" s="248"/>
      <c r="D276" s="270"/>
      <c r="E276" s="248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  <c r="W276" s="74"/>
      <c r="X276" s="265"/>
      <c r="Y276" s="265"/>
      <c r="Z276" s="265"/>
      <c r="AA276" s="265"/>
      <c r="AB276" s="265"/>
      <c r="AC276" s="265"/>
      <c r="AD276" s="265"/>
      <c r="AE276" s="265"/>
      <c r="AF276" s="265"/>
      <c r="AG276" s="265"/>
      <c r="AH276" s="265"/>
      <c r="AI276" s="265"/>
      <c r="AJ276" s="265"/>
      <c r="AK276" s="265"/>
      <c r="AL276" s="265"/>
      <c r="AM276" s="265"/>
      <c r="AN276" s="265"/>
      <c r="AO276" s="74"/>
      <c r="AP276" s="74"/>
      <c r="AQ276" s="74"/>
      <c r="AR276" s="74"/>
      <c r="AS276" s="74"/>
      <c r="AT276" s="74"/>
      <c r="AU276" s="74"/>
      <c r="AV276" s="74"/>
      <c r="AW276" s="82"/>
      <c r="AX276" s="67"/>
    </row>
    <row r="277" spans="1:50" x14ac:dyDescent="0.25">
      <c r="A277" s="67" t="str">
        <f>IFERROR(IF(C277&lt;&gt;"",MAX($A$2:$A276)+1,""),"")</f>
        <v/>
      </c>
      <c r="B277" s="223">
        <f t="shared" si="1"/>
        <v>265</v>
      </c>
      <c r="C277" s="248"/>
      <c r="D277" s="270"/>
      <c r="E277" s="248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  <c r="W277" s="74"/>
      <c r="X277" s="265"/>
      <c r="Y277" s="265"/>
      <c r="Z277" s="265"/>
      <c r="AA277" s="265"/>
      <c r="AB277" s="265"/>
      <c r="AC277" s="265"/>
      <c r="AD277" s="265"/>
      <c r="AE277" s="265"/>
      <c r="AF277" s="265"/>
      <c r="AG277" s="265"/>
      <c r="AH277" s="265"/>
      <c r="AI277" s="265"/>
      <c r="AJ277" s="265"/>
      <c r="AK277" s="265"/>
      <c r="AL277" s="265"/>
      <c r="AM277" s="265"/>
      <c r="AN277" s="265"/>
      <c r="AO277" s="74"/>
      <c r="AP277" s="74"/>
      <c r="AQ277" s="74"/>
      <c r="AR277" s="74"/>
      <c r="AS277" s="74"/>
      <c r="AT277" s="74"/>
      <c r="AU277" s="74"/>
      <c r="AV277" s="74"/>
      <c r="AW277" s="82"/>
      <c r="AX277" s="67"/>
    </row>
    <row r="278" spans="1:50" x14ac:dyDescent="0.25">
      <c r="A278" s="67" t="str">
        <f>IFERROR(IF(C278&lt;&gt;"",MAX($A$2:$A277)+1,""),"")</f>
        <v/>
      </c>
      <c r="B278" s="223">
        <f t="shared" si="1"/>
        <v>266</v>
      </c>
      <c r="C278" s="248"/>
      <c r="D278" s="270"/>
      <c r="E278" s="248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  <c r="W278" s="74"/>
      <c r="X278" s="265"/>
      <c r="Y278" s="265"/>
      <c r="Z278" s="265"/>
      <c r="AA278" s="265"/>
      <c r="AB278" s="265"/>
      <c r="AC278" s="265"/>
      <c r="AD278" s="265"/>
      <c r="AE278" s="265"/>
      <c r="AF278" s="265"/>
      <c r="AG278" s="265"/>
      <c r="AH278" s="265"/>
      <c r="AI278" s="265"/>
      <c r="AJ278" s="265"/>
      <c r="AK278" s="265"/>
      <c r="AL278" s="265"/>
      <c r="AM278" s="265"/>
      <c r="AN278" s="265"/>
      <c r="AO278" s="74"/>
      <c r="AP278" s="74"/>
      <c r="AQ278" s="74"/>
      <c r="AR278" s="74"/>
      <c r="AS278" s="74"/>
      <c r="AT278" s="74"/>
      <c r="AU278" s="74"/>
      <c r="AV278" s="74"/>
      <c r="AW278" s="82"/>
      <c r="AX278" s="67"/>
    </row>
    <row r="279" spans="1:50" x14ac:dyDescent="0.25">
      <c r="A279" s="67" t="str">
        <f>IFERROR(IF(C279&lt;&gt;"",MAX($A$2:$A278)+1,""),"")</f>
        <v/>
      </c>
      <c r="B279" s="223">
        <f t="shared" si="1"/>
        <v>267</v>
      </c>
      <c r="C279" s="248"/>
      <c r="D279" s="270"/>
      <c r="E279" s="248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  <c r="W279" s="74"/>
      <c r="X279" s="265"/>
      <c r="Y279" s="265"/>
      <c r="Z279" s="265"/>
      <c r="AA279" s="265"/>
      <c r="AB279" s="265"/>
      <c r="AC279" s="265"/>
      <c r="AD279" s="265"/>
      <c r="AE279" s="265"/>
      <c r="AF279" s="265"/>
      <c r="AG279" s="265"/>
      <c r="AH279" s="265"/>
      <c r="AI279" s="265"/>
      <c r="AJ279" s="265"/>
      <c r="AK279" s="265"/>
      <c r="AL279" s="265"/>
      <c r="AM279" s="265"/>
      <c r="AN279" s="265"/>
      <c r="AO279" s="74"/>
      <c r="AP279" s="74"/>
      <c r="AQ279" s="74"/>
      <c r="AR279" s="74"/>
      <c r="AS279" s="74"/>
      <c r="AT279" s="74"/>
      <c r="AU279" s="74"/>
      <c r="AV279" s="74"/>
      <c r="AW279" s="82"/>
      <c r="AX279" s="67"/>
    </row>
    <row r="280" spans="1:50" x14ac:dyDescent="0.25">
      <c r="A280" s="67" t="str">
        <f>IFERROR(IF(C280&lt;&gt;"",MAX($A$2:$A279)+1,""),"")</f>
        <v/>
      </c>
      <c r="B280" s="223">
        <f t="shared" si="1"/>
        <v>268</v>
      </c>
      <c r="C280" s="248"/>
      <c r="D280" s="270"/>
      <c r="E280" s="248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  <c r="W280" s="74"/>
      <c r="X280" s="265"/>
      <c r="Y280" s="265"/>
      <c r="Z280" s="265"/>
      <c r="AA280" s="265"/>
      <c r="AB280" s="265"/>
      <c r="AC280" s="265"/>
      <c r="AD280" s="265"/>
      <c r="AE280" s="265"/>
      <c r="AF280" s="265"/>
      <c r="AG280" s="265"/>
      <c r="AH280" s="265"/>
      <c r="AI280" s="265"/>
      <c r="AJ280" s="265"/>
      <c r="AK280" s="265"/>
      <c r="AL280" s="265"/>
      <c r="AM280" s="265"/>
      <c r="AN280" s="265"/>
      <c r="AO280" s="74"/>
      <c r="AP280" s="74"/>
      <c r="AQ280" s="74"/>
      <c r="AR280" s="74"/>
      <c r="AS280" s="74"/>
      <c r="AT280" s="74"/>
      <c r="AU280" s="74"/>
      <c r="AV280" s="74"/>
      <c r="AW280" s="82"/>
      <c r="AX280" s="67"/>
    </row>
    <row r="281" spans="1:50" x14ac:dyDescent="0.25">
      <c r="A281" s="67" t="str">
        <f>IFERROR(IF(C281&lt;&gt;"",MAX($A$2:$A280)+1,""),"")</f>
        <v/>
      </c>
      <c r="B281" s="223">
        <f t="shared" si="1"/>
        <v>269</v>
      </c>
      <c r="C281" s="248"/>
      <c r="D281" s="270"/>
      <c r="E281" s="248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  <c r="W281" s="74"/>
      <c r="X281" s="265"/>
      <c r="Y281" s="265"/>
      <c r="Z281" s="265"/>
      <c r="AA281" s="265"/>
      <c r="AB281" s="265"/>
      <c r="AC281" s="265"/>
      <c r="AD281" s="265"/>
      <c r="AE281" s="265"/>
      <c r="AF281" s="265"/>
      <c r="AG281" s="265"/>
      <c r="AH281" s="265"/>
      <c r="AI281" s="265"/>
      <c r="AJ281" s="265"/>
      <c r="AK281" s="265"/>
      <c r="AL281" s="265"/>
      <c r="AM281" s="265"/>
      <c r="AN281" s="265"/>
      <c r="AO281" s="74"/>
      <c r="AP281" s="74"/>
      <c r="AQ281" s="74"/>
      <c r="AR281" s="74"/>
      <c r="AS281" s="74"/>
      <c r="AT281" s="74"/>
      <c r="AU281" s="74"/>
      <c r="AV281" s="74"/>
      <c r="AW281" s="82"/>
      <c r="AX281" s="67"/>
    </row>
    <row r="282" spans="1:50" x14ac:dyDescent="0.25">
      <c r="A282" s="67" t="str">
        <f>IFERROR(IF(C282&lt;&gt;"",MAX($A$2:$A281)+1,""),"")</f>
        <v/>
      </c>
      <c r="B282" s="223">
        <f t="shared" si="1"/>
        <v>270</v>
      </c>
      <c r="C282" s="248"/>
      <c r="D282" s="270"/>
      <c r="E282" s="248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  <c r="W282" s="74"/>
      <c r="X282" s="265"/>
      <c r="Y282" s="265"/>
      <c r="Z282" s="265"/>
      <c r="AA282" s="265"/>
      <c r="AB282" s="265"/>
      <c r="AC282" s="265"/>
      <c r="AD282" s="265"/>
      <c r="AE282" s="265"/>
      <c r="AF282" s="265"/>
      <c r="AG282" s="265"/>
      <c r="AH282" s="265"/>
      <c r="AI282" s="265"/>
      <c r="AJ282" s="265"/>
      <c r="AK282" s="265"/>
      <c r="AL282" s="265"/>
      <c r="AM282" s="265"/>
      <c r="AN282" s="265"/>
      <c r="AO282" s="74"/>
      <c r="AP282" s="74"/>
      <c r="AQ282" s="74"/>
      <c r="AR282" s="74"/>
      <c r="AS282" s="74"/>
      <c r="AT282" s="74"/>
      <c r="AU282" s="74"/>
      <c r="AV282" s="74"/>
      <c r="AW282" s="82"/>
      <c r="AX282" s="67"/>
    </row>
    <row r="283" spans="1:50" x14ac:dyDescent="0.25">
      <c r="A283" s="67" t="str">
        <f>IFERROR(IF(C283&lt;&gt;"",MAX($A$2:$A282)+1,""),"")</f>
        <v/>
      </c>
      <c r="B283" s="223">
        <f t="shared" si="1"/>
        <v>271</v>
      </c>
      <c r="C283" s="248"/>
      <c r="D283" s="270"/>
      <c r="E283" s="248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  <c r="W283" s="74"/>
      <c r="X283" s="265"/>
      <c r="Y283" s="265"/>
      <c r="Z283" s="265"/>
      <c r="AA283" s="265"/>
      <c r="AB283" s="265"/>
      <c r="AC283" s="265"/>
      <c r="AD283" s="265"/>
      <c r="AE283" s="265"/>
      <c r="AF283" s="265"/>
      <c r="AG283" s="265"/>
      <c r="AH283" s="265"/>
      <c r="AI283" s="265"/>
      <c r="AJ283" s="265"/>
      <c r="AK283" s="265"/>
      <c r="AL283" s="265"/>
      <c r="AM283" s="265"/>
      <c r="AN283" s="265"/>
      <c r="AO283" s="74"/>
      <c r="AP283" s="74"/>
      <c r="AQ283" s="74"/>
      <c r="AR283" s="74"/>
      <c r="AS283" s="74"/>
      <c r="AT283" s="74"/>
      <c r="AU283" s="74"/>
      <c r="AV283" s="74"/>
      <c r="AW283" s="82"/>
      <c r="AX283" s="67"/>
    </row>
    <row r="284" spans="1:50" x14ac:dyDescent="0.25">
      <c r="A284" s="67" t="str">
        <f>IFERROR(IF(C284&lt;&gt;"",MAX($A$2:$A283)+1,""),"")</f>
        <v/>
      </c>
      <c r="B284" s="223">
        <f t="shared" si="1"/>
        <v>272</v>
      </c>
      <c r="C284" s="248"/>
      <c r="D284" s="270"/>
      <c r="E284" s="248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  <c r="W284" s="74"/>
      <c r="X284" s="265"/>
      <c r="Y284" s="265"/>
      <c r="Z284" s="265"/>
      <c r="AA284" s="265"/>
      <c r="AB284" s="265"/>
      <c r="AC284" s="265"/>
      <c r="AD284" s="265"/>
      <c r="AE284" s="265"/>
      <c r="AF284" s="265"/>
      <c r="AG284" s="265"/>
      <c r="AH284" s="265"/>
      <c r="AI284" s="265"/>
      <c r="AJ284" s="265"/>
      <c r="AK284" s="265"/>
      <c r="AL284" s="265"/>
      <c r="AM284" s="265"/>
      <c r="AN284" s="265"/>
      <c r="AO284" s="74"/>
      <c r="AP284" s="74"/>
      <c r="AQ284" s="74"/>
      <c r="AR284" s="74"/>
      <c r="AS284" s="74"/>
      <c r="AT284" s="74"/>
      <c r="AU284" s="74"/>
      <c r="AV284" s="74"/>
      <c r="AW284" s="82"/>
      <c r="AX284" s="67"/>
    </row>
    <row r="285" spans="1:50" x14ac:dyDescent="0.25">
      <c r="A285" s="67" t="str">
        <f>IFERROR(IF(C285&lt;&gt;"",MAX($A$2:$A284)+1,""),"")</f>
        <v/>
      </c>
      <c r="B285" s="223">
        <f t="shared" si="1"/>
        <v>273</v>
      </c>
      <c r="C285" s="248"/>
      <c r="D285" s="270"/>
      <c r="E285" s="248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  <c r="W285" s="74"/>
      <c r="X285" s="265"/>
      <c r="Y285" s="265"/>
      <c r="Z285" s="265"/>
      <c r="AA285" s="265"/>
      <c r="AB285" s="265"/>
      <c r="AC285" s="265"/>
      <c r="AD285" s="265"/>
      <c r="AE285" s="265"/>
      <c r="AF285" s="265"/>
      <c r="AG285" s="265"/>
      <c r="AH285" s="265"/>
      <c r="AI285" s="265"/>
      <c r="AJ285" s="265"/>
      <c r="AK285" s="265"/>
      <c r="AL285" s="265"/>
      <c r="AM285" s="265"/>
      <c r="AN285" s="265"/>
      <c r="AO285" s="74"/>
      <c r="AP285" s="74"/>
      <c r="AQ285" s="74"/>
      <c r="AR285" s="74"/>
      <c r="AS285" s="74"/>
      <c r="AT285" s="74"/>
      <c r="AU285" s="74"/>
      <c r="AV285" s="74"/>
      <c r="AW285" s="82"/>
      <c r="AX285" s="67"/>
    </row>
    <row r="286" spans="1:50" x14ac:dyDescent="0.25">
      <c r="A286" s="67" t="str">
        <f>IFERROR(IF(C286&lt;&gt;"",MAX($A$2:$A285)+1,""),"")</f>
        <v/>
      </c>
      <c r="B286" s="223">
        <f t="shared" si="1"/>
        <v>274</v>
      </c>
      <c r="C286" s="248"/>
      <c r="D286" s="270"/>
      <c r="E286" s="248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  <c r="W286" s="74"/>
      <c r="X286" s="265"/>
      <c r="Y286" s="265"/>
      <c r="Z286" s="265"/>
      <c r="AA286" s="265"/>
      <c r="AB286" s="265"/>
      <c r="AC286" s="265"/>
      <c r="AD286" s="265"/>
      <c r="AE286" s="265"/>
      <c r="AF286" s="265"/>
      <c r="AG286" s="265"/>
      <c r="AH286" s="265"/>
      <c r="AI286" s="265"/>
      <c r="AJ286" s="265"/>
      <c r="AK286" s="265"/>
      <c r="AL286" s="265"/>
      <c r="AM286" s="265"/>
      <c r="AN286" s="265"/>
      <c r="AO286" s="74"/>
      <c r="AP286" s="74"/>
      <c r="AQ286" s="74"/>
      <c r="AR286" s="74"/>
      <c r="AS286" s="74"/>
      <c r="AT286" s="74"/>
      <c r="AU286" s="74"/>
      <c r="AV286" s="74"/>
      <c r="AW286" s="82"/>
      <c r="AX286" s="67"/>
    </row>
    <row r="287" spans="1:50" x14ac:dyDescent="0.25">
      <c r="A287" s="67" t="str">
        <f>IFERROR(IF(C287&lt;&gt;"",MAX($A$2:$A286)+1,""),"")</f>
        <v/>
      </c>
      <c r="B287" s="223">
        <f t="shared" si="1"/>
        <v>275</v>
      </c>
      <c r="C287" s="248"/>
      <c r="D287" s="270"/>
      <c r="E287" s="248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  <c r="W287" s="74"/>
      <c r="X287" s="265"/>
      <c r="Y287" s="265"/>
      <c r="Z287" s="265"/>
      <c r="AA287" s="265"/>
      <c r="AB287" s="265"/>
      <c r="AC287" s="265"/>
      <c r="AD287" s="265"/>
      <c r="AE287" s="265"/>
      <c r="AF287" s="265"/>
      <c r="AG287" s="265"/>
      <c r="AH287" s="265"/>
      <c r="AI287" s="265"/>
      <c r="AJ287" s="265"/>
      <c r="AK287" s="265"/>
      <c r="AL287" s="265"/>
      <c r="AM287" s="265"/>
      <c r="AN287" s="265"/>
      <c r="AO287" s="74"/>
      <c r="AP287" s="74"/>
      <c r="AQ287" s="74"/>
      <c r="AR287" s="74"/>
      <c r="AS287" s="74"/>
      <c r="AT287" s="74"/>
      <c r="AU287" s="74"/>
      <c r="AV287" s="74"/>
      <c r="AW287" s="82"/>
      <c r="AX287" s="67"/>
    </row>
    <row r="288" spans="1:50" x14ac:dyDescent="0.25">
      <c r="A288" s="67" t="str">
        <f>IFERROR(IF(C288&lt;&gt;"",MAX($A$2:$A287)+1,""),"")</f>
        <v/>
      </c>
      <c r="B288" s="223">
        <f t="shared" si="1"/>
        <v>276</v>
      </c>
      <c r="C288" s="248"/>
      <c r="D288" s="270"/>
      <c r="E288" s="248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  <c r="W288" s="74"/>
      <c r="X288" s="265"/>
      <c r="Y288" s="265"/>
      <c r="Z288" s="265"/>
      <c r="AA288" s="265"/>
      <c r="AB288" s="265"/>
      <c r="AC288" s="265"/>
      <c r="AD288" s="265"/>
      <c r="AE288" s="265"/>
      <c r="AF288" s="265"/>
      <c r="AG288" s="265"/>
      <c r="AH288" s="265"/>
      <c r="AI288" s="265"/>
      <c r="AJ288" s="265"/>
      <c r="AK288" s="265"/>
      <c r="AL288" s="265"/>
      <c r="AM288" s="265"/>
      <c r="AN288" s="265"/>
      <c r="AO288" s="74"/>
      <c r="AP288" s="74"/>
      <c r="AQ288" s="74"/>
      <c r="AR288" s="74"/>
      <c r="AS288" s="74"/>
      <c r="AT288" s="74"/>
      <c r="AU288" s="74"/>
      <c r="AV288" s="74"/>
      <c r="AW288" s="82"/>
      <c r="AX288" s="67"/>
    </row>
    <row r="289" spans="1:50" x14ac:dyDescent="0.25">
      <c r="A289" s="67" t="str">
        <f>IFERROR(IF(C289&lt;&gt;"",MAX($A$2:$A288)+1,""),"")</f>
        <v/>
      </c>
      <c r="B289" s="223">
        <f t="shared" si="1"/>
        <v>277</v>
      </c>
      <c r="C289" s="248"/>
      <c r="D289" s="270"/>
      <c r="E289" s="248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  <c r="W289" s="74"/>
      <c r="X289" s="265"/>
      <c r="Y289" s="265"/>
      <c r="Z289" s="265"/>
      <c r="AA289" s="265"/>
      <c r="AB289" s="265"/>
      <c r="AC289" s="265"/>
      <c r="AD289" s="265"/>
      <c r="AE289" s="265"/>
      <c r="AF289" s="265"/>
      <c r="AG289" s="265"/>
      <c r="AH289" s="265"/>
      <c r="AI289" s="265"/>
      <c r="AJ289" s="265"/>
      <c r="AK289" s="265"/>
      <c r="AL289" s="265"/>
      <c r="AM289" s="265"/>
      <c r="AN289" s="265"/>
      <c r="AO289" s="74"/>
      <c r="AP289" s="74"/>
      <c r="AQ289" s="74"/>
      <c r="AR289" s="74"/>
      <c r="AS289" s="74"/>
      <c r="AT289" s="74"/>
      <c r="AU289" s="74"/>
      <c r="AV289" s="74"/>
      <c r="AW289" s="82"/>
      <c r="AX289" s="67"/>
    </row>
    <row r="290" spans="1:50" x14ac:dyDescent="0.25">
      <c r="A290" s="67" t="str">
        <f>IFERROR(IF(C290&lt;&gt;"",MAX($A$2:$A289)+1,""),"")</f>
        <v/>
      </c>
      <c r="B290" s="223">
        <f t="shared" si="1"/>
        <v>278</v>
      </c>
      <c r="C290" s="248"/>
      <c r="D290" s="270"/>
      <c r="E290" s="248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  <c r="W290" s="74"/>
      <c r="X290" s="265"/>
      <c r="Y290" s="265"/>
      <c r="Z290" s="265"/>
      <c r="AA290" s="265"/>
      <c r="AB290" s="265"/>
      <c r="AC290" s="265"/>
      <c r="AD290" s="265"/>
      <c r="AE290" s="265"/>
      <c r="AF290" s="265"/>
      <c r="AG290" s="265"/>
      <c r="AH290" s="265"/>
      <c r="AI290" s="265"/>
      <c r="AJ290" s="265"/>
      <c r="AK290" s="265"/>
      <c r="AL290" s="265"/>
      <c r="AM290" s="265"/>
      <c r="AN290" s="265"/>
      <c r="AO290" s="74"/>
      <c r="AP290" s="74"/>
      <c r="AQ290" s="74"/>
      <c r="AR290" s="74"/>
      <c r="AS290" s="74"/>
      <c r="AT290" s="74"/>
      <c r="AU290" s="74"/>
      <c r="AV290" s="74"/>
      <c r="AW290" s="82"/>
      <c r="AX290" s="67"/>
    </row>
    <row r="291" spans="1:50" x14ac:dyDescent="0.25">
      <c r="A291" s="67" t="str">
        <f>IFERROR(IF(C291&lt;&gt;"",MAX($A$2:$A290)+1,""),"")</f>
        <v/>
      </c>
      <c r="B291" s="223">
        <f t="shared" si="1"/>
        <v>279</v>
      </c>
      <c r="C291" s="248"/>
      <c r="D291" s="270"/>
      <c r="E291" s="248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  <c r="W291" s="74"/>
      <c r="X291" s="265"/>
      <c r="Y291" s="265"/>
      <c r="Z291" s="265"/>
      <c r="AA291" s="265"/>
      <c r="AB291" s="265"/>
      <c r="AC291" s="265"/>
      <c r="AD291" s="265"/>
      <c r="AE291" s="265"/>
      <c r="AF291" s="265"/>
      <c r="AG291" s="265"/>
      <c r="AH291" s="265"/>
      <c r="AI291" s="265"/>
      <c r="AJ291" s="265"/>
      <c r="AK291" s="265"/>
      <c r="AL291" s="265"/>
      <c r="AM291" s="265"/>
      <c r="AN291" s="265"/>
      <c r="AO291" s="74"/>
      <c r="AP291" s="74"/>
      <c r="AQ291" s="74"/>
      <c r="AR291" s="74"/>
      <c r="AS291" s="74"/>
      <c r="AT291" s="74"/>
      <c r="AU291" s="74"/>
      <c r="AV291" s="74"/>
      <c r="AW291" s="82"/>
      <c r="AX291" s="67"/>
    </row>
    <row r="292" spans="1:50" x14ac:dyDescent="0.25">
      <c r="A292" s="67" t="str">
        <f>IFERROR(IF(C292&lt;&gt;"",MAX($A$2:$A291)+1,""),"")</f>
        <v/>
      </c>
      <c r="B292" s="223">
        <f t="shared" si="1"/>
        <v>280</v>
      </c>
      <c r="C292" s="248"/>
      <c r="D292" s="270"/>
      <c r="E292" s="248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  <c r="W292" s="74"/>
      <c r="X292" s="265"/>
      <c r="Y292" s="265"/>
      <c r="Z292" s="265"/>
      <c r="AA292" s="265"/>
      <c r="AB292" s="265"/>
      <c r="AC292" s="265"/>
      <c r="AD292" s="265"/>
      <c r="AE292" s="265"/>
      <c r="AF292" s="265"/>
      <c r="AG292" s="265"/>
      <c r="AH292" s="265"/>
      <c r="AI292" s="265"/>
      <c r="AJ292" s="265"/>
      <c r="AK292" s="265"/>
      <c r="AL292" s="265"/>
      <c r="AM292" s="265"/>
      <c r="AN292" s="265"/>
      <c r="AO292" s="74"/>
      <c r="AP292" s="74"/>
      <c r="AQ292" s="74"/>
      <c r="AR292" s="74"/>
      <c r="AS292" s="74"/>
      <c r="AT292" s="74"/>
      <c r="AU292" s="74"/>
      <c r="AV292" s="74"/>
      <c r="AW292" s="82"/>
      <c r="AX292" s="67"/>
    </row>
    <row r="293" spans="1:50" x14ac:dyDescent="0.25">
      <c r="A293" s="67" t="str">
        <f>IFERROR(IF(C293&lt;&gt;"",MAX($A$2:$A292)+1,""),"")</f>
        <v/>
      </c>
      <c r="B293" s="223">
        <f t="shared" si="1"/>
        <v>281</v>
      </c>
      <c r="C293" s="248"/>
      <c r="D293" s="270"/>
      <c r="E293" s="248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  <c r="W293" s="74"/>
      <c r="X293" s="265"/>
      <c r="Y293" s="265"/>
      <c r="Z293" s="265"/>
      <c r="AA293" s="265"/>
      <c r="AB293" s="265"/>
      <c r="AC293" s="265"/>
      <c r="AD293" s="265"/>
      <c r="AE293" s="265"/>
      <c r="AF293" s="265"/>
      <c r="AG293" s="265"/>
      <c r="AH293" s="265"/>
      <c r="AI293" s="265"/>
      <c r="AJ293" s="265"/>
      <c r="AK293" s="265"/>
      <c r="AL293" s="265"/>
      <c r="AM293" s="265"/>
      <c r="AN293" s="265"/>
      <c r="AO293" s="74"/>
      <c r="AP293" s="74"/>
      <c r="AQ293" s="74"/>
      <c r="AR293" s="74"/>
      <c r="AS293" s="74"/>
      <c r="AT293" s="74"/>
      <c r="AU293" s="74"/>
      <c r="AV293" s="74"/>
      <c r="AW293" s="82"/>
      <c r="AX293" s="67"/>
    </row>
    <row r="294" spans="1:50" x14ac:dyDescent="0.25">
      <c r="A294" s="67" t="str">
        <f>IFERROR(IF(C294&lt;&gt;"",MAX($A$2:$A293)+1,""),"")</f>
        <v/>
      </c>
      <c r="B294" s="223">
        <f t="shared" si="1"/>
        <v>282</v>
      </c>
      <c r="C294" s="248"/>
      <c r="D294" s="270"/>
      <c r="E294" s="248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  <c r="W294" s="74"/>
      <c r="X294" s="265"/>
      <c r="Y294" s="265"/>
      <c r="Z294" s="265"/>
      <c r="AA294" s="265"/>
      <c r="AB294" s="265"/>
      <c r="AC294" s="265"/>
      <c r="AD294" s="265"/>
      <c r="AE294" s="265"/>
      <c r="AF294" s="265"/>
      <c r="AG294" s="265"/>
      <c r="AH294" s="265"/>
      <c r="AI294" s="265"/>
      <c r="AJ294" s="265"/>
      <c r="AK294" s="265"/>
      <c r="AL294" s="265"/>
      <c r="AM294" s="265"/>
      <c r="AN294" s="265"/>
      <c r="AO294" s="74"/>
      <c r="AP294" s="74"/>
      <c r="AQ294" s="74"/>
      <c r="AR294" s="74"/>
      <c r="AS294" s="74"/>
      <c r="AT294" s="74"/>
      <c r="AU294" s="74"/>
      <c r="AV294" s="74"/>
      <c r="AW294" s="82"/>
      <c r="AX294" s="67"/>
    </row>
    <row r="295" spans="1:50" x14ac:dyDescent="0.25">
      <c r="A295" s="67" t="str">
        <f>IFERROR(IF(C295&lt;&gt;"",MAX($A$2:$A294)+1,""),"")</f>
        <v/>
      </c>
      <c r="B295" s="223">
        <f t="shared" si="1"/>
        <v>283</v>
      </c>
      <c r="C295" s="248"/>
      <c r="D295" s="270"/>
      <c r="E295" s="248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  <c r="W295" s="74"/>
      <c r="X295" s="265"/>
      <c r="Y295" s="265"/>
      <c r="Z295" s="265"/>
      <c r="AA295" s="265"/>
      <c r="AB295" s="265"/>
      <c r="AC295" s="265"/>
      <c r="AD295" s="265"/>
      <c r="AE295" s="265"/>
      <c r="AF295" s="265"/>
      <c r="AG295" s="265"/>
      <c r="AH295" s="265"/>
      <c r="AI295" s="265"/>
      <c r="AJ295" s="265"/>
      <c r="AK295" s="265"/>
      <c r="AL295" s="265"/>
      <c r="AM295" s="265"/>
      <c r="AN295" s="265"/>
      <c r="AO295" s="74"/>
      <c r="AP295" s="74"/>
      <c r="AQ295" s="74"/>
      <c r="AR295" s="74"/>
      <c r="AS295" s="74"/>
      <c r="AT295" s="74"/>
      <c r="AU295" s="74"/>
      <c r="AV295" s="74"/>
      <c r="AW295" s="82"/>
      <c r="AX295" s="67"/>
    </row>
    <row r="296" spans="1:50" x14ac:dyDescent="0.25">
      <c r="A296" s="67" t="str">
        <f>IFERROR(IF(C296&lt;&gt;"",MAX($A$2:$A295)+1,""),"")</f>
        <v/>
      </c>
      <c r="B296" s="223">
        <f t="shared" si="1"/>
        <v>284</v>
      </c>
      <c r="C296" s="248"/>
      <c r="D296" s="270"/>
      <c r="E296" s="248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  <c r="W296" s="74"/>
      <c r="X296" s="265"/>
      <c r="Y296" s="265"/>
      <c r="Z296" s="265"/>
      <c r="AA296" s="265"/>
      <c r="AB296" s="265"/>
      <c r="AC296" s="265"/>
      <c r="AD296" s="265"/>
      <c r="AE296" s="265"/>
      <c r="AF296" s="265"/>
      <c r="AG296" s="265"/>
      <c r="AH296" s="265"/>
      <c r="AI296" s="265"/>
      <c r="AJ296" s="265"/>
      <c r="AK296" s="265"/>
      <c r="AL296" s="265"/>
      <c r="AM296" s="265"/>
      <c r="AN296" s="265"/>
      <c r="AO296" s="74"/>
      <c r="AP296" s="74"/>
      <c r="AQ296" s="74"/>
      <c r="AR296" s="74"/>
      <c r="AS296" s="74"/>
      <c r="AT296" s="74"/>
      <c r="AU296" s="74"/>
      <c r="AV296" s="74"/>
      <c r="AW296" s="82"/>
      <c r="AX296" s="67"/>
    </row>
    <row r="297" spans="1:50" x14ac:dyDescent="0.25">
      <c r="A297" s="67" t="str">
        <f>IFERROR(IF(C297&lt;&gt;"",MAX($A$2:$A296)+1,""),"")</f>
        <v/>
      </c>
      <c r="B297" s="223">
        <f t="shared" si="1"/>
        <v>285</v>
      </c>
      <c r="C297" s="248"/>
      <c r="D297" s="270"/>
      <c r="E297" s="248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  <c r="W297" s="74"/>
      <c r="X297" s="265"/>
      <c r="Y297" s="265"/>
      <c r="Z297" s="265"/>
      <c r="AA297" s="265"/>
      <c r="AB297" s="265"/>
      <c r="AC297" s="265"/>
      <c r="AD297" s="265"/>
      <c r="AE297" s="265"/>
      <c r="AF297" s="265"/>
      <c r="AG297" s="265"/>
      <c r="AH297" s="265"/>
      <c r="AI297" s="265"/>
      <c r="AJ297" s="265"/>
      <c r="AK297" s="265"/>
      <c r="AL297" s="265"/>
      <c r="AM297" s="265"/>
      <c r="AN297" s="265"/>
      <c r="AO297" s="74"/>
      <c r="AP297" s="74"/>
      <c r="AQ297" s="74"/>
      <c r="AR297" s="74"/>
      <c r="AS297" s="74"/>
      <c r="AT297" s="74"/>
      <c r="AU297" s="74"/>
      <c r="AV297" s="74"/>
      <c r="AW297" s="82"/>
      <c r="AX297" s="67"/>
    </row>
    <row r="298" spans="1:50" x14ac:dyDescent="0.25">
      <c r="A298" s="67" t="str">
        <f>IFERROR(IF(C298&lt;&gt;"",MAX($A$2:$A297)+1,""),"")</f>
        <v/>
      </c>
      <c r="B298" s="223">
        <f t="shared" si="1"/>
        <v>286</v>
      </c>
      <c r="C298" s="248"/>
      <c r="D298" s="270"/>
      <c r="E298" s="248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  <c r="W298" s="74"/>
      <c r="X298" s="265"/>
      <c r="Y298" s="265"/>
      <c r="Z298" s="265"/>
      <c r="AA298" s="265"/>
      <c r="AB298" s="265"/>
      <c r="AC298" s="265"/>
      <c r="AD298" s="265"/>
      <c r="AE298" s="265"/>
      <c r="AF298" s="265"/>
      <c r="AG298" s="265"/>
      <c r="AH298" s="265"/>
      <c r="AI298" s="265"/>
      <c r="AJ298" s="265"/>
      <c r="AK298" s="265"/>
      <c r="AL298" s="265"/>
      <c r="AM298" s="265"/>
      <c r="AN298" s="265"/>
      <c r="AO298" s="74"/>
      <c r="AP298" s="74"/>
      <c r="AQ298" s="74"/>
      <c r="AR298" s="74"/>
      <c r="AS298" s="74"/>
      <c r="AT298" s="74"/>
      <c r="AU298" s="74"/>
      <c r="AV298" s="74"/>
      <c r="AW298" s="82"/>
      <c r="AX298" s="67"/>
    </row>
    <row r="299" spans="1:50" x14ac:dyDescent="0.25">
      <c r="A299" s="67" t="str">
        <f>IFERROR(IF(C299&lt;&gt;"",MAX($A$2:$A298)+1,""),"")</f>
        <v/>
      </c>
      <c r="B299" s="223">
        <f t="shared" si="1"/>
        <v>287</v>
      </c>
      <c r="C299" s="248"/>
      <c r="D299" s="270"/>
      <c r="E299" s="248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  <c r="W299" s="74"/>
      <c r="X299" s="265"/>
      <c r="Y299" s="265"/>
      <c r="Z299" s="265"/>
      <c r="AA299" s="265"/>
      <c r="AB299" s="265"/>
      <c r="AC299" s="265"/>
      <c r="AD299" s="265"/>
      <c r="AE299" s="265"/>
      <c r="AF299" s="265"/>
      <c r="AG299" s="265"/>
      <c r="AH299" s="265"/>
      <c r="AI299" s="265"/>
      <c r="AJ299" s="265"/>
      <c r="AK299" s="265"/>
      <c r="AL299" s="265"/>
      <c r="AM299" s="265"/>
      <c r="AN299" s="265"/>
      <c r="AO299" s="74"/>
      <c r="AP299" s="74"/>
      <c r="AQ299" s="74"/>
      <c r="AR299" s="74"/>
      <c r="AS299" s="74"/>
      <c r="AT299" s="74"/>
      <c r="AU299" s="74"/>
      <c r="AV299" s="74"/>
      <c r="AW299" s="82"/>
      <c r="AX299" s="67"/>
    </row>
    <row r="300" spans="1:50" x14ac:dyDescent="0.25">
      <c r="A300" s="67" t="str">
        <f>IFERROR(IF(C300&lt;&gt;"",MAX($A$2:$A299)+1,""),"")</f>
        <v/>
      </c>
      <c r="B300" s="223">
        <f t="shared" si="1"/>
        <v>288</v>
      </c>
      <c r="C300" s="248"/>
      <c r="D300" s="270"/>
      <c r="E300" s="248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  <c r="W300" s="74"/>
      <c r="X300" s="265"/>
      <c r="Y300" s="265"/>
      <c r="Z300" s="265"/>
      <c r="AA300" s="265"/>
      <c r="AB300" s="265"/>
      <c r="AC300" s="265"/>
      <c r="AD300" s="265"/>
      <c r="AE300" s="265"/>
      <c r="AF300" s="265"/>
      <c r="AG300" s="265"/>
      <c r="AH300" s="265"/>
      <c r="AI300" s="265"/>
      <c r="AJ300" s="265"/>
      <c r="AK300" s="265"/>
      <c r="AL300" s="265"/>
      <c r="AM300" s="265"/>
      <c r="AN300" s="265"/>
      <c r="AO300" s="74"/>
      <c r="AP300" s="74"/>
      <c r="AQ300" s="74"/>
      <c r="AR300" s="74"/>
      <c r="AS300" s="74"/>
      <c r="AT300" s="74"/>
      <c r="AU300" s="74"/>
      <c r="AV300" s="74"/>
      <c r="AW300" s="82"/>
      <c r="AX300" s="67"/>
    </row>
    <row r="301" spans="1:50" x14ac:dyDescent="0.25">
      <c r="A301" s="67" t="str">
        <f>IFERROR(IF(C301&lt;&gt;"",MAX($A$2:$A300)+1,""),"")</f>
        <v/>
      </c>
      <c r="B301" s="223">
        <f t="shared" si="1"/>
        <v>289</v>
      </c>
      <c r="C301" s="248"/>
      <c r="D301" s="270"/>
      <c r="E301" s="248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  <c r="W301" s="74"/>
      <c r="X301" s="265"/>
      <c r="Y301" s="265"/>
      <c r="Z301" s="265"/>
      <c r="AA301" s="265"/>
      <c r="AB301" s="265"/>
      <c r="AC301" s="265"/>
      <c r="AD301" s="265"/>
      <c r="AE301" s="265"/>
      <c r="AF301" s="265"/>
      <c r="AG301" s="265"/>
      <c r="AH301" s="265"/>
      <c r="AI301" s="265"/>
      <c r="AJ301" s="265"/>
      <c r="AK301" s="265"/>
      <c r="AL301" s="265"/>
      <c r="AM301" s="265"/>
      <c r="AN301" s="265"/>
      <c r="AO301" s="74"/>
      <c r="AP301" s="74"/>
      <c r="AQ301" s="74"/>
      <c r="AR301" s="74"/>
      <c r="AS301" s="74"/>
      <c r="AT301" s="74"/>
      <c r="AU301" s="74"/>
      <c r="AV301" s="74"/>
      <c r="AW301" s="82"/>
      <c r="AX301" s="67"/>
    </row>
    <row r="302" spans="1:50" x14ac:dyDescent="0.25">
      <c r="A302" s="67" t="str">
        <f>IFERROR(IF(C302&lt;&gt;"",MAX($A$2:$A301)+1,""),"")</f>
        <v/>
      </c>
      <c r="B302" s="223">
        <f t="shared" si="1"/>
        <v>290</v>
      </c>
      <c r="C302" s="248"/>
      <c r="D302" s="270"/>
      <c r="E302" s="248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  <c r="W302" s="74"/>
      <c r="X302" s="265"/>
      <c r="Y302" s="265"/>
      <c r="Z302" s="265"/>
      <c r="AA302" s="265"/>
      <c r="AB302" s="265"/>
      <c r="AC302" s="265"/>
      <c r="AD302" s="265"/>
      <c r="AE302" s="265"/>
      <c r="AF302" s="265"/>
      <c r="AG302" s="265"/>
      <c r="AH302" s="265"/>
      <c r="AI302" s="265"/>
      <c r="AJ302" s="265"/>
      <c r="AK302" s="265"/>
      <c r="AL302" s="265"/>
      <c r="AM302" s="265"/>
      <c r="AN302" s="265"/>
      <c r="AO302" s="74"/>
      <c r="AP302" s="74"/>
      <c r="AQ302" s="74"/>
      <c r="AR302" s="74"/>
      <c r="AS302" s="74"/>
      <c r="AT302" s="74"/>
      <c r="AU302" s="74"/>
      <c r="AV302" s="74"/>
      <c r="AW302" s="82"/>
      <c r="AX302" s="67"/>
    </row>
    <row r="303" spans="1:50" x14ac:dyDescent="0.25">
      <c r="A303" s="67" t="str">
        <f>IFERROR(IF(C303&lt;&gt;"",MAX($A$2:$A302)+1,""),"")</f>
        <v/>
      </c>
      <c r="B303" s="223">
        <f t="shared" ref="B303:B408" si="5">ROW()-ROW($B$12)</f>
        <v>291</v>
      </c>
      <c r="C303" s="248"/>
      <c r="D303" s="270"/>
      <c r="E303" s="248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  <c r="W303" s="74"/>
      <c r="X303" s="265"/>
      <c r="Y303" s="265"/>
      <c r="Z303" s="265"/>
      <c r="AA303" s="265"/>
      <c r="AB303" s="265"/>
      <c r="AC303" s="265"/>
      <c r="AD303" s="265"/>
      <c r="AE303" s="265"/>
      <c r="AF303" s="265"/>
      <c r="AG303" s="265"/>
      <c r="AH303" s="265"/>
      <c r="AI303" s="265"/>
      <c r="AJ303" s="265"/>
      <c r="AK303" s="265"/>
      <c r="AL303" s="265"/>
      <c r="AM303" s="265"/>
      <c r="AN303" s="265"/>
      <c r="AO303" s="74"/>
      <c r="AP303" s="74"/>
      <c r="AQ303" s="74"/>
      <c r="AR303" s="74"/>
      <c r="AS303" s="74"/>
      <c r="AT303" s="74"/>
      <c r="AU303" s="74"/>
      <c r="AV303" s="74"/>
      <c r="AW303" s="82"/>
      <c r="AX303" s="67"/>
    </row>
    <row r="304" spans="1:50" x14ac:dyDescent="0.25">
      <c r="A304" s="67" t="str">
        <f>IFERROR(IF(C304&lt;&gt;"",MAX($A$2:$A303)+1,""),"")</f>
        <v/>
      </c>
      <c r="B304" s="223">
        <f t="shared" si="5"/>
        <v>292</v>
      </c>
      <c r="C304" s="248"/>
      <c r="D304" s="270"/>
      <c r="E304" s="248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  <c r="W304" s="74"/>
      <c r="X304" s="265"/>
      <c r="Y304" s="265"/>
      <c r="Z304" s="265"/>
      <c r="AA304" s="265"/>
      <c r="AB304" s="265"/>
      <c r="AC304" s="265"/>
      <c r="AD304" s="265"/>
      <c r="AE304" s="265"/>
      <c r="AF304" s="265"/>
      <c r="AG304" s="265"/>
      <c r="AH304" s="265"/>
      <c r="AI304" s="265"/>
      <c r="AJ304" s="265"/>
      <c r="AK304" s="265"/>
      <c r="AL304" s="265"/>
      <c r="AM304" s="265"/>
      <c r="AN304" s="265"/>
      <c r="AO304" s="74"/>
      <c r="AP304" s="74"/>
      <c r="AQ304" s="74"/>
      <c r="AR304" s="74"/>
      <c r="AS304" s="74"/>
      <c r="AT304" s="74"/>
      <c r="AU304" s="74"/>
      <c r="AV304" s="74"/>
      <c r="AW304" s="82"/>
      <c r="AX304" s="67"/>
    </row>
    <row r="305" spans="1:50" x14ac:dyDescent="0.25">
      <c r="A305" s="67" t="str">
        <f>IFERROR(IF(C305&lt;&gt;"",MAX($A$2:$A304)+1,""),"")</f>
        <v/>
      </c>
      <c r="B305" s="223">
        <f t="shared" si="5"/>
        <v>293</v>
      </c>
      <c r="C305" s="248"/>
      <c r="D305" s="270"/>
      <c r="E305" s="248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  <c r="W305" s="74"/>
      <c r="X305" s="265"/>
      <c r="Y305" s="265"/>
      <c r="Z305" s="265"/>
      <c r="AA305" s="265"/>
      <c r="AB305" s="265"/>
      <c r="AC305" s="265"/>
      <c r="AD305" s="265"/>
      <c r="AE305" s="265"/>
      <c r="AF305" s="265"/>
      <c r="AG305" s="265"/>
      <c r="AH305" s="265"/>
      <c r="AI305" s="265"/>
      <c r="AJ305" s="265"/>
      <c r="AK305" s="265"/>
      <c r="AL305" s="265"/>
      <c r="AM305" s="265"/>
      <c r="AN305" s="265"/>
      <c r="AO305" s="74"/>
      <c r="AP305" s="74"/>
      <c r="AQ305" s="74"/>
      <c r="AR305" s="74"/>
      <c r="AS305" s="74"/>
      <c r="AT305" s="74"/>
      <c r="AU305" s="74"/>
      <c r="AV305" s="74"/>
      <c r="AW305" s="82"/>
      <c r="AX305" s="67"/>
    </row>
    <row r="306" spans="1:50" x14ac:dyDescent="0.25">
      <c r="A306" s="67" t="str">
        <f>IFERROR(IF(C306&lt;&gt;"",MAX($A$2:$A305)+1,""),"")</f>
        <v/>
      </c>
      <c r="B306" s="223">
        <f t="shared" si="5"/>
        <v>294</v>
      </c>
      <c r="C306" s="248"/>
      <c r="D306" s="270"/>
      <c r="E306" s="248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  <c r="W306" s="74"/>
      <c r="X306" s="265"/>
      <c r="Y306" s="265"/>
      <c r="Z306" s="265"/>
      <c r="AA306" s="265"/>
      <c r="AB306" s="265"/>
      <c r="AC306" s="265"/>
      <c r="AD306" s="265"/>
      <c r="AE306" s="265"/>
      <c r="AF306" s="265"/>
      <c r="AG306" s="265"/>
      <c r="AH306" s="265"/>
      <c r="AI306" s="265"/>
      <c r="AJ306" s="265"/>
      <c r="AK306" s="265"/>
      <c r="AL306" s="265"/>
      <c r="AM306" s="265"/>
      <c r="AN306" s="265"/>
      <c r="AO306" s="74"/>
      <c r="AP306" s="74"/>
      <c r="AQ306" s="74"/>
      <c r="AR306" s="74"/>
      <c r="AS306" s="74"/>
      <c r="AT306" s="74"/>
      <c r="AU306" s="74"/>
      <c r="AV306" s="74"/>
      <c r="AW306" s="82"/>
      <c r="AX306" s="67"/>
    </row>
    <row r="307" spans="1:50" x14ac:dyDescent="0.25">
      <c r="A307" s="67" t="str">
        <f>IFERROR(IF(C307&lt;&gt;"",MAX($A$2:$A306)+1,""),"")</f>
        <v/>
      </c>
      <c r="B307" s="223">
        <f t="shared" si="5"/>
        <v>295</v>
      </c>
      <c r="C307" s="248"/>
      <c r="D307" s="270"/>
      <c r="E307" s="248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  <c r="W307" s="74"/>
      <c r="X307" s="265"/>
      <c r="Y307" s="265"/>
      <c r="Z307" s="265"/>
      <c r="AA307" s="265"/>
      <c r="AB307" s="265"/>
      <c r="AC307" s="265"/>
      <c r="AD307" s="265"/>
      <c r="AE307" s="265"/>
      <c r="AF307" s="265"/>
      <c r="AG307" s="265"/>
      <c r="AH307" s="265"/>
      <c r="AI307" s="265"/>
      <c r="AJ307" s="265"/>
      <c r="AK307" s="265"/>
      <c r="AL307" s="265"/>
      <c r="AM307" s="265"/>
      <c r="AN307" s="265"/>
      <c r="AO307" s="74"/>
      <c r="AP307" s="74"/>
      <c r="AQ307" s="74"/>
      <c r="AR307" s="74"/>
      <c r="AS307" s="74"/>
      <c r="AT307" s="74"/>
      <c r="AU307" s="74"/>
      <c r="AV307" s="74"/>
      <c r="AW307" s="82"/>
      <c r="AX307" s="67"/>
    </row>
    <row r="308" spans="1:50" x14ac:dyDescent="0.25">
      <c r="A308" s="67" t="str">
        <f>IFERROR(IF(C308&lt;&gt;"",MAX($A$2:$A307)+1,""),"")</f>
        <v/>
      </c>
      <c r="B308" s="223">
        <f t="shared" si="5"/>
        <v>296</v>
      </c>
      <c r="C308" s="248"/>
      <c r="D308" s="270"/>
      <c r="E308" s="248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  <c r="W308" s="74"/>
      <c r="X308" s="265"/>
      <c r="Y308" s="265"/>
      <c r="Z308" s="265"/>
      <c r="AA308" s="265"/>
      <c r="AB308" s="265"/>
      <c r="AC308" s="265"/>
      <c r="AD308" s="265"/>
      <c r="AE308" s="265"/>
      <c r="AF308" s="265"/>
      <c r="AG308" s="265"/>
      <c r="AH308" s="265"/>
      <c r="AI308" s="265"/>
      <c r="AJ308" s="265"/>
      <c r="AK308" s="265"/>
      <c r="AL308" s="265"/>
      <c r="AM308" s="265"/>
      <c r="AN308" s="265"/>
      <c r="AO308" s="74"/>
      <c r="AP308" s="74"/>
      <c r="AQ308" s="74"/>
      <c r="AR308" s="74"/>
      <c r="AS308" s="74"/>
      <c r="AT308" s="74"/>
      <c r="AU308" s="74"/>
      <c r="AV308" s="74"/>
      <c r="AW308" s="82"/>
      <c r="AX308" s="67"/>
    </row>
    <row r="309" spans="1:50" x14ac:dyDescent="0.25">
      <c r="A309" s="67" t="str">
        <f>IFERROR(IF(C309&lt;&gt;"",MAX($A$2:$A308)+1,""),"")</f>
        <v/>
      </c>
      <c r="B309" s="223">
        <f t="shared" si="5"/>
        <v>297</v>
      </c>
      <c r="C309" s="248"/>
      <c r="D309" s="270"/>
      <c r="E309" s="248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  <c r="W309" s="74"/>
      <c r="X309" s="265"/>
      <c r="Y309" s="265"/>
      <c r="Z309" s="265"/>
      <c r="AA309" s="265"/>
      <c r="AB309" s="265"/>
      <c r="AC309" s="265"/>
      <c r="AD309" s="265"/>
      <c r="AE309" s="265"/>
      <c r="AF309" s="265"/>
      <c r="AG309" s="265"/>
      <c r="AH309" s="265"/>
      <c r="AI309" s="265"/>
      <c r="AJ309" s="265"/>
      <c r="AK309" s="265"/>
      <c r="AL309" s="265"/>
      <c r="AM309" s="265"/>
      <c r="AN309" s="265"/>
      <c r="AO309" s="74"/>
      <c r="AP309" s="74"/>
      <c r="AQ309" s="74"/>
      <c r="AR309" s="74"/>
      <c r="AS309" s="74"/>
      <c r="AT309" s="74"/>
      <c r="AU309" s="74"/>
      <c r="AV309" s="74"/>
      <c r="AW309" s="82"/>
      <c r="AX309" s="67"/>
    </row>
    <row r="310" spans="1:50" x14ac:dyDescent="0.25">
      <c r="A310" s="67" t="str">
        <f>IFERROR(IF(C310&lt;&gt;"",MAX($A$2:$A309)+1,""),"")</f>
        <v/>
      </c>
      <c r="B310" s="223">
        <f t="shared" si="5"/>
        <v>298</v>
      </c>
      <c r="C310" s="248"/>
      <c r="D310" s="270"/>
      <c r="E310" s="248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  <c r="W310" s="74"/>
      <c r="X310" s="265"/>
      <c r="Y310" s="265"/>
      <c r="Z310" s="265"/>
      <c r="AA310" s="265"/>
      <c r="AB310" s="265"/>
      <c r="AC310" s="265"/>
      <c r="AD310" s="265"/>
      <c r="AE310" s="265"/>
      <c r="AF310" s="265"/>
      <c r="AG310" s="265"/>
      <c r="AH310" s="265"/>
      <c r="AI310" s="265"/>
      <c r="AJ310" s="265"/>
      <c r="AK310" s="265"/>
      <c r="AL310" s="265"/>
      <c r="AM310" s="265"/>
      <c r="AN310" s="265"/>
      <c r="AO310" s="74"/>
      <c r="AP310" s="74"/>
      <c r="AQ310" s="74"/>
      <c r="AR310" s="74"/>
      <c r="AS310" s="74"/>
      <c r="AT310" s="74"/>
      <c r="AU310" s="74"/>
      <c r="AV310" s="74"/>
      <c r="AW310" s="82"/>
      <c r="AX310" s="67"/>
    </row>
    <row r="311" spans="1:50" x14ac:dyDescent="0.25">
      <c r="A311" s="67" t="str">
        <f>IFERROR(IF(C311&lt;&gt;"",MAX($A$2:$A310)+1,""),"")</f>
        <v/>
      </c>
      <c r="B311" s="223">
        <f t="shared" si="5"/>
        <v>299</v>
      </c>
      <c r="C311" s="248"/>
      <c r="D311" s="270"/>
      <c r="E311" s="248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  <c r="W311" s="74"/>
      <c r="X311" s="265"/>
      <c r="Y311" s="265"/>
      <c r="Z311" s="265"/>
      <c r="AA311" s="265"/>
      <c r="AB311" s="265"/>
      <c r="AC311" s="265"/>
      <c r="AD311" s="265"/>
      <c r="AE311" s="265"/>
      <c r="AF311" s="265"/>
      <c r="AG311" s="265"/>
      <c r="AH311" s="265"/>
      <c r="AI311" s="265"/>
      <c r="AJ311" s="265"/>
      <c r="AK311" s="265"/>
      <c r="AL311" s="265"/>
      <c r="AM311" s="265"/>
      <c r="AN311" s="265"/>
      <c r="AO311" s="74"/>
      <c r="AP311" s="74"/>
      <c r="AQ311" s="74"/>
      <c r="AR311" s="74"/>
      <c r="AS311" s="74"/>
      <c r="AT311" s="74"/>
      <c r="AU311" s="74"/>
      <c r="AV311" s="74"/>
      <c r="AW311" s="82"/>
      <c r="AX311" s="67"/>
    </row>
    <row r="312" spans="1:50" x14ac:dyDescent="0.25">
      <c r="A312" s="67" t="str">
        <f>IFERROR(IF(C312&lt;&gt;"",MAX($A$2:$A311)+1,""),"")</f>
        <v/>
      </c>
      <c r="B312" s="223">
        <f t="shared" si="5"/>
        <v>300</v>
      </c>
      <c r="C312" s="248"/>
      <c r="D312" s="270"/>
      <c r="E312" s="248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  <c r="W312" s="74"/>
      <c r="X312" s="265"/>
      <c r="Y312" s="265"/>
      <c r="Z312" s="265"/>
      <c r="AA312" s="265"/>
      <c r="AB312" s="265"/>
      <c r="AC312" s="265"/>
      <c r="AD312" s="265"/>
      <c r="AE312" s="265"/>
      <c r="AF312" s="265"/>
      <c r="AG312" s="265"/>
      <c r="AH312" s="265"/>
      <c r="AI312" s="265"/>
      <c r="AJ312" s="265"/>
      <c r="AK312" s="265"/>
      <c r="AL312" s="265"/>
      <c r="AM312" s="265"/>
      <c r="AN312" s="265"/>
      <c r="AO312" s="74"/>
      <c r="AP312" s="74"/>
      <c r="AQ312" s="74"/>
      <c r="AR312" s="74"/>
      <c r="AS312" s="74"/>
      <c r="AT312" s="74"/>
      <c r="AU312" s="74"/>
      <c r="AV312" s="74"/>
      <c r="AW312" s="82"/>
      <c r="AX312" s="67"/>
    </row>
    <row r="313" spans="1:50" x14ac:dyDescent="0.25">
      <c r="A313" s="67" t="str">
        <f>IFERROR(IF(C313&lt;&gt;"",MAX($A$2:$A312)+1,""),"")</f>
        <v/>
      </c>
      <c r="B313" s="223">
        <f t="shared" si="5"/>
        <v>301</v>
      </c>
      <c r="C313" s="248"/>
      <c r="D313" s="270"/>
      <c r="E313" s="248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  <c r="W313" s="74"/>
      <c r="X313" s="265"/>
      <c r="Y313" s="265"/>
      <c r="Z313" s="265"/>
      <c r="AA313" s="265"/>
      <c r="AB313" s="265"/>
      <c r="AC313" s="265"/>
      <c r="AD313" s="265"/>
      <c r="AE313" s="265"/>
      <c r="AF313" s="265"/>
      <c r="AG313" s="265"/>
      <c r="AH313" s="265"/>
      <c r="AI313" s="265"/>
      <c r="AJ313" s="265"/>
      <c r="AK313" s="265"/>
      <c r="AL313" s="265"/>
      <c r="AM313" s="265"/>
      <c r="AN313" s="265"/>
      <c r="AO313" s="74"/>
      <c r="AP313" s="74"/>
      <c r="AQ313" s="74"/>
      <c r="AR313" s="74"/>
      <c r="AS313" s="74"/>
      <c r="AT313" s="74"/>
      <c r="AU313" s="74"/>
      <c r="AV313" s="74"/>
      <c r="AW313" s="82"/>
      <c r="AX313" s="67"/>
    </row>
    <row r="314" spans="1:50" x14ac:dyDescent="0.25">
      <c r="A314" s="67" t="str">
        <f>IFERROR(IF(C314&lt;&gt;"",MAX($A$2:$A313)+1,""),"")</f>
        <v/>
      </c>
      <c r="B314" s="223">
        <f t="shared" si="5"/>
        <v>302</v>
      </c>
      <c r="C314" s="248"/>
      <c r="D314" s="270"/>
      <c r="E314" s="248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  <c r="W314" s="74"/>
      <c r="X314" s="265"/>
      <c r="Y314" s="265"/>
      <c r="Z314" s="265"/>
      <c r="AA314" s="265"/>
      <c r="AB314" s="265"/>
      <c r="AC314" s="265"/>
      <c r="AD314" s="265"/>
      <c r="AE314" s="265"/>
      <c r="AF314" s="265"/>
      <c r="AG314" s="265"/>
      <c r="AH314" s="265"/>
      <c r="AI314" s="265"/>
      <c r="AJ314" s="265"/>
      <c r="AK314" s="265"/>
      <c r="AL314" s="265"/>
      <c r="AM314" s="265"/>
      <c r="AN314" s="265"/>
      <c r="AO314" s="74"/>
      <c r="AP314" s="74"/>
      <c r="AQ314" s="74"/>
      <c r="AR314" s="74"/>
      <c r="AS314" s="74"/>
      <c r="AT314" s="74"/>
      <c r="AU314" s="74"/>
      <c r="AV314" s="74"/>
      <c r="AW314" s="82"/>
      <c r="AX314" s="67"/>
    </row>
    <row r="315" spans="1:50" x14ac:dyDescent="0.25">
      <c r="A315" s="67" t="str">
        <f>IFERROR(IF(C315&lt;&gt;"",MAX($A$2:$A314)+1,""),"")</f>
        <v/>
      </c>
      <c r="B315" s="223">
        <f t="shared" si="5"/>
        <v>303</v>
      </c>
      <c r="C315" s="248"/>
      <c r="D315" s="270"/>
      <c r="E315" s="248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  <c r="W315" s="74"/>
      <c r="X315" s="265"/>
      <c r="Y315" s="265"/>
      <c r="Z315" s="265"/>
      <c r="AA315" s="265"/>
      <c r="AB315" s="265"/>
      <c r="AC315" s="265"/>
      <c r="AD315" s="265"/>
      <c r="AE315" s="265"/>
      <c r="AF315" s="265"/>
      <c r="AG315" s="265"/>
      <c r="AH315" s="265"/>
      <c r="AI315" s="265"/>
      <c r="AJ315" s="265"/>
      <c r="AK315" s="265"/>
      <c r="AL315" s="265"/>
      <c r="AM315" s="265"/>
      <c r="AN315" s="265"/>
      <c r="AO315" s="74"/>
      <c r="AP315" s="74"/>
      <c r="AQ315" s="74"/>
      <c r="AR315" s="74"/>
      <c r="AS315" s="74"/>
      <c r="AT315" s="74"/>
      <c r="AU315" s="74"/>
      <c r="AV315" s="74"/>
      <c r="AW315" s="82"/>
      <c r="AX315" s="67"/>
    </row>
    <row r="316" spans="1:50" x14ac:dyDescent="0.25">
      <c r="A316" s="67" t="str">
        <f>IFERROR(IF(C316&lt;&gt;"",MAX($A$2:$A315)+1,""),"")</f>
        <v/>
      </c>
      <c r="B316" s="223">
        <f t="shared" si="5"/>
        <v>304</v>
      </c>
      <c r="C316" s="248"/>
      <c r="D316" s="270"/>
      <c r="E316" s="248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  <c r="W316" s="74"/>
      <c r="X316" s="265"/>
      <c r="Y316" s="265"/>
      <c r="Z316" s="265"/>
      <c r="AA316" s="265"/>
      <c r="AB316" s="265"/>
      <c r="AC316" s="265"/>
      <c r="AD316" s="265"/>
      <c r="AE316" s="265"/>
      <c r="AF316" s="265"/>
      <c r="AG316" s="265"/>
      <c r="AH316" s="265"/>
      <c r="AI316" s="265"/>
      <c r="AJ316" s="265"/>
      <c r="AK316" s="265"/>
      <c r="AL316" s="265"/>
      <c r="AM316" s="265"/>
      <c r="AN316" s="265"/>
      <c r="AO316" s="74"/>
      <c r="AP316" s="74"/>
      <c r="AQ316" s="74"/>
      <c r="AR316" s="74"/>
      <c r="AS316" s="74"/>
      <c r="AT316" s="74"/>
      <c r="AU316" s="74"/>
      <c r="AV316" s="74"/>
      <c r="AW316" s="82"/>
      <c r="AX316" s="67"/>
    </row>
    <row r="317" spans="1:50" x14ac:dyDescent="0.25">
      <c r="A317" s="67" t="str">
        <f>IFERROR(IF(C317&lt;&gt;"",MAX($A$2:$A316)+1,""),"")</f>
        <v/>
      </c>
      <c r="B317" s="223">
        <f t="shared" si="5"/>
        <v>305</v>
      </c>
      <c r="C317" s="248"/>
      <c r="D317" s="270"/>
      <c r="E317" s="248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  <c r="W317" s="74"/>
      <c r="X317" s="265"/>
      <c r="Y317" s="265"/>
      <c r="Z317" s="265"/>
      <c r="AA317" s="265"/>
      <c r="AB317" s="265"/>
      <c r="AC317" s="265"/>
      <c r="AD317" s="265"/>
      <c r="AE317" s="265"/>
      <c r="AF317" s="265"/>
      <c r="AG317" s="265"/>
      <c r="AH317" s="265"/>
      <c r="AI317" s="265"/>
      <c r="AJ317" s="265"/>
      <c r="AK317" s="265"/>
      <c r="AL317" s="265"/>
      <c r="AM317" s="265"/>
      <c r="AN317" s="265"/>
      <c r="AO317" s="74"/>
      <c r="AP317" s="74"/>
      <c r="AQ317" s="74"/>
      <c r="AR317" s="74"/>
      <c r="AS317" s="74"/>
      <c r="AT317" s="74"/>
      <c r="AU317" s="74"/>
      <c r="AV317" s="74"/>
      <c r="AW317" s="82"/>
      <c r="AX317" s="67"/>
    </row>
    <row r="318" spans="1:50" x14ac:dyDescent="0.25">
      <c r="A318" s="67" t="str">
        <f>IFERROR(IF(C318&lt;&gt;"",MAX($A$2:$A317)+1,""),"")</f>
        <v/>
      </c>
      <c r="B318" s="223">
        <f t="shared" si="5"/>
        <v>306</v>
      </c>
      <c r="C318" s="248"/>
      <c r="D318" s="270"/>
      <c r="E318" s="248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  <c r="W318" s="74"/>
      <c r="X318" s="265"/>
      <c r="Y318" s="265"/>
      <c r="Z318" s="265"/>
      <c r="AA318" s="265"/>
      <c r="AB318" s="265"/>
      <c r="AC318" s="265"/>
      <c r="AD318" s="265"/>
      <c r="AE318" s="265"/>
      <c r="AF318" s="265"/>
      <c r="AG318" s="265"/>
      <c r="AH318" s="265"/>
      <c r="AI318" s="265"/>
      <c r="AJ318" s="265"/>
      <c r="AK318" s="265"/>
      <c r="AL318" s="265"/>
      <c r="AM318" s="265"/>
      <c r="AN318" s="265"/>
      <c r="AO318" s="74"/>
      <c r="AP318" s="74"/>
      <c r="AQ318" s="74"/>
      <c r="AR318" s="74"/>
      <c r="AS318" s="74"/>
      <c r="AT318" s="74"/>
      <c r="AU318" s="74"/>
      <c r="AV318" s="74"/>
      <c r="AW318" s="82"/>
      <c r="AX318" s="67"/>
    </row>
    <row r="319" spans="1:50" x14ac:dyDescent="0.25">
      <c r="A319" s="67" t="str">
        <f>IFERROR(IF(C319&lt;&gt;"",MAX($A$2:$A318)+1,""),"")</f>
        <v/>
      </c>
      <c r="B319" s="223">
        <f t="shared" si="5"/>
        <v>307</v>
      </c>
      <c r="C319" s="248"/>
      <c r="D319" s="270"/>
      <c r="E319" s="248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  <c r="W319" s="74"/>
      <c r="X319" s="265"/>
      <c r="Y319" s="265"/>
      <c r="Z319" s="265"/>
      <c r="AA319" s="265"/>
      <c r="AB319" s="265"/>
      <c r="AC319" s="265"/>
      <c r="AD319" s="265"/>
      <c r="AE319" s="265"/>
      <c r="AF319" s="265"/>
      <c r="AG319" s="265"/>
      <c r="AH319" s="265"/>
      <c r="AI319" s="265"/>
      <c r="AJ319" s="265"/>
      <c r="AK319" s="265"/>
      <c r="AL319" s="265"/>
      <c r="AM319" s="265"/>
      <c r="AN319" s="265"/>
      <c r="AO319" s="74"/>
      <c r="AP319" s="74"/>
      <c r="AQ319" s="74"/>
      <c r="AR319" s="74"/>
      <c r="AS319" s="74"/>
      <c r="AT319" s="74"/>
      <c r="AU319" s="74"/>
      <c r="AV319" s="74"/>
      <c r="AW319" s="82"/>
      <c r="AX319" s="67"/>
    </row>
    <row r="320" spans="1:50" x14ac:dyDescent="0.25">
      <c r="A320" s="67" t="str">
        <f>IFERROR(IF(C320&lt;&gt;"",MAX($A$2:$A319)+1,""),"")</f>
        <v/>
      </c>
      <c r="B320" s="223">
        <f t="shared" si="5"/>
        <v>308</v>
      </c>
      <c r="C320" s="248"/>
      <c r="D320" s="270"/>
      <c r="E320" s="248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  <c r="W320" s="74"/>
      <c r="X320" s="265"/>
      <c r="Y320" s="265"/>
      <c r="Z320" s="265"/>
      <c r="AA320" s="265"/>
      <c r="AB320" s="265"/>
      <c r="AC320" s="265"/>
      <c r="AD320" s="265"/>
      <c r="AE320" s="265"/>
      <c r="AF320" s="265"/>
      <c r="AG320" s="265"/>
      <c r="AH320" s="265"/>
      <c r="AI320" s="265"/>
      <c r="AJ320" s="265"/>
      <c r="AK320" s="265"/>
      <c r="AL320" s="265"/>
      <c r="AM320" s="265"/>
      <c r="AN320" s="265"/>
      <c r="AO320" s="74"/>
      <c r="AP320" s="74"/>
      <c r="AQ320" s="74"/>
      <c r="AR320" s="74"/>
      <c r="AS320" s="74"/>
      <c r="AT320" s="74"/>
      <c r="AU320" s="74"/>
      <c r="AV320" s="74"/>
      <c r="AW320" s="82"/>
      <c r="AX320" s="67"/>
    </row>
    <row r="321" spans="1:50" x14ac:dyDescent="0.25">
      <c r="A321" s="67" t="str">
        <f>IFERROR(IF(C321&lt;&gt;"",MAX($A$2:$A320)+1,""),"")</f>
        <v/>
      </c>
      <c r="B321" s="223">
        <f t="shared" si="5"/>
        <v>309</v>
      </c>
      <c r="C321" s="248"/>
      <c r="D321" s="270"/>
      <c r="E321" s="248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  <c r="W321" s="74"/>
      <c r="X321" s="265"/>
      <c r="Y321" s="265"/>
      <c r="Z321" s="265"/>
      <c r="AA321" s="265"/>
      <c r="AB321" s="265"/>
      <c r="AC321" s="265"/>
      <c r="AD321" s="265"/>
      <c r="AE321" s="265"/>
      <c r="AF321" s="265"/>
      <c r="AG321" s="265"/>
      <c r="AH321" s="265"/>
      <c r="AI321" s="265"/>
      <c r="AJ321" s="265"/>
      <c r="AK321" s="265"/>
      <c r="AL321" s="265"/>
      <c r="AM321" s="265"/>
      <c r="AN321" s="265"/>
      <c r="AO321" s="74"/>
      <c r="AP321" s="74"/>
      <c r="AQ321" s="74"/>
      <c r="AR321" s="74"/>
      <c r="AS321" s="74"/>
      <c r="AT321" s="74"/>
      <c r="AU321" s="74"/>
      <c r="AV321" s="74"/>
      <c r="AW321" s="82"/>
      <c r="AX321" s="67"/>
    </row>
    <row r="322" spans="1:50" x14ac:dyDescent="0.25">
      <c r="A322" s="67" t="str">
        <f>IFERROR(IF(C322&lt;&gt;"",MAX($A$2:$A321)+1,""),"")</f>
        <v/>
      </c>
      <c r="B322" s="223">
        <f t="shared" si="5"/>
        <v>310</v>
      </c>
      <c r="C322" s="248"/>
      <c r="D322" s="270"/>
      <c r="E322" s="248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  <c r="W322" s="74"/>
      <c r="X322" s="265"/>
      <c r="Y322" s="265"/>
      <c r="Z322" s="265"/>
      <c r="AA322" s="265"/>
      <c r="AB322" s="265"/>
      <c r="AC322" s="265"/>
      <c r="AD322" s="265"/>
      <c r="AE322" s="265"/>
      <c r="AF322" s="265"/>
      <c r="AG322" s="265"/>
      <c r="AH322" s="265"/>
      <c r="AI322" s="265"/>
      <c r="AJ322" s="265"/>
      <c r="AK322" s="265"/>
      <c r="AL322" s="265"/>
      <c r="AM322" s="265"/>
      <c r="AN322" s="265"/>
      <c r="AO322" s="74"/>
      <c r="AP322" s="74"/>
      <c r="AQ322" s="74"/>
      <c r="AR322" s="74"/>
      <c r="AS322" s="74"/>
      <c r="AT322" s="74"/>
      <c r="AU322" s="74"/>
      <c r="AV322" s="74"/>
      <c r="AW322" s="82"/>
      <c r="AX322" s="67"/>
    </row>
    <row r="323" spans="1:50" x14ac:dyDescent="0.25">
      <c r="A323" s="67" t="str">
        <f>IFERROR(IF(C323&lt;&gt;"",MAX($A$2:$A322)+1,""),"")</f>
        <v/>
      </c>
      <c r="B323" s="223">
        <f t="shared" si="5"/>
        <v>311</v>
      </c>
      <c r="C323" s="248"/>
      <c r="D323" s="270"/>
      <c r="E323" s="248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  <c r="W323" s="74"/>
      <c r="X323" s="265"/>
      <c r="Y323" s="265"/>
      <c r="Z323" s="265"/>
      <c r="AA323" s="265"/>
      <c r="AB323" s="265"/>
      <c r="AC323" s="265"/>
      <c r="AD323" s="265"/>
      <c r="AE323" s="265"/>
      <c r="AF323" s="265"/>
      <c r="AG323" s="265"/>
      <c r="AH323" s="265"/>
      <c r="AI323" s="265"/>
      <c r="AJ323" s="265"/>
      <c r="AK323" s="265"/>
      <c r="AL323" s="265"/>
      <c r="AM323" s="265"/>
      <c r="AN323" s="265"/>
      <c r="AO323" s="74"/>
      <c r="AP323" s="74"/>
      <c r="AQ323" s="74"/>
      <c r="AR323" s="74"/>
      <c r="AS323" s="74"/>
      <c r="AT323" s="74"/>
      <c r="AU323" s="74"/>
      <c r="AV323" s="74"/>
      <c r="AW323" s="82"/>
      <c r="AX323" s="67"/>
    </row>
    <row r="324" spans="1:50" x14ac:dyDescent="0.25">
      <c r="A324" s="67" t="str">
        <f>IFERROR(IF(C324&lt;&gt;"",MAX($A$2:$A323)+1,""),"")</f>
        <v/>
      </c>
      <c r="B324" s="223">
        <f t="shared" si="5"/>
        <v>312</v>
      </c>
      <c r="C324" s="248"/>
      <c r="D324" s="270"/>
      <c r="E324" s="248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  <c r="W324" s="74"/>
      <c r="X324" s="265"/>
      <c r="Y324" s="265"/>
      <c r="Z324" s="265"/>
      <c r="AA324" s="265"/>
      <c r="AB324" s="265"/>
      <c r="AC324" s="265"/>
      <c r="AD324" s="265"/>
      <c r="AE324" s="265"/>
      <c r="AF324" s="265"/>
      <c r="AG324" s="265"/>
      <c r="AH324" s="265"/>
      <c r="AI324" s="265"/>
      <c r="AJ324" s="265"/>
      <c r="AK324" s="265"/>
      <c r="AL324" s="265"/>
      <c r="AM324" s="265"/>
      <c r="AN324" s="265"/>
      <c r="AO324" s="74"/>
      <c r="AP324" s="74"/>
      <c r="AQ324" s="74"/>
      <c r="AR324" s="74"/>
      <c r="AS324" s="74"/>
      <c r="AT324" s="74"/>
      <c r="AU324" s="74"/>
      <c r="AV324" s="74"/>
      <c r="AW324" s="82"/>
      <c r="AX324" s="67"/>
    </row>
    <row r="325" spans="1:50" x14ac:dyDescent="0.25">
      <c r="A325" s="67" t="str">
        <f>IFERROR(IF(C325&lt;&gt;"",MAX($A$2:$A324)+1,""),"")</f>
        <v/>
      </c>
      <c r="B325" s="223">
        <f t="shared" si="5"/>
        <v>313</v>
      </c>
      <c r="C325" s="248"/>
      <c r="D325" s="270"/>
      <c r="E325" s="248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  <c r="W325" s="74"/>
      <c r="X325" s="265"/>
      <c r="Y325" s="265"/>
      <c r="Z325" s="265"/>
      <c r="AA325" s="265"/>
      <c r="AB325" s="265"/>
      <c r="AC325" s="265"/>
      <c r="AD325" s="265"/>
      <c r="AE325" s="265"/>
      <c r="AF325" s="265"/>
      <c r="AG325" s="265"/>
      <c r="AH325" s="265"/>
      <c r="AI325" s="265"/>
      <c r="AJ325" s="265"/>
      <c r="AK325" s="265"/>
      <c r="AL325" s="265"/>
      <c r="AM325" s="265"/>
      <c r="AN325" s="265"/>
      <c r="AO325" s="74"/>
      <c r="AP325" s="74"/>
      <c r="AQ325" s="74"/>
      <c r="AR325" s="74"/>
      <c r="AS325" s="74"/>
      <c r="AT325" s="74"/>
      <c r="AU325" s="74"/>
      <c r="AV325" s="74"/>
      <c r="AW325" s="82"/>
      <c r="AX325" s="67"/>
    </row>
    <row r="326" spans="1:50" x14ac:dyDescent="0.25">
      <c r="A326" s="67" t="str">
        <f>IFERROR(IF(C326&lt;&gt;"",MAX($A$2:$A325)+1,""),"")</f>
        <v/>
      </c>
      <c r="B326" s="223">
        <f t="shared" si="5"/>
        <v>314</v>
      </c>
      <c r="C326" s="248"/>
      <c r="D326" s="270"/>
      <c r="E326" s="248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  <c r="W326" s="74"/>
      <c r="X326" s="265"/>
      <c r="Y326" s="265"/>
      <c r="Z326" s="265"/>
      <c r="AA326" s="265"/>
      <c r="AB326" s="265"/>
      <c r="AC326" s="265"/>
      <c r="AD326" s="265"/>
      <c r="AE326" s="265"/>
      <c r="AF326" s="265"/>
      <c r="AG326" s="265"/>
      <c r="AH326" s="265"/>
      <c r="AI326" s="265"/>
      <c r="AJ326" s="265"/>
      <c r="AK326" s="265"/>
      <c r="AL326" s="265"/>
      <c r="AM326" s="265"/>
      <c r="AN326" s="265"/>
      <c r="AO326" s="74"/>
      <c r="AP326" s="74"/>
      <c r="AQ326" s="74"/>
      <c r="AR326" s="74"/>
      <c r="AS326" s="74"/>
      <c r="AT326" s="74"/>
      <c r="AU326" s="74"/>
      <c r="AV326" s="74"/>
      <c r="AW326" s="82"/>
      <c r="AX326" s="67"/>
    </row>
    <row r="327" spans="1:50" x14ac:dyDescent="0.25">
      <c r="A327" s="67" t="str">
        <f>IFERROR(IF(C327&lt;&gt;"",MAX($A$2:$A326)+1,""),"")</f>
        <v/>
      </c>
      <c r="B327" s="223">
        <f t="shared" si="5"/>
        <v>315</v>
      </c>
      <c r="C327" s="248"/>
      <c r="D327" s="270"/>
      <c r="E327" s="248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  <c r="W327" s="74"/>
      <c r="X327" s="265"/>
      <c r="Y327" s="265"/>
      <c r="Z327" s="265"/>
      <c r="AA327" s="265"/>
      <c r="AB327" s="265"/>
      <c r="AC327" s="265"/>
      <c r="AD327" s="265"/>
      <c r="AE327" s="265"/>
      <c r="AF327" s="265"/>
      <c r="AG327" s="265"/>
      <c r="AH327" s="265"/>
      <c r="AI327" s="265"/>
      <c r="AJ327" s="265"/>
      <c r="AK327" s="265"/>
      <c r="AL327" s="265"/>
      <c r="AM327" s="265"/>
      <c r="AN327" s="265"/>
      <c r="AO327" s="74"/>
      <c r="AP327" s="74"/>
      <c r="AQ327" s="74"/>
      <c r="AR327" s="74"/>
      <c r="AS327" s="74"/>
      <c r="AT327" s="74"/>
      <c r="AU327" s="74"/>
      <c r="AV327" s="74"/>
      <c r="AW327" s="82"/>
      <c r="AX327" s="67"/>
    </row>
    <row r="328" spans="1:50" x14ac:dyDescent="0.25">
      <c r="A328" s="67" t="str">
        <f>IFERROR(IF(C328&lt;&gt;"",MAX($A$2:$A327)+1,""),"")</f>
        <v/>
      </c>
      <c r="B328" s="223">
        <f t="shared" si="5"/>
        <v>316</v>
      </c>
      <c r="C328" s="248"/>
      <c r="D328" s="270"/>
      <c r="E328" s="248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  <c r="W328" s="74"/>
      <c r="X328" s="265"/>
      <c r="Y328" s="265"/>
      <c r="Z328" s="265"/>
      <c r="AA328" s="265"/>
      <c r="AB328" s="265"/>
      <c r="AC328" s="265"/>
      <c r="AD328" s="265"/>
      <c r="AE328" s="265"/>
      <c r="AF328" s="265"/>
      <c r="AG328" s="265"/>
      <c r="AH328" s="265"/>
      <c r="AI328" s="265"/>
      <c r="AJ328" s="265"/>
      <c r="AK328" s="265"/>
      <c r="AL328" s="265"/>
      <c r="AM328" s="265"/>
      <c r="AN328" s="265"/>
      <c r="AO328" s="74"/>
      <c r="AP328" s="74"/>
      <c r="AQ328" s="74"/>
      <c r="AR328" s="74"/>
      <c r="AS328" s="74"/>
      <c r="AT328" s="74"/>
      <c r="AU328" s="74"/>
      <c r="AV328" s="74"/>
      <c r="AW328" s="82"/>
      <c r="AX328" s="67"/>
    </row>
    <row r="329" spans="1:50" x14ac:dyDescent="0.25">
      <c r="A329" s="67" t="str">
        <f>IFERROR(IF(C329&lt;&gt;"",MAX($A$2:$A328)+1,""),"")</f>
        <v/>
      </c>
      <c r="B329" s="223">
        <f t="shared" si="5"/>
        <v>317</v>
      </c>
      <c r="C329" s="248"/>
      <c r="D329" s="270"/>
      <c r="E329" s="248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  <c r="W329" s="74"/>
      <c r="X329" s="265"/>
      <c r="Y329" s="265"/>
      <c r="Z329" s="265"/>
      <c r="AA329" s="265"/>
      <c r="AB329" s="265"/>
      <c r="AC329" s="265"/>
      <c r="AD329" s="265"/>
      <c r="AE329" s="265"/>
      <c r="AF329" s="265"/>
      <c r="AG329" s="265"/>
      <c r="AH329" s="265"/>
      <c r="AI329" s="265"/>
      <c r="AJ329" s="265"/>
      <c r="AK329" s="265"/>
      <c r="AL329" s="265"/>
      <c r="AM329" s="265"/>
      <c r="AN329" s="265"/>
      <c r="AO329" s="74"/>
      <c r="AP329" s="74"/>
      <c r="AQ329" s="74"/>
      <c r="AR329" s="74"/>
      <c r="AS329" s="74"/>
      <c r="AT329" s="74"/>
      <c r="AU329" s="74"/>
      <c r="AV329" s="74"/>
      <c r="AW329" s="82"/>
      <c r="AX329" s="67"/>
    </row>
    <row r="330" spans="1:50" x14ac:dyDescent="0.25">
      <c r="A330" s="67" t="str">
        <f>IFERROR(IF(C330&lt;&gt;"",MAX($A$2:$A329)+1,""),"")</f>
        <v/>
      </c>
      <c r="B330" s="223">
        <f t="shared" si="5"/>
        <v>318</v>
      </c>
      <c r="C330" s="248"/>
      <c r="D330" s="270"/>
      <c r="E330" s="248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  <c r="W330" s="74"/>
      <c r="X330" s="265"/>
      <c r="Y330" s="265"/>
      <c r="Z330" s="265"/>
      <c r="AA330" s="265"/>
      <c r="AB330" s="265"/>
      <c r="AC330" s="265"/>
      <c r="AD330" s="265"/>
      <c r="AE330" s="265"/>
      <c r="AF330" s="265"/>
      <c r="AG330" s="265"/>
      <c r="AH330" s="265"/>
      <c r="AI330" s="265"/>
      <c r="AJ330" s="265"/>
      <c r="AK330" s="265"/>
      <c r="AL330" s="265"/>
      <c r="AM330" s="265"/>
      <c r="AN330" s="265"/>
      <c r="AO330" s="74"/>
      <c r="AP330" s="74"/>
      <c r="AQ330" s="74"/>
      <c r="AR330" s="74"/>
      <c r="AS330" s="74"/>
      <c r="AT330" s="74"/>
      <c r="AU330" s="74"/>
      <c r="AV330" s="74"/>
      <c r="AW330" s="82"/>
      <c r="AX330" s="67"/>
    </row>
    <row r="331" spans="1:50" x14ac:dyDescent="0.25">
      <c r="A331" s="67" t="str">
        <f>IFERROR(IF(C331&lt;&gt;"",MAX($A$2:$A330)+1,""),"")</f>
        <v/>
      </c>
      <c r="B331" s="223">
        <f t="shared" si="5"/>
        <v>319</v>
      </c>
      <c r="C331" s="248"/>
      <c r="D331" s="270"/>
      <c r="E331" s="248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  <c r="W331" s="74"/>
      <c r="X331" s="265"/>
      <c r="Y331" s="265"/>
      <c r="Z331" s="265"/>
      <c r="AA331" s="265"/>
      <c r="AB331" s="265"/>
      <c r="AC331" s="265"/>
      <c r="AD331" s="265"/>
      <c r="AE331" s="265"/>
      <c r="AF331" s="265"/>
      <c r="AG331" s="265"/>
      <c r="AH331" s="265"/>
      <c r="AI331" s="265"/>
      <c r="AJ331" s="265"/>
      <c r="AK331" s="265"/>
      <c r="AL331" s="265"/>
      <c r="AM331" s="265"/>
      <c r="AN331" s="265"/>
      <c r="AO331" s="74"/>
      <c r="AP331" s="74"/>
      <c r="AQ331" s="74"/>
      <c r="AR331" s="74"/>
      <c r="AS331" s="74"/>
      <c r="AT331" s="74"/>
      <c r="AU331" s="74"/>
      <c r="AV331" s="74"/>
      <c r="AW331" s="82"/>
      <c r="AX331" s="67"/>
    </row>
    <row r="332" spans="1:50" x14ac:dyDescent="0.25">
      <c r="A332" s="67" t="str">
        <f>IFERROR(IF(C332&lt;&gt;"",MAX($A$2:$A331)+1,""),"")</f>
        <v/>
      </c>
      <c r="B332" s="223">
        <f t="shared" si="5"/>
        <v>320</v>
      </c>
      <c r="C332" s="248"/>
      <c r="D332" s="270"/>
      <c r="E332" s="248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  <c r="W332" s="74"/>
      <c r="X332" s="265"/>
      <c r="Y332" s="265"/>
      <c r="Z332" s="265"/>
      <c r="AA332" s="265"/>
      <c r="AB332" s="265"/>
      <c r="AC332" s="265"/>
      <c r="AD332" s="265"/>
      <c r="AE332" s="265"/>
      <c r="AF332" s="265"/>
      <c r="AG332" s="265"/>
      <c r="AH332" s="265"/>
      <c r="AI332" s="265"/>
      <c r="AJ332" s="265"/>
      <c r="AK332" s="265"/>
      <c r="AL332" s="265"/>
      <c r="AM332" s="265"/>
      <c r="AN332" s="265"/>
      <c r="AO332" s="74"/>
      <c r="AP332" s="74"/>
      <c r="AQ332" s="74"/>
      <c r="AR332" s="74"/>
      <c r="AS332" s="74"/>
      <c r="AT332" s="74"/>
      <c r="AU332" s="74"/>
      <c r="AV332" s="74"/>
      <c r="AW332" s="82"/>
      <c r="AX332" s="67"/>
    </row>
    <row r="333" spans="1:50" x14ac:dyDescent="0.25">
      <c r="A333" s="67" t="str">
        <f>IFERROR(IF(C333&lt;&gt;"",MAX($A$2:$A332)+1,""),"")</f>
        <v/>
      </c>
      <c r="B333" s="223">
        <f t="shared" si="5"/>
        <v>321</v>
      </c>
      <c r="C333" s="248"/>
      <c r="D333" s="270"/>
      <c r="E333" s="248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  <c r="W333" s="74"/>
      <c r="X333" s="265"/>
      <c r="Y333" s="265"/>
      <c r="Z333" s="265"/>
      <c r="AA333" s="265"/>
      <c r="AB333" s="265"/>
      <c r="AC333" s="265"/>
      <c r="AD333" s="265"/>
      <c r="AE333" s="265"/>
      <c r="AF333" s="265"/>
      <c r="AG333" s="265"/>
      <c r="AH333" s="265"/>
      <c r="AI333" s="265"/>
      <c r="AJ333" s="265"/>
      <c r="AK333" s="265"/>
      <c r="AL333" s="265"/>
      <c r="AM333" s="265"/>
      <c r="AN333" s="265"/>
      <c r="AO333" s="74"/>
      <c r="AP333" s="74"/>
      <c r="AQ333" s="74"/>
      <c r="AR333" s="74"/>
      <c r="AS333" s="74"/>
      <c r="AT333" s="74"/>
      <c r="AU333" s="74"/>
      <c r="AV333" s="74"/>
      <c r="AW333" s="82"/>
      <c r="AX333" s="67"/>
    </row>
    <row r="334" spans="1:50" x14ac:dyDescent="0.25">
      <c r="A334" s="67" t="str">
        <f>IFERROR(IF(C334&lt;&gt;"",MAX($A$2:$A333)+1,""),"")</f>
        <v/>
      </c>
      <c r="B334" s="223">
        <f t="shared" si="5"/>
        <v>322</v>
      </c>
      <c r="C334" s="248"/>
      <c r="D334" s="270"/>
      <c r="E334" s="248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  <c r="W334" s="74"/>
      <c r="X334" s="265"/>
      <c r="Y334" s="265"/>
      <c r="Z334" s="265"/>
      <c r="AA334" s="265"/>
      <c r="AB334" s="265"/>
      <c r="AC334" s="265"/>
      <c r="AD334" s="265"/>
      <c r="AE334" s="265"/>
      <c r="AF334" s="265"/>
      <c r="AG334" s="265"/>
      <c r="AH334" s="265"/>
      <c r="AI334" s="265"/>
      <c r="AJ334" s="265"/>
      <c r="AK334" s="265"/>
      <c r="AL334" s="265"/>
      <c r="AM334" s="265"/>
      <c r="AN334" s="265"/>
      <c r="AO334" s="74"/>
      <c r="AP334" s="74"/>
      <c r="AQ334" s="74"/>
      <c r="AR334" s="74"/>
      <c r="AS334" s="74"/>
      <c r="AT334" s="74"/>
      <c r="AU334" s="74"/>
      <c r="AV334" s="74"/>
      <c r="AW334" s="82"/>
      <c r="AX334" s="67"/>
    </row>
    <row r="335" spans="1:50" x14ac:dyDescent="0.25">
      <c r="A335" s="67" t="str">
        <f>IFERROR(IF(C335&lt;&gt;"",MAX($A$2:$A334)+1,""),"")</f>
        <v/>
      </c>
      <c r="B335" s="223">
        <f t="shared" si="5"/>
        <v>323</v>
      </c>
      <c r="C335" s="248"/>
      <c r="D335" s="270"/>
      <c r="E335" s="248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  <c r="W335" s="74"/>
      <c r="X335" s="265"/>
      <c r="Y335" s="265"/>
      <c r="Z335" s="265"/>
      <c r="AA335" s="265"/>
      <c r="AB335" s="265"/>
      <c r="AC335" s="265"/>
      <c r="AD335" s="265"/>
      <c r="AE335" s="265"/>
      <c r="AF335" s="265"/>
      <c r="AG335" s="265"/>
      <c r="AH335" s="265"/>
      <c r="AI335" s="265"/>
      <c r="AJ335" s="265"/>
      <c r="AK335" s="265"/>
      <c r="AL335" s="265"/>
      <c r="AM335" s="265"/>
      <c r="AN335" s="265"/>
      <c r="AO335" s="74"/>
      <c r="AP335" s="74"/>
      <c r="AQ335" s="74"/>
      <c r="AR335" s="74"/>
      <c r="AS335" s="74"/>
      <c r="AT335" s="74"/>
      <c r="AU335" s="74"/>
      <c r="AV335" s="74"/>
      <c r="AW335" s="82"/>
      <c r="AX335" s="67"/>
    </row>
    <row r="336" spans="1:50" x14ac:dyDescent="0.25">
      <c r="A336" s="67" t="str">
        <f>IFERROR(IF(C336&lt;&gt;"",MAX($A$2:$A335)+1,""),"")</f>
        <v/>
      </c>
      <c r="B336" s="223">
        <f t="shared" si="5"/>
        <v>324</v>
      </c>
      <c r="C336" s="248"/>
      <c r="D336" s="270"/>
      <c r="E336" s="248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  <c r="W336" s="74"/>
      <c r="X336" s="265"/>
      <c r="Y336" s="265"/>
      <c r="Z336" s="265"/>
      <c r="AA336" s="265"/>
      <c r="AB336" s="265"/>
      <c r="AC336" s="265"/>
      <c r="AD336" s="265"/>
      <c r="AE336" s="265"/>
      <c r="AF336" s="265"/>
      <c r="AG336" s="265"/>
      <c r="AH336" s="265"/>
      <c r="AI336" s="265"/>
      <c r="AJ336" s="265"/>
      <c r="AK336" s="265"/>
      <c r="AL336" s="265"/>
      <c r="AM336" s="265"/>
      <c r="AN336" s="265"/>
      <c r="AO336" s="74"/>
      <c r="AP336" s="74"/>
      <c r="AQ336" s="74"/>
      <c r="AR336" s="74"/>
      <c r="AS336" s="74"/>
      <c r="AT336" s="74"/>
      <c r="AU336" s="74"/>
      <c r="AV336" s="74"/>
      <c r="AW336" s="82"/>
      <c r="AX336" s="67"/>
    </row>
    <row r="337" spans="1:50" x14ac:dyDescent="0.25">
      <c r="A337" s="67" t="str">
        <f>IFERROR(IF(C337&lt;&gt;"",MAX($A$2:$A336)+1,""),"")</f>
        <v/>
      </c>
      <c r="B337" s="223">
        <f t="shared" si="5"/>
        <v>325</v>
      </c>
      <c r="C337" s="248"/>
      <c r="D337" s="270"/>
      <c r="E337" s="248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  <c r="W337" s="74"/>
      <c r="X337" s="265"/>
      <c r="Y337" s="265"/>
      <c r="Z337" s="265"/>
      <c r="AA337" s="265"/>
      <c r="AB337" s="265"/>
      <c r="AC337" s="265"/>
      <c r="AD337" s="265"/>
      <c r="AE337" s="265"/>
      <c r="AF337" s="265"/>
      <c r="AG337" s="265"/>
      <c r="AH337" s="265"/>
      <c r="AI337" s="265"/>
      <c r="AJ337" s="265"/>
      <c r="AK337" s="265"/>
      <c r="AL337" s="265"/>
      <c r="AM337" s="265"/>
      <c r="AN337" s="265"/>
      <c r="AO337" s="74"/>
      <c r="AP337" s="74"/>
      <c r="AQ337" s="74"/>
      <c r="AR337" s="74"/>
      <c r="AS337" s="74"/>
      <c r="AT337" s="74"/>
      <c r="AU337" s="74"/>
      <c r="AV337" s="74"/>
      <c r="AW337" s="82"/>
      <c r="AX337" s="67"/>
    </row>
    <row r="338" spans="1:50" x14ac:dyDescent="0.25">
      <c r="A338" s="67" t="str">
        <f>IFERROR(IF(C338&lt;&gt;"",MAX($A$2:$A337)+1,""),"")</f>
        <v/>
      </c>
      <c r="B338" s="223">
        <f t="shared" si="5"/>
        <v>326</v>
      </c>
      <c r="C338" s="248"/>
      <c r="D338" s="270"/>
      <c r="E338" s="248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  <c r="W338" s="74"/>
      <c r="X338" s="265"/>
      <c r="Y338" s="265"/>
      <c r="Z338" s="265"/>
      <c r="AA338" s="265"/>
      <c r="AB338" s="265"/>
      <c r="AC338" s="265"/>
      <c r="AD338" s="265"/>
      <c r="AE338" s="265"/>
      <c r="AF338" s="265"/>
      <c r="AG338" s="265"/>
      <c r="AH338" s="265"/>
      <c r="AI338" s="265"/>
      <c r="AJ338" s="265"/>
      <c r="AK338" s="265"/>
      <c r="AL338" s="265"/>
      <c r="AM338" s="265"/>
      <c r="AN338" s="265"/>
      <c r="AO338" s="74"/>
      <c r="AP338" s="74"/>
      <c r="AQ338" s="74"/>
      <c r="AR338" s="74"/>
      <c r="AS338" s="74"/>
      <c r="AT338" s="74"/>
      <c r="AU338" s="74"/>
      <c r="AV338" s="74"/>
      <c r="AW338" s="82"/>
      <c r="AX338" s="67"/>
    </row>
    <row r="339" spans="1:50" x14ac:dyDescent="0.25">
      <c r="A339" s="67" t="str">
        <f>IFERROR(IF(C339&lt;&gt;"",MAX($A$2:$A338)+1,""),"")</f>
        <v/>
      </c>
      <c r="B339" s="223">
        <f t="shared" si="5"/>
        <v>327</v>
      </c>
      <c r="C339" s="248"/>
      <c r="D339" s="270"/>
      <c r="E339" s="248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  <c r="W339" s="74"/>
      <c r="X339" s="265"/>
      <c r="Y339" s="265"/>
      <c r="Z339" s="265"/>
      <c r="AA339" s="265"/>
      <c r="AB339" s="265"/>
      <c r="AC339" s="265"/>
      <c r="AD339" s="265"/>
      <c r="AE339" s="265"/>
      <c r="AF339" s="265"/>
      <c r="AG339" s="265"/>
      <c r="AH339" s="265"/>
      <c r="AI339" s="265"/>
      <c r="AJ339" s="265"/>
      <c r="AK339" s="265"/>
      <c r="AL339" s="265"/>
      <c r="AM339" s="265"/>
      <c r="AN339" s="265"/>
      <c r="AO339" s="74"/>
      <c r="AP339" s="74"/>
      <c r="AQ339" s="74"/>
      <c r="AR339" s="74"/>
      <c r="AS339" s="74"/>
      <c r="AT339" s="74"/>
      <c r="AU339" s="74"/>
      <c r="AV339" s="74"/>
      <c r="AW339" s="82"/>
      <c r="AX339" s="67"/>
    </row>
    <row r="340" spans="1:50" x14ac:dyDescent="0.25">
      <c r="A340" s="67" t="str">
        <f>IFERROR(IF(C340&lt;&gt;"",MAX($A$2:$A339)+1,""),"")</f>
        <v/>
      </c>
      <c r="B340" s="223">
        <f t="shared" si="5"/>
        <v>328</v>
      </c>
      <c r="C340" s="248"/>
      <c r="D340" s="270"/>
      <c r="E340" s="248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  <c r="W340" s="74"/>
      <c r="X340" s="265"/>
      <c r="Y340" s="265"/>
      <c r="Z340" s="265"/>
      <c r="AA340" s="265"/>
      <c r="AB340" s="265"/>
      <c r="AC340" s="265"/>
      <c r="AD340" s="265"/>
      <c r="AE340" s="265"/>
      <c r="AF340" s="265"/>
      <c r="AG340" s="265"/>
      <c r="AH340" s="265"/>
      <c r="AI340" s="265"/>
      <c r="AJ340" s="265"/>
      <c r="AK340" s="265"/>
      <c r="AL340" s="265"/>
      <c r="AM340" s="265"/>
      <c r="AN340" s="265"/>
      <c r="AO340" s="74"/>
      <c r="AP340" s="74"/>
      <c r="AQ340" s="74"/>
      <c r="AR340" s="74"/>
      <c r="AS340" s="74"/>
      <c r="AT340" s="74"/>
      <c r="AU340" s="74"/>
      <c r="AV340" s="74"/>
      <c r="AW340" s="82"/>
      <c r="AX340" s="67"/>
    </row>
    <row r="341" spans="1:50" x14ac:dyDescent="0.25">
      <c r="A341" s="67" t="str">
        <f>IFERROR(IF(C341&lt;&gt;"",MAX($A$2:$A340)+1,""),"")</f>
        <v/>
      </c>
      <c r="B341" s="223">
        <f t="shared" si="5"/>
        <v>329</v>
      </c>
      <c r="C341" s="248"/>
      <c r="D341" s="270"/>
      <c r="E341" s="248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  <c r="W341" s="74"/>
      <c r="X341" s="265"/>
      <c r="Y341" s="265"/>
      <c r="Z341" s="265"/>
      <c r="AA341" s="265"/>
      <c r="AB341" s="265"/>
      <c r="AC341" s="265"/>
      <c r="AD341" s="265"/>
      <c r="AE341" s="265"/>
      <c r="AF341" s="265"/>
      <c r="AG341" s="265"/>
      <c r="AH341" s="265"/>
      <c r="AI341" s="265"/>
      <c r="AJ341" s="265"/>
      <c r="AK341" s="265"/>
      <c r="AL341" s="265"/>
      <c r="AM341" s="265"/>
      <c r="AN341" s="265"/>
      <c r="AO341" s="74"/>
      <c r="AP341" s="74"/>
      <c r="AQ341" s="74"/>
      <c r="AR341" s="74"/>
      <c r="AS341" s="74"/>
      <c r="AT341" s="74"/>
      <c r="AU341" s="74"/>
      <c r="AV341" s="74"/>
      <c r="AW341" s="82"/>
      <c r="AX341" s="67"/>
    </row>
    <row r="342" spans="1:50" x14ac:dyDescent="0.25">
      <c r="A342" s="67" t="str">
        <f>IFERROR(IF(C342&lt;&gt;"",MAX($A$2:$A341)+1,""),"")</f>
        <v/>
      </c>
      <c r="B342" s="223">
        <f t="shared" si="5"/>
        <v>330</v>
      </c>
      <c r="C342" s="248"/>
      <c r="D342" s="270"/>
      <c r="E342" s="248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  <c r="W342" s="74"/>
      <c r="X342" s="265"/>
      <c r="Y342" s="265"/>
      <c r="Z342" s="265"/>
      <c r="AA342" s="265"/>
      <c r="AB342" s="265"/>
      <c r="AC342" s="265"/>
      <c r="AD342" s="265"/>
      <c r="AE342" s="265"/>
      <c r="AF342" s="265"/>
      <c r="AG342" s="265"/>
      <c r="AH342" s="265"/>
      <c r="AI342" s="265"/>
      <c r="AJ342" s="265"/>
      <c r="AK342" s="265"/>
      <c r="AL342" s="265"/>
      <c r="AM342" s="265"/>
      <c r="AN342" s="265"/>
      <c r="AO342" s="74"/>
      <c r="AP342" s="74"/>
      <c r="AQ342" s="74"/>
      <c r="AR342" s="74"/>
      <c r="AS342" s="74"/>
      <c r="AT342" s="74"/>
      <c r="AU342" s="74"/>
      <c r="AV342" s="74"/>
      <c r="AW342" s="82"/>
      <c r="AX342" s="67"/>
    </row>
    <row r="343" spans="1:50" x14ac:dyDescent="0.25">
      <c r="A343" s="67" t="str">
        <f>IFERROR(IF(C343&lt;&gt;"",MAX($A$2:$A342)+1,""),"")</f>
        <v/>
      </c>
      <c r="B343" s="223">
        <f t="shared" si="5"/>
        <v>331</v>
      </c>
      <c r="C343" s="248"/>
      <c r="D343" s="270"/>
      <c r="E343" s="248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  <c r="W343" s="74"/>
      <c r="X343" s="265"/>
      <c r="Y343" s="265"/>
      <c r="Z343" s="265"/>
      <c r="AA343" s="265"/>
      <c r="AB343" s="265"/>
      <c r="AC343" s="265"/>
      <c r="AD343" s="265"/>
      <c r="AE343" s="265"/>
      <c r="AF343" s="265"/>
      <c r="AG343" s="265"/>
      <c r="AH343" s="265"/>
      <c r="AI343" s="265"/>
      <c r="AJ343" s="265"/>
      <c r="AK343" s="265"/>
      <c r="AL343" s="265"/>
      <c r="AM343" s="265"/>
      <c r="AN343" s="265"/>
      <c r="AO343" s="74"/>
      <c r="AP343" s="74"/>
      <c r="AQ343" s="74"/>
      <c r="AR343" s="74"/>
      <c r="AS343" s="74"/>
      <c r="AT343" s="74"/>
      <c r="AU343" s="74"/>
      <c r="AV343" s="74"/>
      <c r="AW343" s="82"/>
      <c r="AX343" s="67"/>
    </row>
    <row r="344" spans="1:50" x14ac:dyDescent="0.25">
      <c r="A344" s="67" t="str">
        <f>IFERROR(IF(C344&lt;&gt;"",MAX($A$2:$A343)+1,""),"")</f>
        <v/>
      </c>
      <c r="B344" s="223">
        <f t="shared" si="5"/>
        <v>332</v>
      </c>
      <c r="C344" s="248"/>
      <c r="D344" s="270"/>
      <c r="E344" s="248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  <c r="W344" s="74"/>
      <c r="X344" s="265"/>
      <c r="Y344" s="265"/>
      <c r="Z344" s="265"/>
      <c r="AA344" s="265"/>
      <c r="AB344" s="265"/>
      <c r="AC344" s="265"/>
      <c r="AD344" s="265"/>
      <c r="AE344" s="265"/>
      <c r="AF344" s="265"/>
      <c r="AG344" s="265"/>
      <c r="AH344" s="265"/>
      <c r="AI344" s="265"/>
      <c r="AJ344" s="265"/>
      <c r="AK344" s="265"/>
      <c r="AL344" s="265"/>
      <c r="AM344" s="265"/>
      <c r="AN344" s="265"/>
      <c r="AO344" s="74"/>
      <c r="AP344" s="74"/>
      <c r="AQ344" s="74"/>
      <c r="AR344" s="74"/>
      <c r="AS344" s="74"/>
      <c r="AT344" s="74"/>
      <c r="AU344" s="74"/>
      <c r="AV344" s="74"/>
      <c r="AW344" s="82"/>
      <c r="AX344" s="67"/>
    </row>
    <row r="345" spans="1:50" x14ac:dyDescent="0.25">
      <c r="A345" s="67" t="str">
        <f>IFERROR(IF(C345&lt;&gt;"",MAX($A$2:$A344)+1,""),"")</f>
        <v/>
      </c>
      <c r="B345" s="223">
        <f t="shared" si="5"/>
        <v>333</v>
      </c>
      <c r="C345" s="248"/>
      <c r="D345" s="270"/>
      <c r="E345" s="248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  <c r="W345" s="74"/>
      <c r="X345" s="265"/>
      <c r="Y345" s="265"/>
      <c r="Z345" s="265"/>
      <c r="AA345" s="265"/>
      <c r="AB345" s="265"/>
      <c r="AC345" s="265"/>
      <c r="AD345" s="265"/>
      <c r="AE345" s="265"/>
      <c r="AF345" s="265"/>
      <c r="AG345" s="265"/>
      <c r="AH345" s="265"/>
      <c r="AI345" s="265"/>
      <c r="AJ345" s="265"/>
      <c r="AK345" s="265"/>
      <c r="AL345" s="265"/>
      <c r="AM345" s="265"/>
      <c r="AN345" s="265"/>
      <c r="AO345" s="74"/>
      <c r="AP345" s="74"/>
      <c r="AQ345" s="74"/>
      <c r="AR345" s="74"/>
      <c r="AS345" s="74"/>
      <c r="AT345" s="74"/>
      <c r="AU345" s="74"/>
      <c r="AV345" s="74"/>
      <c r="AW345" s="82"/>
      <c r="AX345" s="67"/>
    </row>
    <row r="346" spans="1:50" x14ac:dyDescent="0.25">
      <c r="A346" s="67" t="str">
        <f>IFERROR(IF(C346&lt;&gt;"",MAX($A$2:$A345)+1,""),"")</f>
        <v/>
      </c>
      <c r="B346" s="223">
        <f t="shared" si="5"/>
        <v>334</v>
      </c>
      <c r="C346" s="248"/>
      <c r="D346" s="270"/>
      <c r="E346" s="248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  <c r="W346" s="74"/>
      <c r="X346" s="265"/>
      <c r="Y346" s="265"/>
      <c r="Z346" s="265"/>
      <c r="AA346" s="265"/>
      <c r="AB346" s="265"/>
      <c r="AC346" s="265"/>
      <c r="AD346" s="265"/>
      <c r="AE346" s="265"/>
      <c r="AF346" s="265"/>
      <c r="AG346" s="265"/>
      <c r="AH346" s="265"/>
      <c r="AI346" s="265"/>
      <c r="AJ346" s="265"/>
      <c r="AK346" s="265"/>
      <c r="AL346" s="265"/>
      <c r="AM346" s="265"/>
      <c r="AN346" s="265"/>
      <c r="AO346" s="74"/>
      <c r="AP346" s="74"/>
      <c r="AQ346" s="74"/>
      <c r="AR346" s="74"/>
      <c r="AS346" s="74"/>
      <c r="AT346" s="74"/>
      <c r="AU346" s="74"/>
      <c r="AV346" s="74"/>
      <c r="AW346" s="82"/>
      <c r="AX346" s="67"/>
    </row>
    <row r="347" spans="1:50" x14ac:dyDescent="0.25">
      <c r="A347" s="67" t="str">
        <f>IFERROR(IF(C347&lt;&gt;"",MAX($A$2:$A346)+1,""),"")</f>
        <v/>
      </c>
      <c r="B347" s="223">
        <f t="shared" si="5"/>
        <v>335</v>
      </c>
      <c r="C347" s="248"/>
      <c r="D347" s="270"/>
      <c r="E347" s="248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  <c r="W347" s="74"/>
      <c r="X347" s="265"/>
      <c r="Y347" s="265"/>
      <c r="Z347" s="265"/>
      <c r="AA347" s="265"/>
      <c r="AB347" s="265"/>
      <c r="AC347" s="265"/>
      <c r="AD347" s="265"/>
      <c r="AE347" s="265"/>
      <c r="AF347" s="265"/>
      <c r="AG347" s="265"/>
      <c r="AH347" s="265"/>
      <c r="AI347" s="265"/>
      <c r="AJ347" s="265"/>
      <c r="AK347" s="265"/>
      <c r="AL347" s="265"/>
      <c r="AM347" s="265"/>
      <c r="AN347" s="265"/>
      <c r="AO347" s="74"/>
      <c r="AP347" s="74"/>
      <c r="AQ347" s="74"/>
      <c r="AR347" s="74"/>
      <c r="AS347" s="74"/>
      <c r="AT347" s="74"/>
      <c r="AU347" s="74"/>
      <c r="AV347" s="74"/>
      <c r="AW347" s="82"/>
      <c r="AX347" s="67"/>
    </row>
    <row r="348" spans="1:50" x14ac:dyDescent="0.25">
      <c r="A348" s="67" t="str">
        <f>IFERROR(IF(C348&lt;&gt;"",MAX($A$2:$A347)+1,""),"")</f>
        <v/>
      </c>
      <c r="B348" s="223">
        <f t="shared" si="5"/>
        <v>336</v>
      </c>
      <c r="C348" s="248"/>
      <c r="D348" s="270"/>
      <c r="E348" s="248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74"/>
      <c r="U348" s="74"/>
      <c r="V348" s="74"/>
      <c r="W348" s="74"/>
      <c r="X348" s="265"/>
      <c r="Y348" s="265"/>
      <c r="Z348" s="265"/>
      <c r="AA348" s="265"/>
      <c r="AB348" s="265"/>
      <c r="AC348" s="265"/>
      <c r="AD348" s="265"/>
      <c r="AE348" s="265"/>
      <c r="AF348" s="265"/>
      <c r="AG348" s="265"/>
      <c r="AH348" s="265"/>
      <c r="AI348" s="265"/>
      <c r="AJ348" s="265"/>
      <c r="AK348" s="265"/>
      <c r="AL348" s="265"/>
      <c r="AM348" s="265"/>
      <c r="AN348" s="265"/>
      <c r="AO348" s="74"/>
      <c r="AP348" s="74"/>
      <c r="AQ348" s="74"/>
      <c r="AR348" s="74"/>
      <c r="AS348" s="74"/>
      <c r="AT348" s="74"/>
      <c r="AU348" s="74"/>
      <c r="AV348" s="74"/>
      <c r="AW348" s="82"/>
      <c r="AX348" s="67"/>
    </row>
    <row r="349" spans="1:50" x14ac:dyDescent="0.25">
      <c r="A349" s="67" t="str">
        <f>IFERROR(IF(C349&lt;&gt;"",MAX($A$2:$A348)+1,""),"")</f>
        <v/>
      </c>
      <c r="B349" s="223">
        <f t="shared" si="5"/>
        <v>337</v>
      </c>
      <c r="C349" s="248"/>
      <c r="D349" s="270"/>
      <c r="E349" s="248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74"/>
      <c r="U349" s="74"/>
      <c r="V349" s="74"/>
      <c r="W349" s="74"/>
      <c r="X349" s="265"/>
      <c r="Y349" s="265"/>
      <c r="Z349" s="265"/>
      <c r="AA349" s="265"/>
      <c r="AB349" s="265"/>
      <c r="AC349" s="265"/>
      <c r="AD349" s="265"/>
      <c r="AE349" s="265"/>
      <c r="AF349" s="265"/>
      <c r="AG349" s="265"/>
      <c r="AH349" s="265"/>
      <c r="AI349" s="265"/>
      <c r="AJ349" s="265"/>
      <c r="AK349" s="265"/>
      <c r="AL349" s="265"/>
      <c r="AM349" s="265"/>
      <c r="AN349" s="265"/>
      <c r="AO349" s="74"/>
      <c r="AP349" s="74"/>
      <c r="AQ349" s="74"/>
      <c r="AR349" s="74"/>
      <c r="AS349" s="74"/>
      <c r="AT349" s="74"/>
      <c r="AU349" s="74"/>
      <c r="AV349" s="74"/>
      <c r="AW349" s="82"/>
      <c r="AX349" s="67"/>
    </row>
    <row r="350" spans="1:50" x14ac:dyDescent="0.25">
      <c r="A350" s="67" t="str">
        <f>IFERROR(IF(C350&lt;&gt;"",MAX($A$2:$A349)+1,""),"")</f>
        <v/>
      </c>
      <c r="B350" s="223">
        <f t="shared" si="5"/>
        <v>338</v>
      </c>
      <c r="C350" s="248"/>
      <c r="D350" s="270"/>
      <c r="E350" s="248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/>
      <c r="U350" s="74"/>
      <c r="V350" s="74"/>
      <c r="W350" s="74"/>
      <c r="X350" s="265"/>
      <c r="Y350" s="265"/>
      <c r="Z350" s="265"/>
      <c r="AA350" s="265"/>
      <c r="AB350" s="265"/>
      <c r="AC350" s="265"/>
      <c r="AD350" s="265"/>
      <c r="AE350" s="265"/>
      <c r="AF350" s="265"/>
      <c r="AG350" s="265"/>
      <c r="AH350" s="265"/>
      <c r="AI350" s="265"/>
      <c r="AJ350" s="265"/>
      <c r="AK350" s="265"/>
      <c r="AL350" s="265"/>
      <c r="AM350" s="265"/>
      <c r="AN350" s="265"/>
      <c r="AO350" s="74"/>
      <c r="AP350" s="74"/>
      <c r="AQ350" s="74"/>
      <c r="AR350" s="74"/>
      <c r="AS350" s="74"/>
      <c r="AT350" s="74"/>
      <c r="AU350" s="74"/>
      <c r="AV350" s="74"/>
      <c r="AW350" s="82"/>
      <c r="AX350" s="67"/>
    </row>
    <row r="351" spans="1:50" x14ac:dyDescent="0.25">
      <c r="A351" s="67" t="str">
        <f>IFERROR(IF(C351&lt;&gt;"",MAX($A$2:$A350)+1,""),"")</f>
        <v/>
      </c>
      <c r="B351" s="223">
        <f t="shared" si="5"/>
        <v>339</v>
      </c>
      <c r="C351" s="248"/>
      <c r="D351" s="270"/>
      <c r="E351" s="248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4"/>
      <c r="Q351" s="74"/>
      <c r="R351" s="74"/>
      <c r="S351" s="74"/>
      <c r="T351" s="74"/>
      <c r="U351" s="74"/>
      <c r="V351" s="74"/>
      <c r="W351" s="74"/>
      <c r="X351" s="265"/>
      <c r="Y351" s="265"/>
      <c r="Z351" s="265"/>
      <c r="AA351" s="265"/>
      <c r="AB351" s="265"/>
      <c r="AC351" s="265"/>
      <c r="AD351" s="265"/>
      <c r="AE351" s="265"/>
      <c r="AF351" s="265"/>
      <c r="AG351" s="265"/>
      <c r="AH351" s="265"/>
      <c r="AI351" s="265"/>
      <c r="AJ351" s="265"/>
      <c r="AK351" s="265"/>
      <c r="AL351" s="265"/>
      <c r="AM351" s="265"/>
      <c r="AN351" s="265"/>
      <c r="AO351" s="74"/>
      <c r="AP351" s="74"/>
      <c r="AQ351" s="74"/>
      <c r="AR351" s="74"/>
      <c r="AS351" s="74"/>
      <c r="AT351" s="74"/>
      <c r="AU351" s="74"/>
      <c r="AV351" s="74"/>
      <c r="AW351" s="82"/>
      <c r="AX351" s="67"/>
    </row>
    <row r="352" spans="1:50" x14ac:dyDescent="0.25">
      <c r="A352" s="67" t="str">
        <f>IFERROR(IF(C352&lt;&gt;"",MAX($A$2:$A351)+1,""),"")</f>
        <v/>
      </c>
      <c r="B352" s="223">
        <f t="shared" si="5"/>
        <v>340</v>
      </c>
      <c r="C352" s="248"/>
      <c r="D352" s="270"/>
      <c r="E352" s="248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/>
      <c r="W352" s="74"/>
      <c r="X352" s="265"/>
      <c r="Y352" s="265"/>
      <c r="Z352" s="265"/>
      <c r="AA352" s="265"/>
      <c r="AB352" s="265"/>
      <c r="AC352" s="265"/>
      <c r="AD352" s="265"/>
      <c r="AE352" s="265"/>
      <c r="AF352" s="265"/>
      <c r="AG352" s="265"/>
      <c r="AH352" s="265"/>
      <c r="AI352" s="265"/>
      <c r="AJ352" s="265"/>
      <c r="AK352" s="265"/>
      <c r="AL352" s="265"/>
      <c r="AM352" s="265"/>
      <c r="AN352" s="265"/>
      <c r="AO352" s="74"/>
      <c r="AP352" s="74"/>
      <c r="AQ352" s="74"/>
      <c r="AR352" s="74"/>
      <c r="AS352" s="74"/>
      <c r="AT352" s="74"/>
      <c r="AU352" s="74"/>
      <c r="AV352" s="74"/>
      <c r="AW352" s="82"/>
      <c r="AX352" s="67"/>
    </row>
    <row r="353" spans="1:50" x14ac:dyDescent="0.25">
      <c r="A353" s="67" t="str">
        <f>IFERROR(IF(C353&lt;&gt;"",MAX($A$2:$A352)+1,""),"")</f>
        <v/>
      </c>
      <c r="B353" s="223">
        <f t="shared" si="5"/>
        <v>341</v>
      </c>
      <c r="C353" s="248"/>
      <c r="D353" s="270"/>
      <c r="E353" s="248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  <c r="W353" s="74"/>
      <c r="X353" s="265"/>
      <c r="Y353" s="265"/>
      <c r="Z353" s="265"/>
      <c r="AA353" s="265"/>
      <c r="AB353" s="265"/>
      <c r="AC353" s="265"/>
      <c r="AD353" s="265"/>
      <c r="AE353" s="265"/>
      <c r="AF353" s="265"/>
      <c r="AG353" s="265"/>
      <c r="AH353" s="265"/>
      <c r="AI353" s="265"/>
      <c r="AJ353" s="265"/>
      <c r="AK353" s="265"/>
      <c r="AL353" s="265"/>
      <c r="AM353" s="265"/>
      <c r="AN353" s="265"/>
      <c r="AO353" s="74"/>
      <c r="AP353" s="74"/>
      <c r="AQ353" s="74"/>
      <c r="AR353" s="74"/>
      <c r="AS353" s="74"/>
      <c r="AT353" s="74"/>
      <c r="AU353" s="74"/>
      <c r="AV353" s="74"/>
      <c r="AW353" s="82"/>
      <c r="AX353" s="67"/>
    </row>
    <row r="354" spans="1:50" x14ac:dyDescent="0.25">
      <c r="A354" s="67" t="str">
        <f>IFERROR(IF(C354&lt;&gt;"",MAX($A$2:$A353)+1,""),"")</f>
        <v/>
      </c>
      <c r="B354" s="223">
        <f t="shared" si="5"/>
        <v>342</v>
      </c>
      <c r="C354" s="248"/>
      <c r="D354" s="270"/>
      <c r="E354" s="248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  <c r="W354" s="74"/>
      <c r="X354" s="265"/>
      <c r="Y354" s="265"/>
      <c r="Z354" s="265"/>
      <c r="AA354" s="265"/>
      <c r="AB354" s="265"/>
      <c r="AC354" s="265"/>
      <c r="AD354" s="265"/>
      <c r="AE354" s="265"/>
      <c r="AF354" s="265"/>
      <c r="AG354" s="265"/>
      <c r="AH354" s="265"/>
      <c r="AI354" s="265"/>
      <c r="AJ354" s="265"/>
      <c r="AK354" s="265"/>
      <c r="AL354" s="265"/>
      <c r="AM354" s="265"/>
      <c r="AN354" s="265"/>
      <c r="AO354" s="74"/>
      <c r="AP354" s="74"/>
      <c r="AQ354" s="74"/>
      <c r="AR354" s="74"/>
      <c r="AS354" s="74"/>
      <c r="AT354" s="74"/>
      <c r="AU354" s="74"/>
      <c r="AV354" s="74"/>
      <c r="AW354" s="82"/>
      <c r="AX354" s="67"/>
    </row>
    <row r="355" spans="1:50" x14ac:dyDescent="0.25">
      <c r="A355" s="67" t="str">
        <f>IFERROR(IF(C355&lt;&gt;"",MAX($A$2:$A354)+1,""),"")</f>
        <v/>
      </c>
      <c r="B355" s="223">
        <f t="shared" si="5"/>
        <v>343</v>
      </c>
      <c r="C355" s="248"/>
      <c r="D355" s="270"/>
      <c r="E355" s="248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74"/>
      <c r="U355" s="74"/>
      <c r="V355" s="74"/>
      <c r="W355" s="74"/>
      <c r="X355" s="265"/>
      <c r="Y355" s="265"/>
      <c r="Z355" s="265"/>
      <c r="AA355" s="265"/>
      <c r="AB355" s="265"/>
      <c r="AC355" s="265"/>
      <c r="AD355" s="265"/>
      <c r="AE355" s="265"/>
      <c r="AF355" s="265"/>
      <c r="AG355" s="265"/>
      <c r="AH355" s="265"/>
      <c r="AI355" s="265"/>
      <c r="AJ355" s="265"/>
      <c r="AK355" s="265"/>
      <c r="AL355" s="265"/>
      <c r="AM355" s="265"/>
      <c r="AN355" s="265"/>
      <c r="AO355" s="74"/>
      <c r="AP355" s="74"/>
      <c r="AQ355" s="74"/>
      <c r="AR355" s="74"/>
      <c r="AS355" s="74"/>
      <c r="AT355" s="74"/>
      <c r="AU355" s="74"/>
      <c r="AV355" s="74"/>
      <c r="AW355" s="82"/>
      <c r="AX355" s="67"/>
    </row>
    <row r="356" spans="1:50" x14ac:dyDescent="0.25">
      <c r="A356" s="67" t="str">
        <f>IFERROR(IF(C356&lt;&gt;"",MAX($A$2:$A355)+1,""),"")</f>
        <v/>
      </c>
      <c r="B356" s="223">
        <f t="shared" si="5"/>
        <v>344</v>
      </c>
      <c r="C356" s="248"/>
      <c r="D356" s="270"/>
      <c r="E356" s="248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74"/>
      <c r="U356" s="74"/>
      <c r="V356" s="74"/>
      <c r="W356" s="74"/>
      <c r="X356" s="265"/>
      <c r="Y356" s="265"/>
      <c r="Z356" s="265"/>
      <c r="AA356" s="265"/>
      <c r="AB356" s="265"/>
      <c r="AC356" s="265"/>
      <c r="AD356" s="265"/>
      <c r="AE356" s="265"/>
      <c r="AF356" s="265"/>
      <c r="AG356" s="265"/>
      <c r="AH356" s="265"/>
      <c r="AI356" s="265"/>
      <c r="AJ356" s="265"/>
      <c r="AK356" s="265"/>
      <c r="AL356" s="265"/>
      <c r="AM356" s="265"/>
      <c r="AN356" s="265"/>
      <c r="AO356" s="74"/>
      <c r="AP356" s="74"/>
      <c r="AQ356" s="74"/>
      <c r="AR356" s="74"/>
      <c r="AS356" s="74"/>
      <c r="AT356" s="74"/>
      <c r="AU356" s="74"/>
      <c r="AV356" s="74"/>
      <c r="AW356" s="82"/>
      <c r="AX356" s="67"/>
    </row>
    <row r="357" spans="1:50" x14ac:dyDescent="0.25">
      <c r="A357" s="67" t="str">
        <f>IFERROR(IF(C357&lt;&gt;"",MAX($A$2:$A356)+1,""),"")</f>
        <v/>
      </c>
      <c r="B357" s="223">
        <f t="shared" si="5"/>
        <v>345</v>
      </c>
      <c r="C357" s="248"/>
      <c r="D357" s="270"/>
      <c r="E357" s="248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74"/>
      <c r="U357" s="74"/>
      <c r="V357" s="74"/>
      <c r="W357" s="74"/>
      <c r="X357" s="265"/>
      <c r="Y357" s="265"/>
      <c r="Z357" s="265"/>
      <c r="AA357" s="265"/>
      <c r="AB357" s="265"/>
      <c r="AC357" s="265"/>
      <c r="AD357" s="265"/>
      <c r="AE357" s="265"/>
      <c r="AF357" s="265"/>
      <c r="AG357" s="265"/>
      <c r="AH357" s="265"/>
      <c r="AI357" s="265"/>
      <c r="AJ357" s="265"/>
      <c r="AK357" s="265"/>
      <c r="AL357" s="265"/>
      <c r="AM357" s="265"/>
      <c r="AN357" s="265"/>
      <c r="AO357" s="74"/>
      <c r="AP357" s="74"/>
      <c r="AQ357" s="74"/>
      <c r="AR357" s="74"/>
      <c r="AS357" s="74"/>
      <c r="AT357" s="74"/>
      <c r="AU357" s="74"/>
      <c r="AV357" s="74"/>
      <c r="AW357" s="82"/>
      <c r="AX357" s="67"/>
    </row>
    <row r="358" spans="1:50" x14ac:dyDescent="0.25">
      <c r="A358" s="67" t="str">
        <f>IFERROR(IF(C358&lt;&gt;"",MAX($A$2:$A357)+1,""),"")</f>
        <v/>
      </c>
      <c r="B358" s="223">
        <f t="shared" si="5"/>
        <v>346</v>
      </c>
      <c r="C358" s="248"/>
      <c r="D358" s="270"/>
      <c r="E358" s="248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74"/>
      <c r="U358" s="74"/>
      <c r="V358" s="74"/>
      <c r="W358" s="74"/>
      <c r="X358" s="265"/>
      <c r="Y358" s="265"/>
      <c r="Z358" s="265"/>
      <c r="AA358" s="265"/>
      <c r="AB358" s="265"/>
      <c r="AC358" s="265"/>
      <c r="AD358" s="265"/>
      <c r="AE358" s="265"/>
      <c r="AF358" s="265"/>
      <c r="AG358" s="265"/>
      <c r="AH358" s="265"/>
      <c r="AI358" s="265"/>
      <c r="AJ358" s="265"/>
      <c r="AK358" s="265"/>
      <c r="AL358" s="265"/>
      <c r="AM358" s="265"/>
      <c r="AN358" s="265"/>
      <c r="AO358" s="74"/>
      <c r="AP358" s="74"/>
      <c r="AQ358" s="74"/>
      <c r="AR358" s="74"/>
      <c r="AS358" s="74"/>
      <c r="AT358" s="74"/>
      <c r="AU358" s="74"/>
      <c r="AV358" s="74"/>
      <c r="AW358" s="82"/>
      <c r="AX358" s="67"/>
    </row>
    <row r="359" spans="1:50" x14ac:dyDescent="0.25">
      <c r="A359" s="67" t="str">
        <f>IFERROR(IF(C359&lt;&gt;"",MAX($A$2:$A358)+1,""),"")</f>
        <v/>
      </c>
      <c r="B359" s="223">
        <f t="shared" si="5"/>
        <v>347</v>
      </c>
      <c r="C359" s="248"/>
      <c r="D359" s="270"/>
      <c r="E359" s="248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4"/>
      <c r="Q359" s="74"/>
      <c r="R359" s="74"/>
      <c r="S359" s="74"/>
      <c r="T359" s="74"/>
      <c r="U359" s="74"/>
      <c r="V359" s="74"/>
      <c r="W359" s="74"/>
      <c r="X359" s="265"/>
      <c r="Y359" s="265"/>
      <c r="Z359" s="265"/>
      <c r="AA359" s="265"/>
      <c r="AB359" s="265"/>
      <c r="AC359" s="265"/>
      <c r="AD359" s="265"/>
      <c r="AE359" s="265"/>
      <c r="AF359" s="265"/>
      <c r="AG359" s="265"/>
      <c r="AH359" s="265"/>
      <c r="AI359" s="265"/>
      <c r="AJ359" s="265"/>
      <c r="AK359" s="265"/>
      <c r="AL359" s="265"/>
      <c r="AM359" s="265"/>
      <c r="AN359" s="265"/>
      <c r="AO359" s="74"/>
      <c r="AP359" s="74"/>
      <c r="AQ359" s="74"/>
      <c r="AR359" s="74"/>
      <c r="AS359" s="74"/>
      <c r="AT359" s="74"/>
      <c r="AU359" s="74"/>
      <c r="AV359" s="74"/>
      <c r="AW359" s="82"/>
      <c r="AX359" s="67"/>
    </row>
    <row r="360" spans="1:50" x14ac:dyDescent="0.25">
      <c r="A360" s="67" t="str">
        <f>IFERROR(IF(C360&lt;&gt;"",MAX($A$2:$A359)+1,""),"")</f>
        <v/>
      </c>
      <c r="B360" s="223">
        <f t="shared" si="5"/>
        <v>348</v>
      </c>
      <c r="C360" s="248"/>
      <c r="D360" s="270"/>
      <c r="E360" s="248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  <c r="W360" s="74"/>
      <c r="X360" s="265"/>
      <c r="Y360" s="265"/>
      <c r="Z360" s="265"/>
      <c r="AA360" s="265"/>
      <c r="AB360" s="265"/>
      <c r="AC360" s="265"/>
      <c r="AD360" s="265"/>
      <c r="AE360" s="265"/>
      <c r="AF360" s="265"/>
      <c r="AG360" s="265"/>
      <c r="AH360" s="265"/>
      <c r="AI360" s="265"/>
      <c r="AJ360" s="265"/>
      <c r="AK360" s="265"/>
      <c r="AL360" s="265"/>
      <c r="AM360" s="265"/>
      <c r="AN360" s="265"/>
      <c r="AO360" s="74"/>
      <c r="AP360" s="74"/>
      <c r="AQ360" s="74"/>
      <c r="AR360" s="74"/>
      <c r="AS360" s="74"/>
      <c r="AT360" s="74"/>
      <c r="AU360" s="74"/>
      <c r="AV360" s="74"/>
      <c r="AW360" s="82"/>
      <c r="AX360" s="67"/>
    </row>
    <row r="361" spans="1:50" x14ac:dyDescent="0.25">
      <c r="A361" s="67" t="str">
        <f>IFERROR(IF(C361&lt;&gt;"",MAX($A$2:$A360)+1,""),"")</f>
        <v/>
      </c>
      <c r="B361" s="223">
        <f t="shared" si="5"/>
        <v>349</v>
      </c>
      <c r="C361" s="248"/>
      <c r="D361" s="270"/>
      <c r="E361" s="248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  <c r="W361" s="74"/>
      <c r="X361" s="265"/>
      <c r="Y361" s="265"/>
      <c r="Z361" s="265"/>
      <c r="AA361" s="265"/>
      <c r="AB361" s="265"/>
      <c r="AC361" s="265"/>
      <c r="AD361" s="265"/>
      <c r="AE361" s="265"/>
      <c r="AF361" s="265"/>
      <c r="AG361" s="265"/>
      <c r="AH361" s="265"/>
      <c r="AI361" s="265"/>
      <c r="AJ361" s="265"/>
      <c r="AK361" s="265"/>
      <c r="AL361" s="265"/>
      <c r="AM361" s="265"/>
      <c r="AN361" s="265"/>
      <c r="AO361" s="74"/>
      <c r="AP361" s="74"/>
      <c r="AQ361" s="74"/>
      <c r="AR361" s="74"/>
      <c r="AS361" s="74"/>
      <c r="AT361" s="74"/>
      <c r="AU361" s="74"/>
      <c r="AV361" s="74"/>
      <c r="AW361" s="82"/>
      <c r="AX361" s="67"/>
    </row>
    <row r="362" spans="1:50" x14ac:dyDescent="0.25">
      <c r="A362" s="67" t="str">
        <f>IFERROR(IF(C362&lt;&gt;"",MAX($A$2:$A361)+1,""),"")</f>
        <v/>
      </c>
      <c r="B362" s="223">
        <f t="shared" si="5"/>
        <v>350</v>
      </c>
      <c r="C362" s="248"/>
      <c r="D362" s="270"/>
      <c r="E362" s="248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74"/>
      <c r="R362" s="74"/>
      <c r="S362" s="74"/>
      <c r="T362" s="74"/>
      <c r="U362" s="74"/>
      <c r="V362" s="74"/>
      <c r="W362" s="74"/>
      <c r="X362" s="265"/>
      <c r="Y362" s="265"/>
      <c r="Z362" s="265"/>
      <c r="AA362" s="265"/>
      <c r="AB362" s="265"/>
      <c r="AC362" s="265"/>
      <c r="AD362" s="265"/>
      <c r="AE362" s="265"/>
      <c r="AF362" s="265"/>
      <c r="AG362" s="265"/>
      <c r="AH362" s="265"/>
      <c r="AI362" s="265"/>
      <c r="AJ362" s="265"/>
      <c r="AK362" s="265"/>
      <c r="AL362" s="265"/>
      <c r="AM362" s="265"/>
      <c r="AN362" s="265"/>
      <c r="AO362" s="74"/>
      <c r="AP362" s="74"/>
      <c r="AQ362" s="74"/>
      <c r="AR362" s="74"/>
      <c r="AS362" s="74"/>
      <c r="AT362" s="74"/>
      <c r="AU362" s="74"/>
      <c r="AV362" s="74"/>
      <c r="AW362" s="82"/>
      <c r="AX362" s="67"/>
    </row>
    <row r="363" spans="1:50" x14ac:dyDescent="0.25">
      <c r="A363" s="67" t="str">
        <f>IFERROR(IF(C363&lt;&gt;"",MAX($A$2:$A362)+1,""),"")</f>
        <v/>
      </c>
      <c r="B363" s="223">
        <f t="shared" si="5"/>
        <v>351</v>
      </c>
      <c r="C363" s="248"/>
      <c r="D363" s="270"/>
      <c r="E363" s="248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4"/>
      <c r="Q363" s="74"/>
      <c r="R363" s="74"/>
      <c r="S363" s="74"/>
      <c r="T363" s="74"/>
      <c r="U363" s="74"/>
      <c r="V363" s="74"/>
      <c r="W363" s="74"/>
      <c r="X363" s="265"/>
      <c r="Y363" s="265"/>
      <c r="Z363" s="265"/>
      <c r="AA363" s="265"/>
      <c r="AB363" s="265"/>
      <c r="AC363" s="265"/>
      <c r="AD363" s="265"/>
      <c r="AE363" s="265"/>
      <c r="AF363" s="265"/>
      <c r="AG363" s="265"/>
      <c r="AH363" s="265"/>
      <c r="AI363" s="265"/>
      <c r="AJ363" s="265"/>
      <c r="AK363" s="265"/>
      <c r="AL363" s="265"/>
      <c r="AM363" s="265"/>
      <c r="AN363" s="265"/>
      <c r="AO363" s="74"/>
      <c r="AP363" s="74"/>
      <c r="AQ363" s="74"/>
      <c r="AR363" s="74"/>
      <c r="AS363" s="74"/>
      <c r="AT363" s="74"/>
      <c r="AU363" s="74"/>
      <c r="AV363" s="74"/>
      <c r="AW363" s="82"/>
      <c r="AX363" s="67"/>
    </row>
    <row r="364" spans="1:50" x14ac:dyDescent="0.25">
      <c r="A364" s="67" t="str">
        <f>IFERROR(IF(C364&lt;&gt;"",MAX($A$2:$A363)+1,""),"")</f>
        <v/>
      </c>
      <c r="B364" s="223">
        <f t="shared" si="5"/>
        <v>352</v>
      </c>
      <c r="C364" s="248"/>
      <c r="D364" s="270"/>
      <c r="E364" s="248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74"/>
      <c r="U364" s="74"/>
      <c r="V364" s="74"/>
      <c r="W364" s="74"/>
      <c r="X364" s="265"/>
      <c r="Y364" s="265"/>
      <c r="Z364" s="265"/>
      <c r="AA364" s="265"/>
      <c r="AB364" s="265"/>
      <c r="AC364" s="265"/>
      <c r="AD364" s="265"/>
      <c r="AE364" s="265"/>
      <c r="AF364" s="265"/>
      <c r="AG364" s="265"/>
      <c r="AH364" s="265"/>
      <c r="AI364" s="265"/>
      <c r="AJ364" s="265"/>
      <c r="AK364" s="265"/>
      <c r="AL364" s="265"/>
      <c r="AM364" s="265"/>
      <c r="AN364" s="265"/>
      <c r="AO364" s="74"/>
      <c r="AP364" s="74"/>
      <c r="AQ364" s="74"/>
      <c r="AR364" s="74"/>
      <c r="AS364" s="74"/>
      <c r="AT364" s="74"/>
      <c r="AU364" s="74"/>
      <c r="AV364" s="74"/>
      <c r="AW364" s="82"/>
      <c r="AX364" s="67"/>
    </row>
    <row r="365" spans="1:50" x14ac:dyDescent="0.25">
      <c r="A365" s="67" t="str">
        <f>IFERROR(IF(C365&lt;&gt;"",MAX($A$2:$A364)+1,""),"")</f>
        <v/>
      </c>
      <c r="B365" s="223">
        <f t="shared" si="5"/>
        <v>353</v>
      </c>
      <c r="C365" s="248"/>
      <c r="D365" s="270"/>
      <c r="E365" s="248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  <c r="W365" s="74"/>
      <c r="X365" s="265"/>
      <c r="Y365" s="265"/>
      <c r="Z365" s="265"/>
      <c r="AA365" s="265"/>
      <c r="AB365" s="265"/>
      <c r="AC365" s="265"/>
      <c r="AD365" s="265"/>
      <c r="AE365" s="265"/>
      <c r="AF365" s="265"/>
      <c r="AG365" s="265"/>
      <c r="AH365" s="265"/>
      <c r="AI365" s="265"/>
      <c r="AJ365" s="265"/>
      <c r="AK365" s="265"/>
      <c r="AL365" s="265"/>
      <c r="AM365" s="265"/>
      <c r="AN365" s="265"/>
      <c r="AO365" s="74"/>
      <c r="AP365" s="74"/>
      <c r="AQ365" s="74"/>
      <c r="AR365" s="74"/>
      <c r="AS365" s="74"/>
      <c r="AT365" s="74"/>
      <c r="AU365" s="74"/>
      <c r="AV365" s="74"/>
      <c r="AW365" s="82"/>
      <c r="AX365" s="67"/>
    </row>
    <row r="366" spans="1:50" x14ac:dyDescent="0.25">
      <c r="A366" s="67" t="str">
        <f>IFERROR(IF(C366&lt;&gt;"",MAX($A$2:$A365)+1,""),"")</f>
        <v/>
      </c>
      <c r="B366" s="223">
        <f t="shared" si="5"/>
        <v>354</v>
      </c>
      <c r="C366" s="248"/>
      <c r="D366" s="270"/>
      <c r="E366" s="248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74"/>
      <c r="U366" s="74"/>
      <c r="V366" s="74"/>
      <c r="W366" s="74"/>
      <c r="X366" s="265"/>
      <c r="Y366" s="265"/>
      <c r="Z366" s="265"/>
      <c r="AA366" s="265"/>
      <c r="AB366" s="265"/>
      <c r="AC366" s="265"/>
      <c r="AD366" s="265"/>
      <c r="AE366" s="265"/>
      <c r="AF366" s="265"/>
      <c r="AG366" s="265"/>
      <c r="AH366" s="265"/>
      <c r="AI366" s="265"/>
      <c r="AJ366" s="265"/>
      <c r="AK366" s="265"/>
      <c r="AL366" s="265"/>
      <c r="AM366" s="265"/>
      <c r="AN366" s="265"/>
      <c r="AO366" s="74"/>
      <c r="AP366" s="74"/>
      <c r="AQ366" s="74"/>
      <c r="AR366" s="74"/>
      <c r="AS366" s="74"/>
      <c r="AT366" s="74"/>
      <c r="AU366" s="74"/>
      <c r="AV366" s="74"/>
      <c r="AW366" s="82"/>
      <c r="AX366" s="67"/>
    </row>
    <row r="367" spans="1:50" x14ac:dyDescent="0.25">
      <c r="A367" s="67" t="str">
        <f>IFERROR(IF(C367&lt;&gt;"",MAX($A$2:$A366)+1,""),"")</f>
        <v/>
      </c>
      <c r="B367" s="223">
        <f t="shared" si="5"/>
        <v>355</v>
      </c>
      <c r="C367" s="248"/>
      <c r="D367" s="270"/>
      <c r="E367" s="248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/>
      <c r="W367" s="74"/>
      <c r="X367" s="265"/>
      <c r="Y367" s="265"/>
      <c r="Z367" s="265"/>
      <c r="AA367" s="265"/>
      <c r="AB367" s="265"/>
      <c r="AC367" s="265"/>
      <c r="AD367" s="265"/>
      <c r="AE367" s="265"/>
      <c r="AF367" s="265"/>
      <c r="AG367" s="265"/>
      <c r="AH367" s="265"/>
      <c r="AI367" s="265"/>
      <c r="AJ367" s="265"/>
      <c r="AK367" s="265"/>
      <c r="AL367" s="265"/>
      <c r="AM367" s="265"/>
      <c r="AN367" s="265"/>
      <c r="AO367" s="74"/>
      <c r="AP367" s="74"/>
      <c r="AQ367" s="74"/>
      <c r="AR367" s="74"/>
      <c r="AS367" s="74"/>
      <c r="AT367" s="74"/>
      <c r="AU367" s="74"/>
      <c r="AV367" s="74"/>
      <c r="AW367" s="82"/>
      <c r="AX367" s="67"/>
    </row>
    <row r="368" spans="1:50" x14ac:dyDescent="0.25">
      <c r="A368" s="67" t="str">
        <f>IFERROR(IF(C368&lt;&gt;"",MAX($A$2:$A367)+1,""),"")</f>
        <v/>
      </c>
      <c r="B368" s="223">
        <f t="shared" si="5"/>
        <v>356</v>
      </c>
      <c r="C368" s="248"/>
      <c r="D368" s="270"/>
      <c r="E368" s="248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  <c r="W368" s="74"/>
      <c r="X368" s="265"/>
      <c r="Y368" s="265"/>
      <c r="Z368" s="265"/>
      <c r="AA368" s="265"/>
      <c r="AB368" s="265"/>
      <c r="AC368" s="265"/>
      <c r="AD368" s="265"/>
      <c r="AE368" s="265"/>
      <c r="AF368" s="265"/>
      <c r="AG368" s="265"/>
      <c r="AH368" s="265"/>
      <c r="AI368" s="265"/>
      <c r="AJ368" s="265"/>
      <c r="AK368" s="265"/>
      <c r="AL368" s="265"/>
      <c r="AM368" s="265"/>
      <c r="AN368" s="265"/>
      <c r="AO368" s="74"/>
      <c r="AP368" s="74"/>
      <c r="AQ368" s="74"/>
      <c r="AR368" s="74"/>
      <c r="AS368" s="74"/>
      <c r="AT368" s="74"/>
      <c r="AU368" s="74"/>
      <c r="AV368" s="74"/>
      <c r="AW368" s="82"/>
      <c r="AX368" s="67"/>
    </row>
    <row r="369" spans="1:50" x14ac:dyDescent="0.25">
      <c r="A369" s="67" t="str">
        <f>IFERROR(IF(C369&lt;&gt;"",MAX($A$2:$A368)+1,""),"")</f>
        <v/>
      </c>
      <c r="B369" s="223">
        <f t="shared" si="5"/>
        <v>357</v>
      </c>
      <c r="C369" s="248"/>
      <c r="D369" s="270"/>
      <c r="E369" s="248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  <c r="W369" s="74"/>
      <c r="X369" s="265"/>
      <c r="Y369" s="265"/>
      <c r="Z369" s="265"/>
      <c r="AA369" s="265"/>
      <c r="AB369" s="265"/>
      <c r="AC369" s="265"/>
      <c r="AD369" s="265"/>
      <c r="AE369" s="265"/>
      <c r="AF369" s="265"/>
      <c r="AG369" s="265"/>
      <c r="AH369" s="265"/>
      <c r="AI369" s="265"/>
      <c r="AJ369" s="265"/>
      <c r="AK369" s="265"/>
      <c r="AL369" s="265"/>
      <c r="AM369" s="265"/>
      <c r="AN369" s="265"/>
      <c r="AO369" s="74"/>
      <c r="AP369" s="74"/>
      <c r="AQ369" s="74"/>
      <c r="AR369" s="74"/>
      <c r="AS369" s="74"/>
      <c r="AT369" s="74"/>
      <c r="AU369" s="74"/>
      <c r="AV369" s="74"/>
      <c r="AW369" s="82"/>
      <c r="AX369" s="67"/>
    </row>
    <row r="370" spans="1:50" x14ac:dyDescent="0.25">
      <c r="A370" s="67" t="str">
        <f>IFERROR(IF(C370&lt;&gt;"",MAX($A$2:$A369)+1,""),"")</f>
        <v/>
      </c>
      <c r="B370" s="223">
        <f t="shared" si="5"/>
        <v>358</v>
      </c>
      <c r="C370" s="248"/>
      <c r="D370" s="270"/>
      <c r="E370" s="248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  <c r="W370" s="74"/>
      <c r="X370" s="265"/>
      <c r="Y370" s="265"/>
      <c r="Z370" s="265"/>
      <c r="AA370" s="265"/>
      <c r="AB370" s="265"/>
      <c r="AC370" s="265"/>
      <c r="AD370" s="265"/>
      <c r="AE370" s="265"/>
      <c r="AF370" s="265"/>
      <c r="AG370" s="265"/>
      <c r="AH370" s="265"/>
      <c r="AI370" s="265"/>
      <c r="AJ370" s="265"/>
      <c r="AK370" s="265"/>
      <c r="AL370" s="265"/>
      <c r="AM370" s="265"/>
      <c r="AN370" s="265"/>
      <c r="AO370" s="74"/>
      <c r="AP370" s="74"/>
      <c r="AQ370" s="74"/>
      <c r="AR370" s="74"/>
      <c r="AS370" s="74"/>
      <c r="AT370" s="74"/>
      <c r="AU370" s="74"/>
      <c r="AV370" s="74"/>
      <c r="AW370" s="82"/>
      <c r="AX370" s="67"/>
    </row>
    <row r="371" spans="1:50" x14ac:dyDescent="0.25">
      <c r="A371" s="67" t="str">
        <f>IFERROR(IF(C371&lt;&gt;"",MAX($A$2:$A370)+1,""),"")</f>
        <v/>
      </c>
      <c r="B371" s="223">
        <f t="shared" si="5"/>
        <v>359</v>
      </c>
      <c r="C371" s="248"/>
      <c r="D371" s="270"/>
      <c r="E371" s="248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74"/>
      <c r="U371" s="74"/>
      <c r="V371" s="74"/>
      <c r="W371" s="74"/>
      <c r="X371" s="265"/>
      <c r="Y371" s="265"/>
      <c r="Z371" s="265"/>
      <c r="AA371" s="265"/>
      <c r="AB371" s="265"/>
      <c r="AC371" s="265"/>
      <c r="AD371" s="265"/>
      <c r="AE371" s="265"/>
      <c r="AF371" s="265"/>
      <c r="AG371" s="265"/>
      <c r="AH371" s="265"/>
      <c r="AI371" s="265"/>
      <c r="AJ371" s="265"/>
      <c r="AK371" s="265"/>
      <c r="AL371" s="265"/>
      <c r="AM371" s="265"/>
      <c r="AN371" s="265"/>
      <c r="AO371" s="74"/>
      <c r="AP371" s="74"/>
      <c r="AQ371" s="74"/>
      <c r="AR371" s="74"/>
      <c r="AS371" s="74"/>
      <c r="AT371" s="74"/>
      <c r="AU371" s="74"/>
      <c r="AV371" s="74"/>
      <c r="AW371" s="82"/>
      <c r="AX371" s="67"/>
    </row>
    <row r="372" spans="1:50" x14ac:dyDescent="0.25">
      <c r="A372" s="67" t="str">
        <f>IFERROR(IF(C372&lt;&gt;"",MAX($A$2:$A371)+1,""),"")</f>
        <v/>
      </c>
      <c r="B372" s="223">
        <f t="shared" si="5"/>
        <v>360</v>
      </c>
      <c r="C372" s="248"/>
      <c r="D372" s="270"/>
      <c r="E372" s="248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  <c r="W372" s="74"/>
      <c r="X372" s="265"/>
      <c r="Y372" s="265"/>
      <c r="Z372" s="265"/>
      <c r="AA372" s="265"/>
      <c r="AB372" s="265"/>
      <c r="AC372" s="265"/>
      <c r="AD372" s="265"/>
      <c r="AE372" s="265"/>
      <c r="AF372" s="265"/>
      <c r="AG372" s="265"/>
      <c r="AH372" s="265"/>
      <c r="AI372" s="265"/>
      <c r="AJ372" s="265"/>
      <c r="AK372" s="265"/>
      <c r="AL372" s="265"/>
      <c r="AM372" s="265"/>
      <c r="AN372" s="265"/>
      <c r="AO372" s="74"/>
      <c r="AP372" s="74"/>
      <c r="AQ372" s="74"/>
      <c r="AR372" s="74"/>
      <c r="AS372" s="74"/>
      <c r="AT372" s="74"/>
      <c r="AU372" s="74"/>
      <c r="AV372" s="74"/>
      <c r="AW372" s="82"/>
      <c r="AX372" s="67"/>
    </row>
    <row r="373" spans="1:50" x14ac:dyDescent="0.25">
      <c r="A373" s="67" t="str">
        <f>IFERROR(IF(C373&lt;&gt;"",MAX($A$2:$A372)+1,""),"")</f>
        <v/>
      </c>
      <c r="B373" s="223">
        <f t="shared" si="5"/>
        <v>361</v>
      </c>
      <c r="C373" s="248"/>
      <c r="D373" s="270"/>
      <c r="E373" s="248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  <c r="W373" s="74"/>
      <c r="X373" s="265"/>
      <c r="Y373" s="265"/>
      <c r="Z373" s="265"/>
      <c r="AA373" s="265"/>
      <c r="AB373" s="265"/>
      <c r="AC373" s="265"/>
      <c r="AD373" s="265"/>
      <c r="AE373" s="265"/>
      <c r="AF373" s="265"/>
      <c r="AG373" s="265"/>
      <c r="AH373" s="265"/>
      <c r="AI373" s="265"/>
      <c r="AJ373" s="265"/>
      <c r="AK373" s="265"/>
      <c r="AL373" s="265"/>
      <c r="AM373" s="265"/>
      <c r="AN373" s="265"/>
      <c r="AO373" s="74"/>
      <c r="AP373" s="74"/>
      <c r="AQ373" s="74"/>
      <c r="AR373" s="74"/>
      <c r="AS373" s="74"/>
      <c r="AT373" s="74"/>
      <c r="AU373" s="74"/>
      <c r="AV373" s="74"/>
      <c r="AW373" s="82"/>
      <c r="AX373" s="67"/>
    </row>
    <row r="374" spans="1:50" x14ac:dyDescent="0.25">
      <c r="A374" s="67" t="str">
        <f>IFERROR(IF(C374&lt;&gt;"",MAX($A$2:$A373)+1,""),"")</f>
        <v/>
      </c>
      <c r="B374" s="223">
        <f t="shared" si="5"/>
        <v>362</v>
      </c>
      <c r="C374" s="248"/>
      <c r="D374" s="270"/>
      <c r="E374" s="248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74"/>
      <c r="U374" s="74"/>
      <c r="V374" s="74"/>
      <c r="W374" s="74"/>
      <c r="X374" s="265"/>
      <c r="Y374" s="265"/>
      <c r="Z374" s="265"/>
      <c r="AA374" s="265"/>
      <c r="AB374" s="265"/>
      <c r="AC374" s="265"/>
      <c r="AD374" s="265"/>
      <c r="AE374" s="265"/>
      <c r="AF374" s="265"/>
      <c r="AG374" s="265"/>
      <c r="AH374" s="265"/>
      <c r="AI374" s="265"/>
      <c r="AJ374" s="265"/>
      <c r="AK374" s="265"/>
      <c r="AL374" s="265"/>
      <c r="AM374" s="265"/>
      <c r="AN374" s="265"/>
      <c r="AO374" s="74"/>
      <c r="AP374" s="74"/>
      <c r="AQ374" s="74"/>
      <c r="AR374" s="74"/>
      <c r="AS374" s="74"/>
      <c r="AT374" s="74"/>
      <c r="AU374" s="74"/>
      <c r="AV374" s="74"/>
      <c r="AW374" s="82"/>
      <c r="AX374" s="67"/>
    </row>
    <row r="375" spans="1:50" x14ac:dyDescent="0.25">
      <c r="A375" s="67" t="str">
        <f>IFERROR(IF(C375&lt;&gt;"",MAX($A$2:$A374)+1,""),"")</f>
        <v/>
      </c>
      <c r="B375" s="223">
        <f t="shared" si="5"/>
        <v>363</v>
      </c>
      <c r="C375" s="248"/>
      <c r="D375" s="270"/>
      <c r="E375" s="248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74"/>
      <c r="U375" s="74"/>
      <c r="V375" s="74"/>
      <c r="W375" s="74"/>
      <c r="X375" s="265"/>
      <c r="Y375" s="265"/>
      <c r="Z375" s="265"/>
      <c r="AA375" s="265"/>
      <c r="AB375" s="265"/>
      <c r="AC375" s="265"/>
      <c r="AD375" s="265"/>
      <c r="AE375" s="265"/>
      <c r="AF375" s="265"/>
      <c r="AG375" s="265"/>
      <c r="AH375" s="265"/>
      <c r="AI375" s="265"/>
      <c r="AJ375" s="265"/>
      <c r="AK375" s="265"/>
      <c r="AL375" s="265"/>
      <c r="AM375" s="265"/>
      <c r="AN375" s="265"/>
      <c r="AO375" s="74"/>
      <c r="AP375" s="74"/>
      <c r="AQ375" s="74"/>
      <c r="AR375" s="74"/>
      <c r="AS375" s="74"/>
      <c r="AT375" s="74"/>
      <c r="AU375" s="74"/>
      <c r="AV375" s="74"/>
      <c r="AW375" s="82"/>
      <c r="AX375" s="67"/>
    </row>
    <row r="376" spans="1:50" x14ac:dyDescent="0.25">
      <c r="A376" s="67" t="str">
        <f>IFERROR(IF(C376&lt;&gt;"",MAX($A$2:$A375)+1,""),"")</f>
        <v/>
      </c>
      <c r="B376" s="223">
        <f t="shared" si="5"/>
        <v>364</v>
      </c>
      <c r="C376" s="248"/>
      <c r="D376" s="270"/>
      <c r="E376" s="248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74"/>
      <c r="U376" s="74"/>
      <c r="V376" s="74"/>
      <c r="W376" s="74"/>
      <c r="X376" s="265"/>
      <c r="Y376" s="265"/>
      <c r="Z376" s="265"/>
      <c r="AA376" s="265"/>
      <c r="AB376" s="265"/>
      <c r="AC376" s="265"/>
      <c r="AD376" s="265"/>
      <c r="AE376" s="265"/>
      <c r="AF376" s="265"/>
      <c r="AG376" s="265"/>
      <c r="AH376" s="265"/>
      <c r="AI376" s="265"/>
      <c r="AJ376" s="265"/>
      <c r="AK376" s="265"/>
      <c r="AL376" s="265"/>
      <c r="AM376" s="265"/>
      <c r="AN376" s="265"/>
      <c r="AO376" s="74"/>
      <c r="AP376" s="74"/>
      <c r="AQ376" s="74"/>
      <c r="AR376" s="74"/>
      <c r="AS376" s="74"/>
      <c r="AT376" s="74"/>
      <c r="AU376" s="74"/>
      <c r="AV376" s="74"/>
      <c r="AW376" s="82"/>
      <c r="AX376" s="67"/>
    </row>
    <row r="377" spans="1:50" x14ac:dyDescent="0.25">
      <c r="A377" s="67" t="str">
        <f>IFERROR(IF(C377&lt;&gt;"",MAX($A$2:$A376)+1,""),"")</f>
        <v/>
      </c>
      <c r="B377" s="223">
        <f t="shared" si="5"/>
        <v>365</v>
      </c>
      <c r="C377" s="248"/>
      <c r="D377" s="270"/>
      <c r="E377" s="248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  <c r="W377" s="74"/>
      <c r="X377" s="265"/>
      <c r="Y377" s="265"/>
      <c r="Z377" s="265"/>
      <c r="AA377" s="265"/>
      <c r="AB377" s="265"/>
      <c r="AC377" s="265"/>
      <c r="AD377" s="265"/>
      <c r="AE377" s="265"/>
      <c r="AF377" s="265"/>
      <c r="AG377" s="265"/>
      <c r="AH377" s="265"/>
      <c r="AI377" s="265"/>
      <c r="AJ377" s="265"/>
      <c r="AK377" s="265"/>
      <c r="AL377" s="265"/>
      <c r="AM377" s="265"/>
      <c r="AN377" s="265"/>
      <c r="AO377" s="74"/>
      <c r="AP377" s="74"/>
      <c r="AQ377" s="74"/>
      <c r="AR377" s="74"/>
      <c r="AS377" s="74"/>
      <c r="AT377" s="74"/>
      <c r="AU377" s="74"/>
      <c r="AV377" s="74"/>
      <c r="AW377" s="82"/>
      <c r="AX377" s="67"/>
    </row>
    <row r="378" spans="1:50" x14ac:dyDescent="0.25">
      <c r="A378" s="67" t="str">
        <f>IFERROR(IF(C378&lt;&gt;"",MAX($A$2:$A377)+1,""),"")</f>
        <v/>
      </c>
      <c r="B378" s="223">
        <f t="shared" si="5"/>
        <v>366</v>
      </c>
      <c r="C378" s="248"/>
      <c r="D378" s="270"/>
      <c r="E378" s="248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  <c r="W378" s="74"/>
      <c r="X378" s="265"/>
      <c r="Y378" s="265"/>
      <c r="Z378" s="265"/>
      <c r="AA378" s="265"/>
      <c r="AB378" s="265"/>
      <c r="AC378" s="265"/>
      <c r="AD378" s="265"/>
      <c r="AE378" s="265"/>
      <c r="AF378" s="265"/>
      <c r="AG378" s="265"/>
      <c r="AH378" s="265"/>
      <c r="AI378" s="265"/>
      <c r="AJ378" s="265"/>
      <c r="AK378" s="265"/>
      <c r="AL378" s="265"/>
      <c r="AM378" s="265"/>
      <c r="AN378" s="265"/>
      <c r="AO378" s="74"/>
      <c r="AP378" s="74"/>
      <c r="AQ378" s="74"/>
      <c r="AR378" s="74"/>
      <c r="AS378" s="74"/>
      <c r="AT378" s="74"/>
      <c r="AU378" s="74"/>
      <c r="AV378" s="74"/>
      <c r="AW378" s="82"/>
      <c r="AX378" s="67"/>
    </row>
    <row r="379" spans="1:50" x14ac:dyDescent="0.25">
      <c r="A379" s="67" t="str">
        <f>IFERROR(IF(C379&lt;&gt;"",MAX($A$2:$A378)+1,""),"")</f>
        <v/>
      </c>
      <c r="B379" s="223">
        <f t="shared" si="5"/>
        <v>367</v>
      </c>
      <c r="C379" s="248"/>
      <c r="D379" s="270"/>
      <c r="E379" s="248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  <c r="W379" s="74"/>
      <c r="X379" s="265"/>
      <c r="Y379" s="265"/>
      <c r="Z379" s="265"/>
      <c r="AA379" s="265"/>
      <c r="AB379" s="265"/>
      <c r="AC379" s="265"/>
      <c r="AD379" s="265"/>
      <c r="AE379" s="265"/>
      <c r="AF379" s="265"/>
      <c r="AG379" s="265"/>
      <c r="AH379" s="265"/>
      <c r="AI379" s="265"/>
      <c r="AJ379" s="265"/>
      <c r="AK379" s="265"/>
      <c r="AL379" s="265"/>
      <c r="AM379" s="265"/>
      <c r="AN379" s="265"/>
      <c r="AO379" s="74"/>
      <c r="AP379" s="74"/>
      <c r="AQ379" s="74"/>
      <c r="AR379" s="74"/>
      <c r="AS379" s="74"/>
      <c r="AT379" s="74"/>
      <c r="AU379" s="74"/>
      <c r="AV379" s="74"/>
      <c r="AW379" s="82"/>
      <c r="AX379" s="67"/>
    </row>
    <row r="380" spans="1:50" x14ac:dyDescent="0.25">
      <c r="A380" s="67" t="str">
        <f>IFERROR(IF(C380&lt;&gt;"",MAX($A$2:$A379)+1,""),"")</f>
        <v/>
      </c>
      <c r="B380" s="223">
        <f t="shared" si="5"/>
        <v>368</v>
      </c>
      <c r="C380" s="248"/>
      <c r="D380" s="270"/>
      <c r="E380" s="248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  <c r="W380" s="74"/>
      <c r="X380" s="265"/>
      <c r="Y380" s="265"/>
      <c r="Z380" s="265"/>
      <c r="AA380" s="265"/>
      <c r="AB380" s="265"/>
      <c r="AC380" s="265"/>
      <c r="AD380" s="265"/>
      <c r="AE380" s="265"/>
      <c r="AF380" s="265"/>
      <c r="AG380" s="265"/>
      <c r="AH380" s="265"/>
      <c r="AI380" s="265"/>
      <c r="AJ380" s="265"/>
      <c r="AK380" s="265"/>
      <c r="AL380" s="265"/>
      <c r="AM380" s="265"/>
      <c r="AN380" s="265"/>
      <c r="AO380" s="74"/>
      <c r="AP380" s="74"/>
      <c r="AQ380" s="74"/>
      <c r="AR380" s="74"/>
      <c r="AS380" s="74"/>
      <c r="AT380" s="74"/>
      <c r="AU380" s="74"/>
      <c r="AV380" s="74"/>
      <c r="AW380" s="82"/>
      <c r="AX380" s="67"/>
    </row>
    <row r="381" spans="1:50" x14ac:dyDescent="0.25">
      <c r="A381" s="67" t="str">
        <f>IFERROR(IF(C381&lt;&gt;"",MAX($A$2:$A380)+1,""),"")</f>
        <v/>
      </c>
      <c r="B381" s="223">
        <f t="shared" si="5"/>
        <v>369</v>
      </c>
      <c r="C381" s="248"/>
      <c r="D381" s="270"/>
      <c r="E381" s="248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  <c r="W381" s="74"/>
      <c r="X381" s="265"/>
      <c r="Y381" s="265"/>
      <c r="Z381" s="265"/>
      <c r="AA381" s="265"/>
      <c r="AB381" s="265"/>
      <c r="AC381" s="265"/>
      <c r="AD381" s="265"/>
      <c r="AE381" s="265"/>
      <c r="AF381" s="265"/>
      <c r="AG381" s="265"/>
      <c r="AH381" s="265"/>
      <c r="AI381" s="265"/>
      <c r="AJ381" s="265"/>
      <c r="AK381" s="265"/>
      <c r="AL381" s="265"/>
      <c r="AM381" s="265"/>
      <c r="AN381" s="265"/>
      <c r="AO381" s="74"/>
      <c r="AP381" s="74"/>
      <c r="AQ381" s="74"/>
      <c r="AR381" s="74"/>
      <c r="AS381" s="74"/>
      <c r="AT381" s="74"/>
      <c r="AU381" s="74"/>
      <c r="AV381" s="74"/>
      <c r="AW381" s="82"/>
      <c r="AX381" s="67"/>
    </row>
    <row r="382" spans="1:50" x14ac:dyDescent="0.25">
      <c r="A382" s="67" t="str">
        <f>IFERROR(IF(C382&lt;&gt;"",MAX($A$2:$A381)+1,""),"")</f>
        <v/>
      </c>
      <c r="B382" s="223">
        <f t="shared" si="5"/>
        <v>370</v>
      </c>
      <c r="C382" s="248"/>
      <c r="D382" s="270"/>
      <c r="E382" s="248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  <c r="W382" s="74"/>
      <c r="X382" s="265"/>
      <c r="Y382" s="265"/>
      <c r="Z382" s="265"/>
      <c r="AA382" s="265"/>
      <c r="AB382" s="265"/>
      <c r="AC382" s="265"/>
      <c r="AD382" s="265"/>
      <c r="AE382" s="265"/>
      <c r="AF382" s="265"/>
      <c r="AG382" s="265"/>
      <c r="AH382" s="265"/>
      <c r="AI382" s="265"/>
      <c r="AJ382" s="265"/>
      <c r="AK382" s="265"/>
      <c r="AL382" s="265"/>
      <c r="AM382" s="265"/>
      <c r="AN382" s="265"/>
      <c r="AO382" s="74"/>
      <c r="AP382" s="74"/>
      <c r="AQ382" s="74"/>
      <c r="AR382" s="74"/>
      <c r="AS382" s="74"/>
      <c r="AT382" s="74"/>
      <c r="AU382" s="74"/>
      <c r="AV382" s="74"/>
      <c r="AW382" s="82"/>
      <c r="AX382" s="67"/>
    </row>
    <row r="383" spans="1:50" x14ac:dyDescent="0.25">
      <c r="A383" s="67" t="str">
        <f>IFERROR(IF(C383&lt;&gt;"",MAX($A$2:$A382)+1,""),"")</f>
        <v/>
      </c>
      <c r="B383" s="223">
        <f t="shared" si="5"/>
        <v>371</v>
      </c>
      <c r="C383" s="248"/>
      <c r="D383" s="270"/>
      <c r="E383" s="248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74"/>
      <c r="U383" s="74"/>
      <c r="V383" s="74"/>
      <c r="W383" s="74"/>
      <c r="X383" s="265"/>
      <c r="Y383" s="265"/>
      <c r="Z383" s="265"/>
      <c r="AA383" s="265"/>
      <c r="AB383" s="265"/>
      <c r="AC383" s="265"/>
      <c r="AD383" s="265"/>
      <c r="AE383" s="265"/>
      <c r="AF383" s="265"/>
      <c r="AG383" s="265"/>
      <c r="AH383" s="265"/>
      <c r="AI383" s="265"/>
      <c r="AJ383" s="265"/>
      <c r="AK383" s="265"/>
      <c r="AL383" s="265"/>
      <c r="AM383" s="265"/>
      <c r="AN383" s="265"/>
      <c r="AO383" s="74"/>
      <c r="AP383" s="74"/>
      <c r="AQ383" s="74"/>
      <c r="AR383" s="74"/>
      <c r="AS383" s="74"/>
      <c r="AT383" s="74"/>
      <c r="AU383" s="74"/>
      <c r="AV383" s="74"/>
      <c r="AW383" s="82"/>
      <c r="AX383" s="67"/>
    </row>
    <row r="384" spans="1:50" x14ac:dyDescent="0.25">
      <c r="A384" s="67" t="str">
        <f>IFERROR(IF(C384&lt;&gt;"",MAX($A$2:$A383)+1,""),"")</f>
        <v/>
      </c>
      <c r="B384" s="223">
        <f t="shared" si="5"/>
        <v>372</v>
      </c>
      <c r="C384" s="248"/>
      <c r="D384" s="270"/>
      <c r="E384" s="248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  <c r="W384" s="74"/>
      <c r="X384" s="265"/>
      <c r="Y384" s="265"/>
      <c r="Z384" s="265"/>
      <c r="AA384" s="265"/>
      <c r="AB384" s="265"/>
      <c r="AC384" s="265"/>
      <c r="AD384" s="265"/>
      <c r="AE384" s="265"/>
      <c r="AF384" s="265"/>
      <c r="AG384" s="265"/>
      <c r="AH384" s="265"/>
      <c r="AI384" s="265"/>
      <c r="AJ384" s="265"/>
      <c r="AK384" s="265"/>
      <c r="AL384" s="265"/>
      <c r="AM384" s="265"/>
      <c r="AN384" s="265"/>
      <c r="AO384" s="74"/>
      <c r="AP384" s="74"/>
      <c r="AQ384" s="74"/>
      <c r="AR384" s="74"/>
      <c r="AS384" s="74"/>
      <c r="AT384" s="74"/>
      <c r="AU384" s="74"/>
      <c r="AV384" s="74"/>
      <c r="AW384" s="82"/>
      <c r="AX384" s="67"/>
    </row>
    <row r="385" spans="1:50" x14ac:dyDescent="0.25">
      <c r="A385" s="67" t="str">
        <f>IFERROR(IF(C385&lt;&gt;"",MAX($A$2:$A384)+1,""),"")</f>
        <v/>
      </c>
      <c r="B385" s="223">
        <f t="shared" si="5"/>
        <v>373</v>
      </c>
      <c r="C385" s="248"/>
      <c r="D385" s="270"/>
      <c r="E385" s="248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  <c r="W385" s="74"/>
      <c r="X385" s="265"/>
      <c r="Y385" s="265"/>
      <c r="Z385" s="265"/>
      <c r="AA385" s="265"/>
      <c r="AB385" s="265"/>
      <c r="AC385" s="265"/>
      <c r="AD385" s="265"/>
      <c r="AE385" s="265"/>
      <c r="AF385" s="265"/>
      <c r="AG385" s="265"/>
      <c r="AH385" s="265"/>
      <c r="AI385" s="265"/>
      <c r="AJ385" s="265"/>
      <c r="AK385" s="265"/>
      <c r="AL385" s="265"/>
      <c r="AM385" s="265"/>
      <c r="AN385" s="265"/>
      <c r="AO385" s="74"/>
      <c r="AP385" s="74"/>
      <c r="AQ385" s="74"/>
      <c r="AR385" s="74"/>
      <c r="AS385" s="74"/>
      <c r="AT385" s="74"/>
      <c r="AU385" s="74"/>
      <c r="AV385" s="74"/>
      <c r="AW385" s="82"/>
      <c r="AX385" s="67"/>
    </row>
    <row r="386" spans="1:50" x14ac:dyDescent="0.25">
      <c r="A386" s="67" t="str">
        <f>IFERROR(IF(C386&lt;&gt;"",MAX($A$2:$A385)+1,""),"")</f>
        <v/>
      </c>
      <c r="B386" s="223">
        <f t="shared" si="5"/>
        <v>374</v>
      </c>
      <c r="C386" s="248"/>
      <c r="D386" s="270"/>
      <c r="E386" s="248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  <c r="W386" s="74"/>
      <c r="X386" s="265"/>
      <c r="Y386" s="265"/>
      <c r="Z386" s="265"/>
      <c r="AA386" s="265"/>
      <c r="AB386" s="265"/>
      <c r="AC386" s="265"/>
      <c r="AD386" s="265"/>
      <c r="AE386" s="265"/>
      <c r="AF386" s="265"/>
      <c r="AG386" s="265"/>
      <c r="AH386" s="265"/>
      <c r="AI386" s="265"/>
      <c r="AJ386" s="265"/>
      <c r="AK386" s="265"/>
      <c r="AL386" s="265"/>
      <c r="AM386" s="265"/>
      <c r="AN386" s="265"/>
      <c r="AO386" s="74"/>
      <c r="AP386" s="74"/>
      <c r="AQ386" s="74"/>
      <c r="AR386" s="74"/>
      <c r="AS386" s="74"/>
      <c r="AT386" s="74"/>
      <c r="AU386" s="74"/>
      <c r="AV386" s="74"/>
      <c r="AW386" s="82"/>
      <c r="AX386" s="67"/>
    </row>
    <row r="387" spans="1:50" x14ac:dyDescent="0.25">
      <c r="A387" s="67" t="str">
        <f>IFERROR(IF(C387&lt;&gt;"",MAX($A$2:$A386)+1,""),"")</f>
        <v/>
      </c>
      <c r="B387" s="223">
        <f t="shared" si="5"/>
        <v>375</v>
      </c>
      <c r="C387" s="248"/>
      <c r="D387" s="270"/>
      <c r="E387" s="248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74"/>
      <c r="U387" s="74"/>
      <c r="V387" s="74"/>
      <c r="W387" s="74"/>
      <c r="X387" s="265"/>
      <c r="Y387" s="265"/>
      <c r="Z387" s="265"/>
      <c r="AA387" s="265"/>
      <c r="AB387" s="265"/>
      <c r="AC387" s="265"/>
      <c r="AD387" s="265"/>
      <c r="AE387" s="265"/>
      <c r="AF387" s="265"/>
      <c r="AG387" s="265"/>
      <c r="AH387" s="265"/>
      <c r="AI387" s="265"/>
      <c r="AJ387" s="265"/>
      <c r="AK387" s="265"/>
      <c r="AL387" s="265"/>
      <c r="AM387" s="265"/>
      <c r="AN387" s="265"/>
      <c r="AO387" s="74"/>
      <c r="AP387" s="74"/>
      <c r="AQ387" s="74"/>
      <c r="AR387" s="74"/>
      <c r="AS387" s="74"/>
      <c r="AT387" s="74"/>
      <c r="AU387" s="74"/>
      <c r="AV387" s="74"/>
      <c r="AW387" s="82"/>
      <c r="AX387" s="67"/>
    </row>
    <row r="388" spans="1:50" x14ac:dyDescent="0.25">
      <c r="A388" s="67" t="str">
        <f>IFERROR(IF(C388&lt;&gt;"",MAX($A$2:$A387)+1,""),"")</f>
        <v/>
      </c>
      <c r="B388" s="223">
        <f t="shared" si="5"/>
        <v>376</v>
      </c>
      <c r="C388" s="248"/>
      <c r="D388" s="270"/>
      <c r="E388" s="248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  <c r="W388" s="74"/>
      <c r="X388" s="265"/>
      <c r="Y388" s="265"/>
      <c r="Z388" s="265"/>
      <c r="AA388" s="265"/>
      <c r="AB388" s="265"/>
      <c r="AC388" s="265"/>
      <c r="AD388" s="265"/>
      <c r="AE388" s="265"/>
      <c r="AF388" s="265"/>
      <c r="AG388" s="265"/>
      <c r="AH388" s="265"/>
      <c r="AI388" s="265"/>
      <c r="AJ388" s="265"/>
      <c r="AK388" s="265"/>
      <c r="AL388" s="265"/>
      <c r="AM388" s="265"/>
      <c r="AN388" s="265"/>
      <c r="AO388" s="74"/>
      <c r="AP388" s="74"/>
      <c r="AQ388" s="74"/>
      <c r="AR388" s="74"/>
      <c r="AS388" s="74"/>
      <c r="AT388" s="74"/>
      <c r="AU388" s="74"/>
      <c r="AV388" s="74"/>
      <c r="AW388" s="82"/>
      <c r="AX388" s="67"/>
    </row>
    <row r="389" spans="1:50" x14ac:dyDescent="0.25">
      <c r="A389" s="67" t="str">
        <f>IFERROR(IF(C389&lt;&gt;"",MAX($A$2:$A388)+1,""),"")</f>
        <v/>
      </c>
      <c r="B389" s="223">
        <f t="shared" si="5"/>
        <v>377</v>
      </c>
      <c r="C389" s="248"/>
      <c r="D389" s="270"/>
      <c r="E389" s="248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  <c r="W389" s="74"/>
      <c r="X389" s="265"/>
      <c r="Y389" s="265"/>
      <c r="Z389" s="265"/>
      <c r="AA389" s="265"/>
      <c r="AB389" s="265"/>
      <c r="AC389" s="265"/>
      <c r="AD389" s="265"/>
      <c r="AE389" s="265"/>
      <c r="AF389" s="265"/>
      <c r="AG389" s="265"/>
      <c r="AH389" s="265"/>
      <c r="AI389" s="265"/>
      <c r="AJ389" s="265"/>
      <c r="AK389" s="265"/>
      <c r="AL389" s="265"/>
      <c r="AM389" s="265"/>
      <c r="AN389" s="265"/>
      <c r="AO389" s="74"/>
      <c r="AP389" s="74"/>
      <c r="AQ389" s="74"/>
      <c r="AR389" s="74"/>
      <c r="AS389" s="74"/>
      <c r="AT389" s="74"/>
      <c r="AU389" s="74"/>
      <c r="AV389" s="74"/>
      <c r="AW389" s="82"/>
      <c r="AX389" s="67"/>
    </row>
    <row r="390" spans="1:50" x14ac:dyDescent="0.25">
      <c r="A390" s="67" t="str">
        <f>IFERROR(IF(C390&lt;&gt;"",MAX($A$2:$A389)+1,""),"")</f>
        <v/>
      </c>
      <c r="B390" s="223">
        <f t="shared" si="5"/>
        <v>378</v>
      </c>
      <c r="C390" s="216"/>
      <c r="D390" s="216"/>
      <c r="E390" s="248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  <c r="W390" s="74"/>
      <c r="X390" s="265"/>
      <c r="Y390" s="265"/>
      <c r="Z390" s="265"/>
      <c r="AA390" s="265"/>
      <c r="AB390" s="265"/>
      <c r="AC390" s="265"/>
      <c r="AD390" s="265"/>
      <c r="AE390" s="265"/>
      <c r="AF390" s="265"/>
      <c r="AG390" s="265"/>
      <c r="AH390" s="265"/>
      <c r="AI390" s="265"/>
      <c r="AJ390" s="265"/>
      <c r="AK390" s="265"/>
      <c r="AL390" s="265"/>
      <c r="AM390" s="265"/>
      <c r="AN390" s="265"/>
      <c r="AO390" s="74"/>
      <c r="AP390" s="74"/>
      <c r="AQ390" s="74"/>
      <c r="AR390" s="74"/>
      <c r="AS390" s="74"/>
      <c r="AT390" s="74"/>
      <c r="AU390" s="74"/>
      <c r="AV390" s="74"/>
      <c r="AW390" s="82"/>
      <c r="AX390" s="67"/>
    </row>
    <row r="391" spans="1:50" x14ac:dyDescent="0.25">
      <c r="A391" s="67" t="str">
        <f>IFERROR(IF(C391&lt;&gt;"",MAX($A$2:$A390)+1,""),"")</f>
        <v/>
      </c>
      <c r="B391" s="223">
        <f t="shared" si="5"/>
        <v>379</v>
      </c>
      <c r="C391" s="216"/>
      <c r="D391" s="216"/>
      <c r="E391" s="248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  <c r="W391" s="74"/>
      <c r="X391" s="265"/>
      <c r="Y391" s="265"/>
      <c r="Z391" s="265"/>
      <c r="AA391" s="265"/>
      <c r="AB391" s="265"/>
      <c r="AC391" s="265"/>
      <c r="AD391" s="265"/>
      <c r="AE391" s="265"/>
      <c r="AF391" s="265"/>
      <c r="AG391" s="265"/>
      <c r="AH391" s="265"/>
      <c r="AI391" s="265"/>
      <c r="AJ391" s="265"/>
      <c r="AK391" s="265"/>
      <c r="AL391" s="265"/>
      <c r="AM391" s="265"/>
      <c r="AN391" s="265"/>
      <c r="AO391" s="74"/>
      <c r="AP391" s="74"/>
      <c r="AQ391" s="74"/>
      <c r="AR391" s="74"/>
      <c r="AS391" s="74"/>
      <c r="AT391" s="74"/>
      <c r="AU391" s="74"/>
      <c r="AV391" s="74"/>
      <c r="AW391" s="82"/>
      <c r="AX391" s="67"/>
    </row>
    <row r="392" spans="1:50" x14ac:dyDescent="0.25">
      <c r="A392" s="67" t="str">
        <f>IFERROR(IF(C392&lt;&gt;"",MAX($A$2:$A391)+1,""),"")</f>
        <v/>
      </c>
      <c r="B392" s="223">
        <f t="shared" si="5"/>
        <v>380</v>
      </c>
      <c r="C392" s="216"/>
      <c r="D392" s="216"/>
      <c r="E392" s="248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  <c r="W392" s="74"/>
      <c r="X392" s="265"/>
      <c r="Y392" s="265"/>
      <c r="Z392" s="265"/>
      <c r="AA392" s="265"/>
      <c r="AB392" s="265"/>
      <c r="AC392" s="265"/>
      <c r="AD392" s="265"/>
      <c r="AE392" s="265"/>
      <c r="AF392" s="265"/>
      <c r="AG392" s="265"/>
      <c r="AH392" s="265"/>
      <c r="AI392" s="265"/>
      <c r="AJ392" s="265"/>
      <c r="AK392" s="265"/>
      <c r="AL392" s="265"/>
      <c r="AM392" s="265"/>
      <c r="AN392" s="265"/>
      <c r="AO392" s="74"/>
      <c r="AP392" s="74"/>
      <c r="AQ392" s="74"/>
      <c r="AR392" s="74"/>
      <c r="AS392" s="74"/>
      <c r="AT392" s="74"/>
      <c r="AU392" s="74"/>
      <c r="AV392" s="74"/>
      <c r="AW392" s="82"/>
      <c r="AX392" s="67"/>
    </row>
    <row r="393" spans="1:50" x14ac:dyDescent="0.25">
      <c r="A393" s="67" t="str">
        <f>IFERROR(IF(C393&lt;&gt;"",MAX($A$2:$A392)+1,""),"")</f>
        <v/>
      </c>
      <c r="B393" s="223">
        <f t="shared" si="5"/>
        <v>381</v>
      </c>
      <c r="C393" s="216"/>
      <c r="D393" s="216"/>
      <c r="E393" s="248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  <c r="W393" s="74"/>
      <c r="X393" s="265"/>
      <c r="Y393" s="265"/>
      <c r="Z393" s="265"/>
      <c r="AA393" s="265"/>
      <c r="AB393" s="265"/>
      <c r="AC393" s="265"/>
      <c r="AD393" s="265"/>
      <c r="AE393" s="265"/>
      <c r="AF393" s="265"/>
      <c r="AG393" s="265"/>
      <c r="AH393" s="265"/>
      <c r="AI393" s="265"/>
      <c r="AJ393" s="265"/>
      <c r="AK393" s="265"/>
      <c r="AL393" s="265"/>
      <c r="AM393" s="265"/>
      <c r="AN393" s="265"/>
      <c r="AO393" s="74"/>
      <c r="AP393" s="74"/>
      <c r="AQ393" s="74"/>
      <c r="AR393" s="74"/>
      <c r="AS393" s="74"/>
      <c r="AT393" s="74"/>
      <c r="AU393" s="74"/>
      <c r="AV393" s="74"/>
      <c r="AW393" s="82"/>
      <c r="AX393" s="67"/>
    </row>
    <row r="394" spans="1:50" x14ac:dyDescent="0.25">
      <c r="A394" s="67" t="str">
        <f>IFERROR(IF(C394&lt;&gt;"",MAX($A$2:$A393)+1,""),"")</f>
        <v/>
      </c>
      <c r="B394" s="223">
        <f t="shared" si="5"/>
        <v>382</v>
      </c>
      <c r="C394" s="216"/>
      <c r="D394" s="216"/>
      <c r="E394" s="248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  <c r="W394" s="74"/>
      <c r="X394" s="265"/>
      <c r="Y394" s="265"/>
      <c r="Z394" s="265"/>
      <c r="AA394" s="265"/>
      <c r="AB394" s="265"/>
      <c r="AC394" s="265"/>
      <c r="AD394" s="265"/>
      <c r="AE394" s="265"/>
      <c r="AF394" s="265"/>
      <c r="AG394" s="265"/>
      <c r="AH394" s="265"/>
      <c r="AI394" s="265"/>
      <c r="AJ394" s="265"/>
      <c r="AK394" s="265"/>
      <c r="AL394" s="265"/>
      <c r="AM394" s="265"/>
      <c r="AN394" s="265"/>
      <c r="AO394" s="74"/>
      <c r="AP394" s="74"/>
      <c r="AQ394" s="74"/>
      <c r="AR394" s="74"/>
      <c r="AS394" s="74"/>
      <c r="AT394" s="74"/>
      <c r="AU394" s="74"/>
      <c r="AV394" s="74"/>
      <c r="AW394" s="82"/>
      <c r="AX394" s="67"/>
    </row>
    <row r="395" spans="1:50" x14ac:dyDescent="0.25">
      <c r="A395" s="67" t="str">
        <f>IFERROR(IF(C395&lt;&gt;"",MAX($A$2:$A394)+1,""),"")</f>
        <v/>
      </c>
      <c r="B395" s="223">
        <f t="shared" si="5"/>
        <v>383</v>
      </c>
      <c r="C395" s="216"/>
      <c r="D395" s="216"/>
      <c r="E395" s="248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  <c r="W395" s="74"/>
      <c r="X395" s="265"/>
      <c r="Y395" s="265"/>
      <c r="Z395" s="265"/>
      <c r="AA395" s="265"/>
      <c r="AB395" s="265"/>
      <c r="AC395" s="265"/>
      <c r="AD395" s="265"/>
      <c r="AE395" s="265"/>
      <c r="AF395" s="265"/>
      <c r="AG395" s="265"/>
      <c r="AH395" s="265"/>
      <c r="AI395" s="265"/>
      <c r="AJ395" s="265"/>
      <c r="AK395" s="265"/>
      <c r="AL395" s="265"/>
      <c r="AM395" s="265"/>
      <c r="AN395" s="265"/>
      <c r="AO395" s="74"/>
      <c r="AP395" s="74"/>
      <c r="AQ395" s="74"/>
      <c r="AR395" s="74"/>
      <c r="AS395" s="74"/>
      <c r="AT395" s="74"/>
      <c r="AU395" s="74"/>
      <c r="AV395" s="74"/>
      <c r="AW395" s="82"/>
      <c r="AX395" s="67"/>
    </row>
    <row r="396" spans="1:50" x14ac:dyDescent="0.25">
      <c r="A396" s="67" t="str">
        <f>IFERROR(IF(C396&lt;&gt;"",MAX($A$2:$A395)+1,""),"")</f>
        <v/>
      </c>
      <c r="B396" s="223">
        <f t="shared" si="5"/>
        <v>384</v>
      </c>
      <c r="C396" s="216"/>
      <c r="D396" s="216"/>
      <c r="E396" s="248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  <c r="W396" s="74"/>
      <c r="X396" s="265"/>
      <c r="Y396" s="265"/>
      <c r="Z396" s="265"/>
      <c r="AA396" s="265"/>
      <c r="AB396" s="265"/>
      <c r="AC396" s="265"/>
      <c r="AD396" s="265"/>
      <c r="AE396" s="265"/>
      <c r="AF396" s="265"/>
      <c r="AG396" s="265"/>
      <c r="AH396" s="265"/>
      <c r="AI396" s="265"/>
      <c r="AJ396" s="265"/>
      <c r="AK396" s="265"/>
      <c r="AL396" s="265"/>
      <c r="AM396" s="265"/>
      <c r="AN396" s="265"/>
      <c r="AO396" s="74"/>
      <c r="AP396" s="74"/>
      <c r="AQ396" s="74"/>
      <c r="AR396" s="74"/>
      <c r="AS396" s="74"/>
      <c r="AT396" s="74"/>
      <c r="AU396" s="74"/>
      <c r="AV396" s="74"/>
      <c r="AW396" s="82"/>
      <c r="AX396" s="67"/>
    </row>
    <row r="397" spans="1:50" x14ac:dyDescent="0.25">
      <c r="A397" s="67" t="str">
        <f>IFERROR(IF(C397&lt;&gt;"",MAX($A$2:$A396)+1,""),"")</f>
        <v/>
      </c>
      <c r="B397" s="223">
        <f t="shared" si="5"/>
        <v>385</v>
      </c>
      <c r="C397" s="216"/>
      <c r="D397" s="216"/>
      <c r="E397" s="248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  <c r="W397" s="74"/>
      <c r="X397" s="265"/>
      <c r="Y397" s="265"/>
      <c r="Z397" s="265"/>
      <c r="AA397" s="265"/>
      <c r="AB397" s="265"/>
      <c r="AC397" s="265"/>
      <c r="AD397" s="265"/>
      <c r="AE397" s="265"/>
      <c r="AF397" s="265"/>
      <c r="AG397" s="265"/>
      <c r="AH397" s="265"/>
      <c r="AI397" s="265"/>
      <c r="AJ397" s="265"/>
      <c r="AK397" s="265"/>
      <c r="AL397" s="265"/>
      <c r="AM397" s="265"/>
      <c r="AN397" s="265"/>
      <c r="AO397" s="74"/>
      <c r="AP397" s="74"/>
      <c r="AQ397" s="74"/>
      <c r="AR397" s="74"/>
      <c r="AS397" s="74"/>
      <c r="AT397" s="74"/>
      <c r="AU397" s="74"/>
      <c r="AV397" s="74"/>
      <c r="AW397" s="82"/>
      <c r="AX397" s="67"/>
    </row>
    <row r="398" spans="1:50" x14ac:dyDescent="0.25">
      <c r="A398" s="67" t="str">
        <f>IFERROR(IF(C398&lt;&gt;"",MAX($A$2:$A397)+1,""),"")</f>
        <v/>
      </c>
      <c r="B398" s="223">
        <f t="shared" si="5"/>
        <v>386</v>
      </c>
      <c r="C398" s="216"/>
      <c r="D398" s="216"/>
      <c r="E398" s="248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  <c r="W398" s="74"/>
      <c r="X398" s="265"/>
      <c r="Y398" s="265"/>
      <c r="Z398" s="265"/>
      <c r="AA398" s="265"/>
      <c r="AB398" s="265"/>
      <c r="AC398" s="265"/>
      <c r="AD398" s="265"/>
      <c r="AE398" s="265"/>
      <c r="AF398" s="265"/>
      <c r="AG398" s="265"/>
      <c r="AH398" s="265"/>
      <c r="AI398" s="265"/>
      <c r="AJ398" s="265"/>
      <c r="AK398" s="265"/>
      <c r="AL398" s="265"/>
      <c r="AM398" s="265"/>
      <c r="AN398" s="265"/>
      <c r="AO398" s="74"/>
      <c r="AP398" s="74"/>
      <c r="AQ398" s="74"/>
      <c r="AR398" s="74"/>
      <c r="AS398" s="74"/>
      <c r="AT398" s="74"/>
      <c r="AU398" s="74"/>
      <c r="AV398" s="74"/>
      <c r="AW398" s="82"/>
      <c r="AX398" s="67"/>
    </row>
    <row r="399" spans="1:50" x14ac:dyDescent="0.25">
      <c r="A399" s="67" t="str">
        <f>IFERROR(IF(C399&lt;&gt;"",MAX($A$2:$A398)+1,""),"")</f>
        <v/>
      </c>
      <c r="B399" s="223">
        <f t="shared" si="5"/>
        <v>387</v>
      </c>
      <c r="C399" s="216"/>
      <c r="D399" s="216"/>
      <c r="E399" s="248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74"/>
      <c r="U399" s="74"/>
      <c r="V399" s="74"/>
      <c r="W399" s="74"/>
      <c r="X399" s="265"/>
      <c r="Y399" s="265"/>
      <c r="Z399" s="265"/>
      <c r="AA399" s="265"/>
      <c r="AB399" s="265"/>
      <c r="AC399" s="265"/>
      <c r="AD399" s="265"/>
      <c r="AE399" s="265"/>
      <c r="AF399" s="265"/>
      <c r="AG399" s="265"/>
      <c r="AH399" s="265"/>
      <c r="AI399" s="265"/>
      <c r="AJ399" s="265"/>
      <c r="AK399" s="265"/>
      <c r="AL399" s="265"/>
      <c r="AM399" s="265"/>
      <c r="AN399" s="265"/>
      <c r="AO399" s="74"/>
      <c r="AP399" s="74"/>
      <c r="AQ399" s="74"/>
      <c r="AR399" s="74"/>
      <c r="AS399" s="74"/>
      <c r="AT399" s="74"/>
      <c r="AU399" s="74"/>
      <c r="AV399" s="74"/>
      <c r="AW399" s="82"/>
      <c r="AX399" s="67"/>
    </row>
    <row r="400" spans="1:50" x14ac:dyDescent="0.25">
      <c r="A400" s="67" t="str">
        <f>IFERROR(IF(C400&lt;&gt;"",MAX($A$2:$A399)+1,""),"")</f>
        <v/>
      </c>
      <c r="B400" s="223">
        <f t="shared" si="5"/>
        <v>388</v>
      </c>
      <c r="C400" s="216"/>
      <c r="D400" s="216"/>
      <c r="E400" s="248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  <c r="W400" s="74"/>
      <c r="X400" s="265"/>
      <c r="Y400" s="265"/>
      <c r="Z400" s="265"/>
      <c r="AA400" s="265"/>
      <c r="AB400" s="265"/>
      <c r="AC400" s="265"/>
      <c r="AD400" s="265"/>
      <c r="AE400" s="265"/>
      <c r="AF400" s="265"/>
      <c r="AG400" s="265"/>
      <c r="AH400" s="265"/>
      <c r="AI400" s="265"/>
      <c r="AJ400" s="265"/>
      <c r="AK400" s="265"/>
      <c r="AL400" s="265"/>
      <c r="AM400" s="265"/>
      <c r="AN400" s="265"/>
      <c r="AO400" s="74"/>
      <c r="AP400" s="74"/>
      <c r="AQ400" s="74"/>
      <c r="AR400" s="74"/>
      <c r="AS400" s="74"/>
      <c r="AT400" s="74"/>
      <c r="AU400" s="74"/>
      <c r="AV400" s="74"/>
      <c r="AW400" s="82"/>
      <c r="AX400" s="67"/>
    </row>
    <row r="401" spans="1:50" x14ac:dyDescent="0.25">
      <c r="A401" s="67" t="str">
        <f>IFERROR(IF(C401&lt;&gt;"",MAX($A$2:$A400)+1,""),"")</f>
        <v/>
      </c>
      <c r="B401" s="223">
        <f t="shared" si="5"/>
        <v>389</v>
      </c>
      <c r="C401" s="216"/>
      <c r="D401" s="216"/>
      <c r="E401" s="248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  <c r="W401" s="74"/>
      <c r="X401" s="265"/>
      <c r="Y401" s="265"/>
      <c r="Z401" s="265"/>
      <c r="AA401" s="265"/>
      <c r="AB401" s="265"/>
      <c r="AC401" s="265"/>
      <c r="AD401" s="265"/>
      <c r="AE401" s="265"/>
      <c r="AF401" s="265"/>
      <c r="AG401" s="265"/>
      <c r="AH401" s="265"/>
      <c r="AI401" s="265"/>
      <c r="AJ401" s="265"/>
      <c r="AK401" s="265"/>
      <c r="AL401" s="265"/>
      <c r="AM401" s="265"/>
      <c r="AN401" s="265"/>
      <c r="AO401" s="74"/>
      <c r="AP401" s="74"/>
      <c r="AQ401" s="74"/>
      <c r="AR401" s="74"/>
      <c r="AS401" s="74"/>
      <c r="AT401" s="74"/>
      <c r="AU401" s="74"/>
      <c r="AV401" s="74"/>
      <c r="AW401" s="82"/>
      <c r="AX401" s="67"/>
    </row>
    <row r="402" spans="1:50" x14ac:dyDescent="0.25">
      <c r="A402" s="67" t="str">
        <f>IFERROR(IF(C402&lt;&gt;"",MAX($A$2:$A401)+1,""),"")</f>
        <v/>
      </c>
      <c r="B402" s="223">
        <f t="shared" si="5"/>
        <v>390</v>
      </c>
      <c r="C402" s="216"/>
      <c r="D402" s="216"/>
      <c r="E402" s="248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  <c r="W402" s="74"/>
      <c r="X402" s="265"/>
      <c r="Y402" s="265"/>
      <c r="Z402" s="265"/>
      <c r="AA402" s="265"/>
      <c r="AB402" s="265"/>
      <c r="AC402" s="265"/>
      <c r="AD402" s="265"/>
      <c r="AE402" s="265"/>
      <c r="AF402" s="265"/>
      <c r="AG402" s="265"/>
      <c r="AH402" s="265"/>
      <c r="AI402" s="265"/>
      <c r="AJ402" s="265"/>
      <c r="AK402" s="265"/>
      <c r="AL402" s="265"/>
      <c r="AM402" s="265"/>
      <c r="AN402" s="265"/>
      <c r="AO402" s="74"/>
      <c r="AP402" s="74"/>
      <c r="AQ402" s="74"/>
      <c r="AR402" s="74"/>
      <c r="AS402" s="74"/>
      <c r="AT402" s="74"/>
      <c r="AU402" s="74"/>
      <c r="AV402" s="74"/>
      <c r="AW402" s="82"/>
      <c r="AX402" s="67"/>
    </row>
    <row r="403" spans="1:50" x14ac:dyDescent="0.25">
      <c r="A403" s="67" t="str">
        <f>IFERROR(IF(C403&lt;&gt;"",MAX($A$2:$A402)+1,""),"")</f>
        <v/>
      </c>
      <c r="B403" s="223">
        <f t="shared" si="5"/>
        <v>391</v>
      </c>
      <c r="C403" s="216"/>
      <c r="D403" s="216"/>
      <c r="E403" s="248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74"/>
      <c r="U403" s="74"/>
      <c r="V403" s="74"/>
      <c r="W403" s="74"/>
      <c r="X403" s="265"/>
      <c r="Y403" s="265"/>
      <c r="Z403" s="265"/>
      <c r="AA403" s="265"/>
      <c r="AB403" s="265"/>
      <c r="AC403" s="265"/>
      <c r="AD403" s="265"/>
      <c r="AE403" s="265"/>
      <c r="AF403" s="265"/>
      <c r="AG403" s="265"/>
      <c r="AH403" s="265"/>
      <c r="AI403" s="265"/>
      <c r="AJ403" s="265"/>
      <c r="AK403" s="265"/>
      <c r="AL403" s="265"/>
      <c r="AM403" s="265"/>
      <c r="AN403" s="265"/>
      <c r="AO403" s="74"/>
      <c r="AP403" s="74"/>
      <c r="AQ403" s="74"/>
      <c r="AR403" s="74"/>
      <c r="AS403" s="74"/>
      <c r="AT403" s="74"/>
      <c r="AU403" s="74"/>
      <c r="AV403" s="74"/>
      <c r="AW403" s="82"/>
      <c r="AX403" s="67"/>
    </row>
    <row r="404" spans="1:50" x14ac:dyDescent="0.25">
      <c r="A404" s="67" t="str">
        <f>IFERROR(IF(C404&lt;&gt;"",MAX($A$2:$A403)+1,""),"")</f>
        <v/>
      </c>
      <c r="B404" s="223">
        <f t="shared" si="5"/>
        <v>392</v>
      </c>
      <c r="C404" s="216"/>
      <c r="D404" s="216"/>
      <c r="E404" s="248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  <c r="W404" s="74"/>
      <c r="X404" s="265"/>
      <c r="Y404" s="265"/>
      <c r="Z404" s="265"/>
      <c r="AA404" s="265"/>
      <c r="AB404" s="265"/>
      <c r="AC404" s="265"/>
      <c r="AD404" s="265"/>
      <c r="AE404" s="265"/>
      <c r="AF404" s="265"/>
      <c r="AG404" s="265"/>
      <c r="AH404" s="265"/>
      <c r="AI404" s="265"/>
      <c r="AJ404" s="265"/>
      <c r="AK404" s="265"/>
      <c r="AL404" s="265"/>
      <c r="AM404" s="265"/>
      <c r="AN404" s="265"/>
      <c r="AO404" s="74"/>
      <c r="AP404" s="74"/>
      <c r="AQ404" s="74"/>
      <c r="AR404" s="74"/>
      <c r="AS404" s="74"/>
      <c r="AT404" s="74"/>
      <c r="AU404" s="74"/>
      <c r="AV404" s="74"/>
      <c r="AW404" s="82"/>
      <c r="AX404" s="67"/>
    </row>
    <row r="405" spans="1:50" x14ac:dyDescent="0.25">
      <c r="A405" s="67" t="str">
        <f>IFERROR(IF(C405&lt;&gt;"",MAX($A$2:$A404)+1,""),"")</f>
        <v/>
      </c>
      <c r="B405" s="223">
        <f t="shared" si="5"/>
        <v>393</v>
      </c>
      <c r="C405" s="216"/>
      <c r="D405" s="216"/>
      <c r="E405" s="248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  <c r="W405" s="74"/>
      <c r="X405" s="265"/>
      <c r="Y405" s="265"/>
      <c r="Z405" s="265"/>
      <c r="AA405" s="265"/>
      <c r="AB405" s="265"/>
      <c r="AC405" s="265"/>
      <c r="AD405" s="265"/>
      <c r="AE405" s="265"/>
      <c r="AF405" s="265"/>
      <c r="AG405" s="265"/>
      <c r="AH405" s="265"/>
      <c r="AI405" s="265"/>
      <c r="AJ405" s="265"/>
      <c r="AK405" s="265"/>
      <c r="AL405" s="265"/>
      <c r="AM405" s="265"/>
      <c r="AN405" s="265"/>
      <c r="AO405" s="74"/>
      <c r="AP405" s="74"/>
      <c r="AQ405" s="74"/>
      <c r="AR405" s="74"/>
      <c r="AS405" s="74"/>
      <c r="AT405" s="74"/>
      <c r="AU405" s="74"/>
      <c r="AV405" s="74"/>
      <c r="AW405" s="82"/>
      <c r="AX405" s="67"/>
    </row>
    <row r="406" spans="1:50" x14ac:dyDescent="0.25">
      <c r="A406" s="67" t="str">
        <f>IFERROR(IF(C406&lt;&gt;"",MAX($A$2:$A405)+1,""),"")</f>
        <v/>
      </c>
      <c r="B406" s="223">
        <f t="shared" si="5"/>
        <v>394</v>
      </c>
      <c r="C406" s="216"/>
      <c r="D406" s="216"/>
      <c r="E406" s="248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74"/>
      <c r="U406" s="74"/>
      <c r="V406" s="74"/>
      <c r="W406" s="74"/>
      <c r="X406" s="265"/>
      <c r="Y406" s="265"/>
      <c r="Z406" s="265"/>
      <c r="AA406" s="265"/>
      <c r="AB406" s="265"/>
      <c r="AC406" s="265"/>
      <c r="AD406" s="265"/>
      <c r="AE406" s="265"/>
      <c r="AF406" s="265"/>
      <c r="AG406" s="265"/>
      <c r="AH406" s="265"/>
      <c r="AI406" s="265"/>
      <c r="AJ406" s="265"/>
      <c r="AK406" s="265"/>
      <c r="AL406" s="265"/>
      <c r="AM406" s="265"/>
      <c r="AN406" s="265"/>
      <c r="AO406" s="74"/>
      <c r="AP406" s="74"/>
      <c r="AQ406" s="74"/>
      <c r="AR406" s="74"/>
      <c r="AS406" s="74"/>
      <c r="AT406" s="74"/>
      <c r="AU406" s="74"/>
      <c r="AV406" s="74"/>
      <c r="AW406" s="82"/>
      <c r="AX406" s="67"/>
    </row>
    <row r="407" spans="1:50" x14ac:dyDescent="0.25">
      <c r="A407" s="67" t="str">
        <f>IFERROR(IF(C407&lt;&gt;"",MAX($A$2:$A406)+1,""),"")</f>
        <v/>
      </c>
      <c r="B407" s="223">
        <f t="shared" si="5"/>
        <v>395</v>
      </c>
      <c r="C407" s="216"/>
      <c r="D407" s="216"/>
      <c r="E407" s="248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  <c r="W407" s="74"/>
      <c r="X407" s="265"/>
      <c r="Y407" s="265"/>
      <c r="Z407" s="265"/>
      <c r="AA407" s="265"/>
      <c r="AB407" s="265"/>
      <c r="AC407" s="265"/>
      <c r="AD407" s="265"/>
      <c r="AE407" s="265"/>
      <c r="AF407" s="265"/>
      <c r="AG407" s="265"/>
      <c r="AH407" s="265"/>
      <c r="AI407" s="265"/>
      <c r="AJ407" s="265"/>
      <c r="AK407" s="265"/>
      <c r="AL407" s="265"/>
      <c r="AM407" s="265"/>
      <c r="AN407" s="265"/>
      <c r="AO407" s="74"/>
      <c r="AP407" s="74"/>
      <c r="AQ407" s="74"/>
      <c r="AR407" s="74"/>
      <c r="AS407" s="74"/>
      <c r="AT407" s="74"/>
      <c r="AU407" s="74"/>
      <c r="AV407" s="74"/>
      <c r="AW407" s="82"/>
      <c r="AX407" s="67"/>
    </row>
    <row r="408" spans="1:50" ht="14.4" thickBot="1" x14ac:dyDescent="0.3">
      <c r="A408" s="67" t="str">
        <f>IFERROR(IF(C408&lt;&gt;"",MAX($A$2:$A327)+1,""),"")</f>
        <v/>
      </c>
      <c r="B408" s="223">
        <f t="shared" si="5"/>
        <v>396</v>
      </c>
      <c r="C408" s="216"/>
      <c r="D408" s="216"/>
      <c r="E408" s="248"/>
      <c r="F408" s="269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/>
      <c r="W408" s="74"/>
      <c r="X408" s="211"/>
      <c r="Y408" s="211"/>
      <c r="Z408" s="211"/>
      <c r="AA408" s="211"/>
      <c r="AB408" s="211"/>
      <c r="AC408" s="211"/>
      <c r="AD408" s="211"/>
      <c r="AE408" s="211"/>
      <c r="AF408" s="211"/>
      <c r="AG408" s="211"/>
      <c r="AH408" s="211"/>
      <c r="AI408" s="74"/>
      <c r="AJ408" s="211"/>
      <c r="AK408" s="74"/>
      <c r="AL408" s="211"/>
      <c r="AM408" s="211"/>
      <c r="AN408" s="211"/>
      <c r="AO408" s="74"/>
      <c r="AP408" s="74"/>
      <c r="AQ408" s="74"/>
      <c r="AR408" s="74"/>
      <c r="AS408" s="74"/>
      <c r="AT408" s="74"/>
      <c r="AU408" s="74"/>
      <c r="AV408" s="74"/>
      <c r="AW408" s="82"/>
      <c r="AX408" s="67"/>
    </row>
    <row r="409" spans="1:50" ht="14.4" thickTop="1" x14ac:dyDescent="0.25">
      <c r="A409" s="67"/>
      <c r="B409" s="224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  <c r="X409" s="212"/>
      <c r="Y409" s="212"/>
      <c r="Z409" s="212"/>
      <c r="AA409" s="212"/>
      <c r="AB409" s="212"/>
      <c r="AC409" s="212"/>
      <c r="AD409" s="212"/>
      <c r="AE409" s="212"/>
      <c r="AF409" s="212"/>
      <c r="AG409" s="212"/>
      <c r="AH409" s="212"/>
      <c r="AI409" s="81"/>
      <c r="AJ409" s="212"/>
      <c r="AK409" s="81"/>
      <c r="AL409" s="212"/>
      <c r="AM409" s="212"/>
      <c r="AN409" s="212"/>
      <c r="AO409" s="81"/>
      <c r="AP409" s="81"/>
      <c r="AQ409" s="81"/>
      <c r="AR409" s="81"/>
      <c r="AS409" s="81"/>
      <c r="AT409" s="81"/>
      <c r="AU409" s="81"/>
      <c r="AV409" s="81"/>
      <c r="AW409" s="69"/>
      <c r="AX409" s="75"/>
    </row>
    <row r="410" spans="1:50" x14ac:dyDescent="0.25">
      <c r="C410" s="68"/>
      <c r="D410" s="218"/>
      <c r="E410" s="68"/>
      <c r="F410" s="68"/>
      <c r="G410" s="68"/>
      <c r="H410" s="68"/>
      <c r="I410" s="68"/>
      <c r="J410" s="68"/>
      <c r="K410" s="68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213"/>
      <c r="Y410" s="213"/>
      <c r="Z410" s="213"/>
      <c r="AA410" s="213"/>
      <c r="AB410" s="213"/>
      <c r="AC410" s="213"/>
      <c r="AD410" s="213"/>
      <c r="AE410" s="213"/>
      <c r="AF410" s="213"/>
      <c r="AG410" s="213"/>
      <c r="AH410" s="213"/>
      <c r="AI410" s="213"/>
      <c r="AJ410" s="68"/>
      <c r="AK410" s="213"/>
      <c r="AL410" s="213"/>
      <c r="AM410" s="213"/>
    </row>
  </sheetData>
  <mergeCells count="1">
    <mergeCell ref="A2:B2"/>
  </mergeCells>
  <pageMargins left="0.7" right="0.7" top="0.78740157499999996" bottom="0.78740157499999996" header="0.3" footer="0.3"/>
  <pageSetup paperSize="9" orientation="portrait" horizontalDpi="0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/>
  <dimension ref="A1:DV199"/>
  <sheetViews>
    <sheetView topLeftCell="A2" zoomScale="85" zoomScaleNormal="85" workbookViewId="0">
      <pane ySplit="6048"/>
      <selection activeCell="B4" sqref="B4"/>
      <selection pane="bottomLeft" activeCell="B4" sqref="B4"/>
    </sheetView>
  </sheetViews>
  <sheetFormatPr baseColWidth="10" defaultRowHeight="14.4" outlineLevelCol="1" x14ac:dyDescent="0.3"/>
  <cols>
    <col min="1" max="1" width="2.44140625" customWidth="1"/>
    <col min="2" max="2" width="39.6640625" customWidth="1"/>
    <col min="3" max="3" width="1.5546875" customWidth="1"/>
    <col min="4" max="5" width="3.109375" style="235" customWidth="1"/>
    <col min="6" max="6" width="3.109375" style="253" customWidth="1"/>
    <col min="7" max="7" width="3.109375" style="235" customWidth="1"/>
    <col min="8" max="14" width="3.109375" style="235" customWidth="1" outlineLevel="1"/>
    <col min="15" max="25" width="3.109375" style="235" customWidth="1"/>
    <col min="26" max="26" width="3.109375" style="308" customWidth="1"/>
    <col min="27" max="35" width="3.109375" style="235" customWidth="1"/>
    <col min="36" max="36" width="3.109375" style="308" customWidth="1"/>
    <col min="37" max="37" width="4.5546875" style="236" customWidth="1"/>
    <col min="38" max="38" width="4" customWidth="1"/>
    <col min="39" max="39" width="6" style="237" bestFit="1" customWidth="1"/>
    <col min="40" max="74" width="2.88671875" customWidth="1" outlineLevel="1"/>
    <col min="75" max="77" width="5.88671875" customWidth="1" outlineLevel="1"/>
    <col min="78" max="83" width="4.44140625" customWidth="1" outlineLevel="1"/>
    <col min="84" max="84" width="0.6640625" customWidth="1" outlineLevel="1"/>
    <col min="85" max="89" width="4.44140625" customWidth="1" outlineLevel="1"/>
    <col min="90" max="90" width="4.44140625" customWidth="1"/>
    <col min="91" max="91" width="4.44140625" style="251" customWidth="1"/>
    <col min="92" max="93" width="4.44140625" customWidth="1"/>
    <col min="94" max="94" width="4.44140625" style="251" customWidth="1"/>
    <col min="95" max="97" width="4.44140625" customWidth="1"/>
    <col min="98" max="98" width="4.44140625" style="251" customWidth="1"/>
    <col min="99" max="100" width="4.44140625" customWidth="1"/>
    <col min="101" max="101" width="4.44140625" style="251" customWidth="1"/>
    <col min="102" max="104" width="4.44140625" customWidth="1"/>
    <col min="105" max="105" width="4.44140625" style="251" customWidth="1"/>
    <col min="106" max="107" width="4.44140625" customWidth="1"/>
    <col min="108" max="108" width="4.44140625" style="251" customWidth="1"/>
    <col min="109" max="111" width="4.44140625" customWidth="1"/>
    <col min="112" max="112" width="4.44140625" style="251" customWidth="1"/>
    <col min="113" max="114" width="4.44140625" customWidth="1"/>
    <col min="115" max="115" width="4.44140625" style="251" customWidth="1"/>
    <col min="116" max="118" width="4.44140625" customWidth="1"/>
    <col min="119" max="119" width="4.44140625" style="251" customWidth="1"/>
    <col min="120" max="121" width="4.44140625" customWidth="1"/>
    <col min="122" max="122" width="4.44140625" style="251" customWidth="1"/>
    <col min="123" max="124" width="4.44140625" customWidth="1"/>
    <col min="125" max="125" width="35.88671875" bestFit="1" customWidth="1"/>
    <col min="126" max="126" width="2.88671875" customWidth="1"/>
    <col min="127" max="127" width="11.44140625" customWidth="1"/>
  </cols>
  <sheetData>
    <row r="1" spans="1:126" ht="15" thickBot="1" x14ac:dyDescent="0.35">
      <c r="E1" s="293"/>
      <c r="G1" s="201"/>
      <c r="H1" s="410" t="s">
        <v>1444</v>
      </c>
      <c r="I1" s="411"/>
      <c r="J1" s="411"/>
      <c r="K1" s="411"/>
      <c r="L1" s="411"/>
      <c r="M1" s="411"/>
      <c r="N1" s="412"/>
      <c r="O1" s="413" t="s">
        <v>1461</v>
      </c>
      <c r="P1" s="413"/>
      <c r="Q1" s="413"/>
      <c r="R1" s="413"/>
      <c r="S1" s="413"/>
      <c r="T1" s="201"/>
      <c r="U1" s="295" t="s">
        <v>1462</v>
      </c>
      <c r="V1" s="295"/>
      <c r="W1" s="295"/>
      <c r="X1" s="295"/>
      <c r="Y1" s="295"/>
      <c r="Z1"/>
      <c r="AA1" s="295"/>
      <c r="AB1" s="295"/>
      <c r="AC1" s="295"/>
      <c r="AD1" s="295"/>
      <c r="AE1" s="296"/>
      <c r="AF1" s="295"/>
      <c r="AJ1"/>
      <c r="AL1" s="289"/>
      <c r="AM1" s="291"/>
      <c r="AN1" t="s">
        <v>1463</v>
      </c>
      <c r="BK1" s="289"/>
      <c r="BM1" t="s">
        <v>1447</v>
      </c>
      <c r="BW1" t="s">
        <v>1700</v>
      </c>
      <c r="BY1" s="289"/>
      <c r="BZ1" s="271"/>
      <c r="CB1" s="289"/>
      <c r="CC1" s="271"/>
      <c r="CD1" s="236"/>
      <c r="CE1" s="236"/>
      <c r="CF1" s="236"/>
      <c r="CG1" s="287"/>
      <c r="CH1" s="287"/>
      <c r="CI1" s="236"/>
      <c r="CJ1" s="236"/>
      <c r="CK1" s="286"/>
      <c r="CL1" s="272"/>
      <c r="CM1" s="272"/>
      <c r="CN1" s="272"/>
      <c r="CO1" s="272"/>
      <c r="CP1" s="272"/>
      <c r="CQ1" s="273"/>
      <c r="CR1" s="273"/>
      <c r="CS1" s="274"/>
      <c r="CT1" s="275"/>
      <c r="CU1" s="275"/>
      <c r="CV1" s="275"/>
      <c r="CW1" s="275"/>
      <c r="CX1" s="275"/>
      <c r="CY1" s="275"/>
      <c r="CZ1" s="276"/>
      <c r="DA1" s="277"/>
      <c r="DB1" s="277"/>
      <c r="DC1" s="277"/>
      <c r="DD1" s="277"/>
      <c r="DE1" s="277"/>
      <c r="DF1" s="277"/>
      <c r="DG1" s="278"/>
      <c r="DH1" s="279"/>
      <c r="DI1" s="279"/>
      <c r="DJ1" s="279"/>
      <c r="DK1" s="279"/>
      <c r="DL1" s="279"/>
      <c r="DM1" s="279"/>
      <c r="DN1" s="280"/>
      <c r="DO1" s="281"/>
      <c r="DP1" s="281"/>
      <c r="DQ1" s="281"/>
      <c r="DR1" s="281"/>
      <c r="DS1" s="281"/>
      <c r="DT1" s="281"/>
    </row>
    <row r="2" spans="1:126" ht="82.5" customHeight="1" thickBot="1" x14ac:dyDescent="0.35">
      <c r="D2" s="414" t="s">
        <v>1464</v>
      </c>
      <c r="E2" s="416" t="s">
        <v>1465</v>
      </c>
      <c r="F2" s="252"/>
      <c r="G2" s="294"/>
      <c r="H2" s="239" t="s">
        <v>1466</v>
      </c>
      <c r="I2" s="239" t="s">
        <v>1467</v>
      </c>
      <c r="J2" s="239" t="s">
        <v>1468</v>
      </c>
      <c r="K2" s="239" t="s">
        <v>1469</v>
      </c>
      <c r="L2" s="239" t="s">
        <v>1470</v>
      </c>
      <c r="M2" s="239" t="s">
        <v>1471</v>
      </c>
      <c r="N2" s="290" t="s">
        <v>1472</v>
      </c>
      <c r="R2" s="240"/>
      <c r="S2" s="240"/>
      <c r="T2" s="290"/>
      <c r="U2" s="418" t="s">
        <v>1475</v>
      </c>
      <c r="V2" s="418" t="s">
        <v>1476</v>
      </c>
      <c r="W2" s="418" t="s">
        <v>1446</v>
      </c>
      <c r="X2" s="418" t="s">
        <v>1311</v>
      </c>
      <c r="Y2" s="421" t="s">
        <v>1307</v>
      </c>
      <c r="Z2"/>
      <c r="AA2" s="418" t="s">
        <v>1315</v>
      </c>
      <c r="AB2" s="414" t="s">
        <v>1477</v>
      </c>
      <c r="AC2" s="416" t="s">
        <v>1478</v>
      </c>
      <c r="AD2" s="414" t="s">
        <v>1479</v>
      </c>
      <c r="AE2" s="416" t="s">
        <v>1480</v>
      </c>
      <c r="AF2" s="414" t="s">
        <v>1481</v>
      </c>
      <c r="AG2" s="419" t="s">
        <v>1482</v>
      </c>
      <c r="AH2" s="258"/>
      <c r="AI2" s="259"/>
      <c r="AJ2"/>
      <c r="AL2" s="297"/>
      <c r="AM2" s="291"/>
      <c r="AN2" s="239" t="s">
        <v>1669</v>
      </c>
      <c r="AO2" s="239" t="s">
        <v>1670</v>
      </c>
      <c r="AP2" s="239" t="s">
        <v>1671</v>
      </c>
      <c r="AQ2" s="239" t="s">
        <v>1672</v>
      </c>
      <c r="AR2" s="239" t="s">
        <v>1673</v>
      </c>
      <c r="AS2" s="239" t="s">
        <v>1674</v>
      </c>
      <c r="AT2" s="239" t="s">
        <v>1675</v>
      </c>
      <c r="AU2" s="290" t="s">
        <v>1676</v>
      </c>
      <c r="AV2" s="239" t="s">
        <v>1267</v>
      </c>
      <c r="AW2" s="239" t="s">
        <v>1433</v>
      </c>
      <c r="AX2" s="239" t="s">
        <v>1434</v>
      </c>
      <c r="AY2" s="239" t="s">
        <v>1435</v>
      </c>
      <c r="AZ2" s="239" t="s">
        <v>1436</v>
      </c>
      <c r="BA2" s="239" t="s">
        <v>1661</v>
      </c>
      <c r="BB2" s="239" t="s">
        <v>1441</v>
      </c>
      <c r="BC2" s="239" t="s">
        <v>1441</v>
      </c>
      <c r="BD2" s="239" t="s">
        <v>1441</v>
      </c>
      <c r="BE2" s="239" t="s">
        <v>1439</v>
      </c>
      <c r="BF2" s="239" t="s">
        <v>1439</v>
      </c>
      <c r="BG2" s="290" t="s">
        <v>1439</v>
      </c>
      <c r="BH2" s="239" t="s">
        <v>1408</v>
      </c>
      <c r="BI2" s="239" t="s">
        <v>1409</v>
      </c>
      <c r="BJ2" s="239" t="s">
        <v>1410</v>
      </c>
      <c r="BK2" s="290" t="s">
        <v>1677</v>
      </c>
      <c r="BL2" s="239" t="s">
        <v>1484</v>
      </c>
      <c r="BM2" s="239" t="s">
        <v>1485</v>
      </c>
      <c r="BN2" s="238" t="s">
        <v>1486</v>
      </c>
      <c r="BO2" s="238" t="s">
        <v>1487</v>
      </c>
      <c r="BP2" s="239" t="s">
        <v>1483</v>
      </c>
      <c r="BQ2" s="239" t="s">
        <v>1408</v>
      </c>
      <c r="BR2" s="239" t="s">
        <v>1488</v>
      </c>
      <c r="BS2" s="298" t="s">
        <v>1489</v>
      </c>
      <c r="BT2" s="298"/>
      <c r="BU2" s="298"/>
      <c r="BV2" s="298"/>
      <c r="BY2" s="289"/>
      <c r="BZ2" s="271"/>
      <c r="CB2" s="289"/>
      <c r="CC2" s="271"/>
      <c r="CD2" s="236"/>
      <c r="CE2" s="236"/>
      <c r="CF2" s="236"/>
      <c r="CG2" s="287"/>
      <c r="CH2" s="287"/>
      <c r="CI2" s="236" t="s">
        <v>1680</v>
      </c>
      <c r="CJ2" s="236"/>
      <c r="CK2" s="286"/>
      <c r="CL2" s="282" t="s">
        <v>1681</v>
      </c>
      <c r="CM2" s="371"/>
      <c r="CN2" s="282"/>
      <c r="CO2" s="282"/>
      <c r="CP2" s="364"/>
      <c r="CQ2" s="236"/>
      <c r="CR2" s="236"/>
      <c r="CS2" s="283" t="s">
        <v>1682</v>
      </c>
      <c r="CT2" s="364"/>
      <c r="CU2" s="236"/>
      <c r="CV2" s="236"/>
      <c r="CW2" s="364"/>
      <c r="CX2" s="236"/>
      <c r="CY2" s="236"/>
      <c r="CZ2" s="283" t="s">
        <v>1683</v>
      </c>
      <c r="DA2" s="364"/>
      <c r="DB2" s="236"/>
      <c r="DC2" s="236"/>
      <c r="DD2" s="364"/>
      <c r="DE2" s="236"/>
      <c r="DF2" s="236"/>
      <c r="DG2" s="283" t="s">
        <v>1684</v>
      </c>
      <c r="DH2" s="364"/>
      <c r="DI2" s="236"/>
      <c r="DJ2" s="236"/>
      <c r="DK2" s="364"/>
      <c r="DL2" s="236"/>
      <c r="DM2" s="236"/>
      <c r="DN2" s="283" t="s">
        <v>1685</v>
      </c>
      <c r="DO2" s="364"/>
      <c r="DP2" s="236"/>
      <c r="DQ2" s="236"/>
      <c r="DR2" s="364"/>
      <c r="DS2" s="236"/>
      <c r="DT2" s="287"/>
    </row>
    <row r="3" spans="1:126" ht="202.2" thickBot="1" x14ac:dyDescent="0.35">
      <c r="D3" s="415"/>
      <c r="E3" s="417"/>
      <c r="F3" s="252" t="s">
        <v>1490</v>
      </c>
      <c r="G3" s="239" t="s">
        <v>1491</v>
      </c>
      <c r="H3" s="254" t="s">
        <v>1492</v>
      </c>
      <c r="I3" s="255" t="s">
        <v>1493</v>
      </c>
      <c r="J3" s="255" t="s">
        <v>1494</v>
      </c>
      <c r="K3" s="255" t="s">
        <v>1495</v>
      </c>
      <c r="L3" s="255" t="s">
        <v>1496</v>
      </c>
      <c r="M3" s="255" t="s">
        <v>1497</v>
      </c>
      <c r="N3" s="256" t="s">
        <v>1498</v>
      </c>
      <c r="O3" s="254" t="s">
        <v>102</v>
      </c>
      <c r="P3" s="255" t="s">
        <v>1499</v>
      </c>
      <c r="Q3" s="255" t="s">
        <v>1500</v>
      </c>
      <c r="R3" s="257" t="s">
        <v>1473</v>
      </c>
      <c r="S3" s="257" t="s">
        <v>1474</v>
      </c>
      <c r="T3" s="256" t="s">
        <v>1501</v>
      </c>
      <c r="U3" s="418"/>
      <c r="V3" s="418"/>
      <c r="W3" s="418"/>
      <c r="X3" s="418"/>
      <c r="Y3" s="422"/>
      <c r="Z3" s="239" t="s">
        <v>319</v>
      </c>
      <c r="AA3" s="418"/>
      <c r="AB3" s="415"/>
      <c r="AC3" s="417"/>
      <c r="AD3" s="415"/>
      <c r="AE3" s="417"/>
      <c r="AF3" s="415"/>
      <c r="AG3" s="420"/>
      <c r="AH3" s="260" t="s">
        <v>1502</v>
      </c>
      <c r="AI3" s="261" t="s">
        <v>1503</v>
      </c>
      <c r="AJ3" s="284" t="s">
        <v>1755</v>
      </c>
      <c r="AK3" s="262" t="s">
        <v>1504</v>
      </c>
      <c r="AL3" s="263" t="s">
        <v>1505</v>
      </c>
      <c r="AM3" s="292" t="s">
        <v>1506</v>
      </c>
      <c r="AN3" s="255" t="s">
        <v>1669</v>
      </c>
      <c r="AO3" s="255" t="s">
        <v>1670</v>
      </c>
      <c r="AP3" s="255" t="s">
        <v>1671</v>
      </c>
      <c r="AQ3" s="255" t="s">
        <v>1672</v>
      </c>
      <c r="AR3" s="255" t="s">
        <v>1673</v>
      </c>
      <c r="AS3" s="255" t="s">
        <v>1674</v>
      </c>
      <c r="AT3" s="255" t="s">
        <v>1675</v>
      </c>
      <c r="AU3" s="256" t="s">
        <v>1676</v>
      </c>
      <c r="AV3" s="254" t="s">
        <v>1267</v>
      </c>
      <c r="AW3" s="255" t="s">
        <v>1433</v>
      </c>
      <c r="AX3" s="255" t="s">
        <v>1434</v>
      </c>
      <c r="AY3" s="255" t="s">
        <v>1435</v>
      </c>
      <c r="AZ3" s="255" t="s">
        <v>1436</v>
      </c>
      <c r="BA3" s="255" t="s">
        <v>1661</v>
      </c>
      <c r="BB3" s="255" t="s">
        <v>1662</v>
      </c>
      <c r="BC3" s="255" t="s">
        <v>1663</v>
      </c>
      <c r="BD3" s="255" t="s">
        <v>1664</v>
      </c>
      <c r="BE3" s="255" t="s">
        <v>1665</v>
      </c>
      <c r="BF3" s="255" t="s">
        <v>1666</v>
      </c>
      <c r="BG3" s="256" t="s">
        <v>1667</v>
      </c>
      <c r="BH3" s="254" t="s">
        <v>1408</v>
      </c>
      <c r="BI3" s="255" t="s">
        <v>1409</v>
      </c>
      <c r="BJ3" s="255" t="s">
        <v>1410</v>
      </c>
      <c r="BK3" s="256" t="s">
        <v>1668</v>
      </c>
      <c r="BL3" s="239" t="s">
        <v>1484</v>
      </c>
      <c r="BM3" s="239" t="s">
        <v>1507</v>
      </c>
      <c r="BN3" s="238" t="s">
        <v>1508</v>
      </c>
      <c r="BO3" s="238" t="s">
        <v>1509</v>
      </c>
      <c r="BP3" s="239" t="s">
        <v>1510</v>
      </c>
      <c r="BQ3" s="239" t="s">
        <v>1679</v>
      </c>
      <c r="BR3" s="239" t="s">
        <v>1311</v>
      </c>
      <c r="BS3" s="298" t="s">
        <v>1511</v>
      </c>
      <c r="BT3" s="284" t="s">
        <v>1756</v>
      </c>
      <c r="BU3" s="284" t="s">
        <v>1757</v>
      </c>
      <c r="BV3" s="284" t="s">
        <v>1758</v>
      </c>
      <c r="BW3" s="379" t="s">
        <v>1686</v>
      </c>
      <c r="BX3" s="379" t="s">
        <v>1688</v>
      </c>
      <c r="BY3" s="380" t="s">
        <v>1687</v>
      </c>
      <c r="BZ3" s="381" t="s">
        <v>1689</v>
      </c>
      <c r="CA3" s="379" t="s">
        <v>1690</v>
      </c>
      <c r="CB3" s="382" t="s">
        <v>1691</v>
      </c>
      <c r="CC3" s="379" t="s">
        <v>1692</v>
      </c>
      <c r="CD3" s="379" t="s">
        <v>1693</v>
      </c>
      <c r="CE3" s="284" t="s">
        <v>1857</v>
      </c>
      <c r="CF3" s="284" t="s">
        <v>1858</v>
      </c>
      <c r="CG3" s="380" t="s">
        <v>1694</v>
      </c>
      <c r="CH3" s="380" t="s">
        <v>1817</v>
      </c>
      <c r="CI3" s="284" t="s">
        <v>1695</v>
      </c>
      <c r="CJ3" s="284" t="s">
        <v>1696</v>
      </c>
      <c r="CK3" s="380" t="s">
        <v>1697</v>
      </c>
      <c r="CL3" s="377" t="s">
        <v>1514</v>
      </c>
      <c r="CM3" s="372" t="s">
        <v>1698</v>
      </c>
      <c r="CN3" s="377" t="s">
        <v>1653</v>
      </c>
      <c r="CO3" s="377" t="s">
        <v>1512</v>
      </c>
      <c r="CP3" s="365" t="s">
        <v>1513</v>
      </c>
      <c r="CQ3" s="379" t="s">
        <v>1659</v>
      </c>
      <c r="CR3" s="284" t="s">
        <v>1699</v>
      </c>
      <c r="CS3" s="378" t="s">
        <v>1514</v>
      </c>
      <c r="CT3" s="365" t="s">
        <v>1698</v>
      </c>
      <c r="CU3" s="379" t="s">
        <v>1653</v>
      </c>
      <c r="CV3" s="379" t="s">
        <v>1512</v>
      </c>
      <c r="CW3" s="365" t="s">
        <v>1513</v>
      </c>
      <c r="CX3" s="379" t="s">
        <v>1659</v>
      </c>
      <c r="CY3" s="284" t="s">
        <v>1699</v>
      </c>
      <c r="CZ3" s="378" t="s">
        <v>1514</v>
      </c>
      <c r="DA3" s="365" t="s">
        <v>1698</v>
      </c>
      <c r="DB3" s="379" t="s">
        <v>1653</v>
      </c>
      <c r="DC3" s="379" t="s">
        <v>1512</v>
      </c>
      <c r="DD3" s="365" t="s">
        <v>1513</v>
      </c>
      <c r="DE3" s="284" t="s">
        <v>1659</v>
      </c>
      <c r="DF3" s="284" t="s">
        <v>1699</v>
      </c>
      <c r="DG3" s="378" t="s">
        <v>1514</v>
      </c>
      <c r="DH3" s="365" t="s">
        <v>1698</v>
      </c>
      <c r="DI3" s="379" t="s">
        <v>1653</v>
      </c>
      <c r="DJ3" s="379" t="s">
        <v>1512</v>
      </c>
      <c r="DK3" s="365" t="s">
        <v>1513</v>
      </c>
      <c r="DL3" s="379" t="s">
        <v>1659</v>
      </c>
      <c r="DM3" s="284" t="s">
        <v>1699</v>
      </c>
      <c r="DN3" s="378" t="s">
        <v>1514</v>
      </c>
      <c r="DO3" s="365" t="s">
        <v>1698</v>
      </c>
      <c r="DP3" s="379" t="s">
        <v>1653</v>
      </c>
      <c r="DQ3" s="379" t="s">
        <v>1512</v>
      </c>
      <c r="DR3" s="365" t="s">
        <v>1513</v>
      </c>
      <c r="DS3" s="379" t="s">
        <v>1659</v>
      </c>
      <c r="DT3" s="288" t="s">
        <v>1699</v>
      </c>
      <c r="DU3" s="236" t="s">
        <v>1515</v>
      </c>
    </row>
    <row r="4" spans="1:126" ht="15.75" customHeight="1" x14ac:dyDescent="0.3">
      <c r="A4" s="284"/>
      <c r="B4" s="310" t="s">
        <v>1759</v>
      </c>
      <c r="C4" s="284"/>
      <c r="D4" s="239"/>
      <c r="E4" s="239"/>
      <c r="F4" s="299"/>
      <c r="G4" s="284"/>
      <c r="H4" s="284"/>
      <c r="I4" s="284"/>
      <c r="J4" s="284"/>
      <c r="K4" s="284"/>
      <c r="L4" s="284"/>
      <c r="M4" s="284"/>
      <c r="N4" s="284"/>
      <c r="O4" s="284"/>
      <c r="P4" s="284"/>
      <c r="Q4" s="284"/>
      <c r="R4" s="239"/>
      <c r="S4" s="239"/>
      <c r="T4" s="284"/>
      <c r="U4" s="239"/>
      <c r="V4" s="239"/>
      <c r="W4" s="239"/>
      <c r="X4" s="239"/>
      <c r="Y4" s="239"/>
      <c r="Z4" s="239"/>
      <c r="AA4" s="239"/>
      <c r="AB4" s="239"/>
      <c r="AC4" s="239"/>
      <c r="AD4" s="239"/>
      <c r="AE4" s="239"/>
      <c r="AF4" s="239"/>
      <c r="AG4" s="239"/>
      <c r="AH4" s="284"/>
      <c r="AI4" s="284"/>
      <c r="AJ4" s="284"/>
      <c r="AK4" s="284"/>
      <c r="AL4" s="284"/>
      <c r="AM4" s="300"/>
      <c r="AN4" s="284"/>
      <c r="AO4" s="284"/>
      <c r="AP4" s="284"/>
      <c r="AQ4" s="284"/>
      <c r="AR4" s="284"/>
      <c r="AS4" s="284"/>
      <c r="AT4" s="284"/>
      <c r="AU4" s="284"/>
      <c r="AV4" s="284"/>
      <c r="AW4" s="284"/>
      <c r="AX4" s="284"/>
      <c r="AY4" s="284"/>
      <c r="AZ4" s="284"/>
      <c r="BA4" s="284"/>
      <c r="BB4" s="284"/>
      <c r="BC4" s="284"/>
      <c r="BD4" s="284"/>
      <c r="BE4" s="284"/>
      <c r="BF4" s="284"/>
      <c r="BG4" s="284"/>
      <c r="BH4" s="284"/>
      <c r="BI4" s="284"/>
      <c r="BJ4" s="284"/>
      <c r="BK4" s="284"/>
      <c r="BL4" s="284"/>
      <c r="BM4" s="284"/>
      <c r="BN4" s="299"/>
      <c r="BO4" s="299"/>
      <c r="BP4" s="284"/>
      <c r="BQ4" s="284"/>
      <c r="BR4" s="284"/>
      <c r="BS4" s="284"/>
      <c r="BT4" s="284"/>
      <c r="BU4" s="284"/>
      <c r="BV4" s="284"/>
      <c r="BW4" s="284"/>
      <c r="BX4" s="284"/>
      <c r="BY4" s="284"/>
      <c r="BZ4" s="301"/>
      <c r="CA4" s="284"/>
      <c r="CB4" s="284"/>
      <c r="CC4" s="301"/>
      <c r="CD4" s="301"/>
      <c r="CE4" s="301"/>
      <c r="CF4" s="301"/>
      <c r="CG4" s="301"/>
      <c r="CH4" s="301"/>
      <c r="CI4" s="284"/>
      <c r="CJ4" s="284"/>
      <c r="CK4" s="285"/>
      <c r="CL4" s="302"/>
      <c r="CM4" s="373"/>
      <c r="CN4" s="302"/>
      <c r="CO4" s="302"/>
      <c r="CP4" s="366"/>
      <c r="CQ4" s="301"/>
      <c r="CR4" s="301"/>
      <c r="CS4" s="303"/>
      <c r="CT4" s="366"/>
      <c r="CU4" s="301"/>
      <c r="CV4" s="301"/>
      <c r="CW4" s="366"/>
      <c r="CX4" s="301"/>
      <c r="CY4" s="301"/>
      <c r="CZ4" s="303"/>
      <c r="DA4" s="366"/>
      <c r="DB4" s="301"/>
      <c r="DC4" s="301"/>
      <c r="DD4" s="366"/>
      <c r="DE4" s="301"/>
      <c r="DF4" s="301"/>
      <c r="DG4" s="303"/>
      <c r="DH4" s="366"/>
      <c r="DI4" s="301"/>
      <c r="DJ4" s="301"/>
      <c r="DK4" s="366"/>
      <c r="DL4" s="301"/>
      <c r="DM4" s="301"/>
      <c r="DN4" s="303"/>
      <c r="DO4" s="366"/>
      <c r="DP4" s="301"/>
      <c r="DQ4" s="301"/>
      <c r="DR4" s="366"/>
      <c r="DS4" s="301"/>
      <c r="DT4" s="374"/>
      <c r="DU4" s="284"/>
      <c r="DV4" s="284"/>
    </row>
    <row r="5" spans="1:126" ht="15.75" customHeight="1" x14ac:dyDescent="0.3">
      <c r="B5" s="311" t="s">
        <v>1577</v>
      </c>
      <c r="D5" s="308" t="s">
        <v>9</v>
      </c>
      <c r="E5" s="308"/>
      <c r="F5" s="304" t="s">
        <v>9</v>
      </c>
      <c r="G5" s="308"/>
      <c r="H5" s="308"/>
      <c r="I5" s="308"/>
      <c r="J5" s="308" t="s">
        <v>9</v>
      </c>
      <c r="K5" s="308" t="s">
        <v>9</v>
      </c>
      <c r="L5" s="308"/>
      <c r="M5" s="308"/>
      <c r="N5" s="308"/>
      <c r="O5" s="308" t="s">
        <v>9</v>
      </c>
      <c r="P5" s="308" t="s">
        <v>9</v>
      </c>
      <c r="Q5" s="308"/>
      <c r="R5" s="308" t="s">
        <v>9</v>
      </c>
      <c r="S5" s="308" t="s">
        <v>9</v>
      </c>
      <c r="T5" s="308"/>
      <c r="U5" s="308"/>
      <c r="V5" s="308"/>
      <c r="W5" s="308"/>
      <c r="X5" s="308"/>
      <c r="Y5" s="308"/>
      <c r="AA5" s="308"/>
      <c r="AB5" s="308"/>
      <c r="AC5" s="308"/>
      <c r="AD5" s="308"/>
      <c r="AE5" s="308"/>
      <c r="AF5" s="308" t="s">
        <v>9</v>
      </c>
      <c r="AG5" s="308"/>
      <c r="AH5" s="308"/>
      <c r="AI5" s="308"/>
      <c r="AK5" s="236">
        <v>90</v>
      </c>
      <c r="AM5" s="237" t="s">
        <v>1576</v>
      </c>
      <c r="BL5" t="s">
        <v>9</v>
      </c>
      <c r="BW5" s="311">
        <v>246</v>
      </c>
      <c r="BX5" s="311">
        <v>46</v>
      </c>
      <c r="BY5" s="311">
        <v>57</v>
      </c>
      <c r="BZ5" s="312">
        <v>383</v>
      </c>
      <c r="CA5" s="312">
        <v>20</v>
      </c>
      <c r="CB5" s="312">
        <v>25</v>
      </c>
      <c r="CC5" s="312">
        <v>13</v>
      </c>
      <c r="CD5" s="312">
        <v>320</v>
      </c>
      <c r="CE5" s="312">
        <v>24</v>
      </c>
      <c r="CF5" s="312">
        <v>24</v>
      </c>
      <c r="CG5" s="312">
        <v>170</v>
      </c>
      <c r="CH5" s="312">
        <v>86</v>
      </c>
      <c r="CI5" s="312">
        <v>490</v>
      </c>
      <c r="CJ5" s="312">
        <v>442</v>
      </c>
      <c r="CK5" s="313">
        <v>48</v>
      </c>
      <c r="CL5" s="314">
        <v>84</v>
      </c>
      <c r="CM5" s="367">
        <v>0</v>
      </c>
      <c r="CN5" s="314">
        <v>0</v>
      </c>
      <c r="CO5" s="314">
        <v>153</v>
      </c>
      <c r="CP5" s="367" t="s">
        <v>1247</v>
      </c>
      <c r="CQ5" s="314">
        <v>11</v>
      </c>
      <c r="CR5" s="315">
        <v>201</v>
      </c>
      <c r="CS5" s="314">
        <v>84</v>
      </c>
      <c r="CT5" s="367" t="s">
        <v>1247</v>
      </c>
      <c r="CU5" s="314">
        <v>0</v>
      </c>
      <c r="CV5" s="313">
        <v>153</v>
      </c>
      <c r="CW5" s="368">
        <v>0</v>
      </c>
      <c r="CX5" s="313">
        <v>11</v>
      </c>
      <c r="CY5" s="316">
        <v>201</v>
      </c>
      <c r="CZ5" s="317">
        <v>84</v>
      </c>
      <c r="DA5" s="367" t="s">
        <v>1247</v>
      </c>
      <c r="DB5" s="314">
        <v>10</v>
      </c>
      <c r="DC5" s="313">
        <v>153</v>
      </c>
      <c r="DD5" s="368">
        <v>0</v>
      </c>
      <c r="DE5" s="313">
        <v>1</v>
      </c>
      <c r="DF5" s="316">
        <v>201</v>
      </c>
      <c r="DG5" s="317">
        <v>84</v>
      </c>
      <c r="DH5" s="367">
        <v>0</v>
      </c>
      <c r="DI5" s="314">
        <v>11</v>
      </c>
      <c r="DJ5" s="313">
        <v>181</v>
      </c>
      <c r="DK5" s="368" t="s">
        <v>1247</v>
      </c>
      <c r="DL5" s="313">
        <v>0</v>
      </c>
      <c r="DM5" s="316">
        <v>229</v>
      </c>
      <c r="DN5" s="317">
        <v>84</v>
      </c>
      <c r="DO5" s="367">
        <v>0</v>
      </c>
      <c r="DP5" s="314" t="s">
        <v>1247</v>
      </c>
      <c r="DQ5" s="313">
        <v>181</v>
      </c>
      <c r="DR5" s="368" t="s">
        <v>1247</v>
      </c>
      <c r="DS5" s="313" t="s">
        <v>1247</v>
      </c>
      <c r="DT5" s="315">
        <v>229</v>
      </c>
      <c r="DU5" s="92" t="s">
        <v>1577</v>
      </c>
    </row>
    <row r="6" spans="1:126" ht="15.75" customHeight="1" x14ac:dyDescent="0.3">
      <c r="B6" s="311" t="s">
        <v>1578</v>
      </c>
      <c r="D6" s="308" t="s">
        <v>9</v>
      </c>
      <c r="E6" s="308"/>
      <c r="F6" s="304" t="s">
        <v>9</v>
      </c>
      <c r="G6" s="308"/>
      <c r="H6" s="308"/>
      <c r="I6" s="308"/>
      <c r="J6" s="308" t="s">
        <v>9</v>
      </c>
      <c r="K6" s="308" t="s">
        <v>9</v>
      </c>
      <c r="L6" s="308"/>
      <c r="M6" s="308"/>
      <c r="N6" s="308"/>
      <c r="O6" s="308" t="s">
        <v>9</v>
      </c>
      <c r="P6" s="308" t="s">
        <v>9</v>
      </c>
      <c r="Q6" s="308"/>
      <c r="R6" s="308" t="s">
        <v>9</v>
      </c>
      <c r="S6" s="308" t="s">
        <v>9</v>
      </c>
      <c r="T6" s="308"/>
      <c r="U6" s="308"/>
      <c r="V6" s="308"/>
      <c r="W6" s="308"/>
      <c r="X6" s="308"/>
      <c r="Y6" s="308"/>
      <c r="AA6" s="308"/>
      <c r="AB6" s="308" t="s">
        <v>9</v>
      </c>
      <c r="AC6" s="308"/>
      <c r="AD6" s="308"/>
      <c r="AE6" s="308"/>
      <c r="AF6" s="308" t="s">
        <v>9</v>
      </c>
      <c r="AG6" s="308"/>
      <c r="AH6" s="308"/>
      <c r="AI6" s="308"/>
      <c r="AK6" s="236">
        <v>90</v>
      </c>
      <c r="AM6" s="237" t="s">
        <v>1576</v>
      </c>
      <c r="AN6" s="202"/>
      <c r="AO6" s="202"/>
      <c r="AP6" s="202"/>
      <c r="AQ6" s="202"/>
      <c r="AR6" s="202"/>
      <c r="AS6" s="202"/>
      <c r="AT6" s="202"/>
      <c r="AU6" s="202"/>
      <c r="AV6" s="202"/>
      <c r="AW6" s="202"/>
      <c r="AX6" s="202"/>
      <c r="AY6" s="202"/>
      <c r="AZ6" s="202"/>
      <c r="BA6" s="202"/>
      <c r="BB6" s="202"/>
      <c r="BC6" s="202"/>
      <c r="BD6" s="202"/>
      <c r="BE6" s="202"/>
      <c r="BF6" s="202"/>
      <c r="BG6" s="202"/>
      <c r="BH6" s="202"/>
      <c r="BI6" s="202"/>
      <c r="BJ6" s="202"/>
      <c r="BK6" s="202"/>
      <c r="BL6" s="202" t="s">
        <v>9</v>
      </c>
      <c r="BM6" s="202"/>
      <c r="BN6" s="202"/>
      <c r="BO6" s="202"/>
      <c r="BP6" s="202"/>
      <c r="BQ6" s="202"/>
      <c r="BR6" s="202"/>
      <c r="BS6" s="202"/>
      <c r="BT6" s="202"/>
      <c r="BU6" s="202"/>
      <c r="BV6" s="202"/>
      <c r="BW6" s="318">
        <v>246</v>
      </c>
      <c r="BX6" s="318">
        <v>46</v>
      </c>
      <c r="BY6" s="318">
        <v>57</v>
      </c>
      <c r="BZ6" s="316">
        <v>383</v>
      </c>
      <c r="CA6" s="316">
        <v>20</v>
      </c>
      <c r="CB6" s="316">
        <v>25</v>
      </c>
      <c r="CC6" s="316">
        <v>13</v>
      </c>
      <c r="CD6" s="316">
        <v>320</v>
      </c>
      <c r="CE6" s="312">
        <v>24</v>
      </c>
      <c r="CF6" s="312">
        <v>24</v>
      </c>
      <c r="CG6" s="316">
        <v>170</v>
      </c>
      <c r="CH6" s="316">
        <v>86</v>
      </c>
      <c r="CI6" s="316">
        <v>490</v>
      </c>
      <c r="CJ6" s="316">
        <v>442</v>
      </c>
      <c r="CK6" s="314">
        <v>48</v>
      </c>
      <c r="CL6" s="314">
        <v>84</v>
      </c>
      <c r="CM6" s="367">
        <v>0</v>
      </c>
      <c r="CN6" s="314">
        <v>0</v>
      </c>
      <c r="CO6" s="314">
        <v>153</v>
      </c>
      <c r="CP6" s="367" t="s">
        <v>1247</v>
      </c>
      <c r="CQ6" s="314">
        <v>11</v>
      </c>
      <c r="CR6" s="315">
        <v>201</v>
      </c>
      <c r="CS6" s="314">
        <v>84</v>
      </c>
      <c r="CT6" s="367" t="s">
        <v>1247</v>
      </c>
      <c r="CU6" s="314">
        <v>0</v>
      </c>
      <c r="CV6" s="314">
        <v>153</v>
      </c>
      <c r="CW6" s="367">
        <v>0</v>
      </c>
      <c r="CX6" s="314">
        <v>11</v>
      </c>
      <c r="CY6" s="316">
        <v>201</v>
      </c>
      <c r="CZ6" s="317">
        <v>84</v>
      </c>
      <c r="DA6" s="367" t="s">
        <v>1247</v>
      </c>
      <c r="DB6" s="314">
        <v>10</v>
      </c>
      <c r="DC6" s="314">
        <v>153</v>
      </c>
      <c r="DD6" s="367">
        <v>0</v>
      </c>
      <c r="DE6" s="314">
        <v>1</v>
      </c>
      <c r="DF6" s="316">
        <v>201</v>
      </c>
      <c r="DG6" s="317">
        <v>84</v>
      </c>
      <c r="DH6" s="367">
        <v>0</v>
      </c>
      <c r="DI6" s="314">
        <v>11</v>
      </c>
      <c r="DJ6" s="314">
        <v>181</v>
      </c>
      <c r="DK6" s="367" t="s">
        <v>1247</v>
      </c>
      <c r="DL6" s="314">
        <v>0</v>
      </c>
      <c r="DM6" s="316">
        <v>229</v>
      </c>
      <c r="DN6" s="317">
        <v>84</v>
      </c>
      <c r="DO6" s="367">
        <v>0</v>
      </c>
      <c r="DP6" s="314" t="s">
        <v>1247</v>
      </c>
      <c r="DQ6" s="314">
        <v>181</v>
      </c>
      <c r="DR6" s="367" t="s">
        <v>1247</v>
      </c>
      <c r="DS6" s="314" t="s">
        <v>1247</v>
      </c>
      <c r="DT6" s="315">
        <v>229</v>
      </c>
      <c r="DU6" s="319" t="s">
        <v>1578</v>
      </c>
    </row>
    <row r="7" spans="1:126" x14ac:dyDescent="0.3">
      <c r="B7" s="311" t="s">
        <v>1574</v>
      </c>
      <c r="D7" s="308" t="s">
        <v>9</v>
      </c>
      <c r="E7" s="308"/>
      <c r="F7" s="304" t="s">
        <v>9</v>
      </c>
      <c r="G7" s="308"/>
      <c r="H7" s="308"/>
      <c r="I7" s="308"/>
      <c r="J7" s="308" t="s">
        <v>9</v>
      </c>
      <c r="K7" s="308"/>
      <c r="L7" s="308"/>
      <c r="M7" s="308"/>
      <c r="N7" s="308"/>
      <c r="O7" s="308" t="s">
        <v>86</v>
      </c>
      <c r="P7" s="308" t="s">
        <v>48</v>
      </c>
      <c r="Q7" s="308"/>
      <c r="R7" s="308" t="s">
        <v>86</v>
      </c>
      <c r="S7" s="308" t="s">
        <v>48</v>
      </c>
      <c r="T7" s="308"/>
      <c r="U7" s="308"/>
      <c r="V7" s="308"/>
      <c r="W7" s="308"/>
      <c r="X7" s="308"/>
      <c r="Y7" s="308"/>
      <c r="AA7" s="308"/>
      <c r="AB7" s="308"/>
      <c r="AC7" s="308"/>
      <c r="AD7" s="308"/>
      <c r="AE7" s="308"/>
      <c r="AF7" s="308" t="s">
        <v>9</v>
      </c>
      <c r="AG7" s="308"/>
      <c r="AH7" s="308"/>
      <c r="AI7" s="308"/>
      <c r="AK7" s="236">
        <v>91</v>
      </c>
      <c r="AL7" t="s">
        <v>48</v>
      </c>
      <c r="AM7" s="237" t="s">
        <v>1573</v>
      </c>
      <c r="AV7" t="s">
        <v>9</v>
      </c>
      <c r="BW7" s="311">
        <v>281</v>
      </c>
      <c r="BX7" s="311">
        <v>47</v>
      </c>
      <c r="BY7" s="311">
        <v>65</v>
      </c>
      <c r="BZ7" s="312">
        <v>442</v>
      </c>
      <c r="CA7" s="312">
        <v>23</v>
      </c>
      <c r="CB7" s="312">
        <v>31</v>
      </c>
      <c r="CC7" s="312">
        <v>16</v>
      </c>
      <c r="CD7" s="312">
        <v>375</v>
      </c>
      <c r="CE7" s="312">
        <v>25</v>
      </c>
      <c r="CF7" s="312">
        <v>25</v>
      </c>
      <c r="CG7" s="312">
        <v>175</v>
      </c>
      <c r="CH7" s="312">
        <v>86</v>
      </c>
      <c r="CI7" s="312">
        <v>550</v>
      </c>
      <c r="CJ7" s="312">
        <v>504</v>
      </c>
      <c r="CK7" s="313">
        <v>46</v>
      </c>
      <c r="CL7" s="314">
        <v>86</v>
      </c>
      <c r="CM7" s="367">
        <v>0</v>
      </c>
      <c r="CN7" s="314">
        <v>4</v>
      </c>
      <c r="CO7" s="314">
        <v>143</v>
      </c>
      <c r="CP7" s="367" t="s">
        <v>1247</v>
      </c>
      <c r="CQ7" s="314">
        <v>16</v>
      </c>
      <c r="CR7" s="315">
        <v>189</v>
      </c>
      <c r="CS7" s="314">
        <v>86</v>
      </c>
      <c r="CT7" s="367" t="s">
        <v>1247</v>
      </c>
      <c r="CU7" s="314">
        <v>4</v>
      </c>
      <c r="CV7" s="313">
        <v>143</v>
      </c>
      <c r="CW7" s="368">
        <v>0</v>
      </c>
      <c r="CX7" s="313">
        <v>16</v>
      </c>
      <c r="CY7" s="316">
        <v>189</v>
      </c>
      <c r="CZ7" s="320"/>
      <c r="DA7" s="368"/>
      <c r="DB7" s="321"/>
      <c r="DC7" s="321"/>
      <c r="DD7" s="368"/>
      <c r="DE7" s="321"/>
      <c r="DF7" s="321"/>
      <c r="DG7" s="320"/>
      <c r="DH7" s="368"/>
      <c r="DI7" s="321"/>
      <c r="DJ7" s="321"/>
      <c r="DK7" s="368"/>
      <c r="DL7" s="321"/>
      <c r="DM7" s="321"/>
      <c r="DN7" s="320"/>
      <c r="DO7" s="368"/>
      <c r="DP7" s="321"/>
      <c r="DQ7" s="321"/>
      <c r="DR7" s="368"/>
      <c r="DS7" s="321"/>
      <c r="DT7" s="323"/>
      <c r="DU7" s="92" t="s">
        <v>1574</v>
      </c>
    </row>
    <row r="8" spans="1:126" x14ac:dyDescent="0.3">
      <c r="B8" s="311" t="s">
        <v>1575</v>
      </c>
      <c r="D8" s="308" t="s">
        <v>9</v>
      </c>
      <c r="E8" s="308"/>
      <c r="F8" s="304" t="s">
        <v>9</v>
      </c>
      <c r="G8" s="308"/>
      <c r="H8" s="308"/>
      <c r="I8" s="308"/>
      <c r="J8" s="308" t="s">
        <v>9</v>
      </c>
      <c r="K8" s="308"/>
      <c r="L8" s="308"/>
      <c r="M8" s="308"/>
      <c r="N8" s="308"/>
      <c r="O8" s="308" t="s">
        <v>86</v>
      </c>
      <c r="P8" s="308" t="s">
        <v>48</v>
      </c>
      <c r="Q8" s="308"/>
      <c r="R8" s="308" t="s">
        <v>86</v>
      </c>
      <c r="S8" s="308" t="s">
        <v>48</v>
      </c>
      <c r="T8" s="308"/>
      <c r="U8" s="308"/>
      <c r="V8" s="308"/>
      <c r="W8" s="308"/>
      <c r="X8" s="308"/>
      <c r="Y8" s="308"/>
      <c r="AA8" s="308"/>
      <c r="AB8" s="308" t="s">
        <v>9</v>
      </c>
      <c r="AC8" s="308"/>
      <c r="AD8" s="308"/>
      <c r="AE8" s="308"/>
      <c r="AF8" s="308" t="s">
        <v>9</v>
      </c>
      <c r="AG8" s="308"/>
      <c r="AH8" s="308"/>
      <c r="AI8" s="308"/>
      <c r="AK8" s="236">
        <v>91</v>
      </c>
      <c r="AL8" t="s">
        <v>48</v>
      </c>
      <c r="AM8" s="237" t="s">
        <v>1573</v>
      </c>
      <c r="AW8" t="s">
        <v>9</v>
      </c>
      <c r="BT8" s="91"/>
      <c r="BW8" s="311">
        <v>281</v>
      </c>
      <c r="BX8" s="311">
        <v>47</v>
      </c>
      <c r="BY8" s="311">
        <v>65</v>
      </c>
      <c r="BZ8" s="312">
        <v>442</v>
      </c>
      <c r="CA8" s="312">
        <v>23</v>
      </c>
      <c r="CB8" s="312">
        <v>31</v>
      </c>
      <c r="CC8" s="312">
        <v>16</v>
      </c>
      <c r="CD8" s="312">
        <v>375</v>
      </c>
      <c r="CE8" s="312">
        <v>25</v>
      </c>
      <c r="CF8" s="312">
        <v>25</v>
      </c>
      <c r="CG8" s="312">
        <v>175</v>
      </c>
      <c r="CH8" s="312">
        <v>86</v>
      </c>
      <c r="CI8" s="312">
        <v>550</v>
      </c>
      <c r="CJ8" s="312">
        <v>490</v>
      </c>
      <c r="CK8" s="313">
        <v>60</v>
      </c>
      <c r="CL8" s="314">
        <v>86</v>
      </c>
      <c r="CM8" s="367">
        <v>0</v>
      </c>
      <c r="CN8" s="314">
        <v>4</v>
      </c>
      <c r="CO8" s="314">
        <v>143</v>
      </c>
      <c r="CP8" s="367" t="s">
        <v>1247</v>
      </c>
      <c r="CQ8" s="314">
        <v>16</v>
      </c>
      <c r="CR8" s="315">
        <v>203</v>
      </c>
      <c r="CS8" s="314">
        <v>86</v>
      </c>
      <c r="CT8" s="367" t="s">
        <v>1247</v>
      </c>
      <c r="CU8" s="314">
        <v>4</v>
      </c>
      <c r="CV8" s="313">
        <v>143</v>
      </c>
      <c r="CW8" s="368">
        <v>0</v>
      </c>
      <c r="CX8" s="313">
        <v>16</v>
      </c>
      <c r="CY8" s="316">
        <v>203</v>
      </c>
      <c r="CZ8" s="320"/>
      <c r="DA8" s="368"/>
      <c r="DB8" s="321"/>
      <c r="DC8" s="321"/>
      <c r="DD8" s="368"/>
      <c r="DE8" s="321"/>
      <c r="DF8" s="321"/>
      <c r="DG8" s="320"/>
      <c r="DH8" s="368"/>
      <c r="DI8" s="321"/>
      <c r="DJ8" s="321"/>
      <c r="DK8" s="368"/>
      <c r="DL8" s="321"/>
      <c r="DM8" s="321"/>
      <c r="DN8" s="320"/>
      <c r="DO8" s="368"/>
      <c r="DP8" s="321"/>
      <c r="DQ8" s="321"/>
      <c r="DR8" s="368"/>
      <c r="DS8" s="321"/>
      <c r="DT8" s="323"/>
      <c r="DU8" s="92" t="s">
        <v>1575</v>
      </c>
    </row>
    <row r="9" spans="1:126" x14ac:dyDescent="0.3">
      <c r="B9" s="311" t="s">
        <v>1562</v>
      </c>
      <c r="D9" s="308" t="s">
        <v>9</v>
      </c>
      <c r="E9" s="308"/>
      <c r="F9" s="304" t="s">
        <v>9</v>
      </c>
      <c r="G9" s="308"/>
      <c r="H9" s="308" t="s">
        <v>9</v>
      </c>
      <c r="I9" s="308" t="s">
        <v>9</v>
      </c>
      <c r="J9" s="308" t="s">
        <v>9</v>
      </c>
      <c r="K9" s="308" t="s">
        <v>9</v>
      </c>
      <c r="L9" s="308"/>
      <c r="M9" s="308"/>
      <c r="N9" s="308"/>
      <c r="O9" s="308" t="s">
        <v>86</v>
      </c>
      <c r="P9" s="308" t="s">
        <v>48</v>
      </c>
      <c r="Q9" s="308"/>
      <c r="R9" s="308" t="s">
        <v>86</v>
      </c>
      <c r="S9" s="308" t="s">
        <v>48</v>
      </c>
      <c r="T9" s="308"/>
      <c r="U9" s="308" t="s">
        <v>9</v>
      </c>
      <c r="V9" s="308" t="s">
        <v>9</v>
      </c>
      <c r="W9" s="308"/>
      <c r="X9" s="308"/>
      <c r="Y9" s="308"/>
      <c r="AA9" s="308"/>
      <c r="AB9" s="308"/>
      <c r="AC9" s="308"/>
      <c r="AD9" s="308"/>
      <c r="AE9" s="308"/>
      <c r="AF9" s="308" t="s">
        <v>9</v>
      </c>
      <c r="AG9" s="308"/>
      <c r="AH9" s="308"/>
      <c r="AI9" s="308"/>
      <c r="AK9" s="236">
        <v>92</v>
      </c>
      <c r="AL9" t="s">
        <v>48</v>
      </c>
      <c r="AM9" s="237" t="s">
        <v>1561</v>
      </c>
      <c r="AN9" t="s">
        <v>9</v>
      </c>
      <c r="BW9" s="311">
        <v>305</v>
      </c>
      <c r="BX9" s="311">
        <v>50</v>
      </c>
      <c r="BY9" s="311">
        <v>65</v>
      </c>
      <c r="BZ9" s="312">
        <v>518</v>
      </c>
      <c r="CA9" s="312">
        <v>23</v>
      </c>
      <c r="CB9" s="312">
        <v>32</v>
      </c>
      <c r="CC9" s="312">
        <v>16</v>
      </c>
      <c r="CD9" s="312">
        <v>375</v>
      </c>
      <c r="CE9" s="312">
        <v>25</v>
      </c>
      <c r="CF9" s="312">
        <v>25</v>
      </c>
      <c r="CG9" s="312">
        <v>175</v>
      </c>
      <c r="CH9" s="312">
        <v>89</v>
      </c>
      <c r="CI9" s="312">
        <v>550</v>
      </c>
      <c r="CJ9" s="312">
        <v>505</v>
      </c>
      <c r="CK9" s="313">
        <v>45</v>
      </c>
      <c r="CL9" s="314">
        <v>86</v>
      </c>
      <c r="CM9" s="367">
        <v>0</v>
      </c>
      <c r="CN9" s="314">
        <v>4</v>
      </c>
      <c r="CO9" s="314">
        <v>74</v>
      </c>
      <c r="CP9" s="367" t="s">
        <v>1247</v>
      </c>
      <c r="CQ9" s="314">
        <v>12</v>
      </c>
      <c r="CR9" s="315">
        <v>119</v>
      </c>
      <c r="CS9" s="314">
        <v>74</v>
      </c>
      <c r="CT9" s="368" t="s">
        <v>1247</v>
      </c>
      <c r="CU9" s="313">
        <v>4</v>
      </c>
      <c r="CV9" s="313">
        <v>74</v>
      </c>
      <c r="CW9" s="368">
        <v>0</v>
      </c>
      <c r="CX9" s="313">
        <v>12</v>
      </c>
      <c r="CY9" s="316">
        <v>119</v>
      </c>
      <c r="CZ9" s="320"/>
      <c r="DA9" s="368"/>
      <c r="DB9" s="321"/>
      <c r="DC9" s="321"/>
      <c r="DD9" s="368"/>
      <c r="DE9" s="321"/>
      <c r="DF9" s="321"/>
      <c r="DG9" s="320"/>
      <c r="DH9" s="368"/>
      <c r="DI9" s="321"/>
      <c r="DJ9" s="321"/>
      <c r="DK9" s="368"/>
      <c r="DL9" s="321"/>
      <c r="DM9" s="321"/>
      <c r="DN9" s="320"/>
      <c r="DO9" s="368"/>
      <c r="DP9" s="321"/>
      <c r="DQ9" s="321"/>
      <c r="DR9" s="368"/>
      <c r="DS9" s="321"/>
      <c r="DT9" s="323"/>
      <c r="DU9" s="92" t="s">
        <v>1562</v>
      </c>
    </row>
    <row r="10" spans="1:126" x14ac:dyDescent="0.3">
      <c r="B10" s="311" t="s">
        <v>1563</v>
      </c>
      <c r="D10" s="308" t="s">
        <v>9</v>
      </c>
      <c r="E10" s="308"/>
      <c r="F10" s="304" t="s">
        <v>9</v>
      </c>
      <c r="G10" s="308"/>
      <c r="H10" s="308" t="s">
        <v>9</v>
      </c>
      <c r="I10" s="308" t="s">
        <v>9</v>
      </c>
      <c r="J10" s="308" t="s">
        <v>9</v>
      </c>
      <c r="K10" s="308" t="s">
        <v>9</v>
      </c>
      <c r="L10" s="308"/>
      <c r="M10" s="308"/>
      <c r="N10" s="308"/>
      <c r="O10" s="308" t="s">
        <v>86</v>
      </c>
      <c r="P10" s="308" t="s">
        <v>48</v>
      </c>
      <c r="Q10" s="308"/>
      <c r="R10" s="308" t="s">
        <v>86</v>
      </c>
      <c r="S10" s="308" t="s">
        <v>48</v>
      </c>
      <c r="T10" s="308"/>
      <c r="U10" s="308"/>
      <c r="V10" s="308" t="s">
        <v>9</v>
      </c>
      <c r="W10" s="308"/>
      <c r="X10" s="308"/>
      <c r="Y10" s="308"/>
      <c r="AA10" s="308"/>
      <c r="AB10" s="308" t="s">
        <v>9</v>
      </c>
      <c r="AC10" s="308"/>
      <c r="AD10" s="308"/>
      <c r="AE10" s="308"/>
      <c r="AF10" s="308" t="s">
        <v>9</v>
      </c>
      <c r="AG10" s="308"/>
      <c r="AH10" s="308"/>
      <c r="AI10" s="308"/>
      <c r="AK10" s="236">
        <v>92</v>
      </c>
      <c r="AL10" t="s">
        <v>48</v>
      </c>
      <c r="AM10" s="237" t="s">
        <v>1561</v>
      </c>
      <c r="AO10" t="s">
        <v>9</v>
      </c>
      <c r="BW10" s="311">
        <v>305</v>
      </c>
      <c r="BX10" s="311">
        <v>50</v>
      </c>
      <c r="BY10" s="311">
        <v>65</v>
      </c>
      <c r="BZ10" s="312">
        <v>518</v>
      </c>
      <c r="CA10" s="312">
        <v>23</v>
      </c>
      <c r="CB10" s="312">
        <v>32</v>
      </c>
      <c r="CC10" s="312">
        <v>16</v>
      </c>
      <c r="CD10" s="312">
        <v>375</v>
      </c>
      <c r="CE10" s="312">
        <v>25</v>
      </c>
      <c r="CF10" s="312">
        <v>25</v>
      </c>
      <c r="CG10" s="312">
        <v>175</v>
      </c>
      <c r="CH10" s="312">
        <v>101</v>
      </c>
      <c r="CI10" s="312">
        <v>550</v>
      </c>
      <c r="CJ10" s="312">
        <v>505</v>
      </c>
      <c r="CK10" s="313">
        <v>45</v>
      </c>
      <c r="CL10" s="314">
        <v>74</v>
      </c>
      <c r="CM10" s="367">
        <v>0</v>
      </c>
      <c r="CN10" s="314">
        <v>4</v>
      </c>
      <c r="CO10" s="314">
        <v>74</v>
      </c>
      <c r="CP10" s="367" t="s">
        <v>1247</v>
      </c>
      <c r="CQ10" s="314">
        <v>12</v>
      </c>
      <c r="CR10" s="315">
        <v>119</v>
      </c>
      <c r="CS10" s="314">
        <v>74</v>
      </c>
      <c r="CT10" s="368" t="s">
        <v>1247</v>
      </c>
      <c r="CU10" s="313">
        <v>4</v>
      </c>
      <c r="CV10" s="313">
        <v>74</v>
      </c>
      <c r="CW10" s="368">
        <v>0</v>
      </c>
      <c r="CX10" s="313">
        <v>12</v>
      </c>
      <c r="CY10" s="316">
        <v>119</v>
      </c>
      <c r="CZ10" s="320"/>
      <c r="DA10" s="368"/>
      <c r="DB10" s="321"/>
      <c r="DC10" s="321"/>
      <c r="DD10" s="368"/>
      <c r="DE10" s="321"/>
      <c r="DF10" s="321"/>
      <c r="DG10" s="320"/>
      <c r="DH10" s="368"/>
      <c r="DI10" s="321"/>
      <c r="DJ10" s="321"/>
      <c r="DK10" s="368"/>
      <c r="DL10" s="321"/>
      <c r="DM10" s="321"/>
      <c r="DN10" s="320"/>
      <c r="DO10" s="368"/>
      <c r="DP10" s="321"/>
      <c r="DQ10" s="321"/>
      <c r="DR10" s="368"/>
      <c r="DS10" s="321"/>
      <c r="DT10" s="323"/>
      <c r="DU10" s="92" t="s">
        <v>1563</v>
      </c>
    </row>
    <row r="11" spans="1:126" x14ac:dyDescent="0.3">
      <c r="B11" s="311" t="s">
        <v>1564</v>
      </c>
      <c r="D11" s="308" t="s">
        <v>9</v>
      </c>
      <c r="E11" s="308"/>
      <c r="F11" s="304" t="s">
        <v>9</v>
      </c>
      <c r="G11" s="308"/>
      <c r="H11" s="308" t="s">
        <v>9</v>
      </c>
      <c r="I11" s="308" t="s">
        <v>9</v>
      </c>
      <c r="J11" s="308" t="s">
        <v>9</v>
      </c>
      <c r="K11" s="308" t="s">
        <v>9</v>
      </c>
      <c r="L11" s="308"/>
      <c r="M11" s="308"/>
      <c r="N11" s="308"/>
      <c r="O11" s="308" t="s">
        <v>86</v>
      </c>
      <c r="P11" s="308" t="s">
        <v>48</v>
      </c>
      <c r="Q11" s="308"/>
      <c r="R11" s="308" t="s">
        <v>86</v>
      </c>
      <c r="S11" s="308" t="s">
        <v>48</v>
      </c>
      <c r="T11" s="308"/>
      <c r="U11" s="308" t="s">
        <v>9</v>
      </c>
      <c r="V11" s="308" t="s">
        <v>9</v>
      </c>
      <c r="W11" s="308"/>
      <c r="X11" s="308"/>
      <c r="Y11" s="308"/>
      <c r="AA11" s="308"/>
      <c r="AB11" s="308"/>
      <c r="AC11" s="308"/>
      <c r="AD11" s="308"/>
      <c r="AE11" s="308"/>
      <c r="AF11" s="308" t="s">
        <v>9</v>
      </c>
      <c r="AG11" s="308"/>
      <c r="AH11" s="308"/>
      <c r="AI11" s="308"/>
      <c r="AK11" s="236">
        <v>92</v>
      </c>
      <c r="AL11" t="s">
        <v>48</v>
      </c>
      <c r="AM11" s="237" t="s">
        <v>1561</v>
      </c>
      <c r="AV11" t="s">
        <v>9</v>
      </c>
      <c r="BW11" s="311">
        <v>281</v>
      </c>
      <c r="BX11" s="311">
        <v>47</v>
      </c>
      <c r="BY11" s="311">
        <v>65</v>
      </c>
      <c r="BZ11" s="312">
        <v>442</v>
      </c>
      <c r="CA11" s="312">
        <v>23</v>
      </c>
      <c r="CB11" s="312">
        <v>31</v>
      </c>
      <c r="CC11" s="312">
        <v>16</v>
      </c>
      <c r="CD11" s="312">
        <v>375</v>
      </c>
      <c r="CE11" s="312">
        <v>25</v>
      </c>
      <c r="CF11" s="312">
        <v>25</v>
      </c>
      <c r="CG11" s="312">
        <v>175</v>
      </c>
      <c r="CH11" s="312">
        <v>101</v>
      </c>
      <c r="CI11" s="312">
        <v>550</v>
      </c>
      <c r="CJ11" s="312">
        <v>504</v>
      </c>
      <c r="CK11" s="313">
        <v>46</v>
      </c>
      <c r="CL11" s="314">
        <v>74</v>
      </c>
      <c r="CM11" s="367">
        <v>0</v>
      </c>
      <c r="CN11" s="314">
        <v>4</v>
      </c>
      <c r="CO11" s="314">
        <v>143</v>
      </c>
      <c r="CP11" s="367" t="s">
        <v>1247</v>
      </c>
      <c r="CQ11" s="314">
        <v>16</v>
      </c>
      <c r="CR11" s="315">
        <v>189</v>
      </c>
      <c r="CS11" s="314">
        <v>86</v>
      </c>
      <c r="CT11" s="368" t="s">
        <v>1247</v>
      </c>
      <c r="CU11" s="313">
        <v>4</v>
      </c>
      <c r="CV11" s="313">
        <v>143</v>
      </c>
      <c r="CW11" s="368">
        <v>0</v>
      </c>
      <c r="CX11" s="313">
        <v>16</v>
      </c>
      <c r="CY11" s="316">
        <v>189</v>
      </c>
      <c r="CZ11" s="320"/>
      <c r="DA11" s="368"/>
      <c r="DB11" s="321"/>
      <c r="DC11" s="321"/>
      <c r="DD11" s="368"/>
      <c r="DE11" s="321"/>
      <c r="DF11" s="321"/>
      <c r="DG11" s="320"/>
      <c r="DH11" s="368"/>
      <c r="DI11" s="321"/>
      <c r="DJ11" s="321"/>
      <c r="DK11" s="368"/>
      <c r="DL11" s="321"/>
      <c r="DM11" s="321"/>
      <c r="DN11" s="320"/>
      <c r="DO11" s="368"/>
      <c r="DP11" s="321"/>
      <c r="DQ11" s="321"/>
      <c r="DR11" s="368"/>
      <c r="DS11" s="321"/>
      <c r="DT11" s="323"/>
      <c r="DU11" s="92" t="s">
        <v>1564</v>
      </c>
    </row>
    <row r="12" spans="1:126" x14ac:dyDescent="0.3">
      <c r="B12" s="311" t="s">
        <v>1565</v>
      </c>
      <c r="D12" s="308" t="s">
        <v>9</v>
      </c>
      <c r="E12" s="308"/>
      <c r="F12" s="304" t="s">
        <v>9</v>
      </c>
      <c r="G12" s="308"/>
      <c r="H12" s="308" t="s">
        <v>9</v>
      </c>
      <c r="I12" s="308" t="s">
        <v>9</v>
      </c>
      <c r="J12" s="308" t="s">
        <v>9</v>
      </c>
      <c r="K12" s="308" t="s">
        <v>9</v>
      </c>
      <c r="L12" s="308"/>
      <c r="M12" s="308"/>
      <c r="N12" s="308"/>
      <c r="O12" s="308" t="s">
        <v>86</v>
      </c>
      <c r="P12" s="308" t="s">
        <v>48</v>
      </c>
      <c r="Q12" s="308"/>
      <c r="R12" s="308" t="s">
        <v>86</v>
      </c>
      <c r="S12" s="308" t="s">
        <v>48</v>
      </c>
      <c r="T12" s="308"/>
      <c r="U12" s="308"/>
      <c r="V12" s="308" t="s">
        <v>9</v>
      </c>
      <c r="W12" s="308"/>
      <c r="X12" s="308"/>
      <c r="Y12" s="308"/>
      <c r="AA12" s="308"/>
      <c r="AB12" s="308" t="s">
        <v>9</v>
      </c>
      <c r="AC12" s="308"/>
      <c r="AD12" s="308"/>
      <c r="AE12" s="308"/>
      <c r="AF12" s="308" t="s">
        <v>9</v>
      </c>
      <c r="AG12" s="308"/>
      <c r="AH12" s="308"/>
      <c r="AI12" s="308"/>
      <c r="AK12" s="236">
        <v>92</v>
      </c>
      <c r="AL12" t="s">
        <v>48</v>
      </c>
      <c r="AM12" s="237" t="s">
        <v>1561</v>
      </c>
      <c r="AW12" t="s">
        <v>9</v>
      </c>
      <c r="BW12" s="311">
        <v>281</v>
      </c>
      <c r="BX12" s="311">
        <v>47</v>
      </c>
      <c r="BY12" s="311">
        <v>65</v>
      </c>
      <c r="BZ12" s="312">
        <v>442</v>
      </c>
      <c r="CA12" s="312">
        <v>23</v>
      </c>
      <c r="CB12" s="312">
        <v>31</v>
      </c>
      <c r="CC12" s="312">
        <v>16</v>
      </c>
      <c r="CD12" s="312">
        <v>375</v>
      </c>
      <c r="CE12" s="312">
        <v>25</v>
      </c>
      <c r="CF12" s="312">
        <v>25</v>
      </c>
      <c r="CG12" s="312">
        <v>175</v>
      </c>
      <c r="CH12" s="312">
        <v>89</v>
      </c>
      <c r="CI12" s="312">
        <v>550</v>
      </c>
      <c r="CJ12" s="312">
        <v>490</v>
      </c>
      <c r="CK12" s="313">
        <v>60</v>
      </c>
      <c r="CL12" s="314">
        <v>86</v>
      </c>
      <c r="CM12" s="367">
        <v>0</v>
      </c>
      <c r="CN12" s="314">
        <v>4</v>
      </c>
      <c r="CO12" s="314">
        <v>143</v>
      </c>
      <c r="CP12" s="367" t="s">
        <v>1247</v>
      </c>
      <c r="CQ12" s="314">
        <v>16</v>
      </c>
      <c r="CR12" s="315">
        <v>203</v>
      </c>
      <c r="CS12" s="314">
        <v>86</v>
      </c>
      <c r="CT12" s="368" t="s">
        <v>1247</v>
      </c>
      <c r="CU12" s="313">
        <v>4</v>
      </c>
      <c r="CV12" s="313">
        <v>143</v>
      </c>
      <c r="CW12" s="368">
        <v>0</v>
      </c>
      <c r="CX12" s="313">
        <v>16</v>
      </c>
      <c r="CY12" s="316">
        <v>203</v>
      </c>
      <c r="CZ12" s="320"/>
      <c r="DA12" s="368"/>
      <c r="DB12" s="321"/>
      <c r="DC12" s="321"/>
      <c r="DD12" s="368"/>
      <c r="DE12" s="321"/>
      <c r="DF12" s="321"/>
      <c r="DG12" s="320"/>
      <c r="DH12" s="368"/>
      <c r="DI12" s="321"/>
      <c r="DJ12" s="321"/>
      <c r="DK12" s="368"/>
      <c r="DL12" s="321"/>
      <c r="DM12" s="321"/>
      <c r="DN12" s="320"/>
      <c r="DO12" s="368"/>
      <c r="DP12" s="321"/>
      <c r="DQ12" s="321"/>
      <c r="DR12" s="368"/>
      <c r="DS12" s="321"/>
      <c r="DT12" s="323"/>
      <c r="DU12" s="92" t="s">
        <v>1565</v>
      </c>
    </row>
    <row r="13" spans="1:126" x14ac:dyDescent="0.3">
      <c r="B13" s="311" t="s">
        <v>1566</v>
      </c>
      <c r="D13" s="308"/>
      <c r="E13" s="308" t="s">
        <v>9</v>
      </c>
      <c r="F13" s="304" t="s">
        <v>9</v>
      </c>
      <c r="G13" s="308"/>
      <c r="H13" s="308" t="s">
        <v>9</v>
      </c>
      <c r="I13" s="308" t="s">
        <v>9</v>
      </c>
      <c r="J13" s="308" t="s">
        <v>9</v>
      </c>
      <c r="K13" s="308" t="s">
        <v>9</v>
      </c>
      <c r="L13" s="308"/>
      <c r="M13" s="308"/>
      <c r="N13" s="308"/>
      <c r="O13" s="308" t="s">
        <v>9</v>
      </c>
      <c r="P13" s="308"/>
      <c r="Q13" s="308"/>
      <c r="R13" s="308" t="s">
        <v>9</v>
      </c>
      <c r="S13" s="308"/>
      <c r="T13" s="308"/>
      <c r="U13" s="308" t="s">
        <v>9</v>
      </c>
      <c r="V13" s="308" t="s">
        <v>9</v>
      </c>
      <c r="W13" s="308"/>
      <c r="X13" s="308" t="s">
        <v>9</v>
      </c>
      <c r="Y13" s="308"/>
      <c r="AA13" s="308"/>
      <c r="AB13" s="308"/>
      <c r="AC13" s="308"/>
      <c r="AD13" s="308"/>
      <c r="AE13" s="308"/>
      <c r="AF13" s="308" t="s">
        <v>9</v>
      </c>
      <c r="AG13" s="308"/>
      <c r="AH13" s="308"/>
      <c r="AI13" s="308"/>
      <c r="AK13" s="236">
        <v>92</v>
      </c>
      <c r="AL13" t="s">
        <v>48</v>
      </c>
      <c r="AM13" s="237" t="s">
        <v>1561</v>
      </c>
      <c r="AZ13" t="s">
        <v>9</v>
      </c>
      <c r="BW13" s="311">
        <v>281</v>
      </c>
      <c r="BX13" s="311">
        <v>47</v>
      </c>
      <c r="BY13" s="311">
        <v>65</v>
      </c>
      <c r="BZ13" s="312" t="s">
        <v>1247</v>
      </c>
      <c r="CA13" s="312">
        <v>30</v>
      </c>
      <c r="CB13" s="312">
        <v>34</v>
      </c>
      <c r="CC13" s="312">
        <v>17</v>
      </c>
      <c r="CD13" s="312">
        <v>375</v>
      </c>
      <c r="CE13" s="312">
        <v>25</v>
      </c>
      <c r="CF13" s="312">
        <v>25</v>
      </c>
      <c r="CG13" s="312">
        <v>175</v>
      </c>
      <c r="CH13" s="312">
        <v>89</v>
      </c>
      <c r="CI13" s="312">
        <v>550</v>
      </c>
      <c r="CJ13" s="312">
        <v>499</v>
      </c>
      <c r="CK13" s="313">
        <v>51</v>
      </c>
      <c r="CL13" s="316">
        <v>86</v>
      </c>
      <c r="CM13" s="367">
        <v>0</v>
      </c>
      <c r="CN13" s="316">
        <v>4</v>
      </c>
      <c r="CO13" s="316">
        <v>84</v>
      </c>
      <c r="CP13" s="367" t="s">
        <v>1247</v>
      </c>
      <c r="CQ13" s="316">
        <v>13</v>
      </c>
      <c r="CR13" s="315">
        <v>135</v>
      </c>
      <c r="CS13" s="322"/>
      <c r="CT13" s="368"/>
      <c r="CU13" s="321"/>
      <c r="CV13" s="321"/>
      <c r="CW13" s="368"/>
      <c r="CX13" s="321"/>
      <c r="CY13" s="321"/>
      <c r="CZ13" s="320"/>
      <c r="DA13" s="368"/>
      <c r="DB13" s="321"/>
      <c r="DC13" s="321"/>
      <c r="DD13" s="368"/>
      <c r="DE13" s="321"/>
      <c r="DF13" s="321"/>
      <c r="DG13" s="320"/>
      <c r="DH13" s="368"/>
      <c r="DI13" s="321"/>
      <c r="DJ13" s="321"/>
      <c r="DK13" s="368"/>
      <c r="DL13" s="321"/>
      <c r="DM13" s="321"/>
      <c r="DN13" s="320"/>
      <c r="DO13" s="368"/>
      <c r="DP13" s="321"/>
      <c r="DQ13" s="321"/>
      <c r="DR13" s="368"/>
      <c r="DS13" s="321"/>
      <c r="DT13" s="323"/>
      <c r="DU13" s="92" t="s">
        <v>1566</v>
      </c>
    </row>
    <row r="14" spans="1:126" x14ac:dyDescent="0.3">
      <c r="B14" s="311" t="s">
        <v>1567</v>
      </c>
      <c r="D14" s="308" t="s">
        <v>9</v>
      </c>
      <c r="E14" s="308"/>
      <c r="F14" s="304" t="s">
        <v>9</v>
      </c>
      <c r="G14" s="308"/>
      <c r="H14" s="308" t="s">
        <v>9</v>
      </c>
      <c r="I14" s="308" t="s">
        <v>9</v>
      </c>
      <c r="J14" s="308" t="s">
        <v>9</v>
      </c>
      <c r="K14" s="308" t="s">
        <v>9</v>
      </c>
      <c r="L14" s="308"/>
      <c r="M14" s="308"/>
      <c r="N14" s="308"/>
      <c r="O14" s="308" t="s">
        <v>1539</v>
      </c>
      <c r="P14" s="308" t="s">
        <v>29</v>
      </c>
      <c r="Q14" s="308"/>
      <c r="R14" s="308" t="s">
        <v>29</v>
      </c>
      <c r="S14" s="308" t="s">
        <v>1539</v>
      </c>
      <c r="T14" s="308"/>
      <c r="U14" s="308" t="s">
        <v>9</v>
      </c>
      <c r="V14" s="308" t="s">
        <v>9</v>
      </c>
      <c r="W14" s="308"/>
      <c r="X14" s="308"/>
      <c r="Y14" s="308"/>
      <c r="AA14" s="308"/>
      <c r="AB14" s="308"/>
      <c r="AC14" s="308"/>
      <c r="AD14" s="308"/>
      <c r="AE14" s="308"/>
      <c r="AF14" s="308" t="s">
        <v>9</v>
      </c>
      <c r="AG14" s="308"/>
      <c r="AH14" s="308"/>
      <c r="AI14" s="308"/>
      <c r="AK14" s="236">
        <v>92</v>
      </c>
      <c r="AL14" t="s">
        <v>84</v>
      </c>
      <c r="AM14" s="237" t="s">
        <v>1561</v>
      </c>
      <c r="AN14" t="s">
        <v>9</v>
      </c>
      <c r="BW14" s="311">
        <v>305</v>
      </c>
      <c r="BX14" s="311">
        <v>50</v>
      </c>
      <c r="BY14" s="311">
        <v>65</v>
      </c>
      <c r="BZ14" s="312">
        <v>537</v>
      </c>
      <c r="CA14" s="312">
        <v>30</v>
      </c>
      <c r="CB14" s="312">
        <v>39</v>
      </c>
      <c r="CC14" s="312">
        <v>20</v>
      </c>
      <c r="CD14" s="312">
        <v>375</v>
      </c>
      <c r="CE14" s="312">
        <v>25</v>
      </c>
      <c r="CF14" s="312">
        <v>25</v>
      </c>
      <c r="CG14" s="312">
        <v>175</v>
      </c>
      <c r="CH14" s="312">
        <v>101</v>
      </c>
      <c r="CI14" s="312">
        <v>550</v>
      </c>
      <c r="CJ14" s="312">
        <v>505</v>
      </c>
      <c r="CK14" s="313">
        <v>45</v>
      </c>
      <c r="CL14" s="322"/>
      <c r="CM14" s="367"/>
      <c r="CN14" s="322"/>
      <c r="CO14" s="322"/>
      <c r="CP14" s="368"/>
      <c r="CQ14" s="321"/>
      <c r="CR14" s="323"/>
      <c r="CS14" s="322"/>
      <c r="CT14" s="368"/>
      <c r="CU14" s="321"/>
      <c r="CV14" s="321"/>
      <c r="CW14" s="368"/>
      <c r="CX14" s="321"/>
      <c r="CY14" s="321"/>
      <c r="CZ14" s="317">
        <v>74</v>
      </c>
      <c r="DA14" s="368" t="s">
        <v>1247</v>
      </c>
      <c r="DB14" s="313">
        <v>17</v>
      </c>
      <c r="DC14" s="313">
        <v>74</v>
      </c>
      <c r="DD14" s="368">
        <v>0</v>
      </c>
      <c r="DE14" s="313">
        <v>0</v>
      </c>
      <c r="DF14" s="316">
        <v>119</v>
      </c>
      <c r="DG14" s="317">
        <v>74</v>
      </c>
      <c r="DH14" s="368">
        <v>0</v>
      </c>
      <c r="DI14" s="313">
        <v>17</v>
      </c>
      <c r="DJ14" s="313">
        <v>74</v>
      </c>
      <c r="DK14" s="368" t="s">
        <v>1247</v>
      </c>
      <c r="DL14" s="313">
        <v>0</v>
      </c>
      <c r="DM14" s="316">
        <v>119</v>
      </c>
      <c r="DN14" s="317">
        <v>74</v>
      </c>
      <c r="DO14" s="368">
        <v>0</v>
      </c>
      <c r="DP14" s="313" t="s">
        <v>1247</v>
      </c>
      <c r="DQ14" s="313">
        <v>74</v>
      </c>
      <c r="DR14" s="368" t="s">
        <v>1247</v>
      </c>
      <c r="DS14" s="313" t="s">
        <v>1247</v>
      </c>
      <c r="DT14" s="315">
        <v>119</v>
      </c>
      <c r="DU14" s="92" t="s">
        <v>1567</v>
      </c>
    </row>
    <row r="15" spans="1:126" x14ac:dyDescent="0.3">
      <c r="B15" s="311" t="s">
        <v>1568</v>
      </c>
      <c r="D15" s="308" t="s">
        <v>9</v>
      </c>
      <c r="E15" s="308"/>
      <c r="F15" s="304" t="s">
        <v>9</v>
      </c>
      <c r="G15" s="308"/>
      <c r="H15" s="308" t="s">
        <v>9</v>
      </c>
      <c r="I15" s="308" t="s">
        <v>9</v>
      </c>
      <c r="J15" s="308" t="s">
        <v>9</v>
      </c>
      <c r="K15" s="308" t="s">
        <v>9</v>
      </c>
      <c r="L15" s="308"/>
      <c r="M15" s="308"/>
      <c r="N15" s="308"/>
      <c r="O15" s="308" t="s">
        <v>1539</v>
      </c>
      <c r="P15" s="308" t="s">
        <v>29</v>
      </c>
      <c r="Q15" s="308"/>
      <c r="R15" s="308" t="s">
        <v>29</v>
      </c>
      <c r="S15" s="308" t="s">
        <v>1539</v>
      </c>
      <c r="T15" s="308"/>
      <c r="U15" s="308"/>
      <c r="V15" s="308" t="s">
        <v>9</v>
      </c>
      <c r="W15" s="308"/>
      <c r="X15" s="308"/>
      <c r="Y15" s="308"/>
      <c r="AA15" s="308"/>
      <c r="AB15" s="308" t="s">
        <v>9</v>
      </c>
      <c r="AC15" s="308"/>
      <c r="AD15" s="308"/>
      <c r="AE15" s="308"/>
      <c r="AF15" s="308" t="s">
        <v>9</v>
      </c>
      <c r="AG15" s="308"/>
      <c r="AH15" s="308"/>
      <c r="AI15" s="308"/>
      <c r="AK15" s="236">
        <v>92</v>
      </c>
      <c r="AL15" t="s">
        <v>84</v>
      </c>
      <c r="AM15" s="237" t="s">
        <v>1561</v>
      </c>
      <c r="AO15" t="s">
        <v>9</v>
      </c>
      <c r="BW15" s="311">
        <v>305</v>
      </c>
      <c r="BX15" s="311">
        <v>50</v>
      </c>
      <c r="BY15" s="311">
        <v>65</v>
      </c>
      <c r="BZ15" s="312">
        <v>518</v>
      </c>
      <c r="CA15" s="312">
        <v>23</v>
      </c>
      <c r="CB15" s="312">
        <v>32</v>
      </c>
      <c r="CC15" s="312">
        <v>16</v>
      </c>
      <c r="CD15" s="312">
        <v>375</v>
      </c>
      <c r="CE15" s="312">
        <v>25</v>
      </c>
      <c r="CF15" s="312">
        <v>25</v>
      </c>
      <c r="CG15" s="312">
        <v>175</v>
      </c>
      <c r="CH15" s="312">
        <v>101</v>
      </c>
      <c r="CI15" s="312">
        <v>550</v>
      </c>
      <c r="CJ15" s="312">
        <v>505</v>
      </c>
      <c r="CK15" s="313">
        <v>45</v>
      </c>
      <c r="CL15" s="322"/>
      <c r="CM15" s="367"/>
      <c r="CN15" s="322"/>
      <c r="CO15" s="322"/>
      <c r="CP15" s="368"/>
      <c r="CQ15" s="321"/>
      <c r="CR15" s="323"/>
      <c r="CS15" s="322"/>
      <c r="CT15" s="368"/>
      <c r="CU15" s="321"/>
      <c r="CV15" s="321"/>
      <c r="CW15" s="368"/>
      <c r="CX15" s="321"/>
      <c r="CY15" s="321"/>
      <c r="CZ15" s="317">
        <v>74</v>
      </c>
      <c r="DA15" s="368" t="s">
        <v>1247</v>
      </c>
      <c r="DB15" s="313">
        <v>17</v>
      </c>
      <c r="DC15" s="313">
        <v>74</v>
      </c>
      <c r="DD15" s="368">
        <v>0</v>
      </c>
      <c r="DE15" s="313">
        <v>0</v>
      </c>
      <c r="DF15" s="316">
        <v>119</v>
      </c>
      <c r="DG15" s="317">
        <v>74</v>
      </c>
      <c r="DH15" s="368">
        <v>0</v>
      </c>
      <c r="DI15" s="313">
        <v>17</v>
      </c>
      <c r="DJ15" s="313">
        <v>74</v>
      </c>
      <c r="DK15" s="368" t="s">
        <v>1247</v>
      </c>
      <c r="DL15" s="313">
        <v>0</v>
      </c>
      <c r="DM15" s="316">
        <v>119</v>
      </c>
      <c r="DN15" s="317">
        <v>74</v>
      </c>
      <c r="DO15" s="368">
        <v>0</v>
      </c>
      <c r="DP15" s="313" t="s">
        <v>1247</v>
      </c>
      <c r="DQ15" s="313">
        <v>74</v>
      </c>
      <c r="DR15" s="368" t="s">
        <v>1247</v>
      </c>
      <c r="DS15" s="313" t="s">
        <v>1247</v>
      </c>
      <c r="DT15" s="315">
        <v>119</v>
      </c>
      <c r="DU15" s="92" t="s">
        <v>1568</v>
      </c>
    </row>
    <row r="16" spans="1:126" x14ac:dyDescent="0.3">
      <c r="B16" s="311" t="s">
        <v>1569</v>
      </c>
      <c r="D16" s="308" t="s">
        <v>9</v>
      </c>
      <c r="E16" s="308"/>
      <c r="F16" s="304" t="s">
        <v>9</v>
      </c>
      <c r="G16" s="308"/>
      <c r="H16" s="308" t="s">
        <v>9</v>
      </c>
      <c r="I16" s="308" t="s">
        <v>9</v>
      </c>
      <c r="J16" s="308" t="s">
        <v>9</v>
      </c>
      <c r="K16" s="308" t="s">
        <v>9</v>
      </c>
      <c r="L16" s="308"/>
      <c r="M16" s="308"/>
      <c r="N16" s="308"/>
      <c r="O16" s="308" t="s">
        <v>1539</v>
      </c>
      <c r="P16" s="308" t="s">
        <v>29</v>
      </c>
      <c r="Q16" s="308"/>
      <c r="R16" s="308" t="s">
        <v>29</v>
      </c>
      <c r="S16" s="308" t="s">
        <v>1539</v>
      </c>
      <c r="T16" s="308"/>
      <c r="U16" s="308" t="s">
        <v>9</v>
      </c>
      <c r="V16" s="308" t="s">
        <v>9</v>
      </c>
      <c r="W16" s="308"/>
      <c r="X16" s="308"/>
      <c r="Y16" s="308"/>
      <c r="AA16" s="308"/>
      <c r="AB16" s="308"/>
      <c r="AC16" s="308"/>
      <c r="AD16" s="308"/>
      <c r="AE16" s="308"/>
      <c r="AF16" s="308" t="s">
        <v>9</v>
      </c>
      <c r="AG16" s="308"/>
      <c r="AH16" s="308"/>
      <c r="AI16" s="308"/>
      <c r="AK16" s="236">
        <v>92</v>
      </c>
      <c r="AL16" t="s">
        <v>84</v>
      </c>
      <c r="AM16" s="237" t="s">
        <v>1561</v>
      </c>
      <c r="AV16" t="s">
        <v>9</v>
      </c>
      <c r="BW16" s="311">
        <v>281</v>
      </c>
      <c r="BX16" s="311">
        <v>47</v>
      </c>
      <c r="BY16" s="311">
        <v>65</v>
      </c>
      <c r="BZ16" s="312">
        <v>442</v>
      </c>
      <c r="CA16" s="312">
        <v>23</v>
      </c>
      <c r="CB16" s="312">
        <v>31</v>
      </c>
      <c r="CC16" s="312">
        <v>16</v>
      </c>
      <c r="CD16" s="312">
        <v>375</v>
      </c>
      <c r="CE16" s="312">
        <v>25</v>
      </c>
      <c r="CF16" s="312">
        <v>25</v>
      </c>
      <c r="CG16" s="312">
        <v>140</v>
      </c>
      <c r="CH16" s="312">
        <v>89</v>
      </c>
      <c r="CI16" s="312">
        <v>515</v>
      </c>
      <c r="CJ16" s="312">
        <v>469</v>
      </c>
      <c r="CK16" s="313">
        <v>46</v>
      </c>
      <c r="CL16" s="322"/>
      <c r="CM16" s="367"/>
      <c r="CN16" s="322"/>
      <c r="CO16" s="322"/>
      <c r="CP16" s="368"/>
      <c r="CQ16" s="321"/>
      <c r="CR16" s="323"/>
      <c r="CS16" s="322"/>
      <c r="CT16" s="368"/>
      <c r="CU16" s="321"/>
      <c r="CV16" s="321"/>
      <c r="CW16" s="368"/>
      <c r="CX16" s="321"/>
      <c r="CY16" s="321"/>
      <c r="CZ16" s="317">
        <v>86</v>
      </c>
      <c r="DA16" s="368" t="s">
        <v>1247</v>
      </c>
      <c r="DB16" s="313">
        <v>17</v>
      </c>
      <c r="DC16" s="313">
        <v>143</v>
      </c>
      <c r="DD16" s="368">
        <v>0</v>
      </c>
      <c r="DE16" s="313">
        <v>3</v>
      </c>
      <c r="DF16" s="315">
        <v>189</v>
      </c>
      <c r="DG16" s="314">
        <v>51</v>
      </c>
      <c r="DH16" s="368">
        <v>0</v>
      </c>
      <c r="DI16" s="313">
        <v>17</v>
      </c>
      <c r="DJ16" s="313">
        <v>143</v>
      </c>
      <c r="DK16" s="368" t="s">
        <v>1247</v>
      </c>
      <c r="DL16" s="313">
        <v>3</v>
      </c>
      <c r="DM16" s="316">
        <v>189</v>
      </c>
      <c r="DN16" s="317">
        <v>51</v>
      </c>
      <c r="DO16" s="368">
        <v>0</v>
      </c>
      <c r="DP16" s="313" t="s">
        <v>1247</v>
      </c>
      <c r="DQ16" s="313">
        <v>143</v>
      </c>
      <c r="DR16" s="368" t="s">
        <v>1247</v>
      </c>
      <c r="DS16" s="313" t="s">
        <v>1247</v>
      </c>
      <c r="DT16" s="315">
        <v>189</v>
      </c>
      <c r="DU16" s="92" t="s">
        <v>1569</v>
      </c>
    </row>
    <row r="17" spans="2:125" x14ac:dyDescent="0.3">
      <c r="B17" s="311" t="s">
        <v>1570</v>
      </c>
      <c r="D17" s="308" t="s">
        <v>9</v>
      </c>
      <c r="E17" s="308"/>
      <c r="F17" s="304" t="s">
        <v>9</v>
      </c>
      <c r="G17" s="308"/>
      <c r="H17" s="308" t="s">
        <v>9</v>
      </c>
      <c r="I17" s="308" t="s">
        <v>9</v>
      </c>
      <c r="J17" s="308" t="s">
        <v>9</v>
      </c>
      <c r="K17" s="308" t="s">
        <v>9</v>
      </c>
      <c r="L17" s="308"/>
      <c r="M17" s="308"/>
      <c r="N17" s="308"/>
      <c r="O17" s="308" t="s">
        <v>1539</v>
      </c>
      <c r="P17" s="308" t="s">
        <v>29</v>
      </c>
      <c r="Q17" s="308"/>
      <c r="R17" s="308" t="s">
        <v>29</v>
      </c>
      <c r="S17" s="308" t="s">
        <v>1539</v>
      </c>
      <c r="T17" s="308"/>
      <c r="U17" s="308"/>
      <c r="V17" s="308" t="s">
        <v>9</v>
      </c>
      <c r="W17" s="308"/>
      <c r="X17" s="308"/>
      <c r="Y17" s="308"/>
      <c r="AA17" s="308"/>
      <c r="AB17" s="308" t="s">
        <v>9</v>
      </c>
      <c r="AC17" s="308"/>
      <c r="AD17" s="308"/>
      <c r="AE17" s="308"/>
      <c r="AF17" s="308" t="s">
        <v>9</v>
      </c>
      <c r="AG17" s="308"/>
      <c r="AH17" s="308"/>
      <c r="AI17" s="308"/>
      <c r="AK17" s="236">
        <v>92</v>
      </c>
      <c r="AL17" t="s">
        <v>84</v>
      </c>
      <c r="AM17" s="237" t="s">
        <v>1561</v>
      </c>
      <c r="AW17" t="s">
        <v>9</v>
      </c>
      <c r="BW17" s="311">
        <v>281</v>
      </c>
      <c r="BX17" s="311">
        <v>47</v>
      </c>
      <c r="BY17" s="311">
        <v>65</v>
      </c>
      <c r="BZ17" s="312">
        <v>442</v>
      </c>
      <c r="CA17" s="312">
        <v>23</v>
      </c>
      <c r="CB17" s="312">
        <v>31</v>
      </c>
      <c r="CC17" s="312">
        <v>16</v>
      </c>
      <c r="CD17" s="312">
        <v>375</v>
      </c>
      <c r="CE17" s="312">
        <v>25</v>
      </c>
      <c r="CF17" s="312">
        <v>25</v>
      </c>
      <c r="CG17" s="312">
        <v>140</v>
      </c>
      <c r="CH17" s="312">
        <v>89</v>
      </c>
      <c r="CI17" s="312">
        <v>515</v>
      </c>
      <c r="CJ17" s="312">
        <v>455</v>
      </c>
      <c r="CK17" s="313">
        <v>60</v>
      </c>
      <c r="CL17" s="322"/>
      <c r="CM17" s="367"/>
      <c r="CN17" s="322"/>
      <c r="CO17" s="322"/>
      <c r="CP17" s="368"/>
      <c r="CQ17" s="321"/>
      <c r="CR17" s="323"/>
      <c r="CS17" s="322"/>
      <c r="CT17" s="368"/>
      <c r="CU17" s="321"/>
      <c r="CV17" s="321"/>
      <c r="CW17" s="368"/>
      <c r="CX17" s="321"/>
      <c r="CY17" s="321"/>
      <c r="CZ17" s="317">
        <v>86</v>
      </c>
      <c r="DA17" s="368" t="s">
        <v>1247</v>
      </c>
      <c r="DB17" s="313">
        <v>17</v>
      </c>
      <c r="DC17" s="313">
        <v>143</v>
      </c>
      <c r="DD17" s="368">
        <v>0</v>
      </c>
      <c r="DE17" s="313">
        <v>3</v>
      </c>
      <c r="DF17" s="315">
        <v>203</v>
      </c>
      <c r="DG17" s="314">
        <v>51</v>
      </c>
      <c r="DH17" s="368">
        <v>0</v>
      </c>
      <c r="DI17" s="313">
        <v>17</v>
      </c>
      <c r="DJ17" s="313">
        <v>143</v>
      </c>
      <c r="DK17" s="368" t="s">
        <v>1247</v>
      </c>
      <c r="DL17" s="313">
        <v>3</v>
      </c>
      <c r="DM17" s="316">
        <v>203</v>
      </c>
      <c r="DN17" s="317">
        <v>51</v>
      </c>
      <c r="DO17" s="368">
        <v>0</v>
      </c>
      <c r="DP17" s="313" t="s">
        <v>1247</v>
      </c>
      <c r="DQ17" s="313">
        <v>143</v>
      </c>
      <c r="DR17" s="368" t="s">
        <v>1247</v>
      </c>
      <c r="DS17" s="313" t="s">
        <v>1247</v>
      </c>
      <c r="DT17" s="315">
        <v>203</v>
      </c>
      <c r="DU17" s="92" t="s">
        <v>1570</v>
      </c>
    </row>
    <row r="18" spans="2:125" x14ac:dyDescent="0.3">
      <c r="B18" s="311" t="s">
        <v>1527</v>
      </c>
      <c r="D18" s="308" t="s">
        <v>9</v>
      </c>
      <c r="E18" s="308"/>
      <c r="F18" s="304" t="s">
        <v>9</v>
      </c>
      <c r="G18" s="308"/>
      <c r="H18" s="308"/>
      <c r="I18" s="308" t="s">
        <v>9</v>
      </c>
      <c r="J18" s="308" t="s">
        <v>9</v>
      </c>
      <c r="K18" s="308" t="s">
        <v>9</v>
      </c>
      <c r="L18" s="308" t="s">
        <v>9</v>
      </c>
      <c r="M18" s="308"/>
      <c r="N18" s="308"/>
      <c r="O18" s="308" t="s">
        <v>86</v>
      </c>
      <c r="P18" s="308" t="s">
        <v>48</v>
      </c>
      <c r="Q18" s="308"/>
      <c r="R18" s="308" t="s">
        <v>86</v>
      </c>
      <c r="S18" s="308" t="s">
        <v>48</v>
      </c>
      <c r="T18" s="308"/>
      <c r="U18" s="308" t="s">
        <v>9</v>
      </c>
      <c r="V18" s="308" t="s">
        <v>9</v>
      </c>
      <c r="W18" s="308"/>
      <c r="X18" s="308" t="s">
        <v>9</v>
      </c>
      <c r="Y18" s="308"/>
      <c r="AA18" s="308" t="s">
        <v>9</v>
      </c>
      <c r="AB18" s="308"/>
      <c r="AC18" s="308"/>
      <c r="AD18" s="308"/>
      <c r="AE18" s="308"/>
      <c r="AF18" s="308" t="s">
        <v>9</v>
      </c>
      <c r="AG18" s="308"/>
      <c r="AH18" s="308"/>
      <c r="AI18" s="308"/>
      <c r="AK18" s="236">
        <v>93</v>
      </c>
      <c r="AL18" t="s">
        <v>48</v>
      </c>
      <c r="AM18" s="237" t="s">
        <v>1522</v>
      </c>
      <c r="AV18" t="s">
        <v>9</v>
      </c>
      <c r="BW18" s="311">
        <v>275</v>
      </c>
      <c r="BX18" s="311">
        <v>53</v>
      </c>
      <c r="BY18" s="311">
        <v>60</v>
      </c>
      <c r="BZ18" s="312">
        <v>442</v>
      </c>
      <c r="CA18" s="312">
        <v>23</v>
      </c>
      <c r="CB18" s="312">
        <v>31</v>
      </c>
      <c r="CC18" s="312">
        <v>16</v>
      </c>
      <c r="CD18" s="312">
        <v>375</v>
      </c>
      <c r="CE18" s="312">
        <v>30</v>
      </c>
      <c r="CF18" s="312">
        <v>30</v>
      </c>
      <c r="CG18" s="312">
        <v>175</v>
      </c>
      <c r="CH18" s="312">
        <v>91</v>
      </c>
      <c r="CI18" s="312">
        <v>407</v>
      </c>
      <c r="CJ18" s="312">
        <v>361</v>
      </c>
      <c r="CK18" s="313">
        <v>46</v>
      </c>
      <c r="CL18" s="314">
        <v>84</v>
      </c>
      <c r="CM18" s="367">
        <v>0</v>
      </c>
      <c r="CN18" s="314">
        <v>4</v>
      </c>
      <c r="CO18" s="314">
        <v>143</v>
      </c>
      <c r="CP18" s="367" t="s">
        <v>1247</v>
      </c>
      <c r="CQ18" s="314">
        <v>16</v>
      </c>
      <c r="CR18" s="316">
        <v>189</v>
      </c>
      <c r="CS18" s="317">
        <v>84</v>
      </c>
      <c r="CT18" s="368" t="s">
        <v>1247</v>
      </c>
      <c r="CU18" s="313">
        <v>4</v>
      </c>
      <c r="CV18" s="313">
        <v>143</v>
      </c>
      <c r="CW18" s="368">
        <v>0</v>
      </c>
      <c r="CX18" s="313">
        <v>16</v>
      </c>
      <c r="CY18" s="316">
        <v>189</v>
      </c>
      <c r="CZ18" s="320"/>
      <c r="DA18" s="368"/>
      <c r="DB18" s="321"/>
      <c r="DC18" s="321"/>
      <c r="DD18" s="368"/>
      <c r="DE18" s="321"/>
      <c r="DF18" s="321"/>
      <c r="DG18" s="320"/>
      <c r="DH18" s="368"/>
      <c r="DI18" s="321"/>
      <c r="DJ18" s="321"/>
      <c r="DK18" s="368"/>
      <c r="DL18" s="321"/>
      <c r="DM18" s="321"/>
      <c r="DN18" s="320"/>
      <c r="DO18" s="368"/>
      <c r="DP18" s="321"/>
      <c r="DQ18" s="321"/>
      <c r="DR18" s="368"/>
      <c r="DS18" s="321"/>
      <c r="DT18" s="323"/>
      <c r="DU18" s="92" t="s">
        <v>1527</v>
      </c>
    </row>
    <row r="19" spans="2:125" x14ac:dyDescent="0.3">
      <c r="B19" s="311" t="s">
        <v>1528</v>
      </c>
      <c r="D19" s="308" t="s">
        <v>9</v>
      </c>
      <c r="E19" s="308"/>
      <c r="F19" s="304" t="s">
        <v>9</v>
      </c>
      <c r="G19" s="308"/>
      <c r="H19" s="308"/>
      <c r="I19" s="308" t="s">
        <v>9</v>
      </c>
      <c r="J19" s="308" t="s">
        <v>9</v>
      </c>
      <c r="K19" s="308" t="s">
        <v>9</v>
      </c>
      <c r="L19" s="308" t="s">
        <v>9</v>
      </c>
      <c r="M19" s="308"/>
      <c r="N19" s="308"/>
      <c r="O19" s="308" t="s">
        <v>86</v>
      </c>
      <c r="P19" s="308" t="s">
        <v>48</v>
      </c>
      <c r="Q19" s="308"/>
      <c r="R19" s="308" t="s">
        <v>86</v>
      </c>
      <c r="S19" s="308" t="s">
        <v>48</v>
      </c>
      <c r="T19" s="308"/>
      <c r="U19" s="308"/>
      <c r="V19" s="308" t="s">
        <v>9</v>
      </c>
      <c r="W19" s="308"/>
      <c r="X19" s="308" t="s">
        <v>9</v>
      </c>
      <c r="Y19" s="308"/>
      <c r="AA19" s="308" t="s">
        <v>9</v>
      </c>
      <c r="AB19" s="308" t="s">
        <v>9</v>
      </c>
      <c r="AC19" s="308"/>
      <c r="AD19" s="308"/>
      <c r="AE19" s="308"/>
      <c r="AF19" s="308" t="s">
        <v>9</v>
      </c>
      <c r="AG19" s="308"/>
      <c r="AH19" s="308"/>
      <c r="AI19" s="308"/>
      <c r="AK19" s="236">
        <v>93</v>
      </c>
      <c r="AL19" t="s">
        <v>48</v>
      </c>
      <c r="AM19" s="237" t="s">
        <v>1522</v>
      </c>
      <c r="AW19" t="s">
        <v>9</v>
      </c>
      <c r="BW19" s="311">
        <v>275</v>
      </c>
      <c r="BX19" s="311">
        <v>53</v>
      </c>
      <c r="BY19" s="311">
        <v>60</v>
      </c>
      <c r="BZ19" s="312">
        <v>442</v>
      </c>
      <c r="CA19" s="312">
        <v>23</v>
      </c>
      <c r="CB19" s="312">
        <v>31</v>
      </c>
      <c r="CC19" s="312">
        <v>16</v>
      </c>
      <c r="CD19" s="312">
        <v>375</v>
      </c>
      <c r="CE19" s="312">
        <v>30</v>
      </c>
      <c r="CF19" s="312">
        <v>30</v>
      </c>
      <c r="CG19" s="312">
        <v>175</v>
      </c>
      <c r="CH19" s="312">
        <v>91</v>
      </c>
      <c r="CI19" s="312">
        <v>407</v>
      </c>
      <c r="CJ19" s="312">
        <v>347</v>
      </c>
      <c r="CK19" s="313">
        <v>60</v>
      </c>
      <c r="CL19" s="314">
        <v>84</v>
      </c>
      <c r="CM19" s="367">
        <v>0</v>
      </c>
      <c r="CN19" s="314">
        <v>4</v>
      </c>
      <c r="CO19" s="314">
        <v>143</v>
      </c>
      <c r="CP19" s="367" t="s">
        <v>1247</v>
      </c>
      <c r="CQ19" s="314">
        <v>16</v>
      </c>
      <c r="CR19" s="316">
        <v>203</v>
      </c>
      <c r="CS19" s="317">
        <v>84</v>
      </c>
      <c r="CT19" s="368" t="s">
        <v>1247</v>
      </c>
      <c r="CU19" s="313">
        <v>4</v>
      </c>
      <c r="CV19" s="313">
        <v>143</v>
      </c>
      <c r="CW19" s="368">
        <v>0</v>
      </c>
      <c r="CX19" s="313">
        <v>16</v>
      </c>
      <c r="CY19" s="316">
        <v>203</v>
      </c>
      <c r="CZ19" s="320"/>
      <c r="DA19" s="368"/>
      <c r="DB19" s="321"/>
      <c r="DC19" s="321"/>
      <c r="DD19" s="368"/>
      <c r="DE19" s="321"/>
      <c r="DF19" s="321"/>
      <c r="DG19" s="320"/>
      <c r="DH19" s="368"/>
      <c r="DI19" s="321"/>
      <c r="DJ19" s="321"/>
      <c r="DK19" s="368"/>
      <c r="DL19" s="321"/>
      <c r="DM19" s="321"/>
      <c r="DN19" s="320"/>
      <c r="DO19" s="368"/>
      <c r="DP19" s="321"/>
      <c r="DQ19" s="321"/>
      <c r="DR19" s="368"/>
      <c r="DS19" s="321"/>
      <c r="DT19" s="323"/>
      <c r="DU19" s="92" t="s">
        <v>1528</v>
      </c>
    </row>
    <row r="20" spans="2:125" x14ac:dyDescent="0.3">
      <c r="B20" s="311" t="s">
        <v>1529</v>
      </c>
      <c r="D20" s="308" t="s">
        <v>9</v>
      </c>
      <c r="E20" s="308"/>
      <c r="F20" s="304" t="s">
        <v>9</v>
      </c>
      <c r="G20" s="308"/>
      <c r="H20" s="308"/>
      <c r="I20" s="308" t="s">
        <v>9</v>
      </c>
      <c r="J20" s="308" t="s">
        <v>9</v>
      </c>
      <c r="K20" s="308" t="s">
        <v>9</v>
      </c>
      <c r="L20" s="308" t="s">
        <v>9</v>
      </c>
      <c r="M20" s="308"/>
      <c r="N20" s="308"/>
      <c r="O20" s="308" t="s">
        <v>9</v>
      </c>
      <c r="P20" s="308"/>
      <c r="Q20" s="308"/>
      <c r="R20" s="308" t="s">
        <v>9</v>
      </c>
      <c r="S20" s="308"/>
      <c r="T20" s="308"/>
      <c r="U20" s="308" t="s">
        <v>9</v>
      </c>
      <c r="V20" s="308" t="s">
        <v>9</v>
      </c>
      <c r="W20" s="308"/>
      <c r="X20" s="308" t="s">
        <v>9</v>
      </c>
      <c r="Y20" s="308"/>
      <c r="AA20" s="308" t="s">
        <v>9</v>
      </c>
      <c r="AB20" s="308"/>
      <c r="AC20" s="308" t="s">
        <v>9</v>
      </c>
      <c r="AD20" s="308"/>
      <c r="AE20" s="308" t="s">
        <v>9</v>
      </c>
      <c r="AF20" s="308" t="s">
        <v>9</v>
      </c>
      <c r="AG20" s="308"/>
      <c r="AH20" s="308"/>
      <c r="AI20" s="308"/>
      <c r="AK20" s="236">
        <v>93</v>
      </c>
      <c r="AL20" t="s">
        <v>48</v>
      </c>
      <c r="AM20" s="237" t="s">
        <v>1522</v>
      </c>
      <c r="AX20" t="s">
        <v>9</v>
      </c>
      <c r="BW20" s="311">
        <v>275</v>
      </c>
      <c r="BX20" s="311">
        <v>53</v>
      </c>
      <c r="BY20" s="311">
        <v>60</v>
      </c>
      <c r="BZ20" s="312">
        <v>518</v>
      </c>
      <c r="CA20" s="312">
        <v>30</v>
      </c>
      <c r="CB20" s="312">
        <v>40</v>
      </c>
      <c r="CC20" s="312">
        <v>20</v>
      </c>
      <c r="CD20" s="312">
        <v>375</v>
      </c>
      <c r="CE20" s="312">
        <v>30</v>
      </c>
      <c r="CF20" s="312">
        <v>30</v>
      </c>
      <c r="CG20" s="312">
        <v>175</v>
      </c>
      <c r="CH20" s="312">
        <v>91</v>
      </c>
      <c r="CI20" s="312">
        <v>466</v>
      </c>
      <c r="CJ20" s="312">
        <v>306</v>
      </c>
      <c r="CK20" s="313">
        <v>160</v>
      </c>
      <c r="CL20" s="314">
        <v>84</v>
      </c>
      <c r="CM20" s="367">
        <v>0</v>
      </c>
      <c r="CN20" s="314">
        <v>4</v>
      </c>
      <c r="CO20" s="314">
        <v>84</v>
      </c>
      <c r="CP20" s="367" t="s">
        <v>1247</v>
      </c>
      <c r="CQ20" s="314">
        <v>16</v>
      </c>
      <c r="CR20" s="316">
        <v>244</v>
      </c>
      <c r="CS20" s="320"/>
      <c r="CT20" s="368"/>
      <c r="CU20" s="321"/>
      <c r="CV20" s="321"/>
      <c r="CW20" s="368"/>
      <c r="CX20" s="321"/>
      <c r="CY20" s="321"/>
      <c r="CZ20" s="320"/>
      <c r="DA20" s="368"/>
      <c r="DB20" s="321"/>
      <c r="DC20" s="321"/>
      <c r="DD20" s="368"/>
      <c r="DE20" s="321"/>
      <c r="DF20" s="321"/>
      <c r="DG20" s="320"/>
      <c r="DH20" s="368"/>
      <c r="DI20" s="321"/>
      <c r="DJ20" s="321"/>
      <c r="DK20" s="368"/>
      <c r="DL20" s="321"/>
      <c r="DM20" s="321"/>
      <c r="DN20" s="320"/>
      <c r="DO20" s="368"/>
      <c r="DP20" s="321"/>
      <c r="DQ20" s="321"/>
      <c r="DR20" s="368"/>
      <c r="DS20" s="321"/>
      <c r="DT20" s="323"/>
      <c r="DU20" s="92" t="s">
        <v>1529</v>
      </c>
    </row>
    <row r="21" spans="2:125" x14ac:dyDescent="0.3">
      <c r="B21" s="311" t="s">
        <v>1530</v>
      </c>
      <c r="D21" s="308" t="s">
        <v>9</v>
      </c>
      <c r="E21" s="308"/>
      <c r="F21" s="304" t="s">
        <v>9</v>
      </c>
      <c r="G21" s="308"/>
      <c r="H21" s="308"/>
      <c r="I21" s="308" t="s">
        <v>9</v>
      </c>
      <c r="J21" s="308" t="s">
        <v>9</v>
      </c>
      <c r="K21" s="308" t="s">
        <v>9</v>
      </c>
      <c r="L21" s="308" t="s">
        <v>9</v>
      </c>
      <c r="M21" s="308"/>
      <c r="N21" s="308"/>
      <c r="O21" s="308" t="s">
        <v>9</v>
      </c>
      <c r="P21" s="308"/>
      <c r="Q21" s="308"/>
      <c r="R21" s="308" t="s">
        <v>9</v>
      </c>
      <c r="S21" s="308"/>
      <c r="T21" s="308"/>
      <c r="U21" s="308" t="s">
        <v>9</v>
      </c>
      <c r="V21" s="308" t="s">
        <v>9</v>
      </c>
      <c r="W21" s="308"/>
      <c r="X21" s="308" t="s">
        <v>9</v>
      </c>
      <c r="Y21" s="308"/>
      <c r="AA21" s="308" t="s">
        <v>9</v>
      </c>
      <c r="AB21" s="308"/>
      <c r="AC21" s="308" t="s">
        <v>9</v>
      </c>
      <c r="AD21" s="308" t="s">
        <v>9</v>
      </c>
      <c r="AE21" s="308"/>
      <c r="AF21" s="308" t="s">
        <v>9</v>
      </c>
      <c r="AG21" s="308"/>
      <c r="AH21" s="308"/>
      <c r="AI21" s="308"/>
      <c r="AK21" s="236">
        <v>93</v>
      </c>
      <c r="AL21" t="s">
        <v>48</v>
      </c>
      <c r="AM21" s="237" t="s">
        <v>1522</v>
      </c>
      <c r="AY21" t="s">
        <v>9</v>
      </c>
      <c r="BW21" s="311">
        <v>275</v>
      </c>
      <c r="BX21" s="311">
        <v>53</v>
      </c>
      <c r="BY21" s="311">
        <v>60</v>
      </c>
      <c r="BZ21" s="312">
        <v>864</v>
      </c>
      <c r="CA21" s="312">
        <v>30</v>
      </c>
      <c r="CB21" s="312">
        <v>40</v>
      </c>
      <c r="CC21" s="312">
        <v>20</v>
      </c>
      <c r="CD21" s="312">
        <v>375</v>
      </c>
      <c r="CE21" s="312">
        <v>30</v>
      </c>
      <c r="CF21" s="312">
        <v>30</v>
      </c>
      <c r="CG21" s="312">
        <v>175</v>
      </c>
      <c r="CH21" s="312">
        <v>91</v>
      </c>
      <c r="CI21" s="312">
        <v>466</v>
      </c>
      <c r="CJ21" s="312">
        <v>260</v>
      </c>
      <c r="CK21" s="313">
        <v>206</v>
      </c>
      <c r="CL21" s="314">
        <v>84</v>
      </c>
      <c r="CM21" s="367">
        <v>0</v>
      </c>
      <c r="CN21" s="314">
        <v>4</v>
      </c>
      <c r="CO21" s="314">
        <v>84</v>
      </c>
      <c r="CP21" s="367" t="s">
        <v>1247</v>
      </c>
      <c r="CQ21" s="314">
        <v>16</v>
      </c>
      <c r="CR21" s="316">
        <v>290</v>
      </c>
      <c r="CS21" s="320"/>
      <c r="CT21" s="368"/>
      <c r="CU21" s="321"/>
      <c r="CV21" s="321"/>
      <c r="CW21" s="368"/>
      <c r="CX21" s="321"/>
      <c r="CY21" s="321"/>
      <c r="CZ21" s="320"/>
      <c r="DA21" s="368"/>
      <c r="DB21" s="321"/>
      <c r="DC21" s="321"/>
      <c r="DD21" s="368"/>
      <c r="DE21" s="321"/>
      <c r="DF21" s="321"/>
      <c r="DG21" s="320"/>
      <c r="DH21" s="368"/>
      <c r="DI21" s="321"/>
      <c r="DJ21" s="321"/>
      <c r="DK21" s="368"/>
      <c r="DL21" s="321"/>
      <c r="DM21" s="321"/>
      <c r="DN21" s="320"/>
      <c r="DO21" s="368"/>
      <c r="DP21" s="321"/>
      <c r="DQ21" s="321"/>
      <c r="DR21" s="368"/>
      <c r="DS21" s="321"/>
      <c r="DT21" s="323"/>
      <c r="DU21" s="92" t="s">
        <v>1530</v>
      </c>
    </row>
    <row r="22" spans="2:125" x14ac:dyDescent="0.3">
      <c r="B22" s="311" t="s">
        <v>1531</v>
      </c>
      <c r="D22" s="308"/>
      <c r="E22" s="308" t="s">
        <v>9</v>
      </c>
      <c r="F22" s="304" t="s">
        <v>9</v>
      </c>
      <c r="G22" s="308"/>
      <c r="H22" s="308"/>
      <c r="I22" s="308" t="s">
        <v>9</v>
      </c>
      <c r="J22" s="308" t="s">
        <v>9</v>
      </c>
      <c r="K22" s="308" t="s">
        <v>9</v>
      </c>
      <c r="L22" s="308" t="s">
        <v>9</v>
      </c>
      <c r="M22" s="308"/>
      <c r="N22" s="308"/>
      <c r="O22" s="308" t="s">
        <v>9</v>
      </c>
      <c r="P22" s="308"/>
      <c r="Q22" s="308"/>
      <c r="R22" s="308" t="s">
        <v>9</v>
      </c>
      <c r="S22" s="308"/>
      <c r="T22" s="308"/>
      <c r="U22" s="308" t="s">
        <v>9</v>
      </c>
      <c r="V22" s="308" t="s">
        <v>9</v>
      </c>
      <c r="W22" s="308" t="s">
        <v>9</v>
      </c>
      <c r="X22" s="308" t="s">
        <v>9</v>
      </c>
      <c r="Y22" s="308"/>
      <c r="AA22" s="308" t="s">
        <v>9</v>
      </c>
      <c r="AB22" s="308"/>
      <c r="AC22" s="308"/>
      <c r="AD22" s="308"/>
      <c r="AE22" s="308"/>
      <c r="AF22" s="308" t="s">
        <v>9</v>
      </c>
      <c r="AG22" s="308"/>
      <c r="AH22" s="308"/>
      <c r="AI22" s="308"/>
      <c r="AK22" s="236">
        <v>93</v>
      </c>
      <c r="AL22" t="s">
        <v>48</v>
      </c>
      <c r="AM22" s="237" t="s">
        <v>1522</v>
      </c>
      <c r="AZ22" t="s">
        <v>9</v>
      </c>
      <c r="BW22" s="311">
        <v>275</v>
      </c>
      <c r="BX22" s="311">
        <v>53</v>
      </c>
      <c r="BY22" s="311">
        <v>60</v>
      </c>
      <c r="BZ22" s="312" t="s">
        <v>1247</v>
      </c>
      <c r="CA22" s="312">
        <v>30</v>
      </c>
      <c r="CB22" s="312">
        <v>34</v>
      </c>
      <c r="CC22" s="312">
        <v>17</v>
      </c>
      <c r="CD22" s="312">
        <v>375</v>
      </c>
      <c r="CE22" s="312">
        <v>30</v>
      </c>
      <c r="CF22" s="312">
        <v>30</v>
      </c>
      <c r="CG22" s="312">
        <v>175</v>
      </c>
      <c r="CH22" s="312">
        <v>91</v>
      </c>
      <c r="CI22" s="312">
        <v>466</v>
      </c>
      <c r="CJ22" s="312">
        <v>415</v>
      </c>
      <c r="CK22" s="313">
        <v>51</v>
      </c>
      <c r="CL22" s="316">
        <v>84</v>
      </c>
      <c r="CM22" s="367">
        <v>0</v>
      </c>
      <c r="CN22" s="316">
        <v>4</v>
      </c>
      <c r="CO22" s="316">
        <v>84</v>
      </c>
      <c r="CP22" s="367" t="s">
        <v>1247</v>
      </c>
      <c r="CQ22" s="316">
        <v>13</v>
      </c>
      <c r="CR22" s="316">
        <v>135</v>
      </c>
      <c r="CS22" s="320"/>
      <c r="CT22" s="368"/>
      <c r="CU22" s="321"/>
      <c r="CV22" s="321"/>
      <c r="CW22" s="368"/>
      <c r="CX22" s="321"/>
      <c r="CY22" s="321"/>
      <c r="CZ22" s="320"/>
      <c r="DA22" s="368"/>
      <c r="DB22" s="321"/>
      <c r="DC22" s="321"/>
      <c r="DD22" s="368"/>
      <c r="DE22" s="321"/>
      <c r="DF22" s="321"/>
      <c r="DG22" s="320"/>
      <c r="DH22" s="368"/>
      <c r="DI22" s="321"/>
      <c r="DJ22" s="321"/>
      <c r="DK22" s="368"/>
      <c r="DL22" s="321"/>
      <c r="DM22" s="321"/>
      <c r="DN22" s="320"/>
      <c r="DO22" s="368"/>
      <c r="DP22" s="321"/>
      <c r="DQ22" s="321"/>
      <c r="DR22" s="368"/>
      <c r="DS22" s="321"/>
      <c r="DT22" s="323"/>
      <c r="DU22" s="92" t="s">
        <v>1531</v>
      </c>
    </row>
    <row r="23" spans="2:125" x14ac:dyDescent="0.3">
      <c r="B23" s="311" t="s">
        <v>1532</v>
      </c>
      <c r="D23" s="308"/>
      <c r="E23" s="308" t="s">
        <v>9</v>
      </c>
      <c r="F23" s="304" t="s">
        <v>9</v>
      </c>
      <c r="G23" s="308"/>
      <c r="H23" s="308"/>
      <c r="I23" s="308" t="s">
        <v>9</v>
      </c>
      <c r="J23" s="308" t="s">
        <v>9</v>
      </c>
      <c r="K23" s="308" t="s">
        <v>9</v>
      </c>
      <c r="L23" s="308" t="s">
        <v>9</v>
      </c>
      <c r="M23" s="308"/>
      <c r="N23" s="308"/>
      <c r="O23" s="308" t="s">
        <v>9</v>
      </c>
      <c r="P23" s="308"/>
      <c r="Q23" s="308"/>
      <c r="R23" s="308" t="s">
        <v>9</v>
      </c>
      <c r="S23" s="308"/>
      <c r="T23" s="308"/>
      <c r="U23" s="308"/>
      <c r="V23" s="308" t="s">
        <v>9</v>
      </c>
      <c r="W23" s="308" t="s">
        <v>9</v>
      </c>
      <c r="X23" s="308" t="s">
        <v>9</v>
      </c>
      <c r="Y23" s="308"/>
      <c r="AA23" s="308" t="s">
        <v>9</v>
      </c>
      <c r="AB23" s="308"/>
      <c r="AC23" s="308"/>
      <c r="AD23" s="308"/>
      <c r="AE23" s="308"/>
      <c r="AF23" s="308" t="s">
        <v>9</v>
      </c>
      <c r="AG23" s="308"/>
      <c r="AH23" s="308"/>
      <c r="AI23" s="308"/>
      <c r="AK23" s="236">
        <v>93</v>
      </c>
      <c r="AL23" t="s">
        <v>48</v>
      </c>
      <c r="AM23" s="237" t="s">
        <v>1522</v>
      </c>
      <c r="BA23" t="s">
        <v>9</v>
      </c>
      <c r="BW23" s="311">
        <v>275</v>
      </c>
      <c r="BX23" s="311">
        <v>53</v>
      </c>
      <c r="BY23" s="311">
        <v>60</v>
      </c>
      <c r="BZ23" s="312" t="s">
        <v>1247</v>
      </c>
      <c r="CA23" s="312">
        <v>30</v>
      </c>
      <c r="CB23" s="312">
        <v>34</v>
      </c>
      <c r="CC23" s="312">
        <v>17</v>
      </c>
      <c r="CD23" s="312">
        <v>375</v>
      </c>
      <c r="CE23" s="312">
        <v>30</v>
      </c>
      <c r="CF23" s="312">
        <v>30</v>
      </c>
      <c r="CG23" s="312">
        <v>175</v>
      </c>
      <c r="CH23" s="312">
        <v>91</v>
      </c>
      <c r="CI23" s="312">
        <v>466</v>
      </c>
      <c r="CJ23" s="312">
        <v>415</v>
      </c>
      <c r="CK23" s="313">
        <v>51</v>
      </c>
      <c r="CL23" s="316">
        <v>84</v>
      </c>
      <c r="CM23" s="367">
        <v>0</v>
      </c>
      <c r="CN23" s="316">
        <v>4</v>
      </c>
      <c r="CO23" s="316">
        <v>84</v>
      </c>
      <c r="CP23" s="367" t="s">
        <v>1247</v>
      </c>
      <c r="CQ23" s="316">
        <v>13</v>
      </c>
      <c r="CR23" s="316">
        <v>135</v>
      </c>
      <c r="CS23" s="320"/>
      <c r="CT23" s="368"/>
      <c r="CU23" s="321"/>
      <c r="CV23" s="321"/>
      <c r="CW23" s="368"/>
      <c r="CX23" s="321"/>
      <c r="CY23" s="321"/>
      <c r="CZ23" s="320"/>
      <c r="DA23" s="368"/>
      <c r="DB23" s="321"/>
      <c r="DC23" s="321"/>
      <c r="DD23" s="368"/>
      <c r="DE23" s="321"/>
      <c r="DF23" s="321"/>
      <c r="DG23" s="320"/>
      <c r="DH23" s="368"/>
      <c r="DI23" s="321"/>
      <c r="DJ23" s="321"/>
      <c r="DK23" s="368"/>
      <c r="DL23" s="321"/>
      <c r="DM23" s="321"/>
      <c r="DN23" s="320"/>
      <c r="DO23" s="368"/>
      <c r="DP23" s="321"/>
      <c r="DQ23" s="321"/>
      <c r="DR23" s="368"/>
      <c r="DS23" s="321"/>
      <c r="DT23" s="323"/>
      <c r="DU23" s="92" t="s">
        <v>1532</v>
      </c>
    </row>
    <row r="24" spans="2:125" x14ac:dyDescent="0.3">
      <c r="B24" s="311" t="s">
        <v>1533</v>
      </c>
      <c r="D24" s="308"/>
      <c r="E24" s="308" t="s">
        <v>9</v>
      </c>
      <c r="F24" s="304" t="s">
        <v>9</v>
      </c>
      <c r="G24" s="308"/>
      <c r="H24" s="308"/>
      <c r="I24" s="308" t="s">
        <v>9</v>
      </c>
      <c r="J24" s="308" t="s">
        <v>9</v>
      </c>
      <c r="K24" s="308" t="s">
        <v>9</v>
      </c>
      <c r="L24" s="308" t="s">
        <v>9</v>
      </c>
      <c r="M24" s="308"/>
      <c r="N24" s="308"/>
      <c r="O24" s="308" t="s">
        <v>9</v>
      </c>
      <c r="P24" s="308"/>
      <c r="Q24" s="308"/>
      <c r="R24" s="308" t="s">
        <v>9</v>
      </c>
      <c r="S24" s="308"/>
      <c r="T24" s="308"/>
      <c r="U24" s="308" t="s">
        <v>9</v>
      </c>
      <c r="V24" s="308" t="s">
        <v>9</v>
      </c>
      <c r="W24" s="308" t="s">
        <v>9</v>
      </c>
      <c r="X24" s="308" t="s">
        <v>9</v>
      </c>
      <c r="Y24" s="308"/>
      <c r="AA24" s="308" t="s">
        <v>9</v>
      </c>
      <c r="AB24" s="308"/>
      <c r="AC24" s="308" t="s">
        <v>9</v>
      </c>
      <c r="AD24" s="308"/>
      <c r="AE24" s="308" t="s">
        <v>9</v>
      </c>
      <c r="AF24" s="308" t="s">
        <v>9</v>
      </c>
      <c r="AG24" s="308"/>
      <c r="AH24" s="308"/>
      <c r="AI24" s="308"/>
      <c r="AK24" s="236">
        <v>93</v>
      </c>
      <c r="AL24" t="s">
        <v>48</v>
      </c>
      <c r="AM24" s="237" t="s">
        <v>1522</v>
      </c>
      <c r="BB24" t="s">
        <v>9</v>
      </c>
      <c r="BW24" s="311">
        <v>275</v>
      </c>
      <c r="BX24" s="311">
        <v>53</v>
      </c>
      <c r="BY24" s="311">
        <v>60</v>
      </c>
      <c r="BZ24" s="312" t="s">
        <v>1247</v>
      </c>
      <c r="CA24" s="312">
        <v>30</v>
      </c>
      <c r="CB24" s="312">
        <v>55</v>
      </c>
      <c r="CC24" s="312">
        <v>28</v>
      </c>
      <c r="CD24" s="312">
        <v>375</v>
      </c>
      <c r="CE24" s="312">
        <v>30</v>
      </c>
      <c r="CF24" s="312">
        <v>30</v>
      </c>
      <c r="CG24" s="312">
        <v>175</v>
      </c>
      <c r="CH24" s="312">
        <v>91</v>
      </c>
      <c r="CI24" s="312">
        <v>466</v>
      </c>
      <c r="CJ24" s="312">
        <v>302</v>
      </c>
      <c r="CK24" s="313">
        <v>164</v>
      </c>
      <c r="CL24" s="316">
        <v>84</v>
      </c>
      <c r="CM24" s="367">
        <v>0</v>
      </c>
      <c r="CN24" s="316">
        <v>4</v>
      </c>
      <c r="CO24" s="316">
        <v>84</v>
      </c>
      <c r="CP24" s="367" t="s">
        <v>1247</v>
      </c>
      <c r="CQ24" s="316">
        <v>13</v>
      </c>
      <c r="CR24" s="316">
        <v>248</v>
      </c>
      <c r="CS24" s="320"/>
      <c r="CT24" s="368"/>
      <c r="CU24" s="321"/>
      <c r="CV24" s="321"/>
      <c r="CW24" s="368"/>
      <c r="CX24" s="321"/>
      <c r="CY24" s="321"/>
      <c r="CZ24" s="320"/>
      <c r="DA24" s="368"/>
      <c r="DB24" s="321"/>
      <c r="DC24" s="321"/>
      <c r="DD24" s="368"/>
      <c r="DE24" s="321"/>
      <c r="DF24" s="321"/>
      <c r="DG24" s="320"/>
      <c r="DH24" s="368"/>
      <c r="DI24" s="321"/>
      <c r="DJ24" s="321"/>
      <c r="DK24" s="368"/>
      <c r="DL24" s="321"/>
      <c r="DM24" s="321"/>
      <c r="DN24" s="320"/>
      <c r="DO24" s="368"/>
      <c r="DP24" s="321"/>
      <c r="DQ24" s="321"/>
      <c r="DR24" s="368"/>
      <c r="DS24" s="321"/>
      <c r="DT24" s="323"/>
      <c r="DU24" s="92" t="s">
        <v>1533</v>
      </c>
    </row>
    <row r="25" spans="2:125" x14ac:dyDescent="0.3">
      <c r="B25" s="311" t="s">
        <v>1534</v>
      </c>
      <c r="D25" s="308"/>
      <c r="E25" s="308" t="s">
        <v>9</v>
      </c>
      <c r="F25" s="304" t="s">
        <v>9</v>
      </c>
      <c r="G25" s="308"/>
      <c r="H25" s="308"/>
      <c r="I25" s="308" t="s">
        <v>9</v>
      </c>
      <c r="J25" s="308" t="s">
        <v>9</v>
      </c>
      <c r="K25" s="308" t="s">
        <v>9</v>
      </c>
      <c r="L25" s="308" t="s">
        <v>9</v>
      </c>
      <c r="M25" s="308"/>
      <c r="N25" s="308"/>
      <c r="O25" s="308" t="s">
        <v>9</v>
      </c>
      <c r="P25" s="308"/>
      <c r="Q25" s="308"/>
      <c r="R25" s="308" t="s">
        <v>9</v>
      </c>
      <c r="S25" s="308"/>
      <c r="T25" s="308"/>
      <c r="U25" s="308" t="s">
        <v>9</v>
      </c>
      <c r="V25" s="308" t="s">
        <v>9</v>
      </c>
      <c r="W25" s="308" t="s">
        <v>9</v>
      </c>
      <c r="X25" s="308" t="s">
        <v>9</v>
      </c>
      <c r="Y25" s="308"/>
      <c r="AA25" s="308" t="s">
        <v>9</v>
      </c>
      <c r="AB25" s="308"/>
      <c r="AC25" s="308" t="s">
        <v>9</v>
      </c>
      <c r="AD25" s="308"/>
      <c r="AE25" s="308" t="s">
        <v>9</v>
      </c>
      <c r="AF25" s="308" t="s">
        <v>9</v>
      </c>
      <c r="AG25" s="308"/>
      <c r="AH25" s="308"/>
      <c r="AI25" s="308"/>
      <c r="AK25" s="236">
        <v>93</v>
      </c>
      <c r="AL25" t="s">
        <v>48</v>
      </c>
      <c r="AM25" s="237" t="s">
        <v>1522</v>
      </c>
      <c r="BC25" t="s">
        <v>9</v>
      </c>
      <c r="BW25" s="311">
        <v>275</v>
      </c>
      <c r="BX25" s="311">
        <v>53</v>
      </c>
      <c r="BY25" s="311">
        <v>60</v>
      </c>
      <c r="BZ25" s="312" t="s">
        <v>1247</v>
      </c>
      <c r="CA25" s="312">
        <v>30</v>
      </c>
      <c r="CB25" s="312">
        <v>55</v>
      </c>
      <c r="CC25" s="312">
        <v>28</v>
      </c>
      <c r="CD25" s="312">
        <v>375</v>
      </c>
      <c r="CE25" s="312">
        <v>30</v>
      </c>
      <c r="CF25" s="312">
        <v>30</v>
      </c>
      <c r="CG25" s="312">
        <v>175</v>
      </c>
      <c r="CH25" s="312">
        <v>91</v>
      </c>
      <c r="CI25" s="312">
        <v>466</v>
      </c>
      <c r="CJ25" s="312">
        <v>302</v>
      </c>
      <c r="CK25" s="313">
        <v>164</v>
      </c>
      <c r="CL25" s="316">
        <v>84</v>
      </c>
      <c r="CM25" s="367">
        <v>0</v>
      </c>
      <c r="CN25" s="316">
        <v>4</v>
      </c>
      <c r="CO25" s="316">
        <v>84</v>
      </c>
      <c r="CP25" s="367" t="s">
        <v>1247</v>
      </c>
      <c r="CQ25" s="316">
        <v>13</v>
      </c>
      <c r="CR25" s="316">
        <v>248</v>
      </c>
      <c r="CS25" s="320"/>
      <c r="CT25" s="368"/>
      <c r="CU25" s="321"/>
      <c r="CV25" s="321"/>
      <c r="CW25" s="368"/>
      <c r="CX25" s="321"/>
      <c r="CY25" s="321"/>
      <c r="CZ25" s="320"/>
      <c r="DA25" s="368"/>
      <c r="DB25" s="321"/>
      <c r="DC25" s="321"/>
      <c r="DD25" s="368"/>
      <c r="DE25" s="321"/>
      <c r="DF25" s="321"/>
      <c r="DG25" s="320"/>
      <c r="DH25" s="368"/>
      <c r="DI25" s="321"/>
      <c r="DJ25" s="321"/>
      <c r="DK25" s="368"/>
      <c r="DL25" s="321"/>
      <c r="DM25" s="321"/>
      <c r="DN25" s="320"/>
      <c r="DO25" s="368"/>
      <c r="DP25" s="321"/>
      <c r="DQ25" s="321"/>
      <c r="DR25" s="368"/>
      <c r="DS25" s="321"/>
      <c r="DT25" s="323"/>
      <c r="DU25" s="92" t="s">
        <v>1534</v>
      </c>
    </row>
    <row r="26" spans="2:125" x14ac:dyDescent="0.3">
      <c r="B26" s="311" t="s">
        <v>1535</v>
      </c>
      <c r="D26" s="308"/>
      <c r="E26" s="308" t="s">
        <v>9</v>
      </c>
      <c r="F26" s="304" t="s">
        <v>9</v>
      </c>
      <c r="G26" s="308"/>
      <c r="H26" s="308"/>
      <c r="I26" s="308" t="s">
        <v>9</v>
      </c>
      <c r="J26" s="308" t="s">
        <v>9</v>
      </c>
      <c r="K26" s="308" t="s">
        <v>9</v>
      </c>
      <c r="L26" s="308" t="s">
        <v>9</v>
      </c>
      <c r="M26" s="308"/>
      <c r="N26" s="308"/>
      <c r="O26" s="308" t="s">
        <v>9</v>
      </c>
      <c r="P26" s="308"/>
      <c r="Q26" s="308"/>
      <c r="R26" s="308" t="s">
        <v>9</v>
      </c>
      <c r="S26" s="308"/>
      <c r="T26" s="308"/>
      <c r="U26" s="308" t="s">
        <v>9</v>
      </c>
      <c r="V26" s="308" t="s">
        <v>9</v>
      </c>
      <c r="W26" s="308" t="s">
        <v>9</v>
      </c>
      <c r="X26" s="308" t="s">
        <v>9</v>
      </c>
      <c r="Y26" s="308"/>
      <c r="AA26" s="308" t="s">
        <v>9</v>
      </c>
      <c r="AB26" s="308"/>
      <c r="AC26" s="308" t="s">
        <v>9</v>
      </c>
      <c r="AD26" s="308"/>
      <c r="AE26" s="308" t="s">
        <v>9</v>
      </c>
      <c r="AF26" s="308" t="s">
        <v>9</v>
      </c>
      <c r="AG26" s="308"/>
      <c r="AH26" s="308"/>
      <c r="AI26" s="308"/>
      <c r="AK26" s="236">
        <v>93</v>
      </c>
      <c r="AL26" t="s">
        <v>48</v>
      </c>
      <c r="AM26" s="237" t="s">
        <v>1522</v>
      </c>
      <c r="BD26" t="s">
        <v>9</v>
      </c>
      <c r="BW26" s="311">
        <v>275</v>
      </c>
      <c r="BX26" s="311">
        <v>53</v>
      </c>
      <c r="BY26" s="311">
        <v>60</v>
      </c>
      <c r="BZ26" s="312" t="s">
        <v>1247</v>
      </c>
      <c r="CA26" s="312">
        <v>30</v>
      </c>
      <c r="CB26" s="312">
        <v>55</v>
      </c>
      <c r="CC26" s="312">
        <v>28</v>
      </c>
      <c r="CD26" s="312">
        <v>375</v>
      </c>
      <c r="CE26" s="312">
        <v>30</v>
      </c>
      <c r="CF26" s="312">
        <v>30</v>
      </c>
      <c r="CG26" s="312">
        <v>175</v>
      </c>
      <c r="CH26" s="312">
        <v>91</v>
      </c>
      <c r="CI26" s="312">
        <v>466</v>
      </c>
      <c r="CJ26" s="312">
        <v>302</v>
      </c>
      <c r="CK26" s="313">
        <v>164</v>
      </c>
      <c r="CL26" s="316">
        <v>84</v>
      </c>
      <c r="CM26" s="367">
        <v>0</v>
      </c>
      <c r="CN26" s="316">
        <v>4</v>
      </c>
      <c r="CO26" s="316">
        <v>84</v>
      </c>
      <c r="CP26" s="367" t="s">
        <v>1247</v>
      </c>
      <c r="CQ26" s="316">
        <v>13</v>
      </c>
      <c r="CR26" s="316">
        <v>248</v>
      </c>
      <c r="CS26" s="320"/>
      <c r="CT26" s="368"/>
      <c r="CU26" s="321"/>
      <c r="CV26" s="321"/>
      <c r="CW26" s="368"/>
      <c r="CX26" s="321"/>
      <c r="CY26" s="321"/>
      <c r="CZ26" s="320"/>
      <c r="DA26" s="368"/>
      <c r="DB26" s="321"/>
      <c r="DC26" s="321"/>
      <c r="DD26" s="368"/>
      <c r="DE26" s="321"/>
      <c r="DF26" s="321"/>
      <c r="DG26" s="320"/>
      <c r="DH26" s="368"/>
      <c r="DI26" s="321"/>
      <c r="DJ26" s="321"/>
      <c r="DK26" s="368"/>
      <c r="DL26" s="321"/>
      <c r="DM26" s="321"/>
      <c r="DN26" s="320"/>
      <c r="DO26" s="368"/>
      <c r="DP26" s="321"/>
      <c r="DQ26" s="321"/>
      <c r="DR26" s="368"/>
      <c r="DS26" s="321"/>
      <c r="DT26" s="323"/>
      <c r="DU26" s="92" t="s">
        <v>1535</v>
      </c>
    </row>
    <row r="27" spans="2:125" x14ac:dyDescent="0.3">
      <c r="B27" s="311" t="s">
        <v>1536</v>
      </c>
      <c r="D27" s="308"/>
      <c r="E27" s="308" t="s">
        <v>9</v>
      </c>
      <c r="F27" s="304" t="s">
        <v>9</v>
      </c>
      <c r="G27" s="308"/>
      <c r="H27" s="308"/>
      <c r="I27" s="308" t="s">
        <v>9</v>
      </c>
      <c r="J27" s="308" t="s">
        <v>9</v>
      </c>
      <c r="K27" s="308" t="s">
        <v>9</v>
      </c>
      <c r="L27" s="308" t="s">
        <v>9</v>
      </c>
      <c r="M27" s="308"/>
      <c r="N27" s="308"/>
      <c r="O27" s="308" t="s">
        <v>9</v>
      </c>
      <c r="P27" s="308"/>
      <c r="Q27" s="308"/>
      <c r="R27" s="308" t="s">
        <v>9</v>
      </c>
      <c r="S27" s="308"/>
      <c r="T27" s="308"/>
      <c r="U27" s="308" t="s">
        <v>9</v>
      </c>
      <c r="V27" s="308" t="s">
        <v>9</v>
      </c>
      <c r="W27" s="308" t="s">
        <v>9</v>
      </c>
      <c r="X27" s="308" t="s">
        <v>9</v>
      </c>
      <c r="Y27" s="308"/>
      <c r="AA27" s="308" t="s">
        <v>9</v>
      </c>
      <c r="AB27" s="308"/>
      <c r="AC27" s="308" t="s">
        <v>9</v>
      </c>
      <c r="AD27" s="308" t="s">
        <v>9</v>
      </c>
      <c r="AE27" s="308"/>
      <c r="AF27" s="308" t="s">
        <v>9</v>
      </c>
      <c r="AG27" s="308"/>
      <c r="AH27" s="308"/>
      <c r="AI27" s="308"/>
      <c r="AK27" s="236">
        <v>93</v>
      </c>
      <c r="AL27" t="s">
        <v>48</v>
      </c>
      <c r="AM27" s="237" t="s">
        <v>1522</v>
      </c>
      <c r="BE27" t="s">
        <v>9</v>
      </c>
      <c r="BW27" s="311">
        <v>275</v>
      </c>
      <c r="BX27" s="311">
        <v>53</v>
      </c>
      <c r="BY27" s="311">
        <v>60</v>
      </c>
      <c r="BZ27" s="312" t="s">
        <v>1247</v>
      </c>
      <c r="CA27" s="312">
        <v>30</v>
      </c>
      <c r="CB27" s="312">
        <v>55</v>
      </c>
      <c r="CC27" s="312">
        <v>28</v>
      </c>
      <c r="CD27" s="312">
        <v>375</v>
      </c>
      <c r="CE27" s="312">
        <v>30</v>
      </c>
      <c r="CF27" s="312">
        <v>30</v>
      </c>
      <c r="CG27" s="312">
        <v>175</v>
      </c>
      <c r="CH27" s="312">
        <v>91</v>
      </c>
      <c r="CI27" s="312">
        <v>466</v>
      </c>
      <c r="CJ27" s="312">
        <v>302</v>
      </c>
      <c r="CK27" s="313">
        <v>164</v>
      </c>
      <c r="CL27" s="316">
        <v>84</v>
      </c>
      <c r="CM27" s="367">
        <v>0</v>
      </c>
      <c r="CN27" s="316">
        <v>4</v>
      </c>
      <c r="CO27" s="316">
        <v>84</v>
      </c>
      <c r="CP27" s="367" t="s">
        <v>1247</v>
      </c>
      <c r="CQ27" s="316">
        <v>13</v>
      </c>
      <c r="CR27" s="316">
        <v>248</v>
      </c>
      <c r="CS27" s="320"/>
      <c r="CT27" s="368"/>
      <c r="CU27" s="321"/>
      <c r="CV27" s="321"/>
      <c r="CW27" s="368"/>
      <c r="CX27" s="321"/>
      <c r="CY27" s="321"/>
      <c r="CZ27" s="320"/>
      <c r="DA27" s="368"/>
      <c r="DB27" s="321"/>
      <c r="DC27" s="321"/>
      <c r="DD27" s="368"/>
      <c r="DE27" s="321"/>
      <c r="DF27" s="321"/>
      <c r="DG27" s="320"/>
      <c r="DH27" s="368"/>
      <c r="DI27" s="321"/>
      <c r="DJ27" s="321"/>
      <c r="DK27" s="368"/>
      <c r="DL27" s="321"/>
      <c r="DM27" s="321"/>
      <c r="DN27" s="320"/>
      <c r="DO27" s="368"/>
      <c r="DP27" s="321"/>
      <c r="DQ27" s="321"/>
      <c r="DR27" s="368"/>
      <c r="DS27" s="321"/>
      <c r="DT27" s="323"/>
      <c r="DU27" s="92" t="s">
        <v>1536</v>
      </c>
    </row>
    <row r="28" spans="2:125" x14ac:dyDescent="0.3">
      <c r="B28" s="311" t="s">
        <v>1537</v>
      </c>
      <c r="D28" s="308"/>
      <c r="E28" s="308" t="s">
        <v>9</v>
      </c>
      <c r="F28" s="304" t="s">
        <v>9</v>
      </c>
      <c r="G28" s="308"/>
      <c r="H28" s="308"/>
      <c r="I28" s="308" t="s">
        <v>9</v>
      </c>
      <c r="J28" s="308" t="s">
        <v>9</v>
      </c>
      <c r="K28" s="308" t="s">
        <v>9</v>
      </c>
      <c r="L28" s="308" t="s">
        <v>9</v>
      </c>
      <c r="M28" s="308"/>
      <c r="N28" s="308"/>
      <c r="O28" s="308" t="s">
        <v>9</v>
      </c>
      <c r="P28" s="308"/>
      <c r="Q28" s="308"/>
      <c r="R28" s="308" t="s">
        <v>9</v>
      </c>
      <c r="S28" s="308"/>
      <c r="T28" s="308"/>
      <c r="U28" s="308" t="s">
        <v>9</v>
      </c>
      <c r="V28" s="308" t="s">
        <v>9</v>
      </c>
      <c r="W28" s="308" t="s">
        <v>9</v>
      </c>
      <c r="X28" s="308" t="s">
        <v>9</v>
      </c>
      <c r="Y28" s="308"/>
      <c r="AA28" s="308" t="s">
        <v>9</v>
      </c>
      <c r="AB28" s="308"/>
      <c r="AC28" s="308" t="s">
        <v>9</v>
      </c>
      <c r="AD28" s="308" t="s">
        <v>9</v>
      </c>
      <c r="AE28" s="308"/>
      <c r="AF28" s="308" t="s">
        <v>9</v>
      </c>
      <c r="AG28" s="308"/>
      <c r="AH28" s="308"/>
      <c r="AI28" s="308"/>
      <c r="AK28" s="236">
        <v>93</v>
      </c>
      <c r="AL28" t="s">
        <v>48</v>
      </c>
      <c r="AM28" s="237" t="s">
        <v>1522</v>
      </c>
      <c r="BF28" t="s">
        <v>9</v>
      </c>
      <c r="BW28" s="311">
        <v>275</v>
      </c>
      <c r="BX28" s="311">
        <v>53</v>
      </c>
      <c r="BY28" s="311">
        <v>60</v>
      </c>
      <c r="BZ28" s="312" t="s">
        <v>1247</v>
      </c>
      <c r="CA28" s="312">
        <v>30</v>
      </c>
      <c r="CB28" s="312">
        <v>55</v>
      </c>
      <c r="CC28" s="312">
        <v>28</v>
      </c>
      <c r="CD28" s="312">
        <v>375</v>
      </c>
      <c r="CE28" s="312">
        <v>30</v>
      </c>
      <c r="CF28" s="312">
        <v>30</v>
      </c>
      <c r="CG28" s="312">
        <v>175</v>
      </c>
      <c r="CH28" s="312">
        <v>91</v>
      </c>
      <c r="CI28" s="312">
        <v>466</v>
      </c>
      <c r="CJ28" s="312">
        <v>302</v>
      </c>
      <c r="CK28" s="313">
        <v>164</v>
      </c>
      <c r="CL28" s="316">
        <v>84</v>
      </c>
      <c r="CM28" s="367">
        <v>0</v>
      </c>
      <c r="CN28" s="316">
        <v>4</v>
      </c>
      <c r="CO28" s="316">
        <v>84</v>
      </c>
      <c r="CP28" s="367" t="s">
        <v>1247</v>
      </c>
      <c r="CQ28" s="316">
        <v>13</v>
      </c>
      <c r="CR28" s="316">
        <v>248</v>
      </c>
      <c r="CS28" s="320"/>
      <c r="CT28" s="368"/>
      <c r="CU28" s="321"/>
      <c r="CV28" s="321"/>
      <c r="CW28" s="368"/>
      <c r="CX28" s="321"/>
      <c r="CY28" s="321"/>
      <c r="CZ28" s="320"/>
      <c r="DA28" s="368"/>
      <c r="DB28" s="321"/>
      <c r="DC28" s="321"/>
      <c r="DD28" s="368"/>
      <c r="DE28" s="321"/>
      <c r="DF28" s="321"/>
      <c r="DG28" s="320"/>
      <c r="DH28" s="368"/>
      <c r="DI28" s="321"/>
      <c r="DJ28" s="321"/>
      <c r="DK28" s="368"/>
      <c r="DL28" s="321"/>
      <c r="DM28" s="321"/>
      <c r="DN28" s="320"/>
      <c r="DO28" s="368"/>
      <c r="DP28" s="321"/>
      <c r="DQ28" s="321"/>
      <c r="DR28" s="368"/>
      <c r="DS28" s="321"/>
      <c r="DT28" s="323"/>
      <c r="DU28" s="92" t="s">
        <v>1537</v>
      </c>
    </row>
    <row r="29" spans="2:125" x14ac:dyDescent="0.3">
      <c r="B29" s="311" t="s">
        <v>1538</v>
      </c>
      <c r="D29" s="308"/>
      <c r="E29" s="308" t="s">
        <v>9</v>
      </c>
      <c r="F29" s="304" t="s">
        <v>9</v>
      </c>
      <c r="G29" s="308"/>
      <c r="H29" s="308"/>
      <c r="I29" s="308" t="s">
        <v>9</v>
      </c>
      <c r="J29" s="308" t="s">
        <v>9</v>
      </c>
      <c r="K29" s="308" t="s">
        <v>9</v>
      </c>
      <c r="L29" s="308" t="s">
        <v>9</v>
      </c>
      <c r="M29" s="308"/>
      <c r="N29" s="308"/>
      <c r="O29" s="308" t="s">
        <v>9</v>
      </c>
      <c r="P29" s="308"/>
      <c r="Q29" s="308"/>
      <c r="R29" s="308" t="s">
        <v>9</v>
      </c>
      <c r="S29" s="308"/>
      <c r="T29" s="308"/>
      <c r="U29" s="308" t="s">
        <v>9</v>
      </c>
      <c r="V29" s="308" t="s">
        <v>9</v>
      </c>
      <c r="W29" s="308" t="s">
        <v>9</v>
      </c>
      <c r="X29" s="308" t="s">
        <v>9</v>
      </c>
      <c r="Y29" s="308"/>
      <c r="AA29" s="308" t="s">
        <v>9</v>
      </c>
      <c r="AB29" s="308"/>
      <c r="AC29" s="308" t="s">
        <v>9</v>
      </c>
      <c r="AD29" s="308" t="s">
        <v>9</v>
      </c>
      <c r="AE29" s="308"/>
      <c r="AF29" s="308" t="s">
        <v>9</v>
      </c>
      <c r="AG29" s="308"/>
      <c r="AH29" s="308"/>
      <c r="AI29" s="308"/>
      <c r="AK29" s="236">
        <v>93</v>
      </c>
      <c r="AL29" t="s">
        <v>48</v>
      </c>
      <c r="AM29" s="237" t="s">
        <v>1522</v>
      </c>
      <c r="BG29" t="s">
        <v>9</v>
      </c>
      <c r="BW29" s="311">
        <v>275</v>
      </c>
      <c r="BX29" s="311">
        <v>53</v>
      </c>
      <c r="BY29" s="311">
        <v>60</v>
      </c>
      <c r="BZ29" s="312" t="s">
        <v>1247</v>
      </c>
      <c r="CA29" s="312">
        <v>30</v>
      </c>
      <c r="CB29" s="312">
        <v>55</v>
      </c>
      <c r="CC29" s="312">
        <v>28</v>
      </c>
      <c r="CD29" s="312">
        <v>375</v>
      </c>
      <c r="CE29" s="312">
        <v>30</v>
      </c>
      <c r="CF29" s="312">
        <v>30</v>
      </c>
      <c r="CG29" s="312">
        <v>175</v>
      </c>
      <c r="CH29" s="312">
        <v>91</v>
      </c>
      <c r="CI29" s="312">
        <v>466</v>
      </c>
      <c r="CJ29" s="312">
        <v>302</v>
      </c>
      <c r="CK29" s="313">
        <v>164</v>
      </c>
      <c r="CL29" s="316">
        <v>84</v>
      </c>
      <c r="CM29" s="367">
        <v>0</v>
      </c>
      <c r="CN29" s="316">
        <v>4</v>
      </c>
      <c r="CO29" s="316">
        <v>84</v>
      </c>
      <c r="CP29" s="367" t="s">
        <v>1247</v>
      </c>
      <c r="CQ29" s="316">
        <v>13</v>
      </c>
      <c r="CR29" s="316">
        <v>248</v>
      </c>
      <c r="CS29" s="320"/>
      <c r="CT29" s="368"/>
      <c r="CU29" s="321"/>
      <c r="CV29" s="321"/>
      <c r="CW29" s="368"/>
      <c r="CX29" s="321"/>
      <c r="CY29" s="321"/>
      <c r="CZ29" s="320"/>
      <c r="DA29" s="368"/>
      <c r="DB29" s="321"/>
      <c r="DC29" s="321"/>
      <c r="DD29" s="368"/>
      <c r="DE29" s="321"/>
      <c r="DF29" s="321"/>
      <c r="DG29" s="320"/>
      <c r="DH29" s="368"/>
      <c r="DI29" s="321"/>
      <c r="DJ29" s="321"/>
      <c r="DK29" s="368"/>
      <c r="DL29" s="321"/>
      <c r="DM29" s="321"/>
      <c r="DN29" s="320"/>
      <c r="DO29" s="368"/>
      <c r="DP29" s="321"/>
      <c r="DQ29" s="321"/>
      <c r="DR29" s="368"/>
      <c r="DS29" s="321"/>
      <c r="DT29" s="323"/>
      <c r="DU29" s="92" t="s">
        <v>1538</v>
      </c>
    </row>
    <row r="30" spans="2:125" x14ac:dyDescent="0.3">
      <c r="B30" s="311" t="s">
        <v>1540</v>
      </c>
      <c r="D30" s="308" t="s">
        <v>9</v>
      </c>
      <c r="E30" s="308"/>
      <c r="F30" s="304" t="s">
        <v>9</v>
      </c>
      <c r="G30" s="308"/>
      <c r="H30" s="308"/>
      <c r="I30" s="308" t="s">
        <v>9</v>
      </c>
      <c r="J30" s="308" t="s">
        <v>9</v>
      </c>
      <c r="K30" s="308" t="s">
        <v>9</v>
      </c>
      <c r="L30" s="308" t="s">
        <v>9</v>
      </c>
      <c r="M30" s="308"/>
      <c r="N30" s="308"/>
      <c r="O30" s="308" t="s">
        <v>1539</v>
      </c>
      <c r="P30" s="308" t="s">
        <v>29</v>
      </c>
      <c r="Q30" s="308"/>
      <c r="R30" s="308" t="s">
        <v>29</v>
      </c>
      <c r="S30" s="308" t="s">
        <v>1539</v>
      </c>
      <c r="T30" s="308"/>
      <c r="U30" s="308" t="s">
        <v>9</v>
      </c>
      <c r="V30" s="308" t="s">
        <v>9</v>
      </c>
      <c r="W30" s="308"/>
      <c r="X30" s="308" t="s">
        <v>9</v>
      </c>
      <c r="Y30" s="308"/>
      <c r="AA30" s="308" t="s">
        <v>9</v>
      </c>
      <c r="AB30" s="308"/>
      <c r="AC30" s="308"/>
      <c r="AD30" s="308"/>
      <c r="AE30" s="308"/>
      <c r="AF30" s="308" t="s">
        <v>9</v>
      </c>
      <c r="AG30" s="308"/>
      <c r="AH30" s="308"/>
      <c r="AI30" s="308"/>
      <c r="AK30" s="236">
        <v>93</v>
      </c>
      <c r="AL30" t="s">
        <v>84</v>
      </c>
      <c r="AM30" s="237" t="s">
        <v>1522</v>
      </c>
      <c r="AV30" t="s">
        <v>9</v>
      </c>
      <c r="BW30" s="311">
        <v>275</v>
      </c>
      <c r="BX30" s="311">
        <v>53</v>
      </c>
      <c r="BY30" s="311">
        <v>60</v>
      </c>
      <c r="BZ30" s="312">
        <v>442</v>
      </c>
      <c r="CA30" s="312">
        <v>23</v>
      </c>
      <c r="CB30" s="312">
        <v>31</v>
      </c>
      <c r="CC30" s="312">
        <v>16</v>
      </c>
      <c r="CD30" s="312">
        <v>375</v>
      </c>
      <c r="CE30" s="312">
        <v>30</v>
      </c>
      <c r="CF30" s="312">
        <v>30</v>
      </c>
      <c r="CG30" s="312">
        <v>140</v>
      </c>
      <c r="CH30" s="312">
        <v>91</v>
      </c>
      <c r="CI30" s="312">
        <v>372</v>
      </c>
      <c r="CJ30" s="312">
        <v>326</v>
      </c>
      <c r="CK30" s="313">
        <v>46</v>
      </c>
      <c r="CL30" s="322"/>
      <c r="CM30" s="367"/>
      <c r="CN30" s="322"/>
      <c r="CO30" s="322"/>
      <c r="CP30" s="368"/>
      <c r="CQ30" s="321"/>
      <c r="CR30" s="321"/>
      <c r="CS30" s="320"/>
      <c r="CT30" s="368"/>
      <c r="CU30" s="321"/>
      <c r="CV30" s="321"/>
      <c r="CW30" s="368"/>
      <c r="CX30" s="321"/>
      <c r="CY30" s="321"/>
      <c r="CZ30" s="317">
        <v>84</v>
      </c>
      <c r="DA30" s="368" t="s">
        <v>1247</v>
      </c>
      <c r="DB30" s="313">
        <v>17</v>
      </c>
      <c r="DC30" s="313">
        <v>143</v>
      </c>
      <c r="DD30" s="368">
        <v>0</v>
      </c>
      <c r="DE30" s="313">
        <v>3</v>
      </c>
      <c r="DF30" s="316">
        <v>189</v>
      </c>
      <c r="DG30" s="317">
        <v>49</v>
      </c>
      <c r="DH30" s="368">
        <v>0</v>
      </c>
      <c r="DI30" s="313">
        <v>17</v>
      </c>
      <c r="DJ30" s="313">
        <v>143</v>
      </c>
      <c r="DK30" s="368" t="s">
        <v>1247</v>
      </c>
      <c r="DL30" s="313">
        <v>3</v>
      </c>
      <c r="DM30" s="316">
        <v>189</v>
      </c>
      <c r="DN30" s="317">
        <v>49</v>
      </c>
      <c r="DO30" s="368">
        <v>0</v>
      </c>
      <c r="DP30" s="313" t="s">
        <v>1247</v>
      </c>
      <c r="DQ30" s="313">
        <v>143</v>
      </c>
      <c r="DR30" s="368" t="s">
        <v>1247</v>
      </c>
      <c r="DS30" s="313" t="s">
        <v>1247</v>
      </c>
      <c r="DT30" s="315">
        <v>189</v>
      </c>
      <c r="DU30" s="92" t="s">
        <v>1540</v>
      </c>
    </row>
    <row r="31" spans="2:125" x14ac:dyDescent="0.3">
      <c r="B31" s="311" t="s">
        <v>1541</v>
      </c>
      <c r="D31" s="308" t="s">
        <v>9</v>
      </c>
      <c r="E31" s="308"/>
      <c r="F31" s="304" t="s">
        <v>9</v>
      </c>
      <c r="G31" s="308"/>
      <c r="H31" s="308"/>
      <c r="I31" s="308" t="s">
        <v>9</v>
      </c>
      <c r="J31" s="308" t="s">
        <v>9</v>
      </c>
      <c r="K31" s="308" t="s">
        <v>9</v>
      </c>
      <c r="L31" s="308" t="s">
        <v>9</v>
      </c>
      <c r="M31" s="308"/>
      <c r="N31" s="308"/>
      <c r="O31" s="308" t="s">
        <v>1539</v>
      </c>
      <c r="P31" s="308" t="s">
        <v>29</v>
      </c>
      <c r="Q31" s="308"/>
      <c r="R31" s="308" t="s">
        <v>29</v>
      </c>
      <c r="S31" s="308" t="s">
        <v>1539</v>
      </c>
      <c r="T31" s="308"/>
      <c r="U31" s="308"/>
      <c r="V31" s="308" t="s">
        <v>9</v>
      </c>
      <c r="W31" s="308"/>
      <c r="X31" s="308" t="s">
        <v>9</v>
      </c>
      <c r="Y31" s="308"/>
      <c r="AA31" s="308" t="s">
        <v>9</v>
      </c>
      <c r="AB31" s="308" t="s">
        <v>9</v>
      </c>
      <c r="AC31" s="308"/>
      <c r="AD31" s="308"/>
      <c r="AE31" s="308"/>
      <c r="AF31" s="308" t="s">
        <v>9</v>
      </c>
      <c r="AG31" s="308"/>
      <c r="AH31" s="308"/>
      <c r="AI31" s="308"/>
      <c r="AK31" s="236">
        <v>93</v>
      </c>
      <c r="AL31" t="s">
        <v>84</v>
      </c>
      <c r="AM31" s="237" t="s">
        <v>1522</v>
      </c>
      <c r="AW31" t="s">
        <v>9</v>
      </c>
      <c r="BW31" s="311">
        <v>275</v>
      </c>
      <c r="BX31" s="311">
        <v>53</v>
      </c>
      <c r="BY31" s="311">
        <v>60</v>
      </c>
      <c r="BZ31" s="312">
        <v>442</v>
      </c>
      <c r="CA31" s="312">
        <v>23</v>
      </c>
      <c r="CB31" s="312">
        <v>31</v>
      </c>
      <c r="CC31" s="312">
        <v>16</v>
      </c>
      <c r="CD31" s="312">
        <v>375</v>
      </c>
      <c r="CE31" s="312">
        <v>30</v>
      </c>
      <c r="CF31" s="312">
        <v>30</v>
      </c>
      <c r="CG31" s="312">
        <v>140</v>
      </c>
      <c r="CH31" s="312">
        <v>91</v>
      </c>
      <c r="CI31" s="312">
        <v>372</v>
      </c>
      <c r="CJ31" s="312">
        <v>312</v>
      </c>
      <c r="CK31" s="313">
        <v>60</v>
      </c>
      <c r="CL31" s="322"/>
      <c r="CM31" s="367"/>
      <c r="CN31" s="322"/>
      <c r="CO31" s="322"/>
      <c r="CP31" s="368"/>
      <c r="CQ31" s="321"/>
      <c r="CR31" s="321"/>
      <c r="CS31" s="320"/>
      <c r="CT31" s="368"/>
      <c r="CU31" s="321"/>
      <c r="CV31" s="321"/>
      <c r="CW31" s="368"/>
      <c r="CX31" s="321"/>
      <c r="CY31" s="321"/>
      <c r="CZ31" s="317">
        <v>84</v>
      </c>
      <c r="DA31" s="368" t="s">
        <v>1247</v>
      </c>
      <c r="DB31" s="313">
        <v>17</v>
      </c>
      <c r="DC31" s="313">
        <v>143</v>
      </c>
      <c r="DD31" s="368">
        <v>0</v>
      </c>
      <c r="DE31" s="313">
        <v>3</v>
      </c>
      <c r="DF31" s="316">
        <v>203</v>
      </c>
      <c r="DG31" s="317">
        <v>49</v>
      </c>
      <c r="DH31" s="368">
        <v>0</v>
      </c>
      <c r="DI31" s="313">
        <v>17</v>
      </c>
      <c r="DJ31" s="313">
        <v>143</v>
      </c>
      <c r="DK31" s="368" t="s">
        <v>1247</v>
      </c>
      <c r="DL31" s="313">
        <v>3</v>
      </c>
      <c r="DM31" s="316">
        <v>203</v>
      </c>
      <c r="DN31" s="317">
        <v>49</v>
      </c>
      <c r="DO31" s="368">
        <v>0</v>
      </c>
      <c r="DP31" s="313" t="s">
        <v>1247</v>
      </c>
      <c r="DQ31" s="313">
        <v>143</v>
      </c>
      <c r="DR31" s="368" t="s">
        <v>1247</v>
      </c>
      <c r="DS31" s="313" t="s">
        <v>1247</v>
      </c>
      <c r="DT31" s="315">
        <v>203</v>
      </c>
      <c r="DU31" s="92" t="s">
        <v>1541</v>
      </c>
    </row>
    <row r="32" spans="2:125" x14ac:dyDescent="0.3">
      <c r="B32" s="311" t="s">
        <v>1542</v>
      </c>
      <c r="D32" s="308" t="s">
        <v>9</v>
      </c>
      <c r="E32" s="308"/>
      <c r="F32" s="304" t="s">
        <v>9</v>
      </c>
      <c r="G32" s="308"/>
      <c r="H32" s="308"/>
      <c r="I32" s="308" t="s">
        <v>9</v>
      </c>
      <c r="J32" s="308" t="s">
        <v>9</v>
      </c>
      <c r="K32" s="308" t="s">
        <v>9</v>
      </c>
      <c r="L32" s="308" t="s">
        <v>9</v>
      </c>
      <c r="M32" s="308"/>
      <c r="N32" s="308"/>
      <c r="O32" s="308"/>
      <c r="P32" s="308" t="s">
        <v>9</v>
      </c>
      <c r="Q32" s="308"/>
      <c r="R32" s="308" t="s">
        <v>9</v>
      </c>
      <c r="S32" s="308"/>
      <c r="T32" s="308"/>
      <c r="U32" s="308" t="s">
        <v>9</v>
      </c>
      <c r="V32" s="308" t="s">
        <v>9</v>
      </c>
      <c r="W32" s="308"/>
      <c r="X32" s="308" t="s">
        <v>9</v>
      </c>
      <c r="Y32" s="308"/>
      <c r="AA32" s="308" t="s">
        <v>9</v>
      </c>
      <c r="AB32" s="308"/>
      <c r="AC32" s="308" t="s">
        <v>9</v>
      </c>
      <c r="AD32" s="308"/>
      <c r="AE32" s="308" t="s">
        <v>9</v>
      </c>
      <c r="AF32" s="308" t="s">
        <v>9</v>
      </c>
      <c r="AG32" s="308"/>
      <c r="AH32" s="308"/>
      <c r="AI32" s="308"/>
      <c r="AK32" s="236">
        <v>93</v>
      </c>
      <c r="AL32" t="s">
        <v>84</v>
      </c>
      <c r="AM32" s="237" t="s">
        <v>1522</v>
      </c>
      <c r="AX32" t="s">
        <v>9</v>
      </c>
      <c r="BW32" s="311">
        <v>275</v>
      </c>
      <c r="BX32" s="311">
        <v>53</v>
      </c>
      <c r="BY32" s="311">
        <v>60</v>
      </c>
      <c r="BZ32" s="312">
        <v>518</v>
      </c>
      <c r="CA32" s="312">
        <v>30</v>
      </c>
      <c r="CB32" s="312">
        <v>40</v>
      </c>
      <c r="CC32" s="312">
        <v>20</v>
      </c>
      <c r="CD32" s="312">
        <v>375</v>
      </c>
      <c r="CE32" s="312">
        <v>30</v>
      </c>
      <c r="CF32" s="312">
        <v>30</v>
      </c>
      <c r="CG32" s="312">
        <v>140</v>
      </c>
      <c r="CH32" s="312">
        <v>91</v>
      </c>
      <c r="CI32" s="312">
        <v>431</v>
      </c>
      <c r="CJ32" s="312">
        <v>271</v>
      </c>
      <c r="CK32" s="313">
        <v>160</v>
      </c>
      <c r="CL32" s="322"/>
      <c r="CM32" s="367"/>
      <c r="CN32" s="322"/>
      <c r="CO32" s="322"/>
      <c r="CP32" s="368"/>
      <c r="CQ32" s="321"/>
      <c r="CR32" s="321"/>
      <c r="CS32" s="320"/>
      <c r="CT32" s="368"/>
      <c r="CU32" s="321"/>
      <c r="CV32" s="321"/>
      <c r="CW32" s="368"/>
      <c r="CX32" s="321"/>
      <c r="CY32" s="321"/>
      <c r="CZ32" s="320"/>
      <c r="DA32" s="368"/>
      <c r="DB32" s="321"/>
      <c r="DC32" s="321"/>
      <c r="DD32" s="368"/>
      <c r="DE32" s="321"/>
      <c r="DF32" s="321"/>
      <c r="DG32" s="317">
        <v>49</v>
      </c>
      <c r="DH32" s="368">
        <v>0</v>
      </c>
      <c r="DI32" s="313">
        <v>17</v>
      </c>
      <c r="DJ32" s="313">
        <v>84</v>
      </c>
      <c r="DK32" s="368" t="s">
        <v>1247</v>
      </c>
      <c r="DL32" s="313">
        <v>0</v>
      </c>
      <c r="DM32" s="316">
        <v>244</v>
      </c>
      <c r="DN32" s="317">
        <v>49</v>
      </c>
      <c r="DO32" s="368">
        <v>0</v>
      </c>
      <c r="DP32" s="313" t="s">
        <v>1247</v>
      </c>
      <c r="DQ32" s="313">
        <v>84</v>
      </c>
      <c r="DR32" s="368" t="s">
        <v>1247</v>
      </c>
      <c r="DS32" s="313" t="s">
        <v>1247</v>
      </c>
      <c r="DT32" s="315">
        <v>244</v>
      </c>
      <c r="DU32" s="92" t="s">
        <v>1542</v>
      </c>
    </row>
    <row r="33" spans="2:125" x14ac:dyDescent="0.3">
      <c r="B33" s="311" t="s">
        <v>1543</v>
      </c>
      <c r="D33" s="308" t="s">
        <v>9</v>
      </c>
      <c r="E33" s="308"/>
      <c r="F33" s="304" t="s">
        <v>9</v>
      </c>
      <c r="G33" s="308"/>
      <c r="H33" s="308"/>
      <c r="I33" s="308" t="s">
        <v>9</v>
      </c>
      <c r="J33" s="308" t="s">
        <v>9</v>
      </c>
      <c r="K33" s="308" t="s">
        <v>9</v>
      </c>
      <c r="L33" s="308" t="s">
        <v>9</v>
      </c>
      <c r="M33" s="308"/>
      <c r="N33" s="308"/>
      <c r="O33" s="308"/>
      <c r="P33" s="308" t="s">
        <v>9</v>
      </c>
      <c r="Q33" s="308"/>
      <c r="R33" s="308" t="s">
        <v>9</v>
      </c>
      <c r="S33" s="308"/>
      <c r="T33" s="308"/>
      <c r="U33" s="308" t="s">
        <v>9</v>
      </c>
      <c r="V33" s="308" t="s">
        <v>9</v>
      </c>
      <c r="W33" s="308"/>
      <c r="X33" s="308" t="s">
        <v>9</v>
      </c>
      <c r="Y33" s="308"/>
      <c r="AA33" s="308" t="s">
        <v>9</v>
      </c>
      <c r="AB33" s="308"/>
      <c r="AC33" s="308" t="s">
        <v>9</v>
      </c>
      <c r="AD33" s="308" t="s">
        <v>9</v>
      </c>
      <c r="AE33" s="308"/>
      <c r="AF33" s="308" t="s">
        <v>9</v>
      </c>
      <c r="AG33" s="308"/>
      <c r="AH33" s="308"/>
      <c r="AI33" s="308"/>
      <c r="AK33" s="236">
        <v>93</v>
      </c>
      <c r="AL33" t="s">
        <v>84</v>
      </c>
      <c r="AM33" s="237" t="s">
        <v>1522</v>
      </c>
      <c r="AY33" t="s">
        <v>9</v>
      </c>
      <c r="BW33" s="311">
        <v>275</v>
      </c>
      <c r="BX33" s="311">
        <v>53</v>
      </c>
      <c r="BY33" s="311">
        <v>60</v>
      </c>
      <c r="BZ33" s="312">
        <v>864</v>
      </c>
      <c r="CA33" s="312">
        <v>30</v>
      </c>
      <c r="CB33" s="312">
        <v>40</v>
      </c>
      <c r="CC33" s="312">
        <v>20</v>
      </c>
      <c r="CD33" s="312">
        <v>375</v>
      </c>
      <c r="CE33" s="312">
        <v>30</v>
      </c>
      <c r="CF33" s="312">
        <v>30</v>
      </c>
      <c r="CG33" s="312">
        <v>140</v>
      </c>
      <c r="CH33" s="312">
        <v>91</v>
      </c>
      <c r="CI33" s="312">
        <v>431</v>
      </c>
      <c r="CJ33" s="312">
        <v>225</v>
      </c>
      <c r="CK33" s="313">
        <v>206</v>
      </c>
      <c r="CL33" s="322"/>
      <c r="CM33" s="367"/>
      <c r="CN33" s="322"/>
      <c r="CO33" s="322"/>
      <c r="CP33" s="368"/>
      <c r="CQ33" s="321"/>
      <c r="CR33" s="321"/>
      <c r="CS33" s="320"/>
      <c r="CT33" s="368"/>
      <c r="CU33" s="321"/>
      <c r="CV33" s="321"/>
      <c r="CW33" s="368"/>
      <c r="CX33" s="321"/>
      <c r="CY33" s="321"/>
      <c r="CZ33" s="320"/>
      <c r="DA33" s="368"/>
      <c r="DB33" s="321"/>
      <c r="DC33" s="321"/>
      <c r="DD33" s="368"/>
      <c r="DE33" s="321"/>
      <c r="DF33" s="321"/>
      <c r="DG33" s="317">
        <v>49</v>
      </c>
      <c r="DH33" s="368">
        <v>0</v>
      </c>
      <c r="DI33" s="313">
        <v>17</v>
      </c>
      <c r="DJ33" s="313">
        <v>84</v>
      </c>
      <c r="DK33" s="368" t="s">
        <v>1247</v>
      </c>
      <c r="DL33" s="313">
        <v>0</v>
      </c>
      <c r="DM33" s="315">
        <v>290</v>
      </c>
      <c r="DN33" s="314">
        <v>49</v>
      </c>
      <c r="DO33" s="368">
        <v>0</v>
      </c>
      <c r="DP33" s="313" t="s">
        <v>1247</v>
      </c>
      <c r="DQ33" s="313">
        <v>84</v>
      </c>
      <c r="DR33" s="368" t="s">
        <v>1247</v>
      </c>
      <c r="DS33" s="313">
        <v>44</v>
      </c>
      <c r="DT33" s="315">
        <v>290</v>
      </c>
      <c r="DU33" s="92" t="s">
        <v>1543</v>
      </c>
    </row>
    <row r="34" spans="2:125" x14ac:dyDescent="0.3">
      <c r="B34" s="311" t="s">
        <v>1712</v>
      </c>
      <c r="D34" s="308"/>
      <c r="E34" s="308" t="s">
        <v>9</v>
      </c>
      <c r="F34" s="304" t="s">
        <v>9</v>
      </c>
      <c r="G34" s="308"/>
      <c r="H34" s="308"/>
      <c r="I34" s="308" t="s">
        <v>9</v>
      </c>
      <c r="J34" s="308" t="s">
        <v>9</v>
      </c>
      <c r="K34" s="308" t="s">
        <v>9</v>
      </c>
      <c r="L34" s="308" t="s">
        <v>9</v>
      </c>
      <c r="M34" s="308"/>
      <c r="N34" s="308"/>
      <c r="O34" s="308"/>
      <c r="P34" s="308" t="s">
        <v>9</v>
      </c>
      <c r="Q34" s="308"/>
      <c r="R34" s="308" t="s">
        <v>9</v>
      </c>
      <c r="S34" s="308"/>
      <c r="T34" s="308"/>
      <c r="U34" s="308" t="s">
        <v>9</v>
      </c>
      <c r="V34" s="308" t="s">
        <v>9</v>
      </c>
      <c r="W34" s="308" t="s">
        <v>9</v>
      </c>
      <c r="X34" s="308" t="s">
        <v>9</v>
      </c>
      <c r="Y34" s="308"/>
      <c r="AA34" s="308" t="s">
        <v>9</v>
      </c>
      <c r="AB34" s="308"/>
      <c r="AC34" s="308"/>
      <c r="AD34" s="308"/>
      <c r="AE34" s="308"/>
      <c r="AF34" s="308" t="s">
        <v>9</v>
      </c>
      <c r="AG34" s="308"/>
      <c r="AH34" s="308"/>
      <c r="AI34" s="308"/>
      <c r="AK34" s="236">
        <v>93</v>
      </c>
      <c r="AL34" t="s">
        <v>84</v>
      </c>
      <c r="AM34" s="237" t="s">
        <v>1522</v>
      </c>
      <c r="AZ34" t="s">
        <v>9</v>
      </c>
      <c r="BW34" s="311">
        <v>275</v>
      </c>
      <c r="BX34" s="311">
        <v>53</v>
      </c>
      <c r="BY34" s="311">
        <v>60</v>
      </c>
      <c r="BZ34" s="312" t="s">
        <v>1247</v>
      </c>
      <c r="CA34" s="312">
        <v>30</v>
      </c>
      <c r="CB34" s="312">
        <v>40</v>
      </c>
      <c r="CC34" s="312">
        <v>20</v>
      </c>
      <c r="CD34" s="312">
        <v>375</v>
      </c>
      <c r="CE34" s="312">
        <v>30</v>
      </c>
      <c r="CF34" s="312">
        <v>30</v>
      </c>
      <c r="CG34" s="312">
        <v>209</v>
      </c>
      <c r="CH34" s="312">
        <v>91</v>
      </c>
      <c r="CI34" s="312">
        <v>466</v>
      </c>
      <c r="CJ34" s="312">
        <v>415</v>
      </c>
      <c r="CK34" s="313">
        <v>51</v>
      </c>
      <c r="CL34" s="322"/>
      <c r="CM34" s="367"/>
      <c r="CN34" s="322"/>
      <c r="CO34" s="322"/>
      <c r="CP34" s="368"/>
      <c r="CQ34" s="321"/>
      <c r="CR34" s="321"/>
      <c r="CS34" s="320"/>
      <c r="CT34" s="368"/>
      <c r="CU34" s="321"/>
      <c r="CV34" s="321"/>
      <c r="CW34" s="368"/>
      <c r="CX34" s="321"/>
      <c r="CY34" s="321"/>
      <c r="CZ34" s="320"/>
      <c r="DA34" s="368"/>
      <c r="DB34" s="321"/>
      <c r="DC34" s="321"/>
      <c r="DD34" s="368"/>
      <c r="DE34" s="321"/>
      <c r="DF34" s="321"/>
      <c r="DG34" s="324">
        <v>118</v>
      </c>
      <c r="DH34" s="368">
        <v>0</v>
      </c>
      <c r="DI34" s="312">
        <v>17</v>
      </c>
      <c r="DJ34" s="325">
        <v>118</v>
      </c>
      <c r="DK34" s="368" t="s">
        <v>1247</v>
      </c>
      <c r="DL34" s="312">
        <v>0</v>
      </c>
      <c r="DM34" s="315">
        <v>169</v>
      </c>
      <c r="DN34" s="325">
        <v>118</v>
      </c>
      <c r="DO34" s="368">
        <v>0</v>
      </c>
      <c r="DP34" s="312" t="s">
        <v>1247</v>
      </c>
      <c r="DQ34" s="325">
        <v>118</v>
      </c>
      <c r="DR34" s="368" t="s">
        <v>1247</v>
      </c>
      <c r="DS34" s="312">
        <v>34</v>
      </c>
      <c r="DT34" s="315">
        <v>169</v>
      </c>
      <c r="DU34" s="92" t="s">
        <v>1712</v>
      </c>
    </row>
    <row r="35" spans="2:125" x14ac:dyDescent="0.3">
      <c r="B35" s="311" t="s">
        <v>1713</v>
      </c>
      <c r="D35" s="308"/>
      <c r="E35" s="308" t="s">
        <v>9</v>
      </c>
      <c r="F35" s="304" t="s">
        <v>9</v>
      </c>
      <c r="G35" s="308"/>
      <c r="H35" s="308"/>
      <c r="I35" s="308" t="s">
        <v>9</v>
      </c>
      <c r="J35" s="308" t="s">
        <v>9</v>
      </c>
      <c r="K35" s="308" t="s">
        <v>9</v>
      </c>
      <c r="L35" s="308" t="s">
        <v>9</v>
      </c>
      <c r="M35" s="308"/>
      <c r="N35" s="308"/>
      <c r="O35" s="308"/>
      <c r="P35" s="308" t="s">
        <v>9</v>
      </c>
      <c r="Q35" s="308"/>
      <c r="R35" s="308" t="s">
        <v>9</v>
      </c>
      <c r="S35" s="308"/>
      <c r="T35" s="308"/>
      <c r="U35" s="308"/>
      <c r="V35" s="308" t="s">
        <v>9</v>
      </c>
      <c r="W35" s="308" t="s">
        <v>9</v>
      </c>
      <c r="X35" s="308" t="s">
        <v>9</v>
      </c>
      <c r="Y35" s="308"/>
      <c r="AA35" s="308" t="s">
        <v>9</v>
      </c>
      <c r="AB35" s="308" t="s">
        <v>9</v>
      </c>
      <c r="AC35" s="308"/>
      <c r="AD35" s="308"/>
      <c r="AE35" s="308"/>
      <c r="AF35" s="308" t="s">
        <v>9</v>
      </c>
      <c r="AG35" s="308"/>
      <c r="AH35" s="308"/>
      <c r="AI35" s="308"/>
      <c r="AK35" s="236">
        <v>93</v>
      </c>
      <c r="AL35" t="s">
        <v>84</v>
      </c>
      <c r="AM35" s="237" t="s">
        <v>1522</v>
      </c>
      <c r="BA35" t="s">
        <v>9</v>
      </c>
      <c r="BW35" s="311">
        <v>275</v>
      </c>
      <c r="BX35" s="311">
        <v>53</v>
      </c>
      <c r="BY35" s="311">
        <v>60</v>
      </c>
      <c r="BZ35" s="312" t="s">
        <v>1247</v>
      </c>
      <c r="CA35" s="312">
        <v>30</v>
      </c>
      <c r="CB35" s="312">
        <v>40</v>
      </c>
      <c r="CC35" s="312">
        <v>20</v>
      </c>
      <c r="CD35" s="312">
        <v>375</v>
      </c>
      <c r="CE35" s="312">
        <v>30</v>
      </c>
      <c r="CF35" s="312">
        <v>30</v>
      </c>
      <c r="CG35" s="312">
        <v>209</v>
      </c>
      <c r="CH35" s="312">
        <v>91</v>
      </c>
      <c r="CI35" s="312">
        <v>466</v>
      </c>
      <c r="CJ35" s="312">
        <v>415</v>
      </c>
      <c r="CK35" s="313">
        <v>51</v>
      </c>
      <c r="CL35" s="322"/>
      <c r="CM35" s="367"/>
      <c r="CN35" s="322"/>
      <c r="CO35" s="322"/>
      <c r="CP35" s="368"/>
      <c r="CQ35" s="321"/>
      <c r="CR35" s="321"/>
      <c r="CS35" s="320"/>
      <c r="CT35" s="368"/>
      <c r="CU35" s="321"/>
      <c r="CV35" s="321"/>
      <c r="CW35" s="368"/>
      <c r="CX35" s="321"/>
      <c r="CY35" s="321"/>
      <c r="CZ35" s="320"/>
      <c r="DA35" s="368"/>
      <c r="DB35" s="321"/>
      <c r="DC35" s="321"/>
      <c r="DD35" s="368"/>
      <c r="DE35" s="321"/>
      <c r="DF35" s="321"/>
      <c r="DG35" s="324">
        <v>118</v>
      </c>
      <c r="DH35" s="368">
        <v>0</v>
      </c>
      <c r="DI35" s="312">
        <v>17</v>
      </c>
      <c r="DJ35" s="325">
        <v>118</v>
      </c>
      <c r="DK35" s="368" t="s">
        <v>1247</v>
      </c>
      <c r="DL35" s="312">
        <v>0</v>
      </c>
      <c r="DM35" s="315">
        <v>169</v>
      </c>
      <c r="DN35" s="325">
        <v>118</v>
      </c>
      <c r="DO35" s="368">
        <v>0</v>
      </c>
      <c r="DP35" s="312" t="s">
        <v>1247</v>
      </c>
      <c r="DQ35" s="325">
        <v>118</v>
      </c>
      <c r="DR35" s="368" t="s">
        <v>1247</v>
      </c>
      <c r="DS35" s="312">
        <v>34</v>
      </c>
      <c r="DT35" s="315">
        <v>169</v>
      </c>
      <c r="DU35" s="92" t="s">
        <v>1713</v>
      </c>
    </row>
    <row r="36" spans="2:125" x14ac:dyDescent="0.3">
      <c r="B36" s="311" t="s">
        <v>1714</v>
      </c>
      <c r="D36" s="308"/>
      <c r="E36" s="308" t="s">
        <v>9</v>
      </c>
      <c r="F36" s="304" t="s">
        <v>9</v>
      </c>
      <c r="G36" s="308"/>
      <c r="H36" s="308"/>
      <c r="I36" s="308" t="s">
        <v>9</v>
      </c>
      <c r="J36" s="308" t="s">
        <v>9</v>
      </c>
      <c r="K36" s="308" t="s">
        <v>9</v>
      </c>
      <c r="L36" s="308" t="s">
        <v>9</v>
      </c>
      <c r="M36" s="308"/>
      <c r="N36" s="308"/>
      <c r="O36" s="308"/>
      <c r="P36" s="308" t="s">
        <v>9</v>
      </c>
      <c r="Q36" s="308"/>
      <c r="R36" s="308" t="s">
        <v>9</v>
      </c>
      <c r="S36" s="308"/>
      <c r="T36" s="308"/>
      <c r="U36" s="308" t="s">
        <v>9</v>
      </c>
      <c r="V36" s="308" t="s">
        <v>9</v>
      </c>
      <c r="W36" s="308" t="s">
        <v>9</v>
      </c>
      <c r="X36" s="308" t="s">
        <v>9</v>
      </c>
      <c r="Y36" s="308"/>
      <c r="AA36" s="308" t="s">
        <v>9</v>
      </c>
      <c r="AB36" s="308"/>
      <c r="AC36" s="308" t="s">
        <v>9</v>
      </c>
      <c r="AD36" s="308"/>
      <c r="AE36" s="308" t="s">
        <v>9</v>
      </c>
      <c r="AF36" s="308" t="s">
        <v>9</v>
      </c>
      <c r="AG36" s="308"/>
      <c r="AH36" s="308"/>
      <c r="AI36" s="308"/>
      <c r="AK36" s="236">
        <v>93</v>
      </c>
      <c r="AL36" t="s">
        <v>84</v>
      </c>
      <c r="AM36" s="237" t="s">
        <v>1522</v>
      </c>
      <c r="BB36" t="s">
        <v>9</v>
      </c>
      <c r="BW36" s="311">
        <v>275</v>
      </c>
      <c r="BX36" s="311">
        <v>53</v>
      </c>
      <c r="BY36" s="311">
        <v>60</v>
      </c>
      <c r="BZ36" s="312" t="s">
        <v>1247</v>
      </c>
      <c r="CA36" s="312">
        <v>30</v>
      </c>
      <c r="CB36" s="312">
        <v>34</v>
      </c>
      <c r="CC36" s="312">
        <v>17</v>
      </c>
      <c r="CD36" s="312">
        <v>375</v>
      </c>
      <c r="CE36" s="312">
        <v>30</v>
      </c>
      <c r="CF36" s="312">
        <v>30</v>
      </c>
      <c r="CG36" s="312">
        <v>209</v>
      </c>
      <c r="CH36" s="312">
        <v>91</v>
      </c>
      <c r="CI36" s="312">
        <v>466</v>
      </c>
      <c r="CJ36" s="312">
        <v>302</v>
      </c>
      <c r="CK36" s="313">
        <v>164</v>
      </c>
      <c r="CL36" s="322"/>
      <c r="CM36" s="367"/>
      <c r="CN36" s="322"/>
      <c r="CO36" s="322"/>
      <c r="CP36" s="368"/>
      <c r="CQ36" s="321"/>
      <c r="CR36" s="321"/>
      <c r="CS36" s="320"/>
      <c r="CT36" s="368"/>
      <c r="CU36" s="321"/>
      <c r="CV36" s="321"/>
      <c r="CW36" s="368"/>
      <c r="CX36" s="321"/>
      <c r="CY36" s="321"/>
      <c r="CZ36" s="320"/>
      <c r="DA36" s="368"/>
      <c r="DB36" s="321"/>
      <c r="DC36" s="321"/>
      <c r="DD36" s="368"/>
      <c r="DE36" s="321"/>
      <c r="DF36" s="321"/>
      <c r="DG36" s="324">
        <v>118</v>
      </c>
      <c r="DH36" s="368">
        <v>0</v>
      </c>
      <c r="DI36" s="312">
        <v>17</v>
      </c>
      <c r="DJ36" s="325">
        <v>118</v>
      </c>
      <c r="DK36" s="368" t="s">
        <v>1247</v>
      </c>
      <c r="DL36" s="312">
        <v>0</v>
      </c>
      <c r="DM36" s="316">
        <v>282</v>
      </c>
      <c r="DN36" s="320"/>
      <c r="DO36" s="368"/>
      <c r="DP36" s="321"/>
      <c r="DQ36" s="321"/>
      <c r="DR36" s="368"/>
      <c r="DS36" s="321"/>
      <c r="DT36" s="323"/>
      <c r="DU36" s="92" t="s">
        <v>1714</v>
      </c>
    </row>
    <row r="37" spans="2:125" x14ac:dyDescent="0.3">
      <c r="B37" s="311" t="s">
        <v>1715</v>
      </c>
      <c r="D37" s="308"/>
      <c r="E37" s="308" t="s">
        <v>9</v>
      </c>
      <c r="F37" s="304" t="s">
        <v>9</v>
      </c>
      <c r="G37" s="308"/>
      <c r="H37" s="308"/>
      <c r="I37" s="308" t="s">
        <v>9</v>
      </c>
      <c r="J37" s="308" t="s">
        <v>9</v>
      </c>
      <c r="K37" s="308" t="s">
        <v>9</v>
      </c>
      <c r="L37" s="308" t="s">
        <v>9</v>
      </c>
      <c r="M37" s="308"/>
      <c r="N37" s="308"/>
      <c r="O37" s="308"/>
      <c r="P37" s="308" t="s">
        <v>9</v>
      </c>
      <c r="Q37" s="308"/>
      <c r="R37" s="308" t="s">
        <v>9</v>
      </c>
      <c r="S37" s="308"/>
      <c r="T37" s="308"/>
      <c r="U37" s="308" t="s">
        <v>9</v>
      </c>
      <c r="V37" s="308" t="s">
        <v>9</v>
      </c>
      <c r="W37" s="308" t="s">
        <v>9</v>
      </c>
      <c r="X37" s="308" t="s">
        <v>9</v>
      </c>
      <c r="Y37" s="308"/>
      <c r="AA37" s="308" t="s">
        <v>9</v>
      </c>
      <c r="AB37" s="308"/>
      <c r="AC37" s="308" t="s">
        <v>9</v>
      </c>
      <c r="AD37" s="308"/>
      <c r="AE37" s="308" t="s">
        <v>9</v>
      </c>
      <c r="AF37" s="308" t="s">
        <v>9</v>
      </c>
      <c r="AG37" s="308"/>
      <c r="AH37" s="308"/>
      <c r="AI37" s="308"/>
      <c r="AK37" s="236">
        <v>93</v>
      </c>
      <c r="AL37" t="s">
        <v>84</v>
      </c>
      <c r="AM37" s="237" t="s">
        <v>1522</v>
      </c>
      <c r="BC37" t="s">
        <v>9</v>
      </c>
      <c r="BW37" s="311">
        <v>275</v>
      </c>
      <c r="BX37" s="311">
        <v>53</v>
      </c>
      <c r="BY37" s="311">
        <v>60</v>
      </c>
      <c r="BZ37" s="312" t="s">
        <v>1247</v>
      </c>
      <c r="CA37" s="312">
        <v>30</v>
      </c>
      <c r="CB37" s="312">
        <v>34</v>
      </c>
      <c r="CC37" s="312">
        <v>17</v>
      </c>
      <c r="CD37" s="312">
        <v>375</v>
      </c>
      <c r="CE37" s="312">
        <v>30</v>
      </c>
      <c r="CF37" s="312">
        <v>30</v>
      </c>
      <c r="CG37" s="312">
        <v>209</v>
      </c>
      <c r="CH37" s="312">
        <v>91</v>
      </c>
      <c r="CI37" s="312">
        <v>466</v>
      </c>
      <c r="CJ37" s="312">
        <v>302</v>
      </c>
      <c r="CK37" s="313">
        <v>164</v>
      </c>
      <c r="CL37" s="322"/>
      <c r="CM37" s="367"/>
      <c r="CN37" s="322"/>
      <c r="CO37" s="322"/>
      <c r="CP37" s="368"/>
      <c r="CQ37" s="321"/>
      <c r="CR37" s="321"/>
      <c r="CS37" s="320"/>
      <c r="CT37" s="368"/>
      <c r="CU37" s="321"/>
      <c r="CV37" s="321"/>
      <c r="CW37" s="368"/>
      <c r="CX37" s="321"/>
      <c r="CY37" s="321"/>
      <c r="CZ37" s="320"/>
      <c r="DA37" s="368"/>
      <c r="DB37" s="321"/>
      <c r="DC37" s="321"/>
      <c r="DD37" s="368"/>
      <c r="DE37" s="321"/>
      <c r="DF37" s="321"/>
      <c r="DG37" s="324">
        <v>118</v>
      </c>
      <c r="DH37" s="368">
        <v>0</v>
      </c>
      <c r="DI37" s="312">
        <v>17</v>
      </c>
      <c r="DJ37" s="325">
        <v>118</v>
      </c>
      <c r="DK37" s="368" t="s">
        <v>1247</v>
      </c>
      <c r="DL37" s="312">
        <v>0</v>
      </c>
      <c r="DM37" s="316">
        <v>282</v>
      </c>
      <c r="DN37" s="320"/>
      <c r="DO37" s="368"/>
      <c r="DP37" s="321"/>
      <c r="DQ37" s="321"/>
      <c r="DR37" s="368"/>
      <c r="DS37" s="321"/>
      <c r="DT37" s="323"/>
      <c r="DU37" s="92" t="s">
        <v>1715</v>
      </c>
    </row>
    <row r="38" spans="2:125" x14ac:dyDescent="0.3">
      <c r="B38" s="311" t="s">
        <v>1716</v>
      </c>
      <c r="D38" s="308"/>
      <c r="E38" s="308" t="s">
        <v>9</v>
      </c>
      <c r="F38" s="304" t="s">
        <v>9</v>
      </c>
      <c r="G38" s="308"/>
      <c r="H38" s="308"/>
      <c r="I38" s="308" t="s">
        <v>9</v>
      </c>
      <c r="J38" s="308" t="s">
        <v>9</v>
      </c>
      <c r="K38" s="308" t="s">
        <v>9</v>
      </c>
      <c r="L38" s="308" t="s">
        <v>9</v>
      </c>
      <c r="M38" s="308"/>
      <c r="N38" s="308"/>
      <c r="O38" s="308"/>
      <c r="P38" s="308" t="s">
        <v>9</v>
      </c>
      <c r="Q38" s="308"/>
      <c r="R38" s="308" t="s">
        <v>9</v>
      </c>
      <c r="S38" s="308"/>
      <c r="T38" s="308"/>
      <c r="U38" s="308" t="s">
        <v>9</v>
      </c>
      <c r="V38" s="308" t="s">
        <v>9</v>
      </c>
      <c r="W38" s="308" t="s">
        <v>9</v>
      </c>
      <c r="X38" s="308" t="s">
        <v>9</v>
      </c>
      <c r="Y38" s="308"/>
      <c r="AA38" s="308" t="s">
        <v>9</v>
      </c>
      <c r="AB38" s="308"/>
      <c r="AC38" s="308" t="s">
        <v>9</v>
      </c>
      <c r="AD38" s="308"/>
      <c r="AE38" s="308" t="s">
        <v>9</v>
      </c>
      <c r="AF38" s="308" t="s">
        <v>9</v>
      </c>
      <c r="AG38" s="308"/>
      <c r="AH38" s="308"/>
      <c r="AI38" s="308"/>
      <c r="AK38" s="236">
        <v>93</v>
      </c>
      <c r="AL38" t="s">
        <v>84</v>
      </c>
      <c r="AM38" s="237" t="s">
        <v>1522</v>
      </c>
      <c r="BD38" t="s">
        <v>9</v>
      </c>
      <c r="BW38" s="311">
        <v>275</v>
      </c>
      <c r="BX38" s="311">
        <v>53</v>
      </c>
      <c r="BY38" s="311">
        <v>60</v>
      </c>
      <c r="BZ38" s="312" t="s">
        <v>1247</v>
      </c>
      <c r="CA38" s="312">
        <v>30</v>
      </c>
      <c r="CB38" s="312">
        <v>34</v>
      </c>
      <c r="CC38" s="312">
        <v>17</v>
      </c>
      <c r="CD38" s="312">
        <v>375</v>
      </c>
      <c r="CE38" s="312">
        <v>30</v>
      </c>
      <c r="CF38" s="312">
        <v>30</v>
      </c>
      <c r="CG38" s="312">
        <v>209</v>
      </c>
      <c r="CH38" s="312">
        <v>91</v>
      </c>
      <c r="CI38" s="312">
        <v>466</v>
      </c>
      <c r="CJ38" s="312">
        <v>302</v>
      </c>
      <c r="CK38" s="313">
        <v>164</v>
      </c>
      <c r="CL38" s="322"/>
      <c r="CM38" s="367"/>
      <c r="CN38" s="322"/>
      <c r="CO38" s="322"/>
      <c r="CP38" s="368"/>
      <c r="CQ38" s="321"/>
      <c r="CR38" s="321"/>
      <c r="CS38" s="320"/>
      <c r="CT38" s="368"/>
      <c r="CU38" s="321"/>
      <c r="CV38" s="321"/>
      <c r="CW38" s="368"/>
      <c r="CX38" s="321"/>
      <c r="CY38" s="321"/>
      <c r="CZ38" s="320"/>
      <c r="DA38" s="368"/>
      <c r="DB38" s="321"/>
      <c r="DC38" s="321"/>
      <c r="DD38" s="368"/>
      <c r="DE38" s="321"/>
      <c r="DF38" s="321"/>
      <c r="DG38" s="324">
        <v>118</v>
      </c>
      <c r="DH38" s="368">
        <v>0</v>
      </c>
      <c r="DI38" s="312">
        <v>17</v>
      </c>
      <c r="DJ38" s="325">
        <v>118</v>
      </c>
      <c r="DK38" s="368" t="s">
        <v>1247</v>
      </c>
      <c r="DL38" s="312">
        <v>0</v>
      </c>
      <c r="DM38" s="316">
        <v>282</v>
      </c>
      <c r="DN38" s="320"/>
      <c r="DO38" s="368"/>
      <c r="DP38" s="321"/>
      <c r="DQ38" s="321"/>
      <c r="DR38" s="368"/>
      <c r="DS38" s="321"/>
      <c r="DT38" s="323"/>
      <c r="DU38" s="92" t="s">
        <v>1716</v>
      </c>
    </row>
    <row r="39" spans="2:125" x14ac:dyDescent="0.3">
      <c r="B39" s="311" t="s">
        <v>1717</v>
      </c>
      <c r="D39" s="308"/>
      <c r="E39" s="308" t="s">
        <v>9</v>
      </c>
      <c r="F39" s="304" t="s">
        <v>9</v>
      </c>
      <c r="G39" s="308"/>
      <c r="H39" s="308"/>
      <c r="I39" s="308" t="s">
        <v>9</v>
      </c>
      <c r="J39" s="308" t="s">
        <v>9</v>
      </c>
      <c r="K39" s="308" t="s">
        <v>9</v>
      </c>
      <c r="L39" s="308" t="s">
        <v>9</v>
      </c>
      <c r="M39" s="308"/>
      <c r="N39" s="308"/>
      <c r="O39" s="308"/>
      <c r="P39" s="308" t="s">
        <v>9</v>
      </c>
      <c r="Q39" s="308"/>
      <c r="R39" s="308" t="s">
        <v>9</v>
      </c>
      <c r="S39" s="308"/>
      <c r="T39" s="308"/>
      <c r="U39" s="308" t="s">
        <v>9</v>
      </c>
      <c r="V39" s="308" t="s">
        <v>9</v>
      </c>
      <c r="W39" s="308" t="s">
        <v>9</v>
      </c>
      <c r="X39" s="308" t="s">
        <v>9</v>
      </c>
      <c r="Y39" s="308"/>
      <c r="AA39" s="308" t="s">
        <v>9</v>
      </c>
      <c r="AB39" s="308"/>
      <c r="AC39" s="308" t="s">
        <v>9</v>
      </c>
      <c r="AD39" s="308" t="s">
        <v>9</v>
      </c>
      <c r="AE39" s="308"/>
      <c r="AF39" s="308" t="s">
        <v>9</v>
      </c>
      <c r="AG39" s="308"/>
      <c r="AH39" s="308"/>
      <c r="AI39" s="308"/>
      <c r="AK39" s="236">
        <v>93</v>
      </c>
      <c r="AL39" t="s">
        <v>84</v>
      </c>
      <c r="AM39" s="237" t="s">
        <v>1522</v>
      </c>
      <c r="BE39" t="s">
        <v>9</v>
      </c>
      <c r="BW39" s="311">
        <v>275</v>
      </c>
      <c r="BX39" s="311">
        <v>53</v>
      </c>
      <c r="BY39" s="311">
        <v>60</v>
      </c>
      <c r="BZ39" s="312" t="s">
        <v>1247</v>
      </c>
      <c r="CA39" s="312">
        <v>30</v>
      </c>
      <c r="CB39" s="312">
        <v>55</v>
      </c>
      <c r="CC39" s="312">
        <v>28</v>
      </c>
      <c r="CD39" s="312">
        <v>375</v>
      </c>
      <c r="CE39" s="312">
        <v>30</v>
      </c>
      <c r="CF39" s="312">
        <v>30</v>
      </c>
      <c r="CG39" s="312">
        <v>209</v>
      </c>
      <c r="CH39" s="312">
        <v>91</v>
      </c>
      <c r="CI39" s="312">
        <v>466</v>
      </c>
      <c r="CJ39" s="312">
        <v>302</v>
      </c>
      <c r="CK39" s="313">
        <v>164</v>
      </c>
      <c r="CL39" s="322"/>
      <c r="CM39" s="367"/>
      <c r="CN39" s="322"/>
      <c r="CO39" s="322"/>
      <c r="CP39" s="368"/>
      <c r="CQ39" s="321"/>
      <c r="CR39" s="321"/>
      <c r="CS39" s="320"/>
      <c r="CT39" s="368"/>
      <c r="CU39" s="321"/>
      <c r="CV39" s="321"/>
      <c r="CW39" s="368"/>
      <c r="CX39" s="321"/>
      <c r="CY39" s="321"/>
      <c r="CZ39" s="320"/>
      <c r="DA39" s="368"/>
      <c r="DB39" s="321"/>
      <c r="DC39" s="321"/>
      <c r="DD39" s="368"/>
      <c r="DE39" s="321"/>
      <c r="DF39" s="321"/>
      <c r="DG39" s="324">
        <v>118</v>
      </c>
      <c r="DH39" s="368">
        <v>0</v>
      </c>
      <c r="DI39" s="312">
        <v>17</v>
      </c>
      <c r="DJ39" s="325">
        <v>118</v>
      </c>
      <c r="DK39" s="368" t="s">
        <v>1247</v>
      </c>
      <c r="DL39" s="312">
        <v>0</v>
      </c>
      <c r="DM39" s="316">
        <v>282</v>
      </c>
      <c r="DN39" s="320"/>
      <c r="DO39" s="368"/>
      <c r="DP39" s="321"/>
      <c r="DQ39" s="321"/>
      <c r="DR39" s="368"/>
      <c r="DS39" s="321"/>
      <c r="DT39" s="323"/>
      <c r="DU39" s="92" t="s">
        <v>1717</v>
      </c>
    </row>
    <row r="40" spans="2:125" x14ac:dyDescent="0.3">
      <c r="B40" s="311" t="s">
        <v>1718</v>
      </c>
      <c r="D40" s="308"/>
      <c r="E40" s="308" t="s">
        <v>9</v>
      </c>
      <c r="F40" s="304" t="s">
        <v>9</v>
      </c>
      <c r="G40" s="308"/>
      <c r="H40" s="308"/>
      <c r="I40" s="308" t="s">
        <v>9</v>
      </c>
      <c r="J40" s="308" t="s">
        <v>9</v>
      </c>
      <c r="K40" s="308" t="s">
        <v>9</v>
      </c>
      <c r="L40" s="308" t="s">
        <v>9</v>
      </c>
      <c r="M40" s="308"/>
      <c r="N40" s="308"/>
      <c r="O40" s="308"/>
      <c r="P40" s="308" t="s">
        <v>9</v>
      </c>
      <c r="Q40" s="308"/>
      <c r="R40" s="308" t="s">
        <v>9</v>
      </c>
      <c r="S40" s="308"/>
      <c r="T40" s="308"/>
      <c r="U40" s="308" t="s">
        <v>9</v>
      </c>
      <c r="V40" s="308" t="s">
        <v>9</v>
      </c>
      <c r="W40" s="308" t="s">
        <v>9</v>
      </c>
      <c r="X40" s="308" t="s">
        <v>9</v>
      </c>
      <c r="Y40" s="308"/>
      <c r="AA40" s="308" t="s">
        <v>9</v>
      </c>
      <c r="AB40" s="308"/>
      <c r="AC40" s="308" t="s">
        <v>9</v>
      </c>
      <c r="AD40" s="308" t="s">
        <v>9</v>
      </c>
      <c r="AE40" s="308"/>
      <c r="AF40" s="308" t="s">
        <v>9</v>
      </c>
      <c r="AG40" s="308"/>
      <c r="AH40" s="308"/>
      <c r="AI40" s="308"/>
      <c r="AK40" s="236">
        <v>93</v>
      </c>
      <c r="AL40" t="s">
        <v>84</v>
      </c>
      <c r="AM40" s="237" t="s">
        <v>1522</v>
      </c>
      <c r="BF40" t="s">
        <v>9</v>
      </c>
      <c r="BW40" s="311">
        <v>275</v>
      </c>
      <c r="BX40" s="311">
        <v>53</v>
      </c>
      <c r="BY40" s="311">
        <v>60</v>
      </c>
      <c r="BZ40" s="312" t="s">
        <v>1247</v>
      </c>
      <c r="CA40" s="312">
        <v>30</v>
      </c>
      <c r="CB40" s="312">
        <v>55</v>
      </c>
      <c r="CC40" s="312">
        <v>28</v>
      </c>
      <c r="CD40" s="312">
        <v>375</v>
      </c>
      <c r="CE40" s="312">
        <v>30</v>
      </c>
      <c r="CF40" s="312">
        <v>30</v>
      </c>
      <c r="CG40" s="312">
        <v>209</v>
      </c>
      <c r="CH40" s="312">
        <v>91</v>
      </c>
      <c r="CI40" s="312">
        <v>466</v>
      </c>
      <c r="CJ40" s="312">
        <v>302</v>
      </c>
      <c r="CK40" s="313">
        <v>164</v>
      </c>
      <c r="CL40" s="322"/>
      <c r="CM40" s="367"/>
      <c r="CN40" s="322"/>
      <c r="CO40" s="322"/>
      <c r="CP40" s="368"/>
      <c r="CQ40" s="321"/>
      <c r="CR40" s="321"/>
      <c r="CS40" s="320"/>
      <c r="CT40" s="368"/>
      <c r="CU40" s="321"/>
      <c r="CV40" s="321"/>
      <c r="CW40" s="368"/>
      <c r="CX40" s="321"/>
      <c r="CY40" s="321"/>
      <c r="CZ40" s="320"/>
      <c r="DA40" s="368"/>
      <c r="DB40" s="321"/>
      <c r="DC40" s="321"/>
      <c r="DD40" s="368"/>
      <c r="DE40" s="321"/>
      <c r="DF40" s="321"/>
      <c r="DG40" s="324">
        <v>118</v>
      </c>
      <c r="DH40" s="368">
        <v>0</v>
      </c>
      <c r="DI40" s="312">
        <v>17</v>
      </c>
      <c r="DJ40" s="325">
        <v>118</v>
      </c>
      <c r="DK40" s="368" t="s">
        <v>1247</v>
      </c>
      <c r="DL40" s="312">
        <v>0</v>
      </c>
      <c r="DM40" s="316">
        <v>282</v>
      </c>
      <c r="DN40" s="320"/>
      <c r="DO40" s="368"/>
      <c r="DP40" s="321"/>
      <c r="DQ40" s="321"/>
      <c r="DR40" s="368"/>
      <c r="DS40" s="321"/>
      <c r="DT40" s="323"/>
      <c r="DU40" s="92" t="s">
        <v>1718</v>
      </c>
    </row>
    <row r="41" spans="2:125" x14ac:dyDescent="0.3">
      <c r="B41" s="311" t="s">
        <v>1719</v>
      </c>
      <c r="D41" s="308"/>
      <c r="E41" s="308" t="s">
        <v>9</v>
      </c>
      <c r="F41" s="304" t="s">
        <v>9</v>
      </c>
      <c r="G41" s="308"/>
      <c r="H41" s="308"/>
      <c r="I41" s="308" t="s">
        <v>9</v>
      </c>
      <c r="J41" s="308" t="s">
        <v>9</v>
      </c>
      <c r="K41" s="308" t="s">
        <v>9</v>
      </c>
      <c r="L41" s="308" t="s">
        <v>9</v>
      </c>
      <c r="M41" s="308"/>
      <c r="N41" s="308"/>
      <c r="O41" s="308"/>
      <c r="P41" s="308" t="s">
        <v>9</v>
      </c>
      <c r="Q41" s="308"/>
      <c r="R41" s="308" t="s">
        <v>9</v>
      </c>
      <c r="S41" s="308"/>
      <c r="T41" s="308"/>
      <c r="U41" s="308" t="s">
        <v>9</v>
      </c>
      <c r="V41" s="308" t="s">
        <v>9</v>
      </c>
      <c r="W41" s="308" t="s">
        <v>9</v>
      </c>
      <c r="X41" s="308" t="s">
        <v>9</v>
      </c>
      <c r="Y41" s="308"/>
      <c r="AA41" s="308" t="s">
        <v>9</v>
      </c>
      <c r="AB41" s="308"/>
      <c r="AC41" s="308" t="s">
        <v>9</v>
      </c>
      <c r="AD41" s="308" t="s">
        <v>9</v>
      </c>
      <c r="AE41" s="308"/>
      <c r="AF41" s="308" t="s">
        <v>9</v>
      </c>
      <c r="AG41" s="308"/>
      <c r="AH41" s="308"/>
      <c r="AI41" s="308"/>
      <c r="AK41" s="236">
        <v>93</v>
      </c>
      <c r="AL41" t="s">
        <v>84</v>
      </c>
      <c r="AM41" s="237" t="s">
        <v>1522</v>
      </c>
      <c r="BG41" t="s">
        <v>9</v>
      </c>
      <c r="BW41" s="311">
        <v>275</v>
      </c>
      <c r="BX41" s="311">
        <v>53</v>
      </c>
      <c r="BY41" s="311">
        <v>60</v>
      </c>
      <c r="BZ41" s="312" t="s">
        <v>1247</v>
      </c>
      <c r="CA41" s="312">
        <v>30</v>
      </c>
      <c r="CB41" s="312">
        <v>55</v>
      </c>
      <c r="CC41" s="312">
        <v>28</v>
      </c>
      <c r="CD41" s="312">
        <v>375</v>
      </c>
      <c r="CE41" s="312">
        <v>30</v>
      </c>
      <c r="CF41" s="312">
        <v>30</v>
      </c>
      <c r="CG41" s="312">
        <v>209</v>
      </c>
      <c r="CH41" s="312">
        <v>91</v>
      </c>
      <c r="CI41" s="312">
        <v>466</v>
      </c>
      <c r="CJ41" s="312">
        <v>302</v>
      </c>
      <c r="CK41" s="313">
        <v>164</v>
      </c>
      <c r="CL41" s="322"/>
      <c r="CM41" s="367"/>
      <c r="CN41" s="322"/>
      <c r="CO41" s="322"/>
      <c r="CP41" s="368"/>
      <c r="CQ41" s="321"/>
      <c r="CR41" s="321"/>
      <c r="CS41" s="320"/>
      <c r="CT41" s="368"/>
      <c r="CU41" s="321"/>
      <c r="CV41" s="321"/>
      <c r="CW41" s="368"/>
      <c r="CX41" s="321"/>
      <c r="CY41" s="321"/>
      <c r="CZ41" s="320"/>
      <c r="DA41" s="368"/>
      <c r="DB41" s="321"/>
      <c r="DC41" s="321"/>
      <c r="DD41" s="368"/>
      <c r="DE41" s="321"/>
      <c r="DF41" s="321"/>
      <c r="DG41" s="324">
        <v>118</v>
      </c>
      <c r="DH41" s="368">
        <v>0</v>
      </c>
      <c r="DI41" s="312">
        <v>17</v>
      </c>
      <c r="DJ41" s="325">
        <v>118</v>
      </c>
      <c r="DK41" s="368" t="s">
        <v>1247</v>
      </c>
      <c r="DL41" s="312">
        <v>0</v>
      </c>
      <c r="DM41" s="316">
        <v>282</v>
      </c>
      <c r="DN41" s="320"/>
      <c r="DO41" s="368"/>
      <c r="DP41" s="321"/>
      <c r="DQ41" s="321"/>
      <c r="DR41" s="368"/>
      <c r="DS41" s="321"/>
      <c r="DT41" s="323"/>
      <c r="DU41" s="92" t="s">
        <v>1719</v>
      </c>
    </row>
    <row r="42" spans="2:125" x14ac:dyDescent="0.3">
      <c r="B42" s="311" t="s">
        <v>1720</v>
      </c>
      <c r="D42" s="308"/>
      <c r="E42" s="308" t="s">
        <v>9</v>
      </c>
      <c r="F42" s="304" t="s">
        <v>9</v>
      </c>
      <c r="G42" s="308"/>
      <c r="H42" s="308"/>
      <c r="I42" s="308" t="s">
        <v>9</v>
      </c>
      <c r="J42" s="308" t="s">
        <v>9</v>
      </c>
      <c r="K42" s="308" t="s">
        <v>9</v>
      </c>
      <c r="L42" s="308" t="s">
        <v>9</v>
      </c>
      <c r="M42" s="308"/>
      <c r="N42" s="308"/>
      <c r="O42" s="308"/>
      <c r="P42" s="308" t="s">
        <v>9</v>
      </c>
      <c r="Q42" s="308"/>
      <c r="R42" s="308" t="s">
        <v>9</v>
      </c>
      <c r="S42" s="308"/>
      <c r="T42" s="308"/>
      <c r="U42" s="308" t="s">
        <v>9</v>
      </c>
      <c r="V42" s="308" t="s">
        <v>9</v>
      </c>
      <c r="W42" s="308" t="s">
        <v>9</v>
      </c>
      <c r="X42" s="308" t="s">
        <v>9</v>
      </c>
      <c r="Y42" s="308"/>
      <c r="AA42" s="308" t="s">
        <v>9</v>
      </c>
      <c r="AB42" s="308"/>
      <c r="AC42" s="308"/>
      <c r="AD42" s="308"/>
      <c r="AE42" s="308"/>
      <c r="AF42" s="308" t="s">
        <v>9</v>
      </c>
      <c r="AG42" s="308"/>
      <c r="AH42" s="308"/>
      <c r="AI42" s="308"/>
      <c r="AK42" s="236">
        <v>93</v>
      </c>
      <c r="AL42" t="s">
        <v>84</v>
      </c>
      <c r="AM42" s="237" t="s">
        <v>1522</v>
      </c>
      <c r="AZ42" t="s">
        <v>9</v>
      </c>
      <c r="BW42" s="311">
        <v>275</v>
      </c>
      <c r="BX42" s="311">
        <v>53</v>
      </c>
      <c r="BY42" s="311">
        <v>60</v>
      </c>
      <c r="BZ42" s="312" t="s">
        <v>1247</v>
      </c>
      <c r="CA42" s="312">
        <v>30</v>
      </c>
      <c r="CB42" s="312">
        <v>34</v>
      </c>
      <c r="CC42" s="312">
        <v>17</v>
      </c>
      <c r="CD42" s="312">
        <v>375</v>
      </c>
      <c r="CE42" s="312">
        <v>30</v>
      </c>
      <c r="CF42" s="312">
        <v>30</v>
      </c>
      <c r="CG42" s="312">
        <v>140</v>
      </c>
      <c r="CH42" s="312">
        <v>91</v>
      </c>
      <c r="CI42" s="312">
        <v>466</v>
      </c>
      <c r="CJ42" s="312">
        <v>415</v>
      </c>
      <c r="CK42" s="313">
        <v>51</v>
      </c>
      <c r="CL42" s="322"/>
      <c r="CM42" s="367"/>
      <c r="CN42" s="322"/>
      <c r="CO42" s="322"/>
      <c r="CP42" s="368"/>
      <c r="CQ42" s="321"/>
      <c r="CR42" s="321"/>
      <c r="CS42" s="320"/>
      <c r="CT42" s="368"/>
      <c r="CU42" s="321"/>
      <c r="CV42" s="321"/>
      <c r="CW42" s="368"/>
      <c r="CX42" s="321"/>
      <c r="CY42" s="321"/>
      <c r="CZ42" s="320"/>
      <c r="DA42" s="368"/>
      <c r="DB42" s="321"/>
      <c r="DC42" s="321"/>
      <c r="DD42" s="368"/>
      <c r="DE42" s="321"/>
      <c r="DF42" s="321"/>
      <c r="DG42" s="326">
        <v>49</v>
      </c>
      <c r="DH42" s="368">
        <v>0</v>
      </c>
      <c r="DI42" s="312">
        <v>17</v>
      </c>
      <c r="DJ42" s="312">
        <v>49</v>
      </c>
      <c r="DK42" s="368" t="s">
        <v>1247</v>
      </c>
      <c r="DL42" s="312">
        <v>0</v>
      </c>
      <c r="DM42" s="316">
        <v>100</v>
      </c>
      <c r="DN42" s="326">
        <v>49</v>
      </c>
      <c r="DO42" s="368">
        <v>0</v>
      </c>
      <c r="DP42" s="312" t="s">
        <v>1247</v>
      </c>
      <c r="DQ42" s="312">
        <v>49</v>
      </c>
      <c r="DR42" s="368" t="s">
        <v>1247</v>
      </c>
      <c r="DS42" s="312">
        <v>34</v>
      </c>
      <c r="DT42" s="315">
        <v>100</v>
      </c>
      <c r="DU42" s="92" t="s">
        <v>1720</v>
      </c>
    </row>
    <row r="43" spans="2:125" x14ac:dyDescent="0.3">
      <c r="B43" s="311" t="s">
        <v>1721</v>
      </c>
      <c r="D43" s="308"/>
      <c r="E43" s="308" t="s">
        <v>9</v>
      </c>
      <c r="F43" s="304" t="s">
        <v>9</v>
      </c>
      <c r="G43" s="308"/>
      <c r="H43" s="308"/>
      <c r="I43" s="308" t="s">
        <v>9</v>
      </c>
      <c r="J43" s="308" t="s">
        <v>9</v>
      </c>
      <c r="K43" s="308" t="s">
        <v>9</v>
      </c>
      <c r="L43" s="308" t="s">
        <v>9</v>
      </c>
      <c r="M43" s="308"/>
      <c r="N43" s="308"/>
      <c r="O43" s="308"/>
      <c r="P43" s="308" t="s">
        <v>9</v>
      </c>
      <c r="Q43" s="308"/>
      <c r="R43" s="308" t="s">
        <v>9</v>
      </c>
      <c r="S43" s="308"/>
      <c r="T43" s="308"/>
      <c r="U43" s="308"/>
      <c r="V43" s="308" t="s">
        <v>9</v>
      </c>
      <c r="W43" s="308" t="s">
        <v>9</v>
      </c>
      <c r="X43" s="308" t="s">
        <v>9</v>
      </c>
      <c r="Y43" s="308"/>
      <c r="AA43" s="308" t="s">
        <v>9</v>
      </c>
      <c r="AB43" s="308" t="s">
        <v>9</v>
      </c>
      <c r="AC43" s="308"/>
      <c r="AD43" s="308"/>
      <c r="AE43" s="308"/>
      <c r="AF43" s="308" t="s">
        <v>9</v>
      </c>
      <c r="AG43" s="308"/>
      <c r="AH43" s="308"/>
      <c r="AI43" s="308"/>
      <c r="AK43" s="236">
        <v>93</v>
      </c>
      <c r="AL43" t="s">
        <v>84</v>
      </c>
      <c r="AM43" s="237" t="s">
        <v>1522</v>
      </c>
      <c r="BA43" t="s">
        <v>9</v>
      </c>
      <c r="BW43" s="311">
        <v>275</v>
      </c>
      <c r="BX43" s="311">
        <v>53</v>
      </c>
      <c r="BY43" s="311">
        <v>60</v>
      </c>
      <c r="BZ43" s="312" t="s">
        <v>1247</v>
      </c>
      <c r="CA43" s="312">
        <v>30</v>
      </c>
      <c r="CB43" s="312">
        <v>34</v>
      </c>
      <c r="CC43" s="312">
        <v>17</v>
      </c>
      <c r="CD43" s="312">
        <v>375</v>
      </c>
      <c r="CE43" s="312">
        <v>30</v>
      </c>
      <c r="CF43" s="312">
        <v>30</v>
      </c>
      <c r="CG43" s="312">
        <v>140</v>
      </c>
      <c r="CH43" s="312">
        <v>91</v>
      </c>
      <c r="CI43" s="312">
        <v>466</v>
      </c>
      <c r="CJ43" s="312">
        <v>415</v>
      </c>
      <c r="CK43" s="313">
        <v>51</v>
      </c>
      <c r="CL43" s="322"/>
      <c r="CM43" s="367"/>
      <c r="CN43" s="322"/>
      <c r="CO43" s="322"/>
      <c r="CP43" s="368"/>
      <c r="CQ43" s="321"/>
      <c r="CR43" s="321"/>
      <c r="CS43" s="320"/>
      <c r="CT43" s="368"/>
      <c r="CU43" s="321"/>
      <c r="CV43" s="321"/>
      <c r="CW43" s="368"/>
      <c r="CX43" s="321"/>
      <c r="CY43" s="321"/>
      <c r="CZ43" s="320"/>
      <c r="DA43" s="368"/>
      <c r="DB43" s="321"/>
      <c r="DC43" s="321"/>
      <c r="DD43" s="368"/>
      <c r="DE43" s="321"/>
      <c r="DF43" s="321"/>
      <c r="DG43" s="326">
        <v>49</v>
      </c>
      <c r="DH43" s="368">
        <v>0</v>
      </c>
      <c r="DI43" s="312">
        <v>17</v>
      </c>
      <c r="DJ43" s="312">
        <v>49</v>
      </c>
      <c r="DK43" s="368" t="s">
        <v>1247</v>
      </c>
      <c r="DL43" s="312">
        <v>0</v>
      </c>
      <c r="DM43" s="316">
        <v>100</v>
      </c>
      <c r="DN43" s="326">
        <v>49</v>
      </c>
      <c r="DO43" s="368">
        <v>0</v>
      </c>
      <c r="DP43" s="312" t="s">
        <v>1247</v>
      </c>
      <c r="DQ43" s="312">
        <v>49</v>
      </c>
      <c r="DR43" s="368" t="s">
        <v>1247</v>
      </c>
      <c r="DS43" s="312">
        <v>34</v>
      </c>
      <c r="DT43" s="315">
        <v>100</v>
      </c>
      <c r="DU43" s="92" t="s">
        <v>1721</v>
      </c>
    </row>
    <row r="44" spans="2:125" x14ac:dyDescent="0.3">
      <c r="B44" s="311" t="s">
        <v>1722</v>
      </c>
      <c r="D44" s="308"/>
      <c r="E44" s="308" t="s">
        <v>9</v>
      </c>
      <c r="F44" s="304" t="s">
        <v>9</v>
      </c>
      <c r="G44" s="308"/>
      <c r="H44" s="308"/>
      <c r="I44" s="308" t="s">
        <v>9</v>
      </c>
      <c r="J44" s="308" t="s">
        <v>9</v>
      </c>
      <c r="K44" s="308" t="s">
        <v>9</v>
      </c>
      <c r="L44" s="308" t="s">
        <v>9</v>
      </c>
      <c r="M44" s="308"/>
      <c r="N44" s="308"/>
      <c r="O44" s="308"/>
      <c r="P44" s="308" t="s">
        <v>9</v>
      </c>
      <c r="Q44" s="308"/>
      <c r="R44" s="308" t="s">
        <v>9</v>
      </c>
      <c r="S44" s="308"/>
      <c r="T44" s="308"/>
      <c r="U44" s="308" t="s">
        <v>9</v>
      </c>
      <c r="V44" s="308" t="s">
        <v>9</v>
      </c>
      <c r="W44" s="308" t="s">
        <v>9</v>
      </c>
      <c r="X44" s="308" t="s">
        <v>9</v>
      </c>
      <c r="Y44" s="308"/>
      <c r="AA44" s="308" t="s">
        <v>9</v>
      </c>
      <c r="AB44" s="308"/>
      <c r="AC44" s="308" t="s">
        <v>9</v>
      </c>
      <c r="AD44" s="308"/>
      <c r="AE44" s="308" t="s">
        <v>9</v>
      </c>
      <c r="AF44" s="308" t="s">
        <v>9</v>
      </c>
      <c r="AG44" s="308"/>
      <c r="AH44" s="308"/>
      <c r="AI44" s="308"/>
      <c r="AK44" s="236">
        <v>93</v>
      </c>
      <c r="AL44" t="s">
        <v>84</v>
      </c>
      <c r="AM44" s="237" t="s">
        <v>1522</v>
      </c>
      <c r="BB44" t="s">
        <v>9</v>
      </c>
      <c r="BW44" s="311">
        <v>275</v>
      </c>
      <c r="BX44" s="311">
        <v>53</v>
      </c>
      <c r="BY44" s="311">
        <v>60</v>
      </c>
      <c r="BZ44" s="312" t="s">
        <v>1247</v>
      </c>
      <c r="CA44" s="312">
        <v>30</v>
      </c>
      <c r="CB44" s="312">
        <v>55</v>
      </c>
      <c r="CC44" s="312">
        <v>28</v>
      </c>
      <c r="CD44" s="312">
        <v>375</v>
      </c>
      <c r="CE44" s="312">
        <v>30</v>
      </c>
      <c r="CF44" s="312">
        <v>30</v>
      </c>
      <c r="CG44" s="312">
        <v>140</v>
      </c>
      <c r="CH44" s="312">
        <v>91</v>
      </c>
      <c r="CI44" s="312">
        <v>466</v>
      </c>
      <c r="CJ44" s="312">
        <v>302</v>
      </c>
      <c r="CK44" s="313">
        <v>164</v>
      </c>
      <c r="CL44" s="322"/>
      <c r="CM44" s="367"/>
      <c r="CN44" s="322"/>
      <c r="CO44" s="322"/>
      <c r="CP44" s="368"/>
      <c r="CQ44" s="321"/>
      <c r="CR44" s="321"/>
      <c r="CS44" s="320"/>
      <c r="CT44" s="368"/>
      <c r="CU44" s="321"/>
      <c r="CV44" s="321"/>
      <c r="CW44" s="368"/>
      <c r="CX44" s="321"/>
      <c r="CY44" s="321"/>
      <c r="CZ44" s="320"/>
      <c r="DA44" s="368"/>
      <c r="DB44" s="321"/>
      <c r="DC44" s="321"/>
      <c r="DD44" s="368"/>
      <c r="DE44" s="321"/>
      <c r="DF44" s="321"/>
      <c r="DG44" s="326">
        <v>49</v>
      </c>
      <c r="DH44" s="368">
        <v>0</v>
      </c>
      <c r="DI44" s="312">
        <v>17</v>
      </c>
      <c r="DJ44" s="312">
        <v>49</v>
      </c>
      <c r="DK44" s="368" t="s">
        <v>1247</v>
      </c>
      <c r="DL44" s="312">
        <v>0</v>
      </c>
      <c r="DM44" s="316">
        <v>213</v>
      </c>
      <c r="DN44" s="320"/>
      <c r="DO44" s="368"/>
      <c r="DP44" s="321"/>
      <c r="DQ44" s="321"/>
      <c r="DR44" s="368"/>
      <c r="DS44" s="321"/>
      <c r="DT44" s="323"/>
      <c r="DU44" s="92" t="s">
        <v>1722</v>
      </c>
    </row>
    <row r="45" spans="2:125" x14ac:dyDescent="0.3">
      <c r="B45" s="311" t="s">
        <v>1723</v>
      </c>
      <c r="D45" s="308"/>
      <c r="E45" s="308" t="s">
        <v>9</v>
      </c>
      <c r="F45" s="304" t="s">
        <v>9</v>
      </c>
      <c r="G45" s="308"/>
      <c r="H45" s="308"/>
      <c r="I45" s="308" t="s">
        <v>9</v>
      </c>
      <c r="J45" s="308" t="s">
        <v>9</v>
      </c>
      <c r="K45" s="308" t="s">
        <v>9</v>
      </c>
      <c r="L45" s="308" t="s">
        <v>9</v>
      </c>
      <c r="M45" s="308"/>
      <c r="N45" s="308"/>
      <c r="O45" s="308"/>
      <c r="P45" s="308" t="s">
        <v>9</v>
      </c>
      <c r="Q45" s="308"/>
      <c r="R45" s="308" t="s">
        <v>9</v>
      </c>
      <c r="S45" s="308"/>
      <c r="T45" s="308"/>
      <c r="U45" s="308" t="s">
        <v>9</v>
      </c>
      <c r="V45" s="308" t="s">
        <v>9</v>
      </c>
      <c r="W45" s="308" t="s">
        <v>9</v>
      </c>
      <c r="X45" s="308" t="s">
        <v>9</v>
      </c>
      <c r="Y45" s="308"/>
      <c r="AA45" s="308" t="s">
        <v>9</v>
      </c>
      <c r="AB45" s="308"/>
      <c r="AC45" s="308" t="s">
        <v>9</v>
      </c>
      <c r="AD45" s="308"/>
      <c r="AE45" s="308" t="s">
        <v>9</v>
      </c>
      <c r="AF45" s="308" t="s">
        <v>9</v>
      </c>
      <c r="AG45" s="308"/>
      <c r="AH45" s="308"/>
      <c r="AI45" s="308"/>
      <c r="AK45" s="236">
        <v>93</v>
      </c>
      <c r="AL45" t="s">
        <v>84</v>
      </c>
      <c r="AM45" s="237" t="s">
        <v>1522</v>
      </c>
      <c r="BC45" t="s">
        <v>9</v>
      </c>
      <c r="BW45" s="311">
        <v>275</v>
      </c>
      <c r="BX45" s="311">
        <v>53</v>
      </c>
      <c r="BY45" s="311">
        <v>60</v>
      </c>
      <c r="BZ45" s="312" t="s">
        <v>1247</v>
      </c>
      <c r="CA45" s="312">
        <v>30</v>
      </c>
      <c r="CB45" s="312">
        <v>55</v>
      </c>
      <c r="CC45" s="312">
        <v>28</v>
      </c>
      <c r="CD45" s="312">
        <v>375</v>
      </c>
      <c r="CE45" s="312">
        <v>30</v>
      </c>
      <c r="CF45" s="312">
        <v>30</v>
      </c>
      <c r="CG45" s="312">
        <v>140</v>
      </c>
      <c r="CH45" s="312">
        <v>91</v>
      </c>
      <c r="CI45" s="312">
        <v>466</v>
      </c>
      <c r="CJ45" s="312">
        <v>302</v>
      </c>
      <c r="CK45" s="313">
        <v>164</v>
      </c>
      <c r="CL45" s="322"/>
      <c r="CM45" s="367"/>
      <c r="CN45" s="322"/>
      <c r="CO45" s="322"/>
      <c r="CP45" s="368"/>
      <c r="CQ45" s="321"/>
      <c r="CR45" s="321"/>
      <c r="CS45" s="320"/>
      <c r="CT45" s="368"/>
      <c r="CU45" s="321"/>
      <c r="CV45" s="321"/>
      <c r="CW45" s="368"/>
      <c r="CX45" s="321"/>
      <c r="CY45" s="321"/>
      <c r="CZ45" s="320"/>
      <c r="DA45" s="368"/>
      <c r="DB45" s="321"/>
      <c r="DC45" s="321"/>
      <c r="DD45" s="368"/>
      <c r="DE45" s="321"/>
      <c r="DF45" s="321"/>
      <c r="DG45" s="326">
        <v>49</v>
      </c>
      <c r="DH45" s="368">
        <v>0</v>
      </c>
      <c r="DI45" s="312">
        <v>17</v>
      </c>
      <c r="DJ45" s="312">
        <v>49</v>
      </c>
      <c r="DK45" s="368" t="s">
        <v>1247</v>
      </c>
      <c r="DL45" s="312">
        <v>0</v>
      </c>
      <c r="DM45" s="316">
        <v>213</v>
      </c>
      <c r="DN45" s="320"/>
      <c r="DO45" s="368"/>
      <c r="DP45" s="321"/>
      <c r="DQ45" s="321"/>
      <c r="DR45" s="368"/>
      <c r="DS45" s="321"/>
      <c r="DT45" s="323"/>
      <c r="DU45" s="92" t="s">
        <v>1723</v>
      </c>
    </row>
    <row r="46" spans="2:125" x14ac:dyDescent="0.3">
      <c r="B46" s="311" t="s">
        <v>1724</v>
      </c>
      <c r="D46" s="308"/>
      <c r="E46" s="308" t="s">
        <v>9</v>
      </c>
      <c r="F46" s="304" t="s">
        <v>9</v>
      </c>
      <c r="G46" s="308"/>
      <c r="H46" s="308"/>
      <c r="I46" s="308" t="s">
        <v>9</v>
      </c>
      <c r="J46" s="308" t="s">
        <v>9</v>
      </c>
      <c r="K46" s="308" t="s">
        <v>9</v>
      </c>
      <c r="L46" s="308" t="s">
        <v>9</v>
      </c>
      <c r="M46" s="308"/>
      <c r="N46" s="308"/>
      <c r="O46" s="308"/>
      <c r="P46" s="308" t="s">
        <v>9</v>
      </c>
      <c r="Q46" s="308"/>
      <c r="R46" s="308" t="s">
        <v>9</v>
      </c>
      <c r="S46" s="308"/>
      <c r="T46" s="308"/>
      <c r="U46" s="308" t="s">
        <v>9</v>
      </c>
      <c r="V46" s="308" t="s">
        <v>9</v>
      </c>
      <c r="W46" s="308" t="s">
        <v>9</v>
      </c>
      <c r="X46" s="308" t="s">
        <v>9</v>
      </c>
      <c r="Y46" s="308"/>
      <c r="AA46" s="308" t="s">
        <v>9</v>
      </c>
      <c r="AB46" s="308"/>
      <c r="AC46" s="308" t="s">
        <v>9</v>
      </c>
      <c r="AD46" s="308"/>
      <c r="AE46" s="308" t="s">
        <v>9</v>
      </c>
      <c r="AF46" s="308" t="s">
        <v>9</v>
      </c>
      <c r="AG46" s="308"/>
      <c r="AH46" s="308"/>
      <c r="AI46" s="308"/>
      <c r="AK46" s="236">
        <v>93</v>
      </c>
      <c r="AL46" t="s">
        <v>84</v>
      </c>
      <c r="AM46" s="237" t="s">
        <v>1522</v>
      </c>
      <c r="BD46" t="s">
        <v>9</v>
      </c>
      <c r="BW46" s="311">
        <v>275</v>
      </c>
      <c r="BX46" s="311">
        <v>53</v>
      </c>
      <c r="BY46" s="311">
        <v>60</v>
      </c>
      <c r="BZ46" s="312" t="s">
        <v>1247</v>
      </c>
      <c r="CA46" s="312">
        <v>30</v>
      </c>
      <c r="CB46" s="312">
        <v>55</v>
      </c>
      <c r="CC46" s="312">
        <v>28</v>
      </c>
      <c r="CD46" s="312">
        <v>375</v>
      </c>
      <c r="CE46" s="312">
        <v>30</v>
      </c>
      <c r="CF46" s="312">
        <v>30</v>
      </c>
      <c r="CG46" s="312">
        <v>140</v>
      </c>
      <c r="CH46" s="312">
        <v>91</v>
      </c>
      <c r="CI46" s="312">
        <v>466</v>
      </c>
      <c r="CJ46" s="312">
        <v>302</v>
      </c>
      <c r="CK46" s="313">
        <v>164</v>
      </c>
      <c r="CL46" s="322"/>
      <c r="CM46" s="367"/>
      <c r="CN46" s="322"/>
      <c r="CO46" s="322"/>
      <c r="CP46" s="368"/>
      <c r="CQ46" s="321"/>
      <c r="CR46" s="321"/>
      <c r="CS46" s="320"/>
      <c r="CT46" s="368"/>
      <c r="CU46" s="321"/>
      <c r="CV46" s="321"/>
      <c r="CW46" s="368"/>
      <c r="CX46" s="321"/>
      <c r="CY46" s="321"/>
      <c r="CZ46" s="320"/>
      <c r="DA46" s="368"/>
      <c r="DB46" s="321"/>
      <c r="DC46" s="321"/>
      <c r="DD46" s="368"/>
      <c r="DE46" s="321"/>
      <c r="DF46" s="321"/>
      <c r="DG46" s="326">
        <v>49</v>
      </c>
      <c r="DH46" s="368">
        <v>0</v>
      </c>
      <c r="DI46" s="312">
        <v>17</v>
      </c>
      <c r="DJ46" s="312">
        <v>49</v>
      </c>
      <c r="DK46" s="368" t="s">
        <v>1247</v>
      </c>
      <c r="DL46" s="312">
        <v>0</v>
      </c>
      <c r="DM46" s="316">
        <v>213</v>
      </c>
      <c r="DN46" s="320"/>
      <c r="DO46" s="368"/>
      <c r="DP46" s="321"/>
      <c r="DQ46" s="321"/>
      <c r="DR46" s="368"/>
      <c r="DS46" s="321"/>
      <c r="DT46" s="323"/>
      <c r="DU46" s="92" t="s">
        <v>1724</v>
      </c>
    </row>
    <row r="47" spans="2:125" x14ac:dyDescent="0.3">
      <c r="B47" s="311" t="s">
        <v>1725</v>
      </c>
      <c r="D47" s="308"/>
      <c r="E47" s="308" t="s">
        <v>9</v>
      </c>
      <c r="F47" s="304" t="s">
        <v>9</v>
      </c>
      <c r="G47" s="308"/>
      <c r="H47" s="308"/>
      <c r="I47" s="308" t="s">
        <v>9</v>
      </c>
      <c r="J47" s="308" t="s">
        <v>9</v>
      </c>
      <c r="K47" s="308" t="s">
        <v>9</v>
      </c>
      <c r="L47" s="308" t="s">
        <v>9</v>
      </c>
      <c r="M47" s="308"/>
      <c r="N47" s="308"/>
      <c r="O47" s="308"/>
      <c r="P47" s="308" t="s">
        <v>9</v>
      </c>
      <c r="Q47" s="308"/>
      <c r="R47" s="308" t="s">
        <v>9</v>
      </c>
      <c r="S47" s="308"/>
      <c r="T47" s="308"/>
      <c r="U47" s="308" t="s">
        <v>9</v>
      </c>
      <c r="V47" s="308" t="s">
        <v>9</v>
      </c>
      <c r="W47" s="308" t="s">
        <v>9</v>
      </c>
      <c r="X47" s="308" t="s">
        <v>9</v>
      </c>
      <c r="Y47" s="308"/>
      <c r="AA47" s="308" t="s">
        <v>9</v>
      </c>
      <c r="AB47" s="308"/>
      <c r="AC47" s="308" t="s">
        <v>9</v>
      </c>
      <c r="AD47" s="308" t="s">
        <v>9</v>
      </c>
      <c r="AE47" s="308"/>
      <c r="AF47" s="308" t="s">
        <v>9</v>
      </c>
      <c r="AG47" s="308"/>
      <c r="AH47" s="308"/>
      <c r="AI47" s="308"/>
      <c r="AK47" s="236">
        <v>93</v>
      </c>
      <c r="AL47" t="s">
        <v>84</v>
      </c>
      <c r="AM47" s="237" t="s">
        <v>1522</v>
      </c>
      <c r="BE47" t="s">
        <v>9</v>
      </c>
      <c r="BW47" s="311">
        <v>275</v>
      </c>
      <c r="BX47" s="311">
        <v>53</v>
      </c>
      <c r="BY47" s="311">
        <v>60</v>
      </c>
      <c r="BZ47" s="312" t="s">
        <v>1247</v>
      </c>
      <c r="CA47" s="312">
        <v>30</v>
      </c>
      <c r="CB47" s="312">
        <v>55</v>
      </c>
      <c r="CC47" s="312">
        <v>28</v>
      </c>
      <c r="CD47" s="312">
        <v>375</v>
      </c>
      <c r="CE47" s="312">
        <v>30</v>
      </c>
      <c r="CF47" s="312">
        <v>30</v>
      </c>
      <c r="CG47" s="312">
        <v>140</v>
      </c>
      <c r="CH47" s="312">
        <v>91</v>
      </c>
      <c r="CI47" s="312">
        <v>466</v>
      </c>
      <c r="CJ47" s="312">
        <v>302</v>
      </c>
      <c r="CK47" s="313">
        <v>164</v>
      </c>
      <c r="CL47" s="322"/>
      <c r="CM47" s="367"/>
      <c r="CN47" s="322"/>
      <c r="CO47" s="322"/>
      <c r="CP47" s="368"/>
      <c r="CQ47" s="321"/>
      <c r="CR47" s="321"/>
      <c r="CS47" s="320"/>
      <c r="CT47" s="368"/>
      <c r="CU47" s="321"/>
      <c r="CV47" s="321"/>
      <c r="CW47" s="368"/>
      <c r="CX47" s="321"/>
      <c r="CY47" s="321"/>
      <c r="CZ47" s="320"/>
      <c r="DA47" s="368"/>
      <c r="DB47" s="321"/>
      <c r="DC47" s="321"/>
      <c r="DD47" s="368"/>
      <c r="DE47" s="321"/>
      <c r="DF47" s="321"/>
      <c r="DG47" s="326">
        <v>49</v>
      </c>
      <c r="DH47" s="368">
        <v>0</v>
      </c>
      <c r="DI47" s="312">
        <v>17</v>
      </c>
      <c r="DJ47" s="312">
        <v>49</v>
      </c>
      <c r="DK47" s="368" t="s">
        <v>1247</v>
      </c>
      <c r="DL47" s="312">
        <v>0</v>
      </c>
      <c r="DM47" s="316">
        <v>213</v>
      </c>
      <c r="DN47" s="320"/>
      <c r="DO47" s="368"/>
      <c r="DP47" s="321"/>
      <c r="DQ47" s="321"/>
      <c r="DR47" s="368"/>
      <c r="DS47" s="321"/>
      <c r="DT47" s="323"/>
      <c r="DU47" s="92" t="s">
        <v>1725</v>
      </c>
    </row>
    <row r="48" spans="2:125" x14ac:dyDescent="0.3">
      <c r="B48" s="311" t="s">
        <v>1726</v>
      </c>
      <c r="D48" s="308"/>
      <c r="E48" s="308" t="s">
        <v>9</v>
      </c>
      <c r="F48" s="304" t="s">
        <v>9</v>
      </c>
      <c r="G48" s="308"/>
      <c r="H48" s="308"/>
      <c r="I48" s="308" t="s">
        <v>9</v>
      </c>
      <c r="J48" s="308" t="s">
        <v>9</v>
      </c>
      <c r="K48" s="308" t="s">
        <v>9</v>
      </c>
      <c r="L48" s="308" t="s">
        <v>9</v>
      </c>
      <c r="M48" s="308"/>
      <c r="N48" s="308"/>
      <c r="O48" s="308"/>
      <c r="P48" s="308" t="s">
        <v>9</v>
      </c>
      <c r="Q48" s="308"/>
      <c r="R48" s="308" t="s">
        <v>9</v>
      </c>
      <c r="S48" s="308"/>
      <c r="T48" s="308"/>
      <c r="U48" s="308" t="s">
        <v>9</v>
      </c>
      <c r="V48" s="308" t="s">
        <v>9</v>
      </c>
      <c r="W48" s="308" t="s">
        <v>9</v>
      </c>
      <c r="X48" s="308" t="s">
        <v>9</v>
      </c>
      <c r="Y48" s="308"/>
      <c r="AA48" s="308" t="s">
        <v>9</v>
      </c>
      <c r="AB48" s="308"/>
      <c r="AC48" s="308" t="s">
        <v>9</v>
      </c>
      <c r="AD48" s="308" t="s">
        <v>9</v>
      </c>
      <c r="AE48" s="308"/>
      <c r="AF48" s="308" t="s">
        <v>9</v>
      </c>
      <c r="AG48" s="308"/>
      <c r="AH48" s="308"/>
      <c r="AI48" s="308"/>
      <c r="AK48" s="236">
        <v>93</v>
      </c>
      <c r="AL48" t="s">
        <v>84</v>
      </c>
      <c r="AM48" s="237" t="s">
        <v>1522</v>
      </c>
      <c r="BF48" t="s">
        <v>9</v>
      </c>
      <c r="BW48" s="311">
        <v>275</v>
      </c>
      <c r="BX48" s="311">
        <v>53</v>
      </c>
      <c r="BY48" s="311">
        <v>60</v>
      </c>
      <c r="BZ48" s="312" t="s">
        <v>1247</v>
      </c>
      <c r="CA48" s="312">
        <v>30</v>
      </c>
      <c r="CB48" s="312">
        <v>55</v>
      </c>
      <c r="CC48" s="312">
        <v>28</v>
      </c>
      <c r="CD48" s="312">
        <v>375</v>
      </c>
      <c r="CE48" s="312">
        <v>30</v>
      </c>
      <c r="CF48" s="312">
        <v>30</v>
      </c>
      <c r="CG48" s="312">
        <v>140</v>
      </c>
      <c r="CH48" s="312">
        <v>91</v>
      </c>
      <c r="CI48" s="312">
        <v>466</v>
      </c>
      <c r="CJ48" s="312">
        <v>302</v>
      </c>
      <c r="CK48" s="313">
        <v>164</v>
      </c>
      <c r="CL48" s="322"/>
      <c r="CM48" s="367"/>
      <c r="CN48" s="322"/>
      <c r="CO48" s="322"/>
      <c r="CP48" s="368"/>
      <c r="CQ48" s="321"/>
      <c r="CR48" s="321"/>
      <c r="CS48" s="320"/>
      <c r="CT48" s="368"/>
      <c r="CU48" s="321"/>
      <c r="CV48" s="321"/>
      <c r="CW48" s="368"/>
      <c r="CX48" s="321"/>
      <c r="CY48" s="321"/>
      <c r="CZ48" s="320"/>
      <c r="DA48" s="368"/>
      <c r="DB48" s="321"/>
      <c r="DC48" s="321"/>
      <c r="DD48" s="368"/>
      <c r="DE48" s="321"/>
      <c r="DF48" s="321"/>
      <c r="DG48" s="326">
        <v>49</v>
      </c>
      <c r="DH48" s="368">
        <v>0</v>
      </c>
      <c r="DI48" s="312">
        <v>17</v>
      </c>
      <c r="DJ48" s="312">
        <v>49</v>
      </c>
      <c r="DK48" s="368" t="s">
        <v>1247</v>
      </c>
      <c r="DL48" s="312">
        <v>0</v>
      </c>
      <c r="DM48" s="316">
        <v>213</v>
      </c>
      <c r="DN48" s="320"/>
      <c r="DO48" s="368"/>
      <c r="DP48" s="321"/>
      <c r="DQ48" s="321"/>
      <c r="DR48" s="368"/>
      <c r="DS48" s="321"/>
      <c r="DT48" s="323"/>
      <c r="DU48" s="92" t="s">
        <v>1726</v>
      </c>
    </row>
    <row r="49" spans="2:125" x14ac:dyDescent="0.3">
      <c r="B49" s="311" t="s">
        <v>1727</v>
      </c>
      <c r="D49" s="308"/>
      <c r="E49" s="308" t="s">
        <v>9</v>
      </c>
      <c r="F49" s="304" t="s">
        <v>9</v>
      </c>
      <c r="G49" s="308"/>
      <c r="H49" s="308"/>
      <c r="I49" s="308" t="s">
        <v>9</v>
      </c>
      <c r="J49" s="308" t="s">
        <v>9</v>
      </c>
      <c r="K49" s="308" t="s">
        <v>9</v>
      </c>
      <c r="L49" s="308" t="s">
        <v>9</v>
      </c>
      <c r="M49" s="308"/>
      <c r="N49" s="308"/>
      <c r="O49" s="308"/>
      <c r="P49" s="308" t="s">
        <v>9</v>
      </c>
      <c r="Q49" s="308"/>
      <c r="R49" s="308" t="s">
        <v>9</v>
      </c>
      <c r="S49" s="308"/>
      <c r="T49" s="308"/>
      <c r="U49" s="308" t="s">
        <v>9</v>
      </c>
      <c r="V49" s="308" t="s">
        <v>9</v>
      </c>
      <c r="W49" s="308" t="s">
        <v>9</v>
      </c>
      <c r="X49" s="308" t="s">
        <v>9</v>
      </c>
      <c r="Y49" s="308"/>
      <c r="AA49" s="308" t="s">
        <v>9</v>
      </c>
      <c r="AB49" s="308"/>
      <c r="AC49" s="308" t="s">
        <v>9</v>
      </c>
      <c r="AD49" s="308" t="s">
        <v>9</v>
      </c>
      <c r="AE49" s="308"/>
      <c r="AF49" s="308" t="s">
        <v>9</v>
      </c>
      <c r="AG49" s="308"/>
      <c r="AH49" s="308"/>
      <c r="AI49" s="308"/>
      <c r="AK49" s="236">
        <v>93</v>
      </c>
      <c r="AL49" t="s">
        <v>84</v>
      </c>
      <c r="AM49" s="237" t="s">
        <v>1522</v>
      </c>
      <c r="BG49" t="s">
        <v>9</v>
      </c>
      <c r="BW49" s="311">
        <v>275</v>
      </c>
      <c r="BX49" s="311">
        <v>53</v>
      </c>
      <c r="BY49" s="311">
        <v>60</v>
      </c>
      <c r="BZ49" s="312" t="s">
        <v>1247</v>
      </c>
      <c r="CA49" s="312">
        <v>30</v>
      </c>
      <c r="CB49" s="312">
        <v>55</v>
      </c>
      <c r="CC49" s="312">
        <v>28</v>
      </c>
      <c r="CD49" s="312">
        <v>375</v>
      </c>
      <c r="CE49" s="312">
        <v>30</v>
      </c>
      <c r="CF49" s="312">
        <v>30</v>
      </c>
      <c r="CG49" s="312">
        <v>140</v>
      </c>
      <c r="CH49" s="312">
        <v>91</v>
      </c>
      <c r="CI49" s="312">
        <v>466</v>
      </c>
      <c r="CJ49" s="312">
        <v>302</v>
      </c>
      <c r="CK49" s="313">
        <v>164</v>
      </c>
      <c r="CL49" s="322"/>
      <c r="CM49" s="367"/>
      <c r="CN49" s="322"/>
      <c r="CO49" s="322"/>
      <c r="CP49" s="368"/>
      <c r="CQ49" s="321"/>
      <c r="CR49" s="321"/>
      <c r="CS49" s="320"/>
      <c r="CT49" s="368"/>
      <c r="CU49" s="321"/>
      <c r="CV49" s="321"/>
      <c r="CW49" s="368"/>
      <c r="CX49" s="321"/>
      <c r="CY49" s="321"/>
      <c r="CZ49" s="320"/>
      <c r="DA49" s="368"/>
      <c r="DB49" s="321"/>
      <c r="DC49" s="321"/>
      <c r="DD49" s="368"/>
      <c r="DE49" s="321"/>
      <c r="DF49" s="321"/>
      <c r="DG49" s="326">
        <v>49</v>
      </c>
      <c r="DH49" s="368">
        <v>0</v>
      </c>
      <c r="DI49" s="312">
        <v>17</v>
      </c>
      <c r="DJ49" s="312">
        <v>49</v>
      </c>
      <c r="DK49" s="368" t="s">
        <v>1247</v>
      </c>
      <c r="DL49" s="312">
        <v>0</v>
      </c>
      <c r="DM49" s="316">
        <v>213</v>
      </c>
      <c r="DN49" s="320"/>
      <c r="DO49" s="368"/>
      <c r="DP49" s="321"/>
      <c r="DQ49" s="321"/>
      <c r="DR49" s="368"/>
      <c r="DS49" s="321"/>
      <c r="DT49" s="323"/>
      <c r="DU49" s="92" t="s">
        <v>1727</v>
      </c>
    </row>
    <row r="50" spans="2:125" x14ac:dyDescent="0.3">
      <c r="B50" s="311" t="s">
        <v>1545</v>
      </c>
      <c r="D50" s="308" t="s">
        <v>9</v>
      </c>
      <c r="E50" s="308"/>
      <c r="F50" s="304" t="s">
        <v>9</v>
      </c>
      <c r="G50" s="308"/>
      <c r="H50" s="308"/>
      <c r="I50" s="308"/>
      <c r="J50" s="308"/>
      <c r="K50" s="308"/>
      <c r="L50" s="308" t="s">
        <v>9</v>
      </c>
      <c r="M50" s="308" t="s">
        <v>9</v>
      </c>
      <c r="N50" s="308" t="s">
        <v>9</v>
      </c>
      <c r="O50" s="308" t="s">
        <v>86</v>
      </c>
      <c r="P50" s="308" t="s">
        <v>48</v>
      </c>
      <c r="Q50" s="308"/>
      <c r="R50" s="308" t="s">
        <v>86</v>
      </c>
      <c r="S50" s="308" t="s">
        <v>48</v>
      </c>
      <c r="T50" s="308"/>
      <c r="U50" s="308" t="s">
        <v>9</v>
      </c>
      <c r="V50" s="308"/>
      <c r="W50" s="308"/>
      <c r="X50" s="308" t="s">
        <v>9</v>
      </c>
      <c r="Y50" s="308"/>
      <c r="AA50" s="308" t="s">
        <v>9</v>
      </c>
      <c r="AB50" s="308"/>
      <c r="AC50" s="308"/>
      <c r="AD50" s="308"/>
      <c r="AE50" s="308"/>
      <c r="AF50" s="308" t="s">
        <v>9</v>
      </c>
      <c r="AG50" s="308"/>
      <c r="AH50" s="308"/>
      <c r="AI50" s="308"/>
      <c r="AK50" s="236">
        <v>93</v>
      </c>
      <c r="AL50" t="s">
        <v>48</v>
      </c>
      <c r="AM50" s="237" t="s">
        <v>1544</v>
      </c>
      <c r="AV50" t="s">
        <v>9</v>
      </c>
      <c r="BW50" s="311">
        <v>285</v>
      </c>
      <c r="BX50" s="311">
        <v>62</v>
      </c>
      <c r="BY50" s="311">
        <v>71</v>
      </c>
      <c r="BZ50" s="312">
        <v>442</v>
      </c>
      <c r="CA50" s="312">
        <v>23</v>
      </c>
      <c r="CB50" s="312">
        <v>31</v>
      </c>
      <c r="CC50" s="312">
        <v>16</v>
      </c>
      <c r="CD50" s="312">
        <v>375</v>
      </c>
      <c r="CE50" s="312">
        <v>34</v>
      </c>
      <c r="CF50" s="312">
        <v>34</v>
      </c>
      <c r="CG50" s="312">
        <v>175</v>
      </c>
      <c r="CH50" s="312">
        <v>95</v>
      </c>
      <c r="CI50" s="312">
        <v>550</v>
      </c>
      <c r="CJ50" s="312">
        <v>504</v>
      </c>
      <c r="CK50" s="313">
        <v>46</v>
      </c>
      <c r="CL50" s="314">
        <v>80</v>
      </c>
      <c r="CM50" s="367">
        <v>0</v>
      </c>
      <c r="CN50" s="314">
        <v>4</v>
      </c>
      <c r="CO50" s="314">
        <v>143</v>
      </c>
      <c r="CP50" s="367" t="s">
        <v>1247</v>
      </c>
      <c r="CQ50" s="314">
        <v>16</v>
      </c>
      <c r="CR50" s="316">
        <v>189</v>
      </c>
      <c r="CS50" s="317">
        <v>80</v>
      </c>
      <c r="CT50" s="368" t="s">
        <v>1247</v>
      </c>
      <c r="CU50" s="313">
        <v>4</v>
      </c>
      <c r="CV50" s="313">
        <v>143</v>
      </c>
      <c r="CW50" s="368">
        <v>0</v>
      </c>
      <c r="CX50" s="313">
        <v>16</v>
      </c>
      <c r="CY50" s="316">
        <v>189</v>
      </c>
      <c r="CZ50" s="320"/>
      <c r="DA50" s="368"/>
      <c r="DB50" s="321"/>
      <c r="DC50" s="321"/>
      <c r="DD50" s="368"/>
      <c r="DE50" s="321"/>
      <c r="DF50" s="321"/>
      <c r="DG50" s="320"/>
      <c r="DH50" s="368"/>
      <c r="DI50" s="321"/>
      <c r="DJ50" s="321"/>
      <c r="DK50" s="368"/>
      <c r="DL50" s="321"/>
      <c r="DM50" s="321"/>
      <c r="DN50" s="320"/>
      <c r="DO50" s="368"/>
      <c r="DP50" s="321"/>
      <c r="DQ50" s="321"/>
      <c r="DR50" s="368"/>
      <c r="DS50" s="321"/>
      <c r="DT50" s="323"/>
      <c r="DU50" s="92" t="s">
        <v>1545</v>
      </c>
    </row>
    <row r="51" spans="2:125" x14ac:dyDescent="0.3">
      <c r="B51" s="311" t="s">
        <v>1546</v>
      </c>
      <c r="D51" s="308" t="s">
        <v>9</v>
      </c>
      <c r="E51" s="308"/>
      <c r="F51" s="304" t="s">
        <v>9</v>
      </c>
      <c r="G51" s="308"/>
      <c r="H51" s="308"/>
      <c r="I51" s="308"/>
      <c r="J51" s="308"/>
      <c r="K51" s="308"/>
      <c r="L51" s="308" t="s">
        <v>9</v>
      </c>
      <c r="M51" s="308" t="s">
        <v>9</v>
      </c>
      <c r="N51" s="308" t="s">
        <v>9</v>
      </c>
      <c r="O51" s="308" t="s">
        <v>86</v>
      </c>
      <c r="P51" s="308" t="s">
        <v>48</v>
      </c>
      <c r="Q51" s="308"/>
      <c r="R51" s="308" t="s">
        <v>86</v>
      </c>
      <c r="S51" s="308" t="s">
        <v>48</v>
      </c>
      <c r="T51" s="308"/>
      <c r="U51" s="308"/>
      <c r="V51" s="308"/>
      <c r="W51" s="308"/>
      <c r="X51" s="308" t="s">
        <v>9</v>
      </c>
      <c r="Y51" s="308"/>
      <c r="AA51" s="308" t="s">
        <v>9</v>
      </c>
      <c r="AB51" s="308" t="s">
        <v>9</v>
      </c>
      <c r="AC51" s="308"/>
      <c r="AD51" s="308"/>
      <c r="AE51" s="308"/>
      <c r="AF51" s="308" t="s">
        <v>9</v>
      </c>
      <c r="AG51" s="308"/>
      <c r="AH51" s="308"/>
      <c r="AI51" s="308"/>
      <c r="AK51" s="236">
        <v>93</v>
      </c>
      <c r="AL51" t="s">
        <v>48</v>
      </c>
      <c r="AM51" s="237" t="s">
        <v>1544</v>
      </c>
      <c r="AW51" t="s">
        <v>9</v>
      </c>
      <c r="BW51" s="311">
        <v>285</v>
      </c>
      <c r="BX51" s="311">
        <v>62</v>
      </c>
      <c r="BY51" s="311">
        <v>71</v>
      </c>
      <c r="BZ51" s="312">
        <v>442</v>
      </c>
      <c r="CA51" s="312">
        <v>23</v>
      </c>
      <c r="CB51" s="312">
        <v>31</v>
      </c>
      <c r="CC51" s="312">
        <v>16</v>
      </c>
      <c r="CD51" s="312">
        <v>375</v>
      </c>
      <c r="CE51" s="312">
        <v>34</v>
      </c>
      <c r="CF51" s="312">
        <v>34</v>
      </c>
      <c r="CG51" s="312">
        <v>175</v>
      </c>
      <c r="CH51" s="312">
        <v>95</v>
      </c>
      <c r="CI51" s="312">
        <v>550</v>
      </c>
      <c r="CJ51" s="312">
        <v>490</v>
      </c>
      <c r="CK51" s="313">
        <v>60</v>
      </c>
      <c r="CL51" s="314">
        <v>80</v>
      </c>
      <c r="CM51" s="367">
        <v>0</v>
      </c>
      <c r="CN51" s="314">
        <v>4</v>
      </c>
      <c r="CO51" s="314">
        <v>143</v>
      </c>
      <c r="CP51" s="367" t="s">
        <v>1247</v>
      </c>
      <c r="CQ51" s="314">
        <v>16</v>
      </c>
      <c r="CR51" s="316">
        <v>203</v>
      </c>
      <c r="CS51" s="317">
        <v>80</v>
      </c>
      <c r="CT51" s="368" t="s">
        <v>1247</v>
      </c>
      <c r="CU51" s="313">
        <v>4</v>
      </c>
      <c r="CV51" s="313">
        <v>143</v>
      </c>
      <c r="CW51" s="368">
        <v>0</v>
      </c>
      <c r="CX51" s="313">
        <v>16</v>
      </c>
      <c r="CY51" s="316">
        <v>203</v>
      </c>
      <c r="CZ51" s="320"/>
      <c r="DA51" s="368"/>
      <c r="DB51" s="321"/>
      <c r="DC51" s="321"/>
      <c r="DD51" s="368"/>
      <c r="DE51" s="321"/>
      <c r="DF51" s="321"/>
      <c r="DG51" s="320"/>
      <c r="DH51" s="368"/>
      <c r="DI51" s="321"/>
      <c r="DJ51" s="321"/>
      <c r="DK51" s="368"/>
      <c r="DL51" s="321"/>
      <c r="DM51" s="321"/>
      <c r="DN51" s="320"/>
      <c r="DO51" s="368"/>
      <c r="DP51" s="321"/>
      <c r="DQ51" s="321"/>
      <c r="DR51" s="368"/>
      <c r="DS51" s="321"/>
      <c r="DT51" s="323"/>
      <c r="DU51" s="92" t="s">
        <v>1546</v>
      </c>
    </row>
    <row r="52" spans="2:125" x14ac:dyDescent="0.3">
      <c r="B52" s="311" t="s">
        <v>1547</v>
      </c>
      <c r="D52" s="308" t="s">
        <v>9</v>
      </c>
      <c r="E52" s="308"/>
      <c r="F52" s="304" t="s">
        <v>9</v>
      </c>
      <c r="G52" s="308"/>
      <c r="H52" s="308"/>
      <c r="I52" s="308"/>
      <c r="J52" s="308"/>
      <c r="K52" s="308"/>
      <c r="L52" s="308" t="s">
        <v>9</v>
      </c>
      <c r="M52" s="308" t="s">
        <v>9</v>
      </c>
      <c r="N52" s="308" t="s">
        <v>9</v>
      </c>
      <c r="O52" s="308" t="s">
        <v>9</v>
      </c>
      <c r="P52" s="308"/>
      <c r="Q52" s="308"/>
      <c r="R52" s="308" t="s">
        <v>9</v>
      </c>
      <c r="S52" s="308"/>
      <c r="T52" s="308"/>
      <c r="U52" s="308" t="s">
        <v>9</v>
      </c>
      <c r="V52" s="308"/>
      <c r="W52" s="308"/>
      <c r="X52" s="308" t="s">
        <v>9</v>
      </c>
      <c r="Y52" s="308"/>
      <c r="AA52" s="308" t="s">
        <v>9</v>
      </c>
      <c r="AB52" s="308"/>
      <c r="AC52" s="308" t="s">
        <v>9</v>
      </c>
      <c r="AD52" s="308"/>
      <c r="AE52" s="308" t="s">
        <v>9</v>
      </c>
      <c r="AF52" s="308" t="s">
        <v>9</v>
      </c>
      <c r="AG52" s="308"/>
      <c r="AH52" s="308"/>
      <c r="AI52" s="308"/>
      <c r="AK52" s="236">
        <v>93</v>
      </c>
      <c r="AL52" t="s">
        <v>48</v>
      </c>
      <c r="AM52" s="237" t="s">
        <v>1544</v>
      </c>
      <c r="AX52" t="s">
        <v>9</v>
      </c>
      <c r="BW52" s="311">
        <v>285</v>
      </c>
      <c r="BX52" s="311">
        <v>62</v>
      </c>
      <c r="BY52" s="311">
        <v>71</v>
      </c>
      <c r="BZ52" s="312">
        <v>518</v>
      </c>
      <c r="CA52" s="312">
        <v>30</v>
      </c>
      <c r="CB52" s="312">
        <v>40</v>
      </c>
      <c r="CC52" s="312">
        <v>20</v>
      </c>
      <c r="CD52" s="312">
        <v>375</v>
      </c>
      <c r="CE52" s="312">
        <v>34</v>
      </c>
      <c r="CF52" s="312">
        <v>34</v>
      </c>
      <c r="CG52" s="312">
        <v>175</v>
      </c>
      <c r="CH52" s="312">
        <v>95</v>
      </c>
      <c r="CI52" s="312">
        <v>550</v>
      </c>
      <c r="CJ52" s="312">
        <v>390</v>
      </c>
      <c r="CK52" s="313">
        <v>160</v>
      </c>
      <c r="CL52" s="314">
        <v>80</v>
      </c>
      <c r="CM52" s="367">
        <v>0</v>
      </c>
      <c r="CN52" s="314">
        <v>4</v>
      </c>
      <c r="CO52" s="314">
        <v>84</v>
      </c>
      <c r="CP52" s="367" t="s">
        <v>1247</v>
      </c>
      <c r="CQ52" s="314">
        <v>16</v>
      </c>
      <c r="CR52" s="316">
        <v>244</v>
      </c>
      <c r="CS52" s="320"/>
      <c r="CT52" s="368"/>
      <c r="CU52" s="321"/>
      <c r="CV52" s="321"/>
      <c r="CW52" s="368"/>
      <c r="CX52" s="321"/>
      <c r="CY52" s="321"/>
      <c r="CZ52" s="320"/>
      <c r="DA52" s="368"/>
      <c r="DB52" s="321"/>
      <c r="DC52" s="321"/>
      <c r="DD52" s="368"/>
      <c r="DE52" s="321"/>
      <c r="DF52" s="321"/>
      <c r="DG52" s="320"/>
      <c r="DH52" s="368"/>
      <c r="DI52" s="321"/>
      <c r="DJ52" s="321"/>
      <c r="DK52" s="368"/>
      <c r="DL52" s="321"/>
      <c r="DM52" s="321"/>
      <c r="DN52" s="320"/>
      <c r="DO52" s="368"/>
      <c r="DP52" s="321"/>
      <c r="DQ52" s="321"/>
      <c r="DR52" s="368"/>
      <c r="DS52" s="321"/>
      <c r="DT52" s="323"/>
      <c r="DU52" s="92" t="s">
        <v>1547</v>
      </c>
    </row>
    <row r="53" spans="2:125" x14ac:dyDescent="0.3">
      <c r="B53" s="311" t="s">
        <v>1548</v>
      </c>
      <c r="D53" s="308" t="s">
        <v>9</v>
      </c>
      <c r="E53" s="308"/>
      <c r="F53" s="304" t="s">
        <v>9</v>
      </c>
      <c r="G53" s="308"/>
      <c r="H53" s="308"/>
      <c r="I53" s="308"/>
      <c r="J53" s="308"/>
      <c r="K53" s="308"/>
      <c r="L53" s="308" t="s">
        <v>9</v>
      </c>
      <c r="M53" s="308" t="s">
        <v>9</v>
      </c>
      <c r="N53" s="308" t="s">
        <v>9</v>
      </c>
      <c r="O53" s="308" t="s">
        <v>9</v>
      </c>
      <c r="P53" s="308"/>
      <c r="Q53" s="308"/>
      <c r="R53" s="308" t="s">
        <v>9</v>
      </c>
      <c r="S53" s="308"/>
      <c r="T53" s="308"/>
      <c r="U53" s="308" t="s">
        <v>9</v>
      </c>
      <c r="V53" s="308"/>
      <c r="W53" s="308"/>
      <c r="X53" s="308" t="s">
        <v>9</v>
      </c>
      <c r="Y53" s="308"/>
      <c r="AA53" s="308" t="s">
        <v>9</v>
      </c>
      <c r="AB53" s="308"/>
      <c r="AC53" s="308" t="s">
        <v>9</v>
      </c>
      <c r="AD53" s="308" t="s">
        <v>9</v>
      </c>
      <c r="AE53" s="308"/>
      <c r="AF53" s="308" t="s">
        <v>9</v>
      </c>
      <c r="AG53" s="308"/>
      <c r="AH53" s="308"/>
      <c r="AI53" s="308"/>
      <c r="AK53" s="236">
        <v>93</v>
      </c>
      <c r="AL53" t="s">
        <v>48</v>
      </c>
      <c r="AM53" s="237" t="s">
        <v>1544</v>
      </c>
      <c r="AY53" t="s">
        <v>9</v>
      </c>
      <c r="BW53" s="311">
        <v>285</v>
      </c>
      <c r="BX53" s="311">
        <v>62</v>
      </c>
      <c r="BY53" s="311">
        <v>71</v>
      </c>
      <c r="BZ53" s="312">
        <v>864</v>
      </c>
      <c r="CA53" s="312">
        <v>30</v>
      </c>
      <c r="CB53" s="312">
        <v>40</v>
      </c>
      <c r="CC53" s="312">
        <v>20</v>
      </c>
      <c r="CD53" s="312">
        <v>375</v>
      </c>
      <c r="CE53" s="312">
        <v>34</v>
      </c>
      <c r="CF53" s="312">
        <v>34</v>
      </c>
      <c r="CG53" s="312">
        <v>175</v>
      </c>
      <c r="CH53" s="312">
        <v>95</v>
      </c>
      <c r="CI53" s="312">
        <v>550</v>
      </c>
      <c r="CJ53" s="312">
        <v>344</v>
      </c>
      <c r="CK53" s="313">
        <v>206</v>
      </c>
      <c r="CL53" s="314">
        <v>80</v>
      </c>
      <c r="CM53" s="367">
        <v>0</v>
      </c>
      <c r="CN53" s="314">
        <v>4</v>
      </c>
      <c r="CO53" s="314">
        <v>84</v>
      </c>
      <c r="CP53" s="367" t="s">
        <v>1247</v>
      </c>
      <c r="CQ53" s="314">
        <v>16</v>
      </c>
      <c r="CR53" s="316">
        <v>290</v>
      </c>
      <c r="CS53" s="320"/>
      <c r="CT53" s="368"/>
      <c r="CU53" s="321"/>
      <c r="CV53" s="321"/>
      <c r="CW53" s="368"/>
      <c r="CX53" s="321"/>
      <c r="CY53" s="321"/>
      <c r="CZ53" s="320"/>
      <c r="DA53" s="368"/>
      <c r="DB53" s="321"/>
      <c r="DC53" s="321"/>
      <c r="DD53" s="368"/>
      <c r="DE53" s="321"/>
      <c r="DF53" s="321"/>
      <c r="DG53" s="320"/>
      <c r="DH53" s="368"/>
      <c r="DI53" s="321"/>
      <c r="DJ53" s="321"/>
      <c r="DK53" s="368"/>
      <c r="DL53" s="321"/>
      <c r="DM53" s="321"/>
      <c r="DN53" s="320"/>
      <c r="DO53" s="368"/>
      <c r="DP53" s="321"/>
      <c r="DQ53" s="321"/>
      <c r="DR53" s="368"/>
      <c r="DS53" s="321"/>
      <c r="DT53" s="323"/>
      <c r="DU53" s="92" t="s">
        <v>1548</v>
      </c>
    </row>
    <row r="54" spans="2:125" x14ac:dyDescent="0.3">
      <c r="B54" s="311" t="s">
        <v>1549</v>
      </c>
      <c r="D54" s="308"/>
      <c r="E54" s="308" t="s">
        <v>9</v>
      </c>
      <c r="F54" s="304" t="s">
        <v>9</v>
      </c>
      <c r="G54" s="308"/>
      <c r="H54" s="308"/>
      <c r="I54" s="308"/>
      <c r="J54" s="308"/>
      <c r="K54" s="308"/>
      <c r="L54" s="308" t="s">
        <v>9</v>
      </c>
      <c r="M54" s="308" t="s">
        <v>9</v>
      </c>
      <c r="N54" s="308" t="s">
        <v>9</v>
      </c>
      <c r="O54" s="308" t="s">
        <v>9</v>
      </c>
      <c r="P54" s="308"/>
      <c r="Q54" s="308"/>
      <c r="R54" s="308" t="s">
        <v>9</v>
      </c>
      <c r="S54" s="308"/>
      <c r="T54" s="308"/>
      <c r="U54" s="308" t="s">
        <v>9</v>
      </c>
      <c r="V54" s="308"/>
      <c r="W54" s="308" t="s">
        <v>9</v>
      </c>
      <c r="X54" s="308" t="s">
        <v>9</v>
      </c>
      <c r="Y54" s="308"/>
      <c r="AA54" s="308" t="s">
        <v>9</v>
      </c>
      <c r="AB54" s="308"/>
      <c r="AC54" s="308"/>
      <c r="AD54" s="308"/>
      <c r="AE54" s="308"/>
      <c r="AF54" s="308" t="s">
        <v>9</v>
      </c>
      <c r="AG54" s="308"/>
      <c r="AH54" s="308"/>
      <c r="AI54" s="308"/>
      <c r="AK54" s="236">
        <v>93</v>
      </c>
      <c r="AL54" t="s">
        <v>48</v>
      </c>
      <c r="AM54" s="237" t="s">
        <v>1544</v>
      </c>
      <c r="AZ54" t="s">
        <v>9</v>
      </c>
      <c r="BW54" s="311">
        <v>285</v>
      </c>
      <c r="BX54" s="311">
        <v>62</v>
      </c>
      <c r="BY54" s="311">
        <v>71</v>
      </c>
      <c r="BZ54" s="312" t="s">
        <v>1247</v>
      </c>
      <c r="CA54" s="312">
        <v>30</v>
      </c>
      <c r="CB54" s="312">
        <v>34</v>
      </c>
      <c r="CC54" s="312">
        <v>17</v>
      </c>
      <c r="CD54" s="312">
        <v>375</v>
      </c>
      <c r="CE54" s="312">
        <v>34</v>
      </c>
      <c r="CF54" s="312">
        <v>34</v>
      </c>
      <c r="CG54" s="312">
        <v>175</v>
      </c>
      <c r="CH54" s="312">
        <v>95</v>
      </c>
      <c r="CI54" s="312">
        <v>550</v>
      </c>
      <c r="CJ54" s="312">
        <v>499</v>
      </c>
      <c r="CK54" s="313">
        <v>51</v>
      </c>
      <c r="CL54" s="316">
        <v>80</v>
      </c>
      <c r="CM54" s="367">
        <v>0</v>
      </c>
      <c r="CN54" s="316">
        <v>4</v>
      </c>
      <c r="CO54" s="316">
        <v>84</v>
      </c>
      <c r="CP54" s="367" t="s">
        <v>1247</v>
      </c>
      <c r="CQ54" s="316">
        <v>13</v>
      </c>
      <c r="CR54" s="316">
        <v>135</v>
      </c>
      <c r="CS54" s="320"/>
      <c r="CT54" s="368"/>
      <c r="CU54" s="321"/>
      <c r="CV54" s="321"/>
      <c r="CW54" s="368"/>
      <c r="CX54" s="321"/>
      <c r="CY54" s="321"/>
      <c r="CZ54" s="320"/>
      <c r="DA54" s="368"/>
      <c r="DB54" s="321"/>
      <c r="DC54" s="321"/>
      <c r="DD54" s="368"/>
      <c r="DE54" s="321"/>
      <c r="DF54" s="321"/>
      <c r="DG54" s="320"/>
      <c r="DH54" s="368"/>
      <c r="DI54" s="321"/>
      <c r="DJ54" s="321"/>
      <c r="DK54" s="368"/>
      <c r="DL54" s="321"/>
      <c r="DM54" s="321"/>
      <c r="DN54" s="320"/>
      <c r="DO54" s="368"/>
      <c r="DP54" s="321"/>
      <c r="DQ54" s="321"/>
      <c r="DR54" s="368"/>
      <c r="DS54" s="321"/>
      <c r="DT54" s="323"/>
      <c r="DU54" s="92" t="s">
        <v>1549</v>
      </c>
    </row>
    <row r="55" spans="2:125" x14ac:dyDescent="0.3">
      <c r="B55" s="311" t="s">
        <v>1550</v>
      </c>
      <c r="D55" s="308"/>
      <c r="E55" s="308" t="s">
        <v>9</v>
      </c>
      <c r="F55" s="304" t="s">
        <v>9</v>
      </c>
      <c r="G55" s="308"/>
      <c r="H55" s="308"/>
      <c r="I55" s="308"/>
      <c r="J55" s="308"/>
      <c r="K55" s="308"/>
      <c r="L55" s="308" t="s">
        <v>9</v>
      </c>
      <c r="M55" s="308" t="s">
        <v>9</v>
      </c>
      <c r="N55" s="308" t="s">
        <v>9</v>
      </c>
      <c r="O55" s="308" t="s">
        <v>9</v>
      </c>
      <c r="P55" s="308"/>
      <c r="Q55" s="308"/>
      <c r="R55" s="308" t="s">
        <v>9</v>
      </c>
      <c r="S55" s="308"/>
      <c r="T55" s="308"/>
      <c r="U55" s="308" t="s">
        <v>9</v>
      </c>
      <c r="V55" s="308"/>
      <c r="W55" s="308" t="s">
        <v>9</v>
      </c>
      <c r="X55" s="308" t="s">
        <v>9</v>
      </c>
      <c r="Y55" s="308"/>
      <c r="AA55" s="308" t="s">
        <v>9</v>
      </c>
      <c r="AB55" s="308"/>
      <c r="AC55" s="308"/>
      <c r="AD55" s="308"/>
      <c r="AE55" s="308"/>
      <c r="AF55" s="308" t="s">
        <v>9</v>
      </c>
      <c r="AG55" s="308"/>
      <c r="AH55" s="308"/>
      <c r="AI55" s="308"/>
      <c r="AK55" s="236">
        <v>93</v>
      </c>
      <c r="AL55" t="s">
        <v>48</v>
      </c>
      <c r="AM55" s="237" t="s">
        <v>1544</v>
      </c>
      <c r="BA55" t="s">
        <v>9</v>
      </c>
      <c r="BW55" s="311">
        <v>285</v>
      </c>
      <c r="BX55" s="311">
        <v>62</v>
      </c>
      <c r="BY55" s="311">
        <v>71</v>
      </c>
      <c r="BZ55" s="312" t="s">
        <v>1247</v>
      </c>
      <c r="CA55" s="312">
        <v>30</v>
      </c>
      <c r="CB55" s="312">
        <v>34</v>
      </c>
      <c r="CC55" s="312">
        <v>17</v>
      </c>
      <c r="CD55" s="312">
        <v>375</v>
      </c>
      <c r="CE55" s="312">
        <v>34</v>
      </c>
      <c r="CF55" s="312">
        <v>34</v>
      </c>
      <c r="CG55" s="312">
        <v>175</v>
      </c>
      <c r="CH55" s="312">
        <v>95</v>
      </c>
      <c r="CI55" s="312">
        <v>550</v>
      </c>
      <c r="CJ55" s="312">
        <v>499</v>
      </c>
      <c r="CK55" s="313">
        <v>51</v>
      </c>
      <c r="CL55" s="316">
        <v>80</v>
      </c>
      <c r="CM55" s="367">
        <v>0</v>
      </c>
      <c r="CN55" s="316">
        <v>4</v>
      </c>
      <c r="CO55" s="316">
        <v>84</v>
      </c>
      <c r="CP55" s="367" t="s">
        <v>1247</v>
      </c>
      <c r="CQ55" s="316">
        <v>13</v>
      </c>
      <c r="CR55" s="316">
        <v>135</v>
      </c>
      <c r="CS55" s="320"/>
      <c r="CT55" s="368"/>
      <c r="CU55" s="321"/>
      <c r="CV55" s="321"/>
      <c r="CW55" s="368"/>
      <c r="CX55" s="321"/>
      <c r="CY55" s="321"/>
      <c r="CZ55" s="320"/>
      <c r="DA55" s="368"/>
      <c r="DB55" s="321"/>
      <c r="DC55" s="321"/>
      <c r="DD55" s="368"/>
      <c r="DE55" s="321"/>
      <c r="DF55" s="321"/>
      <c r="DG55" s="320"/>
      <c r="DH55" s="368"/>
      <c r="DI55" s="321"/>
      <c r="DJ55" s="321"/>
      <c r="DK55" s="368"/>
      <c r="DL55" s="321"/>
      <c r="DM55" s="321"/>
      <c r="DN55" s="320"/>
      <c r="DO55" s="368"/>
      <c r="DP55" s="321"/>
      <c r="DQ55" s="321"/>
      <c r="DR55" s="368"/>
      <c r="DS55" s="321"/>
      <c r="DT55" s="323"/>
      <c r="DU55" s="92" t="s">
        <v>1550</v>
      </c>
    </row>
    <row r="56" spans="2:125" x14ac:dyDescent="0.3">
      <c r="B56" s="311" t="s">
        <v>1551</v>
      </c>
      <c r="D56" s="308"/>
      <c r="E56" s="308" t="s">
        <v>9</v>
      </c>
      <c r="F56" s="304" t="s">
        <v>9</v>
      </c>
      <c r="G56" s="308"/>
      <c r="H56" s="308"/>
      <c r="I56" s="308"/>
      <c r="J56" s="308"/>
      <c r="K56" s="308"/>
      <c r="L56" s="308" t="s">
        <v>9</v>
      </c>
      <c r="M56" s="308" t="s">
        <v>9</v>
      </c>
      <c r="N56" s="308" t="s">
        <v>9</v>
      </c>
      <c r="O56" s="308" t="s">
        <v>9</v>
      </c>
      <c r="P56" s="308"/>
      <c r="Q56" s="308"/>
      <c r="R56" s="308" t="s">
        <v>9</v>
      </c>
      <c r="S56" s="308"/>
      <c r="T56" s="308"/>
      <c r="U56" s="308" t="s">
        <v>9</v>
      </c>
      <c r="V56" s="308"/>
      <c r="W56" s="308" t="s">
        <v>9</v>
      </c>
      <c r="X56" s="308" t="s">
        <v>9</v>
      </c>
      <c r="Y56" s="308"/>
      <c r="AA56" s="308" t="s">
        <v>9</v>
      </c>
      <c r="AB56" s="308"/>
      <c r="AC56" s="308" t="s">
        <v>9</v>
      </c>
      <c r="AD56" s="308"/>
      <c r="AE56" s="308" t="s">
        <v>9</v>
      </c>
      <c r="AF56" s="308" t="s">
        <v>9</v>
      </c>
      <c r="AG56" s="308"/>
      <c r="AH56" s="308"/>
      <c r="AI56" s="308"/>
      <c r="AK56" s="236">
        <v>93</v>
      </c>
      <c r="AL56" t="s">
        <v>48</v>
      </c>
      <c r="AM56" s="237" t="s">
        <v>1544</v>
      </c>
      <c r="BB56" t="s">
        <v>9</v>
      </c>
      <c r="BW56" s="311">
        <v>285</v>
      </c>
      <c r="BX56" s="311">
        <v>62</v>
      </c>
      <c r="BY56" s="311">
        <v>71</v>
      </c>
      <c r="BZ56" s="312" t="s">
        <v>1247</v>
      </c>
      <c r="CA56" s="312">
        <v>30</v>
      </c>
      <c r="CB56" s="312">
        <v>55</v>
      </c>
      <c r="CC56" s="312">
        <v>28</v>
      </c>
      <c r="CD56" s="312">
        <v>375</v>
      </c>
      <c r="CE56" s="312">
        <v>34</v>
      </c>
      <c r="CF56" s="312">
        <v>34</v>
      </c>
      <c r="CG56" s="312">
        <v>175</v>
      </c>
      <c r="CH56" s="312">
        <v>95</v>
      </c>
      <c r="CI56" s="312">
        <v>550</v>
      </c>
      <c r="CJ56" s="312">
        <v>386</v>
      </c>
      <c r="CK56" s="313">
        <v>164</v>
      </c>
      <c r="CL56" s="316">
        <v>80</v>
      </c>
      <c r="CM56" s="367">
        <v>0</v>
      </c>
      <c r="CN56" s="316">
        <v>4</v>
      </c>
      <c r="CO56" s="316">
        <v>84</v>
      </c>
      <c r="CP56" s="367" t="s">
        <v>1247</v>
      </c>
      <c r="CQ56" s="316">
        <v>13</v>
      </c>
      <c r="CR56" s="316">
        <v>248</v>
      </c>
      <c r="CS56" s="320"/>
      <c r="CT56" s="368"/>
      <c r="CU56" s="321"/>
      <c r="CV56" s="321"/>
      <c r="CW56" s="368"/>
      <c r="CX56" s="321"/>
      <c r="CY56" s="321"/>
      <c r="CZ56" s="320"/>
      <c r="DA56" s="368"/>
      <c r="DB56" s="321"/>
      <c r="DC56" s="321"/>
      <c r="DD56" s="368"/>
      <c r="DE56" s="321"/>
      <c r="DF56" s="321"/>
      <c r="DG56" s="320"/>
      <c r="DH56" s="368"/>
      <c r="DI56" s="321"/>
      <c r="DJ56" s="321"/>
      <c r="DK56" s="368"/>
      <c r="DL56" s="321"/>
      <c r="DM56" s="321"/>
      <c r="DN56" s="320"/>
      <c r="DO56" s="368"/>
      <c r="DP56" s="321"/>
      <c r="DQ56" s="321"/>
      <c r="DR56" s="368"/>
      <c r="DS56" s="321"/>
      <c r="DT56" s="323"/>
      <c r="DU56" s="92" t="s">
        <v>1551</v>
      </c>
    </row>
    <row r="57" spans="2:125" x14ac:dyDescent="0.3">
      <c r="B57" s="311" t="s">
        <v>1552</v>
      </c>
      <c r="D57" s="308"/>
      <c r="E57" s="308" t="s">
        <v>9</v>
      </c>
      <c r="F57" s="304" t="s">
        <v>9</v>
      </c>
      <c r="G57" s="308"/>
      <c r="H57" s="308"/>
      <c r="I57" s="308"/>
      <c r="J57" s="308"/>
      <c r="K57" s="308"/>
      <c r="L57" s="308" t="s">
        <v>9</v>
      </c>
      <c r="M57" s="308" t="s">
        <v>9</v>
      </c>
      <c r="N57" s="308" t="s">
        <v>9</v>
      </c>
      <c r="O57" s="308" t="s">
        <v>9</v>
      </c>
      <c r="P57" s="308"/>
      <c r="Q57" s="308"/>
      <c r="R57" s="308" t="s">
        <v>9</v>
      </c>
      <c r="S57" s="308"/>
      <c r="T57" s="308"/>
      <c r="U57" s="308" t="s">
        <v>9</v>
      </c>
      <c r="V57" s="308"/>
      <c r="W57" s="308" t="s">
        <v>9</v>
      </c>
      <c r="X57" s="308" t="s">
        <v>9</v>
      </c>
      <c r="Y57" s="308"/>
      <c r="AA57" s="308" t="s">
        <v>9</v>
      </c>
      <c r="AB57" s="308"/>
      <c r="AC57" s="308" t="s">
        <v>9</v>
      </c>
      <c r="AD57" s="308"/>
      <c r="AE57" s="308" t="s">
        <v>9</v>
      </c>
      <c r="AF57" s="308" t="s">
        <v>9</v>
      </c>
      <c r="AG57" s="308"/>
      <c r="AH57" s="308"/>
      <c r="AI57" s="308"/>
      <c r="AK57" s="236">
        <v>93</v>
      </c>
      <c r="AL57" t="s">
        <v>48</v>
      </c>
      <c r="AM57" s="237" t="s">
        <v>1544</v>
      </c>
      <c r="BC57" t="s">
        <v>9</v>
      </c>
      <c r="BW57" s="311">
        <v>285</v>
      </c>
      <c r="BX57" s="311">
        <v>62</v>
      </c>
      <c r="BY57" s="311">
        <v>71</v>
      </c>
      <c r="BZ57" s="312" t="s">
        <v>1247</v>
      </c>
      <c r="CA57" s="312">
        <v>30</v>
      </c>
      <c r="CB57" s="312">
        <v>55</v>
      </c>
      <c r="CC57" s="312">
        <v>28</v>
      </c>
      <c r="CD57" s="312">
        <v>375</v>
      </c>
      <c r="CE57" s="312">
        <v>34</v>
      </c>
      <c r="CF57" s="312">
        <v>34</v>
      </c>
      <c r="CG57" s="312">
        <v>175</v>
      </c>
      <c r="CH57" s="312">
        <v>95</v>
      </c>
      <c r="CI57" s="312">
        <v>550</v>
      </c>
      <c r="CJ57" s="312">
        <v>386</v>
      </c>
      <c r="CK57" s="313">
        <v>164</v>
      </c>
      <c r="CL57" s="316">
        <v>80</v>
      </c>
      <c r="CM57" s="367">
        <v>0</v>
      </c>
      <c r="CN57" s="316">
        <v>4</v>
      </c>
      <c r="CO57" s="316">
        <v>84</v>
      </c>
      <c r="CP57" s="367" t="s">
        <v>1247</v>
      </c>
      <c r="CQ57" s="316">
        <v>13</v>
      </c>
      <c r="CR57" s="316">
        <v>248</v>
      </c>
      <c r="CS57" s="320"/>
      <c r="CT57" s="368"/>
      <c r="CU57" s="321"/>
      <c r="CV57" s="321"/>
      <c r="CW57" s="368"/>
      <c r="CX57" s="321"/>
      <c r="CY57" s="321"/>
      <c r="CZ57" s="320"/>
      <c r="DA57" s="368"/>
      <c r="DB57" s="321"/>
      <c r="DC57" s="321"/>
      <c r="DD57" s="368"/>
      <c r="DE57" s="321"/>
      <c r="DF57" s="321"/>
      <c r="DG57" s="320"/>
      <c r="DH57" s="368"/>
      <c r="DI57" s="321"/>
      <c r="DJ57" s="321"/>
      <c r="DK57" s="368"/>
      <c r="DL57" s="321"/>
      <c r="DM57" s="321"/>
      <c r="DN57" s="320"/>
      <c r="DO57" s="368"/>
      <c r="DP57" s="321"/>
      <c r="DQ57" s="321"/>
      <c r="DR57" s="368"/>
      <c r="DS57" s="321"/>
      <c r="DT57" s="323"/>
      <c r="DU57" s="92" t="s">
        <v>1552</v>
      </c>
    </row>
    <row r="58" spans="2:125" x14ac:dyDescent="0.3">
      <c r="B58" s="311" t="s">
        <v>1553</v>
      </c>
      <c r="D58" s="308"/>
      <c r="E58" s="308" t="s">
        <v>9</v>
      </c>
      <c r="F58" s="304" t="s">
        <v>9</v>
      </c>
      <c r="G58" s="308"/>
      <c r="H58" s="308"/>
      <c r="I58" s="308"/>
      <c r="J58" s="308"/>
      <c r="K58" s="308"/>
      <c r="L58" s="308" t="s">
        <v>9</v>
      </c>
      <c r="M58" s="308" t="s">
        <v>9</v>
      </c>
      <c r="N58" s="308" t="s">
        <v>9</v>
      </c>
      <c r="O58" s="308" t="s">
        <v>9</v>
      </c>
      <c r="P58" s="308"/>
      <c r="Q58" s="308"/>
      <c r="R58" s="308" t="s">
        <v>9</v>
      </c>
      <c r="S58" s="308"/>
      <c r="T58" s="308"/>
      <c r="U58" s="308" t="s">
        <v>9</v>
      </c>
      <c r="V58" s="308"/>
      <c r="W58" s="308" t="s">
        <v>9</v>
      </c>
      <c r="X58" s="308" t="s">
        <v>9</v>
      </c>
      <c r="Y58" s="308"/>
      <c r="AA58" s="308" t="s">
        <v>9</v>
      </c>
      <c r="AB58" s="308"/>
      <c r="AC58" s="308" t="s">
        <v>9</v>
      </c>
      <c r="AD58" s="308"/>
      <c r="AE58" s="308" t="s">
        <v>9</v>
      </c>
      <c r="AF58" s="308" t="s">
        <v>9</v>
      </c>
      <c r="AG58" s="308"/>
      <c r="AH58" s="308"/>
      <c r="AI58" s="308"/>
      <c r="AK58" s="236">
        <v>93</v>
      </c>
      <c r="AL58" t="s">
        <v>48</v>
      </c>
      <c r="AM58" s="237" t="s">
        <v>1544</v>
      </c>
      <c r="BD58" t="s">
        <v>9</v>
      </c>
      <c r="BW58" s="311">
        <v>285</v>
      </c>
      <c r="BX58" s="311">
        <v>62</v>
      </c>
      <c r="BY58" s="311">
        <v>71</v>
      </c>
      <c r="BZ58" s="312" t="s">
        <v>1247</v>
      </c>
      <c r="CA58" s="312">
        <v>30</v>
      </c>
      <c r="CB58" s="312">
        <v>55</v>
      </c>
      <c r="CC58" s="312">
        <v>28</v>
      </c>
      <c r="CD58" s="312">
        <v>375</v>
      </c>
      <c r="CE58" s="312">
        <v>34</v>
      </c>
      <c r="CF58" s="312">
        <v>34</v>
      </c>
      <c r="CG58" s="312">
        <v>175</v>
      </c>
      <c r="CH58" s="312">
        <v>95</v>
      </c>
      <c r="CI58" s="312">
        <v>550</v>
      </c>
      <c r="CJ58" s="312">
        <v>386</v>
      </c>
      <c r="CK58" s="313">
        <v>164</v>
      </c>
      <c r="CL58" s="316">
        <v>80</v>
      </c>
      <c r="CM58" s="367">
        <v>0</v>
      </c>
      <c r="CN58" s="316">
        <v>4</v>
      </c>
      <c r="CO58" s="316">
        <v>84</v>
      </c>
      <c r="CP58" s="367" t="s">
        <v>1247</v>
      </c>
      <c r="CQ58" s="316">
        <v>13</v>
      </c>
      <c r="CR58" s="316">
        <v>248</v>
      </c>
      <c r="CS58" s="320"/>
      <c r="CT58" s="368"/>
      <c r="CU58" s="321"/>
      <c r="CV58" s="321"/>
      <c r="CW58" s="368"/>
      <c r="CX58" s="321"/>
      <c r="CY58" s="321"/>
      <c r="CZ58" s="320"/>
      <c r="DA58" s="368"/>
      <c r="DB58" s="321"/>
      <c r="DC58" s="321"/>
      <c r="DD58" s="368"/>
      <c r="DE58" s="321"/>
      <c r="DF58" s="321"/>
      <c r="DG58" s="320"/>
      <c r="DH58" s="368"/>
      <c r="DI58" s="321"/>
      <c r="DJ58" s="321"/>
      <c r="DK58" s="368"/>
      <c r="DL58" s="321"/>
      <c r="DM58" s="321"/>
      <c r="DN58" s="320"/>
      <c r="DO58" s="368"/>
      <c r="DP58" s="321"/>
      <c r="DQ58" s="321"/>
      <c r="DR58" s="368"/>
      <c r="DS58" s="321"/>
      <c r="DT58" s="323"/>
      <c r="DU58" s="92" t="s">
        <v>1553</v>
      </c>
    </row>
    <row r="59" spans="2:125" x14ac:dyDescent="0.3">
      <c r="B59" s="311" t="s">
        <v>1554</v>
      </c>
      <c r="D59" s="308"/>
      <c r="E59" s="308" t="s">
        <v>9</v>
      </c>
      <c r="F59" s="304" t="s">
        <v>9</v>
      </c>
      <c r="G59" s="308"/>
      <c r="H59" s="308"/>
      <c r="I59" s="308"/>
      <c r="J59" s="308"/>
      <c r="K59" s="308"/>
      <c r="L59" s="308" t="s">
        <v>9</v>
      </c>
      <c r="M59" s="308" t="s">
        <v>9</v>
      </c>
      <c r="N59" s="308" t="s">
        <v>9</v>
      </c>
      <c r="O59" s="308" t="s">
        <v>9</v>
      </c>
      <c r="P59" s="308"/>
      <c r="Q59" s="308"/>
      <c r="R59" s="308" t="s">
        <v>9</v>
      </c>
      <c r="S59" s="308"/>
      <c r="T59" s="308"/>
      <c r="U59" s="308" t="s">
        <v>9</v>
      </c>
      <c r="V59" s="308"/>
      <c r="W59" s="308" t="s">
        <v>9</v>
      </c>
      <c r="X59" s="308" t="s">
        <v>9</v>
      </c>
      <c r="Y59" s="308"/>
      <c r="AA59" s="308" t="s">
        <v>9</v>
      </c>
      <c r="AB59" s="308"/>
      <c r="AC59" s="308" t="s">
        <v>9</v>
      </c>
      <c r="AD59" s="308" t="s">
        <v>9</v>
      </c>
      <c r="AE59" s="308"/>
      <c r="AF59" s="308" t="s">
        <v>9</v>
      </c>
      <c r="AG59" s="308"/>
      <c r="AH59" s="308"/>
      <c r="AI59" s="308"/>
      <c r="AK59" s="236">
        <v>93</v>
      </c>
      <c r="AL59" t="s">
        <v>48</v>
      </c>
      <c r="AM59" s="237" t="s">
        <v>1544</v>
      </c>
      <c r="BE59" t="s">
        <v>9</v>
      </c>
      <c r="BW59" s="311">
        <v>285</v>
      </c>
      <c r="BX59" s="311">
        <v>62</v>
      </c>
      <c r="BY59" s="311">
        <v>71</v>
      </c>
      <c r="BZ59" s="312" t="s">
        <v>1247</v>
      </c>
      <c r="CA59" s="312">
        <v>30</v>
      </c>
      <c r="CB59" s="312">
        <v>55</v>
      </c>
      <c r="CC59" s="312">
        <v>28</v>
      </c>
      <c r="CD59" s="312">
        <v>375</v>
      </c>
      <c r="CE59" s="312">
        <v>34</v>
      </c>
      <c r="CF59" s="312">
        <v>34</v>
      </c>
      <c r="CG59" s="312">
        <v>175</v>
      </c>
      <c r="CH59" s="312">
        <v>95</v>
      </c>
      <c r="CI59" s="312">
        <v>550</v>
      </c>
      <c r="CJ59" s="312">
        <v>386</v>
      </c>
      <c r="CK59" s="313">
        <v>164</v>
      </c>
      <c r="CL59" s="316">
        <v>80</v>
      </c>
      <c r="CM59" s="367">
        <v>0</v>
      </c>
      <c r="CN59" s="316">
        <v>4</v>
      </c>
      <c r="CO59" s="316">
        <v>84</v>
      </c>
      <c r="CP59" s="367" t="s">
        <v>1247</v>
      </c>
      <c r="CQ59" s="316">
        <v>13</v>
      </c>
      <c r="CR59" s="316">
        <v>248</v>
      </c>
      <c r="CS59" s="320"/>
      <c r="CT59" s="368"/>
      <c r="CU59" s="321"/>
      <c r="CV59" s="321"/>
      <c r="CW59" s="368"/>
      <c r="CX59" s="321"/>
      <c r="CY59" s="321"/>
      <c r="CZ59" s="320"/>
      <c r="DA59" s="368"/>
      <c r="DB59" s="321"/>
      <c r="DC59" s="321"/>
      <c r="DD59" s="368"/>
      <c r="DE59" s="321"/>
      <c r="DF59" s="321"/>
      <c r="DG59" s="320"/>
      <c r="DH59" s="368"/>
      <c r="DI59" s="321"/>
      <c r="DJ59" s="321"/>
      <c r="DK59" s="368"/>
      <c r="DL59" s="321"/>
      <c r="DM59" s="321"/>
      <c r="DN59" s="320"/>
      <c r="DO59" s="368"/>
      <c r="DP59" s="321"/>
      <c r="DQ59" s="321"/>
      <c r="DR59" s="368"/>
      <c r="DS59" s="321"/>
      <c r="DT59" s="323"/>
      <c r="DU59" s="92" t="s">
        <v>1554</v>
      </c>
    </row>
    <row r="60" spans="2:125" x14ac:dyDescent="0.3">
      <c r="B60" s="311" t="s">
        <v>1555</v>
      </c>
      <c r="D60" s="308"/>
      <c r="E60" s="308" t="s">
        <v>9</v>
      </c>
      <c r="F60" s="304" t="s">
        <v>9</v>
      </c>
      <c r="G60" s="308"/>
      <c r="H60" s="308"/>
      <c r="I60" s="308"/>
      <c r="J60" s="308"/>
      <c r="K60" s="308"/>
      <c r="L60" s="308" t="s">
        <v>9</v>
      </c>
      <c r="M60" s="308" t="s">
        <v>9</v>
      </c>
      <c r="N60" s="308" t="s">
        <v>9</v>
      </c>
      <c r="O60" s="308" t="s">
        <v>9</v>
      </c>
      <c r="P60" s="308"/>
      <c r="Q60" s="308"/>
      <c r="R60" s="308" t="s">
        <v>9</v>
      </c>
      <c r="S60" s="308"/>
      <c r="T60" s="308"/>
      <c r="U60" s="308" t="s">
        <v>9</v>
      </c>
      <c r="V60" s="308"/>
      <c r="W60" s="308" t="s">
        <v>9</v>
      </c>
      <c r="X60" s="308" t="s">
        <v>9</v>
      </c>
      <c r="Y60" s="308"/>
      <c r="AA60" s="308" t="s">
        <v>9</v>
      </c>
      <c r="AB60" s="308"/>
      <c r="AC60" s="308" t="s">
        <v>9</v>
      </c>
      <c r="AD60" s="308" t="s">
        <v>9</v>
      </c>
      <c r="AE60" s="308"/>
      <c r="AF60" s="308" t="s">
        <v>9</v>
      </c>
      <c r="AG60" s="308"/>
      <c r="AH60" s="308"/>
      <c r="AI60" s="308"/>
      <c r="AK60" s="236">
        <v>93</v>
      </c>
      <c r="AL60" t="s">
        <v>48</v>
      </c>
      <c r="AM60" s="237" t="s">
        <v>1544</v>
      </c>
      <c r="BF60" t="s">
        <v>9</v>
      </c>
      <c r="BW60" s="311">
        <v>285</v>
      </c>
      <c r="BX60" s="311">
        <v>62</v>
      </c>
      <c r="BY60" s="311">
        <v>71</v>
      </c>
      <c r="BZ60" s="312" t="s">
        <v>1247</v>
      </c>
      <c r="CA60" s="312">
        <v>30</v>
      </c>
      <c r="CB60" s="312">
        <v>55</v>
      </c>
      <c r="CC60" s="312">
        <v>28</v>
      </c>
      <c r="CD60" s="312">
        <v>375</v>
      </c>
      <c r="CE60" s="312">
        <v>34</v>
      </c>
      <c r="CF60" s="312">
        <v>34</v>
      </c>
      <c r="CG60" s="312">
        <v>175</v>
      </c>
      <c r="CH60" s="312">
        <v>95</v>
      </c>
      <c r="CI60" s="312">
        <v>550</v>
      </c>
      <c r="CJ60" s="312">
        <v>386</v>
      </c>
      <c r="CK60" s="313">
        <v>164</v>
      </c>
      <c r="CL60" s="316">
        <v>80</v>
      </c>
      <c r="CM60" s="367">
        <v>0</v>
      </c>
      <c r="CN60" s="316">
        <v>4</v>
      </c>
      <c r="CO60" s="316">
        <v>84</v>
      </c>
      <c r="CP60" s="367" t="s">
        <v>1247</v>
      </c>
      <c r="CQ60" s="316">
        <v>13</v>
      </c>
      <c r="CR60" s="316">
        <v>248</v>
      </c>
      <c r="CS60" s="320"/>
      <c r="CT60" s="368"/>
      <c r="CU60" s="321"/>
      <c r="CV60" s="321"/>
      <c r="CW60" s="368"/>
      <c r="CX60" s="321"/>
      <c r="CY60" s="321"/>
      <c r="CZ60" s="320"/>
      <c r="DA60" s="368"/>
      <c r="DB60" s="321"/>
      <c r="DC60" s="321"/>
      <c r="DD60" s="368"/>
      <c r="DE60" s="321"/>
      <c r="DF60" s="321"/>
      <c r="DG60" s="320"/>
      <c r="DH60" s="368"/>
      <c r="DI60" s="321"/>
      <c r="DJ60" s="321"/>
      <c r="DK60" s="368"/>
      <c r="DL60" s="321"/>
      <c r="DM60" s="321"/>
      <c r="DN60" s="320"/>
      <c r="DO60" s="368"/>
      <c r="DP60" s="321"/>
      <c r="DQ60" s="321"/>
      <c r="DR60" s="368"/>
      <c r="DS60" s="321"/>
      <c r="DT60" s="323"/>
      <c r="DU60" s="92" t="s">
        <v>1555</v>
      </c>
    </row>
    <row r="61" spans="2:125" x14ac:dyDescent="0.3">
      <c r="B61" s="311" t="s">
        <v>1556</v>
      </c>
      <c r="D61" s="308"/>
      <c r="E61" s="308" t="s">
        <v>9</v>
      </c>
      <c r="F61" s="304" t="s">
        <v>9</v>
      </c>
      <c r="G61" s="308"/>
      <c r="H61" s="308"/>
      <c r="I61" s="308"/>
      <c r="J61" s="308"/>
      <c r="K61" s="308"/>
      <c r="L61" s="308" t="s">
        <v>9</v>
      </c>
      <c r="M61" s="308" t="s">
        <v>9</v>
      </c>
      <c r="N61" s="308" t="s">
        <v>9</v>
      </c>
      <c r="O61" s="308" t="s">
        <v>9</v>
      </c>
      <c r="P61" s="308"/>
      <c r="Q61" s="308"/>
      <c r="R61" s="308" t="s">
        <v>9</v>
      </c>
      <c r="S61" s="308"/>
      <c r="T61" s="308"/>
      <c r="U61" s="308" t="s">
        <v>9</v>
      </c>
      <c r="V61" s="308"/>
      <c r="W61" s="308" t="s">
        <v>9</v>
      </c>
      <c r="X61" s="308" t="s">
        <v>9</v>
      </c>
      <c r="Y61" s="308"/>
      <c r="AA61" s="308" t="s">
        <v>9</v>
      </c>
      <c r="AB61" s="308"/>
      <c r="AC61" s="308" t="s">
        <v>9</v>
      </c>
      <c r="AD61" s="308" t="s">
        <v>9</v>
      </c>
      <c r="AE61" s="308"/>
      <c r="AF61" s="308" t="s">
        <v>9</v>
      </c>
      <c r="AG61" s="308"/>
      <c r="AH61" s="308"/>
      <c r="AI61" s="308"/>
      <c r="AK61" s="236">
        <v>93</v>
      </c>
      <c r="AL61" t="s">
        <v>48</v>
      </c>
      <c r="AM61" s="237" t="s">
        <v>1544</v>
      </c>
      <c r="BG61" t="s">
        <v>9</v>
      </c>
      <c r="BW61" s="311">
        <v>285</v>
      </c>
      <c r="BX61" s="311">
        <v>62</v>
      </c>
      <c r="BY61" s="311">
        <v>71</v>
      </c>
      <c r="BZ61" s="312" t="s">
        <v>1247</v>
      </c>
      <c r="CA61" s="312">
        <v>30</v>
      </c>
      <c r="CB61" s="312">
        <v>55</v>
      </c>
      <c r="CC61" s="312">
        <v>28</v>
      </c>
      <c r="CD61" s="312">
        <v>375</v>
      </c>
      <c r="CE61" s="312">
        <v>34</v>
      </c>
      <c r="CF61" s="312">
        <v>34</v>
      </c>
      <c r="CG61" s="312">
        <v>175</v>
      </c>
      <c r="CH61" s="312">
        <v>95</v>
      </c>
      <c r="CI61" s="312">
        <v>550</v>
      </c>
      <c r="CJ61" s="312">
        <v>386</v>
      </c>
      <c r="CK61" s="313">
        <v>164</v>
      </c>
      <c r="CL61" s="316">
        <v>80</v>
      </c>
      <c r="CM61" s="367">
        <v>0</v>
      </c>
      <c r="CN61" s="316">
        <v>4</v>
      </c>
      <c r="CO61" s="316">
        <v>84</v>
      </c>
      <c r="CP61" s="367" t="s">
        <v>1247</v>
      </c>
      <c r="CQ61" s="316">
        <v>13</v>
      </c>
      <c r="CR61" s="316">
        <v>248</v>
      </c>
      <c r="CS61" s="320"/>
      <c r="CT61" s="368"/>
      <c r="CU61" s="321"/>
      <c r="CV61" s="321"/>
      <c r="CW61" s="368"/>
      <c r="CX61" s="321"/>
      <c r="CY61" s="321"/>
      <c r="CZ61" s="320"/>
      <c r="DA61" s="368"/>
      <c r="DB61" s="321"/>
      <c r="DC61" s="321"/>
      <c r="DD61" s="368"/>
      <c r="DE61" s="321"/>
      <c r="DF61" s="321"/>
      <c r="DG61" s="320"/>
      <c r="DH61" s="368"/>
      <c r="DI61" s="321"/>
      <c r="DJ61" s="321"/>
      <c r="DK61" s="368"/>
      <c r="DL61" s="321"/>
      <c r="DM61" s="321"/>
      <c r="DN61" s="320"/>
      <c r="DO61" s="368"/>
      <c r="DP61" s="321"/>
      <c r="DQ61" s="321"/>
      <c r="DR61" s="368"/>
      <c r="DS61" s="321"/>
      <c r="DT61" s="323"/>
      <c r="DU61" s="92" t="s">
        <v>1556</v>
      </c>
    </row>
    <row r="62" spans="2:125" x14ac:dyDescent="0.3">
      <c r="B62" s="311" t="s">
        <v>1557</v>
      </c>
      <c r="D62" s="308" t="s">
        <v>9</v>
      </c>
      <c r="E62" s="308"/>
      <c r="F62" s="304" t="s">
        <v>9</v>
      </c>
      <c r="G62" s="308"/>
      <c r="H62" s="308"/>
      <c r="I62" s="308"/>
      <c r="J62" s="308"/>
      <c r="K62" s="308"/>
      <c r="L62" s="308" t="s">
        <v>9</v>
      </c>
      <c r="M62" s="308" t="s">
        <v>9</v>
      </c>
      <c r="N62" s="308" t="s">
        <v>9</v>
      </c>
      <c r="O62" s="308" t="s">
        <v>1539</v>
      </c>
      <c r="P62" s="308" t="s">
        <v>29</v>
      </c>
      <c r="Q62" s="308"/>
      <c r="R62" s="308" t="s">
        <v>29</v>
      </c>
      <c r="S62" s="308" t="s">
        <v>1539</v>
      </c>
      <c r="T62" s="308"/>
      <c r="U62" s="308" t="s">
        <v>9</v>
      </c>
      <c r="V62" s="308"/>
      <c r="W62" s="308"/>
      <c r="X62" s="308" t="s">
        <v>9</v>
      </c>
      <c r="Y62" s="308"/>
      <c r="AA62" s="308" t="s">
        <v>9</v>
      </c>
      <c r="AB62" s="308"/>
      <c r="AC62" s="308"/>
      <c r="AD62" s="308"/>
      <c r="AE62" s="308"/>
      <c r="AF62" s="308" t="s">
        <v>9</v>
      </c>
      <c r="AG62" s="308"/>
      <c r="AH62" s="308"/>
      <c r="AI62" s="308"/>
      <c r="AK62" s="236">
        <v>93</v>
      </c>
      <c r="AL62" t="s">
        <v>84</v>
      </c>
      <c r="AM62" s="237" t="s">
        <v>1544</v>
      </c>
      <c r="AV62" t="s">
        <v>9</v>
      </c>
      <c r="BW62" s="311">
        <v>285</v>
      </c>
      <c r="BX62" s="311">
        <v>62</v>
      </c>
      <c r="BY62" s="311">
        <v>71</v>
      </c>
      <c r="BZ62" s="312">
        <v>442</v>
      </c>
      <c r="CA62" s="312">
        <v>23</v>
      </c>
      <c r="CB62" s="312">
        <v>31</v>
      </c>
      <c r="CC62" s="312">
        <v>16</v>
      </c>
      <c r="CD62" s="312">
        <v>375</v>
      </c>
      <c r="CE62" s="312">
        <v>34</v>
      </c>
      <c r="CF62" s="312">
        <v>34</v>
      </c>
      <c r="CG62" s="312">
        <v>140</v>
      </c>
      <c r="CH62" s="312">
        <v>95</v>
      </c>
      <c r="CI62" s="312">
        <v>515</v>
      </c>
      <c r="CJ62" s="312">
        <v>469</v>
      </c>
      <c r="CK62" s="313">
        <v>46</v>
      </c>
      <c r="CL62" s="322"/>
      <c r="CM62" s="367"/>
      <c r="CN62" s="322"/>
      <c r="CO62" s="322"/>
      <c r="CP62" s="368"/>
      <c r="CQ62" s="321"/>
      <c r="CR62" s="321"/>
      <c r="CS62" s="320"/>
      <c r="CT62" s="368"/>
      <c r="CU62" s="321"/>
      <c r="CV62" s="321"/>
      <c r="CW62" s="368"/>
      <c r="CX62" s="321"/>
      <c r="CY62" s="321"/>
      <c r="CZ62" s="317">
        <v>80</v>
      </c>
      <c r="DA62" s="368" t="s">
        <v>1247</v>
      </c>
      <c r="DB62" s="313">
        <v>17</v>
      </c>
      <c r="DC62" s="313">
        <v>143</v>
      </c>
      <c r="DD62" s="368">
        <v>0</v>
      </c>
      <c r="DE62" s="313">
        <v>3</v>
      </c>
      <c r="DF62" s="316">
        <v>189</v>
      </c>
      <c r="DG62" s="317">
        <v>45</v>
      </c>
      <c r="DH62" s="368">
        <v>0</v>
      </c>
      <c r="DI62" s="313">
        <v>17</v>
      </c>
      <c r="DJ62" s="313">
        <v>143</v>
      </c>
      <c r="DK62" s="368" t="s">
        <v>1247</v>
      </c>
      <c r="DL62" s="313">
        <v>3</v>
      </c>
      <c r="DM62" s="316">
        <v>189</v>
      </c>
      <c r="DN62" s="317">
        <v>45</v>
      </c>
      <c r="DO62" s="368">
        <v>0</v>
      </c>
      <c r="DP62" s="313" t="s">
        <v>1247</v>
      </c>
      <c r="DQ62" s="313">
        <v>143</v>
      </c>
      <c r="DR62" s="368" t="s">
        <v>1247</v>
      </c>
      <c r="DS62" s="313" t="s">
        <v>1247</v>
      </c>
      <c r="DT62" s="315">
        <v>189</v>
      </c>
      <c r="DU62" s="92" t="s">
        <v>1557</v>
      </c>
    </row>
    <row r="63" spans="2:125" x14ac:dyDescent="0.3">
      <c r="B63" s="311" t="s">
        <v>1558</v>
      </c>
      <c r="D63" s="308" t="s">
        <v>9</v>
      </c>
      <c r="E63" s="308"/>
      <c r="F63" s="304" t="s">
        <v>9</v>
      </c>
      <c r="G63" s="308"/>
      <c r="H63" s="308"/>
      <c r="I63" s="308"/>
      <c r="J63" s="308"/>
      <c r="K63" s="308"/>
      <c r="L63" s="308" t="s">
        <v>9</v>
      </c>
      <c r="M63" s="308" t="s">
        <v>9</v>
      </c>
      <c r="N63" s="308" t="s">
        <v>9</v>
      </c>
      <c r="O63" s="308" t="s">
        <v>1539</v>
      </c>
      <c r="P63" s="308" t="s">
        <v>29</v>
      </c>
      <c r="Q63" s="308"/>
      <c r="R63" s="308" t="s">
        <v>29</v>
      </c>
      <c r="S63" s="308" t="s">
        <v>1539</v>
      </c>
      <c r="T63" s="308"/>
      <c r="U63" s="308"/>
      <c r="V63" s="308"/>
      <c r="W63" s="308"/>
      <c r="X63" s="308" t="s">
        <v>9</v>
      </c>
      <c r="Y63" s="308"/>
      <c r="AA63" s="308" t="s">
        <v>9</v>
      </c>
      <c r="AB63" s="308" t="s">
        <v>9</v>
      </c>
      <c r="AC63" s="308"/>
      <c r="AD63" s="308"/>
      <c r="AE63" s="308"/>
      <c r="AF63" s="308" t="s">
        <v>9</v>
      </c>
      <c r="AG63" s="308"/>
      <c r="AH63" s="308"/>
      <c r="AI63" s="308"/>
      <c r="AK63" s="236">
        <v>93</v>
      </c>
      <c r="AL63" t="s">
        <v>84</v>
      </c>
      <c r="AM63" s="237" t="s">
        <v>1544</v>
      </c>
      <c r="AW63" t="s">
        <v>9</v>
      </c>
      <c r="BW63" s="311">
        <v>285</v>
      </c>
      <c r="BX63" s="311">
        <v>62</v>
      </c>
      <c r="BY63" s="311">
        <v>71</v>
      </c>
      <c r="BZ63" s="312">
        <v>442</v>
      </c>
      <c r="CA63" s="312">
        <v>23</v>
      </c>
      <c r="CB63" s="312">
        <v>31</v>
      </c>
      <c r="CC63" s="312">
        <v>16</v>
      </c>
      <c r="CD63" s="312">
        <v>375</v>
      </c>
      <c r="CE63" s="312">
        <v>34</v>
      </c>
      <c r="CF63" s="312">
        <v>34</v>
      </c>
      <c r="CG63" s="312">
        <v>140</v>
      </c>
      <c r="CH63" s="312">
        <v>95</v>
      </c>
      <c r="CI63" s="312">
        <v>515</v>
      </c>
      <c r="CJ63" s="312">
        <v>455</v>
      </c>
      <c r="CK63" s="313">
        <v>60</v>
      </c>
      <c r="CL63" s="322"/>
      <c r="CM63" s="367"/>
      <c r="CN63" s="322"/>
      <c r="CO63" s="322"/>
      <c r="CP63" s="368"/>
      <c r="CQ63" s="321"/>
      <c r="CR63" s="321"/>
      <c r="CS63" s="320"/>
      <c r="CT63" s="368"/>
      <c r="CU63" s="321"/>
      <c r="CV63" s="321"/>
      <c r="CW63" s="368"/>
      <c r="CX63" s="321"/>
      <c r="CY63" s="321"/>
      <c r="CZ63" s="317">
        <v>80</v>
      </c>
      <c r="DA63" s="368" t="s">
        <v>1247</v>
      </c>
      <c r="DB63" s="313">
        <v>17</v>
      </c>
      <c r="DC63" s="313">
        <v>143</v>
      </c>
      <c r="DD63" s="368">
        <v>0</v>
      </c>
      <c r="DE63" s="313">
        <v>3</v>
      </c>
      <c r="DF63" s="316">
        <v>203</v>
      </c>
      <c r="DG63" s="317">
        <v>45</v>
      </c>
      <c r="DH63" s="368">
        <v>0</v>
      </c>
      <c r="DI63" s="313">
        <v>17</v>
      </c>
      <c r="DJ63" s="313">
        <v>143</v>
      </c>
      <c r="DK63" s="368" t="s">
        <v>1247</v>
      </c>
      <c r="DL63" s="313">
        <v>3</v>
      </c>
      <c r="DM63" s="316">
        <v>203</v>
      </c>
      <c r="DN63" s="317">
        <v>45</v>
      </c>
      <c r="DO63" s="368">
        <v>0</v>
      </c>
      <c r="DP63" s="313" t="s">
        <v>1247</v>
      </c>
      <c r="DQ63" s="313">
        <v>143</v>
      </c>
      <c r="DR63" s="368" t="s">
        <v>1247</v>
      </c>
      <c r="DS63" s="313" t="s">
        <v>1247</v>
      </c>
      <c r="DT63" s="315">
        <v>203</v>
      </c>
      <c r="DU63" s="92" t="s">
        <v>1558</v>
      </c>
    </row>
    <row r="64" spans="2:125" x14ac:dyDescent="0.3">
      <c r="B64" s="311" t="s">
        <v>1559</v>
      </c>
      <c r="D64" s="308" t="s">
        <v>9</v>
      </c>
      <c r="E64" s="308"/>
      <c r="F64" s="304" t="s">
        <v>9</v>
      </c>
      <c r="G64" s="308"/>
      <c r="H64" s="308"/>
      <c r="I64" s="308"/>
      <c r="J64" s="308"/>
      <c r="K64" s="308"/>
      <c r="L64" s="308" t="s">
        <v>9</v>
      </c>
      <c r="M64" s="308" t="s">
        <v>9</v>
      </c>
      <c r="N64" s="308" t="s">
        <v>9</v>
      </c>
      <c r="O64" s="308"/>
      <c r="P64" s="308" t="s">
        <v>9</v>
      </c>
      <c r="Q64" s="308"/>
      <c r="R64" s="308" t="s">
        <v>9</v>
      </c>
      <c r="S64" s="308"/>
      <c r="T64" s="308"/>
      <c r="U64" s="308" t="s">
        <v>9</v>
      </c>
      <c r="V64" s="308"/>
      <c r="W64" s="308"/>
      <c r="X64" s="308" t="s">
        <v>9</v>
      </c>
      <c r="Y64" s="308"/>
      <c r="AA64" s="308" t="s">
        <v>9</v>
      </c>
      <c r="AB64" s="308"/>
      <c r="AC64" s="308" t="s">
        <v>9</v>
      </c>
      <c r="AD64" s="308"/>
      <c r="AE64" s="308" t="s">
        <v>9</v>
      </c>
      <c r="AF64" s="308" t="s">
        <v>9</v>
      </c>
      <c r="AG64" s="308"/>
      <c r="AH64" s="308"/>
      <c r="AI64" s="308"/>
      <c r="AK64" s="236">
        <v>93</v>
      </c>
      <c r="AL64" t="s">
        <v>84</v>
      </c>
      <c r="AM64" s="237" t="s">
        <v>1544</v>
      </c>
      <c r="AX64" t="s">
        <v>9</v>
      </c>
      <c r="BW64" s="311">
        <v>285</v>
      </c>
      <c r="BX64" s="311">
        <v>62</v>
      </c>
      <c r="BY64" s="311">
        <v>71</v>
      </c>
      <c r="BZ64" s="312">
        <v>518</v>
      </c>
      <c r="CA64" s="312">
        <v>30</v>
      </c>
      <c r="CB64" s="312">
        <v>40</v>
      </c>
      <c r="CC64" s="312">
        <v>20</v>
      </c>
      <c r="CD64" s="312">
        <v>375</v>
      </c>
      <c r="CE64" s="312">
        <v>34</v>
      </c>
      <c r="CF64" s="312">
        <v>34</v>
      </c>
      <c r="CG64" s="312">
        <v>140</v>
      </c>
      <c r="CH64" s="312">
        <v>95</v>
      </c>
      <c r="CI64" s="312">
        <v>515</v>
      </c>
      <c r="CJ64" s="312">
        <v>355</v>
      </c>
      <c r="CK64" s="313">
        <v>160</v>
      </c>
      <c r="CL64" s="322"/>
      <c r="CM64" s="367"/>
      <c r="CN64" s="322"/>
      <c r="CO64" s="322"/>
      <c r="CP64" s="368"/>
      <c r="CQ64" s="321"/>
      <c r="CR64" s="321"/>
      <c r="CS64" s="320"/>
      <c r="CT64" s="368"/>
      <c r="CU64" s="321"/>
      <c r="CV64" s="321"/>
      <c r="CW64" s="368"/>
      <c r="CX64" s="321"/>
      <c r="CY64" s="321"/>
      <c r="CZ64" s="320"/>
      <c r="DA64" s="368"/>
      <c r="DB64" s="321"/>
      <c r="DC64" s="321"/>
      <c r="DD64" s="368"/>
      <c r="DE64" s="321"/>
      <c r="DF64" s="321"/>
      <c r="DG64" s="317">
        <v>45</v>
      </c>
      <c r="DH64" s="368">
        <v>0</v>
      </c>
      <c r="DI64" s="313">
        <v>17</v>
      </c>
      <c r="DJ64" s="313">
        <v>84</v>
      </c>
      <c r="DK64" s="368" t="s">
        <v>1247</v>
      </c>
      <c r="DL64" s="313">
        <v>0</v>
      </c>
      <c r="DM64" s="316">
        <v>244</v>
      </c>
      <c r="DN64" s="317">
        <v>45</v>
      </c>
      <c r="DO64" s="368">
        <v>0</v>
      </c>
      <c r="DP64" s="313" t="s">
        <v>1247</v>
      </c>
      <c r="DQ64" s="313">
        <v>84</v>
      </c>
      <c r="DR64" s="368" t="s">
        <v>1247</v>
      </c>
      <c r="DS64" s="313" t="s">
        <v>1247</v>
      </c>
      <c r="DT64" s="315">
        <v>244</v>
      </c>
      <c r="DU64" s="92" t="s">
        <v>1559</v>
      </c>
    </row>
    <row r="65" spans="2:125" x14ac:dyDescent="0.3">
      <c r="B65" s="311" t="s">
        <v>1560</v>
      </c>
      <c r="D65" s="308" t="s">
        <v>9</v>
      </c>
      <c r="E65" s="308"/>
      <c r="F65" s="304" t="s">
        <v>9</v>
      </c>
      <c r="G65" s="308"/>
      <c r="H65" s="308"/>
      <c r="I65" s="308"/>
      <c r="J65" s="308"/>
      <c r="K65" s="308"/>
      <c r="L65" s="308" t="s">
        <v>9</v>
      </c>
      <c r="M65" s="308" t="s">
        <v>9</v>
      </c>
      <c r="N65" s="308" t="s">
        <v>9</v>
      </c>
      <c r="O65" s="308"/>
      <c r="P65" s="308" t="s">
        <v>9</v>
      </c>
      <c r="Q65" s="308"/>
      <c r="R65" s="308" t="s">
        <v>9</v>
      </c>
      <c r="S65" s="308"/>
      <c r="T65" s="308"/>
      <c r="U65" s="308" t="s">
        <v>9</v>
      </c>
      <c r="V65" s="308"/>
      <c r="W65" s="308"/>
      <c r="X65" s="308" t="s">
        <v>9</v>
      </c>
      <c r="Y65" s="308"/>
      <c r="AA65" s="308" t="s">
        <v>9</v>
      </c>
      <c r="AB65" s="308"/>
      <c r="AC65" s="308" t="s">
        <v>9</v>
      </c>
      <c r="AD65" s="308" t="s">
        <v>9</v>
      </c>
      <c r="AE65" s="308"/>
      <c r="AF65" s="308" t="s">
        <v>9</v>
      </c>
      <c r="AG65" s="308"/>
      <c r="AH65" s="308"/>
      <c r="AI65" s="308"/>
      <c r="AK65" s="236">
        <v>93</v>
      </c>
      <c r="AL65" t="s">
        <v>84</v>
      </c>
      <c r="AM65" s="237" t="s">
        <v>1544</v>
      </c>
      <c r="AY65" t="s">
        <v>9</v>
      </c>
      <c r="BW65" s="311">
        <v>285</v>
      </c>
      <c r="BX65" s="311">
        <v>62</v>
      </c>
      <c r="BY65" s="311">
        <v>71</v>
      </c>
      <c r="BZ65" s="312">
        <v>864</v>
      </c>
      <c r="CA65" s="312">
        <v>30</v>
      </c>
      <c r="CB65" s="312">
        <v>40</v>
      </c>
      <c r="CC65" s="312">
        <v>20</v>
      </c>
      <c r="CD65" s="312">
        <v>375</v>
      </c>
      <c r="CE65" s="312">
        <v>34</v>
      </c>
      <c r="CF65" s="312">
        <v>34</v>
      </c>
      <c r="CG65" s="312">
        <v>140</v>
      </c>
      <c r="CH65" s="312">
        <v>95</v>
      </c>
      <c r="CI65" s="312">
        <v>515</v>
      </c>
      <c r="CJ65" s="312">
        <v>309</v>
      </c>
      <c r="CK65" s="313">
        <v>206</v>
      </c>
      <c r="CL65" s="322"/>
      <c r="CM65" s="367"/>
      <c r="CN65" s="322"/>
      <c r="CO65" s="322"/>
      <c r="CP65" s="368"/>
      <c r="CQ65" s="321"/>
      <c r="CR65" s="321"/>
      <c r="CS65" s="320"/>
      <c r="CT65" s="368"/>
      <c r="CU65" s="321"/>
      <c r="CV65" s="321"/>
      <c r="CW65" s="368"/>
      <c r="CX65" s="321"/>
      <c r="CY65" s="321"/>
      <c r="CZ65" s="320"/>
      <c r="DA65" s="368"/>
      <c r="DB65" s="321"/>
      <c r="DC65" s="321"/>
      <c r="DD65" s="368"/>
      <c r="DE65" s="321"/>
      <c r="DF65" s="321"/>
      <c r="DG65" s="317">
        <v>45</v>
      </c>
      <c r="DH65" s="368">
        <v>0</v>
      </c>
      <c r="DI65" s="313">
        <v>17</v>
      </c>
      <c r="DJ65" s="313">
        <v>84</v>
      </c>
      <c r="DK65" s="368" t="s">
        <v>1247</v>
      </c>
      <c r="DL65" s="313">
        <v>0</v>
      </c>
      <c r="DM65" s="316">
        <v>290</v>
      </c>
      <c r="DN65" s="317">
        <v>45</v>
      </c>
      <c r="DO65" s="368">
        <v>0</v>
      </c>
      <c r="DP65" s="313" t="s">
        <v>1247</v>
      </c>
      <c r="DQ65" s="313">
        <v>84</v>
      </c>
      <c r="DR65" s="368" t="s">
        <v>1247</v>
      </c>
      <c r="DS65" s="313">
        <v>44</v>
      </c>
      <c r="DT65" s="315">
        <v>290</v>
      </c>
      <c r="DU65" s="92" t="s">
        <v>1560</v>
      </c>
    </row>
    <row r="66" spans="2:125" x14ac:dyDescent="0.3">
      <c r="B66" s="311" t="s">
        <v>1728</v>
      </c>
      <c r="D66" s="308"/>
      <c r="E66" s="308" t="s">
        <v>9</v>
      </c>
      <c r="F66" s="304" t="s">
        <v>9</v>
      </c>
      <c r="G66" s="308"/>
      <c r="H66" s="308"/>
      <c r="I66" s="308"/>
      <c r="J66" s="308"/>
      <c r="K66" s="308"/>
      <c r="L66" s="308" t="s">
        <v>9</v>
      </c>
      <c r="M66" s="308" t="s">
        <v>9</v>
      </c>
      <c r="N66" s="308" t="s">
        <v>9</v>
      </c>
      <c r="O66" s="308"/>
      <c r="P66" s="308" t="s">
        <v>9</v>
      </c>
      <c r="Q66" s="308"/>
      <c r="R66" s="308" t="s">
        <v>9</v>
      </c>
      <c r="S66" s="308"/>
      <c r="T66" s="308"/>
      <c r="U66" s="308" t="s">
        <v>9</v>
      </c>
      <c r="V66" s="308"/>
      <c r="W66" s="308" t="s">
        <v>9</v>
      </c>
      <c r="X66" s="308" t="s">
        <v>9</v>
      </c>
      <c r="Y66" s="308"/>
      <c r="AA66" s="308" t="s">
        <v>9</v>
      </c>
      <c r="AB66" s="308"/>
      <c r="AC66" s="308"/>
      <c r="AD66" s="308"/>
      <c r="AE66" s="308"/>
      <c r="AF66" s="308" t="s">
        <v>9</v>
      </c>
      <c r="AG66" s="308"/>
      <c r="AH66" s="308"/>
      <c r="AI66" s="308"/>
      <c r="AK66" s="236">
        <v>93</v>
      </c>
      <c r="AL66" t="s">
        <v>84</v>
      </c>
      <c r="AM66" s="237" t="s">
        <v>1544</v>
      </c>
      <c r="AZ66" t="s">
        <v>9</v>
      </c>
      <c r="BW66" s="311">
        <v>285</v>
      </c>
      <c r="BX66" s="311">
        <v>62</v>
      </c>
      <c r="BY66" s="311">
        <v>71</v>
      </c>
      <c r="BZ66" s="312" t="s">
        <v>1247</v>
      </c>
      <c r="CA66" s="312">
        <v>30</v>
      </c>
      <c r="CB66" s="312">
        <v>40</v>
      </c>
      <c r="CC66" s="312">
        <v>20</v>
      </c>
      <c r="CD66" s="312">
        <v>375</v>
      </c>
      <c r="CE66" s="312">
        <v>34</v>
      </c>
      <c r="CF66" s="312">
        <v>34</v>
      </c>
      <c r="CG66" s="312">
        <v>209</v>
      </c>
      <c r="CH66" s="312">
        <v>95</v>
      </c>
      <c r="CI66" s="312">
        <v>584</v>
      </c>
      <c r="CJ66" s="312">
        <v>533</v>
      </c>
      <c r="CK66" s="313">
        <v>51</v>
      </c>
      <c r="CL66" s="322"/>
      <c r="CM66" s="367"/>
      <c r="CN66" s="322"/>
      <c r="CO66" s="322"/>
      <c r="CP66" s="368"/>
      <c r="CQ66" s="321"/>
      <c r="CR66" s="321"/>
      <c r="CS66" s="320"/>
      <c r="CT66" s="368"/>
      <c r="CU66" s="321"/>
      <c r="CV66" s="321"/>
      <c r="CW66" s="368"/>
      <c r="CX66" s="321"/>
      <c r="CY66" s="321"/>
      <c r="CZ66" s="320"/>
      <c r="DA66" s="368"/>
      <c r="DB66" s="321"/>
      <c r="DC66" s="321"/>
      <c r="DD66" s="368"/>
      <c r="DE66" s="321"/>
      <c r="DF66" s="321"/>
      <c r="DG66" s="324">
        <v>114</v>
      </c>
      <c r="DH66" s="368">
        <v>0</v>
      </c>
      <c r="DI66" s="312">
        <v>17</v>
      </c>
      <c r="DJ66" s="325">
        <v>114</v>
      </c>
      <c r="DK66" s="368" t="s">
        <v>1247</v>
      </c>
      <c r="DL66" s="312">
        <v>11</v>
      </c>
      <c r="DM66" s="316">
        <v>165</v>
      </c>
      <c r="DN66" s="324">
        <v>114</v>
      </c>
      <c r="DO66" s="368">
        <v>0</v>
      </c>
      <c r="DP66" s="312" t="s">
        <v>1247</v>
      </c>
      <c r="DQ66" s="325">
        <v>114</v>
      </c>
      <c r="DR66" s="368" t="s">
        <v>1247</v>
      </c>
      <c r="DS66" s="312">
        <v>34</v>
      </c>
      <c r="DT66" s="315">
        <v>165</v>
      </c>
      <c r="DU66" s="92" t="s">
        <v>1728</v>
      </c>
    </row>
    <row r="67" spans="2:125" x14ac:dyDescent="0.3">
      <c r="B67" s="311" t="s">
        <v>1729</v>
      </c>
      <c r="D67" s="308"/>
      <c r="E67" s="308" t="s">
        <v>9</v>
      </c>
      <c r="F67" s="304" t="s">
        <v>9</v>
      </c>
      <c r="G67" s="308"/>
      <c r="H67" s="308"/>
      <c r="I67" s="308"/>
      <c r="J67" s="308"/>
      <c r="K67" s="308"/>
      <c r="L67" s="308" t="s">
        <v>9</v>
      </c>
      <c r="M67" s="308" t="s">
        <v>9</v>
      </c>
      <c r="N67" s="308" t="s">
        <v>9</v>
      </c>
      <c r="O67" s="308"/>
      <c r="P67" s="308" t="s">
        <v>9</v>
      </c>
      <c r="Q67" s="308"/>
      <c r="R67" s="308" t="s">
        <v>9</v>
      </c>
      <c r="S67" s="308"/>
      <c r="T67" s="308"/>
      <c r="U67" s="308"/>
      <c r="V67" s="308"/>
      <c r="W67" s="308" t="s">
        <v>9</v>
      </c>
      <c r="X67" s="308" t="s">
        <v>9</v>
      </c>
      <c r="Y67" s="308"/>
      <c r="AA67" s="308" t="s">
        <v>9</v>
      </c>
      <c r="AB67" s="308" t="s">
        <v>9</v>
      </c>
      <c r="AC67" s="308"/>
      <c r="AD67" s="308"/>
      <c r="AE67" s="308"/>
      <c r="AF67" s="308" t="s">
        <v>9</v>
      </c>
      <c r="AG67" s="308"/>
      <c r="AH67" s="308"/>
      <c r="AI67" s="308"/>
      <c r="AK67" s="236">
        <v>93</v>
      </c>
      <c r="AL67" t="s">
        <v>84</v>
      </c>
      <c r="AM67" s="237" t="s">
        <v>1544</v>
      </c>
      <c r="BA67" t="s">
        <v>9</v>
      </c>
      <c r="BW67" s="311">
        <v>285</v>
      </c>
      <c r="BX67" s="311">
        <v>62</v>
      </c>
      <c r="BY67" s="311">
        <v>71</v>
      </c>
      <c r="BZ67" s="312" t="s">
        <v>1247</v>
      </c>
      <c r="CA67" s="312">
        <v>30</v>
      </c>
      <c r="CB67" s="312">
        <v>40</v>
      </c>
      <c r="CC67" s="312">
        <v>20</v>
      </c>
      <c r="CD67" s="312">
        <v>375</v>
      </c>
      <c r="CE67" s="312">
        <v>34</v>
      </c>
      <c r="CF67" s="312">
        <v>34</v>
      </c>
      <c r="CG67" s="312">
        <v>209</v>
      </c>
      <c r="CH67" s="312">
        <v>95</v>
      </c>
      <c r="CI67" s="312">
        <v>584</v>
      </c>
      <c r="CJ67" s="312">
        <v>533</v>
      </c>
      <c r="CK67" s="313">
        <v>51</v>
      </c>
      <c r="CL67" s="322"/>
      <c r="CM67" s="367"/>
      <c r="CN67" s="322"/>
      <c r="CO67" s="322"/>
      <c r="CP67" s="368"/>
      <c r="CQ67" s="321"/>
      <c r="CR67" s="321"/>
      <c r="CS67" s="320"/>
      <c r="CT67" s="368"/>
      <c r="CU67" s="321"/>
      <c r="CV67" s="321"/>
      <c r="CW67" s="368"/>
      <c r="CX67" s="321"/>
      <c r="CY67" s="321"/>
      <c r="CZ67" s="320"/>
      <c r="DA67" s="368"/>
      <c r="DB67" s="321"/>
      <c r="DC67" s="321"/>
      <c r="DD67" s="368"/>
      <c r="DE67" s="321"/>
      <c r="DF67" s="321"/>
      <c r="DG67" s="324">
        <v>114</v>
      </c>
      <c r="DH67" s="368">
        <v>0</v>
      </c>
      <c r="DI67" s="312">
        <v>17</v>
      </c>
      <c r="DJ67" s="325">
        <v>114</v>
      </c>
      <c r="DK67" s="368" t="s">
        <v>1247</v>
      </c>
      <c r="DL67" s="312">
        <v>11</v>
      </c>
      <c r="DM67" s="316">
        <v>165</v>
      </c>
      <c r="DN67" s="324">
        <v>114</v>
      </c>
      <c r="DO67" s="368">
        <v>0</v>
      </c>
      <c r="DP67" s="312" t="s">
        <v>1247</v>
      </c>
      <c r="DQ67" s="325">
        <v>114</v>
      </c>
      <c r="DR67" s="368" t="s">
        <v>1247</v>
      </c>
      <c r="DS67" s="312">
        <v>34</v>
      </c>
      <c r="DT67" s="315">
        <v>165</v>
      </c>
      <c r="DU67" s="92" t="s">
        <v>1729</v>
      </c>
    </row>
    <row r="68" spans="2:125" x14ac:dyDescent="0.3">
      <c r="B68" s="311" t="s">
        <v>1730</v>
      </c>
      <c r="D68" s="308"/>
      <c r="E68" s="308" t="s">
        <v>9</v>
      </c>
      <c r="F68" s="304" t="s">
        <v>9</v>
      </c>
      <c r="G68" s="308"/>
      <c r="H68" s="308"/>
      <c r="I68" s="308"/>
      <c r="J68" s="308"/>
      <c r="K68" s="308"/>
      <c r="L68" s="308" t="s">
        <v>9</v>
      </c>
      <c r="M68" s="308" t="s">
        <v>9</v>
      </c>
      <c r="N68" s="308" t="s">
        <v>9</v>
      </c>
      <c r="O68" s="308"/>
      <c r="P68" s="308" t="s">
        <v>9</v>
      </c>
      <c r="Q68" s="308"/>
      <c r="R68" s="308" t="s">
        <v>9</v>
      </c>
      <c r="S68" s="308"/>
      <c r="T68" s="308"/>
      <c r="U68" s="308" t="s">
        <v>9</v>
      </c>
      <c r="V68" s="308"/>
      <c r="W68" s="308" t="s">
        <v>9</v>
      </c>
      <c r="X68" s="308" t="s">
        <v>9</v>
      </c>
      <c r="Y68" s="308"/>
      <c r="AA68" s="308" t="s">
        <v>9</v>
      </c>
      <c r="AB68" s="308"/>
      <c r="AC68" s="308" t="s">
        <v>9</v>
      </c>
      <c r="AD68" s="308"/>
      <c r="AE68" s="308" t="s">
        <v>9</v>
      </c>
      <c r="AF68" s="308" t="s">
        <v>9</v>
      </c>
      <c r="AG68" s="308"/>
      <c r="AH68" s="308"/>
      <c r="AI68" s="308"/>
      <c r="AK68" s="236">
        <v>93</v>
      </c>
      <c r="AL68" t="s">
        <v>84</v>
      </c>
      <c r="AM68" s="237" t="s">
        <v>1544</v>
      </c>
      <c r="BB68" t="s">
        <v>9</v>
      </c>
      <c r="BW68" s="311">
        <v>285</v>
      </c>
      <c r="BX68" s="311">
        <v>62</v>
      </c>
      <c r="BY68" s="311">
        <v>71</v>
      </c>
      <c r="BZ68" s="312" t="s">
        <v>1247</v>
      </c>
      <c r="CA68" s="312">
        <v>30</v>
      </c>
      <c r="CB68" s="312">
        <v>34</v>
      </c>
      <c r="CC68" s="312">
        <v>17</v>
      </c>
      <c r="CD68" s="312">
        <v>375</v>
      </c>
      <c r="CE68" s="312">
        <v>34</v>
      </c>
      <c r="CF68" s="312">
        <v>34</v>
      </c>
      <c r="CG68" s="312">
        <v>209</v>
      </c>
      <c r="CH68" s="312">
        <v>95</v>
      </c>
      <c r="CI68" s="312">
        <v>584</v>
      </c>
      <c r="CJ68" s="312">
        <v>420</v>
      </c>
      <c r="CK68" s="313">
        <v>164</v>
      </c>
      <c r="CL68" s="322"/>
      <c r="CM68" s="367"/>
      <c r="CN68" s="322"/>
      <c r="CO68" s="322"/>
      <c r="CP68" s="368"/>
      <c r="CQ68" s="321"/>
      <c r="CR68" s="321"/>
      <c r="CS68" s="320"/>
      <c r="CT68" s="368"/>
      <c r="CU68" s="321"/>
      <c r="CV68" s="321"/>
      <c r="CW68" s="368"/>
      <c r="CX68" s="321"/>
      <c r="CY68" s="321"/>
      <c r="CZ68" s="320"/>
      <c r="DA68" s="368"/>
      <c r="DB68" s="321"/>
      <c r="DC68" s="321"/>
      <c r="DD68" s="368"/>
      <c r="DE68" s="321"/>
      <c r="DF68" s="321"/>
      <c r="DG68" s="324">
        <v>114</v>
      </c>
      <c r="DH68" s="368">
        <v>0</v>
      </c>
      <c r="DI68" s="312">
        <v>17</v>
      </c>
      <c r="DJ68" s="325">
        <v>114</v>
      </c>
      <c r="DK68" s="368" t="s">
        <v>1247</v>
      </c>
      <c r="DL68" s="312">
        <v>0</v>
      </c>
      <c r="DM68" s="316">
        <v>278</v>
      </c>
      <c r="DN68" s="320"/>
      <c r="DO68" s="368"/>
      <c r="DP68" s="321"/>
      <c r="DQ68" s="321"/>
      <c r="DR68" s="368"/>
      <c r="DS68" s="321"/>
      <c r="DT68" s="323"/>
      <c r="DU68" s="92" t="s">
        <v>1730</v>
      </c>
    </row>
    <row r="69" spans="2:125" x14ac:dyDescent="0.3">
      <c r="B69" s="311" t="s">
        <v>1731</v>
      </c>
      <c r="D69" s="308"/>
      <c r="E69" s="308" t="s">
        <v>9</v>
      </c>
      <c r="F69" s="304" t="s">
        <v>9</v>
      </c>
      <c r="G69" s="308"/>
      <c r="H69" s="308"/>
      <c r="I69" s="308"/>
      <c r="J69" s="308"/>
      <c r="K69" s="308"/>
      <c r="L69" s="308" t="s">
        <v>9</v>
      </c>
      <c r="M69" s="308" t="s">
        <v>9</v>
      </c>
      <c r="N69" s="308" t="s">
        <v>9</v>
      </c>
      <c r="O69" s="308"/>
      <c r="P69" s="308" t="s">
        <v>9</v>
      </c>
      <c r="Q69" s="308"/>
      <c r="R69" s="308" t="s">
        <v>9</v>
      </c>
      <c r="S69" s="308"/>
      <c r="T69" s="308"/>
      <c r="U69" s="308" t="s">
        <v>9</v>
      </c>
      <c r="V69" s="308"/>
      <c r="W69" s="308" t="s">
        <v>9</v>
      </c>
      <c r="X69" s="308" t="s">
        <v>9</v>
      </c>
      <c r="Y69" s="308"/>
      <c r="AA69" s="308" t="s">
        <v>9</v>
      </c>
      <c r="AB69" s="308"/>
      <c r="AC69" s="308" t="s">
        <v>9</v>
      </c>
      <c r="AD69" s="308"/>
      <c r="AE69" s="308" t="s">
        <v>9</v>
      </c>
      <c r="AF69" s="308" t="s">
        <v>9</v>
      </c>
      <c r="AG69" s="308"/>
      <c r="AH69" s="308"/>
      <c r="AI69" s="308"/>
      <c r="AK69" s="236">
        <v>93</v>
      </c>
      <c r="AL69" t="s">
        <v>84</v>
      </c>
      <c r="AM69" s="237" t="s">
        <v>1544</v>
      </c>
      <c r="BC69" t="s">
        <v>9</v>
      </c>
      <c r="BW69" s="311">
        <v>285</v>
      </c>
      <c r="BX69" s="311">
        <v>62</v>
      </c>
      <c r="BY69" s="311">
        <v>71</v>
      </c>
      <c r="BZ69" s="312" t="s">
        <v>1247</v>
      </c>
      <c r="CA69" s="312">
        <v>30</v>
      </c>
      <c r="CB69" s="312">
        <v>34</v>
      </c>
      <c r="CC69" s="312">
        <v>17</v>
      </c>
      <c r="CD69" s="312">
        <v>375</v>
      </c>
      <c r="CE69" s="312">
        <v>34</v>
      </c>
      <c r="CF69" s="312">
        <v>34</v>
      </c>
      <c r="CG69" s="312">
        <v>209</v>
      </c>
      <c r="CH69" s="312">
        <v>95</v>
      </c>
      <c r="CI69" s="312">
        <v>584</v>
      </c>
      <c r="CJ69" s="312">
        <v>420</v>
      </c>
      <c r="CK69" s="313">
        <v>164</v>
      </c>
      <c r="CL69" s="322"/>
      <c r="CM69" s="367"/>
      <c r="CN69" s="322"/>
      <c r="CO69" s="322"/>
      <c r="CP69" s="368"/>
      <c r="CQ69" s="321"/>
      <c r="CR69" s="321"/>
      <c r="CS69" s="320"/>
      <c r="CT69" s="368"/>
      <c r="CU69" s="321"/>
      <c r="CV69" s="321"/>
      <c r="CW69" s="368"/>
      <c r="CX69" s="321"/>
      <c r="CY69" s="321"/>
      <c r="CZ69" s="320"/>
      <c r="DA69" s="368"/>
      <c r="DB69" s="321"/>
      <c r="DC69" s="321"/>
      <c r="DD69" s="368"/>
      <c r="DE69" s="321"/>
      <c r="DF69" s="321"/>
      <c r="DG69" s="324">
        <v>114</v>
      </c>
      <c r="DH69" s="368">
        <v>0</v>
      </c>
      <c r="DI69" s="312">
        <v>17</v>
      </c>
      <c r="DJ69" s="325">
        <v>114</v>
      </c>
      <c r="DK69" s="368" t="s">
        <v>1247</v>
      </c>
      <c r="DL69" s="312">
        <v>0</v>
      </c>
      <c r="DM69" s="316">
        <v>278</v>
      </c>
      <c r="DN69" s="320"/>
      <c r="DO69" s="368"/>
      <c r="DP69" s="321"/>
      <c r="DQ69" s="321"/>
      <c r="DR69" s="368"/>
      <c r="DS69" s="321"/>
      <c r="DT69" s="323"/>
      <c r="DU69" s="92" t="s">
        <v>1731</v>
      </c>
    </row>
    <row r="70" spans="2:125" x14ac:dyDescent="0.3">
      <c r="B70" s="311" t="s">
        <v>1732</v>
      </c>
      <c r="D70" s="308"/>
      <c r="E70" s="308" t="s">
        <v>9</v>
      </c>
      <c r="F70" s="304" t="s">
        <v>9</v>
      </c>
      <c r="G70" s="308"/>
      <c r="H70" s="308"/>
      <c r="I70" s="308"/>
      <c r="J70" s="308"/>
      <c r="K70" s="308"/>
      <c r="L70" s="308" t="s">
        <v>9</v>
      </c>
      <c r="M70" s="308" t="s">
        <v>9</v>
      </c>
      <c r="N70" s="308" t="s">
        <v>9</v>
      </c>
      <c r="O70" s="308"/>
      <c r="P70" s="308" t="s">
        <v>9</v>
      </c>
      <c r="Q70" s="308"/>
      <c r="R70" s="308" t="s">
        <v>9</v>
      </c>
      <c r="S70" s="308"/>
      <c r="T70" s="308"/>
      <c r="U70" s="308" t="s">
        <v>9</v>
      </c>
      <c r="V70" s="308"/>
      <c r="W70" s="308" t="s">
        <v>9</v>
      </c>
      <c r="X70" s="308" t="s">
        <v>9</v>
      </c>
      <c r="Y70" s="308"/>
      <c r="AA70" s="308" t="s">
        <v>9</v>
      </c>
      <c r="AB70" s="308"/>
      <c r="AC70" s="308" t="s">
        <v>9</v>
      </c>
      <c r="AD70" s="308"/>
      <c r="AE70" s="308" t="s">
        <v>9</v>
      </c>
      <c r="AF70" s="308" t="s">
        <v>9</v>
      </c>
      <c r="AG70" s="308"/>
      <c r="AH70" s="308"/>
      <c r="AI70" s="308"/>
      <c r="AK70" s="236">
        <v>93</v>
      </c>
      <c r="AL70" t="s">
        <v>84</v>
      </c>
      <c r="AM70" s="237" t="s">
        <v>1544</v>
      </c>
      <c r="BD70" t="s">
        <v>9</v>
      </c>
      <c r="BW70" s="311">
        <v>285</v>
      </c>
      <c r="BX70" s="311">
        <v>62</v>
      </c>
      <c r="BY70" s="311">
        <v>71</v>
      </c>
      <c r="BZ70" s="312" t="s">
        <v>1247</v>
      </c>
      <c r="CA70" s="312">
        <v>30</v>
      </c>
      <c r="CB70" s="312">
        <v>34</v>
      </c>
      <c r="CC70" s="312">
        <v>17</v>
      </c>
      <c r="CD70" s="312">
        <v>375</v>
      </c>
      <c r="CE70" s="312">
        <v>34</v>
      </c>
      <c r="CF70" s="312">
        <v>34</v>
      </c>
      <c r="CG70" s="312">
        <v>209</v>
      </c>
      <c r="CH70" s="312">
        <v>95</v>
      </c>
      <c r="CI70" s="312">
        <v>584</v>
      </c>
      <c r="CJ70" s="312">
        <v>420</v>
      </c>
      <c r="CK70" s="313">
        <v>164</v>
      </c>
      <c r="CL70" s="322"/>
      <c r="CM70" s="367"/>
      <c r="CN70" s="322"/>
      <c r="CO70" s="322"/>
      <c r="CP70" s="368"/>
      <c r="CQ70" s="321"/>
      <c r="CR70" s="321"/>
      <c r="CS70" s="320"/>
      <c r="CT70" s="368"/>
      <c r="CU70" s="321"/>
      <c r="CV70" s="321"/>
      <c r="CW70" s="368"/>
      <c r="CX70" s="321"/>
      <c r="CY70" s="321"/>
      <c r="CZ70" s="320"/>
      <c r="DA70" s="368"/>
      <c r="DB70" s="321"/>
      <c r="DC70" s="321"/>
      <c r="DD70" s="368"/>
      <c r="DE70" s="321"/>
      <c r="DF70" s="321"/>
      <c r="DG70" s="324">
        <v>114</v>
      </c>
      <c r="DH70" s="368">
        <v>0</v>
      </c>
      <c r="DI70" s="312">
        <v>17</v>
      </c>
      <c r="DJ70" s="325">
        <v>114</v>
      </c>
      <c r="DK70" s="368" t="s">
        <v>1247</v>
      </c>
      <c r="DL70" s="312">
        <v>0</v>
      </c>
      <c r="DM70" s="316">
        <v>278</v>
      </c>
      <c r="DN70" s="320"/>
      <c r="DO70" s="368"/>
      <c r="DP70" s="321"/>
      <c r="DQ70" s="321"/>
      <c r="DR70" s="368"/>
      <c r="DS70" s="321"/>
      <c r="DT70" s="323"/>
      <c r="DU70" s="92" t="s">
        <v>1732</v>
      </c>
    </row>
    <row r="71" spans="2:125" x14ac:dyDescent="0.3">
      <c r="B71" s="311" t="s">
        <v>1733</v>
      </c>
      <c r="D71" s="308"/>
      <c r="E71" s="308" t="s">
        <v>9</v>
      </c>
      <c r="F71" s="304" t="s">
        <v>9</v>
      </c>
      <c r="G71" s="308"/>
      <c r="H71" s="308"/>
      <c r="I71" s="308"/>
      <c r="J71" s="308"/>
      <c r="K71" s="308"/>
      <c r="L71" s="308" t="s">
        <v>9</v>
      </c>
      <c r="M71" s="308" t="s">
        <v>9</v>
      </c>
      <c r="N71" s="308" t="s">
        <v>9</v>
      </c>
      <c r="O71" s="308"/>
      <c r="P71" s="308" t="s">
        <v>9</v>
      </c>
      <c r="Q71" s="308"/>
      <c r="R71" s="308" t="s">
        <v>9</v>
      </c>
      <c r="S71" s="308"/>
      <c r="T71" s="308"/>
      <c r="U71" s="308" t="s">
        <v>9</v>
      </c>
      <c r="V71" s="308"/>
      <c r="W71" s="308" t="s">
        <v>9</v>
      </c>
      <c r="X71" s="308" t="s">
        <v>9</v>
      </c>
      <c r="Y71" s="308"/>
      <c r="AA71" s="308" t="s">
        <v>9</v>
      </c>
      <c r="AB71" s="308"/>
      <c r="AC71" s="308" t="s">
        <v>9</v>
      </c>
      <c r="AD71" s="308" t="s">
        <v>9</v>
      </c>
      <c r="AE71" s="308"/>
      <c r="AF71" s="308" t="s">
        <v>9</v>
      </c>
      <c r="AG71" s="308"/>
      <c r="AH71" s="308"/>
      <c r="AI71" s="308"/>
      <c r="AK71" s="236">
        <v>93</v>
      </c>
      <c r="AL71" t="s">
        <v>84</v>
      </c>
      <c r="AM71" s="237" t="s">
        <v>1544</v>
      </c>
      <c r="BE71" t="s">
        <v>9</v>
      </c>
      <c r="BW71" s="311">
        <v>285</v>
      </c>
      <c r="BX71" s="311">
        <v>62</v>
      </c>
      <c r="BY71" s="311">
        <v>71</v>
      </c>
      <c r="BZ71" s="312" t="s">
        <v>1247</v>
      </c>
      <c r="CA71" s="312">
        <v>30</v>
      </c>
      <c r="CB71" s="312">
        <v>55</v>
      </c>
      <c r="CC71" s="312">
        <v>28</v>
      </c>
      <c r="CD71" s="312">
        <v>375</v>
      </c>
      <c r="CE71" s="312">
        <v>34</v>
      </c>
      <c r="CF71" s="312">
        <v>34</v>
      </c>
      <c r="CG71" s="312">
        <v>209</v>
      </c>
      <c r="CH71" s="312">
        <v>95</v>
      </c>
      <c r="CI71" s="312">
        <v>584</v>
      </c>
      <c r="CJ71" s="312">
        <v>420</v>
      </c>
      <c r="CK71" s="313">
        <v>164</v>
      </c>
      <c r="CL71" s="322"/>
      <c r="CM71" s="367"/>
      <c r="CN71" s="322"/>
      <c r="CO71" s="322"/>
      <c r="CP71" s="368"/>
      <c r="CQ71" s="321"/>
      <c r="CR71" s="321"/>
      <c r="CS71" s="320"/>
      <c r="CT71" s="368"/>
      <c r="CU71" s="321"/>
      <c r="CV71" s="321"/>
      <c r="CW71" s="368"/>
      <c r="CX71" s="321"/>
      <c r="CY71" s="321"/>
      <c r="CZ71" s="320"/>
      <c r="DA71" s="368"/>
      <c r="DB71" s="321"/>
      <c r="DC71" s="321"/>
      <c r="DD71" s="368"/>
      <c r="DE71" s="321"/>
      <c r="DF71" s="321"/>
      <c r="DG71" s="324">
        <v>114</v>
      </c>
      <c r="DH71" s="368">
        <v>0</v>
      </c>
      <c r="DI71" s="312">
        <v>17</v>
      </c>
      <c r="DJ71" s="325">
        <v>114</v>
      </c>
      <c r="DK71" s="368" t="s">
        <v>1247</v>
      </c>
      <c r="DL71" s="312">
        <v>0</v>
      </c>
      <c r="DM71" s="316">
        <v>278</v>
      </c>
      <c r="DN71" s="320"/>
      <c r="DO71" s="368"/>
      <c r="DP71" s="321"/>
      <c r="DQ71" s="321"/>
      <c r="DR71" s="368"/>
      <c r="DS71" s="321"/>
      <c r="DT71" s="323"/>
      <c r="DU71" s="92" t="s">
        <v>1733</v>
      </c>
    </row>
    <row r="72" spans="2:125" x14ac:dyDescent="0.3">
      <c r="B72" s="311" t="s">
        <v>1734</v>
      </c>
      <c r="D72" s="308"/>
      <c r="E72" s="308" t="s">
        <v>9</v>
      </c>
      <c r="F72" s="304" t="s">
        <v>9</v>
      </c>
      <c r="G72" s="308"/>
      <c r="H72" s="308"/>
      <c r="I72" s="308"/>
      <c r="J72" s="308"/>
      <c r="K72" s="308"/>
      <c r="L72" s="308" t="s">
        <v>9</v>
      </c>
      <c r="M72" s="308" t="s">
        <v>9</v>
      </c>
      <c r="N72" s="308" t="s">
        <v>9</v>
      </c>
      <c r="O72" s="308"/>
      <c r="P72" s="308" t="s">
        <v>9</v>
      </c>
      <c r="Q72" s="308"/>
      <c r="R72" s="308" t="s">
        <v>9</v>
      </c>
      <c r="S72" s="308"/>
      <c r="T72" s="308"/>
      <c r="U72" s="308" t="s">
        <v>9</v>
      </c>
      <c r="V72" s="308"/>
      <c r="W72" s="308" t="s">
        <v>9</v>
      </c>
      <c r="X72" s="308" t="s">
        <v>9</v>
      </c>
      <c r="Y72" s="308"/>
      <c r="AA72" s="308" t="s">
        <v>9</v>
      </c>
      <c r="AB72" s="308"/>
      <c r="AC72" s="308" t="s">
        <v>9</v>
      </c>
      <c r="AD72" s="308" t="s">
        <v>9</v>
      </c>
      <c r="AE72" s="308"/>
      <c r="AF72" s="308" t="s">
        <v>9</v>
      </c>
      <c r="AG72" s="308"/>
      <c r="AH72" s="308"/>
      <c r="AI72" s="308"/>
      <c r="AK72" s="236">
        <v>93</v>
      </c>
      <c r="AL72" t="s">
        <v>84</v>
      </c>
      <c r="AM72" s="237" t="s">
        <v>1544</v>
      </c>
      <c r="BF72" t="s">
        <v>9</v>
      </c>
      <c r="BW72" s="311">
        <v>285</v>
      </c>
      <c r="BX72" s="311">
        <v>62</v>
      </c>
      <c r="BY72" s="311">
        <v>71</v>
      </c>
      <c r="BZ72" s="312" t="s">
        <v>1247</v>
      </c>
      <c r="CA72" s="312">
        <v>30</v>
      </c>
      <c r="CB72" s="312">
        <v>55</v>
      </c>
      <c r="CC72" s="312">
        <v>28</v>
      </c>
      <c r="CD72" s="312">
        <v>375</v>
      </c>
      <c r="CE72" s="312">
        <v>34</v>
      </c>
      <c r="CF72" s="312">
        <v>34</v>
      </c>
      <c r="CG72" s="312">
        <v>209</v>
      </c>
      <c r="CH72" s="312">
        <v>95</v>
      </c>
      <c r="CI72" s="312">
        <v>584</v>
      </c>
      <c r="CJ72" s="312">
        <v>420</v>
      </c>
      <c r="CK72" s="313">
        <v>164</v>
      </c>
      <c r="CL72" s="322"/>
      <c r="CM72" s="367"/>
      <c r="CN72" s="322"/>
      <c r="CO72" s="322"/>
      <c r="CP72" s="368"/>
      <c r="CQ72" s="321"/>
      <c r="CR72" s="321"/>
      <c r="CS72" s="320"/>
      <c r="CT72" s="368"/>
      <c r="CU72" s="321"/>
      <c r="CV72" s="321"/>
      <c r="CW72" s="368"/>
      <c r="CX72" s="321"/>
      <c r="CY72" s="321"/>
      <c r="CZ72" s="320"/>
      <c r="DA72" s="368"/>
      <c r="DB72" s="321"/>
      <c r="DC72" s="321"/>
      <c r="DD72" s="368"/>
      <c r="DE72" s="321"/>
      <c r="DF72" s="321"/>
      <c r="DG72" s="324">
        <v>114</v>
      </c>
      <c r="DH72" s="368">
        <v>0</v>
      </c>
      <c r="DI72" s="312">
        <v>17</v>
      </c>
      <c r="DJ72" s="325">
        <v>114</v>
      </c>
      <c r="DK72" s="368" t="s">
        <v>1247</v>
      </c>
      <c r="DL72" s="312">
        <v>0</v>
      </c>
      <c r="DM72" s="316">
        <v>278</v>
      </c>
      <c r="DN72" s="320"/>
      <c r="DO72" s="368"/>
      <c r="DP72" s="321"/>
      <c r="DQ72" s="321"/>
      <c r="DR72" s="368"/>
      <c r="DS72" s="321"/>
      <c r="DT72" s="323"/>
      <c r="DU72" s="92" t="s">
        <v>1734</v>
      </c>
    </row>
    <row r="73" spans="2:125" x14ac:dyDescent="0.3">
      <c r="B73" s="311" t="s">
        <v>1735</v>
      </c>
      <c r="D73" s="308"/>
      <c r="E73" s="308" t="s">
        <v>9</v>
      </c>
      <c r="F73" s="304" t="s">
        <v>9</v>
      </c>
      <c r="G73" s="308"/>
      <c r="H73" s="308"/>
      <c r="I73" s="308"/>
      <c r="J73" s="308"/>
      <c r="K73" s="308"/>
      <c r="L73" s="308" t="s">
        <v>9</v>
      </c>
      <c r="M73" s="308" t="s">
        <v>9</v>
      </c>
      <c r="N73" s="308" t="s">
        <v>9</v>
      </c>
      <c r="O73" s="308"/>
      <c r="P73" s="308" t="s">
        <v>9</v>
      </c>
      <c r="Q73" s="308"/>
      <c r="R73" s="308" t="s">
        <v>9</v>
      </c>
      <c r="S73" s="308"/>
      <c r="T73" s="308"/>
      <c r="U73" s="308" t="s">
        <v>9</v>
      </c>
      <c r="V73" s="308"/>
      <c r="W73" s="308" t="s">
        <v>9</v>
      </c>
      <c r="X73" s="308" t="s">
        <v>9</v>
      </c>
      <c r="Y73" s="308"/>
      <c r="AA73" s="308" t="s">
        <v>9</v>
      </c>
      <c r="AB73" s="308"/>
      <c r="AC73" s="308" t="s">
        <v>9</v>
      </c>
      <c r="AD73" s="308" t="s">
        <v>9</v>
      </c>
      <c r="AE73" s="308"/>
      <c r="AF73" s="308" t="s">
        <v>9</v>
      </c>
      <c r="AG73" s="308"/>
      <c r="AH73" s="308"/>
      <c r="AI73" s="308"/>
      <c r="AK73" s="236">
        <v>93</v>
      </c>
      <c r="AL73" t="s">
        <v>84</v>
      </c>
      <c r="AM73" s="237" t="s">
        <v>1544</v>
      </c>
      <c r="BG73" t="s">
        <v>9</v>
      </c>
      <c r="BW73" s="311">
        <v>285</v>
      </c>
      <c r="BX73" s="311">
        <v>62</v>
      </c>
      <c r="BY73" s="311">
        <v>71</v>
      </c>
      <c r="BZ73" s="312" t="s">
        <v>1247</v>
      </c>
      <c r="CA73" s="312">
        <v>30</v>
      </c>
      <c r="CB73" s="312">
        <v>55</v>
      </c>
      <c r="CC73" s="312">
        <v>28</v>
      </c>
      <c r="CD73" s="312">
        <v>375</v>
      </c>
      <c r="CE73" s="312">
        <v>34</v>
      </c>
      <c r="CF73" s="312">
        <v>34</v>
      </c>
      <c r="CG73" s="312">
        <v>209</v>
      </c>
      <c r="CH73" s="312">
        <v>95</v>
      </c>
      <c r="CI73" s="312">
        <v>584</v>
      </c>
      <c r="CJ73" s="312">
        <v>420</v>
      </c>
      <c r="CK73" s="313">
        <v>164</v>
      </c>
      <c r="CL73" s="322"/>
      <c r="CM73" s="367"/>
      <c r="CN73" s="322"/>
      <c r="CO73" s="322"/>
      <c r="CP73" s="368"/>
      <c r="CQ73" s="321"/>
      <c r="CR73" s="321"/>
      <c r="CS73" s="320"/>
      <c r="CT73" s="368"/>
      <c r="CU73" s="321"/>
      <c r="CV73" s="321"/>
      <c r="CW73" s="368"/>
      <c r="CX73" s="321"/>
      <c r="CY73" s="321"/>
      <c r="CZ73" s="320"/>
      <c r="DA73" s="368"/>
      <c r="DB73" s="321"/>
      <c r="DC73" s="321"/>
      <c r="DD73" s="368"/>
      <c r="DE73" s="321"/>
      <c r="DF73" s="321"/>
      <c r="DG73" s="324">
        <v>114</v>
      </c>
      <c r="DH73" s="368">
        <v>0</v>
      </c>
      <c r="DI73" s="312">
        <v>17</v>
      </c>
      <c r="DJ73" s="325">
        <v>114</v>
      </c>
      <c r="DK73" s="368" t="s">
        <v>1247</v>
      </c>
      <c r="DL73" s="312">
        <v>0</v>
      </c>
      <c r="DM73" s="316">
        <v>278</v>
      </c>
      <c r="DN73" s="320"/>
      <c r="DO73" s="368"/>
      <c r="DP73" s="321"/>
      <c r="DQ73" s="321"/>
      <c r="DR73" s="368"/>
      <c r="DS73" s="321"/>
      <c r="DT73" s="323"/>
      <c r="DU73" s="92" t="s">
        <v>1735</v>
      </c>
    </row>
    <row r="74" spans="2:125" x14ac:dyDescent="0.3">
      <c r="B74" s="311" t="s">
        <v>1736</v>
      </c>
      <c r="D74" s="308"/>
      <c r="E74" s="308" t="s">
        <v>9</v>
      </c>
      <c r="F74" s="304" t="s">
        <v>9</v>
      </c>
      <c r="G74" s="308"/>
      <c r="H74" s="308"/>
      <c r="I74" s="308"/>
      <c r="J74" s="308"/>
      <c r="K74" s="308"/>
      <c r="L74" s="308" t="s">
        <v>9</v>
      </c>
      <c r="M74" s="308" t="s">
        <v>9</v>
      </c>
      <c r="N74" s="308" t="s">
        <v>9</v>
      </c>
      <c r="O74" s="308"/>
      <c r="P74" s="308" t="s">
        <v>9</v>
      </c>
      <c r="Q74" s="308"/>
      <c r="R74" s="308" t="s">
        <v>9</v>
      </c>
      <c r="S74" s="308"/>
      <c r="T74" s="308"/>
      <c r="U74" s="308" t="s">
        <v>9</v>
      </c>
      <c r="V74" s="308"/>
      <c r="W74" s="308" t="s">
        <v>9</v>
      </c>
      <c r="X74" s="308" t="s">
        <v>9</v>
      </c>
      <c r="Y74" s="308"/>
      <c r="AA74" s="308" t="s">
        <v>9</v>
      </c>
      <c r="AB74" s="308"/>
      <c r="AC74" s="308"/>
      <c r="AD74" s="308"/>
      <c r="AE74" s="308"/>
      <c r="AF74" s="308" t="s">
        <v>9</v>
      </c>
      <c r="AG74" s="308"/>
      <c r="AH74" s="308"/>
      <c r="AI74" s="308"/>
      <c r="AK74" s="236">
        <v>93</v>
      </c>
      <c r="AL74" t="s">
        <v>84</v>
      </c>
      <c r="AM74" s="237" t="s">
        <v>1544</v>
      </c>
      <c r="AZ74" t="s">
        <v>9</v>
      </c>
      <c r="BW74" s="311">
        <v>285</v>
      </c>
      <c r="BX74" s="311">
        <v>62</v>
      </c>
      <c r="BY74" s="311">
        <v>71</v>
      </c>
      <c r="BZ74" s="312" t="s">
        <v>1247</v>
      </c>
      <c r="CA74" s="312">
        <v>30</v>
      </c>
      <c r="CB74" s="312">
        <v>34</v>
      </c>
      <c r="CC74" s="312">
        <v>17</v>
      </c>
      <c r="CD74" s="312">
        <v>375</v>
      </c>
      <c r="CE74" s="312">
        <v>34</v>
      </c>
      <c r="CF74" s="312">
        <v>34</v>
      </c>
      <c r="CG74" s="312">
        <v>140</v>
      </c>
      <c r="CH74" s="312">
        <v>95</v>
      </c>
      <c r="CI74" s="312">
        <v>515</v>
      </c>
      <c r="CJ74" s="312">
        <v>464</v>
      </c>
      <c r="CK74" s="313">
        <v>51</v>
      </c>
      <c r="CL74" s="322"/>
      <c r="CM74" s="367"/>
      <c r="CN74" s="322"/>
      <c r="CO74" s="322"/>
      <c r="CP74" s="368"/>
      <c r="CQ74" s="321"/>
      <c r="CR74" s="321"/>
      <c r="CS74" s="320"/>
      <c r="CT74" s="368"/>
      <c r="CU74" s="321"/>
      <c r="CV74" s="321"/>
      <c r="CW74" s="368"/>
      <c r="CX74" s="321"/>
      <c r="CY74" s="321"/>
      <c r="CZ74" s="320"/>
      <c r="DA74" s="368"/>
      <c r="DB74" s="321"/>
      <c r="DC74" s="321"/>
      <c r="DD74" s="368"/>
      <c r="DE74" s="321"/>
      <c r="DF74" s="321"/>
      <c r="DG74" s="326">
        <v>45</v>
      </c>
      <c r="DH74" s="368">
        <v>0</v>
      </c>
      <c r="DI74" s="312">
        <v>17</v>
      </c>
      <c r="DJ74" s="325">
        <v>45</v>
      </c>
      <c r="DK74" s="368" t="s">
        <v>1247</v>
      </c>
      <c r="DL74" s="312">
        <v>0</v>
      </c>
      <c r="DM74" s="316">
        <v>96</v>
      </c>
      <c r="DN74" s="326">
        <v>45</v>
      </c>
      <c r="DO74" s="368">
        <v>0</v>
      </c>
      <c r="DP74" s="312" t="s">
        <v>1247</v>
      </c>
      <c r="DQ74" s="325">
        <v>45</v>
      </c>
      <c r="DR74" s="368" t="s">
        <v>1247</v>
      </c>
      <c r="DS74" s="312">
        <v>34</v>
      </c>
      <c r="DT74" s="315">
        <v>96</v>
      </c>
      <c r="DU74" s="92" t="s">
        <v>1736</v>
      </c>
    </row>
    <row r="75" spans="2:125" x14ac:dyDescent="0.3">
      <c r="B75" s="311" t="s">
        <v>1737</v>
      </c>
      <c r="D75" s="308"/>
      <c r="E75" s="308" t="s">
        <v>9</v>
      </c>
      <c r="F75" s="304" t="s">
        <v>9</v>
      </c>
      <c r="G75" s="308"/>
      <c r="H75" s="308"/>
      <c r="I75" s="308"/>
      <c r="J75" s="308"/>
      <c r="K75" s="308"/>
      <c r="L75" s="308" t="s">
        <v>9</v>
      </c>
      <c r="M75" s="308" t="s">
        <v>9</v>
      </c>
      <c r="N75" s="308" t="s">
        <v>9</v>
      </c>
      <c r="O75" s="308"/>
      <c r="P75" s="308" t="s">
        <v>9</v>
      </c>
      <c r="Q75" s="308"/>
      <c r="R75" s="308" t="s">
        <v>9</v>
      </c>
      <c r="S75" s="308"/>
      <c r="T75" s="308"/>
      <c r="U75" s="308"/>
      <c r="V75" s="308"/>
      <c r="W75" s="308" t="s">
        <v>9</v>
      </c>
      <c r="X75" s="308" t="s">
        <v>9</v>
      </c>
      <c r="Y75" s="308"/>
      <c r="AA75" s="308" t="s">
        <v>9</v>
      </c>
      <c r="AB75" s="308" t="s">
        <v>9</v>
      </c>
      <c r="AC75" s="308"/>
      <c r="AD75" s="308"/>
      <c r="AE75" s="308"/>
      <c r="AF75" s="308" t="s">
        <v>9</v>
      </c>
      <c r="AG75" s="308"/>
      <c r="AH75" s="308"/>
      <c r="AI75" s="308"/>
      <c r="AK75" s="236">
        <v>93</v>
      </c>
      <c r="AL75" t="s">
        <v>84</v>
      </c>
      <c r="AM75" s="237" t="s">
        <v>1544</v>
      </c>
      <c r="BA75" t="s">
        <v>9</v>
      </c>
      <c r="BW75" s="311">
        <v>285</v>
      </c>
      <c r="BX75" s="311">
        <v>62</v>
      </c>
      <c r="BY75" s="311">
        <v>71</v>
      </c>
      <c r="BZ75" s="312" t="s">
        <v>1247</v>
      </c>
      <c r="CA75" s="312">
        <v>30</v>
      </c>
      <c r="CB75" s="312">
        <v>34</v>
      </c>
      <c r="CC75" s="312">
        <v>17</v>
      </c>
      <c r="CD75" s="312">
        <v>375</v>
      </c>
      <c r="CE75" s="312">
        <v>34</v>
      </c>
      <c r="CF75" s="312">
        <v>34</v>
      </c>
      <c r="CG75" s="312">
        <v>140</v>
      </c>
      <c r="CH75" s="312">
        <v>95</v>
      </c>
      <c r="CI75" s="312">
        <v>515</v>
      </c>
      <c r="CJ75" s="312">
        <v>464</v>
      </c>
      <c r="CK75" s="313">
        <v>51</v>
      </c>
      <c r="CL75" s="322"/>
      <c r="CM75" s="367"/>
      <c r="CN75" s="322"/>
      <c r="CO75" s="322"/>
      <c r="CP75" s="368"/>
      <c r="CQ75" s="321"/>
      <c r="CR75" s="321"/>
      <c r="CS75" s="320"/>
      <c r="CT75" s="368"/>
      <c r="CU75" s="321"/>
      <c r="CV75" s="321"/>
      <c r="CW75" s="368"/>
      <c r="CX75" s="321"/>
      <c r="CY75" s="321"/>
      <c r="CZ75" s="320"/>
      <c r="DA75" s="368"/>
      <c r="DB75" s="321"/>
      <c r="DC75" s="321"/>
      <c r="DD75" s="368"/>
      <c r="DE75" s="321"/>
      <c r="DF75" s="321"/>
      <c r="DG75" s="326">
        <v>45</v>
      </c>
      <c r="DH75" s="368">
        <v>0</v>
      </c>
      <c r="DI75" s="312">
        <v>17</v>
      </c>
      <c r="DJ75" s="325">
        <v>45</v>
      </c>
      <c r="DK75" s="368" t="s">
        <v>1247</v>
      </c>
      <c r="DL75" s="312">
        <v>0</v>
      </c>
      <c r="DM75" s="316">
        <v>96</v>
      </c>
      <c r="DN75" s="326">
        <v>45</v>
      </c>
      <c r="DO75" s="368">
        <v>0</v>
      </c>
      <c r="DP75" s="312" t="s">
        <v>1247</v>
      </c>
      <c r="DQ75" s="325">
        <v>45</v>
      </c>
      <c r="DR75" s="368" t="s">
        <v>1247</v>
      </c>
      <c r="DS75" s="312">
        <v>34</v>
      </c>
      <c r="DT75" s="315">
        <v>96</v>
      </c>
      <c r="DU75" s="92" t="s">
        <v>1737</v>
      </c>
    </row>
    <row r="76" spans="2:125" x14ac:dyDescent="0.3">
      <c r="B76" s="311" t="s">
        <v>1738</v>
      </c>
      <c r="D76" s="308"/>
      <c r="E76" s="308" t="s">
        <v>9</v>
      </c>
      <c r="F76" s="304" t="s">
        <v>9</v>
      </c>
      <c r="G76" s="308"/>
      <c r="H76" s="308"/>
      <c r="I76" s="308"/>
      <c r="J76" s="308"/>
      <c r="K76" s="308"/>
      <c r="L76" s="308" t="s">
        <v>9</v>
      </c>
      <c r="M76" s="308" t="s">
        <v>9</v>
      </c>
      <c r="N76" s="308" t="s">
        <v>9</v>
      </c>
      <c r="O76" s="308"/>
      <c r="P76" s="308" t="s">
        <v>9</v>
      </c>
      <c r="Q76" s="308"/>
      <c r="R76" s="308" t="s">
        <v>9</v>
      </c>
      <c r="S76" s="308"/>
      <c r="T76" s="308"/>
      <c r="U76" s="308" t="s">
        <v>9</v>
      </c>
      <c r="V76" s="308"/>
      <c r="W76" s="308" t="s">
        <v>9</v>
      </c>
      <c r="X76" s="308" t="s">
        <v>9</v>
      </c>
      <c r="Y76" s="308"/>
      <c r="AA76" s="308" t="s">
        <v>9</v>
      </c>
      <c r="AB76" s="308"/>
      <c r="AC76" s="308" t="s">
        <v>9</v>
      </c>
      <c r="AD76" s="308"/>
      <c r="AE76" s="308" t="s">
        <v>9</v>
      </c>
      <c r="AF76" s="308" t="s">
        <v>9</v>
      </c>
      <c r="AG76" s="308"/>
      <c r="AH76" s="308"/>
      <c r="AI76" s="308"/>
      <c r="AK76" s="236">
        <v>93</v>
      </c>
      <c r="AL76" t="s">
        <v>84</v>
      </c>
      <c r="AM76" s="237" t="s">
        <v>1544</v>
      </c>
      <c r="BB76" t="s">
        <v>9</v>
      </c>
      <c r="BW76" s="311">
        <v>285</v>
      </c>
      <c r="BX76" s="311">
        <v>62</v>
      </c>
      <c r="BY76" s="311">
        <v>71</v>
      </c>
      <c r="BZ76" s="312" t="s">
        <v>1247</v>
      </c>
      <c r="CA76" s="312">
        <v>30</v>
      </c>
      <c r="CB76" s="312">
        <v>55</v>
      </c>
      <c r="CC76" s="312">
        <v>28</v>
      </c>
      <c r="CD76" s="312">
        <v>375</v>
      </c>
      <c r="CE76" s="312">
        <v>34</v>
      </c>
      <c r="CF76" s="312">
        <v>34</v>
      </c>
      <c r="CG76" s="312">
        <v>140</v>
      </c>
      <c r="CH76" s="312">
        <v>95</v>
      </c>
      <c r="CI76" s="312">
        <v>515</v>
      </c>
      <c r="CJ76" s="312">
        <v>351</v>
      </c>
      <c r="CK76" s="313">
        <v>164</v>
      </c>
      <c r="CL76" s="322"/>
      <c r="CM76" s="367"/>
      <c r="CN76" s="322"/>
      <c r="CO76" s="322"/>
      <c r="CP76" s="368"/>
      <c r="CQ76" s="321"/>
      <c r="CR76" s="321"/>
      <c r="CS76" s="320"/>
      <c r="CT76" s="368"/>
      <c r="CU76" s="321"/>
      <c r="CV76" s="321"/>
      <c r="CW76" s="368"/>
      <c r="CX76" s="321"/>
      <c r="CY76" s="321"/>
      <c r="CZ76" s="320"/>
      <c r="DA76" s="368"/>
      <c r="DB76" s="321"/>
      <c r="DC76" s="321"/>
      <c r="DD76" s="368"/>
      <c r="DE76" s="321"/>
      <c r="DF76" s="321"/>
      <c r="DG76" s="326">
        <v>45</v>
      </c>
      <c r="DH76" s="368">
        <v>0</v>
      </c>
      <c r="DI76" s="312">
        <v>17</v>
      </c>
      <c r="DJ76" s="325">
        <v>45</v>
      </c>
      <c r="DK76" s="368" t="s">
        <v>1247</v>
      </c>
      <c r="DL76" s="312">
        <v>0</v>
      </c>
      <c r="DM76" s="316">
        <v>209</v>
      </c>
      <c r="DN76" s="320"/>
      <c r="DO76" s="368"/>
      <c r="DP76" s="321"/>
      <c r="DQ76" s="321"/>
      <c r="DR76" s="368"/>
      <c r="DS76" s="321"/>
      <c r="DT76" s="323"/>
      <c r="DU76" s="92" t="s">
        <v>1738</v>
      </c>
    </row>
    <row r="77" spans="2:125" x14ac:dyDescent="0.3">
      <c r="B77" s="311" t="s">
        <v>1739</v>
      </c>
      <c r="D77" s="308"/>
      <c r="E77" s="308" t="s">
        <v>9</v>
      </c>
      <c r="F77" s="304" t="s">
        <v>9</v>
      </c>
      <c r="G77" s="308"/>
      <c r="H77" s="308"/>
      <c r="I77" s="308"/>
      <c r="J77" s="308"/>
      <c r="K77" s="308"/>
      <c r="L77" s="308" t="s">
        <v>9</v>
      </c>
      <c r="M77" s="308" t="s">
        <v>9</v>
      </c>
      <c r="N77" s="308" t="s">
        <v>9</v>
      </c>
      <c r="O77" s="308"/>
      <c r="P77" s="308" t="s">
        <v>9</v>
      </c>
      <c r="Q77" s="308"/>
      <c r="R77" s="308" t="s">
        <v>9</v>
      </c>
      <c r="S77" s="308"/>
      <c r="T77" s="308"/>
      <c r="U77" s="308" t="s">
        <v>9</v>
      </c>
      <c r="V77" s="308"/>
      <c r="W77" s="308" t="s">
        <v>9</v>
      </c>
      <c r="X77" s="308" t="s">
        <v>9</v>
      </c>
      <c r="Y77" s="308"/>
      <c r="AA77" s="308" t="s">
        <v>9</v>
      </c>
      <c r="AB77" s="308"/>
      <c r="AC77" s="308" t="s">
        <v>9</v>
      </c>
      <c r="AD77" s="308"/>
      <c r="AE77" s="308" t="s">
        <v>9</v>
      </c>
      <c r="AF77" s="308" t="s">
        <v>9</v>
      </c>
      <c r="AG77" s="308"/>
      <c r="AH77" s="308"/>
      <c r="AI77" s="308"/>
      <c r="AK77" s="236">
        <v>93</v>
      </c>
      <c r="AL77" t="s">
        <v>84</v>
      </c>
      <c r="AM77" s="237" t="s">
        <v>1544</v>
      </c>
      <c r="BC77" t="s">
        <v>9</v>
      </c>
      <c r="BW77" s="311">
        <v>285</v>
      </c>
      <c r="BX77" s="311">
        <v>62</v>
      </c>
      <c r="BY77" s="311">
        <v>71</v>
      </c>
      <c r="BZ77" s="312" t="s">
        <v>1247</v>
      </c>
      <c r="CA77" s="312">
        <v>30</v>
      </c>
      <c r="CB77" s="312">
        <v>55</v>
      </c>
      <c r="CC77" s="312">
        <v>28</v>
      </c>
      <c r="CD77" s="312">
        <v>375</v>
      </c>
      <c r="CE77" s="312">
        <v>34</v>
      </c>
      <c r="CF77" s="312">
        <v>34</v>
      </c>
      <c r="CG77" s="312">
        <v>140</v>
      </c>
      <c r="CH77" s="312">
        <v>95</v>
      </c>
      <c r="CI77" s="312">
        <v>515</v>
      </c>
      <c r="CJ77" s="312">
        <v>351</v>
      </c>
      <c r="CK77" s="313">
        <v>164</v>
      </c>
      <c r="CL77" s="322"/>
      <c r="CM77" s="367"/>
      <c r="CN77" s="322"/>
      <c r="CO77" s="322"/>
      <c r="CP77" s="368"/>
      <c r="CQ77" s="321"/>
      <c r="CR77" s="321"/>
      <c r="CS77" s="320"/>
      <c r="CT77" s="368"/>
      <c r="CU77" s="321"/>
      <c r="CV77" s="321"/>
      <c r="CW77" s="368"/>
      <c r="CX77" s="321"/>
      <c r="CY77" s="321"/>
      <c r="CZ77" s="320"/>
      <c r="DA77" s="368"/>
      <c r="DB77" s="321"/>
      <c r="DC77" s="321"/>
      <c r="DD77" s="368"/>
      <c r="DE77" s="321"/>
      <c r="DF77" s="321"/>
      <c r="DG77" s="326">
        <v>45</v>
      </c>
      <c r="DH77" s="368">
        <v>0</v>
      </c>
      <c r="DI77" s="312">
        <v>17</v>
      </c>
      <c r="DJ77" s="325">
        <v>45</v>
      </c>
      <c r="DK77" s="368" t="s">
        <v>1247</v>
      </c>
      <c r="DL77" s="312">
        <v>0</v>
      </c>
      <c r="DM77" s="316">
        <v>209</v>
      </c>
      <c r="DN77" s="320"/>
      <c r="DO77" s="368"/>
      <c r="DP77" s="321"/>
      <c r="DQ77" s="321"/>
      <c r="DR77" s="368"/>
      <c r="DS77" s="321"/>
      <c r="DT77" s="323"/>
      <c r="DU77" s="92" t="s">
        <v>1739</v>
      </c>
    </row>
    <row r="78" spans="2:125" x14ac:dyDescent="0.3">
      <c r="B78" s="311" t="s">
        <v>1740</v>
      </c>
      <c r="D78" s="308"/>
      <c r="E78" s="308" t="s">
        <v>9</v>
      </c>
      <c r="F78" s="304" t="s">
        <v>9</v>
      </c>
      <c r="G78" s="308"/>
      <c r="H78" s="308"/>
      <c r="I78" s="308"/>
      <c r="J78" s="308"/>
      <c r="K78" s="308"/>
      <c r="L78" s="308" t="s">
        <v>9</v>
      </c>
      <c r="M78" s="308" t="s">
        <v>9</v>
      </c>
      <c r="N78" s="308" t="s">
        <v>9</v>
      </c>
      <c r="O78" s="308"/>
      <c r="P78" s="308" t="s">
        <v>9</v>
      </c>
      <c r="Q78" s="308"/>
      <c r="R78" s="308" t="s">
        <v>9</v>
      </c>
      <c r="S78" s="308"/>
      <c r="T78" s="308"/>
      <c r="U78" s="308" t="s">
        <v>9</v>
      </c>
      <c r="V78" s="308"/>
      <c r="W78" s="308" t="s">
        <v>9</v>
      </c>
      <c r="X78" s="308" t="s">
        <v>9</v>
      </c>
      <c r="Y78" s="308"/>
      <c r="AA78" s="308" t="s">
        <v>9</v>
      </c>
      <c r="AB78" s="308"/>
      <c r="AC78" s="308" t="s">
        <v>9</v>
      </c>
      <c r="AD78" s="308"/>
      <c r="AE78" s="308" t="s">
        <v>9</v>
      </c>
      <c r="AF78" s="308" t="s">
        <v>9</v>
      </c>
      <c r="AG78" s="308"/>
      <c r="AH78" s="308"/>
      <c r="AI78" s="308"/>
      <c r="AK78" s="236">
        <v>93</v>
      </c>
      <c r="AL78" t="s">
        <v>84</v>
      </c>
      <c r="AM78" s="237" t="s">
        <v>1544</v>
      </c>
      <c r="BD78" t="s">
        <v>9</v>
      </c>
      <c r="BW78" s="311">
        <v>285</v>
      </c>
      <c r="BX78" s="311">
        <v>62</v>
      </c>
      <c r="BY78" s="311">
        <v>71</v>
      </c>
      <c r="BZ78" s="312" t="s">
        <v>1247</v>
      </c>
      <c r="CA78" s="312">
        <v>30</v>
      </c>
      <c r="CB78" s="312">
        <v>55</v>
      </c>
      <c r="CC78" s="312">
        <v>28</v>
      </c>
      <c r="CD78" s="312">
        <v>375</v>
      </c>
      <c r="CE78" s="312">
        <v>34</v>
      </c>
      <c r="CF78" s="312">
        <v>34</v>
      </c>
      <c r="CG78" s="312">
        <v>140</v>
      </c>
      <c r="CH78" s="312">
        <v>95</v>
      </c>
      <c r="CI78" s="312">
        <v>515</v>
      </c>
      <c r="CJ78" s="312">
        <v>351</v>
      </c>
      <c r="CK78" s="313">
        <v>164</v>
      </c>
      <c r="CL78" s="322"/>
      <c r="CM78" s="367"/>
      <c r="CN78" s="322"/>
      <c r="CO78" s="322"/>
      <c r="CP78" s="368"/>
      <c r="CQ78" s="321"/>
      <c r="CR78" s="321"/>
      <c r="CS78" s="320"/>
      <c r="CT78" s="368"/>
      <c r="CU78" s="321"/>
      <c r="CV78" s="321"/>
      <c r="CW78" s="368"/>
      <c r="CX78" s="321"/>
      <c r="CY78" s="321"/>
      <c r="CZ78" s="320"/>
      <c r="DA78" s="368"/>
      <c r="DB78" s="321"/>
      <c r="DC78" s="321"/>
      <c r="DD78" s="368"/>
      <c r="DE78" s="321"/>
      <c r="DF78" s="321"/>
      <c r="DG78" s="326">
        <v>45</v>
      </c>
      <c r="DH78" s="368">
        <v>0</v>
      </c>
      <c r="DI78" s="312">
        <v>17</v>
      </c>
      <c r="DJ78" s="325">
        <v>45</v>
      </c>
      <c r="DK78" s="368" t="s">
        <v>1247</v>
      </c>
      <c r="DL78" s="312">
        <v>0</v>
      </c>
      <c r="DM78" s="316">
        <v>209</v>
      </c>
      <c r="DN78" s="320"/>
      <c r="DO78" s="368"/>
      <c r="DP78" s="321"/>
      <c r="DQ78" s="321"/>
      <c r="DR78" s="368"/>
      <c r="DS78" s="321"/>
      <c r="DT78" s="323"/>
      <c r="DU78" s="92" t="s">
        <v>1740</v>
      </c>
    </row>
    <row r="79" spans="2:125" x14ac:dyDescent="0.3">
      <c r="B79" s="311" t="s">
        <v>1741</v>
      </c>
      <c r="D79" s="308"/>
      <c r="E79" s="308" t="s">
        <v>9</v>
      </c>
      <c r="F79" s="304" t="s">
        <v>9</v>
      </c>
      <c r="G79" s="308"/>
      <c r="H79" s="308"/>
      <c r="I79" s="308"/>
      <c r="J79" s="308"/>
      <c r="K79" s="308"/>
      <c r="L79" s="308" t="s">
        <v>9</v>
      </c>
      <c r="M79" s="308" t="s">
        <v>9</v>
      </c>
      <c r="N79" s="308" t="s">
        <v>9</v>
      </c>
      <c r="O79" s="308"/>
      <c r="P79" s="308" t="s">
        <v>9</v>
      </c>
      <c r="Q79" s="308"/>
      <c r="R79" s="308" t="s">
        <v>9</v>
      </c>
      <c r="S79" s="308"/>
      <c r="T79" s="308"/>
      <c r="U79" s="308" t="s">
        <v>9</v>
      </c>
      <c r="V79" s="308"/>
      <c r="W79" s="308" t="s">
        <v>9</v>
      </c>
      <c r="X79" s="308" t="s">
        <v>9</v>
      </c>
      <c r="Y79" s="308"/>
      <c r="AA79" s="308" t="s">
        <v>9</v>
      </c>
      <c r="AB79" s="308"/>
      <c r="AC79" s="308" t="s">
        <v>9</v>
      </c>
      <c r="AD79" s="308" t="s">
        <v>9</v>
      </c>
      <c r="AE79" s="308"/>
      <c r="AF79" s="308" t="s">
        <v>9</v>
      </c>
      <c r="AG79" s="308"/>
      <c r="AH79" s="308"/>
      <c r="AI79" s="308"/>
      <c r="AK79" s="236">
        <v>93</v>
      </c>
      <c r="AL79" t="s">
        <v>84</v>
      </c>
      <c r="AM79" s="237" t="s">
        <v>1544</v>
      </c>
      <c r="BE79" t="s">
        <v>9</v>
      </c>
      <c r="BW79" s="311">
        <v>285</v>
      </c>
      <c r="BX79" s="311">
        <v>62</v>
      </c>
      <c r="BY79" s="311">
        <v>71</v>
      </c>
      <c r="BZ79" s="312" t="s">
        <v>1247</v>
      </c>
      <c r="CA79" s="312">
        <v>30</v>
      </c>
      <c r="CB79" s="312">
        <v>55</v>
      </c>
      <c r="CC79" s="312">
        <v>28</v>
      </c>
      <c r="CD79" s="312">
        <v>375</v>
      </c>
      <c r="CE79" s="312">
        <v>34</v>
      </c>
      <c r="CF79" s="312">
        <v>34</v>
      </c>
      <c r="CG79" s="312">
        <v>140</v>
      </c>
      <c r="CH79" s="312">
        <v>95</v>
      </c>
      <c r="CI79" s="312">
        <v>515</v>
      </c>
      <c r="CJ79" s="312">
        <v>351</v>
      </c>
      <c r="CK79" s="313">
        <v>164</v>
      </c>
      <c r="CL79" s="322"/>
      <c r="CM79" s="367"/>
      <c r="CN79" s="322"/>
      <c r="CO79" s="322"/>
      <c r="CP79" s="368"/>
      <c r="CQ79" s="321"/>
      <c r="CR79" s="323"/>
      <c r="CS79" s="322"/>
      <c r="CT79" s="368"/>
      <c r="CU79" s="321"/>
      <c r="CV79" s="321"/>
      <c r="CW79" s="368"/>
      <c r="CX79" s="321"/>
      <c r="CY79" s="321"/>
      <c r="CZ79" s="320"/>
      <c r="DA79" s="368"/>
      <c r="DB79" s="321"/>
      <c r="DC79" s="321"/>
      <c r="DD79" s="368"/>
      <c r="DE79" s="321"/>
      <c r="DF79" s="321"/>
      <c r="DG79" s="326">
        <v>45</v>
      </c>
      <c r="DH79" s="368">
        <v>0</v>
      </c>
      <c r="DI79" s="312">
        <v>17</v>
      </c>
      <c r="DJ79" s="325">
        <v>45</v>
      </c>
      <c r="DK79" s="368" t="s">
        <v>1247</v>
      </c>
      <c r="DL79" s="312">
        <v>0</v>
      </c>
      <c r="DM79" s="316">
        <v>209</v>
      </c>
      <c r="DN79" s="320"/>
      <c r="DO79" s="368"/>
      <c r="DP79" s="321"/>
      <c r="DQ79" s="321"/>
      <c r="DR79" s="368"/>
      <c r="DS79" s="321"/>
      <c r="DT79" s="323"/>
      <c r="DU79" s="92" t="s">
        <v>1741</v>
      </c>
    </row>
    <row r="80" spans="2:125" x14ac:dyDescent="0.3">
      <c r="B80" s="311" t="s">
        <v>1742</v>
      </c>
      <c r="D80" s="308"/>
      <c r="E80" s="308" t="s">
        <v>9</v>
      </c>
      <c r="F80" s="304" t="s">
        <v>9</v>
      </c>
      <c r="G80" s="308"/>
      <c r="H80" s="308"/>
      <c r="I80" s="308"/>
      <c r="J80" s="308"/>
      <c r="K80" s="308"/>
      <c r="L80" s="308" t="s">
        <v>9</v>
      </c>
      <c r="M80" s="308" t="s">
        <v>9</v>
      </c>
      <c r="N80" s="308" t="s">
        <v>9</v>
      </c>
      <c r="O80" s="308"/>
      <c r="P80" s="308" t="s">
        <v>9</v>
      </c>
      <c r="Q80" s="308"/>
      <c r="R80" s="308" t="s">
        <v>9</v>
      </c>
      <c r="S80" s="308"/>
      <c r="T80" s="308"/>
      <c r="U80" s="308" t="s">
        <v>9</v>
      </c>
      <c r="V80" s="308"/>
      <c r="W80" s="308" t="s">
        <v>9</v>
      </c>
      <c r="X80" s="308" t="s">
        <v>9</v>
      </c>
      <c r="Y80" s="308"/>
      <c r="AA80" s="308" t="s">
        <v>9</v>
      </c>
      <c r="AB80" s="308"/>
      <c r="AC80" s="308" t="s">
        <v>9</v>
      </c>
      <c r="AD80" s="308" t="s">
        <v>9</v>
      </c>
      <c r="AE80" s="308"/>
      <c r="AF80" s="308" t="s">
        <v>9</v>
      </c>
      <c r="AG80" s="308"/>
      <c r="AH80" s="308"/>
      <c r="AI80" s="308"/>
      <c r="AK80" s="236">
        <v>93</v>
      </c>
      <c r="AL80" t="s">
        <v>84</v>
      </c>
      <c r="AM80" s="237" t="s">
        <v>1544</v>
      </c>
      <c r="BF80" t="s">
        <v>9</v>
      </c>
      <c r="BW80" s="311">
        <v>285</v>
      </c>
      <c r="BX80" s="311">
        <v>62</v>
      </c>
      <c r="BY80" s="311">
        <v>71</v>
      </c>
      <c r="BZ80" s="312" t="s">
        <v>1247</v>
      </c>
      <c r="CA80" s="312">
        <v>30</v>
      </c>
      <c r="CB80" s="312">
        <v>55</v>
      </c>
      <c r="CC80" s="312">
        <v>28</v>
      </c>
      <c r="CD80" s="312">
        <v>375</v>
      </c>
      <c r="CE80" s="312">
        <v>34</v>
      </c>
      <c r="CF80" s="312">
        <v>34</v>
      </c>
      <c r="CG80" s="312">
        <v>140</v>
      </c>
      <c r="CH80" s="312">
        <v>95</v>
      </c>
      <c r="CI80" s="312">
        <v>515</v>
      </c>
      <c r="CJ80" s="312">
        <v>351</v>
      </c>
      <c r="CK80" s="313">
        <v>164</v>
      </c>
      <c r="CL80" s="322"/>
      <c r="CM80" s="367"/>
      <c r="CN80" s="322"/>
      <c r="CO80" s="322"/>
      <c r="CP80" s="368"/>
      <c r="CQ80" s="321"/>
      <c r="CR80" s="323"/>
      <c r="CS80" s="322"/>
      <c r="CT80" s="368"/>
      <c r="CU80" s="321"/>
      <c r="CV80" s="321"/>
      <c r="CW80" s="368"/>
      <c r="CX80" s="321"/>
      <c r="CY80" s="321"/>
      <c r="CZ80" s="320"/>
      <c r="DA80" s="368"/>
      <c r="DB80" s="321"/>
      <c r="DC80" s="321"/>
      <c r="DD80" s="368"/>
      <c r="DE80" s="321"/>
      <c r="DF80" s="321"/>
      <c r="DG80" s="326">
        <v>45</v>
      </c>
      <c r="DH80" s="368">
        <v>0</v>
      </c>
      <c r="DI80" s="312">
        <v>17</v>
      </c>
      <c r="DJ80" s="325">
        <v>45</v>
      </c>
      <c r="DK80" s="368" t="s">
        <v>1247</v>
      </c>
      <c r="DL80" s="312">
        <v>0</v>
      </c>
      <c r="DM80" s="316">
        <v>209</v>
      </c>
      <c r="DN80" s="320"/>
      <c r="DO80" s="368"/>
      <c r="DP80" s="321"/>
      <c r="DQ80" s="321"/>
      <c r="DR80" s="368"/>
      <c r="DS80" s="321"/>
      <c r="DT80" s="323"/>
      <c r="DU80" s="92" t="s">
        <v>1742</v>
      </c>
    </row>
    <row r="81" spans="2:125" x14ac:dyDescent="0.3">
      <c r="B81" s="311" t="s">
        <v>1743</v>
      </c>
      <c r="D81" s="308"/>
      <c r="E81" s="308" t="s">
        <v>9</v>
      </c>
      <c r="F81" s="304" t="s">
        <v>9</v>
      </c>
      <c r="G81" s="308"/>
      <c r="H81" s="308"/>
      <c r="I81" s="308"/>
      <c r="J81" s="308"/>
      <c r="K81" s="308"/>
      <c r="L81" s="308" t="s">
        <v>9</v>
      </c>
      <c r="M81" s="308" t="s">
        <v>9</v>
      </c>
      <c r="N81" s="308" t="s">
        <v>9</v>
      </c>
      <c r="O81" s="308"/>
      <c r="P81" s="308" t="s">
        <v>9</v>
      </c>
      <c r="Q81" s="308"/>
      <c r="R81" s="308" t="s">
        <v>9</v>
      </c>
      <c r="S81" s="308"/>
      <c r="T81" s="308"/>
      <c r="U81" s="308" t="s">
        <v>9</v>
      </c>
      <c r="V81" s="308"/>
      <c r="W81" s="308" t="s">
        <v>9</v>
      </c>
      <c r="X81" s="308" t="s">
        <v>9</v>
      </c>
      <c r="Y81" s="308"/>
      <c r="AA81" s="308" t="s">
        <v>9</v>
      </c>
      <c r="AB81" s="308"/>
      <c r="AC81" s="308" t="s">
        <v>9</v>
      </c>
      <c r="AD81" s="308" t="s">
        <v>9</v>
      </c>
      <c r="AE81" s="308"/>
      <c r="AF81" s="308" t="s">
        <v>9</v>
      </c>
      <c r="AG81" s="308"/>
      <c r="AH81" s="308"/>
      <c r="AI81" s="308"/>
      <c r="AK81" s="236">
        <v>93</v>
      </c>
      <c r="AL81" t="s">
        <v>84</v>
      </c>
      <c r="AM81" s="237" t="s">
        <v>1544</v>
      </c>
      <c r="BG81" t="s">
        <v>9</v>
      </c>
      <c r="BW81" s="311">
        <v>285</v>
      </c>
      <c r="BX81" s="311">
        <v>62</v>
      </c>
      <c r="BY81" s="311">
        <v>71</v>
      </c>
      <c r="BZ81" s="312" t="s">
        <v>1247</v>
      </c>
      <c r="CA81" s="312">
        <v>30</v>
      </c>
      <c r="CB81" s="312">
        <v>55</v>
      </c>
      <c r="CC81" s="312">
        <v>28</v>
      </c>
      <c r="CD81" s="312">
        <v>375</v>
      </c>
      <c r="CE81" s="312">
        <v>34</v>
      </c>
      <c r="CF81" s="312">
        <v>34</v>
      </c>
      <c r="CG81" s="312">
        <v>140</v>
      </c>
      <c r="CH81" s="312">
        <v>95</v>
      </c>
      <c r="CI81" s="312">
        <v>515</v>
      </c>
      <c r="CJ81" s="312">
        <v>351</v>
      </c>
      <c r="CK81" s="313">
        <v>164</v>
      </c>
      <c r="CL81" s="322"/>
      <c r="CM81" s="367"/>
      <c r="CN81" s="322"/>
      <c r="CO81" s="322"/>
      <c r="CP81" s="368"/>
      <c r="CQ81" s="321"/>
      <c r="CR81" s="323"/>
      <c r="CS81" s="322"/>
      <c r="CT81" s="368"/>
      <c r="CU81" s="321"/>
      <c r="CV81" s="321"/>
      <c r="CW81" s="368"/>
      <c r="CX81" s="321"/>
      <c r="CY81" s="321"/>
      <c r="CZ81" s="320"/>
      <c r="DA81" s="368"/>
      <c r="DB81" s="321"/>
      <c r="DC81" s="321"/>
      <c r="DD81" s="368"/>
      <c r="DE81" s="321"/>
      <c r="DF81" s="321"/>
      <c r="DG81" s="326">
        <v>45</v>
      </c>
      <c r="DH81" s="368">
        <v>0</v>
      </c>
      <c r="DI81" s="312">
        <v>17</v>
      </c>
      <c r="DJ81" s="325">
        <v>45</v>
      </c>
      <c r="DK81" s="368" t="s">
        <v>1247</v>
      </c>
      <c r="DL81" s="312">
        <v>0</v>
      </c>
      <c r="DM81" s="316">
        <v>209</v>
      </c>
      <c r="DN81" s="320"/>
      <c r="DO81" s="368"/>
      <c r="DP81" s="321"/>
      <c r="DQ81" s="321"/>
      <c r="DR81" s="368"/>
      <c r="DS81" s="321"/>
      <c r="DT81" s="323"/>
      <c r="DU81" s="92" t="s">
        <v>1743</v>
      </c>
    </row>
    <row r="82" spans="2:125" x14ac:dyDescent="0.3">
      <c r="B82" s="311" t="s">
        <v>1411</v>
      </c>
      <c r="D82" s="308" t="s">
        <v>9</v>
      </c>
      <c r="E82" s="308"/>
      <c r="F82" s="304" t="s">
        <v>9</v>
      </c>
      <c r="G82" s="308"/>
      <c r="H82" s="308"/>
      <c r="I82" s="308" t="s">
        <v>9</v>
      </c>
      <c r="J82" s="308" t="s">
        <v>9</v>
      </c>
      <c r="K82" s="308" t="s">
        <v>9</v>
      </c>
      <c r="L82" s="308"/>
      <c r="M82" s="308"/>
      <c r="N82" s="308"/>
      <c r="O82" s="308" t="s">
        <v>9</v>
      </c>
      <c r="P82" s="308"/>
      <c r="Q82" s="308"/>
      <c r="R82" s="308" t="s">
        <v>9</v>
      </c>
      <c r="S82" s="308" t="s">
        <v>9</v>
      </c>
      <c r="T82" s="308"/>
      <c r="U82" s="308"/>
      <c r="V82" s="308"/>
      <c r="W82" s="308"/>
      <c r="X82" s="308"/>
      <c r="Y82" s="308"/>
      <c r="AA82" s="308"/>
      <c r="AB82" s="308"/>
      <c r="AC82" s="308"/>
      <c r="AD82" s="308"/>
      <c r="AE82" s="308"/>
      <c r="AF82" s="308" t="s">
        <v>9</v>
      </c>
      <c r="AG82" s="308"/>
      <c r="AH82" s="308"/>
      <c r="AI82" s="308"/>
      <c r="AK82" s="236">
        <v>97</v>
      </c>
      <c r="AL82" t="s">
        <v>48</v>
      </c>
      <c r="AM82" s="237" t="s">
        <v>1571</v>
      </c>
      <c r="AV82" t="s">
        <v>9</v>
      </c>
      <c r="BW82" s="311">
        <v>340</v>
      </c>
      <c r="BX82" s="311">
        <v>37</v>
      </c>
      <c r="BY82" s="311">
        <v>49</v>
      </c>
      <c r="BZ82" s="312">
        <v>340</v>
      </c>
      <c r="CA82" s="312">
        <v>16</v>
      </c>
      <c r="CB82" s="312">
        <v>24</v>
      </c>
      <c r="CC82" s="312">
        <v>12</v>
      </c>
      <c r="CD82" s="312">
        <v>210</v>
      </c>
      <c r="CE82" s="312">
        <v>20</v>
      </c>
      <c r="CF82" s="312">
        <v>20</v>
      </c>
      <c r="CG82" s="312">
        <v>110</v>
      </c>
      <c r="CH82" s="312">
        <v>84</v>
      </c>
      <c r="CI82" s="312">
        <v>320</v>
      </c>
      <c r="CJ82" s="312">
        <v>277</v>
      </c>
      <c r="CK82" s="313">
        <v>43</v>
      </c>
      <c r="CL82" s="314">
        <v>26</v>
      </c>
      <c r="CM82" s="367">
        <v>0</v>
      </c>
      <c r="CN82" s="314">
        <v>0</v>
      </c>
      <c r="CO82" s="314">
        <v>26</v>
      </c>
      <c r="CP82" s="367" t="s">
        <v>1247</v>
      </c>
      <c r="CQ82" s="314">
        <v>11</v>
      </c>
      <c r="CR82" s="315">
        <v>69</v>
      </c>
      <c r="CS82" s="314"/>
      <c r="CT82" s="367"/>
      <c r="CU82" s="314"/>
      <c r="CV82" s="313"/>
      <c r="CW82" s="368"/>
      <c r="CX82" s="313"/>
      <c r="CY82" s="316"/>
      <c r="CZ82" s="317">
        <v>26</v>
      </c>
      <c r="DA82" s="367" t="s">
        <v>1247</v>
      </c>
      <c r="DB82" s="314">
        <v>11</v>
      </c>
      <c r="DC82" s="313">
        <v>26</v>
      </c>
      <c r="DD82" s="368">
        <v>0</v>
      </c>
      <c r="DE82" s="313">
        <v>1</v>
      </c>
      <c r="DF82" s="315">
        <v>69</v>
      </c>
      <c r="DG82" s="314"/>
      <c r="DH82" s="367"/>
      <c r="DI82" s="314"/>
      <c r="DJ82" s="313"/>
      <c r="DK82" s="368"/>
      <c r="DL82" s="313"/>
      <c r="DM82" s="316"/>
      <c r="DN82" s="320"/>
      <c r="DO82" s="368"/>
      <c r="DP82" s="321"/>
      <c r="DQ82" s="321"/>
      <c r="DR82" s="368"/>
      <c r="DS82" s="321"/>
      <c r="DT82" s="323"/>
      <c r="DU82" s="92" t="s">
        <v>1411</v>
      </c>
    </row>
    <row r="83" spans="2:125" x14ac:dyDescent="0.3">
      <c r="B83" s="311" t="s">
        <v>1572</v>
      </c>
      <c r="D83" s="308" t="s">
        <v>9</v>
      </c>
      <c r="E83" s="308"/>
      <c r="F83" s="304" t="s">
        <v>9</v>
      </c>
      <c r="G83" s="308"/>
      <c r="H83" s="308"/>
      <c r="I83" s="308" t="s">
        <v>9</v>
      </c>
      <c r="J83" s="308" t="s">
        <v>9</v>
      </c>
      <c r="K83" s="308" t="s">
        <v>9</v>
      </c>
      <c r="L83" s="308"/>
      <c r="M83" s="308"/>
      <c r="N83" s="308"/>
      <c r="O83" s="308" t="s">
        <v>9</v>
      </c>
      <c r="P83" s="308"/>
      <c r="Q83" s="308"/>
      <c r="R83" s="308" t="s">
        <v>9</v>
      </c>
      <c r="S83" s="308" t="s">
        <v>9</v>
      </c>
      <c r="T83" s="308"/>
      <c r="U83" s="308"/>
      <c r="V83" s="308"/>
      <c r="W83" s="308"/>
      <c r="X83" s="308"/>
      <c r="Y83" s="308"/>
      <c r="AA83" s="308"/>
      <c r="AB83" s="308" t="s">
        <v>9</v>
      </c>
      <c r="AC83" s="308"/>
      <c r="AD83" s="308"/>
      <c r="AE83" s="308"/>
      <c r="AF83" s="308" t="s">
        <v>9</v>
      </c>
      <c r="AG83" s="308"/>
      <c r="AH83" s="308"/>
      <c r="AI83" s="308"/>
      <c r="AK83" s="236">
        <v>97</v>
      </c>
      <c r="AL83" t="s">
        <v>48</v>
      </c>
      <c r="AM83" s="237" t="s">
        <v>1571</v>
      </c>
      <c r="AW83" t="s">
        <v>9</v>
      </c>
      <c r="BW83" s="311">
        <v>340</v>
      </c>
      <c r="BX83" s="311">
        <v>37</v>
      </c>
      <c r="BY83" s="311">
        <v>49</v>
      </c>
      <c r="BZ83" s="312">
        <v>340</v>
      </c>
      <c r="CA83" s="312">
        <v>16</v>
      </c>
      <c r="CB83" s="312">
        <v>24</v>
      </c>
      <c r="CC83" s="312">
        <v>12</v>
      </c>
      <c r="CD83" s="312">
        <v>210</v>
      </c>
      <c r="CE83" s="312">
        <v>20</v>
      </c>
      <c r="CF83" s="312">
        <v>20</v>
      </c>
      <c r="CG83" s="312">
        <v>110</v>
      </c>
      <c r="CH83" s="312">
        <v>84</v>
      </c>
      <c r="CI83" s="312">
        <v>320</v>
      </c>
      <c r="CJ83" s="312">
        <v>214</v>
      </c>
      <c r="CK83" s="313">
        <v>106</v>
      </c>
      <c r="CL83" s="314">
        <v>26</v>
      </c>
      <c r="CM83" s="367">
        <v>0</v>
      </c>
      <c r="CN83" s="314">
        <v>0</v>
      </c>
      <c r="CO83" s="314">
        <v>26</v>
      </c>
      <c r="CP83" s="367" t="s">
        <v>1247</v>
      </c>
      <c r="CQ83" s="314">
        <v>11</v>
      </c>
      <c r="CR83" s="315">
        <v>132</v>
      </c>
      <c r="CS83" s="314"/>
      <c r="CT83" s="367"/>
      <c r="CU83" s="314"/>
      <c r="CV83" s="313"/>
      <c r="CW83" s="368"/>
      <c r="CX83" s="313"/>
      <c r="CY83" s="316"/>
      <c r="CZ83" s="317">
        <v>26</v>
      </c>
      <c r="DA83" s="367" t="s">
        <v>1247</v>
      </c>
      <c r="DB83" s="314">
        <v>11</v>
      </c>
      <c r="DC83" s="313">
        <v>26</v>
      </c>
      <c r="DD83" s="368">
        <v>0</v>
      </c>
      <c r="DE83" s="313">
        <v>1</v>
      </c>
      <c r="DF83" s="315">
        <v>132</v>
      </c>
      <c r="DG83" s="314"/>
      <c r="DH83" s="367"/>
      <c r="DI83" s="314"/>
      <c r="DJ83" s="313"/>
      <c r="DK83" s="368"/>
      <c r="DL83" s="313"/>
      <c r="DM83" s="316"/>
      <c r="DN83" s="320"/>
      <c r="DO83" s="368"/>
      <c r="DP83" s="321"/>
      <c r="DQ83" s="321"/>
      <c r="DR83" s="368"/>
      <c r="DS83" s="321"/>
      <c r="DT83" s="323"/>
      <c r="DU83" s="92" t="s">
        <v>1572</v>
      </c>
    </row>
    <row r="84" spans="2:125" x14ac:dyDescent="0.3">
      <c r="B84" s="311" t="s">
        <v>1517</v>
      </c>
      <c r="D84" s="308" t="s">
        <v>9</v>
      </c>
      <c r="E84" s="308"/>
      <c r="F84" s="304" t="s">
        <v>9</v>
      </c>
      <c r="G84" s="308"/>
      <c r="H84" s="308" t="s">
        <v>9</v>
      </c>
      <c r="I84" s="308" t="s">
        <v>9</v>
      </c>
      <c r="J84" s="308" t="s">
        <v>9</v>
      </c>
      <c r="K84" s="308" t="s">
        <v>9</v>
      </c>
      <c r="L84" s="308" t="s">
        <v>9</v>
      </c>
      <c r="M84" s="308" t="s">
        <v>9</v>
      </c>
      <c r="N84" s="308"/>
      <c r="O84" s="308" t="s">
        <v>9</v>
      </c>
      <c r="P84" s="308" t="s">
        <v>9</v>
      </c>
      <c r="Q84" s="308"/>
      <c r="R84" s="308" t="s">
        <v>9</v>
      </c>
      <c r="S84" s="308" t="s">
        <v>9</v>
      </c>
      <c r="T84" s="308"/>
      <c r="U84" s="308" t="s">
        <v>9</v>
      </c>
      <c r="V84" s="308" t="s">
        <v>9</v>
      </c>
      <c r="W84" s="308"/>
      <c r="X84" s="308" t="s">
        <v>9</v>
      </c>
      <c r="Y84" s="308"/>
      <c r="AA84" s="308" t="s">
        <v>9</v>
      </c>
      <c r="AB84" s="308"/>
      <c r="AC84" s="308"/>
      <c r="AD84" s="308"/>
      <c r="AE84" s="308"/>
      <c r="AF84" s="308" t="s">
        <v>9</v>
      </c>
      <c r="AG84" s="308"/>
      <c r="AH84" s="308"/>
      <c r="AI84" s="308"/>
      <c r="AK84" s="236">
        <v>98</v>
      </c>
      <c r="AM84" s="237" t="s">
        <v>1516</v>
      </c>
      <c r="AN84" t="s">
        <v>9</v>
      </c>
      <c r="BW84" s="311">
        <v>327</v>
      </c>
      <c r="BX84" s="311">
        <v>59</v>
      </c>
      <c r="BY84" s="311">
        <v>60</v>
      </c>
      <c r="BZ84" s="312">
        <v>518</v>
      </c>
      <c r="CA84" s="311">
        <v>23</v>
      </c>
      <c r="CB84" s="311">
        <v>32</v>
      </c>
      <c r="CC84" s="312">
        <v>16</v>
      </c>
      <c r="CD84" s="312">
        <v>375</v>
      </c>
      <c r="CE84" s="312">
        <v>30</v>
      </c>
      <c r="CF84" s="312">
        <v>30</v>
      </c>
      <c r="CG84" s="312">
        <v>175</v>
      </c>
      <c r="CH84" s="312">
        <v>101</v>
      </c>
      <c r="CI84" s="312">
        <v>476</v>
      </c>
      <c r="CJ84" s="312">
        <v>431</v>
      </c>
      <c r="CK84" s="313">
        <v>45</v>
      </c>
      <c r="CL84" s="316">
        <v>74</v>
      </c>
      <c r="CM84" s="367">
        <v>0</v>
      </c>
      <c r="CN84" s="316">
        <v>4</v>
      </c>
      <c r="CO84" s="316">
        <v>74</v>
      </c>
      <c r="CP84" s="367" t="s">
        <v>1247</v>
      </c>
      <c r="CQ84" s="316">
        <v>12</v>
      </c>
      <c r="CR84" s="316">
        <v>119</v>
      </c>
      <c r="CS84" s="326">
        <v>74</v>
      </c>
      <c r="CT84" s="367" t="s">
        <v>1247</v>
      </c>
      <c r="CU84" s="316">
        <v>4</v>
      </c>
      <c r="CV84" s="312">
        <v>74</v>
      </c>
      <c r="CW84" s="368">
        <v>0</v>
      </c>
      <c r="CX84" s="312">
        <v>12</v>
      </c>
      <c r="CY84" s="316">
        <v>119</v>
      </c>
      <c r="CZ84" s="326">
        <v>74</v>
      </c>
      <c r="DA84" s="367" t="s">
        <v>1247</v>
      </c>
      <c r="DB84" s="316">
        <v>17</v>
      </c>
      <c r="DC84" s="312">
        <v>74</v>
      </c>
      <c r="DD84" s="368">
        <v>0</v>
      </c>
      <c r="DE84" s="312">
        <v>0</v>
      </c>
      <c r="DF84" s="316">
        <v>119</v>
      </c>
      <c r="DG84" s="326">
        <v>74</v>
      </c>
      <c r="DH84" s="367">
        <v>0</v>
      </c>
      <c r="DI84" s="316">
        <v>17</v>
      </c>
      <c r="DJ84" s="312">
        <v>74</v>
      </c>
      <c r="DK84" s="368" t="s">
        <v>1247</v>
      </c>
      <c r="DL84" s="312">
        <v>0</v>
      </c>
      <c r="DM84" s="316">
        <v>119</v>
      </c>
      <c r="DN84" s="326">
        <v>74</v>
      </c>
      <c r="DO84" s="367">
        <v>0</v>
      </c>
      <c r="DP84" s="316" t="s">
        <v>1247</v>
      </c>
      <c r="DQ84" s="312">
        <v>74</v>
      </c>
      <c r="DR84" s="368" t="s">
        <v>1247</v>
      </c>
      <c r="DS84" s="312" t="s">
        <v>1247</v>
      </c>
      <c r="DT84" s="315">
        <v>119</v>
      </c>
      <c r="DU84" s="92" t="s">
        <v>1517</v>
      </c>
    </row>
    <row r="85" spans="2:125" x14ac:dyDescent="0.3">
      <c r="B85" s="311" t="s">
        <v>1518</v>
      </c>
      <c r="D85" s="308" t="s">
        <v>9</v>
      </c>
      <c r="E85" s="308"/>
      <c r="F85" s="304" t="s">
        <v>9</v>
      </c>
      <c r="G85" s="308"/>
      <c r="H85" s="308" t="s">
        <v>9</v>
      </c>
      <c r="I85" s="308" t="s">
        <v>9</v>
      </c>
      <c r="J85" s="308" t="s">
        <v>9</v>
      </c>
      <c r="K85" s="308" t="s">
        <v>9</v>
      </c>
      <c r="L85" s="308" t="s">
        <v>9</v>
      </c>
      <c r="M85" s="308" t="s">
        <v>9</v>
      </c>
      <c r="N85" s="308"/>
      <c r="O85" s="308" t="s">
        <v>9</v>
      </c>
      <c r="P85" s="308" t="s">
        <v>9</v>
      </c>
      <c r="Q85" s="308"/>
      <c r="R85" s="308" t="s">
        <v>9</v>
      </c>
      <c r="S85" s="308" t="s">
        <v>9</v>
      </c>
      <c r="T85" s="308"/>
      <c r="U85" s="308"/>
      <c r="V85" s="308" t="s">
        <v>9</v>
      </c>
      <c r="W85" s="308"/>
      <c r="X85" s="308" t="s">
        <v>9</v>
      </c>
      <c r="Y85" s="308"/>
      <c r="AA85" s="308" t="s">
        <v>9</v>
      </c>
      <c r="AB85" s="308" t="s">
        <v>9</v>
      </c>
      <c r="AC85" s="308"/>
      <c r="AD85" s="308"/>
      <c r="AE85" s="308"/>
      <c r="AF85" s="308" t="s">
        <v>9</v>
      </c>
      <c r="AG85" s="308"/>
      <c r="AH85" s="308"/>
      <c r="AI85" s="308"/>
      <c r="AK85" s="236">
        <v>98</v>
      </c>
      <c r="AM85" s="237" t="s">
        <v>1516</v>
      </c>
      <c r="AO85" t="s">
        <v>9</v>
      </c>
      <c r="BW85" s="311">
        <v>327</v>
      </c>
      <c r="BX85" s="311">
        <v>59</v>
      </c>
      <c r="BY85" s="311">
        <v>60</v>
      </c>
      <c r="BZ85" s="312">
        <v>518</v>
      </c>
      <c r="CA85" s="311">
        <v>23</v>
      </c>
      <c r="CB85" s="311">
        <v>32</v>
      </c>
      <c r="CC85" s="312">
        <v>16</v>
      </c>
      <c r="CD85" s="312">
        <v>375</v>
      </c>
      <c r="CE85" s="312">
        <v>30</v>
      </c>
      <c r="CF85" s="312">
        <v>30</v>
      </c>
      <c r="CG85" s="312">
        <v>175</v>
      </c>
      <c r="CH85" s="312">
        <v>101</v>
      </c>
      <c r="CI85" s="312">
        <v>476</v>
      </c>
      <c r="CJ85" s="312">
        <v>431</v>
      </c>
      <c r="CK85" s="313">
        <v>45</v>
      </c>
      <c r="CL85" s="316">
        <v>74</v>
      </c>
      <c r="CM85" s="367">
        <v>0</v>
      </c>
      <c r="CN85" s="316">
        <v>4</v>
      </c>
      <c r="CO85" s="316">
        <v>74</v>
      </c>
      <c r="CP85" s="367" t="s">
        <v>1247</v>
      </c>
      <c r="CQ85" s="316">
        <v>12</v>
      </c>
      <c r="CR85" s="316">
        <v>119</v>
      </c>
      <c r="CS85" s="326">
        <v>74</v>
      </c>
      <c r="CT85" s="367" t="s">
        <v>1247</v>
      </c>
      <c r="CU85" s="316">
        <v>4</v>
      </c>
      <c r="CV85" s="312">
        <v>74</v>
      </c>
      <c r="CW85" s="368">
        <v>0</v>
      </c>
      <c r="CX85" s="312">
        <v>12</v>
      </c>
      <c r="CY85" s="316">
        <v>119</v>
      </c>
      <c r="CZ85" s="326">
        <v>74</v>
      </c>
      <c r="DA85" s="367" t="s">
        <v>1247</v>
      </c>
      <c r="DB85" s="316">
        <v>17</v>
      </c>
      <c r="DC85" s="312">
        <v>74</v>
      </c>
      <c r="DD85" s="368">
        <v>0</v>
      </c>
      <c r="DE85" s="312">
        <v>0</v>
      </c>
      <c r="DF85" s="316">
        <v>119</v>
      </c>
      <c r="DG85" s="326">
        <v>74</v>
      </c>
      <c r="DH85" s="367">
        <v>0</v>
      </c>
      <c r="DI85" s="316">
        <v>17</v>
      </c>
      <c r="DJ85" s="312">
        <v>74</v>
      </c>
      <c r="DK85" s="368" t="s">
        <v>1247</v>
      </c>
      <c r="DL85" s="312">
        <v>0</v>
      </c>
      <c r="DM85" s="316">
        <v>119</v>
      </c>
      <c r="DN85" s="326">
        <v>74</v>
      </c>
      <c r="DO85" s="367">
        <v>0</v>
      </c>
      <c r="DP85" s="316" t="s">
        <v>1247</v>
      </c>
      <c r="DQ85" s="312">
        <v>74</v>
      </c>
      <c r="DR85" s="368" t="s">
        <v>1247</v>
      </c>
      <c r="DS85" s="312" t="s">
        <v>1247</v>
      </c>
      <c r="DT85" s="315">
        <v>119</v>
      </c>
      <c r="DU85" s="92" t="s">
        <v>1518</v>
      </c>
    </row>
    <row r="86" spans="2:125" x14ac:dyDescent="0.3">
      <c r="B86" s="311" t="s">
        <v>1519</v>
      </c>
      <c r="D86" s="308" t="s">
        <v>9</v>
      </c>
      <c r="E86" s="308"/>
      <c r="F86" s="304" t="s">
        <v>9</v>
      </c>
      <c r="G86" s="308"/>
      <c r="H86" s="308" t="s">
        <v>9</v>
      </c>
      <c r="I86" s="308" t="s">
        <v>9</v>
      </c>
      <c r="J86" s="308" t="s">
        <v>9</v>
      </c>
      <c r="K86" s="308" t="s">
        <v>9</v>
      </c>
      <c r="L86" s="308" t="s">
        <v>9</v>
      </c>
      <c r="M86" s="308" t="s">
        <v>9</v>
      </c>
      <c r="N86" s="308"/>
      <c r="O86" s="308" t="s">
        <v>9</v>
      </c>
      <c r="P86" s="308" t="s">
        <v>9</v>
      </c>
      <c r="Q86" s="308"/>
      <c r="R86" s="308" t="s">
        <v>9</v>
      </c>
      <c r="S86" s="308"/>
      <c r="T86" s="308"/>
      <c r="U86" s="308" t="s">
        <v>9</v>
      </c>
      <c r="V86" s="308" t="s">
        <v>9</v>
      </c>
      <c r="W86" s="308"/>
      <c r="X86" s="308" t="s">
        <v>9</v>
      </c>
      <c r="Y86" s="308"/>
      <c r="AA86" s="308" t="s">
        <v>9</v>
      </c>
      <c r="AB86" s="308"/>
      <c r="AC86" s="308" t="s">
        <v>9</v>
      </c>
      <c r="AD86" s="308"/>
      <c r="AE86" s="308" t="s">
        <v>9</v>
      </c>
      <c r="AF86" s="308" t="s">
        <v>9</v>
      </c>
      <c r="AG86" s="308"/>
      <c r="AH86" s="308"/>
      <c r="AI86" s="308"/>
      <c r="AK86" s="236">
        <v>98</v>
      </c>
      <c r="AM86" s="237" t="s">
        <v>1516</v>
      </c>
      <c r="AP86" t="s">
        <v>9</v>
      </c>
      <c r="BW86" s="311">
        <v>327</v>
      </c>
      <c r="BX86" s="311">
        <v>59</v>
      </c>
      <c r="BY86" s="311">
        <v>60</v>
      </c>
      <c r="BZ86" s="312">
        <v>537</v>
      </c>
      <c r="CA86" s="311">
        <v>30</v>
      </c>
      <c r="CB86" s="311">
        <v>39</v>
      </c>
      <c r="CC86" s="312">
        <v>20</v>
      </c>
      <c r="CD86" s="312">
        <v>375</v>
      </c>
      <c r="CE86" s="312">
        <v>30</v>
      </c>
      <c r="CF86" s="312">
        <v>30</v>
      </c>
      <c r="CG86" s="312">
        <v>175</v>
      </c>
      <c r="CH86" s="312">
        <v>101</v>
      </c>
      <c r="CI86" s="312">
        <v>476</v>
      </c>
      <c r="CJ86" s="312">
        <v>310</v>
      </c>
      <c r="CK86" s="305">
        <v>166</v>
      </c>
      <c r="CL86" s="316">
        <v>74</v>
      </c>
      <c r="CM86" s="367">
        <v>0</v>
      </c>
      <c r="CN86" s="316">
        <v>4</v>
      </c>
      <c r="CO86" s="316">
        <v>74</v>
      </c>
      <c r="CP86" s="367" t="s">
        <v>1247</v>
      </c>
      <c r="CQ86" s="316">
        <v>12</v>
      </c>
      <c r="CR86" s="316">
        <v>240</v>
      </c>
      <c r="CS86" s="320"/>
      <c r="CT86" s="368"/>
      <c r="CU86" s="321"/>
      <c r="CV86" s="321"/>
      <c r="CW86" s="368"/>
      <c r="CX86" s="321"/>
      <c r="CY86" s="321"/>
      <c r="CZ86" s="320"/>
      <c r="DA86" s="368"/>
      <c r="DB86" s="321"/>
      <c r="DC86" s="321"/>
      <c r="DD86" s="368"/>
      <c r="DE86" s="321"/>
      <c r="DF86" s="321"/>
      <c r="DG86" s="326">
        <v>74</v>
      </c>
      <c r="DH86" s="367">
        <v>0</v>
      </c>
      <c r="DI86" s="316">
        <v>17</v>
      </c>
      <c r="DJ86" s="312">
        <v>74</v>
      </c>
      <c r="DK86" s="368" t="s">
        <v>1247</v>
      </c>
      <c r="DL86" s="312">
        <v>0</v>
      </c>
      <c r="DM86" s="316">
        <v>240</v>
      </c>
      <c r="DN86" s="326">
        <v>74</v>
      </c>
      <c r="DO86" s="367">
        <v>0</v>
      </c>
      <c r="DP86" s="316" t="s">
        <v>1247</v>
      </c>
      <c r="DQ86" s="312">
        <v>74</v>
      </c>
      <c r="DR86" s="368" t="s">
        <v>1247</v>
      </c>
      <c r="DS86" s="312" t="s">
        <v>1247</v>
      </c>
      <c r="DT86" s="315">
        <v>240</v>
      </c>
      <c r="DU86" s="92" t="s">
        <v>1519</v>
      </c>
    </row>
    <row r="87" spans="2:125" x14ac:dyDescent="0.3">
      <c r="B87" s="311" t="s">
        <v>1520</v>
      </c>
      <c r="D87" s="308" t="s">
        <v>9</v>
      </c>
      <c r="E87" s="308"/>
      <c r="F87" s="304" t="s">
        <v>9</v>
      </c>
      <c r="G87" s="308"/>
      <c r="H87" s="308" t="s">
        <v>9</v>
      </c>
      <c r="I87" s="308" t="s">
        <v>9</v>
      </c>
      <c r="J87" s="308" t="s">
        <v>9</v>
      </c>
      <c r="K87" s="308" t="s">
        <v>9</v>
      </c>
      <c r="L87" s="308" t="s">
        <v>9</v>
      </c>
      <c r="M87" s="308" t="s">
        <v>9</v>
      </c>
      <c r="N87" s="308"/>
      <c r="O87" s="308" t="s">
        <v>9</v>
      </c>
      <c r="P87" s="308" t="s">
        <v>9</v>
      </c>
      <c r="Q87" s="308"/>
      <c r="R87" s="308" t="s">
        <v>9</v>
      </c>
      <c r="S87" s="308"/>
      <c r="T87" s="308"/>
      <c r="U87" s="308" t="s">
        <v>9</v>
      </c>
      <c r="V87" s="308" t="s">
        <v>9</v>
      </c>
      <c r="W87" s="308"/>
      <c r="X87" s="308" t="s">
        <v>9</v>
      </c>
      <c r="Y87" s="308"/>
      <c r="AA87" s="308" t="s">
        <v>9</v>
      </c>
      <c r="AB87" s="308"/>
      <c r="AC87" s="308" t="s">
        <v>9</v>
      </c>
      <c r="AD87" s="308" t="s">
        <v>9</v>
      </c>
      <c r="AE87" s="308"/>
      <c r="AF87" s="308" t="s">
        <v>9</v>
      </c>
      <c r="AG87" s="308"/>
      <c r="AH87" s="308"/>
      <c r="AI87" s="308"/>
      <c r="AK87" s="236">
        <v>98</v>
      </c>
      <c r="AM87" s="237" t="s">
        <v>1516</v>
      </c>
      <c r="AQ87" t="s">
        <v>9</v>
      </c>
      <c r="BW87" s="311">
        <v>327</v>
      </c>
      <c r="BX87" s="311">
        <v>59</v>
      </c>
      <c r="BY87" s="311">
        <v>60</v>
      </c>
      <c r="BZ87" s="312">
        <v>883</v>
      </c>
      <c r="CA87" s="311">
        <v>30</v>
      </c>
      <c r="CB87" s="311">
        <v>39</v>
      </c>
      <c r="CC87" s="312">
        <v>20</v>
      </c>
      <c r="CD87" s="312">
        <v>375</v>
      </c>
      <c r="CE87" s="312">
        <v>30</v>
      </c>
      <c r="CF87" s="312">
        <v>30</v>
      </c>
      <c r="CG87" s="312">
        <v>175</v>
      </c>
      <c r="CH87" s="312">
        <v>101</v>
      </c>
      <c r="CI87" s="312">
        <v>476</v>
      </c>
      <c r="CJ87" s="312">
        <v>310</v>
      </c>
      <c r="CK87" s="305">
        <v>166</v>
      </c>
      <c r="CL87" s="316">
        <v>74</v>
      </c>
      <c r="CM87" s="367">
        <v>0</v>
      </c>
      <c r="CN87" s="316">
        <v>4</v>
      </c>
      <c r="CO87" s="316">
        <v>74</v>
      </c>
      <c r="CP87" s="367" t="s">
        <v>1247</v>
      </c>
      <c r="CQ87" s="316">
        <v>13</v>
      </c>
      <c r="CR87" s="316">
        <v>240</v>
      </c>
      <c r="CS87" s="320"/>
      <c r="CT87" s="368"/>
      <c r="CU87" s="321"/>
      <c r="CV87" s="321"/>
      <c r="CW87" s="368"/>
      <c r="CX87" s="321"/>
      <c r="CY87" s="321"/>
      <c r="CZ87" s="320"/>
      <c r="DA87" s="368"/>
      <c r="DB87" s="321"/>
      <c r="DC87" s="321"/>
      <c r="DD87" s="368"/>
      <c r="DE87" s="321"/>
      <c r="DF87" s="321"/>
      <c r="DG87" s="326">
        <v>74</v>
      </c>
      <c r="DH87" s="367">
        <v>0</v>
      </c>
      <c r="DI87" s="316">
        <v>17</v>
      </c>
      <c r="DJ87" s="312">
        <v>74</v>
      </c>
      <c r="DK87" s="368" t="s">
        <v>1247</v>
      </c>
      <c r="DL87" s="312">
        <v>0</v>
      </c>
      <c r="DM87" s="316">
        <v>240</v>
      </c>
      <c r="DN87" s="320"/>
      <c r="DO87" s="368"/>
      <c r="DP87" s="321"/>
      <c r="DQ87" s="321"/>
      <c r="DR87" s="368"/>
      <c r="DS87" s="321"/>
      <c r="DT87" s="323"/>
      <c r="DU87" s="92" t="s">
        <v>1520</v>
      </c>
    </row>
    <row r="88" spans="2:125" x14ac:dyDescent="0.3">
      <c r="B88" s="311" t="s">
        <v>1521</v>
      </c>
      <c r="D88" s="308" t="s">
        <v>9</v>
      </c>
      <c r="E88" s="308"/>
      <c r="F88" s="304" t="s">
        <v>9</v>
      </c>
      <c r="G88" s="308"/>
      <c r="H88" s="308" t="s">
        <v>9</v>
      </c>
      <c r="I88" s="308" t="s">
        <v>9</v>
      </c>
      <c r="J88" s="308" t="s">
        <v>9</v>
      </c>
      <c r="K88" s="308" t="s">
        <v>9</v>
      </c>
      <c r="L88" s="308" t="s">
        <v>9</v>
      </c>
      <c r="M88" s="308" t="s">
        <v>9</v>
      </c>
      <c r="N88" s="308"/>
      <c r="O88" s="308" t="s">
        <v>9</v>
      </c>
      <c r="P88" s="308" t="s">
        <v>9</v>
      </c>
      <c r="Q88" s="308"/>
      <c r="R88" s="308" t="s">
        <v>9</v>
      </c>
      <c r="S88" s="308"/>
      <c r="T88" s="308"/>
      <c r="U88" s="308" t="s">
        <v>9</v>
      </c>
      <c r="V88" s="308" t="s">
        <v>9</v>
      </c>
      <c r="W88" s="308"/>
      <c r="X88" s="308" t="s">
        <v>9</v>
      </c>
      <c r="Y88" s="308"/>
      <c r="AA88" s="308" t="s">
        <v>9</v>
      </c>
      <c r="AB88" s="308"/>
      <c r="AC88" s="308" t="s">
        <v>9</v>
      </c>
      <c r="AD88" s="308" t="s">
        <v>9</v>
      </c>
      <c r="AE88" s="308"/>
      <c r="AF88" s="308" t="s">
        <v>9</v>
      </c>
      <c r="AG88" s="308"/>
      <c r="AH88" s="308"/>
      <c r="AI88" s="308"/>
      <c r="AK88" s="236">
        <v>98</v>
      </c>
      <c r="AM88" s="237" t="s">
        <v>1516</v>
      </c>
      <c r="AR88" t="s">
        <v>9</v>
      </c>
      <c r="BW88" s="311">
        <v>327</v>
      </c>
      <c r="BX88" s="311">
        <v>59</v>
      </c>
      <c r="BY88" s="311">
        <v>60</v>
      </c>
      <c r="BZ88" s="312">
        <v>890</v>
      </c>
      <c r="CA88" s="311">
        <v>34</v>
      </c>
      <c r="CB88" s="311">
        <v>75</v>
      </c>
      <c r="CC88" s="312">
        <v>15</v>
      </c>
      <c r="CD88" s="312">
        <v>375</v>
      </c>
      <c r="CE88" s="312">
        <v>30</v>
      </c>
      <c r="CF88" s="312">
        <v>30</v>
      </c>
      <c r="CG88" s="312">
        <v>175</v>
      </c>
      <c r="CH88" s="312">
        <v>101</v>
      </c>
      <c r="CI88" s="312">
        <v>476</v>
      </c>
      <c r="CJ88" s="312">
        <v>306</v>
      </c>
      <c r="CK88" s="305">
        <v>170</v>
      </c>
      <c r="CL88" s="316">
        <v>74</v>
      </c>
      <c r="CM88" s="367">
        <v>0</v>
      </c>
      <c r="CN88" s="316">
        <v>4</v>
      </c>
      <c r="CO88" s="316">
        <v>74</v>
      </c>
      <c r="CP88" s="367" t="s">
        <v>1247</v>
      </c>
      <c r="CQ88" s="316">
        <v>13</v>
      </c>
      <c r="CR88" s="316">
        <v>244</v>
      </c>
      <c r="CS88" s="320"/>
      <c r="CT88" s="368"/>
      <c r="CU88" s="321"/>
      <c r="CV88" s="321"/>
      <c r="CW88" s="368"/>
      <c r="CX88" s="321"/>
      <c r="CY88" s="321"/>
      <c r="CZ88" s="320"/>
      <c r="DA88" s="368"/>
      <c r="DB88" s="321"/>
      <c r="DC88" s="321"/>
      <c r="DD88" s="368"/>
      <c r="DE88" s="321"/>
      <c r="DF88" s="321"/>
      <c r="DG88" s="326">
        <v>74</v>
      </c>
      <c r="DH88" s="367">
        <v>0</v>
      </c>
      <c r="DI88" s="316">
        <v>17</v>
      </c>
      <c r="DJ88" s="312">
        <v>74</v>
      </c>
      <c r="DK88" s="368" t="s">
        <v>1247</v>
      </c>
      <c r="DL88" s="312">
        <v>0</v>
      </c>
      <c r="DM88" s="316">
        <v>244</v>
      </c>
      <c r="DN88" s="320"/>
      <c r="DO88" s="368"/>
      <c r="DP88" s="321"/>
      <c r="DQ88" s="321"/>
      <c r="DR88" s="368"/>
      <c r="DS88" s="321"/>
      <c r="DT88" s="323"/>
      <c r="DU88" s="92" t="s">
        <v>1521</v>
      </c>
    </row>
    <row r="89" spans="2:125" x14ac:dyDescent="0.3">
      <c r="B89" s="311" t="s">
        <v>1701</v>
      </c>
      <c r="D89" s="308"/>
      <c r="E89" s="308" t="s">
        <v>9</v>
      </c>
      <c r="F89" s="304" t="s">
        <v>9</v>
      </c>
      <c r="G89" s="308"/>
      <c r="H89" s="308" t="s">
        <v>9</v>
      </c>
      <c r="I89" s="308" t="s">
        <v>9</v>
      </c>
      <c r="J89" s="308" t="s">
        <v>9</v>
      </c>
      <c r="K89" s="308" t="s">
        <v>9</v>
      </c>
      <c r="L89" s="308" t="s">
        <v>9</v>
      </c>
      <c r="M89" s="308" t="s">
        <v>9</v>
      </c>
      <c r="N89" s="308"/>
      <c r="O89" s="308" t="s">
        <v>9</v>
      </c>
      <c r="P89" s="308" t="s">
        <v>9</v>
      </c>
      <c r="Q89" s="308"/>
      <c r="R89" s="308" t="s">
        <v>9</v>
      </c>
      <c r="S89" s="384"/>
      <c r="T89" s="308"/>
      <c r="U89" s="308" t="s">
        <v>9</v>
      </c>
      <c r="V89" s="308" t="s">
        <v>9</v>
      </c>
      <c r="W89" s="308" t="s">
        <v>9</v>
      </c>
      <c r="X89" s="308" t="s">
        <v>9</v>
      </c>
      <c r="Y89" s="308"/>
      <c r="AA89" s="308" t="s">
        <v>9</v>
      </c>
      <c r="AB89" s="308"/>
      <c r="AC89" s="308"/>
      <c r="AD89" s="308"/>
      <c r="AE89" s="308"/>
      <c r="AF89" s="308" t="s">
        <v>9</v>
      </c>
      <c r="AG89" s="308"/>
      <c r="AH89" s="308"/>
      <c r="AI89" s="308"/>
      <c r="AK89" s="236">
        <v>98</v>
      </c>
      <c r="AM89" s="237" t="s">
        <v>1516</v>
      </c>
      <c r="AS89" t="s">
        <v>9</v>
      </c>
      <c r="BW89" s="311">
        <v>327</v>
      </c>
      <c r="BX89" s="311">
        <v>59</v>
      </c>
      <c r="BY89" s="311">
        <v>60</v>
      </c>
      <c r="BZ89" s="312" t="s">
        <v>1247</v>
      </c>
      <c r="CA89" s="312">
        <v>30</v>
      </c>
      <c r="CB89" s="312">
        <v>35</v>
      </c>
      <c r="CC89" s="312">
        <v>18</v>
      </c>
      <c r="CD89" s="312">
        <v>375</v>
      </c>
      <c r="CE89" s="312">
        <v>30</v>
      </c>
      <c r="CF89" s="312">
        <v>30</v>
      </c>
      <c r="CG89" s="312">
        <v>175</v>
      </c>
      <c r="CH89" s="312">
        <v>101</v>
      </c>
      <c r="CI89" s="312">
        <v>476</v>
      </c>
      <c r="CJ89" s="312">
        <v>423</v>
      </c>
      <c r="CK89" s="305">
        <v>53</v>
      </c>
      <c r="CL89" s="316">
        <v>74</v>
      </c>
      <c r="CM89" s="367">
        <v>0</v>
      </c>
      <c r="CN89" s="316">
        <v>4</v>
      </c>
      <c r="CO89" s="316">
        <v>74</v>
      </c>
      <c r="CP89" s="367" t="s">
        <v>1247</v>
      </c>
      <c r="CQ89" s="316">
        <v>13</v>
      </c>
      <c r="CR89" s="316">
        <v>127</v>
      </c>
      <c r="CS89" s="320"/>
      <c r="CT89" s="367"/>
      <c r="CU89" s="322"/>
      <c r="CV89" s="321"/>
      <c r="CW89" s="368"/>
      <c r="CX89" s="321"/>
      <c r="CY89" s="321"/>
      <c r="CZ89" s="320"/>
      <c r="DA89" s="367"/>
      <c r="DB89" s="322"/>
      <c r="DC89" s="321"/>
      <c r="DD89" s="368"/>
      <c r="DE89" s="321"/>
      <c r="DF89" s="321"/>
      <c r="DG89" s="320"/>
      <c r="DH89" s="367"/>
      <c r="DI89" s="322"/>
      <c r="DJ89" s="321"/>
      <c r="DK89" s="368"/>
      <c r="DL89" s="321"/>
      <c r="DM89" s="321"/>
      <c r="DN89" s="320"/>
      <c r="DO89" s="367"/>
      <c r="DP89" s="322"/>
      <c r="DQ89" s="321"/>
      <c r="DR89" s="368"/>
      <c r="DS89" s="321"/>
      <c r="DT89" s="323"/>
      <c r="DU89" s="92" t="s">
        <v>1701</v>
      </c>
    </row>
    <row r="90" spans="2:125" x14ac:dyDescent="0.3">
      <c r="B90" s="311" t="s">
        <v>1702</v>
      </c>
      <c r="D90" s="308"/>
      <c r="E90" s="308" t="s">
        <v>9</v>
      </c>
      <c r="F90" s="304" t="s">
        <v>9</v>
      </c>
      <c r="G90" s="308"/>
      <c r="H90" s="308" t="s">
        <v>9</v>
      </c>
      <c r="I90" s="308" t="s">
        <v>9</v>
      </c>
      <c r="J90" s="308" t="s">
        <v>9</v>
      </c>
      <c r="K90" s="308" t="s">
        <v>9</v>
      </c>
      <c r="L90" s="308" t="s">
        <v>9</v>
      </c>
      <c r="M90" s="308" t="s">
        <v>9</v>
      </c>
      <c r="N90" s="308"/>
      <c r="O90" s="308" t="s">
        <v>9</v>
      </c>
      <c r="P90" s="308" t="s">
        <v>9</v>
      </c>
      <c r="Q90" s="308"/>
      <c r="R90" s="308" t="s">
        <v>9</v>
      </c>
      <c r="S90" s="384"/>
      <c r="T90" s="308"/>
      <c r="U90" s="308" t="s">
        <v>9</v>
      </c>
      <c r="V90" s="308" t="s">
        <v>9</v>
      </c>
      <c r="W90" s="308" t="s">
        <v>9</v>
      </c>
      <c r="X90" s="308" t="s">
        <v>9</v>
      </c>
      <c r="Y90" s="308"/>
      <c r="AA90" s="308" t="s">
        <v>9</v>
      </c>
      <c r="AB90" s="308"/>
      <c r="AC90" s="308" t="s">
        <v>9</v>
      </c>
      <c r="AD90" s="308"/>
      <c r="AE90" s="308" t="s">
        <v>9</v>
      </c>
      <c r="AF90" s="308" t="s">
        <v>9</v>
      </c>
      <c r="AG90" s="308"/>
      <c r="AH90" s="308"/>
      <c r="AI90" s="308"/>
      <c r="AK90" s="236">
        <v>98</v>
      </c>
      <c r="AM90" s="237" t="s">
        <v>1516</v>
      </c>
      <c r="AT90" t="s">
        <v>9</v>
      </c>
      <c r="BW90" s="311">
        <v>327</v>
      </c>
      <c r="BX90" s="311">
        <v>59</v>
      </c>
      <c r="BY90" s="311">
        <v>60</v>
      </c>
      <c r="BZ90" s="312" t="s">
        <v>1247</v>
      </c>
      <c r="CA90" s="312">
        <v>30</v>
      </c>
      <c r="CB90" s="312">
        <v>35</v>
      </c>
      <c r="CC90" s="312">
        <v>18</v>
      </c>
      <c r="CD90" s="312">
        <v>375</v>
      </c>
      <c r="CE90" s="312">
        <v>30</v>
      </c>
      <c r="CF90" s="312">
        <v>30</v>
      </c>
      <c r="CG90" s="312">
        <v>175</v>
      </c>
      <c r="CH90" s="312">
        <v>101</v>
      </c>
      <c r="CI90" s="312">
        <v>476</v>
      </c>
      <c r="CJ90" s="312">
        <v>310</v>
      </c>
      <c r="CK90" s="305">
        <v>166</v>
      </c>
      <c r="CL90" s="316">
        <v>74</v>
      </c>
      <c r="CM90" s="367">
        <v>0</v>
      </c>
      <c r="CN90" s="316">
        <v>4</v>
      </c>
      <c r="CO90" s="316">
        <v>74</v>
      </c>
      <c r="CP90" s="367" t="s">
        <v>1247</v>
      </c>
      <c r="CQ90" s="316">
        <v>13</v>
      </c>
      <c r="CR90" s="316">
        <v>240</v>
      </c>
      <c r="CS90" s="320"/>
      <c r="CT90" s="367"/>
      <c r="CU90" s="322"/>
      <c r="CV90" s="321"/>
      <c r="CW90" s="368"/>
      <c r="CX90" s="321"/>
      <c r="CY90" s="321"/>
      <c r="CZ90" s="320"/>
      <c r="DA90" s="367"/>
      <c r="DB90" s="322"/>
      <c r="DC90" s="321"/>
      <c r="DD90" s="368"/>
      <c r="DE90" s="321"/>
      <c r="DF90" s="321"/>
      <c r="DG90" s="320"/>
      <c r="DH90" s="367"/>
      <c r="DI90" s="322"/>
      <c r="DJ90" s="321"/>
      <c r="DK90" s="368"/>
      <c r="DL90" s="321"/>
      <c r="DM90" s="321"/>
      <c r="DN90" s="320"/>
      <c r="DO90" s="367"/>
      <c r="DP90" s="322"/>
      <c r="DQ90" s="321"/>
      <c r="DR90" s="368"/>
      <c r="DS90" s="321"/>
      <c r="DT90" s="323"/>
      <c r="DU90" s="92" t="s">
        <v>1702</v>
      </c>
    </row>
    <row r="91" spans="2:125" x14ac:dyDescent="0.3">
      <c r="B91" s="311" t="s">
        <v>1703</v>
      </c>
      <c r="D91" s="308"/>
      <c r="E91" s="308" t="s">
        <v>9</v>
      </c>
      <c r="F91" s="304" t="s">
        <v>9</v>
      </c>
      <c r="G91" s="308"/>
      <c r="H91" s="308" t="s">
        <v>9</v>
      </c>
      <c r="I91" s="308" t="s">
        <v>9</v>
      </c>
      <c r="J91" s="308" t="s">
        <v>9</v>
      </c>
      <c r="K91" s="308" t="s">
        <v>9</v>
      </c>
      <c r="L91" s="308" t="s">
        <v>9</v>
      </c>
      <c r="M91" s="308" t="s">
        <v>9</v>
      </c>
      <c r="N91" s="308"/>
      <c r="O91" s="308" t="s">
        <v>9</v>
      </c>
      <c r="P91" s="308" t="s">
        <v>9</v>
      </c>
      <c r="Q91" s="308"/>
      <c r="R91" s="308" t="s">
        <v>9</v>
      </c>
      <c r="S91" s="384"/>
      <c r="T91" s="308"/>
      <c r="U91" s="308" t="s">
        <v>9</v>
      </c>
      <c r="V91" s="308" t="s">
        <v>9</v>
      </c>
      <c r="W91" s="308" t="s">
        <v>9</v>
      </c>
      <c r="X91" s="308" t="s">
        <v>9</v>
      </c>
      <c r="Y91" s="308"/>
      <c r="AA91" s="308" t="s">
        <v>9</v>
      </c>
      <c r="AB91" s="308"/>
      <c r="AC91" s="308" t="s">
        <v>9</v>
      </c>
      <c r="AD91" s="308" t="s">
        <v>9</v>
      </c>
      <c r="AE91" s="308"/>
      <c r="AF91" s="308" t="s">
        <v>9</v>
      </c>
      <c r="AG91" s="308"/>
      <c r="AH91" s="308"/>
      <c r="AI91" s="308"/>
      <c r="AK91" s="236">
        <v>98</v>
      </c>
      <c r="AM91" s="237" t="s">
        <v>1516</v>
      </c>
      <c r="AU91" t="s">
        <v>9</v>
      </c>
      <c r="BW91" s="311">
        <v>327</v>
      </c>
      <c r="BX91" s="311">
        <v>59</v>
      </c>
      <c r="BY91" s="311">
        <v>60</v>
      </c>
      <c r="BZ91" s="312" t="s">
        <v>1247</v>
      </c>
      <c r="CA91" s="312">
        <v>30</v>
      </c>
      <c r="CB91" s="312">
        <v>55</v>
      </c>
      <c r="CC91" s="312">
        <v>18</v>
      </c>
      <c r="CD91" s="312">
        <v>375</v>
      </c>
      <c r="CE91" s="312">
        <v>30</v>
      </c>
      <c r="CF91" s="312">
        <v>30</v>
      </c>
      <c r="CG91" s="312">
        <v>175</v>
      </c>
      <c r="CH91" s="312">
        <v>101</v>
      </c>
      <c r="CI91" s="312">
        <v>476</v>
      </c>
      <c r="CJ91" s="312">
        <v>310</v>
      </c>
      <c r="CK91" s="305">
        <v>166</v>
      </c>
      <c r="CL91" s="316">
        <v>74</v>
      </c>
      <c r="CM91" s="367">
        <v>0</v>
      </c>
      <c r="CN91" s="316">
        <v>4</v>
      </c>
      <c r="CO91" s="316">
        <v>74</v>
      </c>
      <c r="CP91" s="367" t="s">
        <v>1247</v>
      </c>
      <c r="CQ91" s="316">
        <v>13</v>
      </c>
      <c r="CR91" s="316">
        <v>240</v>
      </c>
      <c r="CS91" s="320"/>
      <c r="CT91" s="367"/>
      <c r="CU91" s="322"/>
      <c r="CV91" s="321"/>
      <c r="CW91" s="368"/>
      <c r="CX91" s="321"/>
      <c r="CY91" s="321"/>
      <c r="CZ91" s="320"/>
      <c r="DA91" s="367"/>
      <c r="DB91" s="322"/>
      <c r="DC91" s="321"/>
      <c r="DD91" s="368"/>
      <c r="DE91" s="321"/>
      <c r="DF91" s="321"/>
      <c r="DG91" s="320"/>
      <c r="DH91" s="367"/>
      <c r="DI91" s="322"/>
      <c r="DJ91" s="321"/>
      <c r="DK91" s="368"/>
      <c r="DL91" s="321"/>
      <c r="DM91" s="321"/>
      <c r="DN91" s="320"/>
      <c r="DO91" s="367"/>
      <c r="DP91" s="322"/>
      <c r="DQ91" s="321"/>
      <c r="DR91" s="368"/>
      <c r="DS91" s="321"/>
      <c r="DT91" s="323"/>
      <c r="DU91" s="92" t="s">
        <v>1703</v>
      </c>
    </row>
    <row r="92" spans="2:125" x14ac:dyDescent="0.3">
      <c r="B92" s="311" t="s">
        <v>1704</v>
      </c>
      <c r="D92" s="308"/>
      <c r="E92" s="308" t="s">
        <v>9</v>
      </c>
      <c r="F92" s="304" t="s">
        <v>9</v>
      </c>
      <c r="G92" s="308"/>
      <c r="H92" s="308" t="s">
        <v>9</v>
      </c>
      <c r="I92" s="308" t="s">
        <v>9</v>
      </c>
      <c r="J92" s="308" t="s">
        <v>9</v>
      </c>
      <c r="K92" s="308" t="s">
        <v>9</v>
      </c>
      <c r="L92" s="308" t="s">
        <v>9</v>
      </c>
      <c r="M92" s="308" t="s">
        <v>9</v>
      </c>
      <c r="N92" s="308"/>
      <c r="O92" s="308" t="s">
        <v>9</v>
      </c>
      <c r="P92" s="308" t="s">
        <v>9</v>
      </c>
      <c r="Q92" s="308"/>
      <c r="R92" s="308" t="s">
        <v>9</v>
      </c>
      <c r="S92" s="384"/>
      <c r="T92" s="308"/>
      <c r="U92" s="308" t="s">
        <v>9</v>
      </c>
      <c r="V92" s="308" t="s">
        <v>9</v>
      </c>
      <c r="W92" s="308" t="s">
        <v>9</v>
      </c>
      <c r="X92" s="308" t="s">
        <v>9</v>
      </c>
      <c r="Y92" s="308"/>
      <c r="AA92" s="308" t="s">
        <v>9</v>
      </c>
      <c r="AB92" s="308"/>
      <c r="AC92" s="308"/>
      <c r="AD92" s="308"/>
      <c r="AE92" s="308"/>
      <c r="AF92" s="308" t="s">
        <v>9</v>
      </c>
      <c r="AG92" s="308"/>
      <c r="AH92" s="308"/>
      <c r="AI92" s="308"/>
      <c r="AK92" s="236">
        <v>98</v>
      </c>
      <c r="AM92" s="237" t="s">
        <v>1516</v>
      </c>
      <c r="AS92" t="s">
        <v>9</v>
      </c>
      <c r="BW92" s="311">
        <v>327</v>
      </c>
      <c r="BX92" s="311">
        <v>59</v>
      </c>
      <c r="BY92" s="311">
        <v>60</v>
      </c>
      <c r="BZ92" s="312" t="s">
        <v>1247</v>
      </c>
      <c r="CA92" s="312">
        <v>30</v>
      </c>
      <c r="CB92" s="312">
        <v>35</v>
      </c>
      <c r="CC92" s="312">
        <v>18</v>
      </c>
      <c r="CD92" s="312">
        <v>375</v>
      </c>
      <c r="CE92" s="312">
        <v>30</v>
      </c>
      <c r="CF92" s="312">
        <v>30</v>
      </c>
      <c r="CG92" s="312">
        <v>209</v>
      </c>
      <c r="CH92" s="312">
        <v>101</v>
      </c>
      <c r="CI92" s="312">
        <v>476</v>
      </c>
      <c r="CJ92" s="312">
        <v>423</v>
      </c>
      <c r="CK92" s="305">
        <v>53</v>
      </c>
      <c r="CL92" s="322"/>
      <c r="CM92" s="367"/>
      <c r="CN92" s="322"/>
      <c r="CO92" s="322"/>
      <c r="CP92" s="368"/>
      <c r="CQ92" s="321"/>
      <c r="CR92" s="321"/>
      <c r="CS92" s="320"/>
      <c r="CT92" s="367"/>
      <c r="CU92" s="322"/>
      <c r="CV92" s="321"/>
      <c r="CW92" s="368"/>
      <c r="CX92" s="321"/>
      <c r="CY92" s="321"/>
      <c r="CZ92" s="320"/>
      <c r="DA92" s="367"/>
      <c r="DB92" s="322"/>
      <c r="DC92" s="321"/>
      <c r="DD92" s="368"/>
      <c r="DE92" s="321"/>
      <c r="DF92" s="321"/>
      <c r="DG92" s="324">
        <v>108</v>
      </c>
      <c r="DH92" s="367">
        <v>0</v>
      </c>
      <c r="DI92" s="316">
        <v>17</v>
      </c>
      <c r="DJ92" s="325">
        <v>108</v>
      </c>
      <c r="DK92" s="368" t="s">
        <v>1247</v>
      </c>
      <c r="DL92" s="312">
        <v>0</v>
      </c>
      <c r="DM92" s="316">
        <v>161</v>
      </c>
      <c r="DN92" s="324">
        <v>108</v>
      </c>
      <c r="DO92" s="367">
        <v>0</v>
      </c>
      <c r="DP92" s="316" t="s">
        <v>1247</v>
      </c>
      <c r="DQ92" s="325">
        <v>108</v>
      </c>
      <c r="DR92" s="368" t="s">
        <v>1247</v>
      </c>
      <c r="DS92" s="312" t="s">
        <v>1247</v>
      </c>
      <c r="DT92" s="315">
        <v>161</v>
      </c>
      <c r="DU92" s="92" t="s">
        <v>1704</v>
      </c>
    </row>
    <row r="93" spans="2:125" x14ac:dyDescent="0.3">
      <c r="B93" s="311" t="s">
        <v>1705</v>
      </c>
      <c r="D93" s="308"/>
      <c r="E93" s="308" t="s">
        <v>9</v>
      </c>
      <c r="F93" s="304" t="s">
        <v>9</v>
      </c>
      <c r="G93" s="308"/>
      <c r="H93" s="308" t="s">
        <v>9</v>
      </c>
      <c r="I93" s="308" t="s">
        <v>9</v>
      </c>
      <c r="J93" s="308" t="s">
        <v>9</v>
      </c>
      <c r="K93" s="308" t="s">
        <v>9</v>
      </c>
      <c r="L93" s="308" t="s">
        <v>9</v>
      </c>
      <c r="M93" s="308" t="s">
        <v>9</v>
      </c>
      <c r="N93" s="308"/>
      <c r="O93" s="308" t="s">
        <v>9</v>
      </c>
      <c r="P93" s="308" t="s">
        <v>9</v>
      </c>
      <c r="Q93" s="308"/>
      <c r="R93" s="308" t="s">
        <v>9</v>
      </c>
      <c r="S93" s="384"/>
      <c r="T93" s="308"/>
      <c r="U93" s="308" t="s">
        <v>9</v>
      </c>
      <c r="V93" s="308" t="s">
        <v>9</v>
      </c>
      <c r="W93" s="308" t="s">
        <v>9</v>
      </c>
      <c r="X93" s="308" t="s">
        <v>9</v>
      </c>
      <c r="Y93" s="308"/>
      <c r="AA93" s="308" t="s">
        <v>9</v>
      </c>
      <c r="AB93" s="308"/>
      <c r="AC93" s="308" t="s">
        <v>9</v>
      </c>
      <c r="AD93" s="308"/>
      <c r="AE93" s="308" t="s">
        <v>9</v>
      </c>
      <c r="AF93" s="308" t="s">
        <v>9</v>
      </c>
      <c r="AG93" s="308"/>
      <c r="AH93" s="308"/>
      <c r="AI93" s="308"/>
      <c r="AK93" s="236">
        <v>98</v>
      </c>
      <c r="AM93" s="237" t="s">
        <v>1516</v>
      </c>
      <c r="AT93" t="s">
        <v>9</v>
      </c>
      <c r="BW93" s="311">
        <v>327</v>
      </c>
      <c r="BX93" s="311">
        <v>59</v>
      </c>
      <c r="BY93" s="311">
        <v>60</v>
      </c>
      <c r="BZ93" s="312" t="s">
        <v>1247</v>
      </c>
      <c r="CA93" s="312">
        <v>30</v>
      </c>
      <c r="CB93" s="312">
        <v>35</v>
      </c>
      <c r="CC93" s="312">
        <v>18</v>
      </c>
      <c r="CD93" s="312">
        <v>375</v>
      </c>
      <c r="CE93" s="312">
        <v>30</v>
      </c>
      <c r="CF93" s="312">
        <v>30</v>
      </c>
      <c r="CG93" s="312">
        <v>209</v>
      </c>
      <c r="CH93" s="312">
        <v>101</v>
      </c>
      <c r="CI93" s="312">
        <v>476</v>
      </c>
      <c r="CJ93" s="312">
        <v>310</v>
      </c>
      <c r="CK93" s="305">
        <v>166</v>
      </c>
      <c r="CL93" s="322"/>
      <c r="CM93" s="367"/>
      <c r="CN93" s="322"/>
      <c r="CO93" s="322"/>
      <c r="CP93" s="368"/>
      <c r="CQ93" s="321"/>
      <c r="CR93" s="321"/>
      <c r="CS93" s="320"/>
      <c r="CT93" s="367"/>
      <c r="CU93" s="322"/>
      <c r="CV93" s="321"/>
      <c r="CW93" s="368"/>
      <c r="CX93" s="321"/>
      <c r="CY93" s="321"/>
      <c r="CZ93" s="320"/>
      <c r="DA93" s="367"/>
      <c r="DB93" s="322"/>
      <c r="DC93" s="321"/>
      <c r="DD93" s="368"/>
      <c r="DE93" s="321"/>
      <c r="DF93" s="321"/>
      <c r="DG93" s="324">
        <v>108</v>
      </c>
      <c r="DH93" s="367">
        <v>0</v>
      </c>
      <c r="DI93" s="316">
        <v>17</v>
      </c>
      <c r="DJ93" s="325">
        <v>108</v>
      </c>
      <c r="DK93" s="368" t="s">
        <v>1247</v>
      </c>
      <c r="DL93" s="312">
        <v>0</v>
      </c>
      <c r="DM93" s="316">
        <v>274</v>
      </c>
      <c r="DN93" s="324">
        <v>108</v>
      </c>
      <c r="DO93" s="367">
        <v>0</v>
      </c>
      <c r="DP93" s="316" t="s">
        <v>1247</v>
      </c>
      <c r="DQ93" s="325">
        <v>108</v>
      </c>
      <c r="DR93" s="368" t="s">
        <v>1247</v>
      </c>
      <c r="DS93" s="312" t="s">
        <v>1247</v>
      </c>
      <c r="DT93" s="315">
        <v>274</v>
      </c>
      <c r="DU93" s="92" t="s">
        <v>1705</v>
      </c>
    </row>
    <row r="94" spans="2:125" x14ac:dyDescent="0.3">
      <c r="B94" s="311" t="s">
        <v>1706</v>
      </c>
      <c r="D94" s="308"/>
      <c r="E94" s="308" t="s">
        <v>9</v>
      </c>
      <c r="F94" s="304" t="s">
        <v>9</v>
      </c>
      <c r="G94" s="308"/>
      <c r="H94" s="308" t="s">
        <v>9</v>
      </c>
      <c r="I94" s="308" t="s">
        <v>9</v>
      </c>
      <c r="J94" s="308" t="s">
        <v>9</v>
      </c>
      <c r="K94" s="308" t="s">
        <v>9</v>
      </c>
      <c r="L94" s="308" t="s">
        <v>9</v>
      </c>
      <c r="M94" s="308" t="s">
        <v>9</v>
      </c>
      <c r="N94" s="308"/>
      <c r="O94" s="308" t="s">
        <v>9</v>
      </c>
      <c r="P94" s="308" t="s">
        <v>9</v>
      </c>
      <c r="Q94" s="308"/>
      <c r="R94" s="308" t="s">
        <v>9</v>
      </c>
      <c r="S94" s="384"/>
      <c r="T94" s="308"/>
      <c r="U94" s="308" t="s">
        <v>9</v>
      </c>
      <c r="V94" s="308" t="s">
        <v>9</v>
      </c>
      <c r="W94" s="308" t="s">
        <v>9</v>
      </c>
      <c r="X94" s="308" t="s">
        <v>9</v>
      </c>
      <c r="Y94" s="308"/>
      <c r="AA94" s="308" t="s">
        <v>9</v>
      </c>
      <c r="AB94" s="308"/>
      <c r="AC94" s="308" t="s">
        <v>9</v>
      </c>
      <c r="AD94" s="308" t="s">
        <v>9</v>
      </c>
      <c r="AE94" s="308"/>
      <c r="AF94" s="308" t="s">
        <v>9</v>
      </c>
      <c r="AG94" s="308"/>
      <c r="AH94" s="308"/>
      <c r="AI94" s="308"/>
      <c r="AK94" s="236">
        <v>98</v>
      </c>
      <c r="AM94" s="237" t="s">
        <v>1516</v>
      </c>
      <c r="AU94" t="s">
        <v>9</v>
      </c>
      <c r="BW94" s="311">
        <v>327</v>
      </c>
      <c r="BX94" s="311">
        <v>59</v>
      </c>
      <c r="BY94" s="311">
        <v>60</v>
      </c>
      <c r="BZ94" s="312" t="s">
        <v>1247</v>
      </c>
      <c r="CA94" s="312">
        <v>30</v>
      </c>
      <c r="CB94" s="312">
        <v>55</v>
      </c>
      <c r="CC94" s="312">
        <v>18</v>
      </c>
      <c r="CD94" s="312">
        <v>375</v>
      </c>
      <c r="CE94" s="312">
        <v>30</v>
      </c>
      <c r="CF94" s="312">
        <v>30</v>
      </c>
      <c r="CG94" s="312">
        <v>209</v>
      </c>
      <c r="CH94" s="312">
        <v>101</v>
      </c>
      <c r="CI94" s="312">
        <v>476</v>
      </c>
      <c r="CJ94" s="312">
        <v>310</v>
      </c>
      <c r="CK94" s="305">
        <v>166</v>
      </c>
      <c r="CL94" s="322"/>
      <c r="CM94" s="367"/>
      <c r="CN94" s="322"/>
      <c r="CO94" s="322"/>
      <c r="CP94" s="368"/>
      <c r="CQ94" s="321"/>
      <c r="CR94" s="321"/>
      <c r="CS94" s="320"/>
      <c r="CT94" s="367"/>
      <c r="CU94" s="322"/>
      <c r="CV94" s="321"/>
      <c r="CW94" s="368"/>
      <c r="CX94" s="321"/>
      <c r="CY94" s="321"/>
      <c r="CZ94" s="320"/>
      <c r="DA94" s="367"/>
      <c r="DB94" s="322"/>
      <c r="DC94" s="321"/>
      <c r="DD94" s="368"/>
      <c r="DE94" s="321"/>
      <c r="DF94" s="321"/>
      <c r="DG94" s="324">
        <v>108</v>
      </c>
      <c r="DH94" s="367">
        <v>0</v>
      </c>
      <c r="DI94" s="316">
        <v>17</v>
      </c>
      <c r="DJ94" s="325">
        <v>108</v>
      </c>
      <c r="DK94" s="368" t="s">
        <v>1247</v>
      </c>
      <c r="DL94" s="312">
        <v>0</v>
      </c>
      <c r="DM94" s="316">
        <v>274</v>
      </c>
      <c r="DN94" s="324">
        <v>108</v>
      </c>
      <c r="DO94" s="367">
        <v>0</v>
      </c>
      <c r="DP94" s="316" t="s">
        <v>1247</v>
      </c>
      <c r="DQ94" s="325">
        <v>108</v>
      </c>
      <c r="DR94" s="368" t="s">
        <v>1247</v>
      </c>
      <c r="DS94" s="312" t="s">
        <v>1247</v>
      </c>
      <c r="DT94" s="315">
        <v>274</v>
      </c>
      <c r="DU94" s="92" t="s">
        <v>1706</v>
      </c>
    </row>
    <row r="95" spans="2:125" x14ac:dyDescent="0.3">
      <c r="B95" s="311" t="s">
        <v>1707</v>
      </c>
      <c r="D95" s="308"/>
      <c r="E95" s="308" t="s">
        <v>9</v>
      </c>
      <c r="F95" s="304" t="s">
        <v>9</v>
      </c>
      <c r="G95" s="308"/>
      <c r="H95" s="308" t="s">
        <v>9</v>
      </c>
      <c r="I95" s="308" t="s">
        <v>9</v>
      </c>
      <c r="J95" s="308" t="s">
        <v>9</v>
      </c>
      <c r="K95" s="308" t="s">
        <v>9</v>
      </c>
      <c r="L95" s="308" t="s">
        <v>9</v>
      </c>
      <c r="M95" s="308" t="s">
        <v>9</v>
      </c>
      <c r="N95" s="308"/>
      <c r="O95" s="308" t="s">
        <v>9</v>
      </c>
      <c r="P95" s="308" t="s">
        <v>9</v>
      </c>
      <c r="Q95" s="308"/>
      <c r="R95" s="308" t="s">
        <v>9</v>
      </c>
      <c r="S95" s="384"/>
      <c r="T95" s="308"/>
      <c r="U95" s="308" t="s">
        <v>9</v>
      </c>
      <c r="V95" s="308" t="s">
        <v>9</v>
      </c>
      <c r="W95" s="308" t="s">
        <v>9</v>
      </c>
      <c r="X95" s="308" t="s">
        <v>9</v>
      </c>
      <c r="Y95" s="308"/>
      <c r="AA95" s="308" t="s">
        <v>9</v>
      </c>
      <c r="AB95" s="308"/>
      <c r="AC95" s="308"/>
      <c r="AD95" s="308"/>
      <c r="AE95" s="308"/>
      <c r="AF95" s="308" t="s">
        <v>9</v>
      </c>
      <c r="AG95" s="308"/>
      <c r="AH95" s="308"/>
      <c r="AI95" s="308"/>
      <c r="AK95" s="236">
        <v>98</v>
      </c>
      <c r="AM95" s="237" t="s">
        <v>1516</v>
      </c>
      <c r="AS95" t="s">
        <v>9</v>
      </c>
      <c r="BW95" s="311">
        <v>327</v>
      </c>
      <c r="BX95" s="311">
        <v>59</v>
      </c>
      <c r="BY95" s="311">
        <v>60</v>
      </c>
      <c r="BZ95" s="312" t="s">
        <v>1247</v>
      </c>
      <c r="CA95" s="311">
        <v>30</v>
      </c>
      <c r="CB95" s="311">
        <v>35</v>
      </c>
      <c r="CC95" s="312">
        <v>18</v>
      </c>
      <c r="CD95" s="312">
        <v>375</v>
      </c>
      <c r="CE95" s="312">
        <v>30</v>
      </c>
      <c r="CF95" s="312">
        <v>30</v>
      </c>
      <c r="CG95" s="312">
        <v>141</v>
      </c>
      <c r="CH95" s="312">
        <v>101</v>
      </c>
      <c r="CI95" s="312">
        <v>476</v>
      </c>
      <c r="CJ95" s="312">
        <v>423</v>
      </c>
      <c r="CK95" s="305">
        <v>53</v>
      </c>
      <c r="CL95" s="322"/>
      <c r="CM95" s="367"/>
      <c r="CN95" s="322"/>
      <c r="CO95" s="322"/>
      <c r="CP95" s="368"/>
      <c r="CQ95" s="321"/>
      <c r="CR95" s="321"/>
      <c r="CS95" s="320"/>
      <c r="CT95" s="367"/>
      <c r="CU95" s="322"/>
      <c r="CV95" s="321"/>
      <c r="CW95" s="368"/>
      <c r="CX95" s="321"/>
      <c r="CY95" s="321"/>
      <c r="CZ95" s="320"/>
      <c r="DA95" s="367"/>
      <c r="DB95" s="322"/>
      <c r="DC95" s="321"/>
      <c r="DD95" s="368"/>
      <c r="DE95" s="321"/>
      <c r="DF95" s="321"/>
      <c r="DG95" s="324">
        <v>40</v>
      </c>
      <c r="DH95" s="367">
        <v>0</v>
      </c>
      <c r="DI95" s="316">
        <v>17</v>
      </c>
      <c r="DJ95" s="325">
        <v>40</v>
      </c>
      <c r="DK95" s="368" t="s">
        <v>1247</v>
      </c>
      <c r="DL95" s="312">
        <v>0</v>
      </c>
      <c r="DM95" s="316">
        <v>93</v>
      </c>
      <c r="DN95" s="324">
        <v>40</v>
      </c>
      <c r="DO95" s="367">
        <v>0</v>
      </c>
      <c r="DP95" s="316" t="s">
        <v>1247</v>
      </c>
      <c r="DQ95" s="325">
        <v>40</v>
      </c>
      <c r="DR95" s="368" t="s">
        <v>1247</v>
      </c>
      <c r="DS95" s="312" t="s">
        <v>1247</v>
      </c>
      <c r="DT95" s="315">
        <v>93</v>
      </c>
      <c r="DU95" s="92" t="s">
        <v>1707</v>
      </c>
    </row>
    <row r="96" spans="2:125" x14ac:dyDescent="0.3">
      <c r="B96" s="311" t="s">
        <v>1708</v>
      </c>
      <c r="D96" s="308"/>
      <c r="E96" s="308" t="s">
        <v>9</v>
      </c>
      <c r="F96" s="304" t="s">
        <v>9</v>
      </c>
      <c r="G96" s="308"/>
      <c r="H96" s="308" t="s">
        <v>9</v>
      </c>
      <c r="I96" s="308" t="s">
        <v>9</v>
      </c>
      <c r="J96" s="308" t="s">
        <v>9</v>
      </c>
      <c r="K96" s="308" t="s">
        <v>9</v>
      </c>
      <c r="L96" s="308" t="s">
        <v>9</v>
      </c>
      <c r="M96" s="308" t="s">
        <v>9</v>
      </c>
      <c r="N96" s="308"/>
      <c r="O96" s="308" t="s">
        <v>9</v>
      </c>
      <c r="P96" s="308" t="s">
        <v>9</v>
      </c>
      <c r="Q96" s="308"/>
      <c r="R96" s="308" t="s">
        <v>9</v>
      </c>
      <c r="S96" s="384"/>
      <c r="T96" s="308"/>
      <c r="U96" s="308" t="s">
        <v>9</v>
      </c>
      <c r="V96" s="308" t="s">
        <v>9</v>
      </c>
      <c r="W96" s="308" t="s">
        <v>9</v>
      </c>
      <c r="X96" s="308" t="s">
        <v>9</v>
      </c>
      <c r="Y96" s="308"/>
      <c r="AA96" s="308" t="s">
        <v>9</v>
      </c>
      <c r="AB96" s="308"/>
      <c r="AC96" s="308" t="s">
        <v>9</v>
      </c>
      <c r="AD96" s="308"/>
      <c r="AE96" s="308" t="s">
        <v>9</v>
      </c>
      <c r="AF96" s="308" t="s">
        <v>9</v>
      </c>
      <c r="AG96" s="308"/>
      <c r="AH96" s="308"/>
      <c r="AI96" s="308"/>
      <c r="AK96" s="236">
        <v>98</v>
      </c>
      <c r="AM96" s="237" t="s">
        <v>1516</v>
      </c>
      <c r="AT96" t="s">
        <v>9</v>
      </c>
      <c r="BW96" s="311">
        <v>327</v>
      </c>
      <c r="BX96" s="311">
        <v>59</v>
      </c>
      <c r="BY96" s="311">
        <v>60</v>
      </c>
      <c r="BZ96" s="312" t="s">
        <v>1247</v>
      </c>
      <c r="CA96" s="311">
        <v>30</v>
      </c>
      <c r="CB96" s="311">
        <v>35</v>
      </c>
      <c r="CC96" s="312">
        <v>18</v>
      </c>
      <c r="CD96" s="312">
        <v>375</v>
      </c>
      <c r="CE96" s="312">
        <v>30</v>
      </c>
      <c r="CF96" s="312">
        <v>30</v>
      </c>
      <c r="CG96" s="312">
        <v>141</v>
      </c>
      <c r="CH96" s="312">
        <v>101</v>
      </c>
      <c r="CI96" s="312">
        <v>476</v>
      </c>
      <c r="CJ96" s="312">
        <v>310</v>
      </c>
      <c r="CK96" s="305">
        <v>166</v>
      </c>
      <c r="CL96" s="322"/>
      <c r="CM96" s="367"/>
      <c r="CN96" s="322"/>
      <c r="CO96" s="322"/>
      <c r="CP96" s="368"/>
      <c r="CQ96" s="321"/>
      <c r="CR96" s="321"/>
      <c r="CS96" s="320"/>
      <c r="CT96" s="367"/>
      <c r="CU96" s="322"/>
      <c r="CV96" s="321"/>
      <c r="CW96" s="368"/>
      <c r="CX96" s="321"/>
      <c r="CY96" s="321"/>
      <c r="CZ96" s="320"/>
      <c r="DA96" s="367"/>
      <c r="DB96" s="322"/>
      <c r="DC96" s="321"/>
      <c r="DD96" s="368"/>
      <c r="DE96" s="321"/>
      <c r="DF96" s="321"/>
      <c r="DG96" s="324">
        <v>40</v>
      </c>
      <c r="DH96" s="367">
        <v>0</v>
      </c>
      <c r="DI96" s="316">
        <v>17</v>
      </c>
      <c r="DJ96" s="325">
        <v>40</v>
      </c>
      <c r="DK96" s="368" t="s">
        <v>1247</v>
      </c>
      <c r="DL96" s="312">
        <v>0</v>
      </c>
      <c r="DM96" s="316">
        <v>206</v>
      </c>
      <c r="DN96" s="324">
        <v>40</v>
      </c>
      <c r="DO96" s="367">
        <v>0</v>
      </c>
      <c r="DP96" s="316" t="s">
        <v>1247</v>
      </c>
      <c r="DQ96" s="325">
        <v>40</v>
      </c>
      <c r="DR96" s="368" t="s">
        <v>1247</v>
      </c>
      <c r="DS96" s="312" t="s">
        <v>1247</v>
      </c>
      <c r="DT96" s="315">
        <v>206</v>
      </c>
      <c r="DU96" s="92" t="s">
        <v>1708</v>
      </c>
    </row>
    <row r="97" spans="1:126" x14ac:dyDescent="0.3">
      <c r="B97" s="311" t="s">
        <v>1709</v>
      </c>
      <c r="D97" s="308"/>
      <c r="E97" s="308" t="s">
        <v>9</v>
      </c>
      <c r="F97" s="304" t="s">
        <v>9</v>
      </c>
      <c r="G97" s="308"/>
      <c r="H97" s="308" t="s">
        <v>9</v>
      </c>
      <c r="I97" s="308" t="s">
        <v>9</v>
      </c>
      <c r="J97" s="308" t="s">
        <v>9</v>
      </c>
      <c r="K97" s="308" t="s">
        <v>9</v>
      </c>
      <c r="L97" s="308" t="s">
        <v>9</v>
      </c>
      <c r="M97" s="308" t="s">
        <v>9</v>
      </c>
      <c r="N97" s="308"/>
      <c r="O97" s="308" t="s">
        <v>9</v>
      </c>
      <c r="P97" s="308" t="s">
        <v>9</v>
      </c>
      <c r="Q97" s="308"/>
      <c r="R97" s="308" t="s">
        <v>9</v>
      </c>
      <c r="S97" s="384"/>
      <c r="T97" s="308"/>
      <c r="U97" s="308" t="s">
        <v>9</v>
      </c>
      <c r="V97" s="308" t="s">
        <v>9</v>
      </c>
      <c r="W97" s="308" t="s">
        <v>9</v>
      </c>
      <c r="X97" s="308" t="s">
        <v>9</v>
      </c>
      <c r="Y97" s="308"/>
      <c r="AA97" s="308" t="s">
        <v>9</v>
      </c>
      <c r="AB97" s="308"/>
      <c r="AC97" s="308" t="s">
        <v>9</v>
      </c>
      <c r="AD97" s="308" t="s">
        <v>9</v>
      </c>
      <c r="AE97" s="308"/>
      <c r="AF97" s="308" t="s">
        <v>9</v>
      </c>
      <c r="AG97" s="308"/>
      <c r="AH97" s="308"/>
      <c r="AI97" s="308"/>
      <c r="AK97" s="236">
        <v>98</v>
      </c>
      <c r="AM97" s="237" t="s">
        <v>1516</v>
      </c>
      <c r="AU97" t="s">
        <v>9</v>
      </c>
      <c r="BW97" s="311">
        <v>327</v>
      </c>
      <c r="BX97" s="311">
        <v>59</v>
      </c>
      <c r="BY97" s="311">
        <v>60</v>
      </c>
      <c r="BZ97" s="312" t="s">
        <v>1247</v>
      </c>
      <c r="CA97" s="311">
        <v>30</v>
      </c>
      <c r="CB97" s="311">
        <v>55</v>
      </c>
      <c r="CC97" s="312">
        <v>28</v>
      </c>
      <c r="CD97" s="312">
        <v>375</v>
      </c>
      <c r="CE97" s="312">
        <v>30</v>
      </c>
      <c r="CF97" s="312">
        <v>30</v>
      </c>
      <c r="CG97" s="312">
        <v>141</v>
      </c>
      <c r="CH97" s="312">
        <v>101</v>
      </c>
      <c r="CI97" s="312">
        <v>476</v>
      </c>
      <c r="CJ97" s="312">
        <v>310</v>
      </c>
      <c r="CK97" s="305">
        <v>166</v>
      </c>
      <c r="CL97" s="322"/>
      <c r="CM97" s="367"/>
      <c r="CN97" s="322"/>
      <c r="CO97" s="322"/>
      <c r="CP97" s="368"/>
      <c r="CQ97" s="321"/>
      <c r="CR97" s="321"/>
      <c r="CS97" s="320"/>
      <c r="CT97" s="367"/>
      <c r="CU97" s="322"/>
      <c r="CV97" s="321"/>
      <c r="CW97" s="368"/>
      <c r="CX97" s="321"/>
      <c r="CY97" s="321"/>
      <c r="CZ97" s="320"/>
      <c r="DA97" s="367"/>
      <c r="DB97" s="322"/>
      <c r="DC97" s="321"/>
      <c r="DD97" s="368"/>
      <c r="DE97" s="321"/>
      <c r="DF97" s="321"/>
      <c r="DG97" s="324">
        <v>40</v>
      </c>
      <c r="DH97" s="367">
        <v>0</v>
      </c>
      <c r="DI97" s="316">
        <v>17</v>
      </c>
      <c r="DJ97" s="325">
        <v>40</v>
      </c>
      <c r="DK97" s="368" t="s">
        <v>1247</v>
      </c>
      <c r="DL97" s="312">
        <v>0</v>
      </c>
      <c r="DM97" s="316">
        <v>206</v>
      </c>
      <c r="DN97" s="324">
        <v>40</v>
      </c>
      <c r="DO97" s="367">
        <v>0</v>
      </c>
      <c r="DP97" s="316" t="s">
        <v>1247</v>
      </c>
      <c r="DQ97" s="325">
        <v>40</v>
      </c>
      <c r="DR97" s="368" t="s">
        <v>1247</v>
      </c>
      <c r="DS97" s="312" t="s">
        <v>1247</v>
      </c>
      <c r="DT97" s="315">
        <v>206</v>
      </c>
      <c r="DU97" s="92" t="s">
        <v>1709</v>
      </c>
    </row>
    <row r="98" spans="1:126" x14ac:dyDescent="0.3">
      <c r="B98" s="311" t="s">
        <v>1523</v>
      </c>
      <c r="D98" s="308" t="s">
        <v>9</v>
      </c>
      <c r="E98" s="308"/>
      <c r="F98" s="304" t="s">
        <v>9</v>
      </c>
      <c r="G98" s="308"/>
      <c r="H98" s="308"/>
      <c r="I98" s="308" t="s">
        <v>9</v>
      </c>
      <c r="J98" s="308" t="s">
        <v>9</v>
      </c>
      <c r="K98" s="308" t="s">
        <v>9</v>
      </c>
      <c r="L98" s="308" t="s">
        <v>9</v>
      </c>
      <c r="M98" s="308"/>
      <c r="N98" s="308"/>
      <c r="O98" s="308" t="s">
        <v>9</v>
      </c>
      <c r="P98" s="308"/>
      <c r="Q98" s="308"/>
      <c r="R98" s="308" t="s">
        <v>9</v>
      </c>
      <c r="S98" s="308"/>
      <c r="T98" s="308"/>
      <c r="U98" s="308" t="s">
        <v>9</v>
      </c>
      <c r="V98" s="308" t="s">
        <v>9</v>
      </c>
      <c r="W98" s="308"/>
      <c r="X98" s="308"/>
      <c r="Y98" s="308" t="s">
        <v>9</v>
      </c>
      <c r="AA98" s="308"/>
      <c r="AB98" s="308"/>
      <c r="AC98" s="308"/>
      <c r="AD98" s="308"/>
      <c r="AE98" s="308" t="s">
        <v>9</v>
      </c>
      <c r="AF98" s="308" t="s">
        <v>9</v>
      </c>
      <c r="AG98" s="308"/>
      <c r="AH98" s="308"/>
      <c r="AI98" s="308"/>
      <c r="AK98" s="236">
        <v>99</v>
      </c>
      <c r="AL98" t="s">
        <v>48</v>
      </c>
      <c r="AM98" s="237" t="s">
        <v>1522</v>
      </c>
      <c r="BH98" t="s">
        <v>9</v>
      </c>
      <c r="BW98" s="311">
        <v>413</v>
      </c>
      <c r="BX98" s="311">
        <v>52</v>
      </c>
      <c r="BY98" s="311">
        <v>71</v>
      </c>
      <c r="BZ98" s="312">
        <v>442</v>
      </c>
      <c r="CA98" s="312">
        <v>23</v>
      </c>
      <c r="CB98" s="312">
        <v>31</v>
      </c>
      <c r="CC98" s="312">
        <v>16</v>
      </c>
      <c r="CD98" s="312">
        <v>375</v>
      </c>
      <c r="CE98" s="312">
        <v>27</v>
      </c>
      <c r="CF98" s="312">
        <v>27</v>
      </c>
      <c r="CG98" s="312">
        <v>175</v>
      </c>
      <c r="CH98" s="312">
        <v>97</v>
      </c>
      <c r="CI98" s="312">
        <v>407</v>
      </c>
      <c r="CJ98" s="312">
        <v>364</v>
      </c>
      <c r="CK98" s="313">
        <v>43</v>
      </c>
      <c r="CL98" s="316">
        <v>78</v>
      </c>
      <c r="CM98" s="367">
        <v>0</v>
      </c>
      <c r="CN98" s="316">
        <v>1</v>
      </c>
      <c r="CO98" s="316">
        <v>143</v>
      </c>
      <c r="CP98" s="367" t="s">
        <v>1247</v>
      </c>
      <c r="CQ98" s="316">
        <v>11</v>
      </c>
      <c r="CR98" s="316">
        <v>186</v>
      </c>
      <c r="CS98" s="320"/>
      <c r="CT98" s="368"/>
      <c r="CU98" s="321"/>
      <c r="CV98" s="321"/>
      <c r="CW98" s="368"/>
      <c r="CX98" s="321"/>
      <c r="CY98" s="321"/>
      <c r="CZ98" s="320"/>
      <c r="DA98" s="367"/>
      <c r="DB98" s="322"/>
      <c r="DC98" s="321"/>
      <c r="DD98" s="368"/>
      <c r="DE98" s="321"/>
      <c r="DF98" s="321"/>
      <c r="DG98" s="320"/>
      <c r="DH98" s="368"/>
      <c r="DI98" s="321"/>
      <c r="DJ98" s="321"/>
      <c r="DK98" s="368"/>
      <c r="DL98" s="321"/>
      <c r="DM98" s="321"/>
      <c r="DN98" s="320"/>
      <c r="DO98" s="368"/>
      <c r="DP98" s="321"/>
      <c r="DQ98" s="321"/>
      <c r="DR98" s="368"/>
      <c r="DS98" s="321"/>
      <c r="DT98" s="323"/>
      <c r="DU98" s="92" t="s">
        <v>1523</v>
      </c>
    </row>
    <row r="99" spans="1:126" x14ac:dyDescent="0.3">
      <c r="B99" s="311" t="s">
        <v>1710</v>
      </c>
      <c r="D99" s="308" t="s">
        <v>9</v>
      </c>
      <c r="E99" s="308"/>
      <c r="F99" s="304" t="s">
        <v>9</v>
      </c>
      <c r="G99" s="308"/>
      <c r="H99" s="308"/>
      <c r="I99" s="308" t="s">
        <v>9</v>
      </c>
      <c r="J99" s="308" t="s">
        <v>9</v>
      </c>
      <c r="K99" s="308" t="s">
        <v>9</v>
      </c>
      <c r="L99" s="308" t="s">
        <v>9</v>
      </c>
      <c r="M99" s="308"/>
      <c r="N99" s="308"/>
      <c r="O99" s="308" t="s">
        <v>9</v>
      </c>
      <c r="P99" s="308"/>
      <c r="Q99" s="308"/>
      <c r="R99" s="308"/>
      <c r="S99" s="308" t="s">
        <v>9</v>
      </c>
      <c r="T99" s="308"/>
      <c r="U99" s="308" t="s">
        <v>9</v>
      </c>
      <c r="V99" s="308" t="s">
        <v>9</v>
      </c>
      <c r="W99" s="308"/>
      <c r="X99" s="308"/>
      <c r="Y99" s="308" t="s">
        <v>9</v>
      </c>
      <c r="AA99" s="308"/>
      <c r="AB99" s="308"/>
      <c r="AC99" s="308"/>
      <c r="AD99" s="308"/>
      <c r="AE99" s="308" t="s">
        <v>9</v>
      </c>
      <c r="AF99" s="308" t="s">
        <v>9</v>
      </c>
      <c r="AG99" s="308"/>
      <c r="AH99" s="308"/>
      <c r="AI99" s="308"/>
      <c r="AK99" s="236">
        <v>99</v>
      </c>
      <c r="AL99" t="s">
        <v>48</v>
      </c>
      <c r="AM99" s="237" t="s">
        <v>1522</v>
      </c>
      <c r="BH99" t="s">
        <v>9</v>
      </c>
      <c r="BW99" s="311">
        <v>413</v>
      </c>
      <c r="BX99" s="311">
        <v>52</v>
      </c>
      <c r="BY99" s="311">
        <v>71</v>
      </c>
      <c r="BZ99" s="312">
        <v>442</v>
      </c>
      <c r="CA99" s="312">
        <v>23</v>
      </c>
      <c r="CB99" s="312">
        <v>31</v>
      </c>
      <c r="CC99" s="312">
        <v>16</v>
      </c>
      <c r="CD99" s="312">
        <v>375</v>
      </c>
      <c r="CE99" s="312">
        <v>27</v>
      </c>
      <c r="CF99" s="312">
        <v>27</v>
      </c>
      <c r="CG99" s="312">
        <v>175</v>
      </c>
      <c r="CH99" s="312">
        <v>97</v>
      </c>
      <c r="CI99" s="312">
        <v>407</v>
      </c>
      <c r="CJ99" s="312">
        <v>364</v>
      </c>
      <c r="CK99" s="313">
        <v>43</v>
      </c>
      <c r="CL99" s="322"/>
      <c r="CM99" s="367"/>
      <c r="CN99" s="322"/>
      <c r="CO99" s="322"/>
      <c r="CP99" s="368"/>
      <c r="CQ99" s="321"/>
      <c r="CR99" s="321"/>
      <c r="CS99" s="320"/>
      <c r="CT99" s="368"/>
      <c r="CU99" s="321"/>
      <c r="CV99" s="321"/>
      <c r="CW99" s="368"/>
      <c r="CX99" s="321"/>
      <c r="CY99" s="321"/>
      <c r="CZ99" s="326">
        <v>78</v>
      </c>
      <c r="DA99" s="367" t="s">
        <v>1247</v>
      </c>
      <c r="DB99" s="316">
        <v>13</v>
      </c>
      <c r="DC99" s="312">
        <v>143</v>
      </c>
      <c r="DD99" s="368">
        <v>0</v>
      </c>
      <c r="DE99" s="312">
        <v>0</v>
      </c>
      <c r="DF99" s="316">
        <v>186</v>
      </c>
      <c r="DG99" s="320"/>
      <c r="DH99" s="368"/>
      <c r="DI99" s="321"/>
      <c r="DJ99" s="321"/>
      <c r="DK99" s="368"/>
      <c r="DL99" s="321"/>
      <c r="DM99" s="321"/>
      <c r="DN99" s="320"/>
      <c r="DO99" s="368"/>
      <c r="DP99" s="321"/>
      <c r="DQ99" s="321"/>
      <c r="DR99" s="368"/>
      <c r="DS99" s="321"/>
      <c r="DT99" s="323"/>
      <c r="DU99" s="92" t="s">
        <v>1710</v>
      </c>
    </row>
    <row r="100" spans="1:126" x14ac:dyDescent="0.3">
      <c r="B100" s="311" t="s">
        <v>1524</v>
      </c>
      <c r="D100" s="308" t="s">
        <v>9</v>
      </c>
      <c r="E100" s="308"/>
      <c r="F100" s="304" t="s">
        <v>9</v>
      </c>
      <c r="G100" s="308"/>
      <c r="H100" s="308"/>
      <c r="I100" s="308" t="s">
        <v>9</v>
      </c>
      <c r="J100" s="308" t="s">
        <v>9</v>
      </c>
      <c r="K100" s="308" t="s">
        <v>9</v>
      </c>
      <c r="L100" s="308" t="s">
        <v>9</v>
      </c>
      <c r="M100" s="308"/>
      <c r="N100" s="308"/>
      <c r="O100" s="308" t="s">
        <v>9</v>
      </c>
      <c r="P100" s="308"/>
      <c r="Q100" s="308"/>
      <c r="R100" s="308"/>
      <c r="S100" s="308" t="s">
        <v>9</v>
      </c>
      <c r="T100" s="308"/>
      <c r="U100" s="308" t="s">
        <v>9</v>
      </c>
      <c r="V100" s="308" t="s">
        <v>9</v>
      </c>
      <c r="W100" s="308"/>
      <c r="X100" s="308"/>
      <c r="Y100" s="308" t="s">
        <v>9</v>
      </c>
      <c r="AA100" s="308"/>
      <c r="AB100" s="308"/>
      <c r="AC100" s="308"/>
      <c r="AD100" s="308" t="s">
        <v>9</v>
      </c>
      <c r="AE100" s="308"/>
      <c r="AF100" s="308" t="s">
        <v>9</v>
      </c>
      <c r="AG100" s="308"/>
      <c r="AH100" s="308"/>
      <c r="AI100" s="308"/>
      <c r="AK100" s="236">
        <v>99</v>
      </c>
      <c r="AL100" t="s">
        <v>48</v>
      </c>
      <c r="AM100" s="237" t="s">
        <v>1522</v>
      </c>
      <c r="BI100" t="s">
        <v>9</v>
      </c>
      <c r="BW100" s="311">
        <v>785</v>
      </c>
      <c r="BX100" s="311">
        <v>52</v>
      </c>
      <c r="BY100" s="311">
        <v>71</v>
      </c>
      <c r="BZ100" s="312">
        <v>442</v>
      </c>
      <c r="CA100" s="312">
        <v>23</v>
      </c>
      <c r="CB100" s="312">
        <v>31</v>
      </c>
      <c r="CC100" s="312">
        <v>16</v>
      </c>
      <c r="CD100" s="312">
        <v>375</v>
      </c>
      <c r="CE100" s="312">
        <v>27</v>
      </c>
      <c r="CF100" s="312" t="s">
        <v>1247</v>
      </c>
      <c r="CG100" s="312">
        <v>175</v>
      </c>
      <c r="CH100" s="312">
        <v>97</v>
      </c>
      <c r="CI100" s="312">
        <v>407</v>
      </c>
      <c r="CJ100" s="312">
        <v>364</v>
      </c>
      <c r="CK100" s="313">
        <v>43</v>
      </c>
      <c r="CL100" s="322"/>
      <c r="CM100" s="367"/>
      <c r="CN100" s="322"/>
      <c r="CO100" s="322"/>
      <c r="CP100" s="368"/>
      <c r="CQ100" s="321"/>
      <c r="CR100" s="321"/>
      <c r="CS100" s="320"/>
      <c r="CT100" s="368"/>
      <c r="CU100" s="321"/>
      <c r="CV100" s="321"/>
      <c r="CW100" s="368"/>
      <c r="CX100" s="321"/>
      <c r="CY100" s="321"/>
      <c r="CZ100" s="326">
        <v>78</v>
      </c>
      <c r="DA100" s="367">
        <v>0</v>
      </c>
      <c r="DB100" s="316">
        <v>1</v>
      </c>
      <c r="DC100" s="312">
        <v>143</v>
      </c>
      <c r="DD100" s="368">
        <v>0</v>
      </c>
      <c r="DE100" s="312">
        <v>0</v>
      </c>
      <c r="DF100" s="316">
        <v>186</v>
      </c>
      <c r="DG100" s="320"/>
      <c r="DH100" s="368"/>
      <c r="DI100" s="321"/>
      <c r="DJ100" s="321"/>
      <c r="DK100" s="368"/>
      <c r="DL100" s="321"/>
      <c r="DM100" s="321"/>
      <c r="DN100" s="320"/>
      <c r="DO100" s="368"/>
      <c r="DP100" s="321"/>
      <c r="DQ100" s="321"/>
      <c r="DR100" s="368"/>
      <c r="DS100" s="321"/>
      <c r="DT100" s="323"/>
      <c r="DU100" s="92" t="s">
        <v>1524</v>
      </c>
    </row>
    <row r="101" spans="1:126" x14ac:dyDescent="0.3">
      <c r="B101" s="311" t="s">
        <v>1525</v>
      </c>
      <c r="D101" s="308" t="s">
        <v>9</v>
      </c>
      <c r="E101" s="308"/>
      <c r="F101" s="304" t="s">
        <v>9</v>
      </c>
      <c r="G101" s="308"/>
      <c r="H101" s="308"/>
      <c r="I101" s="308" t="s">
        <v>9</v>
      </c>
      <c r="J101" s="308" t="s">
        <v>9</v>
      </c>
      <c r="K101" s="308" t="s">
        <v>9</v>
      </c>
      <c r="L101" s="308" t="s">
        <v>9</v>
      </c>
      <c r="M101" s="308"/>
      <c r="N101" s="308"/>
      <c r="O101" s="308" t="s">
        <v>9</v>
      </c>
      <c r="P101" s="308"/>
      <c r="Q101" s="308"/>
      <c r="R101" s="308" t="s">
        <v>9</v>
      </c>
      <c r="S101" s="308"/>
      <c r="T101" s="308"/>
      <c r="U101" s="308" t="s">
        <v>9</v>
      </c>
      <c r="V101" s="308" t="s">
        <v>9</v>
      </c>
      <c r="W101" s="308"/>
      <c r="X101" s="308"/>
      <c r="Y101" s="308" t="s">
        <v>9</v>
      </c>
      <c r="AA101" s="308"/>
      <c r="AB101" s="308"/>
      <c r="AC101" s="308"/>
      <c r="AD101" s="308" t="s">
        <v>9</v>
      </c>
      <c r="AE101" s="308"/>
      <c r="AF101" s="308" t="s">
        <v>9</v>
      </c>
      <c r="AG101" s="308"/>
      <c r="AH101" s="308"/>
      <c r="AI101" s="308"/>
      <c r="AK101" s="236">
        <v>99</v>
      </c>
      <c r="AL101" t="s">
        <v>48</v>
      </c>
      <c r="AM101" s="237" t="s">
        <v>1522</v>
      </c>
      <c r="BJ101" t="s">
        <v>9</v>
      </c>
      <c r="BW101" s="311">
        <v>413</v>
      </c>
      <c r="BX101" s="311">
        <v>52</v>
      </c>
      <c r="BY101" s="311">
        <v>71</v>
      </c>
      <c r="BZ101" s="312">
        <v>864</v>
      </c>
      <c r="CA101" s="312">
        <v>30</v>
      </c>
      <c r="CB101" s="312">
        <v>40</v>
      </c>
      <c r="CC101" s="312">
        <v>20</v>
      </c>
      <c r="CD101" s="312">
        <v>375</v>
      </c>
      <c r="CE101" s="312">
        <v>27</v>
      </c>
      <c r="CF101" s="312">
        <v>27</v>
      </c>
      <c r="CG101" s="312">
        <v>175</v>
      </c>
      <c r="CH101" s="312">
        <v>97</v>
      </c>
      <c r="CI101" s="312">
        <v>407</v>
      </c>
      <c r="CJ101" s="312">
        <v>356</v>
      </c>
      <c r="CK101" s="313">
        <v>51</v>
      </c>
      <c r="CL101" s="314">
        <v>78</v>
      </c>
      <c r="CM101" s="367">
        <v>0</v>
      </c>
      <c r="CN101" s="314">
        <v>1</v>
      </c>
      <c r="CO101" s="314">
        <v>143</v>
      </c>
      <c r="CP101" s="367" t="s">
        <v>1247</v>
      </c>
      <c r="CQ101" s="314">
        <v>13</v>
      </c>
      <c r="CR101" s="316">
        <v>194</v>
      </c>
      <c r="CS101" s="320"/>
      <c r="CT101" s="368"/>
      <c r="CU101" s="321"/>
      <c r="CV101" s="321"/>
      <c r="CW101" s="368"/>
      <c r="CX101" s="321"/>
      <c r="CY101" s="321"/>
      <c r="CZ101" s="320"/>
      <c r="DA101" s="368"/>
      <c r="DB101" s="321"/>
      <c r="DC101" s="321"/>
      <c r="DD101" s="368"/>
      <c r="DE101" s="321"/>
      <c r="DF101" s="321"/>
      <c r="DG101" s="320"/>
      <c r="DH101" s="368"/>
      <c r="DI101" s="321"/>
      <c r="DJ101" s="321"/>
      <c r="DK101" s="368"/>
      <c r="DL101" s="321"/>
      <c r="DM101" s="321"/>
      <c r="DN101" s="320"/>
      <c r="DO101" s="368"/>
      <c r="DP101" s="321"/>
      <c r="DQ101" s="321"/>
      <c r="DR101" s="368"/>
      <c r="DS101" s="321"/>
      <c r="DT101" s="323"/>
      <c r="DU101" s="92" t="s">
        <v>1525</v>
      </c>
    </row>
    <row r="102" spans="1:126" x14ac:dyDescent="0.3">
      <c r="B102" s="311" t="s">
        <v>1526</v>
      </c>
      <c r="D102" s="308"/>
      <c r="E102" s="308" t="s">
        <v>9</v>
      </c>
      <c r="F102" s="304" t="s">
        <v>9</v>
      </c>
      <c r="G102" s="308"/>
      <c r="H102" s="308"/>
      <c r="I102" s="308" t="s">
        <v>9</v>
      </c>
      <c r="J102" s="308" t="s">
        <v>9</v>
      </c>
      <c r="K102" s="308" t="s">
        <v>9</v>
      </c>
      <c r="L102" s="308" t="s">
        <v>9</v>
      </c>
      <c r="M102" s="308"/>
      <c r="N102" s="308"/>
      <c r="O102" s="308" t="s">
        <v>9</v>
      </c>
      <c r="P102" s="308"/>
      <c r="Q102" s="308"/>
      <c r="R102" s="308" t="s">
        <v>9</v>
      </c>
      <c r="S102" s="308"/>
      <c r="T102" s="308"/>
      <c r="U102" s="308" t="s">
        <v>9</v>
      </c>
      <c r="V102" s="308" t="s">
        <v>9</v>
      </c>
      <c r="W102" s="308"/>
      <c r="X102" s="308"/>
      <c r="Y102" s="308" t="s">
        <v>9</v>
      </c>
      <c r="AA102" s="308" t="s">
        <v>9</v>
      </c>
      <c r="AB102" s="308"/>
      <c r="AC102" s="308"/>
      <c r="AD102" s="308" t="s">
        <v>9</v>
      </c>
      <c r="AE102" s="308"/>
      <c r="AF102" s="308" t="s">
        <v>9</v>
      </c>
      <c r="AG102" s="308"/>
      <c r="AH102" s="308"/>
      <c r="AI102" s="308"/>
      <c r="AK102" s="236">
        <v>99</v>
      </c>
      <c r="AL102" t="s">
        <v>48</v>
      </c>
      <c r="AM102" s="237" t="s">
        <v>1522</v>
      </c>
      <c r="BK102" t="s">
        <v>9</v>
      </c>
      <c r="BW102" s="311">
        <v>413</v>
      </c>
      <c r="BX102" s="311">
        <v>52</v>
      </c>
      <c r="BY102" s="311">
        <v>71</v>
      </c>
      <c r="BZ102" s="312" t="s">
        <v>1247</v>
      </c>
      <c r="CA102" s="312">
        <v>30</v>
      </c>
      <c r="CB102" s="312">
        <v>55</v>
      </c>
      <c r="CC102" s="312">
        <v>28</v>
      </c>
      <c r="CD102" s="312">
        <v>375</v>
      </c>
      <c r="CE102" s="312">
        <v>27</v>
      </c>
      <c r="CF102" s="312">
        <v>27</v>
      </c>
      <c r="CG102" s="312">
        <v>175</v>
      </c>
      <c r="CH102" s="312">
        <v>97</v>
      </c>
      <c r="CI102" s="312">
        <v>466</v>
      </c>
      <c r="CJ102" s="312">
        <v>415</v>
      </c>
      <c r="CK102" s="313">
        <v>51</v>
      </c>
      <c r="CL102" s="314">
        <v>78</v>
      </c>
      <c r="CM102" s="367">
        <v>0</v>
      </c>
      <c r="CN102" s="314">
        <v>1</v>
      </c>
      <c r="CO102" s="316">
        <v>84</v>
      </c>
      <c r="CP102" s="367" t="s">
        <v>1247</v>
      </c>
      <c r="CQ102" s="316">
        <v>13</v>
      </c>
      <c r="CR102" s="316">
        <v>135</v>
      </c>
      <c r="CS102" s="320"/>
      <c r="CT102" s="368"/>
      <c r="CU102" s="321"/>
      <c r="CV102" s="321"/>
      <c r="CW102" s="368"/>
      <c r="CX102" s="321"/>
      <c r="CY102" s="321"/>
      <c r="CZ102" s="320"/>
      <c r="DA102" s="368"/>
      <c r="DB102" s="321"/>
      <c r="DC102" s="321"/>
      <c r="DD102" s="368"/>
      <c r="DE102" s="321"/>
      <c r="DF102" s="321"/>
      <c r="DG102" s="320"/>
      <c r="DH102" s="368"/>
      <c r="DI102" s="321"/>
      <c r="DJ102" s="321"/>
      <c r="DK102" s="368"/>
      <c r="DL102" s="321"/>
      <c r="DM102" s="321"/>
      <c r="DN102" s="320"/>
      <c r="DO102" s="368"/>
      <c r="DP102" s="321"/>
      <c r="DQ102" s="321"/>
      <c r="DR102" s="368"/>
      <c r="DS102" s="321"/>
      <c r="DT102" s="323"/>
      <c r="DU102" s="92" t="s">
        <v>1526</v>
      </c>
    </row>
    <row r="103" spans="1:126" x14ac:dyDescent="0.3">
      <c r="B103" s="327" t="s">
        <v>1711</v>
      </c>
      <c r="C103" s="306"/>
      <c r="D103" s="328"/>
      <c r="E103" s="328" t="s">
        <v>9</v>
      </c>
      <c r="F103" s="329" t="s">
        <v>9</v>
      </c>
      <c r="G103" s="328"/>
      <c r="H103" s="328"/>
      <c r="I103" s="328" t="s">
        <v>9</v>
      </c>
      <c r="J103" s="328" t="s">
        <v>9</v>
      </c>
      <c r="K103" s="328" t="s">
        <v>9</v>
      </c>
      <c r="L103" s="328" t="s">
        <v>9</v>
      </c>
      <c r="M103" s="328"/>
      <c r="N103" s="328"/>
      <c r="O103" s="328" t="s">
        <v>9</v>
      </c>
      <c r="P103" s="328"/>
      <c r="Q103" s="328"/>
      <c r="R103" s="328" t="s">
        <v>9</v>
      </c>
      <c r="S103" s="328"/>
      <c r="T103" s="328"/>
      <c r="U103" s="328" t="s">
        <v>9</v>
      </c>
      <c r="V103" s="328" t="s">
        <v>9</v>
      </c>
      <c r="W103" s="328"/>
      <c r="X103" s="328"/>
      <c r="Y103" s="328" t="s">
        <v>9</v>
      </c>
      <c r="Z103" s="328"/>
      <c r="AA103" s="328" t="s">
        <v>9</v>
      </c>
      <c r="AB103" s="328"/>
      <c r="AC103" s="328" t="s">
        <v>9</v>
      </c>
      <c r="AD103" s="328" t="s">
        <v>9</v>
      </c>
      <c r="AE103" s="328"/>
      <c r="AF103" s="328" t="s">
        <v>9</v>
      </c>
      <c r="AG103" s="328"/>
      <c r="AH103" s="328"/>
      <c r="AI103" s="328"/>
      <c r="AJ103" s="328"/>
      <c r="AK103" s="330">
        <v>99</v>
      </c>
      <c r="AL103" s="306" t="s">
        <v>48</v>
      </c>
      <c r="AM103" s="331" t="s">
        <v>1522</v>
      </c>
      <c r="AN103" s="306"/>
      <c r="AO103" s="306"/>
      <c r="AP103" s="306"/>
      <c r="AQ103" s="306"/>
      <c r="AR103" s="306"/>
      <c r="AS103" s="306"/>
      <c r="AT103" s="306"/>
      <c r="AU103" s="306"/>
      <c r="AV103" s="306"/>
      <c r="AW103" s="306"/>
      <c r="AX103" s="306"/>
      <c r="AY103" s="306"/>
      <c r="AZ103" s="306"/>
      <c r="BA103" s="306"/>
      <c r="BB103" s="306"/>
      <c r="BC103" s="306"/>
      <c r="BD103" s="306"/>
      <c r="BE103" s="306"/>
      <c r="BF103" s="306"/>
      <c r="BG103" s="306"/>
      <c r="BH103" s="306"/>
      <c r="BI103" s="306"/>
      <c r="BJ103" s="306"/>
      <c r="BK103" s="306" t="s">
        <v>9</v>
      </c>
      <c r="BL103" s="306"/>
      <c r="BM103" s="306"/>
      <c r="BN103" s="306"/>
      <c r="BO103" s="306"/>
      <c r="BP103" s="306"/>
      <c r="BQ103" s="306"/>
      <c r="BR103" s="306"/>
      <c r="BS103" s="306"/>
      <c r="BT103" s="306"/>
      <c r="BU103" s="306"/>
      <c r="BV103" s="306"/>
      <c r="BW103" s="327">
        <v>413</v>
      </c>
      <c r="BX103" s="327">
        <v>52</v>
      </c>
      <c r="BY103" s="327">
        <v>71</v>
      </c>
      <c r="BZ103" s="332" t="s">
        <v>1247</v>
      </c>
      <c r="CA103" s="332">
        <v>30</v>
      </c>
      <c r="CB103" s="332">
        <v>55</v>
      </c>
      <c r="CC103" s="332">
        <v>28</v>
      </c>
      <c r="CD103" s="332">
        <v>375</v>
      </c>
      <c r="CE103" s="332">
        <v>27</v>
      </c>
      <c r="CF103" s="332">
        <v>27</v>
      </c>
      <c r="CG103" s="332">
        <v>175</v>
      </c>
      <c r="CH103" s="332">
        <v>97</v>
      </c>
      <c r="CI103" s="332">
        <v>466</v>
      </c>
      <c r="CJ103" s="332">
        <v>415</v>
      </c>
      <c r="CK103" s="333">
        <v>51</v>
      </c>
      <c r="CL103" s="333">
        <v>78</v>
      </c>
      <c r="CM103" s="369">
        <v>0</v>
      </c>
      <c r="CN103" s="333">
        <v>1</v>
      </c>
      <c r="CO103" s="332">
        <v>84</v>
      </c>
      <c r="CP103" s="369" t="s">
        <v>1247</v>
      </c>
      <c r="CQ103" s="332">
        <v>13</v>
      </c>
      <c r="CR103" s="332">
        <v>135</v>
      </c>
      <c r="CS103" s="334"/>
      <c r="CT103" s="369"/>
      <c r="CU103" s="335"/>
      <c r="CV103" s="335"/>
      <c r="CW103" s="369"/>
      <c r="CX103" s="335"/>
      <c r="CY103" s="335"/>
      <c r="CZ103" s="334"/>
      <c r="DA103" s="369"/>
      <c r="DB103" s="335"/>
      <c r="DC103" s="335"/>
      <c r="DD103" s="369"/>
      <c r="DE103" s="335"/>
      <c r="DF103" s="335"/>
      <c r="DG103" s="334"/>
      <c r="DH103" s="369"/>
      <c r="DI103" s="335"/>
      <c r="DJ103" s="335"/>
      <c r="DK103" s="369"/>
      <c r="DL103" s="335"/>
      <c r="DM103" s="335"/>
      <c r="DN103" s="334"/>
      <c r="DO103" s="369"/>
      <c r="DP103" s="335"/>
      <c r="DQ103" s="335"/>
      <c r="DR103" s="369"/>
      <c r="DS103" s="335"/>
      <c r="DT103" s="375"/>
      <c r="DU103" s="336" t="s">
        <v>1711</v>
      </c>
      <c r="DV103" s="306"/>
    </row>
    <row r="104" spans="1:126" x14ac:dyDescent="0.3">
      <c r="A104" s="241"/>
      <c r="B104" s="311" t="s">
        <v>1603</v>
      </c>
      <c r="D104" s="308" t="s">
        <v>9</v>
      </c>
      <c r="E104" s="308"/>
      <c r="F104" s="304" t="s">
        <v>9</v>
      </c>
      <c r="G104" s="308"/>
      <c r="H104" s="308"/>
      <c r="I104" s="308"/>
      <c r="J104" s="308"/>
      <c r="K104" s="308" t="s">
        <v>9</v>
      </c>
      <c r="L104" s="308"/>
      <c r="M104" s="308"/>
      <c r="N104" s="308"/>
      <c r="O104" s="308" t="s">
        <v>86</v>
      </c>
      <c r="P104" s="308" t="s">
        <v>48</v>
      </c>
      <c r="Q104" s="308"/>
      <c r="R104" s="308" t="s">
        <v>86</v>
      </c>
      <c r="S104" s="308" t="s">
        <v>48</v>
      </c>
      <c r="T104" s="308"/>
      <c r="U104" s="308" t="s">
        <v>9</v>
      </c>
      <c r="V104" s="308"/>
      <c r="W104" s="308"/>
      <c r="X104" s="308"/>
      <c r="Y104" s="308"/>
      <c r="AA104" s="308"/>
      <c r="AB104" s="308"/>
      <c r="AC104" s="308"/>
      <c r="AD104" s="308"/>
      <c r="AE104" s="308"/>
      <c r="AF104" s="308"/>
      <c r="AG104" s="308" t="s">
        <v>9</v>
      </c>
      <c r="AH104" s="308"/>
      <c r="AI104" s="308"/>
      <c r="AK104" s="236">
        <v>71</v>
      </c>
      <c r="AL104" t="s">
        <v>48</v>
      </c>
      <c r="AM104" s="237" t="s">
        <v>1592</v>
      </c>
      <c r="BM104" t="s">
        <v>9</v>
      </c>
      <c r="BW104" s="311">
        <v>232</v>
      </c>
      <c r="BX104" s="311">
        <v>45</v>
      </c>
      <c r="BY104" s="311">
        <v>68</v>
      </c>
      <c r="BZ104" s="312">
        <v>305</v>
      </c>
      <c r="CA104" s="312">
        <v>20</v>
      </c>
      <c r="CB104" s="312">
        <v>20</v>
      </c>
      <c r="CC104" s="312">
        <v>0</v>
      </c>
      <c r="CD104" s="312">
        <v>250</v>
      </c>
      <c r="CE104" s="312">
        <v>22</v>
      </c>
      <c r="CF104" s="312">
        <v>22</v>
      </c>
      <c r="CG104" s="312">
        <v>194</v>
      </c>
      <c r="CH104" s="312">
        <v>117</v>
      </c>
      <c r="CI104" s="312" t="s">
        <v>1744</v>
      </c>
      <c r="CJ104" s="312" t="s">
        <v>1744</v>
      </c>
      <c r="CK104" s="312" t="s">
        <v>1744</v>
      </c>
      <c r="CL104" s="314">
        <v>77</v>
      </c>
      <c r="CM104" s="367">
        <v>0</v>
      </c>
      <c r="CN104" s="314">
        <v>6</v>
      </c>
      <c r="CO104" s="314">
        <v>245</v>
      </c>
      <c r="CP104" s="367" t="s">
        <v>1247</v>
      </c>
      <c r="CQ104" s="314">
        <v>22</v>
      </c>
      <c r="CR104" s="312" t="s">
        <v>1744</v>
      </c>
      <c r="CS104" s="317">
        <v>77</v>
      </c>
      <c r="CT104" s="367" t="s">
        <v>1247</v>
      </c>
      <c r="CU104" s="314">
        <v>6</v>
      </c>
      <c r="CV104" s="313">
        <v>245</v>
      </c>
      <c r="CW104" s="368" t="s">
        <v>1247</v>
      </c>
      <c r="CX104" s="313">
        <v>22</v>
      </c>
      <c r="CY104" s="312" t="s">
        <v>1744</v>
      </c>
      <c r="CZ104" s="320"/>
      <c r="DA104" s="368"/>
      <c r="DB104" s="321"/>
      <c r="DC104" s="321"/>
      <c r="DD104" s="368"/>
      <c r="DE104" s="321"/>
      <c r="DF104" s="321"/>
      <c r="DG104" s="320"/>
      <c r="DH104" s="368"/>
      <c r="DI104" s="321"/>
      <c r="DJ104" s="321"/>
      <c r="DK104" s="368"/>
      <c r="DL104" s="321"/>
      <c r="DM104" s="321"/>
      <c r="DN104" s="320"/>
      <c r="DO104" s="368"/>
      <c r="DP104" s="321"/>
      <c r="DQ104" s="321"/>
      <c r="DR104" s="368"/>
      <c r="DS104" s="321"/>
      <c r="DT104" s="323"/>
      <c r="DU104" s="92" t="s">
        <v>1603</v>
      </c>
      <c r="DV104" s="202"/>
    </row>
    <row r="105" spans="1:126" x14ac:dyDescent="0.3">
      <c r="B105" s="311" t="s">
        <v>1604</v>
      </c>
      <c r="D105" s="308" t="s">
        <v>9</v>
      </c>
      <c r="E105" s="308"/>
      <c r="F105" s="304" t="s">
        <v>9</v>
      </c>
      <c r="G105" s="308"/>
      <c r="H105" s="308"/>
      <c r="I105" s="308"/>
      <c r="J105" s="308"/>
      <c r="K105" s="308" t="s">
        <v>9</v>
      </c>
      <c r="L105" s="308"/>
      <c r="M105" s="308"/>
      <c r="N105" s="308"/>
      <c r="O105" s="308" t="s">
        <v>86</v>
      </c>
      <c r="P105" s="308" t="s">
        <v>48</v>
      </c>
      <c r="Q105" s="308"/>
      <c r="R105" s="308" t="s">
        <v>86</v>
      </c>
      <c r="S105" s="308" t="s">
        <v>48</v>
      </c>
      <c r="T105" s="308"/>
      <c r="U105" s="308"/>
      <c r="V105" s="308"/>
      <c r="W105" s="308"/>
      <c r="X105" s="308"/>
      <c r="Y105" s="308"/>
      <c r="AA105" s="308"/>
      <c r="AB105" s="308" t="s">
        <v>9</v>
      </c>
      <c r="AC105" s="308"/>
      <c r="AD105" s="308"/>
      <c r="AE105" s="308"/>
      <c r="AF105" s="308"/>
      <c r="AG105" s="308" t="s">
        <v>9</v>
      </c>
      <c r="AH105" s="308"/>
      <c r="AI105" s="308"/>
      <c r="AK105" s="236">
        <v>71</v>
      </c>
      <c r="AL105" t="s">
        <v>48</v>
      </c>
      <c r="AM105" s="237" t="s">
        <v>1592</v>
      </c>
      <c r="BP105" t="s">
        <v>9</v>
      </c>
      <c r="BS105" s="202"/>
      <c r="BT105" s="202"/>
      <c r="BU105" s="202"/>
      <c r="BV105" s="202"/>
      <c r="BW105" s="318">
        <v>232</v>
      </c>
      <c r="BX105" s="318">
        <v>45</v>
      </c>
      <c r="BY105" s="318">
        <v>68</v>
      </c>
      <c r="BZ105" s="316">
        <v>305</v>
      </c>
      <c r="CA105" s="316">
        <v>30</v>
      </c>
      <c r="CB105" s="316">
        <v>20</v>
      </c>
      <c r="CC105" s="316">
        <v>0</v>
      </c>
      <c r="CD105" s="316">
        <v>250</v>
      </c>
      <c r="CE105" s="312">
        <v>22</v>
      </c>
      <c r="CF105" s="312">
        <v>22</v>
      </c>
      <c r="CG105" s="316">
        <v>194</v>
      </c>
      <c r="CH105" s="316">
        <v>117</v>
      </c>
      <c r="CI105" s="316" t="s">
        <v>1744</v>
      </c>
      <c r="CJ105" s="316" t="s">
        <v>1744</v>
      </c>
      <c r="CK105" s="314" t="s">
        <v>1744</v>
      </c>
      <c r="CL105" s="314">
        <v>77</v>
      </c>
      <c r="CM105" s="367">
        <v>0</v>
      </c>
      <c r="CN105" s="314">
        <v>6</v>
      </c>
      <c r="CO105" s="314">
        <v>245</v>
      </c>
      <c r="CP105" s="367" t="s">
        <v>1247</v>
      </c>
      <c r="CQ105" s="314">
        <v>22</v>
      </c>
      <c r="CR105" s="315" t="s">
        <v>1744</v>
      </c>
      <c r="CS105" s="314">
        <v>77</v>
      </c>
      <c r="CT105" s="367" t="s">
        <v>1247</v>
      </c>
      <c r="CU105" s="314">
        <v>6</v>
      </c>
      <c r="CV105" s="314">
        <v>245</v>
      </c>
      <c r="CW105" s="367" t="s">
        <v>1247</v>
      </c>
      <c r="CX105" s="314">
        <v>22</v>
      </c>
      <c r="CY105" s="316" t="s">
        <v>1744</v>
      </c>
      <c r="CZ105" s="320"/>
      <c r="DA105" s="367"/>
      <c r="DB105" s="322"/>
      <c r="DC105" s="322"/>
      <c r="DD105" s="367"/>
      <c r="DE105" s="322"/>
      <c r="DF105" s="322"/>
      <c r="DG105" s="320"/>
      <c r="DH105" s="367"/>
      <c r="DI105" s="322"/>
      <c r="DJ105" s="322"/>
      <c r="DK105" s="367"/>
      <c r="DL105" s="322"/>
      <c r="DM105" s="322"/>
      <c r="DN105" s="320"/>
      <c r="DO105" s="367"/>
      <c r="DP105" s="322"/>
      <c r="DQ105" s="322"/>
      <c r="DR105" s="367"/>
      <c r="DS105" s="322"/>
      <c r="DT105" s="323"/>
      <c r="DU105" s="319" t="s">
        <v>1604</v>
      </c>
    </row>
    <row r="106" spans="1:126" x14ac:dyDescent="0.3">
      <c r="B106" s="311" t="s">
        <v>1601</v>
      </c>
      <c r="D106" s="308" t="s">
        <v>9</v>
      </c>
      <c r="E106" s="308"/>
      <c r="F106" s="304" t="s">
        <v>9</v>
      </c>
      <c r="G106" s="308"/>
      <c r="H106" s="308"/>
      <c r="I106" s="308" t="s">
        <v>9</v>
      </c>
      <c r="J106" s="308" t="s">
        <v>9</v>
      </c>
      <c r="K106" s="308" t="s">
        <v>9</v>
      </c>
      <c r="L106" s="308"/>
      <c r="M106" s="308"/>
      <c r="N106" s="308"/>
      <c r="O106" s="308" t="s">
        <v>86</v>
      </c>
      <c r="P106" s="308" t="s">
        <v>48</v>
      </c>
      <c r="Q106" s="308"/>
      <c r="R106" s="308" t="s">
        <v>86</v>
      </c>
      <c r="S106" s="308" t="s">
        <v>48</v>
      </c>
      <c r="T106" s="308"/>
      <c r="U106" s="308" t="s">
        <v>9</v>
      </c>
      <c r="V106" s="308"/>
      <c r="W106" s="308"/>
      <c r="X106" s="308"/>
      <c r="Y106" s="308"/>
      <c r="AA106" s="308"/>
      <c r="AB106" s="308"/>
      <c r="AC106" s="308"/>
      <c r="AD106" s="308"/>
      <c r="AE106" s="308"/>
      <c r="AF106" s="308"/>
      <c r="AG106" s="308" t="s">
        <v>9</v>
      </c>
      <c r="AH106" s="308"/>
      <c r="AI106" s="308"/>
      <c r="AK106" s="236">
        <v>72</v>
      </c>
      <c r="AL106" t="s">
        <v>48</v>
      </c>
      <c r="AM106" s="237" t="s">
        <v>1571</v>
      </c>
      <c r="BM106" t="s">
        <v>9</v>
      </c>
      <c r="BW106" s="311">
        <v>232</v>
      </c>
      <c r="BX106" s="311">
        <v>45</v>
      </c>
      <c r="BY106" s="311">
        <v>68</v>
      </c>
      <c r="BZ106" s="312">
        <v>305</v>
      </c>
      <c r="CA106" s="312">
        <v>20</v>
      </c>
      <c r="CB106" s="312">
        <v>20</v>
      </c>
      <c r="CC106" s="312">
        <v>0</v>
      </c>
      <c r="CD106" s="312">
        <v>250</v>
      </c>
      <c r="CE106" s="312">
        <v>22</v>
      </c>
      <c r="CF106" s="312">
        <v>22</v>
      </c>
      <c r="CG106" s="312">
        <v>194</v>
      </c>
      <c r="CH106" s="312">
        <v>117</v>
      </c>
      <c r="CI106" s="312" t="s">
        <v>1744</v>
      </c>
      <c r="CJ106" s="312" t="s">
        <v>1744</v>
      </c>
      <c r="CK106" s="312" t="s">
        <v>1744</v>
      </c>
      <c r="CL106" s="314">
        <v>77</v>
      </c>
      <c r="CM106" s="367">
        <v>0</v>
      </c>
      <c r="CN106" s="314">
        <v>6</v>
      </c>
      <c r="CO106" s="314">
        <v>245</v>
      </c>
      <c r="CP106" s="367" t="s">
        <v>1247</v>
      </c>
      <c r="CQ106" s="314">
        <v>22</v>
      </c>
      <c r="CR106" s="312" t="s">
        <v>1744</v>
      </c>
      <c r="CS106" s="317">
        <v>77</v>
      </c>
      <c r="CT106" s="367" t="s">
        <v>1247</v>
      </c>
      <c r="CU106" s="314">
        <v>6</v>
      </c>
      <c r="CV106" s="313">
        <v>245</v>
      </c>
      <c r="CW106" s="368" t="s">
        <v>1247</v>
      </c>
      <c r="CX106" s="313">
        <v>22</v>
      </c>
      <c r="CY106" s="312" t="s">
        <v>1744</v>
      </c>
      <c r="CZ106" s="320"/>
      <c r="DA106" s="368"/>
      <c r="DB106" s="321"/>
      <c r="DC106" s="321"/>
      <c r="DD106" s="368"/>
      <c r="DE106" s="321"/>
      <c r="DF106" s="321"/>
      <c r="DG106" s="320"/>
      <c r="DH106" s="368"/>
      <c r="DI106" s="321"/>
      <c r="DJ106" s="321"/>
      <c r="DK106" s="368"/>
      <c r="DL106" s="321"/>
      <c r="DM106" s="321"/>
      <c r="DN106" s="320"/>
      <c r="DO106" s="368"/>
      <c r="DP106" s="321"/>
      <c r="DQ106" s="321"/>
      <c r="DR106" s="368"/>
      <c r="DS106" s="321"/>
      <c r="DT106" s="323"/>
      <c r="DU106" s="92" t="s">
        <v>1601</v>
      </c>
    </row>
    <row r="107" spans="1:126" x14ac:dyDescent="0.3">
      <c r="B107" s="311" t="s">
        <v>1602</v>
      </c>
      <c r="D107" s="308" t="s">
        <v>9</v>
      </c>
      <c r="E107" s="308"/>
      <c r="F107" s="304" t="s">
        <v>9</v>
      </c>
      <c r="G107" s="308"/>
      <c r="H107" s="308"/>
      <c r="I107" s="308" t="s">
        <v>9</v>
      </c>
      <c r="J107" s="308" t="s">
        <v>9</v>
      </c>
      <c r="K107" s="308" t="s">
        <v>9</v>
      </c>
      <c r="L107" s="308"/>
      <c r="M107" s="308"/>
      <c r="N107" s="308"/>
      <c r="O107" s="308" t="s">
        <v>86</v>
      </c>
      <c r="P107" s="308" t="s">
        <v>48</v>
      </c>
      <c r="Q107" s="308"/>
      <c r="R107" s="308" t="s">
        <v>86</v>
      </c>
      <c r="S107" s="308" t="s">
        <v>48</v>
      </c>
      <c r="T107" s="308"/>
      <c r="U107" s="308"/>
      <c r="V107" s="308"/>
      <c r="W107" s="308"/>
      <c r="X107" s="308"/>
      <c r="Y107" s="308"/>
      <c r="AA107" s="308"/>
      <c r="AB107" s="308" t="s">
        <v>9</v>
      </c>
      <c r="AC107" s="308"/>
      <c r="AD107" s="308"/>
      <c r="AE107" s="308"/>
      <c r="AF107" s="308"/>
      <c r="AG107" s="308" t="s">
        <v>9</v>
      </c>
      <c r="AH107" s="308"/>
      <c r="AI107" s="308"/>
      <c r="AK107" s="236">
        <v>72</v>
      </c>
      <c r="AL107" t="s">
        <v>48</v>
      </c>
      <c r="AM107" s="237" t="s">
        <v>1571</v>
      </c>
      <c r="BP107" t="s">
        <v>9</v>
      </c>
      <c r="BW107" s="311">
        <v>232</v>
      </c>
      <c r="BX107" s="311">
        <v>45</v>
      </c>
      <c r="BY107" s="311">
        <v>68</v>
      </c>
      <c r="BZ107" s="312">
        <v>305</v>
      </c>
      <c r="CA107" s="312">
        <v>30</v>
      </c>
      <c r="CB107" s="312">
        <v>20</v>
      </c>
      <c r="CC107" s="312">
        <v>0</v>
      </c>
      <c r="CD107" s="312">
        <v>250</v>
      </c>
      <c r="CE107" s="312">
        <v>22</v>
      </c>
      <c r="CF107" s="312">
        <v>22</v>
      </c>
      <c r="CG107" s="312">
        <v>194</v>
      </c>
      <c r="CH107" s="312">
        <v>117</v>
      </c>
      <c r="CI107" s="312" t="s">
        <v>1744</v>
      </c>
      <c r="CJ107" s="312" t="s">
        <v>1744</v>
      </c>
      <c r="CK107" s="312" t="s">
        <v>1744</v>
      </c>
      <c r="CL107" s="314">
        <v>77</v>
      </c>
      <c r="CM107" s="367">
        <v>0</v>
      </c>
      <c r="CN107" s="314">
        <v>6</v>
      </c>
      <c r="CO107" s="314">
        <v>245</v>
      </c>
      <c r="CP107" s="367" t="s">
        <v>1247</v>
      </c>
      <c r="CQ107" s="314">
        <v>22</v>
      </c>
      <c r="CR107" s="312" t="s">
        <v>1744</v>
      </c>
      <c r="CS107" s="317">
        <v>77</v>
      </c>
      <c r="CT107" s="367" t="s">
        <v>1247</v>
      </c>
      <c r="CU107" s="314">
        <v>6</v>
      </c>
      <c r="CV107" s="313">
        <v>245</v>
      </c>
      <c r="CW107" s="368" t="s">
        <v>1247</v>
      </c>
      <c r="CX107" s="313">
        <v>22</v>
      </c>
      <c r="CY107" s="312" t="s">
        <v>1744</v>
      </c>
      <c r="CZ107" s="320"/>
      <c r="DA107" s="368"/>
      <c r="DB107" s="321"/>
      <c r="DC107" s="321"/>
      <c r="DD107" s="368"/>
      <c r="DE107" s="321"/>
      <c r="DF107" s="321"/>
      <c r="DG107" s="320"/>
      <c r="DH107" s="368"/>
      <c r="DI107" s="321"/>
      <c r="DJ107" s="321"/>
      <c r="DK107" s="368"/>
      <c r="DL107" s="321"/>
      <c r="DM107" s="321"/>
      <c r="DN107" s="320"/>
      <c r="DO107" s="368"/>
      <c r="DP107" s="321"/>
      <c r="DQ107" s="321"/>
      <c r="DR107" s="368"/>
      <c r="DS107" s="321"/>
      <c r="DT107" s="323"/>
      <c r="DU107" s="92" t="s">
        <v>1602</v>
      </c>
    </row>
    <row r="108" spans="1:126" x14ac:dyDescent="0.3">
      <c r="B108" s="311" t="s">
        <v>1589</v>
      </c>
      <c r="D108" s="308" t="s">
        <v>9</v>
      </c>
      <c r="E108" s="308"/>
      <c r="F108" s="304" t="s">
        <v>9</v>
      </c>
      <c r="G108" s="308"/>
      <c r="H108" s="308"/>
      <c r="I108" s="308" t="s">
        <v>9</v>
      </c>
      <c r="J108" s="308" t="s">
        <v>9</v>
      </c>
      <c r="K108" s="308" t="s">
        <v>9</v>
      </c>
      <c r="L108" s="308"/>
      <c r="M108" s="308"/>
      <c r="N108" s="308"/>
      <c r="O108" s="308" t="s">
        <v>86</v>
      </c>
      <c r="P108" s="308" t="s">
        <v>48</v>
      </c>
      <c r="Q108" s="308"/>
      <c r="R108" s="308" t="s">
        <v>86</v>
      </c>
      <c r="S108" s="308" t="s">
        <v>48</v>
      </c>
      <c r="T108" s="308"/>
      <c r="U108" s="308" t="s">
        <v>9</v>
      </c>
      <c r="V108" s="308"/>
      <c r="W108" s="308"/>
      <c r="X108" s="308"/>
      <c r="Y108" s="308"/>
      <c r="AA108" s="308"/>
      <c r="AB108" s="308"/>
      <c r="AC108" s="308"/>
      <c r="AD108" s="308"/>
      <c r="AE108" s="308"/>
      <c r="AF108" s="308"/>
      <c r="AG108" s="308" t="s">
        <v>9</v>
      </c>
      <c r="AH108" s="308"/>
      <c r="AI108" s="308"/>
      <c r="AK108" s="236" t="s">
        <v>1588</v>
      </c>
      <c r="AL108" t="s">
        <v>48</v>
      </c>
      <c r="AM108" s="237" t="s">
        <v>1571</v>
      </c>
      <c r="BM108" t="s">
        <v>9</v>
      </c>
      <c r="BW108" s="311">
        <v>225</v>
      </c>
      <c r="BX108" s="311">
        <v>40</v>
      </c>
      <c r="BY108" s="311">
        <v>60</v>
      </c>
      <c r="BZ108" s="312">
        <v>305</v>
      </c>
      <c r="CA108" s="312">
        <v>20</v>
      </c>
      <c r="CB108" s="312">
        <v>20</v>
      </c>
      <c r="CC108" s="312">
        <v>0</v>
      </c>
      <c r="CD108" s="312">
        <v>250</v>
      </c>
      <c r="CE108" s="312">
        <v>20</v>
      </c>
      <c r="CF108" s="312">
        <v>20</v>
      </c>
      <c r="CG108" s="312">
        <v>194</v>
      </c>
      <c r="CH108" s="312">
        <v>74</v>
      </c>
      <c r="CI108" s="312" t="s">
        <v>1744</v>
      </c>
      <c r="CJ108" s="312" t="s">
        <v>1744</v>
      </c>
      <c r="CK108" s="312" t="s">
        <v>1744</v>
      </c>
      <c r="CL108" s="314">
        <v>120</v>
      </c>
      <c r="CM108" s="367">
        <v>0</v>
      </c>
      <c r="CN108" s="314">
        <v>8</v>
      </c>
      <c r="CO108" s="314">
        <v>245</v>
      </c>
      <c r="CP108" s="367" t="s">
        <v>1247</v>
      </c>
      <c r="CQ108" s="314">
        <v>22</v>
      </c>
      <c r="CR108" s="312" t="s">
        <v>1744</v>
      </c>
      <c r="CS108" s="317">
        <v>120</v>
      </c>
      <c r="CT108" s="367" t="s">
        <v>1247</v>
      </c>
      <c r="CU108" s="314">
        <v>8</v>
      </c>
      <c r="CV108" s="313">
        <v>245</v>
      </c>
      <c r="CW108" s="368" t="s">
        <v>1247</v>
      </c>
      <c r="CX108" s="313">
        <v>22</v>
      </c>
      <c r="CY108" s="312" t="s">
        <v>1744</v>
      </c>
      <c r="CZ108" s="320"/>
      <c r="DA108" s="368"/>
      <c r="DB108" s="321"/>
      <c r="DC108" s="321"/>
      <c r="DD108" s="368"/>
      <c r="DE108" s="321"/>
      <c r="DF108" s="321"/>
      <c r="DG108" s="320"/>
      <c r="DH108" s="368"/>
      <c r="DI108" s="321"/>
      <c r="DJ108" s="321"/>
      <c r="DK108" s="368"/>
      <c r="DL108" s="321"/>
      <c r="DM108" s="321"/>
      <c r="DN108" s="320"/>
      <c r="DO108" s="368"/>
      <c r="DP108" s="321"/>
      <c r="DQ108" s="321"/>
      <c r="DR108" s="368"/>
      <c r="DS108" s="321"/>
      <c r="DT108" s="323"/>
      <c r="DU108" s="92" t="s">
        <v>1589</v>
      </c>
    </row>
    <row r="109" spans="1:126" x14ac:dyDescent="0.3">
      <c r="B109" s="311" t="s">
        <v>1590</v>
      </c>
      <c r="D109" s="308"/>
      <c r="E109" s="308" t="s">
        <v>9</v>
      </c>
      <c r="F109" s="304" t="s">
        <v>9</v>
      </c>
      <c r="G109" s="308"/>
      <c r="H109" s="308"/>
      <c r="I109" s="308" t="s">
        <v>9</v>
      </c>
      <c r="J109" s="308" t="s">
        <v>9</v>
      </c>
      <c r="K109" s="308" t="s">
        <v>9</v>
      </c>
      <c r="L109" s="308"/>
      <c r="M109" s="308"/>
      <c r="N109" s="308"/>
      <c r="O109" s="308" t="s">
        <v>9</v>
      </c>
      <c r="P109" s="308"/>
      <c r="Q109" s="308"/>
      <c r="R109" s="308" t="s">
        <v>9</v>
      </c>
      <c r="S109" s="308"/>
      <c r="T109" s="308"/>
      <c r="U109" s="308" t="s">
        <v>9</v>
      </c>
      <c r="V109" s="308"/>
      <c r="W109" s="308" t="s">
        <v>9</v>
      </c>
      <c r="X109" s="308"/>
      <c r="Y109" s="308"/>
      <c r="AA109" s="308"/>
      <c r="AB109" s="308"/>
      <c r="AC109" s="308"/>
      <c r="AD109" s="308"/>
      <c r="AE109" s="308"/>
      <c r="AF109" s="308"/>
      <c r="AG109" s="308" t="s">
        <v>9</v>
      </c>
      <c r="AH109" s="308"/>
      <c r="AI109" s="308"/>
      <c r="AK109" s="236" t="s">
        <v>1588</v>
      </c>
      <c r="AL109" t="s">
        <v>48</v>
      </c>
      <c r="AM109" s="237" t="s">
        <v>1571</v>
      </c>
      <c r="BM109" t="s">
        <v>9</v>
      </c>
      <c r="BS109" t="s">
        <v>9</v>
      </c>
      <c r="BW109" s="311">
        <v>225</v>
      </c>
      <c r="BX109" s="311">
        <v>40</v>
      </c>
      <c r="BY109" s="311">
        <v>60</v>
      </c>
      <c r="BZ109" s="312">
        <v>305</v>
      </c>
      <c r="CA109" s="312">
        <v>20</v>
      </c>
      <c r="CB109" s="312">
        <v>20</v>
      </c>
      <c r="CC109" s="312">
        <v>0</v>
      </c>
      <c r="CD109" s="312">
        <v>250</v>
      </c>
      <c r="CE109" s="312">
        <v>20</v>
      </c>
      <c r="CF109" s="312">
        <v>20</v>
      </c>
      <c r="CG109" s="312">
        <v>194</v>
      </c>
      <c r="CH109" s="312">
        <v>74</v>
      </c>
      <c r="CI109" s="312" t="s">
        <v>1744</v>
      </c>
      <c r="CJ109" s="312" t="s">
        <v>1744</v>
      </c>
      <c r="CK109" s="312" t="s">
        <v>1744</v>
      </c>
      <c r="CL109" s="314">
        <v>120</v>
      </c>
      <c r="CM109" s="367">
        <v>0</v>
      </c>
      <c r="CN109" s="314">
        <v>8</v>
      </c>
      <c r="CO109" s="314">
        <v>245</v>
      </c>
      <c r="CP109" s="367" t="s">
        <v>1247</v>
      </c>
      <c r="CQ109" s="314">
        <v>22</v>
      </c>
      <c r="CR109" s="312" t="s">
        <v>1744</v>
      </c>
      <c r="CS109" s="320"/>
      <c r="CT109" s="368"/>
      <c r="CU109" s="321"/>
      <c r="CV109" s="321"/>
      <c r="CW109" s="368"/>
      <c r="CX109" s="321"/>
      <c r="CY109" s="321"/>
      <c r="CZ109" s="320"/>
      <c r="DA109" s="368"/>
      <c r="DB109" s="321"/>
      <c r="DC109" s="321"/>
      <c r="DD109" s="368"/>
      <c r="DE109" s="321"/>
      <c r="DF109" s="321"/>
      <c r="DG109" s="320"/>
      <c r="DH109" s="368"/>
      <c r="DI109" s="321"/>
      <c r="DJ109" s="321"/>
      <c r="DK109" s="368"/>
      <c r="DL109" s="321"/>
      <c r="DM109" s="321"/>
      <c r="DN109" s="320"/>
      <c r="DO109" s="368"/>
      <c r="DP109" s="321"/>
      <c r="DQ109" s="321"/>
      <c r="DR109" s="368"/>
      <c r="DS109" s="321"/>
      <c r="DT109" s="323"/>
      <c r="DU109" s="92" t="s">
        <v>1590</v>
      </c>
    </row>
    <row r="110" spans="1:126" x14ac:dyDescent="0.3">
      <c r="B110" s="311" t="s">
        <v>1591</v>
      </c>
      <c r="D110" s="308" t="s">
        <v>9</v>
      </c>
      <c r="E110" s="308"/>
      <c r="F110" s="304" t="s">
        <v>9</v>
      </c>
      <c r="G110" s="308"/>
      <c r="H110" s="308"/>
      <c r="I110" s="308" t="s">
        <v>9</v>
      </c>
      <c r="J110" s="308" t="s">
        <v>9</v>
      </c>
      <c r="K110" s="308" t="s">
        <v>9</v>
      </c>
      <c r="L110" s="308"/>
      <c r="M110" s="308"/>
      <c r="N110" s="308"/>
      <c r="O110" s="308" t="s">
        <v>86</v>
      </c>
      <c r="P110" s="308" t="s">
        <v>48</v>
      </c>
      <c r="Q110" s="308"/>
      <c r="R110" s="308" t="s">
        <v>86</v>
      </c>
      <c r="S110" s="308" t="s">
        <v>48</v>
      </c>
      <c r="T110" s="308"/>
      <c r="U110" s="308"/>
      <c r="V110" s="308"/>
      <c r="W110" s="308"/>
      <c r="X110" s="308"/>
      <c r="Y110" s="308"/>
      <c r="AA110" s="308"/>
      <c r="AB110" s="308" t="s">
        <v>9</v>
      </c>
      <c r="AC110" s="308"/>
      <c r="AD110" s="308"/>
      <c r="AE110" s="308"/>
      <c r="AF110" s="308"/>
      <c r="AG110" s="308" t="s">
        <v>9</v>
      </c>
      <c r="AH110" s="308"/>
      <c r="AI110" s="308"/>
      <c r="AK110" s="236" t="s">
        <v>1588</v>
      </c>
      <c r="AL110" t="s">
        <v>48</v>
      </c>
      <c r="AM110" s="237" t="s">
        <v>1571</v>
      </c>
      <c r="BP110" t="s">
        <v>9</v>
      </c>
      <c r="BW110" s="311">
        <v>225</v>
      </c>
      <c r="BX110" s="311">
        <v>40</v>
      </c>
      <c r="BY110" s="311">
        <v>60</v>
      </c>
      <c r="BZ110" s="312">
        <v>305</v>
      </c>
      <c r="CA110" s="312">
        <v>30</v>
      </c>
      <c r="CB110" s="312">
        <v>20</v>
      </c>
      <c r="CC110" s="312">
        <v>0</v>
      </c>
      <c r="CD110" s="312">
        <v>250</v>
      </c>
      <c r="CE110" s="312">
        <v>20</v>
      </c>
      <c r="CF110" s="312">
        <v>20</v>
      </c>
      <c r="CG110" s="312">
        <v>194</v>
      </c>
      <c r="CH110" s="312">
        <v>74</v>
      </c>
      <c r="CI110" s="312" t="s">
        <v>1744</v>
      </c>
      <c r="CJ110" s="312" t="s">
        <v>1744</v>
      </c>
      <c r="CK110" s="312" t="s">
        <v>1744</v>
      </c>
      <c r="CL110" s="314">
        <v>120</v>
      </c>
      <c r="CM110" s="367">
        <v>0</v>
      </c>
      <c r="CN110" s="314">
        <v>8</v>
      </c>
      <c r="CO110" s="314">
        <v>245</v>
      </c>
      <c r="CP110" s="367" t="s">
        <v>1247</v>
      </c>
      <c r="CQ110" s="314">
        <v>22</v>
      </c>
      <c r="CR110" s="312" t="s">
        <v>1744</v>
      </c>
      <c r="CS110" s="317">
        <v>120</v>
      </c>
      <c r="CT110" s="367" t="s">
        <v>1247</v>
      </c>
      <c r="CU110" s="314">
        <v>8</v>
      </c>
      <c r="CV110" s="313">
        <v>245</v>
      </c>
      <c r="CW110" s="368" t="s">
        <v>1247</v>
      </c>
      <c r="CX110" s="313">
        <v>22</v>
      </c>
      <c r="CY110" s="312" t="s">
        <v>1744</v>
      </c>
      <c r="CZ110" s="320"/>
      <c r="DA110" s="368"/>
      <c r="DB110" s="321"/>
      <c r="DC110" s="321"/>
      <c r="DD110" s="368"/>
      <c r="DE110" s="321"/>
      <c r="DF110" s="321"/>
      <c r="DG110" s="320"/>
      <c r="DH110" s="368"/>
      <c r="DI110" s="321"/>
      <c r="DJ110" s="321"/>
      <c r="DK110" s="368"/>
      <c r="DL110" s="321"/>
      <c r="DM110" s="321"/>
      <c r="DN110" s="320"/>
      <c r="DO110" s="368"/>
      <c r="DP110" s="321"/>
      <c r="DQ110" s="321"/>
      <c r="DR110" s="368"/>
      <c r="DS110" s="321"/>
      <c r="DT110" s="323"/>
      <c r="DU110" s="92" t="s">
        <v>1591</v>
      </c>
    </row>
    <row r="111" spans="1:126" x14ac:dyDescent="0.3">
      <c r="B111" s="311" t="s">
        <v>1593</v>
      </c>
      <c r="D111" s="308" t="s">
        <v>9</v>
      </c>
      <c r="E111" s="308"/>
      <c r="F111" s="304" t="s">
        <v>9</v>
      </c>
      <c r="G111" s="308"/>
      <c r="H111" s="308"/>
      <c r="I111" s="308"/>
      <c r="J111" s="308"/>
      <c r="K111" s="308" t="s">
        <v>9</v>
      </c>
      <c r="L111" s="308"/>
      <c r="M111" s="308"/>
      <c r="N111" s="308"/>
      <c r="O111" s="308" t="s">
        <v>86</v>
      </c>
      <c r="P111" s="308" t="s">
        <v>48</v>
      </c>
      <c r="Q111" s="308"/>
      <c r="R111" s="308" t="s">
        <v>86</v>
      </c>
      <c r="S111" s="308" t="s">
        <v>48</v>
      </c>
      <c r="T111" s="308"/>
      <c r="U111" s="308" t="s">
        <v>9</v>
      </c>
      <c r="V111" s="308"/>
      <c r="W111" s="308"/>
      <c r="X111" s="308"/>
      <c r="Y111" s="308"/>
      <c r="AA111" s="308"/>
      <c r="AB111" s="308"/>
      <c r="AC111" s="308" t="s">
        <v>9</v>
      </c>
      <c r="AD111" s="308"/>
      <c r="AE111" s="308" t="s">
        <v>9</v>
      </c>
      <c r="AF111" s="308"/>
      <c r="AG111" s="308" t="s">
        <v>9</v>
      </c>
      <c r="AH111" s="308"/>
      <c r="AI111" s="308"/>
      <c r="AK111" s="236">
        <v>73</v>
      </c>
      <c r="AL111" t="s">
        <v>48</v>
      </c>
      <c r="AM111" s="237" t="s">
        <v>1592</v>
      </c>
      <c r="BM111" t="s">
        <v>9</v>
      </c>
      <c r="BW111" s="311">
        <v>320</v>
      </c>
      <c r="BX111" s="311">
        <v>46</v>
      </c>
      <c r="BY111" s="311">
        <v>60</v>
      </c>
      <c r="BZ111" s="312">
        <v>305</v>
      </c>
      <c r="CA111" s="312">
        <v>20</v>
      </c>
      <c r="CB111" s="312">
        <v>20</v>
      </c>
      <c r="CC111" s="312">
        <v>0</v>
      </c>
      <c r="CD111" s="312">
        <v>250</v>
      </c>
      <c r="CE111" s="312">
        <v>22</v>
      </c>
      <c r="CF111" s="312">
        <v>22</v>
      </c>
      <c r="CG111" s="312">
        <v>194</v>
      </c>
      <c r="CH111" s="312">
        <v>84</v>
      </c>
      <c r="CI111" s="312" t="s">
        <v>1744</v>
      </c>
      <c r="CJ111" s="312" t="s">
        <v>1744</v>
      </c>
      <c r="CK111" s="312" t="s">
        <v>1744</v>
      </c>
      <c r="CL111" s="314">
        <v>110</v>
      </c>
      <c r="CM111" s="367">
        <v>0</v>
      </c>
      <c r="CN111" s="314">
        <v>8</v>
      </c>
      <c r="CO111" s="314">
        <v>245</v>
      </c>
      <c r="CP111" s="367" t="s">
        <v>1247</v>
      </c>
      <c r="CQ111" s="314">
        <v>22</v>
      </c>
      <c r="CR111" s="312" t="s">
        <v>1744</v>
      </c>
      <c r="CS111" s="317">
        <v>110</v>
      </c>
      <c r="CT111" s="367" t="s">
        <v>1247</v>
      </c>
      <c r="CU111" s="314">
        <v>8</v>
      </c>
      <c r="CV111" s="313">
        <v>245</v>
      </c>
      <c r="CW111" s="368" t="s">
        <v>1247</v>
      </c>
      <c r="CX111" s="313">
        <v>22</v>
      </c>
      <c r="CY111" s="312" t="s">
        <v>1744</v>
      </c>
      <c r="CZ111" s="320"/>
      <c r="DA111" s="368"/>
      <c r="DB111" s="321"/>
      <c r="DC111" s="321"/>
      <c r="DD111" s="368"/>
      <c r="DE111" s="321"/>
      <c r="DF111" s="321"/>
      <c r="DG111" s="320"/>
      <c r="DH111" s="368"/>
      <c r="DI111" s="321"/>
      <c r="DJ111" s="321"/>
      <c r="DK111" s="368"/>
      <c r="DL111" s="321"/>
      <c r="DM111" s="321"/>
      <c r="DN111" s="320"/>
      <c r="DO111" s="368"/>
      <c r="DP111" s="321"/>
      <c r="DQ111" s="321"/>
      <c r="DR111" s="368"/>
      <c r="DS111" s="321"/>
      <c r="DT111" s="323"/>
      <c r="DU111" s="92" t="s">
        <v>1593</v>
      </c>
    </row>
    <row r="112" spans="1:126" x14ac:dyDescent="0.3">
      <c r="B112" s="311" t="s">
        <v>1595</v>
      </c>
      <c r="D112" s="308" t="s">
        <v>9</v>
      </c>
      <c r="E112" s="308"/>
      <c r="F112" s="304" t="s">
        <v>9</v>
      </c>
      <c r="G112" s="308"/>
      <c r="H112" s="308"/>
      <c r="I112" s="308"/>
      <c r="J112" s="308"/>
      <c r="K112" s="308"/>
      <c r="L112" s="308" t="s">
        <v>9</v>
      </c>
      <c r="M112" s="308"/>
      <c r="N112" s="308"/>
      <c r="O112" s="308" t="s">
        <v>86</v>
      </c>
      <c r="P112" s="308" t="s">
        <v>48</v>
      </c>
      <c r="Q112" s="308"/>
      <c r="R112" s="308" t="s">
        <v>86</v>
      </c>
      <c r="S112" s="308" t="s">
        <v>48</v>
      </c>
      <c r="T112" s="308"/>
      <c r="U112" s="308" t="s">
        <v>9</v>
      </c>
      <c r="V112" s="308"/>
      <c r="W112" s="308"/>
      <c r="X112" s="308"/>
      <c r="Y112" s="308"/>
      <c r="AA112" s="308"/>
      <c r="AB112" s="308"/>
      <c r="AC112" s="308" t="s">
        <v>9</v>
      </c>
      <c r="AD112" s="308"/>
      <c r="AE112" s="308" t="s">
        <v>9</v>
      </c>
      <c r="AF112" s="308"/>
      <c r="AG112" s="308" t="s">
        <v>9</v>
      </c>
      <c r="AH112" s="308"/>
      <c r="AI112" s="308"/>
      <c r="AK112" s="236">
        <v>73</v>
      </c>
      <c r="AL112" t="s">
        <v>48</v>
      </c>
      <c r="AM112" s="237" t="s">
        <v>1594</v>
      </c>
      <c r="BM112" t="s">
        <v>9</v>
      </c>
      <c r="BW112" s="311">
        <v>320</v>
      </c>
      <c r="BX112" s="311">
        <v>46</v>
      </c>
      <c r="BY112" s="311">
        <v>60</v>
      </c>
      <c r="BZ112" s="312">
        <v>305</v>
      </c>
      <c r="CA112" s="312">
        <v>20</v>
      </c>
      <c r="CB112" s="312">
        <v>20</v>
      </c>
      <c r="CC112" s="312">
        <v>0</v>
      </c>
      <c r="CD112" s="312">
        <v>250</v>
      </c>
      <c r="CE112" s="312">
        <v>22</v>
      </c>
      <c r="CF112" s="312">
        <v>22</v>
      </c>
      <c r="CG112" s="312">
        <v>194</v>
      </c>
      <c r="CH112" s="312">
        <v>84</v>
      </c>
      <c r="CI112" s="312" t="s">
        <v>1744</v>
      </c>
      <c r="CJ112" s="312" t="s">
        <v>1744</v>
      </c>
      <c r="CK112" s="312" t="s">
        <v>1744</v>
      </c>
      <c r="CL112" s="314">
        <v>110</v>
      </c>
      <c r="CM112" s="367">
        <v>0</v>
      </c>
      <c r="CN112" s="314">
        <v>8</v>
      </c>
      <c r="CO112" s="314">
        <v>245</v>
      </c>
      <c r="CP112" s="367" t="s">
        <v>1247</v>
      </c>
      <c r="CQ112" s="314">
        <v>22</v>
      </c>
      <c r="CR112" s="312" t="s">
        <v>1744</v>
      </c>
      <c r="CS112" s="317">
        <v>110</v>
      </c>
      <c r="CT112" s="367" t="s">
        <v>1247</v>
      </c>
      <c r="CU112" s="314">
        <v>8</v>
      </c>
      <c r="CV112" s="313">
        <v>245</v>
      </c>
      <c r="CW112" s="368" t="s">
        <v>1247</v>
      </c>
      <c r="CX112" s="313">
        <v>22</v>
      </c>
      <c r="CY112" s="312" t="s">
        <v>1744</v>
      </c>
      <c r="CZ112" s="320"/>
      <c r="DA112" s="368"/>
      <c r="DB112" s="321"/>
      <c r="DC112" s="321"/>
      <c r="DD112" s="368"/>
      <c r="DE112" s="321"/>
      <c r="DF112" s="321"/>
      <c r="DG112" s="320"/>
      <c r="DH112" s="368"/>
      <c r="DI112" s="321"/>
      <c r="DJ112" s="321"/>
      <c r="DK112" s="368"/>
      <c r="DL112" s="321"/>
      <c r="DM112" s="321"/>
      <c r="DN112" s="320"/>
      <c r="DO112" s="368"/>
      <c r="DP112" s="321"/>
      <c r="DQ112" s="321"/>
      <c r="DR112" s="368"/>
      <c r="DS112" s="321"/>
      <c r="DT112" s="323"/>
      <c r="DU112" s="92" t="s">
        <v>1595</v>
      </c>
    </row>
    <row r="113" spans="1:126" x14ac:dyDescent="0.3">
      <c r="B113" s="311" t="s">
        <v>1597</v>
      </c>
      <c r="D113" s="308" t="s">
        <v>9</v>
      </c>
      <c r="E113" s="308"/>
      <c r="F113" s="304" t="s">
        <v>9</v>
      </c>
      <c r="G113" s="308"/>
      <c r="H113" s="308"/>
      <c r="I113" s="308"/>
      <c r="J113" s="308"/>
      <c r="K113" s="308"/>
      <c r="L113" s="308"/>
      <c r="M113" s="308" t="s">
        <v>9</v>
      </c>
      <c r="N113" s="308"/>
      <c r="O113" s="308" t="s">
        <v>86</v>
      </c>
      <c r="P113" s="308" t="s">
        <v>48</v>
      </c>
      <c r="Q113" s="308"/>
      <c r="R113" s="308" t="s">
        <v>86</v>
      </c>
      <c r="S113" s="308" t="s">
        <v>48</v>
      </c>
      <c r="T113" s="308"/>
      <c r="U113" s="308" t="s">
        <v>9</v>
      </c>
      <c r="V113" s="308"/>
      <c r="W113" s="308"/>
      <c r="X113" s="308"/>
      <c r="Y113" s="308"/>
      <c r="AA113" s="308"/>
      <c r="AB113" s="308"/>
      <c r="AC113" s="308" t="s">
        <v>9</v>
      </c>
      <c r="AD113" s="308"/>
      <c r="AE113" s="308" t="s">
        <v>9</v>
      </c>
      <c r="AF113" s="308"/>
      <c r="AG113" s="308" t="s">
        <v>9</v>
      </c>
      <c r="AH113" s="308"/>
      <c r="AI113" s="308"/>
      <c r="AK113" s="236">
        <v>73</v>
      </c>
      <c r="AL113" t="s">
        <v>48</v>
      </c>
      <c r="AM113" s="237" t="s">
        <v>1596</v>
      </c>
      <c r="BM113" t="s">
        <v>9</v>
      </c>
      <c r="BW113" s="311">
        <v>320</v>
      </c>
      <c r="BX113" s="311">
        <v>46</v>
      </c>
      <c r="BY113" s="311">
        <v>60</v>
      </c>
      <c r="BZ113" s="312">
        <v>305</v>
      </c>
      <c r="CA113" s="312">
        <v>20</v>
      </c>
      <c r="CB113" s="312">
        <v>20</v>
      </c>
      <c r="CC113" s="312">
        <v>0</v>
      </c>
      <c r="CD113" s="312">
        <v>250</v>
      </c>
      <c r="CE113" s="312">
        <v>22</v>
      </c>
      <c r="CF113" s="312">
        <v>22</v>
      </c>
      <c r="CG113" s="312">
        <v>194</v>
      </c>
      <c r="CH113" s="312">
        <v>84</v>
      </c>
      <c r="CI113" s="312" t="s">
        <v>1744</v>
      </c>
      <c r="CJ113" s="312" t="s">
        <v>1744</v>
      </c>
      <c r="CK113" s="312" t="s">
        <v>1744</v>
      </c>
      <c r="CL113" s="314">
        <v>110</v>
      </c>
      <c r="CM113" s="367">
        <v>0</v>
      </c>
      <c r="CN113" s="314">
        <v>8</v>
      </c>
      <c r="CO113" s="314">
        <v>245</v>
      </c>
      <c r="CP113" s="367" t="s">
        <v>1247</v>
      </c>
      <c r="CQ113" s="314">
        <v>22</v>
      </c>
      <c r="CR113" s="312" t="s">
        <v>1744</v>
      </c>
      <c r="CS113" s="317">
        <v>110</v>
      </c>
      <c r="CT113" s="367" t="s">
        <v>1247</v>
      </c>
      <c r="CU113" s="314">
        <v>8</v>
      </c>
      <c r="CV113" s="313">
        <v>245</v>
      </c>
      <c r="CW113" s="368" t="s">
        <v>1247</v>
      </c>
      <c r="CX113" s="313">
        <v>22</v>
      </c>
      <c r="CY113" s="312" t="s">
        <v>1744</v>
      </c>
      <c r="CZ113" s="320"/>
      <c r="DA113" s="368"/>
      <c r="DB113" s="321"/>
      <c r="DC113" s="321"/>
      <c r="DD113" s="368"/>
      <c r="DE113" s="321"/>
      <c r="DF113" s="321"/>
      <c r="DG113" s="320"/>
      <c r="DH113" s="368"/>
      <c r="DI113" s="321"/>
      <c r="DJ113" s="321"/>
      <c r="DK113" s="368"/>
      <c r="DL113" s="321"/>
      <c r="DM113" s="321"/>
      <c r="DN113" s="320"/>
      <c r="DO113" s="368"/>
      <c r="DP113" s="321"/>
      <c r="DQ113" s="321"/>
      <c r="DR113" s="368"/>
      <c r="DS113" s="321"/>
      <c r="DT113" s="323"/>
      <c r="DU113" s="92" t="s">
        <v>1597</v>
      </c>
    </row>
    <row r="114" spans="1:126" x14ac:dyDescent="0.3">
      <c r="B114" s="311" t="s">
        <v>1598</v>
      </c>
      <c r="D114" s="308" t="s">
        <v>9</v>
      </c>
      <c r="E114" s="308"/>
      <c r="F114" s="304" t="s">
        <v>9</v>
      </c>
      <c r="G114" s="308"/>
      <c r="H114" s="308"/>
      <c r="I114" s="308"/>
      <c r="J114" s="308"/>
      <c r="K114" s="308" t="s">
        <v>9</v>
      </c>
      <c r="L114" s="308"/>
      <c r="M114" s="308"/>
      <c r="N114" s="308"/>
      <c r="O114" s="308" t="s">
        <v>86</v>
      </c>
      <c r="P114" s="308" t="s">
        <v>48</v>
      </c>
      <c r="Q114" s="308"/>
      <c r="R114" s="308" t="s">
        <v>86</v>
      </c>
      <c r="S114" s="308" t="s">
        <v>48</v>
      </c>
      <c r="T114" s="308"/>
      <c r="U114" s="308" t="s">
        <v>9</v>
      </c>
      <c r="V114" s="308"/>
      <c r="W114" s="308"/>
      <c r="X114" s="308"/>
      <c r="Y114" s="308" t="s">
        <v>9</v>
      </c>
      <c r="AA114" s="308"/>
      <c r="AB114" s="308"/>
      <c r="AC114" s="308"/>
      <c r="AD114" s="308"/>
      <c r="AE114" s="308" t="s">
        <v>9</v>
      </c>
      <c r="AF114" s="308"/>
      <c r="AG114" s="308" t="s">
        <v>9</v>
      </c>
      <c r="AH114" s="308"/>
      <c r="AI114" s="308"/>
      <c r="AK114" s="236">
        <v>73</v>
      </c>
      <c r="AL114" t="s">
        <v>48</v>
      </c>
      <c r="AM114" s="237" t="s">
        <v>1592</v>
      </c>
      <c r="BQ114" t="s">
        <v>9</v>
      </c>
      <c r="BW114" s="311">
        <v>320</v>
      </c>
      <c r="BX114" s="311">
        <v>46</v>
      </c>
      <c r="BY114" s="311">
        <v>60</v>
      </c>
      <c r="BZ114" s="312">
        <v>305</v>
      </c>
      <c r="CA114" s="312">
        <v>30</v>
      </c>
      <c r="CB114" s="312">
        <v>20</v>
      </c>
      <c r="CC114" s="312">
        <v>0</v>
      </c>
      <c r="CD114" s="312">
        <v>250</v>
      </c>
      <c r="CE114" s="312">
        <v>22</v>
      </c>
      <c r="CF114" s="312">
        <v>22</v>
      </c>
      <c r="CG114" s="312">
        <v>194</v>
      </c>
      <c r="CH114" s="312">
        <v>84</v>
      </c>
      <c r="CI114" s="312" t="s">
        <v>1744</v>
      </c>
      <c r="CJ114" s="312" t="s">
        <v>1744</v>
      </c>
      <c r="CK114" s="312" t="s">
        <v>1744</v>
      </c>
      <c r="CL114" s="314">
        <v>110</v>
      </c>
      <c r="CM114" s="367">
        <v>0</v>
      </c>
      <c r="CN114" s="314">
        <v>8</v>
      </c>
      <c r="CO114" s="314">
        <v>245</v>
      </c>
      <c r="CP114" s="367" t="s">
        <v>1247</v>
      </c>
      <c r="CQ114" s="314">
        <v>22</v>
      </c>
      <c r="CR114" s="312" t="s">
        <v>1744</v>
      </c>
      <c r="CS114" s="317">
        <v>110</v>
      </c>
      <c r="CT114" s="367" t="s">
        <v>1247</v>
      </c>
      <c r="CU114" s="314">
        <v>8</v>
      </c>
      <c r="CV114" s="313">
        <v>245</v>
      </c>
      <c r="CW114" s="368" t="s">
        <v>1247</v>
      </c>
      <c r="CX114" s="313">
        <v>22</v>
      </c>
      <c r="CY114" s="312" t="s">
        <v>1744</v>
      </c>
      <c r="CZ114" s="320"/>
      <c r="DA114" s="368"/>
      <c r="DB114" s="321"/>
      <c r="DC114" s="321"/>
      <c r="DD114" s="368"/>
      <c r="DE114" s="321"/>
      <c r="DF114" s="321"/>
      <c r="DG114" s="320"/>
      <c r="DH114" s="368"/>
      <c r="DI114" s="321"/>
      <c r="DJ114" s="321"/>
      <c r="DK114" s="368"/>
      <c r="DL114" s="321"/>
      <c r="DM114" s="321"/>
      <c r="DN114" s="320"/>
      <c r="DO114" s="368"/>
      <c r="DP114" s="321"/>
      <c r="DQ114" s="321"/>
      <c r="DR114" s="368"/>
      <c r="DS114" s="321"/>
      <c r="DT114" s="323"/>
      <c r="DU114" s="92" t="s">
        <v>1598</v>
      </c>
    </row>
    <row r="115" spans="1:126" x14ac:dyDescent="0.3">
      <c r="B115" s="311" t="s">
        <v>1599</v>
      </c>
      <c r="D115" s="308" t="s">
        <v>9</v>
      </c>
      <c r="E115" s="308"/>
      <c r="F115" s="304" t="s">
        <v>9</v>
      </c>
      <c r="G115" s="308"/>
      <c r="H115" s="308"/>
      <c r="I115" s="308"/>
      <c r="J115" s="308"/>
      <c r="K115" s="308"/>
      <c r="L115" s="308" t="s">
        <v>9</v>
      </c>
      <c r="M115" s="308"/>
      <c r="N115" s="308"/>
      <c r="O115" s="308" t="s">
        <v>86</v>
      </c>
      <c r="P115" s="308" t="s">
        <v>48</v>
      </c>
      <c r="Q115" s="308"/>
      <c r="R115" s="308" t="s">
        <v>86</v>
      </c>
      <c r="S115" s="308" t="s">
        <v>48</v>
      </c>
      <c r="T115" s="308"/>
      <c r="U115" s="308" t="s">
        <v>9</v>
      </c>
      <c r="V115" s="308"/>
      <c r="W115" s="308"/>
      <c r="X115" s="308"/>
      <c r="Y115" s="308" t="s">
        <v>9</v>
      </c>
      <c r="AA115" s="308"/>
      <c r="AB115" s="308"/>
      <c r="AC115" s="308"/>
      <c r="AD115" s="308"/>
      <c r="AE115" s="308" t="s">
        <v>9</v>
      </c>
      <c r="AF115" s="308"/>
      <c r="AG115" s="308" t="s">
        <v>9</v>
      </c>
      <c r="AH115" s="308"/>
      <c r="AI115" s="308"/>
      <c r="AK115" s="236">
        <v>73</v>
      </c>
      <c r="AL115" t="s">
        <v>48</v>
      </c>
      <c r="AM115" s="237" t="s">
        <v>1594</v>
      </c>
      <c r="BQ115" t="s">
        <v>9</v>
      </c>
      <c r="BW115" s="311">
        <v>320</v>
      </c>
      <c r="BX115" s="311">
        <v>46</v>
      </c>
      <c r="BY115" s="311">
        <v>60</v>
      </c>
      <c r="BZ115" s="312">
        <v>305</v>
      </c>
      <c r="CA115" s="312">
        <v>30</v>
      </c>
      <c r="CB115" s="312">
        <v>20</v>
      </c>
      <c r="CC115" s="312">
        <v>0</v>
      </c>
      <c r="CD115" s="312">
        <v>250</v>
      </c>
      <c r="CE115" s="312">
        <v>22</v>
      </c>
      <c r="CF115" s="312">
        <v>22</v>
      </c>
      <c r="CG115" s="312">
        <v>194</v>
      </c>
      <c r="CH115" s="312">
        <v>84</v>
      </c>
      <c r="CI115" s="312" t="s">
        <v>1744</v>
      </c>
      <c r="CJ115" s="312" t="s">
        <v>1744</v>
      </c>
      <c r="CK115" s="312" t="s">
        <v>1744</v>
      </c>
      <c r="CL115" s="314">
        <v>110</v>
      </c>
      <c r="CM115" s="367">
        <v>0</v>
      </c>
      <c r="CN115" s="314">
        <v>8</v>
      </c>
      <c r="CO115" s="314">
        <v>245</v>
      </c>
      <c r="CP115" s="367" t="s">
        <v>1247</v>
      </c>
      <c r="CQ115" s="314">
        <v>22</v>
      </c>
      <c r="CR115" s="312" t="s">
        <v>1744</v>
      </c>
      <c r="CS115" s="317">
        <v>110</v>
      </c>
      <c r="CT115" s="367" t="s">
        <v>1247</v>
      </c>
      <c r="CU115" s="314">
        <v>8</v>
      </c>
      <c r="CV115" s="313">
        <v>245</v>
      </c>
      <c r="CW115" s="368" t="s">
        <v>1247</v>
      </c>
      <c r="CX115" s="313">
        <v>22</v>
      </c>
      <c r="CY115" s="312" t="s">
        <v>1744</v>
      </c>
      <c r="CZ115" s="320"/>
      <c r="DA115" s="368"/>
      <c r="DB115" s="321"/>
      <c r="DC115" s="321"/>
      <c r="DD115" s="368"/>
      <c r="DE115" s="321"/>
      <c r="DF115" s="321"/>
      <c r="DG115" s="320"/>
      <c r="DH115" s="368"/>
      <c r="DI115" s="321"/>
      <c r="DJ115" s="321"/>
      <c r="DK115" s="368"/>
      <c r="DL115" s="321"/>
      <c r="DM115" s="321"/>
      <c r="DN115" s="320"/>
      <c r="DO115" s="368"/>
      <c r="DP115" s="321"/>
      <c r="DQ115" s="321"/>
      <c r="DR115" s="368"/>
      <c r="DS115" s="321"/>
      <c r="DT115" s="323"/>
      <c r="DU115" s="92" t="s">
        <v>1599</v>
      </c>
    </row>
    <row r="116" spans="1:126" x14ac:dyDescent="0.3">
      <c r="B116" s="311" t="s">
        <v>1600</v>
      </c>
      <c r="D116" s="308" t="s">
        <v>9</v>
      </c>
      <c r="E116" s="308"/>
      <c r="F116" s="304" t="s">
        <v>9</v>
      </c>
      <c r="G116" s="308"/>
      <c r="H116" s="308"/>
      <c r="I116" s="308"/>
      <c r="J116" s="308"/>
      <c r="K116" s="308"/>
      <c r="L116" s="308"/>
      <c r="M116" s="308" t="s">
        <v>9</v>
      </c>
      <c r="N116" s="308"/>
      <c r="O116" s="308" t="s">
        <v>86</v>
      </c>
      <c r="P116" s="308" t="s">
        <v>48</v>
      </c>
      <c r="Q116" s="308"/>
      <c r="R116" s="308" t="s">
        <v>86</v>
      </c>
      <c r="S116" s="308" t="s">
        <v>48</v>
      </c>
      <c r="T116" s="308"/>
      <c r="U116" s="308" t="s">
        <v>9</v>
      </c>
      <c r="V116" s="308"/>
      <c r="W116" s="308"/>
      <c r="X116" s="308"/>
      <c r="Y116" s="308" t="s">
        <v>9</v>
      </c>
      <c r="AA116" s="308"/>
      <c r="AB116" s="308"/>
      <c r="AC116" s="308"/>
      <c r="AD116" s="308"/>
      <c r="AE116" s="308" t="s">
        <v>9</v>
      </c>
      <c r="AF116" s="308"/>
      <c r="AG116" s="308" t="s">
        <v>9</v>
      </c>
      <c r="AH116" s="308"/>
      <c r="AI116" s="308"/>
      <c r="AK116" s="236">
        <v>73</v>
      </c>
      <c r="AL116" t="s">
        <v>48</v>
      </c>
      <c r="AM116" s="237" t="s">
        <v>1596</v>
      </c>
      <c r="BQ116" t="s">
        <v>9</v>
      </c>
      <c r="BW116" s="311">
        <v>320</v>
      </c>
      <c r="BX116" s="311">
        <v>46</v>
      </c>
      <c r="BY116" s="311">
        <v>60</v>
      </c>
      <c r="BZ116" s="312">
        <v>305</v>
      </c>
      <c r="CA116" s="312">
        <v>30</v>
      </c>
      <c r="CB116" s="312">
        <v>20</v>
      </c>
      <c r="CC116" s="312">
        <v>0</v>
      </c>
      <c r="CD116" s="312">
        <v>250</v>
      </c>
      <c r="CE116" s="312">
        <v>22</v>
      </c>
      <c r="CF116" s="312">
        <v>22</v>
      </c>
      <c r="CG116" s="312">
        <v>194</v>
      </c>
      <c r="CH116" s="312">
        <v>84</v>
      </c>
      <c r="CI116" s="312" t="s">
        <v>1744</v>
      </c>
      <c r="CJ116" s="312" t="s">
        <v>1744</v>
      </c>
      <c r="CK116" s="312" t="s">
        <v>1744</v>
      </c>
      <c r="CL116" s="314">
        <v>110</v>
      </c>
      <c r="CM116" s="367">
        <v>0</v>
      </c>
      <c r="CN116" s="314">
        <v>8</v>
      </c>
      <c r="CO116" s="314">
        <v>245</v>
      </c>
      <c r="CP116" s="367" t="s">
        <v>1247</v>
      </c>
      <c r="CQ116" s="314">
        <v>22</v>
      </c>
      <c r="CR116" s="312" t="s">
        <v>1744</v>
      </c>
      <c r="CS116" s="317">
        <v>110</v>
      </c>
      <c r="CT116" s="367" t="s">
        <v>1247</v>
      </c>
      <c r="CU116" s="314">
        <v>8</v>
      </c>
      <c r="CV116" s="313">
        <v>245</v>
      </c>
      <c r="CW116" s="368" t="s">
        <v>1247</v>
      </c>
      <c r="CX116" s="313">
        <v>22</v>
      </c>
      <c r="CY116" s="312" t="s">
        <v>1744</v>
      </c>
      <c r="CZ116" s="320"/>
      <c r="DA116" s="368"/>
      <c r="DB116" s="321"/>
      <c r="DC116" s="321"/>
      <c r="DD116" s="368"/>
      <c r="DE116" s="321"/>
      <c r="DF116" s="321"/>
      <c r="DG116" s="320"/>
      <c r="DH116" s="368"/>
      <c r="DI116" s="321"/>
      <c r="DJ116" s="321"/>
      <c r="DK116" s="368"/>
      <c r="DL116" s="321"/>
      <c r="DM116" s="321"/>
      <c r="DN116" s="320"/>
      <c r="DO116" s="368"/>
      <c r="DP116" s="321"/>
      <c r="DQ116" s="321"/>
      <c r="DR116" s="368"/>
      <c r="DS116" s="321"/>
      <c r="DT116" s="323"/>
      <c r="DU116" s="92" t="s">
        <v>1600</v>
      </c>
    </row>
    <row r="117" spans="1:126" x14ac:dyDescent="0.3">
      <c r="B117" s="318" t="s">
        <v>1580</v>
      </c>
      <c r="C117" s="202"/>
      <c r="D117" s="309" t="s">
        <v>9</v>
      </c>
      <c r="E117" s="309"/>
      <c r="F117" s="337" t="s">
        <v>9</v>
      </c>
      <c r="G117" s="309"/>
      <c r="H117" s="309"/>
      <c r="I117" s="309" t="s">
        <v>9</v>
      </c>
      <c r="J117" s="309" t="s">
        <v>9</v>
      </c>
      <c r="K117" s="309" t="s">
        <v>9</v>
      </c>
      <c r="L117" s="309" t="s">
        <v>9</v>
      </c>
      <c r="M117" s="309" t="s">
        <v>9</v>
      </c>
      <c r="N117" s="309"/>
      <c r="O117" s="309" t="s">
        <v>86</v>
      </c>
      <c r="P117" s="309" t="s">
        <v>48</v>
      </c>
      <c r="Q117" s="309"/>
      <c r="R117" s="309" t="s">
        <v>86</v>
      </c>
      <c r="S117" s="309" t="s">
        <v>48</v>
      </c>
      <c r="T117" s="309"/>
      <c r="U117" s="309" t="s">
        <v>9</v>
      </c>
      <c r="V117" s="309"/>
      <c r="W117" s="309"/>
      <c r="X117" s="309"/>
      <c r="Y117" s="309"/>
      <c r="Z117" s="309"/>
      <c r="AA117" s="309" t="s">
        <v>9</v>
      </c>
      <c r="AB117" s="309"/>
      <c r="AC117" s="309"/>
      <c r="AD117" s="309"/>
      <c r="AE117" s="309"/>
      <c r="AF117" s="309"/>
      <c r="AG117" s="309" t="s">
        <v>9</v>
      </c>
      <c r="AH117" s="309"/>
      <c r="AI117" s="309"/>
      <c r="AJ117" s="309"/>
      <c r="AK117" s="282">
        <v>83</v>
      </c>
      <c r="AL117" s="202" t="s">
        <v>48</v>
      </c>
      <c r="AM117" s="338" t="s">
        <v>1579</v>
      </c>
      <c r="BM117" t="s">
        <v>9</v>
      </c>
      <c r="BW117" s="311">
        <v>245</v>
      </c>
      <c r="BX117" s="311">
        <v>46</v>
      </c>
      <c r="BY117" s="311">
        <v>60</v>
      </c>
      <c r="BZ117" s="312">
        <v>305</v>
      </c>
      <c r="CA117" s="312">
        <v>20</v>
      </c>
      <c r="CB117" s="312">
        <v>20</v>
      </c>
      <c r="CC117" s="312">
        <v>0</v>
      </c>
      <c r="CD117" s="312">
        <v>250</v>
      </c>
      <c r="CE117" s="312">
        <v>25</v>
      </c>
      <c r="CF117" s="312">
        <v>25</v>
      </c>
      <c r="CG117" s="312">
        <v>194</v>
      </c>
      <c r="CH117" s="312">
        <v>87</v>
      </c>
      <c r="CI117" s="312" t="s">
        <v>1744</v>
      </c>
      <c r="CJ117" s="312" t="s">
        <v>1744</v>
      </c>
      <c r="CK117" s="312" t="s">
        <v>1744</v>
      </c>
      <c r="CL117" s="314">
        <v>107</v>
      </c>
      <c r="CM117" s="367">
        <v>0</v>
      </c>
      <c r="CN117" s="314">
        <v>8</v>
      </c>
      <c r="CO117" s="314">
        <v>245</v>
      </c>
      <c r="CP117" s="367" t="s">
        <v>1247</v>
      </c>
      <c r="CQ117" s="314">
        <v>22</v>
      </c>
      <c r="CR117" s="312" t="s">
        <v>1744</v>
      </c>
      <c r="CS117" s="317">
        <v>107</v>
      </c>
      <c r="CT117" s="367" t="s">
        <v>1247</v>
      </c>
      <c r="CU117" s="314">
        <v>8</v>
      </c>
      <c r="CV117" s="313">
        <v>245</v>
      </c>
      <c r="CW117" s="368" t="s">
        <v>1247</v>
      </c>
      <c r="CX117" s="313">
        <v>22</v>
      </c>
      <c r="CY117" s="312" t="s">
        <v>1744</v>
      </c>
      <c r="CZ117" s="320"/>
      <c r="DA117" s="368"/>
      <c r="DB117" s="321"/>
      <c r="DC117" s="321"/>
      <c r="DD117" s="368"/>
      <c r="DE117" s="321"/>
      <c r="DF117" s="321"/>
      <c r="DG117" s="320"/>
      <c r="DH117" s="368"/>
      <c r="DI117" s="321"/>
      <c r="DJ117" s="321"/>
      <c r="DK117" s="368"/>
      <c r="DL117" s="321"/>
      <c r="DM117" s="321"/>
      <c r="DN117" s="320"/>
      <c r="DO117" s="368"/>
      <c r="DP117" s="321"/>
      <c r="DQ117" s="321"/>
      <c r="DR117" s="368"/>
      <c r="DS117" s="321"/>
      <c r="DT117" s="323"/>
      <c r="DU117" s="319" t="s">
        <v>1580</v>
      </c>
    </row>
    <row r="118" spans="1:126" x14ac:dyDescent="0.3">
      <c r="B118" s="311" t="s">
        <v>1581</v>
      </c>
      <c r="D118" s="308"/>
      <c r="E118" s="308" t="s">
        <v>9</v>
      </c>
      <c r="F118" s="304" t="s">
        <v>9</v>
      </c>
      <c r="G118" s="308"/>
      <c r="H118" s="308"/>
      <c r="I118" s="308" t="s">
        <v>9</v>
      </c>
      <c r="J118" s="308" t="s">
        <v>9</v>
      </c>
      <c r="K118" s="308" t="s">
        <v>9</v>
      </c>
      <c r="L118" s="308" t="s">
        <v>9</v>
      </c>
      <c r="M118" s="308" t="s">
        <v>9</v>
      </c>
      <c r="N118" s="308"/>
      <c r="O118" s="308" t="s">
        <v>9</v>
      </c>
      <c r="P118" s="308"/>
      <c r="Q118" s="308"/>
      <c r="R118" s="308" t="s">
        <v>9</v>
      </c>
      <c r="S118" s="308"/>
      <c r="T118" s="308"/>
      <c r="U118" s="308" t="s">
        <v>9</v>
      </c>
      <c r="V118" s="308"/>
      <c r="W118" s="308" t="s">
        <v>9</v>
      </c>
      <c r="X118" s="308"/>
      <c r="Y118" s="308"/>
      <c r="AA118" s="308" t="s">
        <v>9</v>
      </c>
      <c r="AB118" s="308"/>
      <c r="AC118" s="308"/>
      <c r="AD118" s="308"/>
      <c r="AE118" s="308"/>
      <c r="AF118" s="308"/>
      <c r="AG118" s="308" t="s">
        <v>9</v>
      </c>
      <c r="AH118" s="308"/>
      <c r="AI118" s="308"/>
      <c r="AK118" s="236">
        <v>83</v>
      </c>
      <c r="AL118" t="s">
        <v>48</v>
      </c>
      <c r="AM118" s="237" t="s">
        <v>1579</v>
      </c>
      <c r="BM118" t="s">
        <v>9</v>
      </c>
      <c r="BS118" t="s">
        <v>9</v>
      </c>
      <c r="BW118" s="311">
        <v>245</v>
      </c>
      <c r="BX118" s="311">
        <v>46</v>
      </c>
      <c r="BY118" s="311">
        <v>60</v>
      </c>
      <c r="BZ118" s="312">
        <v>305</v>
      </c>
      <c r="CA118" s="312">
        <v>20</v>
      </c>
      <c r="CB118" s="312">
        <v>20</v>
      </c>
      <c r="CC118" s="312">
        <v>0</v>
      </c>
      <c r="CD118" s="312">
        <v>250</v>
      </c>
      <c r="CE118" s="312">
        <v>25</v>
      </c>
      <c r="CF118" s="312">
        <v>25</v>
      </c>
      <c r="CG118" s="312">
        <v>194</v>
      </c>
      <c r="CH118" s="312">
        <v>87</v>
      </c>
      <c r="CI118" s="312" t="s">
        <v>1744</v>
      </c>
      <c r="CJ118" s="312" t="s">
        <v>1744</v>
      </c>
      <c r="CK118" s="312" t="s">
        <v>1744</v>
      </c>
      <c r="CL118" s="314">
        <v>107</v>
      </c>
      <c r="CM118" s="367">
        <v>0</v>
      </c>
      <c r="CN118" s="314">
        <v>8</v>
      </c>
      <c r="CO118" s="314">
        <v>245</v>
      </c>
      <c r="CP118" s="367" t="s">
        <v>1247</v>
      </c>
      <c r="CQ118" s="314">
        <v>22</v>
      </c>
      <c r="CR118" s="312" t="s">
        <v>1744</v>
      </c>
      <c r="CS118" s="320"/>
      <c r="CT118" s="368"/>
      <c r="CU118" s="321"/>
      <c r="CV118" s="321"/>
      <c r="CW118" s="368"/>
      <c r="CX118" s="321"/>
      <c r="CY118" s="321"/>
      <c r="CZ118" s="320"/>
      <c r="DA118" s="368"/>
      <c r="DB118" s="321"/>
      <c r="DC118" s="321"/>
      <c r="DD118" s="368"/>
      <c r="DE118" s="321"/>
      <c r="DF118" s="321"/>
      <c r="DG118" s="320"/>
      <c r="DH118" s="368"/>
      <c r="DI118" s="321"/>
      <c r="DJ118" s="321"/>
      <c r="DK118" s="368"/>
      <c r="DL118" s="321"/>
      <c r="DM118" s="321"/>
      <c r="DN118" s="320"/>
      <c r="DO118" s="368"/>
      <c r="DP118" s="321"/>
      <c r="DQ118" s="321"/>
      <c r="DR118" s="368"/>
      <c r="DS118" s="321"/>
      <c r="DT118" s="323"/>
      <c r="DU118" s="92" t="s">
        <v>1581</v>
      </c>
    </row>
    <row r="119" spans="1:126" x14ac:dyDescent="0.3">
      <c r="B119" s="311" t="s">
        <v>1582</v>
      </c>
      <c r="D119" s="308" t="s">
        <v>9</v>
      </c>
      <c r="E119" s="308"/>
      <c r="F119" s="304" t="s">
        <v>9</v>
      </c>
      <c r="G119" s="308"/>
      <c r="H119" s="308"/>
      <c r="I119" s="308" t="s">
        <v>9</v>
      </c>
      <c r="J119" s="308" t="s">
        <v>9</v>
      </c>
      <c r="K119" s="308" t="s">
        <v>9</v>
      </c>
      <c r="L119" s="308" t="s">
        <v>9</v>
      </c>
      <c r="M119" s="308" t="s">
        <v>9</v>
      </c>
      <c r="N119" s="308"/>
      <c r="O119" s="308" t="s">
        <v>86</v>
      </c>
      <c r="P119" s="308" t="s">
        <v>48</v>
      </c>
      <c r="Q119" s="308"/>
      <c r="R119" s="308" t="s">
        <v>86</v>
      </c>
      <c r="S119" s="308" t="s">
        <v>48</v>
      </c>
      <c r="T119" s="308"/>
      <c r="U119" s="308"/>
      <c r="V119" s="308"/>
      <c r="W119" s="308"/>
      <c r="X119" s="308"/>
      <c r="Y119" s="308"/>
      <c r="AA119" s="308" t="s">
        <v>9</v>
      </c>
      <c r="AB119" s="308" t="s">
        <v>9</v>
      </c>
      <c r="AC119" s="308"/>
      <c r="AD119" s="308"/>
      <c r="AE119" s="308"/>
      <c r="AF119" s="308"/>
      <c r="AG119" s="308" t="s">
        <v>9</v>
      </c>
      <c r="AH119" s="308"/>
      <c r="AI119" s="308"/>
      <c r="AK119" s="236">
        <v>83</v>
      </c>
      <c r="AL119" t="s">
        <v>48</v>
      </c>
      <c r="AM119" s="237" t="s">
        <v>1579</v>
      </c>
      <c r="BP119" t="s">
        <v>9</v>
      </c>
      <c r="BW119" s="311">
        <v>245</v>
      </c>
      <c r="BX119" s="311">
        <v>46</v>
      </c>
      <c r="BY119" s="311">
        <v>60</v>
      </c>
      <c r="BZ119" s="312">
        <v>305</v>
      </c>
      <c r="CA119" s="312">
        <v>30</v>
      </c>
      <c r="CB119" s="312">
        <v>20</v>
      </c>
      <c r="CC119" s="312">
        <v>0</v>
      </c>
      <c r="CD119" s="312">
        <v>250</v>
      </c>
      <c r="CE119" s="312">
        <v>25</v>
      </c>
      <c r="CF119" s="312">
        <v>25</v>
      </c>
      <c r="CG119" s="312">
        <v>194</v>
      </c>
      <c r="CH119" s="312">
        <v>87</v>
      </c>
      <c r="CI119" s="312" t="s">
        <v>1744</v>
      </c>
      <c r="CJ119" s="312" t="s">
        <v>1744</v>
      </c>
      <c r="CK119" s="312" t="s">
        <v>1744</v>
      </c>
      <c r="CL119" s="314">
        <v>107</v>
      </c>
      <c r="CM119" s="367">
        <v>0</v>
      </c>
      <c r="CN119" s="314">
        <v>8</v>
      </c>
      <c r="CO119" s="314">
        <v>245</v>
      </c>
      <c r="CP119" s="367" t="s">
        <v>1247</v>
      </c>
      <c r="CQ119" s="314">
        <v>22</v>
      </c>
      <c r="CR119" s="312" t="s">
        <v>1744</v>
      </c>
      <c r="CS119" s="317">
        <v>107</v>
      </c>
      <c r="CT119" s="367" t="s">
        <v>1247</v>
      </c>
      <c r="CU119" s="314">
        <v>8</v>
      </c>
      <c r="CV119" s="313">
        <v>245</v>
      </c>
      <c r="CW119" s="368" t="s">
        <v>1247</v>
      </c>
      <c r="CX119" s="313">
        <v>22</v>
      </c>
      <c r="CY119" s="312" t="s">
        <v>1744</v>
      </c>
      <c r="CZ119" s="320"/>
      <c r="DA119" s="368"/>
      <c r="DB119" s="321"/>
      <c r="DC119" s="321"/>
      <c r="DD119" s="368"/>
      <c r="DE119" s="321"/>
      <c r="DF119" s="321"/>
      <c r="DG119" s="320"/>
      <c r="DH119" s="368"/>
      <c r="DI119" s="321"/>
      <c r="DJ119" s="321"/>
      <c r="DK119" s="368"/>
      <c r="DL119" s="321"/>
      <c r="DM119" s="321"/>
      <c r="DN119" s="320"/>
      <c r="DO119" s="368"/>
      <c r="DP119" s="321"/>
      <c r="DQ119" s="321"/>
      <c r="DR119" s="368"/>
      <c r="DS119" s="321"/>
      <c r="DT119" s="323"/>
      <c r="DU119" s="92" t="s">
        <v>1582</v>
      </c>
    </row>
    <row r="120" spans="1:126" x14ac:dyDescent="0.3">
      <c r="B120" s="311" t="s">
        <v>1583</v>
      </c>
      <c r="D120" s="308" t="s">
        <v>9</v>
      </c>
      <c r="E120" s="308"/>
      <c r="F120" s="304" t="s">
        <v>9</v>
      </c>
      <c r="G120" s="308"/>
      <c r="H120" s="308"/>
      <c r="I120" s="308" t="s">
        <v>9</v>
      </c>
      <c r="J120" s="308" t="s">
        <v>9</v>
      </c>
      <c r="K120" s="308" t="s">
        <v>9</v>
      </c>
      <c r="L120" s="308" t="s">
        <v>9</v>
      </c>
      <c r="M120" s="308" t="s">
        <v>9</v>
      </c>
      <c r="N120" s="308"/>
      <c r="O120" s="308" t="s">
        <v>86</v>
      </c>
      <c r="P120" s="308" t="s">
        <v>48</v>
      </c>
      <c r="Q120" s="308"/>
      <c r="R120" s="308" t="s">
        <v>86</v>
      </c>
      <c r="S120" s="308" t="s">
        <v>48</v>
      </c>
      <c r="T120" s="308"/>
      <c r="U120" s="308" t="s">
        <v>9</v>
      </c>
      <c r="V120" s="308"/>
      <c r="W120" s="308"/>
      <c r="X120" s="308" t="s">
        <v>9</v>
      </c>
      <c r="Y120" s="308"/>
      <c r="AA120" s="308" t="s">
        <v>9</v>
      </c>
      <c r="AB120" s="308"/>
      <c r="AC120" s="308"/>
      <c r="AD120" s="308"/>
      <c r="AE120" s="308"/>
      <c r="AF120" s="308"/>
      <c r="AG120" s="308" t="s">
        <v>9</v>
      </c>
      <c r="AH120" s="308"/>
      <c r="AI120" s="308"/>
      <c r="AK120" s="236">
        <v>83</v>
      </c>
      <c r="AL120" t="s">
        <v>48</v>
      </c>
      <c r="AM120" s="237" t="s">
        <v>1579</v>
      </c>
      <c r="BR120" t="s">
        <v>9</v>
      </c>
      <c r="BW120" s="311">
        <v>245</v>
      </c>
      <c r="BX120" s="311">
        <v>46</v>
      </c>
      <c r="BY120" s="311">
        <v>60</v>
      </c>
      <c r="BZ120" s="312">
        <v>305</v>
      </c>
      <c r="CA120" s="312">
        <v>20</v>
      </c>
      <c r="CB120" s="312">
        <v>20</v>
      </c>
      <c r="CC120" s="312">
        <v>0</v>
      </c>
      <c r="CD120" s="312">
        <v>250</v>
      </c>
      <c r="CE120" s="312">
        <v>25</v>
      </c>
      <c r="CF120" s="312">
        <v>25</v>
      </c>
      <c r="CG120" s="312">
        <v>194</v>
      </c>
      <c r="CH120" s="312">
        <v>87</v>
      </c>
      <c r="CI120" s="312" t="s">
        <v>1744</v>
      </c>
      <c r="CJ120" s="312" t="s">
        <v>1744</v>
      </c>
      <c r="CK120" s="312" t="s">
        <v>1744</v>
      </c>
      <c r="CL120" s="314">
        <v>107</v>
      </c>
      <c r="CM120" s="367">
        <v>0</v>
      </c>
      <c r="CN120" s="314">
        <v>8</v>
      </c>
      <c r="CO120" s="314">
        <v>245</v>
      </c>
      <c r="CP120" s="367" t="s">
        <v>1247</v>
      </c>
      <c r="CQ120" s="314">
        <v>22</v>
      </c>
      <c r="CR120" s="312" t="s">
        <v>1744</v>
      </c>
      <c r="CS120" s="317">
        <v>107</v>
      </c>
      <c r="CT120" s="367" t="s">
        <v>1247</v>
      </c>
      <c r="CU120" s="314">
        <v>8</v>
      </c>
      <c r="CV120" s="313">
        <v>245</v>
      </c>
      <c r="CW120" s="368" t="s">
        <v>1247</v>
      </c>
      <c r="CX120" s="313">
        <v>22</v>
      </c>
      <c r="CY120" s="312" t="s">
        <v>1744</v>
      </c>
      <c r="CZ120" s="320"/>
      <c r="DA120" s="368"/>
      <c r="DB120" s="321"/>
      <c r="DC120" s="321"/>
      <c r="DD120" s="368"/>
      <c r="DE120" s="321"/>
      <c r="DF120" s="321"/>
      <c r="DG120" s="320"/>
      <c r="DH120" s="368"/>
      <c r="DI120" s="321"/>
      <c r="DJ120" s="321"/>
      <c r="DK120" s="368"/>
      <c r="DL120" s="321"/>
      <c r="DM120" s="321"/>
      <c r="DN120" s="320"/>
      <c r="DO120" s="368"/>
      <c r="DP120" s="321"/>
      <c r="DQ120" s="321"/>
      <c r="DR120" s="368"/>
      <c r="DS120" s="321"/>
      <c r="DT120" s="323"/>
      <c r="DU120" s="92" t="s">
        <v>1583</v>
      </c>
    </row>
    <row r="121" spans="1:126" x14ac:dyDescent="0.3">
      <c r="B121" s="311" t="s">
        <v>1584</v>
      </c>
      <c r="D121" s="308" t="s">
        <v>9</v>
      </c>
      <c r="E121" s="308"/>
      <c r="F121" s="304" t="s">
        <v>9</v>
      </c>
      <c r="G121" s="308"/>
      <c r="H121" s="308"/>
      <c r="I121" s="308"/>
      <c r="J121" s="308"/>
      <c r="K121" s="308"/>
      <c r="L121" s="308" t="s">
        <v>9</v>
      </c>
      <c r="M121" s="308" t="s">
        <v>9</v>
      </c>
      <c r="N121" s="308" t="s">
        <v>9</v>
      </c>
      <c r="O121" s="308" t="s">
        <v>86</v>
      </c>
      <c r="P121" s="308" t="s">
        <v>48</v>
      </c>
      <c r="Q121" s="308"/>
      <c r="R121" s="308" t="s">
        <v>86</v>
      </c>
      <c r="S121" s="308" t="s">
        <v>48</v>
      </c>
      <c r="T121" s="308"/>
      <c r="U121" s="308" t="s">
        <v>9</v>
      </c>
      <c r="V121" s="308"/>
      <c r="W121" s="308"/>
      <c r="X121" s="308"/>
      <c r="Y121" s="308"/>
      <c r="AA121" s="308" t="s">
        <v>9</v>
      </c>
      <c r="AB121" s="308"/>
      <c r="AC121" s="308"/>
      <c r="AD121" s="308"/>
      <c r="AE121" s="308"/>
      <c r="AF121" s="308"/>
      <c r="AG121" s="308" t="s">
        <v>9</v>
      </c>
      <c r="AH121" s="308"/>
      <c r="AI121" s="308"/>
      <c r="AK121" s="236">
        <v>83</v>
      </c>
      <c r="AL121" t="s">
        <v>48</v>
      </c>
      <c r="AM121" s="237" t="s">
        <v>1544</v>
      </c>
      <c r="BM121" t="s">
        <v>9</v>
      </c>
      <c r="BW121" s="311">
        <v>293</v>
      </c>
      <c r="BX121" s="311">
        <v>48</v>
      </c>
      <c r="BY121" s="311">
        <v>60</v>
      </c>
      <c r="BZ121" s="312">
        <v>305</v>
      </c>
      <c r="CA121" s="312">
        <v>20</v>
      </c>
      <c r="CB121" s="312">
        <v>20</v>
      </c>
      <c r="CC121" s="312">
        <v>0</v>
      </c>
      <c r="CD121" s="312">
        <v>250</v>
      </c>
      <c r="CE121" s="312">
        <v>25</v>
      </c>
      <c r="CF121" s="312">
        <v>25</v>
      </c>
      <c r="CG121" s="312">
        <v>194</v>
      </c>
      <c r="CH121" s="312">
        <v>92</v>
      </c>
      <c r="CI121" s="312" t="s">
        <v>1744</v>
      </c>
      <c r="CJ121" s="312" t="s">
        <v>1744</v>
      </c>
      <c r="CK121" s="312" t="s">
        <v>1744</v>
      </c>
      <c r="CL121" s="314">
        <v>102</v>
      </c>
      <c r="CM121" s="367">
        <v>0</v>
      </c>
      <c r="CN121" s="314">
        <v>8</v>
      </c>
      <c r="CO121" s="314">
        <v>245</v>
      </c>
      <c r="CP121" s="367" t="s">
        <v>1247</v>
      </c>
      <c r="CQ121" s="314">
        <v>22</v>
      </c>
      <c r="CR121" s="312" t="s">
        <v>1744</v>
      </c>
      <c r="CS121" s="317">
        <v>102</v>
      </c>
      <c r="CT121" s="367" t="s">
        <v>1247</v>
      </c>
      <c r="CU121" s="314">
        <v>8</v>
      </c>
      <c r="CV121" s="313">
        <v>245</v>
      </c>
      <c r="CW121" s="368" t="s">
        <v>1247</v>
      </c>
      <c r="CX121" s="313">
        <v>22</v>
      </c>
      <c r="CY121" s="312" t="s">
        <v>1744</v>
      </c>
      <c r="CZ121" s="320"/>
      <c r="DA121" s="368"/>
      <c r="DB121" s="321"/>
      <c r="DC121" s="321"/>
      <c r="DD121" s="368"/>
      <c r="DE121" s="321"/>
      <c r="DF121" s="321"/>
      <c r="DG121" s="320"/>
      <c r="DH121" s="368"/>
      <c r="DI121" s="321"/>
      <c r="DJ121" s="321"/>
      <c r="DK121" s="368"/>
      <c r="DL121" s="321"/>
      <c r="DM121" s="321"/>
      <c r="DN121" s="320"/>
      <c r="DO121" s="368"/>
      <c r="DP121" s="321"/>
      <c r="DQ121" s="321"/>
      <c r="DR121" s="368"/>
      <c r="DS121" s="321"/>
      <c r="DT121" s="323"/>
      <c r="DU121" s="92" t="s">
        <v>1584</v>
      </c>
    </row>
    <row r="122" spans="1:126" x14ac:dyDescent="0.3">
      <c r="B122" s="311" t="s">
        <v>1585</v>
      </c>
      <c r="D122" s="308"/>
      <c r="E122" s="308" t="s">
        <v>9</v>
      </c>
      <c r="F122" s="304" t="s">
        <v>9</v>
      </c>
      <c r="G122" s="308"/>
      <c r="H122" s="308"/>
      <c r="I122" s="308"/>
      <c r="J122" s="308"/>
      <c r="K122" s="308"/>
      <c r="L122" s="308" t="s">
        <v>9</v>
      </c>
      <c r="M122" s="308" t="s">
        <v>9</v>
      </c>
      <c r="N122" s="308" t="s">
        <v>9</v>
      </c>
      <c r="O122" s="308" t="s">
        <v>9</v>
      </c>
      <c r="P122" s="308" t="s">
        <v>9</v>
      </c>
      <c r="Q122" s="308"/>
      <c r="R122" s="308" t="s">
        <v>9</v>
      </c>
      <c r="S122" s="308"/>
      <c r="T122" s="308"/>
      <c r="U122" s="308" t="s">
        <v>9</v>
      </c>
      <c r="V122" s="308"/>
      <c r="W122" s="308" t="s">
        <v>9</v>
      </c>
      <c r="X122" s="308"/>
      <c r="Y122" s="308"/>
      <c r="AA122" s="308" t="s">
        <v>9</v>
      </c>
      <c r="AB122" s="308"/>
      <c r="AC122" s="308"/>
      <c r="AD122" s="308"/>
      <c r="AE122" s="308"/>
      <c r="AF122" s="308"/>
      <c r="AG122" s="308" t="s">
        <v>9</v>
      </c>
      <c r="AH122" s="308"/>
      <c r="AI122" s="308"/>
      <c r="AK122" s="236">
        <v>83</v>
      </c>
      <c r="AL122" t="s">
        <v>48</v>
      </c>
      <c r="AM122" s="237" t="s">
        <v>1544</v>
      </c>
      <c r="BM122" t="s">
        <v>9</v>
      </c>
      <c r="BS122" t="s">
        <v>9</v>
      </c>
      <c r="BW122" s="311">
        <v>293</v>
      </c>
      <c r="BX122" s="311">
        <v>48</v>
      </c>
      <c r="BY122" s="311">
        <v>60</v>
      </c>
      <c r="BZ122" s="312">
        <v>305</v>
      </c>
      <c r="CA122" s="312">
        <v>20</v>
      </c>
      <c r="CB122" s="312">
        <v>20</v>
      </c>
      <c r="CC122" s="312">
        <v>0</v>
      </c>
      <c r="CD122" s="312">
        <v>250</v>
      </c>
      <c r="CE122" s="312">
        <v>25</v>
      </c>
      <c r="CF122" s="312">
        <v>25</v>
      </c>
      <c r="CG122" s="312">
        <v>194</v>
      </c>
      <c r="CH122" s="312">
        <v>92</v>
      </c>
      <c r="CI122" s="312" t="s">
        <v>1744</v>
      </c>
      <c r="CJ122" s="312" t="s">
        <v>1744</v>
      </c>
      <c r="CK122" s="312" t="s">
        <v>1744</v>
      </c>
      <c r="CL122" s="314">
        <v>102</v>
      </c>
      <c r="CM122" s="367">
        <v>0</v>
      </c>
      <c r="CN122" s="314">
        <v>8</v>
      </c>
      <c r="CO122" s="314">
        <v>245</v>
      </c>
      <c r="CP122" s="367" t="s">
        <v>1247</v>
      </c>
      <c r="CQ122" s="314">
        <v>22</v>
      </c>
      <c r="CR122" s="312" t="s">
        <v>1744</v>
      </c>
      <c r="CS122" s="320"/>
      <c r="CT122" s="368"/>
      <c r="CU122" s="321"/>
      <c r="CV122" s="321"/>
      <c r="CW122" s="368"/>
      <c r="CX122" s="321"/>
      <c r="CY122" s="321"/>
      <c r="CZ122" s="320"/>
      <c r="DA122" s="368"/>
      <c r="DB122" s="321"/>
      <c r="DC122" s="321"/>
      <c r="DD122" s="368"/>
      <c r="DE122" s="321"/>
      <c r="DF122" s="321"/>
      <c r="DG122" s="320"/>
      <c r="DH122" s="368"/>
      <c r="DI122" s="321"/>
      <c r="DJ122" s="321"/>
      <c r="DK122" s="368"/>
      <c r="DL122" s="321"/>
      <c r="DM122" s="321"/>
      <c r="DN122" s="320"/>
      <c r="DO122" s="368"/>
      <c r="DP122" s="321"/>
      <c r="DQ122" s="321"/>
      <c r="DR122" s="368"/>
      <c r="DS122" s="321"/>
      <c r="DT122" s="323"/>
      <c r="DU122" s="92" t="s">
        <v>1585</v>
      </c>
    </row>
    <row r="123" spans="1:126" x14ac:dyDescent="0.3">
      <c r="B123" s="311" t="s">
        <v>1586</v>
      </c>
      <c r="D123" s="308" t="s">
        <v>9</v>
      </c>
      <c r="E123" s="308"/>
      <c r="F123" s="304" t="s">
        <v>9</v>
      </c>
      <c r="G123" s="308"/>
      <c r="H123" s="308"/>
      <c r="I123" s="308"/>
      <c r="J123" s="308"/>
      <c r="K123" s="308"/>
      <c r="L123" s="308" t="s">
        <v>9</v>
      </c>
      <c r="M123" s="308" t="s">
        <v>9</v>
      </c>
      <c r="N123" s="308" t="s">
        <v>9</v>
      </c>
      <c r="O123" s="308" t="s">
        <v>86</v>
      </c>
      <c r="P123" s="308" t="s">
        <v>48</v>
      </c>
      <c r="Q123" s="308"/>
      <c r="R123" s="308" t="s">
        <v>86</v>
      </c>
      <c r="S123" s="308" t="s">
        <v>48</v>
      </c>
      <c r="T123" s="308"/>
      <c r="U123" s="308"/>
      <c r="V123" s="308"/>
      <c r="W123" s="308"/>
      <c r="X123" s="308"/>
      <c r="Y123" s="308"/>
      <c r="AA123" s="308" t="s">
        <v>9</v>
      </c>
      <c r="AB123" s="308" t="s">
        <v>9</v>
      </c>
      <c r="AC123" s="308"/>
      <c r="AD123" s="308"/>
      <c r="AE123" s="308"/>
      <c r="AF123" s="308"/>
      <c r="AG123" s="308" t="s">
        <v>9</v>
      </c>
      <c r="AH123" s="308"/>
      <c r="AI123" s="308"/>
      <c r="AK123" s="236">
        <v>83</v>
      </c>
      <c r="AL123" t="s">
        <v>48</v>
      </c>
      <c r="AM123" s="237" t="s">
        <v>1544</v>
      </c>
      <c r="BP123" t="s">
        <v>9</v>
      </c>
      <c r="BW123" s="311">
        <v>293</v>
      </c>
      <c r="BX123" s="311">
        <v>48</v>
      </c>
      <c r="BY123" s="311">
        <v>60</v>
      </c>
      <c r="BZ123" s="312">
        <v>305</v>
      </c>
      <c r="CA123" s="312">
        <v>30</v>
      </c>
      <c r="CB123" s="312">
        <v>20</v>
      </c>
      <c r="CC123" s="312">
        <v>0</v>
      </c>
      <c r="CD123" s="312">
        <v>250</v>
      </c>
      <c r="CE123" s="312">
        <v>25</v>
      </c>
      <c r="CF123" s="312">
        <v>25</v>
      </c>
      <c r="CG123" s="312">
        <v>194</v>
      </c>
      <c r="CH123" s="312">
        <v>92</v>
      </c>
      <c r="CI123" s="312" t="s">
        <v>1744</v>
      </c>
      <c r="CJ123" s="312" t="s">
        <v>1744</v>
      </c>
      <c r="CK123" s="312" t="s">
        <v>1744</v>
      </c>
      <c r="CL123" s="314">
        <v>102</v>
      </c>
      <c r="CM123" s="367">
        <v>0</v>
      </c>
      <c r="CN123" s="314">
        <v>8</v>
      </c>
      <c r="CO123" s="314">
        <v>245</v>
      </c>
      <c r="CP123" s="367" t="s">
        <v>1247</v>
      </c>
      <c r="CQ123" s="314">
        <v>22</v>
      </c>
      <c r="CR123" s="312" t="s">
        <v>1744</v>
      </c>
      <c r="CS123" s="317">
        <v>102</v>
      </c>
      <c r="CT123" s="367" t="s">
        <v>1247</v>
      </c>
      <c r="CU123" s="314">
        <v>8</v>
      </c>
      <c r="CV123" s="313">
        <v>245</v>
      </c>
      <c r="CW123" s="368" t="s">
        <v>1247</v>
      </c>
      <c r="CX123" s="313">
        <v>22</v>
      </c>
      <c r="CY123" s="312" t="s">
        <v>1744</v>
      </c>
      <c r="CZ123" s="320"/>
      <c r="DA123" s="368"/>
      <c r="DB123" s="321"/>
      <c r="DC123" s="321"/>
      <c r="DD123" s="368"/>
      <c r="DE123" s="321"/>
      <c r="DF123" s="321"/>
      <c r="DG123" s="320"/>
      <c r="DH123" s="368"/>
      <c r="DI123" s="321"/>
      <c r="DJ123" s="321"/>
      <c r="DK123" s="368"/>
      <c r="DL123" s="321"/>
      <c r="DM123" s="321"/>
      <c r="DN123" s="320"/>
      <c r="DO123" s="368"/>
      <c r="DP123" s="321"/>
      <c r="DQ123" s="321"/>
      <c r="DR123" s="368"/>
      <c r="DS123" s="321"/>
      <c r="DT123" s="323"/>
      <c r="DU123" s="92" t="s">
        <v>1586</v>
      </c>
    </row>
    <row r="124" spans="1:126" x14ac:dyDescent="0.3">
      <c r="B124" s="327" t="s">
        <v>1587</v>
      </c>
      <c r="C124" s="306"/>
      <c r="D124" s="328" t="s">
        <v>9</v>
      </c>
      <c r="E124" s="328"/>
      <c r="F124" s="329" t="s">
        <v>9</v>
      </c>
      <c r="G124" s="328"/>
      <c r="H124" s="328"/>
      <c r="I124" s="328"/>
      <c r="J124" s="328"/>
      <c r="K124" s="328"/>
      <c r="L124" s="328" t="s">
        <v>9</v>
      </c>
      <c r="M124" s="328" t="s">
        <v>9</v>
      </c>
      <c r="N124" s="328" t="s">
        <v>9</v>
      </c>
      <c r="O124" s="328" t="s">
        <v>86</v>
      </c>
      <c r="P124" s="328" t="s">
        <v>48</v>
      </c>
      <c r="Q124" s="328"/>
      <c r="R124" s="328" t="s">
        <v>86</v>
      </c>
      <c r="S124" s="328" t="s">
        <v>48</v>
      </c>
      <c r="T124" s="328"/>
      <c r="U124" s="328" t="s">
        <v>9</v>
      </c>
      <c r="V124" s="328"/>
      <c r="W124" s="328"/>
      <c r="X124" s="328" t="s">
        <v>9</v>
      </c>
      <c r="Y124" s="328"/>
      <c r="Z124" s="328"/>
      <c r="AA124" s="328" t="s">
        <v>9</v>
      </c>
      <c r="AB124" s="328"/>
      <c r="AC124" s="328"/>
      <c r="AD124" s="328"/>
      <c r="AE124" s="328"/>
      <c r="AF124" s="328"/>
      <c r="AG124" s="328" t="s">
        <v>9</v>
      </c>
      <c r="AH124" s="328"/>
      <c r="AI124" s="328"/>
      <c r="AJ124" s="328"/>
      <c r="AK124" s="330">
        <v>83</v>
      </c>
      <c r="AL124" s="306" t="s">
        <v>48</v>
      </c>
      <c r="AM124" s="331" t="s">
        <v>1544</v>
      </c>
      <c r="AN124" s="306"/>
      <c r="AO124" s="306"/>
      <c r="AP124" s="306"/>
      <c r="AQ124" s="306"/>
      <c r="AR124" s="306"/>
      <c r="AS124" s="306"/>
      <c r="AT124" s="306"/>
      <c r="AU124" s="306"/>
      <c r="AV124" s="306"/>
      <c r="AW124" s="306"/>
      <c r="AX124" s="306"/>
      <c r="AY124" s="306"/>
      <c r="AZ124" s="306"/>
      <c r="BA124" s="306"/>
      <c r="BB124" s="306"/>
      <c r="BC124" s="306"/>
      <c r="BD124" s="306"/>
      <c r="BE124" s="306"/>
      <c r="BF124" s="306"/>
      <c r="BG124" s="306"/>
      <c r="BH124" s="306"/>
      <c r="BI124" s="306"/>
      <c r="BJ124" s="306"/>
      <c r="BK124" s="306"/>
      <c r="BL124" s="306"/>
      <c r="BM124" s="306"/>
      <c r="BN124" s="306"/>
      <c r="BO124" s="306"/>
      <c r="BP124" s="306"/>
      <c r="BQ124" s="306"/>
      <c r="BR124" s="306" t="s">
        <v>9</v>
      </c>
      <c r="BS124" s="306"/>
      <c r="BT124" s="306"/>
      <c r="BU124" s="306"/>
      <c r="BV124" s="306"/>
      <c r="BW124" s="327">
        <v>293</v>
      </c>
      <c r="BX124" s="327">
        <v>48</v>
      </c>
      <c r="BY124" s="327">
        <v>60</v>
      </c>
      <c r="BZ124" s="332">
        <v>305</v>
      </c>
      <c r="CA124" s="332">
        <v>20</v>
      </c>
      <c r="CB124" s="332">
        <v>20</v>
      </c>
      <c r="CC124" s="332">
        <v>0</v>
      </c>
      <c r="CD124" s="332">
        <v>250</v>
      </c>
      <c r="CE124" s="332">
        <v>25</v>
      </c>
      <c r="CF124" s="332">
        <v>25</v>
      </c>
      <c r="CG124" s="332">
        <v>194</v>
      </c>
      <c r="CH124" s="332">
        <v>92</v>
      </c>
      <c r="CI124" s="332" t="s">
        <v>1744</v>
      </c>
      <c r="CJ124" s="332" t="s">
        <v>1744</v>
      </c>
      <c r="CK124" s="332" t="s">
        <v>1744</v>
      </c>
      <c r="CL124" s="333">
        <v>102</v>
      </c>
      <c r="CM124" s="369">
        <v>0</v>
      </c>
      <c r="CN124" s="333">
        <v>8</v>
      </c>
      <c r="CO124" s="333">
        <v>245</v>
      </c>
      <c r="CP124" s="369" t="s">
        <v>1247</v>
      </c>
      <c r="CQ124" s="333">
        <v>22</v>
      </c>
      <c r="CR124" s="332" t="s">
        <v>1744</v>
      </c>
      <c r="CS124" s="339">
        <v>102</v>
      </c>
      <c r="CT124" s="369" t="s">
        <v>1247</v>
      </c>
      <c r="CU124" s="333">
        <v>8</v>
      </c>
      <c r="CV124" s="333">
        <v>245</v>
      </c>
      <c r="CW124" s="369" t="s">
        <v>1247</v>
      </c>
      <c r="CX124" s="333">
        <v>22</v>
      </c>
      <c r="CY124" s="332" t="s">
        <v>1744</v>
      </c>
      <c r="CZ124" s="334"/>
      <c r="DA124" s="369"/>
      <c r="DB124" s="335"/>
      <c r="DC124" s="335"/>
      <c r="DD124" s="369"/>
      <c r="DE124" s="335"/>
      <c r="DF124" s="335"/>
      <c r="DG124" s="334"/>
      <c r="DH124" s="369"/>
      <c r="DI124" s="335"/>
      <c r="DJ124" s="335"/>
      <c r="DK124" s="369"/>
      <c r="DL124" s="335"/>
      <c r="DM124" s="335"/>
      <c r="DN124" s="334"/>
      <c r="DO124" s="369"/>
      <c r="DP124" s="335"/>
      <c r="DQ124" s="335"/>
      <c r="DR124" s="369"/>
      <c r="DS124" s="335"/>
      <c r="DT124" s="375"/>
      <c r="DU124" s="336" t="s">
        <v>1587</v>
      </c>
      <c r="DV124" s="306"/>
    </row>
    <row r="125" spans="1:126" x14ac:dyDescent="0.3">
      <c r="A125" s="241"/>
      <c r="B125" s="318" t="s">
        <v>1605</v>
      </c>
      <c r="C125" s="202"/>
      <c r="D125" s="309" t="s">
        <v>9</v>
      </c>
      <c r="E125" s="309"/>
      <c r="F125" s="337" t="s">
        <v>9</v>
      </c>
      <c r="G125" s="309"/>
      <c r="H125" s="309"/>
      <c r="I125" s="309" t="s">
        <v>9</v>
      </c>
      <c r="J125" s="309" t="s">
        <v>9</v>
      </c>
      <c r="K125" s="309" t="s">
        <v>9</v>
      </c>
      <c r="L125" s="309"/>
      <c r="M125" s="309"/>
      <c r="N125" s="309"/>
      <c r="O125" s="309"/>
      <c r="P125" s="309"/>
      <c r="Q125" s="309" t="s">
        <v>9</v>
      </c>
      <c r="R125" s="309" t="s">
        <v>9</v>
      </c>
      <c r="S125" s="309" t="s">
        <v>9</v>
      </c>
      <c r="T125" s="309"/>
      <c r="U125" s="309" t="s">
        <v>9</v>
      </c>
      <c r="V125" s="386" t="s">
        <v>9</v>
      </c>
      <c r="W125" s="386"/>
      <c r="X125" s="309"/>
      <c r="Y125" s="309"/>
      <c r="Z125" s="309"/>
      <c r="AA125" s="309"/>
      <c r="AB125" s="309"/>
      <c r="AC125" s="309"/>
      <c r="AD125" s="309"/>
      <c r="AE125" s="309"/>
      <c r="AF125" s="309"/>
      <c r="AG125" s="309"/>
      <c r="AH125" s="309" t="s">
        <v>9</v>
      </c>
      <c r="AI125" s="309"/>
      <c r="AJ125" s="309"/>
      <c r="AK125" s="282">
        <v>96</v>
      </c>
      <c r="AL125" s="202"/>
      <c r="AM125" s="338" t="s">
        <v>1571</v>
      </c>
      <c r="AN125" s="202"/>
      <c r="AO125" s="202"/>
      <c r="AP125" s="202"/>
      <c r="AQ125" s="202"/>
      <c r="AR125" s="202"/>
      <c r="AS125" s="202"/>
      <c r="AT125" s="202"/>
      <c r="AU125" s="202"/>
      <c r="AV125" s="202" t="s">
        <v>9</v>
      </c>
      <c r="AW125" s="202"/>
      <c r="AX125" s="202"/>
      <c r="AY125" s="202"/>
      <c r="AZ125" s="202"/>
      <c r="BA125" s="202"/>
      <c r="BB125" s="202"/>
      <c r="BC125" s="202"/>
      <c r="BD125" s="202"/>
      <c r="BE125" s="202"/>
      <c r="BF125" s="202"/>
      <c r="BG125" s="202"/>
      <c r="BH125" s="202"/>
      <c r="BI125" s="202"/>
      <c r="BJ125" s="202"/>
      <c r="BK125" s="202"/>
      <c r="BL125" s="202"/>
      <c r="BM125" s="202"/>
      <c r="BN125" s="202"/>
      <c r="BO125" s="202"/>
      <c r="BP125" s="202"/>
      <c r="BQ125" s="202"/>
      <c r="BR125" s="202"/>
      <c r="BS125" s="202"/>
      <c r="BT125" s="202"/>
      <c r="BU125" s="202"/>
      <c r="BV125" s="202"/>
      <c r="BW125" s="311">
        <v>338</v>
      </c>
      <c r="BX125" s="311">
        <v>32</v>
      </c>
      <c r="BY125" s="311">
        <v>45</v>
      </c>
      <c r="BZ125" s="312">
        <v>440</v>
      </c>
      <c r="CA125" s="312">
        <v>12</v>
      </c>
      <c r="CB125" s="312">
        <v>20</v>
      </c>
      <c r="CC125" s="312" t="s">
        <v>1247</v>
      </c>
      <c r="CD125" s="312">
        <v>375</v>
      </c>
      <c r="CE125" s="312" t="s">
        <v>1247</v>
      </c>
      <c r="CF125" s="312" t="s">
        <v>1247</v>
      </c>
      <c r="CG125" s="312">
        <v>175</v>
      </c>
      <c r="CH125" s="312">
        <v>102</v>
      </c>
      <c r="CI125" s="312">
        <v>550</v>
      </c>
      <c r="CJ125" s="312">
        <v>460</v>
      </c>
      <c r="CK125" s="305">
        <v>90</v>
      </c>
      <c r="CL125" s="314">
        <v>73</v>
      </c>
      <c r="CM125" s="367" t="s">
        <v>1247</v>
      </c>
      <c r="CN125" s="314">
        <v>8.5</v>
      </c>
      <c r="CO125" s="314">
        <v>145</v>
      </c>
      <c r="CP125" s="367" t="s">
        <v>1247</v>
      </c>
      <c r="CQ125" s="314">
        <v>0</v>
      </c>
      <c r="CR125" s="340">
        <v>235</v>
      </c>
      <c r="CS125" s="317">
        <v>73</v>
      </c>
      <c r="CT125" s="367" t="s">
        <v>1247</v>
      </c>
      <c r="CU125" s="314">
        <v>3</v>
      </c>
      <c r="CV125" s="313">
        <v>145</v>
      </c>
      <c r="CW125" s="368" t="s">
        <v>1247</v>
      </c>
      <c r="CX125" s="313">
        <v>11.5</v>
      </c>
      <c r="CY125" s="305">
        <v>235</v>
      </c>
      <c r="CZ125" s="320"/>
      <c r="DA125" s="368"/>
      <c r="DB125" s="321"/>
      <c r="DC125" s="321"/>
      <c r="DD125" s="368"/>
      <c r="DE125" s="321"/>
      <c r="DF125" s="321"/>
      <c r="DG125" s="320"/>
      <c r="DH125" s="368"/>
      <c r="DI125" s="321"/>
      <c r="DJ125" s="321"/>
      <c r="DK125" s="368"/>
      <c r="DL125" s="321"/>
      <c r="DM125" s="321"/>
      <c r="DN125" s="320"/>
      <c r="DO125" s="368"/>
      <c r="DP125" s="321"/>
      <c r="DQ125" s="321"/>
      <c r="DR125" s="368"/>
      <c r="DS125" s="321"/>
      <c r="DT125" s="323"/>
      <c r="DU125" s="319" t="s">
        <v>1605</v>
      </c>
      <c r="DV125" s="202"/>
    </row>
    <row r="126" spans="1:126" x14ac:dyDescent="0.3">
      <c r="B126" s="311" t="s">
        <v>1606</v>
      </c>
      <c r="D126" s="308" t="s">
        <v>9</v>
      </c>
      <c r="E126" s="308"/>
      <c r="F126" s="304" t="s">
        <v>9</v>
      </c>
      <c r="G126" s="308"/>
      <c r="H126" s="308"/>
      <c r="I126" s="308" t="s">
        <v>9</v>
      </c>
      <c r="J126" s="308" t="s">
        <v>9</v>
      </c>
      <c r="K126" s="308" t="s">
        <v>9</v>
      </c>
      <c r="L126" s="308"/>
      <c r="M126" s="308"/>
      <c r="N126" s="308"/>
      <c r="O126" s="308"/>
      <c r="P126" s="308"/>
      <c r="Q126" s="308" t="s">
        <v>9</v>
      </c>
      <c r="R126" s="308" t="s">
        <v>9</v>
      </c>
      <c r="S126" s="308" t="s">
        <v>9</v>
      </c>
      <c r="T126" s="308"/>
      <c r="U126" s="308"/>
      <c r="V126" s="385" t="s">
        <v>9</v>
      </c>
      <c r="W126" s="385"/>
      <c r="X126" s="308"/>
      <c r="Y126" s="308"/>
      <c r="AA126" s="308"/>
      <c r="AB126" s="308" t="s">
        <v>9</v>
      </c>
      <c r="AC126" s="308"/>
      <c r="AD126" s="308"/>
      <c r="AE126" s="308"/>
      <c r="AF126" s="308"/>
      <c r="AG126" s="308"/>
      <c r="AH126" s="308" t="s">
        <v>9</v>
      </c>
      <c r="AI126" s="308"/>
      <c r="AK126" s="236">
        <v>96</v>
      </c>
      <c r="AM126" s="237" t="s">
        <v>1571</v>
      </c>
      <c r="AW126" t="s">
        <v>9</v>
      </c>
      <c r="BW126" s="311">
        <v>338</v>
      </c>
      <c r="BX126" s="311">
        <v>32</v>
      </c>
      <c r="BY126" s="311">
        <v>45</v>
      </c>
      <c r="BZ126" s="312">
        <v>440</v>
      </c>
      <c r="CA126" s="312">
        <v>12</v>
      </c>
      <c r="CB126" s="312">
        <v>20</v>
      </c>
      <c r="CC126" s="312" t="s">
        <v>1247</v>
      </c>
      <c r="CD126" s="312">
        <v>375</v>
      </c>
      <c r="CE126" s="312" t="s">
        <v>1247</v>
      </c>
      <c r="CF126" s="312" t="s">
        <v>1247</v>
      </c>
      <c r="CG126" s="312">
        <v>175</v>
      </c>
      <c r="CH126" s="312">
        <v>102</v>
      </c>
      <c r="CI126" s="312">
        <v>550</v>
      </c>
      <c r="CJ126" s="312">
        <v>460</v>
      </c>
      <c r="CK126" s="305">
        <v>90</v>
      </c>
      <c r="CL126" s="314">
        <v>73</v>
      </c>
      <c r="CM126" s="367" t="s">
        <v>1247</v>
      </c>
      <c r="CN126" s="314">
        <v>8.5</v>
      </c>
      <c r="CO126" s="314">
        <v>145</v>
      </c>
      <c r="CP126" s="367" t="s">
        <v>1247</v>
      </c>
      <c r="CQ126" s="314">
        <v>0</v>
      </c>
      <c r="CR126" s="340">
        <v>235</v>
      </c>
      <c r="CS126" s="317">
        <v>73</v>
      </c>
      <c r="CT126" s="367" t="s">
        <v>1247</v>
      </c>
      <c r="CU126" s="314">
        <v>3</v>
      </c>
      <c r="CV126" s="313">
        <v>145</v>
      </c>
      <c r="CW126" s="368" t="s">
        <v>1247</v>
      </c>
      <c r="CX126" s="313">
        <v>11.5</v>
      </c>
      <c r="CY126" s="305">
        <v>235</v>
      </c>
      <c r="CZ126" s="320"/>
      <c r="DA126" s="368"/>
      <c r="DB126" s="321"/>
      <c r="DC126" s="321"/>
      <c r="DD126" s="368"/>
      <c r="DE126" s="321"/>
      <c r="DF126" s="321"/>
      <c r="DG126" s="320"/>
      <c r="DH126" s="368"/>
      <c r="DI126" s="321"/>
      <c r="DJ126" s="321"/>
      <c r="DK126" s="368"/>
      <c r="DL126" s="321"/>
      <c r="DM126" s="321"/>
      <c r="DN126" s="320"/>
      <c r="DO126" s="368"/>
      <c r="DP126" s="321"/>
      <c r="DQ126" s="321"/>
      <c r="DR126" s="368"/>
      <c r="DS126" s="321"/>
      <c r="DT126" s="323"/>
      <c r="DU126" s="92" t="s">
        <v>1606</v>
      </c>
    </row>
    <row r="127" spans="1:126" x14ac:dyDescent="0.3">
      <c r="B127" s="311" t="s">
        <v>1607</v>
      </c>
      <c r="D127" s="308" t="s">
        <v>9</v>
      </c>
      <c r="E127" s="308"/>
      <c r="F127" s="304" t="s">
        <v>9</v>
      </c>
      <c r="G127" s="308"/>
      <c r="H127" s="308"/>
      <c r="I127" s="308" t="s">
        <v>9</v>
      </c>
      <c r="J127" s="308" t="s">
        <v>9</v>
      </c>
      <c r="K127" s="308" t="s">
        <v>9</v>
      </c>
      <c r="L127" s="308"/>
      <c r="M127" s="308"/>
      <c r="N127" s="308"/>
      <c r="O127" s="308"/>
      <c r="P127" s="308"/>
      <c r="Q127" s="308" t="s">
        <v>9</v>
      </c>
      <c r="R127" s="308" t="s">
        <v>9</v>
      </c>
      <c r="S127" s="308"/>
      <c r="T127" s="308"/>
      <c r="U127" s="308" t="s">
        <v>9</v>
      </c>
      <c r="V127" s="385" t="s">
        <v>9</v>
      </c>
      <c r="W127" s="385"/>
      <c r="X127" s="308"/>
      <c r="Y127" s="308"/>
      <c r="AA127" s="308"/>
      <c r="AB127" s="308"/>
      <c r="AC127" s="308" t="s">
        <v>9</v>
      </c>
      <c r="AD127" s="308"/>
      <c r="AE127" s="308" t="s">
        <v>9</v>
      </c>
      <c r="AF127" s="308"/>
      <c r="AG127" s="308"/>
      <c r="AH127" s="308" t="s">
        <v>9</v>
      </c>
      <c r="AI127" s="308"/>
      <c r="AK127" s="236">
        <v>96</v>
      </c>
      <c r="AM127" s="237" t="s">
        <v>1571</v>
      </c>
      <c r="AX127" t="s">
        <v>9</v>
      </c>
      <c r="BW127" s="311">
        <v>338</v>
      </c>
      <c r="BX127" s="311">
        <v>32</v>
      </c>
      <c r="BY127" s="311">
        <v>45</v>
      </c>
      <c r="BZ127" s="312">
        <v>527</v>
      </c>
      <c r="CA127" s="312">
        <v>30</v>
      </c>
      <c r="CB127" s="312">
        <v>31</v>
      </c>
      <c r="CC127" s="312" t="s">
        <v>1247</v>
      </c>
      <c r="CD127" s="312">
        <v>375</v>
      </c>
      <c r="CE127" s="312" t="s">
        <v>1247</v>
      </c>
      <c r="CF127" s="312" t="s">
        <v>1247</v>
      </c>
      <c r="CG127" s="312">
        <v>175</v>
      </c>
      <c r="CH127" s="312">
        <v>102</v>
      </c>
      <c r="CI127" s="312">
        <v>550</v>
      </c>
      <c r="CJ127" s="312">
        <v>412</v>
      </c>
      <c r="CK127" s="305">
        <v>138</v>
      </c>
      <c r="CL127" s="314">
        <v>73</v>
      </c>
      <c r="CM127" s="367" t="s">
        <v>1247</v>
      </c>
      <c r="CN127" s="314">
        <v>8.5</v>
      </c>
      <c r="CO127" s="314">
        <v>90</v>
      </c>
      <c r="CP127" s="367" t="s">
        <v>1247</v>
      </c>
      <c r="CQ127" s="314">
        <v>0</v>
      </c>
      <c r="CR127" s="340">
        <v>228</v>
      </c>
      <c r="CS127" s="317">
        <v>73</v>
      </c>
      <c r="CT127" s="367" t="s">
        <v>1247</v>
      </c>
      <c r="CU127" s="314">
        <v>3</v>
      </c>
      <c r="CV127" s="313">
        <v>90</v>
      </c>
      <c r="CW127" s="368" t="s">
        <v>1247</v>
      </c>
      <c r="CX127" s="313">
        <v>11.5</v>
      </c>
      <c r="CY127" s="305">
        <v>228</v>
      </c>
      <c r="CZ127" s="320"/>
      <c r="DA127" s="368"/>
      <c r="DB127" s="321"/>
      <c r="DC127" s="321"/>
      <c r="DD127" s="368"/>
      <c r="DE127" s="321"/>
      <c r="DF127" s="321"/>
      <c r="DG127" s="320"/>
      <c r="DH127" s="368"/>
      <c r="DI127" s="321"/>
      <c r="DJ127" s="321"/>
      <c r="DK127" s="368"/>
      <c r="DL127" s="321"/>
      <c r="DM127" s="321"/>
      <c r="DN127" s="320"/>
      <c r="DO127" s="368"/>
      <c r="DP127" s="321"/>
      <c r="DQ127" s="321"/>
      <c r="DR127" s="368"/>
      <c r="DS127" s="321"/>
      <c r="DT127" s="323"/>
      <c r="DU127" s="92" t="s">
        <v>1607</v>
      </c>
    </row>
    <row r="128" spans="1:126" x14ac:dyDescent="0.3">
      <c r="B128" s="311" t="s">
        <v>1608</v>
      </c>
      <c r="D128" s="308"/>
      <c r="E128" s="308" t="s">
        <v>9</v>
      </c>
      <c r="F128" s="304" t="s">
        <v>9</v>
      </c>
      <c r="G128" s="308"/>
      <c r="H128" s="308"/>
      <c r="I128" s="308" t="s">
        <v>9</v>
      </c>
      <c r="J128" s="308" t="s">
        <v>9</v>
      </c>
      <c r="K128" s="308" t="s">
        <v>9</v>
      </c>
      <c r="L128" s="308"/>
      <c r="M128" s="308"/>
      <c r="N128" s="308"/>
      <c r="O128" s="308"/>
      <c r="P128" s="308"/>
      <c r="Q128" s="308" t="s">
        <v>9</v>
      </c>
      <c r="R128" s="308" t="s">
        <v>9</v>
      </c>
      <c r="S128" s="308"/>
      <c r="T128" s="308"/>
      <c r="U128" s="308" t="s">
        <v>9</v>
      </c>
      <c r="V128" s="385" t="s">
        <v>9</v>
      </c>
      <c r="W128" s="385" t="s">
        <v>9</v>
      </c>
      <c r="X128" s="308"/>
      <c r="Y128" s="308"/>
      <c r="AA128" s="308"/>
      <c r="AB128" s="308"/>
      <c r="AC128" s="308"/>
      <c r="AD128" s="308"/>
      <c r="AE128" s="308"/>
      <c r="AF128" s="308"/>
      <c r="AG128" s="308"/>
      <c r="AH128" s="308" t="s">
        <v>9</v>
      </c>
      <c r="AI128" s="308"/>
      <c r="AK128" s="236">
        <v>96</v>
      </c>
      <c r="AM128" s="237" t="s">
        <v>1571</v>
      </c>
      <c r="AZ128" t="s">
        <v>9</v>
      </c>
      <c r="BW128" s="311">
        <v>338</v>
      </c>
      <c r="BX128" s="311">
        <v>32</v>
      </c>
      <c r="BY128" s="311">
        <v>45</v>
      </c>
      <c r="BZ128" s="312" t="s">
        <v>1247</v>
      </c>
      <c r="CA128" s="312">
        <v>30</v>
      </c>
      <c r="CB128" s="312">
        <v>31</v>
      </c>
      <c r="CC128" s="312" t="s">
        <v>1247</v>
      </c>
      <c r="CD128" s="312">
        <v>375</v>
      </c>
      <c r="CE128" s="312" t="s">
        <v>1247</v>
      </c>
      <c r="CF128" s="312" t="s">
        <v>1247</v>
      </c>
      <c r="CG128" s="312">
        <v>175</v>
      </c>
      <c r="CH128" s="312">
        <v>102</v>
      </c>
      <c r="CI128" s="312">
        <v>550</v>
      </c>
      <c r="CJ128" s="312">
        <v>460</v>
      </c>
      <c r="CK128" s="305">
        <v>90</v>
      </c>
      <c r="CL128" s="314">
        <v>73</v>
      </c>
      <c r="CM128" s="367" t="s">
        <v>1247</v>
      </c>
      <c r="CN128" s="314">
        <v>8.5</v>
      </c>
      <c r="CO128" s="314">
        <v>90</v>
      </c>
      <c r="CP128" s="367" t="s">
        <v>1247</v>
      </c>
      <c r="CQ128" s="314">
        <v>0</v>
      </c>
      <c r="CR128" s="340">
        <v>180</v>
      </c>
      <c r="CS128" s="317">
        <v>73</v>
      </c>
      <c r="CT128" s="367" t="s">
        <v>1247</v>
      </c>
      <c r="CU128" s="314">
        <v>3</v>
      </c>
      <c r="CV128" s="313">
        <v>90</v>
      </c>
      <c r="CW128" s="368" t="s">
        <v>1247</v>
      </c>
      <c r="CX128" s="313">
        <v>0</v>
      </c>
      <c r="CY128" s="305">
        <v>180</v>
      </c>
      <c r="CZ128" s="320"/>
      <c r="DA128" s="368"/>
      <c r="DB128" s="321"/>
      <c r="DC128" s="321"/>
      <c r="DD128" s="368"/>
      <c r="DE128" s="321"/>
      <c r="DF128" s="321"/>
      <c r="DG128" s="320"/>
      <c r="DH128" s="368"/>
      <c r="DI128" s="321"/>
      <c r="DJ128" s="321"/>
      <c r="DK128" s="368"/>
      <c r="DL128" s="321"/>
      <c r="DM128" s="321"/>
      <c r="DN128" s="320"/>
      <c r="DO128" s="368"/>
      <c r="DP128" s="321"/>
      <c r="DQ128" s="321"/>
      <c r="DR128" s="368"/>
      <c r="DS128" s="321"/>
      <c r="DT128" s="323"/>
      <c r="DU128" s="92" t="s">
        <v>1608</v>
      </c>
    </row>
    <row r="129" spans="1:126" x14ac:dyDescent="0.3">
      <c r="B129" s="311" t="s">
        <v>1609</v>
      </c>
      <c r="D129" s="308"/>
      <c r="E129" s="308" t="s">
        <v>9</v>
      </c>
      <c r="F129" s="304" t="s">
        <v>9</v>
      </c>
      <c r="G129" s="308"/>
      <c r="H129" s="308"/>
      <c r="I129" s="308" t="s">
        <v>9</v>
      </c>
      <c r="J129" s="308" t="s">
        <v>9</v>
      </c>
      <c r="K129" s="308" t="s">
        <v>9</v>
      </c>
      <c r="L129" s="308"/>
      <c r="M129" s="308"/>
      <c r="N129" s="308"/>
      <c r="O129" s="308"/>
      <c r="P129" s="308"/>
      <c r="Q129" s="308" t="s">
        <v>9</v>
      </c>
      <c r="R129" s="308" t="s">
        <v>9</v>
      </c>
      <c r="S129" s="308"/>
      <c r="T129" s="308"/>
      <c r="U129" s="308" t="s">
        <v>9</v>
      </c>
      <c r="V129" s="385" t="s">
        <v>9</v>
      </c>
      <c r="W129" s="385" t="s">
        <v>9</v>
      </c>
      <c r="X129" s="308"/>
      <c r="Y129" s="308"/>
      <c r="AA129" s="308"/>
      <c r="AB129" s="308" t="s">
        <v>9</v>
      </c>
      <c r="AC129" s="308"/>
      <c r="AD129" s="308"/>
      <c r="AE129" s="308"/>
      <c r="AF129" s="308"/>
      <c r="AG129" s="308"/>
      <c r="AH129" s="308" t="s">
        <v>9</v>
      </c>
      <c r="AI129" s="308"/>
      <c r="AK129" s="236">
        <v>96</v>
      </c>
      <c r="AM129" s="237" t="s">
        <v>1571</v>
      </c>
      <c r="BA129" t="s">
        <v>9</v>
      </c>
      <c r="BW129" s="311">
        <v>338</v>
      </c>
      <c r="BX129" s="311">
        <v>32</v>
      </c>
      <c r="BY129" s="311">
        <v>45</v>
      </c>
      <c r="BZ129" s="312" t="s">
        <v>1247</v>
      </c>
      <c r="CA129" s="312">
        <v>30</v>
      </c>
      <c r="CB129" s="312">
        <v>31</v>
      </c>
      <c r="CC129" s="312" t="s">
        <v>1247</v>
      </c>
      <c r="CD129" s="312">
        <v>375</v>
      </c>
      <c r="CE129" s="312" t="s">
        <v>1247</v>
      </c>
      <c r="CF129" s="312" t="s">
        <v>1247</v>
      </c>
      <c r="CG129" s="312">
        <v>175</v>
      </c>
      <c r="CH129" s="312">
        <v>102</v>
      </c>
      <c r="CI129" s="312">
        <v>550</v>
      </c>
      <c r="CJ129" s="312">
        <v>460</v>
      </c>
      <c r="CK129" s="305">
        <v>90</v>
      </c>
      <c r="CL129" s="314">
        <v>73</v>
      </c>
      <c r="CM129" s="367" t="s">
        <v>1247</v>
      </c>
      <c r="CN129" s="314">
        <v>8.5</v>
      </c>
      <c r="CO129" s="314">
        <v>90</v>
      </c>
      <c r="CP129" s="367" t="s">
        <v>1247</v>
      </c>
      <c r="CQ129" s="314">
        <v>0</v>
      </c>
      <c r="CR129" s="340">
        <v>228</v>
      </c>
      <c r="CS129" s="317">
        <v>73</v>
      </c>
      <c r="CT129" s="367" t="s">
        <v>1247</v>
      </c>
      <c r="CU129" s="314">
        <v>3</v>
      </c>
      <c r="CV129" s="313">
        <v>90</v>
      </c>
      <c r="CW129" s="368" t="s">
        <v>1247</v>
      </c>
      <c r="CX129" s="313">
        <v>0</v>
      </c>
      <c r="CY129" s="305">
        <v>228</v>
      </c>
      <c r="CZ129" s="320"/>
      <c r="DA129" s="368"/>
      <c r="DB129" s="321"/>
      <c r="DC129" s="321"/>
      <c r="DD129" s="368"/>
      <c r="DE129" s="321"/>
      <c r="DF129" s="321"/>
      <c r="DG129" s="320"/>
      <c r="DH129" s="368"/>
      <c r="DI129" s="321"/>
      <c r="DJ129" s="321"/>
      <c r="DK129" s="368"/>
      <c r="DL129" s="321"/>
      <c r="DM129" s="321"/>
      <c r="DN129" s="320"/>
      <c r="DO129" s="368"/>
      <c r="DP129" s="321"/>
      <c r="DQ129" s="321"/>
      <c r="DR129" s="368"/>
      <c r="DS129" s="321"/>
      <c r="DT129" s="323"/>
      <c r="DU129" s="92" t="s">
        <v>1609</v>
      </c>
    </row>
    <row r="130" spans="1:126" x14ac:dyDescent="0.3">
      <c r="B130" s="311" t="s">
        <v>1610</v>
      </c>
      <c r="D130" s="308"/>
      <c r="E130" s="308" t="s">
        <v>9</v>
      </c>
      <c r="F130" s="304" t="s">
        <v>9</v>
      </c>
      <c r="G130" s="308"/>
      <c r="H130" s="308"/>
      <c r="I130" s="308" t="s">
        <v>9</v>
      </c>
      <c r="J130" s="308" t="s">
        <v>9</v>
      </c>
      <c r="K130" s="308" t="s">
        <v>9</v>
      </c>
      <c r="L130" s="308"/>
      <c r="M130" s="308"/>
      <c r="N130" s="308"/>
      <c r="O130" s="308"/>
      <c r="P130" s="308"/>
      <c r="Q130" s="308" t="s">
        <v>9</v>
      </c>
      <c r="R130" s="308" t="s">
        <v>9</v>
      </c>
      <c r="S130" s="308"/>
      <c r="T130" s="308"/>
      <c r="U130" s="308" t="s">
        <v>9</v>
      </c>
      <c r="V130" s="385" t="s">
        <v>9</v>
      </c>
      <c r="W130" s="385" t="s">
        <v>9</v>
      </c>
      <c r="X130" s="308"/>
      <c r="Y130" s="308"/>
      <c r="AA130" s="308"/>
      <c r="AB130" s="308"/>
      <c r="AC130" s="308" t="s">
        <v>9</v>
      </c>
      <c r="AD130" s="308"/>
      <c r="AE130" s="308" t="s">
        <v>9</v>
      </c>
      <c r="AF130" s="308"/>
      <c r="AG130" s="308"/>
      <c r="AH130" s="308" t="s">
        <v>9</v>
      </c>
      <c r="AI130" s="308"/>
      <c r="AK130" s="236">
        <v>96</v>
      </c>
      <c r="AM130" s="237" t="s">
        <v>1571</v>
      </c>
      <c r="BD130" t="s">
        <v>9</v>
      </c>
      <c r="BW130" s="311">
        <v>338</v>
      </c>
      <c r="BX130" s="311">
        <v>32</v>
      </c>
      <c r="BY130" s="311">
        <v>45</v>
      </c>
      <c r="BZ130" s="312" t="s">
        <v>1247</v>
      </c>
      <c r="CA130" s="312">
        <v>30</v>
      </c>
      <c r="CB130" s="312">
        <v>31</v>
      </c>
      <c r="CC130" s="312" t="s">
        <v>1247</v>
      </c>
      <c r="CD130" s="312">
        <v>375</v>
      </c>
      <c r="CE130" s="312" t="s">
        <v>1247</v>
      </c>
      <c r="CF130" s="312" t="s">
        <v>1247</v>
      </c>
      <c r="CG130" s="312">
        <v>175</v>
      </c>
      <c r="CH130" s="312">
        <v>102</v>
      </c>
      <c r="CI130" s="312">
        <v>550</v>
      </c>
      <c r="CJ130" s="312">
        <v>412</v>
      </c>
      <c r="CK130" s="305">
        <v>138</v>
      </c>
      <c r="CL130" s="314">
        <v>73</v>
      </c>
      <c r="CM130" s="367" t="s">
        <v>1247</v>
      </c>
      <c r="CN130" s="314">
        <v>8.5</v>
      </c>
      <c r="CO130" s="314">
        <v>90</v>
      </c>
      <c r="CP130" s="367" t="s">
        <v>1247</v>
      </c>
      <c r="CQ130" s="314">
        <v>0</v>
      </c>
      <c r="CR130" s="340">
        <v>228</v>
      </c>
      <c r="CS130" s="317">
        <v>73</v>
      </c>
      <c r="CT130" s="367" t="s">
        <v>1247</v>
      </c>
      <c r="CU130" s="314">
        <v>3</v>
      </c>
      <c r="CV130" s="313">
        <v>90</v>
      </c>
      <c r="CW130" s="368" t="s">
        <v>1247</v>
      </c>
      <c r="CX130" s="313">
        <v>0</v>
      </c>
      <c r="CY130" s="305">
        <v>228</v>
      </c>
      <c r="CZ130" s="320"/>
      <c r="DA130" s="368"/>
      <c r="DB130" s="321"/>
      <c r="DC130" s="321"/>
      <c r="DD130" s="368"/>
      <c r="DE130" s="321"/>
      <c r="DF130" s="321"/>
      <c r="DG130" s="320"/>
      <c r="DH130" s="368"/>
      <c r="DI130" s="321"/>
      <c r="DJ130" s="321"/>
      <c r="DK130" s="368"/>
      <c r="DL130" s="321"/>
      <c r="DM130" s="321"/>
      <c r="DN130" s="320"/>
      <c r="DO130" s="368"/>
      <c r="DP130" s="321"/>
      <c r="DQ130" s="321"/>
      <c r="DR130" s="368"/>
      <c r="DS130" s="321"/>
      <c r="DT130" s="323"/>
      <c r="DU130" s="92" t="s">
        <v>1610</v>
      </c>
    </row>
    <row r="131" spans="1:126" x14ac:dyDescent="0.3">
      <c r="B131" s="311" t="s">
        <v>1612</v>
      </c>
      <c r="D131" s="308" t="s">
        <v>9</v>
      </c>
      <c r="E131" s="308"/>
      <c r="F131" s="304" t="s">
        <v>9</v>
      </c>
      <c r="G131" s="308"/>
      <c r="H131" s="308"/>
      <c r="I131" s="308"/>
      <c r="J131" s="308" t="s">
        <v>9</v>
      </c>
      <c r="K131" s="308" t="s">
        <v>9</v>
      </c>
      <c r="L131" s="308" t="s">
        <v>9</v>
      </c>
      <c r="M131" s="308" t="s">
        <v>9</v>
      </c>
      <c r="N131" s="308"/>
      <c r="O131" s="308"/>
      <c r="P131" s="308"/>
      <c r="Q131" s="308" t="s">
        <v>9</v>
      </c>
      <c r="R131" s="308" t="s">
        <v>9</v>
      </c>
      <c r="S131" s="308" t="s">
        <v>9</v>
      </c>
      <c r="T131" s="308"/>
      <c r="U131" s="308" t="s">
        <v>9</v>
      </c>
      <c r="V131" s="385" t="s">
        <v>9</v>
      </c>
      <c r="W131" s="385"/>
      <c r="X131" s="308"/>
      <c r="Y131" s="308"/>
      <c r="AA131" s="308"/>
      <c r="AB131" s="308"/>
      <c r="AC131" s="308"/>
      <c r="AD131" s="308"/>
      <c r="AE131" s="308"/>
      <c r="AF131" s="308"/>
      <c r="AG131" s="308"/>
      <c r="AH131" s="308" t="s">
        <v>9</v>
      </c>
      <c r="AI131" s="308"/>
      <c r="AK131" s="236">
        <v>96</v>
      </c>
      <c r="AM131" s="237" t="s">
        <v>1611</v>
      </c>
      <c r="AV131" t="s">
        <v>9</v>
      </c>
      <c r="BW131" s="311">
        <v>352</v>
      </c>
      <c r="BX131" s="311">
        <v>40</v>
      </c>
      <c r="BY131" s="311">
        <v>54</v>
      </c>
      <c r="BZ131" s="312">
        <v>440</v>
      </c>
      <c r="CA131" s="312">
        <v>12</v>
      </c>
      <c r="CB131" s="312">
        <v>20</v>
      </c>
      <c r="CC131" s="312" t="s">
        <v>1247</v>
      </c>
      <c r="CD131" s="312">
        <v>375</v>
      </c>
      <c r="CE131" s="312" t="s">
        <v>1247</v>
      </c>
      <c r="CF131" s="312" t="s">
        <v>1247</v>
      </c>
      <c r="CG131" s="312">
        <v>175</v>
      </c>
      <c r="CH131" s="312">
        <v>105</v>
      </c>
      <c r="CI131" s="312">
        <v>550</v>
      </c>
      <c r="CJ131" s="312">
        <v>460</v>
      </c>
      <c r="CK131" s="305">
        <v>90</v>
      </c>
      <c r="CL131" s="314">
        <v>70</v>
      </c>
      <c r="CM131" s="367" t="s">
        <v>1247</v>
      </c>
      <c r="CN131" s="314">
        <v>8.5</v>
      </c>
      <c r="CO131" s="314">
        <v>145</v>
      </c>
      <c r="CP131" s="367" t="s">
        <v>1247</v>
      </c>
      <c r="CQ131" s="314">
        <v>0</v>
      </c>
      <c r="CR131" s="340">
        <v>235</v>
      </c>
      <c r="CS131" s="317">
        <v>70</v>
      </c>
      <c r="CT131" s="367" t="s">
        <v>1247</v>
      </c>
      <c r="CU131" s="314">
        <v>3</v>
      </c>
      <c r="CV131" s="313">
        <v>145</v>
      </c>
      <c r="CW131" s="368" t="s">
        <v>1247</v>
      </c>
      <c r="CX131" s="313">
        <v>11.5</v>
      </c>
      <c r="CY131" s="305">
        <v>235</v>
      </c>
      <c r="CZ131" s="320"/>
      <c r="DA131" s="368"/>
      <c r="DB131" s="321"/>
      <c r="DC131" s="321"/>
      <c r="DD131" s="368"/>
      <c r="DE131" s="321"/>
      <c r="DF131" s="321"/>
      <c r="DG131" s="320"/>
      <c r="DH131" s="368"/>
      <c r="DI131" s="321"/>
      <c r="DJ131" s="321"/>
      <c r="DK131" s="368"/>
      <c r="DL131" s="321"/>
      <c r="DM131" s="321"/>
      <c r="DN131" s="320"/>
      <c r="DO131" s="368"/>
      <c r="DP131" s="321"/>
      <c r="DQ131" s="321"/>
      <c r="DR131" s="368"/>
      <c r="DS131" s="321"/>
      <c r="DT131" s="323"/>
      <c r="DU131" s="92" t="s">
        <v>1612</v>
      </c>
    </row>
    <row r="132" spans="1:126" x14ac:dyDescent="0.3">
      <c r="B132" s="311" t="s">
        <v>1613</v>
      </c>
      <c r="D132" s="308" t="s">
        <v>9</v>
      </c>
      <c r="E132" s="308"/>
      <c r="F132" s="304" t="s">
        <v>9</v>
      </c>
      <c r="G132" s="308"/>
      <c r="H132" s="308"/>
      <c r="I132" s="308"/>
      <c r="J132" s="308" t="s">
        <v>9</v>
      </c>
      <c r="K132" s="308" t="s">
        <v>9</v>
      </c>
      <c r="L132" s="308" t="s">
        <v>9</v>
      </c>
      <c r="M132" s="308" t="s">
        <v>9</v>
      </c>
      <c r="N132" s="308"/>
      <c r="O132" s="308"/>
      <c r="P132" s="308"/>
      <c r="Q132" s="308" t="s">
        <v>9</v>
      </c>
      <c r="R132" s="308" t="s">
        <v>9</v>
      </c>
      <c r="S132" s="308" t="s">
        <v>9</v>
      </c>
      <c r="T132" s="308"/>
      <c r="U132" s="308"/>
      <c r="V132" s="385" t="s">
        <v>9</v>
      </c>
      <c r="W132" s="385"/>
      <c r="X132" s="308"/>
      <c r="Y132" s="308"/>
      <c r="AA132" s="308"/>
      <c r="AB132" s="308" t="s">
        <v>9</v>
      </c>
      <c r="AC132" s="308"/>
      <c r="AD132" s="308"/>
      <c r="AE132" s="308"/>
      <c r="AF132" s="308"/>
      <c r="AG132" s="308"/>
      <c r="AH132" s="308" t="s">
        <v>9</v>
      </c>
      <c r="AI132" s="308"/>
      <c r="AK132" s="236">
        <v>96</v>
      </c>
      <c r="AM132" s="237" t="s">
        <v>1611</v>
      </c>
      <c r="AW132" t="s">
        <v>9</v>
      </c>
      <c r="BW132" s="311">
        <v>352</v>
      </c>
      <c r="BX132" s="311">
        <v>40</v>
      </c>
      <c r="BY132" s="311">
        <v>54</v>
      </c>
      <c r="BZ132" s="312">
        <v>440</v>
      </c>
      <c r="CA132" s="312">
        <v>12</v>
      </c>
      <c r="CB132" s="312">
        <v>20</v>
      </c>
      <c r="CC132" s="312" t="s">
        <v>1247</v>
      </c>
      <c r="CD132" s="312">
        <v>375</v>
      </c>
      <c r="CE132" s="312" t="s">
        <v>1247</v>
      </c>
      <c r="CF132" s="312" t="s">
        <v>1247</v>
      </c>
      <c r="CG132" s="312">
        <v>175</v>
      </c>
      <c r="CH132" s="312">
        <v>105</v>
      </c>
      <c r="CI132" s="312">
        <v>550</v>
      </c>
      <c r="CJ132" s="312">
        <v>460</v>
      </c>
      <c r="CK132" s="305">
        <v>90</v>
      </c>
      <c r="CL132" s="314">
        <v>70</v>
      </c>
      <c r="CM132" s="367" t="s">
        <v>1247</v>
      </c>
      <c r="CN132" s="314">
        <v>8.5</v>
      </c>
      <c r="CO132" s="314">
        <v>145</v>
      </c>
      <c r="CP132" s="367" t="s">
        <v>1247</v>
      </c>
      <c r="CQ132" s="314">
        <v>0</v>
      </c>
      <c r="CR132" s="340">
        <v>235</v>
      </c>
      <c r="CS132" s="317">
        <v>70</v>
      </c>
      <c r="CT132" s="367" t="s">
        <v>1247</v>
      </c>
      <c r="CU132" s="314">
        <v>3</v>
      </c>
      <c r="CV132" s="313">
        <v>145</v>
      </c>
      <c r="CW132" s="368" t="s">
        <v>1247</v>
      </c>
      <c r="CX132" s="313">
        <v>11.5</v>
      </c>
      <c r="CY132" s="305">
        <v>235</v>
      </c>
      <c r="CZ132" s="320"/>
      <c r="DA132" s="368"/>
      <c r="DB132" s="321"/>
      <c r="DC132" s="321"/>
      <c r="DD132" s="368"/>
      <c r="DE132" s="321"/>
      <c r="DF132" s="321"/>
      <c r="DG132" s="320"/>
      <c r="DH132" s="368"/>
      <c r="DI132" s="321"/>
      <c r="DJ132" s="321"/>
      <c r="DK132" s="368"/>
      <c r="DL132" s="321"/>
      <c r="DM132" s="321"/>
      <c r="DN132" s="320"/>
      <c r="DO132" s="368"/>
      <c r="DP132" s="321"/>
      <c r="DQ132" s="321"/>
      <c r="DR132" s="368"/>
      <c r="DS132" s="321"/>
      <c r="DT132" s="323"/>
      <c r="DU132" s="92" t="s">
        <v>1613</v>
      </c>
    </row>
    <row r="133" spans="1:126" x14ac:dyDescent="0.3">
      <c r="B133" s="311" t="s">
        <v>1614</v>
      </c>
      <c r="D133" s="308" t="s">
        <v>9</v>
      </c>
      <c r="E133" s="308"/>
      <c r="F133" s="304" t="s">
        <v>9</v>
      </c>
      <c r="G133" s="308"/>
      <c r="H133" s="308"/>
      <c r="I133" s="308"/>
      <c r="J133" s="308" t="s">
        <v>9</v>
      </c>
      <c r="K133" s="308" t="s">
        <v>9</v>
      </c>
      <c r="L133" s="308" t="s">
        <v>9</v>
      </c>
      <c r="M133" s="308" t="s">
        <v>9</v>
      </c>
      <c r="N133" s="308"/>
      <c r="O133" s="308"/>
      <c r="P133" s="308"/>
      <c r="Q133" s="308" t="s">
        <v>9</v>
      </c>
      <c r="R133" s="308" t="s">
        <v>9</v>
      </c>
      <c r="S133" s="308"/>
      <c r="T133" s="308"/>
      <c r="U133" s="308" t="s">
        <v>9</v>
      </c>
      <c r="V133" s="385" t="s">
        <v>9</v>
      </c>
      <c r="W133" s="385"/>
      <c r="X133" s="308"/>
      <c r="Y133" s="308"/>
      <c r="AA133" s="308"/>
      <c r="AB133" s="308"/>
      <c r="AC133" s="308" t="s">
        <v>9</v>
      </c>
      <c r="AD133" s="308"/>
      <c r="AE133" s="308" t="s">
        <v>9</v>
      </c>
      <c r="AF133" s="308"/>
      <c r="AG133" s="308"/>
      <c r="AH133" s="308" t="s">
        <v>9</v>
      </c>
      <c r="AI133" s="308"/>
      <c r="AK133" s="236">
        <v>96</v>
      </c>
      <c r="AM133" s="237" t="s">
        <v>1611</v>
      </c>
      <c r="AX133" t="s">
        <v>9</v>
      </c>
      <c r="BW133" s="311">
        <v>352</v>
      </c>
      <c r="BX133" s="311">
        <v>40</v>
      </c>
      <c r="BY133" s="311">
        <v>54</v>
      </c>
      <c r="BZ133" s="312">
        <v>527</v>
      </c>
      <c r="CA133" s="312">
        <v>30</v>
      </c>
      <c r="CB133" s="312">
        <v>31</v>
      </c>
      <c r="CC133" s="312" t="s">
        <v>1247</v>
      </c>
      <c r="CD133" s="312">
        <v>375</v>
      </c>
      <c r="CE133" s="312" t="s">
        <v>1247</v>
      </c>
      <c r="CF133" s="312" t="s">
        <v>1247</v>
      </c>
      <c r="CG133" s="312">
        <v>175</v>
      </c>
      <c r="CH133" s="312">
        <v>105</v>
      </c>
      <c r="CI133" s="312">
        <v>550</v>
      </c>
      <c r="CJ133" s="312">
        <v>412</v>
      </c>
      <c r="CK133" s="305">
        <v>138</v>
      </c>
      <c r="CL133" s="314">
        <v>70</v>
      </c>
      <c r="CM133" s="367" t="s">
        <v>1247</v>
      </c>
      <c r="CN133" s="314">
        <v>8.5</v>
      </c>
      <c r="CO133" s="314">
        <v>90</v>
      </c>
      <c r="CP133" s="367" t="s">
        <v>1247</v>
      </c>
      <c r="CQ133" s="314">
        <v>0</v>
      </c>
      <c r="CR133" s="340">
        <v>228</v>
      </c>
      <c r="CS133" s="317">
        <v>70</v>
      </c>
      <c r="CT133" s="367" t="s">
        <v>1247</v>
      </c>
      <c r="CU133" s="314">
        <v>3</v>
      </c>
      <c r="CV133" s="313">
        <v>90</v>
      </c>
      <c r="CW133" s="368" t="s">
        <v>1247</v>
      </c>
      <c r="CX133" s="313">
        <v>11.5</v>
      </c>
      <c r="CY133" s="305">
        <v>228</v>
      </c>
      <c r="CZ133" s="320"/>
      <c r="DA133" s="368"/>
      <c r="DB133" s="321"/>
      <c r="DC133" s="321"/>
      <c r="DD133" s="368"/>
      <c r="DE133" s="321"/>
      <c r="DF133" s="321"/>
      <c r="DG133" s="320"/>
      <c r="DH133" s="368"/>
      <c r="DI133" s="321"/>
      <c r="DJ133" s="321"/>
      <c r="DK133" s="368"/>
      <c r="DL133" s="321"/>
      <c r="DM133" s="321"/>
      <c r="DN133" s="320"/>
      <c r="DO133" s="368"/>
      <c r="DP133" s="321"/>
      <c r="DQ133" s="321"/>
      <c r="DR133" s="368"/>
      <c r="DS133" s="321"/>
      <c r="DT133" s="323"/>
      <c r="DU133" s="92" t="s">
        <v>1614</v>
      </c>
    </row>
    <row r="134" spans="1:126" x14ac:dyDescent="0.3">
      <c r="B134" s="311" t="s">
        <v>1615</v>
      </c>
      <c r="D134" s="308"/>
      <c r="E134" s="308" t="s">
        <v>9</v>
      </c>
      <c r="F134" s="304" t="s">
        <v>9</v>
      </c>
      <c r="G134" s="308"/>
      <c r="H134" s="308"/>
      <c r="I134" s="308"/>
      <c r="J134" s="308" t="s">
        <v>9</v>
      </c>
      <c r="K134" s="308" t="s">
        <v>9</v>
      </c>
      <c r="L134" s="308" t="s">
        <v>9</v>
      </c>
      <c r="M134" s="308" t="s">
        <v>9</v>
      </c>
      <c r="N134" s="308"/>
      <c r="O134" s="308"/>
      <c r="P134" s="308"/>
      <c r="Q134" s="308" t="s">
        <v>9</v>
      </c>
      <c r="R134" s="308" t="s">
        <v>9</v>
      </c>
      <c r="S134" s="308"/>
      <c r="T134" s="308"/>
      <c r="U134" s="308" t="s">
        <v>9</v>
      </c>
      <c r="V134" s="385" t="s">
        <v>9</v>
      </c>
      <c r="W134" s="385" t="s">
        <v>9</v>
      </c>
      <c r="X134" s="308"/>
      <c r="Y134" s="308"/>
      <c r="AA134" s="308"/>
      <c r="AB134" s="308"/>
      <c r="AC134" s="308"/>
      <c r="AD134" s="308"/>
      <c r="AE134" s="308"/>
      <c r="AF134" s="308"/>
      <c r="AG134" s="308"/>
      <c r="AH134" s="308" t="s">
        <v>9</v>
      </c>
      <c r="AI134" s="308"/>
      <c r="AK134" s="236">
        <v>96</v>
      </c>
      <c r="AM134" s="237" t="s">
        <v>1611</v>
      </c>
      <c r="AZ134" t="s">
        <v>9</v>
      </c>
      <c r="BW134" s="311">
        <v>352</v>
      </c>
      <c r="BX134" s="311">
        <v>40</v>
      </c>
      <c r="BY134" s="311">
        <v>54</v>
      </c>
      <c r="BZ134" s="312" t="s">
        <v>1247</v>
      </c>
      <c r="CA134" s="312">
        <v>30</v>
      </c>
      <c r="CB134" s="312">
        <v>31</v>
      </c>
      <c r="CC134" s="312" t="s">
        <v>1247</v>
      </c>
      <c r="CD134" s="312">
        <v>375</v>
      </c>
      <c r="CE134" s="312" t="s">
        <v>1247</v>
      </c>
      <c r="CF134" s="312" t="s">
        <v>1247</v>
      </c>
      <c r="CG134" s="312">
        <v>175</v>
      </c>
      <c r="CH134" s="312">
        <v>105</v>
      </c>
      <c r="CI134" s="312">
        <v>550</v>
      </c>
      <c r="CJ134" s="312">
        <v>460</v>
      </c>
      <c r="CK134" s="305">
        <v>90</v>
      </c>
      <c r="CL134" s="314">
        <v>70</v>
      </c>
      <c r="CM134" s="367" t="s">
        <v>1247</v>
      </c>
      <c r="CN134" s="314">
        <v>8.5</v>
      </c>
      <c r="CO134" s="314">
        <v>90</v>
      </c>
      <c r="CP134" s="367" t="s">
        <v>1247</v>
      </c>
      <c r="CQ134" s="314">
        <v>0</v>
      </c>
      <c r="CR134" s="340">
        <v>180</v>
      </c>
      <c r="CS134" s="320"/>
      <c r="CT134" s="368"/>
      <c r="CU134" s="321"/>
      <c r="CV134" s="321"/>
      <c r="CW134" s="368"/>
      <c r="CX134" s="321"/>
      <c r="CY134" s="341"/>
      <c r="CZ134" s="320"/>
      <c r="DA134" s="368"/>
      <c r="DB134" s="321"/>
      <c r="DC134" s="321"/>
      <c r="DD134" s="368"/>
      <c r="DE134" s="321"/>
      <c r="DF134" s="321"/>
      <c r="DG134" s="320"/>
      <c r="DH134" s="368"/>
      <c r="DI134" s="321"/>
      <c r="DJ134" s="321"/>
      <c r="DK134" s="368"/>
      <c r="DL134" s="321"/>
      <c r="DM134" s="321"/>
      <c r="DN134" s="320"/>
      <c r="DO134" s="368"/>
      <c r="DP134" s="321"/>
      <c r="DQ134" s="321"/>
      <c r="DR134" s="368"/>
      <c r="DS134" s="321"/>
      <c r="DT134" s="323"/>
      <c r="DU134" s="92" t="s">
        <v>1615</v>
      </c>
    </row>
    <row r="135" spans="1:126" x14ac:dyDescent="0.3">
      <c r="B135" s="311" t="s">
        <v>1616</v>
      </c>
      <c r="D135" s="308"/>
      <c r="E135" s="308" t="s">
        <v>9</v>
      </c>
      <c r="F135" s="304" t="s">
        <v>9</v>
      </c>
      <c r="G135" s="308"/>
      <c r="H135" s="308"/>
      <c r="I135" s="308"/>
      <c r="J135" s="308" t="s">
        <v>9</v>
      </c>
      <c r="K135" s="308" t="s">
        <v>9</v>
      </c>
      <c r="L135" s="308" t="s">
        <v>9</v>
      </c>
      <c r="M135" s="308" t="s">
        <v>9</v>
      </c>
      <c r="N135" s="308"/>
      <c r="O135" s="308"/>
      <c r="P135" s="308"/>
      <c r="Q135" s="308" t="s">
        <v>9</v>
      </c>
      <c r="R135" s="308" t="s">
        <v>9</v>
      </c>
      <c r="S135" s="308"/>
      <c r="T135" s="308"/>
      <c r="U135" s="308"/>
      <c r="V135" s="385" t="s">
        <v>9</v>
      </c>
      <c r="W135" s="385" t="s">
        <v>9</v>
      </c>
      <c r="X135" s="308"/>
      <c r="Y135" s="308"/>
      <c r="AA135" s="308"/>
      <c r="AB135" s="308" t="s">
        <v>9</v>
      </c>
      <c r="AC135" s="308"/>
      <c r="AD135" s="308"/>
      <c r="AE135" s="308"/>
      <c r="AF135" s="308"/>
      <c r="AG135" s="308"/>
      <c r="AH135" s="308" t="s">
        <v>9</v>
      </c>
      <c r="AI135" s="308"/>
      <c r="AK135" s="236">
        <v>96</v>
      </c>
      <c r="AM135" s="237" t="s">
        <v>1611</v>
      </c>
      <c r="BA135" t="s">
        <v>9</v>
      </c>
      <c r="BW135" s="311">
        <v>352</v>
      </c>
      <c r="BX135" s="311">
        <v>40</v>
      </c>
      <c r="BY135" s="311">
        <v>54</v>
      </c>
      <c r="BZ135" s="312" t="s">
        <v>1247</v>
      </c>
      <c r="CA135" s="312">
        <v>30</v>
      </c>
      <c r="CB135" s="312">
        <v>31</v>
      </c>
      <c r="CC135" s="312" t="s">
        <v>1247</v>
      </c>
      <c r="CD135" s="312">
        <v>375</v>
      </c>
      <c r="CE135" s="312" t="s">
        <v>1247</v>
      </c>
      <c r="CF135" s="312" t="s">
        <v>1247</v>
      </c>
      <c r="CG135" s="312">
        <v>175</v>
      </c>
      <c r="CH135" s="312">
        <v>105</v>
      </c>
      <c r="CI135" s="312">
        <v>550</v>
      </c>
      <c r="CJ135" s="312">
        <v>460</v>
      </c>
      <c r="CK135" s="305">
        <v>90</v>
      </c>
      <c r="CL135" s="314">
        <v>70</v>
      </c>
      <c r="CM135" s="367" t="s">
        <v>1247</v>
      </c>
      <c r="CN135" s="314">
        <v>8.5</v>
      </c>
      <c r="CO135" s="314">
        <v>90</v>
      </c>
      <c r="CP135" s="367" t="s">
        <v>1247</v>
      </c>
      <c r="CQ135" s="314">
        <v>0</v>
      </c>
      <c r="CR135" s="340">
        <v>228</v>
      </c>
      <c r="CS135" s="320"/>
      <c r="CT135" s="368"/>
      <c r="CU135" s="321"/>
      <c r="CV135" s="321"/>
      <c r="CW135" s="368"/>
      <c r="CX135" s="321"/>
      <c r="CY135" s="341"/>
      <c r="CZ135" s="320"/>
      <c r="DA135" s="368"/>
      <c r="DB135" s="321"/>
      <c r="DC135" s="321"/>
      <c r="DD135" s="368"/>
      <c r="DE135" s="321"/>
      <c r="DF135" s="321"/>
      <c r="DG135" s="320"/>
      <c r="DH135" s="368"/>
      <c r="DI135" s="321"/>
      <c r="DJ135" s="321"/>
      <c r="DK135" s="368"/>
      <c r="DL135" s="321"/>
      <c r="DM135" s="321"/>
      <c r="DN135" s="320"/>
      <c r="DO135" s="368"/>
      <c r="DP135" s="321"/>
      <c r="DQ135" s="321"/>
      <c r="DR135" s="368"/>
      <c r="DS135" s="321"/>
      <c r="DT135" s="323"/>
      <c r="DU135" s="92" t="s">
        <v>1616</v>
      </c>
    </row>
    <row r="136" spans="1:126" x14ac:dyDescent="0.3">
      <c r="B136" s="311" t="s">
        <v>1617</v>
      </c>
      <c r="D136" s="308"/>
      <c r="E136" s="308" t="s">
        <v>9</v>
      </c>
      <c r="F136" s="304" t="s">
        <v>9</v>
      </c>
      <c r="G136" s="308"/>
      <c r="H136" s="308"/>
      <c r="I136" s="308"/>
      <c r="J136" s="308" t="s">
        <v>9</v>
      </c>
      <c r="K136" s="308" t="s">
        <v>9</v>
      </c>
      <c r="L136" s="308" t="s">
        <v>9</v>
      </c>
      <c r="M136" s="308" t="s">
        <v>9</v>
      </c>
      <c r="N136" s="308"/>
      <c r="O136" s="308"/>
      <c r="P136" s="308"/>
      <c r="Q136" s="308" t="s">
        <v>9</v>
      </c>
      <c r="R136" s="308" t="s">
        <v>9</v>
      </c>
      <c r="S136" s="308"/>
      <c r="T136" s="308"/>
      <c r="U136" s="308" t="s">
        <v>9</v>
      </c>
      <c r="V136" s="385" t="s">
        <v>9</v>
      </c>
      <c r="W136" s="385" t="s">
        <v>9</v>
      </c>
      <c r="X136" s="308"/>
      <c r="Y136" s="308"/>
      <c r="AA136" s="308"/>
      <c r="AB136" s="308"/>
      <c r="AC136" s="308" t="s">
        <v>9</v>
      </c>
      <c r="AD136" s="308"/>
      <c r="AE136" s="308" t="s">
        <v>9</v>
      </c>
      <c r="AF136" s="308"/>
      <c r="AG136" s="308"/>
      <c r="AH136" s="308" t="s">
        <v>9</v>
      </c>
      <c r="AI136" s="308"/>
      <c r="AK136" s="236">
        <v>96</v>
      </c>
      <c r="AM136" s="237" t="s">
        <v>1611</v>
      </c>
      <c r="BD136" t="s">
        <v>9</v>
      </c>
      <c r="BW136" s="311">
        <v>352</v>
      </c>
      <c r="BX136" s="311">
        <v>40</v>
      </c>
      <c r="BY136" s="311">
        <v>54</v>
      </c>
      <c r="BZ136" s="312" t="s">
        <v>1247</v>
      </c>
      <c r="CA136" s="312">
        <v>30</v>
      </c>
      <c r="CB136" s="312">
        <v>31</v>
      </c>
      <c r="CC136" s="312" t="s">
        <v>1247</v>
      </c>
      <c r="CD136" s="312">
        <v>375</v>
      </c>
      <c r="CE136" s="312" t="s">
        <v>1247</v>
      </c>
      <c r="CF136" s="312" t="s">
        <v>1247</v>
      </c>
      <c r="CG136" s="312">
        <v>175</v>
      </c>
      <c r="CH136" s="312">
        <v>105</v>
      </c>
      <c r="CI136" s="312">
        <v>550</v>
      </c>
      <c r="CJ136" s="312">
        <v>412</v>
      </c>
      <c r="CK136" s="305">
        <v>138</v>
      </c>
      <c r="CL136" s="314">
        <v>70</v>
      </c>
      <c r="CM136" s="367" t="s">
        <v>1247</v>
      </c>
      <c r="CN136" s="314">
        <v>8.5</v>
      </c>
      <c r="CO136" s="314">
        <v>90</v>
      </c>
      <c r="CP136" s="367" t="s">
        <v>1247</v>
      </c>
      <c r="CQ136" s="314">
        <v>0</v>
      </c>
      <c r="CR136" s="340">
        <v>228</v>
      </c>
      <c r="CS136" s="320"/>
      <c r="CT136" s="368"/>
      <c r="CU136" s="321"/>
      <c r="CV136" s="321"/>
      <c r="CW136" s="368"/>
      <c r="CX136" s="321"/>
      <c r="CY136" s="341"/>
      <c r="CZ136" s="320"/>
      <c r="DA136" s="368"/>
      <c r="DB136" s="321"/>
      <c r="DC136" s="321"/>
      <c r="DD136" s="368"/>
      <c r="DE136" s="321"/>
      <c r="DF136" s="321"/>
      <c r="DG136" s="320"/>
      <c r="DH136" s="368"/>
      <c r="DI136" s="321"/>
      <c r="DJ136" s="321"/>
      <c r="DK136" s="368"/>
      <c r="DL136" s="321"/>
      <c r="DM136" s="321"/>
      <c r="DN136" s="320"/>
      <c r="DO136" s="368"/>
      <c r="DP136" s="321"/>
      <c r="DQ136" s="321"/>
      <c r="DR136" s="368"/>
      <c r="DS136" s="321"/>
      <c r="DT136" s="323"/>
      <c r="DU136" s="92" t="s">
        <v>1617</v>
      </c>
    </row>
    <row r="137" spans="1:126" x14ac:dyDescent="0.3">
      <c r="B137" s="311" t="s">
        <v>1745</v>
      </c>
      <c r="D137" s="308" t="s">
        <v>9</v>
      </c>
      <c r="E137" s="308"/>
      <c r="F137" s="304" t="s">
        <v>9</v>
      </c>
      <c r="G137" s="308"/>
      <c r="H137" s="308"/>
      <c r="I137" s="308"/>
      <c r="J137" s="308" t="s">
        <v>9</v>
      </c>
      <c r="K137" s="308" t="s">
        <v>9</v>
      </c>
      <c r="L137" s="308" t="s">
        <v>9</v>
      </c>
      <c r="M137" s="308" t="s">
        <v>9</v>
      </c>
      <c r="N137" s="308"/>
      <c r="O137" s="308"/>
      <c r="P137" s="308"/>
      <c r="Q137" s="308" t="s">
        <v>9</v>
      </c>
      <c r="R137" s="308" t="s">
        <v>9</v>
      </c>
      <c r="S137" s="308"/>
      <c r="T137" s="308"/>
      <c r="U137" s="308" t="s">
        <v>9</v>
      </c>
      <c r="V137" s="385" t="s">
        <v>9</v>
      </c>
      <c r="W137" s="385"/>
      <c r="X137" s="308"/>
      <c r="Y137" s="308" t="s">
        <v>9</v>
      </c>
      <c r="AA137" s="308"/>
      <c r="AB137" s="308"/>
      <c r="AC137" s="308"/>
      <c r="AD137" s="308"/>
      <c r="AE137" s="308" t="s">
        <v>9</v>
      </c>
      <c r="AF137" s="308"/>
      <c r="AG137" s="308"/>
      <c r="AH137" s="308" t="s">
        <v>9</v>
      </c>
      <c r="AI137" s="308"/>
      <c r="AK137" s="236">
        <v>96</v>
      </c>
      <c r="AM137" s="237" t="s">
        <v>1611</v>
      </c>
      <c r="AX137" t="s">
        <v>9</v>
      </c>
      <c r="BW137" s="311">
        <v>540</v>
      </c>
      <c r="BX137" s="311">
        <v>40</v>
      </c>
      <c r="BY137" s="311">
        <v>54</v>
      </c>
      <c r="BZ137" s="312">
        <v>440</v>
      </c>
      <c r="CA137" s="312">
        <v>12</v>
      </c>
      <c r="CB137" s="312">
        <v>20</v>
      </c>
      <c r="CC137" s="312" t="s">
        <v>1247</v>
      </c>
      <c r="CD137" s="312">
        <v>375</v>
      </c>
      <c r="CE137" s="312" t="s">
        <v>1247</v>
      </c>
      <c r="CF137" s="312" t="s">
        <v>1247</v>
      </c>
      <c r="CG137" s="312">
        <v>175</v>
      </c>
      <c r="CH137" s="312">
        <v>105</v>
      </c>
      <c r="CI137" s="312">
        <v>550</v>
      </c>
      <c r="CJ137" s="312">
        <v>460</v>
      </c>
      <c r="CK137" s="305">
        <v>90</v>
      </c>
      <c r="CL137" s="314">
        <v>70</v>
      </c>
      <c r="CM137" s="367" t="s">
        <v>1247</v>
      </c>
      <c r="CN137" s="314">
        <v>8.5</v>
      </c>
      <c r="CO137" s="314">
        <v>145</v>
      </c>
      <c r="CP137" s="367" t="s">
        <v>1247</v>
      </c>
      <c r="CQ137" s="314">
        <v>0</v>
      </c>
      <c r="CR137" s="340">
        <v>235</v>
      </c>
      <c r="CS137" s="317">
        <v>70</v>
      </c>
      <c r="CT137" s="367" t="s">
        <v>1247</v>
      </c>
      <c r="CU137" s="314">
        <v>3</v>
      </c>
      <c r="CV137" s="313">
        <v>145</v>
      </c>
      <c r="CW137" s="368" t="s">
        <v>1247</v>
      </c>
      <c r="CX137" s="313">
        <v>11.5</v>
      </c>
      <c r="CY137" s="305">
        <v>235</v>
      </c>
      <c r="CZ137" s="320"/>
      <c r="DA137" s="368"/>
      <c r="DB137" s="321"/>
      <c r="DC137" s="321"/>
      <c r="DD137" s="368"/>
      <c r="DE137" s="321"/>
      <c r="DF137" s="321"/>
      <c r="DG137" s="320"/>
      <c r="DH137" s="368"/>
      <c r="DI137" s="321"/>
      <c r="DJ137" s="321"/>
      <c r="DK137" s="368"/>
      <c r="DL137" s="321"/>
      <c r="DM137" s="321"/>
      <c r="DN137" s="320"/>
      <c r="DO137" s="368"/>
      <c r="DP137" s="321"/>
      <c r="DQ137" s="321"/>
      <c r="DR137" s="368"/>
      <c r="DS137" s="321"/>
      <c r="DT137" s="323"/>
      <c r="DU137" s="92" t="s">
        <v>1745</v>
      </c>
    </row>
    <row r="138" spans="1:126" x14ac:dyDescent="0.3">
      <c r="B138" s="327" t="s">
        <v>1746</v>
      </c>
      <c r="C138" s="306"/>
      <c r="D138" s="328"/>
      <c r="E138" s="328" t="s">
        <v>9</v>
      </c>
      <c r="F138" s="329" t="s">
        <v>9</v>
      </c>
      <c r="G138" s="328"/>
      <c r="H138" s="328"/>
      <c r="I138" s="328"/>
      <c r="J138" s="328" t="s">
        <v>9</v>
      </c>
      <c r="K138" s="328" t="s">
        <v>9</v>
      </c>
      <c r="L138" s="328" t="s">
        <v>9</v>
      </c>
      <c r="M138" s="328" t="s">
        <v>9</v>
      </c>
      <c r="N138" s="328"/>
      <c r="O138" s="328"/>
      <c r="P138" s="328"/>
      <c r="Q138" s="328" t="s">
        <v>9</v>
      </c>
      <c r="R138" s="328" t="s">
        <v>9</v>
      </c>
      <c r="S138" s="328"/>
      <c r="T138" s="328"/>
      <c r="U138" s="328" t="s">
        <v>9</v>
      </c>
      <c r="V138" s="328" t="s">
        <v>9</v>
      </c>
      <c r="W138" s="328" t="s">
        <v>9</v>
      </c>
      <c r="X138" s="328"/>
      <c r="Y138" s="328" t="s">
        <v>9</v>
      </c>
      <c r="Z138" s="328"/>
      <c r="AA138" s="328"/>
      <c r="AB138" s="328"/>
      <c r="AC138" s="328"/>
      <c r="AD138" s="328"/>
      <c r="AE138" s="328" t="s">
        <v>9</v>
      </c>
      <c r="AF138" s="328"/>
      <c r="AG138" s="328"/>
      <c r="AH138" s="328" t="s">
        <v>9</v>
      </c>
      <c r="AI138" s="328"/>
      <c r="AJ138" s="328"/>
      <c r="AK138" s="330">
        <v>96</v>
      </c>
      <c r="AL138" s="306"/>
      <c r="AM138" s="331" t="s">
        <v>1611</v>
      </c>
      <c r="AN138" s="306"/>
      <c r="AO138" s="306"/>
      <c r="AP138" s="306"/>
      <c r="AQ138" s="306"/>
      <c r="AR138" s="306"/>
      <c r="AS138" s="306"/>
      <c r="AT138" s="306"/>
      <c r="AU138" s="306"/>
      <c r="AV138" s="306"/>
      <c r="AW138" s="306"/>
      <c r="AX138" s="306"/>
      <c r="AY138" s="306"/>
      <c r="AZ138" s="306"/>
      <c r="BA138" s="306"/>
      <c r="BB138" s="306"/>
      <c r="BC138" s="306"/>
      <c r="BD138" s="306" t="s">
        <v>9</v>
      </c>
      <c r="BE138" s="306"/>
      <c r="BF138" s="306"/>
      <c r="BG138" s="306"/>
      <c r="BH138" s="306"/>
      <c r="BI138" s="306"/>
      <c r="BJ138" s="306"/>
      <c r="BK138" s="306"/>
      <c r="BL138" s="306"/>
      <c r="BM138" s="306"/>
      <c r="BN138" s="306"/>
      <c r="BO138" s="306"/>
      <c r="BP138" s="306"/>
      <c r="BQ138" s="306"/>
      <c r="BR138" s="306"/>
      <c r="BS138" s="306"/>
      <c r="BT138" s="306"/>
      <c r="BU138" s="306"/>
      <c r="BV138" s="306"/>
      <c r="BW138" s="327">
        <v>540</v>
      </c>
      <c r="BX138" s="327">
        <v>40</v>
      </c>
      <c r="BY138" s="327">
        <v>54</v>
      </c>
      <c r="BZ138" s="332" t="s">
        <v>1247</v>
      </c>
      <c r="CA138" s="332">
        <v>30</v>
      </c>
      <c r="CB138" s="332">
        <v>31</v>
      </c>
      <c r="CC138" s="332" t="s">
        <v>1247</v>
      </c>
      <c r="CD138" s="332">
        <v>375</v>
      </c>
      <c r="CE138" s="332" t="s">
        <v>1247</v>
      </c>
      <c r="CF138" s="332" t="s">
        <v>1247</v>
      </c>
      <c r="CG138" s="332">
        <v>175</v>
      </c>
      <c r="CH138" s="332">
        <v>105</v>
      </c>
      <c r="CI138" s="332">
        <v>550</v>
      </c>
      <c r="CJ138" s="332">
        <v>460</v>
      </c>
      <c r="CK138" s="342">
        <v>90</v>
      </c>
      <c r="CL138" s="333">
        <v>70</v>
      </c>
      <c r="CM138" s="369" t="s">
        <v>1247</v>
      </c>
      <c r="CN138" s="333">
        <v>8.5</v>
      </c>
      <c r="CO138" s="333">
        <v>90</v>
      </c>
      <c r="CP138" s="369" t="s">
        <v>1247</v>
      </c>
      <c r="CQ138" s="333">
        <v>0</v>
      </c>
      <c r="CR138" s="342">
        <v>180</v>
      </c>
      <c r="CS138" s="334"/>
      <c r="CT138" s="369"/>
      <c r="CU138" s="335"/>
      <c r="CV138" s="335"/>
      <c r="CW138" s="369"/>
      <c r="CX138" s="335"/>
      <c r="CY138" s="335"/>
      <c r="CZ138" s="334"/>
      <c r="DA138" s="369"/>
      <c r="DB138" s="335"/>
      <c r="DC138" s="335"/>
      <c r="DD138" s="369"/>
      <c r="DE138" s="335"/>
      <c r="DF138" s="335"/>
      <c r="DG138" s="334"/>
      <c r="DH138" s="369"/>
      <c r="DI138" s="335"/>
      <c r="DJ138" s="335"/>
      <c r="DK138" s="369"/>
      <c r="DL138" s="335"/>
      <c r="DM138" s="335"/>
      <c r="DN138" s="334"/>
      <c r="DO138" s="369"/>
      <c r="DP138" s="335"/>
      <c r="DQ138" s="335"/>
      <c r="DR138" s="369"/>
      <c r="DS138" s="335"/>
      <c r="DT138" s="375"/>
      <c r="DU138" s="336" t="s">
        <v>1746</v>
      </c>
    </row>
    <row r="139" spans="1:126" x14ac:dyDescent="0.3">
      <c r="A139" s="241"/>
      <c r="B139" s="318" t="s">
        <v>1619</v>
      </c>
      <c r="C139" s="202"/>
      <c r="D139" s="309" t="s">
        <v>9</v>
      </c>
      <c r="E139" s="309" t="s">
        <v>9</v>
      </c>
      <c r="F139" s="337" t="s">
        <v>9</v>
      </c>
      <c r="G139" s="309" t="s">
        <v>9</v>
      </c>
      <c r="H139" s="309" t="s">
        <v>9</v>
      </c>
      <c r="I139" s="309" t="s">
        <v>9</v>
      </c>
      <c r="J139" s="309" t="s">
        <v>9</v>
      </c>
      <c r="K139" s="309" t="s">
        <v>9</v>
      </c>
      <c r="L139" s="309"/>
      <c r="M139" s="309"/>
      <c r="N139" s="309"/>
      <c r="O139" s="309" t="s">
        <v>9</v>
      </c>
      <c r="P139" s="309"/>
      <c r="Q139" s="309" t="s">
        <v>9</v>
      </c>
      <c r="R139" s="309"/>
      <c r="S139" s="309"/>
      <c r="T139" s="309" t="s">
        <v>9</v>
      </c>
      <c r="U139" s="309"/>
      <c r="V139" s="309"/>
      <c r="W139" s="309"/>
      <c r="X139" s="309"/>
      <c r="Y139" s="309"/>
      <c r="Z139" s="309"/>
      <c r="AA139" s="309" t="s">
        <v>9</v>
      </c>
      <c r="AB139" s="309" t="s">
        <v>9</v>
      </c>
      <c r="AC139" s="309"/>
      <c r="AD139" s="309"/>
      <c r="AE139" s="309"/>
      <c r="AF139" s="309"/>
      <c r="AG139" s="309"/>
      <c r="AH139" s="309"/>
      <c r="AI139" s="309" t="s">
        <v>9</v>
      </c>
      <c r="AJ139" s="309"/>
      <c r="AK139" s="282" t="s">
        <v>1618</v>
      </c>
      <c r="AL139" s="202"/>
      <c r="AM139" s="338" t="s">
        <v>1561</v>
      </c>
      <c r="AN139" s="202"/>
      <c r="AO139" s="202"/>
      <c r="AP139" s="202"/>
      <c r="AQ139" s="202"/>
      <c r="AR139" s="202"/>
      <c r="AS139" s="202"/>
      <c r="AT139" s="202"/>
      <c r="AU139" s="202"/>
      <c r="AV139" s="202"/>
      <c r="AW139" s="202"/>
      <c r="AX139" s="202"/>
      <c r="AY139" s="202"/>
      <c r="AZ139" s="202"/>
      <c r="BA139" s="202"/>
      <c r="BB139" s="202"/>
      <c r="BC139" s="202"/>
      <c r="BD139" s="202"/>
      <c r="BE139" s="202"/>
      <c r="BF139" s="202"/>
      <c r="BG139" s="202"/>
      <c r="BH139" s="202"/>
      <c r="BI139" s="202"/>
      <c r="BJ139" s="202"/>
      <c r="BK139" s="202"/>
      <c r="BL139" s="202"/>
      <c r="BM139" s="202"/>
      <c r="BN139" s="202"/>
      <c r="BO139" s="202"/>
      <c r="BP139" s="202"/>
      <c r="BQ139" s="202"/>
      <c r="BR139" s="202"/>
      <c r="BS139" s="202"/>
      <c r="BT139" s="202"/>
      <c r="BU139" s="202"/>
      <c r="BV139" s="202"/>
      <c r="BW139" s="311">
        <v>285</v>
      </c>
      <c r="BX139" s="311">
        <v>82</v>
      </c>
      <c r="BY139" s="311">
        <v>50</v>
      </c>
      <c r="BZ139" s="312" t="s">
        <v>1744</v>
      </c>
      <c r="CA139" s="312" t="s">
        <v>1744</v>
      </c>
      <c r="CB139" s="312" t="s">
        <v>1744</v>
      </c>
      <c r="CC139" s="312" t="s">
        <v>1744</v>
      </c>
      <c r="CD139" s="312" t="s">
        <v>1744</v>
      </c>
      <c r="CE139" s="312">
        <v>41</v>
      </c>
      <c r="CF139" s="312">
        <v>36</v>
      </c>
      <c r="CG139" s="325">
        <v>0</v>
      </c>
      <c r="CH139" s="325"/>
      <c r="CI139" s="312" t="s">
        <v>1744</v>
      </c>
      <c r="CJ139" s="312" t="s">
        <v>1744</v>
      </c>
      <c r="CK139" s="313" t="s">
        <v>1744</v>
      </c>
      <c r="CL139" s="322"/>
      <c r="CM139" s="367"/>
      <c r="CN139" s="322"/>
      <c r="CO139" s="322"/>
      <c r="CP139" s="368"/>
      <c r="CQ139" s="321"/>
      <c r="CR139" s="321"/>
      <c r="CS139" s="320"/>
      <c r="CT139" s="368"/>
      <c r="CU139" s="321"/>
      <c r="CV139" s="321"/>
      <c r="CW139" s="368"/>
      <c r="CX139" s="321"/>
      <c r="CY139" s="321"/>
      <c r="CZ139" s="317">
        <v>-54</v>
      </c>
      <c r="DA139" s="367">
        <v>-3</v>
      </c>
      <c r="DB139" s="314">
        <v>0</v>
      </c>
      <c r="DC139" s="321"/>
      <c r="DD139" s="368"/>
      <c r="DE139" s="321"/>
      <c r="DF139" s="321"/>
      <c r="DG139" s="320"/>
      <c r="DH139" s="368"/>
      <c r="DI139" s="321"/>
      <c r="DJ139" s="321"/>
      <c r="DK139" s="368"/>
      <c r="DL139" s="321"/>
      <c r="DM139" s="321"/>
      <c r="DN139" s="320"/>
      <c r="DO139" s="368"/>
      <c r="DP139" s="321"/>
      <c r="DQ139" s="321"/>
      <c r="DR139" s="368"/>
      <c r="DS139" s="321"/>
      <c r="DT139" s="323"/>
      <c r="DU139" s="319" t="s">
        <v>1619</v>
      </c>
      <c r="DV139" s="241"/>
    </row>
    <row r="140" spans="1:126" x14ac:dyDescent="0.3">
      <c r="B140" s="311" t="s">
        <v>1620</v>
      </c>
      <c r="D140" s="308" t="s">
        <v>9</v>
      </c>
      <c r="E140" s="308" t="s">
        <v>9</v>
      </c>
      <c r="F140" s="304" t="s">
        <v>9</v>
      </c>
      <c r="G140" s="308" t="s">
        <v>9</v>
      </c>
      <c r="H140" s="308"/>
      <c r="I140" s="308"/>
      <c r="J140" s="308" t="s">
        <v>9</v>
      </c>
      <c r="K140" s="308"/>
      <c r="L140" s="308"/>
      <c r="M140" s="308"/>
      <c r="N140" s="308"/>
      <c r="O140" s="308" t="s">
        <v>9</v>
      </c>
      <c r="P140" s="308"/>
      <c r="Q140" s="308" t="s">
        <v>9</v>
      </c>
      <c r="R140" s="308"/>
      <c r="S140" s="308"/>
      <c r="T140" s="308" t="s">
        <v>9</v>
      </c>
      <c r="U140" s="308"/>
      <c r="V140" s="308"/>
      <c r="W140" s="308"/>
      <c r="X140" s="308"/>
      <c r="Y140" s="308"/>
      <c r="AA140" s="308" t="s">
        <v>9</v>
      </c>
      <c r="AB140" s="308" t="s">
        <v>9</v>
      </c>
      <c r="AC140" s="308"/>
      <c r="AD140" s="308"/>
      <c r="AE140" s="308"/>
      <c r="AF140" s="308"/>
      <c r="AG140" s="308"/>
      <c r="AH140" s="308"/>
      <c r="AI140" s="308" t="s">
        <v>9</v>
      </c>
      <c r="AK140" s="236">
        <v>80</v>
      </c>
      <c r="AM140" s="237" t="s">
        <v>1573</v>
      </c>
      <c r="BW140" s="311">
        <v>341</v>
      </c>
      <c r="BX140" s="311">
        <v>78</v>
      </c>
      <c r="BY140" s="311">
        <v>60</v>
      </c>
      <c r="BZ140" s="312" t="s">
        <v>1744</v>
      </c>
      <c r="CA140" s="312" t="s">
        <v>1744</v>
      </c>
      <c r="CB140" s="312" t="s">
        <v>1744</v>
      </c>
      <c r="CC140" s="312" t="s">
        <v>1744</v>
      </c>
      <c r="CD140" s="312" t="s">
        <v>1744</v>
      </c>
      <c r="CE140" s="312">
        <v>39</v>
      </c>
      <c r="CF140" s="312">
        <v>36</v>
      </c>
      <c r="CG140" s="325">
        <v>0</v>
      </c>
      <c r="CH140" s="325"/>
      <c r="CI140" s="312" t="s">
        <v>1744</v>
      </c>
      <c r="CJ140" s="312" t="s">
        <v>1744</v>
      </c>
      <c r="CK140" s="313" t="s">
        <v>1744</v>
      </c>
      <c r="CL140" s="322"/>
      <c r="CM140" s="367"/>
      <c r="CN140" s="322"/>
      <c r="CO140" s="322"/>
      <c r="CP140" s="368"/>
      <c r="CQ140" s="321"/>
      <c r="CR140" s="321"/>
      <c r="CS140" s="320"/>
      <c r="CT140" s="368"/>
      <c r="CU140" s="321"/>
      <c r="CV140" s="321"/>
      <c r="CW140" s="368"/>
      <c r="CX140" s="321"/>
      <c r="CY140" s="321"/>
      <c r="CZ140" s="317">
        <v>-54</v>
      </c>
      <c r="DA140" s="367">
        <v>-3</v>
      </c>
      <c r="DB140" s="314">
        <v>0</v>
      </c>
      <c r="DC140" s="321"/>
      <c r="DD140" s="368"/>
      <c r="DE140" s="321"/>
      <c r="DF140" s="321"/>
      <c r="DG140" s="320"/>
      <c r="DH140" s="368"/>
      <c r="DI140" s="321"/>
      <c r="DJ140" s="321"/>
      <c r="DK140" s="368"/>
      <c r="DL140" s="321"/>
      <c r="DM140" s="321"/>
      <c r="DN140" s="320"/>
      <c r="DO140" s="368"/>
      <c r="DP140" s="321"/>
      <c r="DQ140" s="321"/>
      <c r="DR140" s="368"/>
      <c r="DS140" s="321"/>
      <c r="DT140" s="323"/>
      <c r="DU140" s="92" t="s">
        <v>1620</v>
      </c>
    </row>
    <row r="141" spans="1:126" x14ac:dyDescent="0.3">
      <c r="B141" s="311" t="s">
        <v>1621</v>
      </c>
      <c r="D141" s="308" t="s">
        <v>9</v>
      </c>
      <c r="E141" s="308" t="s">
        <v>9</v>
      </c>
      <c r="F141" s="304" t="s">
        <v>9</v>
      </c>
      <c r="G141" s="308" t="s">
        <v>9</v>
      </c>
      <c r="H141" s="308"/>
      <c r="I141" s="308"/>
      <c r="J141" s="308"/>
      <c r="K141" s="308" t="s">
        <v>9</v>
      </c>
      <c r="L141" s="308"/>
      <c r="M141" s="308"/>
      <c r="N141" s="308"/>
      <c r="O141" s="308" t="s">
        <v>9</v>
      </c>
      <c r="P141" s="308"/>
      <c r="Q141" s="308" t="s">
        <v>9</v>
      </c>
      <c r="R141" s="308"/>
      <c r="S141" s="308"/>
      <c r="T141" s="308" t="s">
        <v>9</v>
      </c>
      <c r="U141" s="308"/>
      <c r="V141" s="308"/>
      <c r="W141" s="308"/>
      <c r="X141" s="308"/>
      <c r="Y141" s="308"/>
      <c r="AA141" s="308" t="s">
        <v>9</v>
      </c>
      <c r="AB141" s="308" t="s">
        <v>9</v>
      </c>
      <c r="AC141" s="308"/>
      <c r="AD141" s="308"/>
      <c r="AE141" s="308"/>
      <c r="AF141" s="308"/>
      <c r="AG141" s="308"/>
      <c r="AH141" s="308"/>
      <c r="AI141" s="308" t="s">
        <v>9</v>
      </c>
      <c r="AK141" s="236">
        <v>80</v>
      </c>
      <c r="AM141" s="237" t="s">
        <v>1592</v>
      </c>
      <c r="BW141" s="311">
        <v>341</v>
      </c>
      <c r="BX141" s="311">
        <v>78</v>
      </c>
      <c r="BY141" s="311">
        <v>60</v>
      </c>
      <c r="BZ141" s="312" t="s">
        <v>1744</v>
      </c>
      <c r="CA141" s="312" t="s">
        <v>1744</v>
      </c>
      <c r="CB141" s="312" t="s">
        <v>1744</v>
      </c>
      <c r="CC141" s="312" t="s">
        <v>1744</v>
      </c>
      <c r="CD141" s="312" t="s">
        <v>1744</v>
      </c>
      <c r="CE141" s="312">
        <v>39</v>
      </c>
      <c r="CF141" s="312">
        <v>36</v>
      </c>
      <c r="CG141" s="325">
        <v>0</v>
      </c>
      <c r="CH141" s="325"/>
      <c r="CI141" s="312" t="s">
        <v>1744</v>
      </c>
      <c r="CJ141" s="312" t="s">
        <v>1744</v>
      </c>
      <c r="CK141" s="313" t="s">
        <v>1744</v>
      </c>
      <c r="CL141" s="322"/>
      <c r="CM141" s="367"/>
      <c r="CN141" s="322"/>
      <c r="CO141" s="322"/>
      <c r="CP141" s="368"/>
      <c r="CQ141" s="321"/>
      <c r="CR141" s="321"/>
      <c r="CS141" s="320"/>
      <c r="CT141" s="368"/>
      <c r="CU141" s="321"/>
      <c r="CV141" s="321"/>
      <c r="CW141" s="368"/>
      <c r="CX141" s="321"/>
      <c r="CY141" s="321"/>
      <c r="CZ141" s="317">
        <v>-54</v>
      </c>
      <c r="DA141" s="367">
        <v>-3</v>
      </c>
      <c r="DB141" s="314">
        <v>0</v>
      </c>
      <c r="DC141" s="321"/>
      <c r="DD141" s="368"/>
      <c r="DE141" s="321"/>
      <c r="DF141" s="321"/>
      <c r="DG141" s="320"/>
      <c r="DH141" s="368"/>
      <c r="DI141" s="321"/>
      <c r="DJ141" s="321"/>
      <c r="DK141" s="368"/>
      <c r="DL141" s="321"/>
      <c r="DM141" s="321"/>
      <c r="DN141" s="320"/>
      <c r="DO141" s="368"/>
      <c r="DP141" s="321"/>
      <c r="DQ141" s="321"/>
      <c r="DR141" s="368"/>
      <c r="DS141" s="321"/>
      <c r="DT141" s="323"/>
      <c r="DU141" s="92" t="s">
        <v>1621</v>
      </c>
    </row>
    <row r="142" spans="1:126" x14ac:dyDescent="0.3">
      <c r="B142" s="311" t="s">
        <v>1622</v>
      </c>
      <c r="D142" s="308" t="s">
        <v>9</v>
      </c>
      <c r="E142" s="308" t="s">
        <v>9</v>
      </c>
      <c r="F142" s="304" t="s">
        <v>9</v>
      </c>
      <c r="G142" s="308" t="s">
        <v>9</v>
      </c>
      <c r="H142" s="308"/>
      <c r="I142" s="308"/>
      <c r="J142" s="308"/>
      <c r="K142" s="308"/>
      <c r="L142" s="308"/>
      <c r="M142" s="308" t="s">
        <v>9</v>
      </c>
      <c r="N142" s="308"/>
      <c r="O142" s="308" t="s">
        <v>9</v>
      </c>
      <c r="P142" s="308"/>
      <c r="Q142" s="308" t="s">
        <v>9</v>
      </c>
      <c r="R142" s="308"/>
      <c r="S142" s="308"/>
      <c r="T142" s="308" t="s">
        <v>9</v>
      </c>
      <c r="U142" s="308"/>
      <c r="V142" s="308"/>
      <c r="W142" s="308"/>
      <c r="X142" s="308"/>
      <c r="Y142" s="308"/>
      <c r="AA142" s="308" t="s">
        <v>9</v>
      </c>
      <c r="AB142" s="308" t="s">
        <v>9</v>
      </c>
      <c r="AC142" s="308"/>
      <c r="AD142" s="308"/>
      <c r="AE142" s="308"/>
      <c r="AF142" s="308"/>
      <c r="AG142" s="308"/>
      <c r="AH142" s="308"/>
      <c r="AI142" s="308" t="s">
        <v>9</v>
      </c>
      <c r="AK142" s="236">
        <v>80</v>
      </c>
      <c r="AM142" s="237" t="s">
        <v>1596</v>
      </c>
      <c r="BW142" s="311">
        <v>341</v>
      </c>
      <c r="BX142" s="311">
        <v>78</v>
      </c>
      <c r="BY142" s="311">
        <v>60</v>
      </c>
      <c r="BZ142" s="312" t="s">
        <v>1744</v>
      </c>
      <c r="CA142" s="312" t="s">
        <v>1744</v>
      </c>
      <c r="CB142" s="312" t="s">
        <v>1744</v>
      </c>
      <c r="CC142" s="312" t="s">
        <v>1744</v>
      </c>
      <c r="CD142" s="312" t="s">
        <v>1744</v>
      </c>
      <c r="CE142" s="312">
        <v>39</v>
      </c>
      <c r="CF142" s="312">
        <v>36</v>
      </c>
      <c r="CG142" s="325">
        <v>0</v>
      </c>
      <c r="CH142" s="325"/>
      <c r="CI142" s="312" t="s">
        <v>1744</v>
      </c>
      <c r="CJ142" s="312" t="s">
        <v>1744</v>
      </c>
      <c r="CK142" s="313" t="s">
        <v>1744</v>
      </c>
      <c r="CL142" s="322"/>
      <c r="CM142" s="367"/>
      <c r="CN142" s="322"/>
      <c r="CO142" s="322"/>
      <c r="CP142" s="368"/>
      <c r="CQ142" s="321"/>
      <c r="CR142" s="321"/>
      <c r="CS142" s="320"/>
      <c r="CT142" s="368"/>
      <c r="CU142" s="321"/>
      <c r="CV142" s="321"/>
      <c r="CW142" s="368"/>
      <c r="CX142" s="321"/>
      <c r="CY142" s="321"/>
      <c r="CZ142" s="317">
        <v>-54</v>
      </c>
      <c r="DA142" s="367">
        <v>-3</v>
      </c>
      <c r="DB142" s="314">
        <v>0</v>
      </c>
      <c r="DC142" s="321"/>
      <c r="DD142" s="368"/>
      <c r="DE142" s="321"/>
      <c r="DF142" s="321"/>
      <c r="DG142" s="320"/>
      <c r="DH142" s="368"/>
      <c r="DI142" s="321"/>
      <c r="DJ142" s="321"/>
      <c r="DK142" s="368"/>
      <c r="DL142" s="321"/>
      <c r="DM142" s="321"/>
      <c r="DN142" s="320"/>
      <c r="DO142" s="368"/>
      <c r="DP142" s="321"/>
      <c r="DQ142" s="321"/>
      <c r="DR142" s="368"/>
      <c r="DS142" s="321"/>
      <c r="DT142" s="323"/>
      <c r="DU142" s="92" t="s">
        <v>1622</v>
      </c>
    </row>
    <row r="143" spans="1:126" x14ac:dyDescent="0.3">
      <c r="B143" s="311" t="s">
        <v>1624</v>
      </c>
      <c r="D143" s="308" t="s">
        <v>9</v>
      </c>
      <c r="E143" s="308"/>
      <c r="F143" s="304" t="s">
        <v>9</v>
      </c>
      <c r="G143" s="308"/>
      <c r="H143" s="308"/>
      <c r="I143" s="308"/>
      <c r="J143" s="308"/>
      <c r="K143" s="308" t="s">
        <v>9</v>
      </c>
      <c r="L143" s="308"/>
      <c r="M143" s="308"/>
      <c r="N143" s="308"/>
      <c r="O143" s="308" t="s">
        <v>9</v>
      </c>
      <c r="P143" s="308"/>
      <c r="Q143" s="308"/>
      <c r="R143" s="308"/>
      <c r="S143" s="308"/>
      <c r="T143" s="308" t="s">
        <v>9</v>
      </c>
      <c r="U143" s="308" t="s">
        <v>9</v>
      </c>
      <c r="V143" s="308"/>
      <c r="W143" s="308"/>
      <c r="X143" s="308"/>
      <c r="Y143" s="308"/>
      <c r="AA143" s="308" t="s">
        <v>9</v>
      </c>
      <c r="AB143" s="308"/>
      <c r="AC143" s="308"/>
      <c r="AD143" s="308"/>
      <c r="AE143" s="308"/>
      <c r="AF143" s="308"/>
      <c r="AG143" s="308"/>
      <c r="AH143" s="308"/>
      <c r="AI143" s="308" t="s">
        <v>9</v>
      </c>
      <c r="AK143" s="236" t="s">
        <v>1623</v>
      </c>
      <c r="AM143" s="237" t="s">
        <v>1592</v>
      </c>
      <c r="BW143" s="311">
        <v>341</v>
      </c>
      <c r="BX143" s="311">
        <v>78</v>
      </c>
      <c r="BY143" s="311">
        <v>60</v>
      </c>
      <c r="BZ143" s="312" t="s">
        <v>1744</v>
      </c>
      <c r="CA143" s="312" t="s">
        <v>1744</v>
      </c>
      <c r="CB143" s="312" t="s">
        <v>1744</v>
      </c>
      <c r="CC143" s="312" t="s">
        <v>1744</v>
      </c>
      <c r="CD143" s="312" t="s">
        <v>1744</v>
      </c>
      <c r="CE143" s="312">
        <v>39</v>
      </c>
      <c r="CF143" s="312">
        <v>36</v>
      </c>
      <c r="CG143" s="325">
        <v>0</v>
      </c>
      <c r="CH143" s="325"/>
      <c r="CI143" s="312" t="s">
        <v>1744</v>
      </c>
      <c r="CJ143" s="312" t="s">
        <v>1744</v>
      </c>
      <c r="CK143" s="313" t="s">
        <v>1744</v>
      </c>
      <c r="CL143" s="322"/>
      <c r="CM143" s="367"/>
      <c r="CN143" s="322"/>
      <c r="CO143" s="322"/>
      <c r="CP143" s="368"/>
      <c r="CQ143" s="321"/>
      <c r="CR143" s="321"/>
      <c r="CS143" s="320"/>
      <c r="CT143" s="368"/>
      <c r="CU143" s="321"/>
      <c r="CV143" s="321"/>
      <c r="CW143" s="368"/>
      <c r="CX143" s="321"/>
      <c r="CY143" s="321"/>
      <c r="CZ143" s="317">
        <v>-54</v>
      </c>
      <c r="DA143" s="367">
        <v>-3</v>
      </c>
      <c r="DB143" s="314">
        <v>0</v>
      </c>
      <c r="DC143" s="321"/>
      <c r="DD143" s="368"/>
      <c r="DE143" s="321"/>
      <c r="DF143" s="321"/>
      <c r="DG143" s="320"/>
      <c r="DH143" s="368"/>
      <c r="DI143" s="321"/>
      <c r="DJ143" s="321"/>
      <c r="DK143" s="368"/>
      <c r="DL143" s="321"/>
      <c r="DM143" s="321"/>
      <c r="DN143" s="320"/>
      <c r="DO143" s="368"/>
      <c r="DP143" s="321"/>
      <c r="DQ143" s="321"/>
      <c r="DR143" s="368"/>
      <c r="DS143" s="321"/>
      <c r="DT143" s="323"/>
      <c r="DU143" s="92" t="s">
        <v>1624</v>
      </c>
    </row>
    <row r="144" spans="1:126" x14ac:dyDescent="0.3">
      <c r="B144" s="311" t="s">
        <v>1625</v>
      </c>
      <c r="D144" s="308" t="s">
        <v>9</v>
      </c>
      <c r="E144" s="308"/>
      <c r="F144" s="304" t="s">
        <v>9</v>
      </c>
      <c r="G144" s="308"/>
      <c r="H144" s="308"/>
      <c r="I144" s="308"/>
      <c r="J144" s="308"/>
      <c r="K144" s="308"/>
      <c r="L144" s="308" t="s">
        <v>9</v>
      </c>
      <c r="M144" s="308"/>
      <c r="N144" s="308"/>
      <c r="O144" s="308" t="s">
        <v>9</v>
      </c>
      <c r="P144" s="308"/>
      <c r="Q144" s="308"/>
      <c r="R144" s="308"/>
      <c r="S144" s="308"/>
      <c r="T144" s="308" t="s">
        <v>9</v>
      </c>
      <c r="U144" s="308" t="s">
        <v>9</v>
      </c>
      <c r="V144" s="308"/>
      <c r="W144" s="308"/>
      <c r="X144" s="308"/>
      <c r="Y144" s="308"/>
      <c r="AA144" s="308" t="s">
        <v>9</v>
      </c>
      <c r="AB144" s="308"/>
      <c r="AC144" s="308"/>
      <c r="AD144" s="308"/>
      <c r="AE144" s="308"/>
      <c r="AF144" s="308"/>
      <c r="AG144" s="308"/>
      <c r="AH144" s="308"/>
      <c r="AI144" s="308" t="s">
        <v>9</v>
      </c>
      <c r="AK144" s="236" t="s">
        <v>1623</v>
      </c>
      <c r="AM144" s="237" t="s">
        <v>1594</v>
      </c>
      <c r="BW144" s="311">
        <v>341</v>
      </c>
      <c r="BX144" s="311">
        <v>78</v>
      </c>
      <c r="BY144" s="311">
        <v>60</v>
      </c>
      <c r="BZ144" s="312" t="s">
        <v>1744</v>
      </c>
      <c r="CA144" s="312" t="s">
        <v>1744</v>
      </c>
      <c r="CB144" s="312" t="s">
        <v>1744</v>
      </c>
      <c r="CC144" s="312" t="s">
        <v>1744</v>
      </c>
      <c r="CD144" s="312" t="s">
        <v>1744</v>
      </c>
      <c r="CE144" s="312">
        <v>39</v>
      </c>
      <c r="CF144" s="312">
        <v>36</v>
      </c>
      <c r="CG144" s="325">
        <v>0</v>
      </c>
      <c r="CH144" s="325"/>
      <c r="CI144" s="312" t="s">
        <v>1744</v>
      </c>
      <c r="CJ144" s="312" t="s">
        <v>1744</v>
      </c>
      <c r="CK144" s="313" t="s">
        <v>1744</v>
      </c>
      <c r="CL144" s="322"/>
      <c r="CM144" s="367"/>
      <c r="CN144" s="322"/>
      <c r="CO144" s="322"/>
      <c r="CP144" s="368"/>
      <c r="CQ144" s="321"/>
      <c r="CR144" s="321"/>
      <c r="CS144" s="320"/>
      <c r="CT144" s="368"/>
      <c r="CU144" s="321"/>
      <c r="CV144" s="321"/>
      <c r="CW144" s="368"/>
      <c r="CX144" s="321"/>
      <c r="CY144" s="321"/>
      <c r="CZ144" s="317">
        <v>-54</v>
      </c>
      <c r="DA144" s="367">
        <v>-3</v>
      </c>
      <c r="DB144" s="314">
        <v>0</v>
      </c>
      <c r="DC144" s="321"/>
      <c r="DD144" s="368"/>
      <c r="DE144" s="321"/>
      <c r="DF144" s="321"/>
      <c r="DG144" s="320"/>
      <c r="DH144" s="368"/>
      <c r="DI144" s="321"/>
      <c r="DJ144" s="321"/>
      <c r="DK144" s="368"/>
      <c r="DL144" s="321"/>
      <c r="DM144" s="321"/>
      <c r="DN144" s="320"/>
      <c r="DO144" s="368"/>
      <c r="DP144" s="321"/>
      <c r="DQ144" s="321"/>
      <c r="DR144" s="368"/>
      <c r="DS144" s="321"/>
      <c r="DT144" s="323"/>
      <c r="DU144" s="92" t="s">
        <v>1625</v>
      </c>
    </row>
    <row r="145" spans="2:125" x14ac:dyDescent="0.3">
      <c r="B145" s="311" t="s">
        <v>1626</v>
      </c>
      <c r="D145" s="308" t="s">
        <v>9</v>
      </c>
      <c r="E145" s="308"/>
      <c r="F145" s="304" t="s">
        <v>9</v>
      </c>
      <c r="G145" s="308"/>
      <c r="H145" s="308"/>
      <c r="I145" s="308"/>
      <c r="J145" s="308"/>
      <c r="K145" s="308"/>
      <c r="L145" s="308"/>
      <c r="M145" s="308" t="s">
        <v>9</v>
      </c>
      <c r="N145" s="308"/>
      <c r="O145" s="308" t="s">
        <v>9</v>
      </c>
      <c r="P145" s="308"/>
      <c r="Q145" s="308"/>
      <c r="R145" s="308"/>
      <c r="S145" s="308"/>
      <c r="T145" s="308" t="s">
        <v>9</v>
      </c>
      <c r="U145" s="308" t="s">
        <v>9</v>
      </c>
      <c r="V145" s="308"/>
      <c r="W145" s="308"/>
      <c r="X145" s="308"/>
      <c r="Y145" s="308"/>
      <c r="AA145" s="308" t="s">
        <v>9</v>
      </c>
      <c r="AB145" s="308"/>
      <c r="AC145" s="308"/>
      <c r="AD145" s="308"/>
      <c r="AE145" s="308"/>
      <c r="AF145" s="308"/>
      <c r="AG145" s="308"/>
      <c r="AH145" s="308"/>
      <c r="AI145" s="308" t="s">
        <v>9</v>
      </c>
      <c r="AK145" s="236" t="s">
        <v>1623</v>
      </c>
      <c r="AM145" s="237" t="s">
        <v>1596</v>
      </c>
      <c r="BW145" s="311">
        <v>341</v>
      </c>
      <c r="BX145" s="311">
        <v>78</v>
      </c>
      <c r="BY145" s="311">
        <v>60</v>
      </c>
      <c r="BZ145" s="312" t="s">
        <v>1744</v>
      </c>
      <c r="CA145" s="312" t="s">
        <v>1744</v>
      </c>
      <c r="CB145" s="312" t="s">
        <v>1744</v>
      </c>
      <c r="CC145" s="312" t="s">
        <v>1744</v>
      </c>
      <c r="CD145" s="312" t="s">
        <v>1744</v>
      </c>
      <c r="CE145" s="312">
        <v>39</v>
      </c>
      <c r="CF145" s="312">
        <v>36</v>
      </c>
      <c r="CG145" s="325">
        <v>0</v>
      </c>
      <c r="CH145" s="325"/>
      <c r="CI145" s="312" t="s">
        <v>1744</v>
      </c>
      <c r="CJ145" s="312" t="s">
        <v>1744</v>
      </c>
      <c r="CK145" s="313" t="s">
        <v>1744</v>
      </c>
      <c r="CL145" s="322"/>
      <c r="CM145" s="367"/>
      <c r="CN145" s="322"/>
      <c r="CO145" s="322"/>
      <c r="CP145" s="368"/>
      <c r="CQ145" s="321"/>
      <c r="CR145" s="321"/>
      <c r="CS145" s="320"/>
      <c r="CT145" s="368"/>
      <c r="CU145" s="321"/>
      <c r="CV145" s="321"/>
      <c r="CW145" s="368"/>
      <c r="CX145" s="321"/>
      <c r="CY145" s="321"/>
      <c r="CZ145" s="317">
        <v>-54</v>
      </c>
      <c r="DA145" s="367">
        <v>-3</v>
      </c>
      <c r="DB145" s="314">
        <v>0</v>
      </c>
      <c r="DC145" s="321"/>
      <c r="DD145" s="368"/>
      <c r="DE145" s="321"/>
      <c r="DF145" s="321"/>
      <c r="DG145" s="320"/>
      <c r="DH145" s="368"/>
      <c r="DI145" s="321"/>
      <c r="DJ145" s="321"/>
      <c r="DK145" s="368"/>
      <c r="DL145" s="321"/>
      <c r="DM145" s="321"/>
      <c r="DN145" s="320"/>
      <c r="DO145" s="368"/>
      <c r="DP145" s="321"/>
      <c r="DQ145" s="321"/>
      <c r="DR145" s="368"/>
      <c r="DS145" s="321"/>
      <c r="DT145" s="323"/>
      <c r="DU145" s="92" t="s">
        <v>1626</v>
      </c>
    </row>
    <row r="146" spans="2:125" x14ac:dyDescent="0.3">
      <c r="B146" s="311" t="s">
        <v>1628</v>
      </c>
      <c r="D146" s="308"/>
      <c r="E146" s="308" t="s">
        <v>9</v>
      </c>
      <c r="F146" s="304" t="s">
        <v>9</v>
      </c>
      <c r="G146" s="308"/>
      <c r="H146" s="308"/>
      <c r="I146" s="308"/>
      <c r="J146" s="308"/>
      <c r="K146" s="308" t="s">
        <v>9</v>
      </c>
      <c r="L146" s="308"/>
      <c r="M146" s="308"/>
      <c r="N146" s="308"/>
      <c r="O146" s="308" t="s">
        <v>9</v>
      </c>
      <c r="P146" s="308"/>
      <c r="Q146" s="308"/>
      <c r="R146" s="308"/>
      <c r="S146" s="308"/>
      <c r="T146" s="308" t="s">
        <v>9</v>
      </c>
      <c r="U146" s="308" t="s">
        <v>9</v>
      </c>
      <c r="V146" s="308"/>
      <c r="W146" s="308"/>
      <c r="X146" s="308"/>
      <c r="Y146" s="308"/>
      <c r="AA146" s="308" t="s">
        <v>9</v>
      </c>
      <c r="AB146" s="308"/>
      <c r="AC146" s="308"/>
      <c r="AD146" s="308"/>
      <c r="AE146" s="308"/>
      <c r="AF146" s="308"/>
      <c r="AG146" s="308"/>
      <c r="AH146" s="308"/>
      <c r="AI146" s="308" t="s">
        <v>9</v>
      </c>
      <c r="AK146" s="236" t="s">
        <v>1623</v>
      </c>
      <c r="AM146" s="237" t="s">
        <v>1627</v>
      </c>
      <c r="BW146" s="311">
        <v>341</v>
      </c>
      <c r="BX146" s="311">
        <v>78</v>
      </c>
      <c r="BY146" s="311">
        <v>60</v>
      </c>
      <c r="BZ146" s="312" t="s">
        <v>1744</v>
      </c>
      <c r="CA146" s="312" t="s">
        <v>1744</v>
      </c>
      <c r="CB146" s="312" t="s">
        <v>1744</v>
      </c>
      <c r="CC146" s="312" t="s">
        <v>1744</v>
      </c>
      <c r="CD146" s="312" t="s">
        <v>1744</v>
      </c>
      <c r="CE146" s="312">
        <v>39</v>
      </c>
      <c r="CF146" s="312">
        <v>36</v>
      </c>
      <c r="CG146" s="325">
        <v>0</v>
      </c>
      <c r="CH146" s="325"/>
      <c r="CI146" s="312" t="s">
        <v>1744</v>
      </c>
      <c r="CJ146" s="312" t="s">
        <v>1744</v>
      </c>
      <c r="CK146" s="313" t="s">
        <v>1744</v>
      </c>
      <c r="CL146" s="322"/>
      <c r="CM146" s="367"/>
      <c r="CN146" s="322"/>
      <c r="CO146" s="322"/>
      <c r="CP146" s="368"/>
      <c r="CQ146" s="321"/>
      <c r="CR146" s="321"/>
      <c r="CS146" s="320"/>
      <c r="CT146" s="368"/>
      <c r="CU146" s="321"/>
      <c r="CV146" s="321"/>
      <c r="CW146" s="368"/>
      <c r="CX146" s="321"/>
      <c r="CY146" s="321"/>
      <c r="CZ146" s="317">
        <v>-54</v>
      </c>
      <c r="DA146" s="367">
        <v>-3</v>
      </c>
      <c r="DB146" s="314">
        <v>0</v>
      </c>
      <c r="DC146" s="321"/>
      <c r="DD146" s="368"/>
      <c r="DE146" s="321"/>
      <c r="DF146" s="321"/>
      <c r="DG146" s="320"/>
      <c r="DH146" s="368"/>
      <c r="DI146" s="321"/>
      <c r="DJ146" s="321"/>
      <c r="DK146" s="368"/>
      <c r="DL146" s="321"/>
      <c r="DM146" s="321"/>
      <c r="DN146" s="320"/>
      <c r="DO146" s="368"/>
      <c r="DP146" s="321"/>
      <c r="DQ146" s="321"/>
      <c r="DR146" s="368"/>
      <c r="DS146" s="321"/>
      <c r="DT146" s="323"/>
      <c r="DU146" s="92" t="s">
        <v>1628</v>
      </c>
    </row>
    <row r="147" spans="2:125" x14ac:dyDescent="0.3">
      <c r="B147" s="311" t="s">
        <v>1630</v>
      </c>
      <c r="D147" s="308"/>
      <c r="E147" s="308" t="s">
        <v>9</v>
      </c>
      <c r="F147" s="304" t="s">
        <v>9</v>
      </c>
      <c r="G147" s="308"/>
      <c r="H147" s="308"/>
      <c r="I147" s="308"/>
      <c r="J147" s="308"/>
      <c r="K147" s="308"/>
      <c r="L147" s="308" t="s">
        <v>9</v>
      </c>
      <c r="M147" s="308"/>
      <c r="N147" s="308"/>
      <c r="O147" s="308" t="s">
        <v>9</v>
      </c>
      <c r="P147" s="308"/>
      <c r="Q147" s="308"/>
      <c r="R147" s="308"/>
      <c r="S147" s="308"/>
      <c r="T147" s="308" t="s">
        <v>9</v>
      </c>
      <c r="U147" s="308" t="s">
        <v>9</v>
      </c>
      <c r="V147" s="308"/>
      <c r="W147" s="308"/>
      <c r="X147" s="308"/>
      <c r="Y147" s="308"/>
      <c r="AA147" s="308" t="s">
        <v>9</v>
      </c>
      <c r="AB147" s="308"/>
      <c r="AC147" s="308"/>
      <c r="AD147" s="308"/>
      <c r="AE147" s="308"/>
      <c r="AF147" s="308"/>
      <c r="AG147" s="308"/>
      <c r="AH147" s="308"/>
      <c r="AI147" s="308" t="s">
        <v>9</v>
      </c>
      <c r="AK147" s="236" t="s">
        <v>1623</v>
      </c>
      <c r="AM147" s="237" t="s">
        <v>1629</v>
      </c>
      <c r="BW147" s="311">
        <v>341</v>
      </c>
      <c r="BX147" s="311">
        <v>78</v>
      </c>
      <c r="BY147" s="311">
        <v>60</v>
      </c>
      <c r="BZ147" s="312" t="s">
        <v>1744</v>
      </c>
      <c r="CA147" s="312" t="s">
        <v>1744</v>
      </c>
      <c r="CB147" s="312" t="s">
        <v>1744</v>
      </c>
      <c r="CC147" s="312" t="s">
        <v>1744</v>
      </c>
      <c r="CD147" s="312" t="s">
        <v>1744</v>
      </c>
      <c r="CE147" s="312">
        <v>39</v>
      </c>
      <c r="CF147" s="312">
        <v>36</v>
      </c>
      <c r="CG147" s="325">
        <v>0</v>
      </c>
      <c r="CH147" s="325"/>
      <c r="CI147" s="312" t="s">
        <v>1744</v>
      </c>
      <c r="CJ147" s="312" t="s">
        <v>1744</v>
      </c>
      <c r="CK147" s="313" t="s">
        <v>1744</v>
      </c>
      <c r="CL147" s="322"/>
      <c r="CM147" s="367"/>
      <c r="CN147" s="322"/>
      <c r="CO147" s="322"/>
      <c r="CP147" s="368"/>
      <c r="CQ147" s="321"/>
      <c r="CR147" s="321"/>
      <c r="CS147" s="320"/>
      <c r="CT147" s="368"/>
      <c r="CU147" s="321"/>
      <c r="CV147" s="321"/>
      <c r="CW147" s="368"/>
      <c r="CX147" s="321"/>
      <c r="CY147" s="321"/>
      <c r="CZ147" s="317">
        <v>-54</v>
      </c>
      <c r="DA147" s="367">
        <v>-3</v>
      </c>
      <c r="DB147" s="314">
        <v>0</v>
      </c>
      <c r="DC147" s="321"/>
      <c r="DD147" s="368"/>
      <c r="DE147" s="321"/>
      <c r="DF147" s="321"/>
      <c r="DG147" s="320"/>
      <c r="DH147" s="368"/>
      <c r="DI147" s="321"/>
      <c r="DJ147" s="321"/>
      <c r="DK147" s="368"/>
      <c r="DL147" s="321"/>
      <c r="DM147" s="321"/>
      <c r="DN147" s="320"/>
      <c r="DO147" s="368"/>
      <c r="DP147" s="321"/>
      <c r="DQ147" s="321"/>
      <c r="DR147" s="368"/>
      <c r="DS147" s="321"/>
      <c r="DT147" s="323"/>
      <c r="DU147" s="92" t="s">
        <v>1630</v>
      </c>
    </row>
    <row r="148" spans="2:125" x14ac:dyDescent="0.3">
      <c r="B148" s="311" t="s">
        <v>1632</v>
      </c>
      <c r="D148" s="308"/>
      <c r="E148" s="308" t="s">
        <v>9</v>
      </c>
      <c r="F148" s="304" t="s">
        <v>9</v>
      </c>
      <c r="G148" s="308"/>
      <c r="H148" s="308"/>
      <c r="I148" s="308"/>
      <c r="J148" s="308"/>
      <c r="K148" s="308"/>
      <c r="L148" s="308"/>
      <c r="M148" s="308" t="s">
        <v>9</v>
      </c>
      <c r="N148" s="308"/>
      <c r="O148" s="308" t="s">
        <v>9</v>
      </c>
      <c r="P148" s="308"/>
      <c r="Q148" s="308"/>
      <c r="R148" s="308"/>
      <c r="S148" s="308"/>
      <c r="T148" s="308" t="s">
        <v>9</v>
      </c>
      <c r="U148" s="308" t="s">
        <v>9</v>
      </c>
      <c r="V148" s="308"/>
      <c r="W148" s="308"/>
      <c r="X148" s="308"/>
      <c r="Y148" s="308"/>
      <c r="AA148" s="308" t="s">
        <v>9</v>
      </c>
      <c r="AB148" s="308"/>
      <c r="AC148" s="308"/>
      <c r="AD148" s="308"/>
      <c r="AE148" s="308"/>
      <c r="AF148" s="308"/>
      <c r="AG148" s="308"/>
      <c r="AH148" s="308"/>
      <c r="AI148" s="308" t="s">
        <v>9</v>
      </c>
      <c r="AK148" s="236" t="s">
        <v>1623</v>
      </c>
      <c r="AM148" s="237" t="s">
        <v>1631</v>
      </c>
      <c r="BW148" s="311">
        <v>341</v>
      </c>
      <c r="BX148" s="311">
        <v>78</v>
      </c>
      <c r="BY148" s="311">
        <v>60</v>
      </c>
      <c r="BZ148" s="312" t="s">
        <v>1744</v>
      </c>
      <c r="CA148" s="312" t="s">
        <v>1744</v>
      </c>
      <c r="CB148" s="312" t="s">
        <v>1744</v>
      </c>
      <c r="CC148" s="312" t="s">
        <v>1744</v>
      </c>
      <c r="CD148" s="312" t="s">
        <v>1744</v>
      </c>
      <c r="CE148" s="312">
        <v>39</v>
      </c>
      <c r="CF148" s="312">
        <v>36</v>
      </c>
      <c r="CG148" s="325">
        <v>0</v>
      </c>
      <c r="CH148" s="325"/>
      <c r="CI148" s="312" t="s">
        <v>1744</v>
      </c>
      <c r="CJ148" s="312" t="s">
        <v>1744</v>
      </c>
      <c r="CK148" s="313" t="s">
        <v>1744</v>
      </c>
      <c r="CL148" s="322"/>
      <c r="CM148" s="367"/>
      <c r="CN148" s="322"/>
      <c r="CO148" s="322"/>
      <c r="CP148" s="368"/>
      <c r="CQ148" s="321"/>
      <c r="CR148" s="321"/>
      <c r="CS148" s="320"/>
      <c r="CT148" s="368"/>
      <c r="CU148" s="321"/>
      <c r="CV148" s="321"/>
      <c r="CW148" s="368"/>
      <c r="CX148" s="321"/>
      <c r="CY148" s="321"/>
      <c r="CZ148" s="317">
        <v>-54</v>
      </c>
      <c r="DA148" s="367">
        <v>-3</v>
      </c>
      <c r="DB148" s="314">
        <v>0</v>
      </c>
      <c r="DC148" s="321"/>
      <c r="DD148" s="368"/>
      <c r="DE148" s="321"/>
      <c r="DF148" s="321"/>
      <c r="DG148" s="320"/>
      <c r="DH148" s="368"/>
      <c r="DI148" s="321"/>
      <c r="DJ148" s="321"/>
      <c r="DK148" s="368"/>
      <c r="DL148" s="321"/>
      <c r="DM148" s="321"/>
      <c r="DN148" s="320"/>
      <c r="DO148" s="368"/>
      <c r="DP148" s="321"/>
      <c r="DQ148" s="321"/>
      <c r="DR148" s="368"/>
      <c r="DS148" s="321"/>
      <c r="DT148" s="323"/>
      <c r="DU148" s="92" t="s">
        <v>1632</v>
      </c>
    </row>
    <row r="149" spans="2:125" x14ac:dyDescent="0.3">
      <c r="B149" s="311" t="s">
        <v>1634</v>
      </c>
      <c r="D149" s="308" t="s">
        <v>9</v>
      </c>
      <c r="E149" s="308"/>
      <c r="F149" s="304" t="s">
        <v>9</v>
      </c>
      <c r="G149" s="308"/>
      <c r="H149" s="308"/>
      <c r="I149" s="308"/>
      <c r="J149" s="308"/>
      <c r="K149" s="308" t="s">
        <v>9</v>
      </c>
      <c r="L149" s="308"/>
      <c r="M149" s="308"/>
      <c r="N149" s="308"/>
      <c r="O149" s="308" t="s">
        <v>9</v>
      </c>
      <c r="P149" s="308"/>
      <c r="Q149" s="308"/>
      <c r="R149" s="308"/>
      <c r="S149" s="308"/>
      <c r="T149" s="308" t="s">
        <v>9</v>
      </c>
      <c r="U149" s="308" t="s">
        <v>9</v>
      </c>
      <c r="V149" s="308"/>
      <c r="W149" s="308"/>
      <c r="X149" s="308"/>
      <c r="Y149" s="308"/>
      <c r="AA149" s="308" t="s">
        <v>9</v>
      </c>
      <c r="AB149" s="308"/>
      <c r="AC149" s="308" t="s">
        <v>9</v>
      </c>
      <c r="AD149" s="308"/>
      <c r="AE149" s="308" t="s">
        <v>9</v>
      </c>
      <c r="AF149" s="308"/>
      <c r="AG149" s="308"/>
      <c r="AH149" s="308"/>
      <c r="AI149" s="308" t="s">
        <v>9</v>
      </c>
      <c r="AK149" s="236" t="s">
        <v>1633</v>
      </c>
      <c r="AM149" s="237" t="s">
        <v>1592</v>
      </c>
      <c r="BW149" s="311">
        <v>341</v>
      </c>
      <c r="BX149" s="311">
        <v>78</v>
      </c>
      <c r="BY149" s="311">
        <v>60</v>
      </c>
      <c r="BZ149" s="312" t="s">
        <v>1744</v>
      </c>
      <c r="CA149" s="312" t="s">
        <v>1744</v>
      </c>
      <c r="CB149" s="312" t="s">
        <v>1744</v>
      </c>
      <c r="CC149" s="312" t="s">
        <v>1744</v>
      </c>
      <c r="CD149" s="312" t="s">
        <v>1744</v>
      </c>
      <c r="CE149" s="312">
        <v>39</v>
      </c>
      <c r="CF149" s="312">
        <v>36</v>
      </c>
      <c r="CG149" s="325">
        <v>0</v>
      </c>
      <c r="CH149" s="325"/>
      <c r="CI149" s="312" t="s">
        <v>1744</v>
      </c>
      <c r="CJ149" s="312" t="s">
        <v>1744</v>
      </c>
      <c r="CK149" s="313" t="s">
        <v>1744</v>
      </c>
      <c r="CL149" s="322"/>
      <c r="CM149" s="367"/>
      <c r="CN149" s="322"/>
      <c r="CO149" s="322"/>
      <c r="CP149" s="368"/>
      <c r="CQ149" s="321"/>
      <c r="CR149" s="321"/>
      <c r="CS149" s="320"/>
      <c r="CT149" s="368"/>
      <c r="CU149" s="321"/>
      <c r="CV149" s="321"/>
      <c r="CW149" s="368"/>
      <c r="CX149" s="321"/>
      <c r="CY149" s="321"/>
      <c r="CZ149" s="317">
        <v>-54</v>
      </c>
      <c r="DA149" s="367">
        <v>-3</v>
      </c>
      <c r="DB149" s="314">
        <v>0</v>
      </c>
      <c r="DC149" s="321"/>
      <c r="DD149" s="368"/>
      <c r="DE149" s="321"/>
      <c r="DF149" s="321"/>
      <c r="DG149" s="320"/>
      <c r="DH149" s="368"/>
      <c r="DI149" s="321"/>
      <c r="DJ149" s="321"/>
      <c r="DK149" s="368"/>
      <c r="DL149" s="321"/>
      <c r="DM149" s="321"/>
      <c r="DN149" s="320"/>
      <c r="DO149" s="368"/>
      <c r="DP149" s="321"/>
      <c r="DQ149" s="321"/>
      <c r="DR149" s="368"/>
      <c r="DS149" s="321"/>
      <c r="DT149" s="323"/>
      <c r="DU149" s="92" t="s">
        <v>1634</v>
      </c>
    </row>
    <row r="150" spans="2:125" x14ac:dyDescent="0.3">
      <c r="B150" s="311" t="s">
        <v>1635</v>
      </c>
      <c r="D150" s="308" t="s">
        <v>9</v>
      </c>
      <c r="E150" s="308"/>
      <c r="F150" s="304" t="s">
        <v>9</v>
      </c>
      <c r="G150" s="308"/>
      <c r="H150" s="308"/>
      <c r="I150" s="308"/>
      <c r="J150" s="308"/>
      <c r="K150" s="308"/>
      <c r="L150" s="308" t="s">
        <v>9</v>
      </c>
      <c r="M150" s="308"/>
      <c r="N150" s="308"/>
      <c r="O150" s="308" t="s">
        <v>9</v>
      </c>
      <c r="P150" s="308"/>
      <c r="Q150" s="308"/>
      <c r="R150" s="308"/>
      <c r="S150" s="308"/>
      <c r="T150" s="308" t="s">
        <v>9</v>
      </c>
      <c r="U150" s="308" t="s">
        <v>9</v>
      </c>
      <c r="V150" s="308"/>
      <c r="W150" s="308"/>
      <c r="X150" s="308"/>
      <c r="Y150" s="308"/>
      <c r="AA150" s="308" t="s">
        <v>9</v>
      </c>
      <c r="AB150" s="308"/>
      <c r="AC150" s="308" t="s">
        <v>9</v>
      </c>
      <c r="AD150" s="308"/>
      <c r="AE150" s="308" t="s">
        <v>9</v>
      </c>
      <c r="AF150" s="308"/>
      <c r="AG150" s="308"/>
      <c r="AH150" s="308"/>
      <c r="AI150" s="308" t="s">
        <v>9</v>
      </c>
      <c r="AK150" s="236" t="s">
        <v>1633</v>
      </c>
      <c r="AM150" s="237" t="s">
        <v>1594</v>
      </c>
      <c r="BW150" s="311">
        <v>341</v>
      </c>
      <c r="BX150" s="311">
        <v>78</v>
      </c>
      <c r="BY150" s="311">
        <v>60</v>
      </c>
      <c r="BZ150" s="312" t="s">
        <v>1744</v>
      </c>
      <c r="CA150" s="312" t="s">
        <v>1744</v>
      </c>
      <c r="CB150" s="312" t="s">
        <v>1744</v>
      </c>
      <c r="CC150" s="312" t="s">
        <v>1744</v>
      </c>
      <c r="CD150" s="312" t="s">
        <v>1744</v>
      </c>
      <c r="CE150" s="312">
        <v>39</v>
      </c>
      <c r="CF150" s="312">
        <v>36</v>
      </c>
      <c r="CG150" s="325">
        <v>0</v>
      </c>
      <c r="CH150" s="325"/>
      <c r="CI150" s="312" t="s">
        <v>1744</v>
      </c>
      <c r="CJ150" s="312" t="s">
        <v>1744</v>
      </c>
      <c r="CK150" s="313" t="s">
        <v>1744</v>
      </c>
      <c r="CL150" s="322"/>
      <c r="CM150" s="367"/>
      <c r="CN150" s="322"/>
      <c r="CO150" s="322"/>
      <c r="CP150" s="368"/>
      <c r="CQ150" s="321"/>
      <c r="CR150" s="321"/>
      <c r="CS150" s="320"/>
      <c r="CT150" s="368"/>
      <c r="CU150" s="321"/>
      <c r="CV150" s="321"/>
      <c r="CW150" s="368"/>
      <c r="CX150" s="321"/>
      <c r="CY150" s="321"/>
      <c r="CZ150" s="317">
        <v>-54</v>
      </c>
      <c r="DA150" s="367">
        <v>-3</v>
      </c>
      <c r="DB150" s="314">
        <v>0</v>
      </c>
      <c r="DC150" s="321"/>
      <c r="DD150" s="368"/>
      <c r="DE150" s="321"/>
      <c r="DF150" s="321"/>
      <c r="DG150" s="320"/>
      <c r="DH150" s="368"/>
      <c r="DI150" s="321"/>
      <c r="DJ150" s="321"/>
      <c r="DK150" s="368"/>
      <c r="DL150" s="321"/>
      <c r="DM150" s="321"/>
      <c r="DN150" s="320"/>
      <c r="DO150" s="368"/>
      <c r="DP150" s="321"/>
      <c r="DQ150" s="321"/>
      <c r="DR150" s="368"/>
      <c r="DS150" s="321"/>
      <c r="DT150" s="323"/>
      <c r="DU150" s="92" t="s">
        <v>1635</v>
      </c>
    </row>
    <row r="151" spans="2:125" x14ac:dyDescent="0.3">
      <c r="B151" s="311" t="s">
        <v>1636</v>
      </c>
      <c r="D151" s="308" t="s">
        <v>9</v>
      </c>
      <c r="E151" s="308"/>
      <c r="F151" s="304" t="s">
        <v>9</v>
      </c>
      <c r="G151" s="308"/>
      <c r="H151" s="308"/>
      <c r="I151" s="308"/>
      <c r="J151" s="308"/>
      <c r="K151" s="308"/>
      <c r="L151" s="308"/>
      <c r="M151" s="308" t="s">
        <v>9</v>
      </c>
      <c r="N151" s="308"/>
      <c r="O151" s="308" t="s">
        <v>9</v>
      </c>
      <c r="P151" s="308"/>
      <c r="Q151" s="308"/>
      <c r="R151" s="308"/>
      <c r="S151" s="308"/>
      <c r="T151" s="308" t="s">
        <v>9</v>
      </c>
      <c r="U151" s="308" t="s">
        <v>9</v>
      </c>
      <c r="V151" s="308"/>
      <c r="W151" s="308"/>
      <c r="X151" s="308"/>
      <c r="Y151" s="308"/>
      <c r="AA151" s="308" t="s">
        <v>9</v>
      </c>
      <c r="AB151" s="308"/>
      <c r="AC151" s="308" t="s">
        <v>9</v>
      </c>
      <c r="AD151" s="308"/>
      <c r="AE151" s="308" t="s">
        <v>9</v>
      </c>
      <c r="AF151" s="308"/>
      <c r="AG151" s="308"/>
      <c r="AH151" s="308"/>
      <c r="AI151" s="308" t="s">
        <v>9</v>
      </c>
      <c r="AK151" s="236" t="s">
        <v>1633</v>
      </c>
      <c r="AM151" s="237" t="s">
        <v>1596</v>
      </c>
      <c r="BW151" s="311">
        <v>341</v>
      </c>
      <c r="BX151" s="311">
        <v>78</v>
      </c>
      <c r="BY151" s="311">
        <v>60</v>
      </c>
      <c r="BZ151" s="312" t="s">
        <v>1744</v>
      </c>
      <c r="CA151" s="312" t="s">
        <v>1744</v>
      </c>
      <c r="CB151" s="312" t="s">
        <v>1744</v>
      </c>
      <c r="CC151" s="312" t="s">
        <v>1744</v>
      </c>
      <c r="CD151" s="312" t="s">
        <v>1744</v>
      </c>
      <c r="CE151" s="312">
        <v>39</v>
      </c>
      <c r="CF151" s="312">
        <v>36</v>
      </c>
      <c r="CG151" s="325">
        <v>0</v>
      </c>
      <c r="CH151" s="325"/>
      <c r="CI151" s="312" t="s">
        <v>1744</v>
      </c>
      <c r="CJ151" s="312" t="s">
        <v>1744</v>
      </c>
      <c r="CK151" s="313" t="s">
        <v>1744</v>
      </c>
      <c r="CL151" s="322"/>
      <c r="CM151" s="367"/>
      <c r="CN151" s="322"/>
      <c r="CO151" s="322"/>
      <c r="CP151" s="368"/>
      <c r="CQ151" s="321"/>
      <c r="CR151" s="321"/>
      <c r="CS151" s="320"/>
      <c r="CT151" s="368"/>
      <c r="CU151" s="321"/>
      <c r="CV151" s="321"/>
      <c r="CW151" s="368"/>
      <c r="CX151" s="321"/>
      <c r="CY151" s="321"/>
      <c r="CZ151" s="317">
        <v>-54</v>
      </c>
      <c r="DA151" s="367">
        <v>-3</v>
      </c>
      <c r="DB151" s="314">
        <v>0</v>
      </c>
      <c r="DC151" s="321"/>
      <c r="DD151" s="368"/>
      <c r="DE151" s="321"/>
      <c r="DF151" s="321"/>
      <c r="DG151" s="320"/>
      <c r="DH151" s="368"/>
      <c r="DI151" s="321"/>
      <c r="DJ151" s="321"/>
      <c r="DK151" s="368"/>
      <c r="DL151" s="321"/>
      <c r="DM151" s="321"/>
      <c r="DN151" s="320"/>
      <c r="DO151" s="368"/>
      <c r="DP151" s="321"/>
      <c r="DQ151" s="321"/>
      <c r="DR151" s="368"/>
      <c r="DS151" s="321"/>
      <c r="DT151" s="323"/>
      <c r="DU151" s="92" t="s">
        <v>1636</v>
      </c>
    </row>
    <row r="152" spans="2:125" x14ac:dyDescent="0.3">
      <c r="B152" s="311" t="s">
        <v>1637</v>
      </c>
      <c r="D152" s="308"/>
      <c r="E152" s="308" t="s">
        <v>9</v>
      </c>
      <c r="F152" s="304" t="s">
        <v>9</v>
      </c>
      <c r="G152" s="308"/>
      <c r="H152" s="308"/>
      <c r="I152" s="308"/>
      <c r="J152" s="308"/>
      <c r="K152" s="308" t="s">
        <v>9</v>
      </c>
      <c r="L152" s="308"/>
      <c r="M152" s="308"/>
      <c r="N152" s="308"/>
      <c r="O152" s="308" t="s">
        <v>9</v>
      </c>
      <c r="P152" s="308"/>
      <c r="Q152" s="308"/>
      <c r="R152" s="308"/>
      <c r="S152" s="308"/>
      <c r="T152" s="308" t="s">
        <v>9</v>
      </c>
      <c r="U152" s="308" t="s">
        <v>9</v>
      </c>
      <c r="V152" s="308"/>
      <c r="W152" s="308"/>
      <c r="X152" s="308"/>
      <c r="Y152" s="308"/>
      <c r="AA152" s="308" t="s">
        <v>9</v>
      </c>
      <c r="AB152" s="308"/>
      <c r="AC152" s="308" t="s">
        <v>9</v>
      </c>
      <c r="AD152" s="308"/>
      <c r="AE152" s="308" t="s">
        <v>9</v>
      </c>
      <c r="AF152" s="308"/>
      <c r="AG152" s="308"/>
      <c r="AH152" s="308"/>
      <c r="AI152" s="308" t="s">
        <v>9</v>
      </c>
      <c r="AK152" s="236" t="s">
        <v>1633</v>
      </c>
      <c r="AM152" s="237" t="s">
        <v>1627</v>
      </c>
      <c r="BW152" s="311">
        <v>341</v>
      </c>
      <c r="BX152" s="311">
        <v>78</v>
      </c>
      <c r="BY152" s="311">
        <v>60</v>
      </c>
      <c r="BZ152" s="312" t="s">
        <v>1744</v>
      </c>
      <c r="CA152" s="312" t="s">
        <v>1744</v>
      </c>
      <c r="CB152" s="312" t="s">
        <v>1744</v>
      </c>
      <c r="CC152" s="312" t="s">
        <v>1744</v>
      </c>
      <c r="CD152" s="312" t="s">
        <v>1744</v>
      </c>
      <c r="CE152" s="312">
        <v>39</v>
      </c>
      <c r="CF152" s="312">
        <v>36</v>
      </c>
      <c r="CG152" s="325">
        <v>0</v>
      </c>
      <c r="CH152" s="325"/>
      <c r="CI152" s="312" t="s">
        <v>1744</v>
      </c>
      <c r="CJ152" s="312" t="s">
        <v>1744</v>
      </c>
      <c r="CK152" s="313" t="s">
        <v>1744</v>
      </c>
      <c r="CL152" s="322"/>
      <c r="CM152" s="367"/>
      <c r="CN152" s="322"/>
      <c r="CO152" s="322"/>
      <c r="CP152" s="368"/>
      <c r="CQ152" s="321"/>
      <c r="CR152" s="321"/>
      <c r="CS152" s="320"/>
      <c r="CT152" s="368"/>
      <c r="CU152" s="321"/>
      <c r="CV152" s="321"/>
      <c r="CW152" s="368"/>
      <c r="CX152" s="321"/>
      <c r="CY152" s="321"/>
      <c r="CZ152" s="317">
        <v>-54</v>
      </c>
      <c r="DA152" s="367">
        <v>-3</v>
      </c>
      <c r="DB152" s="314">
        <v>0</v>
      </c>
      <c r="DC152" s="321"/>
      <c r="DD152" s="368"/>
      <c r="DE152" s="321"/>
      <c r="DF152" s="321"/>
      <c r="DG152" s="320"/>
      <c r="DH152" s="368"/>
      <c r="DI152" s="321"/>
      <c r="DJ152" s="321"/>
      <c r="DK152" s="368"/>
      <c r="DL152" s="321"/>
      <c r="DM152" s="321"/>
      <c r="DN152" s="320"/>
      <c r="DO152" s="368"/>
      <c r="DP152" s="321"/>
      <c r="DQ152" s="321"/>
      <c r="DR152" s="368"/>
      <c r="DS152" s="321"/>
      <c r="DT152" s="323"/>
      <c r="DU152" s="92" t="s">
        <v>1637</v>
      </c>
    </row>
    <row r="153" spans="2:125" x14ac:dyDescent="0.3">
      <c r="B153" s="311" t="s">
        <v>1638</v>
      </c>
      <c r="D153" s="308"/>
      <c r="E153" s="308" t="s">
        <v>9</v>
      </c>
      <c r="F153" s="304" t="s">
        <v>9</v>
      </c>
      <c r="G153" s="308"/>
      <c r="H153" s="308"/>
      <c r="I153" s="308"/>
      <c r="J153" s="308"/>
      <c r="K153" s="308"/>
      <c r="L153" s="308" t="s">
        <v>9</v>
      </c>
      <c r="M153" s="308"/>
      <c r="N153" s="308"/>
      <c r="O153" s="308" t="s">
        <v>9</v>
      </c>
      <c r="P153" s="308"/>
      <c r="Q153" s="308"/>
      <c r="R153" s="308"/>
      <c r="S153" s="308"/>
      <c r="T153" s="308" t="s">
        <v>9</v>
      </c>
      <c r="U153" s="308" t="s">
        <v>9</v>
      </c>
      <c r="V153" s="308"/>
      <c r="W153" s="308"/>
      <c r="X153" s="308"/>
      <c r="Y153" s="308"/>
      <c r="AA153" s="308" t="s">
        <v>9</v>
      </c>
      <c r="AB153" s="308"/>
      <c r="AC153" s="308" t="s">
        <v>9</v>
      </c>
      <c r="AD153" s="308"/>
      <c r="AE153" s="308" t="s">
        <v>9</v>
      </c>
      <c r="AF153" s="308"/>
      <c r="AG153" s="308"/>
      <c r="AH153" s="308"/>
      <c r="AI153" s="308" t="s">
        <v>9</v>
      </c>
      <c r="AK153" s="236" t="s">
        <v>1633</v>
      </c>
      <c r="AM153" s="237" t="s">
        <v>1629</v>
      </c>
      <c r="BW153" s="311">
        <v>341</v>
      </c>
      <c r="BX153" s="311">
        <v>78</v>
      </c>
      <c r="BY153" s="311">
        <v>60</v>
      </c>
      <c r="BZ153" s="312" t="s">
        <v>1744</v>
      </c>
      <c r="CA153" s="312" t="s">
        <v>1744</v>
      </c>
      <c r="CB153" s="312" t="s">
        <v>1744</v>
      </c>
      <c r="CC153" s="312" t="s">
        <v>1744</v>
      </c>
      <c r="CD153" s="312" t="s">
        <v>1744</v>
      </c>
      <c r="CE153" s="312">
        <v>39</v>
      </c>
      <c r="CF153" s="312">
        <v>36</v>
      </c>
      <c r="CG153" s="325">
        <v>0</v>
      </c>
      <c r="CH153" s="325"/>
      <c r="CI153" s="312" t="s">
        <v>1744</v>
      </c>
      <c r="CJ153" s="312" t="s">
        <v>1744</v>
      </c>
      <c r="CK153" s="313" t="s">
        <v>1744</v>
      </c>
      <c r="CL153" s="322"/>
      <c r="CM153" s="367"/>
      <c r="CN153" s="322"/>
      <c r="CO153" s="322"/>
      <c r="CP153" s="368"/>
      <c r="CQ153" s="321"/>
      <c r="CR153" s="321"/>
      <c r="CS153" s="320"/>
      <c r="CT153" s="368"/>
      <c r="CU153" s="321"/>
      <c r="CV153" s="321"/>
      <c r="CW153" s="368"/>
      <c r="CX153" s="321"/>
      <c r="CY153" s="321"/>
      <c r="CZ153" s="317">
        <v>-54</v>
      </c>
      <c r="DA153" s="367">
        <v>-3</v>
      </c>
      <c r="DB153" s="314">
        <v>0</v>
      </c>
      <c r="DC153" s="321"/>
      <c r="DD153" s="368"/>
      <c r="DE153" s="321"/>
      <c r="DF153" s="321"/>
      <c r="DG153" s="320"/>
      <c r="DH153" s="368"/>
      <c r="DI153" s="321"/>
      <c r="DJ153" s="321"/>
      <c r="DK153" s="368"/>
      <c r="DL153" s="321"/>
      <c r="DM153" s="321"/>
      <c r="DN153" s="320"/>
      <c r="DO153" s="368"/>
      <c r="DP153" s="321"/>
      <c r="DQ153" s="321"/>
      <c r="DR153" s="368"/>
      <c r="DS153" s="321"/>
      <c r="DT153" s="323"/>
      <c r="DU153" s="92" t="s">
        <v>1638</v>
      </c>
    </row>
    <row r="154" spans="2:125" x14ac:dyDescent="0.3">
      <c r="B154" s="311" t="s">
        <v>1639</v>
      </c>
      <c r="D154" s="308"/>
      <c r="E154" s="308" t="s">
        <v>9</v>
      </c>
      <c r="F154" s="304" t="s">
        <v>9</v>
      </c>
      <c r="G154" s="308"/>
      <c r="H154" s="308"/>
      <c r="I154" s="308"/>
      <c r="J154" s="308"/>
      <c r="K154" s="308"/>
      <c r="L154" s="308"/>
      <c r="M154" s="308" t="s">
        <v>9</v>
      </c>
      <c r="N154" s="308"/>
      <c r="O154" s="308" t="s">
        <v>9</v>
      </c>
      <c r="P154" s="308"/>
      <c r="Q154" s="308"/>
      <c r="R154" s="308"/>
      <c r="S154" s="308"/>
      <c r="T154" s="308" t="s">
        <v>9</v>
      </c>
      <c r="U154" s="308" t="s">
        <v>9</v>
      </c>
      <c r="V154" s="308"/>
      <c r="W154" s="308"/>
      <c r="X154" s="308"/>
      <c r="Y154" s="308"/>
      <c r="AA154" s="308" t="s">
        <v>9</v>
      </c>
      <c r="AB154" s="308"/>
      <c r="AC154" s="308" t="s">
        <v>9</v>
      </c>
      <c r="AD154" s="308"/>
      <c r="AE154" s="308" t="s">
        <v>9</v>
      </c>
      <c r="AF154" s="308"/>
      <c r="AG154" s="308"/>
      <c r="AH154" s="308"/>
      <c r="AI154" s="308" t="s">
        <v>9</v>
      </c>
      <c r="AK154" s="236" t="s">
        <v>1633</v>
      </c>
      <c r="AM154" s="237" t="s">
        <v>1631</v>
      </c>
      <c r="BW154" s="311">
        <v>341</v>
      </c>
      <c r="BX154" s="311">
        <v>78</v>
      </c>
      <c r="BY154" s="311">
        <v>60</v>
      </c>
      <c r="BZ154" s="312" t="s">
        <v>1744</v>
      </c>
      <c r="CA154" s="312" t="s">
        <v>1744</v>
      </c>
      <c r="CB154" s="312" t="s">
        <v>1744</v>
      </c>
      <c r="CC154" s="312" t="s">
        <v>1744</v>
      </c>
      <c r="CD154" s="312" t="s">
        <v>1744</v>
      </c>
      <c r="CE154" s="312">
        <v>39</v>
      </c>
      <c r="CF154" s="312">
        <v>36</v>
      </c>
      <c r="CG154" s="325">
        <v>0</v>
      </c>
      <c r="CH154" s="325"/>
      <c r="CI154" s="312" t="s">
        <v>1744</v>
      </c>
      <c r="CJ154" s="312" t="s">
        <v>1744</v>
      </c>
      <c r="CK154" s="313" t="s">
        <v>1744</v>
      </c>
      <c r="CL154" s="322"/>
      <c r="CM154" s="367"/>
      <c r="CN154" s="322"/>
      <c r="CO154" s="322"/>
      <c r="CP154" s="368"/>
      <c r="CQ154" s="321"/>
      <c r="CR154" s="321"/>
      <c r="CS154" s="320"/>
      <c r="CT154" s="368"/>
      <c r="CU154" s="321"/>
      <c r="CV154" s="321"/>
      <c r="CW154" s="368"/>
      <c r="CX154" s="321"/>
      <c r="CY154" s="321"/>
      <c r="CZ154" s="317">
        <v>-54</v>
      </c>
      <c r="DA154" s="367">
        <v>-3</v>
      </c>
      <c r="DB154" s="314">
        <v>0</v>
      </c>
      <c r="DC154" s="321"/>
      <c r="DD154" s="368"/>
      <c r="DE154" s="321"/>
      <c r="DF154" s="321"/>
      <c r="DG154" s="320"/>
      <c r="DH154" s="368"/>
      <c r="DI154" s="321"/>
      <c r="DJ154" s="321"/>
      <c r="DK154" s="368"/>
      <c r="DL154" s="321"/>
      <c r="DM154" s="321"/>
      <c r="DN154" s="320"/>
      <c r="DO154" s="368"/>
      <c r="DP154" s="321"/>
      <c r="DQ154" s="321"/>
      <c r="DR154" s="368"/>
      <c r="DS154" s="321"/>
      <c r="DT154" s="323"/>
      <c r="DU154" s="92" t="s">
        <v>1639</v>
      </c>
    </row>
    <row r="155" spans="2:125" x14ac:dyDescent="0.3">
      <c r="B155" s="311" t="s">
        <v>1641</v>
      </c>
      <c r="D155" s="308" t="s">
        <v>9</v>
      </c>
      <c r="E155" s="308"/>
      <c r="F155" s="304" t="s">
        <v>9</v>
      </c>
      <c r="G155" s="308"/>
      <c r="H155" s="308"/>
      <c r="I155" s="308"/>
      <c r="J155" s="308"/>
      <c r="K155" s="308" t="s">
        <v>9</v>
      </c>
      <c r="L155" s="308"/>
      <c r="M155" s="308"/>
      <c r="N155" s="308"/>
      <c r="O155" s="308" t="s">
        <v>9</v>
      </c>
      <c r="P155" s="308"/>
      <c r="Q155" s="308"/>
      <c r="R155" s="308"/>
      <c r="S155" s="308"/>
      <c r="T155" s="308" t="s">
        <v>9</v>
      </c>
      <c r="U155" s="308" t="s">
        <v>9</v>
      </c>
      <c r="V155" s="308"/>
      <c r="W155" s="308"/>
      <c r="X155" s="308"/>
      <c r="Y155" s="308" t="s">
        <v>9</v>
      </c>
      <c r="AA155" s="308"/>
      <c r="AB155" s="308"/>
      <c r="AC155" s="308"/>
      <c r="AD155" s="308"/>
      <c r="AE155" s="308" t="s">
        <v>9</v>
      </c>
      <c r="AF155" s="308"/>
      <c r="AG155" s="308"/>
      <c r="AH155" s="308"/>
      <c r="AI155" s="308" t="s">
        <v>9</v>
      </c>
      <c r="AK155" s="236" t="s">
        <v>1640</v>
      </c>
      <c r="AM155" s="237" t="s">
        <v>1592</v>
      </c>
      <c r="BW155" s="311">
        <v>341</v>
      </c>
      <c r="BX155" s="311">
        <v>78</v>
      </c>
      <c r="BY155" s="311">
        <v>60</v>
      </c>
      <c r="BZ155" s="312" t="s">
        <v>1744</v>
      </c>
      <c r="CA155" s="312" t="s">
        <v>1744</v>
      </c>
      <c r="CB155" s="312" t="s">
        <v>1744</v>
      </c>
      <c r="CC155" s="312" t="s">
        <v>1744</v>
      </c>
      <c r="CD155" s="312" t="s">
        <v>1744</v>
      </c>
      <c r="CE155" s="312">
        <v>39</v>
      </c>
      <c r="CF155" s="312">
        <v>36</v>
      </c>
      <c r="CG155" s="325">
        <v>0</v>
      </c>
      <c r="CH155" s="325"/>
      <c r="CI155" s="312" t="s">
        <v>1744</v>
      </c>
      <c r="CJ155" s="312" t="s">
        <v>1744</v>
      </c>
      <c r="CK155" s="313" t="s">
        <v>1744</v>
      </c>
      <c r="CL155" s="322"/>
      <c r="CM155" s="367"/>
      <c r="CN155" s="322"/>
      <c r="CO155" s="322"/>
      <c r="CP155" s="368"/>
      <c r="CQ155" s="321"/>
      <c r="CR155" s="321"/>
      <c r="CS155" s="320"/>
      <c r="CT155" s="368"/>
      <c r="CU155" s="321"/>
      <c r="CV155" s="321"/>
      <c r="CW155" s="368"/>
      <c r="CX155" s="321"/>
      <c r="CY155" s="321"/>
      <c r="CZ155" s="317">
        <v>-54</v>
      </c>
      <c r="DA155" s="367">
        <v>-3</v>
      </c>
      <c r="DB155" s="314">
        <v>0</v>
      </c>
      <c r="DC155" s="321"/>
      <c r="DD155" s="368"/>
      <c r="DE155" s="321"/>
      <c r="DF155" s="321"/>
      <c r="DG155" s="320"/>
      <c r="DH155" s="368"/>
      <c r="DI155" s="321"/>
      <c r="DJ155" s="321"/>
      <c r="DK155" s="368"/>
      <c r="DL155" s="321"/>
      <c r="DM155" s="321"/>
      <c r="DN155" s="320"/>
      <c r="DO155" s="368"/>
      <c r="DP155" s="321"/>
      <c r="DQ155" s="321"/>
      <c r="DR155" s="368"/>
      <c r="DS155" s="321"/>
      <c r="DT155" s="323"/>
      <c r="DU155" s="92" t="s">
        <v>1641</v>
      </c>
    </row>
    <row r="156" spans="2:125" x14ac:dyDescent="0.3">
      <c r="B156" s="311" t="s">
        <v>1642</v>
      </c>
      <c r="D156" s="308" t="s">
        <v>9</v>
      </c>
      <c r="E156" s="308"/>
      <c r="F156" s="304" t="s">
        <v>9</v>
      </c>
      <c r="G156" s="308"/>
      <c r="H156" s="308"/>
      <c r="I156" s="308"/>
      <c r="J156" s="308"/>
      <c r="K156" s="308"/>
      <c r="L156" s="308" t="s">
        <v>9</v>
      </c>
      <c r="M156" s="308"/>
      <c r="N156" s="308"/>
      <c r="O156" s="308" t="s">
        <v>9</v>
      </c>
      <c r="P156" s="308"/>
      <c r="Q156" s="308"/>
      <c r="R156" s="308"/>
      <c r="S156" s="308"/>
      <c r="T156" s="308" t="s">
        <v>9</v>
      </c>
      <c r="U156" s="308" t="s">
        <v>9</v>
      </c>
      <c r="V156" s="308"/>
      <c r="W156" s="308"/>
      <c r="X156" s="308"/>
      <c r="Y156" s="308" t="s">
        <v>9</v>
      </c>
      <c r="AA156" s="308"/>
      <c r="AB156" s="308"/>
      <c r="AC156" s="308"/>
      <c r="AD156" s="308"/>
      <c r="AE156" s="308" t="s">
        <v>9</v>
      </c>
      <c r="AF156" s="308"/>
      <c r="AG156" s="308"/>
      <c r="AH156" s="308"/>
      <c r="AI156" s="308" t="s">
        <v>9</v>
      </c>
      <c r="AK156" s="236" t="s">
        <v>1640</v>
      </c>
      <c r="AM156" s="237" t="s">
        <v>1594</v>
      </c>
      <c r="BW156" s="311">
        <v>341</v>
      </c>
      <c r="BX156" s="311">
        <v>78</v>
      </c>
      <c r="BY156" s="311">
        <v>60</v>
      </c>
      <c r="BZ156" s="312" t="s">
        <v>1744</v>
      </c>
      <c r="CA156" s="312" t="s">
        <v>1744</v>
      </c>
      <c r="CB156" s="312" t="s">
        <v>1744</v>
      </c>
      <c r="CC156" s="312" t="s">
        <v>1744</v>
      </c>
      <c r="CD156" s="312" t="s">
        <v>1744</v>
      </c>
      <c r="CE156" s="312">
        <v>39</v>
      </c>
      <c r="CF156" s="312">
        <v>36</v>
      </c>
      <c r="CG156" s="325">
        <v>0</v>
      </c>
      <c r="CH156" s="325"/>
      <c r="CI156" s="312" t="s">
        <v>1744</v>
      </c>
      <c r="CJ156" s="312" t="s">
        <v>1744</v>
      </c>
      <c r="CK156" s="313" t="s">
        <v>1744</v>
      </c>
      <c r="CL156" s="322"/>
      <c r="CM156" s="367"/>
      <c r="CN156" s="322"/>
      <c r="CO156" s="322"/>
      <c r="CP156" s="368"/>
      <c r="CQ156" s="321"/>
      <c r="CR156" s="321"/>
      <c r="CS156" s="320"/>
      <c r="CT156" s="368"/>
      <c r="CU156" s="321"/>
      <c r="CV156" s="321"/>
      <c r="CW156" s="368"/>
      <c r="CX156" s="321"/>
      <c r="CY156" s="321"/>
      <c r="CZ156" s="317">
        <v>-54</v>
      </c>
      <c r="DA156" s="367">
        <v>-3</v>
      </c>
      <c r="DB156" s="314">
        <v>0</v>
      </c>
      <c r="DC156" s="321"/>
      <c r="DD156" s="368"/>
      <c r="DE156" s="321"/>
      <c r="DF156" s="321"/>
      <c r="DG156" s="320"/>
      <c r="DH156" s="368"/>
      <c r="DI156" s="321"/>
      <c r="DJ156" s="321"/>
      <c r="DK156" s="368"/>
      <c r="DL156" s="321"/>
      <c r="DM156" s="321"/>
      <c r="DN156" s="320"/>
      <c r="DO156" s="368"/>
      <c r="DP156" s="321"/>
      <c r="DQ156" s="321"/>
      <c r="DR156" s="368"/>
      <c r="DS156" s="321"/>
      <c r="DT156" s="323"/>
      <c r="DU156" s="92" t="s">
        <v>1642</v>
      </c>
    </row>
    <row r="157" spans="2:125" x14ac:dyDescent="0.3">
      <c r="B157" s="311" t="s">
        <v>1643</v>
      </c>
      <c r="D157" s="308" t="s">
        <v>9</v>
      </c>
      <c r="E157" s="308"/>
      <c r="F157" s="304" t="s">
        <v>9</v>
      </c>
      <c r="G157" s="308"/>
      <c r="H157" s="308"/>
      <c r="I157" s="308"/>
      <c r="J157" s="308"/>
      <c r="K157" s="308"/>
      <c r="L157" s="308"/>
      <c r="M157" s="308" t="s">
        <v>9</v>
      </c>
      <c r="N157" s="308"/>
      <c r="O157" s="308" t="s">
        <v>9</v>
      </c>
      <c r="P157" s="308"/>
      <c r="Q157" s="308"/>
      <c r="R157" s="308"/>
      <c r="S157" s="308"/>
      <c r="T157" s="308" t="s">
        <v>9</v>
      </c>
      <c r="U157" s="308" t="s">
        <v>9</v>
      </c>
      <c r="V157" s="308"/>
      <c r="W157" s="308"/>
      <c r="X157" s="308"/>
      <c r="Y157" s="308" t="s">
        <v>9</v>
      </c>
      <c r="AA157" s="308"/>
      <c r="AB157" s="308"/>
      <c r="AC157" s="308"/>
      <c r="AD157" s="308"/>
      <c r="AE157" s="308" t="s">
        <v>9</v>
      </c>
      <c r="AF157" s="308"/>
      <c r="AG157" s="308"/>
      <c r="AH157" s="308"/>
      <c r="AI157" s="308" t="s">
        <v>9</v>
      </c>
      <c r="AK157" s="236" t="s">
        <v>1640</v>
      </c>
      <c r="AM157" s="237" t="s">
        <v>1596</v>
      </c>
      <c r="BS157" s="306"/>
      <c r="BT157" s="306"/>
      <c r="BU157" s="306"/>
      <c r="BV157" s="306"/>
      <c r="BW157" s="327">
        <v>341</v>
      </c>
      <c r="BX157" s="327">
        <v>78</v>
      </c>
      <c r="BY157" s="327">
        <v>60</v>
      </c>
      <c r="BZ157" s="332" t="s">
        <v>1744</v>
      </c>
      <c r="CA157" s="332" t="s">
        <v>1744</v>
      </c>
      <c r="CB157" s="332" t="s">
        <v>1744</v>
      </c>
      <c r="CC157" s="332" t="s">
        <v>1744</v>
      </c>
      <c r="CD157" s="332" t="s">
        <v>1744</v>
      </c>
      <c r="CE157" s="332">
        <v>39</v>
      </c>
      <c r="CF157" s="332">
        <v>36</v>
      </c>
      <c r="CG157" s="343">
        <v>0</v>
      </c>
      <c r="CH157" s="343"/>
      <c r="CI157" s="332" t="s">
        <v>1744</v>
      </c>
      <c r="CJ157" s="332" t="s">
        <v>1744</v>
      </c>
      <c r="CK157" s="333" t="s">
        <v>1744</v>
      </c>
      <c r="CL157" s="335"/>
      <c r="CM157" s="369"/>
      <c r="CN157" s="335"/>
      <c r="CO157" s="335"/>
      <c r="CP157" s="369"/>
      <c r="CQ157" s="335"/>
      <c r="CR157" s="335"/>
      <c r="CS157" s="334"/>
      <c r="CT157" s="369"/>
      <c r="CU157" s="335"/>
      <c r="CV157" s="335"/>
      <c r="CW157" s="369"/>
      <c r="CX157" s="335"/>
      <c r="CY157" s="335"/>
      <c r="CZ157" s="339">
        <v>-54</v>
      </c>
      <c r="DA157" s="369">
        <v>-3</v>
      </c>
      <c r="DB157" s="333">
        <v>0</v>
      </c>
      <c r="DC157" s="335"/>
      <c r="DD157" s="369"/>
      <c r="DE157" s="335"/>
      <c r="DF157" s="335"/>
      <c r="DG157" s="334"/>
      <c r="DH157" s="369"/>
      <c r="DI157" s="335"/>
      <c r="DJ157" s="335"/>
      <c r="DK157" s="369"/>
      <c r="DL157" s="335"/>
      <c r="DM157" s="335"/>
      <c r="DN157" s="334"/>
      <c r="DO157" s="369"/>
      <c r="DP157" s="335"/>
      <c r="DQ157" s="335"/>
      <c r="DR157" s="369"/>
      <c r="DS157" s="335"/>
      <c r="DT157" s="375"/>
      <c r="DU157" s="336" t="s">
        <v>1643</v>
      </c>
    </row>
    <row r="158" spans="2:125" x14ac:dyDescent="0.3">
      <c r="B158" s="344" t="s">
        <v>1760</v>
      </c>
      <c r="C158" s="241"/>
      <c r="D158" s="242" t="s">
        <v>9</v>
      </c>
      <c r="E158" s="242" t="s">
        <v>9</v>
      </c>
      <c r="F158" s="307" t="s">
        <v>9</v>
      </c>
      <c r="G158" s="242" t="s">
        <v>9</v>
      </c>
      <c r="H158" s="242" t="s">
        <v>9</v>
      </c>
      <c r="I158" s="242" t="s">
        <v>9</v>
      </c>
      <c r="J158" s="242" t="s">
        <v>9</v>
      </c>
      <c r="K158" s="242" t="s">
        <v>9</v>
      </c>
      <c r="L158" s="242"/>
      <c r="M158" s="242"/>
      <c r="N158" s="242"/>
      <c r="O158" s="242" t="s">
        <v>9</v>
      </c>
      <c r="P158" s="242"/>
      <c r="Q158" s="242" t="s">
        <v>9</v>
      </c>
      <c r="R158" s="242"/>
      <c r="S158" s="242"/>
      <c r="T158" s="242" t="s">
        <v>9</v>
      </c>
      <c r="U158" s="242"/>
      <c r="V158" s="242"/>
      <c r="W158" s="242"/>
      <c r="X158" s="242"/>
      <c r="Y158" s="242"/>
      <c r="Z158" s="242"/>
      <c r="AA158" s="242" t="s">
        <v>9</v>
      </c>
      <c r="AB158" s="242" t="s">
        <v>9</v>
      </c>
      <c r="AC158" s="242"/>
      <c r="AD158" s="242"/>
      <c r="AE158" s="242"/>
      <c r="AF158" s="242"/>
      <c r="AG158" s="242"/>
      <c r="AH158" s="242"/>
      <c r="AI158" s="242" t="s">
        <v>9</v>
      </c>
      <c r="AJ158" s="242"/>
      <c r="AK158" s="243" t="s">
        <v>1618</v>
      </c>
      <c r="AL158" s="241"/>
      <c r="AM158" s="244" t="s">
        <v>1561</v>
      </c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02"/>
      <c r="BT158" s="202"/>
      <c r="BU158" s="202"/>
      <c r="BV158" s="202"/>
      <c r="BW158" s="311">
        <v>0</v>
      </c>
      <c r="BX158" s="311">
        <v>0</v>
      </c>
      <c r="BY158" s="311">
        <v>0</v>
      </c>
      <c r="BZ158" s="312" t="s">
        <v>1744</v>
      </c>
      <c r="CA158" s="312" t="s">
        <v>1744</v>
      </c>
      <c r="CB158" s="312" t="s">
        <v>1744</v>
      </c>
      <c r="CC158" s="312" t="s">
        <v>1744</v>
      </c>
      <c r="CD158" s="312" t="s">
        <v>1744</v>
      </c>
      <c r="CE158" s="312">
        <v>41</v>
      </c>
      <c r="CF158" s="312">
        <v>0</v>
      </c>
      <c r="CG158" s="325">
        <v>0</v>
      </c>
      <c r="CH158" s="325"/>
      <c r="CI158" s="312" t="s">
        <v>1744</v>
      </c>
      <c r="CJ158" s="312" t="s">
        <v>1744</v>
      </c>
      <c r="CK158" s="313" t="s">
        <v>1744</v>
      </c>
      <c r="CL158" s="322"/>
      <c r="CM158" s="367"/>
      <c r="CN158" s="322"/>
      <c r="CO158" s="322"/>
      <c r="CP158" s="368"/>
      <c r="CQ158" s="321"/>
      <c r="CR158" s="321"/>
      <c r="CS158" s="320"/>
      <c r="CT158" s="368"/>
      <c r="CU158" s="321"/>
      <c r="CV158" s="321"/>
      <c r="CW158" s="368"/>
      <c r="CX158" s="321"/>
      <c r="CY158" s="321"/>
      <c r="CZ158" s="317">
        <v>0</v>
      </c>
      <c r="DA158" s="367">
        <v>-41</v>
      </c>
      <c r="DB158" s="314">
        <v>0</v>
      </c>
      <c r="DC158" s="321"/>
      <c r="DD158" s="368"/>
      <c r="DE158" s="321"/>
      <c r="DF158" s="321"/>
      <c r="DG158" s="320"/>
      <c r="DH158" s="368"/>
      <c r="DI158" s="321"/>
      <c r="DJ158" s="321"/>
      <c r="DK158" s="368"/>
      <c r="DL158" s="321"/>
      <c r="DM158" s="321"/>
      <c r="DN158" s="320"/>
      <c r="DO158" s="368"/>
      <c r="DP158" s="321"/>
      <c r="DQ158" s="321"/>
      <c r="DR158" s="368"/>
      <c r="DS158" s="321"/>
      <c r="DT158" s="323"/>
      <c r="DU158" s="319" t="s">
        <v>1760</v>
      </c>
    </row>
    <row r="159" spans="2:125" x14ac:dyDescent="0.3">
      <c r="B159" s="311" t="s">
        <v>1761</v>
      </c>
      <c r="D159" s="308" t="s">
        <v>9</v>
      </c>
      <c r="E159" s="308" t="s">
        <v>9</v>
      </c>
      <c r="F159" s="304" t="s">
        <v>9</v>
      </c>
      <c r="G159" s="308" t="s">
        <v>9</v>
      </c>
      <c r="H159" s="308"/>
      <c r="I159" s="308"/>
      <c r="J159" s="308" t="s">
        <v>9</v>
      </c>
      <c r="K159" s="308"/>
      <c r="L159" s="308"/>
      <c r="M159" s="308"/>
      <c r="N159" s="308"/>
      <c r="O159" s="308" t="s">
        <v>9</v>
      </c>
      <c r="P159" s="308"/>
      <c r="Q159" s="308" t="s">
        <v>9</v>
      </c>
      <c r="R159" s="308"/>
      <c r="S159" s="308"/>
      <c r="T159" s="308" t="s">
        <v>9</v>
      </c>
      <c r="U159" s="308"/>
      <c r="V159" s="308"/>
      <c r="W159" s="308"/>
      <c r="X159" s="308"/>
      <c r="Y159" s="308"/>
      <c r="AA159" s="308" t="s">
        <v>9</v>
      </c>
      <c r="AB159" s="308" t="s">
        <v>9</v>
      </c>
      <c r="AC159" s="308"/>
      <c r="AD159" s="308"/>
      <c r="AE159" s="308"/>
      <c r="AF159" s="308"/>
      <c r="AG159" s="308"/>
      <c r="AH159" s="308"/>
      <c r="AI159" s="308" t="s">
        <v>9</v>
      </c>
      <c r="AK159" s="236">
        <v>80</v>
      </c>
      <c r="AM159" s="237" t="s">
        <v>1573</v>
      </c>
      <c r="BW159" s="311">
        <v>341</v>
      </c>
      <c r="BX159" s="311">
        <v>78</v>
      </c>
      <c r="BY159" s="311">
        <v>60</v>
      </c>
      <c r="BZ159" s="312" t="s">
        <v>1744</v>
      </c>
      <c r="CA159" s="312" t="s">
        <v>1744</v>
      </c>
      <c r="CB159" s="312" t="s">
        <v>1744</v>
      </c>
      <c r="CC159" s="312" t="s">
        <v>1744</v>
      </c>
      <c r="CD159" s="312" t="s">
        <v>1744</v>
      </c>
      <c r="CE159" s="312">
        <v>39</v>
      </c>
      <c r="CF159" s="312">
        <v>0</v>
      </c>
      <c r="CG159" s="325">
        <v>0</v>
      </c>
      <c r="CH159" s="325"/>
      <c r="CI159" s="312" t="s">
        <v>1744</v>
      </c>
      <c r="CJ159" s="312" t="s">
        <v>1744</v>
      </c>
      <c r="CK159" s="313" t="s">
        <v>1744</v>
      </c>
      <c r="CL159" s="322"/>
      <c r="CM159" s="367"/>
      <c r="CN159" s="322"/>
      <c r="CO159" s="322"/>
      <c r="CP159" s="368"/>
      <c r="CQ159" s="321"/>
      <c r="CR159" s="321"/>
      <c r="CS159" s="320"/>
      <c r="CT159" s="368"/>
      <c r="CU159" s="321"/>
      <c r="CV159" s="321"/>
      <c r="CW159" s="368"/>
      <c r="CX159" s="321"/>
      <c r="CY159" s="321"/>
      <c r="CZ159" s="317">
        <v>0</v>
      </c>
      <c r="DA159" s="367">
        <v>-39</v>
      </c>
      <c r="DB159" s="314">
        <v>0</v>
      </c>
      <c r="DC159" s="321"/>
      <c r="DD159" s="368"/>
      <c r="DE159" s="321"/>
      <c r="DF159" s="321"/>
      <c r="DG159" s="320"/>
      <c r="DH159" s="368"/>
      <c r="DI159" s="321"/>
      <c r="DJ159" s="321"/>
      <c r="DK159" s="368"/>
      <c r="DL159" s="321"/>
      <c r="DM159" s="321"/>
      <c r="DN159" s="320"/>
      <c r="DO159" s="368"/>
      <c r="DP159" s="321"/>
      <c r="DQ159" s="321"/>
      <c r="DR159" s="368"/>
      <c r="DS159" s="321"/>
      <c r="DT159" s="323"/>
      <c r="DU159" s="92" t="s">
        <v>1761</v>
      </c>
    </row>
    <row r="160" spans="2:125" x14ac:dyDescent="0.3">
      <c r="B160" s="311" t="s">
        <v>1762</v>
      </c>
      <c r="D160" s="308" t="s">
        <v>9</v>
      </c>
      <c r="E160" s="308" t="s">
        <v>9</v>
      </c>
      <c r="F160" s="304" t="s">
        <v>9</v>
      </c>
      <c r="G160" s="308" t="s">
        <v>9</v>
      </c>
      <c r="H160" s="308"/>
      <c r="I160" s="308"/>
      <c r="J160" s="308"/>
      <c r="K160" s="308" t="s">
        <v>9</v>
      </c>
      <c r="L160" s="308"/>
      <c r="M160" s="308"/>
      <c r="N160" s="308"/>
      <c r="O160" s="308" t="s">
        <v>9</v>
      </c>
      <c r="P160" s="308"/>
      <c r="Q160" s="308" t="s">
        <v>9</v>
      </c>
      <c r="R160" s="308"/>
      <c r="S160" s="308"/>
      <c r="T160" s="308" t="s">
        <v>9</v>
      </c>
      <c r="U160" s="308"/>
      <c r="V160" s="308"/>
      <c r="W160" s="308"/>
      <c r="X160" s="308"/>
      <c r="Y160" s="308"/>
      <c r="AA160" s="308" t="s">
        <v>9</v>
      </c>
      <c r="AB160" s="308" t="s">
        <v>9</v>
      </c>
      <c r="AC160" s="308"/>
      <c r="AD160" s="308"/>
      <c r="AE160" s="308"/>
      <c r="AF160" s="308"/>
      <c r="AG160" s="308"/>
      <c r="AH160" s="308"/>
      <c r="AI160" s="308" t="s">
        <v>9</v>
      </c>
      <c r="AK160" s="236">
        <v>80</v>
      </c>
      <c r="AM160" s="237" t="s">
        <v>1592</v>
      </c>
      <c r="BW160" s="311">
        <v>341</v>
      </c>
      <c r="BX160" s="311">
        <v>78</v>
      </c>
      <c r="BY160" s="311">
        <v>60</v>
      </c>
      <c r="BZ160" s="312" t="s">
        <v>1744</v>
      </c>
      <c r="CA160" s="312" t="s">
        <v>1744</v>
      </c>
      <c r="CB160" s="312" t="s">
        <v>1744</v>
      </c>
      <c r="CC160" s="312" t="s">
        <v>1744</v>
      </c>
      <c r="CD160" s="312" t="s">
        <v>1744</v>
      </c>
      <c r="CE160" s="312">
        <v>39</v>
      </c>
      <c r="CF160" s="312">
        <v>0</v>
      </c>
      <c r="CG160" s="325">
        <v>0</v>
      </c>
      <c r="CH160" s="325"/>
      <c r="CI160" s="312" t="s">
        <v>1744</v>
      </c>
      <c r="CJ160" s="312" t="s">
        <v>1744</v>
      </c>
      <c r="CK160" s="313" t="s">
        <v>1744</v>
      </c>
      <c r="CL160" s="322"/>
      <c r="CM160" s="367"/>
      <c r="CN160" s="322"/>
      <c r="CO160" s="322"/>
      <c r="CP160" s="368"/>
      <c r="CQ160" s="321"/>
      <c r="CR160" s="321"/>
      <c r="CS160" s="320"/>
      <c r="CT160" s="368"/>
      <c r="CU160" s="321"/>
      <c r="CV160" s="321"/>
      <c r="CW160" s="368"/>
      <c r="CX160" s="321"/>
      <c r="CY160" s="321"/>
      <c r="CZ160" s="317">
        <v>0</v>
      </c>
      <c r="DA160" s="367">
        <v>-39</v>
      </c>
      <c r="DB160" s="314">
        <v>0</v>
      </c>
      <c r="DC160" s="321"/>
      <c r="DD160" s="368"/>
      <c r="DE160" s="321"/>
      <c r="DF160" s="321"/>
      <c r="DG160" s="320"/>
      <c r="DH160" s="368"/>
      <c r="DI160" s="321"/>
      <c r="DJ160" s="321"/>
      <c r="DK160" s="368"/>
      <c r="DL160" s="321"/>
      <c r="DM160" s="321"/>
      <c r="DN160" s="320"/>
      <c r="DO160" s="368"/>
      <c r="DP160" s="321"/>
      <c r="DQ160" s="321"/>
      <c r="DR160" s="368"/>
      <c r="DS160" s="321"/>
      <c r="DT160" s="323"/>
      <c r="DU160" s="92" t="s">
        <v>1762</v>
      </c>
    </row>
    <row r="161" spans="1:126" x14ac:dyDescent="0.3">
      <c r="A161" s="241"/>
      <c r="B161" s="311" t="s">
        <v>1763</v>
      </c>
      <c r="D161" s="308" t="s">
        <v>9</v>
      </c>
      <c r="E161" s="308" t="s">
        <v>9</v>
      </c>
      <c r="F161" s="304" t="s">
        <v>9</v>
      </c>
      <c r="G161" s="308" t="s">
        <v>9</v>
      </c>
      <c r="H161" s="308"/>
      <c r="I161" s="308"/>
      <c r="J161" s="308"/>
      <c r="K161" s="308"/>
      <c r="L161" s="308"/>
      <c r="M161" s="308" t="s">
        <v>9</v>
      </c>
      <c r="N161" s="308"/>
      <c r="O161" s="308" t="s">
        <v>9</v>
      </c>
      <c r="P161" s="308"/>
      <c r="Q161" s="308" t="s">
        <v>9</v>
      </c>
      <c r="R161" s="308"/>
      <c r="S161" s="308"/>
      <c r="T161" s="308" t="s">
        <v>9</v>
      </c>
      <c r="U161" s="308"/>
      <c r="V161" s="308"/>
      <c r="W161" s="308"/>
      <c r="X161" s="308"/>
      <c r="Y161" s="308"/>
      <c r="AA161" s="308" t="s">
        <v>9</v>
      </c>
      <c r="AB161" s="308" t="s">
        <v>9</v>
      </c>
      <c r="AC161" s="308"/>
      <c r="AD161" s="308"/>
      <c r="AE161" s="308"/>
      <c r="AF161" s="308"/>
      <c r="AG161" s="308"/>
      <c r="AH161" s="308"/>
      <c r="AI161" s="308" t="s">
        <v>9</v>
      </c>
      <c r="AK161" s="236">
        <v>80</v>
      </c>
      <c r="AM161" s="237" t="s">
        <v>1596</v>
      </c>
      <c r="BW161" s="311">
        <v>341</v>
      </c>
      <c r="BX161" s="311">
        <v>78</v>
      </c>
      <c r="BY161" s="311">
        <v>60</v>
      </c>
      <c r="BZ161" s="312" t="s">
        <v>1744</v>
      </c>
      <c r="CA161" s="312" t="s">
        <v>1744</v>
      </c>
      <c r="CB161" s="312" t="s">
        <v>1744</v>
      </c>
      <c r="CC161" s="312" t="s">
        <v>1744</v>
      </c>
      <c r="CD161" s="312" t="s">
        <v>1744</v>
      </c>
      <c r="CE161" s="312">
        <v>39</v>
      </c>
      <c r="CF161" s="312">
        <v>0</v>
      </c>
      <c r="CG161" s="325">
        <v>0</v>
      </c>
      <c r="CH161" s="325"/>
      <c r="CI161" s="312" t="s">
        <v>1744</v>
      </c>
      <c r="CJ161" s="312" t="s">
        <v>1744</v>
      </c>
      <c r="CK161" s="313" t="s">
        <v>1744</v>
      </c>
      <c r="CL161" s="322"/>
      <c r="CM161" s="367"/>
      <c r="CN161" s="322"/>
      <c r="CO161" s="322"/>
      <c r="CP161" s="368"/>
      <c r="CQ161" s="321"/>
      <c r="CR161" s="321"/>
      <c r="CS161" s="320"/>
      <c r="CT161" s="368"/>
      <c r="CU161" s="321"/>
      <c r="CV161" s="321"/>
      <c r="CW161" s="368"/>
      <c r="CX161" s="321"/>
      <c r="CY161" s="321"/>
      <c r="CZ161" s="317">
        <v>0</v>
      </c>
      <c r="DA161" s="367">
        <v>-39</v>
      </c>
      <c r="DB161" s="314">
        <v>0</v>
      </c>
      <c r="DC161" s="321"/>
      <c r="DD161" s="368"/>
      <c r="DE161" s="321"/>
      <c r="DF161" s="321"/>
      <c r="DG161" s="320"/>
      <c r="DH161" s="368"/>
      <c r="DI161" s="321"/>
      <c r="DJ161" s="321"/>
      <c r="DK161" s="368"/>
      <c r="DL161" s="321"/>
      <c r="DM161" s="321"/>
      <c r="DN161" s="320"/>
      <c r="DO161" s="368"/>
      <c r="DP161" s="321"/>
      <c r="DQ161" s="321"/>
      <c r="DR161" s="368"/>
      <c r="DS161" s="321"/>
      <c r="DT161" s="323"/>
      <c r="DU161" s="92" t="s">
        <v>1763</v>
      </c>
      <c r="DV161" s="241"/>
    </row>
    <row r="162" spans="1:126" x14ac:dyDescent="0.3">
      <c r="B162" s="311" t="s">
        <v>1764</v>
      </c>
      <c r="D162" s="308" t="s">
        <v>9</v>
      </c>
      <c r="E162" s="308" t="s">
        <v>9</v>
      </c>
      <c r="F162" s="304" t="s">
        <v>9</v>
      </c>
      <c r="G162" s="308" t="s">
        <v>9</v>
      </c>
      <c r="H162" s="308"/>
      <c r="I162" s="308" t="s">
        <v>9</v>
      </c>
      <c r="J162" s="308"/>
      <c r="K162" s="308"/>
      <c r="L162" s="308"/>
      <c r="M162" s="308"/>
      <c r="N162" s="308"/>
      <c r="O162" s="308" t="s">
        <v>9</v>
      </c>
      <c r="P162" s="308"/>
      <c r="Q162" s="308" t="s">
        <v>9</v>
      </c>
      <c r="R162" s="308"/>
      <c r="S162" s="308"/>
      <c r="T162" s="308" t="s">
        <v>9</v>
      </c>
      <c r="U162" s="308"/>
      <c r="V162" s="308"/>
      <c r="W162" s="308"/>
      <c r="X162" s="308"/>
      <c r="Y162" s="308"/>
      <c r="AA162" s="308"/>
      <c r="AB162" s="308" t="s">
        <v>9</v>
      </c>
      <c r="AC162" s="308"/>
      <c r="AD162" s="308"/>
      <c r="AE162" s="308"/>
      <c r="AF162" s="308"/>
      <c r="AG162" s="308"/>
      <c r="AH162" s="308"/>
      <c r="AI162" s="308" t="s">
        <v>9</v>
      </c>
      <c r="AK162" s="236">
        <v>84</v>
      </c>
      <c r="AM162" s="237" t="s">
        <v>1644</v>
      </c>
      <c r="BW162" s="311">
        <v>306</v>
      </c>
      <c r="BX162" s="311">
        <v>108</v>
      </c>
      <c r="BY162" s="311">
        <v>40</v>
      </c>
      <c r="BZ162" s="312" t="s">
        <v>1744</v>
      </c>
      <c r="CA162" s="312" t="s">
        <v>1744</v>
      </c>
      <c r="CB162" s="312" t="s">
        <v>1744</v>
      </c>
      <c r="CC162" s="312" t="s">
        <v>1744</v>
      </c>
      <c r="CD162" s="312" t="s">
        <v>1744</v>
      </c>
      <c r="CE162" s="312">
        <v>54</v>
      </c>
      <c r="CF162" s="312">
        <v>0</v>
      </c>
      <c r="CG162" s="325">
        <v>0</v>
      </c>
      <c r="CH162" s="325"/>
      <c r="CI162" s="312" t="s">
        <v>1744</v>
      </c>
      <c r="CJ162" s="312" t="s">
        <v>1744</v>
      </c>
      <c r="CK162" s="313" t="s">
        <v>1744</v>
      </c>
      <c r="CL162" s="322"/>
      <c r="CM162" s="367"/>
      <c r="CN162" s="322"/>
      <c r="CO162" s="322"/>
      <c r="CP162" s="368"/>
      <c r="CQ162" s="321"/>
      <c r="CR162" s="321"/>
      <c r="CS162" s="320"/>
      <c r="CT162" s="368"/>
      <c r="CU162" s="321"/>
      <c r="CV162" s="321"/>
      <c r="CW162" s="368"/>
      <c r="CX162" s="321"/>
      <c r="CY162" s="321"/>
      <c r="CZ162" s="317">
        <v>0</v>
      </c>
      <c r="DA162" s="367">
        <v>-54</v>
      </c>
      <c r="DB162" s="314">
        <v>0</v>
      </c>
      <c r="DC162" s="321"/>
      <c r="DD162" s="368"/>
      <c r="DE162" s="321"/>
      <c r="DF162" s="321"/>
      <c r="DG162" s="320"/>
      <c r="DH162" s="368"/>
      <c r="DI162" s="321"/>
      <c r="DJ162" s="321"/>
      <c r="DK162" s="368"/>
      <c r="DL162" s="321"/>
      <c r="DM162" s="321"/>
      <c r="DN162" s="320"/>
      <c r="DO162" s="368"/>
      <c r="DP162" s="321"/>
      <c r="DQ162" s="321"/>
      <c r="DR162" s="368"/>
      <c r="DS162" s="321"/>
      <c r="DT162" s="323"/>
      <c r="DU162" s="92" t="s">
        <v>1764</v>
      </c>
    </row>
    <row r="163" spans="1:126" x14ac:dyDescent="0.3">
      <c r="B163" s="311" t="s">
        <v>1765</v>
      </c>
      <c r="D163" s="308" t="s">
        <v>9</v>
      </c>
      <c r="E163" s="308" t="s">
        <v>9</v>
      </c>
      <c r="F163" s="304" t="s">
        <v>9</v>
      </c>
      <c r="G163" s="308" t="s">
        <v>9</v>
      </c>
      <c r="H163" s="308"/>
      <c r="I163" s="308"/>
      <c r="J163" s="308" t="s">
        <v>9</v>
      </c>
      <c r="K163" s="308"/>
      <c r="L163" s="308"/>
      <c r="M163" s="308"/>
      <c r="N163" s="308"/>
      <c r="O163" s="308" t="s">
        <v>9</v>
      </c>
      <c r="P163" s="308"/>
      <c r="Q163" s="308" t="s">
        <v>9</v>
      </c>
      <c r="R163" s="308"/>
      <c r="S163" s="308"/>
      <c r="T163" s="308" t="s">
        <v>9</v>
      </c>
      <c r="U163" s="308"/>
      <c r="V163" s="308"/>
      <c r="W163" s="308"/>
      <c r="X163" s="308"/>
      <c r="Y163" s="308"/>
      <c r="AA163" s="308"/>
      <c r="AB163" s="308" t="s">
        <v>9</v>
      </c>
      <c r="AC163" s="308"/>
      <c r="AD163" s="308"/>
      <c r="AE163" s="308"/>
      <c r="AF163" s="308"/>
      <c r="AG163" s="308"/>
      <c r="AH163" s="308"/>
      <c r="AI163" s="308" t="s">
        <v>9</v>
      </c>
      <c r="AK163" s="236">
        <v>84</v>
      </c>
      <c r="AM163" s="237" t="s">
        <v>1573</v>
      </c>
      <c r="BW163" s="311">
        <v>306</v>
      </c>
      <c r="BX163" s="311">
        <v>108</v>
      </c>
      <c r="BY163" s="311">
        <v>40</v>
      </c>
      <c r="BZ163" s="312" t="s">
        <v>1744</v>
      </c>
      <c r="CA163" s="312" t="s">
        <v>1744</v>
      </c>
      <c r="CB163" s="312" t="s">
        <v>1744</v>
      </c>
      <c r="CC163" s="312" t="s">
        <v>1744</v>
      </c>
      <c r="CD163" s="312" t="s">
        <v>1744</v>
      </c>
      <c r="CE163" s="312">
        <v>54</v>
      </c>
      <c r="CF163" s="312">
        <v>0</v>
      </c>
      <c r="CG163" s="325">
        <v>0</v>
      </c>
      <c r="CH163" s="325"/>
      <c r="CI163" s="312" t="s">
        <v>1744</v>
      </c>
      <c r="CJ163" s="312" t="s">
        <v>1744</v>
      </c>
      <c r="CK163" s="313" t="s">
        <v>1744</v>
      </c>
      <c r="CL163" s="322"/>
      <c r="CM163" s="367"/>
      <c r="CN163" s="322"/>
      <c r="CO163" s="322"/>
      <c r="CP163" s="368"/>
      <c r="CQ163" s="321"/>
      <c r="CR163" s="321"/>
      <c r="CS163" s="320"/>
      <c r="CT163" s="368"/>
      <c r="CU163" s="321"/>
      <c r="CV163" s="321"/>
      <c r="CW163" s="368"/>
      <c r="CX163" s="321"/>
      <c r="CY163" s="321"/>
      <c r="CZ163" s="317">
        <v>0</v>
      </c>
      <c r="DA163" s="367">
        <v>-54</v>
      </c>
      <c r="DB163" s="314">
        <v>0</v>
      </c>
      <c r="DC163" s="321"/>
      <c r="DD163" s="368"/>
      <c r="DE163" s="321"/>
      <c r="DF163" s="321"/>
      <c r="DG163" s="320"/>
      <c r="DH163" s="368"/>
      <c r="DI163" s="321"/>
      <c r="DJ163" s="321"/>
      <c r="DK163" s="368"/>
      <c r="DL163" s="321"/>
      <c r="DM163" s="321"/>
      <c r="DN163" s="320"/>
      <c r="DO163" s="368"/>
      <c r="DP163" s="321"/>
      <c r="DQ163" s="321"/>
      <c r="DR163" s="368"/>
      <c r="DS163" s="321"/>
      <c r="DT163" s="323"/>
      <c r="DU163" s="92" t="s">
        <v>1765</v>
      </c>
    </row>
    <row r="164" spans="1:126" x14ac:dyDescent="0.3">
      <c r="B164" s="311" t="s">
        <v>1766</v>
      </c>
      <c r="D164" s="308" t="s">
        <v>9</v>
      </c>
      <c r="E164" s="308" t="s">
        <v>9</v>
      </c>
      <c r="F164" s="304" t="s">
        <v>9</v>
      </c>
      <c r="G164" s="308" t="s">
        <v>9</v>
      </c>
      <c r="H164" s="308"/>
      <c r="I164" s="308"/>
      <c r="J164" s="308"/>
      <c r="K164" s="308" t="s">
        <v>9</v>
      </c>
      <c r="L164" s="308"/>
      <c r="M164" s="308"/>
      <c r="N164" s="308"/>
      <c r="O164" s="308" t="s">
        <v>9</v>
      </c>
      <c r="P164" s="308"/>
      <c r="Q164" s="308" t="s">
        <v>9</v>
      </c>
      <c r="R164" s="308"/>
      <c r="S164" s="308"/>
      <c r="T164" s="308" t="s">
        <v>9</v>
      </c>
      <c r="U164" s="308"/>
      <c r="V164" s="308"/>
      <c r="W164" s="308"/>
      <c r="X164" s="308"/>
      <c r="Y164" s="308"/>
      <c r="AA164" s="308"/>
      <c r="AB164" s="308" t="s">
        <v>9</v>
      </c>
      <c r="AC164" s="308"/>
      <c r="AD164" s="308"/>
      <c r="AE164" s="308"/>
      <c r="AF164" s="308"/>
      <c r="AG164" s="308"/>
      <c r="AH164" s="308"/>
      <c r="AI164" s="308" t="s">
        <v>9</v>
      </c>
      <c r="AK164" s="236">
        <v>84</v>
      </c>
      <c r="AM164" s="237" t="s">
        <v>1592</v>
      </c>
      <c r="BS164" s="306"/>
      <c r="BT164" s="306"/>
      <c r="BU164" s="306"/>
      <c r="BV164" s="306"/>
      <c r="BW164" s="327">
        <v>306</v>
      </c>
      <c r="BX164" s="327">
        <v>108</v>
      </c>
      <c r="BY164" s="327">
        <v>40</v>
      </c>
      <c r="BZ164" s="332" t="s">
        <v>1744</v>
      </c>
      <c r="CA164" s="332" t="s">
        <v>1744</v>
      </c>
      <c r="CB164" s="332" t="s">
        <v>1744</v>
      </c>
      <c r="CC164" s="332" t="s">
        <v>1744</v>
      </c>
      <c r="CD164" s="332" t="s">
        <v>1744</v>
      </c>
      <c r="CE164" s="332">
        <v>54</v>
      </c>
      <c r="CF164" s="332">
        <v>0</v>
      </c>
      <c r="CG164" s="343">
        <v>0</v>
      </c>
      <c r="CH164" s="343"/>
      <c r="CI164" s="332" t="s">
        <v>1744</v>
      </c>
      <c r="CJ164" s="332" t="s">
        <v>1744</v>
      </c>
      <c r="CK164" s="333" t="s">
        <v>1744</v>
      </c>
      <c r="CL164" s="335"/>
      <c r="CM164" s="369"/>
      <c r="CN164" s="335"/>
      <c r="CO164" s="335"/>
      <c r="CP164" s="369"/>
      <c r="CQ164" s="335"/>
      <c r="CR164" s="335"/>
      <c r="CS164" s="334"/>
      <c r="CT164" s="369"/>
      <c r="CU164" s="335"/>
      <c r="CV164" s="335"/>
      <c r="CW164" s="369"/>
      <c r="CX164" s="335"/>
      <c r="CY164" s="335"/>
      <c r="CZ164" s="339">
        <v>0</v>
      </c>
      <c r="DA164" s="369">
        <v>-54</v>
      </c>
      <c r="DB164" s="333">
        <v>0</v>
      </c>
      <c r="DC164" s="335"/>
      <c r="DD164" s="369"/>
      <c r="DE164" s="335"/>
      <c r="DF164" s="335"/>
      <c r="DG164" s="334"/>
      <c r="DH164" s="369"/>
      <c r="DI164" s="335"/>
      <c r="DJ164" s="335"/>
      <c r="DK164" s="369"/>
      <c r="DL164" s="335"/>
      <c r="DM164" s="335"/>
      <c r="DN164" s="334"/>
      <c r="DO164" s="369"/>
      <c r="DP164" s="335"/>
      <c r="DQ164" s="335"/>
      <c r="DR164" s="369"/>
      <c r="DS164" s="335"/>
      <c r="DT164" s="375"/>
      <c r="DU164" s="336" t="s">
        <v>1766</v>
      </c>
    </row>
    <row r="165" spans="1:126" x14ac:dyDescent="0.3">
      <c r="B165" s="344" t="s">
        <v>1767</v>
      </c>
      <c r="C165" s="241"/>
      <c r="D165" s="242" t="s">
        <v>9</v>
      </c>
      <c r="E165" s="242" t="s">
        <v>9</v>
      </c>
      <c r="F165" s="307" t="s">
        <v>9</v>
      </c>
      <c r="G165" s="242" t="s">
        <v>9</v>
      </c>
      <c r="H165" s="242"/>
      <c r="I165" s="242"/>
      <c r="J165" s="242" t="s">
        <v>9</v>
      </c>
      <c r="K165" s="242"/>
      <c r="L165" s="242"/>
      <c r="M165" s="242"/>
      <c r="N165" s="242"/>
      <c r="O165" s="242"/>
      <c r="P165" s="242"/>
      <c r="Q165" s="242"/>
      <c r="R165" s="242"/>
      <c r="S165" s="242" t="s">
        <v>9</v>
      </c>
      <c r="T165" s="242"/>
      <c r="U165" s="242"/>
      <c r="V165" s="242"/>
      <c r="W165" s="242"/>
      <c r="X165" s="242"/>
      <c r="Y165" s="242"/>
      <c r="Z165" s="242"/>
      <c r="AA165" s="242"/>
      <c r="AB165" s="242"/>
      <c r="AC165" s="242"/>
      <c r="AD165" s="242"/>
      <c r="AE165" s="242"/>
      <c r="AF165" s="242"/>
      <c r="AG165" s="242"/>
      <c r="AH165" s="242" t="s">
        <v>9</v>
      </c>
      <c r="AI165" s="242"/>
      <c r="AJ165" s="242"/>
      <c r="AK165" s="243">
        <v>85</v>
      </c>
      <c r="AL165" s="241"/>
      <c r="AM165" s="244" t="s">
        <v>1573</v>
      </c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02"/>
      <c r="BU165" s="202"/>
      <c r="BV165" s="202"/>
      <c r="BW165" s="311">
        <v>329</v>
      </c>
      <c r="BX165" s="311">
        <v>84</v>
      </c>
      <c r="BY165" s="311">
        <v>39</v>
      </c>
      <c r="BZ165" s="312" t="s">
        <v>1744</v>
      </c>
      <c r="CA165" s="312" t="s">
        <v>1744</v>
      </c>
      <c r="CB165" s="312" t="s">
        <v>1744</v>
      </c>
      <c r="CC165" s="312" t="s">
        <v>1744</v>
      </c>
      <c r="CD165" s="312" t="s">
        <v>1744</v>
      </c>
      <c r="CE165" s="312">
        <v>42</v>
      </c>
      <c r="CF165" s="312">
        <v>0</v>
      </c>
      <c r="CG165" s="325">
        <v>0</v>
      </c>
      <c r="CH165" s="325"/>
      <c r="CI165" s="312" t="s">
        <v>1744</v>
      </c>
      <c r="CJ165" s="312" t="s">
        <v>1744</v>
      </c>
      <c r="CK165" s="313" t="s">
        <v>1744</v>
      </c>
      <c r="CL165" s="322"/>
      <c r="CM165" s="367"/>
      <c r="CN165" s="322"/>
      <c r="CO165" s="322"/>
      <c r="CP165" s="368"/>
      <c r="CQ165" s="321"/>
      <c r="CR165" s="321"/>
      <c r="CS165" s="320"/>
      <c r="CT165" s="368"/>
      <c r="CU165" s="321"/>
      <c r="CV165" s="321"/>
      <c r="CW165" s="368"/>
      <c r="CX165" s="321"/>
      <c r="CY165" s="321"/>
      <c r="CZ165" s="317">
        <v>0</v>
      </c>
      <c r="DA165" s="367">
        <v>-42</v>
      </c>
      <c r="DB165" s="314">
        <v>0</v>
      </c>
      <c r="DC165" s="321"/>
      <c r="DD165" s="368"/>
      <c r="DE165" s="321"/>
      <c r="DF165" s="321"/>
      <c r="DG165" s="320"/>
      <c r="DH165" s="368"/>
      <c r="DI165" s="321"/>
      <c r="DJ165" s="321"/>
      <c r="DK165" s="368"/>
      <c r="DL165" s="321"/>
      <c r="DM165" s="321"/>
      <c r="DN165" s="320"/>
      <c r="DO165" s="368"/>
      <c r="DP165" s="321"/>
      <c r="DQ165" s="321"/>
      <c r="DR165" s="368"/>
      <c r="DS165" s="321"/>
      <c r="DT165" s="323"/>
      <c r="DU165" s="319" t="s">
        <v>1767</v>
      </c>
    </row>
    <row r="166" spans="1:126" x14ac:dyDescent="0.3">
      <c r="B166" s="311" t="s">
        <v>1768</v>
      </c>
      <c r="D166" s="308" t="s">
        <v>9</v>
      </c>
      <c r="E166" s="308" t="s">
        <v>9</v>
      </c>
      <c r="F166" s="304" t="s">
        <v>9</v>
      </c>
      <c r="G166" s="308" t="s">
        <v>9</v>
      </c>
      <c r="H166" s="308"/>
      <c r="I166" s="308"/>
      <c r="J166" s="308"/>
      <c r="K166" s="308" t="s">
        <v>9</v>
      </c>
      <c r="L166" s="308"/>
      <c r="M166" s="308"/>
      <c r="N166" s="308"/>
      <c r="O166" s="308"/>
      <c r="P166" s="308"/>
      <c r="Q166" s="308"/>
      <c r="R166" s="308"/>
      <c r="S166" s="308" t="s">
        <v>9</v>
      </c>
      <c r="T166" s="308"/>
      <c r="U166" s="308"/>
      <c r="V166" s="308"/>
      <c r="W166" s="308"/>
      <c r="X166" s="308"/>
      <c r="Y166" s="308"/>
      <c r="AA166" s="308"/>
      <c r="AB166" s="308"/>
      <c r="AC166" s="308"/>
      <c r="AD166" s="308"/>
      <c r="AE166" s="308"/>
      <c r="AF166" s="308"/>
      <c r="AG166" s="308"/>
      <c r="AH166" s="308" t="s">
        <v>9</v>
      </c>
      <c r="AI166" s="308"/>
      <c r="AK166" s="236">
        <v>85</v>
      </c>
      <c r="AM166" s="237" t="s">
        <v>1592</v>
      </c>
      <c r="BW166" s="311">
        <v>329</v>
      </c>
      <c r="BX166" s="311">
        <v>84</v>
      </c>
      <c r="BY166" s="311">
        <v>39</v>
      </c>
      <c r="BZ166" s="312" t="s">
        <v>1744</v>
      </c>
      <c r="CA166" s="312" t="s">
        <v>1744</v>
      </c>
      <c r="CB166" s="312" t="s">
        <v>1744</v>
      </c>
      <c r="CC166" s="312" t="s">
        <v>1744</v>
      </c>
      <c r="CD166" s="312" t="s">
        <v>1744</v>
      </c>
      <c r="CE166" s="312">
        <v>42</v>
      </c>
      <c r="CF166" s="312">
        <v>0</v>
      </c>
      <c r="CG166" s="325">
        <v>0</v>
      </c>
      <c r="CH166" s="325"/>
      <c r="CI166" s="312" t="s">
        <v>1744</v>
      </c>
      <c r="CJ166" s="312" t="s">
        <v>1744</v>
      </c>
      <c r="CK166" s="313" t="s">
        <v>1744</v>
      </c>
      <c r="CL166" s="322"/>
      <c r="CM166" s="367"/>
      <c r="CN166" s="322"/>
      <c r="CO166" s="322"/>
      <c r="CP166" s="368"/>
      <c r="CQ166" s="321"/>
      <c r="CR166" s="321"/>
      <c r="CS166" s="320"/>
      <c r="CT166" s="368"/>
      <c r="CU166" s="321"/>
      <c r="CV166" s="321"/>
      <c r="CW166" s="368"/>
      <c r="CX166" s="321"/>
      <c r="CY166" s="321"/>
      <c r="CZ166" s="317">
        <v>0</v>
      </c>
      <c r="DA166" s="367">
        <v>-42</v>
      </c>
      <c r="DB166" s="314">
        <v>0</v>
      </c>
      <c r="DC166" s="321"/>
      <c r="DD166" s="368"/>
      <c r="DE166" s="321"/>
      <c r="DF166" s="321"/>
      <c r="DG166" s="320"/>
      <c r="DH166" s="368"/>
      <c r="DI166" s="321"/>
      <c r="DJ166" s="321"/>
      <c r="DK166" s="368"/>
      <c r="DL166" s="321"/>
      <c r="DM166" s="321"/>
      <c r="DN166" s="320"/>
      <c r="DO166" s="368"/>
      <c r="DP166" s="321"/>
      <c r="DQ166" s="321"/>
      <c r="DR166" s="368"/>
      <c r="DS166" s="321"/>
      <c r="DT166" s="323"/>
      <c r="DU166" s="92" t="s">
        <v>1768</v>
      </c>
    </row>
    <row r="167" spans="1:126" ht="15" thickBot="1" x14ac:dyDescent="0.35">
      <c r="B167" s="345" t="s">
        <v>1769</v>
      </c>
      <c r="C167" s="346"/>
      <c r="D167" s="347" t="s">
        <v>9</v>
      </c>
      <c r="E167" s="347" t="s">
        <v>9</v>
      </c>
      <c r="F167" s="348" t="s">
        <v>9</v>
      </c>
      <c r="G167" s="347" t="s">
        <v>9</v>
      </c>
      <c r="H167" s="347"/>
      <c r="I167" s="347"/>
      <c r="J167" s="347"/>
      <c r="K167" s="347"/>
      <c r="L167" s="347" t="s">
        <v>9</v>
      </c>
      <c r="M167" s="347"/>
      <c r="N167" s="347"/>
      <c r="O167" s="347"/>
      <c r="P167" s="347"/>
      <c r="Q167" s="347"/>
      <c r="R167" s="347"/>
      <c r="S167" s="347" t="s">
        <v>9</v>
      </c>
      <c r="T167" s="347"/>
      <c r="U167" s="347"/>
      <c r="V167" s="347"/>
      <c r="W167" s="347"/>
      <c r="X167" s="347"/>
      <c r="Y167" s="347"/>
      <c r="Z167" s="347"/>
      <c r="AA167" s="347"/>
      <c r="AB167" s="347"/>
      <c r="AC167" s="347"/>
      <c r="AD167" s="347"/>
      <c r="AE167" s="347"/>
      <c r="AF167" s="347"/>
      <c r="AG167" s="347"/>
      <c r="AH167" s="347" t="s">
        <v>9</v>
      </c>
      <c r="AI167" s="347"/>
      <c r="AJ167" s="347"/>
      <c r="AK167" s="349">
        <v>85</v>
      </c>
      <c r="AL167" s="346"/>
      <c r="AM167" s="350" t="s">
        <v>1594</v>
      </c>
      <c r="AN167" s="346"/>
      <c r="AO167" s="346"/>
      <c r="AP167" s="346"/>
      <c r="AQ167" s="346"/>
      <c r="AR167" s="346"/>
      <c r="AS167" s="346"/>
      <c r="AT167" s="346"/>
      <c r="AU167" s="346"/>
      <c r="AV167" s="346"/>
      <c r="AW167" s="346"/>
      <c r="AX167" s="346"/>
      <c r="AY167" s="346"/>
      <c r="AZ167" s="346"/>
      <c r="BA167" s="346"/>
      <c r="BB167" s="346"/>
      <c r="BC167" s="346"/>
      <c r="BD167" s="346"/>
      <c r="BE167" s="346"/>
      <c r="BF167" s="346"/>
      <c r="BG167" s="346"/>
      <c r="BH167" s="346"/>
      <c r="BI167" s="346"/>
      <c r="BJ167" s="346"/>
      <c r="BK167" s="346"/>
      <c r="BL167" s="346"/>
      <c r="BM167" s="346"/>
      <c r="BN167" s="346"/>
      <c r="BO167" s="346"/>
      <c r="BP167" s="346"/>
      <c r="BQ167" s="346"/>
      <c r="BR167" s="346"/>
      <c r="BS167" s="346"/>
      <c r="BT167" s="346"/>
      <c r="BU167" s="346"/>
      <c r="BV167" s="346"/>
      <c r="BW167" s="345">
        <v>329</v>
      </c>
      <c r="BX167" s="345">
        <v>84</v>
      </c>
      <c r="BY167" s="345">
        <v>39</v>
      </c>
      <c r="BZ167" s="351" t="s">
        <v>1744</v>
      </c>
      <c r="CA167" s="351" t="s">
        <v>1744</v>
      </c>
      <c r="CB167" s="351" t="s">
        <v>1744</v>
      </c>
      <c r="CC167" s="351" t="s">
        <v>1744</v>
      </c>
      <c r="CD167" s="351" t="s">
        <v>1744</v>
      </c>
      <c r="CE167" s="351">
        <v>42</v>
      </c>
      <c r="CF167" s="351">
        <v>0</v>
      </c>
      <c r="CG167" s="352">
        <v>0</v>
      </c>
      <c r="CH167" s="352"/>
      <c r="CI167" s="351" t="s">
        <v>1744</v>
      </c>
      <c r="CJ167" s="351" t="s">
        <v>1744</v>
      </c>
      <c r="CK167" s="353" t="s">
        <v>1744</v>
      </c>
      <c r="CL167" s="354"/>
      <c r="CM167" s="370"/>
      <c r="CN167" s="354"/>
      <c r="CO167" s="354"/>
      <c r="CP167" s="370"/>
      <c r="CQ167" s="354"/>
      <c r="CR167" s="354"/>
      <c r="CS167" s="355"/>
      <c r="CT167" s="370"/>
      <c r="CU167" s="354"/>
      <c r="CV167" s="354"/>
      <c r="CW167" s="370"/>
      <c r="CX167" s="354"/>
      <c r="CY167" s="354"/>
      <c r="CZ167" s="356">
        <v>0</v>
      </c>
      <c r="DA167" s="370">
        <v>-42</v>
      </c>
      <c r="DB167" s="353">
        <v>0</v>
      </c>
      <c r="DC167" s="354"/>
      <c r="DD167" s="370"/>
      <c r="DE167" s="354"/>
      <c r="DF167" s="354"/>
      <c r="DG167" s="355"/>
      <c r="DH167" s="370"/>
      <c r="DI167" s="354"/>
      <c r="DJ167" s="354"/>
      <c r="DK167" s="370"/>
      <c r="DL167" s="354"/>
      <c r="DM167" s="354"/>
      <c r="DN167" s="355"/>
      <c r="DO167" s="370"/>
      <c r="DP167" s="354"/>
      <c r="DQ167" s="354"/>
      <c r="DR167" s="370"/>
      <c r="DS167" s="354"/>
      <c r="DT167" s="376"/>
      <c r="DU167" s="357" t="s">
        <v>1769</v>
      </c>
    </row>
    <row r="168" spans="1:126" ht="15" thickTop="1" x14ac:dyDescent="0.3">
      <c r="B168" s="358" t="s">
        <v>1898</v>
      </c>
      <c r="D168" s="308" t="s">
        <v>9</v>
      </c>
      <c r="E168" s="308"/>
      <c r="F168" s="304"/>
      <c r="G168" s="308"/>
      <c r="H168" s="308"/>
      <c r="I168" s="308" t="s">
        <v>9</v>
      </c>
      <c r="J168" s="308" t="s">
        <v>9</v>
      </c>
      <c r="K168" s="308" t="s">
        <v>9</v>
      </c>
      <c r="L168" s="308"/>
      <c r="M168" s="308"/>
      <c r="N168" s="308"/>
      <c r="O168" s="308" t="s">
        <v>9</v>
      </c>
      <c r="P168" s="308" t="s">
        <v>9</v>
      </c>
      <c r="Q168" s="308"/>
      <c r="R168" s="308"/>
      <c r="S168" s="308" t="s">
        <v>9</v>
      </c>
      <c r="T168" s="308"/>
      <c r="U168" s="308" t="s">
        <v>9</v>
      </c>
      <c r="V168" s="308" t="s">
        <v>9</v>
      </c>
      <c r="W168" s="308"/>
      <c r="X168" s="308"/>
      <c r="Y168" s="308"/>
      <c r="Z168" s="308" t="s">
        <v>9</v>
      </c>
      <c r="AA168" s="308" t="s">
        <v>9</v>
      </c>
      <c r="AB168" s="308"/>
      <c r="AC168" s="308" t="s">
        <v>9</v>
      </c>
      <c r="AD168" s="308"/>
      <c r="AE168" s="308" t="s">
        <v>9</v>
      </c>
      <c r="AF168" s="308"/>
      <c r="AG168" s="308"/>
      <c r="AH168" s="308"/>
      <c r="AI168" s="308"/>
      <c r="AJ168" s="308" t="s">
        <v>9</v>
      </c>
      <c r="AK168" s="236">
        <v>100</v>
      </c>
      <c r="AL168">
        <v>1</v>
      </c>
      <c r="AM168" s="237" t="s">
        <v>1571</v>
      </c>
      <c r="BT168" t="s">
        <v>9</v>
      </c>
      <c r="BU168" t="s">
        <v>9</v>
      </c>
      <c r="BV168" t="s">
        <v>9</v>
      </c>
      <c r="BW168" s="311">
        <v>685</v>
      </c>
      <c r="BX168" s="311">
        <v>130</v>
      </c>
      <c r="BY168" s="311">
        <v>70</v>
      </c>
      <c r="BZ168" s="312">
        <v>640</v>
      </c>
      <c r="CA168" s="312">
        <v>23</v>
      </c>
      <c r="CB168" s="312">
        <v>35</v>
      </c>
      <c r="CC168" s="312">
        <v>18</v>
      </c>
      <c r="CD168" s="312">
        <v>400</v>
      </c>
      <c r="CE168" s="312">
        <v>61</v>
      </c>
      <c r="CF168" s="312" t="s">
        <v>1247</v>
      </c>
      <c r="CG168" s="312">
        <v>150</v>
      </c>
      <c r="CH168" s="312">
        <v>135</v>
      </c>
      <c r="CI168" s="312">
        <v>550</v>
      </c>
      <c r="CJ168" s="312">
        <v>504</v>
      </c>
      <c r="CK168" s="305">
        <v>46</v>
      </c>
      <c r="CL168" s="322"/>
      <c r="CM168" s="367"/>
      <c r="CN168" s="322"/>
      <c r="CO168" s="322"/>
      <c r="CP168" s="368"/>
      <c r="CQ168" s="321"/>
      <c r="CR168" s="321"/>
      <c r="CS168" s="314">
        <v>15</v>
      </c>
      <c r="CT168" s="367" t="s">
        <v>1247</v>
      </c>
      <c r="CU168" s="314">
        <v>6</v>
      </c>
      <c r="CV168" s="313">
        <v>60</v>
      </c>
      <c r="CW168" s="368">
        <v>0</v>
      </c>
      <c r="CX168" s="313">
        <v>20</v>
      </c>
      <c r="CY168" s="316">
        <v>106</v>
      </c>
      <c r="CZ168" s="317">
        <v>15</v>
      </c>
      <c r="DA168" s="367" t="s">
        <v>1247</v>
      </c>
      <c r="DB168" s="314">
        <v>14</v>
      </c>
      <c r="DC168" s="313">
        <v>60</v>
      </c>
      <c r="DD168" s="368">
        <v>0</v>
      </c>
      <c r="DE168" s="313">
        <v>26</v>
      </c>
      <c r="DF168" s="316">
        <v>106</v>
      </c>
      <c r="DG168" s="320"/>
      <c r="DH168" s="368"/>
      <c r="DI168" s="321"/>
      <c r="DJ168" s="321"/>
      <c r="DK168" s="368"/>
      <c r="DL168" s="321"/>
      <c r="DM168" s="321"/>
      <c r="DN168" s="320"/>
      <c r="DO168" s="368"/>
      <c r="DP168" s="321"/>
      <c r="DQ168" s="321"/>
      <c r="DR168" s="368"/>
      <c r="DS168" s="321"/>
      <c r="DT168" s="323"/>
      <c r="DU168" s="359" t="s">
        <v>1770</v>
      </c>
    </row>
    <row r="169" spans="1:126" x14ac:dyDescent="0.3">
      <c r="B169" s="358" t="s">
        <v>1771</v>
      </c>
      <c r="D169" s="308"/>
      <c r="E169" s="308" t="s">
        <v>9</v>
      </c>
      <c r="F169" s="304"/>
      <c r="G169" s="308"/>
      <c r="H169" s="308"/>
      <c r="I169" s="308" t="s">
        <v>9</v>
      </c>
      <c r="J169" s="308" t="s">
        <v>9</v>
      </c>
      <c r="K169" s="308" t="s">
        <v>9</v>
      </c>
      <c r="L169" s="308"/>
      <c r="M169" s="308"/>
      <c r="N169" s="308"/>
      <c r="O169" s="308"/>
      <c r="P169" s="308" t="s">
        <v>9</v>
      </c>
      <c r="Q169" s="308"/>
      <c r="R169" s="308"/>
      <c r="S169" s="308" t="s">
        <v>9</v>
      </c>
      <c r="T169" s="308"/>
      <c r="U169" s="308" t="s">
        <v>9</v>
      </c>
      <c r="V169" s="308" t="s">
        <v>9</v>
      </c>
      <c r="W169" s="308" t="s">
        <v>9</v>
      </c>
      <c r="X169" s="308"/>
      <c r="Y169" s="308"/>
      <c r="Z169" s="308" t="s">
        <v>9</v>
      </c>
      <c r="AA169" s="308" t="s">
        <v>9</v>
      </c>
      <c r="AB169" s="308"/>
      <c r="AC169" s="308" t="s">
        <v>9</v>
      </c>
      <c r="AD169" s="308"/>
      <c r="AE169" s="308" t="s">
        <v>9</v>
      </c>
      <c r="AF169" s="308"/>
      <c r="AG169" s="308"/>
      <c r="AH169" s="308"/>
      <c r="AI169" s="308"/>
      <c r="AJ169" s="308" t="s">
        <v>9</v>
      </c>
      <c r="AK169" s="236">
        <v>100</v>
      </c>
      <c r="AL169">
        <v>2</v>
      </c>
      <c r="AM169" s="237" t="s">
        <v>1571</v>
      </c>
      <c r="AZ169" t="s">
        <v>9</v>
      </c>
      <c r="BN169" t="s">
        <v>9</v>
      </c>
      <c r="BT169" t="s">
        <v>9</v>
      </c>
      <c r="BU169" t="s">
        <v>9</v>
      </c>
      <c r="BV169" t="s">
        <v>9</v>
      </c>
      <c r="BW169" s="311">
        <v>685</v>
      </c>
      <c r="BX169" s="311">
        <v>130</v>
      </c>
      <c r="BY169" s="311">
        <v>70</v>
      </c>
      <c r="BZ169" s="312">
        <v>640</v>
      </c>
      <c r="CA169" s="312">
        <v>23</v>
      </c>
      <c r="CB169" s="312">
        <v>35</v>
      </c>
      <c r="CC169" s="312">
        <v>18</v>
      </c>
      <c r="CD169" s="312">
        <v>400</v>
      </c>
      <c r="CE169" s="312">
        <v>61</v>
      </c>
      <c r="CF169" s="312" t="s">
        <v>1247</v>
      </c>
      <c r="CG169" s="312">
        <v>150</v>
      </c>
      <c r="CH169" s="312">
        <v>135</v>
      </c>
      <c r="CI169" s="312">
        <v>550</v>
      </c>
      <c r="CJ169" s="312">
        <v>504</v>
      </c>
      <c r="CK169" s="305">
        <v>46</v>
      </c>
      <c r="CL169" s="322"/>
      <c r="CM169" s="367"/>
      <c r="CN169" s="322"/>
      <c r="CO169" s="322"/>
      <c r="CP169" s="368"/>
      <c r="CQ169" s="321"/>
      <c r="CR169" s="321"/>
      <c r="CS169" s="314">
        <v>15</v>
      </c>
      <c r="CT169" s="367" t="s">
        <v>1247</v>
      </c>
      <c r="CU169" s="314">
        <v>6</v>
      </c>
      <c r="CV169" s="313">
        <v>60</v>
      </c>
      <c r="CW169" s="368">
        <v>0</v>
      </c>
      <c r="CX169" s="313">
        <v>20</v>
      </c>
      <c r="CY169" s="316">
        <v>106</v>
      </c>
      <c r="CZ169" s="317">
        <v>15</v>
      </c>
      <c r="DA169" s="367" t="s">
        <v>1247</v>
      </c>
      <c r="DB169" s="314">
        <v>14</v>
      </c>
      <c r="DC169" s="313">
        <v>60</v>
      </c>
      <c r="DD169" s="368">
        <v>0</v>
      </c>
      <c r="DE169" s="313">
        <v>26</v>
      </c>
      <c r="DF169" s="316">
        <v>106</v>
      </c>
      <c r="DG169" s="320"/>
      <c r="DH169" s="368"/>
      <c r="DI169" s="321"/>
      <c r="DJ169" s="321"/>
      <c r="DK169" s="368"/>
      <c r="DL169" s="321"/>
      <c r="DM169" s="321"/>
      <c r="DN169" s="320"/>
      <c r="DO169" s="368"/>
      <c r="DP169" s="321"/>
      <c r="DQ169" s="321"/>
      <c r="DR169" s="368"/>
      <c r="DS169" s="321"/>
      <c r="DT169" s="323"/>
      <c r="DU169" s="359" t="s">
        <v>1771</v>
      </c>
    </row>
    <row r="170" spans="1:126" x14ac:dyDescent="0.3">
      <c r="B170" s="358" t="s">
        <v>1772</v>
      </c>
      <c r="D170" s="308"/>
      <c r="E170" s="308" t="s">
        <v>9</v>
      </c>
      <c r="F170" s="304"/>
      <c r="G170" s="308"/>
      <c r="H170" s="308"/>
      <c r="I170" s="308" t="s">
        <v>9</v>
      </c>
      <c r="J170" s="308" t="s">
        <v>9</v>
      </c>
      <c r="K170" s="308" t="s">
        <v>9</v>
      </c>
      <c r="L170" s="308"/>
      <c r="M170" s="308"/>
      <c r="N170" s="308"/>
      <c r="O170" s="308" t="s">
        <v>9</v>
      </c>
      <c r="P170" s="308" t="s">
        <v>9</v>
      </c>
      <c r="Q170" s="308"/>
      <c r="R170" s="308"/>
      <c r="S170" s="308" t="s">
        <v>9</v>
      </c>
      <c r="T170" s="308"/>
      <c r="U170" s="308"/>
      <c r="V170" s="308" t="s">
        <v>9</v>
      </c>
      <c r="W170" s="308" t="s">
        <v>9</v>
      </c>
      <c r="X170" s="308"/>
      <c r="Y170" s="308"/>
      <c r="Z170" s="308" t="s">
        <v>9</v>
      </c>
      <c r="AA170" s="308" t="s">
        <v>9</v>
      </c>
      <c r="AB170" s="308"/>
      <c r="AC170" s="308" t="s">
        <v>9</v>
      </c>
      <c r="AD170" s="308"/>
      <c r="AE170" s="308" t="s">
        <v>9</v>
      </c>
      <c r="AF170" s="308"/>
      <c r="AG170" s="308"/>
      <c r="AH170" s="308"/>
      <c r="AI170" s="308"/>
      <c r="AJ170" s="308" t="s">
        <v>9</v>
      </c>
      <c r="AK170" s="236">
        <v>100</v>
      </c>
      <c r="AL170">
        <v>5</v>
      </c>
      <c r="AM170" s="237" t="s">
        <v>1571</v>
      </c>
      <c r="BT170" t="s">
        <v>9</v>
      </c>
      <c r="BU170" t="s">
        <v>9</v>
      </c>
      <c r="BV170" t="s">
        <v>9</v>
      </c>
      <c r="BW170" s="311">
        <v>685</v>
      </c>
      <c r="BX170" s="311">
        <v>130</v>
      </c>
      <c r="BY170" s="311">
        <v>70</v>
      </c>
      <c r="BZ170" s="312">
        <v>640</v>
      </c>
      <c r="CA170" s="312">
        <v>23</v>
      </c>
      <c r="CB170" s="312">
        <v>35</v>
      </c>
      <c r="CC170" s="312">
        <v>18</v>
      </c>
      <c r="CD170" s="312">
        <v>400</v>
      </c>
      <c r="CE170" s="312">
        <v>61</v>
      </c>
      <c r="CF170" s="312" t="s">
        <v>1247</v>
      </c>
      <c r="CG170" s="312">
        <v>150</v>
      </c>
      <c r="CH170" s="312">
        <v>135</v>
      </c>
      <c r="CI170" s="312">
        <v>550</v>
      </c>
      <c r="CJ170" s="312">
        <v>504</v>
      </c>
      <c r="CK170" s="305">
        <v>46</v>
      </c>
      <c r="CL170" s="322"/>
      <c r="CM170" s="367"/>
      <c r="CN170" s="322"/>
      <c r="CO170" s="322"/>
      <c r="CP170" s="368"/>
      <c r="CQ170" s="321"/>
      <c r="CR170" s="321"/>
      <c r="CS170" s="314">
        <v>15</v>
      </c>
      <c r="CT170" s="367" t="s">
        <v>1247</v>
      </c>
      <c r="CU170" s="314">
        <v>6</v>
      </c>
      <c r="CV170" s="313">
        <v>60</v>
      </c>
      <c r="CW170" s="368">
        <v>0</v>
      </c>
      <c r="CX170" s="313">
        <v>20</v>
      </c>
      <c r="CY170" s="316">
        <v>106</v>
      </c>
      <c r="CZ170" s="317">
        <v>15</v>
      </c>
      <c r="DA170" s="367" t="s">
        <v>1247</v>
      </c>
      <c r="DB170" s="314">
        <v>14</v>
      </c>
      <c r="DC170" s="313">
        <v>60</v>
      </c>
      <c r="DD170" s="368">
        <v>0</v>
      </c>
      <c r="DE170" s="313">
        <v>26</v>
      </c>
      <c r="DF170" s="316">
        <v>106</v>
      </c>
      <c r="DG170" s="320"/>
      <c r="DH170" s="368"/>
      <c r="DI170" s="321"/>
      <c r="DJ170" s="321"/>
      <c r="DK170" s="368"/>
      <c r="DL170" s="321"/>
      <c r="DM170" s="321"/>
      <c r="DN170" s="320"/>
      <c r="DO170" s="368"/>
      <c r="DP170" s="321"/>
      <c r="DQ170" s="321"/>
      <c r="DR170" s="368"/>
      <c r="DS170" s="321"/>
      <c r="DT170" s="323"/>
      <c r="DU170" s="359" t="s">
        <v>1772</v>
      </c>
    </row>
    <row r="171" spans="1:126" x14ac:dyDescent="0.3">
      <c r="B171" s="358" t="s">
        <v>1773</v>
      </c>
      <c r="D171" s="308"/>
      <c r="E171" s="308" t="s">
        <v>9</v>
      </c>
      <c r="F171" s="304"/>
      <c r="G171" s="308"/>
      <c r="H171" s="308"/>
      <c r="I171" s="308" t="s">
        <v>9</v>
      </c>
      <c r="J171" s="308" t="s">
        <v>9</v>
      </c>
      <c r="K171" s="308" t="s">
        <v>9</v>
      </c>
      <c r="L171" s="308"/>
      <c r="M171" s="308"/>
      <c r="N171" s="308"/>
      <c r="O171" s="308" t="s">
        <v>9</v>
      </c>
      <c r="P171" s="308" t="s">
        <v>9</v>
      </c>
      <c r="Q171" s="308"/>
      <c r="R171" s="308"/>
      <c r="S171" s="308" t="s">
        <v>9</v>
      </c>
      <c r="T171" s="308"/>
      <c r="U171" s="308" t="s">
        <v>9</v>
      </c>
      <c r="V171" s="308" t="s">
        <v>9</v>
      </c>
      <c r="W171" s="308" t="s">
        <v>9</v>
      </c>
      <c r="X171" s="308"/>
      <c r="Y171" s="308"/>
      <c r="Z171" s="308" t="s">
        <v>9</v>
      </c>
      <c r="AA171" s="308" t="s">
        <v>9</v>
      </c>
      <c r="AB171" s="308"/>
      <c r="AC171" s="308" t="s">
        <v>9</v>
      </c>
      <c r="AD171" s="308"/>
      <c r="AE171" s="308" t="s">
        <v>9</v>
      </c>
      <c r="AF171" s="308"/>
      <c r="AG171" s="308"/>
      <c r="AH171" s="308"/>
      <c r="AI171" s="308"/>
      <c r="AJ171" s="308" t="s">
        <v>9</v>
      </c>
      <c r="AK171" s="236">
        <v>100</v>
      </c>
      <c r="AL171">
        <v>3</v>
      </c>
      <c r="AM171" s="237" t="s">
        <v>1571</v>
      </c>
      <c r="BT171" t="s">
        <v>9</v>
      </c>
      <c r="BU171" t="s">
        <v>9</v>
      </c>
      <c r="BV171" t="s">
        <v>9</v>
      </c>
      <c r="BW171" s="311">
        <v>685</v>
      </c>
      <c r="BX171" s="311">
        <v>130</v>
      </c>
      <c r="BY171" s="311">
        <v>70</v>
      </c>
      <c r="BZ171" s="312">
        <v>640</v>
      </c>
      <c r="CA171" s="312">
        <v>23</v>
      </c>
      <c r="CB171" s="312">
        <v>35</v>
      </c>
      <c r="CC171" s="312">
        <v>18</v>
      </c>
      <c r="CD171" s="312">
        <v>400</v>
      </c>
      <c r="CE171" s="312">
        <v>61</v>
      </c>
      <c r="CF171" s="312" t="s">
        <v>1247</v>
      </c>
      <c r="CG171" s="312">
        <v>150</v>
      </c>
      <c r="CH171" s="312">
        <v>135</v>
      </c>
      <c r="CI171" s="312">
        <v>550</v>
      </c>
      <c r="CJ171" s="312">
        <v>504</v>
      </c>
      <c r="CK171" s="305">
        <v>46</v>
      </c>
      <c r="CL171" s="322"/>
      <c r="CM171" s="367"/>
      <c r="CN171" s="322"/>
      <c r="CO171" s="322"/>
      <c r="CP171" s="368"/>
      <c r="CQ171" s="321"/>
      <c r="CR171" s="321"/>
      <c r="CS171" s="314">
        <v>15</v>
      </c>
      <c r="CT171" s="367" t="s">
        <v>1247</v>
      </c>
      <c r="CU171" s="314">
        <v>6</v>
      </c>
      <c r="CV171" s="313">
        <v>60</v>
      </c>
      <c r="CW171" s="368">
        <v>0</v>
      </c>
      <c r="CX171" s="313">
        <v>20</v>
      </c>
      <c r="CY171" s="316">
        <v>106</v>
      </c>
      <c r="CZ171" s="317">
        <v>15</v>
      </c>
      <c r="DA171" s="367" t="s">
        <v>1247</v>
      </c>
      <c r="DB171" s="314">
        <v>14</v>
      </c>
      <c r="DC171" s="313">
        <v>60</v>
      </c>
      <c r="DD171" s="368">
        <v>0</v>
      </c>
      <c r="DE171" s="313">
        <v>26</v>
      </c>
      <c r="DF171" s="316">
        <v>106</v>
      </c>
      <c r="DG171" s="320"/>
      <c r="DH171" s="368"/>
      <c r="DI171" s="321"/>
      <c r="DJ171" s="321"/>
      <c r="DK171" s="368"/>
      <c r="DL171" s="321"/>
      <c r="DM171" s="321"/>
      <c r="DN171" s="320"/>
      <c r="DO171" s="368"/>
      <c r="DP171" s="321"/>
      <c r="DQ171" s="321"/>
      <c r="DR171" s="368"/>
      <c r="DS171" s="321"/>
      <c r="DT171" s="323"/>
      <c r="DU171" s="359" t="s">
        <v>1773</v>
      </c>
    </row>
    <row r="172" spans="1:126" x14ac:dyDescent="0.3">
      <c r="B172" s="358" t="s">
        <v>1774</v>
      </c>
      <c r="D172" s="308"/>
      <c r="E172" s="308" t="s">
        <v>9</v>
      </c>
      <c r="F172" s="304"/>
      <c r="G172" s="308"/>
      <c r="H172" s="308"/>
      <c r="I172" s="308" t="s">
        <v>9</v>
      </c>
      <c r="J172" s="308" t="s">
        <v>9</v>
      </c>
      <c r="K172" s="308" t="s">
        <v>9</v>
      </c>
      <c r="L172" s="308"/>
      <c r="M172" s="308"/>
      <c r="N172" s="308"/>
      <c r="O172" s="308" t="s">
        <v>9</v>
      </c>
      <c r="P172" s="308" t="s">
        <v>9</v>
      </c>
      <c r="Q172" s="308"/>
      <c r="R172" s="308"/>
      <c r="S172" s="308" t="s">
        <v>9</v>
      </c>
      <c r="T172" s="308"/>
      <c r="U172" s="308" t="s">
        <v>9</v>
      </c>
      <c r="V172" s="308" t="s">
        <v>9</v>
      </c>
      <c r="W172" s="308"/>
      <c r="X172" s="308"/>
      <c r="Y172" s="308"/>
      <c r="Z172" s="308" t="s">
        <v>9</v>
      </c>
      <c r="AA172" s="308" t="s">
        <v>9</v>
      </c>
      <c r="AB172" s="308"/>
      <c r="AC172" s="308" t="s">
        <v>9</v>
      </c>
      <c r="AD172" s="308"/>
      <c r="AE172" s="308" t="s">
        <v>9</v>
      </c>
      <c r="AF172" s="308"/>
      <c r="AG172" s="308"/>
      <c r="AH172" s="308"/>
      <c r="AI172" s="308"/>
      <c r="AJ172" s="308" t="s">
        <v>9</v>
      </c>
      <c r="AK172" s="236">
        <v>100</v>
      </c>
      <c r="AL172">
        <v>4</v>
      </c>
      <c r="AM172" s="237" t="s">
        <v>1571</v>
      </c>
      <c r="BT172" t="s">
        <v>9</v>
      </c>
      <c r="BU172" t="s">
        <v>9</v>
      </c>
      <c r="BV172" t="s">
        <v>9</v>
      </c>
      <c r="BW172" s="311">
        <v>685</v>
      </c>
      <c r="BX172" s="311">
        <v>130</v>
      </c>
      <c r="BY172" s="311">
        <v>70</v>
      </c>
      <c r="BZ172" s="312">
        <v>640</v>
      </c>
      <c r="CA172" s="312">
        <v>23</v>
      </c>
      <c r="CB172" s="312">
        <v>35</v>
      </c>
      <c r="CC172" s="312">
        <v>18</v>
      </c>
      <c r="CD172" s="312">
        <v>400</v>
      </c>
      <c r="CE172" s="312">
        <v>61</v>
      </c>
      <c r="CF172" s="312" t="s">
        <v>1247</v>
      </c>
      <c r="CG172" s="312">
        <v>150</v>
      </c>
      <c r="CH172" s="312">
        <v>135</v>
      </c>
      <c r="CI172" s="312">
        <v>550</v>
      </c>
      <c r="CJ172" s="312">
        <v>504</v>
      </c>
      <c r="CK172" s="305">
        <v>46</v>
      </c>
      <c r="CL172" s="322"/>
      <c r="CM172" s="367"/>
      <c r="CN172" s="322"/>
      <c r="CO172" s="322"/>
      <c r="CP172" s="368"/>
      <c r="CQ172" s="321"/>
      <c r="CR172" s="321"/>
      <c r="CS172" s="314">
        <v>15</v>
      </c>
      <c r="CT172" s="367" t="s">
        <v>1247</v>
      </c>
      <c r="CU172" s="314">
        <v>6</v>
      </c>
      <c r="CV172" s="313">
        <v>60</v>
      </c>
      <c r="CW172" s="368">
        <v>0</v>
      </c>
      <c r="CX172" s="313">
        <v>20</v>
      </c>
      <c r="CY172" s="316">
        <v>106</v>
      </c>
      <c r="CZ172" s="317">
        <v>15</v>
      </c>
      <c r="DA172" s="367" t="s">
        <v>1247</v>
      </c>
      <c r="DB172" s="314">
        <v>14</v>
      </c>
      <c r="DC172" s="313">
        <v>60</v>
      </c>
      <c r="DD172" s="368">
        <v>0</v>
      </c>
      <c r="DE172" s="313">
        <v>26</v>
      </c>
      <c r="DF172" s="316">
        <v>106</v>
      </c>
      <c r="DG172" s="320"/>
      <c r="DH172" s="368"/>
      <c r="DI172" s="321"/>
      <c r="DJ172" s="321"/>
      <c r="DK172" s="368"/>
      <c r="DL172" s="321"/>
      <c r="DM172" s="321"/>
      <c r="DN172" s="320"/>
      <c r="DO172" s="368"/>
      <c r="DP172" s="321"/>
      <c r="DQ172" s="321"/>
      <c r="DR172" s="368"/>
      <c r="DS172" s="321"/>
      <c r="DT172" s="323"/>
      <c r="DU172" s="359" t="s">
        <v>1774</v>
      </c>
    </row>
    <row r="173" spans="1:126" x14ac:dyDescent="0.3">
      <c r="B173" s="358" t="s">
        <v>1899</v>
      </c>
      <c r="D173" s="308" t="s">
        <v>9</v>
      </c>
      <c r="E173" s="308"/>
      <c r="F173" s="304"/>
      <c r="G173" s="308"/>
      <c r="H173" s="308"/>
      <c r="I173" s="308"/>
      <c r="J173" s="308"/>
      <c r="K173" s="308" t="s">
        <v>9</v>
      </c>
      <c r="L173" s="308" t="s">
        <v>9</v>
      </c>
      <c r="M173" s="308" t="s">
        <v>9</v>
      </c>
      <c r="N173" s="308" t="s">
        <v>9</v>
      </c>
      <c r="O173" s="308" t="s">
        <v>9</v>
      </c>
      <c r="P173" s="308" t="s">
        <v>9</v>
      </c>
      <c r="Q173" s="308"/>
      <c r="R173" s="308"/>
      <c r="S173" s="308" t="s">
        <v>9</v>
      </c>
      <c r="T173" s="308"/>
      <c r="U173" s="308" t="s">
        <v>9</v>
      </c>
      <c r="V173" s="308" t="s">
        <v>9</v>
      </c>
      <c r="W173" s="308"/>
      <c r="X173" s="308"/>
      <c r="Y173" s="308"/>
      <c r="Z173" s="308" t="s">
        <v>9</v>
      </c>
      <c r="AA173" s="308" t="s">
        <v>9</v>
      </c>
      <c r="AB173" s="308"/>
      <c r="AC173" s="308" t="s">
        <v>9</v>
      </c>
      <c r="AD173" s="308"/>
      <c r="AE173" s="308" t="s">
        <v>9</v>
      </c>
      <c r="AF173" s="308"/>
      <c r="AG173" s="308"/>
      <c r="AH173" s="308"/>
      <c r="AI173" s="308"/>
      <c r="AJ173" s="308" t="s">
        <v>9</v>
      </c>
      <c r="AK173" s="236">
        <v>250</v>
      </c>
      <c r="AL173">
        <v>1</v>
      </c>
      <c r="AM173" s="237" t="s">
        <v>1776</v>
      </c>
      <c r="BT173" t="s">
        <v>9</v>
      </c>
      <c r="BU173" t="s">
        <v>9</v>
      </c>
      <c r="BV173" t="s">
        <v>9</v>
      </c>
      <c r="BW173" s="311">
        <v>685</v>
      </c>
      <c r="BX173" s="311">
        <v>130</v>
      </c>
      <c r="BY173" s="311">
        <v>70</v>
      </c>
      <c r="BZ173" s="312">
        <v>640</v>
      </c>
      <c r="CA173" s="312">
        <v>23</v>
      </c>
      <c r="CB173" s="312">
        <v>35</v>
      </c>
      <c r="CC173" s="312">
        <v>18</v>
      </c>
      <c r="CD173" s="312">
        <v>400</v>
      </c>
      <c r="CE173" s="312">
        <v>61</v>
      </c>
      <c r="CF173" s="312" t="s">
        <v>1247</v>
      </c>
      <c r="CG173" s="312">
        <v>150</v>
      </c>
      <c r="CH173" s="312">
        <v>135</v>
      </c>
      <c r="CI173" s="312">
        <v>550</v>
      </c>
      <c r="CJ173" s="312">
        <v>504</v>
      </c>
      <c r="CK173" s="305">
        <v>46</v>
      </c>
      <c r="CL173" s="322"/>
      <c r="CM173" s="367"/>
      <c r="CN173" s="322"/>
      <c r="CO173" s="322"/>
      <c r="CP173" s="368"/>
      <c r="CQ173" s="321"/>
      <c r="CR173" s="321"/>
      <c r="CS173" s="362">
        <v>15</v>
      </c>
      <c r="CT173" s="250" t="s">
        <v>1247</v>
      </c>
      <c r="CU173" s="362">
        <v>6</v>
      </c>
      <c r="CV173" s="362">
        <v>60</v>
      </c>
      <c r="CW173" s="250">
        <v>0</v>
      </c>
      <c r="CX173" s="362">
        <v>20</v>
      </c>
      <c r="CY173" s="363">
        <v>106</v>
      </c>
      <c r="CZ173" s="362">
        <v>15</v>
      </c>
      <c r="DA173" s="250" t="s">
        <v>1247</v>
      </c>
      <c r="DB173" s="362">
        <v>14</v>
      </c>
      <c r="DC173" s="362">
        <v>60</v>
      </c>
      <c r="DD173" s="250">
        <v>0</v>
      </c>
      <c r="DE173" s="362">
        <v>26</v>
      </c>
      <c r="DF173" s="363">
        <v>106</v>
      </c>
      <c r="DG173" s="320"/>
      <c r="DH173" s="368"/>
      <c r="DI173" s="321"/>
      <c r="DJ173" s="321"/>
      <c r="DK173" s="368"/>
      <c r="DL173" s="321"/>
      <c r="DM173" s="321"/>
      <c r="DN173" s="320"/>
      <c r="DO173" s="368"/>
      <c r="DP173" s="321"/>
      <c r="DQ173" s="321"/>
      <c r="DR173" s="368"/>
      <c r="DS173" s="321"/>
      <c r="DT173" s="323"/>
      <c r="DU173" s="359" t="s">
        <v>1775</v>
      </c>
    </row>
    <row r="174" spans="1:126" x14ac:dyDescent="0.3">
      <c r="B174" s="358" t="s">
        <v>1777</v>
      </c>
      <c r="D174" s="308"/>
      <c r="E174" s="308" t="s">
        <v>9</v>
      </c>
      <c r="F174" s="304"/>
      <c r="G174" s="308"/>
      <c r="H174" s="308"/>
      <c r="I174" s="308"/>
      <c r="J174" s="308"/>
      <c r="K174" s="308" t="s">
        <v>9</v>
      </c>
      <c r="L174" s="308" t="s">
        <v>9</v>
      </c>
      <c r="M174" s="308" t="s">
        <v>9</v>
      </c>
      <c r="N174" s="308" t="s">
        <v>9</v>
      </c>
      <c r="O174" s="308"/>
      <c r="P174" s="308" t="s">
        <v>9</v>
      </c>
      <c r="Q174" s="308"/>
      <c r="R174" s="308"/>
      <c r="S174" s="308" t="s">
        <v>9</v>
      </c>
      <c r="T174" s="308"/>
      <c r="U174" s="308" t="s">
        <v>9</v>
      </c>
      <c r="V174" s="308" t="s">
        <v>9</v>
      </c>
      <c r="W174" s="308" t="s">
        <v>9</v>
      </c>
      <c r="X174" s="308"/>
      <c r="Y174" s="308"/>
      <c r="Z174" s="308" t="s">
        <v>9</v>
      </c>
      <c r="AA174" s="308" t="s">
        <v>9</v>
      </c>
      <c r="AB174" s="308"/>
      <c r="AC174" s="308" t="s">
        <v>9</v>
      </c>
      <c r="AD174" s="308"/>
      <c r="AE174" s="308" t="s">
        <v>9</v>
      </c>
      <c r="AF174" s="308"/>
      <c r="AG174" s="308"/>
      <c r="AH174" s="308"/>
      <c r="AI174" s="308"/>
      <c r="AJ174" s="308" t="s">
        <v>9</v>
      </c>
      <c r="AK174" s="236">
        <v>250</v>
      </c>
      <c r="AL174">
        <v>2</v>
      </c>
      <c r="AM174" s="237" t="s">
        <v>1776</v>
      </c>
      <c r="AZ174" t="s">
        <v>9</v>
      </c>
      <c r="BN174" t="s">
        <v>9</v>
      </c>
      <c r="BT174" t="s">
        <v>9</v>
      </c>
      <c r="BU174" t="s">
        <v>9</v>
      </c>
      <c r="BV174" t="s">
        <v>9</v>
      </c>
      <c r="BW174" s="311">
        <v>685</v>
      </c>
      <c r="BX174" s="311">
        <v>130</v>
      </c>
      <c r="BY174" s="311">
        <v>70</v>
      </c>
      <c r="BZ174" s="312">
        <v>640</v>
      </c>
      <c r="CA174" s="312">
        <v>23</v>
      </c>
      <c r="CB174" s="312">
        <v>35</v>
      </c>
      <c r="CC174" s="312">
        <v>18</v>
      </c>
      <c r="CD174" s="312">
        <v>400</v>
      </c>
      <c r="CE174" s="312">
        <v>61</v>
      </c>
      <c r="CF174" s="312" t="s">
        <v>1247</v>
      </c>
      <c r="CG174" s="312">
        <v>150</v>
      </c>
      <c r="CH174" s="312">
        <v>135</v>
      </c>
      <c r="CI174" s="312">
        <v>550</v>
      </c>
      <c r="CJ174" s="312">
        <v>504</v>
      </c>
      <c r="CK174" s="305">
        <v>46</v>
      </c>
      <c r="CL174" s="322"/>
      <c r="CM174" s="367"/>
      <c r="CN174" s="322"/>
      <c r="CO174" s="322"/>
      <c r="CP174" s="368"/>
      <c r="CQ174" s="321"/>
      <c r="CR174" s="321"/>
      <c r="CS174" s="314">
        <v>15</v>
      </c>
      <c r="CT174" s="367" t="s">
        <v>1247</v>
      </c>
      <c r="CU174" s="314">
        <v>6</v>
      </c>
      <c r="CV174" s="313">
        <v>60</v>
      </c>
      <c r="CW174" s="368">
        <v>0</v>
      </c>
      <c r="CX174" s="313">
        <v>20</v>
      </c>
      <c r="CY174" s="316">
        <v>106</v>
      </c>
      <c r="CZ174" s="317">
        <v>15</v>
      </c>
      <c r="DA174" s="367" t="s">
        <v>1247</v>
      </c>
      <c r="DB174" s="314">
        <v>14</v>
      </c>
      <c r="DC174" s="313">
        <v>60</v>
      </c>
      <c r="DD174" s="368">
        <v>0</v>
      </c>
      <c r="DE174" s="313">
        <v>26</v>
      </c>
      <c r="DF174" s="316">
        <v>106</v>
      </c>
      <c r="DG174" s="320"/>
      <c r="DH174" s="368"/>
      <c r="DI174" s="321"/>
      <c r="DJ174" s="321"/>
      <c r="DK174" s="368"/>
      <c r="DL174" s="321"/>
      <c r="DM174" s="321"/>
      <c r="DN174" s="320"/>
      <c r="DO174" s="368"/>
      <c r="DP174" s="321"/>
      <c r="DQ174" s="321"/>
      <c r="DR174" s="368"/>
      <c r="DS174" s="321"/>
      <c r="DT174" s="323"/>
      <c r="DU174" s="359" t="s">
        <v>1777</v>
      </c>
    </row>
    <row r="175" spans="1:126" x14ac:dyDescent="0.3">
      <c r="B175" s="358" t="s">
        <v>1778</v>
      </c>
      <c r="D175" s="308"/>
      <c r="E175" s="308" t="s">
        <v>9</v>
      </c>
      <c r="F175" s="304"/>
      <c r="G175" s="308"/>
      <c r="H175" s="308"/>
      <c r="I175" s="308"/>
      <c r="J175" s="308"/>
      <c r="K175" s="308" t="s">
        <v>9</v>
      </c>
      <c r="L175" s="308" t="s">
        <v>9</v>
      </c>
      <c r="M175" s="308" t="s">
        <v>9</v>
      </c>
      <c r="N175" s="308" t="s">
        <v>9</v>
      </c>
      <c r="O175" s="308" t="s">
        <v>9</v>
      </c>
      <c r="P175" s="308" t="s">
        <v>9</v>
      </c>
      <c r="Q175" s="308"/>
      <c r="R175" s="308"/>
      <c r="S175" s="308" t="s">
        <v>9</v>
      </c>
      <c r="T175" s="308"/>
      <c r="U175" s="308"/>
      <c r="V175" s="308" t="s">
        <v>9</v>
      </c>
      <c r="W175" s="308" t="s">
        <v>9</v>
      </c>
      <c r="X175" s="308"/>
      <c r="Y175" s="308"/>
      <c r="Z175" s="308" t="s">
        <v>9</v>
      </c>
      <c r="AA175" s="308" t="s">
        <v>9</v>
      </c>
      <c r="AB175" s="308"/>
      <c r="AC175" s="308" t="s">
        <v>9</v>
      </c>
      <c r="AD175" s="308"/>
      <c r="AE175" s="308" t="s">
        <v>9</v>
      </c>
      <c r="AF175" s="308"/>
      <c r="AG175" s="308"/>
      <c r="AH175" s="308"/>
      <c r="AI175" s="308"/>
      <c r="AJ175" s="308" t="s">
        <v>9</v>
      </c>
      <c r="AK175" s="236">
        <v>250</v>
      </c>
      <c r="AL175">
        <v>5</v>
      </c>
      <c r="AM175" s="237" t="s">
        <v>1776</v>
      </c>
      <c r="BT175" t="s">
        <v>9</v>
      </c>
      <c r="BU175" t="s">
        <v>9</v>
      </c>
      <c r="BV175" t="s">
        <v>9</v>
      </c>
      <c r="BW175" s="311">
        <v>685</v>
      </c>
      <c r="BX175" s="311">
        <v>130</v>
      </c>
      <c r="BY175" s="311">
        <v>70</v>
      </c>
      <c r="BZ175" s="312">
        <v>640</v>
      </c>
      <c r="CA175" s="312">
        <v>23</v>
      </c>
      <c r="CB175" s="312">
        <v>35</v>
      </c>
      <c r="CC175" s="312">
        <v>18</v>
      </c>
      <c r="CD175" s="312">
        <v>400</v>
      </c>
      <c r="CE175" s="312">
        <v>61</v>
      </c>
      <c r="CF175" s="312" t="s">
        <v>1247</v>
      </c>
      <c r="CG175" s="312">
        <v>150</v>
      </c>
      <c r="CH175" s="312">
        <v>135</v>
      </c>
      <c r="CI175" s="312">
        <v>550</v>
      </c>
      <c r="CJ175" s="312">
        <v>504</v>
      </c>
      <c r="CK175" s="305">
        <v>46</v>
      </c>
      <c r="CL175" s="322"/>
      <c r="CM175" s="367"/>
      <c r="CN175" s="322"/>
      <c r="CO175" s="322"/>
      <c r="CP175" s="368"/>
      <c r="CQ175" s="321"/>
      <c r="CR175" s="321"/>
      <c r="CS175" s="314">
        <v>15</v>
      </c>
      <c r="CT175" s="367" t="s">
        <v>1247</v>
      </c>
      <c r="CU175" s="314">
        <v>6</v>
      </c>
      <c r="CV175" s="313">
        <v>60</v>
      </c>
      <c r="CW175" s="368">
        <v>0</v>
      </c>
      <c r="CX175" s="313">
        <v>20</v>
      </c>
      <c r="CY175" s="316">
        <v>106</v>
      </c>
      <c r="CZ175" s="317">
        <v>15</v>
      </c>
      <c r="DA175" s="367" t="s">
        <v>1247</v>
      </c>
      <c r="DB175" s="314">
        <v>14</v>
      </c>
      <c r="DC175" s="313">
        <v>60</v>
      </c>
      <c r="DD175" s="368">
        <v>0</v>
      </c>
      <c r="DE175" s="313">
        <v>26</v>
      </c>
      <c r="DF175" s="316">
        <v>106</v>
      </c>
      <c r="DG175" s="320"/>
      <c r="DH175" s="368"/>
      <c r="DI175" s="321"/>
      <c r="DJ175" s="321"/>
      <c r="DK175" s="368"/>
      <c r="DL175" s="321"/>
      <c r="DM175" s="321"/>
      <c r="DN175" s="320"/>
      <c r="DO175" s="368"/>
      <c r="DP175" s="321"/>
      <c r="DQ175" s="321"/>
      <c r="DR175" s="368"/>
      <c r="DS175" s="321"/>
      <c r="DT175" s="323"/>
      <c r="DU175" s="359" t="s">
        <v>1778</v>
      </c>
    </row>
    <row r="176" spans="1:126" x14ac:dyDescent="0.3">
      <c r="B176" s="358" t="s">
        <v>1779</v>
      </c>
      <c r="D176" s="308"/>
      <c r="E176" s="308" t="s">
        <v>9</v>
      </c>
      <c r="F176" s="304"/>
      <c r="G176" s="308"/>
      <c r="H176" s="308"/>
      <c r="I176" s="308"/>
      <c r="J176" s="308"/>
      <c r="K176" s="308" t="s">
        <v>9</v>
      </c>
      <c r="L176" s="308" t="s">
        <v>9</v>
      </c>
      <c r="M176" s="308" t="s">
        <v>9</v>
      </c>
      <c r="N176" s="308" t="s">
        <v>9</v>
      </c>
      <c r="O176" s="308" t="s">
        <v>9</v>
      </c>
      <c r="P176" s="308" t="s">
        <v>9</v>
      </c>
      <c r="Q176" s="308"/>
      <c r="R176" s="308"/>
      <c r="S176" s="308" t="s">
        <v>9</v>
      </c>
      <c r="T176" s="308"/>
      <c r="U176" s="308" t="s">
        <v>9</v>
      </c>
      <c r="V176" s="308" t="s">
        <v>9</v>
      </c>
      <c r="W176" s="308" t="s">
        <v>9</v>
      </c>
      <c r="X176" s="308"/>
      <c r="Y176" s="308"/>
      <c r="Z176" s="308" t="s">
        <v>9</v>
      </c>
      <c r="AA176" s="308" t="s">
        <v>9</v>
      </c>
      <c r="AB176" s="308"/>
      <c r="AC176" s="308" t="s">
        <v>9</v>
      </c>
      <c r="AD176" s="308"/>
      <c r="AE176" s="308" t="s">
        <v>9</v>
      </c>
      <c r="AF176" s="308"/>
      <c r="AG176" s="308"/>
      <c r="AH176" s="308"/>
      <c r="AI176" s="308"/>
      <c r="AJ176" s="308" t="s">
        <v>9</v>
      </c>
      <c r="AK176" s="236">
        <v>250</v>
      </c>
      <c r="AL176">
        <v>3</v>
      </c>
      <c r="AM176" s="237" t="s">
        <v>1776</v>
      </c>
      <c r="BT176" t="s">
        <v>9</v>
      </c>
      <c r="BU176" t="s">
        <v>9</v>
      </c>
      <c r="BV176" t="s">
        <v>9</v>
      </c>
      <c r="BW176" s="311">
        <v>685</v>
      </c>
      <c r="BX176" s="311">
        <v>130</v>
      </c>
      <c r="BY176" s="311">
        <v>70</v>
      </c>
      <c r="BZ176" s="312">
        <v>640</v>
      </c>
      <c r="CA176" s="312">
        <v>23</v>
      </c>
      <c r="CB176" s="312">
        <v>35</v>
      </c>
      <c r="CC176" s="312">
        <v>18</v>
      </c>
      <c r="CD176" s="312">
        <v>400</v>
      </c>
      <c r="CE176" s="312">
        <v>61</v>
      </c>
      <c r="CF176" s="312" t="s">
        <v>1247</v>
      </c>
      <c r="CG176" s="312">
        <v>150</v>
      </c>
      <c r="CH176" s="312">
        <v>135</v>
      </c>
      <c r="CI176" s="312">
        <v>550</v>
      </c>
      <c r="CJ176" s="312">
        <v>504</v>
      </c>
      <c r="CK176" s="305">
        <v>46</v>
      </c>
      <c r="CL176" s="322"/>
      <c r="CM176" s="367"/>
      <c r="CN176" s="322"/>
      <c r="CO176" s="322"/>
      <c r="CP176" s="368"/>
      <c r="CQ176" s="321"/>
      <c r="CR176" s="321"/>
      <c r="CS176" s="314">
        <v>15</v>
      </c>
      <c r="CT176" s="367" t="s">
        <v>1247</v>
      </c>
      <c r="CU176" s="314">
        <v>6</v>
      </c>
      <c r="CV176" s="313">
        <v>60</v>
      </c>
      <c r="CW176" s="368">
        <v>0</v>
      </c>
      <c r="CX176" s="313">
        <v>20</v>
      </c>
      <c r="CY176" s="316">
        <v>106</v>
      </c>
      <c r="CZ176" s="317">
        <v>15</v>
      </c>
      <c r="DA176" s="367" t="s">
        <v>1247</v>
      </c>
      <c r="DB176" s="314">
        <v>14</v>
      </c>
      <c r="DC176" s="313">
        <v>60</v>
      </c>
      <c r="DD176" s="368">
        <v>0</v>
      </c>
      <c r="DE176" s="313">
        <v>26</v>
      </c>
      <c r="DF176" s="316">
        <v>106</v>
      </c>
      <c r="DG176" s="320"/>
      <c r="DH176" s="368"/>
      <c r="DI176" s="321"/>
      <c r="DJ176" s="321"/>
      <c r="DK176" s="368"/>
      <c r="DL176" s="321"/>
      <c r="DM176" s="321"/>
      <c r="DN176" s="320"/>
      <c r="DO176" s="368"/>
      <c r="DP176" s="321"/>
      <c r="DQ176" s="321"/>
      <c r="DR176" s="368"/>
      <c r="DS176" s="321"/>
      <c r="DT176" s="323"/>
      <c r="DU176" s="359" t="s">
        <v>1779</v>
      </c>
    </row>
    <row r="177" spans="2:125" x14ac:dyDescent="0.3">
      <c r="B177" s="358" t="s">
        <v>1780</v>
      </c>
      <c r="D177" s="308"/>
      <c r="E177" s="308" t="s">
        <v>9</v>
      </c>
      <c r="F177" s="304"/>
      <c r="G177" s="308"/>
      <c r="H177" s="308"/>
      <c r="I177" s="308"/>
      <c r="J177" s="308"/>
      <c r="K177" s="308" t="s">
        <v>9</v>
      </c>
      <c r="L177" s="308" t="s">
        <v>9</v>
      </c>
      <c r="M177" s="308" t="s">
        <v>9</v>
      </c>
      <c r="N177" s="308" t="s">
        <v>9</v>
      </c>
      <c r="O177" s="308" t="s">
        <v>9</v>
      </c>
      <c r="P177" s="308" t="s">
        <v>9</v>
      </c>
      <c r="Q177" s="308"/>
      <c r="R177" s="308"/>
      <c r="S177" s="308" t="s">
        <v>9</v>
      </c>
      <c r="T177" s="308"/>
      <c r="U177" s="308" t="s">
        <v>9</v>
      </c>
      <c r="V177" s="308" t="s">
        <v>9</v>
      </c>
      <c r="W177" s="308"/>
      <c r="X177" s="308"/>
      <c r="Y177" s="308"/>
      <c r="Z177" s="308" t="s">
        <v>9</v>
      </c>
      <c r="AA177" s="308" t="s">
        <v>9</v>
      </c>
      <c r="AB177" s="308"/>
      <c r="AC177" s="308" t="s">
        <v>9</v>
      </c>
      <c r="AD177" s="308"/>
      <c r="AE177" s="308" t="s">
        <v>9</v>
      </c>
      <c r="AF177" s="308"/>
      <c r="AG177" s="308"/>
      <c r="AH177" s="308"/>
      <c r="AI177" s="308"/>
      <c r="AJ177" s="308" t="s">
        <v>9</v>
      </c>
      <c r="AK177" s="236">
        <v>250</v>
      </c>
      <c r="AL177">
        <v>4</v>
      </c>
      <c r="AM177" s="237" t="s">
        <v>1776</v>
      </c>
      <c r="BT177" t="s">
        <v>9</v>
      </c>
      <c r="BU177" t="s">
        <v>9</v>
      </c>
      <c r="BV177" t="s">
        <v>9</v>
      </c>
      <c r="BW177" s="311">
        <v>685</v>
      </c>
      <c r="BX177" s="311">
        <v>130</v>
      </c>
      <c r="BY177" s="311">
        <v>70</v>
      </c>
      <c r="BZ177" s="312">
        <v>640</v>
      </c>
      <c r="CA177" s="312">
        <v>23</v>
      </c>
      <c r="CB177" s="312">
        <v>35</v>
      </c>
      <c r="CC177" s="312">
        <v>18</v>
      </c>
      <c r="CD177" s="312">
        <v>400</v>
      </c>
      <c r="CE177" s="312">
        <v>61</v>
      </c>
      <c r="CF177" s="312" t="s">
        <v>1247</v>
      </c>
      <c r="CG177" s="312">
        <v>150</v>
      </c>
      <c r="CH177" s="312">
        <v>135</v>
      </c>
      <c r="CI177" s="312">
        <v>550</v>
      </c>
      <c r="CJ177" s="312">
        <v>504</v>
      </c>
      <c r="CK177" s="305">
        <v>46</v>
      </c>
      <c r="CL177" s="322"/>
      <c r="CM177" s="367"/>
      <c r="CN177" s="322"/>
      <c r="CO177" s="322"/>
      <c r="CP177" s="368"/>
      <c r="CQ177" s="321"/>
      <c r="CR177" s="321"/>
      <c r="CS177" s="314">
        <v>15</v>
      </c>
      <c r="CT177" s="367" t="s">
        <v>1247</v>
      </c>
      <c r="CU177" s="314">
        <v>6</v>
      </c>
      <c r="CV177" s="313">
        <v>60</v>
      </c>
      <c r="CW177" s="368">
        <v>0</v>
      </c>
      <c r="CX177" s="313">
        <v>20</v>
      </c>
      <c r="CY177" s="316">
        <v>106</v>
      </c>
      <c r="CZ177" s="317">
        <v>15</v>
      </c>
      <c r="DA177" s="367" t="s">
        <v>1247</v>
      </c>
      <c r="DB177" s="314">
        <v>14</v>
      </c>
      <c r="DC177" s="313">
        <v>60</v>
      </c>
      <c r="DD177" s="368">
        <v>0</v>
      </c>
      <c r="DE177" s="313">
        <v>26</v>
      </c>
      <c r="DF177" s="316">
        <v>106</v>
      </c>
      <c r="DG177" s="320"/>
      <c r="DH177" s="368"/>
      <c r="DI177" s="321"/>
      <c r="DJ177" s="321"/>
      <c r="DK177" s="368"/>
      <c r="DL177" s="321"/>
      <c r="DM177" s="321"/>
      <c r="DN177" s="320"/>
      <c r="DO177" s="368"/>
      <c r="DP177" s="321"/>
      <c r="DQ177" s="321"/>
      <c r="DR177" s="368"/>
      <c r="DS177" s="321"/>
      <c r="DT177" s="323"/>
      <c r="DU177" s="359" t="s">
        <v>1780</v>
      </c>
    </row>
    <row r="178" spans="2:125" x14ac:dyDescent="0.3">
      <c r="B178" s="358" t="s">
        <v>1900</v>
      </c>
      <c r="D178" s="308" t="s">
        <v>9</v>
      </c>
      <c r="E178" s="308"/>
      <c r="F178" s="304"/>
      <c r="G178" s="308"/>
      <c r="H178" s="308"/>
      <c r="I178" s="308" t="s">
        <v>9</v>
      </c>
      <c r="J178" s="308" t="s">
        <v>9</v>
      </c>
      <c r="K178" s="308" t="s">
        <v>9</v>
      </c>
      <c r="L178" s="308"/>
      <c r="M178" s="308"/>
      <c r="N178" s="308"/>
      <c r="O178" s="308"/>
      <c r="P178" s="308" t="s">
        <v>9</v>
      </c>
      <c r="Q178" s="308"/>
      <c r="R178" s="308"/>
      <c r="S178" s="308" t="s">
        <v>9</v>
      </c>
      <c r="T178" s="308"/>
      <c r="U178" s="308" t="s">
        <v>9</v>
      </c>
      <c r="V178" s="308" t="s">
        <v>9</v>
      </c>
      <c r="W178" s="308"/>
      <c r="X178" s="308"/>
      <c r="Y178" s="308"/>
      <c r="Z178" s="308" t="s">
        <v>9</v>
      </c>
      <c r="AA178" s="308" t="s">
        <v>9</v>
      </c>
      <c r="AB178" s="308"/>
      <c r="AC178" s="308" t="s">
        <v>9</v>
      </c>
      <c r="AD178" s="308"/>
      <c r="AE178" s="308" t="s">
        <v>9</v>
      </c>
      <c r="AF178" s="308"/>
      <c r="AG178" s="308"/>
      <c r="AH178" s="308"/>
      <c r="AI178" s="308"/>
      <c r="AJ178" s="308" t="s">
        <v>9</v>
      </c>
      <c r="AK178" s="236">
        <v>100</v>
      </c>
      <c r="AL178">
        <v>1</v>
      </c>
      <c r="AM178" s="237" t="s">
        <v>1571</v>
      </c>
      <c r="BT178" t="s">
        <v>9</v>
      </c>
      <c r="BU178" t="s">
        <v>9</v>
      </c>
      <c r="BV178" t="s">
        <v>9</v>
      </c>
      <c r="BW178" s="311">
        <v>685</v>
      </c>
      <c r="BX178" s="311">
        <v>130</v>
      </c>
      <c r="BY178" s="311">
        <v>70</v>
      </c>
      <c r="BZ178" s="312">
        <v>355</v>
      </c>
      <c r="CA178" s="312">
        <v>25</v>
      </c>
      <c r="CB178" s="312">
        <v>30</v>
      </c>
      <c r="CC178" s="312">
        <v>30</v>
      </c>
      <c r="CD178" s="312">
        <v>400</v>
      </c>
      <c r="CE178" s="312">
        <v>61</v>
      </c>
      <c r="CF178" s="312" t="s">
        <v>1247</v>
      </c>
      <c r="CG178" s="312">
        <v>150</v>
      </c>
      <c r="CH178" s="312">
        <v>135</v>
      </c>
      <c r="CI178" s="312" t="s">
        <v>1744</v>
      </c>
      <c r="CJ178" s="312" t="s">
        <v>1744</v>
      </c>
      <c r="CK178" s="305" t="s">
        <v>1744</v>
      </c>
      <c r="CL178" s="322"/>
      <c r="CM178" s="367"/>
      <c r="CN178" s="322"/>
      <c r="CO178" s="322"/>
      <c r="CP178" s="368"/>
      <c r="CQ178" s="321"/>
      <c r="CR178" s="321"/>
      <c r="CS178" s="314">
        <v>15</v>
      </c>
      <c r="CT178" s="367" t="s">
        <v>1247</v>
      </c>
      <c r="CU178" s="314">
        <v>6</v>
      </c>
      <c r="CV178" s="313">
        <v>270</v>
      </c>
      <c r="CW178" s="368">
        <v>0</v>
      </c>
      <c r="CX178" s="313">
        <v>20</v>
      </c>
      <c r="CY178" s="316" t="s">
        <v>1744</v>
      </c>
      <c r="CZ178" s="317"/>
      <c r="DA178" s="367"/>
      <c r="DB178" s="314"/>
      <c r="DC178" s="313"/>
      <c r="DD178" s="368"/>
      <c r="DE178" s="313"/>
      <c r="DF178" s="316"/>
      <c r="DG178" s="320"/>
      <c r="DH178" s="368"/>
      <c r="DI178" s="321"/>
      <c r="DJ178" s="321"/>
      <c r="DK178" s="368"/>
      <c r="DL178" s="321"/>
      <c r="DM178" s="321"/>
      <c r="DN178" s="320"/>
      <c r="DO178" s="368"/>
      <c r="DP178" s="321"/>
      <c r="DQ178" s="321"/>
      <c r="DR178" s="368"/>
      <c r="DS178" s="321"/>
      <c r="DT178" s="323"/>
      <c r="DU178" s="359" t="s">
        <v>1781</v>
      </c>
    </row>
    <row r="179" spans="2:125" x14ac:dyDescent="0.3">
      <c r="B179" s="358" t="s">
        <v>1771</v>
      </c>
      <c r="D179" s="308"/>
      <c r="E179" s="308" t="s">
        <v>9</v>
      </c>
      <c r="F179" s="304"/>
      <c r="G179" s="308"/>
      <c r="H179" s="308"/>
      <c r="I179" s="308" t="s">
        <v>9</v>
      </c>
      <c r="J179" s="308" t="s">
        <v>9</v>
      </c>
      <c r="K179" s="308" t="s">
        <v>9</v>
      </c>
      <c r="L179" s="308"/>
      <c r="M179" s="308"/>
      <c r="N179" s="308"/>
      <c r="O179" s="308"/>
      <c r="P179" s="308" t="s">
        <v>9</v>
      </c>
      <c r="Q179" s="308"/>
      <c r="R179" s="308"/>
      <c r="S179" s="308" t="s">
        <v>9</v>
      </c>
      <c r="T179" s="308"/>
      <c r="U179" s="308" t="s">
        <v>9</v>
      </c>
      <c r="V179" s="308" t="s">
        <v>9</v>
      </c>
      <c r="W179" s="308" t="s">
        <v>9</v>
      </c>
      <c r="X179" s="308"/>
      <c r="Y179" s="308"/>
      <c r="Z179" s="308" t="s">
        <v>9</v>
      </c>
      <c r="AA179" s="308" t="s">
        <v>9</v>
      </c>
      <c r="AB179" s="308"/>
      <c r="AC179" s="308" t="s">
        <v>9</v>
      </c>
      <c r="AD179" s="308"/>
      <c r="AE179" s="308" t="s">
        <v>9</v>
      </c>
      <c r="AF179" s="308"/>
      <c r="AG179" s="308"/>
      <c r="AH179" s="308"/>
      <c r="AI179" s="308"/>
      <c r="AJ179" s="308" t="s">
        <v>9</v>
      </c>
      <c r="AK179" s="236">
        <v>100</v>
      </c>
      <c r="AL179">
        <v>2</v>
      </c>
      <c r="AM179" s="237" t="s">
        <v>1571</v>
      </c>
      <c r="AZ179" t="s">
        <v>9</v>
      </c>
      <c r="BN179" t="s">
        <v>9</v>
      </c>
      <c r="BT179" t="s">
        <v>9</v>
      </c>
      <c r="BU179" t="s">
        <v>9</v>
      </c>
      <c r="BV179" t="s">
        <v>9</v>
      </c>
      <c r="BW179" s="311">
        <v>685</v>
      </c>
      <c r="BX179" s="311">
        <v>130</v>
      </c>
      <c r="BY179" s="311">
        <v>70</v>
      </c>
      <c r="BZ179" s="312">
        <v>355</v>
      </c>
      <c r="CA179" s="312">
        <v>25</v>
      </c>
      <c r="CB179" s="312">
        <v>30</v>
      </c>
      <c r="CC179" s="312">
        <v>30</v>
      </c>
      <c r="CD179" s="312">
        <v>400</v>
      </c>
      <c r="CE179" s="312">
        <v>61</v>
      </c>
      <c r="CF179" s="312" t="s">
        <v>1247</v>
      </c>
      <c r="CG179" s="312">
        <v>150</v>
      </c>
      <c r="CH179" s="312">
        <v>135</v>
      </c>
      <c r="CI179" s="312" t="s">
        <v>1744</v>
      </c>
      <c r="CJ179" s="312" t="s">
        <v>1744</v>
      </c>
      <c r="CK179" s="305" t="s">
        <v>1744</v>
      </c>
      <c r="CL179" s="322"/>
      <c r="CM179" s="367"/>
      <c r="CN179" s="322"/>
      <c r="CO179" s="322"/>
      <c r="CP179" s="368"/>
      <c r="CQ179" s="321"/>
      <c r="CR179" s="321"/>
      <c r="CS179" s="314">
        <v>15</v>
      </c>
      <c r="CT179" s="367" t="s">
        <v>1247</v>
      </c>
      <c r="CU179" s="314">
        <v>6</v>
      </c>
      <c r="CV179" s="313">
        <v>270</v>
      </c>
      <c r="CW179" s="368">
        <v>0</v>
      </c>
      <c r="CX179" s="313">
        <v>20</v>
      </c>
      <c r="CY179" s="316" t="s">
        <v>1744</v>
      </c>
      <c r="CZ179" s="317"/>
      <c r="DA179" s="367"/>
      <c r="DB179" s="314"/>
      <c r="DC179" s="313"/>
      <c r="DD179" s="368"/>
      <c r="DE179" s="313"/>
      <c r="DF179" s="316"/>
      <c r="DG179" s="320"/>
      <c r="DH179" s="368"/>
      <c r="DI179" s="321"/>
      <c r="DJ179" s="321"/>
      <c r="DK179" s="368"/>
      <c r="DL179" s="321"/>
      <c r="DM179" s="321"/>
      <c r="DN179" s="320"/>
      <c r="DO179" s="368"/>
      <c r="DP179" s="321"/>
      <c r="DQ179" s="321"/>
      <c r="DR179" s="368"/>
      <c r="DS179" s="321"/>
      <c r="DT179" s="323"/>
      <c r="DU179" s="359" t="s">
        <v>1771</v>
      </c>
    </row>
    <row r="180" spans="2:125" x14ac:dyDescent="0.3">
      <c r="B180" s="358" t="s">
        <v>1772</v>
      </c>
      <c r="D180" s="308"/>
      <c r="E180" s="308" t="s">
        <v>9</v>
      </c>
      <c r="F180" s="304"/>
      <c r="G180" s="308"/>
      <c r="H180" s="308"/>
      <c r="I180" s="308" t="s">
        <v>9</v>
      </c>
      <c r="J180" s="308" t="s">
        <v>9</v>
      </c>
      <c r="K180" s="308" t="s">
        <v>9</v>
      </c>
      <c r="L180" s="308"/>
      <c r="M180" s="308"/>
      <c r="N180" s="308"/>
      <c r="O180" s="308"/>
      <c r="P180" s="308" t="s">
        <v>9</v>
      </c>
      <c r="Q180" s="308"/>
      <c r="R180" s="308"/>
      <c r="S180" s="308" t="s">
        <v>9</v>
      </c>
      <c r="T180" s="308"/>
      <c r="U180" s="308"/>
      <c r="V180" s="308" t="s">
        <v>9</v>
      </c>
      <c r="W180" s="308" t="s">
        <v>9</v>
      </c>
      <c r="X180" s="308"/>
      <c r="Y180" s="308"/>
      <c r="Z180" s="308" t="s">
        <v>9</v>
      </c>
      <c r="AA180" s="308" t="s">
        <v>9</v>
      </c>
      <c r="AB180" s="308"/>
      <c r="AC180" s="308" t="s">
        <v>9</v>
      </c>
      <c r="AD180" s="308"/>
      <c r="AE180" s="308" t="s">
        <v>9</v>
      </c>
      <c r="AF180" s="308"/>
      <c r="AG180" s="308"/>
      <c r="AH180" s="308"/>
      <c r="AI180" s="308"/>
      <c r="AJ180" s="308" t="s">
        <v>9</v>
      </c>
      <c r="AK180" s="236">
        <v>100</v>
      </c>
      <c r="AL180">
        <v>5</v>
      </c>
      <c r="AM180" s="237" t="s">
        <v>1571</v>
      </c>
      <c r="BT180" t="s">
        <v>9</v>
      </c>
      <c r="BU180" t="s">
        <v>9</v>
      </c>
      <c r="BV180" t="s">
        <v>9</v>
      </c>
      <c r="BW180" s="311">
        <v>685</v>
      </c>
      <c r="BX180" s="311">
        <v>130</v>
      </c>
      <c r="BY180" s="311">
        <v>70</v>
      </c>
      <c r="BZ180" s="312">
        <v>355</v>
      </c>
      <c r="CA180" s="312">
        <v>25</v>
      </c>
      <c r="CB180" s="312">
        <v>30</v>
      </c>
      <c r="CC180" s="312">
        <v>30</v>
      </c>
      <c r="CD180" s="312">
        <v>400</v>
      </c>
      <c r="CE180" s="312">
        <v>61</v>
      </c>
      <c r="CF180" s="312" t="s">
        <v>1247</v>
      </c>
      <c r="CG180" s="312">
        <v>150</v>
      </c>
      <c r="CH180" s="312">
        <v>135</v>
      </c>
      <c r="CI180" s="312" t="s">
        <v>1744</v>
      </c>
      <c r="CJ180" s="312" t="s">
        <v>1744</v>
      </c>
      <c r="CK180" s="305" t="s">
        <v>1744</v>
      </c>
      <c r="CL180" s="322"/>
      <c r="CM180" s="367"/>
      <c r="CN180" s="322"/>
      <c r="CO180" s="322"/>
      <c r="CP180" s="368"/>
      <c r="CQ180" s="321"/>
      <c r="CR180" s="321"/>
      <c r="CS180" s="314">
        <v>15</v>
      </c>
      <c r="CT180" s="367" t="s">
        <v>1247</v>
      </c>
      <c r="CU180" s="314">
        <v>6</v>
      </c>
      <c r="CV180" s="313">
        <v>270</v>
      </c>
      <c r="CW180" s="368">
        <v>0</v>
      </c>
      <c r="CX180" s="313">
        <v>20</v>
      </c>
      <c r="CY180" s="316" t="s">
        <v>1744</v>
      </c>
      <c r="CZ180" s="317"/>
      <c r="DA180" s="367"/>
      <c r="DB180" s="314"/>
      <c r="DC180" s="313"/>
      <c r="DD180" s="368"/>
      <c r="DE180" s="313"/>
      <c r="DF180" s="316"/>
      <c r="DG180" s="320"/>
      <c r="DH180" s="368"/>
      <c r="DI180" s="321"/>
      <c r="DJ180" s="321"/>
      <c r="DK180" s="368"/>
      <c r="DL180" s="321"/>
      <c r="DM180" s="321"/>
      <c r="DN180" s="320"/>
      <c r="DO180" s="368"/>
      <c r="DP180" s="321"/>
      <c r="DQ180" s="321"/>
      <c r="DR180" s="368"/>
      <c r="DS180" s="321"/>
      <c r="DT180" s="323"/>
      <c r="DU180" s="359" t="s">
        <v>1772</v>
      </c>
    </row>
    <row r="181" spans="2:125" x14ac:dyDescent="0.3">
      <c r="B181" s="358" t="s">
        <v>1773</v>
      </c>
      <c r="D181" s="308"/>
      <c r="E181" s="308" t="s">
        <v>9</v>
      </c>
      <c r="F181" s="304"/>
      <c r="G181" s="308"/>
      <c r="H181" s="308"/>
      <c r="I181" s="308" t="s">
        <v>9</v>
      </c>
      <c r="J181" s="308" t="s">
        <v>9</v>
      </c>
      <c r="K181" s="308" t="s">
        <v>9</v>
      </c>
      <c r="L181" s="308"/>
      <c r="M181" s="308"/>
      <c r="N181" s="308"/>
      <c r="O181" s="308"/>
      <c r="P181" s="308" t="s">
        <v>9</v>
      </c>
      <c r="Q181" s="308"/>
      <c r="R181" s="308"/>
      <c r="S181" s="308" t="s">
        <v>9</v>
      </c>
      <c r="T181" s="308"/>
      <c r="U181" s="308" t="s">
        <v>9</v>
      </c>
      <c r="V181" s="308" t="s">
        <v>9</v>
      </c>
      <c r="W181" s="308" t="s">
        <v>9</v>
      </c>
      <c r="X181" s="308"/>
      <c r="Y181" s="308"/>
      <c r="Z181" s="308" t="s">
        <v>9</v>
      </c>
      <c r="AA181" s="308" t="s">
        <v>9</v>
      </c>
      <c r="AB181" s="308"/>
      <c r="AC181" s="308" t="s">
        <v>9</v>
      </c>
      <c r="AD181" s="308"/>
      <c r="AE181" s="308" t="s">
        <v>9</v>
      </c>
      <c r="AF181" s="308"/>
      <c r="AG181" s="308"/>
      <c r="AH181" s="308"/>
      <c r="AI181" s="308"/>
      <c r="AJ181" s="308" t="s">
        <v>9</v>
      </c>
      <c r="AK181" s="236">
        <v>100</v>
      </c>
      <c r="AL181">
        <v>3</v>
      </c>
      <c r="AM181" s="237" t="s">
        <v>1571</v>
      </c>
      <c r="BT181" t="s">
        <v>9</v>
      </c>
      <c r="BU181" t="s">
        <v>9</v>
      </c>
      <c r="BV181" t="s">
        <v>9</v>
      </c>
      <c r="BW181" s="311">
        <v>685</v>
      </c>
      <c r="BX181" s="311">
        <v>130</v>
      </c>
      <c r="BY181" s="311">
        <v>70</v>
      </c>
      <c r="BZ181" s="312">
        <v>355</v>
      </c>
      <c r="CA181" s="312">
        <v>25</v>
      </c>
      <c r="CB181" s="312">
        <v>30</v>
      </c>
      <c r="CC181" s="312">
        <v>30</v>
      </c>
      <c r="CD181" s="312">
        <v>400</v>
      </c>
      <c r="CE181" s="312">
        <v>61</v>
      </c>
      <c r="CF181" s="312" t="s">
        <v>1247</v>
      </c>
      <c r="CG181" s="312">
        <v>150</v>
      </c>
      <c r="CH181" s="312">
        <v>135</v>
      </c>
      <c r="CI181" s="312" t="s">
        <v>1744</v>
      </c>
      <c r="CJ181" s="312" t="s">
        <v>1744</v>
      </c>
      <c r="CK181" s="305" t="s">
        <v>1744</v>
      </c>
      <c r="CL181" s="322"/>
      <c r="CM181" s="367"/>
      <c r="CN181" s="322"/>
      <c r="CO181" s="322"/>
      <c r="CP181" s="368"/>
      <c r="CQ181" s="321"/>
      <c r="CR181" s="321"/>
      <c r="CS181" s="362">
        <v>15</v>
      </c>
      <c r="CT181" s="250" t="s">
        <v>1247</v>
      </c>
      <c r="CU181" s="362">
        <v>6</v>
      </c>
      <c r="CV181" s="362">
        <v>270</v>
      </c>
      <c r="CW181" s="250">
        <v>0</v>
      </c>
      <c r="CX181" s="362">
        <v>20</v>
      </c>
      <c r="CY181" s="363" t="s">
        <v>1744</v>
      </c>
      <c r="CZ181" s="362"/>
      <c r="DA181" s="250"/>
      <c r="DB181" s="362"/>
      <c r="DC181" s="362"/>
      <c r="DD181" s="250"/>
      <c r="DE181" s="362"/>
      <c r="DF181" s="363"/>
      <c r="DG181" s="320"/>
      <c r="DH181" s="368"/>
      <c r="DI181" s="321"/>
      <c r="DJ181" s="321"/>
      <c r="DK181" s="368"/>
      <c r="DL181" s="321"/>
      <c r="DM181" s="321"/>
      <c r="DN181" s="320"/>
      <c r="DO181" s="368"/>
      <c r="DP181" s="321"/>
      <c r="DQ181" s="321"/>
      <c r="DR181" s="368"/>
      <c r="DS181" s="321"/>
      <c r="DT181" s="323"/>
      <c r="DU181" s="359" t="s">
        <v>1773</v>
      </c>
    </row>
    <row r="182" spans="2:125" x14ac:dyDescent="0.3">
      <c r="B182" s="358" t="s">
        <v>1782</v>
      </c>
      <c r="D182" s="308"/>
      <c r="E182" s="308" t="s">
        <v>9</v>
      </c>
      <c r="F182" s="304"/>
      <c r="G182" s="308"/>
      <c r="H182" s="308"/>
      <c r="I182" s="308" t="s">
        <v>9</v>
      </c>
      <c r="J182" s="308" t="s">
        <v>9</v>
      </c>
      <c r="K182" s="308" t="s">
        <v>9</v>
      </c>
      <c r="L182" s="308"/>
      <c r="M182" s="308"/>
      <c r="N182" s="308"/>
      <c r="O182" s="308"/>
      <c r="P182" s="308" t="s">
        <v>9</v>
      </c>
      <c r="Q182" s="308"/>
      <c r="R182" s="308"/>
      <c r="S182" s="308" t="s">
        <v>9</v>
      </c>
      <c r="T182" s="308"/>
      <c r="U182" s="308" t="s">
        <v>9</v>
      </c>
      <c r="V182" s="308" t="s">
        <v>9</v>
      </c>
      <c r="W182" s="308"/>
      <c r="X182" s="308"/>
      <c r="Y182" s="308"/>
      <c r="Z182" s="308" t="s">
        <v>9</v>
      </c>
      <c r="AA182" s="308" t="s">
        <v>9</v>
      </c>
      <c r="AB182" s="308"/>
      <c r="AC182" s="308" t="s">
        <v>9</v>
      </c>
      <c r="AD182" s="308"/>
      <c r="AE182" s="308" t="s">
        <v>9</v>
      </c>
      <c r="AF182" s="308"/>
      <c r="AG182" s="308"/>
      <c r="AH182" s="308"/>
      <c r="AI182" s="308"/>
      <c r="AJ182" s="308" t="s">
        <v>9</v>
      </c>
      <c r="AK182" s="236">
        <v>100</v>
      </c>
      <c r="AL182">
        <v>4</v>
      </c>
      <c r="AM182" s="237" t="s">
        <v>1571</v>
      </c>
      <c r="BT182" t="s">
        <v>9</v>
      </c>
      <c r="BU182" t="s">
        <v>9</v>
      </c>
      <c r="BV182" t="s">
        <v>9</v>
      </c>
      <c r="BW182" s="311">
        <v>685</v>
      </c>
      <c r="BX182" s="311">
        <v>130</v>
      </c>
      <c r="BY182" s="311">
        <v>70</v>
      </c>
      <c r="BZ182" s="312">
        <v>355</v>
      </c>
      <c r="CA182" s="312">
        <v>25</v>
      </c>
      <c r="CB182" s="312">
        <v>30</v>
      </c>
      <c r="CC182" s="312">
        <v>30</v>
      </c>
      <c r="CD182" s="312">
        <v>400</v>
      </c>
      <c r="CE182" s="312">
        <v>61</v>
      </c>
      <c r="CF182" s="312" t="s">
        <v>1247</v>
      </c>
      <c r="CG182" s="312">
        <v>150</v>
      </c>
      <c r="CH182" s="312">
        <v>135</v>
      </c>
      <c r="CI182" s="312" t="s">
        <v>1744</v>
      </c>
      <c r="CJ182" s="312" t="s">
        <v>1744</v>
      </c>
      <c r="CK182" s="305" t="s">
        <v>1744</v>
      </c>
      <c r="CL182" s="322"/>
      <c r="CM182" s="367"/>
      <c r="CN182" s="322"/>
      <c r="CO182" s="322"/>
      <c r="CP182" s="368"/>
      <c r="CQ182" s="321"/>
      <c r="CR182" s="321"/>
      <c r="CS182" s="314">
        <v>15</v>
      </c>
      <c r="CT182" s="367" t="s">
        <v>1247</v>
      </c>
      <c r="CU182" s="314">
        <v>6</v>
      </c>
      <c r="CV182" s="313">
        <v>270</v>
      </c>
      <c r="CW182" s="368">
        <v>0</v>
      </c>
      <c r="CX182" s="313">
        <v>20</v>
      </c>
      <c r="CY182" s="316" t="s">
        <v>1744</v>
      </c>
      <c r="CZ182" s="317"/>
      <c r="DA182" s="367"/>
      <c r="DB182" s="314"/>
      <c r="DC182" s="313"/>
      <c r="DD182" s="368"/>
      <c r="DE182" s="313"/>
      <c r="DF182" s="316"/>
      <c r="DG182" s="320"/>
      <c r="DH182" s="368"/>
      <c r="DI182" s="321"/>
      <c r="DJ182" s="321"/>
      <c r="DK182" s="368"/>
      <c r="DL182" s="321"/>
      <c r="DM182" s="321"/>
      <c r="DN182" s="320"/>
      <c r="DO182" s="368"/>
      <c r="DP182" s="321"/>
      <c r="DQ182" s="321"/>
      <c r="DR182" s="368"/>
      <c r="DS182" s="321"/>
      <c r="DT182" s="323"/>
      <c r="DU182" s="359" t="s">
        <v>1782</v>
      </c>
    </row>
    <row r="183" spans="2:125" x14ac:dyDescent="0.3">
      <c r="B183" s="360" t="s">
        <v>1901</v>
      </c>
      <c r="C183" s="306"/>
      <c r="D183" s="328" t="s">
        <v>9</v>
      </c>
      <c r="E183" s="328"/>
      <c r="F183" s="329"/>
      <c r="G183" s="328"/>
      <c r="H183" s="328"/>
      <c r="I183" s="328"/>
      <c r="J183" s="328"/>
      <c r="K183" s="328" t="s">
        <v>9</v>
      </c>
      <c r="L183" s="328" t="s">
        <v>9</v>
      </c>
      <c r="M183" s="328" t="s">
        <v>9</v>
      </c>
      <c r="N183" s="328" t="s">
        <v>9</v>
      </c>
      <c r="O183" s="328"/>
      <c r="P183" s="328" t="s">
        <v>9</v>
      </c>
      <c r="Q183" s="328"/>
      <c r="R183" s="328"/>
      <c r="S183" s="328" t="s">
        <v>9</v>
      </c>
      <c r="T183" s="328"/>
      <c r="U183" s="328" t="s">
        <v>9</v>
      </c>
      <c r="V183" s="328" t="s">
        <v>9</v>
      </c>
      <c r="W183" s="328"/>
      <c r="X183" s="328"/>
      <c r="Y183" s="328"/>
      <c r="Z183" s="328" t="s">
        <v>9</v>
      </c>
      <c r="AA183" s="328" t="s">
        <v>9</v>
      </c>
      <c r="AB183" s="328"/>
      <c r="AC183" s="328" t="s">
        <v>9</v>
      </c>
      <c r="AD183" s="328"/>
      <c r="AE183" s="328" t="s">
        <v>9</v>
      </c>
      <c r="AF183" s="328"/>
      <c r="AG183" s="328"/>
      <c r="AH183" s="328"/>
      <c r="AI183" s="328"/>
      <c r="AJ183" s="328" t="s">
        <v>9</v>
      </c>
      <c r="AK183" s="330">
        <v>250</v>
      </c>
      <c r="AL183" s="306">
        <v>1</v>
      </c>
      <c r="AM183" s="331" t="s">
        <v>1776</v>
      </c>
      <c r="AN183" s="306"/>
      <c r="AO183" s="306"/>
      <c r="AP183" s="306"/>
      <c r="AQ183" s="306"/>
      <c r="AR183" s="306"/>
      <c r="AS183" s="306"/>
      <c r="AT183" s="306"/>
      <c r="AU183" s="306"/>
      <c r="AV183" s="306"/>
      <c r="AW183" s="306"/>
      <c r="AX183" s="306"/>
      <c r="AY183" s="306"/>
      <c r="AZ183" s="306"/>
      <c r="BA183" s="306"/>
      <c r="BB183" s="306"/>
      <c r="BC183" s="306"/>
      <c r="BD183" s="306"/>
      <c r="BE183" s="306"/>
      <c r="BF183" s="306"/>
      <c r="BG183" s="306"/>
      <c r="BH183" s="306"/>
      <c r="BI183" s="306"/>
      <c r="BJ183" s="306"/>
      <c r="BK183" s="306"/>
      <c r="BL183" s="306"/>
      <c r="BM183" s="306"/>
      <c r="BN183" s="306"/>
      <c r="BO183" s="306"/>
      <c r="BP183" s="306"/>
      <c r="BQ183" s="306"/>
      <c r="BR183" s="306"/>
      <c r="BS183" s="306"/>
      <c r="BT183" s="306" t="s">
        <v>9</v>
      </c>
      <c r="BU183" s="306" t="s">
        <v>9</v>
      </c>
      <c r="BV183" s="306" t="s">
        <v>9</v>
      </c>
      <c r="BW183" s="327">
        <v>685</v>
      </c>
      <c r="BX183" s="327">
        <v>130</v>
      </c>
      <c r="BY183" s="327">
        <v>70</v>
      </c>
      <c r="BZ183" s="332">
        <v>355</v>
      </c>
      <c r="CA183" s="332">
        <v>25</v>
      </c>
      <c r="CB183" s="332">
        <v>30</v>
      </c>
      <c r="CC183" s="332">
        <v>30</v>
      </c>
      <c r="CD183" s="332">
        <v>400</v>
      </c>
      <c r="CE183" s="332">
        <v>61</v>
      </c>
      <c r="CF183" s="332" t="s">
        <v>1247</v>
      </c>
      <c r="CG183" s="332">
        <v>150</v>
      </c>
      <c r="CH183" s="332">
        <v>135</v>
      </c>
      <c r="CI183" s="332" t="s">
        <v>1744</v>
      </c>
      <c r="CJ183" s="332" t="s">
        <v>1744</v>
      </c>
      <c r="CK183" s="342" t="s">
        <v>1744</v>
      </c>
      <c r="CL183" s="335"/>
      <c r="CM183" s="369"/>
      <c r="CN183" s="335"/>
      <c r="CO183" s="335"/>
      <c r="CP183" s="369"/>
      <c r="CQ183" s="335"/>
      <c r="CR183" s="335"/>
      <c r="CS183" s="333">
        <v>15</v>
      </c>
      <c r="CT183" s="369" t="s">
        <v>1247</v>
      </c>
      <c r="CU183" s="333">
        <v>6</v>
      </c>
      <c r="CV183" s="333">
        <v>270</v>
      </c>
      <c r="CW183" s="369">
        <v>0</v>
      </c>
      <c r="CX183" s="333">
        <v>20</v>
      </c>
      <c r="CY183" s="332" t="s">
        <v>1744</v>
      </c>
      <c r="CZ183" s="339"/>
      <c r="DA183" s="369"/>
      <c r="DB183" s="333"/>
      <c r="DC183" s="333"/>
      <c r="DD183" s="369"/>
      <c r="DE183" s="333"/>
      <c r="DF183" s="332"/>
      <c r="DG183" s="334"/>
      <c r="DH183" s="369"/>
      <c r="DI183" s="335"/>
      <c r="DJ183" s="335"/>
      <c r="DK183" s="369"/>
      <c r="DL183" s="335"/>
      <c r="DM183" s="335"/>
      <c r="DN183" s="334"/>
      <c r="DO183" s="369"/>
      <c r="DP183" s="335"/>
      <c r="DQ183" s="335"/>
      <c r="DR183" s="369"/>
      <c r="DS183" s="335"/>
      <c r="DT183" s="375"/>
      <c r="DU183" s="361" t="s">
        <v>1783</v>
      </c>
    </row>
    <row r="184" spans="2:125" x14ac:dyDescent="0.3">
      <c r="B184" s="358" t="s">
        <v>1777</v>
      </c>
      <c r="D184" s="308"/>
      <c r="E184" s="308" t="s">
        <v>9</v>
      </c>
      <c r="F184" s="304"/>
      <c r="G184" s="308"/>
      <c r="H184" s="308"/>
      <c r="I184" s="308"/>
      <c r="J184" s="308"/>
      <c r="K184" s="308" t="s">
        <v>9</v>
      </c>
      <c r="L184" s="308" t="s">
        <v>9</v>
      </c>
      <c r="M184" s="308" t="s">
        <v>9</v>
      </c>
      <c r="N184" s="308" t="s">
        <v>9</v>
      </c>
      <c r="O184" s="308"/>
      <c r="P184" s="308" t="s">
        <v>9</v>
      </c>
      <c r="Q184" s="308"/>
      <c r="R184" s="308"/>
      <c r="S184" s="308" t="s">
        <v>9</v>
      </c>
      <c r="T184" s="308"/>
      <c r="U184" s="308" t="s">
        <v>9</v>
      </c>
      <c r="V184" s="308" t="s">
        <v>9</v>
      </c>
      <c r="W184" s="308" t="s">
        <v>9</v>
      </c>
      <c r="X184" s="308"/>
      <c r="Y184" s="308"/>
      <c r="Z184" s="308" t="s">
        <v>9</v>
      </c>
      <c r="AA184" s="308" t="s">
        <v>9</v>
      </c>
      <c r="AB184" s="308"/>
      <c r="AC184" s="308" t="s">
        <v>9</v>
      </c>
      <c r="AD184" s="308"/>
      <c r="AE184" s="308" t="s">
        <v>9</v>
      </c>
      <c r="AF184" s="308"/>
      <c r="AG184" s="308"/>
      <c r="AH184" s="308"/>
      <c r="AI184" s="308"/>
      <c r="AJ184" s="308" t="s">
        <v>9</v>
      </c>
      <c r="AK184" s="236">
        <v>250</v>
      </c>
      <c r="AL184">
        <v>2</v>
      </c>
      <c r="AM184" s="237" t="s">
        <v>1776</v>
      </c>
      <c r="AZ184" t="s">
        <v>9</v>
      </c>
      <c r="BN184" t="s">
        <v>9</v>
      </c>
      <c r="BT184" t="s">
        <v>9</v>
      </c>
      <c r="BU184" t="s">
        <v>9</v>
      </c>
      <c r="BV184" t="s">
        <v>9</v>
      </c>
      <c r="BW184" s="311">
        <v>685</v>
      </c>
      <c r="BX184" s="311">
        <v>130</v>
      </c>
      <c r="BY184" s="311">
        <v>70</v>
      </c>
      <c r="BZ184" s="312">
        <v>355</v>
      </c>
      <c r="CA184" s="312">
        <v>25</v>
      </c>
      <c r="CB184" s="312">
        <v>30</v>
      </c>
      <c r="CC184" s="312">
        <v>30</v>
      </c>
      <c r="CD184" s="312">
        <v>400</v>
      </c>
      <c r="CE184" s="312">
        <v>61</v>
      </c>
      <c r="CF184" s="312" t="s">
        <v>1247</v>
      </c>
      <c r="CG184" s="312">
        <v>150</v>
      </c>
      <c r="CH184" s="312">
        <v>135</v>
      </c>
      <c r="CI184" s="312" t="s">
        <v>1744</v>
      </c>
      <c r="CJ184" s="312" t="s">
        <v>1744</v>
      </c>
      <c r="CK184" s="312" t="s">
        <v>1744</v>
      </c>
      <c r="CL184" s="322"/>
      <c r="CM184" s="367"/>
      <c r="CN184" s="322"/>
      <c r="CO184" s="322"/>
      <c r="CP184" s="368"/>
      <c r="CQ184" s="321"/>
      <c r="CR184" s="321"/>
      <c r="CS184" s="314">
        <v>15</v>
      </c>
      <c r="CT184" s="367" t="s">
        <v>1247</v>
      </c>
      <c r="CU184" s="314">
        <v>6</v>
      </c>
      <c r="CV184" s="313">
        <v>270</v>
      </c>
      <c r="CW184" s="368">
        <v>0</v>
      </c>
      <c r="CX184" s="313">
        <v>20</v>
      </c>
      <c r="CY184" s="313" t="s">
        <v>1744</v>
      </c>
      <c r="CZ184" s="320"/>
      <c r="DA184" s="368"/>
      <c r="DB184" s="321"/>
      <c r="DC184" s="321"/>
      <c r="DD184" s="368"/>
      <c r="DE184" s="321"/>
      <c r="DF184" s="321"/>
      <c r="DG184" s="320"/>
      <c r="DH184" s="368"/>
      <c r="DI184" s="321"/>
      <c r="DJ184" s="321"/>
      <c r="DK184" s="368"/>
      <c r="DL184" s="321"/>
      <c r="DM184" s="321"/>
      <c r="DN184" s="320"/>
      <c r="DO184" s="368"/>
      <c r="DP184" s="321"/>
      <c r="DQ184" s="321"/>
      <c r="DR184" s="368"/>
      <c r="DS184" s="321"/>
      <c r="DT184" s="323"/>
      <c r="DU184" s="359" t="s">
        <v>1777</v>
      </c>
    </row>
    <row r="185" spans="2:125" x14ac:dyDescent="0.3">
      <c r="B185" s="358" t="s">
        <v>1778</v>
      </c>
      <c r="D185" s="308"/>
      <c r="E185" s="308" t="s">
        <v>9</v>
      </c>
      <c r="F185" s="304"/>
      <c r="G185" s="308"/>
      <c r="H185" s="308"/>
      <c r="I185" s="308"/>
      <c r="J185" s="308"/>
      <c r="K185" s="308" t="s">
        <v>9</v>
      </c>
      <c r="L185" s="308" t="s">
        <v>9</v>
      </c>
      <c r="M185" s="308" t="s">
        <v>9</v>
      </c>
      <c r="N185" s="308" t="s">
        <v>9</v>
      </c>
      <c r="O185" s="308"/>
      <c r="P185" s="308" t="s">
        <v>9</v>
      </c>
      <c r="Q185" s="308"/>
      <c r="R185" s="308"/>
      <c r="S185" s="308" t="s">
        <v>9</v>
      </c>
      <c r="T185" s="308"/>
      <c r="U185" s="308"/>
      <c r="V185" s="308" t="s">
        <v>9</v>
      </c>
      <c r="W185" s="308" t="s">
        <v>9</v>
      </c>
      <c r="X185" s="308"/>
      <c r="Y185" s="308"/>
      <c r="Z185" s="308" t="s">
        <v>9</v>
      </c>
      <c r="AA185" s="308" t="s">
        <v>9</v>
      </c>
      <c r="AB185" s="308"/>
      <c r="AC185" s="308" t="s">
        <v>9</v>
      </c>
      <c r="AD185" s="308"/>
      <c r="AE185" s="308" t="s">
        <v>9</v>
      </c>
      <c r="AF185" s="308"/>
      <c r="AG185" s="308"/>
      <c r="AH185" s="308"/>
      <c r="AI185" s="308"/>
      <c r="AJ185" s="308" t="s">
        <v>9</v>
      </c>
      <c r="AK185" s="236">
        <v>250</v>
      </c>
      <c r="AL185">
        <v>5</v>
      </c>
      <c r="AM185" s="237" t="s">
        <v>1776</v>
      </c>
      <c r="BT185" t="s">
        <v>9</v>
      </c>
      <c r="BU185" t="s">
        <v>9</v>
      </c>
      <c r="BV185" t="s">
        <v>9</v>
      </c>
      <c r="BW185" s="311">
        <v>685</v>
      </c>
      <c r="BX185" s="311">
        <v>130</v>
      </c>
      <c r="BY185" s="311">
        <v>70</v>
      </c>
      <c r="BZ185" s="312">
        <v>355</v>
      </c>
      <c r="CA185" s="312">
        <v>25</v>
      </c>
      <c r="CB185" s="312">
        <v>30</v>
      </c>
      <c r="CC185" s="312">
        <v>30</v>
      </c>
      <c r="CD185" s="312">
        <v>400</v>
      </c>
      <c r="CE185" s="312">
        <v>61</v>
      </c>
      <c r="CF185" s="312" t="s">
        <v>1247</v>
      </c>
      <c r="CG185" s="312">
        <v>150</v>
      </c>
      <c r="CH185" s="312">
        <v>135</v>
      </c>
      <c r="CI185" s="312" t="s">
        <v>1744</v>
      </c>
      <c r="CJ185" s="312" t="s">
        <v>1744</v>
      </c>
      <c r="CK185" s="312" t="s">
        <v>1744</v>
      </c>
      <c r="CL185" s="322"/>
      <c r="CM185" s="367"/>
      <c r="CN185" s="322"/>
      <c r="CO185" s="322"/>
      <c r="CP185" s="368"/>
      <c r="CQ185" s="321"/>
      <c r="CR185" s="321"/>
      <c r="CS185" s="314">
        <v>15</v>
      </c>
      <c r="CT185" s="367" t="s">
        <v>1247</v>
      </c>
      <c r="CU185" s="314">
        <v>6</v>
      </c>
      <c r="CV185" s="313">
        <v>270</v>
      </c>
      <c r="CW185" s="368">
        <v>0</v>
      </c>
      <c r="CX185" s="313">
        <v>20</v>
      </c>
      <c r="CY185" s="313" t="s">
        <v>1744</v>
      </c>
      <c r="CZ185" s="320"/>
      <c r="DA185" s="368"/>
      <c r="DB185" s="321"/>
      <c r="DC185" s="321"/>
      <c r="DD185" s="368"/>
      <c r="DE185" s="321"/>
      <c r="DF185" s="321"/>
      <c r="DG185" s="320"/>
      <c r="DH185" s="368"/>
      <c r="DI185" s="321"/>
      <c r="DJ185" s="321"/>
      <c r="DK185" s="368"/>
      <c r="DL185" s="321"/>
      <c r="DM185" s="321"/>
      <c r="DN185" s="320"/>
      <c r="DO185" s="368"/>
      <c r="DP185" s="321"/>
      <c r="DQ185" s="321"/>
      <c r="DR185" s="368"/>
      <c r="DS185" s="321"/>
      <c r="DT185" s="323"/>
      <c r="DU185" s="359" t="s">
        <v>1778</v>
      </c>
    </row>
    <row r="186" spans="2:125" x14ac:dyDescent="0.3">
      <c r="B186" s="358" t="s">
        <v>1779</v>
      </c>
      <c r="D186" s="308"/>
      <c r="E186" s="308" t="s">
        <v>9</v>
      </c>
      <c r="F186" s="304"/>
      <c r="G186" s="308"/>
      <c r="H186" s="308"/>
      <c r="I186" s="308"/>
      <c r="J186" s="308"/>
      <c r="K186" s="308" t="s">
        <v>9</v>
      </c>
      <c r="L186" s="308" t="s">
        <v>9</v>
      </c>
      <c r="M186" s="308" t="s">
        <v>9</v>
      </c>
      <c r="N186" s="308" t="s">
        <v>9</v>
      </c>
      <c r="O186" s="308"/>
      <c r="P186" s="308" t="s">
        <v>9</v>
      </c>
      <c r="Q186" s="308"/>
      <c r="R186" s="308"/>
      <c r="S186" s="308" t="s">
        <v>9</v>
      </c>
      <c r="T186" s="308"/>
      <c r="U186" s="308" t="s">
        <v>9</v>
      </c>
      <c r="V186" s="308" t="s">
        <v>9</v>
      </c>
      <c r="W186" s="308" t="s">
        <v>9</v>
      </c>
      <c r="X186" s="308"/>
      <c r="Y186" s="308"/>
      <c r="Z186" s="308" t="s">
        <v>9</v>
      </c>
      <c r="AA186" s="308" t="s">
        <v>9</v>
      </c>
      <c r="AB186" s="308"/>
      <c r="AC186" s="308" t="s">
        <v>9</v>
      </c>
      <c r="AD186" s="308"/>
      <c r="AE186" s="308" t="s">
        <v>9</v>
      </c>
      <c r="AF186" s="308"/>
      <c r="AG186" s="308"/>
      <c r="AH186" s="308"/>
      <c r="AI186" s="308"/>
      <c r="AJ186" s="308" t="s">
        <v>9</v>
      </c>
      <c r="AK186" s="236">
        <v>250</v>
      </c>
      <c r="AL186">
        <v>3</v>
      </c>
      <c r="AM186" s="237" t="s">
        <v>1776</v>
      </c>
      <c r="BT186" t="s">
        <v>9</v>
      </c>
      <c r="BU186" t="s">
        <v>9</v>
      </c>
      <c r="BV186" t="s">
        <v>9</v>
      </c>
      <c r="BW186" s="311">
        <v>685</v>
      </c>
      <c r="BX186" s="311">
        <v>130</v>
      </c>
      <c r="BY186" s="311">
        <v>70</v>
      </c>
      <c r="BZ186" s="312">
        <v>355</v>
      </c>
      <c r="CA186" s="312">
        <v>25</v>
      </c>
      <c r="CB186" s="312">
        <v>30</v>
      </c>
      <c r="CC186" s="312">
        <v>30</v>
      </c>
      <c r="CD186" s="312">
        <v>400</v>
      </c>
      <c r="CE186" s="312">
        <v>61</v>
      </c>
      <c r="CF186" s="312" t="s">
        <v>1247</v>
      </c>
      <c r="CG186" s="312">
        <v>150</v>
      </c>
      <c r="CH186" s="312">
        <v>135</v>
      </c>
      <c r="CI186" s="312" t="s">
        <v>1744</v>
      </c>
      <c r="CJ186" s="312" t="s">
        <v>1744</v>
      </c>
      <c r="CK186" s="312" t="s">
        <v>1744</v>
      </c>
      <c r="CL186" s="322"/>
      <c r="CM186" s="367"/>
      <c r="CN186" s="322"/>
      <c r="CO186" s="322"/>
      <c r="CP186" s="368"/>
      <c r="CQ186" s="321"/>
      <c r="CR186" s="321"/>
      <c r="CS186" s="314">
        <v>15</v>
      </c>
      <c r="CT186" s="367" t="s">
        <v>1247</v>
      </c>
      <c r="CU186" s="314">
        <v>6</v>
      </c>
      <c r="CV186" s="313">
        <v>270</v>
      </c>
      <c r="CW186" s="368">
        <v>0</v>
      </c>
      <c r="CX186" s="313">
        <v>20</v>
      </c>
      <c r="CY186" s="313" t="s">
        <v>1744</v>
      </c>
      <c r="CZ186" s="320"/>
      <c r="DA186" s="368"/>
      <c r="DB186" s="321"/>
      <c r="DC186" s="321"/>
      <c r="DD186" s="368"/>
      <c r="DE186" s="321"/>
      <c r="DF186" s="321"/>
      <c r="DG186" s="320"/>
      <c r="DH186" s="368"/>
      <c r="DI186" s="321"/>
      <c r="DJ186" s="321"/>
      <c r="DK186" s="368"/>
      <c r="DL186" s="321"/>
      <c r="DM186" s="321"/>
      <c r="DN186" s="320"/>
      <c r="DO186" s="368"/>
      <c r="DP186" s="321"/>
      <c r="DQ186" s="321"/>
      <c r="DR186" s="368"/>
      <c r="DS186" s="321"/>
      <c r="DT186" s="323"/>
      <c r="DU186" s="359" t="s">
        <v>1779</v>
      </c>
    </row>
    <row r="187" spans="2:125" x14ac:dyDescent="0.3">
      <c r="B187" s="358" t="s">
        <v>1784</v>
      </c>
      <c r="D187" s="308"/>
      <c r="E187" s="308" t="s">
        <v>9</v>
      </c>
      <c r="F187" s="304"/>
      <c r="G187" s="308"/>
      <c r="H187" s="308"/>
      <c r="I187" s="308"/>
      <c r="J187" s="308"/>
      <c r="K187" s="308" t="s">
        <v>9</v>
      </c>
      <c r="L187" s="308" t="s">
        <v>9</v>
      </c>
      <c r="M187" s="308" t="s">
        <v>9</v>
      </c>
      <c r="N187" s="308" t="s">
        <v>9</v>
      </c>
      <c r="O187" s="308"/>
      <c r="P187" s="308" t="s">
        <v>9</v>
      </c>
      <c r="Q187" s="308"/>
      <c r="R187" s="308"/>
      <c r="S187" s="308" t="s">
        <v>9</v>
      </c>
      <c r="T187" s="308"/>
      <c r="U187" s="308" t="s">
        <v>9</v>
      </c>
      <c r="V187" s="308" t="s">
        <v>9</v>
      </c>
      <c r="W187" s="308"/>
      <c r="X187" s="308"/>
      <c r="Y187" s="308"/>
      <c r="Z187" s="308" t="s">
        <v>9</v>
      </c>
      <c r="AA187" s="308" t="s">
        <v>9</v>
      </c>
      <c r="AB187" s="308"/>
      <c r="AC187" s="308" t="s">
        <v>9</v>
      </c>
      <c r="AD187" s="308"/>
      <c r="AE187" s="308" t="s">
        <v>9</v>
      </c>
      <c r="AF187" s="308"/>
      <c r="AG187" s="308"/>
      <c r="AH187" s="308"/>
      <c r="AI187" s="308"/>
      <c r="AJ187" s="308" t="s">
        <v>9</v>
      </c>
      <c r="AK187" s="236">
        <v>250</v>
      </c>
      <c r="AL187">
        <v>4</v>
      </c>
      <c r="AM187" s="237" t="s">
        <v>1776</v>
      </c>
      <c r="BT187" t="s">
        <v>9</v>
      </c>
      <c r="BU187" t="s">
        <v>9</v>
      </c>
      <c r="BV187" t="s">
        <v>9</v>
      </c>
      <c r="BW187" s="311">
        <v>685</v>
      </c>
      <c r="BX187" s="311">
        <v>130</v>
      </c>
      <c r="BY187" s="311">
        <v>70</v>
      </c>
      <c r="BZ187" s="312">
        <v>355</v>
      </c>
      <c r="CA187" s="312">
        <v>25</v>
      </c>
      <c r="CB187" s="312">
        <v>30</v>
      </c>
      <c r="CC187" s="312">
        <v>30</v>
      </c>
      <c r="CD187" s="312">
        <v>400</v>
      </c>
      <c r="CE187" s="312">
        <v>61</v>
      </c>
      <c r="CF187" s="312" t="s">
        <v>1247</v>
      </c>
      <c r="CG187" s="312">
        <v>150</v>
      </c>
      <c r="CH187" s="312">
        <v>135</v>
      </c>
      <c r="CI187" s="312" t="s">
        <v>1744</v>
      </c>
      <c r="CJ187" s="312" t="s">
        <v>1744</v>
      </c>
      <c r="CK187" s="312" t="s">
        <v>1744</v>
      </c>
      <c r="CL187" s="322"/>
      <c r="CM187" s="367"/>
      <c r="CN187" s="322"/>
      <c r="CO187" s="322"/>
      <c r="CP187" s="368"/>
      <c r="CQ187" s="321"/>
      <c r="CR187" s="321"/>
      <c r="CS187" s="314">
        <v>15</v>
      </c>
      <c r="CT187" s="367" t="s">
        <v>1247</v>
      </c>
      <c r="CU187" s="314">
        <v>6</v>
      </c>
      <c r="CV187" s="313">
        <v>270</v>
      </c>
      <c r="CW187" s="368">
        <v>0</v>
      </c>
      <c r="CX187" s="313">
        <v>20</v>
      </c>
      <c r="CY187" s="313" t="s">
        <v>1744</v>
      </c>
      <c r="CZ187" s="320"/>
      <c r="DA187" s="368"/>
      <c r="DB187" s="321"/>
      <c r="DC187" s="321"/>
      <c r="DD187" s="368"/>
      <c r="DE187" s="321"/>
      <c r="DF187" s="321"/>
      <c r="DG187" s="320"/>
      <c r="DH187" s="368"/>
      <c r="DI187" s="321"/>
      <c r="DJ187" s="321"/>
      <c r="DK187" s="368"/>
      <c r="DL187" s="321"/>
      <c r="DM187" s="321"/>
      <c r="DN187" s="320"/>
      <c r="DO187" s="368"/>
      <c r="DP187" s="321"/>
      <c r="DQ187" s="321"/>
      <c r="DR187" s="368"/>
      <c r="DS187" s="321"/>
      <c r="DT187" s="323"/>
      <c r="DU187" s="359" t="s">
        <v>1784</v>
      </c>
    </row>
    <row r="188" spans="2:125" x14ac:dyDescent="0.3">
      <c r="D188" s="388"/>
      <c r="E188" s="388"/>
      <c r="G188" s="388"/>
      <c r="H188" s="388"/>
      <c r="I188" s="388"/>
      <c r="J188" s="388"/>
      <c r="K188" s="388"/>
      <c r="L188" s="388"/>
      <c r="M188" s="388"/>
      <c r="N188" s="388"/>
      <c r="O188" s="388"/>
      <c r="P188" s="388"/>
      <c r="Q188" s="388"/>
      <c r="R188" s="388"/>
      <c r="S188" s="388"/>
      <c r="T188" s="388"/>
      <c r="U188" s="388"/>
      <c r="V188" s="388"/>
      <c r="W188" s="388"/>
      <c r="X188" s="388"/>
      <c r="Y188" s="388"/>
      <c r="Z188" s="388"/>
      <c r="AA188" s="388"/>
      <c r="AB188" s="388"/>
      <c r="AC188" s="388"/>
      <c r="AD188" s="388"/>
      <c r="AE188" s="388"/>
      <c r="AF188" s="388"/>
      <c r="AG188" s="388"/>
      <c r="AH188" s="388"/>
      <c r="AI188" s="388"/>
      <c r="AJ188" s="388"/>
    </row>
    <row r="189" spans="2:125" x14ac:dyDescent="0.3">
      <c r="D189" s="388"/>
      <c r="E189" s="388"/>
      <c r="G189" s="388"/>
      <c r="H189" s="388"/>
      <c r="I189" s="388"/>
      <c r="J189" s="388"/>
      <c r="K189" s="388"/>
      <c r="L189" s="388"/>
      <c r="M189" s="388"/>
      <c r="N189" s="388"/>
      <c r="O189" s="388"/>
      <c r="P189" s="388"/>
      <c r="Q189" s="388"/>
      <c r="R189" s="388"/>
      <c r="S189" s="388"/>
      <c r="T189" s="388"/>
      <c r="U189" s="388"/>
      <c r="V189" s="388"/>
      <c r="W189" s="388"/>
      <c r="X189" s="388"/>
      <c r="Y189" s="388"/>
      <c r="Z189" s="388"/>
      <c r="AA189" s="388"/>
      <c r="AB189" s="388"/>
      <c r="AC189" s="388"/>
      <c r="AD189" s="388"/>
      <c r="AE189" s="388"/>
      <c r="AF189" s="388"/>
      <c r="AG189" s="388"/>
      <c r="AH189" s="388"/>
      <c r="AI189" s="388"/>
      <c r="AJ189" s="388"/>
    </row>
    <row r="190" spans="2:125" x14ac:dyDescent="0.3">
      <c r="D190" s="388"/>
      <c r="E190" s="388"/>
      <c r="G190" s="388"/>
      <c r="H190" s="388"/>
      <c r="I190" s="388"/>
      <c r="J190" s="388"/>
      <c r="K190" s="388"/>
      <c r="L190" s="388"/>
      <c r="M190" s="388"/>
      <c r="N190" s="388"/>
      <c r="O190" s="388"/>
      <c r="P190" s="388"/>
      <c r="Q190" s="388"/>
      <c r="R190" s="388"/>
      <c r="S190" s="388"/>
      <c r="T190" s="388"/>
      <c r="U190" s="388"/>
      <c r="V190" s="388"/>
      <c r="W190" s="388"/>
      <c r="X190" s="388"/>
      <c r="Y190" s="388"/>
      <c r="Z190" s="388"/>
      <c r="AA190" s="388"/>
      <c r="AB190" s="388"/>
      <c r="AC190" s="388"/>
      <c r="AD190" s="388"/>
      <c r="AE190" s="388"/>
      <c r="AF190" s="388"/>
      <c r="AG190" s="388"/>
      <c r="AH190" s="388"/>
      <c r="AI190" s="388"/>
      <c r="AJ190" s="388"/>
    </row>
    <row r="191" spans="2:125" x14ac:dyDescent="0.3">
      <c r="D191" s="388"/>
      <c r="E191" s="388"/>
      <c r="G191" s="388"/>
      <c r="H191" s="388"/>
      <c r="I191" s="388"/>
      <c r="J191" s="388"/>
      <c r="K191" s="388"/>
      <c r="L191" s="388"/>
      <c r="M191" s="388"/>
      <c r="N191" s="388"/>
      <c r="O191" s="388"/>
      <c r="P191" s="388"/>
      <c r="Q191" s="388"/>
      <c r="R191" s="388"/>
      <c r="S191" s="388"/>
      <c r="T191" s="388"/>
      <c r="U191" s="388"/>
      <c r="V191" s="388"/>
      <c r="W191" s="388"/>
      <c r="X191" s="388"/>
      <c r="Y191" s="388"/>
      <c r="Z191" s="388"/>
      <c r="AA191" s="388"/>
      <c r="AB191" s="388"/>
      <c r="AC191" s="388"/>
      <c r="AD191" s="388"/>
      <c r="AE191" s="388"/>
      <c r="AF191" s="388"/>
      <c r="AG191" s="388"/>
      <c r="AH191" s="388"/>
      <c r="AI191" s="388"/>
      <c r="AJ191" s="388"/>
    </row>
    <row r="192" spans="2:125" x14ac:dyDescent="0.3">
      <c r="D192" s="388"/>
      <c r="E192" s="388"/>
      <c r="G192" s="388"/>
      <c r="H192" s="388"/>
      <c r="I192" s="388"/>
      <c r="J192" s="388"/>
      <c r="K192" s="388"/>
      <c r="L192" s="388"/>
      <c r="M192" s="388"/>
      <c r="N192" s="388"/>
      <c r="O192" s="388"/>
      <c r="P192" s="388"/>
      <c r="Q192" s="388"/>
      <c r="R192" s="388"/>
      <c r="S192" s="388"/>
      <c r="T192" s="388"/>
      <c r="U192" s="388"/>
      <c r="V192" s="388"/>
      <c r="W192" s="388"/>
      <c r="X192" s="388"/>
      <c r="Y192" s="388"/>
      <c r="Z192" s="388"/>
      <c r="AA192" s="388"/>
      <c r="AB192" s="388"/>
      <c r="AC192" s="388"/>
      <c r="AD192" s="388"/>
      <c r="AE192" s="388"/>
      <c r="AF192" s="388"/>
      <c r="AG192" s="388"/>
      <c r="AH192" s="388"/>
      <c r="AI192" s="388"/>
      <c r="AJ192" s="388"/>
    </row>
    <row r="193" spans="4:36" x14ac:dyDescent="0.3">
      <c r="D193" s="388"/>
      <c r="E193" s="388"/>
      <c r="G193" s="388"/>
      <c r="H193" s="388"/>
      <c r="I193" s="388"/>
      <c r="J193" s="388"/>
      <c r="K193" s="388"/>
      <c r="L193" s="388"/>
      <c r="M193" s="388"/>
      <c r="N193" s="388"/>
      <c r="O193" s="388"/>
      <c r="P193" s="388"/>
      <c r="Q193" s="388"/>
      <c r="R193" s="388"/>
      <c r="S193" s="388"/>
      <c r="T193" s="388"/>
      <c r="U193" s="388"/>
      <c r="V193" s="388"/>
      <c r="W193" s="388"/>
      <c r="X193" s="388"/>
      <c r="Y193" s="388"/>
      <c r="Z193" s="388"/>
      <c r="AA193" s="388"/>
      <c r="AB193" s="388"/>
      <c r="AC193" s="388"/>
      <c r="AD193" s="388"/>
      <c r="AE193" s="388"/>
      <c r="AF193" s="388"/>
      <c r="AG193" s="388"/>
      <c r="AH193" s="388"/>
      <c r="AI193" s="388"/>
      <c r="AJ193" s="388"/>
    </row>
    <row r="194" spans="4:36" x14ac:dyDescent="0.3">
      <c r="D194" s="388"/>
      <c r="E194" s="388"/>
      <c r="G194" s="388"/>
      <c r="H194" s="388"/>
      <c r="I194" s="388"/>
      <c r="J194" s="388"/>
      <c r="K194" s="388"/>
      <c r="L194" s="388"/>
      <c r="M194" s="388"/>
      <c r="N194" s="388"/>
      <c r="O194" s="388"/>
      <c r="P194" s="388"/>
      <c r="Q194" s="388"/>
      <c r="R194" s="388"/>
      <c r="S194" s="388"/>
      <c r="T194" s="388"/>
      <c r="U194" s="388"/>
      <c r="V194" s="388"/>
      <c r="W194" s="388"/>
      <c r="X194" s="388"/>
      <c r="Y194" s="388"/>
      <c r="Z194" s="388"/>
      <c r="AA194" s="388"/>
      <c r="AB194" s="388"/>
      <c r="AC194" s="388"/>
      <c r="AD194" s="388"/>
      <c r="AE194" s="388"/>
      <c r="AF194" s="388"/>
      <c r="AG194" s="388"/>
      <c r="AH194" s="388"/>
      <c r="AI194" s="388"/>
      <c r="AJ194" s="388"/>
    </row>
    <row r="195" spans="4:36" x14ac:dyDescent="0.3">
      <c r="D195" s="388"/>
      <c r="E195" s="388"/>
      <c r="G195" s="388"/>
      <c r="H195" s="388"/>
      <c r="I195" s="388"/>
      <c r="J195" s="388"/>
      <c r="K195" s="388"/>
      <c r="L195" s="388"/>
      <c r="M195" s="388"/>
      <c r="N195" s="388"/>
      <c r="O195" s="388"/>
      <c r="P195" s="388"/>
      <c r="Q195" s="388"/>
      <c r="R195" s="388"/>
      <c r="S195" s="388"/>
      <c r="T195" s="388"/>
      <c r="U195" s="388"/>
      <c r="V195" s="388"/>
      <c r="W195" s="388"/>
      <c r="X195" s="388"/>
      <c r="Y195" s="388"/>
      <c r="Z195" s="388"/>
      <c r="AA195" s="388"/>
      <c r="AB195" s="388"/>
      <c r="AC195" s="388"/>
      <c r="AD195" s="388"/>
      <c r="AE195" s="388"/>
      <c r="AF195" s="388"/>
      <c r="AG195" s="388"/>
      <c r="AH195" s="388"/>
      <c r="AI195" s="388"/>
      <c r="AJ195" s="388"/>
    </row>
    <row r="196" spans="4:36" x14ac:dyDescent="0.3">
      <c r="D196" s="388"/>
      <c r="E196" s="388"/>
      <c r="G196" s="388"/>
      <c r="H196" s="388"/>
      <c r="I196" s="388"/>
      <c r="J196" s="388"/>
      <c r="K196" s="388"/>
      <c r="L196" s="388"/>
      <c r="M196" s="388"/>
      <c r="N196" s="388"/>
      <c r="O196" s="388"/>
      <c r="P196" s="388"/>
      <c r="Q196" s="388"/>
      <c r="R196" s="388"/>
      <c r="S196" s="388"/>
      <c r="T196" s="388"/>
      <c r="U196" s="388"/>
      <c r="V196" s="388"/>
      <c r="W196" s="388"/>
      <c r="X196" s="388"/>
      <c r="Y196" s="388"/>
      <c r="Z196" s="388"/>
      <c r="AA196" s="388"/>
      <c r="AB196" s="388"/>
      <c r="AC196" s="388"/>
      <c r="AD196" s="388"/>
      <c r="AE196" s="388"/>
      <c r="AF196" s="388"/>
      <c r="AG196" s="388"/>
      <c r="AH196" s="388"/>
      <c r="AI196" s="388"/>
      <c r="AJ196" s="388"/>
    </row>
    <row r="197" spans="4:36" x14ac:dyDescent="0.3">
      <c r="D197" s="388"/>
      <c r="E197" s="388"/>
      <c r="G197" s="388"/>
      <c r="H197" s="388"/>
      <c r="I197" s="388"/>
      <c r="J197" s="388"/>
      <c r="K197" s="388"/>
      <c r="L197" s="388"/>
      <c r="M197" s="388"/>
      <c r="N197" s="388"/>
      <c r="O197" s="388"/>
      <c r="P197" s="388"/>
      <c r="Q197" s="388"/>
      <c r="R197" s="388"/>
      <c r="S197" s="388"/>
      <c r="T197" s="388"/>
      <c r="U197" s="388"/>
      <c r="V197" s="388"/>
      <c r="W197" s="388"/>
      <c r="X197" s="388"/>
      <c r="Y197" s="388"/>
      <c r="Z197" s="388"/>
      <c r="AA197" s="388"/>
      <c r="AB197" s="388"/>
      <c r="AC197" s="388"/>
      <c r="AD197" s="388"/>
      <c r="AE197" s="388"/>
      <c r="AF197" s="388"/>
      <c r="AG197" s="388"/>
      <c r="AH197" s="388"/>
      <c r="AI197" s="388"/>
      <c r="AJ197" s="388"/>
    </row>
    <row r="198" spans="4:36" x14ac:dyDescent="0.3">
      <c r="D198" s="388"/>
      <c r="E198" s="388"/>
      <c r="G198" s="388"/>
      <c r="H198" s="388"/>
      <c r="I198" s="388"/>
      <c r="J198" s="388"/>
      <c r="K198" s="388"/>
      <c r="L198" s="388"/>
      <c r="M198" s="388"/>
      <c r="N198" s="388"/>
      <c r="O198" s="388"/>
      <c r="P198" s="388"/>
      <c r="Q198" s="388"/>
      <c r="R198" s="388"/>
      <c r="S198" s="388"/>
      <c r="T198" s="388"/>
      <c r="U198" s="388"/>
      <c r="V198" s="388"/>
      <c r="W198" s="388"/>
      <c r="X198" s="388"/>
      <c r="Y198" s="388"/>
      <c r="Z198" s="388"/>
      <c r="AA198" s="388"/>
      <c r="AB198" s="388"/>
      <c r="AC198" s="388"/>
      <c r="AD198" s="388"/>
      <c r="AE198" s="388"/>
      <c r="AF198" s="388"/>
      <c r="AG198" s="388"/>
      <c r="AH198" s="388"/>
      <c r="AI198" s="388"/>
      <c r="AJ198" s="388"/>
    </row>
    <row r="199" spans="4:36" x14ac:dyDescent="0.3">
      <c r="D199" s="388"/>
      <c r="E199" s="388"/>
      <c r="G199" s="388"/>
      <c r="H199" s="388"/>
      <c r="I199" s="388"/>
      <c r="J199" s="388"/>
      <c r="K199" s="388"/>
      <c r="L199" s="388"/>
      <c r="M199" s="388"/>
      <c r="N199" s="388"/>
      <c r="O199" s="388"/>
      <c r="P199" s="388"/>
      <c r="Q199" s="388"/>
      <c r="R199" s="388"/>
      <c r="S199" s="388"/>
      <c r="T199" s="388"/>
      <c r="U199" s="388"/>
      <c r="V199" s="388"/>
      <c r="W199" s="388"/>
      <c r="X199" s="388"/>
      <c r="Y199" s="388"/>
      <c r="Z199" s="388"/>
      <c r="AA199" s="388"/>
      <c r="AB199" s="388"/>
      <c r="AC199" s="388"/>
      <c r="AD199" s="388"/>
      <c r="AE199" s="388"/>
      <c r="AF199" s="388"/>
      <c r="AG199" s="388"/>
      <c r="AH199" s="388"/>
      <c r="AI199" s="388"/>
      <c r="AJ199" s="388"/>
    </row>
  </sheetData>
  <mergeCells count="16">
    <mergeCell ref="V2:V3"/>
    <mergeCell ref="W2:W3"/>
    <mergeCell ref="AE2:AE3"/>
    <mergeCell ref="AF2:AF3"/>
    <mergeCell ref="AG2:AG3"/>
    <mergeCell ref="X2:X3"/>
    <mergeCell ref="Y2:Y3"/>
    <mergeCell ref="AA2:AA3"/>
    <mergeCell ref="AB2:AB3"/>
    <mergeCell ref="AC2:AC3"/>
    <mergeCell ref="AD2:AD3"/>
    <mergeCell ref="H1:N1"/>
    <mergeCell ref="O1:S1"/>
    <mergeCell ref="D2:D3"/>
    <mergeCell ref="E2:E3"/>
    <mergeCell ref="U2:U3"/>
  </mergeCells>
  <pageMargins left="0.7" right="0.7" top="0.78740157499999996" bottom="0.78740157499999996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1:DT201"/>
  <sheetViews>
    <sheetView zoomScale="70" zoomScaleNormal="70" workbookViewId="0">
      <selection activeCell="U1" sqref="U1:U1048576"/>
    </sheetView>
  </sheetViews>
  <sheetFormatPr baseColWidth="10" defaultColWidth="2.6640625" defaultRowHeight="14.4" x14ac:dyDescent="0.3"/>
  <cols>
    <col min="2" max="2" width="24.88671875" customWidth="1"/>
  </cols>
  <sheetData>
    <row r="1" spans="2:124" x14ac:dyDescent="0.3">
      <c r="B1" s="169" t="s">
        <v>1785</v>
      </c>
    </row>
    <row r="3" spans="2:124" s="240" customFormat="1" ht="76.5" customHeight="1" x14ac:dyDescent="0.3">
      <c r="D3" s="240" t="str">
        <f>'IMPORT SCHLIESSERDATEN'!D$2</f>
        <v>1-Flüglig</v>
      </c>
      <c r="E3" s="240" t="str">
        <f>'IMPORT SCHLIESSERDATEN'!E$2</f>
        <v>2-Flüglig</v>
      </c>
      <c r="F3" s="240">
        <f>'IMPORT SCHLIESSERDATEN'!F$2</f>
        <v>0</v>
      </c>
      <c r="G3" s="240">
        <f>'IMPORT SCHLIESSERDATEN'!G$2</f>
        <v>0</v>
      </c>
      <c r="H3" s="240" t="str">
        <f>'IMPORT SCHLIESSERDATEN'!H$2</f>
        <v>EN 1</v>
      </c>
      <c r="I3" s="240" t="str">
        <f>'IMPORT SCHLIESSERDATEN'!I$2</f>
        <v>EN 2</v>
      </c>
      <c r="J3" s="240" t="str">
        <f>'IMPORT SCHLIESSERDATEN'!J$2</f>
        <v>EN 3</v>
      </c>
      <c r="K3" s="240" t="str">
        <f>'IMPORT SCHLIESSERDATEN'!K$2</f>
        <v>EN 4</v>
      </c>
      <c r="L3" s="240" t="str">
        <f>'IMPORT SCHLIESSERDATEN'!L$2</f>
        <v>EN 5</v>
      </c>
      <c r="M3" s="240" t="str">
        <f>'IMPORT SCHLIESSERDATEN'!M$2</f>
        <v>EN 6</v>
      </c>
      <c r="N3" s="240" t="str">
        <f>'IMPORT SCHLIESSERDATEN'!N$2</f>
        <v>EN 7</v>
      </c>
      <c r="O3" s="240">
        <f>'IMPORT SCHLIESSERDATEN'!O$2</f>
        <v>0</v>
      </c>
      <c r="P3" s="240">
        <f>'IMPORT SCHLIESSERDATEN'!P$2</f>
        <v>0</v>
      </c>
      <c r="Q3" s="240">
        <f>'IMPORT SCHLIESSERDATEN'!Q$2</f>
        <v>0</v>
      </c>
      <c r="R3" s="240">
        <f>'IMPORT SCHLIESSERDATEN'!R$2</f>
        <v>0</v>
      </c>
      <c r="S3" s="240">
        <f>'IMPORT SCHLIESSERDATEN'!S$2</f>
        <v>0</v>
      </c>
      <c r="T3" s="240">
        <f>'IMPORT SCHLIESSERDATEN'!T$2</f>
        <v>0</v>
      </c>
      <c r="U3" s="240" t="str">
        <f>'IMPORT SCHLIESSERDATEN'!U$2</f>
        <v>Brandschutz/Rauchschutz</v>
      </c>
      <c r="V3" s="240" t="str">
        <f>'IMPORT SCHLIESSERDATEN'!V$2</f>
        <v>Barrierefrei</v>
      </c>
      <c r="W3" s="240" t="str">
        <f>'IMPORT SCHLIESSERDATEN'!W$2</f>
        <v>Schließfolgeregelung</v>
      </c>
      <c r="X3" s="240" t="str">
        <f>'IMPORT SCHLIESSERDATEN'!X$2</f>
        <v>Schließverzögerung</v>
      </c>
      <c r="Y3" s="240" t="str">
        <f>'IMPORT SCHLIESSERDATEN'!Y$2</f>
        <v>Freilauf</v>
      </c>
      <c r="Z3" s="240">
        <f>'IMPORT SCHLIESSERDATEN'!Z$2</f>
        <v>0</v>
      </c>
      <c r="AA3" s="240" t="str">
        <f>'IMPORT SCHLIESSERDATEN'!AA$2</f>
        <v>Öffnungsdämpfung</v>
      </c>
      <c r="AB3" s="240" t="str">
        <f>'IMPORT SCHLIESSERDATEN'!AB$2</f>
        <v>Rastfeststellung Mechan.</v>
      </c>
      <c r="AC3" s="240" t="str">
        <f>'IMPORT SCHLIESSERDATEN'!AC$2</f>
        <v>Rastfeststellung Elektrisch</v>
      </c>
      <c r="AD3" s="240" t="str">
        <f>'IMPORT SCHLIESSERDATEN'!AD$2</f>
        <v>Integrierte RMZ</v>
      </c>
      <c r="AE3" s="240" t="str">
        <f>'IMPORT SCHLIESSERDATEN'!AE$2</f>
        <v>Anschluss an RMZ erforderlich</v>
      </c>
      <c r="AF3" s="240" t="str">
        <f>'IMPORT SCHLIESSERDATEN'!AF$2</f>
        <v>Gleitschienen-TS</v>
      </c>
      <c r="AG3" s="240" t="str">
        <f>'IMPORT SCHLIESSERDATEN'!AG$2</f>
        <v>Gestänge-TS</v>
      </c>
      <c r="AH3" s="240">
        <f>'IMPORT SCHLIESSERDATEN'!AH$2</f>
        <v>0</v>
      </c>
      <c r="AI3" s="240">
        <f>'IMPORT SCHLIESSERDATEN'!AI$2</f>
        <v>0</v>
      </c>
      <c r="AJ3" s="240">
        <f>'IMPORT SCHLIESSERDATEN'!AJ$2</f>
        <v>0</v>
      </c>
      <c r="AK3" s="240">
        <f>'IMPORT SCHLIESSERDATEN'!AK$2</f>
        <v>0</v>
      </c>
      <c r="AL3" s="240">
        <f>'IMPORT SCHLIESSERDATEN'!AL$2</f>
        <v>0</v>
      </c>
      <c r="AM3" s="240">
        <f>'IMPORT SCHLIESSERDATEN'!AM$2</f>
        <v>0</v>
      </c>
      <c r="AN3" s="240" t="str">
        <f>'IMPORT SCHLIESSERDATEN'!AN$2</f>
        <v>N XEA</v>
      </c>
      <c r="AO3" s="240" t="str">
        <f>'IMPORT SCHLIESSERDATEN'!AO$2</f>
        <v>RF XEA</v>
      </c>
      <c r="AP3" s="240" t="str">
        <f>'IMPORT SCHLIESSERDATEN'!AP$2</f>
        <v>EMF XEA</v>
      </c>
      <c r="AQ3" s="240" t="str">
        <f>'IMPORT SCHLIESSERDATEN'!AQ$2</f>
        <v>EMR XEA</v>
      </c>
      <c r="AR3" s="240" t="str">
        <f>'IMPORT SCHLIESSERDATEN'!AR$2</f>
        <v>UVIBIS XEA</v>
      </c>
      <c r="AS3" s="240" t="str">
        <f>'IMPORT SCHLIESSERDATEN'!AS$2</f>
        <v>GSR XEA</v>
      </c>
      <c r="AT3" s="240" t="str">
        <f>'IMPORT SCHLIESSERDATEN'!AT$2</f>
        <v>GSR-EMF XEA</v>
      </c>
      <c r="AU3" s="240" t="str">
        <f>'IMPORT SCHLIESSERDATEN'!AU$2</f>
        <v>GSR-EMR XEA</v>
      </c>
      <c r="AV3" s="240" t="str">
        <f>'IMPORT SCHLIESSERDATEN'!AV$2</f>
        <v>N</v>
      </c>
      <c r="AW3" s="240" t="str">
        <f>'IMPORT SCHLIESSERDATEN'!AW$2</f>
        <v>RF</v>
      </c>
      <c r="AX3" s="240" t="str">
        <f>'IMPORT SCHLIESSERDATEN'!AX$2</f>
        <v>EMF</v>
      </c>
      <c r="AY3" s="240" t="str">
        <f>'IMPORT SCHLIESSERDATEN'!AY$2</f>
        <v>EMR</v>
      </c>
      <c r="AZ3" s="240" t="str">
        <f>'IMPORT SCHLIESSERDATEN'!AZ$2</f>
        <v>GSR</v>
      </c>
      <c r="BA3" s="240" t="str">
        <f>'IMPORT SCHLIESSERDATEN'!BA$2</f>
        <v>GSR RF</v>
      </c>
      <c r="BB3" s="240" t="str">
        <f>'IMPORT SCHLIESSERDATEN'!BB$2</f>
        <v>GSR-EMF</v>
      </c>
      <c r="BC3" s="240" t="str">
        <f>'IMPORT SCHLIESSERDATEN'!BC$2</f>
        <v>GSR-EMF</v>
      </c>
      <c r="BD3" s="240" t="str">
        <f>'IMPORT SCHLIESSERDATEN'!BD$2</f>
        <v>GSR-EMF</v>
      </c>
      <c r="BE3" s="240" t="str">
        <f>'IMPORT SCHLIESSERDATEN'!BE$2</f>
        <v>GSR-EMR</v>
      </c>
      <c r="BF3" s="240" t="str">
        <f>'IMPORT SCHLIESSERDATEN'!BF$2</f>
        <v>GSR-EMR</v>
      </c>
      <c r="BG3" s="240" t="str">
        <f>'IMPORT SCHLIESSERDATEN'!BG$2</f>
        <v>GSR-EMR</v>
      </c>
      <c r="BH3" s="240" t="str">
        <f>'IMPORT SCHLIESSERDATEN'!BH$2</f>
        <v>FL</v>
      </c>
      <c r="BI3" s="240" t="str">
        <f>'IMPORT SCHLIESSERDATEN'!BI$2</f>
        <v>FLR</v>
      </c>
      <c r="BJ3" s="240" t="str">
        <f>'IMPORT SCHLIESSERDATEN'!BJ$2</f>
        <v>FLR-K</v>
      </c>
      <c r="BK3" s="240" t="str">
        <f>'IMPORT SCHLIESSERDATEN'!BK$2</f>
        <v>FL GSR-EMR</v>
      </c>
      <c r="BL3" s="240" t="str">
        <f>'IMPORT SCHLIESSERDATEN'!BL$2</f>
        <v>Set-Gleitschiene</v>
      </c>
      <c r="BM3" s="240" t="str">
        <f>'IMPORT SCHLIESSERDATEN'!BM$2</f>
        <v xml:space="preserve"> N</v>
      </c>
      <c r="BN3" s="240" t="str">
        <f>'IMPORT SCHLIESSERDATEN'!BN$2</f>
        <v xml:space="preserve"> VG</v>
      </c>
      <c r="BO3" s="240" t="str">
        <f>'IMPORT SCHLIESSERDATEN'!BO$2</f>
        <v xml:space="preserve"> FG</v>
      </c>
      <c r="BP3" s="240" t="str">
        <f>'IMPORT SCHLIESSERDATEN'!BP$2</f>
        <v xml:space="preserve"> RF</v>
      </c>
      <c r="BQ3" s="240" t="str">
        <f>'IMPORT SCHLIESSERDATEN'!BQ$2</f>
        <v>FL</v>
      </c>
      <c r="BR3" s="240" t="str">
        <f>'IMPORT SCHLIESSERDATEN'!BR$2</f>
        <v xml:space="preserve"> SV</v>
      </c>
      <c r="BS3" s="240" t="str">
        <f>'IMPORT SCHLIESSERDATEN'!BS$2</f>
        <v xml:space="preserve"> SR</v>
      </c>
      <c r="BT3" s="240">
        <f>'IMPORT SCHLIESSERDATEN'!BT$2</f>
        <v>0</v>
      </c>
      <c r="BU3" s="240">
        <f>'IMPORT SCHLIESSERDATEN'!BU$2</f>
        <v>0</v>
      </c>
      <c r="BV3" s="240">
        <f>'IMPORT SCHLIESSERDATEN'!BV$2</f>
        <v>0</v>
      </c>
      <c r="BW3" s="240">
        <f>'IMPORT SCHLIESSERDATEN'!BW$2</f>
        <v>0</v>
      </c>
      <c r="BX3" s="240">
        <f>'IMPORT SCHLIESSERDATEN'!BX$2</f>
        <v>0</v>
      </c>
      <c r="BY3" s="240">
        <f>'IMPORT SCHLIESSERDATEN'!BY$2</f>
        <v>0</v>
      </c>
      <c r="BZ3" s="240">
        <f>'IMPORT SCHLIESSERDATEN'!BZ$2</f>
        <v>0</v>
      </c>
      <c r="CA3" s="240">
        <f>'IMPORT SCHLIESSERDATEN'!CA$2</f>
        <v>0</v>
      </c>
      <c r="CB3" s="240">
        <f>'IMPORT SCHLIESSERDATEN'!CB$2</f>
        <v>0</v>
      </c>
      <c r="CC3" s="240">
        <f>'IMPORT SCHLIESSERDATEN'!CC$2</f>
        <v>0</v>
      </c>
      <c r="CD3" s="240">
        <f>'IMPORT SCHLIESSERDATEN'!CD$2</f>
        <v>0</v>
      </c>
      <c r="CE3" s="240">
        <f>'IMPORT SCHLIESSERDATEN'!CE$2</f>
        <v>0</v>
      </c>
      <c r="CF3" s="240">
        <f>'IMPORT SCHLIESSERDATEN'!CF$2</f>
        <v>0</v>
      </c>
      <c r="CG3" s="240">
        <f>'IMPORT SCHLIESSERDATEN'!CG$2</f>
        <v>0</v>
      </c>
      <c r="CH3" s="240">
        <f>'IMPORT SCHLIESSERDATEN'!CH$2</f>
        <v>0</v>
      </c>
      <c r="CI3" s="240" t="str">
        <f>'IMPORT SCHLIESSERDATEN'!CI$2</f>
        <v>Lauflänge Gleitstück</v>
      </c>
      <c r="CJ3" s="240">
        <f>'IMPORT SCHLIESSERDATEN'!CJ$2</f>
        <v>0</v>
      </c>
      <c r="CK3" s="240">
        <f>'IMPORT SCHLIESSERDATEN'!CK$2</f>
        <v>0</v>
      </c>
      <c r="CL3" s="240" t="str">
        <f>'IMPORT SCHLIESSERDATEN'!CL$2</f>
        <v>MV_T1  Türblattmontage Bandseite</v>
      </c>
      <c r="CM3" s="240">
        <f>'IMPORT SCHLIESSERDATEN'!CM$2</f>
        <v>0</v>
      </c>
      <c r="CN3" s="240">
        <f>'IMPORT SCHLIESSERDATEN'!CN$2</f>
        <v>0</v>
      </c>
      <c r="CO3" s="240">
        <f>'IMPORT SCHLIESSERDATEN'!CO$2</f>
        <v>0</v>
      </c>
      <c r="CP3" s="240">
        <f>'IMPORT SCHLIESSERDATEN'!CP$2</f>
        <v>0</v>
      </c>
      <c r="CQ3" s="240">
        <f>'IMPORT SCHLIESSERDATEN'!CQ$2</f>
        <v>0</v>
      </c>
      <c r="CR3" s="240">
        <f>'IMPORT SCHLIESSERDATEN'!CR$2</f>
        <v>0</v>
      </c>
      <c r="CS3" s="240" t="str">
        <f>'IMPORT SCHLIESSERDATEN'!CS$2</f>
        <v>MV_T2  Sturzmontage Bandgegenseite</v>
      </c>
      <c r="CT3" s="240">
        <f>'IMPORT SCHLIESSERDATEN'!CT$2</f>
        <v>0</v>
      </c>
      <c r="CU3" s="240">
        <f>'IMPORT SCHLIESSERDATEN'!CU$2</f>
        <v>0</v>
      </c>
      <c r="CV3" s="240">
        <f>'IMPORT SCHLIESSERDATEN'!CV$2</f>
        <v>0</v>
      </c>
      <c r="CW3" s="240">
        <f>'IMPORT SCHLIESSERDATEN'!CW$2</f>
        <v>0</v>
      </c>
      <c r="CX3" s="240">
        <f>'IMPORT SCHLIESSERDATEN'!CX$2</f>
        <v>0</v>
      </c>
      <c r="CY3" s="240">
        <f>'IMPORT SCHLIESSERDATEN'!CY$2</f>
        <v>0</v>
      </c>
      <c r="CZ3" s="240" t="str">
        <f>'IMPORT SCHLIESSERDATEN'!CZ$2</f>
        <v>MV_T3  Sturzmontage Bandseite</v>
      </c>
      <c r="DA3" s="240">
        <f>'IMPORT SCHLIESSERDATEN'!DA$2</f>
        <v>0</v>
      </c>
      <c r="DB3" s="240">
        <f>'IMPORT SCHLIESSERDATEN'!DB$2</f>
        <v>0</v>
      </c>
      <c r="DC3" s="240">
        <f>'IMPORT SCHLIESSERDATEN'!DC$2</f>
        <v>0</v>
      </c>
      <c r="DD3" s="240">
        <f>'IMPORT SCHLIESSERDATEN'!DD$2</f>
        <v>0</v>
      </c>
      <c r="DE3" s="240">
        <f>'IMPORT SCHLIESSERDATEN'!DE$2</f>
        <v>0</v>
      </c>
      <c r="DF3" s="240">
        <f>'IMPORT SCHLIESSERDATEN'!DF$2</f>
        <v>0</v>
      </c>
      <c r="DG3" s="240" t="str">
        <f>'IMPORT SCHLIESSERDATEN'!DG$2</f>
        <v>MV_T4  Türblattmontage Bandgegenseite</v>
      </c>
      <c r="DH3" s="240">
        <f>'IMPORT SCHLIESSERDATEN'!DH$2</f>
        <v>0</v>
      </c>
      <c r="DI3" s="240">
        <f>'IMPORT SCHLIESSERDATEN'!DI$2</f>
        <v>0</v>
      </c>
      <c r="DJ3" s="240">
        <f>'IMPORT SCHLIESSERDATEN'!DJ$2</f>
        <v>0</v>
      </c>
      <c r="DK3" s="240">
        <f>'IMPORT SCHLIESSERDATEN'!DK$2</f>
        <v>0</v>
      </c>
      <c r="DL3" s="240">
        <f>'IMPORT SCHLIESSERDATEN'!DL$2</f>
        <v>0</v>
      </c>
      <c r="DM3" s="240">
        <f>'IMPORT SCHLIESSERDATEN'!DM$2</f>
        <v>0</v>
      </c>
      <c r="DN3" s="240" t="str">
        <f>'IMPORT SCHLIESSERDATEN'!DN$2</f>
        <v>MV_T5  Türblattmontage Bandgegenseite, tiefer Sturz</v>
      </c>
      <c r="DO3" s="240">
        <f>'IMPORT SCHLIESSERDATEN'!DO$2</f>
        <v>0</v>
      </c>
      <c r="DP3" s="240">
        <f>'IMPORT SCHLIESSERDATEN'!DP$2</f>
        <v>0</v>
      </c>
      <c r="DQ3" s="240">
        <f>'IMPORT SCHLIESSERDATEN'!DQ$2</f>
        <v>0</v>
      </c>
      <c r="DR3" s="240">
        <f>'IMPORT SCHLIESSERDATEN'!DR$2</f>
        <v>0</v>
      </c>
      <c r="DS3" s="240">
        <f>'IMPORT SCHLIESSERDATEN'!DS$2</f>
        <v>0</v>
      </c>
      <c r="DT3" s="240">
        <f>'IMPORT SCHLIESSERDATEN'!DT$2</f>
        <v>0</v>
      </c>
    </row>
    <row r="4" spans="2:124" s="240" customFormat="1" ht="76.5" customHeight="1" x14ac:dyDescent="0.3">
      <c r="D4" s="240">
        <f>'IMPORT SCHLIESSERDATEN'!D$3</f>
        <v>0</v>
      </c>
      <c r="E4" s="240">
        <f>'IMPORT SCHLIESSERDATEN'!E$3</f>
        <v>0</v>
      </c>
      <c r="F4" s="240" t="str">
        <f>'IMPORT SCHLIESSERDATEN'!F$3</f>
        <v>anschlag</v>
      </c>
      <c r="G4" s="240" t="str">
        <f>'IMPORT SCHLIESSERDATEN'!G$3</f>
        <v>pendelnd</v>
      </c>
      <c r="H4" s="240" t="str">
        <f>'IMPORT SCHLIESSERDATEN'!H$3</f>
        <v>600-750</v>
      </c>
      <c r="I4" s="240" t="str">
        <f>'IMPORT SCHLIESSERDATEN'!I$3</f>
        <v>750-850</v>
      </c>
      <c r="J4" s="240" t="str">
        <f>'IMPORT SCHLIESSERDATEN'!J$3</f>
        <v>850-950</v>
      </c>
      <c r="K4" s="240" t="str">
        <f>'IMPORT SCHLIESSERDATEN'!K$3</f>
        <v>950-1100</v>
      </c>
      <c r="L4" s="240" t="str">
        <f>'IMPORT SCHLIESSERDATEN'!L$3</f>
        <v>1100-1250</v>
      </c>
      <c r="M4" s="240" t="str">
        <f>'IMPORT SCHLIESSERDATEN'!M$3</f>
        <v>1250-1400</v>
      </c>
      <c r="N4" s="240" t="str">
        <f>'IMPORT SCHLIESSERDATEN'!N$3</f>
        <v>1400-1600</v>
      </c>
      <c r="O4" s="240" t="str">
        <f>'IMPORT SCHLIESSERDATEN'!O$3</f>
        <v>BS</v>
      </c>
      <c r="P4" s="240" t="str">
        <f>'IMPORT SCHLIESSERDATEN'!P$3</f>
        <v>BGS</v>
      </c>
      <c r="Q4" s="240" t="str">
        <f>'IMPORT SCHLIESSERDATEN'!Q$3</f>
        <v>Mittig</v>
      </c>
      <c r="R4" s="240" t="str">
        <f>'IMPORT SCHLIESSERDATEN'!R$3</f>
        <v>Türblattmontage</v>
      </c>
      <c r="S4" s="240" t="str">
        <f>'IMPORT SCHLIESSERDATEN'!S$3</f>
        <v>Sturzmontage</v>
      </c>
      <c r="T4" s="240" t="str">
        <f>'IMPORT SCHLIESSERDATEN'!T$3</f>
        <v>Bodenmontage</v>
      </c>
      <c r="U4" s="240">
        <f>'IMPORT SCHLIESSERDATEN'!U$3</f>
        <v>0</v>
      </c>
      <c r="V4" s="240">
        <f>'IMPORT SCHLIESSERDATEN'!V$3</f>
        <v>0</v>
      </c>
      <c r="W4" s="240">
        <f>'IMPORT SCHLIESSERDATEN'!W$3</f>
        <v>0</v>
      </c>
      <c r="X4" s="240">
        <f>'IMPORT SCHLIESSERDATEN'!X$3</f>
        <v>0</v>
      </c>
      <c r="Y4" s="240">
        <f>'IMPORT SCHLIESSERDATEN'!Y$3</f>
        <v>0</v>
      </c>
      <c r="Z4" s="240" t="str">
        <f>'IMPORT SCHLIESSERDATEN'!Z$3</f>
        <v>Automatisiert</v>
      </c>
      <c r="AA4" s="240">
        <f>'IMPORT SCHLIESSERDATEN'!AA$3</f>
        <v>0</v>
      </c>
      <c r="AB4" s="240">
        <f>'IMPORT SCHLIESSERDATEN'!AB$3</f>
        <v>0</v>
      </c>
      <c r="AC4" s="240">
        <f>'IMPORT SCHLIESSERDATEN'!AC$3</f>
        <v>0</v>
      </c>
      <c r="AD4" s="240">
        <f>'IMPORT SCHLIESSERDATEN'!AD$3</f>
        <v>0</v>
      </c>
      <c r="AE4" s="240">
        <f>'IMPORT SCHLIESSERDATEN'!AE$3</f>
        <v>0</v>
      </c>
      <c r="AF4" s="240">
        <f>'IMPORT SCHLIESSERDATEN'!AF$3</f>
        <v>0</v>
      </c>
      <c r="AG4" s="240">
        <f>'IMPORT SCHLIESSERDATEN'!AG$3</f>
        <v>0</v>
      </c>
      <c r="AH4" s="240" t="str">
        <f>'IMPORT SCHLIESSERDATEN'!AH$3</f>
        <v>Integrierter-TS</v>
      </c>
      <c r="AI4" s="240" t="str">
        <f>'IMPORT SCHLIESSERDATEN'!AI$3</f>
        <v>Boden-TS</v>
      </c>
      <c r="AJ4" s="240" t="str">
        <f>'IMPORT SCHLIESSERDATEN'!AJ$3</f>
        <v>Drehflügelantrieb</v>
      </c>
      <c r="AK4" s="240" t="str">
        <f>'IMPORT SCHLIESSERDATEN'!AK$3</f>
        <v>Typ</v>
      </c>
      <c r="AL4" s="240" t="str">
        <f>'IMPORT SCHLIESSERDATEN'!AL$3</f>
        <v>Untertyp</v>
      </c>
      <c r="AM4" s="240" t="str">
        <f>'IMPORT SCHLIESSERDATEN'!AM$3</f>
        <v>EN Stärke</v>
      </c>
      <c r="AN4" s="240" t="str">
        <f>'IMPORT SCHLIESSERDATEN'!AN$3</f>
        <v>N XEA</v>
      </c>
      <c r="AO4" s="240" t="str">
        <f>'IMPORT SCHLIESSERDATEN'!AO$3</f>
        <v>RF XEA</v>
      </c>
      <c r="AP4" s="240" t="str">
        <f>'IMPORT SCHLIESSERDATEN'!AP$3</f>
        <v>EMF XEA</v>
      </c>
      <c r="AQ4" s="240" t="str">
        <f>'IMPORT SCHLIESSERDATEN'!AQ$3</f>
        <v>EMR XEA</v>
      </c>
      <c r="AR4" s="240" t="str">
        <f>'IMPORT SCHLIESSERDATEN'!AR$3</f>
        <v>UVIBIS XEA</v>
      </c>
      <c r="AS4" s="240" t="str">
        <f>'IMPORT SCHLIESSERDATEN'!AS$3</f>
        <v>GSR XEA</v>
      </c>
      <c r="AT4" s="240" t="str">
        <f>'IMPORT SCHLIESSERDATEN'!AT$3</f>
        <v>GSR-EMF XEA</v>
      </c>
      <c r="AU4" s="240" t="str">
        <f>'IMPORT SCHLIESSERDATEN'!AU$3</f>
        <v>GSR-EMR XEA</v>
      </c>
      <c r="AV4" s="240" t="str">
        <f>'IMPORT SCHLIESSERDATEN'!AV$3</f>
        <v>N</v>
      </c>
      <c r="AW4" s="240" t="str">
        <f>'IMPORT SCHLIESSERDATEN'!AW$3</f>
        <v>RF</v>
      </c>
      <c r="AX4" s="240" t="str">
        <f>'IMPORT SCHLIESSERDATEN'!AX$3</f>
        <v>EMF</v>
      </c>
      <c r="AY4" s="240" t="str">
        <f>'IMPORT SCHLIESSERDATEN'!AY$3</f>
        <v>EMR</v>
      </c>
      <c r="AZ4" s="240" t="str">
        <f>'IMPORT SCHLIESSERDATEN'!AZ$3</f>
        <v>GSR</v>
      </c>
      <c r="BA4" s="240" t="str">
        <f>'IMPORT SCHLIESSERDATEN'!BA$3</f>
        <v>GSR RF</v>
      </c>
      <c r="BB4" s="240" t="str">
        <f>'IMPORT SCHLIESSERDATEN'!BB$3</f>
        <v>GSR-EMF 1</v>
      </c>
      <c r="BC4" s="240" t="str">
        <f>'IMPORT SCHLIESSERDATEN'!BC$3</f>
        <v>GSR-EMF 1G</v>
      </c>
      <c r="BD4" s="240" t="str">
        <f>'IMPORT SCHLIESSERDATEN'!BD$3</f>
        <v>GSR-EMF 2</v>
      </c>
      <c r="BE4" s="240" t="str">
        <f>'IMPORT SCHLIESSERDATEN'!BE$3</f>
        <v>GSR-EMR 1</v>
      </c>
      <c r="BF4" s="240" t="str">
        <f>'IMPORT SCHLIESSERDATEN'!BF$3</f>
        <v>GSR-EMR 1G</v>
      </c>
      <c r="BG4" s="240" t="str">
        <f>'IMPORT SCHLIESSERDATEN'!BG$3</f>
        <v>GSR-EMR 2</v>
      </c>
      <c r="BH4" s="240" t="str">
        <f>'IMPORT SCHLIESSERDATEN'!BH$3</f>
        <v>FL</v>
      </c>
      <c r="BI4" s="240" t="str">
        <f>'IMPORT SCHLIESSERDATEN'!BI$3</f>
        <v>FLR</v>
      </c>
      <c r="BJ4" s="240" t="str">
        <f>'IMPORT SCHLIESSERDATEN'!BJ$3</f>
        <v>FLR-K</v>
      </c>
      <c r="BK4" s="240" t="str">
        <f>'IMPORT SCHLIESSERDATEN'!BK$3</f>
        <v>FL GSR-EMR 0</v>
      </c>
      <c r="BL4" s="240" t="str">
        <f>'IMPORT SCHLIESSERDATEN'!BL$3</f>
        <v>Set-Gleitschiene</v>
      </c>
      <c r="BM4" s="240" t="str">
        <f>'IMPORT SCHLIESSERDATEN'!BM$3</f>
        <v>Normalgestänge</v>
      </c>
      <c r="BN4" s="240" t="str">
        <f>'IMPORT SCHLIESSERDATEN'!BN$3</f>
        <v>Normalgest. verlängert</v>
      </c>
      <c r="BO4" s="240" t="str">
        <f>'IMPORT SCHLIESSERDATEN'!BO$3</f>
        <v>Flachformgest.</v>
      </c>
      <c r="BP4" s="240" t="str">
        <f>'IMPORT SCHLIESSERDATEN'!BP$3</f>
        <v>Rastfeststellgest.</v>
      </c>
      <c r="BQ4" s="240" t="str">
        <f>'IMPORT SCHLIESSERDATEN'!BQ$3</f>
        <v>Freilaufgestänge</v>
      </c>
      <c r="BR4" s="240" t="str">
        <f>'IMPORT SCHLIESSERDATEN'!BR$3</f>
        <v>Schließverzögerung</v>
      </c>
      <c r="BS4" s="240" t="str">
        <f>'IMPORT SCHLIESSERDATEN'!BS$3</f>
        <v xml:space="preserve">Schliefolgeregelung </v>
      </c>
      <c r="BT4" s="240" t="str">
        <f>'IMPORT SCHLIESSERDATEN'!BT$3</f>
        <v>ED Gleitschiene</v>
      </c>
      <c r="BU4" s="240" t="str">
        <f>'IMPORT SCHLIESSERDATEN'!BU$3</f>
        <v>ED Gestänge N 225</v>
      </c>
      <c r="BV4" s="240" t="str">
        <f>'IMPORT SCHLIESSERDATEN'!BV$3</f>
        <v>ED Gestänge VERL 500</v>
      </c>
      <c r="BW4" s="240" t="str">
        <f>'IMPORT SCHLIESSERDATEN'!BW$3</f>
        <v>lK  Länge Körper</v>
      </c>
      <c r="BX4" s="240" t="str">
        <f>'IMPORT SCHLIESSERDATEN'!BX$3</f>
        <v>tK  Tiefe Körper</v>
      </c>
      <c r="BY4" s="240" t="str">
        <f>'IMPORT SCHLIESSERDATEN'!BY$3</f>
        <v>hK   Höhe Körper</v>
      </c>
      <c r="BZ4" s="240" t="str">
        <f>'IMPORT SCHLIESSERDATEN'!BZ$3</f>
        <v>lG  Länge GS / Länge Gest.Spannschloss</v>
      </c>
      <c r="CA4" s="240" t="str">
        <f>'IMPORT SCHLIESSERDATEN'!CA$3</f>
        <v>hG  Höhe Gleitschiene / Gest.</v>
      </c>
      <c r="CB4" s="240" t="str">
        <f>'IMPORT SCHLIESSERDATEN'!CB$3</f>
        <v>tG  Tiefe Gleitschiene  Tiefe Drehpunkt Gest.</v>
      </c>
      <c r="CC4" s="240" t="str">
        <f>'IMPORT SCHLIESSERDATEN'!CC$3</f>
        <v>yL  Lauflinie Gst über Oberfläche Tür/Zarge</v>
      </c>
      <c r="CD4" s="240" t="str">
        <f>'IMPORT SCHLIESSERDATEN'!CD$3</f>
        <v>xH  Hebellänge</v>
      </c>
      <c r="CE4" s="240" t="str">
        <f>'IMPORT SCHLIESSERDATEN'!CE$3</f>
        <v>ykD</v>
      </c>
      <c r="CF4" s="240" t="str">
        <f>'IMPORT SCHLIESSERDATEN'!CF$3</f>
        <v>yD</v>
      </c>
      <c r="CG4" s="240" t="str">
        <f>'IMPORT SCHLIESSERDATEN'!CG$3</f>
        <v>xD    Drehachse zum Band</v>
      </c>
      <c r="CH4" s="240" t="str">
        <f>'IMPORT SCHLIESSERDATEN'!CH$3</f>
        <v>xkD</v>
      </c>
      <c r="CI4" s="240" t="str">
        <f>'IMPORT SCHLIESSERDATEN'!CI$3</f>
        <v>La SS    =  xH + xD</v>
      </c>
      <c r="CJ4" s="240" t="str">
        <f>'IMPORT SCHLIESSERDATEN'!CJ$3</f>
        <v>La     = La SS - La BS</v>
      </c>
      <c r="CK4" s="240" t="str">
        <f>'IMPORT SCHLIESSERDATEN'!CK$3</f>
        <v>La BS</v>
      </c>
      <c r="CL4" s="240" t="str">
        <f>'IMPORT SCHLIESSERDATEN'!CL$3</f>
        <v>xT</v>
      </c>
      <c r="CM4" s="240" t="str">
        <f>'IMPORT SCHLIESSERDATEN'!CM$3</f>
        <v>yT</v>
      </c>
      <c r="CN4" s="240" t="str">
        <f>'IMPORT SCHLIESSERDATEN'!CN$3</f>
        <v>zT</v>
      </c>
      <c r="CO4" s="240" t="str">
        <f>'IMPORT SCHLIESSERDATEN'!CO$3</f>
        <v>xG</v>
      </c>
      <c r="CP4" s="240" t="str">
        <f>'IMPORT SCHLIESSERDATEN'!CP$3</f>
        <v>yG</v>
      </c>
      <c r="CQ4" s="240" t="str">
        <f>'IMPORT SCHLIESSERDATEN'!CQ$3</f>
        <v>zG</v>
      </c>
      <c r="CR4" s="240" t="str">
        <f>'IMPORT SCHLIESSERDATEN'!CR$3</f>
        <v>xL    = La BS + xG</v>
      </c>
      <c r="CS4" s="240" t="str">
        <f>'IMPORT SCHLIESSERDATEN'!CS$3</f>
        <v>xT</v>
      </c>
      <c r="CT4" s="240" t="str">
        <f>'IMPORT SCHLIESSERDATEN'!CT$3</f>
        <v>yT</v>
      </c>
      <c r="CU4" s="240" t="str">
        <f>'IMPORT SCHLIESSERDATEN'!CU$3</f>
        <v>zT</v>
      </c>
      <c r="CV4" s="240" t="str">
        <f>'IMPORT SCHLIESSERDATEN'!CV$3</f>
        <v>xG</v>
      </c>
      <c r="CW4" s="240" t="str">
        <f>'IMPORT SCHLIESSERDATEN'!CW$3</f>
        <v>yG</v>
      </c>
      <c r="CX4" s="240" t="str">
        <f>'IMPORT SCHLIESSERDATEN'!CX$3</f>
        <v>zG</v>
      </c>
      <c r="CY4" s="240" t="str">
        <f>'IMPORT SCHLIESSERDATEN'!CY$3</f>
        <v>xL    = La BS + xG</v>
      </c>
      <c r="CZ4" s="240" t="str">
        <f>'IMPORT SCHLIESSERDATEN'!CZ$3</f>
        <v>xT</v>
      </c>
      <c r="DA4" s="240" t="str">
        <f>'IMPORT SCHLIESSERDATEN'!DA$3</f>
        <v>yT</v>
      </c>
      <c r="DB4" s="240" t="str">
        <f>'IMPORT SCHLIESSERDATEN'!DB$3</f>
        <v>zT</v>
      </c>
      <c r="DC4" s="240" t="str">
        <f>'IMPORT SCHLIESSERDATEN'!DC$3</f>
        <v>xG</v>
      </c>
      <c r="DD4" s="240" t="str">
        <f>'IMPORT SCHLIESSERDATEN'!DD$3</f>
        <v>yG</v>
      </c>
      <c r="DE4" s="240" t="str">
        <f>'IMPORT SCHLIESSERDATEN'!DE$3</f>
        <v>zG</v>
      </c>
      <c r="DF4" s="240" t="str">
        <f>'IMPORT SCHLIESSERDATEN'!DF$3</f>
        <v>xL    = La BS + xG</v>
      </c>
      <c r="DG4" s="240" t="str">
        <f>'IMPORT SCHLIESSERDATEN'!DG$3</f>
        <v>xT</v>
      </c>
      <c r="DH4" s="240" t="str">
        <f>'IMPORT SCHLIESSERDATEN'!DH$3</f>
        <v>yT</v>
      </c>
      <c r="DI4" s="240" t="str">
        <f>'IMPORT SCHLIESSERDATEN'!DI$3</f>
        <v>zT</v>
      </c>
      <c r="DJ4" s="240" t="str">
        <f>'IMPORT SCHLIESSERDATEN'!DJ$3</f>
        <v>xG</v>
      </c>
      <c r="DK4" s="240" t="str">
        <f>'IMPORT SCHLIESSERDATEN'!DK$3</f>
        <v>yG</v>
      </c>
      <c r="DL4" s="240" t="str">
        <f>'IMPORT SCHLIESSERDATEN'!DL$3</f>
        <v>zG</v>
      </c>
      <c r="DM4" s="240" t="str">
        <f>'IMPORT SCHLIESSERDATEN'!DM$3</f>
        <v>xL    = La BS + xG</v>
      </c>
      <c r="DN4" s="240" t="str">
        <f>'IMPORT SCHLIESSERDATEN'!DN$3</f>
        <v>xT</v>
      </c>
      <c r="DO4" s="240" t="str">
        <f>'IMPORT SCHLIESSERDATEN'!DO$3</f>
        <v>yT</v>
      </c>
      <c r="DP4" s="240" t="str">
        <f>'IMPORT SCHLIESSERDATEN'!DP$3</f>
        <v>zT</v>
      </c>
      <c r="DQ4" s="240" t="str">
        <f>'IMPORT SCHLIESSERDATEN'!DQ$3</f>
        <v>xG</v>
      </c>
      <c r="DR4" s="240" t="str">
        <f>'IMPORT SCHLIESSERDATEN'!DR$3</f>
        <v>yG</v>
      </c>
      <c r="DS4" s="240" t="str">
        <f>'IMPORT SCHLIESSERDATEN'!DS$3</f>
        <v>zG</v>
      </c>
      <c r="DT4" s="240" t="str">
        <f>'IMPORT SCHLIESSERDATEN'!DT$3</f>
        <v>xL    = La BS + xG</v>
      </c>
    </row>
    <row r="6" spans="2:124" x14ac:dyDescent="0.3">
      <c r="B6" t="str">
        <f>'IMPORT SCHLIESSERDATEN'!B5</f>
        <v>TS 90 EN 3/4</v>
      </c>
      <c r="D6" s="169" t="s">
        <v>259</v>
      </c>
      <c r="E6" s="169" t="s">
        <v>259</v>
      </c>
      <c r="F6" s="169" t="s">
        <v>259</v>
      </c>
      <c r="G6" s="169" t="s">
        <v>259</v>
      </c>
      <c r="H6" s="169" t="s">
        <v>259</v>
      </c>
      <c r="I6" s="169" t="s">
        <v>259</v>
      </c>
      <c r="J6" s="169" t="s">
        <v>259</v>
      </c>
      <c r="K6" s="169" t="s">
        <v>259</v>
      </c>
      <c r="L6" s="169" t="s">
        <v>259</v>
      </c>
      <c r="M6" s="169" t="s">
        <v>259</v>
      </c>
      <c r="N6" s="169" t="s">
        <v>259</v>
      </c>
      <c r="O6" s="169" t="s">
        <v>259</v>
      </c>
      <c r="P6" s="169" t="s">
        <v>259</v>
      </c>
      <c r="Q6" s="169" t="s">
        <v>259</v>
      </c>
      <c r="R6" s="169" t="s">
        <v>259</v>
      </c>
      <c r="S6" s="169" t="s">
        <v>259</v>
      </c>
      <c r="T6" s="169" t="s">
        <v>259</v>
      </c>
      <c r="U6" s="169" t="s">
        <v>259</v>
      </c>
      <c r="V6" s="169" t="s">
        <v>259</v>
      </c>
      <c r="W6" s="169" t="s">
        <v>259</v>
      </c>
      <c r="X6" s="169" t="s">
        <v>259</v>
      </c>
      <c r="Y6" s="169" t="s">
        <v>259</v>
      </c>
      <c r="Z6" s="169" t="s">
        <v>259</v>
      </c>
      <c r="AA6" s="169" t="s">
        <v>259</v>
      </c>
      <c r="AB6" s="169" t="s">
        <v>259</v>
      </c>
      <c r="AC6" s="169" t="s">
        <v>259</v>
      </c>
      <c r="AD6" s="169" t="s">
        <v>259</v>
      </c>
      <c r="AE6" s="169" t="s">
        <v>259</v>
      </c>
      <c r="AF6" s="169" t="s">
        <v>259</v>
      </c>
      <c r="AG6" s="169" t="s">
        <v>259</v>
      </c>
      <c r="AH6" s="169" t="s">
        <v>259</v>
      </c>
      <c r="AI6" s="169" t="s">
        <v>259</v>
      </c>
      <c r="AJ6" s="169" t="s">
        <v>259</v>
      </c>
      <c r="AK6" s="169" t="s">
        <v>259</v>
      </c>
      <c r="AL6" s="169" t="s">
        <v>259</v>
      </c>
      <c r="AM6" s="169" t="s">
        <v>259</v>
      </c>
      <c r="AN6" s="169" t="s">
        <v>259</v>
      </c>
      <c r="AO6" s="169" t="s">
        <v>259</v>
      </c>
      <c r="AP6" s="169" t="s">
        <v>259</v>
      </c>
      <c r="AQ6" s="169" t="s">
        <v>259</v>
      </c>
      <c r="AR6" s="169" t="s">
        <v>259</v>
      </c>
      <c r="AS6" s="169" t="s">
        <v>259</v>
      </c>
      <c r="AT6" s="169" t="s">
        <v>259</v>
      </c>
      <c r="AU6" s="169" t="s">
        <v>259</v>
      </c>
      <c r="AV6" s="169" t="s">
        <v>259</v>
      </c>
      <c r="AW6" s="169" t="s">
        <v>259</v>
      </c>
      <c r="AX6" s="169" t="s">
        <v>259</v>
      </c>
      <c r="AY6" s="169" t="s">
        <v>259</v>
      </c>
      <c r="AZ6" s="169" t="s">
        <v>259</v>
      </c>
      <c r="BA6" s="169" t="s">
        <v>259</v>
      </c>
      <c r="BB6" s="169" t="s">
        <v>259</v>
      </c>
      <c r="BC6" s="169" t="s">
        <v>259</v>
      </c>
      <c r="BD6" s="169" t="s">
        <v>259</v>
      </c>
      <c r="BE6" s="169" t="s">
        <v>259</v>
      </c>
      <c r="BF6" s="169" t="s">
        <v>259</v>
      </c>
      <c r="BG6" s="169" t="s">
        <v>259</v>
      </c>
      <c r="BH6" s="169" t="s">
        <v>259</v>
      </c>
      <c r="BI6" s="169" t="s">
        <v>259</v>
      </c>
      <c r="BJ6" s="169" t="s">
        <v>259</v>
      </c>
      <c r="BK6" s="169" t="s">
        <v>259</v>
      </c>
      <c r="BL6" s="169" t="s">
        <v>259</v>
      </c>
      <c r="BM6" s="169" t="s">
        <v>259</v>
      </c>
      <c r="BN6" s="169" t="s">
        <v>259</v>
      </c>
      <c r="BO6" s="169" t="s">
        <v>259</v>
      </c>
      <c r="BP6" s="169" t="s">
        <v>259</v>
      </c>
      <c r="BQ6" s="169" t="s">
        <v>259</v>
      </c>
      <c r="BR6" s="169" t="s">
        <v>259</v>
      </c>
      <c r="BS6" s="169" t="s">
        <v>259</v>
      </c>
      <c r="BT6" s="169" t="s">
        <v>259</v>
      </c>
      <c r="BU6" s="169" t="s">
        <v>259</v>
      </c>
      <c r="BV6" s="169" t="s">
        <v>259</v>
      </c>
      <c r="BW6" s="169" t="s">
        <v>259</v>
      </c>
      <c r="BX6" s="169" t="s">
        <v>259</v>
      </c>
      <c r="BY6" s="169" t="s">
        <v>259</v>
      </c>
      <c r="BZ6" s="169" t="s">
        <v>259</v>
      </c>
      <c r="CA6" s="169" t="s">
        <v>259</v>
      </c>
      <c r="CB6" s="169" t="s">
        <v>259</v>
      </c>
      <c r="CC6" s="169" t="s">
        <v>259</v>
      </c>
      <c r="CD6" s="169" t="s">
        <v>259</v>
      </c>
      <c r="CE6" s="169" t="s">
        <v>259</v>
      </c>
      <c r="CF6" s="169" t="s">
        <v>259</v>
      </c>
      <c r="CG6" s="169" t="s">
        <v>259</v>
      </c>
      <c r="CH6" s="169" t="s">
        <v>259</v>
      </c>
      <c r="CI6" s="169" t="s">
        <v>259</v>
      </c>
      <c r="CJ6" s="169" t="s">
        <v>259</v>
      </c>
      <c r="CK6" s="169" t="s">
        <v>259</v>
      </c>
      <c r="CL6" s="169" t="s">
        <v>259</v>
      </c>
      <c r="CM6" s="169" t="s">
        <v>259</v>
      </c>
      <c r="CN6" s="169" t="s">
        <v>259</v>
      </c>
      <c r="CO6" s="169" t="s">
        <v>259</v>
      </c>
      <c r="CP6" s="169" t="s">
        <v>259</v>
      </c>
      <c r="CQ6" s="169" t="s">
        <v>259</v>
      </c>
      <c r="CR6" s="169" t="s">
        <v>259</v>
      </c>
      <c r="CS6" s="169" t="s">
        <v>259</v>
      </c>
      <c r="CT6" s="169" t="s">
        <v>259</v>
      </c>
      <c r="CU6" s="169" t="s">
        <v>259</v>
      </c>
      <c r="CV6" s="169" t="s">
        <v>259</v>
      </c>
      <c r="CW6" s="169" t="s">
        <v>259</v>
      </c>
      <c r="CX6" s="169" t="s">
        <v>259</v>
      </c>
      <c r="CY6" s="169" t="s">
        <v>259</v>
      </c>
      <c r="CZ6" s="169" t="s">
        <v>259</v>
      </c>
      <c r="DA6" s="169" t="s">
        <v>259</v>
      </c>
      <c r="DB6" s="169" t="s">
        <v>259</v>
      </c>
      <c r="DC6" s="169" t="s">
        <v>259</v>
      </c>
      <c r="DD6" s="169" t="s">
        <v>259</v>
      </c>
      <c r="DE6" s="169" t="s">
        <v>259</v>
      </c>
      <c r="DF6" s="169" t="s">
        <v>259</v>
      </c>
      <c r="DG6" s="169" t="s">
        <v>259</v>
      </c>
      <c r="DH6" s="169" t="s">
        <v>259</v>
      </c>
      <c r="DI6" s="169" t="s">
        <v>259</v>
      </c>
      <c r="DJ6" s="169" t="s">
        <v>259</v>
      </c>
      <c r="DK6" s="169" t="s">
        <v>259</v>
      </c>
      <c r="DL6" s="169" t="s">
        <v>259</v>
      </c>
      <c r="DM6" s="169" t="s">
        <v>259</v>
      </c>
      <c r="DN6" s="169" t="s">
        <v>259</v>
      </c>
      <c r="DO6" s="169" t="s">
        <v>259</v>
      </c>
      <c r="DP6" s="169" t="s">
        <v>259</v>
      </c>
      <c r="DQ6" s="169" t="s">
        <v>259</v>
      </c>
      <c r="DR6" s="169" t="s">
        <v>259</v>
      </c>
      <c r="DS6" s="169" t="s">
        <v>259</v>
      </c>
      <c r="DT6" s="169" t="s">
        <v>259</v>
      </c>
    </row>
    <row r="7" spans="2:124" x14ac:dyDescent="0.3">
      <c r="B7" t="str">
        <f>'IMPORT SCHLIESSERDATEN'!B6</f>
        <v>TS 90 RF EN 3/4</v>
      </c>
      <c r="D7" s="169" t="s">
        <v>259</v>
      </c>
      <c r="E7" s="169" t="s">
        <v>259</v>
      </c>
      <c r="F7" s="169" t="s">
        <v>259</v>
      </c>
      <c r="G7" s="169" t="s">
        <v>259</v>
      </c>
      <c r="H7" s="169" t="s">
        <v>259</v>
      </c>
      <c r="I7" s="169" t="s">
        <v>259</v>
      </c>
      <c r="J7" s="169" t="s">
        <v>259</v>
      </c>
      <c r="K7" s="169" t="s">
        <v>259</v>
      </c>
      <c r="L7" s="169" t="s">
        <v>259</v>
      </c>
      <c r="M7" s="169" t="s">
        <v>259</v>
      </c>
      <c r="N7" s="169" t="s">
        <v>259</v>
      </c>
      <c r="O7" s="169" t="s">
        <v>259</v>
      </c>
      <c r="P7" s="169" t="s">
        <v>259</v>
      </c>
      <c r="Q7" s="169" t="s">
        <v>259</v>
      </c>
      <c r="R7" s="169" t="s">
        <v>259</v>
      </c>
      <c r="S7" s="169" t="s">
        <v>259</v>
      </c>
      <c r="T7" s="169" t="s">
        <v>259</v>
      </c>
      <c r="U7" s="169" t="s">
        <v>259</v>
      </c>
      <c r="V7" s="169" t="s">
        <v>259</v>
      </c>
      <c r="W7" s="169" t="s">
        <v>259</v>
      </c>
      <c r="X7" s="169" t="s">
        <v>259</v>
      </c>
      <c r="Y7" s="169" t="s">
        <v>259</v>
      </c>
      <c r="Z7" s="169" t="s">
        <v>259</v>
      </c>
      <c r="AA7" s="169" t="s">
        <v>259</v>
      </c>
      <c r="AB7" s="169" t="s">
        <v>259</v>
      </c>
      <c r="AC7" s="169" t="s">
        <v>259</v>
      </c>
      <c r="AD7" s="169" t="s">
        <v>259</v>
      </c>
      <c r="AE7" s="169" t="s">
        <v>259</v>
      </c>
      <c r="AF7" s="169" t="s">
        <v>259</v>
      </c>
      <c r="AG7" s="169" t="s">
        <v>259</v>
      </c>
      <c r="AH7" s="169" t="s">
        <v>259</v>
      </c>
      <c r="AI7" s="169" t="s">
        <v>259</v>
      </c>
      <c r="AJ7" s="169" t="s">
        <v>259</v>
      </c>
      <c r="AK7" s="169" t="s">
        <v>259</v>
      </c>
      <c r="AL7" s="169" t="s">
        <v>259</v>
      </c>
      <c r="AM7" s="169" t="s">
        <v>259</v>
      </c>
      <c r="AN7" s="169" t="s">
        <v>259</v>
      </c>
      <c r="AO7" s="169" t="s">
        <v>259</v>
      </c>
      <c r="AP7" s="169" t="s">
        <v>259</v>
      </c>
      <c r="AQ7" s="169" t="s">
        <v>259</v>
      </c>
      <c r="AR7" s="169" t="s">
        <v>259</v>
      </c>
      <c r="AS7" s="169" t="s">
        <v>259</v>
      </c>
      <c r="AT7" s="169" t="s">
        <v>259</v>
      </c>
      <c r="AU7" s="169" t="s">
        <v>259</v>
      </c>
      <c r="AV7" s="169" t="s">
        <v>259</v>
      </c>
      <c r="AW7" s="169" t="s">
        <v>259</v>
      </c>
      <c r="AX7" s="169" t="s">
        <v>259</v>
      </c>
      <c r="AY7" s="169" t="s">
        <v>259</v>
      </c>
      <c r="AZ7" s="169" t="s">
        <v>259</v>
      </c>
      <c r="BA7" s="169" t="s">
        <v>259</v>
      </c>
      <c r="BB7" s="169" t="s">
        <v>259</v>
      </c>
      <c r="BC7" s="169" t="s">
        <v>259</v>
      </c>
      <c r="BD7" s="169" t="s">
        <v>259</v>
      </c>
      <c r="BE7" s="169" t="s">
        <v>259</v>
      </c>
      <c r="BF7" s="169" t="s">
        <v>259</v>
      </c>
      <c r="BG7" s="169" t="s">
        <v>259</v>
      </c>
      <c r="BH7" s="169" t="s">
        <v>259</v>
      </c>
      <c r="BI7" s="169" t="s">
        <v>259</v>
      </c>
      <c r="BJ7" s="169" t="s">
        <v>259</v>
      </c>
      <c r="BK7" s="169" t="s">
        <v>259</v>
      </c>
      <c r="BL7" s="169" t="s">
        <v>259</v>
      </c>
      <c r="BM7" s="169" t="s">
        <v>259</v>
      </c>
      <c r="BN7" s="169" t="s">
        <v>259</v>
      </c>
      <c r="BO7" s="169" t="s">
        <v>259</v>
      </c>
      <c r="BP7" s="169" t="s">
        <v>259</v>
      </c>
      <c r="BQ7" s="169" t="s">
        <v>259</v>
      </c>
      <c r="BR7" s="169" t="s">
        <v>259</v>
      </c>
      <c r="BS7" s="169" t="s">
        <v>259</v>
      </c>
      <c r="BT7" s="169" t="s">
        <v>259</v>
      </c>
      <c r="BU7" s="169" t="s">
        <v>259</v>
      </c>
      <c r="BV7" s="169" t="s">
        <v>259</v>
      </c>
      <c r="BW7" s="169" t="s">
        <v>259</v>
      </c>
      <c r="BX7" s="169" t="s">
        <v>259</v>
      </c>
      <c r="BY7" s="169" t="s">
        <v>259</v>
      </c>
      <c r="BZ7" s="169" t="s">
        <v>259</v>
      </c>
      <c r="CA7" s="169" t="s">
        <v>259</v>
      </c>
      <c r="CB7" s="169" t="s">
        <v>259</v>
      </c>
      <c r="CC7" s="169" t="s">
        <v>259</v>
      </c>
      <c r="CD7" s="169" t="s">
        <v>259</v>
      </c>
      <c r="CE7" s="169" t="s">
        <v>259</v>
      </c>
      <c r="CF7" s="169" t="s">
        <v>259</v>
      </c>
      <c r="CG7" s="169" t="s">
        <v>259</v>
      </c>
      <c r="CH7" s="169" t="s">
        <v>259</v>
      </c>
      <c r="CI7" s="169" t="s">
        <v>259</v>
      </c>
      <c r="CJ7" s="169" t="s">
        <v>259</v>
      </c>
      <c r="CK7" s="169" t="s">
        <v>259</v>
      </c>
      <c r="CL7" s="169" t="s">
        <v>259</v>
      </c>
      <c r="CM7" s="169" t="s">
        <v>259</v>
      </c>
      <c r="CN7" s="169" t="s">
        <v>259</v>
      </c>
      <c r="CO7" s="169" t="s">
        <v>259</v>
      </c>
      <c r="CP7" s="169" t="s">
        <v>259</v>
      </c>
      <c r="CQ7" s="169" t="s">
        <v>259</v>
      </c>
      <c r="CR7" s="169" t="s">
        <v>259</v>
      </c>
      <c r="CS7" s="169" t="s">
        <v>259</v>
      </c>
      <c r="CT7" s="169" t="s">
        <v>259</v>
      </c>
      <c r="CU7" s="169" t="s">
        <v>259</v>
      </c>
      <c r="CV7" s="169" t="s">
        <v>259</v>
      </c>
      <c r="CW7" s="169" t="s">
        <v>259</v>
      </c>
      <c r="CX7" s="169" t="s">
        <v>259</v>
      </c>
      <c r="CY7" s="169" t="s">
        <v>259</v>
      </c>
      <c r="CZ7" s="169" t="s">
        <v>259</v>
      </c>
      <c r="DA7" s="169" t="s">
        <v>259</v>
      </c>
      <c r="DB7" s="169" t="s">
        <v>259</v>
      </c>
      <c r="DC7" s="169" t="s">
        <v>259</v>
      </c>
      <c r="DD7" s="169" t="s">
        <v>259</v>
      </c>
      <c r="DE7" s="169" t="s">
        <v>259</v>
      </c>
      <c r="DF7" s="169" t="s">
        <v>259</v>
      </c>
      <c r="DG7" s="169" t="s">
        <v>259</v>
      </c>
      <c r="DH7" s="169" t="s">
        <v>259</v>
      </c>
      <c r="DI7" s="169" t="s">
        <v>259</v>
      </c>
      <c r="DJ7" s="169" t="s">
        <v>259</v>
      </c>
      <c r="DK7" s="169" t="s">
        <v>259</v>
      </c>
      <c r="DL7" s="169" t="s">
        <v>259</v>
      </c>
      <c r="DM7" s="169" t="s">
        <v>259</v>
      </c>
      <c r="DN7" s="169" t="s">
        <v>259</v>
      </c>
      <c r="DO7" s="169" t="s">
        <v>259</v>
      </c>
      <c r="DP7" s="169" t="s">
        <v>259</v>
      </c>
      <c r="DQ7" s="169" t="s">
        <v>259</v>
      </c>
      <c r="DR7" s="169" t="s">
        <v>259</v>
      </c>
      <c r="DS7" s="169" t="s">
        <v>259</v>
      </c>
      <c r="DT7" s="169" t="s">
        <v>259</v>
      </c>
    </row>
    <row r="8" spans="2:124" x14ac:dyDescent="0.3">
      <c r="B8" t="str">
        <f>'IMPORT SCHLIESSERDATEN'!B7</f>
        <v>TS 91 EN 3</v>
      </c>
      <c r="D8" s="169" t="s">
        <v>259</v>
      </c>
      <c r="E8" s="169" t="s">
        <v>259</v>
      </c>
      <c r="F8" s="169" t="s">
        <v>259</v>
      </c>
      <c r="G8" s="169" t="s">
        <v>259</v>
      </c>
      <c r="H8" s="169" t="s">
        <v>259</v>
      </c>
      <c r="I8" s="169" t="s">
        <v>259</v>
      </c>
      <c r="J8" s="169" t="s">
        <v>259</v>
      </c>
      <c r="K8" s="169" t="s">
        <v>259</v>
      </c>
      <c r="L8" s="169" t="s">
        <v>259</v>
      </c>
      <c r="M8" s="169" t="s">
        <v>259</v>
      </c>
      <c r="N8" s="169" t="s">
        <v>259</v>
      </c>
      <c r="O8" s="169" t="s">
        <v>259</v>
      </c>
      <c r="P8" s="169" t="s">
        <v>259</v>
      </c>
      <c r="Q8" s="169" t="s">
        <v>259</v>
      </c>
      <c r="R8" s="169" t="s">
        <v>259</v>
      </c>
      <c r="S8" s="169" t="s">
        <v>259</v>
      </c>
      <c r="T8" s="169" t="s">
        <v>259</v>
      </c>
      <c r="U8" s="169" t="s">
        <v>259</v>
      </c>
      <c r="V8" s="169" t="s">
        <v>259</v>
      </c>
      <c r="W8" s="169" t="s">
        <v>259</v>
      </c>
      <c r="X8" s="169" t="s">
        <v>259</v>
      </c>
      <c r="Y8" s="169" t="s">
        <v>259</v>
      </c>
      <c r="Z8" s="169" t="s">
        <v>259</v>
      </c>
      <c r="AA8" s="169" t="s">
        <v>259</v>
      </c>
      <c r="AB8" s="169" t="s">
        <v>259</v>
      </c>
      <c r="AC8" s="169" t="s">
        <v>259</v>
      </c>
      <c r="AD8" s="169" t="s">
        <v>259</v>
      </c>
      <c r="AE8" s="169" t="s">
        <v>259</v>
      </c>
      <c r="AF8" s="169" t="s">
        <v>259</v>
      </c>
      <c r="AG8" s="169" t="s">
        <v>259</v>
      </c>
      <c r="AH8" s="169" t="s">
        <v>259</v>
      </c>
      <c r="AI8" s="169" t="s">
        <v>259</v>
      </c>
      <c r="AJ8" s="169" t="s">
        <v>259</v>
      </c>
      <c r="AK8" s="169" t="s">
        <v>259</v>
      </c>
      <c r="AL8" s="169" t="s">
        <v>259</v>
      </c>
      <c r="AM8" s="169" t="s">
        <v>259</v>
      </c>
      <c r="AN8" s="169" t="s">
        <v>259</v>
      </c>
      <c r="AO8" s="169" t="s">
        <v>259</v>
      </c>
      <c r="AP8" s="169" t="s">
        <v>259</v>
      </c>
      <c r="AQ8" s="169" t="s">
        <v>259</v>
      </c>
      <c r="AR8" s="169" t="s">
        <v>259</v>
      </c>
      <c r="AS8" s="169" t="s">
        <v>259</v>
      </c>
      <c r="AT8" s="169" t="s">
        <v>259</v>
      </c>
      <c r="AU8" s="169" t="s">
        <v>259</v>
      </c>
      <c r="AV8" s="169" t="s">
        <v>259</v>
      </c>
      <c r="AW8" s="169" t="s">
        <v>259</v>
      </c>
      <c r="AX8" s="169" t="s">
        <v>259</v>
      </c>
      <c r="AY8" s="169" t="s">
        <v>259</v>
      </c>
      <c r="AZ8" s="169" t="s">
        <v>259</v>
      </c>
      <c r="BA8" s="169" t="s">
        <v>259</v>
      </c>
      <c r="BB8" s="169" t="s">
        <v>259</v>
      </c>
      <c r="BC8" s="169" t="s">
        <v>259</v>
      </c>
      <c r="BD8" s="169" t="s">
        <v>259</v>
      </c>
      <c r="BE8" s="169" t="s">
        <v>259</v>
      </c>
      <c r="BF8" s="169" t="s">
        <v>259</v>
      </c>
      <c r="BG8" s="169" t="s">
        <v>259</v>
      </c>
      <c r="BH8" s="169" t="s">
        <v>259</v>
      </c>
      <c r="BI8" s="169" t="s">
        <v>259</v>
      </c>
      <c r="BJ8" s="169" t="s">
        <v>259</v>
      </c>
      <c r="BK8" s="169" t="s">
        <v>259</v>
      </c>
      <c r="BL8" s="169" t="s">
        <v>259</v>
      </c>
      <c r="BM8" s="169" t="s">
        <v>259</v>
      </c>
      <c r="BN8" s="169" t="s">
        <v>259</v>
      </c>
      <c r="BO8" s="169" t="s">
        <v>259</v>
      </c>
      <c r="BP8" s="169" t="s">
        <v>259</v>
      </c>
      <c r="BQ8" s="169" t="s">
        <v>259</v>
      </c>
      <c r="BR8" s="169" t="s">
        <v>259</v>
      </c>
      <c r="BS8" s="169" t="s">
        <v>259</v>
      </c>
      <c r="BT8" s="169" t="s">
        <v>259</v>
      </c>
      <c r="BU8" s="169" t="s">
        <v>259</v>
      </c>
      <c r="BV8" s="169" t="s">
        <v>259</v>
      </c>
      <c r="BW8" s="169" t="s">
        <v>259</v>
      </c>
      <c r="BX8" s="169" t="s">
        <v>259</v>
      </c>
      <c r="BY8" s="169" t="s">
        <v>259</v>
      </c>
      <c r="BZ8" s="169" t="s">
        <v>259</v>
      </c>
      <c r="CA8" s="169" t="s">
        <v>259</v>
      </c>
      <c r="CB8" s="169" t="s">
        <v>259</v>
      </c>
      <c r="CC8" s="169" t="s">
        <v>259</v>
      </c>
      <c r="CD8" s="169" t="s">
        <v>259</v>
      </c>
      <c r="CE8" s="169" t="s">
        <v>259</v>
      </c>
      <c r="CF8" s="169" t="s">
        <v>259</v>
      </c>
      <c r="CG8" s="169" t="s">
        <v>259</v>
      </c>
      <c r="CH8" s="169" t="s">
        <v>259</v>
      </c>
      <c r="CI8" s="169" t="s">
        <v>259</v>
      </c>
      <c r="CJ8" s="169" t="s">
        <v>259</v>
      </c>
      <c r="CK8" s="169" t="s">
        <v>259</v>
      </c>
      <c r="CL8" s="169" t="s">
        <v>259</v>
      </c>
      <c r="CM8" s="169" t="s">
        <v>259</v>
      </c>
      <c r="CN8" s="169" t="s">
        <v>259</v>
      </c>
      <c r="CO8" s="169" t="s">
        <v>259</v>
      </c>
      <c r="CP8" s="169" t="s">
        <v>259</v>
      </c>
      <c r="CQ8" s="169" t="s">
        <v>259</v>
      </c>
      <c r="CR8" s="169" t="s">
        <v>259</v>
      </c>
      <c r="CS8" s="169" t="s">
        <v>259</v>
      </c>
      <c r="CT8" s="169" t="s">
        <v>259</v>
      </c>
      <c r="CU8" s="169" t="s">
        <v>259</v>
      </c>
      <c r="CV8" s="169" t="s">
        <v>259</v>
      </c>
      <c r="CW8" s="169" t="s">
        <v>259</v>
      </c>
      <c r="CX8" s="169" t="s">
        <v>259</v>
      </c>
      <c r="CY8" s="169" t="s">
        <v>259</v>
      </c>
      <c r="CZ8" s="169" t="s">
        <v>259</v>
      </c>
      <c r="DA8" s="169" t="s">
        <v>259</v>
      </c>
      <c r="DB8" s="169" t="s">
        <v>259</v>
      </c>
      <c r="DC8" s="169" t="s">
        <v>259</v>
      </c>
      <c r="DD8" s="169" t="s">
        <v>259</v>
      </c>
      <c r="DE8" s="169" t="s">
        <v>259</v>
      </c>
      <c r="DF8" s="169" t="s">
        <v>259</v>
      </c>
      <c r="DG8" s="169" t="s">
        <v>259</v>
      </c>
      <c r="DH8" s="169" t="s">
        <v>259</v>
      </c>
      <c r="DI8" s="169" t="s">
        <v>259</v>
      </c>
      <c r="DJ8" s="169" t="s">
        <v>259</v>
      </c>
      <c r="DK8" s="169" t="s">
        <v>259</v>
      </c>
      <c r="DL8" s="169" t="s">
        <v>259</v>
      </c>
      <c r="DM8" s="169" t="s">
        <v>259</v>
      </c>
      <c r="DN8" s="169" t="s">
        <v>259</v>
      </c>
      <c r="DO8" s="169" t="s">
        <v>259</v>
      </c>
      <c r="DP8" s="169" t="s">
        <v>259</v>
      </c>
      <c r="DQ8" s="169" t="s">
        <v>259</v>
      </c>
      <c r="DR8" s="169" t="s">
        <v>259</v>
      </c>
      <c r="DS8" s="169" t="s">
        <v>259</v>
      </c>
      <c r="DT8" s="169" t="s">
        <v>259</v>
      </c>
    </row>
    <row r="9" spans="2:124" x14ac:dyDescent="0.3">
      <c r="B9" t="str">
        <f>'IMPORT SCHLIESSERDATEN'!B8</f>
        <v>TS 91 RF EN 3</v>
      </c>
      <c r="D9" s="169" t="s">
        <v>259</v>
      </c>
      <c r="E9" s="169" t="s">
        <v>259</v>
      </c>
      <c r="F9" s="169" t="s">
        <v>259</v>
      </c>
      <c r="G9" s="169" t="s">
        <v>259</v>
      </c>
      <c r="H9" s="169" t="s">
        <v>259</v>
      </c>
      <c r="I9" s="169" t="s">
        <v>259</v>
      </c>
      <c r="J9" s="169" t="s">
        <v>259</v>
      </c>
      <c r="K9" s="169" t="s">
        <v>259</v>
      </c>
      <c r="L9" s="169" t="s">
        <v>259</v>
      </c>
      <c r="M9" s="169" t="s">
        <v>259</v>
      </c>
      <c r="N9" s="169" t="s">
        <v>259</v>
      </c>
      <c r="O9" s="169" t="s">
        <v>259</v>
      </c>
      <c r="P9" s="169" t="s">
        <v>259</v>
      </c>
      <c r="Q9" s="169" t="s">
        <v>259</v>
      </c>
      <c r="R9" s="169" t="s">
        <v>259</v>
      </c>
      <c r="S9" s="169" t="s">
        <v>259</v>
      </c>
      <c r="T9" s="169" t="s">
        <v>259</v>
      </c>
      <c r="U9" s="169" t="s">
        <v>259</v>
      </c>
      <c r="V9" s="169" t="s">
        <v>259</v>
      </c>
      <c r="W9" s="169" t="s">
        <v>259</v>
      </c>
      <c r="X9" s="169" t="s">
        <v>259</v>
      </c>
      <c r="Y9" s="169" t="s">
        <v>259</v>
      </c>
      <c r="Z9" s="169" t="s">
        <v>259</v>
      </c>
      <c r="AA9" s="169" t="s">
        <v>259</v>
      </c>
      <c r="AB9" s="169" t="s">
        <v>259</v>
      </c>
      <c r="AC9" s="169" t="s">
        <v>259</v>
      </c>
      <c r="AD9" s="169" t="s">
        <v>259</v>
      </c>
      <c r="AE9" s="169" t="s">
        <v>259</v>
      </c>
      <c r="AF9" s="169" t="s">
        <v>259</v>
      </c>
      <c r="AG9" s="169" t="s">
        <v>259</v>
      </c>
      <c r="AH9" s="169" t="s">
        <v>259</v>
      </c>
      <c r="AI9" s="169" t="s">
        <v>259</v>
      </c>
      <c r="AJ9" s="169" t="s">
        <v>259</v>
      </c>
      <c r="AK9" s="169" t="s">
        <v>259</v>
      </c>
      <c r="AL9" s="169" t="s">
        <v>259</v>
      </c>
      <c r="AM9" s="169" t="s">
        <v>259</v>
      </c>
      <c r="AN9" s="169" t="s">
        <v>259</v>
      </c>
      <c r="AO9" s="169" t="s">
        <v>259</v>
      </c>
      <c r="AP9" s="169" t="s">
        <v>259</v>
      </c>
      <c r="AQ9" s="169" t="s">
        <v>259</v>
      </c>
      <c r="AR9" s="169" t="s">
        <v>259</v>
      </c>
      <c r="AS9" s="169" t="s">
        <v>259</v>
      </c>
      <c r="AT9" s="169" t="s">
        <v>259</v>
      </c>
      <c r="AU9" s="169" t="s">
        <v>259</v>
      </c>
      <c r="AV9" s="169" t="s">
        <v>259</v>
      </c>
      <c r="AW9" s="169" t="s">
        <v>259</v>
      </c>
      <c r="AX9" s="169" t="s">
        <v>259</v>
      </c>
      <c r="AY9" s="169" t="s">
        <v>259</v>
      </c>
      <c r="AZ9" s="169" t="s">
        <v>259</v>
      </c>
      <c r="BA9" s="169" t="s">
        <v>259</v>
      </c>
      <c r="BB9" s="169" t="s">
        <v>259</v>
      </c>
      <c r="BC9" s="169" t="s">
        <v>259</v>
      </c>
      <c r="BD9" s="169" t="s">
        <v>259</v>
      </c>
      <c r="BE9" s="169" t="s">
        <v>259</v>
      </c>
      <c r="BF9" s="169" t="s">
        <v>259</v>
      </c>
      <c r="BG9" s="169" t="s">
        <v>259</v>
      </c>
      <c r="BH9" s="169" t="s">
        <v>259</v>
      </c>
      <c r="BI9" s="169" t="s">
        <v>259</v>
      </c>
      <c r="BJ9" s="169" t="s">
        <v>259</v>
      </c>
      <c r="BK9" s="169" t="s">
        <v>259</v>
      </c>
      <c r="BL9" s="169" t="s">
        <v>259</v>
      </c>
      <c r="BM9" s="169" t="s">
        <v>259</v>
      </c>
      <c r="BN9" s="169" t="s">
        <v>259</v>
      </c>
      <c r="BO9" s="169" t="s">
        <v>259</v>
      </c>
      <c r="BP9" s="169" t="s">
        <v>259</v>
      </c>
      <c r="BQ9" s="169" t="s">
        <v>259</v>
      </c>
      <c r="BR9" s="169" t="s">
        <v>259</v>
      </c>
      <c r="BS9" s="169" t="s">
        <v>259</v>
      </c>
      <c r="BT9" s="169" t="s">
        <v>259</v>
      </c>
      <c r="BU9" s="169" t="s">
        <v>259</v>
      </c>
      <c r="BV9" s="169" t="s">
        <v>259</v>
      </c>
      <c r="BW9" s="169" t="s">
        <v>259</v>
      </c>
      <c r="BX9" s="169" t="s">
        <v>259</v>
      </c>
      <c r="BY9" s="169" t="s">
        <v>259</v>
      </c>
      <c r="BZ9" s="169" t="s">
        <v>259</v>
      </c>
      <c r="CA9" s="169" t="s">
        <v>259</v>
      </c>
      <c r="CB9" s="169" t="s">
        <v>259</v>
      </c>
      <c r="CC9" s="169" t="s">
        <v>259</v>
      </c>
      <c r="CD9" s="169" t="s">
        <v>259</v>
      </c>
      <c r="CE9" s="169" t="s">
        <v>259</v>
      </c>
      <c r="CF9" s="169" t="s">
        <v>259</v>
      </c>
      <c r="CG9" s="169" t="s">
        <v>259</v>
      </c>
      <c r="CH9" s="169" t="s">
        <v>259</v>
      </c>
      <c r="CI9" s="169" t="s">
        <v>259</v>
      </c>
      <c r="CJ9" s="169" t="s">
        <v>259</v>
      </c>
      <c r="CK9" s="169" t="s">
        <v>259</v>
      </c>
      <c r="CL9" s="169" t="s">
        <v>259</v>
      </c>
      <c r="CM9" s="169" t="s">
        <v>259</v>
      </c>
      <c r="CN9" s="169" t="s">
        <v>259</v>
      </c>
      <c r="CO9" s="169" t="s">
        <v>259</v>
      </c>
      <c r="CP9" s="169" t="s">
        <v>259</v>
      </c>
      <c r="CQ9" s="169" t="s">
        <v>259</v>
      </c>
      <c r="CR9" s="169" t="s">
        <v>259</v>
      </c>
      <c r="CS9" s="169" t="s">
        <v>259</v>
      </c>
      <c r="CT9" s="169" t="s">
        <v>259</v>
      </c>
      <c r="CU9" s="169" t="s">
        <v>259</v>
      </c>
      <c r="CV9" s="169" t="s">
        <v>259</v>
      </c>
      <c r="CW9" s="169" t="s">
        <v>259</v>
      </c>
      <c r="CX9" s="169" t="s">
        <v>259</v>
      </c>
      <c r="CY9" s="169" t="s">
        <v>259</v>
      </c>
      <c r="CZ9" s="169" t="s">
        <v>259</v>
      </c>
      <c r="DA9" s="169" t="s">
        <v>259</v>
      </c>
      <c r="DB9" s="169" t="s">
        <v>259</v>
      </c>
      <c r="DC9" s="169" t="s">
        <v>259</v>
      </c>
      <c r="DD9" s="169" t="s">
        <v>259</v>
      </c>
      <c r="DE9" s="169" t="s">
        <v>259</v>
      </c>
      <c r="DF9" s="169" t="s">
        <v>259</v>
      </c>
      <c r="DG9" s="169" t="s">
        <v>259</v>
      </c>
      <c r="DH9" s="169" t="s">
        <v>259</v>
      </c>
      <c r="DI9" s="169" t="s">
        <v>259</v>
      </c>
      <c r="DJ9" s="169" t="s">
        <v>259</v>
      </c>
      <c r="DK9" s="169" t="s">
        <v>259</v>
      </c>
      <c r="DL9" s="169" t="s">
        <v>259</v>
      </c>
      <c r="DM9" s="169" t="s">
        <v>259</v>
      </c>
      <c r="DN9" s="169" t="s">
        <v>259</v>
      </c>
      <c r="DO9" s="169" t="s">
        <v>259</v>
      </c>
      <c r="DP9" s="169" t="s">
        <v>259</v>
      </c>
      <c r="DQ9" s="169" t="s">
        <v>259</v>
      </c>
      <c r="DR9" s="169" t="s">
        <v>259</v>
      </c>
      <c r="DS9" s="169" t="s">
        <v>259</v>
      </c>
      <c r="DT9" s="169" t="s">
        <v>259</v>
      </c>
    </row>
    <row r="10" spans="2:124" x14ac:dyDescent="0.3">
      <c r="B10" t="str">
        <f>'IMPORT SCHLIESSERDATEN'!B9</f>
        <v>TS 92 XEA EN 1-4</v>
      </c>
      <c r="D10" s="169" t="s">
        <v>259</v>
      </c>
      <c r="E10" s="169" t="s">
        <v>259</v>
      </c>
      <c r="F10" s="169" t="s">
        <v>259</v>
      </c>
      <c r="G10" s="169" t="s">
        <v>259</v>
      </c>
      <c r="H10" s="169" t="s">
        <v>259</v>
      </c>
      <c r="I10" s="169" t="s">
        <v>259</v>
      </c>
      <c r="J10" s="169" t="s">
        <v>259</v>
      </c>
      <c r="K10" s="169" t="s">
        <v>259</v>
      </c>
      <c r="L10" s="169" t="s">
        <v>259</v>
      </c>
      <c r="M10" s="169" t="s">
        <v>259</v>
      </c>
      <c r="N10" s="169" t="s">
        <v>259</v>
      </c>
      <c r="O10" s="169" t="s">
        <v>259</v>
      </c>
      <c r="P10" s="169" t="s">
        <v>259</v>
      </c>
      <c r="Q10" s="169" t="s">
        <v>259</v>
      </c>
      <c r="R10" s="169" t="s">
        <v>259</v>
      </c>
      <c r="S10" s="169" t="s">
        <v>259</v>
      </c>
      <c r="T10" s="169" t="s">
        <v>259</v>
      </c>
      <c r="U10" s="169" t="s">
        <v>259</v>
      </c>
      <c r="V10" s="169" t="s">
        <v>259</v>
      </c>
      <c r="W10" s="169" t="s">
        <v>259</v>
      </c>
      <c r="X10" s="169" t="s">
        <v>259</v>
      </c>
      <c r="Y10" s="169" t="s">
        <v>259</v>
      </c>
      <c r="Z10" s="169" t="s">
        <v>259</v>
      </c>
      <c r="AA10" s="169" t="s">
        <v>259</v>
      </c>
      <c r="AB10" s="169" t="s">
        <v>259</v>
      </c>
      <c r="AC10" s="169" t="s">
        <v>259</v>
      </c>
      <c r="AD10" s="169" t="s">
        <v>259</v>
      </c>
      <c r="AE10" s="169" t="s">
        <v>259</v>
      </c>
      <c r="AF10" s="169" t="s">
        <v>259</v>
      </c>
      <c r="AG10" s="169" t="s">
        <v>259</v>
      </c>
      <c r="AH10" s="169" t="s">
        <v>259</v>
      </c>
      <c r="AI10" s="169" t="s">
        <v>259</v>
      </c>
      <c r="AJ10" s="169" t="s">
        <v>259</v>
      </c>
      <c r="AK10" s="169" t="s">
        <v>259</v>
      </c>
      <c r="AL10" s="169" t="s">
        <v>259</v>
      </c>
      <c r="AM10" s="169" t="s">
        <v>259</v>
      </c>
      <c r="AN10" s="169" t="s">
        <v>259</v>
      </c>
      <c r="AO10" s="169" t="s">
        <v>259</v>
      </c>
      <c r="AP10" s="169" t="s">
        <v>259</v>
      </c>
      <c r="AQ10" s="169" t="s">
        <v>259</v>
      </c>
      <c r="AR10" s="169" t="s">
        <v>259</v>
      </c>
      <c r="AS10" s="169" t="s">
        <v>259</v>
      </c>
      <c r="AT10" s="169" t="s">
        <v>259</v>
      </c>
      <c r="AU10" s="169" t="s">
        <v>259</v>
      </c>
      <c r="AV10" s="169" t="s">
        <v>259</v>
      </c>
      <c r="AW10" s="169" t="s">
        <v>259</v>
      </c>
      <c r="AX10" s="169" t="s">
        <v>259</v>
      </c>
      <c r="AY10" s="169" t="s">
        <v>259</v>
      </c>
      <c r="AZ10" s="169" t="s">
        <v>259</v>
      </c>
      <c r="BA10" s="169" t="s">
        <v>259</v>
      </c>
      <c r="BB10" s="169" t="s">
        <v>259</v>
      </c>
      <c r="BC10" s="169" t="s">
        <v>259</v>
      </c>
      <c r="BD10" s="169" t="s">
        <v>259</v>
      </c>
      <c r="BE10" s="169" t="s">
        <v>259</v>
      </c>
      <c r="BF10" s="169" t="s">
        <v>259</v>
      </c>
      <c r="BG10" s="169" t="s">
        <v>259</v>
      </c>
      <c r="BH10" s="169" t="s">
        <v>259</v>
      </c>
      <c r="BI10" s="169" t="s">
        <v>259</v>
      </c>
      <c r="BJ10" s="169" t="s">
        <v>259</v>
      </c>
      <c r="BK10" s="169" t="s">
        <v>259</v>
      </c>
      <c r="BL10" s="169" t="s">
        <v>259</v>
      </c>
      <c r="BM10" s="169" t="s">
        <v>259</v>
      </c>
      <c r="BN10" s="169" t="s">
        <v>259</v>
      </c>
      <c r="BO10" s="169" t="s">
        <v>259</v>
      </c>
      <c r="BP10" s="169" t="s">
        <v>259</v>
      </c>
      <c r="BQ10" s="169" t="s">
        <v>259</v>
      </c>
      <c r="BR10" s="169" t="s">
        <v>259</v>
      </c>
      <c r="BS10" s="169" t="s">
        <v>259</v>
      </c>
      <c r="BT10" s="169" t="s">
        <v>259</v>
      </c>
      <c r="BU10" s="169" t="s">
        <v>259</v>
      </c>
      <c r="BV10" s="169" t="s">
        <v>259</v>
      </c>
      <c r="BW10" s="169" t="s">
        <v>259</v>
      </c>
      <c r="BX10" s="169" t="s">
        <v>259</v>
      </c>
      <c r="BY10" s="169" t="s">
        <v>259</v>
      </c>
      <c r="BZ10" s="169" t="s">
        <v>259</v>
      </c>
      <c r="CA10" s="169" t="s">
        <v>259</v>
      </c>
      <c r="CB10" s="169" t="s">
        <v>259</v>
      </c>
      <c r="CC10" s="169" t="s">
        <v>259</v>
      </c>
      <c r="CD10" s="169" t="s">
        <v>259</v>
      </c>
      <c r="CE10" s="169" t="s">
        <v>259</v>
      </c>
      <c r="CF10" s="169" t="s">
        <v>259</v>
      </c>
      <c r="CG10" s="169" t="s">
        <v>259</v>
      </c>
      <c r="CH10" s="169" t="s">
        <v>259</v>
      </c>
      <c r="CI10" s="169" t="s">
        <v>259</v>
      </c>
      <c r="CJ10" s="169" t="s">
        <v>259</v>
      </c>
      <c r="CK10" s="169" t="s">
        <v>259</v>
      </c>
      <c r="CL10" s="169" t="s">
        <v>259</v>
      </c>
      <c r="CM10" s="169" t="s">
        <v>259</v>
      </c>
      <c r="CN10" s="169" t="s">
        <v>259</v>
      </c>
      <c r="CO10" s="169" t="s">
        <v>259</v>
      </c>
      <c r="CP10" s="169" t="s">
        <v>259</v>
      </c>
      <c r="CQ10" s="169" t="s">
        <v>259</v>
      </c>
      <c r="CR10" s="169" t="s">
        <v>259</v>
      </c>
      <c r="CS10" s="169" t="s">
        <v>259</v>
      </c>
      <c r="CT10" s="169" t="s">
        <v>259</v>
      </c>
      <c r="CU10" s="169" t="s">
        <v>259</v>
      </c>
      <c r="CV10" s="169" t="s">
        <v>259</v>
      </c>
      <c r="CW10" s="169" t="s">
        <v>259</v>
      </c>
      <c r="CX10" s="169" t="s">
        <v>259</v>
      </c>
      <c r="CY10" s="169" t="s">
        <v>259</v>
      </c>
      <c r="CZ10" s="169" t="s">
        <v>259</v>
      </c>
      <c r="DA10" s="169" t="s">
        <v>259</v>
      </c>
      <c r="DB10" s="169" t="s">
        <v>259</v>
      </c>
      <c r="DC10" s="169" t="s">
        <v>259</v>
      </c>
      <c r="DD10" s="169" t="s">
        <v>259</v>
      </c>
      <c r="DE10" s="169" t="s">
        <v>259</v>
      </c>
      <c r="DF10" s="169" t="s">
        <v>259</v>
      </c>
      <c r="DG10" s="169" t="s">
        <v>259</v>
      </c>
      <c r="DH10" s="169" t="s">
        <v>259</v>
      </c>
      <c r="DI10" s="169" t="s">
        <v>259</v>
      </c>
      <c r="DJ10" s="169" t="s">
        <v>259</v>
      </c>
      <c r="DK10" s="169" t="s">
        <v>259</v>
      </c>
      <c r="DL10" s="169" t="s">
        <v>259</v>
      </c>
      <c r="DM10" s="169" t="s">
        <v>259</v>
      </c>
      <c r="DN10" s="169" t="s">
        <v>259</v>
      </c>
      <c r="DO10" s="169" t="s">
        <v>259</v>
      </c>
      <c r="DP10" s="169" t="s">
        <v>259</v>
      </c>
      <c r="DQ10" s="169" t="s">
        <v>259</v>
      </c>
      <c r="DR10" s="169" t="s">
        <v>259</v>
      </c>
      <c r="DS10" s="169" t="s">
        <v>259</v>
      </c>
      <c r="DT10" s="169" t="s">
        <v>259</v>
      </c>
    </row>
    <row r="11" spans="2:124" x14ac:dyDescent="0.3">
      <c r="B11" t="str">
        <f>'IMPORT SCHLIESSERDATEN'!B10</f>
        <v>TS 92 RF XEA EN 1-4</v>
      </c>
      <c r="D11" s="169" t="s">
        <v>259</v>
      </c>
      <c r="E11" s="169" t="s">
        <v>259</v>
      </c>
      <c r="F11" s="169" t="s">
        <v>259</v>
      </c>
      <c r="G11" s="169" t="s">
        <v>259</v>
      </c>
      <c r="H11" s="169" t="s">
        <v>259</v>
      </c>
      <c r="I11" s="169" t="s">
        <v>259</v>
      </c>
      <c r="J11" s="169" t="s">
        <v>259</v>
      </c>
      <c r="K11" s="169" t="s">
        <v>259</v>
      </c>
      <c r="L11" s="169" t="s">
        <v>259</v>
      </c>
      <c r="M11" s="169" t="s">
        <v>259</v>
      </c>
      <c r="N11" s="169" t="s">
        <v>259</v>
      </c>
      <c r="O11" s="169" t="s">
        <v>259</v>
      </c>
      <c r="P11" s="169" t="s">
        <v>259</v>
      </c>
      <c r="Q11" s="169" t="s">
        <v>259</v>
      </c>
      <c r="R11" s="169" t="s">
        <v>259</v>
      </c>
      <c r="S11" s="169" t="s">
        <v>259</v>
      </c>
      <c r="T11" s="169" t="s">
        <v>259</v>
      </c>
      <c r="U11" s="169" t="s">
        <v>1995</v>
      </c>
      <c r="V11" s="169" t="s">
        <v>259</v>
      </c>
      <c r="W11" s="169" t="s">
        <v>259</v>
      </c>
      <c r="X11" s="169" t="s">
        <v>259</v>
      </c>
      <c r="Y11" s="169" t="s">
        <v>259</v>
      </c>
      <c r="Z11" s="169" t="s">
        <v>259</v>
      </c>
      <c r="AA11" s="169" t="s">
        <v>259</v>
      </c>
      <c r="AB11" s="169" t="s">
        <v>259</v>
      </c>
      <c r="AC11" s="169" t="s">
        <v>259</v>
      </c>
      <c r="AD11" s="169" t="s">
        <v>259</v>
      </c>
      <c r="AE11" s="169" t="s">
        <v>259</v>
      </c>
      <c r="AF11" s="169" t="s">
        <v>259</v>
      </c>
      <c r="AG11" s="169" t="s">
        <v>259</v>
      </c>
      <c r="AH11" s="169" t="s">
        <v>259</v>
      </c>
      <c r="AI11" s="169" t="s">
        <v>259</v>
      </c>
      <c r="AJ11" s="169" t="s">
        <v>259</v>
      </c>
      <c r="AK11" s="169" t="s">
        <v>259</v>
      </c>
      <c r="AL11" s="169" t="s">
        <v>259</v>
      </c>
      <c r="AM11" s="169" t="s">
        <v>259</v>
      </c>
      <c r="AN11" s="169" t="s">
        <v>259</v>
      </c>
      <c r="AO11" s="169" t="s">
        <v>259</v>
      </c>
      <c r="AP11" s="169" t="s">
        <v>259</v>
      </c>
      <c r="AQ11" s="169" t="s">
        <v>259</v>
      </c>
      <c r="AR11" s="169" t="s">
        <v>259</v>
      </c>
      <c r="AS11" s="169" t="s">
        <v>259</v>
      </c>
      <c r="AT11" s="169" t="s">
        <v>259</v>
      </c>
      <c r="AU11" s="169" t="s">
        <v>259</v>
      </c>
      <c r="AV11" s="169" t="s">
        <v>259</v>
      </c>
      <c r="AW11" s="169" t="s">
        <v>259</v>
      </c>
      <c r="AX11" s="169" t="s">
        <v>259</v>
      </c>
      <c r="AY11" s="169" t="s">
        <v>259</v>
      </c>
      <c r="AZ11" s="169" t="s">
        <v>259</v>
      </c>
      <c r="BA11" s="169" t="s">
        <v>259</v>
      </c>
      <c r="BB11" s="169" t="s">
        <v>259</v>
      </c>
      <c r="BC11" s="169" t="s">
        <v>259</v>
      </c>
      <c r="BD11" s="169" t="s">
        <v>259</v>
      </c>
      <c r="BE11" s="169" t="s">
        <v>259</v>
      </c>
      <c r="BF11" s="169" t="s">
        <v>259</v>
      </c>
      <c r="BG11" s="169" t="s">
        <v>259</v>
      </c>
      <c r="BH11" s="169" t="s">
        <v>259</v>
      </c>
      <c r="BI11" s="169" t="s">
        <v>259</v>
      </c>
      <c r="BJ11" s="169" t="s">
        <v>259</v>
      </c>
      <c r="BK11" s="169" t="s">
        <v>259</v>
      </c>
      <c r="BL11" s="169" t="s">
        <v>259</v>
      </c>
      <c r="BM11" s="169" t="s">
        <v>259</v>
      </c>
      <c r="BN11" s="169" t="s">
        <v>259</v>
      </c>
      <c r="BO11" s="169" t="s">
        <v>259</v>
      </c>
      <c r="BP11" s="169" t="s">
        <v>259</v>
      </c>
      <c r="BQ11" s="169" t="s">
        <v>259</v>
      </c>
      <c r="BR11" s="169" t="s">
        <v>259</v>
      </c>
      <c r="BS11" s="169" t="s">
        <v>259</v>
      </c>
      <c r="BT11" s="169" t="s">
        <v>259</v>
      </c>
      <c r="BU11" s="169" t="s">
        <v>259</v>
      </c>
      <c r="BV11" s="169" t="s">
        <v>259</v>
      </c>
      <c r="BW11" s="169" t="s">
        <v>259</v>
      </c>
      <c r="BX11" s="169" t="s">
        <v>259</v>
      </c>
      <c r="BY11" s="169" t="s">
        <v>259</v>
      </c>
      <c r="BZ11" s="169" t="s">
        <v>259</v>
      </c>
      <c r="CA11" s="169" t="s">
        <v>259</v>
      </c>
      <c r="CB11" s="169" t="s">
        <v>259</v>
      </c>
      <c r="CC11" s="169" t="s">
        <v>259</v>
      </c>
      <c r="CD11" s="169" t="s">
        <v>259</v>
      </c>
      <c r="CE11" s="169" t="s">
        <v>259</v>
      </c>
      <c r="CF11" s="169" t="s">
        <v>259</v>
      </c>
      <c r="CG11" s="169" t="s">
        <v>259</v>
      </c>
      <c r="CH11" s="169" t="s">
        <v>259</v>
      </c>
      <c r="CI11" s="169" t="s">
        <v>259</v>
      </c>
      <c r="CJ11" s="169" t="s">
        <v>259</v>
      </c>
      <c r="CK11" s="169" t="s">
        <v>259</v>
      </c>
      <c r="CL11" s="169" t="s">
        <v>259</v>
      </c>
      <c r="CM11" s="169" t="s">
        <v>259</v>
      </c>
      <c r="CN11" s="169" t="s">
        <v>259</v>
      </c>
      <c r="CO11" s="169" t="s">
        <v>259</v>
      </c>
      <c r="CP11" s="169" t="s">
        <v>259</v>
      </c>
      <c r="CQ11" s="169" t="s">
        <v>259</v>
      </c>
      <c r="CR11" s="169" t="s">
        <v>259</v>
      </c>
      <c r="CS11" s="169" t="s">
        <v>259</v>
      </c>
      <c r="CT11" s="169" t="s">
        <v>259</v>
      </c>
      <c r="CU11" s="169" t="s">
        <v>259</v>
      </c>
      <c r="CV11" s="169" t="s">
        <v>259</v>
      </c>
      <c r="CW11" s="169" t="s">
        <v>259</v>
      </c>
      <c r="CX11" s="169" t="s">
        <v>259</v>
      </c>
      <c r="CY11" s="169" t="s">
        <v>259</v>
      </c>
      <c r="CZ11" s="169" t="s">
        <v>259</v>
      </c>
      <c r="DA11" s="169" t="s">
        <v>259</v>
      </c>
      <c r="DB11" s="169" t="s">
        <v>259</v>
      </c>
      <c r="DC11" s="169" t="s">
        <v>259</v>
      </c>
      <c r="DD11" s="169" t="s">
        <v>259</v>
      </c>
      <c r="DE11" s="169" t="s">
        <v>259</v>
      </c>
      <c r="DF11" s="169" t="s">
        <v>259</v>
      </c>
      <c r="DG11" s="169" t="s">
        <v>259</v>
      </c>
      <c r="DH11" s="169" t="s">
        <v>259</v>
      </c>
      <c r="DI11" s="169" t="s">
        <v>259</v>
      </c>
      <c r="DJ11" s="169" t="s">
        <v>259</v>
      </c>
      <c r="DK11" s="169" t="s">
        <v>259</v>
      </c>
      <c r="DL11" s="169" t="s">
        <v>259</v>
      </c>
      <c r="DM11" s="169" t="s">
        <v>259</v>
      </c>
      <c r="DN11" s="169" t="s">
        <v>259</v>
      </c>
      <c r="DO11" s="169" t="s">
        <v>259</v>
      </c>
      <c r="DP11" s="169" t="s">
        <v>259</v>
      </c>
      <c r="DQ11" s="169" t="s">
        <v>259</v>
      </c>
      <c r="DR11" s="169" t="s">
        <v>259</v>
      </c>
      <c r="DS11" s="169" t="s">
        <v>259</v>
      </c>
      <c r="DT11" s="169" t="s">
        <v>259</v>
      </c>
    </row>
    <row r="12" spans="2:124" x14ac:dyDescent="0.3">
      <c r="B12" t="str">
        <f>'IMPORT SCHLIESSERDATEN'!B11</f>
        <v>TS 92 EN 1-4</v>
      </c>
      <c r="D12" s="169" t="s">
        <v>259</v>
      </c>
      <c r="E12" s="169" t="s">
        <v>259</v>
      </c>
      <c r="F12" s="169" t="s">
        <v>259</v>
      </c>
      <c r="G12" s="169" t="s">
        <v>259</v>
      </c>
      <c r="H12" s="169" t="s">
        <v>259</v>
      </c>
      <c r="I12" s="169" t="s">
        <v>259</v>
      </c>
      <c r="J12" s="169" t="s">
        <v>259</v>
      </c>
      <c r="K12" s="169" t="s">
        <v>259</v>
      </c>
      <c r="L12" s="169" t="s">
        <v>259</v>
      </c>
      <c r="M12" s="169" t="s">
        <v>259</v>
      </c>
      <c r="N12" s="169" t="s">
        <v>259</v>
      </c>
      <c r="O12" s="169" t="s">
        <v>259</v>
      </c>
      <c r="P12" s="169" t="s">
        <v>259</v>
      </c>
      <c r="Q12" s="169" t="s">
        <v>259</v>
      </c>
      <c r="R12" s="169" t="s">
        <v>259</v>
      </c>
      <c r="S12" s="169" t="s">
        <v>259</v>
      </c>
      <c r="T12" s="169" t="s">
        <v>259</v>
      </c>
      <c r="U12" s="169" t="s">
        <v>259</v>
      </c>
      <c r="V12" s="169" t="s">
        <v>259</v>
      </c>
      <c r="W12" s="169" t="s">
        <v>259</v>
      </c>
      <c r="X12" s="169" t="s">
        <v>259</v>
      </c>
      <c r="Y12" s="169" t="s">
        <v>259</v>
      </c>
      <c r="Z12" s="169" t="s">
        <v>259</v>
      </c>
      <c r="AA12" s="169" t="s">
        <v>259</v>
      </c>
      <c r="AB12" s="169" t="s">
        <v>259</v>
      </c>
      <c r="AC12" s="169" t="s">
        <v>259</v>
      </c>
      <c r="AD12" s="169" t="s">
        <v>259</v>
      </c>
      <c r="AE12" s="169" t="s">
        <v>259</v>
      </c>
      <c r="AF12" s="169" t="s">
        <v>259</v>
      </c>
      <c r="AG12" s="169" t="s">
        <v>259</v>
      </c>
      <c r="AH12" s="169" t="s">
        <v>259</v>
      </c>
      <c r="AI12" s="169" t="s">
        <v>259</v>
      </c>
      <c r="AJ12" s="169" t="s">
        <v>259</v>
      </c>
      <c r="AK12" s="169" t="s">
        <v>259</v>
      </c>
      <c r="AL12" s="169" t="s">
        <v>259</v>
      </c>
      <c r="AM12" s="169" t="s">
        <v>259</v>
      </c>
      <c r="AN12" s="169" t="s">
        <v>259</v>
      </c>
      <c r="AO12" s="169" t="s">
        <v>259</v>
      </c>
      <c r="AP12" s="169" t="s">
        <v>259</v>
      </c>
      <c r="AQ12" s="169" t="s">
        <v>259</v>
      </c>
      <c r="AR12" s="169" t="s">
        <v>259</v>
      </c>
      <c r="AS12" s="169" t="s">
        <v>259</v>
      </c>
      <c r="AT12" s="169" t="s">
        <v>259</v>
      </c>
      <c r="AU12" s="169" t="s">
        <v>259</v>
      </c>
      <c r="AV12" s="169" t="s">
        <v>259</v>
      </c>
      <c r="AW12" s="169" t="s">
        <v>259</v>
      </c>
      <c r="AX12" s="169" t="s">
        <v>259</v>
      </c>
      <c r="AY12" s="169" t="s">
        <v>259</v>
      </c>
      <c r="AZ12" s="169" t="s">
        <v>259</v>
      </c>
      <c r="BA12" s="169" t="s">
        <v>259</v>
      </c>
      <c r="BB12" s="169" t="s">
        <v>259</v>
      </c>
      <c r="BC12" s="169" t="s">
        <v>259</v>
      </c>
      <c r="BD12" s="169" t="s">
        <v>259</v>
      </c>
      <c r="BE12" s="169" t="s">
        <v>259</v>
      </c>
      <c r="BF12" s="169" t="s">
        <v>259</v>
      </c>
      <c r="BG12" s="169" t="s">
        <v>259</v>
      </c>
      <c r="BH12" s="169" t="s">
        <v>259</v>
      </c>
      <c r="BI12" s="169" t="s">
        <v>259</v>
      </c>
      <c r="BJ12" s="169" t="s">
        <v>259</v>
      </c>
      <c r="BK12" s="169" t="s">
        <v>259</v>
      </c>
      <c r="BL12" s="169" t="s">
        <v>259</v>
      </c>
      <c r="BM12" s="169" t="s">
        <v>259</v>
      </c>
      <c r="BN12" s="169" t="s">
        <v>259</v>
      </c>
      <c r="BO12" s="169" t="s">
        <v>259</v>
      </c>
      <c r="BP12" s="169" t="s">
        <v>259</v>
      </c>
      <c r="BQ12" s="169" t="s">
        <v>259</v>
      </c>
      <c r="BR12" s="169" t="s">
        <v>259</v>
      </c>
      <c r="BS12" s="169" t="s">
        <v>259</v>
      </c>
      <c r="BT12" s="169" t="s">
        <v>259</v>
      </c>
      <c r="BU12" s="169" t="s">
        <v>259</v>
      </c>
      <c r="BV12" s="169" t="s">
        <v>259</v>
      </c>
      <c r="BW12" s="169" t="s">
        <v>259</v>
      </c>
      <c r="BX12" s="169" t="s">
        <v>259</v>
      </c>
      <c r="BY12" s="169" t="s">
        <v>259</v>
      </c>
      <c r="BZ12" s="169" t="s">
        <v>259</v>
      </c>
      <c r="CA12" s="169" t="s">
        <v>259</v>
      </c>
      <c r="CB12" s="169" t="s">
        <v>259</v>
      </c>
      <c r="CC12" s="169" t="s">
        <v>259</v>
      </c>
      <c r="CD12" s="169" t="s">
        <v>259</v>
      </c>
      <c r="CE12" s="169" t="s">
        <v>259</v>
      </c>
      <c r="CF12" s="169" t="s">
        <v>259</v>
      </c>
      <c r="CG12" s="169" t="s">
        <v>259</v>
      </c>
      <c r="CH12" s="169" t="s">
        <v>259</v>
      </c>
      <c r="CI12" s="169" t="s">
        <v>259</v>
      </c>
      <c r="CJ12" s="169" t="s">
        <v>259</v>
      </c>
      <c r="CK12" s="169" t="s">
        <v>259</v>
      </c>
      <c r="CL12" s="169" t="s">
        <v>259</v>
      </c>
      <c r="CM12" s="169" t="s">
        <v>259</v>
      </c>
      <c r="CN12" s="169" t="s">
        <v>259</v>
      </c>
      <c r="CO12" s="169" t="s">
        <v>259</v>
      </c>
      <c r="CP12" s="169" t="s">
        <v>259</v>
      </c>
      <c r="CQ12" s="169" t="s">
        <v>259</v>
      </c>
      <c r="CR12" s="169" t="s">
        <v>259</v>
      </c>
      <c r="CS12" s="169" t="s">
        <v>259</v>
      </c>
      <c r="CT12" s="169" t="s">
        <v>259</v>
      </c>
      <c r="CU12" s="169" t="s">
        <v>259</v>
      </c>
      <c r="CV12" s="169" t="s">
        <v>259</v>
      </c>
      <c r="CW12" s="169" t="s">
        <v>259</v>
      </c>
      <c r="CX12" s="169" t="s">
        <v>259</v>
      </c>
      <c r="CY12" s="169" t="s">
        <v>259</v>
      </c>
      <c r="CZ12" s="169" t="s">
        <v>259</v>
      </c>
      <c r="DA12" s="169" t="s">
        <v>259</v>
      </c>
      <c r="DB12" s="169" t="s">
        <v>259</v>
      </c>
      <c r="DC12" s="169" t="s">
        <v>259</v>
      </c>
      <c r="DD12" s="169" t="s">
        <v>259</v>
      </c>
      <c r="DE12" s="169" t="s">
        <v>259</v>
      </c>
      <c r="DF12" s="169" t="s">
        <v>259</v>
      </c>
      <c r="DG12" s="169" t="s">
        <v>259</v>
      </c>
      <c r="DH12" s="169" t="s">
        <v>259</v>
      </c>
      <c r="DI12" s="169" t="s">
        <v>259</v>
      </c>
      <c r="DJ12" s="169" t="s">
        <v>259</v>
      </c>
      <c r="DK12" s="169" t="s">
        <v>259</v>
      </c>
      <c r="DL12" s="169" t="s">
        <v>259</v>
      </c>
      <c r="DM12" s="169" t="s">
        <v>259</v>
      </c>
      <c r="DN12" s="169" t="s">
        <v>259</v>
      </c>
      <c r="DO12" s="169" t="s">
        <v>259</v>
      </c>
      <c r="DP12" s="169" t="s">
        <v>259</v>
      </c>
      <c r="DQ12" s="169" t="s">
        <v>259</v>
      </c>
      <c r="DR12" s="169" t="s">
        <v>259</v>
      </c>
      <c r="DS12" s="169" t="s">
        <v>259</v>
      </c>
      <c r="DT12" s="169" t="s">
        <v>259</v>
      </c>
    </row>
    <row r="13" spans="2:124" x14ac:dyDescent="0.3">
      <c r="B13" t="str">
        <f>'IMPORT SCHLIESSERDATEN'!B12</f>
        <v>TS 92 RF EN 1-4</v>
      </c>
      <c r="D13" s="169" t="s">
        <v>259</v>
      </c>
      <c r="E13" s="169" t="s">
        <v>259</v>
      </c>
      <c r="F13" s="169" t="s">
        <v>259</v>
      </c>
      <c r="G13" s="169" t="s">
        <v>259</v>
      </c>
      <c r="H13" s="169" t="s">
        <v>259</v>
      </c>
      <c r="I13" s="169" t="s">
        <v>259</v>
      </c>
      <c r="J13" s="169" t="s">
        <v>259</v>
      </c>
      <c r="K13" s="169" t="s">
        <v>259</v>
      </c>
      <c r="L13" s="169" t="s">
        <v>259</v>
      </c>
      <c r="M13" s="169" t="s">
        <v>259</v>
      </c>
      <c r="N13" s="169" t="s">
        <v>259</v>
      </c>
      <c r="O13" s="169" t="s">
        <v>259</v>
      </c>
      <c r="P13" s="169" t="s">
        <v>259</v>
      </c>
      <c r="Q13" s="169" t="s">
        <v>259</v>
      </c>
      <c r="R13" s="169" t="s">
        <v>259</v>
      </c>
      <c r="S13" s="169" t="s">
        <v>259</v>
      </c>
      <c r="T13" s="169" t="s">
        <v>259</v>
      </c>
      <c r="U13" s="169" t="s">
        <v>1995</v>
      </c>
      <c r="V13" s="169" t="s">
        <v>259</v>
      </c>
      <c r="W13" s="169" t="s">
        <v>259</v>
      </c>
      <c r="X13" s="169" t="s">
        <v>259</v>
      </c>
      <c r="Y13" s="169" t="s">
        <v>259</v>
      </c>
      <c r="Z13" s="169" t="s">
        <v>259</v>
      </c>
      <c r="AA13" s="169" t="s">
        <v>259</v>
      </c>
      <c r="AB13" s="169" t="s">
        <v>259</v>
      </c>
      <c r="AC13" s="169" t="s">
        <v>259</v>
      </c>
      <c r="AD13" s="169" t="s">
        <v>259</v>
      </c>
      <c r="AE13" s="169" t="s">
        <v>259</v>
      </c>
      <c r="AF13" s="169" t="s">
        <v>259</v>
      </c>
      <c r="AG13" s="169" t="s">
        <v>259</v>
      </c>
      <c r="AH13" s="169" t="s">
        <v>259</v>
      </c>
      <c r="AI13" s="169" t="s">
        <v>259</v>
      </c>
      <c r="AJ13" s="169" t="s">
        <v>259</v>
      </c>
      <c r="AK13" s="169" t="s">
        <v>259</v>
      </c>
      <c r="AL13" s="169" t="s">
        <v>259</v>
      </c>
      <c r="AM13" s="169" t="s">
        <v>259</v>
      </c>
      <c r="AN13" s="169" t="s">
        <v>259</v>
      </c>
      <c r="AO13" s="169" t="s">
        <v>259</v>
      </c>
      <c r="AP13" s="169" t="s">
        <v>259</v>
      </c>
      <c r="AQ13" s="169" t="s">
        <v>259</v>
      </c>
      <c r="AR13" s="169" t="s">
        <v>259</v>
      </c>
      <c r="AS13" s="169" t="s">
        <v>259</v>
      </c>
      <c r="AT13" s="169" t="s">
        <v>259</v>
      </c>
      <c r="AU13" s="169" t="s">
        <v>259</v>
      </c>
      <c r="AV13" s="169" t="s">
        <v>259</v>
      </c>
      <c r="AW13" s="169" t="s">
        <v>259</v>
      </c>
      <c r="AX13" s="169" t="s">
        <v>259</v>
      </c>
      <c r="AY13" s="169" t="s">
        <v>259</v>
      </c>
      <c r="AZ13" s="169" t="s">
        <v>259</v>
      </c>
      <c r="BA13" s="169" t="s">
        <v>259</v>
      </c>
      <c r="BB13" s="169" t="s">
        <v>259</v>
      </c>
      <c r="BC13" s="169" t="s">
        <v>259</v>
      </c>
      <c r="BD13" s="169" t="s">
        <v>259</v>
      </c>
      <c r="BE13" s="169" t="s">
        <v>259</v>
      </c>
      <c r="BF13" s="169" t="s">
        <v>259</v>
      </c>
      <c r="BG13" s="169" t="s">
        <v>259</v>
      </c>
      <c r="BH13" s="169" t="s">
        <v>259</v>
      </c>
      <c r="BI13" s="169" t="s">
        <v>259</v>
      </c>
      <c r="BJ13" s="169" t="s">
        <v>259</v>
      </c>
      <c r="BK13" s="169" t="s">
        <v>259</v>
      </c>
      <c r="BL13" s="169" t="s">
        <v>259</v>
      </c>
      <c r="BM13" s="169" t="s">
        <v>259</v>
      </c>
      <c r="BN13" s="169" t="s">
        <v>259</v>
      </c>
      <c r="BO13" s="169" t="s">
        <v>259</v>
      </c>
      <c r="BP13" s="169" t="s">
        <v>259</v>
      </c>
      <c r="BQ13" s="169" t="s">
        <v>259</v>
      </c>
      <c r="BR13" s="169" t="s">
        <v>259</v>
      </c>
      <c r="BS13" s="169" t="s">
        <v>259</v>
      </c>
      <c r="BT13" s="169" t="s">
        <v>259</v>
      </c>
      <c r="BU13" s="169" t="s">
        <v>259</v>
      </c>
      <c r="BV13" s="169" t="s">
        <v>259</v>
      </c>
      <c r="BW13" s="169" t="s">
        <v>259</v>
      </c>
      <c r="BX13" s="169" t="s">
        <v>259</v>
      </c>
      <c r="BY13" s="169" t="s">
        <v>259</v>
      </c>
      <c r="BZ13" s="169" t="s">
        <v>259</v>
      </c>
      <c r="CA13" s="169" t="s">
        <v>259</v>
      </c>
      <c r="CB13" s="169" t="s">
        <v>259</v>
      </c>
      <c r="CC13" s="169" t="s">
        <v>259</v>
      </c>
      <c r="CD13" s="169" t="s">
        <v>259</v>
      </c>
      <c r="CE13" s="169" t="s">
        <v>259</v>
      </c>
      <c r="CF13" s="169" t="s">
        <v>259</v>
      </c>
      <c r="CG13" s="169" t="s">
        <v>259</v>
      </c>
      <c r="CH13" s="169" t="s">
        <v>259</v>
      </c>
      <c r="CI13" s="169" t="s">
        <v>259</v>
      </c>
      <c r="CJ13" s="169" t="s">
        <v>259</v>
      </c>
      <c r="CK13" s="169" t="s">
        <v>259</v>
      </c>
      <c r="CL13" s="169" t="s">
        <v>259</v>
      </c>
      <c r="CM13" s="169" t="s">
        <v>259</v>
      </c>
      <c r="CN13" s="169" t="s">
        <v>259</v>
      </c>
      <c r="CO13" s="169" t="s">
        <v>259</v>
      </c>
      <c r="CP13" s="169" t="s">
        <v>259</v>
      </c>
      <c r="CQ13" s="169" t="s">
        <v>259</v>
      </c>
      <c r="CR13" s="169" t="s">
        <v>259</v>
      </c>
      <c r="CS13" s="169" t="s">
        <v>259</v>
      </c>
      <c r="CT13" s="169" t="s">
        <v>259</v>
      </c>
      <c r="CU13" s="169" t="s">
        <v>259</v>
      </c>
      <c r="CV13" s="169" t="s">
        <v>259</v>
      </c>
      <c r="CW13" s="169" t="s">
        <v>259</v>
      </c>
      <c r="CX13" s="169" t="s">
        <v>259</v>
      </c>
      <c r="CY13" s="169" t="s">
        <v>259</v>
      </c>
      <c r="CZ13" s="169" t="s">
        <v>259</v>
      </c>
      <c r="DA13" s="169" t="s">
        <v>259</v>
      </c>
      <c r="DB13" s="169" t="s">
        <v>259</v>
      </c>
      <c r="DC13" s="169" t="s">
        <v>259</v>
      </c>
      <c r="DD13" s="169" t="s">
        <v>259</v>
      </c>
      <c r="DE13" s="169" t="s">
        <v>259</v>
      </c>
      <c r="DF13" s="169" t="s">
        <v>259</v>
      </c>
      <c r="DG13" s="169" t="s">
        <v>259</v>
      </c>
      <c r="DH13" s="169" t="s">
        <v>259</v>
      </c>
      <c r="DI13" s="169" t="s">
        <v>259</v>
      </c>
      <c r="DJ13" s="169" t="s">
        <v>259</v>
      </c>
      <c r="DK13" s="169" t="s">
        <v>259</v>
      </c>
      <c r="DL13" s="169" t="s">
        <v>259</v>
      </c>
      <c r="DM13" s="169" t="s">
        <v>259</v>
      </c>
      <c r="DN13" s="169" t="s">
        <v>259</v>
      </c>
      <c r="DO13" s="169" t="s">
        <v>259</v>
      </c>
      <c r="DP13" s="169" t="s">
        <v>259</v>
      </c>
      <c r="DQ13" s="169" t="s">
        <v>259</v>
      </c>
      <c r="DR13" s="169" t="s">
        <v>259</v>
      </c>
      <c r="DS13" s="169" t="s">
        <v>259</v>
      </c>
      <c r="DT13" s="169" t="s">
        <v>259</v>
      </c>
    </row>
    <row r="14" spans="2:124" x14ac:dyDescent="0.3">
      <c r="B14" t="str">
        <f>'IMPORT SCHLIESSERDATEN'!B13</f>
        <v>TS 92 GSR EN 1-4</v>
      </c>
      <c r="D14" s="169" t="s">
        <v>259</v>
      </c>
      <c r="E14" s="169" t="s">
        <v>259</v>
      </c>
      <c r="F14" s="169" t="s">
        <v>259</v>
      </c>
      <c r="G14" s="169" t="s">
        <v>259</v>
      </c>
      <c r="H14" s="169" t="s">
        <v>259</v>
      </c>
      <c r="I14" s="169" t="s">
        <v>259</v>
      </c>
      <c r="J14" s="169" t="s">
        <v>259</v>
      </c>
      <c r="K14" s="169" t="s">
        <v>259</v>
      </c>
      <c r="L14" s="169" t="s">
        <v>259</v>
      </c>
      <c r="M14" s="169" t="s">
        <v>259</v>
      </c>
      <c r="N14" s="169" t="s">
        <v>259</v>
      </c>
      <c r="O14" s="169" t="s">
        <v>259</v>
      </c>
      <c r="P14" s="169" t="s">
        <v>259</v>
      </c>
      <c r="Q14" s="169" t="s">
        <v>259</v>
      </c>
      <c r="R14" s="169" t="s">
        <v>259</v>
      </c>
      <c r="S14" s="169" t="s">
        <v>259</v>
      </c>
      <c r="T14" s="169" t="s">
        <v>259</v>
      </c>
      <c r="U14" s="169" t="s">
        <v>259</v>
      </c>
      <c r="V14" s="169" t="s">
        <v>259</v>
      </c>
      <c r="W14" s="169" t="s">
        <v>259</v>
      </c>
      <c r="X14" s="169" t="s">
        <v>259</v>
      </c>
      <c r="Y14" s="169" t="s">
        <v>259</v>
      </c>
      <c r="Z14" s="169" t="s">
        <v>259</v>
      </c>
      <c r="AA14" s="169" t="s">
        <v>259</v>
      </c>
      <c r="AB14" s="169" t="s">
        <v>259</v>
      </c>
      <c r="AC14" s="169" t="s">
        <v>259</v>
      </c>
      <c r="AD14" s="169" t="s">
        <v>259</v>
      </c>
      <c r="AE14" s="169" t="s">
        <v>259</v>
      </c>
      <c r="AF14" s="169" t="s">
        <v>259</v>
      </c>
      <c r="AG14" s="169" t="s">
        <v>259</v>
      </c>
      <c r="AH14" s="169" t="s">
        <v>259</v>
      </c>
      <c r="AI14" s="169" t="s">
        <v>259</v>
      </c>
      <c r="AJ14" s="169" t="s">
        <v>259</v>
      </c>
      <c r="AK14" s="169" t="s">
        <v>259</v>
      </c>
      <c r="AL14" s="169" t="s">
        <v>259</v>
      </c>
      <c r="AM14" s="169" t="s">
        <v>259</v>
      </c>
      <c r="AN14" s="169" t="s">
        <v>259</v>
      </c>
      <c r="AO14" s="169" t="s">
        <v>259</v>
      </c>
      <c r="AP14" s="169" t="s">
        <v>259</v>
      </c>
      <c r="AQ14" s="169" t="s">
        <v>259</v>
      </c>
      <c r="AR14" s="169" t="s">
        <v>259</v>
      </c>
      <c r="AS14" s="169" t="s">
        <v>259</v>
      </c>
      <c r="AT14" s="169" t="s">
        <v>259</v>
      </c>
      <c r="AU14" s="169" t="s">
        <v>259</v>
      </c>
      <c r="AV14" s="169" t="s">
        <v>259</v>
      </c>
      <c r="AW14" s="169" t="s">
        <v>259</v>
      </c>
      <c r="AX14" s="169" t="s">
        <v>259</v>
      </c>
      <c r="AY14" s="169" t="s">
        <v>259</v>
      </c>
      <c r="AZ14" s="169" t="s">
        <v>259</v>
      </c>
      <c r="BA14" s="169" t="s">
        <v>259</v>
      </c>
      <c r="BB14" s="169" t="s">
        <v>259</v>
      </c>
      <c r="BC14" s="169" t="s">
        <v>259</v>
      </c>
      <c r="BD14" s="169" t="s">
        <v>259</v>
      </c>
      <c r="BE14" s="169" t="s">
        <v>259</v>
      </c>
      <c r="BF14" s="169" t="s">
        <v>259</v>
      </c>
      <c r="BG14" s="169" t="s">
        <v>259</v>
      </c>
      <c r="BH14" s="169" t="s">
        <v>259</v>
      </c>
      <c r="BI14" s="169" t="s">
        <v>259</v>
      </c>
      <c r="BJ14" s="169" t="s">
        <v>259</v>
      </c>
      <c r="BK14" s="169" t="s">
        <v>259</v>
      </c>
      <c r="BL14" s="169" t="s">
        <v>259</v>
      </c>
      <c r="BM14" s="169" t="s">
        <v>259</v>
      </c>
      <c r="BN14" s="169" t="s">
        <v>259</v>
      </c>
      <c r="BO14" s="169" t="s">
        <v>259</v>
      </c>
      <c r="BP14" s="169" t="s">
        <v>259</v>
      </c>
      <c r="BQ14" s="169" t="s">
        <v>259</v>
      </c>
      <c r="BR14" s="169" t="s">
        <v>259</v>
      </c>
      <c r="BS14" s="169" t="s">
        <v>259</v>
      </c>
      <c r="BT14" s="169" t="s">
        <v>259</v>
      </c>
      <c r="BU14" s="169" t="s">
        <v>259</v>
      </c>
      <c r="BV14" s="169" t="s">
        <v>259</v>
      </c>
      <c r="BW14" s="169" t="s">
        <v>259</v>
      </c>
      <c r="BX14" s="169" t="s">
        <v>259</v>
      </c>
      <c r="BY14" s="169" t="s">
        <v>259</v>
      </c>
      <c r="BZ14" s="169" t="s">
        <v>259</v>
      </c>
      <c r="CA14" s="169" t="s">
        <v>259</v>
      </c>
      <c r="CB14" s="169" t="s">
        <v>259</v>
      </c>
      <c r="CC14" s="169" t="s">
        <v>259</v>
      </c>
      <c r="CD14" s="169" t="s">
        <v>259</v>
      </c>
      <c r="CE14" s="169" t="s">
        <v>259</v>
      </c>
      <c r="CF14" s="169" t="s">
        <v>259</v>
      </c>
      <c r="CG14" s="169" t="s">
        <v>259</v>
      </c>
      <c r="CH14" s="169" t="s">
        <v>259</v>
      </c>
      <c r="CI14" s="169" t="s">
        <v>259</v>
      </c>
      <c r="CJ14" s="169" t="s">
        <v>259</v>
      </c>
      <c r="CK14" s="169" t="s">
        <v>259</v>
      </c>
      <c r="CL14" s="169" t="s">
        <v>259</v>
      </c>
      <c r="CM14" s="169" t="s">
        <v>259</v>
      </c>
      <c r="CN14" s="169" t="s">
        <v>259</v>
      </c>
      <c r="CO14" s="169" t="s">
        <v>259</v>
      </c>
      <c r="CP14" s="169" t="s">
        <v>259</v>
      </c>
      <c r="CQ14" s="169" t="s">
        <v>259</v>
      </c>
      <c r="CR14" s="169" t="s">
        <v>259</v>
      </c>
      <c r="CS14" s="169" t="s">
        <v>259</v>
      </c>
      <c r="CT14" s="169" t="s">
        <v>259</v>
      </c>
      <c r="CU14" s="169" t="s">
        <v>259</v>
      </c>
      <c r="CV14" s="169" t="s">
        <v>259</v>
      </c>
      <c r="CW14" s="169" t="s">
        <v>259</v>
      </c>
      <c r="CX14" s="169" t="s">
        <v>259</v>
      </c>
      <c r="CY14" s="169" t="s">
        <v>259</v>
      </c>
      <c r="CZ14" s="169" t="s">
        <v>259</v>
      </c>
      <c r="DA14" s="169" t="s">
        <v>259</v>
      </c>
      <c r="DB14" s="169" t="s">
        <v>259</v>
      </c>
      <c r="DC14" s="169" t="s">
        <v>259</v>
      </c>
      <c r="DD14" s="169" t="s">
        <v>259</v>
      </c>
      <c r="DE14" s="169" t="s">
        <v>259</v>
      </c>
      <c r="DF14" s="169" t="s">
        <v>259</v>
      </c>
      <c r="DG14" s="169" t="s">
        <v>259</v>
      </c>
      <c r="DH14" s="169" t="s">
        <v>259</v>
      </c>
      <c r="DI14" s="169" t="s">
        <v>259</v>
      </c>
      <c r="DJ14" s="169" t="s">
        <v>259</v>
      </c>
      <c r="DK14" s="169" t="s">
        <v>259</v>
      </c>
      <c r="DL14" s="169" t="s">
        <v>259</v>
      </c>
      <c r="DM14" s="169" t="s">
        <v>259</v>
      </c>
      <c r="DN14" s="169" t="s">
        <v>259</v>
      </c>
      <c r="DO14" s="169" t="s">
        <v>259</v>
      </c>
      <c r="DP14" s="169" t="s">
        <v>259</v>
      </c>
      <c r="DQ14" s="169" t="s">
        <v>259</v>
      </c>
      <c r="DR14" s="169" t="s">
        <v>259</v>
      </c>
      <c r="DS14" s="169" t="s">
        <v>259</v>
      </c>
      <c r="DT14" s="169" t="s">
        <v>259</v>
      </c>
    </row>
    <row r="15" spans="2:124" x14ac:dyDescent="0.3">
      <c r="B15" t="str">
        <f>'IMPORT SCHLIESSERDATEN'!B14</f>
        <v>TS 92 G XEA EN 1-4</v>
      </c>
      <c r="D15" s="169" t="s">
        <v>259</v>
      </c>
      <c r="E15" s="169" t="s">
        <v>259</v>
      </c>
      <c r="F15" s="169" t="s">
        <v>259</v>
      </c>
      <c r="G15" s="169" t="s">
        <v>259</v>
      </c>
      <c r="H15" s="169" t="s">
        <v>259</v>
      </c>
      <c r="I15" s="169" t="s">
        <v>259</v>
      </c>
      <c r="J15" s="169" t="s">
        <v>259</v>
      </c>
      <c r="K15" s="169" t="s">
        <v>259</v>
      </c>
      <c r="L15" s="169" t="s">
        <v>259</v>
      </c>
      <c r="M15" s="169" t="s">
        <v>259</v>
      </c>
      <c r="N15" s="169" t="s">
        <v>259</v>
      </c>
      <c r="O15" s="169" t="s">
        <v>259</v>
      </c>
      <c r="P15" s="169" t="s">
        <v>259</v>
      </c>
      <c r="Q15" s="169" t="s">
        <v>259</v>
      </c>
      <c r="R15" s="169" t="s">
        <v>259</v>
      </c>
      <c r="S15" s="169" t="s">
        <v>259</v>
      </c>
      <c r="T15" s="169" t="s">
        <v>259</v>
      </c>
      <c r="U15" s="169" t="s">
        <v>259</v>
      </c>
      <c r="V15" s="169" t="s">
        <v>259</v>
      </c>
      <c r="W15" s="169" t="s">
        <v>259</v>
      </c>
      <c r="X15" s="169" t="s">
        <v>259</v>
      </c>
      <c r="Y15" s="169" t="s">
        <v>259</v>
      </c>
      <c r="Z15" s="169" t="s">
        <v>259</v>
      </c>
      <c r="AA15" s="169" t="s">
        <v>259</v>
      </c>
      <c r="AB15" s="169" t="s">
        <v>259</v>
      </c>
      <c r="AC15" s="169" t="s">
        <v>259</v>
      </c>
      <c r="AD15" s="169" t="s">
        <v>259</v>
      </c>
      <c r="AE15" s="169" t="s">
        <v>259</v>
      </c>
      <c r="AF15" s="169" t="s">
        <v>259</v>
      </c>
      <c r="AG15" s="169" t="s">
        <v>259</v>
      </c>
      <c r="AH15" s="169" t="s">
        <v>259</v>
      </c>
      <c r="AI15" s="169" t="s">
        <v>259</v>
      </c>
      <c r="AJ15" s="169" t="s">
        <v>259</v>
      </c>
      <c r="AK15" s="169" t="s">
        <v>259</v>
      </c>
      <c r="AL15" s="169" t="s">
        <v>259</v>
      </c>
      <c r="AM15" s="169" t="s">
        <v>259</v>
      </c>
      <c r="AN15" s="169" t="s">
        <v>259</v>
      </c>
      <c r="AO15" s="169" t="s">
        <v>259</v>
      </c>
      <c r="AP15" s="169" t="s">
        <v>259</v>
      </c>
      <c r="AQ15" s="169" t="s">
        <v>259</v>
      </c>
      <c r="AR15" s="169" t="s">
        <v>259</v>
      </c>
      <c r="AS15" s="169" t="s">
        <v>259</v>
      </c>
      <c r="AT15" s="169" t="s">
        <v>259</v>
      </c>
      <c r="AU15" s="169" t="s">
        <v>259</v>
      </c>
      <c r="AV15" s="169" t="s">
        <v>259</v>
      </c>
      <c r="AW15" s="169" t="s">
        <v>259</v>
      </c>
      <c r="AX15" s="169" t="s">
        <v>259</v>
      </c>
      <c r="AY15" s="169" t="s">
        <v>259</v>
      </c>
      <c r="AZ15" s="169" t="s">
        <v>259</v>
      </c>
      <c r="BA15" s="169" t="s">
        <v>259</v>
      </c>
      <c r="BB15" s="169" t="s">
        <v>259</v>
      </c>
      <c r="BC15" s="169" t="s">
        <v>259</v>
      </c>
      <c r="BD15" s="169" t="s">
        <v>259</v>
      </c>
      <c r="BE15" s="169" t="s">
        <v>259</v>
      </c>
      <c r="BF15" s="169" t="s">
        <v>259</v>
      </c>
      <c r="BG15" s="169" t="s">
        <v>259</v>
      </c>
      <c r="BH15" s="169" t="s">
        <v>259</v>
      </c>
      <c r="BI15" s="169" t="s">
        <v>259</v>
      </c>
      <c r="BJ15" s="169" t="s">
        <v>259</v>
      </c>
      <c r="BK15" s="169" t="s">
        <v>259</v>
      </c>
      <c r="BL15" s="169" t="s">
        <v>259</v>
      </c>
      <c r="BM15" s="169" t="s">
        <v>259</v>
      </c>
      <c r="BN15" s="169" t="s">
        <v>259</v>
      </c>
      <c r="BO15" s="169" t="s">
        <v>259</v>
      </c>
      <c r="BP15" s="169" t="s">
        <v>259</v>
      </c>
      <c r="BQ15" s="169" t="s">
        <v>259</v>
      </c>
      <c r="BR15" s="169" t="s">
        <v>259</v>
      </c>
      <c r="BS15" s="169" t="s">
        <v>259</v>
      </c>
      <c r="BT15" s="169" t="s">
        <v>259</v>
      </c>
      <c r="BU15" s="169" t="s">
        <v>259</v>
      </c>
      <c r="BV15" s="169" t="s">
        <v>259</v>
      </c>
      <c r="BW15" s="169" t="s">
        <v>259</v>
      </c>
      <c r="BX15" s="169" t="s">
        <v>259</v>
      </c>
      <c r="BY15" s="169" t="s">
        <v>259</v>
      </c>
      <c r="BZ15" s="169" t="s">
        <v>259</v>
      </c>
      <c r="CA15" s="169" t="s">
        <v>259</v>
      </c>
      <c r="CB15" s="169" t="s">
        <v>259</v>
      </c>
      <c r="CC15" s="169" t="s">
        <v>259</v>
      </c>
      <c r="CD15" s="169" t="s">
        <v>259</v>
      </c>
      <c r="CE15" s="169" t="s">
        <v>259</v>
      </c>
      <c r="CF15" s="169" t="s">
        <v>259</v>
      </c>
      <c r="CG15" s="169" t="s">
        <v>259</v>
      </c>
      <c r="CH15" s="169" t="s">
        <v>259</v>
      </c>
      <c r="CI15" s="169" t="s">
        <v>259</v>
      </c>
      <c r="CJ15" s="169" t="s">
        <v>259</v>
      </c>
      <c r="CK15" s="169" t="s">
        <v>259</v>
      </c>
      <c r="CL15" s="169" t="s">
        <v>259</v>
      </c>
      <c r="CM15" s="169" t="s">
        <v>259</v>
      </c>
      <c r="CN15" s="169" t="s">
        <v>259</v>
      </c>
      <c r="CO15" s="169" t="s">
        <v>259</v>
      </c>
      <c r="CP15" s="169" t="s">
        <v>259</v>
      </c>
      <c r="CQ15" s="169" t="s">
        <v>259</v>
      </c>
      <c r="CR15" s="169" t="s">
        <v>259</v>
      </c>
      <c r="CS15" s="169" t="s">
        <v>259</v>
      </c>
      <c r="CT15" s="169" t="s">
        <v>259</v>
      </c>
      <c r="CU15" s="169" t="s">
        <v>259</v>
      </c>
      <c r="CV15" s="169" t="s">
        <v>259</v>
      </c>
      <c r="CW15" s="169" t="s">
        <v>259</v>
      </c>
      <c r="CX15" s="169" t="s">
        <v>259</v>
      </c>
      <c r="CY15" s="169" t="s">
        <v>259</v>
      </c>
      <c r="CZ15" s="169" t="s">
        <v>259</v>
      </c>
      <c r="DA15" s="169" t="s">
        <v>259</v>
      </c>
      <c r="DB15" s="169" t="s">
        <v>259</v>
      </c>
      <c r="DC15" s="169" t="s">
        <v>259</v>
      </c>
      <c r="DD15" s="169" t="s">
        <v>259</v>
      </c>
      <c r="DE15" s="169" t="s">
        <v>259</v>
      </c>
      <c r="DF15" s="169" t="s">
        <v>259</v>
      </c>
      <c r="DG15" s="169" t="s">
        <v>259</v>
      </c>
      <c r="DH15" s="169" t="s">
        <v>259</v>
      </c>
      <c r="DI15" s="169" t="s">
        <v>259</v>
      </c>
      <c r="DJ15" s="169" t="s">
        <v>259</v>
      </c>
      <c r="DK15" s="169" t="s">
        <v>259</v>
      </c>
      <c r="DL15" s="169" t="s">
        <v>259</v>
      </c>
      <c r="DM15" s="169" t="s">
        <v>259</v>
      </c>
      <c r="DN15" s="169" t="s">
        <v>259</v>
      </c>
      <c r="DO15" s="169" t="s">
        <v>259</v>
      </c>
      <c r="DP15" s="169" t="s">
        <v>259</v>
      </c>
      <c r="DQ15" s="169" t="s">
        <v>259</v>
      </c>
      <c r="DR15" s="169" t="s">
        <v>259</v>
      </c>
      <c r="DS15" s="169" t="s">
        <v>259</v>
      </c>
      <c r="DT15" s="169" t="s">
        <v>259</v>
      </c>
    </row>
    <row r="16" spans="2:124" x14ac:dyDescent="0.3">
      <c r="B16" t="str">
        <f>'IMPORT SCHLIESSERDATEN'!B15</f>
        <v>TS 92 G RF XEA EN 1-4</v>
      </c>
      <c r="D16" s="169" t="s">
        <v>259</v>
      </c>
      <c r="E16" s="169" t="s">
        <v>259</v>
      </c>
      <c r="F16" s="169" t="s">
        <v>259</v>
      </c>
      <c r="G16" s="169" t="s">
        <v>259</v>
      </c>
      <c r="H16" s="169" t="s">
        <v>259</v>
      </c>
      <c r="I16" s="169" t="s">
        <v>259</v>
      </c>
      <c r="J16" s="169" t="s">
        <v>259</v>
      </c>
      <c r="K16" s="169" t="s">
        <v>259</v>
      </c>
      <c r="L16" s="169" t="s">
        <v>259</v>
      </c>
      <c r="M16" s="169" t="s">
        <v>259</v>
      </c>
      <c r="N16" s="169" t="s">
        <v>259</v>
      </c>
      <c r="O16" s="169" t="s">
        <v>259</v>
      </c>
      <c r="P16" s="169" t="s">
        <v>259</v>
      </c>
      <c r="Q16" s="169" t="s">
        <v>259</v>
      </c>
      <c r="R16" s="169" t="s">
        <v>259</v>
      </c>
      <c r="S16" s="169" t="s">
        <v>259</v>
      </c>
      <c r="T16" s="169" t="s">
        <v>259</v>
      </c>
      <c r="U16" s="169" t="s">
        <v>1995</v>
      </c>
      <c r="V16" s="169" t="s">
        <v>259</v>
      </c>
      <c r="W16" s="169" t="s">
        <v>259</v>
      </c>
      <c r="X16" s="169" t="s">
        <v>259</v>
      </c>
      <c r="Y16" s="169" t="s">
        <v>259</v>
      </c>
      <c r="Z16" s="169" t="s">
        <v>259</v>
      </c>
      <c r="AA16" s="169" t="s">
        <v>259</v>
      </c>
      <c r="AB16" s="169" t="s">
        <v>259</v>
      </c>
      <c r="AC16" s="169" t="s">
        <v>259</v>
      </c>
      <c r="AD16" s="169" t="s">
        <v>259</v>
      </c>
      <c r="AE16" s="169" t="s">
        <v>259</v>
      </c>
      <c r="AF16" s="169" t="s">
        <v>259</v>
      </c>
      <c r="AG16" s="169" t="s">
        <v>259</v>
      </c>
      <c r="AH16" s="169" t="s">
        <v>259</v>
      </c>
      <c r="AI16" s="169" t="s">
        <v>259</v>
      </c>
      <c r="AJ16" s="169" t="s">
        <v>259</v>
      </c>
      <c r="AK16" s="169" t="s">
        <v>259</v>
      </c>
      <c r="AL16" s="169" t="s">
        <v>259</v>
      </c>
      <c r="AM16" s="169" t="s">
        <v>259</v>
      </c>
      <c r="AN16" s="169" t="s">
        <v>259</v>
      </c>
      <c r="AO16" s="169" t="s">
        <v>259</v>
      </c>
      <c r="AP16" s="169" t="s">
        <v>259</v>
      </c>
      <c r="AQ16" s="169" t="s">
        <v>259</v>
      </c>
      <c r="AR16" s="169" t="s">
        <v>259</v>
      </c>
      <c r="AS16" s="169" t="s">
        <v>259</v>
      </c>
      <c r="AT16" s="169" t="s">
        <v>259</v>
      </c>
      <c r="AU16" s="169" t="s">
        <v>259</v>
      </c>
      <c r="AV16" s="169" t="s">
        <v>259</v>
      </c>
      <c r="AW16" s="169" t="s">
        <v>259</v>
      </c>
      <c r="AX16" s="169" t="s">
        <v>259</v>
      </c>
      <c r="AY16" s="169" t="s">
        <v>259</v>
      </c>
      <c r="AZ16" s="169" t="s">
        <v>259</v>
      </c>
      <c r="BA16" s="169" t="s">
        <v>259</v>
      </c>
      <c r="BB16" s="169" t="s">
        <v>259</v>
      </c>
      <c r="BC16" s="169" t="s">
        <v>259</v>
      </c>
      <c r="BD16" s="169" t="s">
        <v>259</v>
      </c>
      <c r="BE16" s="169" t="s">
        <v>259</v>
      </c>
      <c r="BF16" s="169" t="s">
        <v>259</v>
      </c>
      <c r="BG16" s="169" t="s">
        <v>259</v>
      </c>
      <c r="BH16" s="169" t="s">
        <v>259</v>
      </c>
      <c r="BI16" s="169" t="s">
        <v>259</v>
      </c>
      <c r="BJ16" s="169" t="s">
        <v>259</v>
      </c>
      <c r="BK16" s="169" t="s">
        <v>259</v>
      </c>
      <c r="BL16" s="169" t="s">
        <v>259</v>
      </c>
      <c r="BM16" s="169" t="s">
        <v>259</v>
      </c>
      <c r="BN16" s="169" t="s">
        <v>259</v>
      </c>
      <c r="BO16" s="169" t="s">
        <v>259</v>
      </c>
      <c r="BP16" s="169" t="s">
        <v>259</v>
      </c>
      <c r="BQ16" s="169" t="s">
        <v>259</v>
      </c>
      <c r="BR16" s="169" t="s">
        <v>259</v>
      </c>
      <c r="BS16" s="169" t="s">
        <v>259</v>
      </c>
      <c r="BT16" s="169" t="s">
        <v>259</v>
      </c>
      <c r="BU16" s="169" t="s">
        <v>259</v>
      </c>
      <c r="BV16" s="169" t="s">
        <v>259</v>
      </c>
      <c r="BW16" s="169" t="s">
        <v>259</v>
      </c>
      <c r="BX16" s="169" t="s">
        <v>259</v>
      </c>
      <c r="BY16" s="169" t="s">
        <v>259</v>
      </c>
      <c r="BZ16" s="169" t="s">
        <v>259</v>
      </c>
      <c r="CA16" s="169" t="s">
        <v>259</v>
      </c>
      <c r="CB16" s="169" t="s">
        <v>259</v>
      </c>
      <c r="CC16" s="169" t="s">
        <v>259</v>
      </c>
      <c r="CD16" s="169" t="s">
        <v>259</v>
      </c>
      <c r="CE16" s="169" t="s">
        <v>259</v>
      </c>
      <c r="CF16" s="169" t="s">
        <v>259</v>
      </c>
      <c r="CG16" s="169" t="s">
        <v>259</v>
      </c>
      <c r="CH16" s="169" t="s">
        <v>259</v>
      </c>
      <c r="CI16" s="169" t="s">
        <v>259</v>
      </c>
      <c r="CJ16" s="169" t="s">
        <v>259</v>
      </c>
      <c r="CK16" s="169" t="s">
        <v>259</v>
      </c>
      <c r="CL16" s="169" t="s">
        <v>259</v>
      </c>
      <c r="CM16" s="169" t="s">
        <v>259</v>
      </c>
      <c r="CN16" s="169" t="s">
        <v>259</v>
      </c>
      <c r="CO16" s="169" t="s">
        <v>259</v>
      </c>
      <c r="CP16" s="169" t="s">
        <v>259</v>
      </c>
      <c r="CQ16" s="169" t="s">
        <v>259</v>
      </c>
      <c r="CR16" s="169" t="s">
        <v>259</v>
      </c>
      <c r="CS16" s="169" t="s">
        <v>259</v>
      </c>
      <c r="CT16" s="169" t="s">
        <v>259</v>
      </c>
      <c r="CU16" s="169" t="s">
        <v>259</v>
      </c>
      <c r="CV16" s="169" t="s">
        <v>259</v>
      </c>
      <c r="CW16" s="169" t="s">
        <v>259</v>
      </c>
      <c r="CX16" s="169" t="s">
        <v>259</v>
      </c>
      <c r="CY16" s="169" t="s">
        <v>259</v>
      </c>
      <c r="CZ16" s="169" t="s">
        <v>259</v>
      </c>
      <c r="DA16" s="169" t="s">
        <v>259</v>
      </c>
      <c r="DB16" s="169" t="s">
        <v>259</v>
      </c>
      <c r="DC16" s="169" t="s">
        <v>259</v>
      </c>
      <c r="DD16" s="169" t="s">
        <v>259</v>
      </c>
      <c r="DE16" s="169" t="s">
        <v>259</v>
      </c>
      <c r="DF16" s="169" t="s">
        <v>259</v>
      </c>
      <c r="DG16" s="169" t="s">
        <v>259</v>
      </c>
      <c r="DH16" s="169" t="s">
        <v>259</v>
      </c>
      <c r="DI16" s="169" t="s">
        <v>259</v>
      </c>
      <c r="DJ16" s="169" t="s">
        <v>259</v>
      </c>
      <c r="DK16" s="169" t="s">
        <v>259</v>
      </c>
      <c r="DL16" s="169" t="s">
        <v>259</v>
      </c>
      <c r="DM16" s="169" t="s">
        <v>259</v>
      </c>
      <c r="DN16" s="169" t="s">
        <v>259</v>
      </c>
      <c r="DO16" s="169" t="s">
        <v>259</v>
      </c>
      <c r="DP16" s="169" t="s">
        <v>259</v>
      </c>
      <c r="DQ16" s="169" t="s">
        <v>259</v>
      </c>
      <c r="DR16" s="169" t="s">
        <v>259</v>
      </c>
      <c r="DS16" s="169" t="s">
        <v>259</v>
      </c>
      <c r="DT16" s="169" t="s">
        <v>259</v>
      </c>
    </row>
    <row r="17" spans="2:124" x14ac:dyDescent="0.3">
      <c r="B17" t="str">
        <f>'IMPORT SCHLIESSERDATEN'!B16</f>
        <v>TS 92 G EN 1-4</v>
      </c>
      <c r="D17" s="169" t="s">
        <v>259</v>
      </c>
      <c r="E17" s="169" t="s">
        <v>259</v>
      </c>
      <c r="F17" s="169" t="s">
        <v>259</v>
      </c>
      <c r="G17" s="169" t="s">
        <v>259</v>
      </c>
      <c r="H17" s="169" t="s">
        <v>259</v>
      </c>
      <c r="I17" s="169" t="s">
        <v>259</v>
      </c>
      <c r="J17" s="169" t="s">
        <v>259</v>
      </c>
      <c r="K17" s="169" t="s">
        <v>259</v>
      </c>
      <c r="L17" s="169" t="s">
        <v>259</v>
      </c>
      <c r="M17" s="169" t="s">
        <v>259</v>
      </c>
      <c r="N17" s="169" t="s">
        <v>259</v>
      </c>
      <c r="O17" s="169" t="s">
        <v>259</v>
      </c>
      <c r="P17" s="169" t="s">
        <v>259</v>
      </c>
      <c r="Q17" s="169" t="s">
        <v>259</v>
      </c>
      <c r="R17" s="169" t="s">
        <v>259</v>
      </c>
      <c r="S17" s="169" t="s">
        <v>259</v>
      </c>
      <c r="T17" s="169" t="s">
        <v>259</v>
      </c>
      <c r="U17" s="169" t="s">
        <v>259</v>
      </c>
      <c r="V17" s="169" t="s">
        <v>259</v>
      </c>
      <c r="W17" s="169" t="s">
        <v>259</v>
      </c>
      <c r="X17" s="169" t="s">
        <v>259</v>
      </c>
      <c r="Y17" s="169" t="s">
        <v>259</v>
      </c>
      <c r="Z17" s="169" t="s">
        <v>259</v>
      </c>
      <c r="AA17" s="169" t="s">
        <v>259</v>
      </c>
      <c r="AB17" s="169" t="s">
        <v>259</v>
      </c>
      <c r="AC17" s="169" t="s">
        <v>259</v>
      </c>
      <c r="AD17" s="169" t="s">
        <v>259</v>
      </c>
      <c r="AE17" s="169" t="s">
        <v>259</v>
      </c>
      <c r="AF17" s="169" t="s">
        <v>259</v>
      </c>
      <c r="AG17" s="169" t="s">
        <v>259</v>
      </c>
      <c r="AH17" s="169" t="s">
        <v>259</v>
      </c>
      <c r="AI17" s="169" t="s">
        <v>259</v>
      </c>
      <c r="AJ17" s="169" t="s">
        <v>259</v>
      </c>
      <c r="AK17" s="169" t="s">
        <v>259</v>
      </c>
      <c r="AL17" s="169" t="s">
        <v>259</v>
      </c>
      <c r="AM17" s="169" t="s">
        <v>259</v>
      </c>
      <c r="AN17" s="169" t="s">
        <v>259</v>
      </c>
      <c r="AO17" s="169" t="s">
        <v>259</v>
      </c>
      <c r="AP17" s="169" t="s">
        <v>259</v>
      </c>
      <c r="AQ17" s="169" t="s">
        <v>259</v>
      </c>
      <c r="AR17" s="169" t="s">
        <v>259</v>
      </c>
      <c r="AS17" s="169" t="s">
        <v>259</v>
      </c>
      <c r="AT17" s="169" t="s">
        <v>259</v>
      </c>
      <c r="AU17" s="169" t="s">
        <v>259</v>
      </c>
      <c r="AV17" s="169" t="s">
        <v>259</v>
      </c>
      <c r="AW17" s="169" t="s">
        <v>259</v>
      </c>
      <c r="AX17" s="169" t="s">
        <v>259</v>
      </c>
      <c r="AY17" s="169" t="s">
        <v>259</v>
      </c>
      <c r="AZ17" s="169" t="s">
        <v>259</v>
      </c>
      <c r="BA17" s="169" t="s">
        <v>259</v>
      </c>
      <c r="BB17" s="169" t="s">
        <v>259</v>
      </c>
      <c r="BC17" s="169" t="s">
        <v>259</v>
      </c>
      <c r="BD17" s="169" t="s">
        <v>259</v>
      </c>
      <c r="BE17" s="169" t="s">
        <v>259</v>
      </c>
      <c r="BF17" s="169" t="s">
        <v>259</v>
      </c>
      <c r="BG17" s="169" t="s">
        <v>259</v>
      </c>
      <c r="BH17" s="169" t="s">
        <v>259</v>
      </c>
      <c r="BI17" s="169" t="s">
        <v>259</v>
      </c>
      <c r="BJ17" s="169" t="s">
        <v>259</v>
      </c>
      <c r="BK17" s="169" t="s">
        <v>259</v>
      </c>
      <c r="BL17" s="169" t="s">
        <v>259</v>
      </c>
      <c r="BM17" s="169" t="s">
        <v>259</v>
      </c>
      <c r="BN17" s="169" t="s">
        <v>259</v>
      </c>
      <c r="BO17" s="169" t="s">
        <v>259</v>
      </c>
      <c r="BP17" s="169" t="s">
        <v>259</v>
      </c>
      <c r="BQ17" s="169" t="s">
        <v>259</v>
      </c>
      <c r="BR17" s="169" t="s">
        <v>259</v>
      </c>
      <c r="BS17" s="169" t="s">
        <v>259</v>
      </c>
      <c r="BT17" s="169" t="s">
        <v>259</v>
      </c>
      <c r="BU17" s="169" t="s">
        <v>259</v>
      </c>
      <c r="BV17" s="169" t="s">
        <v>259</v>
      </c>
      <c r="BW17" s="169" t="s">
        <v>259</v>
      </c>
      <c r="BX17" s="169" t="s">
        <v>259</v>
      </c>
      <c r="BY17" s="169" t="s">
        <v>259</v>
      </c>
      <c r="BZ17" s="169" t="s">
        <v>259</v>
      </c>
      <c r="CA17" s="169" t="s">
        <v>259</v>
      </c>
      <c r="CB17" s="169" t="s">
        <v>259</v>
      </c>
      <c r="CC17" s="169" t="s">
        <v>259</v>
      </c>
      <c r="CD17" s="169" t="s">
        <v>259</v>
      </c>
      <c r="CE17" s="169" t="s">
        <v>259</v>
      </c>
      <c r="CF17" s="169" t="s">
        <v>259</v>
      </c>
      <c r="CG17" s="169" t="s">
        <v>259</v>
      </c>
      <c r="CH17" s="169" t="s">
        <v>259</v>
      </c>
      <c r="CI17" s="169" t="s">
        <v>259</v>
      </c>
      <c r="CJ17" s="169" t="s">
        <v>259</v>
      </c>
      <c r="CK17" s="169" t="s">
        <v>259</v>
      </c>
      <c r="CL17" s="169" t="s">
        <v>259</v>
      </c>
      <c r="CM17" s="169" t="s">
        <v>259</v>
      </c>
      <c r="CN17" s="169" t="s">
        <v>259</v>
      </c>
      <c r="CO17" s="169" t="s">
        <v>259</v>
      </c>
      <c r="CP17" s="169" t="s">
        <v>259</v>
      </c>
      <c r="CQ17" s="169" t="s">
        <v>259</v>
      </c>
      <c r="CR17" s="169" t="s">
        <v>259</v>
      </c>
      <c r="CS17" s="169" t="s">
        <v>259</v>
      </c>
      <c r="CT17" s="169" t="s">
        <v>259</v>
      </c>
      <c r="CU17" s="169" t="s">
        <v>259</v>
      </c>
      <c r="CV17" s="169" t="s">
        <v>259</v>
      </c>
      <c r="CW17" s="169" t="s">
        <v>259</v>
      </c>
      <c r="CX17" s="169" t="s">
        <v>259</v>
      </c>
      <c r="CY17" s="169" t="s">
        <v>259</v>
      </c>
      <c r="CZ17" s="169" t="s">
        <v>259</v>
      </c>
      <c r="DA17" s="169" t="s">
        <v>259</v>
      </c>
      <c r="DB17" s="169" t="s">
        <v>259</v>
      </c>
      <c r="DC17" s="169" t="s">
        <v>259</v>
      </c>
      <c r="DD17" s="169" t="s">
        <v>259</v>
      </c>
      <c r="DE17" s="169" t="s">
        <v>259</v>
      </c>
      <c r="DF17" s="169" t="s">
        <v>259</v>
      </c>
      <c r="DG17" s="169" t="s">
        <v>259</v>
      </c>
      <c r="DH17" s="169" t="s">
        <v>259</v>
      </c>
      <c r="DI17" s="169" t="s">
        <v>259</v>
      </c>
      <c r="DJ17" s="169" t="s">
        <v>259</v>
      </c>
      <c r="DK17" s="169" t="s">
        <v>259</v>
      </c>
      <c r="DL17" s="169" t="s">
        <v>259</v>
      </c>
      <c r="DM17" s="169" t="s">
        <v>259</v>
      </c>
      <c r="DN17" s="169" t="s">
        <v>259</v>
      </c>
      <c r="DO17" s="169" t="s">
        <v>259</v>
      </c>
      <c r="DP17" s="169" t="s">
        <v>259</v>
      </c>
      <c r="DQ17" s="169" t="s">
        <v>259</v>
      </c>
      <c r="DR17" s="169" t="s">
        <v>259</v>
      </c>
      <c r="DS17" s="169" t="s">
        <v>259</v>
      </c>
      <c r="DT17" s="169" t="s">
        <v>259</v>
      </c>
    </row>
    <row r="18" spans="2:124" x14ac:dyDescent="0.3">
      <c r="B18" t="str">
        <f>'IMPORT SCHLIESSERDATEN'!B17</f>
        <v>TS 92 G RF EN 1-4</v>
      </c>
      <c r="D18" s="169" t="s">
        <v>259</v>
      </c>
      <c r="E18" s="169" t="s">
        <v>259</v>
      </c>
      <c r="F18" s="169" t="s">
        <v>259</v>
      </c>
      <c r="G18" s="169" t="s">
        <v>259</v>
      </c>
      <c r="H18" s="169" t="s">
        <v>259</v>
      </c>
      <c r="I18" s="169" t="s">
        <v>259</v>
      </c>
      <c r="J18" s="169" t="s">
        <v>259</v>
      </c>
      <c r="K18" s="169" t="s">
        <v>259</v>
      </c>
      <c r="L18" s="169" t="s">
        <v>259</v>
      </c>
      <c r="M18" s="169" t="s">
        <v>259</v>
      </c>
      <c r="N18" s="169" t="s">
        <v>259</v>
      </c>
      <c r="O18" s="169" t="s">
        <v>259</v>
      </c>
      <c r="P18" s="169" t="s">
        <v>259</v>
      </c>
      <c r="Q18" s="169" t="s">
        <v>259</v>
      </c>
      <c r="R18" s="169" t="s">
        <v>259</v>
      </c>
      <c r="S18" s="169" t="s">
        <v>259</v>
      </c>
      <c r="T18" s="169" t="s">
        <v>259</v>
      </c>
      <c r="U18" s="169" t="s">
        <v>1995</v>
      </c>
      <c r="V18" s="169" t="s">
        <v>259</v>
      </c>
      <c r="W18" s="169" t="s">
        <v>259</v>
      </c>
      <c r="X18" s="169" t="s">
        <v>259</v>
      </c>
      <c r="Y18" s="169" t="s">
        <v>259</v>
      </c>
      <c r="Z18" s="169" t="s">
        <v>259</v>
      </c>
      <c r="AA18" s="169" t="s">
        <v>259</v>
      </c>
      <c r="AB18" s="169" t="s">
        <v>259</v>
      </c>
      <c r="AC18" s="169" t="s">
        <v>259</v>
      </c>
      <c r="AD18" s="169" t="s">
        <v>259</v>
      </c>
      <c r="AE18" s="169" t="s">
        <v>259</v>
      </c>
      <c r="AF18" s="169" t="s">
        <v>259</v>
      </c>
      <c r="AG18" s="169" t="s">
        <v>259</v>
      </c>
      <c r="AH18" s="169" t="s">
        <v>259</v>
      </c>
      <c r="AI18" s="169" t="s">
        <v>259</v>
      </c>
      <c r="AJ18" s="169" t="s">
        <v>259</v>
      </c>
      <c r="AK18" s="169" t="s">
        <v>259</v>
      </c>
      <c r="AL18" s="169" t="s">
        <v>259</v>
      </c>
      <c r="AM18" s="169" t="s">
        <v>259</v>
      </c>
      <c r="AN18" s="169" t="s">
        <v>259</v>
      </c>
      <c r="AO18" s="169" t="s">
        <v>259</v>
      </c>
      <c r="AP18" s="169" t="s">
        <v>259</v>
      </c>
      <c r="AQ18" s="169" t="s">
        <v>259</v>
      </c>
      <c r="AR18" s="169" t="s">
        <v>259</v>
      </c>
      <c r="AS18" s="169" t="s">
        <v>259</v>
      </c>
      <c r="AT18" s="169" t="s">
        <v>259</v>
      </c>
      <c r="AU18" s="169" t="s">
        <v>259</v>
      </c>
      <c r="AV18" s="169" t="s">
        <v>259</v>
      </c>
      <c r="AW18" s="169" t="s">
        <v>259</v>
      </c>
      <c r="AX18" s="169" t="s">
        <v>259</v>
      </c>
      <c r="AY18" s="169" t="s">
        <v>259</v>
      </c>
      <c r="AZ18" s="169" t="s">
        <v>259</v>
      </c>
      <c r="BA18" s="169" t="s">
        <v>259</v>
      </c>
      <c r="BB18" s="169" t="s">
        <v>259</v>
      </c>
      <c r="BC18" s="169" t="s">
        <v>259</v>
      </c>
      <c r="BD18" s="169" t="s">
        <v>259</v>
      </c>
      <c r="BE18" s="169" t="s">
        <v>259</v>
      </c>
      <c r="BF18" s="169" t="s">
        <v>259</v>
      </c>
      <c r="BG18" s="169" t="s">
        <v>259</v>
      </c>
      <c r="BH18" s="169" t="s">
        <v>259</v>
      </c>
      <c r="BI18" s="169" t="s">
        <v>259</v>
      </c>
      <c r="BJ18" s="169" t="s">
        <v>259</v>
      </c>
      <c r="BK18" s="169" t="s">
        <v>259</v>
      </c>
      <c r="BL18" s="169" t="s">
        <v>259</v>
      </c>
      <c r="BM18" s="169" t="s">
        <v>259</v>
      </c>
      <c r="BN18" s="169" t="s">
        <v>259</v>
      </c>
      <c r="BO18" s="169" t="s">
        <v>259</v>
      </c>
      <c r="BP18" s="169" t="s">
        <v>259</v>
      </c>
      <c r="BQ18" s="169" t="s">
        <v>259</v>
      </c>
      <c r="BR18" s="169" t="s">
        <v>259</v>
      </c>
      <c r="BS18" s="169" t="s">
        <v>259</v>
      </c>
      <c r="BT18" s="169" t="s">
        <v>259</v>
      </c>
      <c r="BU18" s="169" t="s">
        <v>259</v>
      </c>
      <c r="BV18" s="169" t="s">
        <v>259</v>
      </c>
      <c r="BW18" s="169" t="s">
        <v>259</v>
      </c>
      <c r="BX18" s="169" t="s">
        <v>259</v>
      </c>
      <c r="BY18" s="169" t="s">
        <v>259</v>
      </c>
      <c r="BZ18" s="169" t="s">
        <v>259</v>
      </c>
      <c r="CA18" s="169" t="s">
        <v>259</v>
      </c>
      <c r="CB18" s="169" t="s">
        <v>259</v>
      </c>
      <c r="CC18" s="169" t="s">
        <v>259</v>
      </c>
      <c r="CD18" s="169" t="s">
        <v>259</v>
      </c>
      <c r="CE18" s="169" t="s">
        <v>259</v>
      </c>
      <c r="CF18" s="169" t="s">
        <v>259</v>
      </c>
      <c r="CG18" s="169" t="s">
        <v>259</v>
      </c>
      <c r="CH18" s="169" t="s">
        <v>259</v>
      </c>
      <c r="CI18" s="169" t="s">
        <v>259</v>
      </c>
      <c r="CJ18" s="169" t="s">
        <v>259</v>
      </c>
      <c r="CK18" s="169" t="s">
        <v>259</v>
      </c>
      <c r="CL18" s="169" t="s">
        <v>259</v>
      </c>
      <c r="CM18" s="169" t="s">
        <v>259</v>
      </c>
      <c r="CN18" s="169" t="s">
        <v>259</v>
      </c>
      <c r="CO18" s="169" t="s">
        <v>259</v>
      </c>
      <c r="CP18" s="169" t="s">
        <v>259</v>
      </c>
      <c r="CQ18" s="169" t="s">
        <v>259</v>
      </c>
      <c r="CR18" s="169" t="s">
        <v>259</v>
      </c>
      <c r="CS18" s="169" t="s">
        <v>259</v>
      </c>
      <c r="CT18" s="169" t="s">
        <v>259</v>
      </c>
      <c r="CU18" s="169" t="s">
        <v>259</v>
      </c>
      <c r="CV18" s="169" t="s">
        <v>259</v>
      </c>
      <c r="CW18" s="169" t="s">
        <v>259</v>
      </c>
      <c r="CX18" s="169" t="s">
        <v>259</v>
      </c>
      <c r="CY18" s="169" t="s">
        <v>259</v>
      </c>
      <c r="CZ18" s="169" t="s">
        <v>259</v>
      </c>
      <c r="DA18" s="169" t="s">
        <v>259</v>
      </c>
      <c r="DB18" s="169" t="s">
        <v>259</v>
      </c>
      <c r="DC18" s="169" t="s">
        <v>259</v>
      </c>
      <c r="DD18" s="169" t="s">
        <v>259</v>
      </c>
      <c r="DE18" s="169" t="s">
        <v>259</v>
      </c>
      <c r="DF18" s="169" t="s">
        <v>259</v>
      </c>
      <c r="DG18" s="169" t="s">
        <v>259</v>
      </c>
      <c r="DH18" s="169" t="s">
        <v>259</v>
      </c>
      <c r="DI18" s="169" t="s">
        <v>259</v>
      </c>
      <c r="DJ18" s="169" t="s">
        <v>259</v>
      </c>
      <c r="DK18" s="169" t="s">
        <v>259</v>
      </c>
      <c r="DL18" s="169" t="s">
        <v>259</v>
      </c>
      <c r="DM18" s="169" t="s">
        <v>259</v>
      </c>
      <c r="DN18" s="169" t="s">
        <v>259</v>
      </c>
      <c r="DO18" s="169" t="s">
        <v>259</v>
      </c>
      <c r="DP18" s="169" t="s">
        <v>259</v>
      </c>
      <c r="DQ18" s="169" t="s">
        <v>259</v>
      </c>
      <c r="DR18" s="169" t="s">
        <v>259</v>
      </c>
      <c r="DS18" s="169" t="s">
        <v>259</v>
      </c>
      <c r="DT18" s="169" t="s">
        <v>259</v>
      </c>
    </row>
    <row r="19" spans="2:124" x14ac:dyDescent="0.3">
      <c r="B19" t="str">
        <f>'IMPORT SCHLIESSERDATEN'!B18</f>
        <v>TS 93 EN 2-5</v>
      </c>
      <c r="D19" s="169" t="s">
        <v>259</v>
      </c>
      <c r="E19" s="169" t="s">
        <v>259</v>
      </c>
      <c r="F19" s="169" t="s">
        <v>259</v>
      </c>
      <c r="G19" s="169" t="s">
        <v>259</v>
      </c>
      <c r="H19" s="169" t="s">
        <v>259</v>
      </c>
      <c r="I19" s="169" t="s">
        <v>259</v>
      </c>
      <c r="J19" s="169" t="s">
        <v>259</v>
      </c>
      <c r="K19" s="169" t="s">
        <v>259</v>
      </c>
      <c r="L19" s="169" t="s">
        <v>259</v>
      </c>
      <c r="M19" s="169" t="s">
        <v>259</v>
      </c>
      <c r="N19" s="169" t="s">
        <v>259</v>
      </c>
      <c r="O19" s="169" t="s">
        <v>259</v>
      </c>
      <c r="P19" s="169" t="s">
        <v>259</v>
      </c>
      <c r="Q19" s="169" t="s">
        <v>259</v>
      </c>
      <c r="R19" s="169" t="s">
        <v>259</v>
      </c>
      <c r="S19" s="169" t="s">
        <v>259</v>
      </c>
      <c r="T19" s="169" t="s">
        <v>259</v>
      </c>
      <c r="U19" s="169" t="s">
        <v>259</v>
      </c>
      <c r="V19" s="169" t="s">
        <v>259</v>
      </c>
      <c r="W19" s="169" t="s">
        <v>259</v>
      </c>
      <c r="X19" s="169" t="s">
        <v>259</v>
      </c>
      <c r="Y19" s="169" t="s">
        <v>259</v>
      </c>
      <c r="Z19" s="169" t="s">
        <v>259</v>
      </c>
      <c r="AA19" s="169" t="s">
        <v>259</v>
      </c>
      <c r="AB19" s="169" t="s">
        <v>259</v>
      </c>
      <c r="AC19" s="169" t="s">
        <v>259</v>
      </c>
      <c r="AD19" s="169" t="s">
        <v>259</v>
      </c>
      <c r="AE19" s="169" t="s">
        <v>259</v>
      </c>
      <c r="AF19" s="169" t="s">
        <v>259</v>
      </c>
      <c r="AG19" s="169" t="s">
        <v>259</v>
      </c>
      <c r="AH19" s="169" t="s">
        <v>259</v>
      </c>
      <c r="AI19" s="169" t="s">
        <v>259</v>
      </c>
      <c r="AJ19" s="169" t="s">
        <v>259</v>
      </c>
      <c r="AK19" s="169" t="s">
        <v>259</v>
      </c>
      <c r="AL19" s="169" t="s">
        <v>259</v>
      </c>
      <c r="AM19" s="169" t="s">
        <v>259</v>
      </c>
      <c r="AN19" s="169" t="s">
        <v>259</v>
      </c>
      <c r="AO19" s="169" t="s">
        <v>259</v>
      </c>
      <c r="AP19" s="169" t="s">
        <v>259</v>
      </c>
      <c r="AQ19" s="169" t="s">
        <v>259</v>
      </c>
      <c r="AR19" s="169" t="s">
        <v>259</v>
      </c>
      <c r="AS19" s="169" t="s">
        <v>259</v>
      </c>
      <c r="AT19" s="169" t="s">
        <v>259</v>
      </c>
      <c r="AU19" s="169" t="s">
        <v>259</v>
      </c>
      <c r="AV19" s="169" t="s">
        <v>259</v>
      </c>
      <c r="AW19" s="169" t="s">
        <v>259</v>
      </c>
      <c r="AX19" s="169" t="s">
        <v>259</v>
      </c>
      <c r="AY19" s="169" t="s">
        <v>259</v>
      </c>
      <c r="AZ19" s="169" t="s">
        <v>259</v>
      </c>
      <c r="BA19" s="169" t="s">
        <v>259</v>
      </c>
      <c r="BB19" s="169" t="s">
        <v>259</v>
      </c>
      <c r="BC19" s="169" t="s">
        <v>259</v>
      </c>
      <c r="BD19" s="169" t="s">
        <v>259</v>
      </c>
      <c r="BE19" s="169" t="s">
        <v>259</v>
      </c>
      <c r="BF19" s="169" t="s">
        <v>259</v>
      </c>
      <c r="BG19" s="169" t="s">
        <v>259</v>
      </c>
      <c r="BH19" s="169" t="s">
        <v>259</v>
      </c>
      <c r="BI19" s="169" t="s">
        <v>259</v>
      </c>
      <c r="BJ19" s="169" t="s">
        <v>259</v>
      </c>
      <c r="BK19" s="169" t="s">
        <v>259</v>
      </c>
      <c r="BL19" s="169" t="s">
        <v>259</v>
      </c>
      <c r="BM19" s="169" t="s">
        <v>259</v>
      </c>
      <c r="BN19" s="169" t="s">
        <v>259</v>
      </c>
      <c r="BO19" s="169" t="s">
        <v>259</v>
      </c>
      <c r="BP19" s="169" t="s">
        <v>259</v>
      </c>
      <c r="BQ19" s="169" t="s">
        <v>259</v>
      </c>
      <c r="BR19" s="169" t="s">
        <v>259</v>
      </c>
      <c r="BS19" s="169" t="s">
        <v>259</v>
      </c>
      <c r="BT19" s="169" t="s">
        <v>259</v>
      </c>
      <c r="BU19" s="169" t="s">
        <v>259</v>
      </c>
      <c r="BV19" s="169" t="s">
        <v>259</v>
      </c>
      <c r="BW19" s="169" t="s">
        <v>259</v>
      </c>
      <c r="BX19" s="169" t="s">
        <v>259</v>
      </c>
      <c r="BY19" s="169" t="s">
        <v>259</v>
      </c>
      <c r="BZ19" s="169" t="s">
        <v>259</v>
      </c>
      <c r="CA19" s="169" t="s">
        <v>259</v>
      </c>
      <c r="CB19" s="169" t="s">
        <v>259</v>
      </c>
      <c r="CC19" s="169" t="s">
        <v>259</v>
      </c>
      <c r="CD19" s="169" t="s">
        <v>259</v>
      </c>
      <c r="CE19" s="169" t="s">
        <v>259</v>
      </c>
      <c r="CF19" s="169" t="s">
        <v>259</v>
      </c>
      <c r="CG19" s="169" t="s">
        <v>259</v>
      </c>
      <c r="CH19" s="169" t="s">
        <v>259</v>
      </c>
      <c r="CI19" s="169" t="s">
        <v>259</v>
      </c>
      <c r="CJ19" s="169" t="s">
        <v>259</v>
      </c>
      <c r="CK19" s="169" t="s">
        <v>259</v>
      </c>
      <c r="CL19" s="169" t="s">
        <v>259</v>
      </c>
      <c r="CM19" s="169" t="s">
        <v>259</v>
      </c>
      <c r="CN19" s="169" t="s">
        <v>259</v>
      </c>
      <c r="CO19" s="169" t="s">
        <v>259</v>
      </c>
      <c r="CP19" s="169" t="s">
        <v>259</v>
      </c>
      <c r="CQ19" s="169" t="s">
        <v>259</v>
      </c>
      <c r="CR19" s="169" t="s">
        <v>259</v>
      </c>
      <c r="CS19" s="169" t="s">
        <v>259</v>
      </c>
      <c r="CT19" s="169" t="s">
        <v>259</v>
      </c>
      <c r="CU19" s="169" t="s">
        <v>259</v>
      </c>
      <c r="CV19" s="169" t="s">
        <v>259</v>
      </c>
      <c r="CW19" s="169" t="s">
        <v>259</v>
      </c>
      <c r="CX19" s="169" t="s">
        <v>259</v>
      </c>
      <c r="CY19" s="169" t="s">
        <v>259</v>
      </c>
      <c r="CZ19" s="169" t="s">
        <v>259</v>
      </c>
      <c r="DA19" s="169" t="s">
        <v>259</v>
      </c>
      <c r="DB19" s="169" t="s">
        <v>259</v>
      </c>
      <c r="DC19" s="169" t="s">
        <v>259</v>
      </c>
      <c r="DD19" s="169" t="s">
        <v>259</v>
      </c>
      <c r="DE19" s="169" t="s">
        <v>259</v>
      </c>
      <c r="DF19" s="169" t="s">
        <v>259</v>
      </c>
      <c r="DG19" s="169" t="s">
        <v>259</v>
      </c>
      <c r="DH19" s="169" t="s">
        <v>259</v>
      </c>
      <c r="DI19" s="169" t="s">
        <v>259</v>
      </c>
      <c r="DJ19" s="169" t="s">
        <v>259</v>
      </c>
      <c r="DK19" s="169" t="s">
        <v>259</v>
      </c>
      <c r="DL19" s="169" t="s">
        <v>259</v>
      </c>
      <c r="DM19" s="169" t="s">
        <v>259</v>
      </c>
      <c r="DN19" s="169" t="s">
        <v>259</v>
      </c>
      <c r="DO19" s="169" t="s">
        <v>259</v>
      </c>
      <c r="DP19" s="169" t="s">
        <v>259</v>
      </c>
      <c r="DQ19" s="169" t="s">
        <v>259</v>
      </c>
      <c r="DR19" s="169" t="s">
        <v>259</v>
      </c>
      <c r="DS19" s="169" t="s">
        <v>259</v>
      </c>
      <c r="DT19" s="169" t="s">
        <v>259</v>
      </c>
    </row>
    <row r="20" spans="2:124" x14ac:dyDescent="0.3">
      <c r="B20" t="str">
        <f>'IMPORT SCHLIESSERDATEN'!B19</f>
        <v>TS 93 RF EN 2-5</v>
      </c>
      <c r="D20" s="169" t="s">
        <v>259</v>
      </c>
      <c r="E20" s="169" t="s">
        <v>259</v>
      </c>
      <c r="F20" s="169" t="s">
        <v>259</v>
      </c>
      <c r="G20" s="169" t="s">
        <v>259</v>
      </c>
      <c r="H20" s="169" t="s">
        <v>259</v>
      </c>
      <c r="I20" s="169" t="s">
        <v>259</v>
      </c>
      <c r="J20" s="169" t="s">
        <v>259</v>
      </c>
      <c r="K20" s="169" t="s">
        <v>259</v>
      </c>
      <c r="L20" s="169" t="s">
        <v>259</v>
      </c>
      <c r="M20" s="169" t="s">
        <v>259</v>
      </c>
      <c r="N20" s="169" t="s">
        <v>259</v>
      </c>
      <c r="O20" s="169" t="s">
        <v>259</v>
      </c>
      <c r="P20" s="169" t="s">
        <v>259</v>
      </c>
      <c r="Q20" s="169" t="s">
        <v>259</v>
      </c>
      <c r="R20" s="169" t="s">
        <v>259</v>
      </c>
      <c r="S20" s="169" t="s">
        <v>259</v>
      </c>
      <c r="T20" s="169" t="s">
        <v>259</v>
      </c>
      <c r="U20" s="169" t="s">
        <v>1995</v>
      </c>
      <c r="V20" s="169" t="s">
        <v>259</v>
      </c>
      <c r="W20" s="169" t="s">
        <v>259</v>
      </c>
      <c r="X20" s="169" t="s">
        <v>259</v>
      </c>
      <c r="Y20" s="169" t="s">
        <v>259</v>
      </c>
      <c r="Z20" s="169" t="s">
        <v>259</v>
      </c>
      <c r="AA20" s="169" t="s">
        <v>259</v>
      </c>
      <c r="AB20" s="169" t="s">
        <v>259</v>
      </c>
      <c r="AC20" s="169" t="s">
        <v>259</v>
      </c>
      <c r="AD20" s="169" t="s">
        <v>259</v>
      </c>
      <c r="AE20" s="169" t="s">
        <v>259</v>
      </c>
      <c r="AF20" s="169" t="s">
        <v>259</v>
      </c>
      <c r="AG20" s="169" t="s">
        <v>259</v>
      </c>
      <c r="AH20" s="169" t="s">
        <v>259</v>
      </c>
      <c r="AI20" s="169" t="s">
        <v>259</v>
      </c>
      <c r="AJ20" s="169" t="s">
        <v>259</v>
      </c>
      <c r="AK20" s="169" t="s">
        <v>259</v>
      </c>
      <c r="AL20" s="169" t="s">
        <v>259</v>
      </c>
      <c r="AM20" s="169" t="s">
        <v>259</v>
      </c>
      <c r="AN20" s="169" t="s">
        <v>259</v>
      </c>
      <c r="AO20" s="169" t="s">
        <v>259</v>
      </c>
      <c r="AP20" s="169" t="s">
        <v>259</v>
      </c>
      <c r="AQ20" s="169" t="s">
        <v>259</v>
      </c>
      <c r="AR20" s="169" t="s">
        <v>259</v>
      </c>
      <c r="AS20" s="169" t="s">
        <v>259</v>
      </c>
      <c r="AT20" s="169" t="s">
        <v>259</v>
      </c>
      <c r="AU20" s="169" t="s">
        <v>259</v>
      </c>
      <c r="AV20" s="169" t="s">
        <v>259</v>
      </c>
      <c r="AW20" s="169" t="s">
        <v>259</v>
      </c>
      <c r="AX20" s="169" t="s">
        <v>259</v>
      </c>
      <c r="AY20" s="169" t="s">
        <v>259</v>
      </c>
      <c r="AZ20" s="169" t="s">
        <v>259</v>
      </c>
      <c r="BA20" s="169" t="s">
        <v>259</v>
      </c>
      <c r="BB20" s="169" t="s">
        <v>259</v>
      </c>
      <c r="BC20" s="169" t="s">
        <v>259</v>
      </c>
      <c r="BD20" s="169" t="s">
        <v>259</v>
      </c>
      <c r="BE20" s="169" t="s">
        <v>259</v>
      </c>
      <c r="BF20" s="169" t="s">
        <v>259</v>
      </c>
      <c r="BG20" s="169" t="s">
        <v>259</v>
      </c>
      <c r="BH20" s="169" t="s">
        <v>259</v>
      </c>
      <c r="BI20" s="169" t="s">
        <v>259</v>
      </c>
      <c r="BJ20" s="169" t="s">
        <v>259</v>
      </c>
      <c r="BK20" s="169" t="s">
        <v>259</v>
      </c>
      <c r="BL20" s="169" t="s">
        <v>259</v>
      </c>
      <c r="BM20" s="169" t="s">
        <v>259</v>
      </c>
      <c r="BN20" s="169" t="s">
        <v>259</v>
      </c>
      <c r="BO20" s="169" t="s">
        <v>259</v>
      </c>
      <c r="BP20" s="169" t="s">
        <v>259</v>
      </c>
      <c r="BQ20" s="169" t="s">
        <v>259</v>
      </c>
      <c r="BR20" s="169" t="s">
        <v>259</v>
      </c>
      <c r="BS20" s="169" t="s">
        <v>259</v>
      </c>
      <c r="BT20" s="169" t="s">
        <v>259</v>
      </c>
      <c r="BU20" s="169" t="s">
        <v>259</v>
      </c>
      <c r="BV20" s="169" t="s">
        <v>259</v>
      </c>
      <c r="BW20" s="169" t="s">
        <v>259</v>
      </c>
      <c r="BX20" s="169" t="s">
        <v>259</v>
      </c>
      <c r="BY20" s="169" t="s">
        <v>259</v>
      </c>
      <c r="BZ20" s="169" t="s">
        <v>259</v>
      </c>
      <c r="CA20" s="169" t="s">
        <v>259</v>
      </c>
      <c r="CB20" s="169" t="s">
        <v>259</v>
      </c>
      <c r="CC20" s="169" t="s">
        <v>259</v>
      </c>
      <c r="CD20" s="169" t="s">
        <v>259</v>
      </c>
      <c r="CE20" s="169" t="s">
        <v>259</v>
      </c>
      <c r="CF20" s="169" t="s">
        <v>259</v>
      </c>
      <c r="CG20" s="169" t="s">
        <v>259</v>
      </c>
      <c r="CH20" s="169" t="s">
        <v>259</v>
      </c>
      <c r="CI20" s="169" t="s">
        <v>259</v>
      </c>
      <c r="CJ20" s="169" t="s">
        <v>259</v>
      </c>
      <c r="CK20" s="169" t="s">
        <v>259</v>
      </c>
      <c r="CL20" s="169" t="s">
        <v>259</v>
      </c>
      <c r="CM20" s="169" t="s">
        <v>259</v>
      </c>
      <c r="CN20" s="169" t="s">
        <v>259</v>
      </c>
      <c r="CO20" s="169" t="s">
        <v>259</v>
      </c>
      <c r="CP20" s="169" t="s">
        <v>259</v>
      </c>
      <c r="CQ20" s="169" t="s">
        <v>259</v>
      </c>
      <c r="CR20" s="169" t="s">
        <v>259</v>
      </c>
      <c r="CS20" s="169" t="s">
        <v>259</v>
      </c>
      <c r="CT20" s="169" t="s">
        <v>259</v>
      </c>
      <c r="CU20" s="169" t="s">
        <v>259</v>
      </c>
      <c r="CV20" s="169" t="s">
        <v>259</v>
      </c>
      <c r="CW20" s="169" t="s">
        <v>259</v>
      </c>
      <c r="CX20" s="169" t="s">
        <v>259</v>
      </c>
      <c r="CY20" s="169" t="s">
        <v>259</v>
      </c>
      <c r="CZ20" s="169" t="s">
        <v>259</v>
      </c>
      <c r="DA20" s="169" t="s">
        <v>259</v>
      </c>
      <c r="DB20" s="169" t="s">
        <v>259</v>
      </c>
      <c r="DC20" s="169" t="s">
        <v>259</v>
      </c>
      <c r="DD20" s="169" t="s">
        <v>259</v>
      </c>
      <c r="DE20" s="169" t="s">
        <v>259</v>
      </c>
      <c r="DF20" s="169" t="s">
        <v>259</v>
      </c>
      <c r="DG20" s="169" t="s">
        <v>259</v>
      </c>
      <c r="DH20" s="169" t="s">
        <v>259</v>
      </c>
      <c r="DI20" s="169" t="s">
        <v>259</v>
      </c>
      <c r="DJ20" s="169" t="s">
        <v>259</v>
      </c>
      <c r="DK20" s="169" t="s">
        <v>259</v>
      </c>
      <c r="DL20" s="169" t="s">
        <v>259</v>
      </c>
      <c r="DM20" s="169" t="s">
        <v>259</v>
      </c>
      <c r="DN20" s="169" t="s">
        <v>259</v>
      </c>
      <c r="DO20" s="169" t="s">
        <v>259</v>
      </c>
      <c r="DP20" s="169" t="s">
        <v>259</v>
      </c>
      <c r="DQ20" s="169" t="s">
        <v>259</v>
      </c>
      <c r="DR20" s="169" t="s">
        <v>259</v>
      </c>
      <c r="DS20" s="169" t="s">
        <v>259</v>
      </c>
      <c r="DT20" s="169" t="s">
        <v>259</v>
      </c>
    </row>
    <row r="21" spans="2:124" x14ac:dyDescent="0.3">
      <c r="B21" t="str">
        <f>'IMPORT SCHLIESSERDATEN'!B20</f>
        <v>TS 93 EMF EN 2-5</v>
      </c>
      <c r="D21" s="169" t="s">
        <v>259</v>
      </c>
      <c r="E21" s="169" t="s">
        <v>259</v>
      </c>
      <c r="F21" s="169" t="s">
        <v>259</v>
      </c>
      <c r="G21" s="169" t="s">
        <v>259</v>
      </c>
      <c r="H21" s="169" t="s">
        <v>259</v>
      </c>
      <c r="I21" s="169" t="s">
        <v>259</v>
      </c>
      <c r="J21" s="169" t="s">
        <v>259</v>
      </c>
      <c r="K21" s="169" t="s">
        <v>259</v>
      </c>
      <c r="L21" s="169" t="s">
        <v>259</v>
      </c>
      <c r="M21" s="169" t="s">
        <v>259</v>
      </c>
      <c r="N21" s="169" t="s">
        <v>259</v>
      </c>
      <c r="O21" s="169" t="s">
        <v>259</v>
      </c>
      <c r="P21" s="169" t="s">
        <v>259</v>
      </c>
      <c r="Q21" s="169" t="s">
        <v>259</v>
      </c>
      <c r="R21" s="169" t="s">
        <v>259</v>
      </c>
      <c r="S21" s="169" t="s">
        <v>259</v>
      </c>
      <c r="T21" s="169" t="s">
        <v>259</v>
      </c>
      <c r="U21" s="169" t="s">
        <v>259</v>
      </c>
      <c r="V21" s="169" t="s">
        <v>259</v>
      </c>
      <c r="W21" s="169" t="s">
        <v>259</v>
      </c>
      <c r="X21" s="169" t="s">
        <v>259</v>
      </c>
      <c r="Y21" s="169" t="s">
        <v>259</v>
      </c>
      <c r="Z21" s="169" t="s">
        <v>259</v>
      </c>
      <c r="AA21" s="169" t="s">
        <v>259</v>
      </c>
      <c r="AB21" s="169" t="s">
        <v>259</v>
      </c>
      <c r="AC21" s="169" t="s">
        <v>259</v>
      </c>
      <c r="AD21" s="169" t="s">
        <v>259</v>
      </c>
      <c r="AE21" s="169" t="s">
        <v>259</v>
      </c>
      <c r="AF21" s="169" t="s">
        <v>259</v>
      </c>
      <c r="AG21" s="169" t="s">
        <v>259</v>
      </c>
      <c r="AH21" s="169" t="s">
        <v>259</v>
      </c>
      <c r="AI21" s="169" t="s">
        <v>259</v>
      </c>
      <c r="AJ21" s="169" t="s">
        <v>259</v>
      </c>
      <c r="AK21" s="169" t="s">
        <v>259</v>
      </c>
      <c r="AL21" s="169" t="s">
        <v>259</v>
      </c>
      <c r="AM21" s="169" t="s">
        <v>259</v>
      </c>
      <c r="AN21" s="169" t="s">
        <v>259</v>
      </c>
      <c r="AO21" s="169" t="s">
        <v>259</v>
      </c>
      <c r="AP21" s="169" t="s">
        <v>259</v>
      </c>
      <c r="AQ21" s="169" t="s">
        <v>259</v>
      </c>
      <c r="AR21" s="169" t="s">
        <v>259</v>
      </c>
      <c r="AS21" s="169" t="s">
        <v>259</v>
      </c>
      <c r="AT21" s="169" t="s">
        <v>259</v>
      </c>
      <c r="AU21" s="169" t="s">
        <v>259</v>
      </c>
      <c r="AV21" s="169" t="s">
        <v>259</v>
      </c>
      <c r="AW21" s="169" t="s">
        <v>259</v>
      </c>
      <c r="AX21" s="169" t="s">
        <v>259</v>
      </c>
      <c r="AY21" s="169" t="s">
        <v>259</v>
      </c>
      <c r="AZ21" s="169" t="s">
        <v>259</v>
      </c>
      <c r="BA21" s="169" t="s">
        <v>259</v>
      </c>
      <c r="BB21" s="169" t="s">
        <v>259</v>
      </c>
      <c r="BC21" s="169" t="s">
        <v>259</v>
      </c>
      <c r="BD21" s="169" t="s">
        <v>259</v>
      </c>
      <c r="BE21" s="169" t="s">
        <v>259</v>
      </c>
      <c r="BF21" s="169" t="s">
        <v>259</v>
      </c>
      <c r="BG21" s="169" t="s">
        <v>259</v>
      </c>
      <c r="BH21" s="169" t="s">
        <v>259</v>
      </c>
      <c r="BI21" s="169" t="s">
        <v>259</v>
      </c>
      <c r="BJ21" s="169" t="s">
        <v>259</v>
      </c>
      <c r="BK21" s="169" t="s">
        <v>259</v>
      </c>
      <c r="BL21" s="169" t="s">
        <v>259</v>
      </c>
      <c r="BM21" s="169" t="s">
        <v>259</v>
      </c>
      <c r="BN21" s="169" t="s">
        <v>259</v>
      </c>
      <c r="BO21" s="169" t="s">
        <v>259</v>
      </c>
      <c r="BP21" s="169" t="s">
        <v>259</v>
      </c>
      <c r="BQ21" s="169" t="s">
        <v>259</v>
      </c>
      <c r="BR21" s="169" t="s">
        <v>259</v>
      </c>
      <c r="BS21" s="169" t="s">
        <v>259</v>
      </c>
      <c r="BT21" s="169" t="s">
        <v>259</v>
      </c>
      <c r="BU21" s="169" t="s">
        <v>259</v>
      </c>
      <c r="BV21" s="169" t="s">
        <v>259</v>
      </c>
      <c r="BW21" s="169" t="s">
        <v>259</v>
      </c>
      <c r="BX21" s="169" t="s">
        <v>259</v>
      </c>
      <c r="BY21" s="169" t="s">
        <v>259</v>
      </c>
      <c r="BZ21" s="169" t="s">
        <v>259</v>
      </c>
      <c r="CA21" s="169" t="s">
        <v>259</v>
      </c>
      <c r="CB21" s="169" t="s">
        <v>259</v>
      </c>
      <c r="CC21" s="169" t="s">
        <v>259</v>
      </c>
      <c r="CD21" s="169" t="s">
        <v>259</v>
      </c>
      <c r="CE21" s="169" t="s">
        <v>259</v>
      </c>
      <c r="CF21" s="169" t="s">
        <v>259</v>
      </c>
      <c r="CG21" s="169" t="s">
        <v>259</v>
      </c>
      <c r="CH21" s="169" t="s">
        <v>259</v>
      </c>
      <c r="CI21" s="169" t="s">
        <v>259</v>
      </c>
      <c r="CJ21" s="169" t="s">
        <v>259</v>
      </c>
      <c r="CK21" s="169" t="s">
        <v>259</v>
      </c>
      <c r="CL21" s="169" t="s">
        <v>259</v>
      </c>
      <c r="CM21" s="169" t="s">
        <v>259</v>
      </c>
      <c r="CN21" s="169" t="s">
        <v>259</v>
      </c>
      <c r="CO21" s="169" t="s">
        <v>259</v>
      </c>
      <c r="CP21" s="169" t="s">
        <v>259</v>
      </c>
      <c r="CQ21" s="169" t="s">
        <v>259</v>
      </c>
      <c r="CR21" s="169" t="s">
        <v>259</v>
      </c>
      <c r="CS21" s="169" t="s">
        <v>259</v>
      </c>
      <c r="CT21" s="169" t="s">
        <v>259</v>
      </c>
      <c r="CU21" s="169" t="s">
        <v>259</v>
      </c>
      <c r="CV21" s="169" t="s">
        <v>259</v>
      </c>
      <c r="CW21" s="169" t="s">
        <v>259</v>
      </c>
      <c r="CX21" s="169" t="s">
        <v>259</v>
      </c>
      <c r="CY21" s="169" t="s">
        <v>259</v>
      </c>
      <c r="CZ21" s="169" t="s">
        <v>259</v>
      </c>
      <c r="DA21" s="169" t="s">
        <v>259</v>
      </c>
      <c r="DB21" s="169" t="s">
        <v>259</v>
      </c>
      <c r="DC21" s="169" t="s">
        <v>259</v>
      </c>
      <c r="DD21" s="169" t="s">
        <v>259</v>
      </c>
      <c r="DE21" s="169" t="s">
        <v>259</v>
      </c>
      <c r="DF21" s="169" t="s">
        <v>259</v>
      </c>
      <c r="DG21" s="169" t="s">
        <v>259</v>
      </c>
      <c r="DH21" s="169" t="s">
        <v>259</v>
      </c>
      <c r="DI21" s="169" t="s">
        <v>259</v>
      </c>
      <c r="DJ21" s="169" t="s">
        <v>259</v>
      </c>
      <c r="DK21" s="169" t="s">
        <v>259</v>
      </c>
      <c r="DL21" s="169" t="s">
        <v>259</v>
      </c>
      <c r="DM21" s="169" t="s">
        <v>259</v>
      </c>
      <c r="DN21" s="169" t="s">
        <v>259</v>
      </c>
      <c r="DO21" s="169" t="s">
        <v>259</v>
      </c>
      <c r="DP21" s="169" t="s">
        <v>259</v>
      </c>
      <c r="DQ21" s="169" t="s">
        <v>259</v>
      </c>
      <c r="DR21" s="169" t="s">
        <v>259</v>
      </c>
      <c r="DS21" s="169" t="s">
        <v>259</v>
      </c>
      <c r="DT21" s="169" t="s">
        <v>259</v>
      </c>
    </row>
    <row r="22" spans="2:124" x14ac:dyDescent="0.3">
      <c r="B22" t="str">
        <f>'IMPORT SCHLIESSERDATEN'!B21</f>
        <v>TS 93 EMR EN 2-5</v>
      </c>
      <c r="D22" s="169" t="s">
        <v>259</v>
      </c>
      <c r="E22" s="169" t="s">
        <v>259</v>
      </c>
      <c r="F22" s="169" t="s">
        <v>259</v>
      </c>
      <c r="G22" s="169" t="s">
        <v>259</v>
      </c>
      <c r="H22" s="169" t="s">
        <v>259</v>
      </c>
      <c r="I22" s="169" t="s">
        <v>259</v>
      </c>
      <c r="J22" s="169" t="s">
        <v>259</v>
      </c>
      <c r="K22" s="169" t="s">
        <v>259</v>
      </c>
      <c r="L22" s="169" t="s">
        <v>259</v>
      </c>
      <c r="M22" s="169" t="s">
        <v>259</v>
      </c>
      <c r="N22" s="169" t="s">
        <v>259</v>
      </c>
      <c r="O22" s="169" t="s">
        <v>259</v>
      </c>
      <c r="P22" s="169" t="s">
        <v>259</v>
      </c>
      <c r="Q22" s="169" t="s">
        <v>259</v>
      </c>
      <c r="R22" s="169" t="s">
        <v>259</v>
      </c>
      <c r="S22" s="169" t="s">
        <v>259</v>
      </c>
      <c r="T22" s="169" t="s">
        <v>259</v>
      </c>
      <c r="U22" s="169" t="s">
        <v>259</v>
      </c>
      <c r="V22" s="169" t="s">
        <v>259</v>
      </c>
      <c r="W22" s="169" t="s">
        <v>259</v>
      </c>
      <c r="X22" s="169" t="s">
        <v>259</v>
      </c>
      <c r="Y22" s="169" t="s">
        <v>259</v>
      </c>
      <c r="Z22" s="169" t="s">
        <v>259</v>
      </c>
      <c r="AA22" s="169" t="s">
        <v>259</v>
      </c>
      <c r="AB22" s="169" t="s">
        <v>259</v>
      </c>
      <c r="AC22" s="169" t="s">
        <v>259</v>
      </c>
      <c r="AD22" s="169" t="s">
        <v>259</v>
      </c>
      <c r="AE22" s="169" t="s">
        <v>259</v>
      </c>
      <c r="AF22" s="169" t="s">
        <v>259</v>
      </c>
      <c r="AG22" s="169" t="s">
        <v>259</v>
      </c>
      <c r="AH22" s="169" t="s">
        <v>259</v>
      </c>
      <c r="AI22" s="169" t="s">
        <v>259</v>
      </c>
      <c r="AJ22" s="169" t="s">
        <v>259</v>
      </c>
      <c r="AK22" s="169" t="s">
        <v>259</v>
      </c>
      <c r="AL22" s="169" t="s">
        <v>259</v>
      </c>
      <c r="AM22" s="169" t="s">
        <v>259</v>
      </c>
      <c r="AN22" s="169" t="s">
        <v>259</v>
      </c>
      <c r="AO22" s="169" t="s">
        <v>259</v>
      </c>
      <c r="AP22" s="169" t="s">
        <v>259</v>
      </c>
      <c r="AQ22" s="169" t="s">
        <v>259</v>
      </c>
      <c r="AR22" s="169" t="s">
        <v>259</v>
      </c>
      <c r="AS22" s="169" t="s">
        <v>259</v>
      </c>
      <c r="AT22" s="169" t="s">
        <v>259</v>
      </c>
      <c r="AU22" s="169" t="s">
        <v>259</v>
      </c>
      <c r="AV22" s="169" t="s">
        <v>259</v>
      </c>
      <c r="AW22" s="169" t="s">
        <v>259</v>
      </c>
      <c r="AX22" s="169" t="s">
        <v>259</v>
      </c>
      <c r="AY22" s="169" t="s">
        <v>259</v>
      </c>
      <c r="AZ22" s="169" t="s">
        <v>259</v>
      </c>
      <c r="BA22" s="169" t="s">
        <v>259</v>
      </c>
      <c r="BB22" s="169" t="s">
        <v>259</v>
      </c>
      <c r="BC22" s="169" t="s">
        <v>259</v>
      </c>
      <c r="BD22" s="169" t="s">
        <v>259</v>
      </c>
      <c r="BE22" s="169" t="s">
        <v>259</v>
      </c>
      <c r="BF22" s="169" t="s">
        <v>259</v>
      </c>
      <c r="BG22" s="169" t="s">
        <v>259</v>
      </c>
      <c r="BH22" s="169" t="s">
        <v>259</v>
      </c>
      <c r="BI22" s="169" t="s">
        <v>259</v>
      </c>
      <c r="BJ22" s="169" t="s">
        <v>259</v>
      </c>
      <c r="BK22" s="169" t="s">
        <v>259</v>
      </c>
      <c r="BL22" s="169" t="s">
        <v>259</v>
      </c>
      <c r="BM22" s="169" t="s">
        <v>259</v>
      </c>
      <c r="BN22" s="169" t="s">
        <v>259</v>
      </c>
      <c r="BO22" s="169" t="s">
        <v>259</v>
      </c>
      <c r="BP22" s="169" t="s">
        <v>259</v>
      </c>
      <c r="BQ22" s="169" t="s">
        <v>259</v>
      </c>
      <c r="BR22" s="169" t="s">
        <v>259</v>
      </c>
      <c r="BS22" s="169" t="s">
        <v>259</v>
      </c>
      <c r="BT22" s="169" t="s">
        <v>259</v>
      </c>
      <c r="BU22" s="169" t="s">
        <v>259</v>
      </c>
      <c r="BV22" s="169" t="s">
        <v>259</v>
      </c>
      <c r="BW22" s="169" t="s">
        <v>259</v>
      </c>
      <c r="BX22" s="169" t="s">
        <v>259</v>
      </c>
      <c r="BY22" s="169" t="s">
        <v>259</v>
      </c>
      <c r="BZ22" s="169" t="s">
        <v>259</v>
      </c>
      <c r="CA22" s="169" t="s">
        <v>259</v>
      </c>
      <c r="CB22" s="169" t="s">
        <v>259</v>
      </c>
      <c r="CC22" s="169" t="s">
        <v>259</v>
      </c>
      <c r="CD22" s="169" t="s">
        <v>259</v>
      </c>
      <c r="CE22" s="169" t="s">
        <v>259</v>
      </c>
      <c r="CF22" s="169" t="s">
        <v>259</v>
      </c>
      <c r="CG22" s="169" t="s">
        <v>259</v>
      </c>
      <c r="CH22" s="169" t="s">
        <v>259</v>
      </c>
      <c r="CI22" s="169" t="s">
        <v>259</v>
      </c>
      <c r="CJ22" s="169" t="s">
        <v>259</v>
      </c>
      <c r="CK22" s="169" t="s">
        <v>259</v>
      </c>
      <c r="CL22" s="169" t="s">
        <v>259</v>
      </c>
      <c r="CM22" s="169" t="s">
        <v>259</v>
      </c>
      <c r="CN22" s="169" t="s">
        <v>259</v>
      </c>
      <c r="CO22" s="169" t="s">
        <v>259</v>
      </c>
      <c r="CP22" s="169" t="s">
        <v>259</v>
      </c>
      <c r="CQ22" s="169" t="s">
        <v>259</v>
      </c>
      <c r="CR22" s="169" t="s">
        <v>259</v>
      </c>
      <c r="CS22" s="169" t="s">
        <v>259</v>
      </c>
      <c r="CT22" s="169" t="s">
        <v>259</v>
      </c>
      <c r="CU22" s="169" t="s">
        <v>259</v>
      </c>
      <c r="CV22" s="169" t="s">
        <v>259</v>
      </c>
      <c r="CW22" s="169" t="s">
        <v>259</v>
      </c>
      <c r="CX22" s="169" t="s">
        <v>259</v>
      </c>
      <c r="CY22" s="169" t="s">
        <v>259</v>
      </c>
      <c r="CZ22" s="169" t="s">
        <v>259</v>
      </c>
      <c r="DA22" s="169" t="s">
        <v>259</v>
      </c>
      <c r="DB22" s="169" t="s">
        <v>259</v>
      </c>
      <c r="DC22" s="169" t="s">
        <v>259</v>
      </c>
      <c r="DD22" s="169" t="s">
        <v>259</v>
      </c>
      <c r="DE22" s="169" t="s">
        <v>259</v>
      </c>
      <c r="DF22" s="169" t="s">
        <v>259</v>
      </c>
      <c r="DG22" s="169" t="s">
        <v>259</v>
      </c>
      <c r="DH22" s="169" t="s">
        <v>259</v>
      </c>
      <c r="DI22" s="169" t="s">
        <v>259</v>
      </c>
      <c r="DJ22" s="169" t="s">
        <v>259</v>
      </c>
      <c r="DK22" s="169" t="s">
        <v>259</v>
      </c>
      <c r="DL22" s="169" t="s">
        <v>259</v>
      </c>
      <c r="DM22" s="169" t="s">
        <v>259</v>
      </c>
      <c r="DN22" s="169" t="s">
        <v>259</v>
      </c>
      <c r="DO22" s="169" t="s">
        <v>259</v>
      </c>
      <c r="DP22" s="169" t="s">
        <v>259</v>
      </c>
      <c r="DQ22" s="169" t="s">
        <v>259</v>
      </c>
      <c r="DR22" s="169" t="s">
        <v>259</v>
      </c>
      <c r="DS22" s="169" t="s">
        <v>259</v>
      </c>
      <c r="DT22" s="169" t="s">
        <v>259</v>
      </c>
    </row>
    <row r="23" spans="2:124" x14ac:dyDescent="0.3">
      <c r="B23" t="str">
        <f>'IMPORT SCHLIESSERDATEN'!B22</f>
        <v>TS 93 GSR EN 2-5</v>
      </c>
      <c r="D23" s="169" t="s">
        <v>259</v>
      </c>
      <c r="E23" s="169" t="s">
        <v>259</v>
      </c>
      <c r="F23" s="169" t="s">
        <v>259</v>
      </c>
      <c r="G23" s="169" t="s">
        <v>259</v>
      </c>
      <c r="H23" s="169" t="s">
        <v>259</v>
      </c>
      <c r="I23" s="169" t="s">
        <v>259</v>
      </c>
      <c r="J23" s="169" t="s">
        <v>259</v>
      </c>
      <c r="K23" s="169" t="s">
        <v>259</v>
      </c>
      <c r="L23" s="169" t="s">
        <v>259</v>
      </c>
      <c r="M23" s="169" t="s">
        <v>259</v>
      </c>
      <c r="N23" s="169" t="s">
        <v>259</v>
      </c>
      <c r="O23" s="169" t="s">
        <v>259</v>
      </c>
      <c r="P23" s="169" t="s">
        <v>259</v>
      </c>
      <c r="Q23" s="169" t="s">
        <v>259</v>
      </c>
      <c r="R23" s="169" t="s">
        <v>259</v>
      </c>
      <c r="S23" s="169" t="s">
        <v>259</v>
      </c>
      <c r="T23" s="169" t="s">
        <v>259</v>
      </c>
      <c r="U23" s="169" t="s">
        <v>259</v>
      </c>
      <c r="V23" s="169" t="s">
        <v>259</v>
      </c>
      <c r="W23" s="169" t="s">
        <v>259</v>
      </c>
      <c r="X23" s="169" t="s">
        <v>259</v>
      </c>
      <c r="Y23" s="169" t="s">
        <v>259</v>
      </c>
      <c r="Z23" s="169" t="s">
        <v>259</v>
      </c>
      <c r="AA23" s="169" t="s">
        <v>259</v>
      </c>
      <c r="AB23" s="169" t="s">
        <v>259</v>
      </c>
      <c r="AC23" s="169" t="s">
        <v>259</v>
      </c>
      <c r="AD23" s="169" t="s">
        <v>259</v>
      </c>
      <c r="AE23" s="169" t="s">
        <v>259</v>
      </c>
      <c r="AF23" s="169" t="s">
        <v>259</v>
      </c>
      <c r="AG23" s="169" t="s">
        <v>259</v>
      </c>
      <c r="AH23" s="169" t="s">
        <v>259</v>
      </c>
      <c r="AI23" s="169" t="s">
        <v>259</v>
      </c>
      <c r="AJ23" s="169" t="s">
        <v>259</v>
      </c>
      <c r="AK23" s="169" t="s">
        <v>259</v>
      </c>
      <c r="AL23" s="169" t="s">
        <v>259</v>
      </c>
      <c r="AM23" s="169" t="s">
        <v>259</v>
      </c>
      <c r="AN23" s="169" t="s">
        <v>259</v>
      </c>
      <c r="AO23" s="169" t="s">
        <v>259</v>
      </c>
      <c r="AP23" s="169" t="s">
        <v>259</v>
      </c>
      <c r="AQ23" s="169" t="s">
        <v>259</v>
      </c>
      <c r="AR23" s="169" t="s">
        <v>259</v>
      </c>
      <c r="AS23" s="169" t="s">
        <v>259</v>
      </c>
      <c r="AT23" s="169" t="s">
        <v>259</v>
      </c>
      <c r="AU23" s="169" t="s">
        <v>259</v>
      </c>
      <c r="AV23" s="169" t="s">
        <v>259</v>
      </c>
      <c r="AW23" s="169" t="s">
        <v>259</v>
      </c>
      <c r="AX23" s="169" t="s">
        <v>259</v>
      </c>
      <c r="AY23" s="169" t="s">
        <v>259</v>
      </c>
      <c r="AZ23" s="169" t="s">
        <v>259</v>
      </c>
      <c r="BA23" s="169" t="s">
        <v>259</v>
      </c>
      <c r="BB23" s="169" t="s">
        <v>259</v>
      </c>
      <c r="BC23" s="169" t="s">
        <v>259</v>
      </c>
      <c r="BD23" s="169" t="s">
        <v>259</v>
      </c>
      <c r="BE23" s="169" t="s">
        <v>259</v>
      </c>
      <c r="BF23" s="169" t="s">
        <v>259</v>
      </c>
      <c r="BG23" s="169" t="s">
        <v>259</v>
      </c>
      <c r="BH23" s="169" t="s">
        <v>259</v>
      </c>
      <c r="BI23" s="169" t="s">
        <v>259</v>
      </c>
      <c r="BJ23" s="169" t="s">
        <v>259</v>
      </c>
      <c r="BK23" s="169" t="s">
        <v>259</v>
      </c>
      <c r="BL23" s="169" t="s">
        <v>259</v>
      </c>
      <c r="BM23" s="169" t="s">
        <v>259</v>
      </c>
      <c r="BN23" s="169" t="s">
        <v>259</v>
      </c>
      <c r="BO23" s="169" t="s">
        <v>259</v>
      </c>
      <c r="BP23" s="169" t="s">
        <v>259</v>
      </c>
      <c r="BQ23" s="169" t="s">
        <v>259</v>
      </c>
      <c r="BR23" s="169" t="s">
        <v>259</v>
      </c>
      <c r="BS23" s="169" t="s">
        <v>259</v>
      </c>
      <c r="BT23" s="169" t="s">
        <v>259</v>
      </c>
      <c r="BU23" s="169" t="s">
        <v>259</v>
      </c>
      <c r="BV23" s="169" t="s">
        <v>259</v>
      </c>
      <c r="BW23" s="169" t="s">
        <v>259</v>
      </c>
      <c r="BX23" s="169" t="s">
        <v>259</v>
      </c>
      <c r="BY23" s="169" t="s">
        <v>259</v>
      </c>
      <c r="BZ23" s="169" t="s">
        <v>259</v>
      </c>
      <c r="CA23" s="169" t="s">
        <v>259</v>
      </c>
      <c r="CB23" s="169" t="s">
        <v>259</v>
      </c>
      <c r="CC23" s="169" t="s">
        <v>259</v>
      </c>
      <c r="CD23" s="169" t="s">
        <v>259</v>
      </c>
      <c r="CE23" s="169" t="s">
        <v>259</v>
      </c>
      <c r="CF23" s="169" t="s">
        <v>259</v>
      </c>
      <c r="CG23" s="169" t="s">
        <v>259</v>
      </c>
      <c r="CH23" s="169" t="s">
        <v>259</v>
      </c>
      <c r="CI23" s="169" t="s">
        <v>259</v>
      </c>
      <c r="CJ23" s="169" t="s">
        <v>259</v>
      </c>
      <c r="CK23" s="169" t="s">
        <v>259</v>
      </c>
      <c r="CL23" s="169" t="s">
        <v>259</v>
      </c>
      <c r="CM23" s="169" t="s">
        <v>259</v>
      </c>
      <c r="CN23" s="169" t="s">
        <v>259</v>
      </c>
      <c r="CO23" s="169" t="s">
        <v>259</v>
      </c>
      <c r="CP23" s="169" t="s">
        <v>259</v>
      </c>
      <c r="CQ23" s="169" t="s">
        <v>259</v>
      </c>
      <c r="CR23" s="169" t="s">
        <v>259</v>
      </c>
      <c r="CS23" s="169" t="s">
        <v>259</v>
      </c>
      <c r="CT23" s="169" t="s">
        <v>259</v>
      </c>
      <c r="CU23" s="169" t="s">
        <v>259</v>
      </c>
      <c r="CV23" s="169" t="s">
        <v>259</v>
      </c>
      <c r="CW23" s="169" t="s">
        <v>259</v>
      </c>
      <c r="CX23" s="169" t="s">
        <v>259</v>
      </c>
      <c r="CY23" s="169" t="s">
        <v>259</v>
      </c>
      <c r="CZ23" s="169" t="s">
        <v>259</v>
      </c>
      <c r="DA23" s="169" t="s">
        <v>259</v>
      </c>
      <c r="DB23" s="169" t="s">
        <v>259</v>
      </c>
      <c r="DC23" s="169" t="s">
        <v>259</v>
      </c>
      <c r="DD23" s="169" t="s">
        <v>259</v>
      </c>
      <c r="DE23" s="169" t="s">
        <v>259</v>
      </c>
      <c r="DF23" s="169" t="s">
        <v>259</v>
      </c>
      <c r="DG23" s="169" t="s">
        <v>259</v>
      </c>
      <c r="DH23" s="169" t="s">
        <v>259</v>
      </c>
      <c r="DI23" s="169" t="s">
        <v>259</v>
      </c>
      <c r="DJ23" s="169" t="s">
        <v>259</v>
      </c>
      <c r="DK23" s="169" t="s">
        <v>259</v>
      </c>
      <c r="DL23" s="169" t="s">
        <v>259</v>
      </c>
      <c r="DM23" s="169" t="s">
        <v>259</v>
      </c>
      <c r="DN23" s="169" t="s">
        <v>259</v>
      </c>
      <c r="DO23" s="169" t="s">
        <v>259</v>
      </c>
      <c r="DP23" s="169" t="s">
        <v>259</v>
      </c>
      <c r="DQ23" s="169" t="s">
        <v>259</v>
      </c>
      <c r="DR23" s="169" t="s">
        <v>259</v>
      </c>
      <c r="DS23" s="169" t="s">
        <v>259</v>
      </c>
      <c r="DT23" s="169" t="s">
        <v>259</v>
      </c>
    </row>
    <row r="24" spans="2:124" x14ac:dyDescent="0.3">
      <c r="B24" t="str">
        <f>'IMPORT SCHLIESSERDATEN'!B23</f>
        <v>TS 93 GSR RF EN 2-5</v>
      </c>
      <c r="D24" s="169" t="s">
        <v>259</v>
      </c>
      <c r="E24" s="169" t="s">
        <v>259</v>
      </c>
      <c r="F24" s="169" t="s">
        <v>259</v>
      </c>
      <c r="G24" s="169" t="s">
        <v>259</v>
      </c>
      <c r="H24" s="169" t="s">
        <v>259</v>
      </c>
      <c r="I24" s="169" t="s">
        <v>259</v>
      </c>
      <c r="J24" s="169" t="s">
        <v>259</v>
      </c>
      <c r="K24" s="169" t="s">
        <v>259</v>
      </c>
      <c r="L24" s="169" t="s">
        <v>259</v>
      </c>
      <c r="M24" s="169" t="s">
        <v>259</v>
      </c>
      <c r="N24" s="169" t="s">
        <v>259</v>
      </c>
      <c r="O24" s="169" t="s">
        <v>259</v>
      </c>
      <c r="P24" s="169" t="s">
        <v>259</v>
      </c>
      <c r="Q24" s="169" t="s">
        <v>259</v>
      </c>
      <c r="R24" s="169" t="s">
        <v>259</v>
      </c>
      <c r="S24" s="169" t="s">
        <v>259</v>
      </c>
      <c r="T24" s="169" t="s">
        <v>259</v>
      </c>
      <c r="U24" s="169" t="s">
        <v>1995</v>
      </c>
      <c r="V24" s="169" t="s">
        <v>259</v>
      </c>
      <c r="W24" s="169" t="s">
        <v>259</v>
      </c>
      <c r="X24" s="169" t="s">
        <v>259</v>
      </c>
      <c r="Y24" s="169" t="s">
        <v>259</v>
      </c>
      <c r="Z24" s="169" t="s">
        <v>259</v>
      </c>
      <c r="AA24" s="169" t="s">
        <v>259</v>
      </c>
      <c r="AB24" s="169" t="s">
        <v>259</v>
      </c>
      <c r="AC24" s="169" t="s">
        <v>259</v>
      </c>
      <c r="AD24" s="169" t="s">
        <v>259</v>
      </c>
      <c r="AE24" s="169" t="s">
        <v>259</v>
      </c>
      <c r="AF24" s="169" t="s">
        <v>259</v>
      </c>
      <c r="AG24" s="169" t="s">
        <v>259</v>
      </c>
      <c r="AH24" s="169" t="s">
        <v>259</v>
      </c>
      <c r="AI24" s="169" t="s">
        <v>259</v>
      </c>
      <c r="AJ24" s="169" t="s">
        <v>259</v>
      </c>
      <c r="AK24" s="169" t="s">
        <v>259</v>
      </c>
      <c r="AL24" s="169" t="s">
        <v>259</v>
      </c>
      <c r="AM24" s="169" t="s">
        <v>259</v>
      </c>
      <c r="AN24" s="169" t="s">
        <v>259</v>
      </c>
      <c r="AO24" s="169" t="s">
        <v>259</v>
      </c>
      <c r="AP24" s="169" t="s">
        <v>259</v>
      </c>
      <c r="AQ24" s="169" t="s">
        <v>259</v>
      </c>
      <c r="AR24" s="169" t="s">
        <v>259</v>
      </c>
      <c r="AS24" s="169" t="s">
        <v>259</v>
      </c>
      <c r="AT24" s="169" t="s">
        <v>259</v>
      </c>
      <c r="AU24" s="169" t="s">
        <v>259</v>
      </c>
      <c r="AV24" s="169" t="s">
        <v>259</v>
      </c>
      <c r="AW24" s="169" t="s">
        <v>259</v>
      </c>
      <c r="AX24" s="169" t="s">
        <v>259</v>
      </c>
      <c r="AY24" s="169" t="s">
        <v>259</v>
      </c>
      <c r="AZ24" s="169" t="s">
        <v>259</v>
      </c>
      <c r="BA24" s="169" t="s">
        <v>259</v>
      </c>
      <c r="BB24" s="169" t="s">
        <v>259</v>
      </c>
      <c r="BC24" s="169" t="s">
        <v>259</v>
      </c>
      <c r="BD24" s="169" t="s">
        <v>259</v>
      </c>
      <c r="BE24" s="169" t="s">
        <v>259</v>
      </c>
      <c r="BF24" s="169" t="s">
        <v>259</v>
      </c>
      <c r="BG24" s="169" t="s">
        <v>259</v>
      </c>
      <c r="BH24" s="169" t="s">
        <v>259</v>
      </c>
      <c r="BI24" s="169" t="s">
        <v>259</v>
      </c>
      <c r="BJ24" s="169" t="s">
        <v>259</v>
      </c>
      <c r="BK24" s="169" t="s">
        <v>259</v>
      </c>
      <c r="BL24" s="169" t="s">
        <v>259</v>
      </c>
      <c r="BM24" s="169" t="s">
        <v>259</v>
      </c>
      <c r="BN24" s="169" t="s">
        <v>259</v>
      </c>
      <c r="BO24" s="169" t="s">
        <v>259</v>
      </c>
      <c r="BP24" s="169" t="s">
        <v>259</v>
      </c>
      <c r="BQ24" s="169" t="s">
        <v>259</v>
      </c>
      <c r="BR24" s="169" t="s">
        <v>259</v>
      </c>
      <c r="BS24" s="169" t="s">
        <v>259</v>
      </c>
      <c r="BT24" s="169" t="s">
        <v>259</v>
      </c>
      <c r="BU24" s="169" t="s">
        <v>259</v>
      </c>
      <c r="BV24" s="169" t="s">
        <v>259</v>
      </c>
      <c r="BW24" s="169" t="s">
        <v>259</v>
      </c>
      <c r="BX24" s="169" t="s">
        <v>259</v>
      </c>
      <c r="BY24" s="169" t="s">
        <v>259</v>
      </c>
      <c r="BZ24" s="169" t="s">
        <v>259</v>
      </c>
      <c r="CA24" s="169" t="s">
        <v>259</v>
      </c>
      <c r="CB24" s="169" t="s">
        <v>259</v>
      </c>
      <c r="CC24" s="169" t="s">
        <v>259</v>
      </c>
      <c r="CD24" s="169" t="s">
        <v>259</v>
      </c>
      <c r="CE24" s="169" t="s">
        <v>259</v>
      </c>
      <c r="CF24" s="169" t="s">
        <v>259</v>
      </c>
      <c r="CG24" s="169" t="s">
        <v>259</v>
      </c>
      <c r="CH24" s="169" t="s">
        <v>259</v>
      </c>
      <c r="CI24" s="169" t="s">
        <v>259</v>
      </c>
      <c r="CJ24" s="169" t="s">
        <v>259</v>
      </c>
      <c r="CK24" s="169" t="s">
        <v>259</v>
      </c>
      <c r="CL24" s="169" t="s">
        <v>259</v>
      </c>
      <c r="CM24" s="169" t="s">
        <v>259</v>
      </c>
      <c r="CN24" s="169" t="s">
        <v>259</v>
      </c>
      <c r="CO24" s="169" t="s">
        <v>259</v>
      </c>
      <c r="CP24" s="169" t="s">
        <v>259</v>
      </c>
      <c r="CQ24" s="169" t="s">
        <v>259</v>
      </c>
      <c r="CR24" s="169" t="s">
        <v>259</v>
      </c>
      <c r="CS24" s="169" t="s">
        <v>259</v>
      </c>
      <c r="CT24" s="169" t="s">
        <v>259</v>
      </c>
      <c r="CU24" s="169" t="s">
        <v>259</v>
      </c>
      <c r="CV24" s="169" t="s">
        <v>259</v>
      </c>
      <c r="CW24" s="169" t="s">
        <v>259</v>
      </c>
      <c r="CX24" s="169" t="s">
        <v>259</v>
      </c>
      <c r="CY24" s="169" t="s">
        <v>259</v>
      </c>
      <c r="CZ24" s="169" t="s">
        <v>259</v>
      </c>
      <c r="DA24" s="169" t="s">
        <v>259</v>
      </c>
      <c r="DB24" s="169" t="s">
        <v>259</v>
      </c>
      <c r="DC24" s="169" t="s">
        <v>259</v>
      </c>
      <c r="DD24" s="169" t="s">
        <v>259</v>
      </c>
      <c r="DE24" s="169" t="s">
        <v>259</v>
      </c>
      <c r="DF24" s="169" t="s">
        <v>259</v>
      </c>
      <c r="DG24" s="169" t="s">
        <v>259</v>
      </c>
      <c r="DH24" s="169" t="s">
        <v>259</v>
      </c>
      <c r="DI24" s="169" t="s">
        <v>259</v>
      </c>
      <c r="DJ24" s="169" t="s">
        <v>259</v>
      </c>
      <c r="DK24" s="169" t="s">
        <v>259</v>
      </c>
      <c r="DL24" s="169" t="s">
        <v>259</v>
      </c>
      <c r="DM24" s="169" t="s">
        <v>259</v>
      </c>
      <c r="DN24" s="169" t="s">
        <v>259</v>
      </c>
      <c r="DO24" s="169" t="s">
        <v>259</v>
      </c>
      <c r="DP24" s="169" t="s">
        <v>259</v>
      </c>
      <c r="DQ24" s="169" t="s">
        <v>259</v>
      </c>
      <c r="DR24" s="169" t="s">
        <v>259</v>
      </c>
      <c r="DS24" s="169" t="s">
        <v>259</v>
      </c>
      <c r="DT24" s="169" t="s">
        <v>259</v>
      </c>
    </row>
    <row r="25" spans="2:124" x14ac:dyDescent="0.3">
      <c r="B25" t="str">
        <f>'IMPORT SCHLIESSERDATEN'!B24</f>
        <v>TS 93 GSR-EMF 1 EN 2-5</v>
      </c>
      <c r="D25" s="169" t="s">
        <v>259</v>
      </c>
      <c r="E25" s="169" t="s">
        <v>259</v>
      </c>
      <c r="F25" s="169" t="s">
        <v>259</v>
      </c>
      <c r="G25" s="169" t="s">
        <v>259</v>
      </c>
      <c r="H25" s="169" t="s">
        <v>259</v>
      </c>
      <c r="I25" s="169" t="s">
        <v>259</v>
      </c>
      <c r="J25" s="169" t="s">
        <v>259</v>
      </c>
      <c r="K25" s="169" t="s">
        <v>259</v>
      </c>
      <c r="L25" s="169" t="s">
        <v>259</v>
      </c>
      <c r="M25" s="169" t="s">
        <v>259</v>
      </c>
      <c r="N25" s="169" t="s">
        <v>259</v>
      </c>
      <c r="O25" s="169" t="s">
        <v>259</v>
      </c>
      <c r="P25" s="169" t="s">
        <v>259</v>
      </c>
      <c r="Q25" s="169" t="s">
        <v>259</v>
      </c>
      <c r="R25" s="169" t="s">
        <v>259</v>
      </c>
      <c r="S25" s="169" t="s">
        <v>259</v>
      </c>
      <c r="T25" s="169" t="s">
        <v>259</v>
      </c>
      <c r="U25" s="169" t="s">
        <v>259</v>
      </c>
      <c r="V25" s="169" t="s">
        <v>259</v>
      </c>
      <c r="W25" s="169" t="s">
        <v>259</v>
      </c>
      <c r="X25" s="169" t="s">
        <v>259</v>
      </c>
      <c r="Y25" s="169" t="s">
        <v>259</v>
      </c>
      <c r="Z25" s="169" t="s">
        <v>259</v>
      </c>
      <c r="AA25" s="169" t="s">
        <v>259</v>
      </c>
      <c r="AB25" s="169" t="s">
        <v>259</v>
      </c>
      <c r="AC25" s="169" t="s">
        <v>259</v>
      </c>
      <c r="AD25" s="169" t="s">
        <v>259</v>
      </c>
      <c r="AE25" s="169" t="s">
        <v>259</v>
      </c>
      <c r="AF25" s="169" t="s">
        <v>259</v>
      </c>
      <c r="AG25" s="169" t="s">
        <v>259</v>
      </c>
      <c r="AH25" s="169" t="s">
        <v>259</v>
      </c>
      <c r="AI25" s="169" t="s">
        <v>259</v>
      </c>
      <c r="AJ25" s="169" t="s">
        <v>259</v>
      </c>
      <c r="AK25" s="169" t="s">
        <v>259</v>
      </c>
      <c r="AL25" s="169" t="s">
        <v>259</v>
      </c>
      <c r="AM25" s="169" t="s">
        <v>259</v>
      </c>
      <c r="AN25" s="169" t="s">
        <v>259</v>
      </c>
      <c r="AO25" s="169" t="s">
        <v>259</v>
      </c>
      <c r="AP25" s="169" t="s">
        <v>259</v>
      </c>
      <c r="AQ25" s="169" t="s">
        <v>259</v>
      </c>
      <c r="AR25" s="169" t="s">
        <v>259</v>
      </c>
      <c r="AS25" s="169" t="s">
        <v>259</v>
      </c>
      <c r="AT25" s="169" t="s">
        <v>259</v>
      </c>
      <c r="AU25" s="169" t="s">
        <v>259</v>
      </c>
      <c r="AV25" s="169" t="s">
        <v>259</v>
      </c>
      <c r="AW25" s="169" t="s">
        <v>259</v>
      </c>
      <c r="AX25" s="169" t="s">
        <v>259</v>
      </c>
      <c r="AY25" s="169" t="s">
        <v>259</v>
      </c>
      <c r="AZ25" s="169" t="s">
        <v>259</v>
      </c>
      <c r="BA25" s="169" t="s">
        <v>259</v>
      </c>
      <c r="BB25" s="169" t="s">
        <v>259</v>
      </c>
      <c r="BC25" s="169" t="s">
        <v>259</v>
      </c>
      <c r="BD25" s="169" t="s">
        <v>259</v>
      </c>
      <c r="BE25" s="169" t="s">
        <v>259</v>
      </c>
      <c r="BF25" s="169" t="s">
        <v>259</v>
      </c>
      <c r="BG25" s="169" t="s">
        <v>259</v>
      </c>
      <c r="BH25" s="169" t="s">
        <v>259</v>
      </c>
      <c r="BI25" s="169" t="s">
        <v>259</v>
      </c>
      <c r="BJ25" s="169" t="s">
        <v>259</v>
      </c>
      <c r="BK25" s="169" t="s">
        <v>259</v>
      </c>
      <c r="BL25" s="169" t="s">
        <v>259</v>
      </c>
      <c r="BM25" s="169" t="s">
        <v>259</v>
      </c>
      <c r="BN25" s="169" t="s">
        <v>259</v>
      </c>
      <c r="BO25" s="169" t="s">
        <v>259</v>
      </c>
      <c r="BP25" s="169" t="s">
        <v>259</v>
      </c>
      <c r="BQ25" s="169" t="s">
        <v>259</v>
      </c>
      <c r="BR25" s="169" t="s">
        <v>259</v>
      </c>
      <c r="BS25" s="169" t="s">
        <v>259</v>
      </c>
      <c r="BT25" s="169" t="s">
        <v>259</v>
      </c>
      <c r="BU25" s="169" t="s">
        <v>259</v>
      </c>
      <c r="BV25" s="169" t="s">
        <v>259</v>
      </c>
      <c r="BW25" s="169" t="s">
        <v>259</v>
      </c>
      <c r="BX25" s="169" t="s">
        <v>259</v>
      </c>
      <c r="BY25" s="169" t="s">
        <v>259</v>
      </c>
      <c r="BZ25" s="169" t="s">
        <v>259</v>
      </c>
      <c r="CA25" s="169" t="s">
        <v>259</v>
      </c>
      <c r="CB25" s="169" t="s">
        <v>259</v>
      </c>
      <c r="CC25" s="169" t="s">
        <v>259</v>
      </c>
      <c r="CD25" s="169" t="s">
        <v>259</v>
      </c>
      <c r="CE25" s="169" t="s">
        <v>259</v>
      </c>
      <c r="CF25" s="169" t="s">
        <v>259</v>
      </c>
      <c r="CG25" s="169" t="s">
        <v>259</v>
      </c>
      <c r="CH25" s="169" t="s">
        <v>259</v>
      </c>
      <c r="CI25" s="169" t="s">
        <v>259</v>
      </c>
      <c r="CJ25" s="169" t="s">
        <v>259</v>
      </c>
      <c r="CK25" s="169" t="s">
        <v>259</v>
      </c>
      <c r="CL25" s="169" t="s">
        <v>259</v>
      </c>
      <c r="CM25" s="169" t="s">
        <v>259</v>
      </c>
      <c r="CN25" s="169" t="s">
        <v>259</v>
      </c>
      <c r="CO25" s="169" t="s">
        <v>259</v>
      </c>
      <c r="CP25" s="169" t="s">
        <v>259</v>
      </c>
      <c r="CQ25" s="169" t="s">
        <v>259</v>
      </c>
      <c r="CR25" s="169" t="s">
        <v>259</v>
      </c>
      <c r="CS25" s="169" t="s">
        <v>259</v>
      </c>
      <c r="CT25" s="169" t="s">
        <v>259</v>
      </c>
      <c r="CU25" s="169" t="s">
        <v>259</v>
      </c>
      <c r="CV25" s="169" t="s">
        <v>259</v>
      </c>
      <c r="CW25" s="169" t="s">
        <v>259</v>
      </c>
      <c r="CX25" s="169" t="s">
        <v>259</v>
      </c>
      <c r="CY25" s="169" t="s">
        <v>259</v>
      </c>
      <c r="CZ25" s="169" t="s">
        <v>259</v>
      </c>
      <c r="DA25" s="169" t="s">
        <v>259</v>
      </c>
      <c r="DB25" s="169" t="s">
        <v>259</v>
      </c>
      <c r="DC25" s="169" t="s">
        <v>259</v>
      </c>
      <c r="DD25" s="169" t="s">
        <v>259</v>
      </c>
      <c r="DE25" s="169" t="s">
        <v>259</v>
      </c>
      <c r="DF25" s="169" t="s">
        <v>259</v>
      </c>
      <c r="DG25" s="169" t="s">
        <v>259</v>
      </c>
      <c r="DH25" s="169" t="s">
        <v>259</v>
      </c>
      <c r="DI25" s="169" t="s">
        <v>259</v>
      </c>
      <c r="DJ25" s="169" t="s">
        <v>259</v>
      </c>
      <c r="DK25" s="169" t="s">
        <v>259</v>
      </c>
      <c r="DL25" s="169" t="s">
        <v>259</v>
      </c>
      <c r="DM25" s="169" t="s">
        <v>259</v>
      </c>
      <c r="DN25" s="169" t="s">
        <v>259</v>
      </c>
      <c r="DO25" s="169" t="s">
        <v>259</v>
      </c>
      <c r="DP25" s="169" t="s">
        <v>259</v>
      </c>
      <c r="DQ25" s="169" t="s">
        <v>259</v>
      </c>
      <c r="DR25" s="169" t="s">
        <v>259</v>
      </c>
      <c r="DS25" s="169" t="s">
        <v>259</v>
      </c>
      <c r="DT25" s="169" t="s">
        <v>259</v>
      </c>
    </row>
    <row r="26" spans="2:124" x14ac:dyDescent="0.3">
      <c r="B26" t="str">
        <f>'IMPORT SCHLIESSERDATEN'!B25</f>
        <v>TS 93 GSR-EMF 1G EN 2-5</v>
      </c>
      <c r="D26" s="169" t="s">
        <v>259</v>
      </c>
      <c r="E26" s="169" t="s">
        <v>259</v>
      </c>
      <c r="F26" s="169" t="s">
        <v>259</v>
      </c>
      <c r="G26" s="169" t="s">
        <v>259</v>
      </c>
      <c r="H26" s="169" t="s">
        <v>259</v>
      </c>
      <c r="I26" s="169" t="s">
        <v>259</v>
      </c>
      <c r="J26" s="169" t="s">
        <v>259</v>
      </c>
      <c r="K26" s="169" t="s">
        <v>259</v>
      </c>
      <c r="L26" s="169" t="s">
        <v>259</v>
      </c>
      <c r="M26" s="169" t="s">
        <v>259</v>
      </c>
      <c r="N26" s="169" t="s">
        <v>259</v>
      </c>
      <c r="O26" s="169" t="s">
        <v>259</v>
      </c>
      <c r="P26" s="169" t="s">
        <v>259</v>
      </c>
      <c r="Q26" s="169" t="s">
        <v>259</v>
      </c>
      <c r="R26" s="169" t="s">
        <v>259</v>
      </c>
      <c r="S26" s="169" t="s">
        <v>259</v>
      </c>
      <c r="T26" s="169" t="s">
        <v>259</v>
      </c>
      <c r="U26" s="169" t="s">
        <v>259</v>
      </c>
      <c r="V26" s="169" t="s">
        <v>259</v>
      </c>
      <c r="W26" s="169" t="s">
        <v>259</v>
      </c>
      <c r="X26" s="169" t="s">
        <v>259</v>
      </c>
      <c r="Y26" s="169" t="s">
        <v>259</v>
      </c>
      <c r="Z26" s="169" t="s">
        <v>259</v>
      </c>
      <c r="AA26" s="169" t="s">
        <v>259</v>
      </c>
      <c r="AB26" s="169" t="s">
        <v>259</v>
      </c>
      <c r="AC26" s="169" t="s">
        <v>259</v>
      </c>
      <c r="AD26" s="169" t="s">
        <v>259</v>
      </c>
      <c r="AE26" s="169" t="s">
        <v>259</v>
      </c>
      <c r="AF26" s="169" t="s">
        <v>259</v>
      </c>
      <c r="AG26" s="169" t="s">
        <v>259</v>
      </c>
      <c r="AH26" s="169" t="s">
        <v>259</v>
      </c>
      <c r="AI26" s="169" t="s">
        <v>259</v>
      </c>
      <c r="AJ26" s="169" t="s">
        <v>259</v>
      </c>
      <c r="AK26" s="169" t="s">
        <v>259</v>
      </c>
      <c r="AL26" s="169" t="s">
        <v>259</v>
      </c>
      <c r="AM26" s="169" t="s">
        <v>259</v>
      </c>
      <c r="AN26" s="169" t="s">
        <v>259</v>
      </c>
      <c r="AO26" s="169" t="s">
        <v>259</v>
      </c>
      <c r="AP26" s="169" t="s">
        <v>259</v>
      </c>
      <c r="AQ26" s="169" t="s">
        <v>259</v>
      </c>
      <c r="AR26" s="169" t="s">
        <v>259</v>
      </c>
      <c r="AS26" s="169" t="s">
        <v>259</v>
      </c>
      <c r="AT26" s="169" t="s">
        <v>259</v>
      </c>
      <c r="AU26" s="169" t="s">
        <v>259</v>
      </c>
      <c r="AV26" s="169" t="s">
        <v>259</v>
      </c>
      <c r="AW26" s="169" t="s">
        <v>259</v>
      </c>
      <c r="AX26" s="169" t="s">
        <v>259</v>
      </c>
      <c r="AY26" s="169" t="s">
        <v>259</v>
      </c>
      <c r="AZ26" s="169" t="s">
        <v>259</v>
      </c>
      <c r="BA26" s="169" t="s">
        <v>259</v>
      </c>
      <c r="BB26" s="169" t="s">
        <v>259</v>
      </c>
      <c r="BC26" s="169" t="s">
        <v>259</v>
      </c>
      <c r="BD26" s="169" t="s">
        <v>259</v>
      </c>
      <c r="BE26" s="169" t="s">
        <v>259</v>
      </c>
      <c r="BF26" s="169" t="s">
        <v>259</v>
      </c>
      <c r="BG26" s="169" t="s">
        <v>259</v>
      </c>
      <c r="BH26" s="169" t="s">
        <v>259</v>
      </c>
      <c r="BI26" s="169" t="s">
        <v>259</v>
      </c>
      <c r="BJ26" s="169" t="s">
        <v>259</v>
      </c>
      <c r="BK26" s="169" t="s">
        <v>259</v>
      </c>
      <c r="BL26" s="169" t="s">
        <v>259</v>
      </c>
      <c r="BM26" s="169" t="s">
        <v>259</v>
      </c>
      <c r="BN26" s="169" t="s">
        <v>259</v>
      </c>
      <c r="BO26" s="169" t="s">
        <v>259</v>
      </c>
      <c r="BP26" s="169" t="s">
        <v>259</v>
      </c>
      <c r="BQ26" s="169" t="s">
        <v>259</v>
      </c>
      <c r="BR26" s="169" t="s">
        <v>259</v>
      </c>
      <c r="BS26" s="169" t="s">
        <v>259</v>
      </c>
      <c r="BT26" s="169" t="s">
        <v>259</v>
      </c>
      <c r="BU26" s="169" t="s">
        <v>259</v>
      </c>
      <c r="BV26" s="169" t="s">
        <v>259</v>
      </c>
      <c r="BW26" s="169" t="s">
        <v>259</v>
      </c>
      <c r="BX26" s="169" t="s">
        <v>259</v>
      </c>
      <c r="BY26" s="169" t="s">
        <v>259</v>
      </c>
      <c r="BZ26" s="169" t="s">
        <v>259</v>
      </c>
      <c r="CA26" s="169" t="s">
        <v>259</v>
      </c>
      <c r="CB26" s="169" t="s">
        <v>259</v>
      </c>
      <c r="CC26" s="169" t="s">
        <v>259</v>
      </c>
      <c r="CD26" s="169" t="s">
        <v>259</v>
      </c>
      <c r="CE26" s="169" t="s">
        <v>259</v>
      </c>
      <c r="CF26" s="169" t="s">
        <v>259</v>
      </c>
      <c r="CG26" s="169" t="s">
        <v>259</v>
      </c>
      <c r="CH26" s="169" t="s">
        <v>259</v>
      </c>
      <c r="CI26" s="169" t="s">
        <v>259</v>
      </c>
      <c r="CJ26" s="169" t="s">
        <v>259</v>
      </c>
      <c r="CK26" s="169" t="s">
        <v>259</v>
      </c>
      <c r="CL26" s="169" t="s">
        <v>259</v>
      </c>
      <c r="CM26" s="169" t="s">
        <v>259</v>
      </c>
      <c r="CN26" s="169" t="s">
        <v>259</v>
      </c>
      <c r="CO26" s="169" t="s">
        <v>259</v>
      </c>
      <c r="CP26" s="169" t="s">
        <v>259</v>
      </c>
      <c r="CQ26" s="169" t="s">
        <v>259</v>
      </c>
      <c r="CR26" s="169" t="s">
        <v>259</v>
      </c>
      <c r="CS26" s="169" t="s">
        <v>259</v>
      </c>
      <c r="CT26" s="169" t="s">
        <v>259</v>
      </c>
      <c r="CU26" s="169" t="s">
        <v>259</v>
      </c>
      <c r="CV26" s="169" t="s">
        <v>259</v>
      </c>
      <c r="CW26" s="169" t="s">
        <v>259</v>
      </c>
      <c r="CX26" s="169" t="s">
        <v>259</v>
      </c>
      <c r="CY26" s="169" t="s">
        <v>259</v>
      </c>
      <c r="CZ26" s="169" t="s">
        <v>259</v>
      </c>
      <c r="DA26" s="169" t="s">
        <v>259</v>
      </c>
      <c r="DB26" s="169" t="s">
        <v>259</v>
      </c>
      <c r="DC26" s="169" t="s">
        <v>259</v>
      </c>
      <c r="DD26" s="169" t="s">
        <v>259</v>
      </c>
      <c r="DE26" s="169" t="s">
        <v>259</v>
      </c>
      <c r="DF26" s="169" t="s">
        <v>259</v>
      </c>
      <c r="DG26" s="169" t="s">
        <v>259</v>
      </c>
      <c r="DH26" s="169" t="s">
        <v>259</v>
      </c>
      <c r="DI26" s="169" t="s">
        <v>259</v>
      </c>
      <c r="DJ26" s="169" t="s">
        <v>259</v>
      </c>
      <c r="DK26" s="169" t="s">
        <v>259</v>
      </c>
      <c r="DL26" s="169" t="s">
        <v>259</v>
      </c>
      <c r="DM26" s="169" t="s">
        <v>259</v>
      </c>
      <c r="DN26" s="169" t="s">
        <v>259</v>
      </c>
      <c r="DO26" s="169" t="s">
        <v>259</v>
      </c>
      <c r="DP26" s="169" t="s">
        <v>259</v>
      </c>
      <c r="DQ26" s="169" t="s">
        <v>259</v>
      </c>
      <c r="DR26" s="169" t="s">
        <v>259</v>
      </c>
      <c r="DS26" s="169" t="s">
        <v>259</v>
      </c>
      <c r="DT26" s="169" t="s">
        <v>259</v>
      </c>
    </row>
    <row r="27" spans="2:124" x14ac:dyDescent="0.3">
      <c r="B27" t="str">
        <f>'IMPORT SCHLIESSERDATEN'!B26</f>
        <v>TS 93 GSR-EMF 2 EN 2-5</v>
      </c>
      <c r="D27" s="169" t="s">
        <v>259</v>
      </c>
      <c r="E27" s="169" t="s">
        <v>259</v>
      </c>
      <c r="F27" s="169" t="s">
        <v>259</v>
      </c>
      <c r="G27" s="169" t="s">
        <v>259</v>
      </c>
      <c r="H27" s="169" t="s">
        <v>259</v>
      </c>
      <c r="I27" s="169" t="s">
        <v>259</v>
      </c>
      <c r="J27" s="169" t="s">
        <v>259</v>
      </c>
      <c r="K27" s="169" t="s">
        <v>259</v>
      </c>
      <c r="L27" s="169" t="s">
        <v>259</v>
      </c>
      <c r="M27" s="169" t="s">
        <v>259</v>
      </c>
      <c r="N27" s="169" t="s">
        <v>259</v>
      </c>
      <c r="O27" s="169" t="s">
        <v>259</v>
      </c>
      <c r="P27" s="169" t="s">
        <v>259</v>
      </c>
      <c r="Q27" s="169" t="s">
        <v>259</v>
      </c>
      <c r="R27" s="169" t="s">
        <v>259</v>
      </c>
      <c r="S27" s="169" t="s">
        <v>259</v>
      </c>
      <c r="T27" s="169" t="s">
        <v>259</v>
      </c>
      <c r="U27" s="169" t="s">
        <v>259</v>
      </c>
      <c r="V27" s="169" t="s">
        <v>259</v>
      </c>
      <c r="W27" s="169" t="s">
        <v>259</v>
      </c>
      <c r="X27" s="169" t="s">
        <v>259</v>
      </c>
      <c r="Y27" s="169" t="s">
        <v>259</v>
      </c>
      <c r="Z27" s="169" t="s">
        <v>259</v>
      </c>
      <c r="AA27" s="169" t="s">
        <v>259</v>
      </c>
      <c r="AB27" s="169" t="s">
        <v>259</v>
      </c>
      <c r="AC27" s="169" t="s">
        <v>259</v>
      </c>
      <c r="AD27" s="169" t="s">
        <v>259</v>
      </c>
      <c r="AE27" s="169" t="s">
        <v>259</v>
      </c>
      <c r="AF27" s="169" t="s">
        <v>259</v>
      </c>
      <c r="AG27" s="169" t="s">
        <v>259</v>
      </c>
      <c r="AH27" s="169" t="s">
        <v>259</v>
      </c>
      <c r="AI27" s="169" t="s">
        <v>259</v>
      </c>
      <c r="AJ27" s="169" t="s">
        <v>259</v>
      </c>
      <c r="AK27" s="169" t="s">
        <v>259</v>
      </c>
      <c r="AL27" s="169" t="s">
        <v>259</v>
      </c>
      <c r="AM27" s="169" t="s">
        <v>259</v>
      </c>
      <c r="AN27" s="169" t="s">
        <v>259</v>
      </c>
      <c r="AO27" s="169" t="s">
        <v>259</v>
      </c>
      <c r="AP27" s="169" t="s">
        <v>259</v>
      </c>
      <c r="AQ27" s="169" t="s">
        <v>259</v>
      </c>
      <c r="AR27" s="169" t="s">
        <v>259</v>
      </c>
      <c r="AS27" s="169" t="s">
        <v>259</v>
      </c>
      <c r="AT27" s="169" t="s">
        <v>259</v>
      </c>
      <c r="AU27" s="169" t="s">
        <v>259</v>
      </c>
      <c r="AV27" s="169" t="s">
        <v>259</v>
      </c>
      <c r="AW27" s="169" t="s">
        <v>259</v>
      </c>
      <c r="AX27" s="169" t="s">
        <v>259</v>
      </c>
      <c r="AY27" s="169" t="s">
        <v>259</v>
      </c>
      <c r="AZ27" s="169" t="s">
        <v>259</v>
      </c>
      <c r="BA27" s="169" t="s">
        <v>259</v>
      </c>
      <c r="BB27" s="169" t="s">
        <v>259</v>
      </c>
      <c r="BC27" s="169" t="s">
        <v>259</v>
      </c>
      <c r="BD27" s="169" t="s">
        <v>259</v>
      </c>
      <c r="BE27" s="169" t="s">
        <v>259</v>
      </c>
      <c r="BF27" s="169" t="s">
        <v>259</v>
      </c>
      <c r="BG27" s="169" t="s">
        <v>259</v>
      </c>
      <c r="BH27" s="169" t="s">
        <v>259</v>
      </c>
      <c r="BI27" s="169" t="s">
        <v>259</v>
      </c>
      <c r="BJ27" s="169" t="s">
        <v>259</v>
      </c>
      <c r="BK27" s="169" t="s">
        <v>259</v>
      </c>
      <c r="BL27" s="169" t="s">
        <v>259</v>
      </c>
      <c r="BM27" s="169" t="s">
        <v>259</v>
      </c>
      <c r="BN27" s="169" t="s">
        <v>259</v>
      </c>
      <c r="BO27" s="169" t="s">
        <v>259</v>
      </c>
      <c r="BP27" s="169" t="s">
        <v>259</v>
      </c>
      <c r="BQ27" s="169" t="s">
        <v>259</v>
      </c>
      <c r="BR27" s="169" t="s">
        <v>259</v>
      </c>
      <c r="BS27" s="169" t="s">
        <v>259</v>
      </c>
      <c r="BT27" s="169" t="s">
        <v>259</v>
      </c>
      <c r="BU27" s="169" t="s">
        <v>259</v>
      </c>
      <c r="BV27" s="169" t="s">
        <v>259</v>
      </c>
      <c r="BW27" s="169" t="s">
        <v>259</v>
      </c>
      <c r="BX27" s="169" t="s">
        <v>259</v>
      </c>
      <c r="BY27" s="169" t="s">
        <v>259</v>
      </c>
      <c r="BZ27" s="169" t="s">
        <v>259</v>
      </c>
      <c r="CA27" s="169" t="s">
        <v>259</v>
      </c>
      <c r="CB27" s="169" t="s">
        <v>259</v>
      </c>
      <c r="CC27" s="169" t="s">
        <v>259</v>
      </c>
      <c r="CD27" s="169" t="s">
        <v>259</v>
      </c>
      <c r="CE27" s="169" t="s">
        <v>259</v>
      </c>
      <c r="CF27" s="169" t="s">
        <v>259</v>
      </c>
      <c r="CG27" s="169" t="s">
        <v>259</v>
      </c>
      <c r="CH27" s="169" t="s">
        <v>259</v>
      </c>
      <c r="CI27" s="169" t="s">
        <v>259</v>
      </c>
      <c r="CJ27" s="169" t="s">
        <v>259</v>
      </c>
      <c r="CK27" s="169" t="s">
        <v>259</v>
      </c>
      <c r="CL27" s="169" t="s">
        <v>259</v>
      </c>
      <c r="CM27" s="169" t="s">
        <v>259</v>
      </c>
      <c r="CN27" s="169" t="s">
        <v>259</v>
      </c>
      <c r="CO27" s="169" t="s">
        <v>259</v>
      </c>
      <c r="CP27" s="169" t="s">
        <v>259</v>
      </c>
      <c r="CQ27" s="169" t="s">
        <v>259</v>
      </c>
      <c r="CR27" s="169" t="s">
        <v>259</v>
      </c>
      <c r="CS27" s="169" t="s">
        <v>259</v>
      </c>
      <c r="CT27" s="169" t="s">
        <v>259</v>
      </c>
      <c r="CU27" s="169" t="s">
        <v>259</v>
      </c>
      <c r="CV27" s="169" t="s">
        <v>259</v>
      </c>
      <c r="CW27" s="169" t="s">
        <v>259</v>
      </c>
      <c r="CX27" s="169" t="s">
        <v>259</v>
      </c>
      <c r="CY27" s="169" t="s">
        <v>259</v>
      </c>
      <c r="CZ27" s="169" t="s">
        <v>259</v>
      </c>
      <c r="DA27" s="169" t="s">
        <v>259</v>
      </c>
      <c r="DB27" s="169" t="s">
        <v>259</v>
      </c>
      <c r="DC27" s="169" t="s">
        <v>259</v>
      </c>
      <c r="DD27" s="169" t="s">
        <v>259</v>
      </c>
      <c r="DE27" s="169" t="s">
        <v>259</v>
      </c>
      <c r="DF27" s="169" t="s">
        <v>259</v>
      </c>
      <c r="DG27" s="169" t="s">
        <v>259</v>
      </c>
      <c r="DH27" s="169" t="s">
        <v>259</v>
      </c>
      <c r="DI27" s="169" t="s">
        <v>259</v>
      </c>
      <c r="DJ27" s="169" t="s">
        <v>259</v>
      </c>
      <c r="DK27" s="169" t="s">
        <v>259</v>
      </c>
      <c r="DL27" s="169" t="s">
        <v>259</v>
      </c>
      <c r="DM27" s="169" t="s">
        <v>259</v>
      </c>
      <c r="DN27" s="169" t="s">
        <v>259</v>
      </c>
      <c r="DO27" s="169" t="s">
        <v>259</v>
      </c>
      <c r="DP27" s="169" t="s">
        <v>259</v>
      </c>
      <c r="DQ27" s="169" t="s">
        <v>259</v>
      </c>
      <c r="DR27" s="169" t="s">
        <v>259</v>
      </c>
      <c r="DS27" s="169" t="s">
        <v>259</v>
      </c>
      <c r="DT27" s="169" t="s">
        <v>259</v>
      </c>
    </row>
    <row r="28" spans="2:124" x14ac:dyDescent="0.3">
      <c r="B28" t="str">
        <f>'IMPORT SCHLIESSERDATEN'!B27</f>
        <v>TS 93 GSR-EMR 1 EN 2-5</v>
      </c>
      <c r="D28" s="169" t="s">
        <v>259</v>
      </c>
      <c r="E28" s="169" t="s">
        <v>259</v>
      </c>
      <c r="F28" s="169" t="s">
        <v>259</v>
      </c>
      <c r="G28" s="169" t="s">
        <v>259</v>
      </c>
      <c r="H28" s="169" t="s">
        <v>259</v>
      </c>
      <c r="I28" s="169" t="s">
        <v>259</v>
      </c>
      <c r="J28" s="169" t="s">
        <v>259</v>
      </c>
      <c r="K28" s="169" t="s">
        <v>259</v>
      </c>
      <c r="L28" s="169" t="s">
        <v>259</v>
      </c>
      <c r="M28" s="169" t="s">
        <v>259</v>
      </c>
      <c r="N28" s="169" t="s">
        <v>259</v>
      </c>
      <c r="O28" s="169" t="s">
        <v>259</v>
      </c>
      <c r="P28" s="169" t="s">
        <v>259</v>
      </c>
      <c r="Q28" s="169" t="s">
        <v>259</v>
      </c>
      <c r="R28" s="169" t="s">
        <v>259</v>
      </c>
      <c r="S28" s="169" t="s">
        <v>259</v>
      </c>
      <c r="T28" s="169" t="s">
        <v>259</v>
      </c>
      <c r="U28" s="169" t="s">
        <v>259</v>
      </c>
      <c r="V28" s="169" t="s">
        <v>259</v>
      </c>
      <c r="W28" s="169" t="s">
        <v>259</v>
      </c>
      <c r="X28" s="169" t="s">
        <v>259</v>
      </c>
      <c r="Y28" s="169" t="s">
        <v>259</v>
      </c>
      <c r="Z28" s="169" t="s">
        <v>259</v>
      </c>
      <c r="AA28" s="169" t="s">
        <v>259</v>
      </c>
      <c r="AB28" s="169" t="s">
        <v>259</v>
      </c>
      <c r="AC28" s="169" t="s">
        <v>259</v>
      </c>
      <c r="AD28" s="169" t="s">
        <v>259</v>
      </c>
      <c r="AE28" s="169" t="s">
        <v>259</v>
      </c>
      <c r="AF28" s="169" t="s">
        <v>259</v>
      </c>
      <c r="AG28" s="169" t="s">
        <v>259</v>
      </c>
      <c r="AH28" s="169" t="s">
        <v>259</v>
      </c>
      <c r="AI28" s="169" t="s">
        <v>259</v>
      </c>
      <c r="AJ28" s="169" t="s">
        <v>259</v>
      </c>
      <c r="AK28" s="169" t="s">
        <v>259</v>
      </c>
      <c r="AL28" s="169" t="s">
        <v>259</v>
      </c>
      <c r="AM28" s="169" t="s">
        <v>259</v>
      </c>
      <c r="AN28" s="169" t="s">
        <v>259</v>
      </c>
      <c r="AO28" s="169" t="s">
        <v>259</v>
      </c>
      <c r="AP28" s="169" t="s">
        <v>259</v>
      </c>
      <c r="AQ28" s="169" t="s">
        <v>259</v>
      </c>
      <c r="AR28" s="169" t="s">
        <v>259</v>
      </c>
      <c r="AS28" s="169" t="s">
        <v>259</v>
      </c>
      <c r="AT28" s="169" t="s">
        <v>259</v>
      </c>
      <c r="AU28" s="169" t="s">
        <v>259</v>
      </c>
      <c r="AV28" s="169" t="s">
        <v>259</v>
      </c>
      <c r="AW28" s="169" t="s">
        <v>259</v>
      </c>
      <c r="AX28" s="169" t="s">
        <v>259</v>
      </c>
      <c r="AY28" s="169" t="s">
        <v>259</v>
      </c>
      <c r="AZ28" s="169" t="s">
        <v>259</v>
      </c>
      <c r="BA28" s="169" t="s">
        <v>259</v>
      </c>
      <c r="BB28" s="169" t="s">
        <v>259</v>
      </c>
      <c r="BC28" s="169" t="s">
        <v>259</v>
      </c>
      <c r="BD28" s="169" t="s">
        <v>259</v>
      </c>
      <c r="BE28" s="169" t="s">
        <v>259</v>
      </c>
      <c r="BF28" s="169" t="s">
        <v>259</v>
      </c>
      <c r="BG28" s="169" t="s">
        <v>259</v>
      </c>
      <c r="BH28" s="169" t="s">
        <v>259</v>
      </c>
      <c r="BI28" s="169" t="s">
        <v>259</v>
      </c>
      <c r="BJ28" s="169" t="s">
        <v>259</v>
      </c>
      <c r="BK28" s="169" t="s">
        <v>259</v>
      </c>
      <c r="BL28" s="169" t="s">
        <v>259</v>
      </c>
      <c r="BM28" s="169" t="s">
        <v>259</v>
      </c>
      <c r="BN28" s="169" t="s">
        <v>259</v>
      </c>
      <c r="BO28" s="169" t="s">
        <v>259</v>
      </c>
      <c r="BP28" s="169" t="s">
        <v>259</v>
      </c>
      <c r="BQ28" s="169" t="s">
        <v>259</v>
      </c>
      <c r="BR28" s="169" t="s">
        <v>259</v>
      </c>
      <c r="BS28" s="169" t="s">
        <v>259</v>
      </c>
      <c r="BT28" s="169" t="s">
        <v>259</v>
      </c>
      <c r="BU28" s="169" t="s">
        <v>259</v>
      </c>
      <c r="BV28" s="169" t="s">
        <v>259</v>
      </c>
      <c r="BW28" s="169" t="s">
        <v>259</v>
      </c>
      <c r="BX28" s="169" t="s">
        <v>259</v>
      </c>
      <c r="BY28" s="169" t="s">
        <v>259</v>
      </c>
      <c r="BZ28" s="169" t="s">
        <v>259</v>
      </c>
      <c r="CA28" s="169" t="s">
        <v>259</v>
      </c>
      <c r="CB28" s="169" t="s">
        <v>259</v>
      </c>
      <c r="CC28" s="169" t="s">
        <v>259</v>
      </c>
      <c r="CD28" s="169" t="s">
        <v>259</v>
      </c>
      <c r="CE28" s="169" t="s">
        <v>259</v>
      </c>
      <c r="CF28" s="169" t="s">
        <v>259</v>
      </c>
      <c r="CG28" s="169" t="s">
        <v>259</v>
      </c>
      <c r="CH28" s="169" t="s">
        <v>259</v>
      </c>
      <c r="CI28" s="169" t="s">
        <v>259</v>
      </c>
      <c r="CJ28" s="169" t="s">
        <v>259</v>
      </c>
      <c r="CK28" s="169" t="s">
        <v>259</v>
      </c>
      <c r="CL28" s="169" t="s">
        <v>259</v>
      </c>
      <c r="CM28" s="169" t="s">
        <v>259</v>
      </c>
      <c r="CN28" s="169" t="s">
        <v>259</v>
      </c>
      <c r="CO28" s="169" t="s">
        <v>259</v>
      </c>
      <c r="CP28" s="169" t="s">
        <v>259</v>
      </c>
      <c r="CQ28" s="169" t="s">
        <v>259</v>
      </c>
      <c r="CR28" s="169" t="s">
        <v>259</v>
      </c>
      <c r="CS28" s="169" t="s">
        <v>259</v>
      </c>
      <c r="CT28" s="169" t="s">
        <v>259</v>
      </c>
      <c r="CU28" s="169" t="s">
        <v>259</v>
      </c>
      <c r="CV28" s="169" t="s">
        <v>259</v>
      </c>
      <c r="CW28" s="169" t="s">
        <v>259</v>
      </c>
      <c r="CX28" s="169" t="s">
        <v>259</v>
      </c>
      <c r="CY28" s="169" t="s">
        <v>259</v>
      </c>
      <c r="CZ28" s="169" t="s">
        <v>259</v>
      </c>
      <c r="DA28" s="169" t="s">
        <v>259</v>
      </c>
      <c r="DB28" s="169" t="s">
        <v>259</v>
      </c>
      <c r="DC28" s="169" t="s">
        <v>259</v>
      </c>
      <c r="DD28" s="169" t="s">
        <v>259</v>
      </c>
      <c r="DE28" s="169" t="s">
        <v>259</v>
      </c>
      <c r="DF28" s="169" t="s">
        <v>259</v>
      </c>
      <c r="DG28" s="169" t="s">
        <v>259</v>
      </c>
      <c r="DH28" s="169" t="s">
        <v>259</v>
      </c>
      <c r="DI28" s="169" t="s">
        <v>259</v>
      </c>
      <c r="DJ28" s="169" t="s">
        <v>259</v>
      </c>
      <c r="DK28" s="169" t="s">
        <v>259</v>
      </c>
      <c r="DL28" s="169" t="s">
        <v>259</v>
      </c>
      <c r="DM28" s="169" t="s">
        <v>259</v>
      </c>
      <c r="DN28" s="169" t="s">
        <v>259</v>
      </c>
      <c r="DO28" s="169" t="s">
        <v>259</v>
      </c>
      <c r="DP28" s="169" t="s">
        <v>259</v>
      </c>
      <c r="DQ28" s="169" t="s">
        <v>259</v>
      </c>
      <c r="DR28" s="169" t="s">
        <v>259</v>
      </c>
      <c r="DS28" s="169" t="s">
        <v>259</v>
      </c>
      <c r="DT28" s="169" t="s">
        <v>259</v>
      </c>
    </row>
    <row r="29" spans="2:124" x14ac:dyDescent="0.3">
      <c r="B29" t="str">
        <f>'IMPORT SCHLIESSERDATEN'!B28</f>
        <v>TS 93 GSR-EMR 1G EN 2-5</v>
      </c>
      <c r="D29" s="169" t="s">
        <v>259</v>
      </c>
      <c r="E29" s="169" t="s">
        <v>259</v>
      </c>
      <c r="F29" s="169" t="s">
        <v>259</v>
      </c>
      <c r="G29" s="169" t="s">
        <v>259</v>
      </c>
      <c r="H29" s="169" t="s">
        <v>259</v>
      </c>
      <c r="I29" s="169" t="s">
        <v>259</v>
      </c>
      <c r="J29" s="169" t="s">
        <v>259</v>
      </c>
      <c r="K29" s="169" t="s">
        <v>259</v>
      </c>
      <c r="L29" s="169" t="s">
        <v>259</v>
      </c>
      <c r="M29" s="169" t="s">
        <v>259</v>
      </c>
      <c r="N29" s="169" t="s">
        <v>259</v>
      </c>
      <c r="O29" s="169" t="s">
        <v>259</v>
      </c>
      <c r="P29" s="169" t="s">
        <v>259</v>
      </c>
      <c r="Q29" s="169" t="s">
        <v>259</v>
      </c>
      <c r="R29" s="169" t="s">
        <v>259</v>
      </c>
      <c r="S29" s="169" t="s">
        <v>259</v>
      </c>
      <c r="T29" s="169" t="s">
        <v>259</v>
      </c>
      <c r="U29" s="169" t="s">
        <v>259</v>
      </c>
      <c r="V29" s="169" t="s">
        <v>259</v>
      </c>
      <c r="W29" s="169" t="s">
        <v>259</v>
      </c>
      <c r="X29" s="169" t="s">
        <v>259</v>
      </c>
      <c r="Y29" s="169" t="s">
        <v>259</v>
      </c>
      <c r="Z29" s="169" t="s">
        <v>259</v>
      </c>
      <c r="AA29" s="169" t="s">
        <v>259</v>
      </c>
      <c r="AB29" s="169" t="s">
        <v>259</v>
      </c>
      <c r="AC29" s="169" t="s">
        <v>259</v>
      </c>
      <c r="AD29" s="169" t="s">
        <v>259</v>
      </c>
      <c r="AE29" s="169" t="s">
        <v>259</v>
      </c>
      <c r="AF29" s="169" t="s">
        <v>259</v>
      </c>
      <c r="AG29" s="169" t="s">
        <v>259</v>
      </c>
      <c r="AH29" s="169" t="s">
        <v>259</v>
      </c>
      <c r="AI29" s="169" t="s">
        <v>259</v>
      </c>
      <c r="AJ29" s="169" t="s">
        <v>259</v>
      </c>
      <c r="AK29" s="169" t="s">
        <v>259</v>
      </c>
      <c r="AL29" s="169" t="s">
        <v>259</v>
      </c>
      <c r="AM29" s="169" t="s">
        <v>259</v>
      </c>
      <c r="AN29" s="169" t="s">
        <v>259</v>
      </c>
      <c r="AO29" s="169" t="s">
        <v>259</v>
      </c>
      <c r="AP29" s="169" t="s">
        <v>259</v>
      </c>
      <c r="AQ29" s="169" t="s">
        <v>259</v>
      </c>
      <c r="AR29" s="169" t="s">
        <v>259</v>
      </c>
      <c r="AS29" s="169" t="s">
        <v>259</v>
      </c>
      <c r="AT29" s="169" t="s">
        <v>259</v>
      </c>
      <c r="AU29" s="169" t="s">
        <v>259</v>
      </c>
      <c r="AV29" s="169" t="s">
        <v>259</v>
      </c>
      <c r="AW29" s="169" t="s">
        <v>259</v>
      </c>
      <c r="AX29" s="169" t="s">
        <v>259</v>
      </c>
      <c r="AY29" s="169" t="s">
        <v>259</v>
      </c>
      <c r="AZ29" s="169" t="s">
        <v>259</v>
      </c>
      <c r="BA29" s="169" t="s">
        <v>259</v>
      </c>
      <c r="BB29" s="169" t="s">
        <v>259</v>
      </c>
      <c r="BC29" s="169" t="s">
        <v>259</v>
      </c>
      <c r="BD29" s="169" t="s">
        <v>259</v>
      </c>
      <c r="BE29" s="169" t="s">
        <v>259</v>
      </c>
      <c r="BF29" s="169" t="s">
        <v>259</v>
      </c>
      <c r="BG29" s="169" t="s">
        <v>259</v>
      </c>
      <c r="BH29" s="169" t="s">
        <v>259</v>
      </c>
      <c r="BI29" s="169" t="s">
        <v>259</v>
      </c>
      <c r="BJ29" s="169" t="s">
        <v>259</v>
      </c>
      <c r="BK29" s="169" t="s">
        <v>259</v>
      </c>
      <c r="BL29" s="169" t="s">
        <v>259</v>
      </c>
      <c r="BM29" s="169" t="s">
        <v>259</v>
      </c>
      <c r="BN29" s="169" t="s">
        <v>259</v>
      </c>
      <c r="BO29" s="169" t="s">
        <v>259</v>
      </c>
      <c r="BP29" s="169" t="s">
        <v>259</v>
      </c>
      <c r="BQ29" s="169" t="s">
        <v>259</v>
      </c>
      <c r="BR29" s="169" t="s">
        <v>259</v>
      </c>
      <c r="BS29" s="169" t="s">
        <v>259</v>
      </c>
      <c r="BT29" s="169" t="s">
        <v>259</v>
      </c>
      <c r="BU29" s="169" t="s">
        <v>259</v>
      </c>
      <c r="BV29" s="169" t="s">
        <v>259</v>
      </c>
      <c r="BW29" s="169" t="s">
        <v>259</v>
      </c>
      <c r="BX29" s="169" t="s">
        <v>259</v>
      </c>
      <c r="BY29" s="169" t="s">
        <v>259</v>
      </c>
      <c r="BZ29" s="169" t="s">
        <v>259</v>
      </c>
      <c r="CA29" s="169" t="s">
        <v>259</v>
      </c>
      <c r="CB29" s="169" t="s">
        <v>259</v>
      </c>
      <c r="CC29" s="169" t="s">
        <v>259</v>
      </c>
      <c r="CD29" s="169" t="s">
        <v>259</v>
      </c>
      <c r="CE29" s="169" t="s">
        <v>259</v>
      </c>
      <c r="CF29" s="169" t="s">
        <v>259</v>
      </c>
      <c r="CG29" s="169" t="s">
        <v>259</v>
      </c>
      <c r="CH29" s="169" t="s">
        <v>259</v>
      </c>
      <c r="CI29" s="169" t="s">
        <v>259</v>
      </c>
      <c r="CJ29" s="169" t="s">
        <v>259</v>
      </c>
      <c r="CK29" s="169" t="s">
        <v>259</v>
      </c>
      <c r="CL29" s="169" t="s">
        <v>259</v>
      </c>
      <c r="CM29" s="169" t="s">
        <v>259</v>
      </c>
      <c r="CN29" s="169" t="s">
        <v>259</v>
      </c>
      <c r="CO29" s="169" t="s">
        <v>259</v>
      </c>
      <c r="CP29" s="169" t="s">
        <v>259</v>
      </c>
      <c r="CQ29" s="169" t="s">
        <v>259</v>
      </c>
      <c r="CR29" s="169" t="s">
        <v>259</v>
      </c>
      <c r="CS29" s="169" t="s">
        <v>259</v>
      </c>
      <c r="CT29" s="169" t="s">
        <v>259</v>
      </c>
      <c r="CU29" s="169" t="s">
        <v>259</v>
      </c>
      <c r="CV29" s="169" t="s">
        <v>259</v>
      </c>
      <c r="CW29" s="169" t="s">
        <v>259</v>
      </c>
      <c r="CX29" s="169" t="s">
        <v>259</v>
      </c>
      <c r="CY29" s="169" t="s">
        <v>259</v>
      </c>
      <c r="CZ29" s="169" t="s">
        <v>259</v>
      </c>
      <c r="DA29" s="169" t="s">
        <v>259</v>
      </c>
      <c r="DB29" s="169" t="s">
        <v>259</v>
      </c>
      <c r="DC29" s="169" t="s">
        <v>259</v>
      </c>
      <c r="DD29" s="169" t="s">
        <v>259</v>
      </c>
      <c r="DE29" s="169" t="s">
        <v>259</v>
      </c>
      <c r="DF29" s="169" t="s">
        <v>259</v>
      </c>
      <c r="DG29" s="169" t="s">
        <v>259</v>
      </c>
      <c r="DH29" s="169" t="s">
        <v>259</v>
      </c>
      <c r="DI29" s="169" t="s">
        <v>259</v>
      </c>
      <c r="DJ29" s="169" t="s">
        <v>259</v>
      </c>
      <c r="DK29" s="169" t="s">
        <v>259</v>
      </c>
      <c r="DL29" s="169" t="s">
        <v>259</v>
      </c>
      <c r="DM29" s="169" t="s">
        <v>259</v>
      </c>
      <c r="DN29" s="169" t="s">
        <v>259</v>
      </c>
      <c r="DO29" s="169" t="s">
        <v>259</v>
      </c>
      <c r="DP29" s="169" t="s">
        <v>259</v>
      </c>
      <c r="DQ29" s="169" t="s">
        <v>259</v>
      </c>
      <c r="DR29" s="169" t="s">
        <v>259</v>
      </c>
      <c r="DS29" s="169" t="s">
        <v>259</v>
      </c>
      <c r="DT29" s="169" t="s">
        <v>259</v>
      </c>
    </row>
    <row r="30" spans="2:124" x14ac:dyDescent="0.3">
      <c r="B30" t="str">
        <f>'IMPORT SCHLIESSERDATEN'!B29</f>
        <v>TS 93 GSR-EMR 2 EN 2-5</v>
      </c>
      <c r="D30" s="169" t="s">
        <v>259</v>
      </c>
      <c r="E30" s="169" t="s">
        <v>259</v>
      </c>
      <c r="F30" s="169" t="s">
        <v>259</v>
      </c>
      <c r="G30" s="169" t="s">
        <v>259</v>
      </c>
      <c r="H30" s="169" t="s">
        <v>259</v>
      </c>
      <c r="I30" s="169" t="s">
        <v>259</v>
      </c>
      <c r="J30" s="169" t="s">
        <v>259</v>
      </c>
      <c r="K30" s="169" t="s">
        <v>259</v>
      </c>
      <c r="L30" s="169" t="s">
        <v>259</v>
      </c>
      <c r="M30" s="169" t="s">
        <v>259</v>
      </c>
      <c r="N30" s="169" t="s">
        <v>259</v>
      </c>
      <c r="O30" s="169" t="s">
        <v>259</v>
      </c>
      <c r="P30" s="169" t="s">
        <v>259</v>
      </c>
      <c r="Q30" s="169" t="s">
        <v>259</v>
      </c>
      <c r="R30" s="169" t="s">
        <v>259</v>
      </c>
      <c r="S30" s="169" t="s">
        <v>259</v>
      </c>
      <c r="T30" s="169" t="s">
        <v>259</v>
      </c>
      <c r="U30" s="169" t="s">
        <v>259</v>
      </c>
      <c r="V30" s="169" t="s">
        <v>259</v>
      </c>
      <c r="W30" s="169" t="s">
        <v>259</v>
      </c>
      <c r="X30" s="169" t="s">
        <v>259</v>
      </c>
      <c r="Y30" s="169" t="s">
        <v>259</v>
      </c>
      <c r="Z30" s="169" t="s">
        <v>259</v>
      </c>
      <c r="AA30" s="169" t="s">
        <v>259</v>
      </c>
      <c r="AB30" s="169" t="s">
        <v>259</v>
      </c>
      <c r="AC30" s="169" t="s">
        <v>259</v>
      </c>
      <c r="AD30" s="169" t="s">
        <v>259</v>
      </c>
      <c r="AE30" s="169" t="s">
        <v>259</v>
      </c>
      <c r="AF30" s="169" t="s">
        <v>259</v>
      </c>
      <c r="AG30" s="169" t="s">
        <v>259</v>
      </c>
      <c r="AH30" s="169" t="s">
        <v>259</v>
      </c>
      <c r="AI30" s="169" t="s">
        <v>259</v>
      </c>
      <c r="AJ30" s="169" t="s">
        <v>259</v>
      </c>
      <c r="AK30" s="169" t="s">
        <v>259</v>
      </c>
      <c r="AL30" s="169" t="s">
        <v>259</v>
      </c>
      <c r="AM30" s="169" t="s">
        <v>259</v>
      </c>
      <c r="AN30" s="169" t="s">
        <v>259</v>
      </c>
      <c r="AO30" s="169" t="s">
        <v>259</v>
      </c>
      <c r="AP30" s="169" t="s">
        <v>259</v>
      </c>
      <c r="AQ30" s="169" t="s">
        <v>259</v>
      </c>
      <c r="AR30" s="169" t="s">
        <v>259</v>
      </c>
      <c r="AS30" s="169" t="s">
        <v>259</v>
      </c>
      <c r="AT30" s="169" t="s">
        <v>259</v>
      </c>
      <c r="AU30" s="169" t="s">
        <v>259</v>
      </c>
      <c r="AV30" s="169" t="s">
        <v>259</v>
      </c>
      <c r="AW30" s="169" t="s">
        <v>259</v>
      </c>
      <c r="AX30" s="169" t="s">
        <v>259</v>
      </c>
      <c r="AY30" s="169" t="s">
        <v>259</v>
      </c>
      <c r="AZ30" s="169" t="s">
        <v>259</v>
      </c>
      <c r="BA30" s="169" t="s">
        <v>259</v>
      </c>
      <c r="BB30" s="169" t="s">
        <v>259</v>
      </c>
      <c r="BC30" s="169" t="s">
        <v>259</v>
      </c>
      <c r="BD30" s="169" t="s">
        <v>259</v>
      </c>
      <c r="BE30" s="169" t="s">
        <v>259</v>
      </c>
      <c r="BF30" s="169" t="s">
        <v>259</v>
      </c>
      <c r="BG30" s="169" t="s">
        <v>259</v>
      </c>
      <c r="BH30" s="169" t="s">
        <v>259</v>
      </c>
      <c r="BI30" s="169" t="s">
        <v>259</v>
      </c>
      <c r="BJ30" s="169" t="s">
        <v>259</v>
      </c>
      <c r="BK30" s="169" t="s">
        <v>259</v>
      </c>
      <c r="BL30" s="169" t="s">
        <v>259</v>
      </c>
      <c r="BM30" s="169" t="s">
        <v>259</v>
      </c>
      <c r="BN30" s="169" t="s">
        <v>259</v>
      </c>
      <c r="BO30" s="169" t="s">
        <v>259</v>
      </c>
      <c r="BP30" s="169" t="s">
        <v>259</v>
      </c>
      <c r="BQ30" s="169" t="s">
        <v>259</v>
      </c>
      <c r="BR30" s="169" t="s">
        <v>259</v>
      </c>
      <c r="BS30" s="169" t="s">
        <v>259</v>
      </c>
      <c r="BT30" s="169" t="s">
        <v>259</v>
      </c>
      <c r="BU30" s="169" t="s">
        <v>259</v>
      </c>
      <c r="BV30" s="169" t="s">
        <v>259</v>
      </c>
      <c r="BW30" s="169" t="s">
        <v>259</v>
      </c>
      <c r="BX30" s="169" t="s">
        <v>259</v>
      </c>
      <c r="BY30" s="169" t="s">
        <v>259</v>
      </c>
      <c r="BZ30" s="169" t="s">
        <v>259</v>
      </c>
      <c r="CA30" s="169" t="s">
        <v>259</v>
      </c>
      <c r="CB30" s="169" t="s">
        <v>259</v>
      </c>
      <c r="CC30" s="169" t="s">
        <v>259</v>
      </c>
      <c r="CD30" s="169" t="s">
        <v>259</v>
      </c>
      <c r="CE30" s="169" t="s">
        <v>259</v>
      </c>
      <c r="CF30" s="169" t="s">
        <v>259</v>
      </c>
      <c r="CG30" s="169" t="s">
        <v>259</v>
      </c>
      <c r="CH30" s="169" t="s">
        <v>259</v>
      </c>
      <c r="CI30" s="169" t="s">
        <v>259</v>
      </c>
      <c r="CJ30" s="169" t="s">
        <v>259</v>
      </c>
      <c r="CK30" s="169" t="s">
        <v>259</v>
      </c>
      <c r="CL30" s="169" t="s">
        <v>259</v>
      </c>
      <c r="CM30" s="169" t="s">
        <v>259</v>
      </c>
      <c r="CN30" s="169" t="s">
        <v>259</v>
      </c>
      <c r="CO30" s="169" t="s">
        <v>259</v>
      </c>
      <c r="CP30" s="169" t="s">
        <v>259</v>
      </c>
      <c r="CQ30" s="169" t="s">
        <v>259</v>
      </c>
      <c r="CR30" s="169" t="s">
        <v>259</v>
      </c>
      <c r="CS30" s="169" t="s">
        <v>259</v>
      </c>
      <c r="CT30" s="169" t="s">
        <v>259</v>
      </c>
      <c r="CU30" s="169" t="s">
        <v>259</v>
      </c>
      <c r="CV30" s="169" t="s">
        <v>259</v>
      </c>
      <c r="CW30" s="169" t="s">
        <v>259</v>
      </c>
      <c r="CX30" s="169" t="s">
        <v>259</v>
      </c>
      <c r="CY30" s="169" t="s">
        <v>259</v>
      </c>
      <c r="CZ30" s="169" t="s">
        <v>259</v>
      </c>
      <c r="DA30" s="169" t="s">
        <v>259</v>
      </c>
      <c r="DB30" s="169" t="s">
        <v>259</v>
      </c>
      <c r="DC30" s="169" t="s">
        <v>259</v>
      </c>
      <c r="DD30" s="169" t="s">
        <v>259</v>
      </c>
      <c r="DE30" s="169" t="s">
        <v>259</v>
      </c>
      <c r="DF30" s="169" t="s">
        <v>259</v>
      </c>
      <c r="DG30" s="169" t="s">
        <v>259</v>
      </c>
      <c r="DH30" s="169" t="s">
        <v>259</v>
      </c>
      <c r="DI30" s="169" t="s">
        <v>259</v>
      </c>
      <c r="DJ30" s="169" t="s">
        <v>259</v>
      </c>
      <c r="DK30" s="169" t="s">
        <v>259</v>
      </c>
      <c r="DL30" s="169" t="s">
        <v>259</v>
      </c>
      <c r="DM30" s="169" t="s">
        <v>259</v>
      </c>
      <c r="DN30" s="169" t="s">
        <v>259</v>
      </c>
      <c r="DO30" s="169" t="s">
        <v>259</v>
      </c>
      <c r="DP30" s="169" t="s">
        <v>259</v>
      </c>
      <c r="DQ30" s="169" t="s">
        <v>259</v>
      </c>
      <c r="DR30" s="169" t="s">
        <v>259</v>
      </c>
      <c r="DS30" s="169" t="s">
        <v>259</v>
      </c>
      <c r="DT30" s="169" t="s">
        <v>259</v>
      </c>
    </row>
    <row r="31" spans="2:124" x14ac:dyDescent="0.3">
      <c r="B31" t="str">
        <f>'IMPORT SCHLIESSERDATEN'!B30</f>
        <v>TS 93 G EN 2-5</v>
      </c>
      <c r="D31" s="169" t="s">
        <v>259</v>
      </c>
      <c r="E31" s="169" t="s">
        <v>259</v>
      </c>
      <c r="F31" s="169" t="s">
        <v>259</v>
      </c>
      <c r="G31" s="169" t="s">
        <v>259</v>
      </c>
      <c r="H31" s="169" t="s">
        <v>259</v>
      </c>
      <c r="I31" s="169" t="s">
        <v>259</v>
      </c>
      <c r="J31" s="169" t="s">
        <v>259</v>
      </c>
      <c r="K31" s="169" t="s">
        <v>259</v>
      </c>
      <c r="L31" s="169" t="s">
        <v>259</v>
      </c>
      <c r="M31" s="169" t="s">
        <v>259</v>
      </c>
      <c r="N31" s="169" t="s">
        <v>259</v>
      </c>
      <c r="O31" s="169" t="s">
        <v>259</v>
      </c>
      <c r="P31" s="169" t="s">
        <v>259</v>
      </c>
      <c r="Q31" s="169" t="s">
        <v>259</v>
      </c>
      <c r="R31" s="169" t="s">
        <v>259</v>
      </c>
      <c r="S31" s="169" t="s">
        <v>259</v>
      </c>
      <c r="T31" s="169" t="s">
        <v>259</v>
      </c>
      <c r="U31" s="169" t="s">
        <v>259</v>
      </c>
      <c r="V31" s="169" t="s">
        <v>259</v>
      </c>
      <c r="W31" s="169" t="s">
        <v>259</v>
      </c>
      <c r="X31" s="169" t="s">
        <v>259</v>
      </c>
      <c r="Y31" s="169" t="s">
        <v>259</v>
      </c>
      <c r="Z31" s="169" t="s">
        <v>259</v>
      </c>
      <c r="AA31" s="169" t="s">
        <v>259</v>
      </c>
      <c r="AB31" s="169" t="s">
        <v>259</v>
      </c>
      <c r="AC31" s="169" t="s">
        <v>259</v>
      </c>
      <c r="AD31" s="169" t="s">
        <v>259</v>
      </c>
      <c r="AE31" s="169" t="s">
        <v>259</v>
      </c>
      <c r="AF31" s="169" t="s">
        <v>259</v>
      </c>
      <c r="AG31" s="169" t="s">
        <v>259</v>
      </c>
      <c r="AH31" s="169" t="s">
        <v>259</v>
      </c>
      <c r="AI31" s="169" t="s">
        <v>259</v>
      </c>
      <c r="AJ31" s="169" t="s">
        <v>259</v>
      </c>
      <c r="AK31" s="169" t="s">
        <v>259</v>
      </c>
      <c r="AL31" s="169" t="s">
        <v>259</v>
      </c>
      <c r="AM31" s="169" t="s">
        <v>259</v>
      </c>
      <c r="AN31" s="169" t="s">
        <v>259</v>
      </c>
      <c r="AO31" s="169" t="s">
        <v>259</v>
      </c>
      <c r="AP31" s="169" t="s">
        <v>259</v>
      </c>
      <c r="AQ31" s="169" t="s">
        <v>259</v>
      </c>
      <c r="AR31" s="169" t="s">
        <v>259</v>
      </c>
      <c r="AS31" s="169" t="s">
        <v>259</v>
      </c>
      <c r="AT31" s="169" t="s">
        <v>259</v>
      </c>
      <c r="AU31" s="169" t="s">
        <v>259</v>
      </c>
      <c r="AV31" s="169" t="s">
        <v>259</v>
      </c>
      <c r="AW31" s="169" t="s">
        <v>259</v>
      </c>
      <c r="AX31" s="169" t="s">
        <v>259</v>
      </c>
      <c r="AY31" s="169" t="s">
        <v>259</v>
      </c>
      <c r="AZ31" s="169" t="s">
        <v>259</v>
      </c>
      <c r="BA31" s="169" t="s">
        <v>259</v>
      </c>
      <c r="BB31" s="169" t="s">
        <v>259</v>
      </c>
      <c r="BC31" s="169" t="s">
        <v>259</v>
      </c>
      <c r="BD31" s="169" t="s">
        <v>259</v>
      </c>
      <c r="BE31" s="169" t="s">
        <v>259</v>
      </c>
      <c r="BF31" s="169" t="s">
        <v>259</v>
      </c>
      <c r="BG31" s="169" t="s">
        <v>259</v>
      </c>
      <c r="BH31" s="169" t="s">
        <v>259</v>
      </c>
      <c r="BI31" s="169" t="s">
        <v>259</v>
      </c>
      <c r="BJ31" s="169" t="s">
        <v>259</v>
      </c>
      <c r="BK31" s="169" t="s">
        <v>259</v>
      </c>
      <c r="BL31" s="169" t="s">
        <v>259</v>
      </c>
      <c r="BM31" s="169" t="s">
        <v>259</v>
      </c>
      <c r="BN31" s="169" t="s">
        <v>259</v>
      </c>
      <c r="BO31" s="169" t="s">
        <v>259</v>
      </c>
      <c r="BP31" s="169" t="s">
        <v>259</v>
      </c>
      <c r="BQ31" s="169" t="s">
        <v>259</v>
      </c>
      <c r="BR31" s="169" t="s">
        <v>259</v>
      </c>
      <c r="BS31" s="169" t="s">
        <v>259</v>
      </c>
      <c r="BT31" s="169" t="s">
        <v>259</v>
      </c>
      <c r="BU31" s="169" t="s">
        <v>259</v>
      </c>
      <c r="BV31" s="169" t="s">
        <v>259</v>
      </c>
      <c r="BW31" s="169" t="s">
        <v>259</v>
      </c>
      <c r="BX31" s="169" t="s">
        <v>259</v>
      </c>
      <c r="BY31" s="169" t="s">
        <v>259</v>
      </c>
      <c r="BZ31" s="169" t="s">
        <v>259</v>
      </c>
      <c r="CA31" s="169" t="s">
        <v>259</v>
      </c>
      <c r="CB31" s="169" t="s">
        <v>259</v>
      </c>
      <c r="CC31" s="169" t="s">
        <v>259</v>
      </c>
      <c r="CD31" s="169" t="s">
        <v>259</v>
      </c>
      <c r="CE31" s="169" t="s">
        <v>259</v>
      </c>
      <c r="CF31" s="169" t="s">
        <v>259</v>
      </c>
      <c r="CG31" s="169" t="s">
        <v>259</v>
      </c>
      <c r="CH31" s="169" t="s">
        <v>259</v>
      </c>
      <c r="CI31" s="169" t="s">
        <v>259</v>
      </c>
      <c r="CJ31" s="169" t="s">
        <v>259</v>
      </c>
      <c r="CK31" s="169" t="s">
        <v>259</v>
      </c>
      <c r="CL31" s="169" t="s">
        <v>259</v>
      </c>
      <c r="CM31" s="169" t="s">
        <v>259</v>
      </c>
      <c r="CN31" s="169" t="s">
        <v>259</v>
      </c>
      <c r="CO31" s="169" t="s">
        <v>259</v>
      </c>
      <c r="CP31" s="169" t="s">
        <v>259</v>
      </c>
      <c r="CQ31" s="169" t="s">
        <v>259</v>
      </c>
      <c r="CR31" s="169" t="s">
        <v>259</v>
      </c>
      <c r="CS31" s="169" t="s">
        <v>259</v>
      </c>
      <c r="CT31" s="169" t="s">
        <v>259</v>
      </c>
      <c r="CU31" s="169" t="s">
        <v>259</v>
      </c>
      <c r="CV31" s="169" t="s">
        <v>259</v>
      </c>
      <c r="CW31" s="169" t="s">
        <v>259</v>
      </c>
      <c r="CX31" s="169" t="s">
        <v>259</v>
      </c>
      <c r="CY31" s="169" t="s">
        <v>259</v>
      </c>
      <c r="CZ31" s="169" t="s">
        <v>259</v>
      </c>
      <c r="DA31" s="169" t="s">
        <v>259</v>
      </c>
      <c r="DB31" s="169" t="s">
        <v>259</v>
      </c>
      <c r="DC31" s="169" t="s">
        <v>259</v>
      </c>
      <c r="DD31" s="169" t="s">
        <v>259</v>
      </c>
      <c r="DE31" s="169" t="s">
        <v>259</v>
      </c>
      <c r="DF31" s="169" t="s">
        <v>259</v>
      </c>
      <c r="DG31" s="169" t="s">
        <v>259</v>
      </c>
      <c r="DH31" s="169" t="s">
        <v>259</v>
      </c>
      <c r="DI31" s="169" t="s">
        <v>259</v>
      </c>
      <c r="DJ31" s="169" t="s">
        <v>259</v>
      </c>
      <c r="DK31" s="169" t="s">
        <v>259</v>
      </c>
      <c r="DL31" s="169" t="s">
        <v>259</v>
      </c>
      <c r="DM31" s="169" t="s">
        <v>259</v>
      </c>
      <c r="DN31" s="169" t="s">
        <v>259</v>
      </c>
      <c r="DO31" s="169" t="s">
        <v>259</v>
      </c>
      <c r="DP31" s="169" t="s">
        <v>259</v>
      </c>
      <c r="DQ31" s="169" t="s">
        <v>259</v>
      </c>
      <c r="DR31" s="169" t="s">
        <v>259</v>
      </c>
      <c r="DS31" s="169" t="s">
        <v>259</v>
      </c>
      <c r="DT31" s="169" t="s">
        <v>259</v>
      </c>
    </row>
    <row r="32" spans="2:124" x14ac:dyDescent="0.3">
      <c r="B32" t="str">
        <f>'IMPORT SCHLIESSERDATEN'!B31</f>
        <v>TS 93 G RF EN 2-5</v>
      </c>
      <c r="D32" s="169" t="s">
        <v>259</v>
      </c>
      <c r="E32" s="169" t="s">
        <v>259</v>
      </c>
      <c r="F32" s="169" t="s">
        <v>259</v>
      </c>
      <c r="G32" s="169" t="s">
        <v>259</v>
      </c>
      <c r="H32" s="169" t="s">
        <v>259</v>
      </c>
      <c r="I32" s="169" t="s">
        <v>259</v>
      </c>
      <c r="J32" s="169" t="s">
        <v>259</v>
      </c>
      <c r="K32" s="169" t="s">
        <v>259</v>
      </c>
      <c r="L32" s="169" t="s">
        <v>259</v>
      </c>
      <c r="M32" s="169" t="s">
        <v>259</v>
      </c>
      <c r="N32" s="169" t="s">
        <v>259</v>
      </c>
      <c r="O32" s="169" t="s">
        <v>259</v>
      </c>
      <c r="P32" s="169" t="s">
        <v>259</v>
      </c>
      <c r="Q32" s="169" t="s">
        <v>259</v>
      </c>
      <c r="R32" s="169" t="s">
        <v>259</v>
      </c>
      <c r="S32" s="169" t="s">
        <v>259</v>
      </c>
      <c r="T32" s="169" t="s">
        <v>259</v>
      </c>
      <c r="U32" s="169" t="s">
        <v>1995</v>
      </c>
      <c r="V32" s="169" t="s">
        <v>259</v>
      </c>
      <c r="W32" s="169" t="s">
        <v>259</v>
      </c>
      <c r="X32" s="169" t="s">
        <v>259</v>
      </c>
      <c r="Y32" s="169" t="s">
        <v>259</v>
      </c>
      <c r="Z32" s="169" t="s">
        <v>259</v>
      </c>
      <c r="AA32" s="169" t="s">
        <v>259</v>
      </c>
      <c r="AB32" s="169" t="s">
        <v>259</v>
      </c>
      <c r="AC32" s="169" t="s">
        <v>259</v>
      </c>
      <c r="AD32" s="169" t="s">
        <v>259</v>
      </c>
      <c r="AE32" s="169" t="s">
        <v>259</v>
      </c>
      <c r="AF32" s="169" t="s">
        <v>259</v>
      </c>
      <c r="AG32" s="169" t="s">
        <v>259</v>
      </c>
      <c r="AH32" s="169" t="s">
        <v>259</v>
      </c>
      <c r="AI32" s="169" t="s">
        <v>259</v>
      </c>
      <c r="AJ32" s="169" t="s">
        <v>259</v>
      </c>
      <c r="AK32" s="169" t="s">
        <v>259</v>
      </c>
      <c r="AL32" s="169" t="s">
        <v>259</v>
      </c>
      <c r="AM32" s="169" t="s">
        <v>259</v>
      </c>
      <c r="AN32" s="169" t="s">
        <v>259</v>
      </c>
      <c r="AO32" s="169" t="s">
        <v>259</v>
      </c>
      <c r="AP32" s="169" t="s">
        <v>259</v>
      </c>
      <c r="AQ32" s="169" t="s">
        <v>259</v>
      </c>
      <c r="AR32" s="169" t="s">
        <v>259</v>
      </c>
      <c r="AS32" s="169" t="s">
        <v>259</v>
      </c>
      <c r="AT32" s="169" t="s">
        <v>259</v>
      </c>
      <c r="AU32" s="169" t="s">
        <v>259</v>
      </c>
      <c r="AV32" s="169" t="s">
        <v>259</v>
      </c>
      <c r="AW32" s="169" t="s">
        <v>259</v>
      </c>
      <c r="AX32" s="169" t="s">
        <v>259</v>
      </c>
      <c r="AY32" s="169" t="s">
        <v>259</v>
      </c>
      <c r="AZ32" s="169" t="s">
        <v>259</v>
      </c>
      <c r="BA32" s="169" t="s">
        <v>259</v>
      </c>
      <c r="BB32" s="169" t="s">
        <v>259</v>
      </c>
      <c r="BC32" s="169" t="s">
        <v>259</v>
      </c>
      <c r="BD32" s="169" t="s">
        <v>259</v>
      </c>
      <c r="BE32" s="169" t="s">
        <v>259</v>
      </c>
      <c r="BF32" s="169" t="s">
        <v>259</v>
      </c>
      <c r="BG32" s="169" t="s">
        <v>259</v>
      </c>
      <c r="BH32" s="169" t="s">
        <v>259</v>
      </c>
      <c r="BI32" s="169" t="s">
        <v>259</v>
      </c>
      <c r="BJ32" s="169" t="s">
        <v>259</v>
      </c>
      <c r="BK32" s="169" t="s">
        <v>259</v>
      </c>
      <c r="BL32" s="169" t="s">
        <v>259</v>
      </c>
      <c r="BM32" s="169" t="s">
        <v>259</v>
      </c>
      <c r="BN32" s="169" t="s">
        <v>259</v>
      </c>
      <c r="BO32" s="169" t="s">
        <v>259</v>
      </c>
      <c r="BP32" s="169" t="s">
        <v>259</v>
      </c>
      <c r="BQ32" s="169" t="s">
        <v>259</v>
      </c>
      <c r="BR32" s="169" t="s">
        <v>259</v>
      </c>
      <c r="BS32" s="169" t="s">
        <v>259</v>
      </c>
      <c r="BT32" s="169" t="s">
        <v>259</v>
      </c>
      <c r="BU32" s="169" t="s">
        <v>259</v>
      </c>
      <c r="BV32" s="169" t="s">
        <v>259</v>
      </c>
      <c r="BW32" s="169" t="s">
        <v>259</v>
      </c>
      <c r="BX32" s="169" t="s">
        <v>259</v>
      </c>
      <c r="BY32" s="169" t="s">
        <v>259</v>
      </c>
      <c r="BZ32" s="169" t="s">
        <v>259</v>
      </c>
      <c r="CA32" s="169" t="s">
        <v>259</v>
      </c>
      <c r="CB32" s="169" t="s">
        <v>259</v>
      </c>
      <c r="CC32" s="169" t="s">
        <v>259</v>
      </c>
      <c r="CD32" s="169" t="s">
        <v>259</v>
      </c>
      <c r="CE32" s="169" t="s">
        <v>259</v>
      </c>
      <c r="CF32" s="169" t="s">
        <v>259</v>
      </c>
      <c r="CG32" s="169" t="s">
        <v>259</v>
      </c>
      <c r="CH32" s="169" t="s">
        <v>259</v>
      </c>
      <c r="CI32" s="169" t="s">
        <v>259</v>
      </c>
      <c r="CJ32" s="169" t="s">
        <v>259</v>
      </c>
      <c r="CK32" s="169" t="s">
        <v>259</v>
      </c>
      <c r="CL32" s="169" t="s">
        <v>259</v>
      </c>
      <c r="CM32" s="169" t="s">
        <v>259</v>
      </c>
      <c r="CN32" s="169" t="s">
        <v>259</v>
      </c>
      <c r="CO32" s="169" t="s">
        <v>259</v>
      </c>
      <c r="CP32" s="169" t="s">
        <v>259</v>
      </c>
      <c r="CQ32" s="169" t="s">
        <v>259</v>
      </c>
      <c r="CR32" s="169" t="s">
        <v>259</v>
      </c>
      <c r="CS32" s="169" t="s">
        <v>259</v>
      </c>
      <c r="CT32" s="169" t="s">
        <v>259</v>
      </c>
      <c r="CU32" s="169" t="s">
        <v>259</v>
      </c>
      <c r="CV32" s="169" t="s">
        <v>259</v>
      </c>
      <c r="CW32" s="169" t="s">
        <v>259</v>
      </c>
      <c r="CX32" s="169" t="s">
        <v>259</v>
      </c>
      <c r="CY32" s="169" t="s">
        <v>259</v>
      </c>
      <c r="CZ32" s="169" t="s">
        <v>259</v>
      </c>
      <c r="DA32" s="169" t="s">
        <v>259</v>
      </c>
      <c r="DB32" s="169" t="s">
        <v>259</v>
      </c>
      <c r="DC32" s="169" t="s">
        <v>259</v>
      </c>
      <c r="DD32" s="169" t="s">
        <v>259</v>
      </c>
      <c r="DE32" s="169" t="s">
        <v>259</v>
      </c>
      <c r="DF32" s="169" t="s">
        <v>259</v>
      </c>
      <c r="DG32" s="169" t="s">
        <v>259</v>
      </c>
      <c r="DH32" s="169" t="s">
        <v>259</v>
      </c>
      <c r="DI32" s="169" t="s">
        <v>259</v>
      </c>
      <c r="DJ32" s="169" t="s">
        <v>259</v>
      </c>
      <c r="DK32" s="169" t="s">
        <v>259</v>
      </c>
      <c r="DL32" s="169" t="s">
        <v>259</v>
      </c>
      <c r="DM32" s="169" t="s">
        <v>259</v>
      </c>
      <c r="DN32" s="169" t="s">
        <v>259</v>
      </c>
      <c r="DO32" s="169" t="s">
        <v>259</v>
      </c>
      <c r="DP32" s="169" t="s">
        <v>259</v>
      </c>
      <c r="DQ32" s="169" t="s">
        <v>259</v>
      </c>
      <c r="DR32" s="169" t="s">
        <v>259</v>
      </c>
      <c r="DS32" s="169" t="s">
        <v>259</v>
      </c>
      <c r="DT32" s="169" t="s">
        <v>259</v>
      </c>
    </row>
    <row r="33" spans="2:124" x14ac:dyDescent="0.3">
      <c r="B33" t="str">
        <f>'IMPORT SCHLIESSERDATEN'!B32</f>
        <v>TS 93 G EMF EN 2-5</v>
      </c>
      <c r="D33" s="169" t="s">
        <v>259</v>
      </c>
      <c r="E33" s="169" t="s">
        <v>259</v>
      </c>
      <c r="F33" s="169" t="s">
        <v>259</v>
      </c>
      <c r="G33" s="169" t="s">
        <v>259</v>
      </c>
      <c r="H33" s="169" t="s">
        <v>259</v>
      </c>
      <c r="I33" s="169" t="s">
        <v>259</v>
      </c>
      <c r="J33" s="169" t="s">
        <v>259</v>
      </c>
      <c r="K33" s="169" t="s">
        <v>259</v>
      </c>
      <c r="L33" s="169" t="s">
        <v>259</v>
      </c>
      <c r="M33" s="169" t="s">
        <v>259</v>
      </c>
      <c r="N33" s="169" t="s">
        <v>259</v>
      </c>
      <c r="O33" s="169" t="s">
        <v>259</v>
      </c>
      <c r="P33" s="169" t="s">
        <v>259</v>
      </c>
      <c r="Q33" s="169" t="s">
        <v>259</v>
      </c>
      <c r="R33" s="169" t="s">
        <v>259</v>
      </c>
      <c r="S33" s="169" t="s">
        <v>259</v>
      </c>
      <c r="T33" s="169" t="s">
        <v>259</v>
      </c>
      <c r="U33" s="169" t="s">
        <v>259</v>
      </c>
      <c r="V33" s="169" t="s">
        <v>259</v>
      </c>
      <c r="W33" s="169" t="s">
        <v>259</v>
      </c>
      <c r="X33" s="169" t="s">
        <v>259</v>
      </c>
      <c r="Y33" s="169" t="s">
        <v>259</v>
      </c>
      <c r="Z33" s="169" t="s">
        <v>259</v>
      </c>
      <c r="AA33" s="169" t="s">
        <v>259</v>
      </c>
      <c r="AB33" s="169" t="s">
        <v>259</v>
      </c>
      <c r="AC33" s="169" t="s">
        <v>259</v>
      </c>
      <c r="AD33" s="169" t="s">
        <v>259</v>
      </c>
      <c r="AE33" s="169" t="s">
        <v>259</v>
      </c>
      <c r="AF33" s="169" t="s">
        <v>259</v>
      </c>
      <c r="AG33" s="169" t="s">
        <v>259</v>
      </c>
      <c r="AH33" s="169" t="s">
        <v>259</v>
      </c>
      <c r="AI33" s="169" t="s">
        <v>259</v>
      </c>
      <c r="AJ33" s="169" t="s">
        <v>259</v>
      </c>
      <c r="AK33" s="169" t="s">
        <v>259</v>
      </c>
      <c r="AL33" s="169" t="s">
        <v>259</v>
      </c>
      <c r="AM33" s="169" t="s">
        <v>259</v>
      </c>
      <c r="AN33" s="169" t="s">
        <v>259</v>
      </c>
      <c r="AO33" s="169" t="s">
        <v>259</v>
      </c>
      <c r="AP33" s="169" t="s">
        <v>259</v>
      </c>
      <c r="AQ33" s="169" t="s">
        <v>259</v>
      </c>
      <c r="AR33" s="169" t="s">
        <v>259</v>
      </c>
      <c r="AS33" s="169" t="s">
        <v>259</v>
      </c>
      <c r="AT33" s="169" t="s">
        <v>259</v>
      </c>
      <c r="AU33" s="169" t="s">
        <v>259</v>
      </c>
      <c r="AV33" s="169" t="s">
        <v>259</v>
      </c>
      <c r="AW33" s="169" t="s">
        <v>259</v>
      </c>
      <c r="AX33" s="169" t="s">
        <v>259</v>
      </c>
      <c r="AY33" s="169" t="s">
        <v>259</v>
      </c>
      <c r="AZ33" s="169" t="s">
        <v>259</v>
      </c>
      <c r="BA33" s="169" t="s">
        <v>259</v>
      </c>
      <c r="BB33" s="169" t="s">
        <v>259</v>
      </c>
      <c r="BC33" s="169" t="s">
        <v>259</v>
      </c>
      <c r="BD33" s="169" t="s">
        <v>259</v>
      </c>
      <c r="BE33" s="169" t="s">
        <v>259</v>
      </c>
      <c r="BF33" s="169" t="s">
        <v>259</v>
      </c>
      <c r="BG33" s="169" t="s">
        <v>259</v>
      </c>
      <c r="BH33" s="169" t="s">
        <v>259</v>
      </c>
      <c r="BI33" s="169" t="s">
        <v>259</v>
      </c>
      <c r="BJ33" s="169" t="s">
        <v>259</v>
      </c>
      <c r="BK33" s="169" t="s">
        <v>259</v>
      </c>
      <c r="BL33" s="169" t="s">
        <v>259</v>
      </c>
      <c r="BM33" s="169" t="s">
        <v>259</v>
      </c>
      <c r="BN33" s="169" t="s">
        <v>259</v>
      </c>
      <c r="BO33" s="169" t="s">
        <v>259</v>
      </c>
      <c r="BP33" s="169" t="s">
        <v>259</v>
      </c>
      <c r="BQ33" s="169" t="s">
        <v>259</v>
      </c>
      <c r="BR33" s="169" t="s">
        <v>259</v>
      </c>
      <c r="BS33" s="169" t="s">
        <v>259</v>
      </c>
      <c r="BT33" s="169" t="s">
        <v>259</v>
      </c>
      <c r="BU33" s="169" t="s">
        <v>259</v>
      </c>
      <c r="BV33" s="169" t="s">
        <v>259</v>
      </c>
      <c r="BW33" s="169" t="s">
        <v>259</v>
      </c>
      <c r="BX33" s="169" t="s">
        <v>259</v>
      </c>
      <c r="BY33" s="169" t="s">
        <v>259</v>
      </c>
      <c r="BZ33" s="169" t="s">
        <v>259</v>
      </c>
      <c r="CA33" s="169" t="s">
        <v>259</v>
      </c>
      <c r="CB33" s="169" t="s">
        <v>259</v>
      </c>
      <c r="CC33" s="169" t="s">
        <v>259</v>
      </c>
      <c r="CD33" s="169" t="s">
        <v>259</v>
      </c>
      <c r="CE33" s="169" t="s">
        <v>259</v>
      </c>
      <c r="CF33" s="169" t="s">
        <v>259</v>
      </c>
      <c r="CG33" s="169" t="s">
        <v>259</v>
      </c>
      <c r="CH33" s="169" t="s">
        <v>259</v>
      </c>
      <c r="CI33" s="169" t="s">
        <v>259</v>
      </c>
      <c r="CJ33" s="169" t="s">
        <v>259</v>
      </c>
      <c r="CK33" s="169" t="s">
        <v>259</v>
      </c>
      <c r="CL33" s="169" t="s">
        <v>259</v>
      </c>
      <c r="CM33" s="169" t="s">
        <v>259</v>
      </c>
      <c r="CN33" s="169" t="s">
        <v>259</v>
      </c>
      <c r="CO33" s="169" t="s">
        <v>259</v>
      </c>
      <c r="CP33" s="169" t="s">
        <v>259</v>
      </c>
      <c r="CQ33" s="169" t="s">
        <v>259</v>
      </c>
      <c r="CR33" s="169" t="s">
        <v>259</v>
      </c>
      <c r="CS33" s="169" t="s">
        <v>259</v>
      </c>
      <c r="CT33" s="169" t="s">
        <v>259</v>
      </c>
      <c r="CU33" s="169" t="s">
        <v>259</v>
      </c>
      <c r="CV33" s="169" t="s">
        <v>259</v>
      </c>
      <c r="CW33" s="169" t="s">
        <v>259</v>
      </c>
      <c r="CX33" s="169" t="s">
        <v>259</v>
      </c>
      <c r="CY33" s="169" t="s">
        <v>259</v>
      </c>
      <c r="CZ33" s="169" t="s">
        <v>259</v>
      </c>
      <c r="DA33" s="169" t="s">
        <v>259</v>
      </c>
      <c r="DB33" s="169" t="s">
        <v>259</v>
      </c>
      <c r="DC33" s="169" t="s">
        <v>259</v>
      </c>
      <c r="DD33" s="169" t="s">
        <v>259</v>
      </c>
      <c r="DE33" s="169" t="s">
        <v>259</v>
      </c>
      <c r="DF33" s="169" t="s">
        <v>259</v>
      </c>
      <c r="DG33" s="169" t="s">
        <v>259</v>
      </c>
      <c r="DH33" s="169" t="s">
        <v>259</v>
      </c>
      <c r="DI33" s="169" t="s">
        <v>259</v>
      </c>
      <c r="DJ33" s="169" t="s">
        <v>259</v>
      </c>
      <c r="DK33" s="169" t="s">
        <v>259</v>
      </c>
      <c r="DL33" s="169" t="s">
        <v>259</v>
      </c>
      <c r="DM33" s="169" t="s">
        <v>259</v>
      </c>
      <c r="DN33" s="169" t="s">
        <v>259</v>
      </c>
      <c r="DO33" s="169" t="s">
        <v>259</v>
      </c>
      <c r="DP33" s="169" t="s">
        <v>259</v>
      </c>
      <c r="DQ33" s="169" t="s">
        <v>259</v>
      </c>
      <c r="DR33" s="169" t="s">
        <v>259</v>
      </c>
      <c r="DS33" s="169" t="s">
        <v>259</v>
      </c>
      <c r="DT33" s="169" t="s">
        <v>259</v>
      </c>
    </row>
    <row r="34" spans="2:124" x14ac:dyDescent="0.3">
      <c r="B34" t="str">
        <f>'IMPORT SCHLIESSERDATEN'!B33</f>
        <v>TS 93 G EMR EN 2-5</v>
      </c>
      <c r="D34" s="169" t="s">
        <v>259</v>
      </c>
      <c r="E34" s="169" t="s">
        <v>259</v>
      </c>
      <c r="F34" s="169" t="s">
        <v>259</v>
      </c>
      <c r="G34" s="169" t="s">
        <v>259</v>
      </c>
      <c r="H34" s="169" t="s">
        <v>259</v>
      </c>
      <c r="I34" s="169" t="s">
        <v>259</v>
      </c>
      <c r="J34" s="169" t="s">
        <v>259</v>
      </c>
      <c r="K34" s="169" t="s">
        <v>259</v>
      </c>
      <c r="L34" s="169" t="s">
        <v>259</v>
      </c>
      <c r="M34" s="169" t="s">
        <v>259</v>
      </c>
      <c r="N34" s="169" t="s">
        <v>259</v>
      </c>
      <c r="O34" s="169" t="s">
        <v>259</v>
      </c>
      <c r="P34" s="169" t="s">
        <v>259</v>
      </c>
      <c r="Q34" s="169" t="s">
        <v>259</v>
      </c>
      <c r="R34" s="169" t="s">
        <v>259</v>
      </c>
      <c r="S34" s="169" t="s">
        <v>259</v>
      </c>
      <c r="T34" s="169" t="s">
        <v>259</v>
      </c>
      <c r="U34" s="169" t="s">
        <v>259</v>
      </c>
      <c r="V34" s="169" t="s">
        <v>259</v>
      </c>
      <c r="W34" s="169" t="s">
        <v>259</v>
      </c>
      <c r="X34" s="169" t="s">
        <v>259</v>
      </c>
      <c r="Y34" s="169" t="s">
        <v>259</v>
      </c>
      <c r="Z34" s="169" t="s">
        <v>259</v>
      </c>
      <c r="AA34" s="169" t="s">
        <v>259</v>
      </c>
      <c r="AB34" s="169" t="s">
        <v>259</v>
      </c>
      <c r="AC34" s="169" t="s">
        <v>259</v>
      </c>
      <c r="AD34" s="169" t="s">
        <v>259</v>
      </c>
      <c r="AE34" s="169" t="s">
        <v>259</v>
      </c>
      <c r="AF34" s="169" t="s">
        <v>259</v>
      </c>
      <c r="AG34" s="169" t="s">
        <v>259</v>
      </c>
      <c r="AH34" s="169" t="s">
        <v>259</v>
      </c>
      <c r="AI34" s="169" t="s">
        <v>259</v>
      </c>
      <c r="AJ34" s="169" t="s">
        <v>259</v>
      </c>
      <c r="AK34" s="169" t="s">
        <v>259</v>
      </c>
      <c r="AL34" s="169" t="s">
        <v>259</v>
      </c>
      <c r="AM34" s="169" t="s">
        <v>259</v>
      </c>
      <c r="AN34" s="169" t="s">
        <v>259</v>
      </c>
      <c r="AO34" s="169" t="s">
        <v>259</v>
      </c>
      <c r="AP34" s="169" t="s">
        <v>259</v>
      </c>
      <c r="AQ34" s="169" t="s">
        <v>259</v>
      </c>
      <c r="AR34" s="169" t="s">
        <v>259</v>
      </c>
      <c r="AS34" s="169" t="s">
        <v>259</v>
      </c>
      <c r="AT34" s="169" t="s">
        <v>259</v>
      </c>
      <c r="AU34" s="169" t="s">
        <v>259</v>
      </c>
      <c r="AV34" s="169" t="s">
        <v>259</v>
      </c>
      <c r="AW34" s="169" t="s">
        <v>259</v>
      </c>
      <c r="AX34" s="169" t="s">
        <v>259</v>
      </c>
      <c r="AY34" s="169" t="s">
        <v>259</v>
      </c>
      <c r="AZ34" s="169" t="s">
        <v>259</v>
      </c>
      <c r="BA34" s="169" t="s">
        <v>259</v>
      </c>
      <c r="BB34" s="169" t="s">
        <v>259</v>
      </c>
      <c r="BC34" s="169" t="s">
        <v>259</v>
      </c>
      <c r="BD34" s="169" t="s">
        <v>259</v>
      </c>
      <c r="BE34" s="169" t="s">
        <v>259</v>
      </c>
      <c r="BF34" s="169" t="s">
        <v>259</v>
      </c>
      <c r="BG34" s="169" t="s">
        <v>259</v>
      </c>
      <c r="BH34" s="169" t="s">
        <v>259</v>
      </c>
      <c r="BI34" s="169" t="s">
        <v>259</v>
      </c>
      <c r="BJ34" s="169" t="s">
        <v>259</v>
      </c>
      <c r="BK34" s="169" t="s">
        <v>259</v>
      </c>
      <c r="BL34" s="169" t="s">
        <v>259</v>
      </c>
      <c r="BM34" s="169" t="s">
        <v>259</v>
      </c>
      <c r="BN34" s="169" t="s">
        <v>259</v>
      </c>
      <c r="BO34" s="169" t="s">
        <v>259</v>
      </c>
      <c r="BP34" s="169" t="s">
        <v>259</v>
      </c>
      <c r="BQ34" s="169" t="s">
        <v>259</v>
      </c>
      <c r="BR34" s="169" t="s">
        <v>259</v>
      </c>
      <c r="BS34" s="169" t="s">
        <v>259</v>
      </c>
      <c r="BT34" s="169" t="s">
        <v>259</v>
      </c>
      <c r="BU34" s="169" t="s">
        <v>259</v>
      </c>
      <c r="BV34" s="169" t="s">
        <v>259</v>
      </c>
      <c r="BW34" s="169" t="s">
        <v>259</v>
      </c>
      <c r="BX34" s="169" t="s">
        <v>259</v>
      </c>
      <c r="BY34" s="169" t="s">
        <v>259</v>
      </c>
      <c r="BZ34" s="169" t="s">
        <v>259</v>
      </c>
      <c r="CA34" s="169" t="s">
        <v>259</v>
      </c>
      <c r="CB34" s="169" t="s">
        <v>259</v>
      </c>
      <c r="CC34" s="169" t="s">
        <v>259</v>
      </c>
      <c r="CD34" s="169" t="s">
        <v>259</v>
      </c>
      <c r="CE34" s="169" t="s">
        <v>259</v>
      </c>
      <c r="CF34" s="169" t="s">
        <v>259</v>
      </c>
      <c r="CG34" s="169" t="s">
        <v>259</v>
      </c>
      <c r="CH34" s="169" t="s">
        <v>259</v>
      </c>
      <c r="CI34" s="169" t="s">
        <v>259</v>
      </c>
      <c r="CJ34" s="169" t="s">
        <v>259</v>
      </c>
      <c r="CK34" s="169" t="s">
        <v>259</v>
      </c>
      <c r="CL34" s="169" t="s">
        <v>259</v>
      </c>
      <c r="CM34" s="169" t="s">
        <v>259</v>
      </c>
      <c r="CN34" s="169" t="s">
        <v>259</v>
      </c>
      <c r="CO34" s="169" t="s">
        <v>259</v>
      </c>
      <c r="CP34" s="169" t="s">
        <v>259</v>
      </c>
      <c r="CQ34" s="169" t="s">
        <v>259</v>
      </c>
      <c r="CR34" s="169" t="s">
        <v>259</v>
      </c>
      <c r="CS34" s="169" t="s">
        <v>259</v>
      </c>
      <c r="CT34" s="169" t="s">
        <v>259</v>
      </c>
      <c r="CU34" s="169" t="s">
        <v>259</v>
      </c>
      <c r="CV34" s="169" t="s">
        <v>259</v>
      </c>
      <c r="CW34" s="169" t="s">
        <v>259</v>
      </c>
      <c r="CX34" s="169" t="s">
        <v>259</v>
      </c>
      <c r="CY34" s="169" t="s">
        <v>259</v>
      </c>
      <c r="CZ34" s="169" t="s">
        <v>259</v>
      </c>
      <c r="DA34" s="169" t="s">
        <v>259</v>
      </c>
      <c r="DB34" s="169" t="s">
        <v>259</v>
      </c>
      <c r="DC34" s="169" t="s">
        <v>259</v>
      </c>
      <c r="DD34" s="169" t="s">
        <v>259</v>
      </c>
      <c r="DE34" s="169" t="s">
        <v>259</v>
      </c>
      <c r="DF34" s="169" t="s">
        <v>259</v>
      </c>
      <c r="DG34" s="169" t="s">
        <v>259</v>
      </c>
      <c r="DH34" s="169" t="s">
        <v>259</v>
      </c>
      <c r="DI34" s="169" t="s">
        <v>259</v>
      </c>
      <c r="DJ34" s="169" t="s">
        <v>259</v>
      </c>
      <c r="DK34" s="169" t="s">
        <v>259</v>
      </c>
      <c r="DL34" s="169" t="s">
        <v>259</v>
      </c>
      <c r="DM34" s="169" t="s">
        <v>259</v>
      </c>
      <c r="DN34" s="169" t="s">
        <v>259</v>
      </c>
      <c r="DO34" s="169" t="s">
        <v>259</v>
      </c>
      <c r="DP34" s="169" t="s">
        <v>259</v>
      </c>
      <c r="DQ34" s="169" t="s">
        <v>259</v>
      </c>
      <c r="DR34" s="169" t="s">
        <v>259</v>
      </c>
      <c r="DS34" s="169" t="s">
        <v>259</v>
      </c>
      <c r="DT34" s="169" t="s">
        <v>259</v>
      </c>
    </row>
    <row r="35" spans="2:124" x14ac:dyDescent="0.3">
      <c r="B35" t="str">
        <f>'IMPORT SCHLIESSERDATEN'!B34</f>
        <v>TS 93 G GSR /BG EN 2-5 Gangfl.</v>
      </c>
      <c r="D35" s="169" t="s">
        <v>259</v>
      </c>
      <c r="E35" s="169" t="s">
        <v>259</v>
      </c>
      <c r="F35" s="169" t="s">
        <v>259</v>
      </c>
      <c r="G35" s="169" t="s">
        <v>259</v>
      </c>
      <c r="H35" s="169" t="s">
        <v>259</v>
      </c>
      <c r="I35" s="169" t="s">
        <v>259</v>
      </c>
      <c r="J35" s="169" t="s">
        <v>259</v>
      </c>
      <c r="K35" s="169" t="s">
        <v>259</v>
      </c>
      <c r="L35" s="169" t="s">
        <v>259</v>
      </c>
      <c r="M35" s="169" t="s">
        <v>259</v>
      </c>
      <c r="N35" s="169" t="s">
        <v>259</v>
      </c>
      <c r="O35" s="169" t="s">
        <v>259</v>
      </c>
      <c r="P35" s="169" t="s">
        <v>259</v>
      </c>
      <c r="Q35" s="169" t="s">
        <v>259</v>
      </c>
      <c r="R35" s="169" t="s">
        <v>259</v>
      </c>
      <c r="S35" s="169" t="s">
        <v>259</v>
      </c>
      <c r="T35" s="169" t="s">
        <v>259</v>
      </c>
      <c r="U35" s="169" t="s">
        <v>259</v>
      </c>
      <c r="V35" s="169" t="s">
        <v>259</v>
      </c>
      <c r="W35" s="169" t="s">
        <v>259</v>
      </c>
      <c r="X35" s="169" t="s">
        <v>259</v>
      </c>
      <c r="Y35" s="169" t="s">
        <v>259</v>
      </c>
      <c r="Z35" s="169" t="s">
        <v>259</v>
      </c>
      <c r="AA35" s="169" t="s">
        <v>259</v>
      </c>
      <c r="AB35" s="169" t="s">
        <v>259</v>
      </c>
      <c r="AC35" s="169" t="s">
        <v>259</v>
      </c>
      <c r="AD35" s="169" t="s">
        <v>259</v>
      </c>
      <c r="AE35" s="169" t="s">
        <v>259</v>
      </c>
      <c r="AF35" s="169" t="s">
        <v>259</v>
      </c>
      <c r="AG35" s="169" t="s">
        <v>259</v>
      </c>
      <c r="AH35" s="169" t="s">
        <v>259</v>
      </c>
      <c r="AI35" s="169" t="s">
        <v>259</v>
      </c>
      <c r="AJ35" s="169" t="s">
        <v>259</v>
      </c>
      <c r="AK35" s="169" t="s">
        <v>259</v>
      </c>
      <c r="AL35" s="169" t="s">
        <v>259</v>
      </c>
      <c r="AM35" s="169" t="s">
        <v>259</v>
      </c>
      <c r="AN35" s="169" t="s">
        <v>259</v>
      </c>
      <c r="AO35" s="169" t="s">
        <v>259</v>
      </c>
      <c r="AP35" s="169" t="s">
        <v>259</v>
      </c>
      <c r="AQ35" s="169" t="s">
        <v>259</v>
      </c>
      <c r="AR35" s="169" t="s">
        <v>259</v>
      </c>
      <c r="AS35" s="169" t="s">
        <v>259</v>
      </c>
      <c r="AT35" s="169" t="s">
        <v>259</v>
      </c>
      <c r="AU35" s="169" t="s">
        <v>259</v>
      </c>
      <c r="AV35" s="169" t="s">
        <v>259</v>
      </c>
      <c r="AW35" s="169" t="s">
        <v>259</v>
      </c>
      <c r="AX35" s="169" t="s">
        <v>259</v>
      </c>
      <c r="AY35" s="169" t="s">
        <v>259</v>
      </c>
      <c r="AZ35" s="169" t="s">
        <v>259</v>
      </c>
      <c r="BA35" s="169" t="s">
        <v>259</v>
      </c>
      <c r="BB35" s="169" t="s">
        <v>259</v>
      </c>
      <c r="BC35" s="169" t="s">
        <v>259</v>
      </c>
      <c r="BD35" s="169" t="s">
        <v>259</v>
      </c>
      <c r="BE35" s="169" t="s">
        <v>259</v>
      </c>
      <c r="BF35" s="169" t="s">
        <v>259</v>
      </c>
      <c r="BG35" s="169" t="s">
        <v>259</v>
      </c>
      <c r="BH35" s="169" t="s">
        <v>259</v>
      </c>
      <c r="BI35" s="169" t="s">
        <v>259</v>
      </c>
      <c r="BJ35" s="169" t="s">
        <v>259</v>
      </c>
      <c r="BK35" s="169" t="s">
        <v>259</v>
      </c>
      <c r="BL35" s="169" t="s">
        <v>259</v>
      </c>
      <c r="BM35" s="169" t="s">
        <v>259</v>
      </c>
      <c r="BN35" s="169" t="s">
        <v>259</v>
      </c>
      <c r="BO35" s="169" t="s">
        <v>259</v>
      </c>
      <c r="BP35" s="169" t="s">
        <v>259</v>
      </c>
      <c r="BQ35" s="169" t="s">
        <v>259</v>
      </c>
      <c r="BR35" s="169" t="s">
        <v>259</v>
      </c>
      <c r="BS35" s="169" t="s">
        <v>259</v>
      </c>
      <c r="BT35" s="169" t="s">
        <v>259</v>
      </c>
      <c r="BU35" s="169" t="s">
        <v>259</v>
      </c>
      <c r="BV35" s="169" t="s">
        <v>259</v>
      </c>
      <c r="BW35" s="169" t="s">
        <v>259</v>
      </c>
      <c r="BX35" s="169" t="s">
        <v>259</v>
      </c>
      <c r="BY35" s="169" t="s">
        <v>259</v>
      </c>
      <c r="BZ35" s="169" t="s">
        <v>259</v>
      </c>
      <c r="CA35" s="169" t="s">
        <v>259</v>
      </c>
      <c r="CB35" s="169" t="s">
        <v>259</v>
      </c>
      <c r="CC35" s="169" t="s">
        <v>259</v>
      </c>
      <c r="CD35" s="169" t="s">
        <v>259</v>
      </c>
      <c r="CE35" s="169" t="s">
        <v>259</v>
      </c>
      <c r="CF35" s="169" t="s">
        <v>259</v>
      </c>
      <c r="CG35" s="169" t="s">
        <v>259</v>
      </c>
      <c r="CH35" s="169" t="s">
        <v>259</v>
      </c>
      <c r="CI35" s="169" t="s">
        <v>259</v>
      </c>
      <c r="CJ35" s="169" t="s">
        <v>259</v>
      </c>
      <c r="CK35" s="169" t="s">
        <v>259</v>
      </c>
      <c r="CL35" s="169" t="s">
        <v>259</v>
      </c>
      <c r="CM35" s="169" t="s">
        <v>259</v>
      </c>
      <c r="CN35" s="169" t="s">
        <v>259</v>
      </c>
      <c r="CO35" s="169" t="s">
        <v>259</v>
      </c>
      <c r="CP35" s="169" t="s">
        <v>259</v>
      </c>
      <c r="CQ35" s="169" t="s">
        <v>259</v>
      </c>
      <c r="CR35" s="169" t="s">
        <v>259</v>
      </c>
      <c r="CS35" s="169" t="s">
        <v>259</v>
      </c>
      <c r="CT35" s="169" t="s">
        <v>259</v>
      </c>
      <c r="CU35" s="169" t="s">
        <v>259</v>
      </c>
      <c r="CV35" s="169" t="s">
        <v>259</v>
      </c>
      <c r="CW35" s="169" t="s">
        <v>259</v>
      </c>
      <c r="CX35" s="169" t="s">
        <v>259</v>
      </c>
      <c r="CY35" s="169" t="s">
        <v>259</v>
      </c>
      <c r="CZ35" s="169" t="s">
        <v>259</v>
      </c>
      <c r="DA35" s="169" t="s">
        <v>259</v>
      </c>
      <c r="DB35" s="169" t="s">
        <v>259</v>
      </c>
      <c r="DC35" s="169" t="s">
        <v>259</v>
      </c>
      <c r="DD35" s="169" t="s">
        <v>259</v>
      </c>
      <c r="DE35" s="169" t="s">
        <v>259</v>
      </c>
      <c r="DF35" s="169" t="s">
        <v>259</v>
      </c>
      <c r="DG35" s="169" t="s">
        <v>259</v>
      </c>
      <c r="DH35" s="169" t="s">
        <v>259</v>
      </c>
      <c r="DI35" s="169" t="s">
        <v>259</v>
      </c>
      <c r="DJ35" s="169" t="s">
        <v>259</v>
      </c>
      <c r="DK35" s="169" t="s">
        <v>259</v>
      </c>
      <c r="DL35" s="169" t="s">
        <v>259</v>
      </c>
      <c r="DM35" s="169" t="s">
        <v>259</v>
      </c>
      <c r="DN35" s="169" t="s">
        <v>259</v>
      </c>
      <c r="DO35" s="169" t="s">
        <v>259</v>
      </c>
      <c r="DP35" s="169" t="s">
        <v>259</v>
      </c>
      <c r="DQ35" s="169" t="s">
        <v>259</v>
      </c>
      <c r="DR35" s="169" t="s">
        <v>259</v>
      </c>
      <c r="DS35" s="169" t="s">
        <v>259</v>
      </c>
      <c r="DT35" s="169" t="s">
        <v>259</v>
      </c>
    </row>
    <row r="36" spans="2:124" x14ac:dyDescent="0.3">
      <c r="B36" t="str">
        <f>'IMPORT SCHLIESSERDATEN'!B35</f>
        <v>TS 93 G GSR RF /BG EN 2-5 Gangfl.</v>
      </c>
      <c r="D36" s="169" t="s">
        <v>259</v>
      </c>
      <c r="E36" s="169" t="s">
        <v>259</v>
      </c>
      <c r="F36" s="169" t="s">
        <v>259</v>
      </c>
      <c r="G36" s="169" t="s">
        <v>259</v>
      </c>
      <c r="H36" s="169" t="s">
        <v>259</v>
      </c>
      <c r="I36" s="169" t="s">
        <v>259</v>
      </c>
      <c r="J36" s="169" t="s">
        <v>259</v>
      </c>
      <c r="K36" s="169" t="s">
        <v>259</v>
      </c>
      <c r="L36" s="169" t="s">
        <v>259</v>
      </c>
      <c r="M36" s="169" t="s">
        <v>259</v>
      </c>
      <c r="N36" s="169" t="s">
        <v>259</v>
      </c>
      <c r="O36" s="169" t="s">
        <v>259</v>
      </c>
      <c r="P36" s="169" t="s">
        <v>259</v>
      </c>
      <c r="Q36" s="169" t="s">
        <v>259</v>
      </c>
      <c r="R36" s="169" t="s">
        <v>259</v>
      </c>
      <c r="S36" s="169" t="s">
        <v>259</v>
      </c>
      <c r="T36" s="169" t="s">
        <v>259</v>
      </c>
      <c r="U36" s="169" t="s">
        <v>1995</v>
      </c>
      <c r="V36" s="169" t="s">
        <v>259</v>
      </c>
      <c r="W36" s="169" t="s">
        <v>259</v>
      </c>
      <c r="X36" s="169" t="s">
        <v>259</v>
      </c>
      <c r="Y36" s="169" t="s">
        <v>259</v>
      </c>
      <c r="Z36" s="169" t="s">
        <v>259</v>
      </c>
      <c r="AA36" s="169" t="s">
        <v>259</v>
      </c>
      <c r="AB36" s="169" t="s">
        <v>259</v>
      </c>
      <c r="AC36" s="169" t="s">
        <v>259</v>
      </c>
      <c r="AD36" s="169" t="s">
        <v>259</v>
      </c>
      <c r="AE36" s="169" t="s">
        <v>259</v>
      </c>
      <c r="AF36" s="169" t="s">
        <v>259</v>
      </c>
      <c r="AG36" s="169" t="s">
        <v>259</v>
      </c>
      <c r="AH36" s="169" t="s">
        <v>259</v>
      </c>
      <c r="AI36" s="169" t="s">
        <v>259</v>
      </c>
      <c r="AJ36" s="169" t="s">
        <v>259</v>
      </c>
      <c r="AK36" s="169" t="s">
        <v>259</v>
      </c>
      <c r="AL36" s="169" t="s">
        <v>259</v>
      </c>
      <c r="AM36" s="169" t="s">
        <v>259</v>
      </c>
      <c r="AN36" s="169" t="s">
        <v>259</v>
      </c>
      <c r="AO36" s="169" t="s">
        <v>259</v>
      </c>
      <c r="AP36" s="169" t="s">
        <v>259</v>
      </c>
      <c r="AQ36" s="169" t="s">
        <v>259</v>
      </c>
      <c r="AR36" s="169" t="s">
        <v>259</v>
      </c>
      <c r="AS36" s="169" t="s">
        <v>259</v>
      </c>
      <c r="AT36" s="169" t="s">
        <v>259</v>
      </c>
      <c r="AU36" s="169" t="s">
        <v>259</v>
      </c>
      <c r="AV36" s="169" t="s">
        <v>259</v>
      </c>
      <c r="AW36" s="169" t="s">
        <v>259</v>
      </c>
      <c r="AX36" s="169" t="s">
        <v>259</v>
      </c>
      <c r="AY36" s="169" t="s">
        <v>259</v>
      </c>
      <c r="AZ36" s="169" t="s">
        <v>259</v>
      </c>
      <c r="BA36" s="169" t="s">
        <v>259</v>
      </c>
      <c r="BB36" s="169" t="s">
        <v>259</v>
      </c>
      <c r="BC36" s="169" t="s">
        <v>259</v>
      </c>
      <c r="BD36" s="169" t="s">
        <v>259</v>
      </c>
      <c r="BE36" s="169" t="s">
        <v>259</v>
      </c>
      <c r="BF36" s="169" t="s">
        <v>259</v>
      </c>
      <c r="BG36" s="169" t="s">
        <v>259</v>
      </c>
      <c r="BH36" s="169" t="s">
        <v>259</v>
      </c>
      <c r="BI36" s="169" t="s">
        <v>259</v>
      </c>
      <c r="BJ36" s="169" t="s">
        <v>259</v>
      </c>
      <c r="BK36" s="169" t="s">
        <v>259</v>
      </c>
      <c r="BL36" s="169" t="s">
        <v>259</v>
      </c>
      <c r="BM36" s="169" t="s">
        <v>259</v>
      </c>
      <c r="BN36" s="169" t="s">
        <v>259</v>
      </c>
      <c r="BO36" s="169" t="s">
        <v>259</v>
      </c>
      <c r="BP36" s="169" t="s">
        <v>259</v>
      </c>
      <c r="BQ36" s="169" t="s">
        <v>259</v>
      </c>
      <c r="BR36" s="169" t="s">
        <v>259</v>
      </c>
      <c r="BS36" s="169" t="s">
        <v>259</v>
      </c>
      <c r="BT36" s="169" t="s">
        <v>259</v>
      </c>
      <c r="BU36" s="169" t="s">
        <v>259</v>
      </c>
      <c r="BV36" s="169" t="s">
        <v>259</v>
      </c>
      <c r="BW36" s="169" t="s">
        <v>259</v>
      </c>
      <c r="BX36" s="169" t="s">
        <v>259</v>
      </c>
      <c r="BY36" s="169" t="s">
        <v>259</v>
      </c>
      <c r="BZ36" s="169" t="s">
        <v>259</v>
      </c>
      <c r="CA36" s="169" t="s">
        <v>259</v>
      </c>
      <c r="CB36" s="169" t="s">
        <v>259</v>
      </c>
      <c r="CC36" s="169" t="s">
        <v>259</v>
      </c>
      <c r="CD36" s="169" t="s">
        <v>259</v>
      </c>
      <c r="CE36" s="169" t="s">
        <v>259</v>
      </c>
      <c r="CF36" s="169" t="s">
        <v>259</v>
      </c>
      <c r="CG36" s="169" t="s">
        <v>259</v>
      </c>
      <c r="CH36" s="169" t="s">
        <v>259</v>
      </c>
      <c r="CI36" s="169" t="s">
        <v>259</v>
      </c>
      <c r="CJ36" s="169" t="s">
        <v>259</v>
      </c>
      <c r="CK36" s="169" t="s">
        <v>259</v>
      </c>
      <c r="CL36" s="169" t="s">
        <v>259</v>
      </c>
      <c r="CM36" s="169" t="s">
        <v>259</v>
      </c>
      <c r="CN36" s="169" t="s">
        <v>259</v>
      </c>
      <c r="CO36" s="169" t="s">
        <v>259</v>
      </c>
      <c r="CP36" s="169" t="s">
        <v>259</v>
      </c>
      <c r="CQ36" s="169" t="s">
        <v>259</v>
      </c>
      <c r="CR36" s="169" t="s">
        <v>259</v>
      </c>
      <c r="CS36" s="169" t="s">
        <v>259</v>
      </c>
      <c r="CT36" s="169" t="s">
        <v>259</v>
      </c>
      <c r="CU36" s="169" t="s">
        <v>259</v>
      </c>
      <c r="CV36" s="169" t="s">
        <v>259</v>
      </c>
      <c r="CW36" s="169" t="s">
        <v>259</v>
      </c>
      <c r="CX36" s="169" t="s">
        <v>259</v>
      </c>
      <c r="CY36" s="169" t="s">
        <v>259</v>
      </c>
      <c r="CZ36" s="169" t="s">
        <v>259</v>
      </c>
      <c r="DA36" s="169" t="s">
        <v>259</v>
      </c>
      <c r="DB36" s="169" t="s">
        <v>259</v>
      </c>
      <c r="DC36" s="169" t="s">
        <v>259</v>
      </c>
      <c r="DD36" s="169" t="s">
        <v>259</v>
      </c>
      <c r="DE36" s="169" t="s">
        <v>259</v>
      </c>
      <c r="DF36" s="169" t="s">
        <v>259</v>
      </c>
      <c r="DG36" s="169" t="s">
        <v>259</v>
      </c>
      <c r="DH36" s="169" t="s">
        <v>259</v>
      </c>
      <c r="DI36" s="169" t="s">
        <v>259</v>
      </c>
      <c r="DJ36" s="169" t="s">
        <v>259</v>
      </c>
      <c r="DK36" s="169" t="s">
        <v>259</v>
      </c>
      <c r="DL36" s="169" t="s">
        <v>259</v>
      </c>
      <c r="DM36" s="169" t="s">
        <v>259</v>
      </c>
      <c r="DN36" s="169" t="s">
        <v>259</v>
      </c>
      <c r="DO36" s="169" t="s">
        <v>259</v>
      </c>
      <c r="DP36" s="169" t="s">
        <v>259</v>
      </c>
      <c r="DQ36" s="169" t="s">
        <v>259</v>
      </c>
      <c r="DR36" s="169" t="s">
        <v>259</v>
      </c>
      <c r="DS36" s="169" t="s">
        <v>259</v>
      </c>
      <c r="DT36" s="169" t="s">
        <v>259</v>
      </c>
    </row>
    <row r="37" spans="2:124" x14ac:dyDescent="0.3">
      <c r="B37" t="str">
        <f>'IMPORT SCHLIESSERDATEN'!B36</f>
        <v>TS 93 G GSR-EMF 1 /BG EN 2-5 Gangfl.</v>
      </c>
      <c r="D37" s="169" t="s">
        <v>259</v>
      </c>
      <c r="E37" s="169" t="s">
        <v>259</v>
      </c>
      <c r="F37" s="169" t="s">
        <v>259</v>
      </c>
      <c r="G37" s="169" t="s">
        <v>259</v>
      </c>
      <c r="H37" s="169" t="s">
        <v>259</v>
      </c>
      <c r="I37" s="169" t="s">
        <v>259</v>
      </c>
      <c r="J37" s="169" t="s">
        <v>259</v>
      </c>
      <c r="K37" s="169" t="s">
        <v>259</v>
      </c>
      <c r="L37" s="169" t="s">
        <v>259</v>
      </c>
      <c r="M37" s="169" t="s">
        <v>259</v>
      </c>
      <c r="N37" s="169" t="s">
        <v>259</v>
      </c>
      <c r="O37" s="169" t="s">
        <v>259</v>
      </c>
      <c r="P37" s="169" t="s">
        <v>259</v>
      </c>
      <c r="Q37" s="169" t="s">
        <v>259</v>
      </c>
      <c r="R37" s="169" t="s">
        <v>259</v>
      </c>
      <c r="S37" s="169" t="s">
        <v>259</v>
      </c>
      <c r="T37" s="169" t="s">
        <v>259</v>
      </c>
      <c r="U37" s="169" t="s">
        <v>259</v>
      </c>
      <c r="V37" s="169" t="s">
        <v>259</v>
      </c>
      <c r="W37" s="169" t="s">
        <v>259</v>
      </c>
      <c r="X37" s="169" t="s">
        <v>259</v>
      </c>
      <c r="Y37" s="169" t="s">
        <v>259</v>
      </c>
      <c r="Z37" s="169" t="s">
        <v>259</v>
      </c>
      <c r="AA37" s="169" t="s">
        <v>259</v>
      </c>
      <c r="AB37" s="169" t="s">
        <v>259</v>
      </c>
      <c r="AC37" s="169" t="s">
        <v>259</v>
      </c>
      <c r="AD37" s="169" t="s">
        <v>259</v>
      </c>
      <c r="AE37" s="169" t="s">
        <v>259</v>
      </c>
      <c r="AF37" s="169" t="s">
        <v>259</v>
      </c>
      <c r="AG37" s="169" t="s">
        <v>259</v>
      </c>
      <c r="AH37" s="169" t="s">
        <v>259</v>
      </c>
      <c r="AI37" s="169" t="s">
        <v>259</v>
      </c>
      <c r="AJ37" s="169" t="s">
        <v>259</v>
      </c>
      <c r="AK37" s="169" t="s">
        <v>259</v>
      </c>
      <c r="AL37" s="169" t="s">
        <v>259</v>
      </c>
      <c r="AM37" s="169" t="s">
        <v>259</v>
      </c>
      <c r="AN37" s="169" t="s">
        <v>259</v>
      </c>
      <c r="AO37" s="169" t="s">
        <v>259</v>
      </c>
      <c r="AP37" s="169" t="s">
        <v>259</v>
      </c>
      <c r="AQ37" s="169" t="s">
        <v>259</v>
      </c>
      <c r="AR37" s="169" t="s">
        <v>259</v>
      </c>
      <c r="AS37" s="169" t="s">
        <v>259</v>
      </c>
      <c r="AT37" s="169" t="s">
        <v>259</v>
      </c>
      <c r="AU37" s="169" t="s">
        <v>259</v>
      </c>
      <c r="AV37" s="169" t="s">
        <v>259</v>
      </c>
      <c r="AW37" s="169" t="s">
        <v>259</v>
      </c>
      <c r="AX37" s="169" t="s">
        <v>259</v>
      </c>
      <c r="AY37" s="169" t="s">
        <v>259</v>
      </c>
      <c r="AZ37" s="169" t="s">
        <v>259</v>
      </c>
      <c r="BA37" s="169" t="s">
        <v>259</v>
      </c>
      <c r="BB37" s="169" t="s">
        <v>259</v>
      </c>
      <c r="BC37" s="169" t="s">
        <v>259</v>
      </c>
      <c r="BD37" s="169" t="s">
        <v>259</v>
      </c>
      <c r="BE37" s="169" t="s">
        <v>259</v>
      </c>
      <c r="BF37" s="169" t="s">
        <v>259</v>
      </c>
      <c r="BG37" s="169" t="s">
        <v>259</v>
      </c>
      <c r="BH37" s="169" t="s">
        <v>259</v>
      </c>
      <c r="BI37" s="169" t="s">
        <v>259</v>
      </c>
      <c r="BJ37" s="169" t="s">
        <v>259</v>
      </c>
      <c r="BK37" s="169" t="s">
        <v>259</v>
      </c>
      <c r="BL37" s="169" t="s">
        <v>259</v>
      </c>
      <c r="BM37" s="169" t="s">
        <v>259</v>
      </c>
      <c r="BN37" s="169" t="s">
        <v>259</v>
      </c>
      <c r="BO37" s="169" t="s">
        <v>259</v>
      </c>
      <c r="BP37" s="169" t="s">
        <v>259</v>
      </c>
      <c r="BQ37" s="169" t="s">
        <v>259</v>
      </c>
      <c r="BR37" s="169" t="s">
        <v>259</v>
      </c>
      <c r="BS37" s="169" t="s">
        <v>259</v>
      </c>
      <c r="BT37" s="169" t="s">
        <v>259</v>
      </c>
      <c r="BU37" s="169" t="s">
        <v>259</v>
      </c>
      <c r="BV37" s="169" t="s">
        <v>259</v>
      </c>
      <c r="BW37" s="169" t="s">
        <v>259</v>
      </c>
      <c r="BX37" s="169" t="s">
        <v>259</v>
      </c>
      <c r="BY37" s="169" t="s">
        <v>259</v>
      </c>
      <c r="BZ37" s="169" t="s">
        <v>259</v>
      </c>
      <c r="CA37" s="169" t="s">
        <v>259</v>
      </c>
      <c r="CB37" s="169" t="s">
        <v>259</v>
      </c>
      <c r="CC37" s="169" t="s">
        <v>259</v>
      </c>
      <c r="CD37" s="169" t="s">
        <v>259</v>
      </c>
      <c r="CE37" s="169" t="s">
        <v>259</v>
      </c>
      <c r="CF37" s="169" t="s">
        <v>259</v>
      </c>
      <c r="CG37" s="169" t="s">
        <v>259</v>
      </c>
      <c r="CH37" s="169" t="s">
        <v>259</v>
      </c>
      <c r="CI37" s="169" t="s">
        <v>259</v>
      </c>
      <c r="CJ37" s="169" t="s">
        <v>259</v>
      </c>
      <c r="CK37" s="169" t="s">
        <v>259</v>
      </c>
      <c r="CL37" s="169" t="s">
        <v>259</v>
      </c>
      <c r="CM37" s="169" t="s">
        <v>259</v>
      </c>
      <c r="CN37" s="169" t="s">
        <v>259</v>
      </c>
      <c r="CO37" s="169" t="s">
        <v>259</v>
      </c>
      <c r="CP37" s="169" t="s">
        <v>259</v>
      </c>
      <c r="CQ37" s="169" t="s">
        <v>259</v>
      </c>
      <c r="CR37" s="169" t="s">
        <v>259</v>
      </c>
      <c r="CS37" s="169" t="s">
        <v>259</v>
      </c>
      <c r="CT37" s="169" t="s">
        <v>259</v>
      </c>
      <c r="CU37" s="169" t="s">
        <v>259</v>
      </c>
      <c r="CV37" s="169" t="s">
        <v>259</v>
      </c>
      <c r="CW37" s="169" t="s">
        <v>259</v>
      </c>
      <c r="CX37" s="169" t="s">
        <v>259</v>
      </c>
      <c r="CY37" s="169" t="s">
        <v>259</v>
      </c>
      <c r="CZ37" s="169" t="s">
        <v>259</v>
      </c>
      <c r="DA37" s="169" t="s">
        <v>259</v>
      </c>
      <c r="DB37" s="169" t="s">
        <v>259</v>
      </c>
      <c r="DC37" s="169" t="s">
        <v>259</v>
      </c>
      <c r="DD37" s="169" t="s">
        <v>259</v>
      </c>
      <c r="DE37" s="169" t="s">
        <v>259</v>
      </c>
      <c r="DF37" s="169" t="s">
        <v>259</v>
      </c>
      <c r="DG37" s="169" t="s">
        <v>259</v>
      </c>
      <c r="DH37" s="169" t="s">
        <v>259</v>
      </c>
      <c r="DI37" s="169" t="s">
        <v>259</v>
      </c>
      <c r="DJ37" s="169" t="s">
        <v>259</v>
      </c>
      <c r="DK37" s="169" t="s">
        <v>259</v>
      </c>
      <c r="DL37" s="169" t="s">
        <v>259</v>
      </c>
      <c r="DM37" s="169" t="s">
        <v>259</v>
      </c>
      <c r="DN37" s="169" t="s">
        <v>259</v>
      </c>
      <c r="DO37" s="169" t="s">
        <v>259</v>
      </c>
      <c r="DP37" s="169" t="s">
        <v>259</v>
      </c>
      <c r="DQ37" s="169" t="s">
        <v>259</v>
      </c>
      <c r="DR37" s="169" t="s">
        <v>259</v>
      </c>
      <c r="DS37" s="169" t="s">
        <v>259</v>
      </c>
      <c r="DT37" s="169" t="s">
        <v>259</v>
      </c>
    </row>
    <row r="38" spans="2:124" x14ac:dyDescent="0.3">
      <c r="B38" t="str">
        <f>'IMPORT SCHLIESSERDATEN'!B37</f>
        <v>TS 93 G GSR-EMF 1G /BG EN 2-5 Gangfl.</v>
      </c>
      <c r="D38" s="169" t="s">
        <v>259</v>
      </c>
      <c r="E38" s="169" t="s">
        <v>259</v>
      </c>
      <c r="F38" s="169" t="s">
        <v>259</v>
      </c>
      <c r="G38" s="169" t="s">
        <v>259</v>
      </c>
      <c r="H38" s="169" t="s">
        <v>259</v>
      </c>
      <c r="I38" s="169" t="s">
        <v>259</v>
      </c>
      <c r="J38" s="169" t="s">
        <v>259</v>
      </c>
      <c r="K38" s="169" t="s">
        <v>259</v>
      </c>
      <c r="L38" s="169" t="s">
        <v>259</v>
      </c>
      <c r="M38" s="169" t="s">
        <v>259</v>
      </c>
      <c r="N38" s="169" t="s">
        <v>259</v>
      </c>
      <c r="O38" s="169" t="s">
        <v>259</v>
      </c>
      <c r="P38" s="169" t="s">
        <v>259</v>
      </c>
      <c r="Q38" s="169" t="s">
        <v>259</v>
      </c>
      <c r="R38" s="169" t="s">
        <v>259</v>
      </c>
      <c r="S38" s="169" t="s">
        <v>259</v>
      </c>
      <c r="T38" s="169" t="s">
        <v>259</v>
      </c>
      <c r="U38" s="169" t="s">
        <v>259</v>
      </c>
      <c r="V38" s="169" t="s">
        <v>259</v>
      </c>
      <c r="W38" s="169" t="s">
        <v>259</v>
      </c>
      <c r="X38" s="169" t="s">
        <v>259</v>
      </c>
      <c r="Y38" s="169" t="s">
        <v>259</v>
      </c>
      <c r="Z38" s="169" t="s">
        <v>259</v>
      </c>
      <c r="AA38" s="169" t="s">
        <v>259</v>
      </c>
      <c r="AB38" s="169" t="s">
        <v>259</v>
      </c>
      <c r="AC38" s="169" t="s">
        <v>259</v>
      </c>
      <c r="AD38" s="169" t="s">
        <v>259</v>
      </c>
      <c r="AE38" s="169" t="s">
        <v>259</v>
      </c>
      <c r="AF38" s="169" t="s">
        <v>259</v>
      </c>
      <c r="AG38" s="169" t="s">
        <v>259</v>
      </c>
      <c r="AH38" s="169" t="s">
        <v>259</v>
      </c>
      <c r="AI38" s="169" t="s">
        <v>259</v>
      </c>
      <c r="AJ38" s="169" t="s">
        <v>259</v>
      </c>
      <c r="AK38" s="169" t="s">
        <v>259</v>
      </c>
      <c r="AL38" s="169" t="s">
        <v>259</v>
      </c>
      <c r="AM38" s="169" t="s">
        <v>259</v>
      </c>
      <c r="AN38" s="169" t="s">
        <v>259</v>
      </c>
      <c r="AO38" s="169" t="s">
        <v>259</v>
      </c>
      <c r="AP38" s="169" t="s">
        <v>259</v>
      </c>
      <c r="AQ38" s="169" t="s">
        <v>259</v>
      </c>
      <c r="AR38" s="169" t="s">
        <v>259</v>
      </c>
      <c r="AS38" s="169" t="s">
        <v>259</v>
      </c>
      <c r="AT38" s="169" t="s">
        <v>259</v>
      </c>
      <c r="AU38" s="169" t="s">
        <v>259</v>
      </c>
      <c r="AV38" s="169" t="s">
        <v>259</v>
      </c>
      <c r="AW38" s="169" t="s">
        <v>259</v>
      </c>
      <c r="AX38" s="169" t="s">
        <v>259</v>
      </c>
      <c r="AY38" s="169" t="s">
        <v>259</v>
      </c>
      <c r="AZ38" s="169" t="s">
        <v>259</v>
      </c>
      <c r="BA38" s="169" t="s">
        <v>259</v>
      </c>
      <c r="BB38" s="169" t="s">
        <v>259</v>
      </c>
      <c r="BC38" s="169" t="s">
        <v>259</v>
      </c>
      <c r="BD38" s="169" t="s">
        <v>259</v>
      </c>
      <c r="BE38" s="169" t="s">
        <v>259</v>
      </c>
      <c r="BF38" s="169" t="s">
        <v>259</v>
      </c>
      <c r="BG38" s="169" t="s">
        <v>259</v>
      </c>
      <c r="BH38" s="169" t="s">
        <v>259</v>
      </c>
      <c r="BI38" s="169" t="s">
        <v>259</v>
      </c>
      <c r="BJ38" s="169" t="s">
        <v>259</v>
      </c>
      <c r="BK38" s="169" t="s">
        <v>259</v>
      </c>
      <c r="BL38" s="169" t="s">
        <v>259</v>
      </c>
      <c r="BM38" s="169" t="s">
        <v>259</v>
      </c>
      <c r="BN38" s="169" t="s">
        <v>259</v>
      </c>
      <c r="BO38" s="169" t="s">
        <v>259</v>
      </c>
      <c r="BP38" s="169" t="s">
        <v>259</v>
      </c>
      <c r="BQ38" s="169" t="s">
        <v>259</v>
      </c>
      <c r="BR38" s="169" t="s">
        <v>259</v>
      </c>
      <c r="BS38" s="169" t="s">
        <v>259</v>
      </c>
      <c r="BT38" s="169" t="s">
        <v>259</v>
      </c>
      <c r="BU38" s="169" t="s">
        <v>259</v>
      </c>
      <c r="BV38" s="169" t="s">
        <v>259</v>
      </c>
      <c r="BW38" s="169" t="s">
        <v>259</v>
      </c>
      <c r="BX38" s="169" t="s">
        <v>259</v>
      </c>
      <c r="BY38" s="169" t="s">
        <v>259</v>
      </c>
      <c r="BZ38" s="169" t="s">
        <v>259</v>
      </c>
      <c r="CA38" s="169" t="s">
        <v>259</v>
      </c>
      <c r="CB38" s="169" t="s">
        <v>259</v>
      </c>
      <c r="CC38" s="169" t="s">
        <v>259</v>
      </c>
      <c r="CD38" s="169" t="s">
        <v>259</v>
      </c>
      <c r="CE38" s="169" t="s">
        <v>259</v>
      </c>
      <c r="CF38" s="169" t="s">
        <v>259</v>
      </c>
      <c r="CG38" s="169" t="s">
        <v>259</v>
      </c>
      <c r="CH38" s="169" t="s">
        <v>259</v>
      </c>
      <c r="CI38" s="169" t="s">
        <v>259</v>
      </c>
      <c r="CJ38" s="169" t="s">
        <v>259</v>
      </c>
      <c r="CK38" s="169" t="s">
        <v>259</v>
      </c>
      <c r="CL38" s="169" t="s">
        <v>259</v>
      </c>
      <c r="CM38" s="169" t="s">
        <v>259</v>
      </c>
      <c r="CN38" s="169" t="s">
        <v>259</v>
      </c>
      <c r="CO38" s="169" t="s">
        <v>259</v>
      </c>
      <c r="CP38" s="169" t="s">
        <v>259</v>
      </c>
      <c r="CQ38" s="169" t="s">
        <v>259</v>
      </c>
      <c r="CR38" s="169" t="s">
        <v>259</v>
      </c>
      <c r="CS38" s="169" t="s">
        <v>259</v>
      </c>
      <c r="CT38" s="169" t="s">
        <v>259</v>
      </c>
      <c r="CU38" s="169" t="s">
        <v>259</v>
      </c>
      <c r="CV38" s="169" t="s">
        <v>259</v>
      </c>
      <c r="CW38" s="169" t="s">
        <v>259</v>
      </c>
      <c r="CX38" s="169" t="s">
        <v>259</v>
      </c>
      <c r="CY38" s="169" t="s">
        <v>259</v>
      </c>
      <c r="CZ38" s="169" t="s">
        <v>259</v>
      </c>
      <c r="DA38" s="169" t="s">
        <v>259</v>
      </c>
      <c r="DB38" s="169" t="s">
        <v>259</v>
      </c>
      <c r="DC38" s="169" t="s">
        <v>259</v>
      </c>
      <c r="DD38" s="169" t="s">
        <v>259</v>
      </c>
      <c r="DE38" s="169" t="s">
        <v>259</v>
      </c>
      <c r="DF38" s="169" t="s">
        <v>259</v>
      </c>
      <c r="DG38" s="169" t="s">
        <v>259</v>
      </c>
      <c r="DH38" s="169" t="s">
        <v>259</v>
      </c>
      <c r="DI38" s="169" t="s">
        <v>259</v>
      </c>
      <c r="DJ38" s="169" t="s">
        <v>259</v>
      </c>
      <c r="DK38" s="169" t="s">
        <v>259</v>
      </c>
      <c r="DL38" s="169" t="s">
        <v>259</v>
      </c>
      <c r="DM38" s="169" t="s">
        <v>259</v>
      </c>
      <c r="DN38" s="169" t="s">
        <v>259</v>
      </c>
      <c r="DO38" s="169" t="s">
        <v>259</v>
      </c>
      <c r="DP38" s="169" t="s">
        <v>259</v>
      </c>
      <c r="DQ38" s="169" t="s">
        <v>259</v>
      </c>
      <c r="DR38" s="169" t="s">
        <v>259</v>
      </c>
      <c r="DS38" s="169" t="s">
        <v>259</v>
      </c>
      <c r="DT38" s="169" t="s">
        <v>259</v>
      </c>
    </row>
    <row r="39" spans="2:124" x14ac:dyDescent="0.3">
      <c r="B39" t="str">
        <f>'IMPORT SCHLIESSERDATEN'!B38</f>
        <v>TS 93 G GSR-EMF 2 /BG EN 2-5 Gangfl.</v>
      </c>
      <c r="D39" s="169" t="s">
        <v>259</v>
      </c>
      <c r="E39" s="169" t="s">
        <v>259</v>
      </c>
      <c r="F39" s="169" t="s">
        <v>259</v>
      </c>
      <c r="G39" s="169" t="s">
        <v>259</v>
      </c>
      <c r="H39" s="169" t="s">
        <v>259</v>
      </c>
      <c r="I39" s="169" t="s">
        <v>259</v>
      </c>
      <c r="J39" s="169" t="s">
        <v>259</v>
      </c>
      <c r="K39" s="169" t="s">
        <v>259</v>
      </c>
      <c r="L39" s="169" t="s">
        <v>259</v>
      </c>
      <c r="M39" s="169" t="s">
        <v>259</v>
      </c>
      <c r="N39" s="169" t="s">
        <v>259</v>
      </c>
      <c r="O39" s="169" t="s">
        <v>259</v>
      </c>
      <c r="P39" s="169" t="s">
        <v>259</v>
      </c>
      <c r="Q39" s="169" t="s">
        <v>259</v>
      </c>
      <c r="R39" s="169" t="s">
        <v>259</v>
      </c>
      <c r="S39" s="169" t="s">
        <v>259</v>
      </c>
      <c r="T39" s="169" t="s">
        <v>259</v>
      </c>
      <c r="U39" s="169" t="s">
        <v>259</v>
      </c>
      <c r="V39" s="169" t="s">
        <v>259</v>
      </c>
      <c r="W39" s="169" t="s">
        <v>259</v>
      </c>
      <c r="X39" s="169" t="s">
        <v>259</v>
      </c>
      <c r="Y39" s="169" t="s">
        <v>259</v>
      </c>
      <c r="Z39" s="169" t="s">
        <v>259</v>
      </c>
      <c r="AA39" s="169" t="s">
        <v>259</v>
      </c>
      <c r="AB39" s="169" t="s">
        <v>259</v>
      </c>
      <c r="AC39" s="169" t="s">
        <v>259</v>
      </c>
      <c r="AD39" s="169" t="s">
        <v>259</v>
      </c>
      <c r="AE39" s="169" t="s">
        <v>259</v>
      </c>
      <c r="AF39" s="169" t="s">
        <v>259</v>
      </c>
      <c r="AG39" s="169" t="s">
        <v>259</v>
      </c>
      <c r="AH39" s="169" t="s">
        <v>259</v>
      </c>
      <c r="AI39" s="169" t="s">
        <v>259</v>
      </c>
      <c r="AJ39" s="169" t="s">
        <v>259</v>
      </c>
      <c r="AK39" s="169" t="s">
        <v>259</v>
      </c>
      <c r="AL39" s="169" t="s">
        <v>259</v>
      </c>
      <c r="AM39" s="169" t="s">
        <v>259</v>
      </c>
      <c r="AN39" s="169" t="s">
        <v>259</v>
      </c>
      <c r="AO39" s="169" t="s">
        <v>259</v>
      </c>
      <c r="AP39" s="169" t="s">
        <v>259</v>
      </c>
      <c r="AQ39" s="169" t="s">
        <v>259</v>
      </c>
      <c r="AR39" s="169" t="s">
        <v>259</v>
      </c>
      <c r="AS39" s="169" t="s">
        <v>259</v>
      </c>
      <c r="AT39" s="169" t="s">
        <v>259</v>
      </c>
      <c r="AU39" s="169" t="s">
        <v>259</v>
      </c>
      <c r="AV39" s="169" t="s">
        <v>259</v>
      </c>
      <c r="AW39" s="169" t="s">
        <v>259</v>
      </c>
      <c r="AX39" s="169" t="s">
        <v>259</v>
      </c>
      <c r="AY39" s="169" t="s">
        <v>259</v>
      </c>
      <c r="AZ39" s="169" t="s">
        <v>259</v>
      </c>
      <c r="BA39" s="169" t="s">
        <v>259</v>
      </c>
      <c r="BB39" s="169" t="s">
        <v>259</v>
      </c>
      <c r="BC39" s="169" t="s">
        <v>259</v>
      </c>
      <c r="BD39" s="169" t="s">
        <v>259</v>
      </c>
      <c r="BE39" s="169" t="s">
        <v>259</v>
      </c>
      <c r="BF39" s="169" t="s">
        <v>259</v>
      </c>
      <c r="BG39" s="169" t="s">
        <v>259</v>
      </c>
      <c r="BH39" s="169" t="s">
        <v>259</v>
      </c>
      <c r="BI39" s="169" t="s">
        <v>259</v>
      </c>
      <c r="BJ39" s="169" t="s">
        <v>259</v>
      </c>
      <c r="BK39" s="169" t="s">
        <v>259</v>
      </c>
      <c r="BL39" s="169" t="s">
        <v>259</v>
      </c>
      <c r="BM39" s="169" t="s">
        <v>259</v>
      </c>
      <c r="BN39" s="169" t="s">
        <v>259</v>
      </c>
      <c r="BO39" s="169" t="s">
        <v>259</v>
      </c>
      <c r="BP39" s="169" t="s">
        <v>259</v>
      </c>
      <c r="BQ39" s="169" t="s">
        <v>259</v>
      </c>
      <c r="BR39" s="169" t="s">
        <v>259</v>
      </c>
      <c r="BS39" s="169" t="s">
        <v>259</v>
      </c>
      <c r="BT39" s="169" t="s">
        <v>259</v>
      </c>
      <c r="BU39" s="169" t="s">
        <v>259</v>
      </c>
      <c r="BV39" s="169" t="s">
        <v>259</v>
      </c>
      <c r="BW39" s="169" t="s">
        <v>259</v>
      </c>
      <c r="BX39" s="169" t="s">
        <v>259</v>
      </c>
      <c r="BY39" s="169" t="s">
        <v>259</v>
      </c>
      <c r="BZ39" s="169" t="s">
        <v>259</v>
      </c>
      <c r="CA39" s="169" t="s">
        <v>259</v>
      </c>
      <c r="CB39" s="169" t="s">
        <v>259</v>
      </c>
      <c r="CC39" s="169" t="s">
        <v>259</v>
      </c>
      <c r="CD39" s="169" t="s">
        <v>259</v>
      </c>
      <c r="CE39" s="169" t="s">
        <v>259</v>
      </c>
      <c r="CF39" s="169" t="s">
        <v>259</v>
      </c>
      <c r="CG39" s="169" t="s">
        <v>259</v>
      </c>
      <c r="CH39" s="169" t="s">
        <v>259</v>
      </c>
      <c r="CI39" s="169" t="s">
        <v>259</v>
      </c>
      <c r="CJ39" s="169" t="s">
        <v>259</v>
      </c>
      <c r="CK39" s="169" t="s">
        <v>259</v>
      </c>
      <c r="CL39" s="169" t="s">
        <v>259</v>
      </c>
      <c r="CM39" s="169" t="s">
        <v>259</v>
      </c>
      <c r="CN39" s="169" t="s">
        <v>259</v>
      </c>
      <c r="CO39" s="169" t="s">
        <v>259</v>
      </c>
      <c r="CP39" s="169" t="s">
        <v>259</v>
      </c>
      <c r="CQ39" s="169" t="s">
        <v>259</v>
      </c>
      <c r="CR39" s="169" t="s">
        <v>259</v>
      </c>
      <c r="CS39" s="169" t="s">
        <v>259</v>
      </c>
      <c r="CT39" s="169" t="s">
        <v>259</v>
      </c>
      <c r="CU39" s="169" t="s">
        <v>259</v>
      </c>
      <c r="CV39" s="169" t="s">
        <v>259</v>
      </c>
      <c r="CW39" s="169" t="s">
        <v>259</v>
      </c>
      <c r="CX39" s="169" t="s">
        <v>259</v>
      </c>
      <c r="CY39" s="169" t="s">
        <v>259</v>
      </c>
      <c r="CZ39" s="169" t="s">
        <v>259</v>
      </c>
      <c r="DA39" s="169" t="s">
        <v>259</v>
      </c>
      <c r="DB39" s="169" t="s">
        <v>259</v>
      </c>
      <c r="DC39" s="169" t="s">
        <v>259</v>
      </c>
      <c r="DD39" s="169" t="s">
        <v>259</v>
      </c>
      <c r="DE39" s="169" t="s">
        <v>259</v>
      </c>
      <c r="DF39" s="169" t="s">
        <v>259</v>
      </c>
      <c r="DG39" s="169" t="s">
        <v>259</v>
      </c>
      <c r="DH39" s="169" t="s">
        <v>259</v>
      </c>
      <c r="DI39" s="169" t="s">
        <v>259</v>
      </c>
      <c r="DJ39" s="169" t="s">
        <v>259</v>
      </c>
      <c r="DK39" s="169" t="s">
        <v>259</v>
      </c>
      <c r="DL39" s="169" t="s">
        <v>259</v>
      </c>
      <c r="DM39" s="169" t="s">
        <v>259</v>
      </c>
      <c r="DN39" s="169" t="s">
        <v>259</v>
      </c>
      <c r="DO39" s="169" t="s">
        <v>259</v>
      </c>
      <c r="DP39" s="169" t="s">
        <v>259</v>
      </c>
      <c r="DQ39" s="169" t="s">
        <v>259</v>
      </c>
      <c r="DR39" s="169" t="s">
        <v>259</v>
      </c>
      <c r="DS39" s="169" t="s">
        <v>259</v>
      </c>
      <c r="DT39" s="169" t="s">
        <v>259</v>
      </c>
    </row>
    <row r="40" spans="2:124" x14ac:dyDescent="0.3">
      <c r="B40" t="str">
        <f>'IMPORT SCHLIESSERDATEN'!B39</f>
        <v>TS 93 G GSR-EMR 1 /BG EN 2-5 Gangfl.</v>
      </c>
      <c r="D40" s="169" t="s">
        <v>259</v>
      </c>
      <c r="E40" s="169" t="s">
        <v>259</v>
      </c>
      <c r="F40" s="169" t="s">
        <v>259</v>
      </c>
      <c r="G40" s="169" t="s">
        <v>259</v>
      </c>
      <c r="H40" s="169" t="s">
        <v>259</v>
      </c>
      <c r="I40" s="169" t="s">
        <v>259</v>
      </c>
      <c r="J40" s="169" t="s">
        <v>259</v>
      </c>
      <c r="K40" s="169" t="s">
        <v>259</v>
      </c>
      <c r="L40" s="169" t="s">
        <v>259</v>
      </c>
      <c r="M40" s="169" t="s">
        <v>259</v>
      </c>
      <c r="N40" s="169" t="s">
        <v>259</v>
      </c>
      <c r="O40" s="169" t="s">
        <v>259</v>
      </c>
      <c r="P40" s="169" t="s">
        <v>259</v>
      </c>
      <c r="Q40" s="169" t="s">
        <v>259</v>
      </c>
      <c r="R40" s="169" t="s">
        <v>259</v>
      </c>
      <c r="S40" s="169" t="s">
        <v>259</v>
      </c>
      <c r="T40" s="169" t="s">
        <v>259</v>
      </c>
      <c r="U40" s="169" t="s">
        <v>259</v>
      </c>
      <c r="V40" s="169" t="s">
        <v>259</v>
      </c>
      <c r="W40" s="169" t="s">
        <v>259</v>
      </c>
      <c r="X40" s="169" t="s">
        <v>259</v>
      </c>
      <c r="Y40" s="169" t="s">
        <v>259</v>
      </c>
      <c r="Z40" s="169" t="s">
        <v>259</v>
      </c>
      <c r="AA40" s="169" t="s">
        <v>259</v>
      </c>
      <c r="AB40" s="169" t="s">
        <v>259</v>
      </c>
      <c r="AC40" s="169" t="s">
        <v>259</v>
      </c>
      <c r="AD40" s="169" t="s">
        <v>259</v>
      </c>
      <c r="AE40" s="169" t="s">
        <v>259</v>
      </c>
      <c r="AF40" s="169" t="s">
        <v>259</v>
      </c>
      <c r="AG40" s="169" t="s">
        <v>259</v>
      </c>
      <c r="AH40" s="169" t="s">
        <v>259</v>
      </c>
      <c r="AI40" s="169" t="s">
        <v>259</v>
      </c>
      <c r="AJ40" s="169" t="s">
        <v>259</v>
      </c>
      <c r="AK40" s="169" t="s">
        <v>259</v>
      </c>
      <c r="AL40" s="169" t="s">
        <v>259</v>
      </c>
      <c r="AM40" s="169" t="s">
        <v>259</v>
      </c>
      <c r="AN40" s="169" t="s">
        <v>259</v>
      </c>
      <c r="AO40" s="169" t="s">
        <v>259</v>
      </c>
      <c r="AP40" s="169" t="s">
        <v>259</v>
      </c>
      <c r="AQ40" s="169" t="s">
        <v>259</v>
      </c>
      <c r="AR40" s="169" t="s">
        <v>259</v>
      </c>
      <c r="AS40" s="169" t="s">
        <v>259</v>
      </c>
      <c r="AT40" s="169" t="s">
        <v>259</v>
      </c>
      <c r="AU40" s="169" t="s">
        <v>259</v>
      </c>
      <c r="AV40" s="169" t="s">
        <v>259</v>
      </c>
      <c r="AW40" s="169" t="s">
        <v>259</v>
      </c>
      <c r="AX40" s="169" t="s">
        <v>259</v>
      </c>
      <c r="AY40" s="169" t="s">
        <v>259</v>
      </c>
      <c r="AZ40" s="169" t="s">
        <v>259</v>
      </c>
      <c r="BA40" s="169" t="s">
        <v>259</v>
      </c>
      <c r="BB40" s="169" t="s">
        <v>259</v>
      </c>
      <c r="BC40" s="169" t="s">
        <v>259</v>
      </c>
      <c r="BD40" s="169" t="s">
        <v>259</v>
      </c>
      <c r="BE40" s="169" t="s">
        <v>259</v>
      </c>
      <c r="BF40" s="169" t="s">
        <v>259</v>
      </c>
      <c r="BG40" s="169" t="s">
        <v>259</v>
      </c>
      <c r="BH40" s="169" t="s">
        <v>259</v>
      </c>
      <c r="BI40" s="169" t="s">
        <v>259</v>
      </c>
      <c r="BJ40" s="169" t="s">
        <v>259</v>
      </c>
      <c r="BK40" s="169" t="s">
        <v>259</v>
      </c>
      <c r="BL40" s="169" t="s">
        <v>259</v>
      </c>
      <c r="BM40" s="169" t="s">
        <v>259</v>
      </c>
      <c r="BN40" s="169" t="s">
        <v>259</v>
      </c>
      <c r="BO40" s="169" t="s">
        <v>259</v>
      </c>
      <c r="BP40" s="169" t="s">
        <v>259</v>
      </c>
      <c r="BQ40" s="169" t="s">
        <v>259</v>
      </c>
      <c r="BR40" s="169" t="s">
        <v>259</v>
      </c>
      <c r="BS40" s="169" t="s">
        <v>259</v>
      </c>
      <c r="BT40" s="169" t="s">
        <v>259</v>
      </c>
      <c r="BU40" s="169" t="s">
        <v>259</v>
      </c>
      <c r="BV40" s="169" t="s">
        <v>259</v>
      </c>
      <c r="BW40" s="169" t="s">
        <v>259</v>
      </c>
      <c r="BX40" s="169" t="s">
        <v>259</v>
      </c>
      <c r="BY40" s="169" t="s">
        <v>259</v>
      </c>
      <c r="BZ40" s="169" t="s">
        <v>259</v>
      </c>
      <c r="CA40" s="169" t="s">
        <v>259</v>
      </c>
      <c r="CB40" s="169" t="s">
        <v>259</v>
      </c>
      <c r="CC40" s="169" t="s">
        <v>259</v>
      </c>
      <c r="CD40" s="169" t="s">
        <v>259</v>
      </c>
      <c r="CE40" s="169" t="s">
        <v>259</v>
      </c>
      <c r="CF40" s="169" t="s">
        <v>259</v>
      </c>
      <c r="CG40" s="169" t="s">
        <v>259</v>
      </c>
      <c r="CH40" s="169" t="s">
        <v>259</v>
      </c>
      <c r="CI40" s="169" t="s">
        <v>259</v>
      </c>
      <c r="CJ40" s="169" t="s">
        <v>259</v>
      </c>
      <c r="CK40" s="169" t="s">
        <v>259</v>
      </c>
      <c r="CL40" s="169" t="s">
        <v>259</v>
      </c>
      <c r="CM40" s="169" t="s">
        <v>259</v>
      </c>
      <c r="CN40" s="169" t="s">
        <v>259</v>
      </c>
      <c r="CO40" s="169" t="s">
        <v>259</v>
      </c>
      <c r="CP40" s="169" t="s">
        <v>259</v>
      </c>
      <c r="CQ40" s="169" t="s">
        <v>259</v>
      </c>
      <c r="CR40" s="169" t="s">
        <v>259</v>
      </c>
      <c r="CS40" s="169" t="s">
        <v>259</v>
      </c>
      <c r="CT40" s="169" t="s">
        <v>259</v>
      </c>
      <c r="CU40" s="169" t="s">
        <v>259</v>
      </c>
      <c r="CV40" s="169" t="s">
        <v>259</v>
      </c>
      <c r="CW40" s="169" t="s">
        <v>259</v>
      </c>
      <c r="CX40" s="169" t="s">
        <v>259</v>
      </c>
      <c r="CY40" s="169" t="s">
        <v>259</v>
      </c>
      <c r="CZ40" s="169" t="s">
        <v>259</v>
      </c>
      <c r="DA40" s="169" t="s">
        <v>259</v>
      </c>
      <c r="DB40" s="169" t="s">
        <v>259</v>
      </c>
      <c r="DC40" s="169" t="s">
        <v>259</v>
      </c>
      <c r="DD40" s="169" t="s">
        <v>259</v>
      </c>
      <c r="DE40" s="169" t="s">
        <v>259</v>
      </c>
      <c r="DF40" s="169" t="s">
        <v>259</v>
      </c>
      <c r="DG40" s="169" t="s">
        <v>259</v>
      </c>
      <c r="DH40" s="169" t="s">
        <v>259</v>
      </c>
      <c r="DI40" s="169" t="s">
        <v>259</v>
      </c>
      <c r="DJ40" s="169" t="s">
        <v>259</v>
      </c>
      <c r="DK40" s="169" t="s">
        <v>259</v>
      </c>
      <c r="DL40" s="169" t="s">
        <v>259</v>
      </c>
      <c r="DM40" s="169" t="s">
        <v>259</v>
      </c>
      <c r="DN40" s="169" t="s">
        <v>259</v>
      </c>
      <c r="DO40" s="169" t="s">
        <v>259</v>
      </c>
      <c r="DP40" s="169" t="s">
        <v>259</v>
      </c>
      <c r="DQ40" s="169" t="s">
        <v>259</v>
      </c>
      <c r="DR40" s="169" t="s">
        <v>259</v>
      </c>
      <c r="DS40" s="169" t="s">
        <v>259</v>
      </c>
      <c r="DT40" s="169" t="s">
        <v>259</v>
      </c>
    </row>
    <row r="41" spans="2:124" x14ac:dyDescent="0.3">
      <c r="B41" t="str">
        <f>'IMPORT SCHLIESSERDATEN'!B40</f>
        <v>TS 93 G GSR-EMR 1G /BG EN 2-5 Gangfl.</v>
      </c>
      <c r="D41" s="169" t="s">
        <v>259</v>
      </c>
      <c r="E41" s="169" t="s">
        <v>259</v>
      </c>
      <c r="F41" s="169" t="s">
        <v>259</v>
      </c>
      <c r="G41" s="169" t="s">
        <v>259</v>
      </c>
      <c r="H41" s="169" t="s">
        <v>259</v>
      </c>
      <c r="I41" s="169" t="s">
        <v>259</v>
      </c>
      <c r="J41" s="169" t="s">
        <v>259</v>
      </c>
      <c r="K41" s="169" t="s">
        <v>259</v>
      </c>
      <c r="L41" s="169" t="s">
        <v>259</v>
      </c>
      <c r="M41" s="169" t="s">
        <v>259</v>
      </c>
      <c r="N41" s="169" t="s">
        <v>259</v>
      </c>
      <c r="O41" s="169" t="s">
        <v>259</v>
      </c>
      <c r="P41" s="169" t="s">
        <v>259</v>
      </c>
      <c r="Q41" s="169" t="s">
        <v>259</v>
      </c>
      <c r="R41" s="169" t="s">
        <v>259</v>
      </c>
      <c r="S41" s="169" t="s">
        <v>259</v>
      </c>
      <c r="T41" s="169" t="s">
        <v>259</v>
      </c>
      <c r="U41" s="169" t="s">
        <v>259</v>
      </c>
      <c r="V41" s="169" t="s">
        <v>259</v>
      </c>
      <c r="W41" s="169" t="s">
        <v>259</v>
      </c>
      <c r="X41" s="169" t="s">
        <v>259</v>
      </c>
      <c r="Y41" s="169" t="s">
        <v>259</v>
      </c>
      <c r="Z41" s="169" t="s">
        <v>259</v>
      </c>
      <c r="AA41" s="169" t="s">
        <v>259</v>
      </c>
      <c r="AB41" s="169" t="s">
        <v>259</v>
      </c>
      <c r="AC41" s="169" t="s">
        <v>259</v>
      </c>
      <c r="AD41" s="169" t="s">
        <v>259</v>
      </c>
      <c r="AE41" s="169" t="s">
        <v>259</v>
      </c>
      <c r="AF41" s="169" t="s">
        <v>259</v>
      </c>
      <c r="AG41" s="169" t="s">
        <v>259</v>
      </c>
      <c r="AH41" s="169" t="s">
        <v>259</v>
      </c>
      <c r="AI41" s="169" t="s">
        <v>259</v>
      </c>
      <c r="AJ41" s="169" t="s">
        <v>259</v>
      </c>
      <c r="AK41" s="169" t="s">
        <v>259</v>
      </c>
      <c r="AL41" s="169" t="s">
        <v>259</v>
      </c>
      <c r="AM41" s="169" t="s">
        <v>259</v>
      </c>
      <c r="AN41" s="169" t="s">
        <v>259</v>
      </c>
      <c r="AO41" s="169" t="s">
        <v>259</v>
      </c>
      <c r="AP41" s="169" t="s">
        <v>259</v>
      </c>
      <c r="AQ41" s="169" t="s">
        <v>259</v>
      </c>
      <c r="AR41" s="169" t="s">
        <v>259</v>
      </c>
      <c r="AS41" s="169" t="s">
        <v>259</v>
      </c>
      <c r="AT41" s="169" t="s">
        <v>259</v>
      </c>
      <c r="AU41" s="169" t="s">
        <v>259</v>
      </c>
      <c r="AV41" s="169" t="s">
        <v>259</v>
      </c>
      <c r="AW41" s="169" t="s">
        <v>259</v>
      </c>
      <c r="AX41" s="169" t="s">
        <v>259</v>
      </c>
      <c r="AY41" s="169" t="s">
        <v>259</v>
      </c>
      <c r="AZ41" s="169" t="s">
        <v>259</v>
      </c>
      <c r="BA41" s="169" t="s">
        <v>259</v>
      </c>
      <c r="BB41" s="169" t="s">
        <v>259</v>
      </c>
      <c r="BC41" s="169" t="s">
        <v>259</v>
      </c>
      <c r="BD41" s="169" t="s">
        <v>259</v>
      </c>
      <c r="BE41" s="169" t="s">
        <v>259</v>
      </c>
      <c r="BF41" s="169" t="s">
        <v>259</v>
      </c>
      <c r="BG41" s="169" t="s">
        <v>259</v>
      </c>
      <c r="BH41" s="169" t="s">
        <v>259</v>
      </c>
      <c r="BI41" s="169" t="s">
        <v>259</v>
      </c>
      <c r="BJ41" s="169" t="s">
        <v>259</v>
      </c>
      <c r="BK41" s="169" t="s">
        <v>259</v>
      </c>
      <c r="BL41" s="169" t="s">
        <v>259</v>
      </c>
      <c r="BM41" s="169" t="s">
        <v>259</v>
      </c>
      <c r="BN41" s="169" t="s">
        <v>259</v>
      </c>
      <c r="BO41" s="169" t="s">
        <v>259</v>
      </c>
      <c r="BP41" s="169" t="s">
        <v>259</v>
      </c>
      <c r="BQ41" s="169" t="s">
        <v>259</v>
      </c>
      <c r="BR41" s="169" t="s">
        <v>259</v>
      </c>
      <c r="BS41" s="169" t="s">
        <v>259</v>
      </c>
      <c r="BT41" s="169" t="s">
        <v>259</v>
      </c>
      <c r="BU41" s="169" t="s">
        <v>259</v>
      </c>
      <c r="BV41" s="169" t="s">
        <v>259</v>
      </c>
      <c r="BW41" s="169" t="s">
        <v>259</v>
      </c>
      <c r="BX41" s="169" t="s">
        <v>259</v>
      </c>
      <c r="BY41" s="169" t="s">
        <v>259</v>
      </c>
      <c r="BZ41" s="169" t="s">
        <v>259</v>
      </c>
      <c r="CA41" s="169" t="s">
        <v>259</v>
      </c>
      <c r="CB41" s="169" t="s">
        <v>259</v>
      </c>
      <c r="CC41" s="169" t="s">
        <v>259</v>
      </c>
      <c r="CD41" s="169" t="s">
        <v>259</v>
      </c>
      <c r="CE41" s="169" t="s">
        <v>259</v>
      </c>
      <c r="CF41" s="169" t="s">
        <v>259</v>
      </c>
      <c r="CG41" s="169" t="s">
        <v>259</v>
      </c>
      <c r="CH41" s="169" t="s">
        <v>259</v>
      </c>
      <c r="CI41" s="169" t="s">
        <v>259</v>
      </c>
      <c r="CJ41" s="169" t="s">
        <v>259</v>
      </c>
      <c r="CK41" s="169" t="s">
        <v>259</v>
      </c>
      <c r="CL41" s="169" t="s">
        <v>259</v>
      </c>
      <c r="CM41" s="169" t="s">
        <v>259</v>
      </c>
      <c r="CN41" s="169" t="s">
        <v>259</v>
      </c>
      <c r="CO41" s="169" t="s">
        <v>259</v>
      </c>
      <c r="CP41" s="169" t="s">
        <v>259</v>
      </c>
      <c r="CQ41" s="169" t="s">
        <v>259</v>
      </c>
      <c r="CR41" s="169" t="s">
        <v>259</v>
      </c>
      <c r="CS41" s="169" t="s">
        <v>259</v>
      </c>
      <c r="CT41" s="169" t="s">
        <v>259</v>
      </c>
      <c r="CU41" s="169" t="s">
        <v>259</v>
      </c>
      <c r="CV41" s="169" t="s">
        <v>259</v>
      </c>
      <c r="CW41" s="169" t="s">
        <v>259</v>
      </c>
      <c r="CX41" s="169" t="s">
        <v>259</v>
      </c>
      <c r="CY41" s="169" t="s">
        <v>259</v>
      </c>
      <c r="CZ41" s="169" t="s">
        <v>259</v>
      </c>
      <c r="DA41" s="169" t="s">
        <v>259</v>
      </c>
      <c r="DB41" s="169" t="s">
        <v>259</v>
      </c>
      <c r="DC41" s="169" t="s">
        <v>259</v>
      </c>
      <c r="DD41" s="169" t="s">
        <v>259</v>
      </c>
      <c r="DE41" s="169" t="s">
        <v>259</v>
      </c>
      <c r="DF41" s="169" t="s">
        <v>259</v>
      </c>
      <c r="DG41" s="169" t="s">
        <v>259</v>
      </c>
      <c r="DH41" s="169" t="s">
        <v>259</v>
      </c>
      <c r="DI41" s="169" t="s">
        <v>259</v>
      </c>
      <c r="DJ41" s="169" t="s">
        <v>259</v>
      </c>
      <c r="DK41" s="169" t="s">
        <v>259</v>
      </c>
      <c r="DL41" s="169" t="s">
        <v>259</v>
      </c>
      <c r="DM41" s="169" t="s">
        <v>259</v>
      </c>
      <c r="DN41" s="169" t="s">
        <v>259</v>
      </c>
      <c r="DO41" s="169" t="s">
        <v>259</v>
      </c>
      <c r="DP41" s="169" t="s">
        <v>259</v>
      </c>
      <c r="DQ41" s="169" t="s">
        <v>259</v>
      </c>
      <c r="DR41" s="169" t="s">
        <v>259</v>
      </c>
      <c r="DS41" s="169" t="s">
        <v>259</v>
      </c>
      <c r="DT41" s="169" t="s">
        <v>259</v>
      </c>
    </row>
    <row r="42" spans="2:124" x14ac:dyDescent="0.3">
      <c r="B42" t="str">
        <f>'IMPORT SCHLIESSERDATEN'!B41</f>
        <v>TS 93 G GSR-EMR 2 /BG EN 2-5 Gangfl.</v>
      </c>
      <c r="D42" s="169" t="s">
        <v>259</v>
      </c>
      <c r="E42" s="169" t="s">
        <v>259</v>
      </c>
      <c r="F42" s="169" t="s">
        <v>259</v>
      </c>
      <c r="G42" s="169" t="s">
        <v>259</v>
      </c>
      <c r="H42" s="169" t="s">
        <v>259</v>
      </c>
      <c r="I42" s="169" t="s">
        <v>259</v>
      </c>
      <c r="J42" s="169" t="s">
        <v>259</v>
      </c>
      <c r="K42" s="169" t="s">
        <v>259</v>
      </c>
      <c r="L42" s="169" t="s">
        <v>259</v>
      </c>
      <c r="M42" s="169" t="s">
        <v>259</v>
      </c>
      <c r="N42" s="169" t="s">
        <v>259</v>
      </c>
      <c r="O42" s="169" t="s">
        <v>259</v>
      </c>
      <c r="P42" s="169" t="s">
        <v>259</v>
      </c>
      <c r="Q42" s="169" t="s">
        <v>259</v>
      </c>
      <c r="R42" s="169" t="s">
        <v>259</v>
      </c>
      <c r="S42" s="169" t="s">
        <v>259</v>
      </c>
      <c r="T42" s="169" t="s">
        <v>259</v>
      </c>
      <c r="U42" s="169" t="s">
        <v>259</v>
      </c>
      <c r="V42" s="169" t="s">
        <v>259</v>
      </c>
      <c r="W42" s="169" t="s">
        <v>259</v>
      </c>
      <c r="X42" s="169" t="s">
        <v>259</v>
      </c>
      <c r="Y42" s="169" t="s">
        <v>259</v>
      </c>
      <c r="Z42" s="169" t="s">
        <v>259</v>
      </c>
      <c r="AA42" s="169" t="s">
        <v>259</v>
      </c>
      <c r="AB42" s="169" t="s">
        <v>259</v>
      </c>
      <c r="AC42" s="169" t="s">
        <v>259</v>
      </c>
      <c r="AD42" s="169" t="s">
        <v>259</v>
      </c>
      <c r="AE42" s="169" t="s">
        <v>259</v>
      </c>
      <c r="AF42" s="169" t="s">
        <v>259</v>
      </c>
      <c r="AG42" s="169" t="s">
        <v>259</v>
      </c>
      <c r="AH42" s="169" t="s">
        <v>259</v>
      </c>
      <c r="AI42" s="169" t="s">
        <v>259</v>
      </c>
      <c r="AJ42" s="169" t="s">
        <v>259</v>
      </c>
      <c r="AK42" s="169" t="s">
        <v>259</v>
      </c>
      <c r="AL42" s="169" t="s">
        <v>259</v>
      </c>
      <c r="AM42" s="169" t="s">
        <v>259</v>
      </c>
      <c r="AN42" s="169" t="s">
        <v>259</v>
      </c>
      <c r="AO42" s="169" t="s">
        <v>259</v>
      </c>
      <c r="AP42" s="169" t="s">
        <v>259</v>
      </c>
      <c r="AQ42" s="169" t="s">
        <v>259</v>
      </c>
      <c r="AR42" s="169" t="s">
        <v>259</v>
      </c>
      <c r="AS42" s="169" t="s">
        <v>259</v>
      </c>
      <c r="AT42" s="169" t="s">
        <v>259</v>
      </c>
      <c r="AU42" s="169" t="s">
        <v>259</v>
      </c>
      <c r="AV42" s="169" t="s">
        <v>259</v>
      </c>
      <c r="AW42" s="169" t="s">
        <v>259</v>
      </c>
      <c r="AX42" s="169" t="s">
        <v>259</v>
      </c>
      <c r="AY42" s="169" t="s">
        <v>259</v>
      </c>
      <c r="AZ42" s="169" t="s">
        <v>259</v>
      </c>
      <c r="BA42" s="169" t="s">
        <v>259</v>
      </c>
      <c r="BB42" s="169" t="s">
        <v>259</v>
      </c>
      <c r="BC42" s="169" t="s">
        <v>259</v>
      </c>
      <c r="BD42" s="169" t="s">
        <v>259</v>
      </c>
      <c r="BE42" s="169" t="s">
        <v>259</v>
      </c>
      <c r="BF42" s="169" t="s">
        <v>259</v>
      </c>
      <c r="BG42" s="169" t="s">
        <v>259</v>
      </c>
      <c r="BH42" s="169" t="s">
        <v>259</v>
      </c>
      <c r="BI42" s="169" t="s">
        <v>259</v>
      </c>
      <c r="BJ42" s="169" t="s">
        <v>259</v>
      </c>
      <c r="BK42" s="169" t="s">
        <v>259</v>
      </c>
      <c r="BL42" s="169" t="s">
        <v>259</v>
      </c>
      <c r="BM42" s="169" t="s">
        <v>259</v>
      </c>
      <c r="BN42" s="169" t="s">
        <v>259</v>
      </c>
      <c r="BO42" s="169" t="s">
        <v>259</v>
      </c>
      <c r="BP42" s="169" t="s">
        <v>259</v>
      </c>
      <c r="BQ42" s="169" t="s">
        <v>259</v>
      </c>
      <c r="BR42" s="169" t="s">
        <v>259</v>
      </c>
      <c r="BS42" s="169" t="s">
        <v>259</v>
      </c>
      <c r="BT42" s="169" t="s">
        <v>259</v>
      </c>
      <c r="BU42" s="169" t="s">
        <v>259</v>
      </c>
      <c r="BV42" s="169" t="s">
        <v>259</v>
      </c>
      <c r="BW42" s="169" t="s">
        <v>259</v>
      </c>
      <c r="BX42" s="169" t="s">
        <v>259</v>
      </c>
      <c r="BY42" s="169" t="s">
        <v>259</v>
      </c>
      <c r="BZ42" s="169" t="s">
        <v>259</v>
      </c>
      <c r="CA42" s="169" t="s">
        <v>259</v>
      </c>
      <c r="CB42" s="169" t="s">
        <v>259</v>
      </c>
      <c r="CC42" s="169" t="s">
        <v>259</v>
      </c>
      <c r="CD42" s="169" t="s">
        <v>259</v>
      </c>
      <c r="CE42" s="169" t="s">
        <v>259</v>
      </c>
      <c r="CF42" s="169" t="s">
        <v>259</v>
      </c>
      <c r="CG42" s="169" t="s">
        <v>259</v>
      </c>
      <c r="CH42" s="169" t="s">
        <v>259</v>
      </c>
      <c r="CI42" s="169" t="s">
        <v>259</v>
      </c>
      <c r="CJ42" s="169" t="s">
        <v>259</v>
      </c>
      <c r="CK42" s="169" t="s">
        <v>259</v>
      </c>
      <c r="CL42" s="169" t="s">
        <v>259</v>
      </c>
      <c r="CM42" s="169" t="s">
        <v>259</v>
      </c>
      <c r="CN42" s="169" t="s">
        <v>259</v>
      </c>
      <c r="CO42" s="169" t="s">
        <v>259</v>
      </c>
      <c r="CP42" s="169" t="s">
        <v>259</v>
      </c>
      <c r="CQ42" s="169" t="s">
        <v>259</v>
      </c>
      <c r="CR42" s="169" t="s">
        <v>259</v>
      </c>
      <c r="CS42" s="169" t="s">
        <v>259</v>
      </c>
      <c r="CT42" s="169" t="s">
        <v>259</v>
      </c>
      <c r="CU42" s="169" t="s">
        <v>259</v>
      </c>
      <c r="CV42" s="169" t="s">
        <v>259</v>
      </c>
      <c r="CW42" s="169" t="s">
        <v>259</v>
      </c>
      <c r="CX42" s="169" t="s">
        <v>259</v>
      </c>
      <c r="CY42" s="169" t="s">
        <v>259</v>
      </c>
      <c r="CZ42" s="169" t="s">
        <v>259</v>
      </c>
      <c r="DA42" s="169" t="s">
        <v>259</v>
      </c>
      <c r="DB42" s="169" t="s">
        <v>259</v>
      </c>
      <c r="DC42" s="169" t="s">
        <v>259</v>
      </c>
      <c r="DD42" s="169" t="s">
        <v>259</v>
      </c>
      <c r="DE42" s="169" t="s">
        <v>259</v>
      </c>
      <c r="DF42" s="169" t="s">
        <v>259</v>
      </c>
      <c r="DG42" s="169" t="s">
        <v>259</v>
      </c>
      <c r="DH42" s="169" t="s">
        <v>259</v>
      </c>
      <c r="DI42" s="169" t="s">
        <v>259</v>
      </c>
      <c r="DJ42" s="169" t="s">
        <v>259</v>
      </c>
      <c r="DK42" s="169" t="s">
        <v>259</v>
      </c>
      <c r="DL42" s="169" t="s">
        <v>259</v>
      </c>
      <c r="DM42" s="169" t="s">
        <v>259</v>
      </c>
      <c r="DN42" s="169" t="s">
        <v>259</v>
      </c>
      <c r="DO42" s="169" t="s">
        <v>259</v>
      </c>
      <c r="DP42" s="169" t="s">
        <v>259</v>
      </c>
      <c r="DQ42" s="169" t="s">
        <v>259</v>
      </c>
      <c r="DR42" s="169" t="s">
        <v>259</v>
      </c>
      <c r="DS42" s="169" t="s">
        <v>259</v>
      </c>
      <c r="DT42" s="169" t="s">
        <v>259</v>
      </c>
    </row>
    <row r="43" spans="2:124" x14ac:dyDescent="0.3">
      <c r="B43" t="str">
        <f>'IMPORT SCHLIESSERDATEN'!B42</f>
        <v>TS 93 G GSR /BG EN 2-5 Standfl.</v>
      </c>
      <c r="D43" s="169" t="s">
        <v>259</v>
      </c>
      <c r="E43" s="169" t="s">
        <v>259</v>
      </c>
      <c r="F43" s="169" t="s">
        <v>259</v>
      </c>
      <c r="G43" s="169" t="s">
        <v>259</v>
      </c>
      <c r="H43" s="169" t="s">
        <v>259</v>
      </c>
      <c r="I43" s="169" t="s">
        <v>259</v>
      </c>
      <c r="J43" s="169" t="s">
        <v>259</v>
      </c>
      <c r="K43" s="169" t="s">
        <v>259</v>
      </c>
      <c r="L43" s="169" t="s">
        <v>259</v>
      </c>
      <c r="M43" s="169" t="s">
        <v>259</v>
      </c>
      <c r="N43" s="169" t="s">
        <v>259</v>
      </c>
      <c r="O43" s="169" t="s">
        <v>259</v>
      </c>
      <c r="P43" s="169" t="s">
        <v>259</v>
      </c>
      <c r="Q43" s="169" t="s">
        <v>259</v>
      </c>
      <c r="R43" s="169" t="s">
        <v>259</v>
      </c>
      <c r="S43" s="169" t="s">
        <v>259</v>
      </c>
      <c r="T43" s="169" t="s">
        <v>259</v>
      </c>
      <c r="U43" s="169" t="s">
        <v>259</v>
      </c>
      <c r="V43" s="169" t="s">
        <v>259</v>
      </c>
      <c r="W43" s="169" t="s">
        <v>259</v>
      </c>
      <c r="X43" s="169" t="s">
        <v>259</v>
      </c>
      <c r="Y43" s="169" t="s">
        <v>259</v>
      </c>
      <c r="Z43" s="169" t="s">
        <v>259</v>
      </c>
      <c r="AA43" s="169" t="s">
        <v>259</v>
      </c>
      <c r="AB43" s="169" t="s">
        <v>259</v>
      </c>
      <c r="AC43" s="169" t="s">
        <v>259</v>
      </c>
      <c r="AD43" s="169" t="s">
        <v>259</v>
      </c>
      <c r="AE43" s="169" t="s">
        <v>259</v>
      </c>
      <c r="AF43" s="169" t="s">
        <v>259</v>
      </c>
      <c r="AG43" s="169" t="s">
        <v>259</v>
      </c>
      <c r="AH43" s="169" t="s">
        <v>259</v>
      </c>
      <c r="AI43" s="169" t="s">
        <v>259</v>
      </c>
      <c r="AJ43" s="169" t="s">
        <v>259</v>
      </c>
      <c r="AK43" s="169" t="s">
        <v>259</v>
      </c>
      <c r="AL43" s="169" t="s">
        <v>259</v>
      </c>
      <c r="AM43" s="169" t="s">
        <v>259</v>
      </c>
      <c r="AN43" s="169" t="s">
        <v>259</v>
      </c>
      <c r="AO43" s="169" t="s">
        <v>259</v>
      </c>
      <c r="AP43" s="169" t="s">
        <v>259</v>
      </c>
      <c r="AQ43" s="169" t="s">
        <v>259</v>
      </c>
      <c r="AR43" s="169" t="s">
        <v>259</v>
      </c>
      <c r="AS43" s="169" t="s">
        <v>259</v>
      </c>
      <c r="AT43" s="169" t="s">
        <v>259</v>
      </c>
      <c r="AU43" s="169" t="s">
        <v>259</v>
      </c>
      <c r="AV43" s="169" t="s">
        <v>259</v>
      </c>
      <c r="AW43" s="169" t="s">
        <v>259</v>
      </c>
      <c r="AX43" s="169" t="s">
        <v>259</v>
      </c>
      <c r="AY43" s="169" t="s">
        <v>259</v>
      </c>
      <c r="AZ43" s="169" t="s">
        <v>259</v>
      </c>
      <c r="BA43" s="169" t="s">
        <v>259</v>
      </c>
      <c r="BB43" s="169" t="s">
        <v>259</v>
      </c>
      <c r="BC43" s="169" t="s">
        <v>259</v>
      </c>
      <c r="BD43" s="169" t="s">
        <v>259</v>
      </c>
      <c r="BE43" s="169" t="s">
        <v>259</v>
      </c>
      <c r="BF43" s="169" t="s">
        <v>259</v>
      </c>
      <c r="BG43" s="169" t="s">
        <v>259</v>
      </c>
      <c r="BH43" s="169" t="s">
        <v>259</v>
      </c>
      <c r="BI43" s="169" t="s">
        <v>259</v>
      </c>
      <c r="BJ43" s="169" t="s">
        <v>259</v>
      </c>
      <c r="BK43" s="169" t="s">
        <v>259</v>
      </c>
      <c r="BL43" s="169" t="s">
        <v>259</v>
      </c>
      <c r="BM43" s="169" t="s">
        <v>259</v>
      </c>
      <c r="BN43" s="169" t="s">
        <v>259</v>
      </c>
      <c r="BO43" s="169" t="s">
        <v>259</v>
      </c>
      <c r="BP43" s="169" t="s">
        <v>259</v>
      </c>
      <c r="BQ43" s="169" t="s">
        <v>259</v>
      </c>
      <c r="BR43" s="169" t="s">
        <v>259</v>
      </c>
      <c r="BS43" s="169" t="s">
        <v>259</v>
      </c>
      <c r="BT43" s="169" t="s">
        <v>259</v>
      </c>
      <c r="BU43" s="169" t="s">
        <v>259</v>
      </c>
      <c r="BV43" s="169" t="s">
        <v>259</v>
      </c>
      <c r="BW43" s="169" t="s">
        <v>259</v>
      </c>
      <c r="BX43" s="169" t="s">
        <v>259</v>
      </c>
      <c r="BY43" s="169" t="s">
        <v>259</v>
      </c>
      <c r="BZ43" s="169" t="s">
        <v>259</v>
      </c>
      <c r="CA43" s="169" t="s">
        <v>259</v>
      </c>
      <c r="CB43" s="169" t="s">
        <v>259</v>
      </c>
      <c r="CC43" s="169" t="s">
        <v>259</v>
      </c>
      <c r="CD43" s="169" t="s">
        <v>259</v>
      </c>
      <c r="CE43" s="169" t="s">
        <v>259</v>
      </c>
      <c r="CF43" s="169" t="s">
        <v>259</v>
      </c>
      <c r="CG43" s="169" t="s">
        <v>259</v>
      </c>
      <c r="CH43" s="169" t="s">
        <v>259</v>
      </c>
      <c r="CI43" s="169" t="s">
        <v>259</v>
      </c>
      <c r="CJ43" s="169" t="s">
        <v>259</v>
      </c>
      <c r="CK43" s="169" t="s">
        <v>259</v>
      </c>
      <c r="CL43" s="169" t="s">
        <v>259</v>
      </c>
      <c r="CM43" s="169" t="s">
        <v>259</v>
      </c>
      <c r="CN43" s="169" t="s">
        <v>259</v>
      </c>
      <c r="CO43" s="169" t="s">
        <v>259</v>
      </c>
      <c r="CP43" s="169" t="s">
        <v>259</v>
      </c>
      <c r="CQ43" s="169" t="s">
        <v>259</v>
      </c>
      <c r="CR43" s="169" t="s">
        <v>259</v>
      </c>
      <c r="CS43" s="169" t="s">
        <v>259</v>
      </c>
      <c r="CT43" s="169" t="s">
        <v>259</v>
      </c>
      <c r="CU43" s="169" t="s">
        <v>259</v>
      </c>
      <c r="CV43" s="169" t="s">
        <v>259</v>
      </c>
      <c r="CW43" s="169" t="s">
        <v>259</v>
      </c>
      <c r="CX43" s="169" t="s">
        <v>259</v>
      </c>
      <c r="CY43" s="169" t="s">
        <v>259</v>
      </c>
      <c r="CZ43" s="169" t="s">
        <v>259</v>
      </c>
      <c r="DA43" s="169" t="s">
        <v>259</v>
      </c>
      <c r="DB43" s="169" t="s">
        <v>259</v>
      </c>
      <c r="DC43" s="169" t="s">
        <v>259</v>
      </c>
      <c r="DD43" s="169" t="s">
        <v>259</v>
      </c>
      <c r="DE43" s="169" t="s">
        <v>259</v>
      </c>
      <c r="DF43" s="169" t="s">
        <v>259</v>
      </c>
      <c r="DG43" s="169" t="s">
        <v>259</v>
      </c>
      <c r="DH43" s="169" t="s">
        <v>259</v>
      </c>
      <c r="DI43" s="169" t="s">
        <v>259</v>
      </c>
      <c r="DJ43" s="169" t="s">
        <v>259</v>
      </c>
      <c r="DK43" s="169" t="s">
        <v>259</v>
      </c>
      <c r="DL43" s="169" t="s">
        <v>259</v>
      </c>
      <c r="DM43" s="169" t="s">
        <v>259</v>
      </c>
      <c r="DN43" s="169" t="s">
        <v>259</v>
      </c>
      <c r="DO43" s="169" t="s">
        <v>259</v>
      </c>
      <c r="DP43" s="169" t="s">
        <v>259</v>
      </c>
      <c r="DQ43" s="169" t="s">
        <v>259</v>
      </c>
      <c r="DR43" s="169" t="s">
        <v>259</v>
      </c>
      <c r="DS43" s="169" t="s">
        <v>259</v>
      </c>
      <c r="DT43" s="169" t="s">
        <v>259</v>
      </c>
    </row>
    <row r="44" spans="2:124" x14ac:dyDescent="0.3">
      <c r="B44" t="str">
        <f>'IMPORT SCHLIESSERDATEN'!B43</f>
        <v>TS 93 G GSR RF /BG EN 2-5 Standfl.</v>
      </c>
      <c r="D44" s="169" t="s">
        <v>259</v>
      </c>
      <c r="E44" s="169" t="s">
        <v>259</v>
      </c>
      <c r="F44" s="169" t="s">
        <v>259</v>
      </c>
      <c r="G44" s="169" t="s">
        <v>259</v>
      </c>
      <c r="H44" s="169" t="s">
        <v>259</v>
      </c>
      <c r="I44" s="169" t="s">
        <v>259</v>
      </c>
      <c r="J44" s="169" t="s">
        <v>259</v>
      </c>
      <c r="K44" s="169" t="s">
        <v>259</v>
      </c>
      <c r="L44" s="169" t="s">
        <v>259</v>
      </c>
      <c r="M44" s="169" t="s">
        <v>259</v>
      </c>
      <c r="N44" s="169" t="s">
        <v>259</v>
      </c>
      <c r="O44" s="169" t="s">
        <v>259</v>
      </c>
      <c r="P44" s="169" t="s">
        <v>259</v>
      </c>
      <c r="Q44" s="169" t="s">
        <v>259</v>
      </c>
      <c r="R44" s="169" t="s">
        <v>259</v>
      </c>
      <c r="S44" s="169" t="s">
        <v>259</v>
      </c>
      <c r="T44" s="169" t="s">
        <v>259</v>
      </c>
      <c r="U44" s="169" t="s">
        <v>1995</v>
      </c>
      <c r="V44" s="169" t="s">
        <v>259</v>
      </c>
      <c r="W44" s="169" t="s">
        <v>259</v>
      </c>
      <c r="X44" s="169" t="s">
        <v>259</v>
      </c>
      <c r="Y44" s="169" t="s">
        <v>259</v>
      </c>
      <c r="Z44" s="169" t="s">
        <v>259</v>
      </c>
      <c r="AA44" s="169" t="s">
        <v>259</v>
      </c>
      <c r="AB44" s="169" t="s">
        <v>259</v>
      </c>
      <c r="AC44" s="169" t="s">
        <v>259</v>
      </c>
      <c r="AD44" s="169" t="s">
        <v>259</v>
      </c>
      <c r="AE44" s="169" t="s">
        <v>259</v>
      </c>
      <c r="AF44" s="169" t="s">
        <v>259</v>
      </c>
      <c r="AG44" s="169" t="s">
        <v>259</v>
      </c>
      <c r="AH44" s="169" t="s">
        <v>259</v>
      </c>
      <c r="AI44" s="169" t="s">
        <v>259</v>
      </c>
      <c r="AJ44" s="169" t="s">
        <v>259</v>
      </c>
      <c r="AK44" s="169" t="s">
        <v>259</v>
      </c>
      <c r="AL44" s="169" t="s">
        <v>259</v>
      </c>
      <c r="AM44" s="169" t="s">
        <v>259</v>
      </c>
      <c r="AN44" s="169" t="s">
        <v>259</v>
      </c>
      <c r="AO44" s="169" t="s">
        <v>259</v>
      </c>
      <c r="AP44" s="169" t="s">
        <v>259</v>
      </c>
      <c r="AQ44" s="169" t="s">
        <v>259</v>
      </c>
      <c r="AR44" s="169" t="s">
        <v>259</v>
      </c>
      <c r="AS44" s="169" t="s">
        <v>259</v>
      </c>
      <c r="AT44" s="169" t="s">
        <v>259</v>
      </c>
      <c r="AU44" s="169" t="s">
        <v>259</v>
      </c>
      <c r="AV44" s="169" t="s">
        <v>259</v>
      </c>
      <c r="AW44" s="169" t="s">
        <v>259</v>
      </c>
      <c r="AX44" s="169" t="s">
        <v>259</v>
      </c>
      <c r="AY44" s="169" t="s">
        <v>259</v>
      </c>
      <c r="AZ44" s="169" t="s">
        <v>259</v>
      </c>
      <c r="BA44" s="169" t="s">
        <v>259</v>
      </c>
      <c r="BB44" s="169" t="s">
        <v>259</v>
      </c>
      <c r="BC44" s="169" t="s">
        <v>259</v>
      </c>
      <c r="BD44" s="169" t="s">
        <v>259</v>
      </c>
      <c r="BE44" s="169" t="s">
        <v>259</v>
      </c>
      <c r="BF44" s="169" t="s">
        <v>259</v>
      </c>
      <c r="BG44" s="169" t="s">
        <v>259</v>
      </c>
      <c r="BH44" s="169" t="s">
        <v>259</v>
      </c>
      <c r="BI44" s="169" t="s">
        <v>259</v>
      </c>
      <c r="BJ44" s="169" t="s">
        <v>259</v>
      </c>
      <c r="BK44" s="169" t="s">
        <v>259</v>
      </c>
      <c r="BL44" s="169" t="s">
        <v>259</v>
      </c>
      <c r="BM44" s="169" t="s">
        <v>259</v>
      </c>
      <c r="BN44" s="169" t="s">
        <v>259</v>
      </c>
      <c r="BO44" s="169" t="s">
        <v>259</v>
      </c>
      <c r="BP44" s="169" t="s">
        <v>259</v>
      </c>
      <c r="BQ44" s="169" t="s">
        <v>259</v>
      </c>
      <c r="BR44" s="169" t="s">
        <v>259</v>
      </c>
      <c r="BS44" s="169" t="s">
        <v>259</v>
      </c>
      <c r="BT44" s="169" t="s">
        <v>259</v>
      </c>
      <c r="BU44" s="169" t="s">
        <v>259</v>
      </c>
      <c r="BV44" s="169" t="s">
        <v>259</v>
      </c>
      <c r="BW44" s="169" t="s">
        <v>259</v>
      </c>
      <c r="BX44" s="169" t="s">
        <v>259</v>
      </c>
      <c r="BY44" s="169" t="s">
        <v>259</v>
      </c>
      <c r="BZ44" s="169" t="s">
        <v>259</v>
      </c>
      <c r="CA44" s="169" t="s">
        <v>259</v>
      </c>
      <c r="CB44" s="169" t="s">
        <v>259</v>
      </c>
      <c r="CC44" s="169" t="s">
        <v>259</v>
      </c>
      <c r="CD44" s="169" t="s">
        <v>259</v>
      </c>
      <c r="CE44" s="169" t="s">
        <v>259</v>
      </c>
      <c r="CF44" s="169" t="s">
        <v>259</v>
      </c>
      <c r="CG44" s="169" t="s">
        <v>259</v>
      </c>
      <c r="CH44" s="169" t="s">
        <v>259</v>
      </c>
      <c r="CI44" s="169" t="s">
        <v>259</v>
      </c>
      <c r="CJ44" s="169" t="s">
        <v>259</v>
      </c>
      <c r="CK44" s="169" t="s">
        <v>259</v>
      </c>
      <c r="CL44" s="169" t="s">
        <v>259</v>
      </c>
      <c r="CM44" s="169" t="s">
        <v>259</v>
      </c>
      <c r="CN44" s="169" t="s">
        <v>259</v>
      </c>
      <c r="CO44" s="169" t="s">
        <v>259</v>
      </c>
      <c r="CP44" s="169" t="s">
        <v>259</v>
      </c>
      <c r="CQ44" s="169" t="s">
        <v>259</v>
      </c>
      <c r="CR44" s="169" t="s">
        <v>259</v>
      </c>
      <c r="CS44" s="169" t="s">
        <v>259</v>
      </c>
      <c r="CT44" s="169" t="s">
        <v>259</v>
      </c>
      <c r="CU44" s="169" t="s">
        <v>259</v>
      </c>
      <c r="CV44" s="169" t="s">
        <v>259</v>
      </c>
      <c r="CW44" s="169" t="s">
        <v>259</v>
      </c>
      <c r="CX44" s="169" t="s">
        <v>259</v>
      </c>
      <c r="CY44" s="169" t="s">
        <v>259</v>
      </c>
      <c r="CZ44" s="169" t="s">
        <v>259</v>
      </c>
      <c r="DA44" s="169" t="s">
        <v>259</v>
      </c>
      <c r="DB44" s="169" t="s">
        <v>259</v>
      </c>
      <c r="DC44" s="169" t="s">
        <v>259</v>
      </c>
      <c r="DD44" s="169" t="s">
        <v>259</v>
      </c>
      <c r="DE44" s="169" t="s">
        <v>259</v>
      </c>
      <c r="DF44" s="169" t="s">
        <v>259</v>
      </c>
      <c r="DG44" s="169" t="s">
        <v>259</v>
      </c>
      <c r="DH44" s="169" t="s">
        <v>259</v>
      </c>
      <c r="DI44" s="169" t="s">
        <v>259</v>
      </c>
      <c r="DJ44" s="169" t="s">
        <v>259</v>
      </c>
      <c r="DK44" s="169" t="s">
        <v>259</v>
      </c>
      <c r="DL44" s="169" t="s">
        <v>259</v>
      </c>
      <c r="DM44" s="169" t="s">
        <v>259</v>
      </c>
      <c r="DN44" s="169" t="s">
        <v>259</v>
      </c>
      <c r="DO44" s="169" t="s">
        <v>259</v>
      </c>
      <c r="DP44" s="169" t="s">
        <v>259</v>
      </c>
      <c r="DQ44" s="169" t="s">
        <v>259</v>
      </c>
      <c r="DR44" s="169" t="s">
        <v>259</v>
      </c>
      <c r="DS44" s="169" t="s">
        <v>259</v>
      </c>
      <c r="DT44" s="169" t="s">
        <v>259</v>
      </c>
    </row>
    <row r="45" spans="2:124" x14ac:dyDescent="0.3">
      <c r="B45" t="str">
        <f>'IMPORT SCHLIESSERDATEN'!B44</f>
        <v>TS 93 G GSR-EMF 1 /BG EN 2-5 Standfl.</v>
      </c>
      <c r="D45" s="169" t="s">
        <v>259</v>
      </c>
      <c r="E45" s="169" t="s">
        <v>259</v>
      </c>
      <c r="F45" s="169" t="s">
        <v>259</v>
      </c>
      <c r="G45" s="169" t="s">
        <v>259</v>
      </c>
      <c r="H45" s="169" t="s">
        <v>259</v>
      </c>
      <c r="I45" s="169" t="s">
        <v>259</v>
      </c>
      <c r="J45" s="169" t="s">
        <v>259</v>
      </c>
      <c r="K45" s="169" t="s">
        <v>259</v>
      </c>
      <c r="L45" s="169" t="s">
        <v>259</v>
      </c>
      <c r="M45" s="169" t="s">
        <v>259</v>
      </c>
      <c r="N45" s="169" t="s">
        <v>259</v>
      </c>
      <c r="O45" s="169" t="s">
        <v>259</v>
      </c>
      <c r="P45" s="169" t="s">
        <v>259</v>
      </c>
      <c r="Q45" s="169" t="s">
        <v>259</v>
      </c>
      <c r="R45" s="169" t="s">
        <v>259</v>
      </c>
      <c r="S45" s="169" t="s">
        <v>259</v>
      </c>
      <c r="T45" s="169" t="s">
        <v>259</v>
      </c>
      <c r="U45" s="169" t="s">
        <v>259</v>
      </c>
      <c r="V45" s="169" t="s">
        <v>259</v>
      </c>
      <c r="W45" s="169" t="s">
        <v>259</v>
      </c>
      <c r="X45" s="169" t="s">
        <v>259</v>
      </c>
      <c r="Y45" s="169" t="s">
        <v>259</v>
      </c>
      <c r="Z45" s="169" t="s">
        <v>259</v>
      </c>
      <c r="AA45" s="169" t="s">
        <v>259</v>
      </c>
      <c r="AB45" s="169" t="s">
        <v>259</v>
      </c>
      <c r="AC45" s="169" t="s">
        <v>259</v>
      </c>
      <c r="AD45" s="169" t="s">
        <v>259</v>
      </c>
      <c r="AE45" s="169" t="s">
        <v>259</v>
      </c>
      <c r="AF45" s="169" t="s">
        <v>259</v>
      </c>
      <c r="AG45" s="169" t="s">
        <v>259</v>
      </c>
      <c r="AH45" s="169" t="s">
        <v>259</v>
      </c>
      <c r="AI45" s="169" t="s">
        <v>259</v>
      </c>
      <c r="AJ45" s="169" t="s">
        <v>259</v>
      </c>
      <c r="AK45" s="169" t="s">
        <v>259</v>
      </c>
      <c r="AL45" s="169" t="s">
        <v>259</v>
      </c>
      <c r="AM45" s="169" t="s">
        <v>259</v>
      </c>
      <c r="AN45" s="169" t="s">
        <v>259</v>
      </c>
      <c r="AO45" s="169" t="s">
        <v>259</v>
      </c>
      <c r="AP45" s="169" t="s">
        <v>259</v>
      </c>
      <c r="AQ45" s="169" t="s">
        <v>259</v>
      </c>
      <c r="AR45" s="169" t="s">
        <v>259</v>
      </c>
      <c r="AS45" s="169" t="s">
        <v>259</v>
      </c>
      <c r="AT45" s="169" t="s">
        <v>259</v>
      </c>
      <c r="AU45" s="169" t="s">
        <v>259</v>
      </c>
      <c r="AV45" s="169" t="s">
        <v>259</v>
      </c>
      <c r="AW45" s="169" t="s">
        <v>259</v>
      </c>
      <c r="AX45" s="169" t="s">
        <v>259</v>
      </c>
      <c r="AY45" s="169" t="s">
        <v>259</v>
      </c>
      <c r="AZ45" s="169" t="s">
        <v>259</v>
      </c>
      <c r="BA45" s="169" t="s">
        <v>259</v>
      </c>
      <c r="BB45" s="169" t="s">
        <v>259</v>
      </c>
      <c r="BC45" s="169" t="s">
        <v>259</v>
      </c>
      <c r="BD45" s="169" t="s">
        <v>259</v>
      </c>
      <c r="BE45" s="169" t="s">
        <v>259</v>
      </c>
      <c r="BF45" s="169" t="s">
        <v>259</v>
      </c>
      <c r="BG45" s="169" t="s">
        <v>259</v>
      </c>
      <c r="BH45" s="169" t="s">
        <v>259</v>
      </c>
      <c r="BI45" s="169" t="s">
        <v>259</v>
      </c>
      <c r="BJ45" s="169" t="s">
        <v>259</v>
      </c>
      <c r="BK45" s="169" t="s">
        <v>259</v>
      </c>
      <c r="BL45" s="169" t="s">
        <v>259</v>
      </c>
      <c r="BM45" s="169" t="s">
        <v>259</v>
      </c>
      <c r="BN45" s="169" t="s">
        <v>259</v>
      </c>
      <c r="BO45" s="169" t="s">
        <v>259</v>
      </c>
      <c r="BP45" s="169" t="s">
        <v>259</v>
      </c>
      <c r="BQ45" s="169" t="s">
        <v>259</v>
      </c>
      <c r="BR45" s="169" t="s">
        <v>259</v>
      </c>
      <c r="BS45" s="169" t="s">
        <v>259</v>
      </c>
      <c r="BT45" s="169" t="s">
        <v>259</v>
      </c>
      <c r="BU45" s="169" t="s">
        <v>259</v>
      </c>
      <c r="BV45" s="169" t="s">
        <v>259</v>
      </c>
      <c r="BW45" s="169" t="s">
        <v>259</v>
      </c>
      <c r="BX45" s="169" t="s">
        <v>259</v>
      </c>
      <c r="BY45" s="169" t="s">
        <v>259</v>
      </c>
      <c r="BZ45" s="169" t="s">
        <v>259</v>
      </c>
      <c r="CA45" s="169" t="s">
        <v>259</v>
      </c>
      <c r="CB45" s="169" t="s">
        <v>259</v>
      </c>
      <c r="CC45" s="169" t="s">
        <v>259</v>
      </c>
      <c r="CD45" s="169" t="s">
        <v>259</v>
      </c>
      <c r="CE45" s="169" t="s">
        <v>259</v>
      </c>
      <c r="CF45" s="169" t="s">
        <v>259</v>
      </c>
      <c r="CG45" s="169" t="s">
        <v>259</v>
      </c>
      <c r="CH45" s="169" t="s">
        <v>259</v>
      </c>
      <c r="CI45" s="169" t="s">
        <v>259</v>
      </c>
      <c r="CJ45" s="169" t="s">
        <v>259</v>
      </c>
      <c r="CK45" s="169" t="s">
        <v>259</v>
      </c>
      <c r="CL45" s="169" t="s">
        <v>259</v>
      </c>
      <c r="CM45" s="169" t="s">
        <v>259</v>
      </c>
      <c r="CN45" s="169" t="s">
        <v>259</v>
      </c>
      <c r="CO45" s="169" t="s">
        <v>259</v>
      </c>
      <c r="CP45" s="169" t="s">
        <v>259</v>
      </c>
      <c r="CQ45" s="169" t="s">
        <v>259</v>
      </c>
      <c r="CR45" s="169" t="s">
        <v>259</v>
      </c>
      <c r="CS45" s="169" t="s">
        <v>259</v>
      </c>
      <c r="CT45" s="169" t="s">
        <v>259</v>
      </c>
      <c r="CU45" s="169" t="s">
        <v>259</v>
      </c>
      <c r="CV45" s="169" t="s">
        <v>259</v>
      </c>
      <c r="CW45" s="169" t="s">
        <v>259</v>
      </c>
      <c r="CX45" s="169" t="s">
        <v>259</v>
      </c>
      <c r="CY45" s="169" t="s">
        <v>259</v>
      </c>
      <c r="CZ45" s="169" t="s">
        <v>259</v>
      </c>
      <c r="DA45" s="169" t="s">
        <v>259</v>
      </c>
      <c r="DB45" s="169" t="s">
        <v>259</v>
      </c>
      <c r="DC45" s="169" t="s">
        <v>259</v>
      </c>
      <c r="DD45" s="169" t="s">
        <v>259</v>
      </c>
      <c r="DE45" s="169" t="s">
        <v>259</v>
      </c>
      <c r="DF45" s="169" t="s">
        <v>259</v>
      </c>
      <c r="DG45" s="169" t="s">
        <v>259</v>
      </c>
      <c r="DH45" s="169" t="s">
        <v>259</v>
      </c>
      <c r="DI45" s="169" t="s">
        <v>259</v>
      </c>
      <c r="DJ45" s="169" t="s">
        <v>259</v>
      </c>
      <c r="DK45" s="169" t="s">
        <v>259</v>
      </c>
      <c r="DL45" s="169" t="s">
        <v>259</v>
      </c>
      <c r="DM45" s="169" t="s">
        <v>259</v>
      </c>
      <c r="DN45" s="169" t="s">
        <v>259</v>
      </c>
      <c r="DO45" s="169" t="s">
        <v>259</v>
      </c>
      <c r="DP45" s="169" t="s">
        <v>259</v>
      </c>
      <c r="DQ45" s="169" t="s">
        <v>259</v>
      </c>
      <c r="DR45" s="169" t="s">
        <v>259</v>
      </c>
      <c r="DS45" s="169" t="s">
        <v>259</v>
      </c>
      <c r="DT45" s="169" t="s">
        <v>259</v>
      </c>
    </row>
    <row r="46" spans="2:124" x14ac:dyDescent="0.3">
      <c r="B46" t="str">
        <f>'IMPORT SCHLIESSERDATEN'!B45</f>
        <v>TS 93 G GSR-EMF 1G /BG EN 2-5 Standfl.</v>
      </c>
      <c r="D46" s="169" t="s">
        <v>259</v>
      </c>
      <c r="E46" s="169" t="s">
        <v>259</v>
      </c>
      <c r="F46" s="169" t="s">
        <v>259</v>
      </c>
      <c r="G46" s="169" t="s">
        <v>259</v>
      </c>
      <c r="H46" s="169" t="s">
        <v>259</v>
      </c>
      <c r="I46" s="169" t="s">
        <v>259</v>
      </c>
      <c r="J46" s="169" t="s">
        <v>259</v>
      </c>
      <c r="K46" s="169" t="s">
        <v>259</v>
      </c>
      <c r="L46" s="169" t="s">
        <v>259</v>
      </c>
      <c r="M46" s="169" t="s">
        <v>259</v>
      </c>
      <c r="N46" s="169" t="s">
        <v>259</v>
      </c>
      <c r="O46" s="169" t="s">
        <v>259</v>
      </c>
      <c r="P46" s="169" t="s">
        <v>259</v>
      </c>
      <c r="Q46" s="169" t="s">
        <v>259</v>
      </c>
      <c r="R46" s="169" t="s">
        <v>259</v>
      </c>
      <c r="S46" s="169" t="s">
        <v>259</v>
      </c>
      <c r="T46" s="169" t="s">
        <v>259</v>
      </c>
      <c r="U46" s="169" t="s">
        <v>259</v>
      </c>
      <c r="V46" s="169" t="s">
        <v>259</v>
      </c>
      <c r="W46" s="169" t="s">
        <v>259</v>
      </c>
      <c r="X46" s="169" t="s">
        <v>259</v>
      </c>
      <c r="Y46" s="169" t="s">
        <v>259</v>
      </c>
      <c r="Z46" s="169" t="s">
        <v>259</v>
      </c>
      <c r="AA46" s="169" t="s">
        <v>259</v>
      </c>
      <c r="AB46" s="169" t="s">
        <v>259</v>
      </c>
      <c r="AC46" s="169" t="s">
        <v>259</v>
      </c>
      <c r="AD46" s="169" t="s">
        <v>259</v>
      </c>
      <c r="AE46" s="169" t="s">
        <v>259</v>
      </c>
      <c r="AF46" s="169" t="s">
        <v>259</v>
      </c>
      <c r="AG46" s="169" t="s">
        <v>259</v>
      </c>
      <c r="AH46" s="169" t="s">
        <v>259</v>
      </c>
      <c r="AI46" s="169" t="s">
        <v>259</v>
      </c>
      <c r="AJ46" s="169" t="s">
        <v>259</v>
      </c>
      <c r="AK46" s="169" t="s">
        <v>259</v>
      </c>
      <c r="AL46" s="169" t="s">
        <v>259</v>
      </c>
      <c r="AM46" s="169" t="s">
        <v>259</v>
      </c>
      <c r="AN46" s="169" t="s">
        <v>259</v>
      </c>
      <c r="AO46" s="169" t="s">
        <v>259</v>
      </c>
      <c r="AP46" s="169" t="s">
        <v>259</v>
      </c>
      <c r="AQ46" s="169" t="s">
        <v>259</v>
      </c>
      <c r="AR46" s="169" t="s">
        <v>259</v>
      </c>
      <c r="AS46" s="169" t="s">
        <v>259</v>
      </c>
      <c r="AT46" s="169" t="s">
        <v>259</v>
      </c>
      <c r="AU46" s="169" t="s">
        <v>259</v>
      </c>
      <c r="AV46" s="169" t="s">
        <v>259</v>
      </c>
      <c r="AW46" s="169" t="s">
        <v>259</v>
      </c>
      <c r="AX46" s="169" t="s">
        <v>259</v>
      </c>
      <c r="AY46" s="169" t="s">
        <v>259</v>
      </c>
      <c r="AZ46" s="169" t="s">
        <v>259</v>
      </c>
      <c r="BA46" s="169" t="s">
        <v>259</v>
      </c>
      <c r="BB46" s="169" t="s">
        <v>259</v>
      </c>
      <c r="BC46" s="169" t="s">
        <v>259</v>
      </c>
      <c r="BD46" s="169" t="s">
        <v>259</v>
      </c>
      <c r="BE46" s="169" t="s">
        <v>259</v>
      </c>
      <c r="BF46" s="169" t="s">
        <v>259</v>
      </c>
      <c r="BG46" s="169" t="s">
        <v>259</v>
      </c>
      <c r="BH46" s="169" t="s">
        <v>259</v>
      </c>
      <c r="BI46" s="169" t="s">
        <v>259</v>
      </c>
      <c r="BJ46" s="169" t="s">
        <v>259</v>
      </c>
      <c r="BK46" s="169" t="s">
        <v>259</v>
      </c>
      <c r="BL46" s="169" t="s">
        <v>259</v>
      </c>
      <c r="BM46" s="169" t="s">
        <v>259</v>
      </c>
      <c r="BN46" s="169" t="s">
        <v>259</v>
      </c>
      <c r="BO46" s="169" t="s">
        <v>259</v>
      </c>
      <c r="BP46" s="169" t="s">
        <v>259</v>
      </c>
      <c r="BQ46" s="169" t="s">
        <v>259</v>
      </c>
      <c r="BR46" s="169" t="s">
        <v>259</v>
      </c>
      <c r="BS46" s="169" t="s">
        <v>259</v>
      </c>
      <c r="BT46" s="169" t="s">
        <v>259</v>
      </c>
      <c r="BU46" s="169" t="s">
        <v>259</v>
      </c>
      <c r="BV46" s="169" t="s">
        <v>259</v>
      </c>
      <c r="BW46" s="169" t="s">
        <v>259</v>
      </c>
      <c r="BX46" s="169" t="s">
        <v>259</v>
      </c>
      <c r="BY46" s="169" t="s">
        <v>259</v>
      </c>
      <c r="BZ46" s="169" t="s">
        <v>259</v>
      </c>
      <c r="CA46" s="169" t="s">
        <v>259</v>
      </c>
      <c r="CB46" s="169" t="s">
        <v>259</v>
      </c>
      <c r="CC46" s="169" t="s">
        <v>259</v>
      </c>
      <c r="CD46" s="169" t="s">
        <v>259</v>
      </c>
      <c r="CE46" s="169" t="s">
        <v>259</v>
      </c>
      <c r="CF46" s="169" t="s">
        <v>259</v>
      </c>
      <c r="CG46" s="169" t="s">
        <v>259</v>
      </c>
      <c r="CH46" s="169" t="s">
        <v>259</v>
      </c>
      <c r="CI46" s="169" t="s">
        <v>259</v>
      </c>
      <c r="CJ46" s="169" t="s">
        <v>259</v>
      </c>
      <c r="CK46" s="169" t="s">
        <v>259</v>
      </c>
      <c r="CL46" s="169" t="s">
        <v>259</v>
      </c>
      <c r="CM46" s="169" t="s">
        <v>259</v>
      </c>
      <c r="CN46" s="169" t="s">
        <v>259</v>
      </c>
      <c r="CO46" s="169" t="s">
        <v>259</v>
      </c>
      <c r="CP46" s="169" t="s">
        <v>259</v>
      </c>
      <c r="CQ46" s="169" t="s">
        <v>259</v>
      </c>
      <c r="CR46" s="169" t="s">
        <v>259</v>
      </c>
      <c r="CS46" s="169" t="s">
        <v>259</v>
      </c>
      <c r="CT46" s="169" t="s">
        <v>259</v>
      </c>
      <c r="CU46" s="169" t="s">
        <v>259</v>
      </c>
      <c r="CV46" s="169" t="s">
        <v>259</v>
      </c>
      <c r="CW46" s="169" t="s">
        <v>259</v>
      </c>
      <c r="CX46" s="169" t="s">
        <v>259</v>
      </c>
      <c r="CY46" s="169" t="s">
        <v>259</v>
      </c>
      <c r="CZ46" s="169" t="s">
        <v>259</v>
      </c>
      <c r="DA46" s="169" t="s">
        <v>259</v>
      </c>
      <c r="DB46" s="169" t="s">
        <v>259</v>
      </c>
      <c r="DC46" s="169" t="s">
        <v>259</v>
      </c>
      <c r="DD46" s="169" t="s">
        <v>259</v>
      </c>
      <c r="DE46" s="169" t="s">
        <v>259</v>
      </c>
      <c r="DF46" s="169" t="s">
        <v>259</v>
      </c>
      <c r="DG46" s="169" t="s">
        <v>259</v>
      </c>
      <c r="DH46" s="169" t="s">
        <v>259</v>
      </c>
      <c r="DI46" s="169" t="s">
        <v>259</v>
      </c>
      <c r="DJ46" s="169" t="s">
        <v>259</v>
      </c>
      <c r="DK46" s="169" t="s">
        <v>259</v>
      </c>
      <c r="DL46" s="169" t="s">
        <v>259</v>
      </c>
      <c r="DM46" s="169" t="s">
        <v>259</v>
      </c>
      <c r="DN46" s="169" t="s">
        <v>259</v>
      </c>
      <c r="DO46" s="169" t="s">
        <v>259</v>
      </c>
      <c r="DP46" s="169" t="s">
        <v>259</v>
      </c>
      <c r="DQ46" s="169" t="s">
        <v>259</v>
      </c>
      <c r="DR46" s="169" t="s">
        <v>259</v>
      </c>
      <c r="DS46" s="169" t="s">
        <v>259</v>
      </c>
      <c r="DT46" s="169" t="s">
        <v>259</v>
      </c>
    </row>
    <row r="47" spans="2:124" x14ac:dyDescent="0.3">
      <c r="B47" t="str">
        <f>'IMPORT SCHLIESSERDATEN'!B46</f>
        <v>TS 93 G GSR-EMF 2 /BG EN 2-5 Standfl.</v>
      </c>
      <c r="D47" s="169" t="s">
        <v>259</v>
      </c>
      <c r="E47" s="169" t="s">
        <v>259</v>
      </c>
      <c r="F47" s="169" t="s">
        <v>259</v>
      </c>
      <c r="G47" s="169" t="s">
        <v>259</v>
      </c>
      <c r="H47" s="169" t="s">
        <v>259</v>
      </c>
      <c r="I47" s="169" t="s">
        <v>259</v>
      </c>
      <c r="J47" s="169" t="s">
        <v>259</v>
      </c>
      <c r="K47" s="169" t="s">
        <v>259</v>
      </c>
      <c r="L47" s="169" t="s">
        <v>259</v>
      </c>
      <c r="M47" s="169" t="s">
        <v>259</v>
      </c>
      <c r="N47" s="169" t="s">
        <v>259</v>
      </c>
      <c r="O47" s="169" t="s">
        <v>259</v>
      </c>
      <c r="P47" s="169" t="s">
        <v>259</v>
      </c>
      <c r="Q47" s="169" t="s">
        <v>259</v>
      </c>
      <c r="R47" s="169" t="s">
        <v>259</v>
      </c>
      <c r="S47" s="169" t="s">
        <v>259</v>
      </c>
      <c r="T47" s="169" t="s">
        <v>259</v>
      </c>
      <c r="U47" s="169" t="s">
        <v>259</v>
      </c>
      <c r="V47" s="169" t="s">
        <v>259</v>
      </c>
      <c r="W47" s="169" t="s">
        <v>259</v>
      </c>
      <c r="X47" s="169" t="s">
        <v>259</v>
      </c>
      <c r="Y47" s="169" t="s">
        <v>259</v>
      </c>
      <c r="Z47" s="169" t="s">
        <v>259</v>
      </c>
      <c r="AA47" s="169" t="s">
        <v>259</v>
      </c>
      <c r="AB47" s="169" t="s">
        <v>259</v>
      </c>
      <c r="AC47" s="169" t="s">
        <v>259</v>
      </c>
      <c r="AD47" s="169" t="s">
        <v>259</v>
      </c>
      <c r="AE47" s="169" t="s">
        <v>259</v>
      </c>
      <c r="AF47" s="169" t="s">
        <v>259</v>
      </c>
      <c r="AG47" s="169" t="s">
        <v>259</v>
      </c>
      <c r="AH47" s="169" t="s">
        <v>259</v>
      </c>
      <c r="AI47" s="169" t="s">
        <v>259</v>
      </c>
      <c r="AJ47" s="169" t="s">
        <v>259</v>
      </c>
      <c r="AK47" s="169" t="s">
        <v>259</v>
      </c>
      <c r="AL47" s="169" t="s">
        <v>259</v>
      </c>
      <c r="AM47" s="169" t="s">
        <v>259</v>
      </c>
      <c r="AN47" s="169" t="s">
        <v>259</v>
      </c>
      <c r="AO47" s="169" t="s">
        <v>259</v>
      </c>
      <c r="AP47" s="169" t="s">
        <v>259</v>
      </c>
      <c r="AQ47" s="169" t="s">
        <v>259</v>
      </c>
      <c r="AR47" s="169" t="s">
        <v>259</v>
      </c>
      <c r="AS47" s="169" t="s">
        <v>259</v>
      </c>
      <c r="AT47" s="169" t="s">
        <v>259</v>
      </c>
      <c r="AU47" s="169" t="s">
        <v>259</v>
      </c>
      <c r="AV47" s="169" t="s">
        <v>259</v>
      </c>
      <c r="AW47" s="169" t="s">
        <v>259</v>
      </c>
      <c r="AX47" s="169" t="s">
        <v>259</v>
      </c>
      <c r="AY47" s="169" t="s">
        <v>259</v>
      </c>
      <c r="AZ47" s="169" t="s">
        <v>259</v>
      </c>
      <c r="BA47" s="169" t="s">
        <v>259</v>
      </c>
      <c r="BB47" s="169" t="s">
        <v>259</v>
      </c>
      <c r="BC47" s="169" t="s">
        <v>259</v>
      </c>
      <c r="BD47" s="169" t="s">
        <v>259</v>
      </c>
      <c r="BE47" s="169" t="s">
        <v>259</v>
      </c>
      <c r="BF47" s="169" t="s">
        <v>259</v>
      </c>
      <c r="BG47" s="169" t="s">
        <v>259</v>
      </c>
      <c r="BH47" s="169" t="s">
        <v>259</v>
      </c>
      <c r="BI47" s="169" t="s">
        <v>259</v>
      </c>
      <c r="BJ47" s="169" t="s">
        <v>259</v>
      </c>
      <c r="BK47" s="169" t="s">
        <v>259</v>
      </c>
      <c r="BL47" s="169" t="s">
        <v>259</v>
      </c>
      <c r="BM47" s="169" t="s">
        <v>259</v>
      </c>
      <c r="BN47" s="169" t="s">
        <v>259</v>
      </c>
      <c r="BO47" s="169" t="s">
        <v>259</v>
      </c>
      <c r="BP47" s="169" t="s">
        <v>259</v>
      </c>
      <c r="BQ47" s="169" t="s">
        <v>259</v>
      </c>
      <c r="BR47" s="169" t="s">
        <v>259</v>
      </c>
      <c r="BS47" s="169" t="s">
        <v>259</v>
      </c>
      <c r="BT47" s="169" t="s">
        <v>259</v>
      </c>
      <c r="BU47" s="169" t="s">
        <v>259</v>
      </c>
      <c r="BV47" s="169" t="s">
        <v>259</v>
      </c>
      <c r="BW47" s="169" t="s">
        <v>259</v>
      </c>
      <c r="BX47" s="169" t="s">
        <v>259</v>
      </c>
      <c r="BY47" s="169" t="s">
        <v>259</v>
      </c>
      <c r="BZ47" s="169" t="s">
        <v>259</v>
      </c>
      <c r="CA47" s="169" t="s">
        <v>259</v>
      </c>
      <c r="CB47" s="169" t="s">
        <v>259</v>
      </c>
      <c r="CC47" s="169" t="s">
        <v>259</v>
      </c>
      <c r="CD47" s="169" t="s">
        <v>259</v>
      </c>
      <c r="CE47" s="169" t="s">
        <v>259</v>
      </c>
      <c r="CF47" s="169" t="s">
        <v>259</v>
      </c>
      <c r="CG47" s="169" t="s">
        <v>259</v>
      </c>
      <c r="CH47" s="169" t="s">
        <v>259</v>
      </c>
      <c r="CI47" s="169" t="s">
        <v>259</v>
      </c>
      <c r="CJ47" s="169" t="s">
        <v>259</v>
      </c>
      <c r="CK47" s="169" t="s">
        <v>259</v>
      </c>
      <c r="CL47" s="169" t="s">
        <v>259</v>
      </c>
      <c r="CM47" s="169" t="s">
        <v>259</v>
      </c>
      <c r="CN47" s="169" t="s">
        <v>259</v>
      </c>
      <c r="CO47" s="169" t="s">
        <v>259</v>
      </c>
      <c r="CP47" s="169" t="s">
        <v>259</v>
      </c>
      <c r="CQ47" s="169" t="s">
        <v>259</v>
      </c>
      <c r="CR47" s="169" t="s">
        <v>259</v>
      </c>
      <c r="CS47" s="169" t="s">
        <v>259</v>
      </c>
      <c r="CT47" s="169" t="s">
        <v>259</v>
      </c>
      <c r="CU47" s="169" t="s">
        <v>259</v>
      </c>
      <c r="CV47" s="169" t="s">
        <v>259</v>
      </c>
      <c r="CW47" s="169" t="s">
        <v>259</v>
      </c>
      <c r="CX47" s="169" t="s">
        <v>259</v>
      </c>
      <c r="CY47" s="169" t="s">
        <v>259</v>
      </c>
      <c r="CZ47" s="169" t="s">
        <v>259</v>
      </c>
      <c r="DA47" s="169" t="s">
        <v>259</v>
      </c>
      <c r="DB47" s="169" t="s">
        <v>259</v>
      </c>
      <c r="DC47" s="169" t="s">
        <v>259</v>
      </c>
      <c r="DD47" s="169" t="s">
        <v>259</v>
      </c>
      <c r="DE47" s="169" t="s">
        <v>259</v>
      </c>
      <c r="DF47" s="169" t="s">
        <v>259</v>
      </c>
      <c r="DG47" s="169" t="s">
        <v>259</v>
      </c>
      <c r="DH47" s="169" t="s">
        <v>259</v>
      </c>
      <c r="DI47" s="169" t="s">
        <v>259</v>
      </c>
      <c r="DJ47" s="169" t="s">
        <v>259</v>
      </c>
      <c r="DK47" s="169" t="s">
        <v>259</v>
      </c>
      <c r="DL47" s="169" t="s">
        <v>259</v>
      </c>
      <c r="DM47" s="169" t="s">
        <v>259</v>
      </c>
      <c r="DN47" s="169" t="s">
        <v>259</v>
      </c>
      <c r="DO47" s="169" t="s">
        <v>259</v>
      </c>
      <c r="DP47" s="169" t="s">
        <v>259</v>
      </c>
      <c r="DQ47" s="169" t="s">
        <v>259</v>
      </c>
      <c r="DR47" s="169" t="s">
        <v>259</v>
      </c>
      <c r="DS47" s="169" t="s">
        <v>259</v>
      </c>
      <c r="DT47" s="169" t="s">
        <v>259</v>
      </c>
    </row>
    <row r="48" spans="2:124" x14ac:dyDescent="0.3">
      <c r="B48" t="str">
        <f>'IMPORT SCHLIESSERDATEN'!B47</f>
        <v>TS 93 G GSR-EMR 1 /BG EN 2-5 Standfl.</v>
      </c>
      <c r="D48" s="169" t="s">
        <v>259</v>
      </c>
      <c r="E48" s="169" t="s">
        <v>259</v>
      </c>
      <c r="F48" s="169" t="s">
        <v>259</v>
      </c>
      <c r="G48" s="169" t="s">
        <v>259</v>
      </c>
      <c r="H48" s="169" t="s">
        <v>259</v>
      </c>
      <c r="I48" s="169" t="s">
        <v>259</v>
      </c>
      <c r="J48" s="169" t="s">
        <v>259</v>
      </c>
      <c r="K48" s="169" t="s">
        <v>259</v>
      </c>
      <c r="L48" s="169" t="s">
        <v>259</v>
      </c>
      <c r="M48" s="169" t="s">
        <v>259</v>
      </c>
      <c r="N48" s="169" t="s">
        <v>259</v>
      </c>
      <c r="O48" s="169" t="s">
        <v>259</v>
      </c>
      <c r="P48" s="169" t="s">
        <v>259</v>
      </c>
      <c r="Q48" s="169" t="s">
        <v>259</v>
      </c>
      <c r="R48" s="169" t="s">
        <v>259</v>
      </c>
      <c r="S48" s="169" t="s">
        <v>259</v>
      </c>
      <c r="T48" s="169" t="s">
        <v>259</v>
      </c>
      <c r="U48" s="169" t="s">
        <v>259</v>
      </c>
      <c r="V48" s="169" t="s">
        <v>259</v>
      </c>
      <c r="W48" s="169" t="s">
        <v>259</v>
      </c>
      <c r="X48" s="169" t="s">
        <v>259</v>
      </c>
      <c r="Y48" s="169" t="s">
        <v>259</v>
      </c>
      <c r="Z48" s="169" t="s">
        <v>259</v>
      </c>
      <c r="AA48" s="169" t="s">
        <v>259</v>
      </c>
      <c r="AB48" s="169" t="s">
        <v>259</v>
      </c>
      <c r="AC48" s="169" t="s">
        <v>259</v>
      </c>
      <c r="AD48" s="169" t="s">
        <v>259</v>
      </c>
      <c r="AE48" s="169" t="s">
        <v>259</v>
      </c>
      <c r="AF48" s="169" t="s">
        <v>259</v>
      </c>
      <c r="AG48" s="169" t="s">
        <v>259</v>
      </c>
      <c r="AH48" s="169" t="s">
        <v>259</v>
      </c>
      <c r="AI48" s="169" t="s">
        <v>259</v>
      </c>
      <c r="AJ48" s="169" t="s">
        <v>259</v>
      </c>
      <c r="AK48" s="169" t="s">
        <v>259</v>
      </c>
      <c r="AL48" s="169" t="s">
        <v>259</v>
      </c>
      <c r="AM48" s="169" t="s">
        <v>259</v>
      </c>
      <c r="AN48" s="169" t="s">
        <v>259</v>
      </c>
      <c r="AO48" s="169" t="s">
        <v>259</v>
      </c>
      <c r="AP48" s="169" t="s">
        <v>259</v>
      </c>
      <c r="AQ48" s="169" t="s">
        <v>259</v>
      </c>
      <c r="AR48" s="169" t="s">
        <v>259</v>
      </c>
      <c r="AS48" s="169" t="s">
        <v>259</v>
      </c>
      <c r="AT48" s="169" t="s">
        <v>259</v>
      </c>
      <c r="AU48" s="169" t="s">
        <v>259</v>
      </c>
      <c r="AV48" s="169" t="s">
        <v>259</v>
      </c>
      <c r="AW48" s="169" t="s">
        <v>259</v>
      </c>
      <c r="AX48" s="169" t="s">
        <v>259</v>
      </c>
      <c r="AY48" s="169" t="s">
        <v>259</v>
      </c>
      <c r="AZ48" s="169" t="s">
        <v>259</v>
      </c>
      <c r="BA48" s="169" t="s">
        <v>259</v>
      </c>
      <c r="BB48" s="169" t="s">
        <v>259</v>
      </c>
      <c r="BC48" s="169" t="s">
        <v>259</v>
      </c>
      <c r="BD48" s="169" t="s">
        <v>259</v>
      </c>
      <c r="BE48" s="169" t="s">
        <v>259</v>
      </c>
      <c r="BF48" s="169" t="s">
        <v>259</v>
      </c>
      <c r="BG48" s="169" t="s">
        <v>259</v>
      </c>
      <c r="BH48" s="169" t="s">
        <v>259</v>
      </c>
      <c r="BI48" s="169" t="s">
        <v>259</v>
      </c>
      <c r="BJ48" s="169" t="s">
        <v>259</v>
      </c>
      <c r="BK48" s="169" t="s">
        <v>259</v>
      </c>
      <c r="BL48" s="169" t="s">
        <v>259</v>
      </c>
      <c r="BM48" s="169" t="s">
        <v>259</v>
      </c>
      <c r="BN48" s="169" t="s">
        <v>259</v>
      </c>
      <c r="BO48" s="169" t="s">
        <v>259</v>
      </c>
      <c r="BP48" s="169" t="s">
        <v>259</v>
      </c>
      <c r="BQ48" s="169" t="s">
        <v>259</v>
      </c>
      <c r="BR48" s="169" t="s">
        <v>259</v>
      </c>
      <c r="BS48" s="169" t="s">
        <v>259</v>
      </c>
      <c r="BT48" s="169" t="s">
        <v>259</v>
      </c>
      <c r="BU48" s="169" t="s">
        <v>259</v>
      </c>
      <c r="BV48" s="169" t="s">
        <v>259</v>
      </c>
      <c r="BW48" s="169" t="s">
        <v>259</v>
      </c>
      <c r="BX48" s="169" t="s">
        <v>259</v>
      </c>
      <c r="BY48" s="169" t="s">
        <v>259</v>
      </c>
      <c r="BZ48" s="169" t="s">
        <v>259</v>
      </c>
      <c r="CA48" s="169" t="s">
        <v>259</v>
      </c>
      <c r="CB48" s="169" t="s">
        <v>259</v>
      </c>
      <c r="CC48" s="169" t="s">
        <v>259</v>
      </c>
      <c r="CD48" s="169" t="s">
        <v>259</v>
      </c>
      <c r="CE48" s="169" t="s">
        <v>259</v>
      </c>
      <c r="CF48" s="169" t="s">
        <v>259</v>
      </c>
      <c r="CG48" s="169" t="s">
        <v>259</v>
      </c>
      <c r="CH48" s="169" t="s">
        <v>259</v>
      </c>
      <c r="CI48" s="169" t="s">
        <v>259</v>
      </c>
      <c r="CJ48" s="169" t="s">
        <v>259</v>
      </c>
      <c r="CK48" s="169" t="s">
        <v>259</v>
      </c>
      <c r="CL48" s="169" t="s">
        <v>259</v>
      </c>
      <c r="CM48" s="169" t="s">
        <v>259</v>
      </c>
      <c r="CN48" s="169" t="s">
        <v>259</v>
      </c>
      <c r="CO48" s="169" t="s">
        <v>259</v>
      </c>
      <c r="CP48" s="169" t="s">
        <v>259</v>
      </c>
      <c r="CQ48" s="169" t="s">
        <v>259</v>
      </c>
      <c r="CR48" s="169" t="s">
        <v>259</v>
      </c>
      <c r="CS48" s="169" t="s">
        <v>259</v>
      </c>
      <c r="CT48" s="169" t="s">
        <v>259</v>
      </c>
      <c r="CU48" s="169" t="s">
        <v>259</v>
      </c>
      <c r="CV48" s="169" t="s">
        <v>259</v>
      </c>
      <c r="CW48" s="169" t="s">
        <v>259</v>
      </c>
      <c r="CX48" s="169" t="s">
        <v>259</v>
      </c>
      <c r="CY48" s="169" t="s">
        <v>259</v>
      </c>
      <c r="CZ48" s="169" t="s">
        <v>259</v>
      </c>
      <c r="DA48" s="169" t="s">
        <v>259</v>
      </c>
      <c r="DB48" s="169" t="s">
        <v>259</v>
      </c>
      <c r="DC48" s="169" t="s">
        <v>259</v>
      </c>
      <c r="DD48" s="169" t="s">
        <v>259</v>
      </c>
      <c r="DE48" s="169" t="s">
        <v>259</v>
      </c>
      <c r="DF48" s="169" t="s">
        <v>259</v>
      </c>
      <c r="DG48" s="169" t="s">
        <v>259</v>
      </c>
      <c r="DH48" s="169" t="s">
        <v>259</v>
      </c>
      <c r="DI48" s="169" t="s">
        <v>259</v>
      </c>
      <c r="DJ48" s="169" t="s">
        <v>259</v>
      </c>
      <c r="DK48" s="169" t="s">
        <v>259</v>
      </c>
      <c r="DL48" s="169" t="s">
        <v>259</v>
      </c>
      <c r="DM48" s="169" t="s">
        <v>259</v>
      </c>
      <c r="DN48" s="169" t="s">
        <v>259</v>
      </c>
      <c r="DO48" s="169" t="s">
        <v>259</v>
      </c>
      <c r="DP48" s="169" t="s">
        <v>259</v>
      </c>
      <c r="DQ48" s="169" t="s">
        <v>259</v>
      </c>
      <c r="DR48" s="169" t="s">
        <v>259</v>
      </c>
      <c r="DS48" s="169" t="s">
        <v>259</v>
      </c>
      <c r="DT48" s="169" t="s">
        <v>259</v>
      </c>
    </row>
    <row r="49" spans="2:124" x14ac:dyDescent="0.3">
      <c r="B49" t="str">
        <f>'IMPORT SCHLIESSERDATEN'!B48</f>
        <v>TS 93 G GSR-EMR 1G /BG EN 2-5 Standfl.</v>
      </c>
      <c r="D49" s="169" t="s">
        <v>259</v>
      </c>
      <c r="E49" s="169" t="s">
        <v>259</v>
      </c>
      <c r="F49" s="169" t="s">
        <v>259</v>
      </c>
      <c r="G49" s="169" t="s">
        <v>259</v>
      </c>
      <c r="H49" s="169" t="s">
        <v>259</v>
      </c>
      <c r="I49" s="169" t="s">
        <v>259</v>
      </c>
      <c r="J49" s="169" t="s">
        <v>259</v>
      </c>
      <c r="K49" s="169" t="s">
        <v>259</v>
      </c>
      <c r="L49" s="169" t="s">
        <v>259</v>
      </c>
      <c r="M49" s="169" t="s">
        <v>259</v>
      </c>
      <c r="N49" s="169" t="s">
        <v>259</v>
      </c>
      <c r="O49" s="169" t="s">
        <v>259</v>
      </c>
      <c r="P49" s="169" t="s">
        <v>259</v>
      </c>
      <c r="Q49" s="169" t="s">
        <v>259</v>
      </c>
      <c r="R49" s="169" t="s">
        <v>259</v>
      </c>
      <c r="S49" s="169" t="s">
        <v>259</v>
      </c>
      <c r="T49" s="169" t="s">
        <v>259</v>
      </c>
      <c r="U49" s="169" t="s">
        <v>259</v>
      </c>
      <c r="V49" s="169" t="s">
        <v>259</v>
      </c>
      <c r="W49" s="169" t="s">
        <v>259</v>
      </c>
      <c r="X49" s="169" t="s">
        <v>259</v>
      </c>
      <c r="Y49" s="169" t="s">
        <v>259</v>
      </c>
      <c r="Z49" s="169" t="s">
        <v>259</v>
      </c>
      <c r="AA49" s="169" t="s">
        <v>259</v>
      </c>
      <c r="AB49" s="169" t="s">
        <v>259</v>
      </c>
      <c r="AC49" s="169" t="s">
        <v>259</v>
      </c>
      <c r="AD49" s="169" t="s">
        <v>259</v>
      </c>
      <c r="AE49" s="169" t="s">
        <v>259</v>
      </c>
      <c r="AF49" s="169" t="s">
        <v>259</v>
      </c>
      <c r="AG49" s="169" t="s">
        <v>259</v>
      </c>
      <c r="AH49" s="169" t="s">
        <v>259</v>
      </c>
      <c r="AI49" s="169" t="s">
        <v>259</v>
      </c>
      <c r="AJ49" s="169" t="s">
        <v>259</v>
      </c>
      <c r="AK49" s="169" t="s">
        <v>259</v>
      </c>
      <c r="AL49" s="169" t="s">
        <v>259</v>
      </c>
      <c r="AM49" s="169" t="s">
        <v>259</v>
      </c>
      <c r="AN49" s="169" t="s">
        <v>259</v>
      </c>
      <c r="AO49" s="169" t="s">
        <v>259</v>
      </c>
      <c r="AP49" s="169" t="s">
        <v>259</v>
      </c>
      <c r="AQ49" s="169" t="s">
        <v>259</v>
      </c>
      <c r="AR49" s="169" t="s">
        <v>259</v>
      </c>
      <c r="AS49" s="169" t="s">
        <v>259</v>
      </c>
      <c r="AT49" s="169" t="s">
        <v>259</v>
      </c>
      <c r="AU49" s="169" t="s">
        <v>259</v>
      </c>
      <c r="AV49" s="169" t="s">
        <v>259</v>
      </c>
      <c r="AW49" s="169" t="s">
        <v>259</v>
      </c>
      <c r="AX49" s="169" t="s">
        <v>259</v>
      </c>
      <c r="AY49" s="169" t="s">
        <v>259</v>
      </c>
      <c r="AZ49" s="169" t="s">
        <v>259</v>
      </c>
      <c r="BA49" s="169" t="s">
        <v>259</v>
      </c>
      <c r="BB49" s="169" t="s">
        <v>259</v>
      </c>
      <c r="BC49" s="169" t="s">
        <v>259</v>
      </c>
      <c r="BD49" s="169" t="s">
        <v>259</v>
      </c>
      <c r="BE49" s="169" t="s">
        <v>259</v>
      </c>
      <c r="BF49" s="169" t="s">
        <v>259</v>
      </c>
      <c r="BG49" s="169" t="s">
        <v>259</v>
      </c>
      <c r="BH49" s="169" t="s">
        <v>259</v>
      </c>
      <c r="BI49" s="169" t="s">
        <v>259</v>
      </c>
      <c r="BJ49" s="169" t="s">
        <v>259</v>
      </c>
      <c r="BK49" s="169" t="s">
        <v>259</v>
      </c>
      <c r="BL49" s="169" t="s">
        <v>259</v>
      </c>
      <c r="BM49" s="169" t="s">
        <v>259</v>
      </c>
      <c r="BN49" s="169" t="s">
        <v>259</v>
      </c>
      <c r="BO49" s="169" t="s">
        <v>259</v>
      </c>
      <c r="BP49" s="169" t="s">
        <v>259</v>
      </c>
      <c r="BQ49" s="169" t="s">
        <v>259</v>
      </c>
      <c r="BR49" s="169" t="s">
        <v>259</v>
      </c>
      <c r="BS49" s="169" t="s">
        <v>259</v>
      </c>
      <c r="BT49" s="169" t="s">
        <v>259</v>
      </c>
      <c r="BU49" s="169" t="s">
        <v>259</v>
      </c>
      <c r="BV49" s="169" t="s">
        <v>259</v>
      </c>
      <c r="BW49" s="169" t="s">
        <v>259</v>
      </c>
      <c r="BX49" s="169" t="s">
        <v>259</v>
      </c>
      <c r="BY49" s="169" t="s">
        <v>259</v>
      </c>
      <c r="BZ49" s="169" t="s">
        <v>259</v>
      </c>
      <c r="CA49" s="169" t="s">
        <v>259</v>
      </c>
      <c r="CB49" s="169" t="s">
        <v>259</v>
      </c>
      <c r="CC49" s="169" t="s">
        <v>259</v>
      </c>
      <c r="CD49" s="169" t="s">
        <v>259</v>
      </c>
      <c r="CE49" s="169" t="s">
        <v>259</v>
      </c>
      <c r="CF49" s="169" t="s">
        <v>259</v>
      </c>
      <c r="CG49" s="169" t="s">
        <v>259</v>
      </c>
      <c r="CH49" s="169" t="s">
        <v>259</v>
      </c>
      <c r="CI49" s="169" t="s">
        <v>259</v>
      </c>
      <c r="CJ49" s="169" t="s">
        <v>259</v>
      </c>
      <c r="CK49" s="169" t="s">
        <v>259</v>
      </c>
      <c r="CL49" s="169" t="s">
        <v>259</v>
      </c>
      <c r="CM49" s="169" t="s">
        <v>259</v>
      </c>
      <c r="CN49" s="169" t="s">
        <v>259</v>
      </c>
      <c r="CO49" s="169" t="s">
        <v>259</v>
      </c>
      <c r="CP49" s="169" t="s">
        <v>259</v>
      </c>
      <c r="CQ49" s="169" t="s">
        <v>259</v>
      </c>
      <c r="CR49" s="169" t="s">
        <v>259</v>
      </c>
      <c r="CS49" s="169" t="s">
        <v>259</v>
      </c>
      <c r="CT49" s="169" t="s">
        <v>259</v>
      </c>
      <c r="CU49" s="169" t="s">
        <v>259</v>
      </c>
      <c r="CV49" s="169" t="s">
        <v>259</v>
      </c>
      <c r="CW49" s="169" t="s">
        <v>259</v>
      </c>
      <c r="CX49" s="169" t="s">
        <v>259</v>
      </c>
      <c r="CY49" s="169" t="s">
        <v>259</v>
      </c>
      <c r="CZ49" s="169" t="s">
        <v>259</v>
      </c>
      <c r="DA49" s="169" t="s">
        <v>259</v>
      </c>
      <c r="DB49" s="169" t="s">
        <v>259</v>
      </c>
      <c r="DC49" s="169" t="s">
        <v>259</v>
      </c>
      <c r="DD49" s="169" t="s">
        <v>259</v>
      </c>
      <c r="DE49" s="169" t="s">
        <v>259</v>
      </c>
      <c r="DF49" s="169" t="s">
        <v>259</v>
      </c>
      <c r="DG49" s="169" t="s">
        <v>259</v>
      </c>
      <c r="DH49" s="169" t="s">
        <v>259</v>
      </c>
      <c r="DI49" s="169" t="s">
        <v>259</v>
      </c>
      <c r="DJ49" s="169" t="s">
        <v>259</v>
      </c>
      <c r="DK49" s="169" t="s">
        <v>259</v>
      </c>
      <c r="DL49" s="169" t="s">
        <v>259</v>
      </c>
      <c r="DM49" s="169" t="s">
        <v>259</v>
      </c>
      <c r="DN49" s="169" t="s">
        <v>259</v>
      </c>
      <c r="DO49" s="169" t="s">
        <v>259</v>
      </c>
      <c r="DP49" s="169" t="s">
        <v>259</v>
      </c>
      <c r="DQ49" s="169" t="s">
        <v>259</v>
      </c>
      <c r="DR49" s="169" t="s">
        <v>259</v>
      </c>
      <c r="DS49" s="169" t="s">
        <v>259</v>
      </c>
      <c r="DT49" s="169" t="s">
        <v>259</v>
      </c>
    </row>
    <row r="50" spans="2:124" x14ac:dyDescent="0.3">
      <c r="B50" t="str">
        <f>'IMPORT SCHLIESSERDATEN'!B49</f>
        <v>TS 93 G GSR-EMR 2 /BG EN 2-5 Standfl.</v>
      </c>
      <c r="D50" s="169" t="s">
        <v>259</v>
      </c>
      <c r="E50" s="169" t="s">
        <v>259</v>
      </c>
      <c r="F50" s="169" t="s">
        <v>259</v>
      </c>
      <c r="G50" s="169" t="s">
        <v>259</v>
      </c>
      <c r="H50" s="169" t="s">
        <v>259</v>
      </c>
      <c r="I50" s="169" t="s">
        <v>259</v>
      </c>
      <c r="J50" s="169" t="s">
        <v>259</v>
      </c>
      <c r="K50" s="169" t="s">
        <v>259</v>
      </c>
      <c r="L50" s="169" t="s">
        <v>259</v>
      </c>
      <c r="M50" s="169" t="s">
        <v>259</v>
      </c>
      <c r="N50" s="169" t="s">
        <v>259</v>
      </c>
      <c r="O50" s="169" t="s">
        <v>259</v>
      </c>
      <c r="P50" s="169" t="s">
        <v>259</v>
      </c>
      <c r="Q50" s="169" t="s">
        <v>259</v>
      </c>
      <c r="R50" s="169" t="s">
        <v>259</v>
      </c>
      <c r="S50" s="169" t="s">
        <v>259</v>
      </c>
      <c r="T50" s="169" t="s">
        <v>259</v>
      </c>
      <c r="U50" s="169" t="s">
        <v>259</v>
      </c>
      <c r="V50" s="169" t="s">
        <v>259</v>
      </c>
      <c r="W50" s="169" t="s">
        <v>259</v>
      </c>
      <c r="X50" s="169" t="s">
        <v>259</v>
      </c>
      <c r="Y50" s="169" t="s">
        <v>259</v>
      </c>
      <c r="Z50" s="169" t="s">
        <v>259</v>
      </c>
      <c r="AA50" s="169" t="s">
        <v>259</v>
      </c>
      <c r="AB50" s="169" t="s">
        <v>259</v>
      </c>
      <c r="AC50" s="169" t="s">
        <v>259</v>
      </c>
      <c r="AD50" s="169" t="s">
        <v>259</v>
      </c>
      <c r="AE50" s="169" t="s">
        <v>259</v>
      </c>
      <c r="AF50" s="169" t="s">
        <v>259</v>
      </c>
      <c r="AG50" s="169" t="s">
        <v>259</v>
      </c>
      <c r="AH50" s="169" t="s">
        <v>259</v>
      </c>
      <c r="AI50" s="169" t="s">
        <v>259</v>
      </c>
      <c r="AJ50" s="169" t="s">
        <v>259</v>
      </c>
      <c r="AK50" s="169" t="s">
        <v>259</v>
      </c>
      <c r="AL50" s="169" t="s">
        <v>259</v>
      </c>
      <c r="AM50" s="169" t="s">
        <v>259</v>
      </c>
      <c r="AN50" s="169" t="s">
        <v>259</v>
      </c>
      <c r="AO50" s="169" t="s">
        <v>259</v>
      </c>
      <c r="AP50" s="169" t="s">
        <v>259</v>
      </c>
      <c r="AQ50" s="169" t="s">
        <v>259</v>
      </c>
      <c r="AR50" s="169" t="s">
        <v>259</v>
      </c>
      <c r="AS50" s="169" t="s">
        <v>259</v>
      </c>
      <c r="AT50" s="169" t="s">
        <v>259</v>
      </c>
      <c r="AU50" s="169" t="s">
        <v>259</v>
      </c>
      <c r="AV50" s="169" t="s">
        <v>259</v>
      </c>
      <c r="AW50" s="169" t="s">
        <v>259</v>
      </c>
      <c r="AX50" s="169" t="s">
        <v>259</v>
      </c>
      <c r="AY50" s="169" t="s">
        <v>259</v>
      </c>
      <c r="AZ50" s="169" t="s">
        <v>259</v>
      </c>
      <c r="BA50" s="169" t="s">
        <v>259</v>
      </c>
      <c r="BB50" s="169" t="s">
        <v>259</v>
      </c>
      <c r="BC50" s="169" t="s">
        <v>259</v>
      </c>
      <c r="BD50" s="169" t="s">
        <v>259</v>
      </c>
      <c r="BE50" s="169" t="s">
        <v>259</v>
      </c>
      <c r="BF50" s="169" t="s">
        <v>259</v>
      </c>
      <c r="BG50" s="169" t="s">
        <v>259</v>
      </c>
      <c r="BH50" s="169" t="s">
        <v>259</v>
      </c>
      <c r="BI50" s="169" t="s">
        <v>259</v>
      </c>
      <c r="BJ50" s="169" t="s">
        <v>259</v>
      </c>
      <c r="BK50" s="169" t="s">
        <v>259</v>
      </c>
      <c r="BL50" s="169" t="s">
        <v>259</v>
      </c>
      <c r="BM50" s="169" t="s">
        <v>259</v>
      </c>
      <c r="BN50" s="169" t="s">
        <v>259</v>
      </c>
      <c r="BO50" s="169" t="s">
        <v>259</v>
      </c>
      <c r="BP50" s="169" t="s">
        <v>259</v>
      </c>
      <c r="BQ50" s="169" t="s">
        <v>259</v>
      </c>
      <c r="BR50" s="169" t="s">
        <v>259</v>
      </c>
      <c r="BS50" s="169" t="s">
        <v>259</v>
      </c>
      <c r="BT50" s="169" t="s">
        <v>259</v>
      </c>
      <c r="BU50" s="169" t="s">
        <v>259</v>
      </c>
      <c r="BV50" s="169" t="s">
        <v>259</v>
      </c>
      <c r="BW50" s="169" t="s">
        <v>259</v>
      </c>
      <c r="BX50" s="169" t="s">
        <v>259</v>
      </c>
      <c r="BY50" s="169" t="s">
        <v>259</v>
      </c>
      <c r="BZ50" s="169" t="s">
        <v>259</v>
      </c>
      <c r="CA50" s="169" t="s">
        <v>259</v>
      </c>
      <c r="CB50" s="169" t="s">
        <v>259</v>
      </c>
      <c r="CC50" s="169" t="s">
        <v>259</v>
      </c>
      <c r="CD50" s="169" t="s">
        <v>259</v>
      </c>
      <c r="CE50" s="169" t="s">
        <v>259</v>
      </c>
      <c r="CF50" s="169" t="s">
        <v>259</v>
      </c>
      <c r="CG50" s="169" t="s">
        <v>259</v>
      </c>
      <c r="CH50" s="169" t="s">
        <v>259</v>
      </c>
      <c r="CI50" s="169" t="s">
        <v>259</v>
      </c>
      <c r="CJ50" s="169" t="s">
        <v>259</v>
      </c>
      <c r="CK50" s="169" t="s">
        <v>259</v>
      </c>
      <c r="CL50" s="169" t="s">
        <v>259</v>
      </c>
      <c r="CM50" s="169" t="s">
        <v>259</v>
      </c>
      <c r="CN50" s="169" t="s">
        <v>259</v>
      </c>
      <c r="CO50" s="169" t="s">
        <v>259</v>
      </c>
      <c r="CP50" s="169" t="s">
        <v>259</v>
      </c>
      <c r="CQ50" s="169" t="s">
        <v>259</v>
      </c>
      <c r="CR50" s="169" t="s">
        <v>259</v>
      </c>
      <c r="CS50" s="169" t="s">
        <v>259</v>
      </c>
      <c r="CT50" s="169" t="s">
        <v>259</v>
      </c>
      <c r="CU50" s="169" t="s">
        <v>259</v>
      </c>
      <c r="CV50" s="169" t="s">
        <v>259</v>
      </c>
      <c r="CW50" s="169" t="s">
        <v>259</v>
      </c>
      <c r="CX50" s="169" t="s">
        <v>259</v>
      </c>
      <c r="CY50" s="169" t="s">
        <v>259</v>
      </c>
      <c r="CZ50" s="169" t="s">
        <v>259</v>
      </c>
      <c r="DA50" s="169" t="s">
        <v>259</v>
      </c>
      <c r="DB50" s="169" t="s">
        <v>259</v>
      </c>
      <c r="DC50" s="169" t="s">
        <v>259</v>
      </c>
      <c r="DD50" s="169" t="s">
        <v>259</v>
      </c>
      <c r="DE50" s="169" t="s">
        <v>259</v>
      </c>
      <c r="DF50" s="169" t="s">
        <v>259</v>
      </c>
      <c r="DG50" s="169" t="s">
        <v>259</v>
      </c>
      <c r="DH50" s="169" t="s">
        <v>259</v>
      </c>
      <c r="DI50" s="169" t="s">
        <v>259</v>
      </c>
      <c r="DJ50" s="169" t="s">
        <v>259</v>
      </c>
      <c r="DK50" s="169" t="s">
        <v>259</v>
      </c>
      <c r="DL50" s="169" t="s">
        <v>259</v>
      </c>
      <c r="DM50" s="169" t="s">
        <v>259</v>
      </c>
      <c r="DN50" s="169" t="s">
        <v>259</v>
      </c>
      <c r="DO50" s="169" t="s">
        <v>259</v>
      </c>
      <c r="DP50" s="169" t="s">
        <v>259</v>
      </c>
      <c r="DQ50" s="169" t="s">
        <v>259</v>
      </c>
      <c r="DR50" s="169" t="s">
        <v>259</v>
      </c>
      <c r="DS50" s="169" t="s">
        <v>259</v>
      </c>
      <c r="DT50" s="169" t="s">
        <v>259</v>
      </c>
    </row>
    <row r="51" spans="2:124" x14ac:dyDescent="0.3">
      <c r="B51" t="str">
        <f>'IMPORT SCHLIESSERDATEN'!B50</f>
        <v>TS 93 EN 5-7</v>
      </c>
      <c r="D51" s="169" t="s">
        <v>259</v>
      </c>
      <c r="E51" s="169" t="s">
        <v>259</v>
      </c>
      <c r="F51" s="169" t="s">
        <v>259</v>
      </c>
      <c r="G51" s="169" t="s">
        <v>259</v>
      </c>
      <c r="H51" s="169" t="s">
        <v>259</v>
      </c>
      <c r="I51" s="169" t="s">
        <v>259</v>
      </c>
      <c r="J51" s="169" t="s">
        <v>259</v>
      </c>
      <c r="K51" s="169" t="s">
        <v>259</v>
      </c>
      <c r="L51" s="169" t="s">
        <v>259</v>
      </c>
      <c r="M51" s="169" t="s">
        <v>259</v>
      </c>
      <c r="N51" s="169" t="s">
        <v>259</v>
      </c>
      <c r="O51" s="169" t="s">
        <v>259</v>
      </c>
      <c r="P51" s="169" t="s">
        <v>259</v>
      </c>
      <c r="Q51" s="169" t="s">
        <v>259</v>
      </c>
      <c r="R51" s="169" t="s">
        <v>259</v>
      </c>
      <c r="S51" s="169" t="s">
        <v>259</v>
      </c>
      <c r="T51" s="169" t="s">
        <v>259</v>
      </c>
      <c r="U51" s="169" t="s">
        <v>259</v>
      </c>
      <c r="V51" s="169" t="s">
        <v>259</v>
      </c>
      <c r="W51" s="169" t="s">
        <v>259</v>
      </c>
      <c r="X51" s="169" t="s">
        <v>259</v>
      </c>
      <c r="Y51" s="169" t="s">
        <v>259</v>
      </c>
      <c r="Z51" s="169" t="s">
        <v>259</v>
      </c>
      <c r="AA51" s="169" t="s">
        <v>259</v>
      </c>
      <c r="AB51" s="169" t="s">
        <v>259</v>
      </c>
      <c r="AC51" s="169" t="s">
        <v>259</v>
      </c>
      <c r="AD51" s="169" t="s">
        <v>259</v>
      </c>
      <c r="AE51" s="169" t="s">
        <v>259</v>
      </c>
      <c r="AF51" s="169" t="s">
        <v>259</v>
      </c>
      <c r="AG51" s="169" t="s">
        <v>259</v>
      </c>
      <c r="AH51" s="169" t="s">
        <v>259</v>
      </c>
      <c r="AI51" s="169" t="s">
        <v>259</v>
      </c>
      <c r="AJ51" s="169" t="s">
        <v>259</v>
      </c>
      <c r="AK51" s="169" t="s">
        <v>259</v>
      </c>
      <c r="AL51" s="169" t="s">
        <v>259</v>
      </c>
      <c r="AM51" s="169" t="s">
        <v>259</v>
      </c>
      <c r="AN51" s="169" t="s">
        <v>259</v>
      </c>
      <c r="AO51" s="169" t="s">
        <v>259</v>
      </c>
      <c r="AP51" s="169" t="s">
        <v>259</v>
      </c>
      <c r="AQ51" s="169" t="s">
        <v>259</v>
      </c>
      <c r="AR51" s="169" t="s">
        <v>259</v>
      </c>
      <c r="AS51" s="169" t="s">
        <v>259</v>
      </c>
      <c r="AT51" s="169" t="s">
        <v>259</v>
      </c>
      <c r="AU51" s="169" t="s">
        <v>259</v>
      </c>
      <c r="AV51" s="169" t="s">
        <v>259</v>
      </c>
      <c r="AW51" s="169" t="s">
        <v>259</v>
      </c>
      <c r="AX51" s="169" t="s">
        <v>259</v>
      </c>
      <c r="AY51" s="169" t="s">
        <v>259</v>
      </c>
      <c r="AZ51" s="169" t="s">
        <v>259</v>
      </c>
      <c r="BA51" s="169" t="s">
        <v>259</v>
      </c>
      <c r="BB51" s="169" t="s">
        <v>259</v>
      </c>
      <c r="BC51" s="169" t="s">
        <v>259</v>
      </c>
      <c r="BD51" s="169" t="s">
        <v>259</v>
      </c>
      <c r="BE51" s="169" t="s">
        <v>259</v>
      </c>
      <c r="BF51" s="169" t="s">
        <v>259</v>
      </c>
      <c r="BG51" s="169" t="s">
        <v>259</v>
      </c>
      <c r="BH51" s="169" t="s">
        <v>259</v>
      </c>
      <c r="BI51" s="169" t="s">
        <v>259</v>
      </c>
      <c r="BJ51" s="169" t="s">
        <v>259</v>
      </c>
      <c r="BK51" s="169" t="s">
        <v>259</v>
      </c>
      <c r="BL51" s="169" t="s">
        <v>259</v>
      </c>
      <c r="BM51" s="169" t="s">
        <v>259</v>
      </c>
      <c r="BN51" s="169" t="s">
        <v>259</v>
      </c>
      <c r="BO51" s="169" t="s">
        <v>259</v>
      </c>
      <c r="BP51" s="169" t="s">
        <v>259</v>
      </c>
      <c r="BQ51" s="169" t="s">
        <v>259</v>
      </c>
      <c r="BR51" s="169" t="s">
        <v>259</v>
      </c>
      <c r="BS51" s="169" t="s">
        <v>259</v>
      </c>
      <c r="BT51" s="169" t="s">
        <v>259</v>
      </c>
      <c r="BU51" s="169" t="s">
        <v>259</v>
      </c>
      <c r="BV51" s="169" t="s">
        <v>259</v>
      </c>
      <c r="BW51" s="169" t="s">
        <v>259</v>
      </c>
      <c r="BX51" s="169" t="s">
        <v>259</v>
      </c>
      <c r="BY51" s="169" t="s">
        <v>259</v>
      </c>
      <c r="BZ51" s="169" t="s">
        <v>259</v>
      </c>
      <c r="CA51" s="169" t="s">
        <v>259</v>
      </c>
      <c r="CB51" s="169" t="s">
        <v>259</v>
      </c>
      <c r="CC51" s="169" t="s">
        <v>259</v>
      </c>
      <c r="CD51" s="169" t="s">
        <v>259</v>
      </c>
      <c r="CE51" s="169" t="s">
        <v>259</v>
      </c>
      <c r="CF51" s="169" t="s">
        <v>259</v>
      </c>
      <c r="CG51" s="169" t="s">
        <v>259</v>
      </c>
      <c r="CH51" s="169" t="s">
        <v>259</v>
      </c>
      <c r="CI51" s="169" t="s">
        <v>259</v>
      </c>
      <c r="CJ51" s="169" t="s">
        <v>259</v>
      </c>
      <c r="CK51" s="169" t="s">
        <v>259</v>
      </c>
      <c r="CL51" s="169" t="s">
        <v>259</v>
      </c>
      <c r="CM51" s="169" t="s">
        <v>259</v>
      </c>
      <c r="CN51" s="169" t="s">
        <v>259</v>
      </c>
      <c r="CO51" s="169" t="s">
        <v>259</v>
      </c>
      <c r="CP51" s="169" t="s">
        <v>259</v>
      </c>
      <c r="CQ51" s="169" t="s">
        <v>259</v>
      </c>
      <c r="CR51" s="169" t="s">
        <v>259</v>
      </c>
      <c r="CS51" s="169" t="s">
        <v>259</v>
      </c>
      <c r="CT51" s="169" t="s">
        <v>259</v>
      </c>
      <c r="CU51" s="169" t="s">
        <v>259</v>
      </c>
      <c r="CV51" s="169" t="s">
        <v>259</v>
      </c>
      <c r="CW51" s="169" t="s">
        <v>259</v>
      </c>
      <c r="CX51" s="169" t="s">
        <v>259</v>
      </c>
      <c r="CY51" s="169" t="s">
        <v>259</v>
      </c>
      <c r="CZ51" s="169" t="s">
        <v>259</v>
      </c>
      <c r="DA51" s="169" t="s">
        <v>259</v>
      </c>
      <c r="DB51" s="169" t="s">
        <v>259</v>
      </c>
      <c r="DC51" s="169" t="s">
        <v>259</v>
      </c>
      <c r="DD51" s="169" t="s">
        <v>259</v>
      </c>
      <c r="DE51" s="169" t="s">
        <v>259</v>
      </c>
      <c r="DF51" s="169" t="s">
        <v>259</v>
      </c>
      <c r="DG51" s="169" t="s">
        <v>259</v>
      </c>
      <c r="DH51" s="169" t="s">
        <v>259</v>
      </c>
      <c r="DI51" s="169" t="s">
        <v>259</v>
      </c>
      <c r="DJ51" s="169" t="s">
        <v>259</v>
      </c>
      <c r="DK51" s="169" t="s">
        <v>259</v>
      </c>
      <c r="DL51" s="169" t="s">
        <v>259</v>
      </c>
      <c r="DM51" s="169" t="s">
        <v>259</v>
      </c>
      <c r="DN51" s="169" t="s">
        <v>259</v>
      </c>
      <c r="DO51" s="169" t="s">
        <v>259</v>
      </c>
      <c r="DP51" s="169" t="s">
        <v>259</v>
      </c>
      <c r="DQ51" s="169" t="s">
        <v>259</v>
      </c>
      <c r="DR51" s="169" t="s">
        <v>259</v>
      </c>
      <c r="DS51" s="169" t="s">
        <v>259</v>
      </c>
      <c r="DT51" s="169" t="s">
        <v>259</v>
      </c>
    </row>
    <row r="52" spans="2:124" x14ac:dyDescent="0.3">
      <c r="B52" t="str">
        <f>'IMPORT SCHLIESSERDATEN'!B51</f>
        <v>TS 93 RF EN 5-7</v>
      </c>
      <c r="D52" s="169" t="s">
        <v>259</v>
      </c>
      <c r="E52" s="169" t="s">
        <v>259</v>
      </c>
      <c r="F52" s="169" t="s">
        <v>259</v>
      </c>
      <c r="G52" s="169" t="s">
        <v>259</v>
      </c>
      <c r="H52" s="169" t="s">
        <v>259</v>
      </c>
      <c r="I52" s="169" t="s">
        <v>259</v>
      </c>
      <c r="J52" s="169" t="s">
        <v>259</v>
      </c>
      <c r="K52" s="169" t="s">
        <v>259</v>
      </c>
      <c r="L52" s="169" t="s">
        <v>259</v>
      </c>
      <c r="M52" s="169" t="s">
        <v>259</v>
      </c>
      <c r="N52" s="169" t="s">
        <v>259</v>
      </c>
      <c r="O52" s="169" t="s">
        <v>259</v>
      </c>
      <c r="P52" s="169" t="s">
        <v>259</v>
      </c>
      <c r="Q52" s="169" t="s">
        <v>259</v>
      </c>
      <c r="R52" s="169" t="s">
        <v>259</v>
      </c>
      <c r="S52" s="169" t="s">
        <v>259</v>
      </c>
      <c r="T52" s="169" t="s">
        <v>259</v>
      </c>
      <c r="U52" s="169" t="s">
        <v>1995</v>
      </c>
      <c r="V52" s="169" t="s">
        <v>259</v>
      </c>
      <c r="W52" s="169" t="s">
        <v>259</v>
      </c>
      <c r="X52" s="169" t="s">
        <v>259</v>
      </c>
      <c r="Y52" s="169" t="s">
        <v>259</v>
      </c>
      <c r="Z52" s="169" t="s">
        <v>259</v>
      </c>
      <c r="AA52" s="169" t="s">
        <v>259</v>
      </c>
      <c r="AB52" s="169" t="s">
        <v>259</v>
      </c>
      <c r="AC52" s="169" t="s">
        <v>259</v>
      </c>
      <c r="AD52" s="169" t="s">
        <v>259</v>
      </c>
      <c r="AE52" s="169" t="s">
        <v>259</v>
      </c>
      <c r="AF52" s="169" t="s">
        <v>259</v>
      </c>
      <c r="AG52" s="169" t="s">
        <v>259</v>
      </c>
      <c r="AH52" s="169" t="s">
        <v>259</v>
      </c>
      <c r="AI52" s="169" t="s">
        <v>259</v>
      </c>
      <c r="AJ52" s="169" t="s">
        <v>259</v>
      </c>
      <c r="AK52" s="169" t="s">
        <v>259</v>
      </c>
      <c r="AL52" s="169" t="s">
        <v>259</v>
      </c>
      <c r="AM52" s="169" t="s">
        <v>259</v>
      </c>
      <c r="AN52" s="169" t="s">
        <v>259</v>
      </c>
      <c r="AO52" s="169" t="s">
        <v>259</v>
      </c>
      <c r="AP52" s="169" t="s">
        <v>259</v>
      </c>
      <c r="AQ52" s="169" t="s">
        <v>259</v>
      </c>
      <c r="AR52" s="169" t="s">
        <v>259</v>
      </c>
      <c r="AS52" s="169" t="s">
        <v>259</v>
      </c>
      <c r="AT52" s="169" t="s">
        <v>259</v>
      </c>
      <c r="AU52" s="169" t="s">
        <v>259</v>
      </c>
      <c r="AV52" s="169" t="s">
        <v>259</v>
      </c>
      <c r="AW52" s="169" t="s">
        <v>259</v>
      </c>
      <c r="AX52" s="169" t="s">
        <v>259</v>
      </c>
      <c r="AY52" s="169" t="s">
        <v>259</v>
      </c>
      <c r="AZ52" s="169" t="s">
        <v>259</v>
      </c>
      <c r="BA52" s="169" t="s">
        <v>259</v>
      </c>
      <c r="BB52" s="169" t="s">
        <v>259</v>
      </c>
      <c r="BC52" s="169" t="s">
        <v>259</v>
      </c>
      <c r="BD52" s="169" t="s">
        <v>259</v>
      </c>
      <c r="BE52" s="169" t="s">
        <v>259</v>
      </c>
      <c r="BF52" s="169" t="s">
        <v>259</v>
      </c>
      <c r="BG52" s="169" t="s">
        <v>259</v>
      </c>
      <c r="BH52" s="169" t="s">
        <v>259</v>
      </c>
      <c r="BI52" s="169" t="s">
        <v>259</v>
      </c>
      <c r="BJ52" s="169" t="s">
        <v>259</v>
      </c>
      <c r="BK52" s="169" t="s">
        <v>259</v>
      </c>
      <c r="BL52" s="169" t="s">
        <v>259</v>
      </c>
      <c r="BM52" s="169" t="s">
        <v>259</v>
      </c>
      <c r="BN52" s="169" t="s">
        <v>259</v>
      </c>
      <c r="BO52" s="169" t="s">
        <v>259</v>
      </c>
      <c r="BP52" s="169" t="s">
        <v>259</v>
      </c>
      <c r="BQ52" s="169" t="s">
        <v>259</v>
      </c>
      <c r="BR52" s="169" t="s">
        <v>259</v>
      </c>
      <c r="BS52" s="169" t="s">
        <v>259</v>
      </c>
      <c r="BT52" s="169" t="s">
        <v>259</v>
      </c>
      <c r="BU52" s="169" t="s">
        <v>259</v>
      </c>
      <c r="BV52" s="169" t="s">
        <v>259</v>
      </c>
      <c r="BW52" s="169" t="s">
        <v>259</v>
      </c>
      <c r="BX52" s="169" t="s">
        <v>259</v>
      </c>
      <c r="BY52" s="169" t="s">
        <v>259</v>
      </c>
      <c r="BZ52" s="169" t="s">
        <v>259</v>
      </c>
      <c r="CA52" s="169" t="s">
        <v>259</v>
      </c>
      <c r="CB52" s="169" t="s">
        <v>259</v>
      </c>
      <c r="CC52" s="169" t="s">
        <v>259</v>
      </c>
      <c r="CD52" s="169" t="s">
        <v>259</v>
      </c>
      <c r="CE52" s="169" t="s">
        <v>259</v>
      </c>
      <c r="CF52" s="169" t="s">
        <v>259</v>
      </c>
      <c r="CG52" s="169" t="s">
        <v>259</v>
      </c>
      <c r="CH52" s="169" t="s">
        <v>259</v>
      </c>
      <c r="CI52" s="169" t="s">
        <v>259</v>
      </c>
      <c r="CJ52" s="169" t="s">
        <v>259</v>
      </c>
      <c r="CK52" s="169" t="s">
        <v>259</v>
      </c>
      <c r="CL52" s="169" t="s">
        <v>259</v>
      </c>
      <c r="CM52" s="169" t="s">
        <v>259</v>
      </c>
      <c r="CN52" s="169" t="s">
        <v>259</v>
      </c>
      <c r="CO52" s="169" t="s">
        <v>259</v>
      </c>
      <c r="CP52" s="169" t="s">
        <v>259</v>
      </c>
      <c r="CQ52" s="169" t="s">
        <v>259</v>
      </c>
      <c r="CR52" s="169" t="s">
        <v>259</v>
      </c>
      <c r="CS52" s="169" t="s">
        <v>259</v>
      </c>
      <c r="CT52" s="169" t="s">
        <v>259</v>
      </c>
      <c r="CU52" s="169" t="s">
        <v>259</v>
      </c>
      <c r="CV52" s="169" t="s">
        <v>259</v>
      </c>
      <c r="CW52" s="169" t="s">
        <v>259</v>
      </c>
      <c r="CX52" s="169" t="s">
        <v>259</v>
      </c>
      <c r="CY52" s="169" t="s">
        <v>259</v>
      </c>
      <c r="CZ52" s="169" t="s">
        <v>259</v>
      </c>
      <c r="DA52" s="169" t="s">
        <v>259</v>
      </c>
      <c r="DB52" s="169" t="s">
        <v>259</v>
      </c>
      <c r="DC52" s="169" t="s">
        <v>259</v>
      </c>
      <c r="DD52" s="169" t="s">
        <v>259</v>
      </c>
      <c r="DE52" s="169" t="s">
        <v>259</v>
      </c>
      <c r="DF52" s="169" t="s">
        <v>259</v>
      </c>
      <c r="DG52" s="169" t="s">
        <v>259</v>
      </c>
      <c r="DH52" s="169" t="s">
        <v>259</v>
      </c>
      <c r="DI52" s="169" t="s">
        <v>259</v>
      </c>
      <c r="DJ52" s="169" t="s">
        <v>259</v>
      </c>
      <c r="DK52" s="169" t="s">
        <v>259</v>
      </c>
      <c r="DL52" s="169" t="s">
        <v>259</v>
      </c>
      <c r="DM52" s="169" t="s">
        <v>259</v>
      </c>
      <c r="DN52" s="169" t="s">
        <v>259</v>
      </c>
      <c r="DO52" s="169" t="s">
        <v>259</v>
      </c>
      <c r="DP52" s="169" t="s">
        <v>259</v>
      </c>
      <c r="DQ52" s="169" t="s">
        <v>259</v>
      </c>
      <c r="DR52" s="169" t="s">
        <v>259</v>
      </c>
      <c r="DS52" s="169" t="s">
        <v>259</v>
      </c>
      <c r="DT52" s="169" t="s">
        <v>259</v>
      </c>
    </row>
    <row r="53" spans="2:124" x14ac:dyDescent="0.3">
      <c r="B53" t="str">
        <f>'IMPORT SCHLIESSERDATEN'!B52</f>
        <v>TS 93 EMF EN 5-7</v>
      </c>
      <c r="D53" s="169" t="s">
        <v>259</v>
      </c>
      <c r="E53" s="169" t="s">
        <v>259</v>
      </c>
      <c r="F53" s="169" t="s">
        <v>259</v>
      </c>
      <c r="G53" s="169" t="s">
        <v>259</v>
      </c>
      <c r="H53" s="169" t="s">
        <v>259</v>
      </c>
      <c r="I53" s="169" t="s">
        <v>259</v>
      </c>
      <c r="J53" s="169" t="s">
        <v>259</v>
      </c>
      <c r="K53" s="169" t="s">
        <v>259</v>
      </c>
      <c r="L53" s="169" t="s">
        <v>259</v>
      </c>
      <c r="M53" s="169" t="s">
        <v>259</v>
      </c>
      <c r="N53" s="169" t="s">
        <v>259</v>
      </c>
      <c r="O53" s="169" t="s">
        <v>259</v>
      </c>
      <c r="P53" s="169" t="s">
        <v>259</v>
      </c>
      <c r="Q53" s="169" t="s">
        <v>259</v>
      </c>
      <c r="R53" s="169" t="s">
        <v>259</v>
      </c>
      <c r="S53" s="169" t="s">
        <v>259</v>
      </c>
      <c r="T53" s="169" t="s">
        <v>259</v>
      </c>
      <c r="U53" s="169" t="s">
        <v>259</v>
      </c>
      <c r="V53" s="169" t="s">
        <v>259</v>
      </c>
      <c r="W53" s="169" t="s">
        <v>259</v>
      </c>
      <c r="X53" s="169" t="s">
        <v>259</v>
      </c>
      <c r="Y53" s="169" t="s">
        <v>259</v>
      </c>
      <c r="Z53" s="169" t="s">
        <v>259</v>
      </c>
      <c r="AA53" s="169" t="s">
        <v>259</v>
      </c>
      <c r="AB53" s="169" t="s">
        <v>259</v>
      </c>
      <c r="AC53" s="169" t="s">
        <v>259</v>
      </c>
      <c r="AD53" s="169" t="s">
        <v>259</v>
      </c>
      <c r="AE53" s="169" t="s">
        <v>259</v>
      </c>
      <c r="AF53" s="169" t="s">
        <v>259</v>
      </c>
      <c r="AG53" s="169" t="s">
        <v>259</v>
      </c>
      <c r="AH53" s="169" t="s">
        <v>259</v>
      </c>
      <c r="AI53" s="169" t="s">
        <v>259</v>
      </c>
      <c r="AJ53" s="169" t="s">
        <v>259</v>
      </c>
      <c r="AK53" s="169" t="s">
        <v>259</v>
      </c>
      <c r="AL53" s="169" t="s">
        <v>259</v>
      </c>
      <c r="AM53" s="169" t="s">
        <v>259</v>
      </c>
      <c r="AN53" s="169" t="s">
        <v>259</v>
      </c>
      <c r="AO53" s="169" t="s">
        <v>259</v>
      </c>
      <c r="AP53" s="169" t="s">
        <v>259</v>
      </c>
      <c r="AQ53" s="169" t="s">
        <v>259</v>
      </c>
      <c r="AR53" s="169" t="s">
        <v>259</v>
      </c>
      <c r="AS53" s="169" t="s">
        <v>259</v>
      </c>
      <c r="AT53" s="169" t="s">
        <v>259</v>
      </c>
      <c r="AU53" s="169" t="s">
        <v>259</v>
      </c>
      <c r="AV53" s="169" t="s">
        <v>259</v>
      </c>
      <c r="AW53" s="169" t="s">
        <v>259</v>
      </c>
      <c r="AX53" s="169" t="s">
        <v>259</v>
      </c>
      <c r="AY53" s="169" t="s">
        <v>259</v>
      </c>
      <c r="AZ53" s="169" t="s">
        <v>259</v>
      </c>
      <c r="BA53" s="169" t="s">
        <v>259</v>
      </c>
      <c r="BB53" s="169" t="s">
        <v>259</v>
      </c>
      <c r="BC53" s="169" t="s">
        <v>259</v>
      </c>
      <c r="BD53" s="169" t="s">
        <v>259</v>
      </c>
      <c r="BE53" s="169" t="s">
        <v>259</v>
      </c>
      <c r="BF53" s="169" t="s">
        <v>259</v>
      </c>
      <c r="BG53" s="169" t="s">
        <v>259</v>
      </c>
      <c r="BH53" s="169" t="s">
        <v>259</v>
      </c>
      <c r="BI53" s="169" t="s">
        <v>259</v>
      </c>
      <c r="BJ53" s="169" t="s">
        <v>259</v>
      </c>
      <c r="BK53" s="169" t="s">
        <v>259</v>
      </c>
      <c r="BL53" s="169" t="s">
        <v>259</v>
      </c>
      <c r="BM53" s="169" t="s">
        <v>259</v>
      </c>
      <c r="BN53" s="169" t="s">
        <v>259</v>
      </c>
      <c r="BO53" s="169" t="s">
        <v>259</v>
      </c>
      <c r="BP53" s="169" t="s">
        <v>259</v>
      </c>
      <c r="BQ53" s="169" t="s">
        <v>259</v>
      </c>
      <c r="BR53" s="169" t="s">
        <v>259</v>
      </c>
      <c r="BS53" s="169" t="s">
        <v>259</v>
      </c>
      <c r="BT53" s="169" t="s">
        <v>259</v>
      </c>
      <c r="BU53" s="169" t="s">
        <v>259</v>
      </c>
      <c r="BV53" s="169" t="s">
        <v>259</v>
      </c>
      <c r="BW53" s="169" t="s">
        <v>259</v>
      </c>
      <c r="BX53" s="169" t="s">
        <v>259</v>
      </c>
      <c r="BY53" s="169" t="s">
        <v>259</v>
      </c>
      <c r="BZ53" s="169" t="s">
        <v>259</v>
      </c>
      <c r="CA53" s="169" t="s">
        <v>259</v>
      </c>
      <c r="CB53" s="169" t="s">
        <v>259</v>
      </c>
      <c r="CC53" s="169" t="s">
        <v>259</v>
      </c>
      <c r="CD53" s="169" t="s">
        <v>259</v>
      </c>
      <c r="CE53" s="169" t="s">
        <v>259</v>
      </c>
      <c r="CF53" s="169" t="s">
        <v>259</v>
      </c>
      <c r="CG53" s="169" t="s">
        <v>259</v>
      </c>
      <c r="CH53" s="169" t="s">
        <v>259</v>
      </c>
      <c r="CI53" s="169" t="s">
        <v>259</v>
      </c>
      <c r="CJ53" s="169" t="s">
        <v>259</v>
      </c>
      <c r="CK53" s="169" t="s">
        <v>259</v>
      </c>
      <c r="CL53" s="169" t="s">
        <v>259</v>
      </c>
      <c r="CM53" s="169" t="s">
        <v>259</v>
      </c>
      <c r="CN53" s="169" t="s">
        <v>259</v>
      </c>
      <c r="CO53" s="169" t="s">
        <v>259</v>
      </c>
      <c r="CP53" s="169" t="s">
        <v>259</v>
      </c>
      <c r="CQ53" s="169" t="s">
        <v>259</v>
      </c>
      <c r="CR53" s="169" t="s">
        <v>259</v>
      </c>
      <c r="CS53" s="169" t="s">
        <v>259</v>
      </c>
      <c r="CT53" s="169" t="s">
        <v>259</v>
      </c>
      <c r="CU53" s="169" t="s">
        <v>259</v>
      </c>
      <c r="CV53" s="169" t="s">
        <v>259</v>
      </c>
      <c r="CW53" s="169" t="s">
        <v>259</v>
      </c>
      <c r="CX53" s="169" t="s">
        <v>259</v>
      </c>
      <c r="CY53" s="169" t="s">
        <v>259</v>
      </c>
      <c r="CZ53" s="169" t="s">
        <v>259</v>
      </c>
      <c r="DA53" s="169" t="s">
        <v>259</v>
      </c>
      <c r="DB53" s="169" t="s">
        <v>259</v>
      </c>
      <c r="DC53" s="169" t="s">
        <v>259</v>
      </c>
      <c r="DD53" s="169" t="s">
        <v>259</v>
      </c>
      <c r="DE53" s="169" t="s">
        <v>259</v>
      </c>
      <c r="DF53" s="169" t="s">
        <v>259</v>
      </c>
      <c r="DG53" s="169" t="s">
        <v>259</v>
      </c>
      <c r="DH53" s="169" t="s">
        <v>259</v>
      </c>
      <c r="DI53" s="169" t="s">
        <v>259</v>
      </c>
      <c r="DJ53" s="169" t="s">
        <v>259</v>
      </c>
      <c r="DK53" s="169" t="s">
        <v>259</v>
      </c>
      <c r="DL53" s="169" t="s">
        <v>259</v>
      </c>
      <c r="DM53" s="169" t="s">
        <v>259</v>
      </c>
      <c r="DN53" s="169" t="s">
        <v>259</v>
      </c>
      <c r="DO53" s="169" t="s">
        <v>259</v>
      </c>
      <c r="DP53" s="169" t="s">
        <v>259</v>
      </c>
      <c r="DQ53" s="169" t="s">
        <v>259</v>
      </c>
      <c r="DR53" s="169" t="s">
        <v>259</v>
      </c>
      <c r="DS53" s="169" t="s">
        <v>259</v>
      </c>
      <c r="DT53" s="169" t="s">
        <v>259</v>
      </c>
    </row>
    <row r="54" spans="2:124" x14ac:dyDescent="0.3">
      <c r="B54" t="str">
        <f>'IMPORT SCHLIESSERDATEN'!B53</f>
        <v>TS 93 EMR EN 5-7</v>
      </c>
      <c r="D54" s="169" t="s">
        <v>259</v>
      </c>
      <c r="E54" s="169" t="s">
        <v>259</v>
      </c>
      <c r="F54" s="169" t="s">
        <v>259</v>
      </c>
      <c r="G54" s="169" t="s">
        <v>259</v>
      </c>
      <c r="H54" s="169" t="s">
        <v>259</v>
      </c>
      <c r="I54" s="169" t="s">
        <v>259</v>
      </c>
      <c r="J54" s="169" t="s">
        <v>259</v>
      </c>
      <c r="K54" s="169" t="s">
        <v>259</v>
      </c>
      <c r="L54" s="169" t="s">
        <v>259</v>
      </c>
      <c r="M54" s="169" t="s">
        <v>259</v>
      </c>
      <c r="N54" s="169" t="s">
        <v>259</v>
      </c>
      <c r="O54" s="169" t="s">
        <v>259</v>
      </c>
      <c r="P54" s="169" t="s">
        <v>259</v>
      </c>
      <c r="Q54" s="169" t="s">
        <v>259</v>
      </c>
      <c r="R54" s="169" t="s">
        <v>259</v>
      </c>
      <c r="S54" s="169" t="s">
        <v>259</v>
      </c>
      <c r="T54" s="169" t="s">
        <v>259</v>
      </c>
      <c r="U54" s="169" t="s">
        <v>259</v>
      </c>
      <c r="V54" s="169" t="s">
        <v>259</v>
      </c>
      <c r="W54" s="169" t="s">
        <v>259</v>
      </c>
      <c r="X54" s="169" t="s">
        <v>259</v>
      </c>
      <c r="Y54" s="169" t="s">
        <v>259</v>
      </c>
      <c r="Z54" s="169" t="s">
        <v>259</v>
      </c>
      <c r="AA54" s="169" t="s">
        <v>259</v>
      </c>
      <c r="AB54" s="169" t="s">
        <v>259</v>
      </c>
      <c r="AC54" s="169" t="s">
        <v>259</v>
      </c>
      <c r="AD54" s="169" t="s">
        <v>259</v>
      </c>
      <c r="AE54" s="169" t="s">
        <v>259</v>
      </c>
      <c r="AF54" s="169" t="s">
        <v>259</v>
      </c>
      <c r="AG54" s="169" t="s">
        <v>259</v>
      </c>
      <c r="AH54" s="169" t="s">
        <v>259</v>
      </c>
      <c r="AI54" s="169" t="s">
        <v>259</v>
      </c>
      <c r="AJ54" s="169" t="s">
        <v>259</v>
      </c>
      <c r="AK54" s="169" t="s">
        <v>259</v>
      </c>
      <c r="AL54" s="169" t="s">
        <v>259</v>
      </c>
      <c r="AM54" s="169" t="s">
        <v>259</v>
      </c>
      <c r="AN54" s="169" t="s">
        <v>259</v>
      </c>
      <c r="AO54" s="169" t="s">
        <v>259</v>
      </c>
      <c r="AP54" s="169" t="s">
        <v>259</v>
      </c>
      <c r="AQ54" s="169" t="s">
        <v>259</v>
      </c>
      <c r="AR54" s="169" t="s">
        <v>259</v>
      </c>
      <c r="AS54" s="169" t="s">
        <v>259</v>
      </c>
      <c r="AT54" s="169" t="s">
        <v>259</v>
      </c>
      <c r="AU54" s="169" t="s">
        <v>259</v>
      </c>
      <c r="AV54" s="169" t="s">
        <v>259</v>
      </c>
      <c r="AW54" s="169" t="s">
        <v>259</v>
      </c>
      <c r="AX54" s="169" t="s">
        <v>259</v>
      </c>
      <c r="AY54" s="169" t="s">
        <v>259</v>
      </c>
      <c r="AZ54" s="169" t="s">
        <v>259</v>
      </c>
      <c r="BA54" s="169" t="s">
        <v>259</v>
      </c>
      <c r="BB54" s="169" t="s">
        <v>259</v>
      </c>
      <c r="BC54" s="169" t="s">
        <v>259</v>
      </c>
      <c r="BD54" s="169" t="s">
        <v>259</v>
      </c>
      <c r="BE54" s="169" t="s">
        <v>259</v>
      </c>
      <c r="BF54" s="169" t="s">
        <v>259</v>
      </c>
      <c r="BG54" s="169" t="s">
        <v>259</v>
      </c>
      <c r="BH54" s="169" t="s">
        <v>259</v>
      </c>
      <c r="BI54" s="169" t="s">
        <v>259</v>
      </c>
      <c r="BJ54" s="169" t="s">
        <v>259</v>
      </c>
      <c r="BK54" s="169" t="s">
        <v>259</v>
      </c>
      <c r="BL54" s="169" t="s">
        <v>259</v>
      </c>
      <c r="BM54" s="169" t="s">
        <v>259</v>
      </c>
      <c r="BN54" s="169" t="s">
        <v>259</v>
      </c>
      <c r="BO54" s="169" t="s">
        <v>259</v>
      </c>
      <c r="BP54" s="169" t="s">
        <v>259</v>
      </c>
      <c r="BQ54" s="169" t="s">
        <v>259</v>
      </c>
      <c r="BR54" s="169" t="s">
        <v>259</v>
      </c>
      <c r="BS54" s="169" t="s">
        <v>259</v>
      </c>
      <c r="BT54" s="169" t="s">
        <v>259</v>
      </c>
      <c r="BU54" s="169" t="s">
        <v>259</v>
      </c>
      <c r="BV54" s="169" t="s">
        <v>259</v>
      </c>
      <c r="BW54" s="169" t="s">
        <v>259</v>
      </c>
      <c r="BX54" s="169" t="s">
        <v>259</v>
      </c>
      <c r="BY54" s="169" t="s">
        <v>259</v>
      </c>
      <c r="BZ54" s="169" t="s">
        <v>259</v>
      </c>
      <c r="CA54" s="169" t="s">
        <v>259</v>
      </c>
      <c r="CB54" s="169" t="s">
        <v>259</v>
      </c>
      <c r="CC54" s="169" t="s">
        <v>259</v>
      </c>
      <c r="CD54" s="169" t="s">
        <v>259</v>
      </c>
      <c r="CE54" s="169" t="s">
        <v>259</v>
      </c>
      <c r="CF54" s="169" t="s">
        <v>259</v>
      </c>
      <c r="CG54" s="169" t="s">
        <v>259</v>
      </c>
      <c r="CH54" s="169" t="s">
        <v>259</v>
      </c>
      <c r="CI54" s="169" t="s">
        <v>259</v>
      </c>
      <c r="CJ54" s="169" t="s">
        <v>259</v>
      </c>
      <c r="CK54" s="169" t="s">
        <v>259</v>
      </c>
      <c r="CL54" s="169" t="s">
        <v>259</v>
      </c>
      <c r="CM54" s="169" t="s">
        <v>259</v>
      </c>
      <c r="CN54" s="169" t="s">
        <v>259</v>
      </c>
      <c r="CO54" s="169" t="s">
        <v>259</v>
      </c>
      <c r="CP54" s="169" t="s">
        <v>259</v>
      </c>
      <c r="CQ54" s="169" t="s">
        <v>259</v>
      </c>
      <c r="CR54" s="169" t="s">
        <v>259</v>
      </c>
      <c r="CS54" s="169" t="s">
        <v>259</v>
      </c>
      <c r="CT54" s="169" t="s">
        <v>259</v>
      </c>
      <c r="CU54" s="169" t="s">
        <v>259</v>
      </c>
      <c r="CV54" s="169" t="s">
        <v>259</v>
      </c>
      <c r="CW54" s="169" t="s">
        <v>259</v>
      </c>
      <c r="CX54" s="169" t="s">
        <v>259</v>
      </c>
      <c r="CY54" s="169" t="s">
        <v>259</v>
      </c>
      <c r="CZ54" s="169" t="s">
        <v>259</v>
      </c>
      <c r="DA54" s="169" t="s">
        <v>259</v>
      </c>
      <c r="DB54" s="169" t="s">
        <v>259</v>
      </c>
      <c r="DC54" s="169" t="s">
        <v>259</v>
      </c>
      <c r="DD54" s="169" t="s">
        <v>259</v>
      </c>
      <c r="DE54" s="169" t="s">
        <v>259</v>
      </c>
      <c r="DF54" s="169" t="s">
        <v>259</v>
      </c>
      <c r="DG54" s="169" t="s">
        <v>259</v>
      </c>
      <c r="DH54" s="169" t="s">
        <v>259</v>
      </c>
      <c r="DI54" s="169" t="s">
        <v>259</v>
      </c>
      <c r="DJ54" s="169" t="s">
        <v>259</v>
      </c>
      <c r="DK54" s="169" t="s">
        <v>259</v>
      </c>
      <c r="DL54" s="169" t="s">
        <v>259</v>
      </c>
      <c r="DM54" s="169" t="s">
        <v>259</v>
      </c>
      <c r="DN54" s="169" t="s">
        <v>259</v>
      </c>
      <c r="DO54" s="169" t="s">
        <v>259</v>
      </c>
      <c r="DP54" s="169" t="s">
        <v>259</v>
      </c>
      <c r="DQ54" s="169" t="s">
        <v>259</v>
      </c>
      <c r="DR54" s="169" t="s">
        <v>259</v>
      </c>
      <c r="DS54" s="169" t="s">
        <v>259</v>
      </c>
      <c r="DT54" s="169" t="s">
        <v>259</v>
      </c>
    </row>
    <row r="55" spans="2:124" x14ac:dyDescent="0.3">
      <c r="B55" t="str">
        <f>'IMPORT SCHLIESSERDATEN'!B54</f>
        <v>TS 93 GSR EN 5-7</v>
      </c>
      <c r="D55" s="169" t="s">
        <v>259</v>
      </c>
      <c r="E55" s="169" t="s">
        <v>259</v>
      </c>
      <c r="F55" s="169" t="s">
        <v>259</v>
      </c>
      <c r="G55" s="169" t="s">
        <v>259</v>
      </c>
      <c r="H55" s="169" t="s">
        <v>259</v>
      </c>
      <c r="I55" s="169" t="s">
        <v>259</v>
      </c>
      <c r="J55" s="169" t="s">
        <v>259</v>
      </c>
      <c r="K55" s="169" t="s">
        <v>259</v>
      </c>
      <c r="L55" s="169" t="s">
        <v>259</v>
      </c>
      <c r="M55" s="169" t="s">
        <v>259</v>
      </c>
      <c r="N55" s="169" t="s">
        <v>259</v>
      </c>
      <c r="O55" s="169" t="s">
        <v>259</v>
      </c>
      <c r="P55" s="169" t="s">
        <v>259</v>
      </c>
      <c r="Q55" s="169" t="s">
        <v>259</v>
      </c>
      <c r="R55" s="169" t="s">
        <v>259</v>
      </c>
      <c r="S55" s="169" t="s">
        <v>259</v>
      </c>
      <c r="T55" s="169" t="s">
        <v>259</v>
      </c>
      <c r="U55" s="169" t="s">
        <v>259</v>
      </c>
      <c r="V55" s="169" t="s">
        <v>259</v>
      </c>
      <c r="W55" s="169" t="s">
        <v>259</v>
      </c>
      <c r="X55" s="169" t="s">
        <v>259</v>
      </c>
      <c r="Y55" s="169" t="s">
        <v>259</v>
      </c>
      <c r="Z55" s="169" t="s">
        <v>259</v>
      </c>
      <c r="AA55" s="169" t="s">
        <v>259</v>
      </c>
      <c r="AB55" s="169" t="s">
        <v>259</v>
      </c>
      <c r="AC55" s="169" t="s">
        <v>259</v>
      </c>
      <c r="AD55" s="169" t="s">
        <v>259</v>
      </c>
      <c r="AE55" s="169" t="s">
        <v>259</v>
      </c>
      <c r="AF55" s="169" t="s">
        <v>259</v>
      </c>
      <c r="AG55" s="169" t="s">
        <v>259</v>
      </c>
      <c r="AH55" s="169" t="s">
        <v>259</v>
      </c>
      <c r="AI55" s="169" t="s">
        <v>259</v>
      </c>
      <c r="AJ55" s="169" t="s">
        <v>259</v>
      </c>
      <c r="AK55" s="169" t="s">
        <v>259</v>
      </c>
      <c r="AL55" s="169" t="s">
        <v>259</v>
      </c>
      <c r="AM55" s="169" t="s">
        <v>259</v>
      </c>
      <c r="AN55" s="169" t="s">
        <v>259</v>
      </c>
      <c r="AO55" s="169" t="s">
        <v>259</v>
      </c>
      <c r="AP55" s="169" t="s">
        <v>259</v>
      </c>
      <c r="AQ55" s="169" t="s">
        <v>259</v>
      </c>
      <c r="AR55" s="169" t="s">
        <v>259</v>
      </c>
      <c r="AS55" s="169" t="s">
        <v>259</v>
      </c>
      <c r="AT55" s="169" t="s">
        <v>259</v>
      </c>
      <c r="AU55" s="169" t="s">
        <v>259</v>
      </c>
      <c r="AV55" s="169" t="s">
        <v>259</v>
      </c>
      <c r="AW55" s="169" t="s">
        <v>259</v>
      </c>
      <c r="AX55" s="169" t="s">
        <v>259</v>
      </c>
      <c r="AY55" s="169" t="s">
        <v>259</v>
      </c>
      <c r="AZ55" s="169" t="s">
        <v>259</v>
      </c>
      <c r="BA55" s="169" t="s">
        <v>259</v>
      </c>
      <c r="BB55" s="169" t="s">
        <v>259</v>
      </c>
      <c r="BC55" s="169" t="s">
        <v>259</v>
      </c>
      <c r="BD55" s="169" t="s">
        <v>259</v>
      </c>
      <c r="BE55" s="169" t="s">
        <v>259</v>
      </c>
      <c r="BF55" s="169" t="s">
        <v>259</v>
      </c>
      <c r="BG55" s="169" t="s">
        <v>259</v>
      </c>
      <c r="BH55" s="169" t="s">
        <v>259</v>
      </c>
      <c r="BI55" s="169" t="s">
        <v>259</v>
      </c>
      <c r="BJ55" s="169" t="s">
        <v>259</v>
      </c>
      <c r="BK55" s="169" t="s">
        <v>259</v>
      </c>
      <c r="BL55" s="169" t="s">
        <v>259</v>
      </c>
      <c r="BM55" s="169" t="s">
        <v>259</v>
      </c>
      <c r="BN55" s="169" t="s">
        <v>259</v>
      </c>
      <c r="BO55" s="169" t="s">
        <v>259</v>
      </c>
      <c r="BP55" s="169" t="s">
        <v>259</v>
      </c>
      <c r="BQ55" s="169" t="s">
        <v>259</v>
      </c>
      <c r="BR55" s="169" t="s">
        <v>259</v>
      </c>
      <c r="BS55" s="169" t="s">
        <v>259</v>
      </c>
      <c r="BT55" s="169" t="s">
        <v>259</v>
      </c>
      <c r="BU55" s="169" t="s">
        <v>259</v>
      </c>
      <c r="BV55" s="169" t="s">
        <v>259</v>
      </c>
      <c r="BW55" s="169" t="s">
        <v>259</v>
      </c>
      <c r="BX55" s="169" t="s">
        <v>259</v>
      </c>
      <c r="BY55" s="169" t="s">
        <v>259</v>
      </c>
      <c r="BZ55" s="169" t="s">
        <v>259</v>
      </c>
      <c r="CA55" s="169" t="s">
        <v>259</v>
      </c>
      <c r="CB55" s="169" t="s">
        <v>259</v>
      </c>
      <c r="CC55" s="169" t="s">
        <v>259</v>
      </c>
      <c r="CD55" s="169" t="s">
        <v>259</v>
      </c>
      <c r="CE55" s="169" t="s">
        <v>259</v>
      </c>
      <c r="CF55" s="169" t="s">
        <v>259</v>
      </c>
      <c r="CG55" s="169" t="s">
        <v>259</v>
      </c>
      <c r="CH55" s="169" t="s">
        <v>259</v>
      </c>
      <c r="CI55" s="169" t="s">
        <v>259</v>
      </c>
      <c r="CJ55" s="169" t="s">
        <v>259</v>
      </c>
      <c r="CK55" s="169" t="s">
        <v>259</v>
      </c>
      <c r="CL55" s="169" t="s">
        <v>259</v>
      </c>
      <c r="CM55" s="169" t="s">
        <v>259</v>
      </c>
      <c r="CN55" s="169" t="s">
        <v>259</v>
      </c>
      <c r="CO55" s="169" t="s">
        <v>259</v>
      </c>
      <c r="CP55" s="169" t="s">
        <v>259</v>
      </c>
      <c r="CQ55" s="169" t="s">
        <v>259</v>
      </c>
      <c r="CR55" s="169" t="s">
        <v>259</v>
      </c>
      <c r="CS55" s="169" t="s">
        <v>259</v>
      </c>
      <c r="CT55" s="169" t="s">
        <v>259</v>
      </c>
      <c r="CU55" s="169" t="s">
        <v>259</v>
      </c>
      <c r="CV55" s="169" t="s">
        <v>259</v>
      </c>
      <c r="CW55" s="169" t="s">
        <v>259</v>
      </c>
      <c r="CX55" s="169" t="s">
        <v>259</v>
      </c>
      <c r="CY55" s="169" t="s">
        <v>259</v>
      </c>
      <c r="CZ55" s="169" t="s">
        <v>259</v>
      </c>
      <c r="DA55" s="169" t="s">
        <v>259</v>
      </c>
      <c r="DB55" s="169" t="s">
        <v>259</v>
      </c>
      <c r="DC55" s="169" t="s">
        <v>259</v>
      </c>
      <c r="DD55" s="169" t="s">
        <v>259</v>
      </c>
      <c r="DE55" s="169" t="s">
        <v>259</v>
      </c>
      <c r="DF55" s="169" t="s">
        <v>259</v>
      </c>
      <c r="DG55" s="169" t="s">
        <v>259</v>
      </c>
      <c r="DH55" s="169" t="s">
        <v>259</v>
      </c>
      <c r="DI55" s="169" t="s">
        <v>259</v>
      </c>
      <c r="DJ55" s="169" t="s">
        <v>259</v>
      </c>
      <c r="DK55" s="169" t="s">
        <v>259</v>
      </c>
      <c r="DL55" s="169" t="s">
        <v>259</v>
      </c>
      <c r="DM55" s="169" t="s">
        <v>259</v>
      </c>
      <c r="DN55" s="169" t="s">
        <v>259</v>
      </c>
      <c r="DO55" s="169" t="s">
        <v>259</v>
      </c>
      <c r="DP55" s="169" t="s">
        <v>259</v>
      </c>
      <c r="DQ55" s="169" t="s">
        <v>259</v>
      </c>
      <c r="DR55" s="169" t="s">
        <v>259</v>
      </c>
      <c r="DS55" s="169" t="s">
        <v>259</v>
      </c>
      <c r="DT55" s="169" t="s">
        <v>259</v>
      </c>
    </row>
    <row r="56" spans="2:124" x14ac:dyDescent="0.3">
      <c r="B56" t="str">
        <f>'IMPORT SCHLIESSERDATEN'!B55</f>
        <v>TS 93 GSR RF EN 5-7</v>
      </c>
      <c r="D56" s="169" t="s">
        <v>259</v>
      </c>
      <c r="E56" s="169" t="s">
        <v>259</v>
      </c>
      <c r="F56" s="169" t="s">
        <v>259</v>
      </c>
      <c r="G56" s="169" t="s">
        <v>259</v>
      </c>
      <c r="H56" s="169" t="s">
        <v>259</v>
      </c>
      <c r="I56" s="169" t="s">
        <v>259</v>
      </c>
      <c r="J56" s="169" t="s">
        <v>259</v>
      </c>
      <c r="K56" s="169" t="s">
        <v>259</v>
      </c>
      <c r="L56" s="169" t="s">
        <v>259</v>
      </c>
      <c r="M56" s="169" t="s">
        <v>259</v>
      </c>
      <c r="N56" s="169" t="s">
        <v>259</v>
      </c>
      <c r="O56" s="169" t="s">
        <v>259</v>
      </c>
      <c r="P56" s="169" t="s">
        <v>259</v>
      </c>
      <c r="Q56" s="169" t="s">
        <v>259</v>
      </c>
      <c r="R56" s="169" t="s">
        <v>259</v>
      </c>
      <c r="S56" s="169" t="s">
        <v>259</v>
      </c>
      <c r="T56" s="169" t="s">
        <v>259</v>
      </c>
      <c r="U56" s="169" t="s">
        <v>259</v>
      </c>
      <c r="V56" s="169" t="s">
        <v>259</v>
      </c>
      <c r="W56" s="169" t="s">
        <v>259</v>
      </c>
      <c r="X56" s="169" t="s">
        <v>259</v>
      </c>
      <c r="Y56" s="169" t="s">
        <v>259</v>
      </c>
      <c r="Z56" s="169" t="s">
        <v>259</v>
      </c>
      <c r="AA56" s="169" t="s">
        <v>259</v>
      </c>
      <c r="AB56" s="169" t="s">
        <v>259</v>
      </c>
      <c r="AC56" s="169" t="s">
        <v>259</v>
      </c>
      <c r="AD56" s="169" t="s">
        <v>259</v>
      </c>
      <c r="AE56" s="169" t="s">
        <v>259</v>
      </c>
      <c r="AF56" s="169" t="s">
        <v>259</v>
      </c>
      <c r="AG56" s="169" t="s">
        <v>259</v>
      </c>
      <c r="AH56" s="169" t="s">
        <v>259</v>
      </c>
      <c r="AI56" s="169" t="s">
        <v>259</v>
      </c>
      <c r="AJ56" s="169" t="s">
        <v>259</v>
      </c>
      <c r="AK56" s="169" t="s">
        <v>259</v>
      </c>
      <c r="AL56" s="169" t="s">
        <v>259</v>
      </c>
      <c r="AM56" s="169" t="s">
        <v>259</v>
      </c>
      <c r="AN56" s="169" t="s">
        <v>259</v>
      </c>
      <c r="AO56" s="169" t="s">
        <v>259</v>
      </c>
      <c r="AP56" s="169" t="s">
        <v>259</v>
      </c>
      <c r="AQ56" s="169" t="s">
        <v>259</v>
      </c>
      <c r="AR56" s="169" t="s">
        <v>259</v>
      </c>
      <c r="AS56" s="169" t="s">
        <v>259</v>
      </c>
      <c r="AT56" s="169" t="s">
        <v>259</v>
      </c>
      <c r="AU56" s="169" t="s">
        <v>259</v>
      </c>
      <c r="AV56" s="169" t="s">
        <v>259</v>
      </c>
      <c r="AW56" s="169" t="s">
        <v>259</v>
      </c>
      <c r="AX56" s="169" t="s">
        <v>259</v>
      </c>
      <c r="AY56" s="169" t="s">
        <v>259</v>
      </c>
      <c r="AZ56" s="169" t="s">
        <v>259</v>
      </c>
      <c r="BA56" s="169" t="s">
        <v>259</v>
      </c>
      <c r="BB56" s="169" t="s">
        <v>259</v>
      </c>
      <c r="BC56" s="169" t="s">
        <v>259</v>
      </c>
      <c r="BD56" s="169" t="s">
        <v>259</v>
      </c>
      <c r="BE56" s="169" t="s">
        <v>259</v>
      </c>
      <c r="BF56" s="169" t="s">
        <v>259</v>
      </c>
      <c r="BG56" s="169" t="s">
        <v>259</v>
      </c>
      <c r="BH56" s="169" t="s">
        <v>259</v>
      </c>
      <c r="BI56" s="169" t="s">
        <v>259</v>
      </c>
      <c r="BJ56" s="169" t="s">
        <v>259</v>
      </c>
      <c r="BK56" s="169" t="s">
        <v>259</v>
      </c>
      <c r="BL56" s="169" t="s">
        <v>259</v>
      </c>
      <c r="BM56" s="169" t="s">
        <v>259</v>
      </c>
      <c r="BN56" s="169" t="s">
        <v>259</v>
      </c>
      <c r="BO56" s="169" t="s">
        <v>259</v>
      </c>
      <c r="BP56" s="169" t="s">
        <v>259</v>
      </c>
      <c r="BQ56" s="169" t="s">
        <v>259</v>
      </c>
      <c r="BR56" s="169" t="s">
        <v>259</v>
      </c>
      <c r="BS56" s="169" t="s">
        <v>259</v>
      </c>
      <c r="BT56" s="169" t="s">
        <v>259</v>
      </c>
      <c r="BU56" s="169" t="s">
        <v>259</v>
      </c>
      <c r="BV56" s="169" t="s">
        <v>259</v>
      </c>
      <c r="BW56" s="169" t="s">
        <v>259</v>
      </c>
      <c r="BX56" s="169" t="s">
        <v>259</v>
      </c>
      <c r="BY56" s="169" t="s">
        <v>259</v>
      </c>
      <c r="BZ56" s="169" t="s">
        <v>259</v>
      </c>
      <c r="CA56" s="169" t="s">
        <v>259</v>
      </c>
      <c r="CB56" s="169" t="s">
        <v>259</v>
      </c>
      <c r="CC56" s="169" t="s">
        <v>259</v>
      </c>
      <c r="CD56" s="169" t="s">
        <v>259</v>
      </c>
      <c r="CE56" s="169" t="s">
        <v>259</v>
      </c>
      <c r="CF56" s="169" t="s">
        <v>259</v>
      </c>
      <c r="CG56" s="169" t="s">
        <v>259</v>
      </c>
      <c r="CH56" s="169" t="s">
        <v>259</v>
      </c>
      <c r="CI56" s="169" t="s">
        <v>259</v>
      </c>
      <c r="CJ56" s="169" t="s">
        <v>259</v>
      </c>
      <c r="CK56" s="169" t="s">
        <v>259</v>
      </c>
      <c r="CL56" s="169" t="s">
        <v>259</v>
      </c>
      <c r="CM56" s="169" t="s">
        <v>259</v>
      </c>
      <c r="CN56" s="169" t="s">
        <v>259</v>
      </c>
      <c r="CO56" s="169" t="s">
        <v>259</v>
      </c>
      <c r="CP56" s="169" t="s">
        <v>259</v>
      </c>
      <c r="CQ56" s="169" t="s">
        <v>259</v>
      </c>
      <c r="CR56" s="169" t="s">
        <v>259</v>
      </c>
      <c r="CS56" s="169" t="s">
        <v>259</v>
      </c>
      <c r="CT56" s="169" t="s">
        <v>259</v>
      </c>
      <c r="CU56" s="169" t="s">
        <v>259</v>
      </c>
      <c r="CV56" s="169" t="s">
        <v>259</v>
      </c>
      <c r="CW56" s="169" t="s">
        <v>259</v>
      </c>
      <c r="CX56" s="169" t="s">
        <v>259</v>
      </c>
      <c r="CY56" s="169" t="s">
        <v>259</v>
      </c>
      <c r="CZ56" s="169" t="s">
        <v>259</v>
      </c>
      <c r="DA56" s="169" t="s">
        <v>259</v>
      </c>
      <c r="DB56" s="169" t="s">
        <v>259</v>
      </c>
      <c r="DC56" s="169" t="s">
        <v>259</v>
      </c>
      <c r="DD56" s="169" t="s">
        <v>259</v>
      </c>
      <c r="DE56" s="169" t="s">
        <v>259</v>
      </c>
      <c r="DF56" s="169" t="s">
        <v>259</v>
      </c>
      <c r="DG56" s="169" t="s">
        <v>259</v>
      </c>
      <c r="DH56" s="169" t="s">
        <v>259</v>
      </c>
      <c r="DI56" s="169" t="s">
        <v>259</v>
      </c>
      <c r="DJ56" s="169" t="s">
        <v>259</v>
      </c>
      <c r="DK56" s="169" t="s">
        <v>259</v>
      </c>
      <c r="DL56" s="169" t="s">
        <v>259</v>
      </c>
      <c r="DM56" s="169" t="s">
        <v>259</v>
      </c>
      <c r="DN56" s="169" t="s">
        <v>259</v>
      </c>
      <c r="DO56" s="169" t="s">
        <v>259</v>
      </c>
      <c r="DP56" s="169" t="s">
        <v>259</v>
      </c>
      <c r="DQ56" s="169" t="s">
        <v>259</v>
      </c>
      <c r="DR56" s="169" t="s">
        <v>259</v>
      </c>
      <c r="DS56" s="169" t="s">
        <v>259</v>
      </c>
      <c r="DT56" s="169" t="s">
        <v>259</v>
      </c>
    </row>
    <row r="57" spans="2:124" x14ac:dyDescent="0.3">
      <c r="B57" t="str">
        <f>'IMPORT SCHLIESSERDATEN'!B56</f>
        <v>TS 93 GSR-EMF 1 EN 5-7</v>
      </c>
      <c r="D57" s="169" t="s">
        <v>259</v>
      </c>
      <c r="E57" s="169" t="s">
        <v>259</v>
      </c>
      <c r="F57" s="169" t="s">
        <v>259</v>
      </c>
      <c r="G57" s="169" t="s">
        <v>259</v>
      </c>
      <c r="H57" s="169" t="s">
        <v>259</v>
      </c>
      <c r="I57" s="169" t="s">
        <v>259</v>
      </c>
      <c r="J57" s="169" t="s">
        <v>259</v>
      </c>
      <c r="K57" s="169" t="s">
        <v>259</v>
      </c>
      <c r="L57" s="169" t="s">
        <v>259</v>
      </c>
      <c r="M57" s="169" t="s">
        <v>259</v>
      </c>
      <c r="N57" s="169" t="s">
        <v>259</v>
      </c>
      <c r="O57" s="169" t="s">
        <v>259</v>
      </c>
      <c r="P57" s="169" t="s">
        <v>259</v>
      </c>
      <c r="Q57" s="169" t="s">
        <v>259</v>
      </c>
      <c r="R57" s="169" t="s">
        <v>259</v>
      </c>
      <c r="S57" s="169" t="s">
        <v>259</v>
      </c>
      <c r="T57" s="169" t="s">
        <v>259</v>
      </c>
      <c r="U57" s="169" t="s">
        <v>259</v>
      </c>
      <c r="V57" s="169" t="s">
        <v>259</v>
      </c>
      <c r="W57" s="169" t="s">
        <v>259</v>
      </c>
      <c r="X57" s="169" t="s">
        <v>259</v>
      </c>
      <c r="Y57" s="169" t="s">
        <v>259</v>
      </c>
      <c r="Z57" s="169" t="s">
        <v>259</v>
      </c>
      <c r="AA57" s="169" t="s">
        <v>259</v>
      </c>
      <c r="AB57" s="169" t="s">
        <v>259</v>
      </c>
      <c r="AC57" s="169" t="s">
        <v>259</v>
      </c>
      <c r="AD57" s="169" t="s">
        <v>259</v>
      </c>
      <c r="AE57" s="169" t="s">
        <v>259</v>
      </c>
      <c r="AF57" s="169" t="s">
        <v>259</v>
      </c>
      <c r="AG57" s="169" t="s">
        <v>259</v>
      </c>
      <c r="AH57" s="169" t="s">
        <v>259</v>
      </c>
      <c r="AI57" s="169" t="s">
        <v>259</v>
      </c>
      <c r="AJ57" s="169" t="s">
        <v>259</v>
      </c>
      <c r="AK57" s="169" t="s">
        <v>259</v>
      </c>
      <c r="AL57" s="169" t="s">
        <v>259</v>
      </c>
      <c r="AM57" s="169" t="s">
        <v>259</v>
      </c>
      <c r="AN57" s="169" t="s">
        <v>259</v>
      </c>
      <c r="AO57" s="169" t="s">
        <v>259</v>
      </c>
      <c r="AP57" s="169" t="s">
        <v>259</v>
      </c>
      <c r="AQ57" s="169" t="s">
        <v>259</v>
      </c>
      <c r="AR57" s="169" t="s">
        <v>259</v>
      </c>
      <c r="AS57" s="169" t="s">
        <v>259</v>
      </c>
      <c r="AT57" s="169" t="s">
        <v>259</v>
      </c>
      <c r="AU57" s="169" t="s">
        <v>259</v>
      </c>
      <c r="AV57" s="169" t="s">
        <v>259</v>
      </c>
      <c r="AW57" s="169" t="s">
        <v>259</v>
      </c>
      <c r="AX57" s="169" t="s">
        <v>259</v>
      </c>
      <c r="AY57" s="169" t="s">
        <v>259</v>
      </c>
      <c r="AZ57" s="169" t="s">
        <v>259</v>
      </c>
      <c r="BA57" s="169" t="s">
        <v>259</v>
      </c>
      <c r="BB57" s="169" t="s">
        <v>259</v>
      </c>
      <c r="BC57" s="169" t="s">
        <v>259</v>
      </c>
      <c r="BD57" s="169" t="s">
        <v>259</v>
      </c>
      <c r="BE57" s="169" t="s">
        <v>259</v>
      </c>
      <c r="BF57" s="169" t="s">
        <v>259</v>
      </c>
      <c r="BG57" s="169" t="s">
        <v>259</v>
      </c>
      <c r="BH57" s="169" t="s">
        <v>259</v>
      </c>
      <c r="BI57" s="169" t="s">
        <v>259</v>
      </c>
      <c r="BJ57" s="169" t="s">
        <v>259</v>
      </c>
      <c r="BK57" s="169" t="s">
        <v>259</v>
      </c>
      <c r="BL57" s="169" t="s">
        <v>259</v>
      </c>
      <c r="BM57" s="169" t="s">
        <v>259</v>
      </c>
      <c r="BN57" s="169" t="s">
        <v>259</v>
      </c>
      <c r="BO57" s="169" t="s">
        <v>259</v>
      </c>
      <c r="BP57" s="169" t="s">
        <v>259</v>
      </c>
      <c r="BQ57" s="169" t="s">
        <v>259</v>
      </c>
      <c r="BR57" s="169" t="s">
        <v>259</v>
      </c>
      <c r="BS57" s="169" t="s">
        <v>259</v>
      </c>
      <c r="BT57" s="169" t="s">
        <v>259</v>
      </c>
      <c r="BU57" s="169" t="s">
        <v>259</v>
      </c>
      <c r="BV57" s="169" t="s">
        <v>259</v>
      </c>
      <c r="BW57" s="169" t="s">
        <v>259</v>
      </c>
      <c r="BX57" s="169" t="s">
        <v>259</v>
      </c>
      <c r="BY57" s="169" t="s">
        <v>259</v>
      </c>
      <c r="BZ57" s="169" t="s">
        <v>259</v>
      </c>
      <c r="CA57" s="169" t="s">
        <v>259</v>
      </c>
      <c r="CB57" s="169" t="s">
        <v>259</v>
      </c>
      <c r="CC57" s="169" t="s">
        <v>259</v>
      </c>
      <c r="CD57" s="169" t="s">
        <v>259</v>
      </c>
      <c r="CE57" s="169" t="s">
        <v>259</v>
      </c>
      <c r="CF57" s="169" t="s">
        <v>259</v>
      </c>
      <c r="CG57" s="169" t="s">
        <v>259</v>
      </c>
      <c r="CH57" s="169" t="s">
        <v>259</v>
      </c>
      <c r="CI57" s="169" t="s">
        <v>259</v>
      </c>
      <c r="CJ57" s="169" t="s">
        <v>259</v>
      </c>
      <c r="CK57" s="169" t="s">
        <v>259</v>
      </c>
      <c r="CL57" s="169" t="s">
        <v>259</v>
      </c>
      <c r="CM57" s="169" t="s">
        <v>259</v>
      </c>
      <c r="CN57" s="169" t="s">
        <v>259</v>
      </c>
      <c r="CO57" s="169" t="s">
        <v>259</v>
      </c>
      <c r="CP57" s="169" t="s">
        <v>259</v>
      </c>
      <c r="CQ57" s="169" t="s">
        <v>259</v>
      </c>
      <c r="CR57" s="169" t="s">
        <v>259</v>
      </c>
      <c r="CS57" s="169" t="s">
        <v>259</v>
      </c>
      <c r="CT57" s="169" t="s">
        <v>259</v>
      </c>
      <c r="CU57" s="169" t="s">
        <v>259</v>
      </c>
      <c r="CV57" s="169" t="s">
        <v>259</v>
      </c>
      <c r="CW57" s="169" t="s">
        <v>259</v>
      </c>
      <c r="CX57" s="169" t="s">
        <v>259</v>
      </c>
      <c r="CY57" s="169" t="s">
        <v>259</v>
      </c>
      <c r="CZ57" s="169" t="s">
        <v>259</v>
      </c>
      <c r="DA57" s="169" t="s">
        <v>259</v>
      </c>
      <c r="DB57" s="169" t="s">
        <v>259</v>
      </c>
      <c r="DC57" s="169" t="s">
        <v>259</v>
      </c>
      <c r="DD57" s="169" t="s">
        <v>259</v>
      </c>
      <c r="DE57" s="169" t="s">
        <v>259</v>
      </c>
      <c r="DF57" s="169" t="s">
        <v>259</v>
      </c>
      <c r="DG57" s="169" t="s">
        <v>259</v>
      </c>
      <c r="DH57" s="169" t="s">
        <v>259</v>
      </c>
      <c r="DI57" s="169" t="s">
        <v>259</v>
      </c>
      <c r="DJ57" s="169" t="s">
        <v>259</v>
      </c>
      <c r="DK57" s="169" t="s">
        <v>259</v>
      </c>
      <c r="DL57" s="169" t="s">
        <v>259</v>
      </c>
      <c r="DM57" s="169" t="s">
        <v>259</v>
      </c>
      <c r="DN57" s="169" t="s">
        <v>259</v>
      </c>
      <c r="DO57" s="169" t="s">
        <v>259</v>
      </c>
      <c r="DP57" s="169" t="s">
        <v>259</v>
      </c>
      <c r="DQ57" s="169" t="s">
        <v>259</v>
      </c>
      <c r="DR57" s="169" t="s">
        <v>259</v>
      </c>
      <c r="DS57" s="169" t="s">
        <v>259</v>
      </c>
      <c r="DT57" s="169" t="s">
        <v>259</v>
      </c>
    </row>
    <row r="58" spans="2:124" x14ac:dyDescent="0.3">
      <c r="B58" t="str">
        <f>'IMPORT SCHLIESSERDATEN'!B57</f>
        <v>TS 93 GSR-EMF 1G EN 5-7</v>
      </c>
      <c r="D58" s="169" t="s">
        <v>259</v>
      </c>
      <c r="E58" s="169" t="s">
        <v>259</v>
      </c>
      <c r="F58" s="169" t="s">
        <v>259</v>
      </c>
      <c r="G58" s="169" t="s">
        <v>259</v>
      </c>
      <c r="H58" s="169" t="s">
        <v>259</v>
      </c>
      <c r="I58" s="169" t="s">
        <v>259</v>
      </c>
      <c r="J58" s="169" t="s">
        <v>259</v>
      </c>
      <c r="K58" s="169" t="s">
        <v>259</v>
      </c>
      <c r="L58" s="169" t="s">
        <v>259</v>
      </c>
      <c r="M58" s="169" t="s">
        <v>259</v>
      </c>
      <c r="N58" s="169" t="s">
        <v>259</v>
      </c>
      <c r="O58" s="169" t="s">
        <v>259</v>
      </c>
      <c r="P58" s="169" t="s">
        <v>259</v>
      </c>
      <c r="Q58" s="169" t="s">
        <v>259</v>
      </c>
      <c r="R58" s="169" t="s">
        <v>259</v>
      </c>
      <c r="S58" s="169" t="s">
        <v>259</v>
      </c>
      <c r="T58" s="169" t="s">
        <v>259</v>
      </c>
      <c r="U58" s="169" t="s">
        <v>259</v>
      </c>
      <c r="V58" s="169" t="s">
        <v>259</v>
      </c>
      <c r="W58" s="169" t="s">
        <v>259</v>
      </c>
      <c r="X58" s="169" t="s">
        <v>259</v>
      </c>
      <c r="Y58" s="169" t="s">
        <v>259</v>
      </c>
      <c r="Z58" s="169" t="s">
        <v>259</v>
      </c>
      <c r="AA58" s="169" t="s">
        <v>259</v>
      </c>
      <c r="AB58" s="169" t="s">
        <v>259</v>
      </c>
      <c r="AC58" s="169" t="s">
        <v>259</v>
      </c>
      <c r="AD58" s="169" t="s">
        <v>259</v>
      </c>
      <c r="AE58" s="169" t="s">
        <v>259</v>
      </c>
      <c r="AF58" s="169" t="s">
        <v>259</v>
      </c>
      <c r="AG58" s="169" t="s">
        <v>259</v>
      </c>
      <c r="AH58" s="169" t="s">
        <v>259</v>
      </c>
      <c r="AI58" s="169" t="s">
        <v>259</v>
      </c>
      <c r="AJ58" s="169" t="s">
        <v>259</v>
      </c>
      <c r="AK58" s="169" t="s">
        <v>259</v>
      </c>
      <c r="AL58" s="169" t="s">
        <v>259</v>
      </c>
      <c r="AM58" s="169" t="s">
        <v>259</v>
      </c>
      <c r="AN58" s="169" t="s">
        <v>259</v>
      </c>
      <c r="AO58" s="169" t="s">
        <v>259</v>
      </c>
      <c r="AP58" s="169" t="s">
        <v>259</v>
      </c>
      <c r="AQ58" s="169" t="s">
        <v>259</v>
      </c>
      <c r="AR58" s="169" t="s">
        <v>259</v>
      </c>
      <c r="AS58" s="169" t="s">
        <v>259</v>
      </c>
      <c r="AT58" s="169" t="s">
        <v>259</v>
      </c>
      <c r="AU58" s="169" t="s">
        <v>259</v>
      </c>
      <c r="AV58" s="169" t="s">
        <v>259</v>
      </c>
      <c r="AW58" s="169" t="s">
        <v>259</v>
      </c>
      <c r="AX58" s="169" t="s">
        <v>259</v>
      </c>
      <c r="AY58" s="169" t="s">
        <v>259</v>
      </c>
      <c r="AZ58" s="169" t="s">
        <v>259</v>
      </c>
      <c r="BA58" s="169" t="s">
        <v>259</v>
      </c>
      <c r="BB58" s="169" t="s">
        <v>259</v>
      </c>
      <c r="BC58" s="169" t="s">
        <v>259</v>
      </c>
      <c r="BD58" s="169" t="s">
        <v>259</v>
      </c>
      <c r="BE58" s="169" t="s">
        <v>259</v>
      </c>
      <c r="BF58" s="169" t="s">
        <v>259</v>
      </c>
      <c r="BG58" s="169" t="s">
        <v>259</v>
      </c>
      <c r="BH58" s="169" t="s">
        <v>259</v>
      </c>
      <c r="BI58" s="169" t="s">
        <v>259</v>
      </c>
      <c r="BJ58" s="169" t="s">
        <v>259</v>
      </c>
      <c r="BK58" s="169" t="s">
        <v>259</v>
      </c>
      <c r="BL58" s="169" t="s">
        <v>259</v>
      </c>
      <c r="BM58" s="169" t="s">
        <v>259</v>
      </c>
      <c r="BN58" s="169" t="s">
        <v>259</v>
      </c>
      <c r="BO58" s="169" t="s">
        <v>259</v>
      </c>
      <c r="BP58" s="169" t="s">
        <v>259</v>
      </c>
      <c r="BQ58" s="169" t="s">
        <v>259</v>
      </c>
      <c r="BR58" s="169" t="s">
        <v>259</v>
      </c>
      <c r="BS58" s="169" t="s">
        <v>259</v>
      </c>
      <c r="BT58" s="169" t="s">
        <v>259</v>
      </c>
      <c r="BU58" s="169" t="s">
        <v>259</v>
      </c>
      <c r="BV58" s="169" t="s">
        <v>259</v>
      </c>
      <c r="BW58" s="169" t="s">
        <v>259</v>
      </c>
      <c r="BX58" s="169" t="s">
        <v>259</v>
      </c>
      <c r="BY58" s="169" t="s">
        <v>259</v>
      </c>
      <c r="BZ58" s="169" t="s">
        <v>259</v>
      </c>
      <c r="CA58" s="169" t="s">
        <v>259</v>
      </c>
      <c r="CB58" s="169" t="s">
        <v>259</v>
      </c>
      <c r="CC58" s="169" t="s">
        <v>259</v>
      </c>
      <c r="CD58" s="169" t="s">
        <v>259</v>
      </c>
      <c r="CE58" s="169" t="s">
        <v>259</v>
      </c>
      <c r="CF58" s="169" t="s">
        <v>259</v>
      </c>
      <c r="CG58" s="169" t="s">
        <v>259</v>
      </c>
      <c r="CH58" s="169" t="s">
        <v>259</v>
      </c>
      <c r="CI58" s="169" t="s">
        <v>259</v>
      </c>
      <c r="CJ58" s="169" t="s">
        <v>259</v>
      </c>
      <c r="CK58" s="169" t="s">
        <v>259</v>
      </c>
      <c r="CL58" s="169" t="s">
        <v>259</v>
      </c>
      <c r="CM58" s="169" t="s">
        <v>259</v>
      </c>
      <c r="CN58" s="169" t="s">
        <v>259</v>
      </c>
      <c r="CO58" s="169" t="s">
        <v>259</v>
      </c>
      <c r="CP58" s="169" t="s">
        <v>259</v>
      </c>
      <c r="CQ58" s="169" t="s">
        <v>259</v>
      </c>
      <c r="CR58" s="169" t="s">
        <v>259</v>
      </c>
      <c r="CS58" s="169" t="s">
        <v>259</v>
      </c>
      <c r="CT58" s="169" t="s">
        <v>259</v>
      </c>
      <c r="CU58" s="169" t="s">
        <v>259</v>
      </c>
      <c r="CV58" s="169" t="s">
        <v>259</v>
      </c>
      <c r="CW58" s="169" t="s">
        <v>259</v>
      </c>
      <c r="CX58" s="169" t="s">
        <v>259</v>
      </c>
      <c r="CY58" s="169" t="s">
        <v>259</v>
      </c>
      <c r="CZ58" s="169" t="s">
        <v>259</v>
      </c>
      <c r="DA58" s="169" t="s">
        <v>259</v>
      </c>
      <c r="DB58" s="169" t="s">
        <v>259</v>
      </c>
      <c r="DC58" s="169" t="s">
        <v>259</v>
      </c>
      <c r="DD58" s="169" t="s">
        <v>259</v>
      </c>
      <c r="DE58" s="169" t="s">
        <v>259</v>
      </c>
      <c r="DF58" s="169" t="s">
        <v>259</v>
      </c>
      <c r="DG58" s="169" t="s">
        <v>259</v>
      </c>
      <c r="DH58" s="169" t="s">
        <v>259</v>
      </c>
      <c r="DI58" s="169" t="s">
        <v>259</v>
      </c>
      <c r="DJ58" s="169" t="s">
        <v>259</v>
      </c>
      <c r="DK58" s="169" t="s">
        <v>259</v>
      </c>
      <c r="DL58" s="169" t="s">
        <v>259</v>
      </c>
      <c r="DM58" s="169" t="s">
        <v>259</v>
      </c>
      <c r="DN58" s="169" t="s">
        <v>259</v>
      </c>
      <c r="DO58" s="169" t="s">
        <v>259</v>
      </c>
      <c r="DP58" s="169" t="s">
        <v>259</v>
      </c>
      <c r="DQ58" s="169" t="s">
        <v>259</v>
      </c>
      <c r="DR58" s="169" t="s">
        <v>259</v>
      </c>
      <c r="DS58" s="169" t="s">
        <v>259</v>
      </c>
      <c r="DT58" s="169" t="s">
        <v>259</v>
      </c>
    </row>
    <row r="59" spans="2:124" x14ac:dyDescent="0.3">
      <c r="B59" t="str">
        <f>'IMPORT SCHLIESSERDATEN'!B58</f>
        <v>TS 93 GSR-EMF 2 EN 5-7</v>
      </c>
      <c r="D59" s="169" t="s">
        <v>259</v>
      </c>
      <c r="E59" s="169" t="s">
        <v>259</v>
      </c>
      <c r="F59" s="169" t="s">
        <v>259</v>
      </c>
      <c r="G59" s="169" t="s">
        <v>259</v>
      </c>
      <c r="H59" s="169" t="s">
        <v>259</v>
      </c>
      <c r="I59" s="169" t="s">
        <v>259</v>
      </c>
      <c r="J59" s="169" t="s">
        <v>259</v>
      </c>
      <c r="K59" s="169" t="s">
        <v>259</v>
      </c>
      <c r="L59" s="169" t="s">
        <v>259</v>
      </c>
      <c r="M59" s="169" t="s">
        <v>259</v>
      </c>
      <c r="N59" s="169" t="s">
        <v>259</v>
      </c>
      <c r="O59" s="169" t="s">
        <v>259</v>
      </c>
      <c r="P59" s="169" t="s">
        <v>259</v>
      </c>
      <c r="Q59" s="169" t="s">
        <v>259</v>
      </c>
      <c r="R59" s="169" t="s">
        <v>259</v>
      </c>
      <c r="S59" s="169" t="s">
        <v>259</v>
      </c>
      <c r="T59" s="169" t="s">
        <v>259</v>
      </c>
      <c r="U59" s="169" t="s">
        <v>259</v>
      </c>
      <c r="V59" s="169" t="s">
        <v>259</v>
      </c>
      <c r="W59" s="169" t="s">
        <v>259</v>
      </c>
      <c r="X59" s="169" t="s">
        <v>259</v>
      </c>
      <c r="Y59" s="169" t="s">
        <v>259</v>
      </c>
      <c r="Z59" s="169" t="s">
        <v>259</v>
      </c>
      <c r="AA59" s="169" t="s">
        <v>259</v>
      </c>
      <c r="AB59" s="169" t="s">
        <v>259</v>
      </c>
      <c r="AC59" s="169" t="s">
        <v>259</v>
      </c>
      <c r="AD59" s="169" t="s">
        <v>259</v>
      </c>
      <c r="AE59" s="169" t="s">
        <v>259</v>
      </c>
      <c r="AF59" s="169" t="s">
        <v>259</v>
      </c>
      <c r="AG59" s="169" t="s">
        <v>259</v>
      </c>
      <c r="AH59" s="169" t="s">
        <v>259</v>
      </c>
      <c r="AI59" s="169" t="s">
        <v>259</v>
      </c>
      <c r="AJ59" s="169" t="s">
        <v>259</v>
      </c>
      <c r="AK59" s="169" t="s">
        <v>259</v>
      </c>
      <c r="AL59" s="169" t="s">
        <v>259</v>
      </c>
      <c r="AM59" s="169" t="s">
        <v>259</v>
      </c>
      <c r="AN59" s="169" t="s">
        <v>259</v>
      </c>
      <c r="AO59" s="169" t="s">
        <v>259</v>
      </c>
      <c r="AP59" s="169" t="s">
        <v>259</v>
      </c>
      <c r="AQ59" s="169" t="s">
        <v>259</v>
      </c>
      <c r="AR59" s="169" t="s">
        <v>259</v>
      </c>
      <c r="AS59" s="169" t="s">
        <v>259</v>
      </c>
      <c r="AT59" s="169" t="s">
        <v>259</v>
      </c>
      <c r="AU59" s="169" t="s">
        <v>259</v>
      </c>
      <c r="AV59" s="169" t="s">
        <v>259</v>
      </c>
      <c r="AW59" s="169" t="s">
        <v>259</v>
      </c>
      <c r="AX59" s="169" t="s">
        <v>259</v>
      </c>
      <c r="AY59" s="169" t="s">
        <v>259</v>
      </c>
      <c r="AZ59" s="169" t="s">
        <v>259</v>
      </c>
      <c r="BA59" s="169" t="s">
        <v>259</v>
      </c>
      <c r="BB59" s="169" t="s">
        <v>259</v>
      </c>
      <c r="BC59" s="169" t="s">
        <v>259</v>
      </c>
      <c r="BD59" s="169" t="s">
        <v>259</v>
      </c>
      <c r="BE59" s="169" t="s">
        <v>259</v>
      </c>
      <c r="BF59" s="169" t="s">
        <v>259</v>
      </c>
      <c r="BG59" s="169" t="s">
        <v>259</v>
      </c>
      <c r="BH59" s="169" t="s">
        <v>259</v>
      </c>
      <c r="BI59" s="169" t="s">
        <v>259</v>
      </c>
      <c r="BJ59" s="169" t="s">
        <v>259</v>
      </c>
      <c r="BK59" s="169" t="s">
        <v>259</v>
      </c>
      <c r="BL59" s="169" t="s">
        <v>259</v>
      </c>
      <c r="BM59" s="169" t="s">
        <v>259</v>
      </c>
      <c r="BN59" s="169" t="s">
        <v>259</v>
      </c>
      <c r="BO59" s="169" t="s">
        <v>259</v>
      </c>
      <c r="BP59" s="169" t="s">
        <v>259</v>
      </c>
      <c r="BQ59" s="169" t="s">
        <v>259</v>
      </c>
      <c r="BR59" s="169" t="s">
        <v>259</v>
      </c>
      <c r="BS59" s="169" t="s">
        <v>259</v>
      </c>
      <c r="BT59" s="169" t="s">
        <v>259</v>
      </c>
      <c r="BU59" s="169" t="s">
        <v>259</v>
      </c>
      <c r="BV59" s="169" t="s">
        <v>259</v>
      </c>
      <c r="BW59" s="169" t="s">
        <v>259</v>
      </c>
      <c r="BX59" s="169" t="s">
        <v>259</v>
      </c>
      <c r="BY59" s="169" t="s">
        <v>259</v>
      </c>
      <c r="BZ59" s="169" t="s">
        <v>259</v>
      </c>
      <c r="CA59" s="169" t="s">
        <v>259</v>
      </c>
      <c r="CB59" s="169" t="s">
        <v>259</v>
      </c>
      <c r="CC59" s="169" t="s">
        <v>259</v>
      </c>
      <c r="CD59" s="169" t="s">
        <v>259</v>
      </c>
      <c r="CE59" s="169" t="s">
        <v>259</v>
      </c>
      <c r="CF59" s="169" t="s">
        <v>259</v>
      </c>
      <c r="CG59" s="169" t="s">
        <v>259</v>
      </c>
      <c r="CH59" s="169" t="s">
        <v>259</v>
      </c>
      <c r="CI59" s="169" t="s">
        <v>259</v>
      </c>
      <c r="CJ59" s="169" t="s">
        <v>259</v>
      </c>
      <c r="CK59" s="169" t="s">
        <v>259</v>
      </c>
      <c r="CL59" s="169" t="s">
        <v>259</v>
      </c>
      <c r="CM59" s="169" t="s">
        <v>259</v>
      </c>
      <c r="CN59" s="169" t="s">
        <v>259</v>
      </c>
      <c r="CO59" s="169" t="s">
        <v>259</v>
      </c>
      <c r="CP59" s="169" t="s">
        <v>259</v>
      </c>
      <c r="CQ59" s="169" t="s">
        <v>259</v>
      </c>
      <c r="CR59" s="169" t="s">
        <v>259</v>
      </c>
      <c r="CS59" s="169" t="s">
        <v>259</v>
      </c>
      <c r="CT59" s="169" t="s">
        <v>259</v>
      </c>
      <c r="CU59" s="169" t="s">
        <v>259</v>
      </c>
      <c r="CV59" s="169" t="s">
        <v>259</v>
      </c>
      <c r="CW59" s="169" t="s">
        <v>259</v>
      </c>
      <c r="CX59" s="169" t="s">
        <v>259</v>
      </c>
      <c r="CY59" s="169" t="s">
        <v>259</v>
      </c>
      <c r="CZ59" s="169" t="s">
        <v>259</v>
      </c>
      <c r="DA59" s="169" t="s">
        <v>259</v>
      </c>
      <c r="DB59" s="169" t="s">
        <v>259</v>
      </c>
      <c r="DC59" s="169" t="s">
        <v>259</v>
      </c>
      <c r="DD59" s="169" t="s">
        <v>259</v>
      </c>
      <c r="DE59" s="169" t="s">
        <v>259</v>
      </c>
      <c r="DF59" s="169" t="s">
        <v>259</v>
      </c>
      <c r="DG59" s="169" t="s">
        <v>259</v>
      </c>
      <c r="DH59" s="169" t="s">
        <v>259</v>
      </c>
      <c r="DI59" s="169" t="s">
        <v>259</v>
      </c>
      <c r="DJ59" s="169" t="s">
        <v>259</v>
      </c>
      <c r="DK59" s="169" t="s">
        <v>259</v>
      </c>
      <c r="DL59" s="169" t="s">
        <v>259</v>
      </c>
      <c r="DM59" s="169" t="s">
        <v>259</v>
      </c>
      <c r="DN59" s="169" t="s">
        <v>259</v>
      </c>
      <c r="DO59" s="169" t="s">
        <v>259</v>
      </c>
      <c r="DP59" s="169" t="s">
        <v>259</v>
      </c>
      <c r="DQ59" s="169" t="s">
        <v>259</v>
      </c>
      <c r="DR59" s="169" t="s">
        <v>259</v>
      </c>
      <c r="DS59" s="169" t="s">
        <v>259</v>
      </c>
      <c r="DT59" s="169" t="s">
        <v>259</v>
      </c>
    </row>
    <row r="60" spans="2:124" x14ac:dyDescent="0.3">
      <c r="B60" t="str">
        <f>'IMPORT SCHLIESSERDATEN'!B59</f>
        <v>TS 93 GSR-EMR 1 EN 5-7</v>
      </c>
      <c r="D60" s="169" t="s">
        <v>259</v>
      </c>
      <c r="E60" s="169" t="s">
        <v>259</v>
      </c>
      <c r="F60" s="169" t="s">
        <v>259</v>
      </c>
      <c r="G60" s="169" t="s">
        <v>259</v>
      </c>
      <c r="H60" s="169" t="s">
        <v>259</v>
      </c>
      <c r="I60" s="169" t="s">
        <v>259</v>
      </c>
      <c r="J60" s="169" t="s">
        <v>259</v>
      </c>
      <c r="K60" s="169" t="s">
        <v>259</v>
      </c>
      <c r="L60" s="169" t="s">
        <v>259</v>
      </c>
      <c r="M60" s="169" t="s">
        <v>259</v>
      </c>
      <c r="N60" s="169" t="s">
        <v>259</v>
      </c>
      <c r="O60" s="169" t="s">
        <v>259</v>
      </c>
      <c r="P60" s="169" t="s">
        <v>259</v>
      </c>
      <c r="Q60" s="169" t="s">
        <v>259</v>
      </c>
      <c r="R60" s="169" t="s">
        <v>259</v>
      </c>
      <c r="S60" s="169" t="s">
        <v>259</v>
      </c>
      <c r="T60" s="169" t="s">
        <v>259</v>
      </c>
      <c r="U60" s="169" t="s">
        <v>259</v>
      </c>
      <c r="V60" s="169" t="s">
        <v>259</v>
      </c>
      <c r="W60" s="169" t="s">
        <v>259</v>
      </c>
      <c r="X60" s="169" t="s">
        <v>259</v>
      </c>
      <c r="Y60" s="169" t="s">
        <v>259</v>
      </c>
      <c r="Z60" s="169" t="s">
        <v>259</v>
      </c>
      <c r="AA60" s="169" t="s">
        <v>259</v>
      </c>
      <c r="AB60" s="169" t="s">
        <v>259</v>
      </c>
      <c r="AC60" s="169" t="s">
        <v>259</v>
      </c>
      <c r="AD60" s="169" t="s">
        <v>259</v>
      </c>
      <c r="AE60" s="169" t="s">
        <v>259</v>
      </c>
      <c r="AF60" s="169" t="s">
        <v>259</v>
      </c>
      <c r="AG60" s="169" t="s">
        <v>259</v>
      </c>
      <c r="AH60" s="169" t="s">
        <v>259</v>
      </c>
      <c r="AI60" s="169" t="s">
        <v>259</v>
      </c>
      <c r="AJ60" s="169" t="s">
        <v>259</v>
      </c>
      <c r="AK60" s="169" t="s">
        <v>259</v>
      </c>
      <c r="AL60" s="169" t="s">
        <v>259</v>
      </c>
      <c r="AM60" s="169" t="s">
        <v>259</v>
      </c>
      <c r="AN60" s="169" t="s">
        <v>259</v>
      </c>
      <c r="AO60" s="169" t="s">
        <v>259</v>
      </c>
      <c r="AP60" s="169" t="s">
        <v>259</v>
      </c>
      <c r="AQ60" s="169" t="s">
        <v>259</v>
      </c>
      <c r="AR60" s="169" t="s">
        <v>259</v>
      </c>
      <c r="AS60" s="169" t="s">
        <v>259</v>
      </c>
      <c r="AT60" s="169" t="s">
        <v>259</v>
      </c>
      <c r="AU60" s="169" t="s">
        <v>259</v>
      </c>
      <c r="AV60" s="169" t="s">
        <v>259</v>
      </c>
      <c r="AW60" s="169" t="s">
        <v>259</v>
      </c>
      <c r="AX60" s="169" t="s">
        <v>259</v>
      </c>
      <c r="AY60" s="169" t="s">
        <v>259</v>
      </c>
      <c r="AZ60" s="169" t="s">
        <v>259</v>
      </c>
      <c r="BA60" s="169" t="s">
        <v>259</v>
      </c>
      <c r="BB60" s="169" t="s">
        <v>259</v>
      </c>
      <c r="BC60" s="169" t="s">
        <v>259</v>
      </c>
      <c r="BD60" s="169" t="s">
        <v>259</v>
      </c>
      <c r="BE60" s="169" t="s">
        <v>259</v>
      </c>
      <c r="BF60" s="169" t="s">
        <v>259</v>
      </c>
      <c r="BG60" s="169" t="s">
        <v>259</v>
      </c>
      <c r="BH60" s="169" t="s">
        <v>259</v>
      </c>
      <c r="BI60" s="169" t="s">
        <v>259</v>
      </c>
      <c r="BJ60" s="169" t="s">
        <v>259</v>
      </c>
      <c r="BK60" s="169" t="s">
        <v>259</v>
      </c>
      <c r="BL60" s="169" t="s">
        <v>259</v>
      </c>
      <c r="BM60" s="169" t="s">
        <v>259</v>
      </c>
      <c r="BN60" s="169" t="s">
        <v>259</v>
      </c>
      <c r="BO60" s="169" t="s">
        <v>259</v>
      </c>
      <c r="BP60" s="169" t="s">
        <v>259</v>
      </c>
      <c r="BQ60" s="169" t="s">
        <v>259</v>
      </c>
      <c r="BR60" s="169" t="s">
        <v>259</v>
      </c>
      <c r="BS60" s="169" t="s">
        <v>259</v>
      </c>
      <c r="BT60" s="169" t="s">
        <v>259</v>
      </c>
      <c r="BU60" s="169" t="s">
        <v>259</v>
      </c>
      <c r="BV60" s="169" t="s">
        <v>259</v>
      </c>
      <c r="BW60" s="169" t="s">
        <v>259</v>
      </c>
      <c r="BX60" s="169" t="s">
        <v>259</v>
      </c>
      <c r="BY60" s="169" t="s">
        <v>259</v>
      </c>
      <c r="BZ60" s="169" t="s">
        <v>259</v>
      </c>
      <c r="CA60" s="169" t="s">
        <v>259</v>
      </c>
      <c r="CB60" s="169" t="s">
        <v>259</v>
      </c>
      <c r="CC60" s="169" t="s">
        <v>259</v>
      </c>
      <c r="CD60" s="169" t="s">
        <v>259</v>
      </c>
      <c r="CE60" s="169" t="s">
        <v>259</v>
      </c>
      <c r="CF60" s="169" t="s">
        <v>259</v>
      </c>
      <c r="CG60" s="169" t="s">
        <v>259</v>
      </c>
      <c r="CH60" s="169" t="s">
        <v>259</v>
      </c>
      <c r="CI60" s="169" t="s">
        <v>259</v>
      </c>
      <c r="CJ60" s="169" t="s">
        <v>259</v>
      </c>
      <c r="CK60" s="169" t="s">
        <v>259</v>
      </c>
      <c r="CL60" s="169" t="s">
        <v>259</v>
      </c>
      <c r="CM60" s="169" t="s">
        <v>259</v>
      </c>
      <c r="CN60" s="169" t="s">
        <v>259</v>
      </c>
      <c r="CO60" s="169" t="s">
        <v>259</v>
      </c>
      <c r="CP60" s="169" t="s">
        <v>259</v>
      </c>
      <c r="CQ60" s="169" t="s">
        <v>259</v>
      </c>
      <c r="CR60" s="169" t="s">
        <v>259</v>
      </c>
      <c r="CS60" s="169" t="s">
        <v>259</v>
      </c>
      <c r="CT60" s="169" t="s">
        <v>259</v>
      </c>
      <c r="CU60" s="169" t="s">
        <v>259</v>
      </c>
      <c r="CV60" s="169" t="s">
        <v>259</v>
      </c>
      <c r="CW60" s="169" t="s">
        <v>259</v>
      </c>
      <c r="CX60" s="169" t="s">
        <v>259</v>
      </c>
      <c r="CY60" s="169" t="s">
        <v>259</v>
      </c>
      <c r="CZ60" s="169" t="s">
        <v>259</v>
      </c>
      <c r="DA60" s="169" t="s">
        <v>259</v>
      </c>
      <c r="DB60" s="169" t="s">
        <v>259</v>
      </c>
      <c r="DC60" s="169" t="s">
        <v>259</v>
      </c>
      <c r="DD60" s="169" t="s">
        <v>259</v>
      </c>
      <c r="DE60" s="169" t="s">
        <v>259</v>
      </c>
      <c r="DF60" s="169" t="s">
        <v>259</v>
      </c>
      <c r="DG60" s="169" t="s">
        <v>259</v>
      </c>
      <c r="DH60" s="169" t="s">
        <v>259</v>
      </c>
      <c r="DI60" s="169" t="s">
        <v>259</v>
      </c>
      <c r="DJ60" s="169" t="s">
        <v>259</v>
      </c>
      <c r="DK60" s="169" t="s">
        <v>259</v>
      </c>
      <c r="DL60" s="169" t="s">
        <v>259</v>
      </c>
      <c r="DM60" s="169" t="s">
        <v>259</v>
      </c>
      <c r="DN60" s="169" t="s">
        <v>259</v>
      </c>
      <c r="DO60" s="169" t="s">
        <v>259</v>
      </c>
      <c r="DP60" s="169" t="s">
        <v>259</v>
      </c>
      <c r="DQ60" s="169" t="s">
        <v>259</v>
      </c>
      <c r="DR60" s="169" t="s">
        <v>259</v>
      </c>
      <c r="DS60" s="169" t="s">
        <v>259</v>
      </c>
      <c r="DT60" s="169" t="s">
        <v>259</v>
      </c>
    </row>
    <row r="61" spans="2:124" x14ac:dyDescent="0.3">
      <c r="B61" t="str">
        <f>'IMPORT SCHLIESSERDATEN'!B60</f>
        <v>TS 93 GSR-EMR 1G EN 5-7</v>
      </c>
      <c r="D61" s="169" t="s">
        <v>259</v>
      </c>
      <c r="E61" s="169" t="s">
        <v>259</v>
      </c>
      <c r="F61" s="169" t="s">
        <v>259</v>
      </c>
      <c r="G61" s="169" t="s">
        <v>259</v>
      </c>
      <c r="H61" s="169" t="s">
        <v>259</v>
      </c>
      <c r="I61" s="169" t="s">
        <v>259</v>
      </c>
      <c r="J61" s="169" t="s">
        <v>259</v>
      </c>
      <c r="K61" s="169" t="s">
        <v>259</v>
      </c>
      <c r="L61" s="169" t="s">
        <v>259</v>
      </c>
      <c r="M61" s="169" t="s">
        <v>259</v>
      </c>
      <c r="N61" s="169" t="s">
        <v>259</v>
      </c>
      <c r="O61" s="169" t="s">
        <v>259</v>
      </c>
      <c r="P61" s="169" t="s">
        <v>259</v>
      </c>
      <c r="Q61" s="169" t="s">
        <v>259</v>
      </c>
      <c r="R61" s="169" t="s">
        <v>259</v>
      </c>
      <c r="S61" s="169" t="s">
        <v>259</v>
      </c>
      <c r="T61" s="169" t="s">
        <v>259</v>
      </c>
      <c r="U61" s="169" t="s">
        <v>259</v>
      </c>
      <c r="V61" s="169" t="s">
        <v>259</v>
      </c>
      <c r="W61" s="169" t="s">
        <v>259</v>
      </c>
      <c r="X61" s="169" t="s">
        <v>259</v>
      </c>
      <c r="Y61" s="169" t="s">
        <v>259</v>
      </c>
      <c r="Z61" s="169" t="s">
        <v>259</v>
      </c>
      <c r="AA61" s="169" t="s">
        <v>259</v>
      </c>
      <c r="AB61" s="169" t="s">
        <v>259</v>
      </c>
      <c r="AC61" s="169" t="s">
        <v>259</v>
      </c>
      <c r="AD61" s="169" t="s">
        <v>259</v>
      </c>
      <c r="AE61" s="169" t="s">
        <v>259</v>
      </c>
      <c r="AF61" s="169" t="s">
        <v>259</v>
      </c>
      <c r="AG61" s="169" t="s">
        <v>259</v>
      </c>
      <c r="AH61" s="169" t="s">
        <v>259</v>
      </c>
      <c r="AI61" s="169" t="s">
        <v>259</v>
      </c>
      <c r="AJ61" s="169" t="s">
        <v>259</v>
      </c>
      <c r="AK61" s="169" t="s">
        <v>259</v>
      </c>
      <c r="AL61" s="169" t="s">
        <v>259</v>
      </c>
      <c r="AM61" s="169" t="s">
        <v>259</v>
      </c>
      <c r="AN61" s="169" t="s">
        <v>259</v>
      </c>
      <c r="AO61" s="169" t="s">
        <v>259</v>
      </c>
      <c r="AP61" s="169" t="s">
        <v>259</v>
      </c>
      <c r="AQ61" s="169" t="s">
        <v>259</v>
      </c>
      <c r="AR61" s="169" t="s">
        <v>259</v>
      </c>
      <c r="AS61" s="169" t="s">
        <v>259</v>
      </c>
      <c r="AT61" s="169" t="s">
        <v>259</v>
      </c>
      <c r="AU61" s="169" t="s">
        <v>259</v>
      </c>
      <c r="AV61" s="169" t="s">
        <v>259</v>
      </c>
      <c r="AW61" s="169" t="s">
        <v>259</v>
      </c>
      <c r="AX61" s="169" t="s">
        <v>259</v>
      </c>
      <c r="AY61" s="169" t="s">
        <v>259</v>
      </c>
      <c r="AZ61" s="169" t="s">
        <v>259</v>
      </c>
      <c r="BA61" s="169" t="s">
        <v>259</v>
      </c>
      <c r="BB61" s="169" t="s">
        <v>259</v>
      </c>
      <c r="BC61" s="169" t="s">
        <v>259</v>
      </c>
      <c r="BD61" s="169" t="s">
        <v>259</v>
      </c>
      <c r="BE61" s="169" t="s">
        <v>259</v>
      </c>
      <c r="BF61" s="169" t="s">
        <v>259</v>
      </c>
      <c r="BG61" s="169" t="s">
        <v>259</v>
      </c>
      <c r="BH61" s="169" t="s">
        <v>259</v>
      </c>
      <c r="BI61" s="169" t="s">
        <v>259</v>
      </c>
      <c r="BJ61" s="169" t="s">
        <v>259</v>
      </c>
      <c r="BK61" s="169" t="s">
        <v>259</v>
      </c>
      <c r="BL61" s="169" t="s">
        <v>259</v>
      </c>
      <c r="BM61" s="169" t="s">
        <v>259</v>
      </c>
      <c r="BN61" s="169" t="s">
        <v>259</v>
      </c>
      <c r="BO61" s="169" t="s">
        <v>259</v>
      </c>
      <c r="BP61" s="169" t="s">
        <v>259</v>
      </c>
      <c r="BQ61" s="169" t="s">
        <v>259</v>
      </c>
      <c r="BR61" s="169" t="s">
        <v>259</v>
      </c>
      <c r="BS61" s="169" t="s">
        <v>259</v>
      </c>
      <c r="BT61" s="169" t="s">
        <v>259</v>
      </c>
      <c r="BU61" s="169" t="s">
        <v>259</v>
      </c>
      <c r="BV61" s="169" t="s">
        <v>259</v>
      </c>
      <c r="BW61" s="169" t="s">
        <v>259</v>
      </c>
      <c r="BX61" s="169" t="s">
        <v>259</v>
      </c>
      <c r="BY61" s="169" t="s">
        <v>259</v>
      </c>
      <c r="BZ61" s="169" t="s">
        <v>259</v>
      </c>
      <c r="CA61" s="169" t="s">
        <v>259</v>
      </c>
      <c r="CB61" s="169" t="s">
        <v>259</v>
      </c>
      <c r="CC61" s="169" t="s">
        <v>259</v>
      </c>
      <c r="CD61" s="169" t="s">
        <v>259</v>
      </c>
      <c r="CE61" s="169" t="s">
        <v>259</v>
      </c>
      <c r="CF61" s="169" t="s">
        <v>259</v>
      </c>
      <c r="CG61" s="169" t="s">
        <v>259</v>
      </c>
      <c r="CH61" s="169" t="s">
        <v>259</v>
      </c>
      <c r="CI61" s="169" t="s">
        <v>259</v>
      </c>
      <c r="CJ61" s="169" t="s">
        <v>259</v>
      </c>
      <c r="CK61" s="169" t="s">
        <v>259</v>
      </c>
      <c r="CL61" s="169" t="s">
        <v>259</v>
      </c>
      <c r="CM61" s="169" t="s">
        <v>259</v>
      </c>
      <c r="CN61" s="169" t="s">
        <v>259</v>
      </c>
      <c r="CO61" s="169" t="s">
        <v>259</v>
      </c>
      <c r="CP61" s="169" t="s">
        <v>259</v>
      </c>
      <c r="CQ61" s="169" t="s">
        <v>259</v>
      </c>
      <c r="CR61" s="169" t="s">
        <v>259</v>
      </c>
      <c r="CS61" s="169" t="s">
        <v>259</v>
      </c>
      <c r="CT61" s="169" t="s">
        <v>259</v>
      </c>
      <c r="CU61" s="169" t="s">
        <v>259</v>
      </c>
      <c r="CV61" s="169" t="s">
        <v>259</v>
      </c>
      <c r="CW61" s="169" t="s">
        <v>259</v>
      </c>
      <c r="CX61" s="169" t="s">
        <v>259</v>
      </c>
      <c r="CY61" s="169" t="s">
        <v>259</v>
      </c>
      <c r="CZ61" s="169" t="s">
        <v>259</v>
      </c>
      <c r="DA61" s="169" t="s">
        <v>259</v>
      </c>
      <c r="DB61" s="169" t="s">
        <v>259</v>
      </c>
      <c r="DC61" s="169" t="s">
        <v>259</v>
      </c>
      <c r="DD61" s="169" t="s">
        <v>259</v>
      </c>
      <c r="DE61" s="169" t="s">
        <v>259</v>
      </c>
      <c r="DF61" s="169" t="s">
        <v>259</v>
      </c>
      <c r="DG61" s="169" t="s">
        <v>259</v>
      </c>
      <c r="DH61" s="169" t="s">
        <v>259</v>
      </c>
      <c r="DI61" s="169" t="s">
        <v>259</v>
      </c>
      <c r="DJ61" s="169" t="s">
        <v>259</v>
      </c>
      <c r="DK61" s="169" t="s">
        <v>259</v>
      </c>
      <c r="DL61" s="169" t="s">
        <v>259</v>
      </c>
      <c r="DM61" s="169" t="s">
        <v>259</v>
      </c>
      <c r="DN61" s="169" t="s">
        <v>259</v>
      </c>
      <c r="DO61" s="169" t="s">
        <v>259</v>
      </c>
      <c r="DP61" s="169" t="s">
        <v>259</v>
      </c>
      <c r="DQ61" s="169" t="s">
        <v>259</v>
      </c>
      <c r="DR61" s="169" t="s">
        <v>259</v>
      </c>
      <c r="DS61" s="169" t="s">
        <v>259</v>
      </c>
      <c r="DT61" s="169" t="s">
        <v>259</v>
      </c>
    </row>
    <row r="62" spans="2:124" x14ac:dyDescent="0.3">
      <c r="B62" t="str">
        <f>'IMPORT SCHLIESSERDATEN'!B61</f>
        <v>TS 93 GSR-EMR 2 EN 5-7</v>
      </c>
      <c r="D62" s="169" t="s">
        <v>259</v>
      </c>
      <c r="E62" s="169" t="s">
        <v>259</v>
      </c>
      <c r="F62" s="169" t="s">
        <v>259</v>
      </c>
      <c r="G62" s="169" t="s">
        <v>259</v>
      </c>
      <c r="H62" s="169" t="s">
        <v>259</v>
      </c>
      <c r="I62" s="169" t="s">
        <v>259</v>
      </c>
      <c r="J62" s="169" t="s">
        <v>259</v>
      </c>
      <c r="K62" s="169" t="s">
        <v>259</v>
      </c>
      <c r="L62" s="169" t="s">
        <v>259</v>
      </c>
      <c r="M62" s="169" t="s">
        <v>259</v>
      </c>
      <c r="N62" s="169" t="s">
        <v>259</v>
      </c>
      <c r="O62" s="169" t="s">
        <v>259</v>
      </c>
      <c r="P62" s="169" t="s">
        <v>259</v>
      </c>
      <c r="Q62" s="169" t="s">
        <v>259</v>
      </c>
      <c r="R62" s="169" t="s">
        <v>259</v>
      </c>
      <c r="S62" s="169" t="s">
        <v>259</v>
      </c>
      <c r="T62" s="169" t="s">
        <v>259</v>
      </c>
      <c r="U62" s="169" t="s">
        <v>259</v>
      </c>
      <c r="V62" s="169" t="s">
        <v>259</v>
      </c>
      <c r="W62" s="169" t="s">
        <v>259</v>
      </c>
      <c r="X62" s="169" t="s">
        <v>259</v>
      </c>
      <c r="Y62" s="169" t="s">
        <v>259</v>
      </c>
      <c r="Z62" s="169" t="s">
        <v>259</v>
      </c>
      <c r="AA62" s="169" t="s">
        <v>259</v>
      </c>
      <c r="AB62" s="169" t="s">
        <v>259</v>
      </c>
      <c r="AC62" s="169" t="s">
        <v>259</v>
      </c>
      <c r="AD62" s="169" t="s">
        <v>259</v>
      </c>
      <c r="AE62" s="169" t="s">
        <v>259</v>
      </c>
      <c r="AF62" s="169" t="s">
        <v>259</v>
      </c>
      <c r="AG62" s="169" t="s">
        <v>259</v>
      </c>
      <c r="AH62" s="169" t="s">
        <v>259</v>
      </c>
      <c r="AI62" s="169" t="s">
        <v>259</v>
      </c>
      <c r="AJ62" s="169" t="s">
        <v>259</v>
      </c>
      <c r="AK62" s="169" t="s">
        <v>259</v>
      </c>
      <c r="AL62" s="169" t="s">
        <v>259</v>
      </c>
      <c r="AM62" s="169" t="s">
        <v>259</v>
      </c>
      <c r="AN62" s="169" t="s">
        <v>259</v>
      </c>
      <c r="AO62" s="169" t="s">
        <v>259</v>
      </c>
      <c r="AP62" s="169" t="s">
        <v>259</v>
      </c>
      <c r="AQ62" s="169" t="s">
        <v>259</v>
      </c>
      <c r="AR62" s="169" t="s">
        <v>259</v>
      </c>
      <c r="AS62" s="169" t="s">
        <v>259</v>
      </c>
      <c r="AT62" s="169" t="s">
        <v>259</v>
      </c>
      <c r="AU62" s="169" t="s">
        <v>259</v>
      </c>
      <c r="AV62" s="169" t="s">
        <v>259</v>
      </c>
      <c r="AW62" s="169" t="s">
        <v>259</v>
      </c>
      <c r="AX62" s="169" t="s">
        <v>259</v>
      </c>
      <c r="AY62" s="169" t="s">
        <v>259</v>
      </c>
      <c r="AZ62" s="169" t="s">
        <v>259</v>
      </c>
      <c r="BA62" s="169" t="s">
        <v>259</v>
      </c>
      <c r="BB62" s="169" t="s">
        <v>259</v>
      </c>
      <c r="BC62" s="169" t="s">
        <v>259</v>
      </c>
      <c r="BD62" s="169" t="s">
        <v>259</v>
      </c>
      <c r="BE62" s="169" t="s">
        <v>259</v>
      </c>
      <c r="BF62" s="169" t="s">
        <v>259</v>
      </c>
      <c r="BG62" s="169" t="s">
        <v>259</v>
      </c>
      <c r="BH62" s="169" t="s">
        <v>259</v>
      </c>
      <c r="BI62" s="169" t="s">
        <v>259</v>
      </c>
      <c r="BJ62" s="169" t="s">
        <v>259</v>
      </c>
      <c r="BK62" s="169" t="s">
        <v>259</v>
      </c>
      <c r="BL62" s="169" t="s">
        <v>259</v>
      </c>
      <c r="BM62" s="169" t="s">
        <v>259</v>
      </c>
      <c r="BN62" s="169" t="s">
        <v>259</v>
      </c>
      <c r="BO62" s="169" t="s">
        <v>259</v>
      </c>
      <c r="BP62" s="169" t="s">
        <v>259</v>
      </c>
      <c r="BQ62" s="169" t="s">
        <v>259</v>
      </c>
      <c r="BR62" s="169" t="s">
        <v>259</v>
      </c>
      <c r="BS62" s="169" t="s">
        <v>259</v>
      </c>
      <c r="BT62" s="169" t="s">
        <v>259</v>
      </c>
      <c r="BU62" s="169" t="s">
        <v>259</v>
      </c>
      <c r="BV62" s="169" t="s">
        <v>259</v>
      </c>
      <c r="BW62" s="169" t="s">
        <v>259</v>
      </c>
      <c r="BX62" s="169" t="s">
        <v>259</v>
      </c>
      <c r="BY62" s="169" t="s">
        <v>259</v>
      </c>
      <c r="BZ62" s="169" t="s">
        <v>259</v>
      </c>
      <c r="CA62" s="169" t="s">
        <v>259</v>
      </c>
      <c r="CB62" s="169" t="s">
        <v>259</v>
      </c>
      <c r="CC62" s="169" t="s">
        <v>259</v>
      </c>
      <c r="CD62" s="169" t="s">
        <v>259</v>
      </c>
      <c r="CE62" s="169" t="s">
        <v>259</v>
      </c>
      <c r="CF62" s="169" t="s">
        <v>259</v>
      </c>
      <c r="CG62" s="169" t="s">
        <v>259</v>
      </c>
      <c r="CH62" s="169" t="s">
        <v>259</v>
      </c>
      <c r="CI62" s="169" t="s">
        <v>259</v>
      </c>
      <c r="CJ62" s="169" t="s">
        <v>259</v>
      </c>
      <c r="CK62" s="169" t="s">
        <v>259</v>
      </c>
      <c r="CL62" s="169" t="s">
        <v>259</v>
      </c>
      <c r="CM62" s="169" t="s">
        <v>259</v>
      </c>
      <c r="CN62" s="169" t="s">
        <v>259</v>
      </c>
      <c r="CO62" s="169" t="s">
        <v>259</v>
      </c>
      <c r="CP62" s="169" t="s">
        <v>259</v>
      </c>
      <c r="CQ62" s="169" t="s">
        <v>259</v>
      </c>
      <c r="CR62" s="169" t="s">
        <v>259</v>
      </c>
      <c r="CS62" s="169" t="s">
        <v>259</v>
      </c>
      <c r="CT62" s="169" t="s">
        <v>259</v>
      </c>
      <c r="CU62" s="169" t="s">
        <v>259</v>
      </c>
      <c r="CV62" s="169" t="s">
        <v>259</v>
      </c>
      <c r="CW62" s="169" t="s">
        <v>259</v>
      </c>
      <c r="CX62" s="169" t="s">
        <v>259</v>
      </c>
      <c r="CY62" s="169" t="s">
        <v>259</v>
      </c>
      <c r="CZ62" s="169" t="s">
        <v>259</v>
      </c>
      <c r="DA62" s="169" t="s">
        <v>259</v>
      </c>
      <c r="DB62" s="169" t="s">
        <v>259</v>
      </c>
      <c r="DC62" s="169" t="s">
        <v>259</v>
      </c>
      <c r="DD62" s="169" t="s">
        <v>259</v>
      </c>
      <c r="DE62" s="169" t="s">
        <v>259</v>
      </c>
      <c r="DF62" s="169" t="s">
        <v>259</v>
      </c>
      <c r="DG62" s="169" t="s">
        <v>259</v>
      </c>
      <c r="DH62" s="169" t="s">
        <v>259</v>
      </c>
      <c r="DI62" s="169" t="s">
        <v>259</v>
      </c>
      <c r="DJ62" s="169" t="s">
        <v>259</v>
      </c>
      <c r="DK62" s="169" t="s">
        <v>259</v>
      </c>
      <c r="DL62" s="169" t="s">
        <v>259</v>
      </c>
      <c r="DM62" s="169" t="s">
        <v>259</v>
      </c>
      <c r="DN62" s="169" t="s">
        <v>259</v>
      </c>
      <c r="DO62" s="169" t="s">
        <v>259</v>
      </c>
      <c r="DP62" s="169" t="s">
        <v>259</v>
      </c>
      <c r="DQ62" s="169" t="s">
        <v>259</v>
      </c>
      <c r="DR62" s="169" t="s">
        <v>259</v>
      </c>
      <c r="DS62" s="169" t="s">
        <v>259</v>
      </c>
      <c r="DT62" s="169" t="s">
        <v>259</v>
      </c>
    </row>
    <row r="63" spans="2:124" x14ac:dyDescent="0.3">
      <c r="B63" t="str">
        <f>'IMPORT SCHLIESSERDATEN'!B62</f>
        <v>TS 93 G EN 5-7</v>
      </c>
      <c r="D63" s="169" t="s">
        <v>259</v>
      </c>
      <c r="E63" s="169" t="s">
        <v>259</v>
      </c>
      <c r="F63" s="169" t="s">
        <v>259</v>
      </c>
      <c r="G63" s="169" t="s">
        <v>259</v>
      </c>
      <c r="H63" s="169" t="s">
        <v>259</v>
      </c>
      <c r="I63" s="169" t="s">
        <v>259</v>
      </c>
      <c r="J63" s="169" t="s">
        <v>259</v>
      </c>
      <c r="K63" s="169" t="s">
        <v>259</v>
      </c>
      <c r="L63" s="169" t="s">
        <v>259</v>
      </c>
      <c r="M63" s="169" t="s">
        <v>259</v>
      </c>
      <c r="N63" s="169" t="s">
        <v>259</v>
      </c>
      <c r="O63" s="169" t="s">
        <v>259</v>
      </c>
      <c r="P63" s="169" t="s">
        <v>259</v>
      </c>
      <c r="Q63" s="169" t="s">
        <v>259</v>
      </c>
      <c r="R63" s="169" t="s">
        <v>259</v>
      </c>
      <c r="S63" s="169" t="s">
        <v>259</v>
      </c>
      <c r="T63" s="169" t="s">
        <v>259</v>
      </c>
      <c r="U63" s="169" t="s">
        <v>259</v>
      </c>
      <c r="V63" s="169" t="s">
        <v>259</v>
      </c>
      <c r="W63" s="169" t="s">
        <v>259</v>
      </c>
      <c r="X63" s="169" t="s">
        <v>259</v>
      </c>
      <c r="Y63" s="169" t="s">
        <v>259</v>
      </c>
      <c r="Z63" s="169" t="s">
        <v>259</v>
      </c>
      <c r="AA63" s="169" t="s">
        <v>259</v>
      </c>
      <c r="AB63" s="169" t="s">
        <v>259</v>
      </c>
      <c r="AC63" s="169" t="s">
        <v>259</v>
      </c>
      <c r="AD63" s="169" t="s">
        <v>259</v>
      </c>
      <c r="AE63" s="169" t="s">
        <v>259</v>
      </c>
      <c r="AF63" s="169" t="s">
        <v>259</v>
      </c>
      <c r="AG63" s="169" t="s">
        <v>259</v>
      </c>
      <c r="AH63" s="169" t="s">
        <v>259</v>
      </c>
      <c r="AI63" s="169" t="s">
        <v>259</v>
      </c>
      <c r="AJ63" s="169" t="s">
        <v>259</v>
      </c>
      <c r="AK63" s="169" t="s">
        <v>259</v>
      </c>
      <c r="AL63" s="169" t="s">
        <v>259</v>
      </c>
      <c r="AM63" s="169" t="s">
        <v>259</v>
      </c>
      <c r="AN63" s="169" t="s">
        <v>259</v>
      </c>
      <c r="AO63" s="169" t="s">
        <v>259</v>
      </c>
      <c r="AP63" s="169" t="s">
        <v>259</v>
      </c>
      <c r="AQ63" s="169" t="s">
        <v>259</v>
      </c>
      <c r="AR63" s="169" t="s">
        <v>259</v>
      </c>
      <c r="AS63" s="169" t="s">
        <v>259</v>
      </c>
      <c r="AT63" s="169" t="s">
        <v>259</v>
      </c>
      <c r="AU63" s="169" t="s">
        <v>259</v>
      </c>
      <c r="AV63" s="169" t="s">
        <v>259</v>
      </c>
      <c r="AW63" s="169" t="s">
        <v>259</v>
      </c>
      <c r="AX63" s="169" t="s">
        <v>259</v>
      </c>
      <c r="AY63" s="169" t="s">
        <v>259</v>
      </c>
      <c r="AZ63" s="169" t="s">
        <v>259</v>
      </c>
      <c r="BA63" s="169" t="s">
        <v>259</v>
      </c>
      <c r="BB63" s="169" t="s">
        <v>259</v>
      </c>
      <c r="BC63" s="169" t="s">
        <v>259</v>
      </c>
      <c r="BD63" s="169" t="s">
        <v>259</v>
      </c>
      <c r="BE63" s="169" t="s">
        <v>259</v>
      </c>
      <c r="BF63" s="169" t="s">
        <v>259</v>
      </c>
      <c r="BG63" s="169" t="s">
        <v>259</v>
      </c>
      <c r="BH63" s="169" t="s">
        <v>259</v>
      </c>
      <c r="BI63" s="169" t="s">
        <v>259</v>
      </c>
      <c r="BJ63" s="169" t="s">
        <v>259</v>
      </c>
      <c r="BK63" s="169" t="s">
        <v>259</v>
      </c>
      <c r="BL63" s="169" t="s">
        <v>259</v>
      </c>
      <c r="BM63" s="169" t="s">
        <v>259</v>
      </c>
      <c r="BN63" s="169" t="s">
        <v>259</v>
      </c>
      <c r="BO63" s="169" t="s">
        <v>259</v>
      </c>
      <c r="BP63" s="169" t="s">
        <v>259</v>
      </c>
      <c r="BQ63" s="169" t="s">
        <v>259</v>
      </c>
      <c r="BR63" s="169" t="s">
        <v>259</v>
      </c>
      <c r="BS63" s="169" t="s">
        <v>259</v>
      </c>
      <c r="BT63" s="169" t="s">
        <v>259</v>
      </c>
      <c r="BU63" s="169" t="s">
        <v>259</v>
      </c>
      <c r="BV63" s="169" t="s">
        <v>259</v>
      </c>
      <c r="BW63" s="169" t="s">
        <v>259</v>
      </c>
      <c r="BX63" s="169" t="s">
        <v>259</v>
      </c>
      <c r="BY63" s="169" t="s">
        <v>259</v>
      </c>
      <c r="BZ63" s="169" t="s">
        <v>259</v>
      </c>
      <c r="CA63" s="169" t="s">
        <v>259</v>
      </c>
      <c r="CB63" s="169" t="s">
        <v>259</v>
      </c>
      <c r="CC63" s="169" t="s">
        <v>259</v>
      </c>
      <c r="CD63" s="169" t="s">
        <v>259</v>
      </c>
      <c r="CE63" s="169" t="s">
        <v>259</v>
      </c>
      <c r="CF63" s="169" t="s">
        <v>259</v>
      </c>
      <c r="CG63" s="169" t="s">
        <v>259</v>
      </c>
      <c r="CH63" s="169" t="s">
        <v>259</v>
      </c>
      <c r="CI63" s="169" t="s">
        <v>259</v>
      </c>
      <c r="CJ63" s="169" t="s">
        <v>259</v>
      </c>
      <c r="CK63" s="169" t="s">
        <v>259</v>
      </c>
      <c r="CL63" s="169" t="s">
        <v>259</v>
      </c>
      <c r="CM63" s="169" t="s">
        <v>259</v>
      </c>
      <c r="CN63" s="169" t="s">
        <v>259</v>
      </c>
      <c r="CO63" s="169" t="s">
        <v>259</v>
      </c>
      <c r="CP63" s="169" t="s">
        <v>259</v>
      </c>
      <c r="CQ63" s="169" t="s">
        <v>259</v>
      </c>
      <c r="CR63" s="169" t="s">
        <v>259</v>
      </c>
      <c r="CS63" s="169" t="s">
        <v>259</v>
      </c>
      <c r="CT63" s="169" t="s">
        <v>259</v>
      </c>
      <c r="CU63" s="169" t="s">
        <v>259</v>
      </c>
      <c r="CV63" s="169" t="s">
        <v>259</v>
      </c>
      <c r="CW63" s="169" t="s">
        <v>259</v>
      </c>
      <c r="CX63" s="169" t="s">
        <v>259</v>
      </c>
      <c r="CY63" s="169" t="s">
        <v>259</v>
      </c>
      <c r="CZ63" s="169" t="s">
        <v>259</v>
      </c>
      <c r="DA63" s="169" t="s">
        <v>259</v>
      </c>
      <c r="DB63" s="169" t="s">
        <v>259</v>
      </c>
      <c r="DC63" s="169" t="s">
        <v>259</v>
      </c>
      <c r="DD63" s="169" t="s">
        <v>259</v>
      </c>
      <c r="DE63" s="169" t="s">
        <v>259</v>
      </c>
      <c r="DF63" s="169" t="s">
        <v>259</v>
      </c>
      <c r="DG63" s="169" t="s">
        <v>259</v>
      </c>
      <c r="DH63" s="169" t="s">
        <v>259</v>
      </c>
      <c r="DI63" s="169" t="s">
        <v>259</v>
      </c>
      <c r="DJ63" s="169" t="s">
        <v>259</v>
      </c>
      <c r="DK63" s="169" t="s">
        <v>259</v>
      </c>
      <c r="DL63" s="169" t="s">
        <v>259</v>
      </c>
      <c r="DM63" s="169" t="s">
        <v>259</v>
      </c>
      <c r="DN63" s="169" t="s">
        <v>259</v>
      </c>
      <c r="DO63" s="169" t="s">
        <v>259</v>
      </c>
      <c r="DP63" s="169" t="s">
        <v>259</v>
      </c>
      <c r="DQ63" s="169" t="s">
        <v>259</v>
      </c>
      <c r="DR63" s="169" t="s">
        <v>259</v>
      </c>
      <c r="DS63" s="169" t="s">
        <v>259</v>
      </c>
      <c r="DT63" s="169" t="s">
        <v>259</v>
      </c>
    </row>
    <row r="64" spans="2:124" x14ac:dyDescent="0.3">
      <c r="B64" t="str">
        <f>'IMPORT SCHLIESSERDATEN'!B63</f>
        <v>TS 93 G RF EN 5-7</v>
      </c>
      <c r="D64" s="169" t="s">
        <v>259</v>
      </c>
      <c r="E64" s="169" t="s">
        <v>259</v>
      </c>
      <c r="F64" s="169" t="s">
        <v>259</v>
      </c>
      <c r="G64" s="169" t="s">
        <v>259</v>
      </c>
      <c r="H64" s="169" t="s">
        <v>259</v>
      </c>
      <c r="I64" s="169" t="s">
        <v>259</v>
      </c>
      <c r="J64" s="169" t="s">
        <v>259</v>
      </c>
      <c r="K64" s="169" t="s">
        <v>259</v>
      </c>
      <c r="L64" s="169" t="s">
        <v>259</v>
      </c>
      <c r="M64" s="169" t="s">
        <v>259</v>
      </c>
      <c r="N64" s="169" t="s">
        <v>259</v>
      </c>
      <c r="O64" s="169" t="s">
        <v>259</v>
      </c>
      <c r="P64" s="169" t="s">
        <v>259</v>
      </c>
      <c r="Q64" s="169" t="s">
        <v>259</v>
      </c>
      <c r="R64" s="169" t="s">
        <v>259</v>
      </c>
      <c r="S64" s="169" t="s">
        <v>259</v>
      </c>
      <c r="T64" s="169" t="s">
        <v>259</v>
      </c>
      <c r="U64" s="169" t="s">
        <v>1995</v>
      </c>
      <c r="V64" s="169" t="s">
        <v>259</v>
      </c>
      <c r="W64" s="169" t="s">
        <v>259</v>
      </c>
      <c r="X64" s="169" t="s">
        <v>259</v>
      </c>
      <c r="Y64" s="169" t="s">
        <v>259</v>
      </c>
      <c r="Z64" s="169" t="s">
        <v>259</v>
      </c>
      <c r="AA64" s="169" t="s">
        <v>259</v>
      </c>
      <c r="AB64" s="169" t="s">
        <v>259</v>
      </c>
      <c r="AC64" s="169" t="s">
        <v>259</v>
      </c>
      <c r="AD64" s="169" t="s">
        <v>259</v>
      </c>
      <c r="AE64" s="169" t="s">
        <v>259</v>
      </c>
      <c r="AF64" s="169" t="s">
        <v>259</v>
      </c>
      <c r="AG64" s="169" t="s">
        <v>259</v>
      </c>
      <c r="AH64" s="169" t="s">
        <v>259</v>
      </c>
      <c r="AI64" s="169" t="s">
        <v>259</v>
      </c>
      <c r="AJ64" s="169" t="s">
        <v>259</v>
      </c>
      <c r="AK64" s="169" t="s">
        <v>259</v>
      </c>
      <c r="AL64" s="169" t="s">
        <v>259</v>
      </c>
      <c r="AM64" s="169" t="s">
        <v>259</v>
      </c>
      <c r="AN64" s="169" t="s">
        <v>259</v>
      </c>
      <c r="AO64" s="169" t="s">
        <v>259</v>
      </c>
      <c r="AP64" s="169" t="s">
        <v>259</v>
      </c>
      <c r="AQ64" s="169" t="s">
        <v>259</v>
      </c>
      <c r="AR64" s="169" t="s">
        <v>259</v>
      </c>
      <c r="AS64" s="169" t="s">
        <v>259</v>
      </c>
      <c r="AT64" s="169" t="s">
        <v>259</v>
      </c>
      <c r="AU64" s="169" t="s">
        <v>259</v>
      </c>
      <c r="AV64" s="169" t="s">
        <v>259</v>
      </c>
      <c r="AW64" s="169" t="s">
        <v>259</v>
      </c>
      <c r="AX64" s="169" t="s">
        <v>259</v>
      </c>
      <c r="AY64" s="169" t="s">
        <v>259</v>
      </c>
      <c r="AZ64" s="169" t="s">
        <v>259</v>
      </c>
      <c r="BA64" s="169" t="s">
        <v>259</v>
      </c>
      <c r="BB64" s="169" t="s">
        <v>259</v>
      </c>
      <c r="BC64" s="169" t="s">
        <v>259</v>
      </c>
      <c r="BD64" s="169" t="s">
        <v>259</v>
      </c>
      <c r="BE64" s="169" t="s">
        <v>259</v>
      </c>
      <c r="BF64" s="169" t="s">
        <v>259</v>
      </c>
      <c r="BG64" s="169" t="s">
        <v>259</v>
      </c>
      <c r="BH64" s="169" t="s">
        <v>259</v>
      </c>
      <c r="BI64" s="169" t="s">
        <v>259</v>
      </c>
      <c r="BJ64" s="169" t="s">
        <v>259</v>
      </c>
      <c r="BK64" s="169" t="s">
        <v>259</v>
      </c>
      <c r="BL64" s="169" t="s">
        <v>259</v>
      </c>
      <c r="BM64" s="169" t="s">
        <v>259</v>
      </c>
      <c r="BN64" s="169" t="s">
        <v>259</v>
      </c>
      <c r="BO64" s="169" t="s">
        <v>259</v>
      </c>
      <c r="BP64" s="169" t="s">
        <v>259</v>
      </c>
      <c r="BQ64" s="169" t="s">
        <v>259</v>
      </c>
      <c r="BR64" s="169" t="s">
        <v>259</v>
      </c>
      <c r="BS64" s="169" t="s">
        <v>259</v>
      </c>
      <c r="BT64" s="169" t="s">
        <v>259</v>
      </c>
      <c r="BU64" s="169" t="s">
        <v>259</v>
      </c>
      <c r="BV64" s="169" t="s">
        <v>259</v>
      </c>
      <c r="BW64" s="169" t="s">
        <v>259</v>
      </c>
      <c r="BX64" s="169" t="s">
        <v>259</v>
      </c>
      <c r="BY64" s="169" t="s">
        <v>259</v>
      </c>
      <c r="BZ64" s="169" t="s">
        <v>259</v>
      </c>
      <c r="CA64" s="169" t="s">
        <v>259</v>
      </c>
      <c r="CB64" s="169" t="s">
        <v>259</v>
      </c>
      <c r="CC64" s="169" t="s">
        <v>259</v>
      </c>
      <c r="CD64" s="169" t="s">
        <v>259</v>
      </c>
      <c r="CE64" s="169" t="s">
        <v>259</v>
      </c>
      <c r="CF64" s="169" t="s">
        <v>259</v>
      </c>
      <c r="CG64" s="169" t="s">
        <v>259</v>
      </c>
      <c r="CH64" s="169" t="s">
        <v>259</v>
      </c>
      <c r="CI64" s="169" t="s">
        <v>259</v>
      </c>
      <c r="CJ64" s="169" t="s">
        <v>259</v>
      </c>
      <c r="CK64" s="169" t="s">
        <v>259</v>
      </c>
      <c r="CL64" s="169" t="s">
        <v>259</v>
      </c>
      <c r="CM64" s="169" t="s">
        <v>259</v>
      </c>
      <c r="CN64" s="169" t="s">
        <v>259</v>
      </c>
      <c r="CO64" s="169" t="s">
        <v>259</v>
      </c>
      <c r="CP64" s="169" t="s">
        <v>259</v>
      </c>
      <c r="CQ64" s="169" t="s">
        <v>259</v>
      </c>
      <c r="CR64" s="169" t="s">
        <v>259</v>
      </c>
      <c r="CS64" s="169" t="s">
        <v>259</v>
      </c>
      <c r="CT64" s="169" t="s">
        <v>259</v>
      </c>
      <c r="CU64" s="169" t="s">
        <v>259</v>
      </c>
      <c r="CV64" s="169" t="s">
        <v>259</v>
      </c>
      <c r="CW64" s="169" t="s">
        <v>259</v>
      </c>
      <c r="CX64" s="169" t="s">
        <v>259</v>
      </c>
      <c r="CY64" s="169" t="s">
        <v>259</v>
      </c>
      <c r="CZ64" s="169" t="s">
        <v>259</v>
      </c>
      <c r="DA64" s="169" t="s">
        <v>259</v>
      </c>
      <c r="DB64" s="169" t="s">
        <v>259</v>
      </c>
      <c r="DC64" s="169" t="s">
        <v>259</v>
      </c>
      <c r="DD64" s="169" t="s">
        <v>259</v>
      </c>
      <c r="DE64" s="169" t="s">
        <v>259</v>
      </c>
      <c r="DF64" s="169" t="s">
        <v>259</v>
      </c>
      <c r="DG64" s="169" t="s">
        <v>259</v>
      </c>
      <c r="DH64" s="169" t="s">
        <v>259</v>
      </c>
      <c r="DI64" s="169" t="s">
        <v>259</v>
      </c>
      <c r="DJ64" s="169" t="s">
        <v>259</v>
      </c>
      <c r="DK64" s="169" t="s">
        <v>259</v>
      </c>
      <c r="DL64" s="169" t="s">
        <v>259</v>
      </c>
      <c r="DM64" s="169" t="s">
        <v>259</v>
      </c>
      <c r="DN64" s="169" t="s">
        <v>259</v>
      </c>
      <c r="DO64" s="169" t="s">
        <v>259</v>
      </c>
      <c r="DP64" s="169" t="s">
        <v>259</v>
      </c>
      <c r="DQ64" s="169" t="s">
        <v>259</v>
      </c>
      <c r="DR64" s="169" t="s">
        <v>259</v>
      </c>
      <c r="DS64" s="169" t="s">
        <v>259</v>
      </c>
      <c r="DT64" s="169" t="s">
        <v>259</v>
      </c>
    </row>
    <row r="65" spans="2:124" x14ac:dyDescent="0.3">
      <c r="B65" t="str">
        <f>'IMPORT SCHLIESSERDATEN'!B64</f>
        <v>TS 93 G EMF EN 5-7</v>
      </c>
      <c r="D65" s="169" t="s">
        <v>259</v>
      </c>
      <c r="E65" s="169" t="s">
        <v>259</v>
      </c>
      <c r="F65" s="169" t="s">
        <v>259</v>
      </c>
      <c r="G65" s="169" t="s">
        <v>259</v>
      </c>
      <c r="H65" s="169" t="s">
        <v>259</v>
      </c>
      <c r="I65" s="169" t="s">
        <v>259</v>
      </c>
      <c r="J65" s="169" t="s">
        <v>259</v>
      </c>
      <c r="K65" s="169" t="s">
        <v>259</v>
      </c>
      <c r="L65" s="169" t="s">
        <v>259</v>
      </c>
      <c r="M65" s="169" t="s">
        <v>259</v>
      </c>
      <c r="N65" s="169" t="s">
        <v>259</v>
      </c>
      <c r="O65" s="169" t="s">
        <v>259</v>
      </c>
      <c r="P65" s="169" t="s">
        <v>259</v>
      </c>
      <c r="Q65" s="169" t="s">
        <v>259</v>
      </c>
      <c r="R65" s="169" t="s">
        <v>259</v>
      </c>
      <c r="S65" s="169" t="s">
        <v>259</v>
      </c>
      <c r="T65" s="169" t="s">
        <v>259</v>
      </c>
      <c r="U65" s="169" t="s">
        <v>259</v>
      </c>
      <c r="V65" s="169" t="s">
        <v>259</v>
      </c>
      <c r="W65" s="169" t="s">
        <v>259</v>
      </c>
      <c r="X65" s="169" t="s">
        <v>259</v>
      </c>
      <c r="Y65" s="169" t="s">
        <v>259</v>
      </c>
      <c r="Z65" s="169" t="s">
        <v>259</v>
      </c>
      <c r="AA65" s="169" t="s">
        <v>259</v>
      </c>
      <c r="AB65" s="169" t="s">
        <v>259</v>
      </c>
      <c r="AC65" s="169" t="s">
        <v>259</v>
      </c>
      <c r="AD65" s="169" t="s">
        <v>259</v>
      </c>
      <c r="AE65" s="169" t="s">
        <v>259</v>
      </c>
      <c r="AF65" s="169" t="s">
        <v>259</v>
      </c>
      <c r="AG65" s="169" t="s">
        <v>259</v>
      </c>
      <c r="AH65" s="169" t="s">
        <v>259</v>
      </c>
      <c r="AI65" s="169" t="s">
        <v>259</v>
      </c>
      <c r="AJ65" s="169" t="s">
        <v>259</v>
      </c>
      <c r="AK65" s="169" t="s">
        <v>259</v>
      </c>
      <c r="AL65" s="169" t="s">
        <v>259</v>
      </c>
      <c r="AM65" s="169" t="s">
        <v>259</v>
      </c>
      <c r="AN65" s="169" t="s">
        <v>259</v>
      </c>
      <c r="AO65" s="169" t="s">
        <v>259</v>
      </c>
      <c r="AP65" s="169" t="s">
        <v>259</v>
      </c>
      <c r="AQ65" s="169" t="s">
        <v>259</v>
      </c>
      <c r="AR65" s="169" t="s">
        <v>259</v>
      </c>
      <c r="AS65" s="169" t="s">
        <v>259</v>
      </c>
      <c r="AT65" s="169" t="s">
        <v>259</v>
      </c>
      <c r="AU65" s="169" t="s">
        <v>259</v>
      </c>
      <c r="AV65" s="169" t="s">
        <v>259</v>
      </c>
      <c r="AW65" s="169" t="s">
        <v>259</v>
      </c>
      <c r="AX65" s="169" t="s">
        <v>259</v>
      </c>
      <c r="AY65" s="169" t="s">
        <v>259</v>
      </c>
      <c r="AZ65" s="169" t="s">
        <v>259</v>
      </c>
      <c r="BA65" s="169" t="s">
        <v>259</v>
      </c>
      <c r="BB65" s="169" t="s">
        <v>259</v>
      </c>
      <c r="BC65" s="169" t="s">
        <v>259</v>
      </c>
      <c r="BD65" s="169" t="s">
        <v>259</v>
      </c>
      <c r="BE65" s="169" t="s">
        <v>259</v>
      </c>
      <c r="BF65" s="169" t="s">
        <v>259</v>
      </c>
      <c r="BG65" s="169" t="s">
        <v>259</v>
      </c>
      <c r="BH65" s="169" t="s">
        <v>259</v>
      </c>
      <c r="BI65" s="169" t="s">
        <v>259</v>
      </c>
      <c r="BJ65" s="169" t="s">
        <v>259</v>
      </c>
      <c r="BK65" s="169" t="s">
        <v>259</v>
      </c>
      <c r="BL65" s="169" t="s">
        <v>259</v>
      </c>
      <c r="BM65" s="169" t="s">
        <v>259</v>
      </c>
      <c r="BN65" s="169" t="s">
        <v>259</v>
      </c>
      <c r="BO65" s="169" t="s">
        <v>259</v>
      </c>
      <c r="BP65" s="169" t="s">
        <v>259</v>
      </c>
      <c r="BQ65" s="169" t="s">
        <v>259</v>
      </c>
      <c r="BR65" s="169" t="s">
        <v>259</v>
      </c>
      <c r="BS65" s="169" t="s">
        <v>259</v>
      </c>
      <c r="BT65" s="169" t="s">
        <v>259</v>
      </c>
      <c r="BU65" s="169" t="s">
        <v>259</v>
      </c>
      <c r="BV65" s="169" t="s">
        <v>259</v>
      </c>
      <c r="BW65" s="169" t="s">
        <v>259</v>
      </c>
      <c r="BX65" s="169" t="s">
        <v>259</v>
      </c>
      <c r="BY65" s="169" t="s">
        <v>259</v>
      </c>
      <c r="BZ65" s="169" t="s">
        <v>259</v>
      </c>
      <c r="CA65" s="169" t="s">
        <v>259</v>
      </c>
      <c r="CB65" s="169" t="s">
        <v>259</v>
      </c>
      <c r="CC65" s="169" t="s">
        <v>259</v>
      </c>
      <c r="CD65" s="169" t="s">
        <v>259</v>
      </c>
      <c r="CE65" s="169" t="s">
        <v>259</v>
      </c>
      <c r="CF65" s="169" t="s">
        <v>259</v>
      </c>
      <c r="CG65" s="169" t="s">
        <v>259</v>
      </c>
      <c r="CH65" s="169" t="s">
        <v>259</v>
      </c>
      <c r="CI65" s="169" t="s">
        <v>259</v>
      </c>
      <c r="CJ65" s="169" t="s">
        <v>259</v>
      </c>
      <c r="CK65" s="169" t="s">
        <v>259</v>
      </c>
      <c r="CL65" s="169" t="s">
        <v>259</v>
      </c>
      <c r="CM65" s="169" t="s">
        <v>259</v>
      </c>
      <c r="CN65" s="169" t="s">
        <v>259</v>
      </c>
      <c r="CO65" s="169" t="s">
        <v>259</v>
      </c>
      <c r="CP65" s="169" t="s">
        <v>259</v>
      </c>
      <c r="CQ65" s="169" t="s">
        <v>259</v>
      </c>
      <c r="CR65" s="169" t="s">
        <v>259</v>
      </c>
      <c r="CS65" s="169" t="s">
        <v>259</v>
      </c>
      <c r="CT65" s="169" t="s">
        <v>259</v>
      </c>
      <c r="CU65" s="169" t="s">
        <v>259</v>
      </c>
      <c r="CV65" s="169" t="s">
        <v>259</v>
      </c>
      <c r="CW65" s="169" t="s">
        <v>259</v>
      </c>
      <c r="CX65" s="169" t="s">
        <v>259</v>
      </c>
      <c r="CY65" s="169" t="s">
        <v>259</v>
      </c>
      <c r="CZ65" s="169" t="s">
        <v>259</v>
      </c>
      <c r="DA65" s="169" t="s">
        <v>259</v>
      </c>
      <c r="DB65" s="169" t="s">
        <v>259</v>
      </c>
      <c r="DC65" s="169" t="s">
        <v>259</v>
      </c>
      <c r="DD65" s="169" t="s">
        <v>259</v>
      </c>
      <c r="DE65" s="169" t="s">
        <v>259</v>
      </c>
      <c r="DF65" s="169" t="s">
        <v>259</v>
      </c>
      <c r="DG65" s="169" t="s">
        <v>259</v>
      </c>
      <c r="DH65" s="169" t="s">
        <v>259</v>
      </c>
      <c r="DI65" s="169" t="s">
        <v>259</v>
      </c>
      <c r="DJ65" s="169" t="s">
        <v>259</v>
      </c>
      <c r="DK65" s="169" t="s">
        <v>259</v>
      </c>
      <c r="DL65" s="169" t="s">
        <v>259</v>
      </c>
      <c r="DM65" s="169" t="s">
        <v>259</v>
      </c>
      <c r="DN65" s="169" t="s">
        <v>259</v>
      </c>
      <c r="DO65" s="169" t="s">
        <v>259</v>
      </c>
      <c r="DP65" s="169" t="s">
        <v>259</v>
      </c>
      <c r="DQ65" s="169" t="s">
        <v>259</v>
      </c>
      <c r="DR65" s="169" t="s">
        <v>259</v>
      </c>
      <c r="DS65" s="169" t="s">
        <v>259</v>
      </c>
      <c r="DT65" s="169" t="s">
        <v>259</v>
      </c>
    </row>
    <row r="66" spans="2:124" x14ac:dyDescent="0.3">
      <c r="B66" t="str">
        <f>'IMPORT SCHLIESSERDATEN'!B65</f>
        <v>TS 93 G EMR EN 5-7</v>
      </c>
      <c r="D66" s="169" t="s">
        <v>259</v>
      </c>
      <c r="E66" s="169" t="s">
        <v>259</v>
      </c>
      <c r="F66" s="169" t="s">
        <v>259</v>
      </c>
      <c r="G66" s="169" t="s">
        <v>259</v>
      </c>
      <c r="H66" s="169" t="s">
        <v>259</v>
      </c>
      <c r="I66" s="169" t="s">
        <v>259</v>
      </c>
      <c r="J66" s="169" t="s">
        <v>259</v>
      </c>
      <c r="K66" s="169" t="s">
        <v>259</v>
      </c>
      <c r="L66" s="169" t="s">
        <v>259</v>
      </c>
      <c r="M66" s="169" t="s">
        <v>259</v>
      </c>
      <c r="N66" s="169" t="s">
        <v>259</v>
      </c>
      <c r="O66" s="169" t="s">
        <v>259</v>
      </c>
      <c r="P66" s="169" t="s">
        <v>259</v>
      </c>
      <c r="Q66" s="169" t="s">
        <v>259</v>
      </c>
      <c r="R66" s="169" t="s">
        <v>259</v>
      </c>
      <c r="S66" s="169" t="s">
        <v>259</v>
      </c>
      <c r="T66" s="169" t="s">
        <v>259</v>
      </c>
      <c r="U66" s="169" t="s">
        <v>259</v>
      </c>
      <c r="V66" s="169" t="s">
        <v>259</v>
      </c>
      <c r="W66" s="169" t="s">
        <v>259</v>
      </c>
      <c r="X66" s="169" t="s">
        <v>259</v>
      </c>
      <c r="Y66" s="169" t="s">
        <v>259</v>
      </c>
      <c r="Z66" s="169" t="s">
        <v>259</v>
      </c>
      <c r="AA66" s="169" t="s">
        <v>259</v>
      </c>
      <c r="AB66" s="169" t="s">
        <v>259</v>
      </c>
      <c r="AC66" s="169" t="s">
        <v>259</v>
      </c>
      <c r="AD66" s="169" t="s">
        <v>259</v>
      </c>
      <c r="AE66" s="169" t="s">
        <v>259</v>
      </c>
      <c r="AF66" s="169" t="s">
        <v>259</v>
      </c>
      <c r="AG66" s="169" t="s">
        <v>259</v>
      </c>
      <c r="AH66" s="169" t="s">
        <v>259</v>
      </c>
      <c r="AI66" s="169" t="s">
        <v>259</v>
      </c>
      <c r="AJ66" s="169" t="s">
        <v>259</v>
      </c>
      <c r="AK66" s="169" t="s">
        <v>259</v>
      </c>
      <c r="AL66" s="169" t="s">
        <v>259</v>
      </c>
      <c r="AM66" s="169" t="s">
        <v>259</v>
      </c>
      <c r="AN66" s="169" t="s">
        <v>259</v>
      </c>
      <c r="AO66" s="169" t="s">
        <v>259</v>
      </c>
      <c r="AP66" s="169" t="s">
        <v>259</v>
      </c>
      <c r="AQ66" s="169" t="s">
        <v>259</v>
      </c>
      <c r="AR66" s="169" t="s">
        <v>259</v>
      </c>
      <c r="AS66" s="169" t="s">
        <v>259</v>
      </c>
      <c r="AT66" s="169" t="s">
        <v>259</v>
      </c>
      <c r="AU66" s="169" t="s">
        <v>259</v>
      </c>
      <c r="AV66" s="169" t="s">
        <v>259</v>
      </c>
      <c r="AW66" s="169" t="s">
        <v>259</v>
      </c>
      <c r="AX66" s="169" t="s">
        <v>259</v>
      </c>
      <c r="AY66" s="169" t="s">
        <v>259</v>
      </c>
      <c r="AZ66" s="169" t="s">
        <v>259</v>
      </c>
      <c r="BA66" s="169" t="s">
        <v>259</v>
      </c>
      <c r="BB66" s="169" t="s">
        <v>259</v>
      </c>
      <c r="BC66" s="169" t="s">
        <v>259</v>
      </c>
      <c r="BD66" s="169" t="s">
        <v>259</v>
      </c>
      <c r="BE66" s="169" t="s">
        <v>259</v>
      </c>
      <c r="BF66" s="169" t="s">
        <v>259</v>
      </c>
      <c r="BG66" s="169" t="s">
        <v>259</v>
      </c>
      <c r="BH66" s="169" t="s">
        <v>259</v>
      </c>
      <c r="BI66" s="169" t="s">
        <v>259</v>
      </c>
      <c r="BJ66" s="169" t="s">
        <v>259</v>
      </c>
      <c r="BK66" s="169" t="s">
        <v>259</v>
      </c>
      <c r="BL66" s="169" t="s">
        <v>259</v>
      </c>
      <c r="BM66" s="169" t="s">
        <v>259</v>
      </c>
      <c r="BN66" s="169" t="s">
        <v>259</v>
      </c>
      <c r="BO66" s="169" t="s">
        <v>259</v>
      </c>
      <c r="BP66" s="169" t="s">
        <v>259</v>
      </c>
      <c r="BQ66" s="169" t="s">
        <v>259</v>
      </c>
      <c r="BR66" s="169" t="s">
        <v>259</v>
      </c>
      <c r="BS66" s="169" t="s">
        <v>259</v>
      </c>
      <c r="BT66" s="169" t="s">
        <v>259</v>
      </c>
      <c r="BU66" s="169" t="s">
        <v>259</v>
      </c>
      <c r="BV66" s="169" t="s">
        <v>259</v>
      </c>
      <c r="BW66" s="169" t="s">
        <v>259</v>
      </c>
      <c r="BX66" s="169" t="s">
        <v>259</v>
      </c>
      <c r="BY66" s="169" t="s">
        <v>259</v>
      </c>
      <c r="BZ66" s="169" t="s">
        <v>259</v>
      </c>
      <c r="CA66" s="169" t="s">
        <v>259</v>
      </c>
      <c r="CB66" s="169" t="s">
        <v>259</v>
      </c>
      <c r="CC66" s="169" t="s">
        <v>259</v>
      </c>
      <c r="CD66" s="169" t="s">
        <v>259</v>
      </c>
      <c r="CE66" s="169" t="s">
        <v>259</v>
      </c>
      <c r="CF66" s="169" t="s">
        <v>259</v>
      </c>
      <c r="CG66" s="169" t="s">
        <v>259</v>
      </c>
      <c r="CH66" s="169" t="s">
        <v>259</v>
      </c>
      <c r="CI66" s="169" t="s">
        <v>259</v>
      </c>
      <c r="CJ66" s="169" t="s">
        <v>259</v>
      </c>
      <c r="CK66" s="169" t="s">
        <v>259</v>
      </c>
      <c r="CL66" s="169" t="s">
        <v>259</v>
      </c>
      <c r="CM66" s="169" t="s">
        <v>259</v>
      </c>
      <c r="CN66" s="169" t="s">
        <v>259</v>
      </c>
      <c r="CO66" s="169" t="s">
        <v>259</v>
      </c>
      <c r="CP66" s="169" t="s">
        <v>259</v>
      </c>
      <c r="CQ66" s="169" t="s">
        <v>259</v>
      </c>
      <c r="CR66" s="169" t="s">
        <v>259</v>
      </c>
      <c r="CS66" s="169" t="s">
        <v>259</v>
      </c>
      <c r="CT66" s="169" t="s">
        <v>259</v>
      </c>
      <c r="CU66" s="169" t="s">
        <v>259</v>
      </c>
      <c r="CV66" s="169" t="s">
        <v>259</v>
      </c>
      <c r="CW66" s="169" t="s">
        <v>259</v>
      </c>
      <c r="CX66" s="169" t="s">
        <v>259</v>
      </c>
      <c r="CY66" s="169" t="s">
        <v>259</v>
      </c>
      <c r="CZ66" s="169" t="s">
        <v>259</v>
      </c>
      <c r="DA66" s="169" t="s">
        <v>259</v>
      </c>
      <c r="DB66" s="169" t="s">
        <v>259</v>
      </c>
      <c r="DC66" s="169" t="s">
        <v>259</v>
      </c>
      <c r="DD66" s="169" t="s">
        <v>259</v>
      </c>
      <c r="DE66" s="169" t="s">
        <v>259</v>
      </c>
      <c r="DF66" s="169" t="s">
        <v>259</v>
      </c>
      <c r="DG66" s="169" t="s">
        <v>259</v>
      </c>
      <c r="DH66" s="169" t="s">
        <v>259</v>
      </c>
      <c r="DI66" s="169" t="s">
        <v>259</v>
      </c>
      <c r="DJ66" s="169" t="s">
        <v>259</v>
      </c>
      <c r="DK66" s="169" t="s">
        <v>259</v>
      </c>
      <c r="DL66" s="169" t="s">
        <v>259</v>
      </c>
      <c r="DM66" s="169" t="s">
        <v>259</v>
      </c>
      <c r="DN66" s="169" t="s">
        <v>259</v>
      </c>
      <c r="DO66" s="169" t="s">
        <v>259</v>
      </c>
      <c r="DP66" s="169" t="s">
        <v>259</v>
      </c>
      <c r="DQ66" s="169" t="s">
        <v>259</v>
      </c>
      <c r="DR66" s="169" t="s">
        <v>259</v>
      </c>
      <c r="DS66" s="169" t="s">
        <v>259</v>
      </c>
      <c r="DT66" s="169" t="s">
        <v>259</v>
      </c>
    </row>
    <row r="67" spans="2:124" x14ac:dyDescent="0.3">
      <c r="B67" t="str">
        <f>'IMPORT SCHLIESSERDATEN'!B66</f>
        <v>TS 93 G GSR /BG EN 5-7 Gangfl.</v>
      </c>
      <c r="D67" s="169" t="s">
        <v>259</v>
      </c>
      <c r="E67" s="169" t="s">
        <v>259</v>
      </c>
      <c r="F67" s="169" t="s">
        <v>259</v>
      </c>
      <c r="G67" s="169" t="s">
        <v>259</v>
      </c>
      <c r="H67" s="169" t="s">
        <v>259</v>
      </c>
      <c r="I67" s="169" t="s">
        <v>259</v>
      </c>
      <c r="J67" s="169" t="s">
        <v>259</v>
      </c>
      <c r="K67" s="169" t="s">
        <v>259</v>
      </c>
      <c r="L67" s="169" t="s">
        <v>259</v>
      </c>
      <c r="M67" s="169" t="s">
        <v>259</v>
      </c>
      <c r="N67" s="169" t="s">
        <v>259</v>
      </c>
      <c r="O67" s="169" t="s">
        <v>259</v>
      </c>
      <c r="P67" s="169" t="s">
        <v>259</v>
      </c>
      <c r="Q67" s="169" t="s">
        <v>259</v>
      </c>
      <c r="R67" s="169" t="s">
        <v>259</v>
      </c>
      <c r="S67" s="169" t="s">
        <v>259</v>
      </c>
      <c r="T67" s="169" t="s">
        <v>259</v>
      </c>
      <c r="U67" s="169" t="s">
        <v>259</v>
      </c>
      <c r="V67" s="169" t="s">
        <v>259</v>
      </c>
      <c r="W67" s="169" t="s">
        <v>259</v>
      </c>
      <c r="X67" s="169" t="s">
        <v>259</v>
      </c>
      <c r="Y67" s="169" t="s">
        <v>259</v>
      </c>
      <c r="Z67" s="169" t="s">
        <v>259</v>
      </c>
      <c r="AA67" s="169" t="s">
        <v>259</v>
      </c>
      <c r="AB67" s="169" t="s">
        <v>259</v>
      </c>
      <c r="AC67" s="169" t="s">
        <v>259</v>
      </c>
      <c r="AD67" s="169" t="s">
        <v>259</v>
      </c>
      <c r="AE67" s="169" t="s">
        <v>259</v>
      </c>
      <c r="AF67" s="169" t="s">
        <v>259</v>
      </c>
      <c r="AG67" s="169" t="s">
        <v>259</v>
      </c>
      <c r="AH67" s="169" t="s">
        <v>259</v>
      </c>
      <c r="AI67" s="169" t="s">
        <v>259</v>
      </c>
      <c r="AJ67" s="169" t="s">
        <v>259</v>
      </c>
      <c r="AK67" s="169" t="s">
        <v>259</v>
      </c>
      <c r="AL67" s="169" t="s">
        <v>259</v>
      </c>
      <c r="AM67" s="169" t="s">
        <v>259</v>
      </c>
      <c r="AN67" s="169" t="s">
        <v>259</v>
      </c>
      <c r="AO67" s="169" t="s">
        <v>259</v>
      </c>
      <c r="AP67" s="169" t="s">
        <v>259</v>
      </c>
      <c r="AQ67" s="169" t="s">
        <v>259</v>
      </c>
      <c r="AR67" s="169" t="s">
        <v>259</v>
      </c>
      <c r="AS67" s="169" t="s">
        <v>259</v>
      </c>
      <c r="AT67" s="169" t="s">
        <v>259</v>
      </c>
      <c r="AU67" s="169" t="s">
        <v>259</v>
      </c>
      <c r="AV67" s="169" t="s">
        <v>259</v>
      </c>
      <c r="AW67" s="169" t="s">
        <v>259</v>
      </c>
      <c r="AX67" s="169" t="s">
        <v>259</v>
      </c>
      <c r="AY67" s="169" t="s">
        <v>259</v>
      </c>
      <c r="AZ67" s="169" t="s">
        <v>259</v>
      </c>
      <c r="BA67" s="169" t="s">
        <v>259</v>
      </c>
      <c r="BB67" s="169" t="s">
        <v>259</v>
      </c>
      <c r="BC67" s="169" t="s">
        <v>259</v>
      </c>
      <c r="BD67" s="169" t="s">
        <v>259</v>
      </c>
      <c r="BE67" s="169" t="s">
        <v>259</v>
      </c>
      <c r="BF67" s="169" t="s">
        <v>259</v>
      </c>
      <c r="BG67" s="169" t="s">
        <v>259</v>
      </c>
      <c r="BH67" s="169" t="s">
        <v>259</v>
      </c>
      <c r="BI67" s="169" t="s">
        <v>259</v>
      </c>
      <c r="BJ67" s="169" t="s">
        <v>259</v>
      </c>
      <c r="BK67" s="169" t="s">
        <v>259</v>
      </c>
      <c r="BL67" s="169" t="s">
        <v>259</v>
      </c>
      <c r="BM67" s="169" t="s">
        <v>259</v>
      </c>
      <c r="BN67" s="169" t="s">
        <v>259</v>
      </c>
      <c r="BO67" s="169" t="s">
        <v>259</v>
      </c>
      <c r="BP67" s="169" t="s">
        <v>259</v>
      </c>
      <c r="BQ67" s="169" t="s">
        <v>259</v>
      </c>
      <c r="BR67" s="169" t="s">
        <v>259</v>
      </c>
      <c r="BS67" s="169" t="s">
        <v>259</v>
      </c>
      <c r="BT67" s="169" t="s">
        <v>259</v>
      </c>
      <c r="BU67" s="169" t="s">
        <v>259</v>
      </c>
      <c r="BV67" s="169" t="s">
        <v>259</v>
      </c>
      <c r="BW67" s="169" t="s">
        <v>259</v>
      </c>
      <c r="BX67" s="169" t="s">
        <v>259</v>
      </c>
      <c r="BY67" s="169" t="s">
        <v>259</v>
      </c>
      <c r="BZ67" s="169" t="s">
        <v>259</v>
      </c>
      <c r="CA67" s="169" t="s">
        <v>259</v>
      </c>
      <c r="CB67" s="169" t="s">
        <v>259</v>
      </c>
      <c r="CC67" s="169" t="s">
        <v>259</v>
      </c>
      <c r="CD67" s="169" t="s">
        <v>259</v>
      </c>
      <c r="CE67" s="169" t="s">
        <v>259</v>
      </c>
      <c r="CF67" s="169" t="s">
        <v>259</v>
      </c>
      <c r="CG67" s="169" t="s">
        <v>259</v>
      </c>
      <c r="CH67" s="169" t="s">
        <v>259</v>
      </c>
      <c r="CI67" s="169" t="s">
        <v>259</v>
      </c>
      <c r="CJ67" s="169" t="s">
        <v>259</v>
      </c>
      <c r="CK67" s="169" t="s">
        <v>259</v>
      </c>
      <c r="CL67" s="169" t="s">
        <v>259</v>
      </c>
      <c r="CM67" s="169" t="s">
        <v>259</v>
      </c>
      <c r="CN67" s="169" t="s">
        <v>259</v>
      </c>
      <c r="CO67" s="169" t="s">
        <v>259</v>
      </c>
      <c r="CP67" s="169" t="s">
        <v>259</v>
      </c>
      <c r="CQ67" s="169" t="s">
        <v>259</v>
      </c>
      <c r="CR67" s="169" t="s">
        <v>259</v>
      </c>
      <c r="CS67" s="169" t="s">
        <v>259</v>
      </c>
      <c r="CT67" s="169" t="s">
        <v>259</v>
      </c>
      <c r="CU67" s="169" t="s">
        <v>259</v>
      </c>
      <c r="CV67" s="169" t="s">
        <v>259</v>
      </c>
      <c r="CW67" s="169" t="s">
        <v>259</v>
      </c>
      <c r="CX67" s="169" t="s">
        <v>259</v>
      </c>
      <c r="CY67" s="169" t="s">
        <v>259</v>
      </c>
      <c r="CZ67" s="169" t="s">
        <v>259</v>
      </c>
      <c r="DA67" s="169" t="s">
        <v>259</v>
      </c>
      <c r="DB67" s="169" t="s">
        <v>259</v>
      </c>
      <c r="DC67" s="169" t="s">
        <v>259</v>
      </c>
      <c r="DD67" s="169" t="s">
        <v>259</v>
      </c>
      <c r="DE67" s="169" t="s">
        <v>259</v>
      </c>
      <c r="DF67" s="169" t="s">
        <v>259</v>
      </c>
      <c r="DG67" s="169" t="s">
        <v>259</v>
      </c>
      <c r="DH67" s="169" t="s">
        <v>259</v>
      </c>
      <c r="DI67" s="169" t="s">
        <v>259</v>
      </c>
      <c r="DJ67" s="169" t="s">
        <v>259</v>
      </c>
      <c r="DK67" s="169" t="s">
        <v>259</v>
      </c>
      <c r="DL67" s="169" t="s">
        <v>259</v>
      </c>
      <c r="DM67" s="169" t="s">
        <v>259</v>
      </c>
      <c r="DN67" s="169" t="s">
        <v>259</v>
      </c>
      <c r="DO67" s="169" t="s">
        <v>259</v>
      </c>
      <c r="DP67" s="169" t="s">
        <v>259</v>
      </c>
      <c r="DQ67" s="169" t="s">
        <v>259</v>
      </c>
      <c r="DR67" s="169" t="s">
        <v>259</v>
      </c>
      <c r="DS67" s="169" t="s">
        <v>259</v>
      </c>
      <c r="DT67" s="169" t="s">
        <v>259</v>
      </c>
    </row>
    <row r="68" spans="2:124" x14ac:dyDescent="0.3">
      <c r="B68" t="str">
        <f>'IMPORT SCHLIESSERDATEN'!B67</f>
        <v>TS 93 G GSR RF /BG EN 5-7 Gangfl.</v>
      </c>
      <c r="D68" s="169" t="s">
        <v>259</v>
      </c>
      <c r="E68" s="169" t="s">
        <v>259</v>
      </c>
      <c r="F68" s="169" t="s">
        <v>259</v>
      </c>
      <c r="G68" s="169" t="s">
        <v>259</v>
      </c>
      <c r="H68" s="169" t="s">
        <v>259</v>
      </c>
      <c r="I68" s="169" t="s">
        <v>259</v>
      </c>
      <c r="J68" s="169" t="s">
        <v>259</v>
      </c>
      <c r="K68" s="169" t="s">
        <v>259</v>
      </c>
      <c r="L68" s="169" t="s">
        <v>259</v>
      </c>
      <c r="M68" s="169" t="s">
        <v>259</v>
      </c>
      <c r="N68" s="169" t="s">
        <v>259</v>
      </c>
      <c r="O68" s="169" t="s">
        <v>259</v>
      </c>
      <c r="P68" s="169" t="s">
        <v>259</v>
      </c>
      <c r="Q68" s="169" t="s">
        <v>259</v>
      </c>
      <c r="R68" s="169" t="s">
        <v>259</v>
      </c>
      <c r="S68" s="169" t="s">
        <v>259</v>
      </c>
      <c r="T68" s="169" t="s">
        <v>259</v>
      </c>
      <c r="U68" s="169" t="s">
        <v>1995</v>
      </c>
      <c r="V68" s="169" t="s">
        <v>259</v>
      </c>
      <c r="W68" s="169" t="s">
        <v>259</v>
      </c>
      <c r="X68" s="169" t="s">
        <v>259</v>
      </c>
      <c r="Y68" s="169" t="s">
        <v>259</v>
      </c>
      <c r="Z68" s="169" t="s">
        <v>259</v>
      </c>
      <c r="AA68" s="169" t="s">
        <v>259</v>
      </c>
      <c r="AB68" s="169" t="s">
        <v>259</v>
      </c>
      <c r="AC68" s="169" t="s">
        <v>259</v>
      </c>
      <c r="AD68" s="169" t="s">
        <v>259</v>
      </c>
      <c r="AE68" s="169" t="s">
        <v>259</v>
      </c>
      <c r="AF68" s="169" t="s">
        <v>259</v>
      </c>
      <c r="AG68" s="169" t="s">
        <v>259</v>
      </c>
      <c r="AH68" s="169" t="s">
        <v>259</v>
      </c>
      <c r="AI68" s="169" t="s">
        <v>259</v>
      </c>
      <c r="AJ68" s="169" t="s">
        <v>259</v>
      </c>
      <c r="AK68" s="169" t="s">
        <v>259</v>
      </c>
      <c r="AL68" s="169" t="s">
        <v>259</v>
      </c>
      <c r="AM68" s="169" t="s">
        <v>259</v>
      </c>
      <c r="AN68" s="169" t="s">
        <v>259</v>
      </c>
      <c r="AO68" s="169" t="s">
        <v>259</v>
      </c>
      <c r="AP68" s="169" t="s">
        <v>259</v>
      </c>
      <c r="AQ68" s="169" t="s">
        <v>259</v>
      </c>
      <c r="AR68" s="169" t="s">
        <v>259</v>
      </c>
      <c r="AS68" s="169" t="s">
        <v>259</v>
      </c>
      <c r="AT68" s="169" t="s">
        <v>259</v>
      </c>
      <c r="AU68" s="169" t="s">
        <v>259</v>
      </c>
      <c r="AV68" s="169" t="s">
        <v>259</v>
      </c>
      <c r="AW68" s="169" t="s">
        <v>259</v>
      </c>
      <c r="AX68" s="169" t="s">
        <v>259</v>
      </c>
      <c r="AY68" s="169" t="s">
        <v>259</v>
      </c>
      <c r="AZ68" s="169" t="s">
        <v>259</v>
      </c>
      <c r="BA68" s="169" t="s">
        <v>259</v>
      </c>
      <c r="BB68" s="169" t="s">
        <v>259</v>
      </c>
      <c r="BC68" s="169" t="s">
        <v>259</v>
      </c>
      <c r="BD68" s="169" t="s">
        <v>259</v>
      </c>
      <c r="BE68" s="169" t="s">
        <v>259</v>
      </c>
      <c r="BF68" s="169" t="s">
        <v>259</v>
      </c>
      <c r="BG68" s="169" t="s">
        <v>259</v>
      </c>
      <c r="BH68" s="169" t="s">
        <v>259</v>
      </c>
      <c r="BI68" s="169" t="s">
        <v>259</v>
      </c>
      <c r="BJ68" s="169" t="s">
        <v>259</v>
      </c>
      <c r="BK68" s="169" t="s">
        <v>259</v>
      </c>
      <c r="BL68" s="169" t="s">
        <v>259</v>
      </c>
      <c r="BM68" s="169" t="s">
        <v>259</v>
      </c>
      <c r="BN68" s="169" t="s">
        <v>259</v>
      </c>
      <c r="BO68" s="169" t="s">
        <v>259</v>
      </c>
      <c r="BP68" s="169" t="s">
        <v>259</v>
      </c>
      <c r="BQ68" s="169" t="s">
        <v>259</v>
      </c>
      <c r="BR68" s="169" t="s">
        <v>259</v>
      </c>
      <c r="BS68" s="169" t="s">
        <v>259</v>
      </c>
      <c r="BT68" s="169" t="s">
        <v>259</v>
      </c>
      <c r="BU68" s="169" t="s">
        <v>259</v>
      </c>
      <c r="BV68" s="169" t="s">
        <v>259</v>
      </c>
      <c r="BW68" s="169" t="s">
        <v>259</v>
      </c>
      <c r="BX68" s="169" t="s">
        <v>259</v>
      </c>
      <c r="BY68" s="169" t="s">
        <v>259</v>
      </c>
      <c r="BZ68" s="169" t="s">
        <v>259</v>
      </c>
      <c r="CA68" s="169" t="s">
        <v>259</v>
      </c>
      <c r="CB68" s="169" t="s">
        <v>259</v>
      </c>
      <c r="CC68" s="169" t="s">
        <v>259</v>
      </c>
      <c r="CD68" s="169" t="s">
        <v>259</v>
      </c>
      <c r="CE68" s="169" t="s">
        <v>259</v>
      </c>
      <c r="CF68" s="169" t="s">
        <v>259</v>
      </c>
      <c r="CG68" s="169" t="s">
        <v>259</v>
      </c>
      <c r="CH68" s="169" t="s">
        <v>259</v>
      </c>
      <c r="CI68" s="169" t="s">
        <v>259</v>
      </c>
      <c r="CJ68" s="169" t="s">
        <v>259</v>
      </c>
      <c r="CK68" s="169" t="s">
        <v>259</v>
      </c>
      <c r="CL68" s="169" t="s">
        <v>259</v>
      </c>
      <c r="CM68" s="169" t="s">
        <v>259</v>
      </c>
      <c r="CN68" s="169" t="s">
        <v>259</v>
      </c>
      <c r="CO68" s="169" t="s">
        <v>259</v>
      </c>
      <c r="CP68" s="169" t="s">
        <v>259</v>
      </c>
      <c r="CQ68" s="169" t="s">
        <v>259</v>
      </c>
      <c r="CR68" s="169" t="s">
        <v>259</v>
      </c>
      <c r="CS68" s="169" t="s">
        <v>259</v>
      </c>
      <c r="CT68" s="169" t="s">
        <v>259</v>
      </c>
      <c r="CU68" s="169" t="s">
        <v>259</v>
      </c>
      <c r="CV68" s="169" t="s">
        <v>259</v>
      </c>
      <c r="CW68" s="169" t="s">
        <v>259</v>
      </c>
      <c r="CX68" s="169" t="s">
        <v>259</v>
      </c>
      <c r="CY68" s="169" t="s">
        <v>259</v>
      </c>
      <c r="CZ68" s="169" t="s">
        <v>259</v>
      </c>
      <c r="DA68" s="169" t="s">
        <v>259</v>
      </c>
      <c r="DB68" s="169" t="s">
        <v>259</v>
      </c>
      <c r="DC68" s="169" t="s">
        <v>259</v>
      </c>
      <c r="DD68" s="169" t="s">
        <v>259</v>
      </c>
      <c r="DE68" s="169" t="s">
        <v>259</v>
      </c>
      <c r="DF68" s="169" t="s">
        <v>259</v>
      </c>
      <c r="DG68" s="169" t="s">
        <v>259</v>
      </c>
      <c r="DH68" s="169" t="s">
        <v>259</v>
      </c>
      <c r="DI68" s="169" t="s">
        <v>259</v>
      </c>
      <c r="DJ68" s="169" t="s">
        <v>259</v>
      </c>
      <c r="DK68" s="169" t="s">
        <v>259</v>
      </c>
      <c r="DL68" s="169" t="s">
        <v>259</v>
      </c>
      <c r="DM68" s="169" t="s">
        <v>259</v>
      </c>
      <c r="DN68" s="169" t="s">
        <v>259</v>
      </c>
      <c r="DO68" s="169" t="s">
        <v>259</v>
      </c>
      <c r="DP68" s="169" t="s">
        <v>259</v>
      </c>
      <c r="DQ68" s="169" t="s">
        <v>259</v>
      </c>
      <c r="DR68" s="169" t="s">
        <v>259</v>
      </c>
      <c r="DS68" s="169" t="s">
        <v>259</v>
      </c>
      <c r="DT68" s="169" t="s">
        <v>259</v>
      </c>
    </row>
    <row r="69" spans="2:124" x14ac:dyDescent="0.3">
      <c r="B69" t="str">
        <f>'IMPORT SCHLIESSERDATEN'!B68</f>
        <v>TS 93 G GSR-EMF 1 /BG EN 5-7 Gangfl.</v>
      </c>
      <c r="D69" s="169" t="s">
        <v>259</v>
      </c>
      <c r="E69" s="169" t="s">
        <v>259</v>
      </c>
      <c r="F69" s="169" t="s">
        <v>259</v>
      </c>
      <c r="G69" s="169" t="s">
        <v>259</v>
      </c>
      <c r="H69" s="169" t="s">
        <v>259</v>
      </c>
      <c r="I69" s="169" t="s">
        <v>259</v>
      </c>
      <c r="J69" s="169" t="s">
        <v>259</v>
      </c>
      <c r="K69" s="169" t="s">
        <v>259</v>
      </c>
      <c r="L69" s="169" t="s">
        <v>259</v>
      </c>
      <c r="M69" s="169" t="s">
        <v>259</v>
      </c>
      <c r="N69" s="169" t="s">
        <v>259</v>
      </c>
      <c r="O69" s="169" t="s">
        <v>259</v>
      </c>
      <c r="P69" s="169" t="s">
        <v>259</v>
      </c>
      <c r="Q69" s="169" t="s">
        <v>259</v>
      </c>
      <c r="R69" s="169" t="s">
        <v>259</v>
      </c>
      <c r="S69" s="169" t="s">
        <v>259</v>
      </c>
      <c r="T69" s="169" t="s">
        <v>259</v>
      </c>
      <c r="U69" s="169" t="s">
        <v>259</v>
      </c>
      <c r="V69" s="169" t="s">
        <v>259</v>
      </c>
      <c r="W69" s="169" t="s">
        <v>259</v>
      </c>
      <c r="X69" s="169" t="s">
        <v>259</v>
      </c>
      <c r="Y69" s="169" t="s">
        <v>259</v>
      </c>
      <c r="Z69" s="169" t="s">
        <v>259</v>
      </c>
      <c r="AA69" s="169" t="s">
        <v>259</v>
      </c>
      <c r="AB69" s="169" t="s">
        <v>259</v>
      </c>
      <c r="AC69" s="169" t="s">
        <v>259</v>
      </c>
      <c r="AD69" s="169" t="s">
        <v>259</v>
      </c>
      <c r="AE69" s="169" t="s">
        <v>259</v>
      </c>
      <c r="AF69" s="169" t="s">
        <v>259</v>
      </c>
      <c r="AG69" s="169" t="s">
        <v>259</v>
      </c>
      <c r="AH69" s="169" t="s">
        <v>259</v>
      </c>
      <c r="AI69" s="169" t="s">
        <v>259</v>
      </c>
      <c r="AJ69" s="169" t="s">
        <v>259</v>
      </c>
      <c r="AK69" s="169" t="s">
        <v>259</v>
      </c>
      <c r="AL69" s="169" t="s">
        <v>259</v>
      </c>
      <c r="AM69" s="169" t="s">
        <v>259</v>
      </c>
      <c r="AN69" s="169" t="s">
        <v>259</v>
      </c>
      <c r="AO69" s="169" t="s">
        <v>259</v>
      </c>
      <c r="AP69" s="169" t="s">
        <v>259</v>
      </c>
      <c r="AQ69" s="169" t="s">
        <v>259</v>
      </c>
      <c r="AR69" s="169" t="s">
        <v>259</v>
      </c>
      <c r="AS69" s="169" t="s">
        <v>259</v>
      </c>
      <c r="AT69" s="169" t="s">
        <v>259</v>
      </c>
      <c r="AU69" s="169" t="s">
        <v>259</v>
      </c>
      <c r="AV69" s="169" t="s">
        <v>259</v>
      </c>
      <c r="AW69" s="169" t="s">
        <v>259</v>
      </c>
      <c r="AX69" s="169" t="s">
        <v>259</v>
      </c>
      <c r="AY69" s="169" t="s">
        <v>259</v>
      </c>
      <c r="AZ69" s="169" t="s">
        <v>259</v>
      </c>
      <c r="BA69" s="169" t="s">
        <v>259</v>
      </c>
      <c r="BB69" s="169" t="s">
        <v>259</v>
      </c>
      <c r="BC69" s="169" t="s">
        <v>259</v>
      </c>
      <c r="BD69" s="169" t="s">
        <v>259</v>
      </c>
      <c r="BE69" s="169" t="s">
        <v>259</v>
      </c>
      <c r="BF69" s="169" t="s">
        <v>259</v>
      </c>
      <c r="BG69" s="169" t="s">
        <v>259</v>
      </c>
      <c r="BH69" s="169" t="s">
        <v>259</v>
      </c>
      <c r="BI69" s="169" t="s">
        <v>259</v>
      </c>
      <c r="BJ69" s="169" t="s">
        <v>259</v>
      </c>
      <c r="BK69" s="169" t="s">
        <v>259</v>
      </c>
      <c r="BL69" s="169" t="s">
        <v>259</v>
      </c>
      <c r="BM69" s="169" t="s">
        <v>259</v>
      </c>
      <c r="BN69" s="169" t="s">
        <v>259</v>
      </c>
      <c r="BO69" s="169" t="s">
        <v>259</v>
      </c>
      <c r="BP69" s="169" t="s">
        <v>259</v>
      </c>
      <c r="BQ69" s="169" t="s">
        <v>259</v>
      </c>
      <c r="BR69" s="169" t="s">
        <v>259</v>
      </c>
      <c r="BS69" s="169" t="s">
        <v>259</v>
      </c>
      <c r="BT69" s="169" t="s">
        <v>259</v>
      </c>
      <c r="BU69" s="169" t="s">
        <v>259</v>
      </c>
      <c r="BV69" s="169" t="s">
        <v>259</v>
      </c>
      <c r="BW69" s="169" t="s">
        <v>259</v>
      </c>
      <c r="BX69" s="169" t="s">
        <v>259</v>
      </c>
      <c r="BY69" s="169" t="s">
        <v>259</v>
      </c>
      <c r="BZ69" s="169" t="s">
        <v>259</v>
      </c>
      <c r="CA69" s="169" t="s">
        <v>259</v>
      </c>
      <c r="CB69" s="169" t="s">
        <v>259</v>
      </c>
      <c r="CC69" s="169" t="s">
        <v>259</v>
      </c>
      <c r="CD69" s="169" t="s">
        <v>259</v>
      </c>
      <c r="CE69" s="169" t="s">
        <v>259</v>
      </c>
      <c r="CF69" s="169" t="s">
        <v>259</v>
      </c>
      <c r="CG69" s="169" t="s">
        <v>259</v>
      </c>
      <c r="CH69" s="169" t="s">
        <v>259</v>
      </c>
      <c r="CI69" s="169" t="s">
        <v>259</v>
      </c>
      <c r="CJ69" s="169" t="s">
        <v>259</v>
      </c>
      <c r="CK69" s="169" t="s">
        <v>259</v>
      </c>
      <c r="CL69" s="169" t="s">
        <v>259</v>
      </c>
      <c r="CM69" s="169" t="s">
        <v>259</v>
      </c>
      <c r="CN69" s="169" t="s">
        <v>259</v>
      </c>
      <c r="CO69" s="169" t="s">
        <v>259</v>
      </c>
      <c r="CP69" s="169" t="s">
        <v>259</v>
      </c>
      <c r="CQ69" s="169" t="s">
        <v>259</v>
      </c>
      <c r="CR69" s="169" t="s">
        <v>259</v>
      </c>
      <c r="CS69" s="169" t="s">
        <v>259</v>
      </c>
      <c r="CT69" s="169" t="s">
        <v>259</v>
      </c>
      <c r="CU69" s="169" t="s">
        <v>259</v>
      </c>
      <c r="CV69" s="169" t="s">
        <v>259</v>
      </c>
      <c r="CW69" s="169" t="s">
        <v>259</v>
      </c>
      <c r="CX69" s="169" t="s">
        <v>259</v>
      </c>
      <c r="CY69" s="169" t="s">
        <v>259</v>
      </c>
      <c r="CZ69" s="169" t="s">
        <v>259</v>
      </c>
      <c r="DA69" s="169" t="s">
        <v>259</v>
      </c>
      <c r="DB69" s="169" t="s">
        <v>259</v>
      </c>
      <c r="DC69" s="169" t="s">
        <v>259</v>
      </c>
      <c r="DD69" s="169" t="s">
        <v>259</v>
      </c>
      <c r="DE69" s="169" t="s">
        <v>259</v>
      </c>
      <c r="DF69" s="169" t="s">
        <v>259</v>
      </c>
      <c r="DG69" s="169" t="s">
        <v>259</v>
      </c>
      <c r="DH69" s="169" t="s">
        <v>259</v>
      </c>
      <c r="DI69" s="169" t="s">
        <v>259</v>
      </c>
      <c r="DJ69" s="169" t="s">
        <v>259</v>
      </c>
      <c r="DK69" s="169" t="s">
        <v>259</v>
      </c>
      <c r="DL69" s="169" t="s">
        <v>259</v>
      </c>
      <c r="DM69" s="169" t="s">
        <v>259</v>
      </c>
      <c r="DN69" s="169" t="s">
        <v>259</v>
      </c>
      <c r="DO69" s="169" t="s">
        <v>259</v>
      </c>
      <c r="DP69" s="169" t="s">
        <v>259</v>
      </c>
      <c r="DQ69" s="169" t="s">
        <v>259</v>
      </c>
      <c r="DR69" s="169" t="s">
        <v>259</v>
      </c>
      <c r="DS69" s="169" t="s">
        <v>259</v>
      </c>
      <c r="DT69" s="169" t="s">
        <v>259</v>
      </c>
    </row>
    <row r="70" spans="2:124" x14ac:dyDescent="0.3">
      <c r="B70" t="str">
        <f>'IMPORT SCHLIESSERDATEN'!B69</f>
        <v>TS 93 G GSR-EMF 1G /BG EN 5-7 Gangfl.</v>
      </c>
      <c r="D70" s="169" t="s">
        <v>259</v>
      </c>
      <c r="E70" s="169" t="s">
        <v>259</v>
      </c>
      <c r="F70" s="169" t="s">
        <v>259</v>
      </c>
      <c r="G70" s="169" t="s">
        <v>259</v>
      </c>
      <c r="H70" s="169" t="s">
        <v>259</v>
      </c>
      <c r="I70" s="169" t="s">
        <v>259</v>
      </c>
      <c r="J70" s="169" t="s">
        <v>259</v>
      </c>
      <c r="K70" s="169" t="s">
        <v>259</v>
      </c>
      <c r="L70" s="169" t="s">
        <v>259</v>
      </c>
      <c r="M70" s="169" t="s">
        <v>259</v>
      </c>
      <c r="N70" s="169" t="s">
        <v>259</v>
      </c>
      <c r="O70" s="169" t="s">
        <v>259</v>
      </c>
      <c r="P70" s="169" t="s">
        <v>259</v>
      </c>
      <c r="Q70" s="169" t="s">
        <v>259</v>
      </c>
      <c r="R70" s="169" t="s">
        <v>259</v>
      </c>
      <c r="S70" s="169" t="s">
        <v>259</v>
      </c>
      <c r="T70" s="169" t="s">
        <v>259</v>
      </c>
      <c r="U70" s="169" t="s">
        <v>259</v>
      </c>
      <c r="V70" s="169" t="s">
        <v>259</v>
      </c>
      <c r="W70" s="169" t="s">
        <v>259</v>
      </c>
      <c r="X70" s="169" t="s">
        <v>259</v>
      </c>
      <c r="Y70" s="169" t="s">
        <v>259</v>
      </c>
      <c r="Z70" s="169" t="s">
        <v>259</v>
      </c>
      <c r="AA70" s="169" t="s">
        <v>259</v>
      </c>
      <c r="AB70" s="169" t="s">
        <v>259</v>
      </c>
      <c r="AC70" s="169" t="s">
        <v>259</v>
      </c>
      <c r="AD70" s="169" t="s">
        <v>259</v>
      </c>
      <c r="AE70" s="169" t="s">
        <v>259</v>
      </c>
      <c r="AF70" s="169" t="s">
        <v>259</v>
      </c>
      <c r="AG70" s="169" t="s">
        <v>259</v>
      </c>
      <c r="AH70" s="169" t="s">
        <v>259</v>
      </c>
      <c r="AI70" s="169" t="s">
        <v>259</v>
      </c>
      <c r="AJ70" s="169" t="s">
        <v>259</v>
      </c>
      <c r="AK70" s="169" t="s">
        <v>259</v>
      </c>
      <c r="AL70" s="169" t="s">
        <v>259</v>
      </c>
      <c r="AM70" s="169" t="s">
        <v>259</v>
      </c>
      <c r="AN70" s="169" t="s">
        <v>259</v>
      </c>
      <c r="AO70" s="169" t="s">
        <v>259</v>
      </c>
      <c r="AP70" s="169" t="s">
        <v>259</v>
      </c>
      <c r="AQ70" s="169" t="s">
        <v>259</v>
      </c>
      <c r="AR70" s="169" t="s">
        <v>259</v>
      </c>
      <c r="AS70" s="169" t="s">
        <v>259</v>
      </c>
      <c r="AT70" s="169" t="s">
        <v>259</v>
      </c>
      <c r="AU70" s="169" t="s">
        <v>259</v>
      </c>
      <c r="AV70" s="169" t="s">
        <v>259</v>
      </c>
      <c r="AW70" s="169" t="s">
        <v>259</v>
      </c>
      <c r="AX70" s="169" t="s">
        <v>259</v>
      </c>
      <c r="AY70" s="169" t="s">
        <v>259</v>
      </c>
      <c r="AZ70" s="169" t="s">
        <v>259</v>
      </c>
      <c r="BA70" s="169" t="s">
        <v>259</v>
      </c>
      <c r="BB70" s="169" t="s">
        <v>259</v>
      </c>
      <c r="BC70" s="169" t="s">
        <v>259</v>
      </c>
      <c r="BD70" s="169" t="s">
        <v>259</v>
      </c>
      <c r="BE70" s="169" t="s">
        <v>259</v>
      </c>
      <c r="BF70" s="169" t="s">
        <v>259</v>
      </c>
      <c r="BG70" s="169" t="s">
        <v>259</v>
      </c>
      <c r="BH70" s="169" t="s">
        <v>259</v>
      </c>
      <c r="BI70" s="169" t="s">
        <v>259</v>
      </c>
      <c r="BJ70" s="169" t="s">
        <v>259</v>
      </c>
      <c r="BK70" s="169" t="s">
        <v>259</v>
      </c>
      <c r="BL70" s="169" t="s">
        <v>259</v>
      </c>
      <c r="BM70" s="169" t="s">
        <v>259</v>
      </c>
      <c r="BN70" s="169" t="s">
        <v>259</v>
      </c>
      <c r="BO70" s="169" t="s">
        <v>259</v>
      </c>
      <c r="BP70" s="169" t="s">
        <v>259</v>
      </c>
      <c r="BQ70" s="169" t="s">
        <v>259</v>
      </c>
      <c r="BR70" s="169" t="s">
        <v>259</v>
      </c>
      <c r="BS70" s="169" t="s">
        <v>259</v>
      </c>
      <c r="BT70" s="169" t="s">
        <v>259</v>
      </c>
      <c r="BU70" s="169" t="s">
        <v>259</v>
      </c>
      <c r="BV70" s="169" t="s">
        <v>259</v>
      </c>
      <c r="BW70" s="169" t="s">
        <v>259</v>
      </c>
      <c r="BX70" s="169" t="s">
        <v>259</v>
      </c>
      <c r="BY70" s="169" t="s">
        <v>259</v>
      </c>
      <c r="BZ70" s="169" t="s">
        <v>259</v>
      </c>
      <c r="CA70" s="169" t="s">
        <v>259</v>
      </c>
      <c r="CB70" s="169" t="s">
        <v>259</v>
      </c>
      <c r="CC70" s="169" t="s">
        <v>259</v>
      </c>
      <c r="CD70" s="169" t="s">
        <v>259</v>
      </c>
      <c r="CE70" s="169" t="s">
        <v>259</v>
      </c>
      <c r="CF70" s="169" t="s">
        <v>259</v>
      </c>
      <c r="CG70" s="169" t="s">
        <v>259</v>
      </c>
      <c r="CH70" s="169" t="s">
        <v>259</v>
      </c>
      <c r="CI70" s="169" t="s">
        <v>259</v>
      </c>
      <c r="CJ70" s="169" t="s">
        <v>259</v>
      </c>
      <c r="CK70" s="169" t="s">
        <v>259</v>
      </c>
      <c r="CL70" s="169" t="s">
        <v>259</v>
      </c>
      <c r="CM70" s="169" t="s">
        <v>259</v>
      </c>
      <c r="CN70" s="169" t="s">
        <v>259</v>
      </c>
      <c r="CO70" s="169" t="s">
        <v>259</v>
      </c>
      <c r="CP70" s="169" t="s">
        <v>259</v>
      </c>
      <c r="CQ70" s="169" t="s">
        <v>259</v>
      </c>
      <c r="CR70" s="169" t="s">
        <v>259</v>
      </c>
      <c r="CS70" s="169" t="s">
        <v>259</v>
      </c>
      <c r="CT70" s="169" t="s">
        <v>259</v>
      </c>
      <c r="CU70" s="169" t="s">
        <v>259</v>
      </c>
      <c r="CV70" s="169" t="s">
        <v>259</v>
      </c>
      <c r="CW70" s="169" t="s">
        <v>259</v>
      </c>
      <c r="CX70" s="169" t="s">
        <v>259</v>
      </c>
      <c r="CY70" s="169" t="s">
        <v>259</v>
      </c>
      <c r="CZ70" s="169" t="s">
        <v>259</v>
      </c>
      <c r="DA70" s="169" t="s">
        <v>259</v>
      </c>
      <c r="DB70" s="169" t="s">
        <v>259</v>
      </c>
      <c r="DC70" s="169" t="s">
        <v>259</v>
      </c>
      <c r="DD70" s="169" t="s">
        <v>259</v>
      </c>
      <c r="DE70" s="169" t="s">
        <v>259</v>
      </c>
      <c r="DF70" s="169" t="s">
        <v>259</v>
      </c>
      <c r="DG70" s="169" t="s">
        <v>259</v>
      </c>
      <c r="DH70" s="169" t="s">
        <v>259</v>
      </c>
      <c r="DI70" s="169" t="s">
        <v>259</v>
      </c>
      <c r="DJ70" s="169" t="s">
        <v>259</v>
      </c>
      <c r="DK70" s="169" t="s">
        <v>259</v>
      </c>
      <c r="DL70" s="169" t="s">
        <v>259</v>
      </c>
      <c r="DM70" s="169" t="s">
        <v>259</v>
      </c>
      <c r="DN70" s="169" t="s">
        <v>259</v>
      </c>
      <c r="DO70" s="169" t="s">
        <v>259</v>
      </c>
      <c r="DP70" s="169" t="s">
        <v>259</v>
      </c>
      <c r="DQ70" s="169" t="s">
        <v>259</v>
      </c>
      <c r="DR70" s="169" t="s">
        <v>259</v>
      </c>
      <c r="DS70" s="169" t="s">
        <v>259</v>
      </c>
      <c r="DT70" s="169" t="s">
        <v>259</v>
      </c>
    </row>
    <row r="71" spans="2:124" x14ac:dyDescent="0.3">
      <c r="B71" t="str">
        <f>'IMPORT SCHLIESSERDATEN'!B70</f>
        <v>TS 93 G GSR-EMF 2 /BG EN 5-7 Gangfl.</v>
      </c>
      <c r="D71" s="169" t="s">
        <v>259</v>
      </c>
      <c r="E71" s="169" t="s">
        <v>259</v>
      </c>
      <c r="F71" s="169" t="s">
        <v>259</v>
      </c>
      <c r="G71" s="169" t="s">
        <v>259</v>
      </c>
      <c r="H71" s="169" t="s">
        <v>259</v>
      </c>
      <c r="I71" s="169" t="s">
        <v>259</v>
      </c>
      <c r="J71" s="169" t="s">
        <v>259</v>
      </c>
      <c r="K71" s="169" t="s">
        <v>259</v>
      </c>
      <c r="L71" s="169" t="s">
        <v>259</v>
      </c>
      <c r="M71" s="169" t="s">
        <v>259</v>
      </c>
      <c r="N71" s="169" t="s">
        <v>259</v>
      </c>
      <c r="O71" s="169" t="s">
        <v>259</v>
      </c>
      <c r="P71" s="169" t="s">
        <v>259</v>
      </c>
      <c r="Q71" s="169" t="s">
        <v>259</v>
      </c>
      <c r="R71" s="169" t="s">
        <v>259</v>
      </c>
      <c r="S71" s="169" t="s">
        <v>259</v>
      </c>
      <c r="T71" s="169" t="s">
        <v>259</v>
      </c>
      <c r="U71" s="169" t="s">
        <v>259</v>
      </c>
      <c r="V71" s="169" t="s">
        <v>259</v>
      </c>
      <c r="W71" s="169" t="s">
        <v>259</v>
      </c>
      <c r="X71" s="169" t="s">
        <v>259</v>
      </c>
      <c r="Y71" s="169" t="s">
        <v>259</v>
      </c>
      <c r="Z71" s="169" t="s">
        <v>259</v>
      </c>
      <c r="AA71" s="169" t="s">
        <v>259</v>
      </c>
      <c r="AB71" s="169" t="s">
        <v>259</v>
      </c>
      <c r="AC71" s="169" t="s">
        <v>259</v>
      </c>
      <c r="AD71" s="169" t="s">
        <v>259</v>
      </c>
      <c r="AE71" s="169" t="s">
        <v>259</v>
      </c>
      <c r="AF71" s="169" t="s">
        <v>259</v>
      </c>
      <c r="AG71" s="169" t="s">
        <v>259</v>
      </c>
      <c r="AH71" s="169" t="s">
        <v>259</v>
      </c>
      <c r="AI71" s="169" t="s">
        <v>259</v>
      </c>
      <c r="AJ71" s="169" t="s">
        <v>259</v>
      </c>
      <c r="AK71" s="169" t="s">
        <v>259</v>
      </c>
      <c r="AL71" s="169" t="s">
        <v>259</v>
      </c>
      <c r="AM71" s="169" t="s">
        <v>259</v>
      </c>
      <c r="AN71" s="169" t="s">
        <v>259</v>
      </c>
      <c r="AO71" s="169" t="s">
        <v>259</v>
      </c>
      <c r="AP71" s="169" t="s">
        <v>259</v>
      </c>
      <c r="AQ71" s="169" t="s">
        <v>259</v>
      </c>
      <c r="AR71" s="169" t="s">
        <v>259</v>
      </c>
      <c r="AS71" s="169" t="s">
        <v>259</v>
      </c>
      <c r="AT71" s="169" t="s">
        <v>259</v>
      </c>
      <c r="AU71" s="169" t="s">
        <v>259</v>
      </c>
      <c r="AV71" s="169" t="s">
        <v>259</v>
      </c>
      <c r="AW71" s="169" t="s">
        <v>259</v>
      </c>
      <c r="AX71" s="169" t="s">
        <v>259</v>
      </c>
      <c r="AY71" s="169" t="s">
        <v>259</v>
      </c>
      <c r="AZ71" s="169" t="s">
        <v>259</v>
      </c>
      <c r="BA71" s="169" t="s">
        <v>259</v>
      </c>
      <c r="BB71" s="169" t="s">
        <v>259</v>
      </c>
      <c r="BC71" s="169" t="s">
        <v>259</v>
      </c>
      <c r="BD71" s="169" t="s">
        <v>259</v>
      </c>
      <c r="BE71" s="169" t="s">
        <v>259</v>
      </c>
      <c r="BF71" s="169" t="s">
        <v>259</v>
      </c>
      <c r="BG71" s="169" t="s">
        <v>259</v>
      </c>
      <c r="BH71" s="169" t="s">
        <v>259</v>
      </c>
      <c r="BI71" s="169" t="s">
        <v>259</v>
      </c>
      <c r="BJ71" s="169" t="s">
        <v>259</v>
      </c>
      <c r="BK71" s="169" t="s">
        <v>259</v>
      </c>
      <c r="BL71" s="169" t="s">
        <v>259</v>
      </c>
      <c r="BM71" s="169" t="s">
        <v>259</v>
      </c>
      <c r="BN71" s="169" t="s">
        <v>259</v>
      </c>
      <c r="BO71" s="169" t="s">
        <v>259</v>
      </c>
      <c r="BP71" s="169" t="s">
        <v>259</v>
      </c>
      <c r="BQ71" s="169" t="s">
        <v>259</v>
      </c>
      <c r="BR71" s="169" t="s">
        <v>259</v>
      </c>
      <c r="BS71" s="169" t="s">
        <v>259</v>
      </c>
      <c r="BT71" s="169" t="s">
        <v>259</v>
      </c>
      <c r="BU71" s="169" t="s">
        <v>259</v>
      </c>
      <c r="BV71" s="169" t="s">
        <v>259</v>
      </c>
      <c r="BW71" s="169" t="s">
        <v>259</v>
      </c>
      <c r="BX71" s="169" t="s">
        <v>259</v>
      </c>
      <c r="BY71" s="169" t="s">
        <v>259</v>
      </c>
      <c r="BZ71" s="169" t="s">
        <v>259</v>
      </c>
      <c r="CA71" s="169" t="s">
        <v>259</v>
      </c>
      <c r="CB71" s="169" t="s">
        <v>259</v>
      </c>
      <c r="CC71" s="169" t="s">
        <v>259</v>
      </c>
      <c r="CD71" s="169" t="s">
        <v>259</v>
      </c>
      <c r="CE71" s="169" t="s">
        <v>259</v>
      </c>
      <c r="CF71" s="169" t="s">
        <v>259</v>
      </c>
      <c r="CG71" s="169" t="s">
        <v>259</v>
      </c>
      <c r="CH71" s="169" t="s">
        <v>259</v>
      </c>
      <c r="CI71" s="169" t="s">
        <v>259</v>
      </c>
      <c r="CJ71" s="169" t="s">
        <v>259</v>
      </c>
      <c r="CK71" s="169" t="s">
        <v>259</v>
      </c>
      <c r="CL71" s="169" t="s">
        <v>259</v>
      </c>
      <c r="CM71" s="169" t="s">
        <v>259</v>
      </c>
      <c r="CN71" s="169" t="s">
        <v>259</v>
      </c>
      <c r="CO71" s="169" t="s">
        <v>259</v>
      </c>
      <c r="CP71" s="169" t="s">
        <v>259</v>
      </c>
      <c r="CQ71" s="169" t="s">
        <v>259</v>
      </c>
      <c r="CR71" s="169" t="s">
        <v>259</v>
      </c>
      <c r="CS71" s="169" t="s">
        <v>259</v>
      </c>
      <c r="CT71" s="169" t="s">
        <v>259</v>
      </c>
      <c r="CU71" s="169" t="s">
        <v>259</v>
      </c>
      <c r="CV71" s="169" t="s">
        <v>259</v>
      </c>
      <c r="CW71" s="169" t="s">
        <v>259</v>
      </c>
      <c r="CX71" s="169" t="s">
        <v>259</v>
      </c>
      <c r="CY71" s="169" t="s">
        <v>259</v>
      </c>
      <c r="CZ71" s="169" t="s">
        <v>259</v>
      </c>
      <c r="DA71" s="169" t="s">
        <v>259</v>
      </c>
      <c r="DB71" s="169" t="s">
        <v>259</v>
      </c>
      <c r="DC71" s="169" t="s">
        <v>259</v>
      </c>
      <c r="DD71" s="169" t="s">
        <v>259</v>
      </c>
      <c r="DE71" s="169" t="s">
        <v>259</v>
      </c>
      <c r="DF71" s="169" t="s">
        <v>259</v>
      </c>
      <c r="DG71" s="169" t="s">
        <v>259</v>
      </c>
      <c r="DH71" s="169" t="s">
        <v>259</v>
      </c>
      <c r="DI71" s="169" t="s">
        <v>259</v>
      </c>
      <c r="DJ71" s="169" t="s">
        <v>259</v>
      </c>
      <c r="DK71" s="169" t="s">
        <v>259</v>
      </c>
      <c r="DL71" s="169" t="s">
        <v>259</v>
      </c>
      <c r="DM71" s="169" t="s">
        <v>259</v>
      </c>
      <c r="DN71" s="169" t="s">
        <v>259</v>
      </c>
      <c r="DO71" s="169" t="s">
        <v>259</v>
      </c>
      <c r="DP71" s="169" t="s">
        <v>259</v>
      </c>
      <c r="DQ71" s="169" t="s">
        <v>259</v>
      </c>
      <c r="DR71" s="169" t="s">
        <v>259</v>
      </c>
      <c r="DS71" s="169" t="s">
        <v>259</v>
      </c>
      <c r="DT71" s="169" t="s">
        <v>259</v>
      </c>
    </row>
    <row r="72" spans="2:124" x14ac:dyDescent="0.3">
      <c r="B72" t="str">
        <f>'IMPORT SCHLIESSERDATEN'!B71</f>
        <v>TS 93 G GSR-EMR 1 /BG EN 5-7 Gangfl.</v>
      </c>
      <c r="D72" s="169" t="s">
        <v>259</v>
      </c>
      <c r="E72" s="169" t="s">
        <v>259</v>
      </c>
      <c r="F72" s="169" t="s">
        <v>259</v>
      </c>
      <c r="G72" s="169" t="s">
        <v>259</v>
      </c>
      <c r="H72" s="169" t="s">
        <v>259</v>
      </c>
      <c r="I72" s="169" t="s">
        <v>259</v>
      </c>
      <c r="J72" s="169" t="s">
        <v>259</v>
      </c>
      <c r="K72" s="169" t="s">
        <v>259</v>
      </c>
      <c r="L72" s="169" t="s">
        <v>259</v>
      </c>
      <c r="M72" s="169" t="s">
        <v>259</v>
      </c>
      <c r="N72" s="169" t="s">
        <v>259</v>
      </c>
      <c r="O72" s="169" t="s">
        <v>259</v>
      </c>
      <c r="P72" s="169" t="s">
        <v>259</v>
      </c>
      <c r="Q72" s="169" t="s">
        <v>259</v>
      </c>
      <c r="R72" s="169" t="s">
        <v>259</v>
      </c>
      <c r="S72" s="169" t="s">
        <v>259</v>
      </c>
      <c r="T72" s="169" t="s">
        <v>259</v>
      </c>
      <c r="U72" s="169" t="s">
        <v>259</v>
      </c>
      <c r="V72" s="169" t="s">
        <v>259</v>
      </c>
      <c r="W72" s="169" t="s">
        <v>259</v>
      </c>
      <c r="X72" s="169" t="s">
        <v>259</v>
      </c>
      <c r="Y72" s="169" t="s">
        <v>259</v>
      </c>
      <c r="Z72" s="169" t="s">
        <v>259</v>
      </c>
      <c r="AA72" s="169" t="s">
        <v>259</v>
      </c>
      <c r="AB72" s="169" t="s">
        <v>259</v>
      </c>
      <c r="AC72" s="169" t="s">
        <v>259</v>
      </c>
      <c r="AD72" s="169" t="s">
        <v>259</v>
      </c>
      <c r="AE72" s="169" t="s">
        <v>259</v>
      </c>
      <c r="AF72" s="169" t="s">
        <v>259</v>
      </c>
      <c r="AG72" s="169" t="s">
        <v>259</v>
      </c>
      <c r="AH72" s="169" t="s">
        <v>259</v>
      </c>
      <c r="AI72" s="169" t="s">
        <v>259</v>
      </c>
      <c r="AJ72" s="169" t="s">
        <v>259</v>
      </c>
      <c r="AK72" s="169" t="s">
        <v>259</v>
      </c>
      <c r="AL72" s="169" t="s">
        <v>259</v>
      </c>
      <c r="AM72" s="169" t="s">
        <v>259</v>
      </c>
      <c r="AN72" s="169" t="s">
        <v>259</v>
      </c>
      <c r="AO72" s="169" t="s">
        <v>259</v>
      </c>
      <c r="AP72" s="169" t="s">
        <v>259</v>
      </c>
      <c r="AQ72" s="169" t="s">
        <v>259</v>
      </c>
      <c r="AR72" s="169" t="s">
        <v>259</v>
      </c>
      <c r="AS72" s="169" t="s">
        <v>259</v>
      </c>
      <c r="AT72" s="169" t="s">
        <v>259</v>
      </c>
      <c r="AU72" s="169" t="s">
        <v>259</v>
      </c>
      <c r="AV72" s="169" t="s">
        <v>259</v>
      </c>
      <c r="AW72" s="169" t="s">
        <v>259</v>
      </c>
      <c r="AX72" s="169" t="s">
        <v>259</v>
      </c>
      <c r="AY72" s="169" t="s">
        <v>259</v>
      </c>
      <c r="AZ72" s="169" t="s">
        <v>259</v>
      </c>
      <c r="BA72" s="169" t="s">
        <v>259</v>
      </c>
      <c r="BB72" s="169" t="s">
        <v>259</v>
      </c>
      <c r="BC72" s="169" t="s">
        <v>259</v>
      </c>
      <c r="BD72" s="169" t="s">
        <v>259</v>
      </c>
      <c r="BE72" s="169" t="s">
        <v>259</v>
      </c>
      <c r="BF72" s="169" t="s">
        <v>259</v>
      </c>
      <c r="BG72" s="169" t="s">
        <v>259</v>
      </c>
      <c r="BH72" s="169" t="s">
        <v>259</v>
      </c>
      <c r="BI72" s="169" t="s">
        <v>259</v>
      </c>
      <c r="BJ72" s="169" t="s">
        <v>259</v>
      </c>
      <c r="BK72" s="169" t="s">
        <v>259</v>
      </c>
      <c r="BL72" s="169" t="s">
        <v>259</v>
      </c>
      <c r="BM72" s="169" t="s">
        <v>259</v>
      </c>
      <c r="BN72" s="169" t="s">
        <v>259</v>
      </c>
      <c r="BO72" s="169" t="s">
        <v>259</v>
      </c>
      <c r="BP72" s="169" t="s">
        <v>259</v>
      </c>
      <c r="BQ72" s="169" t="s">
        <v>259</v>
      </c>
      <c r="BR72" s="169" t="s">
        <v>259</v>
      </c>
      <c r="BS72" s="169" t="s">
        <v>259</v>
      </c>
      <c r="BT72" s="169" t="s">
        <v>259</v>
      </c>
      <c r="BU72" s="169" t="s">
        <v>259</v>
      </c>
      <c r="BV72" s="169" t="s">
        <v>259</v>
      </c>
      <c r="BW72" s="169" t="s">
        <v>259</v>
      </c>
      <c r="BX72" s="169" t="s">
        <v>259</v>
      </c>
      <c r="BY72" s="169" t="s">
        <v>259</v>
      </c>
      <c r="BZ72" s="169" t="s">
        <v>259</v>
      </c>
      <c r="CA72" s="169" t="s">
        <v>259</v>
      </c>
      <c r="CB72" s="169" t="s">
        <v>259</v>
      </c>
      <c r="CC72" s="169" t="s">
        <v>259</v>
      </c>
      <c r="CD72" s="169" t="s">
        <v>259</v>
      </c>
      <c r="CE72" s="169" t="s">
        <v>259</v>
      </c>
      <c r="CF72" s="169" t="s">
        <v>259</v>
      </c>
      <c r="CG72" s="169" t="s">
        <v>259</v>
      </c>
      <c r="CH72" s="169" t="s">
        <v>259</v>
      </c>
      <c r="CI72" s="169" t="s">
        <v>259</v>
      </c>
      <c r="CJ72" s="169" t="s">
        <v>259</v>
      </c>
      <c r="CK72" s="169" t="s">
        <v>259</v>
      </c>
      <c r="CL72" s="169" t="s">
        <v>259</v>
      </c>
      <c r="CM72" s="169" t="s">
        <v>259</v>
      </c>
      <c r="CN72" s="169" t="s">
        <v>259</v>
      </c>
      <c r="CO72" s="169" t="s">
        <v>259</v>
      </c>
      <c r="CP72" s="169" t="s">
        <v>259</v>
      </c>
      <c r="CQ72" s="169" t="s">
        <v>259</v>
      </c>
      <c r="CR72" s="169" t="s">
        <v>259</v>
      </c>
      <c r="CS72" s="169" t="s">
        <v>259</v>
      </c>
      <c r="CT72" s="169" t="s">
        <v>259</v>
      </c>
      <c r="CU72" s="169" t="s">
        <v>259</v>
      </c>
      <c r="CV72" s="169" t="s">
        <v>259</v>
      </c>
      <c r="CW72" s="169" t="s">
        <v>259</v>
      </c>
      <c r="CX72" s="169" t="s">
        <v>259</v>
      </c>
      <c r="CY72" s="169" t="s">
        <v>259</v>
      </c>
      <c r="CZ72" s="169" t="s">
        <v>259</v>
      </c>
      <c r="DA72" s="169" t="s">
        <v>259</v>
      </c>
      <c r="DB72" s="169" t="s">
        <v>259</v>
      </c>
      <c r="DC72" s="169" t="s">
        <v>259</v>
      </c>
      <c r="DD72" s="169" t="s">
        <v>259</v>
      </c>
      <c r="DE72" s="169" t="s">
        <v>259</v>
      </c>
      <c r="DF72" s="169" t="s">
        <v>259</v>
      </c>
      <c r="DG72" s="169" t="s">
        <v>259</v>
      </c>
      <c r="DH72" s="169" t="s">
        <v>259</v>
      </c>
      <c r="DI72" s="169" t="s">
        <v>259</v>
      </c>
      <c r="DJ72" s="169" t="s">
        <v>259</v>
      </c>
      <c r="DK72" s="169" t="s">
        <v>259</v>
      </c>
      <c r="DL72" s="169" t="s">
        <v>259</v>
      </c>
      <c r="DM72" s="169" t="s">
        <v>259</v>
      </c>
      <c r="DN72" s="169" t="s">
        <v>259</v>
      </c>
      <c r="DO72" s="169" t="s">
        <v>259</v>
      </c>
      <c r="DP72" s="169" t="s">
        <v>259</v>
      </c>
      <c r="DQ72" s="169" t="s">
        <v>259</v>
      </c>
      <c r="DR72" s="169" t="s">
        <v>259</v>
      </c>
      <c r="DS72" s="169" t="s">
        <v>259</v>
      </c>
      <c r="DT72" s="169" t="s">
        <v>259</v>
      </c>
    </row>
    <row r="73" spans="2:124" x14ac:dyDescent="0.3">
      <c r="B73" t="str">
        <f>'IMPORT SCHLIESSERDATEN'!B72</f>
        <v>TS 93 G GSR-EMR 1G /BG EN 5-7 Gangfl.</v>
      </c>
      <c r="D73" s="169" t="s">
        <v>259</v>
      </c>
      <c r="E73" s="169" t="s">
        <v>259</v>
      </c>
      <c r="F73" s="169" t="s">
        <v>259</v>
      </c>
      <c r="G73" s="169" t="s">
        <v>259</v>
      </c>
      <c r="H73" s="169" t="s">
        <v>259</v>
      </c>
      <c r="I73" s="169" t="s">
        <v>259</v>
      </c>
      <c r="J73" s="169" t="s">
        <v>259</v>
      </c>
      <c r="K73" s="169" t="s">
        <v>259</v>
      </c>
      <c r="L73" s="169" t="s">
        <v>259</v>
      </c>
      <c r="M73" s="169" t="s">
        <v>259</v>
      </c>
      <c r="N73" s="169" t="s">
        <v>259</v>
      </c>
      <c r="O73" s="169" t="s">
        <v>259</v>
      </c>
      <c r="P73" s="169" t="s">
        <v>259</v>
      </c>
      <c r="Q73" s="169" t="s">
        <v>259</v>
      </c>
      <c r="R73" s="169" t="s">
        <v>259</v>
      </c>
      <c r="S73" s="169" t="s">
        <v>259</v>
      </c>
      <c r="T73" s="169" t="s">
        <v>259</v>
      </c>
      <c r="U73" s="169" t="s">
        <v>259</v>
      </c>
      <c r="V73" s="169" t="s">
        <v>259</v>
      </c>
      <c r="W73" s="169" t="s">
        <v>259</v>
      </c>
      <c r="X73" s="169" t="s">
        <v>259</v>
      </c>
      <c r="Y73" s="169" t="s">
        <v>259</v>
      </c>
      <c r="Z73" s="169" t="s">
        <v>259</v>
      </c>
      <c r="AA73" s="169" t="s">
        <v>259</v>
      </c>
      <c r="AB73" s="169" t="s">
        <v>259</v>
      </c>
      <c r="AC73" s="169" t="s">
        <v>259</v>
      </c>
      <c r="AD73" s="169" t="s">
        <v>259</v>
      </c>
      <c r="AE73" s="169" t="s">
        <v>259</v>
      </c>
      <c r="AF73" s="169" t="s">
        <v>259</v>
      </c>
      <c r="AG73" s="169" t="s">
        <v>259</v>
      </c>
      <c r="AH73" s="169" t="s">
        <v>259</v>
      </c>
      <c r="AI73" s="169" t="s">
        <v>259</v>
      </c>
      <c r="AJ73" s="169" t="s">
        <v>259</v>
      </c>
      <c r="AK73" s="169" t="s">
        <v>259</v>
      </c>
      <c r="AL73" s="169" t="s">
        <v>259</v>
      </c>
      <c r="AM73" s="169" t="s">
        <v>259</v>
      </c>
      <c r="AN73" s="169" t="s">
        <v>259</v>
      </c>
      <c r="AO73" s="169" t="s">
        <v>259</v>
      </c>
      <c r="AP73" s="169" t="s">
        <v>259</v>
      </c>
      <c r="AQ73" s="169" t="s">
        <v>259</v>
      </c>
      <c r="AR73" s="169" t="s">
        <v>259</v>
      </c>
      <c r="AS73" s="169" t="s">
        <v>259</v>
      </c>
      <c r="AT73" s="169" t="s">
        <v>259</v>
      </c>
      <c r="AU73" s="169" t="s">
        <v>259</v>
      </c>
      <c r="AV73" s="169" t="s">
        <v>259</v>
      </c>
      <c r="AW73" s="169" t="s">
        <v>259</v>
      </c>
      <c r="AX73" s="169" t="s">
        <v>259</v>
      </c>
      <c r="AY73" s="169" t="s">
        <v>259</v>
      </c>
      <c r="AZ73" s="169" t="s">
        <v>259</v>
      </c>
      <c r="BA73" s="169" t="s">
        <v>259</v>
      </c>
      <c r="BB73" s="169" t="s">
        <v>259</v>
      </c>
      <c r="BC73" s="169" t="s">
        <v>259</v>
      </c>
      <c r="BD73" s="169" t="s">
        <v>259</v>
      </c>
      <c r="BE73" s="169" t="s">
        <v>259</v>
      </c>
      <c r="BF73" s="169" t="s">
        <v>259</v>
      </c>
      <c r="BG73" s="169" t="s">
        <v>259</v>
      </c>
      <c r="BH73" s="169" t="s">
        <v>259</v>
      </c>
      <c r="BI73" s="169" t="s">
        <v>259</v>
      </c>
      <c r="BJ73" s="169" t="s">
        <v>259</v>
      </c>
      <c r="BK73" s="169" t="s">
        <v>259</v>
      </c>
      <c r="BL73" s="169" t="s">
        <v>259</v>
      </c>
      <c r="BM73" s="169" t="s">
        <v>259</v>
      </c>
      <c r="BN73" s="169" t="s">
        <v>259</v>
      </c>
      <c r="BO73" s="169" t="s">
        <v>259</v>
      </c>
      <c r="BP73" s="169" t="s">
        <v>259</v>
      </c>
      <c r="BQ73" s="169" t="s">
        <v>259</v>
      </c>
      <c r="BR73" s="169" t="s">
        <v>259</v>
      </c>
      <c r="BS73" s="169" t="s">
        <v>259</v>
      </c>
      <c r="BT73" s="169" t="s">
        <v>259</v>
      </c>
      <c r="BU73" s="169" t="s">
        <v>259</v>
      </c>
      <c r="BV73" s="169" t="s">
        <v>259</v>
      </c>
      <c r="BW73" s="169" t="s">
        <v>259</v>
      </c>
      <c r="BX73" s="169" t="s">
        <v>259</v>
      </c>
      <c r="BY73" s="169" t="s">
        <v>259</v>
      </c>
      <c r="BZ73" s="169" t="s">
        <v>259</v>
      </c>
      <c r="CA73" s="169" t="s">
        <v>259</v>
      </c>
      <c r="CB73" s="169" t="s">
        <v>259</v>
      </c>
      <c r="CC73" s="169" t="s">
        <v>259</v>
      </c>
      <c r="CD73" s="169" t="s">
        <v>259</v>
      </c>
      <c r="CE73" s="169" t="s">
        <v>259</v>
      </c>
      <c r="CF73" s="169" t="s">
        <v>259</v>
      </c>
      <c r="CG73" s="169" t="s">
        <v>259</v>
      </c>
      <c r="CH73" s="169" t="s">
        <v>259</v>
      </c>
      <c r="CI73" s="169" t="s">
        <v>259</v>
      </c>
      <c r="CJ73" s="169" t="s">
        <v>259</v>
      </c>
      <c r="CK73" s="169" t="s">
        <v>259</v>
      </c>
      <c r="CL73" s="169" t="s">
        <v>259</v>
      </c>
      <c r="CM73" s="169" t="s">
        <v>259</v>
      </c>
      <c r="CN73" s="169" t="s">
        <v>259</v>
      </c>
      <c r="CO73" s="169" t="s">
        <v>259</v>
      </c>
      <c r="CP73" s="169" t="s">
        <v>259</v>
      </c>
      <c r="CQ73" s="169" t="s">
        <v>259</v>
      </c>
      <c r="CR73" s="169" t="s">
        <v>259</v>
      </c>
      <c r="CS73" s="169" t="s">
        <v>259</v>
      </c>
      <c r="CT73" s="169" t="s">
        <v>259</v>
      </c>
      <c r="CU73" s="169" t="s">
        <v>259</v>
      </c>
      <c r="CV73" s="169" t="s">
        <v>259</v>
      </c>
      <c r="CW73" s="169" t="s">
        <v>259</v>
      </c>
      <c r="CX73" s="169" t="s">
        <v>259</v>
      </c>
      <c r="CY73" s="169" t="s">
        <v>259</v>
      </c>
      <c r="CZ73" s="169" t="s">
        <v>259</v>
      </c>
      <c r="DA73" s="169" t="s">
        <v>259</v>
      </c>
      <c r="DB73" s="169" t="s">
        <v>259</v>
      </c>
      <c r="DC73" s="169" t="s">
        <v>259</v>
      </c>
      <c r="DD73" s="169" t="s">
        <v>259</v>
      </c>
      <c r="DE73" s="169" t="s">
        <v>259</v>
      </c>
      <c r="DF73" s="169" t="s">
        <v>259</v>
      </c>
      <c r="DG73" s="169" t="s">
        <v>259</v>
      </c>
      <c r="DH73" s="169" t="s">
        <v>259</v>
      </c>
      <c r="DI73" s="169" t="s">
        <v>259</v>
      </c>
      <c r="DJ73" s="169" t="s">
        <v>259</v>
      </c>
      <c r="DK73" s="169" t="s">
        <v>259</v>
      </c>
      <c r="DL73" s="169" t="s">
        <v>259</v>
      </c>
      <c r="DM73" s="169" t="s">
        <v>259</v>
      </c>
      <c r="DN73" s="169" t="s">
        <v>259</v>
      </c>
      <c r="DO73" s="169" t="s">
        <v>259</v>
      </c>
      <c r="DP73" s="169" t="s">
        <v>259</v>
      </c>
      <c r="DQ73" s="169" t="s">
        <v>259</v>
      </c>
      <c r="DR73" s="169" t="s">
        <v>259</v>
      </c>
      <c r="DS73" s="169" t="s">
        <v>259</v>
      </c>
      <c r="DT73" s="169" t="s">
        <v>259</v>
      </c>
    </row>
    <row r="74" spans="2:124" x14ac:dyDescent="0.3">
      <c r="B74" t="str">
        <f>'IMPORT SCHLIESSERDATEN'!B73</f>
        <v>TS 93 G GSR-EMR 2 /BG EN 5-7 Gangfl.</v>
      </c>
      <c r="D74" s="169" t="s">
        <v>259</v>
      </c>
      <c r="E74" s="169" t="s">
        <v>259</v>
      </c>
      <c r="F74" s="169" t="s">
        <v>259</v>
      </c>
      <c r="G74" s="169" t="s">
        <v>259</v>
      </c>
      <c r="H74" s="169" t="s">
        <v>259</v>
      </c>
      <c r="I74" s="169" t="s">
        <v>259</v>
      </c>
      <c r="J74" s="169" t="s">
        <v>259</v>
      </c>
      <c r="K74" s="169" t="s">
        <v>259</v>
      </c>
      <c r="L74" s="169" t="s">
        <v>259</v>
      </c>
      <c r="M74" s="169" t="s">
        <v>259</v>
      </c>
      <c r="N74" s="169" t="s">
        <v>259</v>
      </c>
      <c r="O74" s="169" t="s">
        <v>259</v>
      </c>
      <c r="P74" s="169" t="s">
        <v>259</v>
      </c>
      <c r="Q74" s="169" t="s">
        <v>259</v>
      </c>
      <c r="R74" s="169" t="s">
        <v>259</v>
      </c>
      <c r="S74" s="169" t="s">
        <v>259</v>
      </c>
      <c r="T74" s="169" t="s">
        <v>259</v>
      </c>
      <c r="U74" s="169" t="s">
        <v>259</v>
      </c>
      <c r="V74" s="169" t="s">
        <v>259</v>
      </c>
      <c r="W74" s="169" t="s">
        <v>259</v>
      </c>
      <c r="X74" s="169" t="s">
        <v>259</v>
      </c>
      <c r="Y74" s="169" t="s">
        <v>259</v>
      </c>
      <c r="Z74" s="169" t="s">
        <v>259</v>
      </c>
      <c r="AA74" s="169" t="s">
        <v>259</v>
      </c>
      <c r="AB74" s="169" t="s">
        <v>259</v>
      </c>
      <c r="AC74" s="169" t="s">
        <v>259</v>
      </c>
      <c r="AD74" s="169" t="s">
        <v>259</v>
      </c>
      <c r="AE74" s="169" t="s">
        <v>259</v>
      </c>
      <c r="AF74" s="169" t="s">
        <v>259</v>
      </c>
      <c r="AG74" s="169" t="s">
        <v>259</v>
      </c>
      <c r="AH74" s="169" t="s">
        <v>259</v>
      </c>
      <c r="AI74" s="169" t="s">
        <v>259</v>
      </c>
      <c r="AJ74" s="169" t="s">
        <v>259</v>
      </c>
      <c r="AK74" s="169" t="s">
        <v>259</v>
      </c>
      <c r="AL74" s="169" t="s">
        <v>259</v>
      </c>
      <c r="AM74" s="169" t="s">
        <v>259</v>
      </c>
      <c r="AN74" s="169" t="s">
        <v>259</v>
      </c>
      <c r="AO74" s="169" t="s">
        <v>259</v>
      </c>
      <c r="AP74" s="169" t="s">
        <v>259</v>
      </c>
      <c r="AQ74" s="169" t="s">
        <v>259</v>
      </c>
      <c r="AR74" s="169" t="s">
        <v>259</v>
      </c>
      <c r="AS74" s="169" t="s">
        <v>259</v>
      </c>
      <c r="AT74" s="169" t="s">
        <v>259</v>
      </c>
      <c r="AU74" s="169" t="s">
        <v>259</v>
      </c>
      <c r="AV74" s="169" t="s">
        <v>259</v>
      </c>
      <c r="AW74" s="169" t="s">
        <v>259</v>
      </c>
      <c r="AX74" s="169" t="s">
        <v>259</v>
      </c>
      <c r="AY74" s="169" t="s">
        <v>259</v>
      </c>
      <c r="AZ74" s="169" t="s">
        <v>259</v>
      </c>
      <c r="BA74" s="169" t="s">
        <v>259</v>
      </c>
      <c r="BB74" s="169" t="s">
        <v>259</v>
      </c>
      <c r="BC74" s="169" t="s">
        <v>259</v>
      </c>
      <c r="BD74" s="169" t="s">
        <v>259</v>
      </c>
      <c r="BE74" s="169" t="s">
        <v>259</v>
      </c>
      <c r="BF74" s="169" t="s">
        <v>259</v>
      </c>
      <c r="BG74" s="169" t="s">
        <v>259</v>
      </c>
      <c r="BH74" s="169" t="s">
        <v>259</v>
      </c>
      <c r="BI74" s="169" t="s">
        <v>259</v>
      </c>
      <c r="BJ74" s="169" t="s">
        <v>259</v>
      </c>
      <c r="BK74" s="169" t="s">
        <v>259</v>
      </c>
      <c r="BL74" s="169" t="s">
        <v>259</v>
      </c>
      <c r="BM74" s="169" t="s">
        <v>259</v>
      </c>
      <c r="BN74" s="169" t="s">
        <v>259</v>
      </c>
      <c r="BO74" s="169" t="s">
        <v>259</v>
      </c>
      <c r="BP74" s="169" t="s">
        <v>259</v>
      </c>
      <c r="BQ74" s="169" t="s">
        <v>259</v>
      </c>
      <c r="BR74" s="169" t="s">
        <v>259</v>
      </c>
      <c r="BS74" s="169" t="s">
        <v>259</v>
      </c>
      <c r="BT74" s="169" t="s">
        <v>259</v>
      </c>
      <c r="BU74" s="169" t="s">
        <v>259</v>
      </c>
      <c r="BV74" s="169" t="s">
        <v>259</v>
      </c>
      <c r="BW74" s="169" t="s">
        <v>259</v>
      </c>
      <c r="BX74" s="169" t="s">
        <v>259</v>
      </c>
      <c r="BY74" s="169" t="s">
        <v>259</v>
      </c>
      <c r="BZ74" s="169" t="s">
        <v>259</v>
      </c>
      <c r="CA74" s="169" t="s">
        <v>259</v>
      </c>
      <c r="CB74" s="169" t="s">
        <v>259</v>
      </c>
      <c r="CC74" s="169" t="s">
        <v>259</v>
      </c>
      <c r="CD74" s="169" t="s">
        <v>259</v>
      </c>
      <c r="CE74" s="169" t="s">
        <v>259</v>
      </c>
      <c r="CF74" s="169" t="s">
        <v>259</v>
      </c>
      <c r="CG74" s="169" t="s">
        <v>259</v>
      </c>
      <c r="CH74" s="169" t="s">
        <v>259</v>
      </c>
      <c r="CI74" s="169" t="s">
        <v>259</v>
      </c>
      <c r="CJ74" s="169" t="s">
        <v>259</v>
      </c>
      <c r="CK74" s="169" t="s">
        <v>259</v>
      </c>
      <c r="CL74" s="169" t="s">
        <v>259</v>
      </c>
      <c r="CM74" s="169" t="s">
        <v>259</v>
      </c>
      <c r="CN74" s="169" t="s">
        <v>259</v>
      </c>
      <c r="CO74" s="169" t="s">
        <v>259</v>
      </c>
      <c r="CP74" s="169" t="s">
        <v>259</v>
      </c>
      <c r="CQ74" s="169" t="s">
        <v>259</v>
      </c>
      <c r="CR74" s="169" t="s">
        <v>259</v>
      </c>
      <c r="CS74" s="169" t="s">
        <v>259</v>
      </c>
      <c r="CT74" s="169" t="s">
        <v>259</v>
      </c>
      <c r="CU74" s="169" t="s">
        <v>259</v>
      </c>
      <c r="CV74" s="169" t="s">
        <v>259</v>
      </c>
      <c r="CW74" s="169" t="s">
        <v>259</v>
      </c>
      <c r="CX74" s="169" t="s">
        <v>259</v>
      </c>
      <c r="CY74" s="169" t="s">
        <v>259</v>
      </c>
      <c r="CZ74" s="169" t="s">
        <v>259</v>
      </c>
      <c r="DA74" s="169" t="s">
        <v>259</v>
      </c>
      <c r="DB74" s="169" t="s">
        <v>259</v>
      </c>
      <c r="DC74" s="169" t="s">
        <v>259</v>
      </c>
      <c r="DD74" s="169" t="s">
        <v>259</v>
      </c>
      <c r="DE74" s="169" t="s">
        <v>259</v>
      </c>
      <c r="DF74" s="169" t="s">
        <v>259</v>
      </c>
      <c r="DG74" s="169" t="s">
        <v>259</v>
      </c>
      <c r="DH74" s="169" t="s">
        <v>259</v>
      </c>
      <c r="DI74" s="169" t="s">
        <v>259</v>
      </c>
      <c r="DJ74" s="169" t="s">
        <v>259</v>
      </c>
      <c r="DK74" s="169" t="s">
        <v>259</v>
      </c>
      <c r="DL74" s="169" t="s">
        <v>259</v>
      </c>
      <c r="DM74" s="169" t="s">
        <v>259</v>
      </c>
      <c r="DN74" s="169" t="s">
        <v>259</v>
      </c>
      <c r="DO74" s="169" t="s">
        <v>259</v>
      </c>
      <c r="DP74" s="169" t="s">
        <v>259</v>
      </c>
      <c r="DQ74" s="169" t="s">
        <v>259</v>
      </c>
      <c r="DR74" s="169" t="s">
        <v>259</v>
      </c>
      <c r="DS74" s="169" t="s">
        <v>259</v>
      </c>
      <c r="DT74" s="169" t="s">
        <v>259</v>
      </c>
    </row>
    <row r="75" spans="2:124" x14ac:dyDescent="0.3">
      <c r="B75" t="str">
        <f>'IMPORT SCHLIESSERDATEN'!B74</f>
        <v>TS 93 G GSR /BG EN 5-7 Standfl.</v>
      </c>
      <c r="D75" s="169" t="s">
        <v>259</v>
      </c>
      <c r="E75" s="169" t="s">
        <v>259</v>
      </c>
      <c r="F75" s="169" t="s">
        <v>259</v>
      </c>
      <c r="G75" s="169" t="s">
        <v>259</v>
      </c>
      <c r="H75" s="169" t="s">
        <v>259</v>
      </c>
      <c r="I75" s="169" t="s">
        <v>259</v>
      </c>
      <c r="J75" s="169" t="s">
        <v>259</v>
      </c>
      <c r="K75" s="169" t="s">
        <v>259</v>
      </c>
      <c r="L75" s="169" t="s">
        <v>259</v>
      </c>
      <c r="M75" s="169" t="s">
        <v>259</v>
      </c>
      <c r="N75" s="169" t="s">
        <v>259</v>
      </c>
      <c r="O75" s="169" t="s">
        <v>259</v>
      </c>
      <c r="P75" s="169" t="s">
        <v>259</v>
      </c>
      <c r="Q75" s="169" t="s">
        <v>259</v>
      </c>
      <c r="R75" s="169" t="s">
        <v>259</v>
      </c>
      <c r="S75" s="169" t="s">
        <v>259</v>
      </c>
      <c r="T75" s="169" t="s">
        <v>259</v>
      </c>
      <c r="U75" s="169" t="s">
        <v>259</v>
      </c>
      <c r="V75" s="169" t="s">
        <v>259</v>
      </c>
      <c r="W75" s="169" t="s">
        <v>259</v>
      </c>
      <c r="X75" s="169" t="s">
        <v>259</v>
      </c>
      <c r="Y75" s="169" t="s">
        <v>259</v>
      </c>
      <c r="Z75" s="169" t="s">
        <v>259</v>
      </c>
      <c r="AA75" s="169" t="s">
        <v>259</v>
      </c>
      <c r="AB75" s="169" t="s">
        <v>259</v>
      </c>
      <c r="AC75" s="169" t="s">
        <v>259</v>
      </c>
      <c r="AD75" s="169" t="s">
        <v>259</v>
      </c>
      <c r="AE75" s="169" t="s">
        <v>259</v>
      </c>
      <c r="AF75" s="169" t="s">
        <v>259</v>
      </c>
      <c r="AG75" s="169" t="s">
        <v>259</v>
      </c>
      <c r="AH75" s="169" t="s">
        <v>259</v>
      </c>
      <c r="AI75" s="169" t="s">
        <v>259</v>
      </c>
      <c r="AJ75" s="169" t="s">
        <v>259</v>
      </c>
      <c r="AK75" s="169" t="s">
        <v>259</v>
      </c>
      <c r="AL75" s="169" t="s">
        <v>259</v>
      </c>
      <c r="AM75" s="169" t="s">
        <v>259</v>
      </c>
      <c r="AN75" s="169" t="s">
        <v>259</v>
      </c>
      <c r="AO75" s="169" t="s">
        <v>259</v>
      </c>
      <c r="AP75" s="169" t="s">
        <v>259</v>
      </c>
      <c r="AQ75" s="169" t="s">
        <v>259</v>
      </c>
      <c r="AR75" s="169" t="s">
        <v>259</v>
      </c>
      <c r="AS75" s="169" t="s">
        <v>259</v>
      </c>
      <c r="AT75" s="169" t="s">
        <v>259</v>
      </c>
      <c r="AU75" s="169" t="s">
        <v>259</v>
      </c>
      <c r="AV75" s="169" t="s">
        <v>259</v>
      </c>
      <c r="AW75" s="169" t="s">
        <v>259</v>
      </c>
      <c r="AX75" s="169" t="s">
        <v>259</v>
      </c>
      <c r="AY75" s="169" t="s">
        <v>259</v>
      </c>
      <c r="AZ75" s="169" t="s">
        <v>259</v>
      </c>
      <c r="BA75" s="169" t="s">
        <v>259</v>
      </c>
      <c r="BB75" s="169" t="s">
        <v>259</v>
      </c>
      <c r="BC75" s="169" t="s">
        <v>259</v>
      </c>
      <c r="BD75" s="169" t="s">
        <v>259</v>
      </c>
      <c r="BE75" s="169" t="s">
        <v>259</v>
      </c>
      <c r="BF75" s="169" t="s">
        <v>259</v>
      </c>
      <c r="BG75" s="169" t="s">
        <v>259</v>
      </c>
      <c r="BH75" s="169" t="s">
        <v>259</v>
      </c>
      <c r="BI75" s="169" t="s">
        <v>259</v>
      </c>
      <c r="BJ75" s="169" t="s">
        <v>259</v>
      </c>
      <c r="BK75" s="169" t="s">
        <v>259</v>
      </c>
      <c r="BL75" s="169" t="s">
        <v>259</v>
      </c>
      <c r="BM75" s="169" t="s">
        <v>259</v>
      </c>
      <c r="BN75" s="169" t="s">
        <v>259</v>
      </c>
      <c r="BO75" s="169" t="s">
        <v>259</v>
      </c>
      <c r="BP75" s="169" t="s">
        <v>259</v>
      </c>
      <c r="BQ75" s="169" t="s">
        <v>259</v>
      </c>
      <c r="BR75" s="169" t="s">
        <v>259</v>
      </c>
      <c r="BS75" s="169" t="s">
        <v>259</v>
      </c>
      <c r="BT75" s="169" t="s">
        <v>259</v>
      </c>
      <c r="BU75" s="169" t="s">
        <v>259</v>
      </c>
      <c r="BV75" s="169" t="s">
        <v>259</v>
      </c>
      <c r="BW75" s="169" t="s">
        <v>259</v>
      </c>
      <c r="BX75" s="169" t="s">
        <v>259</v>
      </c>
      <c r="BY75" s="169" t="s">
        <v>259</v>
      </c>
      <c r="BZ75" s="169" t="s">
        <v>259</v>
      </c>
      <c r="CA75" s="169" t="s">
        <v>259</v>
      </c>
      <c r="CB75" s="169" t="s">
        <v>259</v>
      </c>
      <c r="CC75" s="169" t="s">
        <v>259</v>
      </c>
      <c r="CD75" s="169" t="s">
        <v>259</v>
      </c>
      <c r="CE75" s="169" t="s">
        <v>259</v>
      </c>
      <c r="CF75" s="169" t="s">
        <v>259</v>
      </c>
      <c r="CG75" s="169" t="s">
        <v>259</v>
      </c>
      <c r="CH75" s="169" t="s">
        <v>259</v>
      </c>
      <c r="CI75" s="169" t="s">
        <v>259</v>
      </c>
      <c r="CJ75" s="169" t="s">
        <v>259</v>
      </c>
      <c r="CK75" s="169" t="s">
        <v>259</v>
      </c>
      <c r="CL75" s="169" t="s">
        <v>259</v>
      </c>
      <c r="CM75" s="169" t="s">
        <v>259</v>
      </c>
      <c r="CN75" s="169" t="s">
        <v>259</v>
      </c>
      <c r="CO75" s="169" t="s">
        <v>259</v>
      </c>
      <c r="CP75" s="169" t="s">
        <v>259</v>
      </c>
      <c r="CQ75" s="169" t="s">
        <v>259</v>
      </c>
      <c r="CR75" s="169" t="s">
        <v>259</v>
      </c>
      <c r="CS75" s="169" t="s">
        <v>259</v>
      </c>
      <c r="CT75" s="169" t="s">
        <v>259</v>
      </c>
      <c r="CU75" s="169" t="s">
        <v>259</v>
      </c>
      <c r="CV75" s="169" t="s">
        <v>259</v>
      </c>
      <c r="CW75" s="169" t="s">
        <v>259</v>
      </c>
      <c r="CX75" s="169" t="s">
        <v>259</v>
      </c>
      <c r="CY75" s="169" t="s">
        <v>259</v>
      </c>
      <c r="CZ75" s="169" t="s">
        <v>259</v>
      </c>
      <c r="DA75" s="169" t="s">
        <v>259</v>
      </c>
      <c r="DB75" s="169" t="s">
        <v>259</v>
      </c>
      <c r="DC75" s="169" t="s">
        <v>259</v>
      </c>
      <c r="DD75" s="169" t="s">
        <v>259</v>
      </c>
      <c r="DE75" s="169" t="s">
        <v>259</v>
      </c>
      <c r="DF75" s="169" t="s">
        <v>259</v>
      </c>
      <c r="DG75" s="169" t="s">
        <v>259</v>
      </c>
      <c r="DH75" s="169" t="s">
        <v>259</v>
      </c>
      <c r="DI75" s="169" t="s">
        <v>259</v>
      </c>
      <c r="DJ75" s="169" t="s">
        <v>259</v>
      </c>
      <c r="DK75" s="169" t="s">
        <v>259</v>
      </c>
      <c r="DL75" s="169" t="s">
        <v>259</v>
      </c>
      <c r="DM75" s="169" t="s">
        <v>259</v>
      </c>
      <c r="DN75" s="169" t="s">
        <v>259</v>
      </c>
      <c r="DO75" s="169" t="s">
        <v>259</v>
      </c>
      <c r="DP75" s="169" t="s">
        <v>259</v>
      </c>
      <c r="DQ75" s="169" t="s">
        <v>259</v>
      </c>
      <c r="DR75" s="169" t="s">
        <v>259</v>
      </c>
      <c r="DS75" s="169" t="s">
        <v>259</v>
      </c>
      <c r="DT75" s="169" t="s">
        <v>259</v>
      </c>
    </row>
    <row r="76" spans="2:124" x14ac:dyDescent="0.3">
      <c r="B76" t="str">
        <f>'IMPORT SCHLIESSERDATEN'!B75</f>
        <v>TS 93 G GSR RF /BG EN 5-7 Standfl.</v>
      </c>
      <c r="D76" s="169" t="s">
        <v>259</v>
      </c>
      <c r="E76" s="169" t="s">
        <v>259</v>
      </c>
      <c r="F76" s="169" t="s">
        <v>259</v>
      </c>
      <c r="G76" s="169" t="s">
        <v>259</v>
      </c>
      <c r="H76" s="169" t="s">
        <v>259</v>
      </c>
      <c r="I76" s="169" t="s">
        <v>259</v>
      </c>
      <c r="J76" s="169" t="s">
        <v>259</v>
      </c>
      <c r="K76" s="169" t="s">
        <v>259</v>
      </c>
      <c r="L76" s="169" t="s">
        <v>259</v>
      </c>
      <c r="M76" s="169" t="s">
        <v>259</v>
      </c>
      <c r="N76" s="169" t="s">
        <v>259</v>
      </c>
      <c r="O76" s="169" t="s">
        <v>259</v>
      </c>
      <c r="P76" s="169" t="s">
        <v>259</v>
      </c>
      <c r="Q76" s="169" t="s">
        <v>259</v>
      </c>
      <c r="R76" s="169" t="s">
        <v>259</v>
      </c>
      <c r="S76" s="169" t="s">
        <v>259</v>
      </c>
      <c r="T76" s="169" t="s">
        <v>259</v>
      </c>
      <c r="U76" s="169" t="s">
        <v>1995</v>
      </c>
      <c r="V76" s="169" t="s">
        <v>259</v>
      </c>
      <c r="W76" s="169" t="s">
        <v>259</v>
      </c>
      <c r="X76" s="169" t="s">
        <v>259</v>
      </c>
      <c r="Y76" s="169" t="s">
        <v>259</v>
      </c>
      <c r="Z76" s="169" t="s">
        <v>259</v>
      </c>
      <c r="AA76" s="169" t="s">
        <v>259</v>
      </c>
      <c r="AB76" s="169" t="s">
        <v>259</v>
      </c>
      <c r="AC76" s="169" t="s">
        <v>259</v>
      </c>
      <c r="AD76" s="169" t="s">
        <v>259</v>
      </c>
      <c r="AE76" s="169" t="s">
        <v>259</v>
      </c>
      <c r="AF76" s="169" t="s">
        <v>259</v>
      </c>
      <c r="AG76" s="169" t="s">
        <v>259</v>
      </c>
      <c r="AH76" s="169" t="s">
        <v>259</v>
      </c>
      <c r="AI76" s="169" t="s">
        <v>259</v>
      </c>
      <c r="AJ76" s="169" t="s">
        <v>259</v>
      </c>
      <c r="AK76" s="169" t="s">
        <v>259</v>
      </c>
      <c r="AL76" s="169" t="s">
        <v>259</v>
      </c>
      <c r="AM76" s="169" t="s">
        <v>259</v>
      </c>
      <c r="AN76" s="169" t="s">
        <v>259</v>
      </c>
      <c r="AO76" s="169" t="s">
        <v>259</v>
      </c>
      <c r="AP76" s="169" t="s">
        <v>259</v>
      </c>
      <c r="AQ76" s="169" t="s">
        <v>259</v>
      </c>
      <c r="AR76" s="169" t="s">
        <v>259</v>
      </c>
      <c r="AS76" s="169" t="s">
        <v>259</v>
      </c>
      <c r="AT76" s="169" t="s">
        <v>259</v>
      </c>
      <c r="AU76" s="169" t="s">
        <v>259</v>
      </c>
      <c r="AV76" s="169" t="s">
        <v>259</v>
      </c>
      <c r="AW76" s="169" t="s">
        <v>259</v>
      </c>
      <c r="AX76" s="169" t="s">
        <v>259</v>
      </c>
      <c r="AY76" s="169" t="s">
        <v>259</v>
      </c>
      <c r="AZ76" s="169" t="s">
        <v>259</v>
      </c>
      <c r="BA76" s="169" t="s">
        <v>259</v>
      </c>
      <c r="BB76" s="169" t="s">
        <v>259</v>
      </c>
      <c r="BC76" s="169" t="s">
        <v>259</v>
      </c>
      <c r="BD76" s="169" t="s">
        <v>259</v>
      </c>
      <c r="BE76" s="169" t="s">
        <v>259</v>
      </c>
      <c r="BF76" s="169" t="s">
        <v>259</v>
      </c>
      <c r="BG76" s="169" t="s">
        <v>259</v>
      </c>
      <c r="BH76" s="169" t="s">
        <v>259</v>
      </c>
      <c r="BI76" s="169" t="s">
        <v>259</v>
      </c>
      <c r="BJ76" s="169" t="s">
        <v>259</v>
      </c>
      <c r="BK76" s="169" t="s">
        <v>259</v>
      </c>
      <c r="BL76" s="169" t="s">
        <v>259</v>
      </c>
      <c r="BM76" s="169" t="s">
        <v>259</v>
      </c>
      <c r="BN76" s="169" t="s">
        <v>259</v>
      </c>
      <c r="BO76" s="169" t="s">
        <v>259</v>
      </c>
      <c r="BP76" s="169" t="s">
        <v>259</v>
      </c>
      <c r="BQ76" s="169" t="s">
        <v>259</v>
      </c>
      <c r="BR76" s="169" t="s">
        <v>259</v>
      </c>
      <c r="BS76" s="169" t="s">
        <v>259</v>
      </c>
      <c r="BT76" s="169" t="s">
        <v>259</v>
      </c>
      <c r="BU76" s="169" t="s">
        <v>259</v>
      </c>
      <c r="BV76" s="169" t="s">
        <v>259</v>
      </c>
      <c r="BW76" s="169" t="s">
        <v>259</v>
      </c>
      <c r="BX76" s="169" t="s">
        <v>259</v>
      </c>
      <c r="BY76" s="169" t="s">
        <v>259</v>
      </c>
      <c r="BZ76" s="169" t="s">
        <v>259</v>
      </c>
      <c r="CA76" s="169" t="s">
        <v>259</v>
      </c>
      <c r="CB76" s="169" t="s">
        <v>259</v>
      </c>
      <c r="CC76" s="169" t="s">
        <v>259</v>
      </c>
      <c r="CD76" s="169" t="s">
        <v>259</v>
      </c>
      <c r="CE76" s="169" t="s">
        <v>259</v>
      </c>
      <c r="CF76" s="169" t="s">
        <v>259</v>
      </c>
      <c r="CG76" s="169" t="s">
        <v>259</v>
      </c>
      <c r="CH76" s="169" t="s">
        <v>259</v>
      </c>
      <c r="CI76" s="169" t="s">
        <v>259</v>
      </c>
      <c r="CJ76" s="169" t="s">
        <v>259</v>
      </c>
      <c r="CK76" s="169" t="s">
        <v>259</v>
      </c>
      <c r="CL76" s="169" t="s">
        <v>259</v>
      </c>
      <c r="CM76" s="169" t="s">
        <v>259</v>
      </c>
      <c r="CN76" s="169" t="s">
        <v>259</v>
      </c>
      <c r="CO76" s="169" t="s">
        <v>259</v>
      </c>
      <c r="CP76" s="169" t="s">
        <v>259</v>
      </c>
      <c r="CQ76" s="169" t="s">
        <v>259</v>
      </c>
      <c r="CR76" s="169" t="s">
        <v>259</v>
      </c>
      <c r="CS76" s="169" t="s">
        <v>259</v>
      </c>
      <c r="CT76" s="169" t="s">
        <v>259</v>
      </c>
      <c r="CU76" s="169" t="s">
        <v>259</v>
      </c>
      <c r="CV76" s="169" t="s">
        <v>259</v>
      </c>
      <c r="CW76" s="169" t="s">
        <v>259</v>
      </c>
      <c r="CX76" s="169" t="s">
        <v>259</v>
      </c>
      <c r="CY76" s="169" t="s">
        <v>259</v>
      </c>
      <c r="CZ76" s="169" t="s">
        <v>259</v>
      </c>
      <c r="DA76" s="169" t="s">
        <v>259</v>
      </c>
      <c r="DB76" s="169" t="s">
        <v>259</v>
      </c>
      <c r="DC76" s="169" t="s">
        <v>259</v>
      </c>
      <c r="DD76" s="169" t="s">
        <v>259</v>
      </c>
      <c r="DE76" s="169" t="s">
        <v>259</v>
      </c>
      <c r="DF76" s="169" t="s">
        <v>259</v>
      </c>
      <c r="DG76" s="169" t="s">
        <v>259</v>
      </c>
      <c r="DH76" s="169" t="s">
        <v>259</v>
      </c>
      <c r="DI76" s="169" t="s">
        <v>259</v>
      </c>
      <c r="DJ76" s="169" t="s">
        <v>259</v>
      </c>
      <c r="DK76" s="169" t="s">
        <v>259</v>
      </c>
      <c r="DL76" s="169" t="s">
        <v>259</v>
      </c>
      <c r="DM76" s="169" t="s">
        <v>259</v>
      </c>
      <c r="DN76" s="169" t="s">
        <v>259</v>
      </c>
      <c r="DO76" s="169" t="s">
        <v>259</v>
      </c>
      <c r="DP76" s="169" t="s">
        <v>259</v>
      </c>
      <c r="DQ76" s="169" t="s">
        <v>259</v>
      </c>
      <c r="DR76" s="169" t="s">
        <v>259</v>
      </c>
      <c r="DS76" s="169" t="s">
        <v>259</v>
      </c>
      <c r="DT76" s="169" t="s">
        <v>259</v>
      </c>
    </row>
    <row r="77" spans="2:124" x14ac:dyDescent="0.3">
      <c r="B77" t="str">
        <f>'IMPORT SCHLIESSERDATEN'!B76</f>
        <v>TS 93 G GSR-EMF 1 /BG EN 5-7 Standfl.</v>
      </c>
      <c r="D77" s="169" t="s">
        <v>259</v>
      </c>
      <c r="E77" s="169" t="s">
        <v>259</v>
      </c>
      <c r="F77" s="169" t="s">
        <v>259</v>
      </c>
      <c r="G77" s="169" t="s">
        <v>259</v>
      </c>
      <c r="H77" s="169" t="s">
        <v>259</v>
      </c>
      <c r="I77" s="169" t="s">
        <v>259</v>
      </c>
      <c r="J77" s="169" t="s">
        <v>259</v>
      </c>
      <c r="K77" s="169" t="s">
        <v>259</v>
      </c>
      <c r="L77" s="169" t="s">
        <v>259</v>
      </c>
      <c r="M77" s="169" t="s">
        <v>259</v>
      </c>
      <c r="N77" s="169" t="s">
        <v>259</v>
      </c>
      <c r="O77" s="169" t="s">
        <v>259</v>
      </c>
      <c r="P77" s="169" t="s">
        <v>259</v>
      </c>
      <c r="Q77" s="169" t="s">
        <v>259</v>
      </c>
      <c r="R77" s="169" t="s">
        <v>259</v>
      </c>
      <c r="S77" s="169" t="s">
        <v>259</v>
      </c>
      <c r="T77" s="169" t="s">
        <v>259</v>
      </c>
      <c r="U77" s="169" t="s">
        <v>259</v>
      </c>
      <c r="V77" s="169" t="s">
        <v>259</v>
      </c>
      <c r="W77" s="169" t="s">
        <v>259</v>
      </c>
      <c r="X77" s="169" t="s">
        <v>259</v>
      </c>
      <c r="Y77" s="169" t="s">
        <v>259</v>
      </c>
      <c r="Z77" s="169" t="s">
        <v>259</v>
      </c>
      <c r="AA77" s="169" t="s">
        <v>259</v>
      </c>
      <c r="AB77" s="169" t="s">
        <v>259</v>
      </c>
      <c r="AC77" s="169" t="s">
        <v>259</v>
      </c>
      <c r="AD77" s="169" t="s">
        <v>259</v>
      </c>
      <c r="AE77" s="169" t="s">
        <v>259</v>
      </c>
      <c r="AF77" s="169" t="s">
        <v>259</v>
      </c>
      <c r="AG77" s="169" t="s">
        <v>259</v>
      </c>
      <c r="AH77" s="169" t="s">
        <v>259</v>
      </c>
      <c r="AI77" s="169" t="s">
        <v>259</v>
      </c>
      <c r="AJ77" s="169" t="s">
        <v>259</v>
      </c>
      <c r="AK77" s="169" t="s">
        <v>259</v>
      </c>
      <c r="AL77" s="169" t="s">
        <v>259</v>
      </c>
      <c r="AM77" s="169" t="s">
        <v>259</v>
      </c>
      <c r="AN77" s="169" t="s">
        <v>259</v>
      </c>
      <c r="AO77" s="169" t="s">
        <v>259</v>
      </c>
      <c r="AP77" s="169" t="s">
        <v>259</v>
      </c>
      <c r="AQ77" s="169" t="s">
        <v>259</v>
      </c>
      <c r="AR77" s="169" t="s">
        <v>259</v>
      </c>
      <c r="AS77" s="169" t="s">
        <v>259</v>
      </c>
      <c r="AT77" s="169" t="s">
        <v>259</v>
      </c>
      <c r="AU77" s="169" t="s">
        <v>259</v>
      </c>
      <c r="AV77" s="169" t="s">
        <v>259</v>
      </c>
      <c r="AW77" s="169" t="s">
        <v>259</v>
      </c>
      <c r="AX77" s="169" t="s">
        <v>259</v>
      </c>
      <c r="AY77" s="169" t="s">
        <v>259</v>
      </c>
      <c r="AZ77" s="169" t="s">
        <v>259</v>
      </c>
      <c r="BA77" s="169" t="s">
        <v>259</v>
      </c>
      <c r="BB77" s="169" t="s">
        <v>259</v>
      </c>
      <c r="BC77" s="169" t="s">
        <v>259</v>
      </c>
      <c r="BD77" s="169" t="s">
        <v>259</v>
      </c>
      <c r="BE77" s="169" t="s">
        <v>259</v>
      </c>
      <c r="BF77" s="169" t="s">
        <v>259</v>
      </c>
      <c r="BG77" s="169" t="s">
        <v>259</v>
      </c>
      <c r="BH77" s="169" t="s">
        <v>259</v>
      </c>
      <c r="BI77" s="169" t="s">
        <v>259</v>
      </c>
      <c r="BJ77" s="169" t="s">
        <v>259</v>
      </c>
      <c r="BK77" s="169" t="s">
        <v>259</v>
      </c>
      <c r="BL77" s="169" t="s">
        <v>259</v>
      </c>
      <c r="BM77" s="169" t="s">
        <v>259</v>
      </c>
      <c r="BN77" s="169" t="s">
        <v>259</v>
      </c>
      <c r="BO77" s="169" t="s">
        <v>259</v>
      </c>
      <c r="BP77" s="169" t="s">
        <v>259</v>
      </c>
      <c r="BQ77" s="169" t="s">
        <v>259</v>
      </c>
      <c r="BR77" s="169" t="s">
        <v>259</v>
      </c>
      <c r="BS77" s="169" t="s">
        <v>259</v>
      </c>
      <c r="BT77" s="169" t="s">
        <v>259</v>
      </c>
      <c r="BU77" s="169" t="s">
        <v>259</v>
      </c>
      <c r="BV77" s="169" t="s">
        <v>259</v>
      </c>
      <c r="BW77" s="169" t="s">
        <v>259</v>
      </c>
      <c r="BX77" s="169" t="s">
        <v>259</v>
      </c>
      <c r="BY77" s="169" t="s">
        <v>259</v>
      </c>
      <c r="BZ77" s="169" t="s">
        <v>259</v>
      </c>
      <c r="CA77" s="169" t="s">
        <v>259</v>
      </c>
      <c r="CB77" s="169" t="s">
        <v>259</v>
      </c>
      <c r="CC77" s="169" t="s">
        <v>259</v>
      </c>
      <c r="CD77" s="169" t="s">
        <v>259</v>
      </c>
      <c r="CE77" s="169" t="s">
        <v>259</v>
      </c>
      <c r="CF77" s="169" t="s">
        <v>259</v>
      </c>
      <c r="CG77" s="169" t="s">
        <v>259</v>
      </c>
      <c r="CH77" s="169" t="s">
        <v>259</v>
      </c>
      <c r="CI77" s="169" t="s">
        <v>259</v>
      </c>
      <c r="CJ77" s="169" t="s">
        <v>259</v>
      </c>
      <c r="CK77" s="169" t="s">
        <v>259</v>
      </c>
      <c r="CL77" s="169" t="s">
        <v>259</v>
      </c>
      <c r="CM77" s="169" t="s">
        <v>259</v>
      </c>
      <c r="CN77" s="169" t="s">
        <v>259</v>
      </c>
      <c r="CO77" s="169" t="s">
        <v>259</v>
      </c>
      <c r="CP77" s="169" t="s">
        <v>259</v>
      </c>
      <c r="CQ77" s="169" t="s">
        <v>259</v>
      </c>
      <c r="CR77" s="169" t="s">
        <v>259</v>
      </c>
      <c r="CS77" s="169" t="s">
        <v>259</v>
      </c>
      <c r="CT77" s="169" t="s">
        <v>259</v>
      </c>
      <c r="CU77" s="169" t="s">
        <v>259</v>
      </c>
      <c r="CV77" s="169" t="s">
        <v>259</v>
      </c>
      <c r="CW77" s="169" t="s">
        <v>259</v>
      </c>
      <c r="CX77" s="169" t="s">
        <v>259</v>
      </c>
      <c r="CY77" s="169" t="s">
        <v>259</v>
      </c>
      <c r="CZ77" s="169" t="s">
        <v>259</v>
      </c>
      <c r="DA77" s="169" t="s">
        <v>259</v>
      </c>
      <c r="DB77" s="169" t="s">
        <v>259</v>
      </c>
      <c r="DC77" s="169" t="s">
        <v>259</v>
      </c>
      <c r="DD77" s="169" t="s">
        <v>259</v>
      </c>
      <c r="DE77" s="169" t="s">
        <v>259</v>
      </c>
      <c r="DF77" s="169" t="s">
        <v>259</v>
      </c>
      <c r="DG77" s="169" t="s">
        <v>259</v>
      </c>
      <c r="DH77" s="169" t="s">
        <v>259</v>
      </c>
      <c r="DI77" s="169" t="s">
        <v>259</v>
      </c>
      <c r="DJ77" s="169" t="s">
        <v>259</v>
      </c>
      <c r="DK77" s="169" t="s">
        <v>259</v>
      </c>
      <c r="DL77" s="169" t="s">
        <v>259</v>
      </c>
      <c r="DM77" s="169" t="s">
        <v>259</v>
      </c>
      <c r="DN77" s="169" t="s">
        <v>259</v>
      </c>
      <c r="DO77" s="169" t="s">
        <v>259</v>
      </c>
      <c r="DP77" s="169" t="s">
        <v>259</v>
      </c>
      <c r="DQ77" s="169" t="s">
        <v>259</v>
      </c>
      <c r="DR77" s="169" t="s">
        <v>259</v>
      </c>
      <c r="DS77" s="169" t="s">
        <v>259</v>
      </c>
      <c r="DT77" s="169" t="s">
        <v>259</v>
      </c>
    </row>
    <row r="78" spans="2:124" x14ac:dyDescent="0.3">
      <c r="B78" t="str">
        <f>'IMPORT SCHLIESSERDATEN'!B77</f>
        <v>TS 93 G GSR-EMF 1G /BG EN 5-7 Standfl.</v>
      </c>
      <c r="D78" s="169" t="s">
        <v>259</v>
      </c>
      <c r="E78" s="169" t="s">
        <v>259</v>
      </c>
      <c r="F78" s="169" t="s">
        <v>259</v>
      </c>
      <c r="G78" s="169" t="s">
        <v>259</v>
      </c>
      <c r="H78" s="169" t="s">
        <v>259</v>
      </c>
      <c r="I78" s="169" t="s">
        <v>259</v>
      </c>
      <c r="J78" s="169" t="s">
        <v>259</v>
      </c>
      <c r="K78" s="169" t="s">
        <v>259</v>
      </c>
      <c r="L78" s="169" t="s">
        <v>259</v>
      </c>
      <c r="M78" s="169" t="s">
        <v>259</v>
      </c>
      <c r="N78" s="169" t="s">
        <v>259</v>
      </c>
      <c r="O78" s="169" t="s">
        <v>259</v>
      </c>
      <c r="P78" s="169" t="s">
        <v>259</v>
      </c>
      <c r="Q78" s="169" t="s">
        <v>259</v>
      </c>
      <c r="R78" s="169" t="s">
        <v>259</v>
      </c>
      <c r="S78" s="169" t="s">
        <v>259</v>
      </c>
      <c r="T78" s="169" t="s">
        <v>259</v>
      </c>
      <c r="U78" s="169" t="s">
        <v>259</v>
      </c>
      <c r="V78" s="169" t="s">
        <v>259</v>
      </c>
      <c r="W78" s="169" t="s">
        <v>259</v>
      </c>
      <c r="X78" s="169" t="s">
        <v>259</v>
      </c>
      <c r="Y78" s="169" t="s">
        <v>259</v>
      </c>
      <c r="Z78" s="169" t="s">
        <v>259</v>
      </c>
      <c r="AA78" s="169" t="s">
        <v>259</v>
      </c>
      <c r="AB78" s="169" t="s">
        <v>259</v>
      </c>
      <c r="AC78" s="169" t="s">
        <v>259</v>
      </c>
      <c r="AD78" s="169" t="s">
        <v>259</v>
      </c>
      <c r="AE78" s="169" t="s">
        <v>259</v>
      </c>
      <c r="AF78" s="169" t="s">
        <v>259</v>
      </c>
      <c r="AG78" s="169" t="s">
        <v>259</v>
      </c>
      <c r="AH78" s="169" t="s">
        <v>259</v>
      </c>
      <c r="AI78" s="169" t="s">
        <v>259</v>
      </c>
      <c r="AJ78" s="169" t="s">
        <v>259</v>
      </c>
      <c r="AK78" s="169" t="s">
        <v>259</v>
      </c>
      <c r="AL78" s="169" t="s">
        <v>259</v>
      </c>
      <c r="AM78" s="169" t="s">
        <v>259</v>
      </c>
      <c r="AN78" s="169" t="s">
        <v>259</v>
      </c>
      <c r="AO78" s="169" t="s">
        <v>259</v>
      </c>
      <c r="AP78" s="169" t="s">
        <v>259</v>
      </c>
      <c r="AQ78" s="169" t="s">
        <v>259</v>
      </c>
      <c r="AR78" s="169" t="s">
        <v>259</v>
      </c>
      <c r="AS78" s="169" t="s">
        <v>259</v>
      </c>
      <c r="AT78" s="169" t="s">
        <v>259</v>
      </c>
      <c r="AU78" s="169" t="s">
        <v>259</v>
      </c>
      <c r="AV78" s="169" t="s">
        <v>259</v>
      </c>
      <c r="AW78" s="169" t="s">
        <v>259</v>
      </c>
      <c r="AX78" s="169" t="s">
        <v>259</v>
      </c>
      <c r="AY78" s="169" t="s">
        <v>259</v>
      </c>
      <c r="AZ78" s="169" t="s">
        <v>259</v>
      </c>
      <c r="BA78" s="169" t="s">
        <v>259</v>
      </c>
      <c r="BB78" s="169" t="s">
        <v>259</v>
      </c>
      <c r="BC78" s="169" t="s">
        <v>259</v>
      </c>
      <c r="BD78" s="169" t="s">
        <v>259</v>
      </c>
      <c r="BE78" s="169" t="s">
        <v>259</v>
      </c>
      <c r="BF78" s="169" t="s">
        <v>259</v>
      </c>
      <c r="BG78" s="169" t="s">
        <v>259</v>
      </c>
      <c r="BH78" s="169" t="s">
        <v>259</v>
      </c>
      <c r="BI78" s="169" t="s">
        <v>259</v>
      </c>
      <c r="BJ78" s="169" t="s">
        <v>259</v>
      </c>
      <c r="BK78" s="169" t="s">
        <v>259</v>
      </c>
      <c r="BL78" s="169" t="s">
        <v>259</v>
      </c>
      <c r="BM78" s="169" t="s">
        <v>259</v>
      </c>
      <c r="BN78" s="169" t="s">
        <v>259</v>
      </c>
      <c r="BO78" s="169" t="s">
        <v>259</v>
      </c>
      <c r="BP78" s="169" t="s">
        <v>259</v>
      </c>
      <c r="BQ78" s="169" t="s">
        <v>259</v>
      </c>
      <c r="BR78" s="169" t="s">
        <v>259</v>
      </c>
      <c r="BS78" s="169" t="s">
        <v>259</v>
      </c>
      <c r="BT78" s="169" t="s">
        <v>259</v>
      </c>
      <c r="BU78" s="169" t="s">
        <v>259</v>
      </c>
      <c r="BV78" s="169" t="s">
        <v>259</v>
      </c>
      <c r="BW78" s="169" t="s">
        <v>259</v>
      </c>
      <c r="BX78" s="169" t="s">
        <v>259</v>
      </c>
      <c r="BY78" s="169" t="s">
        <v>259</v>
      </c>
      <c r="BZ78" s="169" t="s">
        <v>259</v>
      </c>
      <c r="CA78" s="169" t="s">
        <v>259</v>
      </c>
      <c r="CB78" s="169" t="s">
        <v>259</v>
      </c>
      <c r="CC78" s="169" t="s">
        <v>259</v>
      </c>
      <c r="CD78" s="169" t="s">
        <v>259</v>
      </c>
      <c r="CE78" s="169" t="s">
        <v>259</v>
      </c>
      <c r="CF78" s="169" t="s">
        <v>259</v>
      </c>
      <c r="CG78" s="169" t="s">
        <v>259</v>
      </c>
      <c r="CH78" s="169" t="s">
        <v>259</v>
      </c>
      <c r="CI78" s="169" t="s">
        <v>259</v>
      </c>
      <c r="CJ78" s="169" t="s">
        <v>259</v>
      </c>
      <c r="CK78" s="169" t="s">
        <v>259</v>
      </c>
      <c r="CL78" s="169" t="s">
        <v>259</v>
      </c>
      <c r="CM78" s="169" t="s">
        <v>259</v>
      </c>
      <c r="CN78" s="169" t="s">
        <v>259</v>
      </c>
      <c r="CO78" s="169" t="s">
        <v>259</v>
      </c>
      <c r="CP78" s="169" t="s">
        <v>259</v>
      </c>
      <c r="CQ78" s="169" t="s">
        <v>259</v>
      </c>
      <c r="CR78" s="169" t="s">
        <v>259</v>
      </c>
      <c r="CS78" s="169" t="s">
        <v>259</v>
      </c>
      <c r="CT78" s="169" t="s">
        <v>259</v>
      </c>
      <c r="CU78" s="169" t="s">
        <v>259</v>
      </c>
      <c r="CV78" s="169" t="s">
        <v>259</v>
      </c>
      <c r="CW78" s="169" t="s">
        <v>259</v>
      </c>
      <c r="CX78" s="169" t="s">
        <v>259</v>
      </c>
      <c r="CY78" s="169" t="s">
        <v>259</v>
      </c>
      <c r="CZ78" s="169" t="s">
        <v>259</v>
      </c>
      <c r="DA78" s="169" t="s">
        <v>259</v>
      </c>
      <c r="DB78" s="169" t="s">
        <v>259</v>
      </c>
      <c r="DC78" s="169" t="s">
        <v>259</v>
      </c>
      <c r="DD78" s="169" t="s">
        <v>259</v>
      </c>
      <c r="DE78" s="169" t="s">
        <v>259</v>
      </c>
      <c r="DF78" s="169" t="s">
        <v>259</v>
      </c>
      <c r="DG78" s="169" t="s">
        <v>259</v>
      </c>
      <c r="DH78" s="169" t="s">
        <v>259</v>
      </c>
      <c r="DI78" s="169" t="s">
        <v>259</v>
      </c>
      <c r="DJ78" s="169" t="s">
        <v>259</v>
      </c>
      <c r="DK78" s="169" t="s">
        <v>259</v>
      </c>
      <c r="DL78" s="169" t="s">
        <v>259</v>
      </c>
      <c r="DM78" s="169" t="s">
        <v>259</v>
      </c>
      <c r="DN78" s="169" t="s">
        <v>259</v>
      </c>
      <c r="DO78" s="169" t="s">
        <v>259</v>
      </c>
      <c r="DP78" s="169" t="s">
        <v>259</v>
      </c>
      <c r="DQ78" s="169" t="s">
        <v>259</v>
      </c>
      <c r="DR78" s="169" t="s">
        <v>259</v>
      </c>
      <c r="DS78" s="169" t="s">
        <v>259</v>
      </c>
      <c r="DT78" s="169" t="s">
        <v>259</v>
      </c>
    </row>
    <row r="79" spans="2:124" x14ac:dyDescent="0.3">
      <c r="B79" t="str">
        <f>'IMPORT SCHLIESSERDATEN'!B78</f>
        <v>TS 93 G GSR-EMF 2 /BG EN 5-7 Standfl.</v>
      </c>
      <c r="D79" s="169" t="s">
        <v>259</v>
      </c>
      <c r="E79" s="169" t="s">
        <v>259</v>
      </c>
      <c r="F79" s="169" t="s">
        <v>259</v>
      </c>
      <c r="G79" s="169" t="s">
        <v>259</v>
      </c>
      <c r="H79" s="169" t="s">
        <v>259</v>
      </c>
      <c r="I79" s="169" t="s">
        <v>259</v>
      </c>
      <c r="J79" s="169" t="s">
        <v>259</v>
      </c>
      <c r="K79" s="169" t="s">
        <v>259</v>
      </c>
      <c r="L79" s="169" t="s">
        <v>259</v>
      </c>
      <c r="M79" s="169" t="s">
        <v>259</v>
      </c>
      <c r="N79" s="169" t="s">
        <v>259</v>
      </c>
      <c r="O79" s="169" t="s">
        <v>259</v>
      </c>
      <c r="P79" s="169" t="s">
        <v>259</v>
      </c>
      <c r="Q79" s="169" t="s">
        <v>259</v>
      </c>
      <c r="R79" s="169" t="s">
        <v>259</v>
      </c>
      <c r="S79" s="169" t="s">
        <v>259</v>
      </c>
      <c r="T79" s="169" t="s">
        <v>259</v>
      </c>
      <c r="U79" s="169" t="s">
        <v>259</v>
      </c>
      <c r="V79" s="169" t="s">
        <v>259</v>
      </c>
      <c r="W79" s="169" t="s">
        <v>259</v>
      </c>
      <c r="X79" s="169" t="s">
        <v>259</v>
      </c>
      <c r="Y79" s="169" t="s">
        <v>259</v>
      </c>
      <c r="Z79" s="169" t="s">
        <v>259</v>
      </c>
      <c r="AA79" s="169" t="s">
        <v>259</v>
      </c>
      <c r="AB79" s="169" t="s">
        <v>259</v>
      </c>
      <c r="AC79" s="169" t="s">
        <v>259</v>
      </c>
      <c r="AD79" s="169" t="s">
        <v>259</v>
      </c>
      <c r="AE79" s="169" t="s">
        <v>259</v>
      </c>
      <c r="AF79" s="169" t="s">
        <v>259</v>
      </c>
      <c r="AG79" s="169" t="s">
        <v>259</v>
      </c>
      <c r="AH79" s="169" t="s">
        <v>259</v>
      </c>
      <c r="AI79" s="169" t="s">
        <v>259</v>
      </c>
      <c r="AJ79" s="169" t="s">
        <v>259</v>
      </c>
      <c r="AK79" s="169" t="s">
        <v>259</v>
      </c>
      <c r="AL79" s="169" t="s">
        <v>259</v>
      </c>
      <c r="AM79" s="169" t="s">
        <v>259</v>
      </c>
      <c r="AN79" s="169" t="s">
        <v>259</v>
      </c>
      <c r="AO79" s="169" t="s">
        <v>259</v>
      </c>
      <c r="AP79" s="169" t="s">
        <v>259</v>
      </c>
      <c r="AQ79" s="169" t="s">
        <v>259</v>
      </c>
      <c r="AR79" s="169" t="s">
        <v>259</v>
      </c>
      <c r="AS79" s="169" t="s">
        <v>259</v>
      </c>
      <c r="AT79" s="169" t="s">
        <v>259</v>
      </c>
      <c r="AU79" s="169" t="s">
        <v>259</v>
      </c>
      <c r="AV79" s="169" t="s">
        <v>259</v>
      </c>
      <c r="AW79" s="169" t="s">
        <v>259</v>
      </c>
      <c r="AX79" s="169" t="s">
        <v>259</v>
      </c>
      <c r="AY79" s="169" t="s">
        <v>259</v>
      </c>
      <c r="AZ79" s="169" t="s">
        <v>259</v>
      </c>
      <c r="BA79" s="169" t="s">
        <v>259</v>
      </c>
      <c r="BB79" s="169" t="s">
        <v>259</v>
      </c>
      <c r="BC79" s="169" t="s">
        <v>259</v>
      </c>
      <c r="BD79" s="169" t="s">
        <v>259</v>
      </c>
      <c r="BE79" s="169" t="s">
        <v>259</v>
      </c>
      <c r="BF79" s="169" t="s">
        <v>259</v>
      </c>
      <c r="BG79" s="169" t="s">
        <v>259</v>
      </c>
      <c r="BH79" s="169" t="s">
        <v>259</v>
      </c>
      <c r="BI79" s="169" t="s">
        <v>259</v>
      </c>
      <c r="BJ79" s="169" t="s">
        <v>259</v>
      </c>
      <c r="BK79" s="169" t="s">
        <v>259</v>
      </c>
      <c r="BL79" s="169" t="s">
        <v>259</v>
      </c>
      <c r="BM79" s="169" t="s">
        <v>259</v>
      </c>
      <c r="BN79" s="169" t="s">
        <v>259</v>
      </c>
      <c r="BO79" s="169" t="s">
        <v>259</v>
      </c>
      <c r="BP79" s="169" t="s">
        <v>259</v>
      </c>
      <c r="BQ79" s="169" t="s">
        <v>259</v>
      </c>
      <c r="BR79" s="169" t="s">
        <v>259</v>
      </c>
      <c r="BS79" s="169" t="s">
        <v>259</v>
      </c>
      <c r="BT79" s="169" t="s">
        <v>259</v>
      </c>
      <c r="BU79" s="169" t="s">
        <v>259</v>
      </c>
      <c r="BV79" s="169" t="s">
        <v>259</v>
      </c>
      <c r="BW79" s="169" t="s">
        <v>259</v>
      </c>
      <c r="BX79" s="169" t="s">
        <v>259</v>
      </c>
      <c r="BY79" s="169" t="s">
        <v>259</v>
      </c>
      <c r="BZ79" s="169" t="s">
        <v>259</v>
      </c>
      <c r="CA79" s="169" t="s">
        <v>259</v>
      </c>
      <c r="CB79" s="169" t="s">
        <v>259</v>
      </c>
      <c r="CC79" s="169" t="s">
        <v>259</v>
      </c>
      <c r="CD79" s="169" t="s">
        <v>259</v>
      </c>
      <c r="CE79" s="169" t="s">
        <v>259</v>
      </c>
      <c r="CF79" s="169" t="s">
        <v>259</v>
      </c>
      <c r="CG79" s="169" t="s">
        <v>259</v>
      </c>
      <c r="CH79" s="169" t="s">
        <v>259</v>
      </c>
      <c r="CI79" s="169" t="s">
        <v>259</v>
      </c>
      <c r="CJ79" s="169" t="s">
        <v>259</v>
      </c>
      <c r="CK79" s="169" t="s">
        <v>259</v>
      </c>
      <c r="CL79" s="169" t="s">
        <v>259</v>
      </c>
      <c r="CM79" s="169" t="s">
        <v>259</v>
      </c>
      <c r="CN79" s="169" t="s">
        <v>259</v>
      </c>
      <c r="CO79" s="169" t="s">
        <v>259</v>
      </c>
      <c r="CP79" s="169" t="s">
        <v>259</v>
      </c>
      <c r="CQ79" s="169" t="s">
        <v>259</v>
      </c>
      <c r="CR79" s="169" t="s">
        <v>259</v>
      </c>
      <c r="CS79" s="169" t="s">
        <v>259</v>
      </c>
      <c r="CT79" s="169" t="s">
        <v>259</v>
      </c>
      <c r="CU79" s="169" t="s">
        <v>259</v>
      </c>
      <c r="CV79" s="169" t="s">
        <v>259</v>
      </c>
      <c r="CW79" s="169" t="s">
        <v>259</v>
      </c>
      <c r="CX79" s="169" t="s">
        <v>259</v>
      </c>
      <c r="CY79" s="169" t="s">
        <v>259</v>
      </c>
      <c r="CZ79" s="169" t="s">
        <v>259</v>
      </c>
      <c r="DA79" s="169" t="s">
        <v>259</v>
      </c>
      <c r="DB79" s="169" t="s">
        <v>259</v>
      </c>
      <c r="DC79" s="169" t="s">
        <v>259</v>
      </c>
      <c r="DD79" s="169" t="s">
        <v>259</v>
      </c>
      <c r="DE79" s="169" t="s">
        <v>259</v>
      </c>
      <c r="DF79" s="169" t="s">
        <v>259</v>
      </c>
      <c r="DG79" s="169" t="s">
        <v>259</v>
      </c>
      <c r="DH79" s="169" t="s">
        <v>259</v>
      </c>
      <c r="DI79" s="169" t="s">
        <v>259</v>
      </c>
      <c r="DJ79" s="169" t="s">
        <v>259</v>
      </c>
      <c r="DK79" s="169" t="s">
        <v>259</v>
      </c>
      <c r="DL79" s="169" t="s">
        <v>259</v>
      </c>
      <c r="DM79" s="169" t="s">
        <v>259</v>
      </c>
      <c r="DN79" s="169" t="s">
        <v>259</v>
      </c>
      <c r="DO79" s="169" t="s">
        <v>259</v>
      </c>
      <c r="DP79" s="169" t="s">
        <v>259</v>
      </c>
      <c r="DQ79" s="169" t="s">
        <v>259</v>
      </c>
      <c r="DR79" s="169" t="s">
        <v>259</v>
      </c>
      <c r="DS79" s="169" t="s">
        <v>259</v>
      </c>
      <c r="DT79" s="169" t="s">
        <v>259</v>
      </c>
    </row>
    <row r="80" spans="2:124" x14ac:dyDescent="0.3">
      <c r="B80" t="str">
        <f>'IMPORT SCHLIESSERDATEN'!B79</f>
        <v>TS 93 G GSR-EMR 1 /BG EN 5-7 Standfl.</v>
      </c>
      <c r="D80" s="169" t="s">
        <v>259</v>
      </c>
      <c r="E80" s="169" t="s">
        <v>259</v>
      </c>
      <c r="F80" s="169" t="s">
        <v>259</v>
      </c>
      <c r="G80" s="169" t="s">
        <v>259</v>
      </c>
      <c r="H80" s="169" t="s">
        <v>259</v>
      </c>
      <c r="I80" s="169" t="s">
        <v>259</v>
      </c>
      <c r="J80" s="169" t="s">
        <v>259</v>
      </c>
      <c r="K80" s="169" t="s">
        <v>259</v>
      </c>
      <c r="L80" s="169" t="s">
        <v>259</v>
      </c>
      <c r="M80" s="169" t="s">
        <v>259</v>
      </c>
      <c r="N80" s="169" t="s">
        <v>259</v>
      </c>
      <c r="O80" s="169" t="s">
        <v>259</v>
      </c>
      <c r="P80" s="169" t="s">
        <v>259</v>
      </c>
      <c r="Q80" s="169" t="s">
        <v>259</v>
      </c>
      <c r="R80" s="169" t="s">
        <v>259</v>
      </c>
      <c r="S80" s="169" t="s">
        <v>259</v>
      </c>
      <c r="T80" s="169" t="s">
        <v>259</v>
      </c>
      <c r="U80" s="169" t="s">
        <v>259</v>
      </c>
      <c r="V80" s="169" t="s">
        <v>259</v>
      </c>
      <c r="W80" s="169" t="s">
        <v>259</v>
      </c>
      <c r="X80" s="169" t="s">
        <v>259</v>
      </c>
      <c r="Y80" s="169" t="s">
        <v>259</v>
      </c>
      <c r="Z80" s="169" t="s">
        <v>259</v>
      </c>
      <c r="AA80" s="169" t="s">
        <v>259</v>
      </c>
      <c r="AB80" s="169" t="s">
        <v>259</v>
      </c>
      <c r="AC80" s="169" t="s">
        <v>259</v>
      </c>
      <c r="AD80" s="169" t="s">
        <v>259</v>
      </c>
      <c r="AE80" s="169" t="s">
        <v>259</v>
      </c>
      <c r="AF80" s="169" t="s">
        <v>259</v>
      </c>
      <c r="AG80" s="169" t="s">
        <v>259</v>
      </c>
      <c r="AH80" s="169" t="s">
        <v>259</v>
      </c>
      <c r="AI80" s="169" t="s">
        <v>259</v>
      </c>
      <c r="AJ80" s="169" t="s">
        <v>259</v>
      </c>
      <c r="AK80" s="169" t="s">
        <v>259</v>
      </c>
      <c r="AL80" s="169" t="s">
        <v>259</v>
      </c>
      <c r="AM80" s="169" t="s">
        <v>259</v>
      </c>
      <c r="AN80" s="169" t="s">
        <v>259</v>
      </c>
      <c r="AO80" s="169" t="s">
        <v>259</v>
      </c>
      <c r="AP80" s="169" t="s">
        <v>259</v>
      </c>
      <c r="AQ80" s="169" t="s">
        <v>259</v>
      </c>
      <c r="AR80" s="169" t="s">
        <v>259</v>
      </c>
      <c r="AS80" s="169" t="s">
        <v>259</v>
      </c>
      <c r="AT80" s="169" t="s">
        <v>259</v>
      </c>
      <c r="AU80" s="169" t="s">
        <v>259</v>
      </c>
      <c r="AV80" s="169" t="s">
        <v>259</v>
      </c>
      <c r="AW80" s="169" t="s">
        <v>259</v>
      </c>
      <c r="AX80" s="169" t="s">
        <v>259</v>
      </c>
      <c r="AY80" s="169" t="s">
        <v>259</v>
      </c>
      <c r="AZ80" s="169" t="s">
        <v>259</v>
      </c>
      <c r="BA80" s="169" t="s">
        <v>259</v>
      </c>
      <c r="BB80" s="169" t="s">
        <v>259</v>
      </c>
      <c r="BC80" s="169" t="s">
        <v>259</v>
      </c>
      <c r="BD80" s="169" t="s">
        <v>259</v>
      </c>
      <c r="BE80" s="169" t="s">
        <v>259</v>
      </c>
      <c r="BF80" s="169" t="s">
        <v>259</v>
      </c>
      <c r="BG80" s="169" t="s">
        <v>259</v>
      </c>
      <c r="BH80" s="169" t="s">
        <v>259</v>
      </c>
      <c r="BI80" s="169" t="s">
        <v>259</v>
      </c>
      <c r="BJ80" s="169" t="s">
        <v>259</v>
      </c>
      <c r="BK80" s="169" t="s">
        <v>259</v>
      </c>
      <c r="BL80" s="169" t="s">
        <v>259</v>
      </c>
      <c r="BM80" s="169" t="s">
        <v>259</v>
      </c>
      <c r="BN80" s="169" t="s">
        <v>259</v>
      </c>
      <c r="BO80" s="169" t="s">
        <v>259</v>
      </c>
      <c r="BP80" s="169" t="s">
        <v>259</v>
      </c>
      <c r="BQ80" s="169" t="s">
        <v>259</v>
      </c>
      <c r="BR80" s="169" t="s">
        <v>259</v>
      </c>
      <c r="BS80" s="169" t="s">
        <v>259</v>
      </c>
      <c r="BT80" s="169" t="s">
        <v>259</v>
      </c>
      <c r="BU80" s="169" t="s">
        <v>259</v>
      </c>
      <c r="BV80" s="169" t="s">
        <v>259</v>
      </c>
      <c r="BW80" s="169" t="s">
        <v>259</v>
      </c>
      <c r="BX80" s="169" t="s">
        <v>259</v>
      </c>
      <c r="BY80" s="169" t="s">
        <v>259</v>
      </c>
      <c r="BZ80" s="169" t="s">
        <v>259</v>
      </c>
      <c r="CA80" s="169" t="s">
        <v>259</v>
      </c>
      <c r="CB80" s="169" t="s">
        <v>259</v>
      </c>
      <c r="CC80" s="169" t="s">
        <v>259</v>
      </c>
      <c r="CD80" s="169" t="s">
        <v>259</v>
      </c>
      <c r="CE80" s="169" t="s">
        <v>259</v>
      </c>
      <c r="CF80" s="169" t="s">
        <v>259</v>
      </c>
      <c r="CG80" s="169" t="s">
        <v>259</v>
      </c>
      <c r="CH80" s="169" t="s">
        <v>259</v>
      </c>
      <c r="CI80" s="169" t="s">
        <v>259</v>
      </c>
      <c r="CJ80" s="169" t="s">
        <v>259</v>
      </c>
      <c r="CK80" s="169" t="s">
        <v>259</v>
      </c>
      <c r="CL80" s="169" t="s">
        <v>259</v>
      </c>
      <c r="CM80" s="169" t="s">
        <v>259</v>
      </c>
      <c r="CN80" s="169" t="s">
        <v>259</v>
      </c>
      <c r="CO80" s="169" t="s">
        <v>259</v>
      </c>
      <c r="CP80" s="169" t="s">
        <v>259</v>
      </c>
      <c r="CQ80" s="169" t="s">
        <v>259</v>
      </c>
      <c r="CR80" s="169" t="s">
        <v>259</v>
      </c>
      <c r="CS80" s="169" t="s">
        <v>259</v>
      </c>
      <c r="CT80" s="169" t="s">
        <v>259</v>
      </c>
      <c r="CU80" s="169" t="s">
        <v>259</v>
      </c>
      <c r="CV80" s="169" t="s">
        <v>259</v>
      </c>
      <c r="CW80" s="169" t="s">
        <v>259</v>
      </c>
      <c r="CX80" s="169" t="s">
        <v>259</v>
      </c>
      <c r="CY80" s="169" t="s">
        <v>259</v>
      </c>
      <c r="CZ80" s="169" t="s">
        <v>259</v>
      </c>
      <c r="DA80" s="169" t="s">
        <v>259</v>
      </c>
      <c r="DB80" s="169" t="s">
        <v>259</v>
      </c>
      <c r="DC80" s="169" t="s">
        <v>259</v>
      </c>
      <c r="DD80" s="169" t="s">
        <v>259</v>
      </c>
      <c r="DE80" s="169" t="s">
        <v>259</v>
      </c>
      <c r="DF80" s="169" t="s">
        <v>259</v>
      </c>
      <c r="DG80" s="169" t="s">
        <v>259</v>
      </c>
      <c r="DH80" s="169" t="s">
        <v>259</v>
      </c>
      <c r="DI80" s="169" t="s">
        <v>259</v>
      </c>
      <c r="DJ80" s="169" t="s">
        <v>259</v>
      </c>
      <c r="DK80" s="169" t="s">
        <v>259</v>
      </c>
      <c r="DL80" s="169" t="s">
        <v>259</v>
      </c>
      <c r="DM80" s="169" t="s">
        <v>259</v>
      </c>
      <c r="DN80" s="169" t="s">
        <v>259</v>
      </c>
      <c r="DO80" s="169" t="s">
        <v>259</v>
      </c>
      <c r="DP80" s="169" t="s">
        <v>259</v>
      </c>
      <c r="DQ80" s="169" t="s">
        <v>259</v>
      </c>
      <c r="DR80" s="169" t="s">
        <v>259</v>
      </c>
      <c r="DS80" s="169" t="s">
        <v>259</v>
      </c>
      <c r="DT80" s="169" t="s">
        <v>259</v>
      </c>
    </row>
    <row r="81" spans="2:124" x14ac:dyDescent="0.3">
      <c r="B81" t="str">
        <f>'IMPORT SCHLIESSERDATEN'!B80</f>
        <v>TS 93 G GSR-EMR 1G /BG EN 5-7 Standfl.</v>
      </c>
      <c r="D81" s="169" t="s">
        <v>259</v>
      </c>
      <c r="E81" s="169" t="s">
        <v>259</v>
      </c>
      <c r="F81" s="169" t="s">
        <v>259</v>
      </c>
      <c r="G81" s="169" t="s">
        <v>259</v>
      </c>
      <c r="H81" s="169" t="s">
        <v>259</v>
      </c>
      <c r="I81" s="169" t="s">
        <v>259</v>
      </c>
      <c r="J81" s="169" t="s">
        <v>259</v>
      </c>
      <c r="K81" s="169" t="s">
        <v>259</v>
      </c>
      <c r="L81" s="169" t="s">
        <v>259</v>
      </c>
      <c r="M81" s="169" t="s">
        <v>259</v>
      </c>
      <c r="N81" s="169" t="s">
        <v>259</v>
      </c>
      <c r="O81" s="169" t="s">
        <v>259</v>
      </c>
      <c r="P81" s="169" t="s">
        <v>259</v>
      </c>
      <c r="Q81" s="169" t="s">
        <v>259</v>
      </c>
      <c r="R81" s="169" t="s">
        <v>259</v>
      </c>
      <c r="S81" s="169" t="s">
        <v>259</v>
      </c>
      <c r="T81" s="169" t="s">
        <v>259</v>
      </c>
      <c r="U81" s="169" t="s">
        <v>259</v>
      </c>
      <c r="V81" s="169" t="s">
        <v>259</v>
      </c>
      <c r="W81" s="169" t="s">
        <v>259</v>
      </c>
      <c r="X81" s="169" t="s">
        <v>259</v>
      </c>
      <c r="Y81" s="169" t="s">
        <v>259</v>
      </c>
      <c r="Z81" s="169" t="s">
        <v>259</v>
      </c>
      <c r="AA81" s="169" t="s">
        <v>259</v>
      </c>
      <c r="AB81" s="169" t="s">
        <v>259</v>
      </c>
      <c r="AC81" s="169" t="s">
        <v>259</v>
      </c>
      <c r="AD81" s="169" t="s">
        <v>259</v>
      </c>
      <c r="AE81" s="169" t="s">
        <v>259</v>
      </c>
      <c r="AF81" s="169" t="s">
        <v>259</v>
      </c>
      <c r="AG81" s="169" t="s">
        <v>259</v>
      </c>
      <c r="AH81" s="169" t="s">
        <v>259</v>
      </c>
      <c r="AI81" s="169" t="s">
        <v>259</v>
      </c>
      <c r="AJ81" s="169" t="s">
        <v>259</v>
      </c>
      <c r="AK81" s="169" t="s">
        <v>259</v>
      </c>
      <c r="AL81" s="169" t="s">
        <v>259</v>
      </c>
      <c r="AM81" s="169" t="s">
        <v>259</v>
      </c>
      <c r="AN81" s="169" t="s">
        <v>259</v>
      </c>
      <c r="AO81" s="169" t="s">
        <v>259</v>
      </c>
      <c r="AP81" s="169" t="s">
        <v>259</v>
      </c>
      <c r="AQ81" s="169" t="s">
        <v>259</v>
      </c>
      <c r="AR81" s="169" t="s">
        <v>259</v>
      </c>
      <c r="AS81" s="169" t="s">
        <v>259</v>
      </c>
      <c r="AT81" s="169" t="s">
        <v>259</v>
      </c>
      <c r="AU81" s="169" t="s">
        <v>259</v>
      </c>
      <c r="AV81" s="169" t="s">
        <v>259</v>
      </c>
      <c r="AW81" s="169" t="s">
        <v>259</v>
      </c>
      <c r="AX81" s="169" t="s">
        <v>259</v>
      </c>
      <c r="AY81" s="169" t="s">
        <v>259</v>
      </c>
      <c r="AZ81" s="169" t="s">
        <v>259</v>
      </c>
      <c r="BA81" s="169" t="s">
        <v>259</v>
      </c>
      <c r="BB81" s="169" t="s">
        <v>259</v>
      </c>
      <c r="BC81" s="169" t="s">
        <v>259</v>
      </c>
      <c r="BD81" s="169" t="s">
        <v>259</v>
      </c>
      <c r="BE81" s="169" t="s">
        <v>259</v>
      </c>
      <c r="BF81" s="169" t="s">
        <v>259</v>
      </c>
      <c r="BG81" s="169" t="s">
        <v>259</v>
      </c>
      <c r="BH81" s="169" t="s">
        <v>259</v>
      </c>
      <c r="BI81" s="169" t="s">
        <v>259</v>
      </c>
      <c r="BJ81" s="169" t="s">
        <v>259</v>
      </c>
      <c r="BK81" s="169" t="s">
        <v>259</v>
      </c>
      <c r="BL81" s="169" t="s">
        <v>259</v>
      </c>
      <c r="BM81" s="169" t="s">
        <v>259</v>
      </c>
      <c r="BN81" s="169" t="s">
        <v>259</v>
      </c>
      <c r="BO81" s="169" t="s">
        <v>259</v>
      </c>
      <c r="BP81" s="169" t="s">
        <v>259</v>
      </c>
      <c r="BQ81" s="169" t="s">
        <v>259</v>
      </c>
      <c r="BR81" s="169" t="s">
        <v>259</v>
      </c>
      <c r="BS81" s="169" t="s">
        <v>259</v>
      </c>
      <c r="BT81" s="169" t="s">
        <v>259</v>
      </c>
      <c r="BU81" s="169" t="s">
        <v>259</v>
      </c>
      <c r="BV81" s="169" t="s">
        <v>259</v>
      </c>
      <c r="BW81" s="169" t="s">
        <v>259</v>
      </c>
      <c r="BX81" s="169" t="s">
        <v>259</v>
      </c>
      <c r="BY81" s="169" t="s">
        <v>259</v>
      </c>
      <c r="BZ81" s="169" t="s">
        <v>259</v>
      </c>
      <c r="CA81" s="169" t="s">
        <v>259</v>
      </c>
      <c r="CB81" s="169" t="s">
        <v>259</v>
      </c>
      <c r="CC81" s="169" t="s">
        <v>259</v>
      </c>
      <c r="CD81" s="169" t="s">
        <v>259</v>
      </c>
      <c r="CE81" s="169" t="s">
        <v>259</v>
      </c>
      <c r="CF81" s="169" t="s">
        <v>259</v>
      </c>
      <c r="CG81" s="169" t="s">
        <v>259</v>
      </c>
      <c r="CH81" s="169" t="s">
        <v>259</v>
      </c>
      <c r="CI81" s="169" t="s">
        <v>259</v>
      </c>
      <c r="CJ81" s="169" t="s">
        <v>259</v>
      </c>
      <c r="CK81" s="169" t="s">
        <v>259</v>
      </c>
      <c r="CL81" s="169" t="s">
        <v>259</v>
      </c>
      <c r="CM81" s="169" t="s">
        <v>259</v>
      </c>
      <c r="CN81" s="169" t="s">
        <v>259</v>
      </c>
      <c r="CO81" s="169" t="s">
        <v>259</v>
      </c>
      <c r="CP81" s="169" t="s">
        <v>259</v>
      </c>
      <c r="CQ81" s="169" t="s">
        <v>259</v>
      </c>
      <c r="CR81" s="169" t="s">
        <v>259</v>
      </c>
      <c r="CS81" s="169" t="s">
        <v>259</v>
      </c>
      <c r="CT81" s="169" t="s">
        <v>259</v>
      </c>
      <c r="CU81" s="169" t="s">
        <v>259</v>
      </c>
      <c r="CV81" s="169" t="s">
        <v>259</v>
      </c>
      <c r="CW81" s="169" t="s">
        <v>259</v>
      </c>
      <c r="CX81" s="169" t="s">
        <v>259</v>
      </c>
      <c r="CY81" s="169" t="s">
        <v>259</v>
      </c>
      <c r="CZ81" s="169" t="s">
        <v>259</v>
      </c>
      <c r="DA81" s="169" t="s">
        <v>259</v>
      </c>
      <c r="DB81" s="169" t="s">
        <v>259</v>
      </c>
      <c r="DC81" s="169" t="s">
        <v>259</v>
      </c>
      <c r="DD81" s="169" t="s">
        <v>259</v>
      </c>
      <c r="DE81" s="169" t="s">
        <v>259</v>
      </c>
      <c r="DF81" s="169" t="s">
        <v>259</v>
      </c>
      <c r="DG81" s="169" t="s">
        <v>259</v>
      </c>
      <c r="DH81" s="169" t="s">
        <v>259</v>
      </c>
      <c r="DI81" s="169" t="s">
        <v>259</v>
      </c>
      <c r="DJ81" s="169" t="s">
        <v>259</v>
      </c>
      <c r="DK81" s="169" t="s">
        <v>259</v>
      </c>
      <c r="DL81" s="169" t="s">
        <v>259</v>
      </c>
      <c r="DM81" s="169" t="s">
        <v>259</v>
      </c>
      <c r="DN81" s="169" t="s">
        <v>259</v>
      </c>
      <c r="DO81" s="169" t="s">
        <v>259</v>
      </c>
      <c r="DP81" s="169" t="s">
        <v>259</v>
      </c>
      <c r="DQ81" s="169" t="s">
        <v>259</v>
      </c>
      <c r="DR81" s="169" t="s">
        <v>259</v>
      </c>
      <c r="DS81" s="169" t="s">
        <v>259</v>
      </c>
      <c r="DT81" s="169" t="s">
        <v>259</v>
      </c>
    </row>
    <row r="82" spans="2:124" x14ac:dyDescent="0.3">
      <c r="B82" t="str">
        <f>'IMPORT SCHLIESSERDATEN'!B81</f>
        <v>TS 93 G GSR-EMR 2 /BG EN 5-7 Standfl.</v>
      </c>
      <c r="D82" s="169" t="s">
        <v>259</v>
      </c>
      <c r="E82" s="169" t="s">
        <v>259</v>
      </c>
      <c r="F82" s="169" t="s">
        <v>259</v>
      </c>
      <c r="G82" s="169" t="s">
        <v>259</v>
      </c>
      <c r="H82" s="169" t="s">
        <v>259</v>
      </c>
      <c r="I82" s="169" t="s">
        <v>259</v>
      </c>
      <c r="J82" s="169" t="s">
        <v>259</v>
      </c>
      <c r="K82" s="169" t="s">
        <v>259</v>
      </c>
      <c r="L82" s="169" t="s">
        <v>259</v>
      </c>
      <c r="M82" s="169" t="s">
        <v>259</v>
      </c>
      <c r="N82" s="169" t="s">
        <v>259</v>
      </c>
      <c r="O82" s="169" t="s">
        <v>259</v>
      </c>
      <c r="P82" s="169" t="s">
        <v>259</v>
      </c>
      <c r="Q82" s="169" t="s">
        <v>259</v>
      </c>
      <c r="R82" s="169" t="s">
        <v>259</v>
      </c>
      <c r="S82" s="169" t="s">
        <v>259</v>
      </c>
      <c r="T82" s="169" t="s">
        <v>259</v>
      </c>
      <c r="U82" s="169" t="s">
        <v>259</v>
      </c>
      <c r="V82" s="169" t="s">
        <v>259</v>
      </c>
      <c r="W82" s="169" t="s">
        <v>259</v>
      </c>
      <c r="X82" s="169" t="s">
        <v>259</v>
      </c>
      <c r="Y82" s="169" t="s">
        <v>259</v>
      </c>
      <c r="Z82" s="169" t="s">
        <v>259</v>
      </c>
      <c r="AA82" s="169" t="s">
        <v>259</v>
      </c>
      <c r="AB82" s="169" t="s">
        <v>259</v>
      </c>
      <c r="AC82" s="169" t="s">
        <v>259</v>
      </c>
      <c r="AD82" s="169" t="s">
        <v>259</v>
      </c>
      <c r="AE82" s="169" t="s">
        <v>259</v>
      </c>
      <c r="AF82" s="169" t="s">
        <v>259</v>
      </c>
      <c r="AG82" s="169" t="s">
        <v>259</v>
      </c>
      <c r="AH82" s="169" t="s">
        <v>259</v>
      </c>
      <c r="AI82" s="169" t="s">
        <v>259</v>
      </c>
      <c r="AJ82" s="169" t="s">
        <v>259</v>
      </c>
      <c r="AK82" s="169" t="s">
        <v>259</v>
      </c>
      <c r="AL82" s="169" t="s">
        <v>259</v>
      </c>
      <c r="AM82" s="169" t="s">
        <v>259</v>
      </c>
      <c r="AN82" s="169" t="s">
        <v>259</v>
      </c>
      <c r="AO82" s="169" t="s">
        <v>259</v>
      </c>
      <c r="AP82" s="169" t="s">
        <v>259</v>
      </c>
      <c r="AQ82" s="169" t="s">
        <v>259</v>
      </c>
      <c r="AR82" s="169" t="s">
        <v>259</v>
      </c>
      <c r="AS82" s="169" t="s">
        <v>259</v>
      </c>
      <c r="AT82" s="169" t="s">
        <v>259</v>
      </c>
      <c r="AU82" s="169" t="s">
        <v>259</v>
      </c>
      <c r="AV82" s="169" t="s">
        <v>259</v>
      </c>
      <c r="AW82" s="169" t="s">
        <v>259</v>
      </c>
      <c r="AX82" s="169" t="s">
        <v>259</v>
      </c>
      <c r="AY82" s="169" t="s">
        <v>259</v>
      </c>
      <c r="AZ82" s="169" t="s">
        <v>259</v>
      </c>
      <c r="BA82" s="169" t="s">
        <v>259</v>
      </c>
      <c r="BB82" s="169" t="s">
        <v>259</v>
      </c>
      <c r="BC82" s="169" t="s">
        <v>259</v>
      </c>
      <c r="BD82" s="169" t="s">
        <v>259</v>
      </c>
      <c r="BE82" s="169" t="s">
        <v>259</v>
      </c>
      <c r="BF82" s="169" t="s">
        <v>259</v>
      </c>
      <c r="BG82" s="169" t="s">
        <v>259</v>
      </c>
      <c r="BH82" s="169" t="s">
        <v>259</v>
      </c>
      <c r="BI82" s="169" t="s">
        <v>259</v>
      </c>
      <c r="BJ82" s="169" t="s">
        <v>259</v>
      </c>
      <c r="BK82" s="169" t="s">
        <v>259</v>
      </c>
      <c r="BL82" s="169" t="s">
        <v>259</v>
      </c>
      <c r="BM82" s="169" t="s">
        <v>259</v>
      </c>
      <c r="BN82" s="169" t="s">
        <v>259</v>
      </c>
      <c r="BO82" s="169" t="s">
        <v>259</v>
      </c>
      <c r="BP82" s="169" t="s">
        <v>259</v>
      </c>
      <c r="BQ82" s="169" t="s">
        <v>259</v>
      </c>
      <c r="BR82" s="169" t="s">
        <v>259</v>
      </c>
      <c r="BS82" s="169" t="s">
        <v>259</v>
      </c>
      <c r="BT82" s="169" t="s">
        <v>259</v>
      </c>
      <c r="BU82" s="169" t="s">
        <v>259</v>
      </c>
      <c r="BV82" s="169" t="s">
        <v>259</v>
      </c>
      <c r="BW82" s="169" t="s">
        <v>259</v>
      </c>
      <c r="BX82" s="169" t="s">
        <v>259</v>
      </c>
      <c r="BY82" s="169" t="s">
        <v>259</v>
      </c>
      <c r="BZ82" s="169" t="s">
        <v>259</v>
      </c>
      <c r="CA82" s="169" t="s">
        <v>259</v>
      </c>
      <c r="CB82" s="169" t="s">
        <v>259</v>
      </c>
      <c r="CC82" s="169" t="s">
        <v>259</v>
      </c>
      <c r="CD82" s="169" t="s">
        <v>259</v>
      </c>
      <c r="CE82" s="169" t="s">
        <v>259</v>
      </c>
      <c r="CF82" s="169" t="s">
        <v>259</v>
      </c>
      <c r="CG82" s="169" t="s">
        <v>259</v>
      </c>
      <c r="CH82" s="169" t="s">
        <v>259</v>
      </c>
      <c r="CI82" s="169" t="s">
        <v>259</v>
      </c>
      <c r="CJ82" s="169" t="s">
        <v>259</v>
      </c>
      <c r="CK82" s="169" t="s">
        <v>259</v>
      </c>
      <c r="CL82" s="169" t="s">
        <v>259</v>
      </c>
      <c r="CM82" s="169" t="s">
        <v>259</v>
      </c>
      <c r="CN82" s="169" t="s">
        <v>259</v>
      </c>
      <c r="CO82" s="169" t="s">
        <v>259</v>
      </c>
      <c r="CP82" s="169" t="s">
        <v>259</v>
      </c>
      <c r="CQ82" s="169" t="s">
        <v>259</v>
      </c>
      <c r="CR82" s="169" t="s">
        <v>259</v>
      </c>
      <c r="CS82" s="169" t="s">
        <v>259</v>
      </c>
      <c r="CT82" s="169" t="s">
        <v>259</v>
      </c>
      <c r="CU82" s="169" t="s">
        <v>259</v>
      </c>
      <c r="CV82" s="169" t="s">
        <v>259</v>
      </c>
      <c r="CW82" s="169" t="s">
        <v>259</v>
      </c>
      <c r="CX82" s="169" t="s">
        <v>259</v>
      </c>
      <c r="CY82" s="169" t="s">
        <v>259</v>
      </c>
      <c r="CZ82" s="169" t="s">
        <v>259</v>
      </c>
      <c r="DA82" s="169" t="s">
        <v>259</v>
      </c>
      <c r="DB82" s="169" t="s">
        <v>259</v>
      </c>
      <c r="DC82" s="169" t="s">
        <v>259</v>
      </c>
      <c r="DD82" s="169" t="s">
        <v>259</v>
      </c>
      <c r="DE82" s="169" t="s">
        <v>259</v>
      </c>
      <c r="DF82" s="169" t="s">
        <v>259</v>
      </c>
      <c r="DG82" s="169" t="s">
        <v>259</v>
      </c>
      <c r="DH82" s="169" t="s">
        <v>259</v>
      </c>
      <c r="DI82" s="169" t="s">
        <v>259</v>
      </c>
      <c r="DJ82" s="169" t="s">
        <v>259</v>
      </c>
      <c r="DK82" s="169" t="s">
        <v>259</v>
      </c>
      <c r="DL82" s="169" t="s">
        <v>259</v>
      </c>
      <c r="DM82" s="169" t="s">
        <v>259</v>
      </c>
      <c r="DN82" s="169" t="s">
        <v>259</v>
      </c>
      <c r="DO82" s="169" t="s">
        <v>259</v>
      </c>
      <c r="DP82" s="169" t="s">
        <v>259</v>
      </c>
      <c r="DQ82" s="169" t="s">
        <v>259</v>
      </c>
      <c r="DR82" s="169" t="s">
        <v>259</v>
      </c>
      <c r="DS82" s="169" t="s">
        <v>259</v>
      </c>
      <c r="DT82" s="169" t="s">
        <v>259</v>
      </c>
    </row>
    <row r="83" spans="2:124" x14ac:dyDescent="0.3">
      <c r="B83" t="str">
        <f>'IMPORT SCHLIESSERDATEN'!B82</f>
        <v>TS 97 EN 2-4</v>
      </c>
      <c r="D83" s="169" t="s">
        <v>259</v>
      </c>
      <c r="E83" s="169" t="s">
        <v>259</v>
      </c>
      <c r="F83" s="169" t="s">
        <v>259</v>
      </c>
      <c r="G83" s="169" t="s">
        <v>259</v>
      </c>
      <c r="H83" s="169" t="s">
        <v>259</v>
      </c>
      <c r="I83" s="169" t="s">
        <v>259</v>
      </c>
      <c r="J83" s="169" t="s">
        <v>259</v>
      </c>
      <c r="K83" s="169" t="s">
        <v>259</v>
      </c>
      <c r="L83" s="169" t="s">
        <v>259</v>
      </c>
      <c r="M83" s="169" t="s">
        <v>259</v>
      </c>
      <c r="N83" s="169" t="s">
        <v>259</v>
      </c>
      <c r="O83" s="169" t="s">
        <v>259</v>
      </c>
      <c r="P83" s="169" t="s">
        <v>259</v>
      </c>
      <c r="Q83" s="169" t="s">
        <v>259</v>
      </c>
      <c r="R83" s="169" t="s">
        <v>259</v>
      </c>
      <c r="S83" s="169" t="s">
        <v>259</v>
      </c>
      <c r="T83" s="169" t="s">
        <v>259</v>
      </c>
      <c r="U83" s="169" t="s">
        <v>259</v>
      </c>
      <c r="V83" s="169" t="s">
        <v>259</v>
      </c>
      <c r="W83" s="169" t="s">
        <v>259</v>
      </c>
      <c r="X83" s="169" t="s">
        <v>259</v>
      </c>
      <c r="Y83" s="169" t="s">
        <v>259</v>
      </c>
      <c r="Z83" s="169" t="s">
        <v>259</v>
      </c>
      <c r="AA83" s="169" t="s">
        <v>259</v>
      </c>
      <c r="AB83" s="169" t="s">
        <v>259</v>
      </c>
      <c r="AC83" s="169" t="s">
        <v>259</v>
      </c>
      <c r="AD83" s="169" t="s">
        <v>259</v>
      </c>
      <c r="AE83" s="169" t="s">
        <v>259</v>
      </c>
      <c r="AF83" s="169" t="s">
        <v>259</v>
      </c>
      <c r="AG83" s="169" t="s">
        <v>259</v>
      </c>
      <c r="AH83" s="169" t="s">
        <v>259</v>
      </c>
      <c r="AI83" s="169" t="s">
        <v>259</v>
      </c>
      <c r="AJ83" s="169" t="s">
        <v>259</v>
      </c>
      <c r="AK83" s="169" t="s">
        <v>259</v>
      </c>
      <c r="AL83" s="169" t="s">
        <v>259</v>
      </c>
      <c r="AM83" s="169" t="s">
        <v>259</v>
      </c>
      <c r="AN83" s="169" t="s">
        <v>259</v>
      </c>
      <c r="AO83" s="169" t="s">
        <v>259</v>
      </c>
      <c r="AP83" s="169" t="s">
        <v>259</v>
      </c>
      <c r="AQ83" s="169" t="s">
        <v>259</v>
      </c>
      <c r="AR83" s="169" t="s">
        <v>259</v>
      </c>
      <c r="AS83" s="169" t="s">
        <v>259</v>
      </c>
      <c r="AT83" s="169" t="s">
        <v>259</v>
      </c>
      <c r="AU83" s="169" t="s">
        <v>259</v>
      </c>
      <c r="AV83" s="169" t="s">
        <v>259</v>
      </c>
      <c r="AW83" s="169" t="s">
        <v>259</v>
      </c>
      <c r="AX83" s="169" t="s">
        <v>259</v>
      </c>
      <c r="AY83" s="169" t="s">
        <v>259</v>
      </c>
      <c r="AZ83" s="169" t="s">
        <v>259</v>
      </c>
      <c r="BA83" s="169" t="s">
        <v>259</v>
      </c>
      <c r="BB83" s="169" t="s">
        <v>259</v>
      </c>
      <c r="BC83" s="169" t="s">
        <v>259</v>
      </c>
      <c r="BD83" s="169" t="s">
        <v>259</v>
      </c>
      <c r="BE83" s="169" t="s">
        <v>259</v>
      </c>
      <c r="BF83" s="169" t="s">
        <v>259</v>
      </c>
      <c r="BG83" s="169" t="s">
        <v>259</v>
      </c>
      <c r="BH83" s="169" t="s">
        <v>259</v>
      </c>
      <c r="BI83" s="169" t="s">
        <v>259</v>
      </c>
      <c r="BJ83" s="169" t="s">
        <v>259</v>
      </c>
      <c r="BK83" s="169" t="s">
        <v>259</v>
      </c>
      <c r="BL83" s="169" t="s">
        <v>259</v>
      </c>
      <c r="BM83" s="169" t="s">
        <v>259</v>
      </c>
      <c r="BN83" s="169" t="s">
        <v>259</v>
      </c>
      <c r="BO83" s="169" t="s">
        <v>259</v>
      </c>
      <c r="BP83" s="169" t="s">
        <v>259</v>
      </c>
      <c r="BQ83" s="169" t="s">
        <v>259</v>
      </c>
      <c r="BR83" s="169" t="s">
        <v>259</v>
      </c>
      <c r="BS83" s="169" t="s">
        <v>259</v>
      </c>
      <c r="BT83" s="169" t="s">
        <v>259</v>
      </c>
      <c r="BU83" s="169" t="s">
        <v>259</v>
      </c>
      <c r="BV83" s="169" t="s">
        <v>259</v>
      </c>
      <c r="BW83" s="169" t="s">
        <v>259</v>
      </c>
      <c r="BX83" s="169" t="s">
        <v>259</v>
      </c>
      <c r="BY83" s="169" t="s">
        <v>259</v>
      </c>
      <c r="BZ83" s="169" t="s">
        <v>259</v>
      </c>
      <c r="CA83" s="169" t="s">
        <v>259</v>
      </c>
      <c r="CB83" s="169" t="s">
        <v>259</v>
      </c>
      <c r="CC83" s="169" t="s">
        <v>259</v>
      </c>
      <c r="CD83" s="169" t="s">
        <v>259</v>
      </c>
      <c r="CE83" s="169" t="s">
        <v>259</v>
      </c>
      <c r="CF83" s="169" t="s">
        <v>259</v>
      </c>
      <c r="CG83" s="169" t="s">
        <v>259</v>
      </c>
      <c r="CH83" s="169" t="s">
        <v>259</v>
      </c>
      <c r="CI83" s="169" t="s">
        <v>259</v>
      </c>
      <c r="CJ83" s="169" t="s">
        <v>259</v>
      </c>
      <c r="CK83" s="169" t="s">
        <v>259</v>
      </c>
      <c r="CL83" s="169" t="s">
        <v>259</v>
      </c>
      <c r="CM83" s="169" t="s">
        <v>259</v>
      </c>
      <c r="CN83" s="169" t="s">
        <v>259</v>
      </c>
      <c r="CO83" s="169" t="s">
        <v>259</v>
      </c>
      <c r="CP83" s="169" t="s">
        <v>259</v>
      </c>
      <c r="CQ83" s="169" t="s">
        <v>259</v>
      </c>
      <c r="CR83" s="169" t="s">
        <v>259</v>
      </c>
      <c r="CS83" s="169" t="s">
        <v>259</v>
      </c>
      <c r="CT83" s="169" t="s">
        <v>259</v>
      </c>
      <c r="CU83" s="169" t="s">
        <v>259</v>
      </c>
      <c r="CV83" s="169" t="s">
        <v>259</v>
      </c>
      <c r="CW83" s="169" t="s">
        <v>259</v>
      </c>
      <c r="CX83" s="169" t="s">
        <v>259</v>
      </c>
      <c r="CY83" s="169" t="s">
        <v>259</v>
      </c>
      <c r="CZ83" s="169" t="s">
        <v>259</v>
      </c>
      <c r="DA83" s="169" t="s">
        <v>259</v>
      </c>
      <c r="DB83" s="169" t="s">
        <v>259</v>
      </c>
      <c r="DC83" s="169" t="s">
        <v>259</v>
      </c>
      <c r="DD83" s="169" t="s">
        <v>259</v>
      </c>
      <c r="DE83" s="169" t="s">
        <v>259</v>
      </c>
      <c r="DF83" s="169" t="s">
        <v>259</v>
      </c>
      <c r="DG83" s="169" t="s">
        <v>259</v>
      </c>
      <c r="DH83" s="169" t="s">
        <v>259</v>
      </c>
      <c r="DI83" s="169" t="s">
        <v>259</v>
      </c>
      <c r="DJ83" s="169" t="s">
        <v>259</v>
      </c>
      <c r="DK83" s="169" t="s">
        <v>259</v>
      </c>
      <c r="DL83" s="169" t="s">
        <v>259</v>
      </c>
      <c r="DM83" s="169" t="s">
        <v>259</v>
      </c>
      <c r="DN83" s="169" t="s">
        <v>259</v>
      </c>
      <c r="DO83" s="169" t="s">
        <v>259</v>
      </c>
      <c r="DP83" s="169" t="s">
        <v>259</v>
      </c>
      <c r="DQ83" s="169" t="s">
        <v>259</v>
      </c>
      <c r="DR83" s="169" t="s">
        <v>259</v>
      </c>
      <c r="DS83" s="169" t="s">
        <v>259</v>
      </c>
      <c r="DT83" s="169" t="s">
        <v>259</v>
      </c>
    </row>
    <row r="84" spans="2:124" x14ac:dyDescent="0.3">
      <c r="B84" t="str">
        <f>'IMPORT SCHLIESSERDATEN'!B83</f>
        <v>TS 97 RF EN 2-4</v>
      </c>
      <c r="D84" s="169" t="s">
        <v>259</v>
      </c>
      <c r="E84" s="169" t="s">
        <v>259</v>
      </c>
      <c r="F84" s="169" t="s">
        <v>259</v>
      </c>
      <c r="G84" s="169" t="s">
        <v>259</v>
      </c>
      <c r="H84" s="169" t="s">
        <v>259</v>
      </c>
      <c r="I84" s="169" t="s">
        <v>259</v>
      </c>
      <c r="J84" s="169" t="s">
        <v>259</v>
      </c>
      <c r="K84" s="169" t="s">
        <v>259</v>
      </c>
      <c r="L84" s="169" t="s">
        <v>259</v>
      </c>
      <c r="M84" s="169" t="s">
        <v>259</v>
      </c>
      <c r="N84" s="169" t="s">
        <v>259</v>
      </c>
      <c r="O84" s="169" t="s">
        <v>259</v>
      </c>
      <c r="P84" s="169" t="s">
        <v>259</v>
      </c>
      <c r="Q84" s="169" t="s">
        <v>259</v>
      </c>
      <c r="R84" s="169" t="s">
        <v>259</v>
      </c>
      <c r="S84" s="169" t="s">
        <v>259</v>
      </c>
      <c r="T84" s="169" t="s">
        <v>259</v>
      </c>
      <c r="U84" s="169" t="s">
        <v>259</v>
      </c>
      <c r="V84" s="169" t="s">
        <v>259</v>
      </c>
      <c r="W84" s="169" t="s">
        <v>259</v>
      </c>
      <c r="X84" s="169" t="s">
        <v>259</v>
      </c>
      <c r="Y84" s="169" t="s">
        <v>259</v>
      </c>
      <c r="Z84" s="169" t="s">
        <v>259</v>
      </c>
      <c r="AA84" s="169" t="s">
        <v>259</v>
      </c>
      <c r="AB84" s="169" t="s">
        <v>259</v>
      </c>
      <c r="AC84" s="169" t="s">
        <v>259</v>
      </c>
      <c r="AD84" s="169" t="s">
        <v>259</v>
      </c>
      <c r="AE84" s="169" t="s">
        <v>259</v>
      </c>
      <c r="AF84" s="169" t="s">
        <v>259</v>
      </c>
      <c r="AG84" s="169" t="s">
        <v>259</v>
      </c>
      <c r="AH84" s="169" t="s">
        <v>259</v>
      </c>
      <c r="AI84" s="169" t="s">
        <v>259</v>
      </c>
      <c r="AJ84" s="169" t="s">
        <v>259</v>
      </c>
      <c r="AK84" s="169" t="s">
        <v>259</v>
      </c>
      <c r="AL84" s="169" t="s">
        <v>259</v>
      </c>
      <c r="AM84" s="169" t="s">
        <v>259</v>
      </c>
      <c r="AN84" s="169" t="s">
        <v>259</v>
      </c>
      <c r="AO84" s="169" t="s">
        <v>259</v>
      </c>
      <c r="AP84" s="169" t="s">
        <v>259</v>
      </c>
      <c r="AQ84" s="169" t="s">
        <v>259</v>
      </c>
      <c r="AR84" s="169" t="s">
        <v>259</v>
      </c>
      <c r="AS84" s="169" t="s">
        <v>259</v>
      </c>
      <c r="AT84" s="169" t="s">
        <v>259</v>
      </c>
      <c r="AU84" s="169" t="s">
        <v>259</v>
      </c>
      <c r="AV84" s="169" t="s">
        <v>259</v>
      </c>
      <c r="AW84" s="169" t="s">
        <v>259</v>
      </c>
      <c r="AX84" s="169" t="s">
        <v>259</v>
      </c>
      <c r="AY84" s="169" t="s">
        <v>259</v>
      </c>
      <c r="AZ84" s="169" t="s">
        <v>259</v>
      </c>
      <c r="BA84" s="169" t="s">
        <v>259</v>
      </c>
      <c r="BB84" s="169" t="s">
        <v>259</v>
      </c>
      <c r="BC84" s="169" t="s">
        <v>259</v>
      </c>
      <c r="BD84" s="169" t="s">
        <v>259</v>
      </c>
      <c r="BE84" s="169" t="s">
        <v>259</v>
      </c>
      <c r="BF84" s="169" t="s">
        <v>259</v>
      </c>
      <c r="BG84" s="169" t="s">
        <v>259</v>
      </c>
      <c r="BH84" s="169" t="s">
        <v>259</v>
      </c>
      <c r="BI84" s="169" t="s">
        <v>259</v>
      </c>
      <c r="BJ84" s="169" t="s">
        <v>259</v>
      </c>
      <c r="BK84" s="169" t="s">
        <v>259</v>
      </c>
      <c r="BL84" s="169" t="s">
        <v>259</v>
      </c>
      <c r="BM84" s="169" t="s">
        <v>259</v>
      </c>
      <c r="BN84" s="169" t="s">
        <v>259</v>
      </c>
      <c r="BO84" s="169" t="s">
        <v>259</v>
      </c>
      <c r="BP84" s="169" t="s">
        <v>259</v>
      </c>
      <c r="BQ84" s="169" t="s">
        <v>259</v>
      </c>
      <c r="BR84" s="169" t="s">
        <v>259</v>
      </c>
      <c r="BS84" s="169" t="s">
        <v>259</v>
      </c>
      <c r="BT84" s="169" t="s">
        <v>259</v>
      </c>
      <c r="BU84" s="169" t="s">
        <v>259</v>
      </c>
      <c r="BV84" s="169" t="s">
        <v>259</v>
      </c>
      <c r="BW84" s="169" t="s">
        <v>259</v>
      </c>
      <c r="BX84" s="169" t="s">
        <v>259</v>
      </c>
      <c r="BY84" s="169" t="s">
        <v>259</v>
      </c>
      <c r="BZ84" s="169" t="s">
        <v>259</v>
      </c>
      <c r="CA84" s="169" t="s">
        <v>259</v>
      </c>
      <c r="CB84" s="169" t="s">
        <v>259</v>
      </c>
      <c r="CC84" s="169" t="s">
        <v>259</v>
      </c>
      <c r="CD84" s="169" t="s">
        <v>259</v>
      </c>
      <c r="CE84" s="169" t="s">
        <v>259</v>
      </c>
      <c r="CF84" s="169" t="s">
        <v>259</v>
      </c>
      <c r="CG84" s="169" t="s">
        <v>259</v>
      </c>
      <c r="CH84" s="169" t="s">
        <v>259</v>
      </c>
      <c r="CI84" s="169" t="s">
        <v>259</v>
      </c>
      <c r="CJ84" s="169" t="s">
        <v>259</v>
      </c>
      <c r="CK84" s="169" t="s">
        <v>259</v>
      </c>
      <c r="CL84" s="169" t="s">
        <v>259</v>
      </c>
      <c r="CM84" s="169" t="s">
        <v>259</v>
      </c>
      <c r="CN84" s="169" t="s">
        <v>259</v>
      </c>
      <c r="CO84" s="169" t="s">
        <v>259</v>
      </c>
      <c r="CP84" s="169" t="s">
        <v>259</v>
      </c>
      <c r="CQ84" s="169" t="s">
        <v>259</v>
      </c>
      <c r="CR84" s="169" t="s">
        <v>259</v>
      </c>
      <c r="CS84" s="169" t="s">
        <v>259</v>
      </c>
      <c r="CT84" s="169" t="s">
        <v>259</v>
      </c>
      <c r="CU84" s="169" t="s">
        <v>259</v>
      </c>
      <c r="CV84" s="169" t="s">
        <v>259</v>
      </c>
      <c r="CW84" s="169" t="s">
        <v>259</v>
      </c>
      <c r="CX84" s="169" t="s">
        <v>259</v>
      </c>
      <c r="CY84" s="169" t="s">
        <v>259</v>
      </c>
      <c r="CZ84" s="169" t="s">
        <v>259</v>
      </c>
      <c r="DA84" s="169" t="s">
        <v>259</v>
      </c>
      <c r="DB84" s="169" t="s">
        <v>259</v>
      </c>
      <c r="DC84" s="169" t="s">
        <v>259</v>
      </c>
      <c r="DD84" s="169" t="s">
        <v>259</v>
      </c>
      <c r="DE84" s="169" t="s">
        <v>259</v>
      </c>
      <c r="DF84" s="169" t="s">
        <v>259</v>
      </c>
      <c r="DG84" s="169" t="s">
        <v>259</v>
      </c>
      <c r="DH84" s="169" t="s">
        <v>259</v>
      </c>
      <c r="DI84" s="169" t="s">
        <v>259</v>
      </c>
      <c r="DJ84" s="169" t="s">
        <v>259</v>
      </c>
      <c r="DK84" s="169" t="s">
        <v>259</v>
      </c>
      <c r="DL84" s="169" t="s">
        <v>259</v>
      </c>
      <c r="DM84" s="169" t="s">
        <v>259</v>
      </c>
      <c r="DN84" s="169" t="s">
        <v>259</v>
      </c>
      <c r="DO84" s="169" t="s">
        <v>259</v>
      </c>
      <c r="DP84" s="169" t="s">
        <v>259</v>
      </c>
      <c r="DQ84" s="169" t="s">
        <v>259</v>
      </c>
      <c r="DR84" s="169" t="s">
        <v>259</v>
      </c>
      <c r="DS84" s="169" t="s">
        <v>259</v>
      </c>
      <c r="DT84" s="169" t="s">
        <v>259</v>
      </c>
    </row>
    <row r="85" spans="2:124" x14ac:dyDescent="0.3">
      <c r="B85" t="str">
        <f>'IMPORT SCHLIESSERDATEN'!B84</f>
        <v>TS 98 XEA EN 1-6</v>
      </c>
      <c r="D85" s="169" t="s">
        <v>259</v>
      </c>
      <c r="E85" s="169" t="s">
        <v>259</v>
      </c>
      <c r="F85" s="169" t="s">
        <v>259</v>
      </c>
      <c r="G85" s="169" t="s">
        <v>259</v>
      </c>
      <c r="H85" s="169" t="s">
        <v>259</v>
      </c>
      <c r="I85" s="169" t="s">
        <v>259</v>
      </c>
      <c r="J85" s="169" t="s">
        <v>259</v>
      </c>
      <c r="K85" s="169" t="s">
        <v>259</v>
      </c>
      <c r="L85" s="169" t="s">
        <v>259</v>
      </c>
      <c r="M85" s="169" t="s">
        <v>259</v>
      </c>
      <c r="N85" s="169" t="s">
        <v>259</v>
      </c>
      <c r="O85" s="169" t="s">
        <v>259</v>
      </c>
      <c r="P85" s="169" t="s">
        <v>259</v>
      </c>
      <c r="Q85" s="169" t="s">
        <v>259</v>
      </c>
      <c r="R85" s="169" t="s">
        <v>259</v>
      </c>
      <c r="S85" s="169" t="s">
        <v>259</v>
      </c>
      <c r="T85" s="169" t="s">
        <v>259</v>
      </c>
      <c r="U85" s="169" t="s">
        <v>259</v>
      </c>
      <c r="V85" s="169" t="s">
        <v>259</v>
      </c>
      <c r="W85" s="169" t="s">
        <v>259</v>
      </c>
      <c r="X85" s="169" t="s">
        <v>259</v>
      </c>
      <c r="Y85" s="169" t="s">
        <v>259</v>
      </c>
      <c r="Z85" s="169" t="s">
        <v>259</v>
      </c>
      <c r="AA85" s="169" t="s">
        <v>259</v>
      </c>
      <c r="AB85" s="169" t="s">
        <v>259</v>
      </c>
      <c r="AC85" s="169" t="s">
        <v>259</v>
      </c>
      <c r="AD85" s="169" t="s">
        <v>259</v>
      </c>
      <c r="AE85" s="169" t="s">
        <v>259</v>
      </c>
      <c r="AF85" s="169" t="s">
        <v>259</v>
      </c>
      <c r="AG85" s="169" t="s">
        <v>259</v>
      </c>
      <c r="AH85" s="169" t="s">
        <v>259</v>
      </c>
      <c r="AI85" s="169" t="s">
        <v>259</v>
      </c>
      <c r="AJ85" s="169" t="s">
        <v>259</v>
      </c>
      <c r="AK85" s="169" t="s">
        <v>259</v>
      </c>
      <c r="AL85" s="169" t="s">
        <v>259</v>
      </c>
      <c r="AM85" s="169" t="s">
        <v>259</v>
      </c>
      <c r="AN85" s="169" t="s">
        <v>259</v>
      </c>
      <c r="AO85" s="169" t="s">
        <v>259</v>
      </c>
      <c r="AP85" s="169" t="s">
        <v>259</v>
      </c>
      <c r="AQ85" s="169" t="s">
        <v>259</v>
      </c>
      <c r="AR85" s="169" t="s">
        <v>259</v>
      </c>
      <c r="AS85" s="169" t="s">
        <v>259</v>
      </c>
      <c r="AT85" s="169" t="s">
        <v>259</v>
      </c>
      <c r="AU85" s="169" t="s">
        <v>259</v>
      </c>
      <c r="AV85" s="169" t="s">
        <v>259</v>
      </c>
      <c r="AW85" s="169" t="s">
        <v>259</v>
      </c>
      <c r="AX85" s="169" t="s">
        <v>259</v>
      </c>
      <c r="AY85" s="169" t="s">
        <v>259</v>
      </c>
      <c r="AZ85" s="169" t="s">
        <v>259</v>
      </c>
      <c r="BA85" s="169" t="s">
        <v>259</v>
      </c>
      <c r="BB85" s="169" t="s">
        <v>259</v>
      </c>
      <c r="BC85" s="169" t="s">
        <v>259</v>
      </c>
      <c r="BD85" s="169" t="s">
        <v>259</v>
      </c>
      <c r="BE85" s="169" t="s">
        <v>259</v>
      </c>
      <c r="BF85" s="169" t="s">
        <v>259</v>
      </c>
      <c r="BG85" s="169" t="s">
        <v>259</v>
      </c>
      <c r="BH85" s="169" t="s">
        <v>259</v>
      </c>
      <c r="BI85" s="169" t="s">
        <v>259</v>
      </c>
      <c r="BJ85" s="169" t="s">
        <v>259</v>
      </c>
      <c r="BK85" s="169" t="s">
        <v>259</v>
      </c>
      <c r="BL85" s="169" t="s">
        <v>259</v>
      </c>
      <c r="BM85" s="169" t="s">
        <v>259</v>
      </c>
      <c r="BN85" s="169" t="s">
        <v>259</v>
      </c>
      <c r="BO85" s="169" t="s">
        <v>259</v>
      </c>
      <c r="BP85" s="169" t="s">
        <v>259</v>
      </c>
      <c r="BQ85" s="169" t="s">
        <v>259</v>
      </c>
      <c r="BR85" s="169" t="s">
        <v>259</v>
      </c>
      <c r="BS85" s="169" t="s">
        <v>259</v>
      </c>
      <c r="BT85" s="169" t="s">
        <v>259</v>
      </c>
      <c r="BU85" s="169" t="s">
        <v>259</v>
      </c>
      <c r="BV85" s="169" t="s">
        <v>259</v>
      </c>
      <c r="BW85" s="169" t="s">
        <v>259</v>
      </c>
      <c r="BX85" s="169" t="s">
        <v>259</v>
      </c>
      <c r="BY85" s="169" t="s">
        <v>259</v>
      </c>
      <c r="BZ85" s="169" t="s">
        <v>259</v>
      </c>
      <c r="CA85" s="169" t="s">
        <v>259</v>
      </c>
      <c r="CB85" s="169" t="s">
        <v>259</v>
      </c>
      <c r="CC85" s="169" t="s">
        <v>259</v>
      </c>
      <c r="CD85" s="169" t="s">
        <v>259</v>
      </c>
      <c r="CE85" s="169" t="s">
        <v>259</v>
      </c>
      <c r="CF85" s="169" t="s">
        <v>259</v>
      </c>
      <c r="CG85" s="169" t="s">
        <v>259</v>
      </c>
      <c r="CH85" s="169" t="s">
        <v>259</v>
      </c>
      <c r="CI85" s="169" t="s">
        <v>259</v>
      </c>
      <c r="CJ85" s="169" t="s">
        <v>259</v>
      </c>
      <c r="CK85" s="169" t="s">
        <v>259</v>
      </c>
      <c r="CL85" s="169" t="s">
        <v>259</v>
      </c>
      <c r="CM85" s="169" t="s">
        <v>259</v>
      </c>
      <c r="CN85" s="169" t="s">
        <v>259</v>
      </c>
      <c r="CO85" s="169" t="s">
        <v>259</v>
      </c>
      <c r="CP85" s="169" t="s">
        <v>259</v>
      </c>
      <c r="CQ85" s="169" t="s">
        <v>259</v>
      </c>
      <c r="CR85" s="169" t="s">
        <v>259</v>
      </c>
      <c r="CS85" s="169" t="s">
        <v>259</v>
      </c>
      <c r="CT85" s="169" t="s">
        <v>259</v>
      </c>
      <c r="CU85" s="169" t="s">
        <v>259</v>
      </c>
      <c r="CV85" s="169" t="s">
        <v>259</v>
      </c>
      <c r="CW85" s="169" t="s">
        <v>259</v>
      </c>
      <c r="CX85" s="169" t="s">
        <v>259</v>
      </c>
      <c r="CY85" s="169" t="s">
        <v>259</v>
      </c>
      <c r="CZ85" s="169" t="s">
        <v>259</v>
      </c>
      <c r="DA85" s="169" t="s">
        <v>259</v>
      </c>
      <c r="DB85" s="169" t="s">
        <v>259</v>
      </c>
      <c r="DC85" s="169" t="s">
        <v>259</v>
      </c>
      <c r="DD85" s="169" t="s">
        <v>259</v>
      </c>
      <c r="DE85" s="169" t="s">
        <v>259</v>
      </c>
      <c r="DF85" s="169" t="s">
        <v>259</v>
      </c>
      <c r="DG85" s="169" t="s">
        <v>259</v>
      </c>
      <c r="DH85" s="169" t="s">
        <v>259</v>
      </c>
      <c r="DI85" s="169" t="s">
        <v>259</v>
      </c>
      <c r="DJ85" s="169" t="s">
        <v>259</v>
      </c>
      <c r="DK85" s="169" t="s">
        <v>259</v>
      </c>
      <c r="DL85" s="169" t="s">
        <v>259</v>
      </c>
      <c r="DM85" s="169" t="s">
        <v>259</v>
      </c>
      <c r="DN85" s="169" t="s">
        <v>259</v>
      </c>
      <c r="DO85" s="169" t="s">
        <v>259</v>
      </c>
      <c r="DP85" s="169" t="s">
        <v>259</v>
      </c>
      <c r="DQ85" s="169" t="s">
        <v>259</v>
      </c>
      <c r="DR85" s="169" t="s">
        <v>259</v>
      </c>
      <c r="DS85" s="169" t="s">
        <v>259</v>
      </c>
      <c r="DT85" s="169" t="s">
        <v>259</v>
      </c>
    </row>
    <row r="86" spans="2:124" x14ac:dyDescent="0.3">
      <c r="B86" t="str">
        <f>'IMPORT SCHLIESSERDATEN'!B85</f>
        <v>TS 98 RF XEA EN 1-6</v>
      </c>
      <c r="D86" s="169" t="s">
        <v>259</v>
      </c>
      <c r="E86" s="169" t="s">
        <v>259</v>
      </c>
      <c r="F86" s="169" t="s">
        <v>259</v>
      </c>
      <c r="G86" s="169" t="s">
        <v>259</v>
      </c>
      <c r="H86" s="169" t="s">
        <v>259</v>
      </c>
      <c r="I86" s="169" t="s">
        <v>259</v>
      </c>
      <c r="J86" s="169" t="s">
        <v>259</v>
      </c>
      <c r="K86" s="169" t="s">
        <v>259</v>
      </c>
      <c r="L86" s="169" t="s">
        <v>259</v>
      </c>
      <c r="M86" s="169" t="s">
        <v>259</v>
      </c>
      <c r="N86" s="169" t="s">
        <v>259</v>
      </c>
      <c r="O86" s="169" t="s">
        <v>259</v>
      </c>
      <c r="P86" s="169" t="s">
        <v>259</v>
      </c>
      <c r="Q86" s="169" t="s">
        <v>259</v>
      </c>
      <c r="R86" s="169" t="s">
        <v>259</v>
      </c>
      <c r="S86" s="169" t="s">
        <v>259</v>
      </c>
      <c r="T86" s="169" t="s">
        <v>259</v>
      </c>
      <c r="U86" s="169" t="s">
        <v>1995</v>
      </c>
      <c r="V86" s="169" t="s">
        <v>259</v>
      </c>
      <c r="W86" s="169" t="s">
        <v>259</v>
      </c>
      <c r="X86" s="169" t="s">
        <v>259</v>
      </c>
      <c r="Y86" s="169" t="s">
        <v>259</v>
      </c>
      <c r="Z86" s="169" t="s">
        <v>259</v>
      </c>
      <c r="AA86" s="169" t="s">
        <v>259</v>
      </c>
      <c r="AB86" s="169" t="s">
        <v>259</v>
      </c>
      <c r="AC86" s="169" t="s">
        <v>259</v>
      </c>
      <c r="AD86" s="169" t="s">
        <v>259</v>
      </c>
      <c r="AE86" s="169" t="s">
        <v>259</v>
      </c>
      <c r="AF86" s="169" t="s">
        <v>259</v>
      </c>
      <c r="AG86" s="169" t="s">
        <v>259</v>
      </c>
      <c r="AH86" s="169" t="s">
        <v>259</v>
      </c>
      <c r="AI86" s="169" t="s">
        <v>259</v>
      </c>
      <c r="AJ86" s="169" t="s">
        <v>259</v>
      </c>
      <c r="AK86" s="169" t="s">
        <v>259</v>
      </c>
      <c r="AL86" s="169" t="s">
        <v>259</v>
      </c>
      <c r="AM86" s="169" t="s">
        <v>259</v>
      </c>
      <c r="AN86" s="169" t="s">
        <v>259</v>
      </c>
      <c r="AO86" s="169" t="s">
        <v>259</v>
      </c>
      <c r="AP86" s="169" t="s">
        <v>259</v>
      </c>
      <c r="AQ86" s="169" t="s">
        <v>259</v>
      </c>
      <c r="AR86" s="169" t="s">
        <v>259</v>
      </c>
      <c r="AS86" s="169" t="s">
        <v>259</v>
      </c>
      <c r="AT86" s="169" t="s">
        <v>259</v>
      </c>
      <c r="AU86" s="169" t="s">
        <v>259</v>
      </c>
      <c r="AV86" s="169" t="s">
        <v>259</v>
      </c>
      <c r="AW86" s="169" t="s">
        <v>259</v>
      </c>
      <c r="AX86" s="169" t="s">
        <v>259</v>
      </c>
      <c r="AY86" s="169" t="s">
        <v>259</v>
      </c>
      <c r="AZ86" s="169" t="s">
        <v>259</v>
      </c>
      <c r="BA86" s="169" t="s">
        <v>259</v>
      </c>
      <c r="BB86" s="169" t="s">
        <v>259</v>
      </c>
      <c r="BC86" s="169" t="s">
        <v>259</v>
      </c>
      <c r="BD86" s="169" t="s">
        <v>259</v>
      </c>
      <c r="BE86" s="169" t="s">
        <v>259</v>
      </c>
      <c r="BF86" s="169" t="s">
        <v>259</v>
      </c>
      <c r="BG86" s="169" t="s">
        <v>259</v>
      </c>
      <c r="BH86" s="169" t="s">
        <v>259</v>
      </c>
      <c r="BI86" s="169" t="s">
        <v>259</v>
      </c>
      <c r="BJ86" s="169" t="s">
        <v>259</v>
      </c>
      <c r="BK86" s="169" t="s">
        <v>259</v>
      </c>
      <c r="BL86" s="169" t="s">
        <v>259</v>
      </c>
      <c r="BM86" s="169" t="s">
        <v>259</v>
      </c>
      <c r="BN86" s="169" t="s">
        <v>259</v>
      </c>
      <c r="BO86" s="169" t="s">
        <v>259</v>
      </c>
      <c r="BP86" s="169" t="s">
        <v>259</v>
      </c>
      <c r="BQ86" s="169" t="s">
        <v>259</v>
      </c>
      <c r="BR86" s="169" t="s">
        <v>259</v>
      </c>
      <c r="BS86" s="169" t="s">
        <v>259</v>
      </c>
      <c r="BT86" s="169" t="s">
        <v>259</v>
      </c>
      <c r="BU86" s="169" t="s">
        <v>259</v>
      </c>
      <c r="BV86" s="169" t="s">
        <v>259</v>
      </c>
      <c r="BW86" s="169" t="s">
        <v>259</v>
      </c>
      <c r="BX86" s="169" t="s">
        <v>259</v>
      </c>
      <c r="BY86" s="169" t="s">
        <v>259</v>
      </c>
      <c r="BZ86" s="169" t="s">
        <v>259</v>
      </c>
      <c r="CA86" s="169" t="s">
        <v>259</v>
      </c>
      <c r="CB86" s="169" t="s">
        <v>259</v>
      </c>
      <c r="CC86" s="169" t="s">
        <v>259</v>
      </c>
      <c r="CD86" s="169" t="s">
        <v>259</v>
      </c>
      <c r="CE86" s="169" t="s">
        <v>259</v>
      </c>
      <c r="CF86" s="169" t="s">
        <v>259</v>
      </c>
      <c r="CG86" s="169" t="s">
        <v>259</v>
      </c>
      <c r="CH86" s="169" t="s">
        <v>259</v>
      </c>
      <c r="CI86" s="169" t="s">
        <v>259</v>
      </c>
      <c r="CJ86" s="169" t="s">
        <v>259</v>
      </c>
      <c r="CK86" s="169" t="s">
        <v>259</v>
      </c>
      <c r="CL86" s="169" t="s">
        <v>259</v>
      </c>
      <c r="CM86" s="169" t="s">
        <v>259</v>
      </c>
      <c r="CN86" s="169" t="s">
        <v>259</v>
      </c>
      <c r="CO86" s="169" t="s">
        <v>259</v>
      </c>
      <c r="CP86" s="169" t="s">
        <v>259</v>
      </c>
      <c r="CQ86" s="169" t="s">
        <v>259</v>
      </c>
      <c r="CR86" s="169" t="s">
        <v>259</v>
      </c>
      <c r="CS86" s="169" t="s">
        <v>259</v>
      </c>
      <c r="CT86" s="169" t="s">
        <v>259</v>
      </c>
      <c r="CU86" s="169" t="s">
        <v>259</v>
      </c>
      <c r="CV86" s="169" t="s">
        <v>259</v>
      </c>
      <c r="CW86" s="169" t="s">
        <v>259</v>
      </c>
      <c r="CX86" s="169" t="s">
        <v>259</v>
      </c>
      <c r="CY86" s="169" t="s">
        <v>259</v>
      </c>
      <c r="CZ86" s="169" t="s">
        <v>259</v>
      </c>
      <c r="DA86" s="169" t="s">
        <v>259</v>
      </c>
      <c r="DB86" s="169" t="s">
        <v>259</v>
      </c>
      <c r="DC86" s="169" t="s">
        <v>259</v>
      </c>
      <c r="DD86" s="169" t="s">
        <v>259</v>
      </c>
      <c r="DE86" s="169" t="s">
        <v>259</v>
      </c>
      <c r="DF86" s="169" t="s">
        <v>259</v>
      </c>
      <c r="DG86" s="169" t="s">
        <v>259</v>
      </c>
      <c r="DH86" s="169" t="s">
        <v>259</v>
      </c>
      <c r="DI86" s="169" t="s">
        <v>259</v>
      </c>
      <c r="DJ86" s="169" t="s">
        <v>259</v>
      </c>
      <c r="DK86" s="169" t="s">
        <v>259</v>
      </c>
      <c r="DL86" s="169" t="s">
        <v>259</v>
      </c>
      <c r="DM86" s="169" t="s">
        <v>259</v>
      </c>
      <c r="DN86" s="169" t="s">
        <v>259</v>
      </c>
      <c r="DO86" s="169" t="s">
        <v>259</v>
      </c>
      <c r="DP86" s="169" t="s">
        <v>259</v>
      </c>
      <c r="DQ86" s="169" t="s">
        <v>259</v>
      </c>
      <c r="DR86" s="169" t="s">
        <v>259</v>
      </c>
      <c r="DS86" s="169" t="s">
        <v>259</v>
      </c>
      <c r="DT86" s="169" t="s">
        <v>259</v>
      </c>
    </row>
    <row r="87" spans="2:124" x14ac:dyDescent="0.3">
      <c r="B87" t="str">
        <f>'IMPORT SCHLIESSERDATEN'!B86</f>
        <v>TS 98 EMF XEA EN 1-6</v>
      </c>
      <c r="D87" s="169" t="s">
        <v>259</v>
      </c>
      <c r="E87" s="169" t="s">
        <v>259</v>
      </c>
      <c r="F87" s="169" t="s">
        <v>259</v>
      </c>
      <c r="G87" s="169" t="s">
        <v>259</v>
      </c>
      <c r="H87" s="169" t="s">
        <v>259</v>
      </c>
      <c r="I87" s="169" t="s">
        <v>259</v>
      </c>
      <c r="J87" s="169" t="s">
        <v>259</v>
      </c>
      <c r="K87" s="169" t="s">
        <v>259</v>
      </c>
      <c r="L87" s="169" t="s">
        <v>259</v>
      </c>
      <c r="M87" s="169" t="s">
        <v>259</v>
      </c>
      <c r="N87" s="169" t="s">
        <v>259</v>
      </c>
      <c r="O87" s="169" t="s">
        <v>259</v>
      </c>
      <c r="P87" s="169" t="s">
        <v>259</v>
      </c>
      <c r="Q87" s="169" t="s">
        <v>259</v>
      </c>
      <c r="R87" s="169" t="s">
        <v>259</v>
      </c>
      <c r="S87" s="169" t="s">
        <v>259</v>
      </c>
      <c r="T87" s="169" t="s">
        <v>259</v>
      </c>
      <c r="U87" s="169" t="s">
        <v>259</v>
      </c>
      <c r="V87" s="169" t="s">
        <v>259</v>
      </c>
      <c r="W87" s="169" t="s">
        <v>259</v>
      </c>
      <c r="X87" s="169" t="s">
        <v>259</v>
      </c>
      <c r="Y87" s="169" t="s">
        <v>259</v>
      </c>
      <c r="Z87" s="169" t="s">
        <v>259</v>
      </c>
      <c r="AA87" s="169" t="s">
        <v>259</v>
      </c>
      <c r="AB87" s="169" t="s">
        <v>259</v>
      </c>
      <c r="AC87" s="169" t="s">
        <v>259</v>
      </c>
      <c r="AD87" s="169" t="s">
        <v>259</v>
      </c>
      <c r="AE87" s="169" t="s">
        <v>259</v>
      </c>
      <c r="AF87" s="169" t="s">
        <v>259</v>
      </c>
      <c r="AG87" s="169" t="s">
        <v>259</v>
      </c>
      <c r="AH87" s="169" t="s">
        <v>259</v>
      </c>
      <c r="AI87" s="169" t="s">
        <v>259</v>
      </c>
      <c r="AJ87" s="169" t="s">
        <v>259</v>
      </c>
      <c r="AK87" s="169" t="s">
        <v>259</v>
      </c>
      <c r="AL87" s="169" t="s">
        <v>259</v>
      </c>
      <c r="AM87" s="169" t="s">
        <v>259</v>
      </c>
      <c r="AN87" s="169" t="s">
        <v>259</v>
      </c>
      <c r="AO87" s="169" t="s">
        <v>259</v>
      </c>
      <c r="AP87" s="169" t="s">
        <v>259</v>
      </c>
      <c r="AQ87" s="169" t="s">
        <v>259</v>
      </c>
      <c r="AR87" s="169" t="s">
        <v>259</v>
      </c>
      <c r="AS87" s="169" t="s">
        <v>259</v>
      </c>
      <c r="AT87" s="169" t="s">
        <v>259</v>
      </c>
      <c r="AU87" s="169" t="s">
        <v>259</v>
      </c>
      <c r="AV87" s="169" t="s">
        <v>259</v>
      </c>
      <c r="AW87" s="169" t="s">
        <v>259</v>
      </c>
      <c r="AX87" s="169" t="s">
        <v>259</v>
      </c>
      <c r="AY87" s="169" t="s">
        <v>259</v>
      </c>
      <c r="AZ87" s="169" t="s">
        <v>259</v>
      </c>
      <c r="BA87" s="169" t="s">
        <v>259</v>
      </c>
      <c r="BB87" s="169" t="s">
        <v>259</v>
      </c>
      <c r="BC87" s="169" t="s">
        <v>259</v>
      </c>
      <c r="BD87" s="169" t="s">
        <v>259</v>
      </c>
      <c r="BE87" s="169" t="s">
        <v>259</v>
      </c>
      <c r="BF87" s="169" t="s">
        <v>259</v>
      </c>
      <c r="BG87" s="169" t="s">
        <v>259</v>
      </c>
      <c r="BH87" s="169" t="s">
        <v>259</v>
      </c>
      <c r="BI87" s="169" t="s">
        <v>259</v>
      </c>
      <c r="BJ87" s="169" t="s">
        <v>259</v>
      </c>
      <c r="BK87" s="169" t="s">
        <v>259</v>
      </c>
      <c r="BL87" s="169" t="s">
        <v>259</v>
      </c>
      <c r="BM87" s="169" t="s">
        <v>259</v>
      </c>
      <c r="BN87" s="169" t="s">
        <v>259</v>
      </c>
      <c r="BO87" s="169" t="s">
        <v>259</v>
      </c>
      <c r="BP87" s="169" t="s">
        <v>259</v>
      </c>
      <c r="BQ87" s="169" t="s">
        <v>259</v>
      </c>
      <c r="BR87" s="169" t="s">
        <v>259</v>
      </c>
      <c r="BS87" s="169" t="s">
        <v>259</v>
      </c>
      <c r="BT87" s="169" t="s">
        <v>259</v>
      </c>
      <c r="BU87" s="169" t="s">
        <v>259</v>
      </c>
      <c r="BV87" s="169" t="s">
        <v>259</v>
      </c>
      <c r="BW87" s="169" t="s">
        <v>259</v>
      </c>
      <c r="BX87" s="169" t="s">
        <v>259</v>
      </c>
      <c r="BY87" s="169" t="s">
        <v>259</v>
      </c>
      <c r="BZ87" s="169" t="s">
        <v>259</v>
      </c>
      <c r="CA87" s="169" t="s">
        <v>259</v>
      </c>
      <c r="CB87" s="169" t="s">
        <v>259</v>
      </c>
      <c r="CC87" s="169" t="s">
        <v>259</v>
      </c>
      <c r="CD87" s="169" t="s">
        <v>259</v>
      </c>
      <c r="CE87" s="169" t="s">
        <v>259</v>
      </c>
      <c r="CF87" s="169" t="s">
        <v>259</v>
      </c>
      <c r="CG87" s="169" t="s">
        <v>259</v>
      </c>
      <c r="CH87" s="169" t="s">
        <v>259</v>
      </c>
      <c r="CI87" s="169" t="s">
        <v>259</v>
      </c>
      <c r="CJ87" s="169" t="s">
        <v>259</v>
      </c>
      <c r="CK87" s="169" t="s">
        <v>259</v>
      </c>
      <c r="CL87" s="169" t="s">
        <v>259</v>
      </c>
      <c r="CM87" s="169" t="s">
        <v>259</v>
      </c>
      <c r="CN87" s="169" t="s">
        <v>259</v>
      </c>
      <c r="CO87" s="169" t="s">
        <v>259</v>
      </c>
      <c r="CP87" s="169" t="s">
        <v>259</v>
      </c>
      <c r="CQ87" s="169" t="s">
        <v>259</v>
      </c>
      <c r="CR87" s="169" t="s">
        <v>259</v>
      </c>
      <c r="CS87" s="169" t="s">
        <v>259</v>
      </c>
      <c r="CT87" s="169" t="s">
        <v>259</v>
      </c>
      <c r="CU87" s="169" t="s">
        <v>259</v>
      </c>
      <c r="CV87" s="169" t="s">
        <v>259</v>
      </c>
      <c r="CW87" s="169" t="s">
        <v>259</v>
      </c>
      <c r="CX87" s="169" t="s">
        <v>259</v>
      </c>
      <c r="CY87" s="169" t="s">
        <v>259</v>
      </c>
      <c r="CZ87" s="169" t="s">
        <v>259</v>
      </c>
      <c r="DA87" s="169" t="s">
        <v>259</v>
      </c>
      <c r="DB87" s="169" t="s">
        <v>259</v>
      </c>
      <c r="DC87" s="169" t="s">
        <v>259</v>
      </c>
      <c r="DD87" s="169" t="s">
        <v>259</v>
      </c>
      <c r="DE87" s="169" t="s">
        <v>259</v>
      </c>
      <c r="DF87" s="169" t="s">
        <v>259</v>
      </c>
      <c r="DG87" s="169" t="s">
        <v>259</v>
      </c>
      <c r="DH87" s="169" t="s">
        <v>259</v>
      </c>
      <c r="DI87" s="169" t="s">
        <v>259</v>
      </c>
      <c r="DJ87" s="169" t="s">
        <v>259</v>
      </c>
      <c r="DK87" s="169" t="s">
        <v>259</v>
      </c>
      <c r="DL87" s="169" t="s">
        <v>259</v>
      </c>
      <c r="DM87" s="169" t="s">
        <v>259</v>
      </c>
      <c r="DN87" s="169" t="s">
        <v>259</v>
      </c>
      <c r="DO87" s="169" t="s">
        <v>259</v>
      </c>
      <c r="DP87" s="169" t="s">
        <v>259</v>
      </c>
      <c r="DQ87" s="169" t="s">
        <v>259</v>
      </c>
      <c r="DR87" s="169" t="s">
        <v>259</v>
      </c>
      <c r="DS87" s="169" t="s">
        <v>259</v>
      </c>
      <c r="DT87" s="169" t="s">
        <v>259</v>
      </c>
    </row>
    <row r="88" spans="2:124" x14ac:dyDescent="0.3">
      <c r="B88" t="str">
        <f>'IMPORT SCHLIESSERDATEN'!B87</f>
        <v>TS 98 EMR XEA EN 1-6</v>
      </c>
      <c r="D88" s="169" t="s">
        <v>259</v>
      </c>
      <c r="E88" s="169" t="s">
        <v>259</v>
      </c>
      <c r="F88" s="169" t="s">
        <v>259</v>
      </c>
      <c r="G88" s="169" t="s">
        <v>259</v>
      </c>
      <c r="H88" s="169" t="s">
        <v>259</v>
      </c>
      <c r="I88" s="169" t="s">
        <v>259</v>
      </c>
      <c r="J88" s="169" t="s">
        <v>259</v>
      </c>
      <c r="K88" s="169" t="s">
        <v>259</v>
      </c>
      <c r="L88" s="169" t="s">
        <v>259</v>
      </c>
      <c r="M88" s="169" t="s">
        <v>259</v>
      </c>
      <c r="N88" s="169" t="s">
        <v>259</v>
      </c>
      <c r="O88" s="169" t="s">
        <v>259</v>
      </c>
      <c r="P88" s="169" t="s">
        <v>259</v>
      </c>
      <c r="Q88" s="169" t="s">
        <v>259</v>
      </c>
      <c r="R88" s="169" t="s">
        <v>259</v>
      </c>
      <c r="S88" s="169" t="s">
        <v>259</v>
      </c>
      <c r="T88" s="169" t="s">
        <v>259</v>
      </c>
      <c r="U88" s="169" t="s">
        <v>259</v>
      </c>
      <c r="V88" s="169" t="s">
        <v>259</v>
      </c>
      <c r="W88" s="169" t="s">
        <v>259</v>
      </c>
      <c r="X88" s="169" t="s">
        <v>259</v>
      </c>
      <c r="Y88" s="169" t="s">
        <v>259</v>
      </c>
      <c r="Z88" s="169" t="s">
        <v>259</v>
      </c>
      <c r="AA88" s="169" t="s">
        <v>259</v>
      </c>
      <c r="AB88" s="169" t="s">
        <v>259</v>
      </c>
      <c r="AC88" s="169" t="s">
        <v>259</v>
      </c>
      <c r="AD88" s="169" t="s">
        <v>259</v>
      </c>
      <c r="AE88" s="169" t="s">
        <v>259</v>
      </c>
      <c r="AF88" s="169" t="s">
        <v>259</v>
      </c>
      <c r="AG88" s="169" t="s">
        <v>259</v>
      </c>
      <c r="AH88" s="169" t="s">
        <v>259</v>
      </c>
      <c r="AI88" s="169" t="s">
        <v>259</v>
      </c>
      <c r="AJ88" s="169" t="s">
        <v>259</v>
      </c>
      <c r="AK88" s="169" t="s">
        <v>259</v>
      </c>
      <c r="AL88" s="169" t="s">
        <v>259</v>
      </c>
      <c r="AM88" s="169" t="s">
        <v>259</v>
      </c>
      <c r="AN88" s="169" t="s">
        <v>259</v>
      </c>
      <c r="AO88" s="169" t="s">
        <v>259</v>
      </c>
      <c r="AP88" s="169" t="s">
        <v>259</v>
      </c>
      <c r="AQ88" s="169" t="s">
        <v>259</v>
      </c>
      <c r="AR88" s="169" t="s">
        <v>259</v>
      </c>
      <c r="AS88" s="169" t="s">
        <v>259</v>
      </c>
      <c r="AT88" s="169" t="s">
        <v>259</v>
      </c>
      <c r="AU88" s="169" t="s">
        <v>259</v>
      </c>
      <c r="AV88" s="169" t="s">
        <v>259</v>
      </c>
      <c r="AW88" s="169" t="s">
        <v>259</v>
      </c>
      <c r="AX88" s="169" t="s">
        <v>259</v>
      </c>
      <c r="AY88" s="169" t="s">
        <v>259</v>
      </c>
      <c r="AZ88" s="169" t="s">
        <v>259</v>
      </c>
      <c r="BA88" s="169" t="s">
        <v>259</v>
      </c>
      <c r="BB88" s="169" t="s">
        <v>259</v>
      </c>
      <c r="BC88" s="169" t="s">
        <v>259</v>
      </c>
      <c r="BD88" s="169" t="s">
        <v>259</v>
      </c>
      <c r="BE88" s="169" t="s">
        <v>259</v>
      </c>
      <c r="BF88" s="169" t="s">
        <v>259</v>
      </c>
      <c r="BG88" s="169" t="s">
        <v>259</v>
      </c>
      <c r="BH88" s="169" t="s">
        <v>259</v>
      </c>
      <c r="BI88" s="169" t="s">
        <v>259</v>
      </c>
      <c r="BJ88" s="169" t="s">
        <v>259</v>
      </c>
      <c r="BK88" s="169" t="s">
        <v>259</v>
      </c>
      <c r="BL88" s="169" t="s">
        <v>259</v>
      </c>
      <c r="BM88" s="169" t="s">
        <v>259</v>
      </c>
      <c r="BN88" s="169" t="s">
        <v>259</v>
      </c>
      <c r="BO88" s="169" t="s">
        <v>259</v>
      </c>
      <c r="BP88" s="169" t="s">
        <v>259</v>
      </c>
      <c r="BQ88" s="169" t="s">
        <v>259</v>
      </c>
      <c r="BR88" s="169" t="s">
        <v>259</v>
      </c>
      <c r="BS88" s="169" t="s">
        <v>259</v>
      </c>
      <c r="BT88" s="169" t="s">
        <v>259</v>
      </c>
      <c r="BU88" s="169" t="s">
        <v>259</v>
      </c>
      <c r="BV88" s="169" t="s">
        <v>259</v>
      </c>
      <c r="BW88" s="169" t="s">
        <v>259</v>
      </c>
      <c r="BX88" s="169" t="s">
        <v>259</v>
      </c>
      <c r="BY88" s="169" t="s">
        <v>259</v>
      </c>
      <c r="BZ88" s="169" t="s">
        <v>259</v>
      </c>
      <c r="CA88" s="169" t="s">
        <v>259</v>
      </c>
      <c r="CB88" s="169" t="s">
        <v>259</v>
      </c>
      <c r="CC88" s="169" t="s">
        <v>259</v>
      </c>
      <c r="CD88" s="169" t="s">
        <v>259</v>
      </c>
      <c r="CE88" s="169" t="s">
        <v>259</v>
      </c>
      <c r="CF88" s="169" t="s">
        <v>259</v>
      </c>
      <c r="CG88" s="169" t="s">
        <v>259</v>
      </c>
      <c r="CH88" s="169" t="s">
        <v>259</v>
      </c>
      <c r="CI88" s="169" t="s">
        <v>259</v>
      </c>
      <c r="CJ88" s="169" t="s">
        <v>259</v>
      </c>
      <c r="CK88" s="169" t="s">
        <v>259</v>
      </c>
      <c r="CL88" s="169" t="s">
        <v>259</v>
      </c>
      <c r="CM88" s="169" t="s">
        <v>259</v>
      </c>
      <c r="CN88" s="169" t="s">
        <v>259</v>
      </c>
      <c r="CO88" s="169" t="s">
        <v>259</v>
      </c>
      <c r="CP88" s="169" t="s">
        <v>259</v>
      </c>
      <c r="CQ88" s="169" t="s">
        <v>259</v>
      </c>
      <c r="CR88" s="169" t="s">
        <v>259</v>
      </c>
      <c r="CS88" s="169" t="s">
        <v>259</v>
      </c>
      <c r="CT88" s="169" t="s">
        <v>259</v>
      </c>
      <c r="CU88" s="169" t="s">
        <v>259</v>
      </c>
      <c r="CV88" s="169" t="s">
        <v>259</v>
      </c>
      <c r="CW88" s="169" t="s">
        <v>259</v>
      </c>
      <c r="CX88" s="169" t="s">
        <v>259</v>
      </c>
      <c r="CY88" s="169" t="s">
        <v>259</v>
      </c>
      <c r="CZ88" s="169" t="s">
        <v>259</v>
      </c>
      <c r="DA88" s="169" t="s">
        <v>259</v>
      </c>
      <c r="DB88" s="169" t="s">
        <v>259</v>
      </c>
      <c r="DC88" s="169" t="s">
        <v>259</v>
      </c>
      <c r="DD88" s="169" t="s">
        <v>259</v>
      </c>
      <c r="DE88" s="169" t="s">
        <v>259</v>
      </c>
      <c r="DF88" s="169" t="s">
        <v>259</v>
      </c>
      <c r="DG88" s="169" t="s">
        <v>259</v>
      </c>
      <c r="DH88" s="169" t="s">
        <v>259</v>
      </c>
      <c r="DI88" s="169" t="s">
        <v>259</v>
      </c>
      <c r="DJ88" s="169" t="s">
        <v>259</v>
      </c>
      <c r="DK88" s="169" t="s">
        <v>259</v>
      </c>
      <c r="DL88" s="169" t="s">
        <v>259</v>
      </c>
      <c r="DM88" s="169" t="s">
        <v>259</v>
      </c>
      <c r="DN88" s="169" t="s">
        <v>259</v>
      </c>
      <c r="DO88" s="169" t="s">
        <v>259</v>
      </c>
      <c r="DP88" s="169" t="s">
        <v>259</v>
      </c>
      <c r="DQ88" s="169" t="s">
        <v>259</v>
      </c>
      <c r="DR88" s="169" t="s">
        <v>259</v>
      </c>
      <c r="DS88" s="169" t="s">
        <v>259</v>
      </c>
      <c r="DT88" s="169" t="s">
        <v>259</v>
      </c>
    </row>
    <row r="89" spans="2:124" x14ac:dyDescent="0.3">
      <c r="B89" t="str">
        <f>'IMPORT SCHLIESSERDATEN'!B88</f>
        <v>TS 98 UVIBIS XEA EN 1-6</v>
      </c>
      <c r="D89" s="169" t="s">
        <v>259</v>
      </c>
      <c r="E89" s="169" t="s">
        <v>259</v>
      </c>
      <c r="F89" s="169" t="s">
        <v>259</v>
      </c>
      <c r="G89" s="169" t="s">
        <v>259</v>
      </c>
      <c r="H89" s="169" t="s">
        <v>259</v>
      </c>
      <c r="I89" s="169" t="s">
        <v>259</v>
      </c>
      <c r="J89" s="169" t="s">
        <v>259</v>
      </c>
      <c r="K89" s="169" t="s">
        <v>259</v>
      </c>
      <c r="L89" s="169" t="s">
        <v>259</v>
      </c>
      <c r="M89" s="169" t="s">
        <v>259</v>
      </c>
      <c r="N89" s="169" t="s">
        <v>259</v>
      </c>
      <c r="O89" s="169" t="s">
        <v>259</v>
      </c>
      <c r="P89" s="169" t="s">
        <v>259</v>
      </c>
      <c r="Q89" s="169" t="s">
        <v>259</v>
      </c>
      <c r="R89" s="169" t="s">
        <v>259</v>
      </c>
      <c r="S89" s="169" t="s">
        <v>259</v>
      </c>
      <c r="T89" s="169" t="s">
        <v>259</v>
      </c>
      <c r="U89" s="169" t="s">
        <v>259</v>
      </c>
      <c r="V89" s="169" t="s">
        <v>259</v>
      </c>
      <c r="W89" s="169" t="s">
        <v>259</v>
      </c>
      <c r="X89" s="169" t="s">
        <v>259</v>
      </c>
      <c r="Y89" s="169" t="s">
        <v>259</v>
      </c>
      <c r="Z89" s="169" t="s">
        <v>259</v>
      </c>
      <c r="AA89" s="169" t="s">
        <v>259</v>
      </c>
      <c r="AB89" s="169" t="s">
        <v>259</v>
      </c>
      <c r="AC89" s="169" t="s">
        <v>259</v>
      </c>
      <c r="AD89" s="169" t="s">
        <v>259</v>
      </c>
      <c r="AE89" s="169" t="s">
        <v>259</v>
      </c>
      <c r="AF89" s="169" t="s">
        <v>259</v>
      </c>
      <c r="AG89" s="169" t="s">
        <v>259</v>
      </c>
      <c r="AH89" s="169" t="s">
        <v>259</v>
      </c>
      <c r="AI89" s="169" t="s">
        <v>259</v>
      </c>
      <c r="AJ89" s="169" t="s">
        <v>259</v>
      </c>
      <c r="AK89" s="169" t="s">
        <v>259</v>
      </c>
      <c r="AL89" s="169" t="s">
        <v>259</v>
      </c>
      <c r="AM89" s="169" t="s">
        <v>259</v>
      </c>
      <c r="AN89" s="169" t="s">
        <v>259</v>
      </c>
      <c r="AO89" s="169" t="s">
        <v>259</v>
      </c>
      <c r="AP89" s="169" t="s">
        <v>259</v>
      </c>
      <c r="AQ89" s="169" t="s">
        <v>259</v>
      </c>
      <c r="AR89" s="169" t="s">
        <v>259</v>
      </c>
      <c r="AS89" s="169" t="s">
        <v>259</v>
      </c>
      <c r="AT89" s="169" t="s">
        <v>259</v>
      </c>
      <c r="AU89" s="169" t="s">
        <v>259</v>
      </c>
      <c r="AV89" s="169" t="s">
        <v>259</v>
      </c>
      <c r="AW89" s="169" t="s">
        <v>259</v>
      </c>
      <c r="AX89" s="169" t="s">
        <v>259</v>
      </c>
      <c r="AY89" s="169" t="s">
        <v>259</v>
      </c>
      <c r="AZ89" s="169" t="s">
        <v>259</v>
      </c>
      <c r="BA89" s="169" t="s">
        <v>259</v>
      </c>
      <c r="BB89" s="169" t="s">
        <v>259</v>
      </c>
      <c r="BC89" s="169" t="s">
        <v>259</v>
      </c>
      <c r="BD89" s="169" t="s">
        <v>259</v>
      </c>
      <c r="BE89" s="169" t="s">
        <v>259</v>
      </c>
      <c r="BF89" s="169" t="s">
        <v>259</v>
      </c>
      <c r="BG89" s="169" t="s">
        <v>259</v>
      </c>
      <c r="BH89" s="169" t="s">
        <v>259</v>
      </c>
      <c r="BI89" s="169" t="s">
        <v>259</v>
      </c>
      <c r="BJ89" s="169" t="s">
        <v>259</v>
      </c>
      <c r="BK89" s="169" t="s">
        <v>259</v>
      </c>
      <c r="BL89" s="169" t="s">
        <v>259</v>
      </c>
      <c r="BM89" s="169" t="s">
        <v>259</v>
      </c>
      <c r="BN89" s="169" t="s">
        <v>259</v>
      </c>
      <c r="BO89" s="169" t="s">
        <v>259</v>
      </c>
      <c r="BP89" s="169" t="s">
        <v>259</v>
      </c>
      <c r="BQ89" s="169" t="s">
        <v>259</v>
      </c>
      <c r="BR89" s="169" t="s">
        <v>259</v>
      </c>
      <c r="BS89" s="169" t="s">
        <v>259</v>
      </c>
      <c r="BT89" s="169" t="s">
        <v>259</v>
      </c>
      <c r="BU89" s="169" t="s">
        <v>259</v>
      </c>
      <c r="BV89" s="169" t="s">
        <v>259</v>
      </c>
      <c r="BW89" s="169" t="s">
        <v>259</v>
      </c>
      <c r="BX89" s="169" t="s">
        <v>259</v>
      </c>
      <c r="BY89" s="169" t="s">
        <v>259</v>
      </c>
      <c r="BZ89" s="169" t="s">
        <v>259</v>
      </c>
      <c r="CA89" s="169" t="s">
        <v>259</v>
      </c>
      <c r="CB89" s="169" t="s">
        <v>259</v>
      </c>
      <c r="CC89" s="169" t="s">
        <v>259</v>
      </c>
      <c r="CD89" s="169" t="s">
        <v>259</v>
      </c>
      <c r="CE89" s="169" t="s">
        <v>259</v>
      </c>
      <c r="CF89" s="169" t="s">
        <v>259</v>
      </c>
      <c r="CG89" s="169" t="s">
        <v>259</v>
      </c>
      <c r="CH89" s="169" t="s">
        <v>259</v>
      </c>
      <c r="CI89" s="169" t="s">
        <v>259</v>
      </c>
      <c r="CJ89" s="169" t="s">
        <v>259</v>
      </c>
      <c r="CK89" s="169" t="s">
        <v>259</v>
      </c>
      <c r="CL89" s="169" t="s">
        <v>259</v>
      </c>
      <c r="CM89" s="169" t="s">
        <v>259</v>
      </c>
      <c r="CN89" s="169" t="s">
        <v>259</v>
      </c>
      <c r="CO89" s="169" t="s">
        <v>259</v>
      </c>
      <c r="CP89" s="169" t="s">
        <v>259</v>
      </c>
      <c r="CQ89" s="169" t="s">
        <v>259</v>
      </c>
      <c r="CR89" s="169" t="s">
        <v>259</v>
      </c>
      <c r="CS89" s="169" t="s">
        <v>259</v>
      </c>
      <c r="CT89" s="169" t="s">
        <v>259</v>
      </c>
      <c r="CU89" s="169" t="s">
        <v>259</v>
      </c>
      <c r="CV89" s="169" t="s">
        <v>259</v>
      </c>
      <c r="CW89" s="169" t="s">
        <v>259</v>
      </c>
      <c r="CX89" s="169" t="s">
        <v>259</v>
      </c>
      <c r="CY89" s="169" t="s">
        <v>259</v>
      </c>
      <c r="CZ89" s="169" t="s">
        <v>259</v>
      </c>
      <c r="DA89" s="169" t="s">
        <v>259</v>
      </c>
      <c r="DB89" s="169" t="s">
        <v>259</v>
      </c>
      <c r="DC89" s="169" t="s">
        <v>259</v>
      </c>
      <c r="DD89" s="169" t="s">
        <v>259</v>
      </c>
      <c r="DE89" s="169" t="s">
        <v>259</v>
      </c>
      <c r="DF89" s="169" t="s">
        <v>259</v>
      </c>
      <c r="DG89" s="169" t="s">
        <v>259</v>
      </c>
      <c r="DH89" s="169" t="s">
        <v>259</v>
      </c>
      <c r="DI89" s="169" t="s">
        <v>259</v>
      </c>
      <c r="DJ89" s="169" t="s">
        <v>259</v>
      </c>
      <c r="DK89" s="169" t="s">
        <v>259</v>
      </c>
      <c r="DL89" s="169" t="s">
        <v>259</v>
      </c>
      <c r="DM89" s="169" t="s">
        <v>259</v>
      </c>
      <c r="DN89" s="169" t="s">
        <v>259</v>
      </c>
      <c r="DO89" s="169" t="s">
        <v>259</v>
      </c>
      <c r="DP89" s="169" t="s">
        <v>259</v>
      </c>
      <c r="DQ89" s="169" t="s">
        <v>259</v>
      </c>
      <c r="DR89" s="169" t="s">
        <v>259</v>
      </c>
      <c r="DS89" s="169" t="s">
        <v>259</v>
      </c>
      <c r="DT89" s="169" t="s">
        <v>259</v>
      </c>
    </row>
    <row r="90" spans="2:124" x14ac:dyDescent="0.3">
      <c r="B90" t="str">
        <f>'IMPORT SCHLIESSERDATEN'!B89</f>
        <v xml:space="preserve">TS 98 GSR XEA EN 1-6 </v>
      </c>
      <c r="D90" s="169" t="s">
        <v>259</v>
      </c>
      <c r="E90" s="169" t="s">
        <v>259</v>
      </c>
      <c r="F90" s="169" t="s">
        <v>259</v>
      </c>
      <c r="G90" s="169" t="s">
        <v>259</v>
      </c>
      <c r="H90" s="169" t="s">
        <v>259</v>
      </c>
      <c r="I90" s="169" t="s">
        <v>259</v>
      </c>
      <c r="J90" s="169" t="s">
        <v>259</v>
      </c>
      <c r="K90" s="169" t="s">
        <v>259</v>
      </c>
      <c r="L90" s="169" t="s">
        <v>259</v>
      </c>
      <c r="M90" s="169" t="s">
        <v>259</v>
      </c>
      <c r="N90" s="169" t="s">
        <v>259</v>
      </c>
      <c r="O90" s="169" t="s">
        <v>259</v>
      </c>
      <c r="P90" s="169" t="s">
        <v>259</v>
      </c>
      <c r="Q90" s="169" t="s">
        <v>259</v>
      </c>
      <c r="R90" s="169" t="s">
        <v>259</v>
      </c>
      <c r="S90" s="169" t="s">
        <v>259</v>
      </c>
      <c r="T90" s="169" t="s">
        <v>259</v>
      </c>
      <c r="U90" s="169" t="s">
        <v>259</v>
      </c>
      <c r="V90" s="169" t="s">
        <v>259</v>
      </c>
      <c r="W90" s="169" t="s">
        <v>259</v>
      </c>
      <c r="X90" s="169" t="s">
        <v>259</v>
      </c>
      <c r="Y90" s="169" t="s">
        <v>259</v>
      </c>
      <c r="Z90" s="169" t="s">
        <v>259</v>
      </c>
      <c r="AA90" s="169" t="s">
        <v>259</v>
      </c>
      <c r="AB90" s="169" t="s">
        <v>259</v>
      </c>
      <c r="AC90" s="169" t="s">
        <v>259</v>
      </c>
      <c r="AD90" s="169" t="s">
        <v>259</v>
      </c>
      <c r="AE90" s="169" t="s">
        <v>259</v>
      </c>
      <c r="AF90" s="169" t="s">
        <v>259</v>
      </c>
      <c r="AG90" s="169" t="s">
        <v>259</v>
      </c>
      <c r="AH90" s="169" t="s">
        <v>259</v>
      </c>
      <c r="AI90" s="169" t="s">
        <v>259</v>
      </c>
      <c r="AJ90" s="169" t="s">
        <v>259</v>
      </c>
      <c r="AK90" s="169" t="s">
        <v>259</v>
      </c>
      <c r="AL90" s="169" t="s">
        <v>259</v>
      </c>
      <c r="AM90" s="169" t="s">
        <v>259</v>
      </c>
      <c r="AN90" s="169" t="s">
        <v>259</v>
      </c>
      <c r="AO90" s="169" t="s">
        <v>259</v>
      </c>
      <c r="AP90" s="169" t="s">
        <v>259</v>
      </c>
      <c r="AQ90" s="169" t="s">
        <v>259</v>
      </c>
      <c r="AR90" s="169" t="s">
        <v>259</v>
      </c>
      <c r="AS90" s="169" t="s">
        <v>259</v>
      </c>
      <c r="AT90" s="169" t="s">
        <v>259</v>
      </c>
      <c r="AU90" s="169" t="s">
        <v>259</v>
      </c>
      <c r="AV90" s="169" t="s">
        <v>259</v>
      </c>
      <c r="AW90" s="169" t="s">
        <v>259</v>
      </c>
      <c r="AX90" s="169" t="s">
        <v>259</v>
      </c>
      <c r="AY90" s="169" t="s">
        <v>259</v>
      </c>
      <c r="AZ90" s="169" t="s">
        <v>259</v>
      </c>
      <c r="BA90" s="169" t="s">
        <v>259</v>
      </c>
      <c r="BB90" s="169" t="s">
        <v>259</v>
      </c>
      <c r="BC90" s="169" t="s">
        <v>259</v>
      </c>
      <c r="BD90" s="169" t="s">
        <v>259</v>
      </c>
      <c r="BE90" s="169" t="s">
        <v>259</v>
      </c>
      <c r="BF90" s="169" t="s">
        <v>259</v>
      </c>
      <c r="BG90" s="169" t="s">
        <v>259</v>
      </c>
      <c r="BH90" s="169" t="s">
        <v>259</v>
      </c>
      <c r="BI90" s="169" t="s">
        <v>259</v>
      </c>
      <c r="BJ90" s="169" t="s">
        <v>259</v>
      </c>
      <c r="BK90" s="169" t="s">
        <v>259</v>
      </c>
      <c r="BL90" s="169" t="s">
        <v>259</v>
      </c>
      <c r="BM90" s="169" t="s">
        <v>259</v>
      </c>
      <c r="BN90" s="169" t="s">
        <v>259</v>
      </c>
      <c r="BO90" s="169" t="s">
        <v>259</v>
      </c>
      <c r="BP90" s="169" t="s">
        <v>259</v>
      </c>
      <c r="BQ90" s="169" t="s">
        <v>259</v>
      </c>
      <c r="BR90" s="169" t="s">
        <v>259</v>
      </c>
      <c r="BS90" s="169" t="s">
        <v>259</v>
      </c>
      <c r="BT90" s="169" t="s">
        <v>259</v>
      </c>
      <c r="BU90" s="169" t="s">
        <v>259</v>
      </c>
      <c r="BV90" s="169" t="s">
        <v>259</v>
      </c>
      <c r="BW90" s="169" t="s">
        <v>259</v>
      </c>
      <c r="BX90" s="169" t="s">
        <v>259</v>
      </c>
      <c r="BY90" s="169" t="s">
        <v>259</v>
      </c>
      <c r="BZ90" s="169" t="s">
        <v>259</v>
      </c>
      <c r="CA90" s="169" t="s">
        <v>259</v>
      </c>
      <c r="CB90" s="169" t="s">
        <v>259</v>
      </c>
      <c r="CC90" s="169" t="s">
        <v>259</v>
      </c>
      <c r="CD90" s="169" t="s">
        <v>259</v>
      </c>
      <c r="CE90" s="169" t="s">
        <v>259</v>
      </c>
      <c r="CF90" s="169" t="s">
        <v>259</v>
      </c>
      <c r="CG90" s="169" t="s">
        <v>259</v>
      </c>
      <c r="CH90" s="169" t="s">
        <v>259</v>
      </c>
      <c r="CI90" s="169" t="s">
        <v>259</v>
      </c>
      <c r="CJ90" s="169" t="s">
        <v>259</v>
      </c>
      <c r="CK90" s="169" t="s">
        <v>259</v>
      </c>
      <c r="CL90" s="169" t="s">
        <v>259</v>
      </c>
      <c r="CM90" s="169" t="s">
        <v>259</v>
      </c>
      <c r="CN90" s="169" t="s">
        <v>259</v>
      </c>
      <c r="CO90" s="169" t="s">
        <v>259</v>
      </c>
      <c r="CP90" s="169" t="s">
        <v>259</v>
      </c>
      <c r="CQ90" s="169" t="s">
        <v>259</v>
      </c>
      <c r="CR90" s="169" t="s">
        <v>259</v>
      </c>
      <c r="CS90" s="169" t="s">
        <v>259</v>
      </c>
      <c r="CT90" s="169" t="s">
        <v>259</v>
      </c>
      <c r="CU90" s="169" t="s">
        <v>259</v>
      </c>
      <c r="CV90" s="169" t="s">
        <v>259</v>
      </c>
      <c r="CW90" s="169" t="s">
        <v>259</v>
      </c>
      <c r="CX90" s="169" t="s">
        <v>259</v>
      </c>
      <c r="CY90" s="169" t="s">
        <v>259</v>
      </c>
      <c r="CZ90" s="169" t="s">
        <v>259</v>
      </c>
      <c r="DA90" s="169" t="s">
        <v>259</v>
      </c>
      <c r="DB90" s="169" t="s">
        <v>259</v>
      </c>
      <c r="DC90" s="169" t="s">
        <v>259</v>
      </c>
      <c r="DD90" s="169" t="s">
        <v>259</v>
      </c>
      <c r="DE90" s="169" t="s">
        <v>259</v>
      </c>
      <c r="DF90" s="169" t="s">
        <v>259</v>
      </c>
      <c r="DG90" s="169" t="s">
        <v>259</v>
      </c>
      <c r="DH90" s="169" t="s">
        <v>259</v>
      </c>
      <c r="DI90" s="169" t="s">
        <v>259</v>
      </c>
      <c r="DJ90" s="169" t="s">
        <v>259</v>
      </c>
      <c r="DK90" s="169" t="s">
        <v>259</v>
      </c>
      <c r="DL90" s="169" t="s">
        <v>259</v>
      </c>
      <c r="DM90" s="169" t="s">
        <v>259</v>
      </c>
      <c r="DN90" s="169" t="s">
        <v>259</v>
      </c>
      <c r="DO90" s="169" t="s">
        <v>259</v>
      </c>
      <c r="DP90" s="169" t="s">
        <v>259</v>
      </c>
      <c r="DQ90" s="169" t="s">
        <v>259</v>
      </c>
      <c r="DR90" s="169" t="s">
        <v>259</v>
      </c>
      <c r="DS90" s="169" t="s">
        <v>259</v>
      </c>
      <c r="DT90" s="169" t="s">
        <v>259</v>
      </c>
    </row>
    <row r="91" spans="2:124" x14ac:dyDescent="0.3">
      <c r="B91" t="str">
        <f>'IMPORT SCHLIESSERDATEN'!B90</f>
        <v xml:space="preserve">TS 98 GSR-EMF XEA EN 1-6 </v>
      </c>
      <c r="D91" s="169" t="s">
        <v>259</v>
      </c>
      <c r="E91" s="169" t="s">
        <v>259</v>
      </c>
      <c r="F91" s="169" t="s">
        <v>259</v>
      </c>
      <c r="G91" s="169" t="s">
        <v>259</v>
      </c>
      <c r="H91" s="169" t="s">
        <v>259</v>
      </c>
      <c r="I91" s="169" t="s">
        <v>259</v>
      </c>
      <c r="J91" s="169" t="s">
        <v>259</v>
      </c>
      <c r="K91" s="169" t="s">
        <v>259</v>
      </c>
      <c r="L91" s="169" t="s">
        <v>259</v>
      </c>
      <c r="M91" s="169" t="s">
        <v>259</v>
      </c>
      <c r="N91" s="169" t="s">
        <v>259</v>
      </c>
      <c r="O91" s="169" t="s">
        <v>259</v>
      </c>
      <c r="P91" s="169" t="s">
        <v>259</v>
      </c>
      <c r="Q91" s="169" t="s">
        <v>259</v>
      </c>
      <c r="R91" s="169" t="s">
        <v>259</v>
      </c>
      <c r="S91" s="169" t="s">
        <v>259</v>
      </c>
      <c r="T91" s="169" t="s">
        <v>259</v>
      </c>
      <c r="U91" s="169" t="s">
        <v>259</v>
      </c>
      <c r="V91" s="169" t="s">
        <v>259</v>
      </c>
      <c r="W91" s="169" t="s">
        <v>259</v>
      </c>
      <c r="X91" s="169" t="s">
        <v>259</v>
      </c>
      <c r="Y91" s="169" t="s">
        <v>259</v>
      </c>
      <c r="Z91" s="169" t="s">
        <v>259</v>
      </c>
      <c r="AA91" s="169" t="s">
        <v>259</v>
      </c>
      <c r="AB91" s="169" t="s">
        <v>259</v>
      </c>
      <c r="AC91" s="169" t="s">
        <v>259</v>
      </c>
      <c r="AD91" s="169" t="s">
        <v>259</v>
      </c>
      <c r="AE91" s="169" t="s">
        <v>259</v>
      </c>
      <c r="AF91" s="169" t="s">
        <v>259</v>
      </c>
      <c r="AG91" s="169" t="s">
        <v>259</v>
      </c>
      <c r="AH91" s="169" t="s">
        <v>259</v>
      </c>
      <c r="AI91" s="169" t="s">
        <v>259</v>
      </c>
      <c r="AJ91" s="169" t="s">
        <v>259</v>
      </c>
      <c r="AK91" s="169" t="s">
        <v>259</v>
      </c>
      <c r="AL91" s="169" t="s">
        <v>259</v>
      </c>
      <c r="AM91" s="169" t="s">
        <v>259</v>
      </c>
      <c r="AN91" s="169" t="s">
        <v>259</v>
      </c>
      <c r="AO91" s="169" t="s">
        <v>259</v>
      </c>
      <c r="AP91" s="169" t="s">
        <v>259</v>
      </c>
      <c r="AQ91" s="169" t="s">
        <v>259</v>
      </c>
      <c r="AR91" s="169" t="s">
        <v>259</v>
      </c>
      <c r="AS91" s="169" t="s">
        <v>259</v>
      </c>
      <c r="AT91" s="169" t="s">
        <v>259</v>
      </c>
      <c r="AU91" s="169" t="s">
        <v>259</v>
      </c>
      <c r="AV91" s="169" t="s">
        <v>259</v>
      </c>
      <c r="AW91" s="169" t="s">
        <v>259</v>
      </c>
      <c r="AX91" s="169" t="s">
        <v>259</v>
      </c>
      <c r="AY91" s="169" t="s">
        <v>259</v>
      </c>
      <c r="AZ91" s="169" t="s">
        <v>259</v>
      </c>
      <c r="BA91" s="169" t="s">
        <v>259</v>
      </c>
      <c r="BB91" s="169" t="s">
        <v>259</v>
      </c>
      <c r="BC91" s="169" t="s">
        <v>259</v>
      </c>
      <c r="BD91" s="169" t="s">
        <v>259</v>
      </c>
      <c r="BE91" s="169" t="s">
        <v>259</v>
      </c>
      <c r="BF91" s="169" t="s">
        <v>259</v>
      </c>
      <c r="BG91" s="169" t="s">
        <v>259</v>
      </c>
      <c r="BH91" s="169" t="s">
        <v>259</v>
      </c>
      <c r="BI91" s="169" t="s">
        <v>259</v>
      </c>
      <c r="BJ91" s="169" t="s">
        <v>259</v>
      </c>
      <c r="BK91" s="169" t="s">
        <v>259</v>
      </c>
      <c r="BL91" s="169" t="s">
        <v>259</v>
      </c>
      <c r="BM91" s="169" t="s">
        <v>259</v>
      </c>
      <c r="BN91" s="169" t="s">
        <v>259</v>
      </c>
      <c r="BO91" s="169" t="s">
        <v>259</v>
      </c>
      <c r="BP91" s="169" t="s">
        <v>259</v>
      </c>
      <c r="BQ91" s="169" t="s">
        <v>259</v>
      </c>
      <c r="BR91" s="169" t="s">
        <v>259</v>
      </c>
      <c r="BS91" s="169" t="s">
        <v>259</v>
      </c>
      <c r="BT91" s="169" t="s">
        <v>259</v>
      </c>
      <c r="BU91" s="169" t="s">
        <v>259</v>
      </c>
      <c r="BV91" s="169" t="s">
        <v>259</v>
      </c>
      <c r="BW91" s="169" t="s">
        <v>259</v>
      </c>
      <c r="BX91" s="169" t="s">
        <v>259</v>
      </c>
      <c r="BY91" s="169" t="s">
        <v>259</v>
      </c>
      <c r="BZ91" s="169" t="s">
        <v>259</v>
      </c>
      <c r="CA91" s="169" t="s">
        <v>259</v>
      </c>
      <c r="CB91" s="169" t="s">
        <v>259</v>
      </c>
      <c r="CC91" s="169" t="s">
        <v>259</v>
      </c>
      <c r="CD91" s="169" t="s">
        <v>259</v>
      </c>
      <c r="CE91" s="169" t="s">
        <v>259</v>
      </c>
      <c r="CF91" s="169" t="s">
        <v>259</v>
      </c>
      <c r="CG91" s="169" t="s">
        <v>259</v>
      </c>
      <c r="CH91" s="169" t="s">
        <v>259</v>
      </c>
      <c r="CI91" s="169" t="s">
        <v>259</v>
      </c>
      <c r="CJ91" s="169" t="s">
        <v>259</v>
      </c>
      <c r="CK91" s="169" t="s">
        <v>259</v>
      </c>
      <c r="CL91" s="169" t="s">
        <v>259</v>
      </c>
      <c r="CM91" s="169" t="s">
        <v>259</v>
      </c>
      <c r="CN91" s="169" t="s">
        <v>259</v>
      </c>
      <c r="CO91" s="169" t="s">
        <v>259</v>
      </c>
      <c r="CP91" s="169" t="s">
        <v>259</v>
      </c>
      <c r="CQ91" s="169" t="s">
        <v>259</v>
      </c>
      <c r="CR91" s="169" t="s">
        <v>259</v>
      </c>
      <c r="CS91" s="169" t="s">
        <v>259</v>
      </c>
      <c r="CT91" s="169" t="s">
        <v>259</v>
      </c>
      <c r="CU91" s="169" t="s">
        <v>259</v>
      </c>
      <c r="CV91" s="169" t="s">
        <v>259</v>
      </c>
      <c r="CW91" s="169" t="s">
        <v>259</v>
      </c>
      <c r="CX91" s="169" t="s">
        <v>259</v>
      </c>
      <c r="CY91" s="169" t="s">
        <v>259</v>
      </c>
      <c r="CZ91" s="169" t="s">
        <v>259</v>
      </c>
      <c r="DA91" s="169" t="s">
        <v>259</v>
      </c>
      <c r="DB91" s="169" t="s">
        <v>259</v>
      </c>
      <c r="DC91" s="169" t="s">
        <v>259</v>
      </c>
      <c r="DD91" s="169" t="s">
        <v>259</v>
      </c>
      <c r="DE91" s="169" t="s">
        <v>259</v>
      </c>
      <c r="DF91" s="169" t="s">
        <v>259</v>
      </c>
      <c r="DG91" s="169" t="s">
        <v>259</v>
      </c>
      <c r="DH91" s="169" t="s">
        <v>259</v>
      </c>
      <c r="DI91" s="169" t="s">
        <v>259</v>
      </c>
      <c r="DJ91" s="169" t="s">
        <v>259</v>
      </c>
      <c r="DK91" s="169" t="s">
        <v>259</v>
      </c>
      <c r="DL91" s="169" t="s">
        <v>259</v>
      </c>
      <c r="DM91" s="169" t="s">
        <v>259</v>
      </c>
      <c r="DN91" s="169" t="s">
        <v>259</v>
      </c>
      <c r="DO91" s="169" t="s">
        <v>259</v>
      </c>
      <c r="DP91" s="169" t="s">
        <v>259</v>
      </c>
      <c r="DQ91" s="169" t="s">
        <v>259</v>
      </c>
      <c r="DR91" s="169" t="s">
        <v>259</v>
      </c>
      <c r="DS91" s="169" t="s">
        <v>259</v>
      </c>
      <c r="DT91" s="169" t="s">
        <v>259</v>
      </c>
    </row>
    <row r="92" spans="2:124" x14ac:dyDescent="0.3">
      <c r="B92" t="str">
        <f>'IMPORT SCHLIESSERDATEN'!B91</f>
        <v xml:space="preserve">TS 98 GSR-EMR XEA EN 1-6 </v>
      </c>
      <c r="D92" s="169" t="s">
        <v>259</v>
      </c>
      <c r="E92" s="169" t="s">
        <v>259</v>
      </c>
      <c r="F92" s="169" t="s">
        <v>259</v>
      </c>
      <c r="G92" s="169" t="s">
        <v>259</v>
      </c>
      <c r="H92" s="169" t="s">
        <v>259</v>
      </c>
      <c r="I92" s="169" t="s">
        <v>259</v>
      </c>
      <c r="J92" s="169" t="s">
        <v>259</v>
      </c>
      <c r="K92" s="169" t="s">
        <v>259</v>
      </c>
      <c r="L92" s="169" t="s">
        <v>259</v>
      </c>
      <c r="M92" s="169" t="s">
        <v>259</v>
      </c>
      <c r="N92" s="169" t="s">
        <v>259</v>
      </c>
      <c r="O92" s="169" t="s">
        <v>259</v>
      </c>
      <c r="P92" s="169" t="s">
        <v>259</v>
      </c>
      <c r="Q92" s="169" t="s">
        <v>259</v>
      </c>
      <c r="R92" s="169" t="s">
        <v>259</v>
      </c>
      <c r="S92" s="169" t="s">
        <v>259</v>
      </c>
      <c r="T92" s="169" t="s">
        <v>259</v>
      </c>
      <c r="U92" s="169" t="s">
        <v>259</v>
      </c>
      <c r="V92" s="169" t="s">
        <v>259</v>
      </c>
      <c r="W92" s="169" t="s">
        <v>259</v>
      </c>
      <c r="X92" s="169" t="s">
        <v>259</v>
      </c>
      <c r="Y92" s="169" t="s">
        <v>259</v>
      </c>
      <c r="Z92" s="169" t="s">
        <v>259</v>
      </c>
      <c r="AA92" s="169" t="s">
        <v>259</v>
      </c>
      <c r="AB92" s="169" t="s">
        <v>259</v>
      </c>
      <c r="AC92" s="169" t="s">
        <v>259</v>
      </c>
      <c r="AD92" s="169" t="s">
        <v>259</v>
      </c>
      <c r="AE92" s="169" t="s">
        <v>259</v>
      </c>
      <c r="AF92" s="169" t="s">
        <v>259</v>
      </c>
      <c r="AG92" s="169" t="s">
        <v>259</v>
      </c>
      <c r="AH92" s="169" t="s">
        <v>259</v>
      </c>
      <c r="AI92" s="169" t="s">
        <v>259</v>
      </c>
      <c r="AJ92" s="169" t="s">
        <v>259</v>
      </c>
      <c r="AK92" s="169" t="s">
        <v>259</v>
      </c>
      <c r="AL92" s="169" t="s">
        <v>259</v>
      </c>
      <c r="AM92" s="169" t="s">
        <v>259</v>
      </c>
      <c r="AN92" s="169" t="s">
        <v>259</v>
      </c>
      <c r="AO92" s="169" t="s">
        <v>259</v>
      </c>
      <c r="AP92" s="169" t="s">
        <v>259</v>
      </c>
      <c r="AQ92" s="169" t="s">
        <v>259</v>
      </c>
      <c r="AR92" s="169" t="s">
        <v>259</v>
      </c>
      <c r="AS92" s="169" t="s">
        <v>259</v>
      </c>
      <c r="AT92" s="169" t="s">
        <v>259</v>
      </c>
      <c r="AU92" s="169" t="s">
        <v>259</v>
      </c>
      <c r="AV92" s="169" t="s">
        <v>259</v>
      </c>
      <c r="AW92" s="169" t="s">
        <v>259</v>
      </c>
      <c r="AX92" s="169" t="s">
        <v>259</v>
      </c>
      <c r="AY92" s="169" t="s">
        <v>259</v>
      </c>
      <c r="AZ92" s="169" t="s">
        <v>259</v>
      </c>
      <c r="BA92" s="169" t="s">
        <v>259</v>
      </c>
      <c r="BB92" s="169" t="s">
        <v>259</v>
      </c>
      <c r="BC92" s="169" t="s">
        <v>259</v>
      </c>
      <c r="BD92" s="169" t="s">
        <v>259</v>
      </c>
      <c r="BE92" s="169" t="s">
        <v>259</v>
      </c>
      <c r="BF92" s="169" t="s">
        <v>259</v>
      </c>
      <c r="BG92" s="169" t="s">
        <v>259</v>
      </c>
      <c r="BH92" s="169" t="s">
        <v>259</v>
      </c>
      <c r="BI92" s="169" t="s">
        <v>259</v>
      </c>
      <c r="BJ92" s="169" t="s">
        <v>259</v>
      </c>
      <c r="BK92" s="169" t="s">
        <v>259</v>
      </c>
      <c r="BL92" s="169" t="s">
        <v>259</v>
      </c>
      <c r="BM92" s="169" t="s">
        <v>259</v>
      </c>
      <c r="BN92" s="169" t="s">
        <v>259</v>
      </c>
      <c r="BO92" s="169" t="s">
        <v>259</v>
      </c>
      <c r="BP92" s="169" t="s">
        <v>259</v>
      </c>
      <c r="BQ92" s="169" t="s">
        <v>259</v>
      </c>
      <c r="BR92" s="169" t="s">
        <v>259</v>
      </c>
      <c r="BS92" s="169" t="s">
        <v>259</v>
      </c>
      <c r="BT92" s="169" t="s">
        <v>259</v>
      </c>
      <c r="BU92" s="169" t="s">
        <v>259</v>
      </c>
      <c r="BV92" s="169" t="s">
        <v>259</v>
      </c>
      <c r="BW92" s="169" t="s">
        <v>259</v>
      </c>
      <c r="BX92" s="169" t="s">
        <v>259</v>
      </c>
      <c r="BY92" s="169" t="s">
        <v>259</v>
      </c>
      <c r="BZ92" s="169" t="s">
        <v>259</v>
      </c>
      <c r="CA92" s="169" t="s">
        <v>259</v>
      </c>
      <c r="CB92" s="169" t="s">
        <v>259</v>
      </c>
      <c r="CC92" s="169" t="s">
        <v>259</v>
      </c>
      <c r="CD92" s="169" t="s">
        <v>259</v>
      </c>
      <c r="CE92" s="169" t="s">
        <v>259</v>
      </c>
      <c r="CF92" s="169" t="s">
        <v>259</v>
      </c>
      <c r="CG92" s="169" t="s">
        <v>259</v>
      </c>
      <c r="CH92" s="169" t="s">
        <v>259</v>
      </c>
      <c r="CI92" s="169" t="s">
        <v>259</v>
      </c>
      <c r="CJ92" s="169" t="s">
        <v>259</v>
      </c>
      <c r="CK92" s="169" t="s">
        <v>259</v>
      </c>
      <c r="CL92" s="169" t="s">
        <v>259</v>
      </c>
      <c r="CM92" s="169" t="s">
        <v>259</v>
      </c>
      <c r="CN92" s="169" t="s">
        <v>259</v>
      </c>
      <c r="CO92" s="169" t="s">
        <v>259</v>
      </c>
      <c r="CP92" s="169" t="s">
        <v>259</v>
      </c>
      <c r="CQ92" s="169" t="s">
        <v>259</v>
      </c>
      <c r="CR92" s="169" t="s">
        <v>259</v>
      </c>
      <c r="CS92" s="169" t="s">
        <v>259</v>
      </c>
      <c r="CT92" s="169" t="s">
        <v>259</v>
      </c>
      <c r="CU92" s="169" t="s">
        <v>259</v>
      </c>
      <c r="CV92" s="169" t="s">
        <v>259</v>
      </c>
      <c r="CW92" s="169" t="s">
        <v>259</v>
      </c>
      <c r="CX92" s="169" t="s">
        <v>259</v>
      </c>
      <c r="CY92" s="169" t="s">
        <v>259</v>
      </c>
      <c r="CZ92" s="169" t="s">
        <v>259</v>
      </c>
      <c r="DA92" s="169" t="s">
        <v>259</v>
      </c>
      <c r="DB92" s="169" t="s">
        <v>259</v>
      </c>
      <c r="DC92" s="169" t="s">
        <v>259</v>
      </c>
      <c r="DD92" s="169" t="s">
        <v>259</v>
      </c>
      <c r="DE92" s="169" t="s">
        <v>259</v>
      </c>
      <c r="DF92" s="169" t="s">
        <v>259</v>
      </c>
      <c r="DG92" s="169" t="s">
        <v>259</v>
      </c>
      <c r="DH92" s="169" t="s">
        <v>259</v>
      </c>
      <c r="DI92" s="169" t="s">
        <v>259</v>
      </c>
      <c r="DJ92" s="169" t="s">
        <v>259</v>
      </c>
      <c r="DK92" s="169" t="s">
        <v>259</v>
      </c>
      <c r="DL92" s="169" t="s">
        <v>259</v>
      </c>
      <c r="DM92" s="169" t="s">
        <v>259</v>
      </c>
      <c r="DN92" s="169" t="s">
        <v>259</v>
      </c>
      <c r="DO92" s="169" t="s">
        <v>259</v>
      </c>
      <c r="DP92" s="169" t="s">
        <v>259</v>
      </c>
      <c r="DQ92" s="169" t="s">
        <v>259</v>
      </c>
      <c r="DR92" s="169" t="s">
        <v>259</v>
      </c>
      <c r="DS92" s="169" t="s">
        <v>259</v>
      </c>
      <c r="DT92" s="169" t="s">
        <v>259</v>
      </c>
    </row>
    <row r="93" spans="2:124" x14ac:dyDescent="0.3">
      <c r="B93" t="str">
        <f>'IMPORT SCHLIESSERDATEN'!B92</f>
        <v>TS 98 GSR BG XEA EN 1-6 Gangfl.</v>
      </c>
      <c r="D93" s="169" t="s">
        <v>259</v>
      </c>
      <c r="E93" s="169" t="s">
        <v>259</v>
      </c>
      <c r="F93" s="169" t="s">
        <v>259</v>
      </c>
      <c r="G93" s="169" t="s">
        <v>259</v>
      </c>
      <c r="H93" s="169" t="s">
        <v>259</v>
      </c>
      <c r="I93" s="169" t="s">
        <v>259</v>
      </c>
      <c r="J93" s="169" t="s">
        <v>259</v>
      </c>
      <c r="K93" s="169" t="s">
        <v>259</v>
      </c>
      <c r="L93" s="169" t="s">
        <v>259</v>
      </c>
      <c r="M93" s="169" t="s">
        <v>259</v>
      </c>
      <c r="N93" s="169" t="s">
        <v>259</v>
      </c>
      <c r="O93" s="169" t="s">
        <v>259</v>
      </c>
      <c r="P93" s="169" t="s">
        <v>259</v>
      </c>
      <c r="Q93" s="169" t="s">
        <v>259</v>
      </c>
      <c r="R93" s="169" t="s">
        <v>259</v>
      </c>
      <c r="S93" s="169" t="s">
        <v>259</v>
      </c>
      <c r="T93" s="169" t="s">
        <v>259</v>
      </c>
      <c r="U93" s="169" t="s">
        <v>259</v>
      </c>
      <c r="V93" s="169" t="s">
        <v>259</v>
      </c>
      <c r="W93" s="169" t="s">
        <v>259</v>
      </c>
      <c r="X93" s="169" t="s">
        <v>259</v>
      </c>
      <c r="Y93" s="169" t="s">
        <v>259</v>
      </c>
      <c r="Z93" s="169" t="s">
        <v>259</v>
      </c>
      <c r="AA93" s="169" t="s">
        <v>259</v>
      </c>
      <c r="AB93" s="169" t="s">
        <v>259</v>
      </c>
      <c r="AC93" s="169" t="s">
        <v>259</v>
      </c>
      <c r="AD93" s="169" t="s">
        <v>259</v>
      </c>
      <c r="AE93" s="169" t="s">
        <v>259</v>
      </c>
      <c r="AF93" s="169" t="s">
        <v>259</v>
      </c>
      <c r="AG93" s="169" t="s">
        <v>259</v>
      </c>
      <c r="AH93" s="169" t="s">
        <v>259</v>
      </c>
      <c r="AI93" s="169" t="s">
        <v>259</v>
      </c>
      <c r="AJ93" s="169" t="s">
        <v>259</v>
      </c>
      <c r="AK93" s="169" t="s">
        <v>259</v>
      </c>
      <c r="AL93" s="169" t="s">
        <v>259</v>
      </c>
      <c r="AM93" s="169" t="s">
        <v>259</v>
      </c>
      <c r="AN93" s="169" t="s">
        <v>259</v>
      </c>
      <c r="AO93" s="169" t="s">
        <v>259</v>
      </c>
      <c r="AP93" s="169" t="s">
        <v>259</v>
      </c>
      <c r="AQ93" s="169" t="s">
        <v>259</v>
      </c>
      <c r="AR93" s="169" t="s">
        <v>259</v>
      </c>
      <c r="AS93" s="169" t="s">
        <v>259</v>
      </c>
      <c r="AT93" s="169" t="s">
        <v>259</v>
      </c>
      <c r="AU93" s="169" t="s">
        <v>259</v>
      </c>
      <c r="AV93" s="169" t="s">
        <v>259</v>
      </c>
      <c r="AW93" s="169" t="s">
        <v>259</v>
      </c>
      <c r="AX93" s="169" t="s">
        <v>259</v>
      </c>
      <c r="AY93" s="169" t="s">
        <v>259</v>
      </c>
      <c r="AZ93" s="169" t="s">
        <v>259</v>
      </c>
      <c r="BA93" s="169" t="s">
        <v>259</v>
      </c>
      <c r="BB93" s="169" t="s">
        <v>259</v>
      </c>
      <c r="BC93" s="169" t="s">
        <v>259</v>
      </c>
      <c r="BD93" s="169" t="s">
        <v>259</v>
      </c>
      <c r="BE93" s="169" t="s">
        <v>259</v>
      </c>
      <c r="BF93" s="169" t="s">
        <v>259</v>
      </c>
      <c r="BG93" s="169" t="s">
        <v>259</v>
      </c>
      <c r="BH93" s="169" t="s">
        <v>259</v>
      </c>
      <c r="BI93" s="169" t="s">
        <v>259</v>
      </c>
      <c r="BJ93" s="169" t="s">
        <v>259</v>
      </c>
      <c r="BK93" s="169" t="s">
        <v>259</v>
      </c>
      <c r="BL93" s="169" t="s">
        <v>259</v>
      </c>
      <c r="BM93" s="169" t="s">
        <v>259</v>
      </c>
      <c r="BN93" s="169" t="s">
        <v>259</v>
      </c>
      <c r="BO93" s="169" t="s">
        <v>259</v>
      </c>
      <c r="BP93" s="169" t="s">
        <v>259</v>
      </c>
      <c r="BQ93" s="169" t="s">
        <v>259</v>
      </c>
      <c r="BR93" s="169" t="s">
        <v>259</v>
      </c>
      <c r="BS93" s="169" t="s">
        <v>259</v>
      </c>
      <c r="BT93" s="169" t="s">
        <v>259</v>
      </c>
      <c r="BU93" s="169" t="s">
        <v>259</v>
      </c>
      <c r="BV93" s="169" t="s">
        <v>259</v>
      </c>
      <c r="BW93" s="169" t="s">
        <v>259</v>
      </c>
      <c r="BX93" s="169" t="s">
        <v>259</v>
      </c>
      <c r="BY93" s="169" t="s">
        <v>259</v>
      </c>
      <c r="BZ93" s="169" t="s">
        <v>259</v>
      </c>
      <c r="CA93" s="169" t="s">
        <v>259</v>
      </c>
      <c r="CB93" s="169" t="s">
        <v>259</v>
      </c>
      <c r="CC93" s="169" t="s">
        <v>259</v>
      </c>
      <c r="CD93" s="169" t="s">
        <v>259</v>
      </c>
      <c r="CE93" s="169" t="s">
        <v>259</v>
      </c>
      <c r="CF93" s="169" t="s">
        <v>259</v>
      </c>
      <c r="CG93" s="169" t="s">
        <v>259</v>
      </c>
      <c r="CH93" s="169" t="s">
        <v>259</v>
      </c>
      <c r="CI93" s="169" t="s">
        <v>259</v>
      </c>
      <c r="CJ93" s="169" t="s">
        <v>259</v>
      </c>
      <c r="CK93" s="169" t="s">
        <v>259</v>
      </c>
      <c r="CL93" s="169" t="s">
        <v>259</v>
      </c>
      <c r="CM93" s="169" t="s">
        <v>259</v>
      </c>
      <c r="CN93" s="169" t="s">
        <v>259</v>
      </c>
      <c r="CO93" s="169" t="s">
        <v>259</v>
      </c>
      <c r="CP93" s="169" t="s">
        <v>259</v>
      </c>
      <c r="CQ93" s="169" t="s">
        <v>259</v>
      </c>
      <c r="CR93" s="169" t="s">
        <v>259</v>
      </c>
      <c r="CS93" s="169" t="s">
        <v>259</v>
      </c>
      <c r="CT93" s="169" t="s">
        <v>259</v>
      </c>
      <c r="CU93" s="169" t="s">
        <v>259</v>
      </c>
      <c r="CV93" s="169" t="s">
        <v>259</v>
      </c>
      <c r="CW93" s="169" t="s">
        <v>259</v>
      </c>
      <c r="CX93" s="169" t="s">
        <v>259</v>
      </c>
      <c r="CY93" s="169" t="s">
        <v>259</v>
      </c>
      <c r="CZ93" s="169" t="s">
        <v>259</v>
      </c>
      <c r="DA93" s="169" t="s">
        <v>259</v>
      </c>
      <c r="DB93" s="169" t="s">
        <v>259</v>
      </c>
      <c r="DC93" s="169" t="s">
        <v>259</v>
      </c>
      <c r="DD93" s="169" t="s">
        <v>259</v>
      </c>
      <c r="DE93" s="169" t="s">
        <v>259</v>
      </c>
      <c r="DF93" s="169" t="s">
        <v>259</v>
      </c>
      <c r="DG93" s="169" t="s">
        <v>259</v>
      </c>
      <c r="DH93" s="169" t="s">
        <v>259</v>
      </c>
      <c r="DI93" s="169" t="s">
        <v>259</v>
      </c>
      <c r="DJ93" s="169" t="s">
        <v>259</v>
      </c>
      <c r="DK93" s="169" t="s">
        <v>259</v>
      </c>
      <c r="DL93" s="169" t="s">
        <v>259</v>
      </c>
      <c r="DM93" s="169" t="s">
        <v>259</v>
      </c>
      <c r="DN93" s="169" t="s">
        <v>259</v>
      </c>
      <c r="DO93" s="169" t="s">
        <v>259</v>
      </c>
      <c r="DP93" s="169" t="s">
        <v>259</v>
      </c>
      <c r="DQ93" s="169" t="s">
        <v>259</v>
      </c>
      <c r="DR93" s="169" t="s">
        <v>259</v>
      </c>
      <c r="DS93" s="169" t="s">
        <v>259</v>
      </c>
      <c r="DT93" s="169" t="s">
        <v>259</v>
      </c>
    </row>
    <row r="94" spans="2:124" x14ac:dyDescent="0.3">
      <c r="B94" t="str">
        <f>'IMPORT SCHLIESSERDATEN'!B93</f>
        <v>TS 98 GSR-EMF BG XEA EN 1-6 Gangfl.</v>
      </c>
      <c r="D94" s="169" t="s">
        <v>259</v>
      </c>
      <c r="E94" s="169" t="s">
        <v>259</v>
      </c>
      <c r="F94" s="169" t="s">
        <v>259</v>
      </c>
      <c r="G94" s="169" t="s">
        <v>259</v>
      </c>
      <c r="H94" s="169" t="s">
        <v>259</v>
      </c>
      <c r="I94" s="169" t="s">
        <v>259</v>
      </c>
      <c r="J94" s="169" t="s">
        <v>259</v>
      </c>
      <c r="K94" s="169" t="s">
        <v>259</v>
      </c>
      <c r="L94" s="169" t="s">
        <v>259</v>
      </c>
      <c r="M94" s="169" t="s">
        <v>259</v>
      </c>
      <c r="N94" s="169" t="s">
        <v>259</v>
      </c>
      <c r="O94" s="169" t="s">
        <v>259</v>
      </c>
      <c r="P94" s="169" t="s">
        <v>259</v>
      </c>
      <c r="Q94" s="169" t="s">
        <v>259</v>
      </c>
      <c r="R94" s="169" t="s">
        <v>259</v>
      </c>
      <c r="S94" s="169" t="s">
        <v>259</v>
      </c>
      <c r="T94" s="169" t="s">
        <v>259</v>
      </c>
      <c r="U94" s="169" t="s">
        <v>259</v>
      </c>
      <c r="V94" s="169" t="s">
        <v>259</v>
      </c>
      <c r="W94" s="169" t="s">
        <v>259</v>
      </c>
      <c r="X94" s="169" t="s">
        <v>259</v>
      </c>
      <c r="Y94" s="169" t="s">
        <v>259</v>
      </c>
      <c r="Z94" s="169" t="s">
        <v>259</v>
      </c>
      <c r="AA94" s="169" t="s">
        <v>259</v>
      </c>
      <c r="AB94" s="169" t="s">
        <v>259</v>
      </c>
      <c r="AC94" s="169" t="s">
        <v>259</v>
      </c>
      <c r="AD94" s="169" t="s">
        <v>259</v>
      </c>
      <c r="AE94" s="169" t="s">
        <v>259</v>
      </c>
      <c r="AF94" s="169" t="s">
        <v>259</v>
      </c>
      <c r="AG94" s="169" t="s">
        <v>259</v>
      </c>
      <c r="AH94" s="169" t="s">
        <v>259</v>
      </c>
      <c r="AI94" s="169" t="s">
        <v>259</v>
      </c>
      <c r="AJ94" s="169" t="s">
        <v>259</v>
      </c>
      <c r="AK94" s="169" t="s">
        <v>259</v>
      </c>
      <c r="AL94" s="169" t="s">
        <v>259</v>
      </c>
      <c r="AM94" s="169" t="s">
        <v>259</v>
      </c>
      <c r="AN94" s="169" t="s">
        <v>259</v>
      </c>
      <c r="AO94" s="169" t="s">
        <v>259</v>
      </c>
      <c r="AP94" s="169" t="s">
        <v>259</v>
      </c>
      <c r="AQ94" s="169" t="s">
        <v>259</v>
      </c>
      <c r="AR94" s="169" t="s">
        <v>259</v>
      </c>
      <c r="AS94" s="169" t="s">
        <v>259</v>
      </c>
      <c r="AT94" s="169" t="s">
        <v>259</v>
      </c>
      <c r="AU94" s="169" t="s">
        <v>259</v>
      </c>
      <c r="AV94" s="169" t="s">
        <v>259</v>
      </c>
      <c r="AW94" s="169" t="s">
        <v>259</v>
      </c>
      <c r="AX94" s="169" t="s">
        <v>259</v>
      </c>
      <c r="AY94" s="169" t="s">
        <v>259</v>
      </c>
      <c r="AZ94" s="169" t="s">
        <v>259</v>
      </c>
      <c r="BA94" s="169" t="s">
        <v>259</v>
      </c>
      <c r="BB94" s="169" t="s">
        <v>259</v>
      </c>
      <c r="BC94" s="169" t="s">
        <v>259</v>
      </c>
      <c r="BD94" s="169" t="s">
        <v>259</v>
      </c>
      <c r="BE94" s="169" t="s">
        <v>259</v>
      </c>
      <c r="BF94" s="169" t="s">
        <v>259</v>
      </c>
      <c r="BG94" s="169" t="s">
        <v>259</v>
      </c>
      <c r="BH94" s="169" t="s">
        <v>259</v>
      </c>
      <c r="BI94" s="169" t="s">
        <v>259</v>
      </c>
      <c r="BJ94" s="169" t="s">
        <v>259</v>
      </c>
      <c r="BK94" s="169" t="s">
        <v>259</v>
      </c>
      <c r="BL94" s="169" t="s">
        <v>259</v>
      </c>
      <c r="BM94" s="169" t="s">
        <v>259</v>
      </c>
      <c r="BN94" s="169" t="s">
        <v>259</v>
      </c>
      <c r="BO94" s="169" t="s">
        <v>259</v>
      </c>
      <c r="BP94" s="169" t="s">
        <v>259</v>
      </c>
      <c r="BQ94" s="169" t="s">
        <v>259</v>
      </c>
      <c r="BR94" s="169" t="s">
        <v>259</v>
      </c>
      <c r="BS94" s="169" t="s">
        <v>259</v>
      </c>
      <c r="BT94" s="169" t="s">
        <v>259</v>
      </c>
      <c r="BU94" s="169" t="s">
        <v>259</v>
      </c>
      <c r="BV94" s="169" t="s">
        <v>259</v>
      </c>
      <c r="BW94" s="169" t="s">
        <v>259</v>
      </c>
      <c r="BX94" s="169" t="s">
        <v>259</v>
      </c>
      <c r="BY94" s="169" t="s">
        <v>259</v>
      </c>
      <c r="BZ94" s="169" t="s">
        <v>259</v>
      </c>
      <c r="CA94" s="169" t="s">
        <v>259</v>
      </c>
      <c r="CB94" s="169" t="s">
        <v>259</v>
      </c>
      <c r="CC94" s="169" t="s">
        <v>259</v>
      </c>
      <c r="CD94" s="169" t="s">
        <v>259</v>
      </c>
      <c r="CE94" s="169" t="s">
        <v>259</v>
      </c>
      <c r="CF94" s="169" t="s">
        <v>259</v>
      </c>
      <c r="CG94" s="169" t="s">
        <v>259</v>
      </c>
      <c r="CH94" s="169" t="s">
        <v>259</v>
      </c>
      <c r="CI94" s="169" t="s">
        <v>259</v>
      </c>
      <c r="CJ94" s="169" t="s">
        <v>259</v>
      </c>
      <c r="CK94" s="169" t="s">
        <v>259</v>
      </c>
      <c r="CL94" s="169" t="s">
        <v>259</v>
      </c>
      <c r="CM94" s="169" t="s">
        <v>259</v>
      </c>
      <c r="CN94" s="169" t="s">
        <v>259</v>
      </c>
      <c r="CO94" s="169" t="s">
        <v>259</v>
      </c>
      <c r="CP94" s="169" t="s">
        <v>259</v>
      </c>
      <c r="CQ94" s="169" t="s">
        <v>259</v>
      </c>
      <c r="CR94" s="169" t="s">
        <v>259</v>
      </c>
      <c r="CS94" s="169" t="s">
        <v>259</v>
      </c>
      <c r="CT94" s="169" t="s">
        <v>259</v>
      </c>
      <c r="CU94" s="169" t="s">
        <v>259</v>
      </c>
      <c r="CV94" s="169" t="s">
        <v>259</v>
      </c>
      <c r="CW94" s="169" t="s">
        <v>259</v>
      </c>
      <c r="CX94" s="169" t="s">
        <v>259</v>
      </c>
      <c r="CY94" s="169" t="s">
        <v>259</v>
      </c>
      <c r="CZ94" s="169" t="s">
        <v>259</v>
      </c>
      <c r="DA94" s="169" t="s">
        <v>259</v>
      </c>
      <c r="DB94" s="169" t="s">
        <v>259</v>
      </c>
      <c r="DC94" s="169" t="s">
        <v>259</v>
      </c>
      <c r="DD94" s="169" t="s">
        <v>259</v>
      </c>
      <c r="DE94" s="169" t="s">
        <v>259</v>
      </c>
      <c r="DF94" s="169" t="s">
        <v>259</v>
      </c>
      <c r="DG94" s="169" t="s">
        <v>259</v>
      </c>
      <c r="DH94" s="169" t="s">
        <v>259</v>
      </c>
      <c r="DI94" s="169" t="s">
        <v>259</v>
      </c>
      <c r="DJ94" s="169" t="s">
        <v>259</v>
      </c>
      <c r="DK94" s="169" t="s">
        <v>259</v>
      </c>
      <c r="DL94" s="169" t="s">
        <v>259</v>
      </c>
      <c r="DM94" s="169" t="s">
        <v>259</v>
      </c>
      <c r="DN94" s="169" t="s">
        <v>259</v>
      </c>
      <c r="DO94" s="169" t="s">
        <v>259</v>
      </c>
      <c r="DP94" s="169" t="s">
        <v>259</v>
      </c>
      <c r="DQ94" s="169" t="s">
        <v>259</v>
      </c>
      <c r="DR94" s="169" t="s">
        <v>259</v>
      </c>
      <c r="DS94" s="169" t="s">
        <v>259</v>
      </c>
      <c r="DT94" s="169" t="s">
        <v>259</v>
      </c>
    </row>
    <row r="95" spans="2:124" x14ac:dyDescent="0.3">
      <c r="B95" t="str">
        <f>'IMPORT SCHLIESSERDATEN'!B94</f>
        <v>TS 98 GSR-EMR BG XEA EN 1-6 Gangfl.</v>
      </c>
      <c r="D95" s="169" t="s">
        <v>259</v>
      </c>
      <c r="E95" s="169" t="s">
        <v>259</v>
      </c>
      <c r="F95" s="169" t="s">
        <v>259</v>
      </c>
      <c r="G95" s="169" t="s">
        <v>259</v>
      </c>
      <c r="H95" s="169" t="s">
        <v>259</v>
      </c>
      <c r="I95" s="169" t="s">
        <v>259</v>
      </c>
      <c r="J95" s="169" t="s">
        <v>259</v>
      </c>
      <c r="K95" s="169" t="s">
        <v>259</v>
      </c>
      <c r="L95" s="169" t="s">
        <v>259</v>
      </c>
      <c r="M95" s="169" t="s">
        <v>259</v>
      </c>
      <c r="N95" s="169" t="s">
        <v>259</v>
      </c>
      <c r="O95" s="169" t="s">
        <v>259</v>
      </c>
      <c r="P95" s="169" t="s">
        <v>259</v>
      </c>
      <c r="Q95" s="169" t="s">
        <v>259</v>
      </c>
      <c r="R95" s="169" t="s">
        <v>259</v>
      </c>
      <c r="S95" s="169" t="s">
        <v>259</v>
      </c>
      <c r="T95" s="169" t="s">
        <v>259</v>
      </c>
      <c r="U95" s="169" t="s">
        <v>259</v>
      </c>
      <c r="V95" s="169" t="s">
        <v>259</v>
      </c>
      <c r="W95" s="169" t="s">
        <v>259</v>
      </c>
      <c r="X95" s="169" t="s">
        <v>259</v>
      </c>
      <c r="Y95" s="169" t="s">
        <v>259</v>
      </c>
      <c r="Z95" s="169" t="s">
        <v>259</v>
      </c>
      <c r="AA95" s="169" t="s">
        <v>259</v>
      </c>
      <c r="AB95" s="169" t="s">
        <v>259</v>
      </c>
      <c r="AC95" s="169" t="s">
        <v>259</v>
      </c>
      <c r="AD95" s="169" t="s">
        <v>259</v>
      </c>
      <c r="AE95" s="169" t="s">
        <v>259</v>
      </c>
      <c r="AF95" s="169" t="s">
        <v>259</v>
      </c>
      <c r="AG95" s="169" t="s">
        <v>259</v>
      </c>
      <c r="AH95" s="169" t="s">
        <v>259</v>
      </c>
      <c r="AI95" s="169" t="s">
        <v>259</v>
      </c>
      <c r="AJ95" s="169" t="s">
        <v>259</v>
      </c>
      <c r="AK95" s="169" t="s">
        <v>259</v>
      </c>
      <c r="AL95" s="169" t="s">
        <v>259</v>
      </c>
      <c r="AM95" s="169" t="s">
        <v>259</v>
      </c>
      <c r="AN95" s="169" t="s">
        <v>259</v>
      </c>
      <c r="AO95" s="169" t="s">
        <v>259</v>
      </c>
      <c r="AP95" s="169" t="s">
        <v>259</v>
      </c>
      <c r="AQ95" s="169" t="s">
        <v>259</v>
      </c>
      <c r="AR95" s="169" t="s">
        <v>259</v>
      </c>
      <c r="AS95" s="169" t="s">
        <v>259</v>
      </c>
      <c r="AT95" s="169" t="s">
        <v>259</v>
      </c>
      <c r="AU95" s="169" t="s">
        <v>259</v>
      </c>
      <c r="AV95" s="169" t="s">
        <v>259</v>
      </c>
      <c r="AW95" s="169" t="s">
        <v>259</v>
      </c>
      <c r="AX95" s="169" t="s">
        <v>259</v>
      </c>
      <c r="AY95" s="169" t="s">
        <v>259</v>
      </c>
      <c r="AZ95" s="169" t="s">
        <v>259</v>
      </c>
      <c r="BA95" s="169" t="s">
        <v>259</v>
      </c>
      <c r="BB95" s="169" t="s">
        <v>259</v>
      </c>
      <c r="BC95" s="169" t="s">
        <v>259</v>
      </c>
      <c r="BD95" s="169" t="s">
        <v>259</v>
      </c>
      <c r="BE95" s="169" t="s">
        <v>259</v>
      </c>
      <c r="BF95" s="169" t="s">
        <v>259</v>
      </c>
      <c r="BG95" s="169" t="s">
        <v>259</v>
      </c>
      <c r="BH95" s="169" t="s">
        <v>259</v>
      </c>
      <c r="BI95" s="169" t="s">
        <v>259</v>
      </c>
      <c r="BJ95" s="169" t="s">
        <v>259</v>
      </c>
      <c r="BK95" s="169" t="s">
        <v>259</v>
      </c>
      <c r="BL95" s="169" t="s">
        <v>259</v>
      </c>
      <c r="BM95" s="169" t="s">
        <v>259</v>
      </c>
      <c r="BN95" s="169" t="s">
        <v>259</v>
      </c>
      <c r="BO95" s="169" t="s">
        <v>259</v>
      </c>
      <c r="BP95" s="169" t="s">
        <v>259</v>
      </c>
      <c r="BQ95" s="169" t="s">
        <v>259</v>
      </c>
      <c r="BR95" s="169" t="s">
        <v>259</v>
      </c>
      <c r="BS95" s="169" t="s">
        <v>259</v>
      </c>
      <c r="BT95" s="169" t="s">
        <v>259</v>
      </c>
      <c r="BU95" s="169" t="s">
        <v>259</v>
      </c>
      <c r="BV95" s="169" t="s">
        <v>259</v>
      </c>
      <c r="BW95" s="169" t="s">
        <v>259</v>
      </c>
      <c r="BX95" s="169" t="s">
        <v>259</v>
      </c>
      <c r="BY95" s="169" t="s">
        <v>259</v>
      </c>
      <c r="BZ95" s="169" t="s">
        <v>259</v>
      </c>
      <c r="CA95" s="169" t="s">
        <v>259</v>
      </c>
      <c r="CB95" s="169" t="s">
        <v>259</v>
      </c>
      <c r="CC95" s="169" t="s">
        <v>259</v>
      </c>
      <c r="CD95" s="169" t="s">
        <v>259</v>
      </c>
      <c r="CE95" s="169" t="s">
        <v>259</v>
      </c>
      <c r="CF95" s="169" t="s">
        <v>259</v>
      </c>
      <c r="CG95" s="169" t="s">
        <v>259</v>
      </c>
      <c r="CH95" s="169" t="s">
        <v>259</v>
      </c>
      <c r="CI95" s="169" t="s">
        <v>259</v>
      </c>
      <c r="CJ95" s="169" t="s">
        <v>259</v>
      </c>
      <c r="CK95" s="169" t="s">
        <v>259</v>
      </c>
      <c r="CL95" s="169" t="s">
        <v>259</v>
      </c>
      <c r="CM95" s="169" t="s">
        <v>259</v>
      </c>
      <c r="CN95" s="169" t="s">
        <v>259</v>
      </c>
      <c r="CO95" s="169" t="s">
        <v>259</v>
      </c>
      <c r="CP95" s="169" t="s">
        <v>259</v>
      </c>
      <c r="CQ95" s="169" t="s">
        <v>259</v>
      </c>
      <c r="CR95" s="169" t="s">
        <v>259</v>
      </c>
      <c r="CS95" s="169" t="s">
        <v>259</v>
      </c>
      <c r="CT95" s="169" t="s">
        <v>259</v>
      </c>
      <c r="CU95" s="169" t="s">
        <v>259</v>
      </c>
      <c r="CV95" s="169" t="s">
        <v>259</v>
      </c>
      <c r="CW95" s="169" t="s">
        <v>259</v>
      </c>
      <c r="CX95" s="169" t="s">
        <v>259</v>
      </c>
      <c r="CY95" s="169" t="s">
        <v>259</v>
      </c>
      <c r="CZ95" s="169" t="s">
        <v>259</v>
      </c>
      <c r="DA95" s="169" t="s">
        <v>259</v>
      </c>
      <c r="DB95" s="169" t="s">
        <v>259</v>
      </c>
      <c r="DC95" s="169" t="s">
        <v>259</v>
      </c>
      <c r="DD95" s="169" t="s">
        <v>259</v>
      </c>
      <c r="DE95" s="169" t="s">
        <v>259</v>
      </c>
      <c r="DF95" s="169" t="s">
        <v>259</v>
      </c>
      <c r="DG95" s="169" t="s">
        <v>259</v>
      </c>
      <c r="DH95" s="169" t="s">
        <v>259</v>
      </c>
      <c r="DI95" s="169" t="s">
        <v>259</v>
      </c>
      <c r="DJ95" s="169" t="s">
        <v>259</v>
      </c>
      <c r="DK95" s="169" t="s">
        <v>259</v>
      </c>
      <c r="DL95" s="169" t="s">
        <v>259</v>
      </c>
      <c r="DM95" s="169" t="s">
        <v>259</v>
      </c>
      <c r="DN95" s="169" t="s">
        <v>259</v>
      </c>
      <c r="DO95" s="169" t="s">
        <v>259</v>
      </c>
      <c r="DP95" s="169" t="s">
        <v>259</v>
      </c>
      <c r="DQ95" s="169" t="s">
        <v>259</v>
      </c>
      <c r="DR95" s="169" t="s">
        <v>259</v>
      </c>
      <c r="DS95" s="169" t="s">
        <v>259</v>
      </c>
      <c r="DT95" s="169" t="s">
        <v>259</v>
      </c>
    </row>
    <row r="96" spans="2:124" x14ac:dyDescent="0.3">
      <c r="B96" t="str">
        <f>'IMPORT SCHLIESSERDATEN'!B95</f>
        <v>TS 98 GSR BG XEA EN 1-6 Standfl.</v>
      </c>
      <c r="D96" s="169" t="s">
        <v>259</v>
      </c>
      <c r="E96" s="169" t="s">
        <v>259</v>
      </c>
      <c r="F96" s="169" t="s">
        <v>259</v>
      </c>
      <c r="G96" s="169" t="s">
        <v>259</v>
      </c>
      <c r="H96" s="169" t="s">
        <v>259</v>
      </c>
      <c r="I96" s="169" t="s">
        <v>259</v>
      </c>
      <c r="J96" s="169" t="s">
        <v>259</v>
      </c>
      <c r="K96" s="169" t="s">
        <v>259</v>
      </c>
      <c r="L96" s="169" t="s">
        <v>259</v>
      </c>
      <c r="M96" s="169" t="s">
        <v>259</v>
      </c>
      <c r="N96" s="169" t="s">
        <v>259</v>
      </c>
      <c r="O96" s="169" t="s">
        <v>259</v>
      </c>
      <c r="P96" s="169" t="s">
        <v>259</v>
      </c>
      <c r="Q96" s="169" t="s">
        <v>259</v>
      </c>
      <c r="R96" s="169" t="s">
        <v>259</v>
      </c>
      <c r="S96" s="169" t="s">
        <v>259</v>
      </c>
      <c r="T96" s="169" t="s">
        <v>259</v>
      </c>
      <c r="U96" s="169" t="s">
        <v>259</v>
      </c>
      <c r="V96" s="169" t="s">
        <v>259</v>
      </c>
      <c r="W96" s="169" t="s">
        <v>259</v>
      </c>
      <c r="X96" s="169" t="s">
        <v>259</v>
      </c>
      <c r="Y96" s="169" t="s">
        <v>259</v>
      </c>
      <c r="Z96" s="169" t="s">
        <v>259</v>
      </c>
      <c r="AA96" s="169" t="s">
        <v>259</v>
      </c>
      <c r="AB96" s="169" t="s">
        <v>259</v>
      </c>
      <c r="AC96" s="169" t="s">
        <v>259</v>
      </c>
      <c r="AD96" s="169" t="s">
        <v>259</v>
      </c>
      <c r="AE96" s="169" t="s">
        <v>259</v>
      </c>
      <c r="AF96" s="169" t="s">
        <v>259</v>
      </c>
      <c r="AG96" s="169" t="s">
        <v>259</v>
      </c>
      <c r="AH96" s="169" t="s">
        <v>259</v>
      </c>
      <c r="AI96" s="169" t="s">
        <v>259</v>
      </c>
      <c r="AJ96" s="169" t="s">
        <v>259</v>
      </c>
      <c r="AK96" s="169" t="s">
        <v>259</v>
      </c>
      <c r="AL96" s="169" t="s">
        <v>259</v>
      </c>
      <c r="AM96" s="169" t="s">
        <v>259</v>
      </c>
      <c r="AN96" s="169" t="s">
        <v>259</v>
      </c>
      <c r="AO96" s="169" t="s">
        <v>259</v>
      </c>
      <c r="AP96" s="169" t="s">
        <v>259</v>
      </c>
      <c r="AQ96" s="169" t="s">
        <v>259</v>
      </c>
      <c r="AR96" s="169" t="s">
        <v>259</v>
      </c>
      <c r="AS96" s="169" t="s">
        <v>259</v>
      </c>
      <c r="AT96" s="169" t="s">
        <v>259</v>
      </c>
      <c r="AU96" s="169" t="s">
        <v>259</v>
      </c>
      <c r="AV96" s="169" t="s">
        <v>259</v>
      </c>
      <c r="AW96" s="169" t="s">
        <v>259</v>
      </c>
      <c r="AX96" s="169" t="s">
        <v>259</v>
      </c>
      <c r="AY96" s="169" t="s">
        <v>259</v>
      </c>
      <c r="AZ96" s="169" t="s">
        <v>259</v>
      </c>
      <c r="BA96" s="169" t="s">
        <v>259</v>
      </c>
      <c r="BB96" s="169" t="s">
        <v>259</v>
      </c>
      <c r="BC96" s="169" t="s">
        <v>259</v>
      </c>
      <c r="BD96" s="169" t="s">
        <v>259</v>
      </c>
      <c r="BE96" s="169" t="s">
        <v>259</v>
      </c>
      <c r="BF96" s="169" t="s">
        <v>259</v>
      </c>
      <c r="BG96" s="169" t="s">
        <v>259</v>
      </c>
      <c r="BH96" s="169" t="s">
        <v>259</v>
      </c>
      <c r="BI96" s="169" t="s">
        <v>259</v>
      </c>
      <c r="BJ96" s="169" t="s">
        <v>259</v>
      </c>
      <c r="BK96" s="169" t="s">
        <v>259</v>
      </c>
      <c r="BL96" s="169" t="s">
        <v>259</v>
      </c>
      <c r="BM96" s="169" t="s">
        <v>259</v>
      </c>
      <c r="BN96" s="169" t="s">
        <v>259</v>
      </c>
      <c r="BO96" s="169" t="s">
        <v>259</v>
      </c>
      <c r="BP96" s="169" t="s">
        <v>259</v>
      </c>
      <c r="BQ96" s="169" t="s">
        <v>259</v>
      </c>
      <c r="BR96" s="169" t="s">
        <v>259</v>
      </c>
      <c r="BS96" s="169" t="s">
        <v>259</v>
      </c>
      <c r="BT96" s="169" t="s">
        <v>259</v>
      </c>
      <c r="BU96" s="169" t="s">
        <v>259</v>
      </c>
      <c r="BV96" s="169" t="s">
        <v>259</v>
      </c>
      <c r="BW96" s="169" t="s">
        <v>259</v>
      </c>
      <c r="BX96" s="169" t="s">
        <v>259</v>
      </c>
      <c r="BY96" s="169" t="s">
        <v>259</v>
      </c>
      <c r="BZ96" s="169" t="s">
        <v>259</v>
      </c>
      <c r="CA96" s="169" t="s">
        <v>259</v>
      </c>
      <c r="CB96" s="169" t="s">
        <v>259</v>
      </c>
      <c r="CC96" s="169" t="s">
        <v>259</v>
      </c>
      <c r="CD96" s="169" t="s">
        <v>259</v>
      </c>
      <c r="CE96" s="169" t="s">
        <v>259</v>
      </c>
      <c r="CF96" s="169" t="s">
        <v>259</v>
      </c>
      <c r="CG96" s="169" t="s">
        <v>259</v>
      </c>
      <c r="CH96" s="169" t="s">
        <v>259</v>
      </c>
      <c r="CI96" s="169" t="s">
        <v>259</v>
      </c>
      <c r="CJ96" s="169" t="s">
        <v>259</v>
      </c>
      <c r="CK96" s="169" t="s">
        <v>259</v>
      </c>
      <c r="CL96" s="169" t="s">
        <v>259</v>
      </c>
      <c r="CM96" s="169" t="s">
        <v>259</v>
      </c>
      <c r="CN96" s="169" t="s">
        <v>259</v>
      </c>
      <c r="CO96" s="169" t="s">
        <v>259</v>
      </c>
      <c r="CP96" s="169" t="s">
        <v>259</v>
      </c>
      <c r="CQ96" s="169" t="s">
        <v>259</v>
      </c>
      <c r="CR96" s="169" t="s">
        <v>259</v>
      </c>
      <c r="CS96" s="169" t="s">
        <v>259</v>
      </c>
      <c r="CT96" s="169" t="s">
        <v>259</v>
      </c>
      <c r="CU96" s="169" t="s">
        <v>259</v>
      </c>
      <c r="CV96" s="169" t="s">
        <v>259</v>
      </c>
      <c r="CW96" s="169" t="s">
        <v>259</v>
      </c>
      <c r="CX96" s="169" t="s">
        <v>259</v>
      </c>
      <c r="CY96" s="169" t="s">
        <v>259</v>
      </c>
      <c r="CZ96" s="169" t="s">
        <v>259</v>
      </c>
      <c r="DA96" s="169" t="s">
        <v>259</v>
      </c>
      <c r="DB96" s="169" t="s">
        <v>259</v>
      </c>
      <c r="DC96" s="169" t="s">
        <v>259</v>
      </c>
      <c r="DD96" s="169" t="s">
        <v>259</v>
      </c>
      <c r="DE96" s="169" t="s">
        <v>259</v>
      </c>
      <c r="DF96" s="169" t="s">
        <v>259</v>
      </c>
      <c r="DG96" s="169" t="s">
        <v>259</v>
      </c>
      <c r="DH96" s="169" t="s">
        <v>259</v>
      </c>
      <c r="DI96" s="169" t="s">
        <v>259</v>
      </c>
      <c r="DJ96" s="169" t="s">
        <v>259</v>
      </c>
      <c r="DK96" s="169" t="s">
        <v>259</v>
      </c>
      <c r="DL96" s="169" t="s">
        <v>259</v>
      </c>
      <c r="DM96" s="169" t="s">
        <v>259</v>
      </c>
      <c r="DN96" s="169" t="s">
        <v>259</v>
      </c>
      <c r="DO96" s="169" t="s">
        <v>259</v>
      </c>
      <c r="DP96" s="169" t="s">
        <v>259</v>
      </c>
      <c r="DQ96" s="169" t="s">
        <v>259</v>
      </c>
      <c r="DR96" s="169" t="s">
        <v>259</v>
      </c>
      <c r="DS96" s="169" t="s">
        <v>259</v>
      </c>
      <c r="DT96" s="169" t="s">
        <v>259</v>
      </c>
    </row>
    <row r="97" spans="2:124" x14ac:dyDescent="0.3">
      <c r="B97" t="str">
        <f>'IMPORT SCHLIESSERDATEN'!B96</f>
        <v>TS 98 GSR-EMF BG XEA EN 1-6 Standfl.</v>
      </c>
      <c r="D97" s="169" t="s">
        <v>259</v>
      </c>
      <c r="E97" s="169" t="s">
        <v>259</v>
      </c>
      <c r="F97" s="169" t="s">
        <v>259</v>
      </c>
      <c r="G97" s="169" t="s">
        <v>259</v>
      </c>
      <c r="H97" s="169" t="s">
        <v>259</v>
      </c>
      <c r="I97" s="169" t="s">
        <v>259</v>
      </c>
      <c r="J97" s="169" t="s">
        <v>259</v>
      </c>
      <c r="K97" s="169" t="s">
        <v>259</v>
      </c>
      <c r="L97" s="169" t="s">
        <v>259</v>
      </c>
      <c r="M97" s="169" t="s">
        <v>259</v>
      </c>
      <c r="N97" s="169" t="s">
        <v>259</v>
      </c>
      <c r="O97" s="169" t="s">
        <v>259</v>
      </c>
      <c r="P97" s="169" t="s">
        <v>259</v>
      </c>
      <c r="Q97" s="169" t="s">
        <v>259</v>
      </c>
      <c r="R97" s="169" t="s">
        <v>259</v>
      </c>
      <c r="S97" s="169" t="s">
        <v>259</v>
      </c>
      <c r="T97" s="169" t="s">
        <v>259</v>
      </c>
      <c r="U97" s="169" t="s">
        <v>259</v>
      </c>
      <c r="V97" s="169" t="s">
        <v>259</v>
      </c>
      <c r="W97" s="169" t="s">
        <v>259</v>
      </c>
      <c r="X97" s="169" t="s">
        <v>259</v>
      </c>
      <c r="Y97" s="169" t="s">
        <v>259</v>
      </c>
      <c r="Z97" s="169" t="s">
        <v>259</v>
      </c>
      <c r="AA97" s="169" t="s">
        <v>259</v>
      </c>
      <c r="AB97" s="169" t="s">
        <v>259</v>
      </c>
      <c r="AC97" s="169" t="s">
        <v>259</v>
      </c>
      <c r="AD97" s="169" t="s">
        <v>259</v>
      </c>
      <c r="AE97" s="169" t="s">
        <v>259</v>
      </c>
      <c r="AF97" s="169" t="s">
        <v>259</v>
      </c>
      <c r="AG97" s="169" t="s">
        <v>259</v>
      </c>
      <c r="AH97" s="169" t="s">
        <v>259</v>
      </c>
      <c r="AI97" s="169" t="s">
        <v>259</v>
      </c>
      <c r="AJ97" s="169" t="s">
        <v>259</v>
      </c>
      <c r="AK97" s="169" t="s">
        <v>259</v>
      </c>
      <c r="AL97" s="169" t="s">
        <v>259</v>
      </c>
      <c r="AM97" s="169" t="s">
        <v>259</v>
      </c>
      <c r="AN97" s="169" t="s">
        <v>259</v>
      </c>
      <c r="AO97" s="169" t="s">
        <v>259</v>
      </c>
      <c r="AP97" s="169" t="s">
        <v>259</v>
      </c>
      <c r="AQ97" s="169" t="s">
        <v>259</v>
      </c>
      <c r="AR97" s="169" t="s">
        <v>259</v>
      </c>
      <c r="AS97" s="169" t="s">
        <v>259</v>
      </c>
      <c r="AT97" s="169" t="s">
        <v>259</v>
      </c>
      <c r="AU97" s="169" t="s">
        <v>259</v>
      </c>
      <c r="AV97" s="169" t="s">
        <v>259</v>
      </c>
      <c r="AW97" s="169" t="s">
        <v>259</v>
      </c>
      <c r="AX97" s="169" t="s">
        <v>259</v>
      </c>
      <c r="AY97" s="169" t="s">
        <v>259</v>
      </c>
      <c r="AZ97" s="169" t="s">
        <v>259</v>
      </c>
      <c r="BA97" s="169" t="s">
        <v>259</v>
      </c>
      <c r="BB97" s="169" t="s">
        <v>259</v>
      </c>
      <c r="BC97" s="169" t="s">
        <v>259</v>
      </c>
      <c r="BD97" s="169" t="s">
        <v>259</v>
      </c>
      <c r="BE97" s="169" t="s">
        <v>259</v>
      </c>
      <c r="BF97" s="169" t="s">
        <v>259</v>
      </c>
      <c r="BG97" s="169" t="s">
        <v>259</v>
      </c>
      <c r="BH97" s="169" t="s">
        <v>259</v>
      </c>
      <c r="BI97" s="169" t="s">
        <v>259</v>
      </c>
      <c r="BJ97" s="169" t="s">
        <v>259</v>
      </c>
      <c r="BK97" s="169" t="s">
        <v>259</v>
      </c>
      <c r="BL97" s="169" t="s">
        <v>259</v>
      </c>
      <c r="BM97" s="169" t="s">
        <v>259</v>
      </c>
      <c r="BN97" s="169" t="s">
        <v>259</v>
      </c>
      <c r="BO97" s="169" t="s">
        <v>259</v>
      </c>
      <c r="BP97" s="169" t="s">
        <v>259</v>
      </c>
      <c r="BQ97" s="169" t="s">
        <v>259</v>
      </c>
      <c r="BR97" s="169" t="s">
        <v>259</v>
      </c>
      <c r="BS97" s="169" t="s">
        <v>259</v>
      </c>
      <c r="BT97" s="169" t="s">
        <v>259</v>
      </c>
      <c r="BU97" s="169" t="s">
        <v>259</v>
      </c>
      <c r="BV97" s="169" t="s">
        <v>259</v>
      </c>
      <c r="BW97" s="169" t="s">
        <v>259</v>
      </c>
      <c r="BX97" s="169" t="s">
        <v>259</v>
      </c>
      <c r="BY97" s="169" t="s">
        <v>259</v>
      </c>
      <c r="BZ97" s="169" t="s">
        <v>259</v>
      </c>
      <c r="CA97" s="169" t="s">
        <v>259</v>
      </c>
      <c r="CB97" s="169" t="s">
        <v>259</v>
      </c>
      <c r="CC97" s="169" t="s">
        <v>259</v>
      </c>
      <c r="CD97" s="169" t="s">
        <v>259</v>
      </c>
      <c r="CE97" s="169" t="s">
        <v>259</v>
      </c>
      <c r="CF97" s="169" t="s">
        <v>259</v>
      </c>
      <c r="CG97" s="169" t="s">
        <v>259</v>
      </c>
      <c r="CH97" s="169" t="s">
        <v>259</v>
      </c>
      <c r="CI97" s="169" t="s">
        <v>259</v>
      </c>
      <c r="CJ97" s="169" t="s">
        <v>259</v>
      </c>
      <c r="CK97" s="169" t="s">
        <v>259</v>
      </c>
      <c r="CL97" s="169" t="s">
        <v>259</v>
      </c>
      <c r="CM97" s="169" t="s">
        <v>259</v>
      </c>
      <c r="CN97" s="169" t="s">
        <v>259</v>
      </c>
      <c r="CO97" s="169" t="s">
        <v>259</v>
      </c>
      <c r="CP97" s="169" t="s">
        <v>259</v>
      </c>
      <c r="CQ97" s="169" t="s">
        <v>259</v>
      </c>
      <c r="CR97" s="169" t="s">
        <v>259</v>
      </c>
      <c r="CS97" s="169" t="s">
        <v>259</v>
      </c>
      <c r="CT97" s="169" t="s">
        <v>259</v>
      </c>
      <c r="CU97" s="169" t="s">
        <v>259</v>
      </c>
      <c r="CV97" s="169" t="s">
        <v>259</v>
      </c>
      <c r="CW97" s="169" t="s">
        <v>259</v>
      </c>
      <c r="CX97" s="169" t="s">
        <v>259</v>
      </c>
      <c r="CY97" s="169" t="s">
        <v>259</v>
      </c>
      <c r="CZ97" s="169" t="s">
        <v>259</v>
      </c>
      <c r="DA97" s="169" t="s">
        <v>259</v>
      </c>
      <c r="DB97" s="169" t="s">
        <v>259</v>
      </c>
      <c r="DC97" s="169" t="s">
        <v>259</v>
      </c>
      <c r="DD97" s="169" t="s">
        <v>259</v>
      </c>
      <c r="DE97" s="169" t="s">
        <v>259</v>
      </c>
      <c r="DF97" s="169" t="s">
        <v>259</v>
      </c>
      <c r="DG97" s="169" t="s">
        <v>259</v>
      </c>
      <c r="DH97" s="169" t="s">
        <v>259</v>
      </c>
      <c r="DI97" s="169" t="s">
        <v>259</v>
      </c>
      <c r="DJ97" s="169" t="s">
        <v>259</v>
      </c>
      <c r="DK97" s="169" t="s">
        <v>259</v>
      </c>
      <c r="DL97" s="169" t="s">
        <v>259</v>
      </c>
      <c r="DM97" s="169" t="s">
        <v>259</v>
      </c>
      <c r="DN97" s="169" t="s">
        <v>259</v>
      </c>
      <c r="DO97" s="169" t="s">
        <v>259</v>
      </c>
      <c r="DP97" s="169" t="s">
        <v>259</v>
      </c>
      <c r="DQ97" s="169" t="s">
        <v>259</v>
      </c>
      <c r="DR97" s="169" t="s">
        <v>259</v>
      </c>
      <c r="DS97" s="169" t="s">
        <v>259</v>
      </c>
      <c r="DT97" s="169" t="s">
        <v>259</v>
      </c>
    </row>
    <row r="98" spans="2:124" x14ac:dyDescent="0.3">
      <c r="B98" t="str">
        <f>'IMPORT SCHLIESSERDATEN'!B97</f>
        <v>TS 98 GSR-EMR BG XEA EN 1-6 Standfl.</v>
      </c>
      <c r="D98" s="169" t="s">
        <v>259</v>
      </c>
      <c r="E98" s="169" t="s">
        <v>259</v>
      </c>
      <c r="F98" s="169" t="s">
        <v>259</v>
      </c>
      <c r="G98" s="169" t="s">
        <v>259</v>
      </c>
      <c r="H98" s="169" t="s">
        <v>259</v>
      </c>
      <c r="I98" s="169" t="s">
        <v>259</v>
      </c>
      <c r="J98" s="169" t="s">
        <v>259</v>
      </c>
      <c r="K98" s="169" t="s">
        <v>259</v>
      </c>
      <c r="L98" s="169" t="s">
        <v>259</v>
      </c>
      <c r="M98" s="169" t="s">
        <v>259</v>
      </c>
      <c r="N98" s="169" t="s">
        <v>259</v>
      </c>
      <c r="O98" s="169" t="s">
        <v>259</v>
      </c>
      <c r="P98" s="169" t="s">
        <v>259</v>
      </c>
      <c r="Q98" s="169" t="s">
        <v>259</v>
      </c>
      <c r="R98" s="169" t="s">
        <v>259</v>
      </c>
      <c r="S98" s="169" t="s">
        <v>259</v>
      </c>
      <c r="T98" s="169" t="s">
        <v>259</v>
      </c>
      <c r="U98" s="169" t="s">
        <v>259</v>
      </c>
      <c r="V98" s="169" t="s">
        <v>259</v>
      </c>
      <c r="W98" s="169" t="s">
        <v>259</v>
      </c>
      <c r="X98" s="169" t="s">
        <v>259</v>
      </c>
      <c r="Y98" s="169" t="s">
        <v>259</v>
      </c>
      <c r="Z98" s="169" t="s">
        <v>259</v>
      </c>
      <c r="AA98" s="169" t="s">
        <v>259</v>
      </c>
      <c r="AB98" s="169" t="s">
        <v>259</v>
      </c>
      <c r="AC98" s="169" t="s">
        <v>259</v>
      </c>
      <c r="AD98" s="169" t="s">
        <v>259</v>
      </c>
      <c r="AE98" s="169" t="s">
        <v>259</v>
      </c>
      <c r="AF98" s="169" t="s">
        <v>259</v>
      </c>
      <c r="AG98" s="169" t="s">
        <v>259</v>
      </c>
      <c r="AH98" s="169" t="s">
        <v>259</v>
      </c>
      <c r="AI98" s="169" t="s">
        <v>259</v>
      </c>
      <c r="AJ98" s="169" t="s">
        <v>259</v>
      </c>
      <c r="AK98" s="169" t="s">
        <v>259</v>
      </c>
      <c r="AL98" s="169" t="s">
        <v>259</v>
      </c>
      <c r="AM98" s="169" t="s">
        <v>259</v>
      </c>
      <c r="AN98" s="169" t="s">
        <v>259</v>
      </c>
      <c r="AO98" s="169" t="s">
        <v>259</v>
      </c>
      <c r="AP98" s="169" t="s">
        <v>259</v>
      </c>
      <c r="AQ98" s="169" t="s">
        <v>259</v>
      </c>
      <c r="AR98" s="169" t="s">
        <v>259</v>
      </c>
      <c r="AS98" s="169" t="s">
        <v>259</v>
      </c>
      <c r="AT98" s="169" t="s">
        <v>259</v>
      </c>
      <c r="AU98" s="169" t="s">
        <v>259</v>
      </c>
      <c r="AV98" s="169" t="s">
        <v>259</v>
      </c>
      <c r="AW98" s="169" t="s">
        <v>259</v>
      </c>
      <c r="AX98" s="169" t="s">
        <v>259</v>
      </c>
      <c r="AY98" s="169" t="s">
        <v>259</v>
      </c>
      <c r="AZ98" s="169" t="s">
        <v>259</v>
      </c>
      <c r="BA98" s="169" t="s">
        <v>259</v>
      </c>
      <c r="BB98" s="169" t="s">
        <v>259</v>
      </c>
      <c r="BC98" s="169" t="s">
        <v>259</v>
      </c>
      <c r="BD98" s="169" t="s">
        <v>259</v>
      </c>
      <c r="BE98" s="169" t="s">
        <v>259</v>
      </c>
      <c r="BF98" s="169" t="s">
        <v>259</v>
      </c>
      <c r="BG98" s="169" t="s">
        <v>259</v>
      </c>
      <c r="BH98" s="169" t="s">
        <v>259</v>
      </c>
      <c r="BI98" s="169" t="s">
        <v>259</v>
      </c>
      <c r="BJ98" s="169" t="s">
        <v>259</v>
      </c>
      <c r="BK98" s="169" t="s">
        <v>259</v>
      </c>
      <c r="BL98" s="169" t="s">
        <v>259</v>
      </c>
      <c r="BM98" s="169" t="s">
        <v>259</v>
      </c>
      <c r="BN98" s="169" t="s">
        <v>259</v>
      </c>
      <c r="BO98" s="169" t="s">
        <v>259</v>
      </c>
      <c r="BP98" s="169" t="s">
        <v>259</v>
      </c>
      <c r="BQ98" s="169" t="s">
        <v>259</v>
      </c>
      <c r="BR98" s="169" t="s">
        <v>259</v>
      </c>
      <c r="BS98" s="169" t="s">
        <v>259</v>
      </c>
      <c r="BT98" s="169" t="s">
        <v>259</v>
      </c>
      <c r="BU98" s="169" t="s">
        <v>259</v>
      </c>
      <c r="BV98" s="169" t="s">
        <v>259</v>
      </c>
      <c r="BW98" s="169" t="s">
        <v>259</v>
      </c>
      <c r="BX98" s="169" t="s">
        <v>259</v>
      </c>
      <c r="BY98" s="169" t="s">
        <v>259</v>
      </c>
      <c r="BZ98" s="169" t="s">
        <v>259</v>
      </c>
      <c r="CA98" s="169" t="s">
        <v>259</v>
      </c>
      <c r="CB98" s="169" t="s">
        <v>259</v>
      </c>
      <c r="CC98" s="169" t="s">
        <v>259</v>
      </c>
      <c r="CD98" s="169" t="s">
        <v>259</v>
      </c>
      <c r="CE98" s="169" t="s">
        <v>259</v>
      </c>
      <c r="CF98" s="169" t="s">
        <v>259</v>
      </c>
      <c r="CG98" s="169" t="s">
        <v>259</v>
      </c>
      <c r="CH98" s="169" t="s">
        <v>259</v>
      </c>
      <c r="CI98" s="169" t="s">
        <v>259</v>
      </c>
      <c r="CJ98" s="169" t="s">
        <v>259</v>
      </c>
      <c r="CK98" s="169" t="s">
        <v>259</v>
      </c>
      <c r="CL98" s="169" t="s">
        <v>259</v>
      </c>
      <c r="CM98" s="169" t="s">
        <v>259</v>
      </c>
      <c r="CN98" s="169" t="s">
        <v>259</v>
      </c>
      <c r="CO98" s="169" t="s">
        <v>259</v>
      </c>
      <c r="CP98" s="169" t="s">
        <v>259</v>
      </c>
      <c r="CQ98" s="169" t="s">
        <v>259</v>
      </c>
      <c r="CR98" s="169" t="s">
        <v>259</v>
      </c>
      <c r="CS98" s="169" t="s">
        <v>259</v>
      </c>
      <c r="CT98" s="169" t="s">
        <v>259</v>
      </c>
      <c r="CU98" s="169" t="s">
        <v>259</v>
      </c>
      <c r="CV98" s="169" t="s">
        <v>259</v>
      </c>
      <c r="CW98" s="169" t="s">
        <v>259</v>
      </c>
      <c r="CX98" s="169" t="s">
        <v>259</v>
      </c>
      <c r="CY98" s="169" t="s">
        <v>259</v>
      </c>
      <c r="CZ98" s="169" t="s">
        <v>259</v>
      </c>
      <c r="DA98" s="169" t="s">
        <v>259</v>
      </c>
      <c r="DB98" s="169" t="s">
        <v>259</v>
      </c>
      <c r="DC98" s="169" t="s">
        <v>259</v>
      </c>
      <c r="DD98" s="169" t="s">
        <v>259</v>
      </c>
      <c r="DE98" s="169" t="s">
        <v>259</v>
      </c>
      <c r="DF98" s="169" t="s">
        <v>259</v>
      </c>
      <c r="DG98" s="169" t="s">
        <v>259</v>
      </c>
      <c r="DH98" s="169" t="s">
        <v>259</v>
      </c>
      <c r="DI98" s="169" t="s">
        <v>259</v>
      </c>
      <c r="DJ98" s="169" t="s">
        <v>259</v>
      </c>
      <c r="DK98" s="169" t="s">
        <v>259</v>
      </c>
      <c r="DL98" s="169" t="s">
        <v>259</v>
      </c>
      <c r="DM98" s="169" t="s">
        <v>259</v>
      </c>
      <c r="DN98" s="169" t="s">
        <v>259</v>
      </c>
      <c r="DO98" s="169" t="s">
        <v>259</v>
      </c>
      <c r="DP98" s="169" t="s">
        <v>259</v>
      </c>
      <c r="DQ98" s="169" t="s">
        <v>259</v>
      </c>
      <c r="DR98" s="169" t="s">
        <v>259</v>
      </c>
      <c r="DS98" s="169" t="s">
        <v>259</v>
      </c>
      <c r="DT98" s="169" t="s">
        <v>259</v>
      </c>
    </row>
    <row r="99" spans="2:124" x14ac:dyDescent="0.3">
      <c r="B99" t="str">
        <f>'IMPORT SCHLIESSERDATEN'!B98</f>
        <v>TS 99 FL EN 2-5</v>
      </c>
      <c r="D99" s="169" t="s">
        <v>259</v>
      </c>
      <c r="E99" s="169" t="s">
        <v>259</v>
      </c>
      <c r="F99" s="169" t="s">
        <v>259</v>
      </c>
      <c r="G99" s="169" t="s">
        <v>259</v>
      </c>
      <c r="H99" s="169" t="s">
        <v>259</v>
      </c>
      <c r="I99" s="169" t="s">
        <v>259</v>
      </c>
      <c r="J99" s="169" t="s">
        <v>259</v>
      </c>
      <c r="K99" s="169" t="s">
        <v>259</v>
      </c>
      <c r="L99" s="169" t="s">
        <v>259</v>
      </c>
      <c r="M99" s="169" t="s">
        <v>259</v>
      </c>
      <c r="N99" s="169" t="s">
        <v>259</v>
      </c>
      <c r="O99" s="169" t="s">
        <v>259</v>
      </c>
      <c r="P99" s="169" t="s">
        <v>259</v>
      </c>
      <c r="Q99" s="169" t="s">
        <v>259</v>
      </c>
      <c r="R99" s="169" t="s">
        <v>259</v>
      </c>
      <c r="S99" s="169" t="s">
        <v>259</v>
      </c>
      <c r="T99" s="169" t="s">
        <v>259</v>
      </c>
      <c r="U99" s="169" t="s">
        <v>259</v>
      </c>
      <c r="V99" s="169" t="s">
        <v>259</v>
      </c>
      <c r="W99" s="169" t="s">
        <v>259</v>
      </c>
      <c r="X99" s="169" t="s">
        <v>259</v>
      </c>
      <c r="Y99" s="169" t="s">
        <v>259</v>
      </c>
      <c r="Z99" s="169" t="s">
        <v>259</v>
      </c>
      <c r="AA99" s="169" t="s">
        <v>259</v>
      </c>
      <c r="AB99" s="169" t="s">
        <v>259</v>
      </c>
      <c r="AC99" s="169" t="s">
        <v>259</v>
      </c>
      <c r="AD99" s="169" t="s">
        <v>259</v>
      </c>
      <c r="AE99" s="169" t="s">
        <v>259</v>
      </c>
      <c r="AF99" s="169" t="s">
        <v>259</v>
      </c>
      <c r="AG99" s="169" t="s">
        <v>259</v>
      </c>
      <c r="AH99" s="169" t="s">
        <v>259</v>
      </c>
      <c r="AI99" s="169" t="s">
        <v>259</v>
      </c>
      <c r="AJ99" s="169" t="s">
        <v>259</v>
      </c>
      <c r="AK99" s="169" t="s">
        <v>259</v>
      </c>
      <c r="AL99" s="169" t="s">
        <v>259</v>
      </c>
      <c r="AM99" s="169" t="s">
        <v>259</v>
      </c>
      <c r="AN99" s="169" t="s">
        <v>259</v>
      </c>
      <c r="AO99" s="169" t="s">
        <v>259</v>
      </c>
      <c r="AP99" s="169" t="s">
        <v>259</v>
      </c>
      <c r="AQ99" s="169" t="s">
        <v>259</v>
      </c>
      <c r="AR99" s="169" t="s">
        <v>259</v>
      </c>
      <c r="AS99" s="169" t="s">
        <v>259</v>
      </c>
      <c r="AT99" s="169" t="s">
        <v>259</v>
      </c>
      <c r="AU99" s="169" t="s">
        <v>259</v>
      </c>
      <c r="AV99" s="169" t="s">
        <v>259</v>
      </c>
      <c r="AW99" s="169" t="s">
        <v>259</v>
      </c>
      <c r="AX99" s="169" t="s">
        <v>259</v>
      </c>
      <c r="AY99" s="169" t="s">
        <v>259</v>
      </c>
      <c r="AZ99" s="169" t="s">
        <v>259</v>
      </c>
      <c r="BA99" s="169" t="s">
        <v>259</v>
      </c>
      <c r="BB99" s="169" t="s">
        <v>259</v>
      </c>
      <c r="BC99" s="169" t="s">
        <v>259</v>
      </c>
      <c r="BD99" s="169" t="s">
        <v>259</v>
      </c>
      <c r="BE99" s="169" t="s">
        <v>259</v>
      </c>
      <c r="BF99" s="169" t="s">
        <v>259</v>
      </c>
      <c r="BG99" s="169" t="s">
        <v>259</v>
      </c>
      <c r="BH99" s="169" t="s">
        <v>259</v>
      </c>
      <c r="BI99" s="169" t="s">
        <v>259</v>
      </c>
      <c r="BJ99" s="169" t="s">
        <v>259</v>
      </c>
      <c r="BK99" s="169" t="s">
        <v>259</v>
      </c>
      <c r="BL99" s="169" t="s">
        <v>259</v>
      </c>
      <c r="BM99" s="169" t="s">
        <v>259</v>
      </c>
      <c r="BN99" s="169" t="s">
        <v>259</v>
      </c>
      <c r="BO99" s="169" t="s">
        <v>259</v>
      </c>
      <c r="BP99" s="169" t="s">
        <v>259</v>
      </c>
      <c r="BQ99" s="169" t="s">
        <v>259</v>
      </c>
      <c r="BR99" s="169" t="s">
        <v>259</v>
      </c>
      <c r="BS99" s="169" t="s">
        <v>259</v>
      </c>
      <c r="BT99" s="169" t="s">
        <v>259</v>
      </c>
      <c r="BU99" s="169" t="s">
        <v>259</v>
      </c>
      <c r="BV99" s="169" t="s">
        <v>259</v>
      </c>
      <c r="BW99" s="169" t="s">
        <v>259</v>
      </c>
      <c r="BX99" s="169" t="s">
        <v>259</v>
      </c>
      <c r="BY99" s="169" t="s">
        <v>259</v>
      </c>
      <c r="BZ99" s="169" t="s">
        <v>259</v>
      </c>
      <c r="CA99" s="169" t="s">
        <v>259</v>
      </c>
      <c r="CB99" s="169" t="s">
        <v>259</v>
      </c>
      <c r="CC99" s="169" t="s">
        <v>259</v>
      </c>
      <c r="CD99" s="169" t="s">
        <v>259</v>
      </c>
      <c r="CE99" s="169" t="s">
        <v>259</v>
      </c>
      <c r="CF99" s="169" t="s">
        <v>259</v>
      </c>
      <c r="CG99" s="169" t="s">
        <v>259</v>
      </c>
      <c r="CH99" s="169" t="s">
        <v>259</v>
      </c>
      <c r="CI99" s="169" t="s">
        <v>259</v>
      </c>
      <c r="CJ99" s="169" t="s">
        <v>259</v>
      </c>
      <c r="CK99" s="169" t="s">
        <v>259</v>
      </c>
      <c r="CL99" s="169" t="s">
        <v>259</v>
      </c>
      <c r="CM99" s="169" t="s">
        <v>259</v>
      </c>
      <c r="CN99" s="169" t="s">
        <v>259</v>
      </c>
      <c r="CO99" s="169" t="s">
        <v>259</v>
      </c>
      <c r="CP99" s="169" t="s">
        <v>259</v>
      </c>
      <c r="CQ99" s="169" t="s">
        <v>259</v>
      </c>
      <c r="CR99" s="169" t="s">
        <v>259</v>
      </c>
      <c r="CS99" s="169" t="s">
        <v>259</v>
      </c>
      <c r="CT99" s="169" t="s">
        <v>259</v>
      </c>
      <c r="CU99" s="169" t="s">
        <v>259</v>
      </c>
      <c r="CV99" s="169" t="s">
        <v>259</v>
      </c>
      <c r="CW99" s="169" t="s">
        <v>259</v>
      </c>
      <c r="CX99" s="169" t="s">
        <v>259</v>
      </c>
      <c r="CY99" s="169" t="s">
        <v>259</v>
      </c>
      <c r="CZ99" s="169" t="s">
        <v>259</v>
      </c>
      <c r="DA99" s="169" t="s">
        <v>259</v>
      </c>
      <c r="DB99" s="169" t="s">
        <v>259</v>
      </c>
      <c r="DC99" s="169" t="s">
        <v>259</v>
      </c>
      <c r="DD99" s="169" t="s">
        <v>259</v>
      </c>
      <c r="DE99" s="169" t="s">
        <v>259</v>
      </c>
      <c r="DF99" s="169" t="s">
        <v>259</v>
      </c>
      <c r="DG99" s="169" t="s">
        <v>259</v>
      </c>
      <c r="DH99" s="169" t="s">
        <v>259</v>
      </c>
      <c r="DI99" s="169" t="s">
        <v>259</v>
      </c>
      <c r="DJ99" s="169" t="s">
        <v>259</v>
      </c>
      <c r="DK99" s="169" t="s">
        <v>259</v>
      </c>
      <c r="DL99" s="169" t="s">
        <v>259</v>
      </c>
      <c r="DM99" s="169" t="s">
        <v>259</v>
      </c>
      <c r="DN99" s="169" t="s">
        <v>259</v>
      </c>
      <c r="DO99" s="169" t="s">
        <v>259</v>
      </c>
      <c r="DP99" s="169" t="s">
        <v>259</v>
      </c>
      <c r="DQ99" s="169" t="s">
        <v>259</v>
      </c>
      <c r="DR99" s="169" t="s">
        <v>259</v>
      </c>
      <c r="DS99" s="169" t="s">
        <v>259</v>
      </c>
      <c r="DT99" s="169" t="s">
        <v>259</v>
      </c>
    </row>
    <row r="100" spans="2:124" x14ac:dyDescent="0.3">
      <c r="B100" t="str">
        <f>'IMPORT SCHLIESSERDATEN'!B99</f>
        <v>TS 99 G FL EN 2-5</v>
      </c>
      <c r="D100" s="169" t="s">
        <v>259</v>
      </c>
      <c r="E100" s="169" t="s">
        <v>259</v>
      </c>
      <c r="F100" s="169" t="s">
        <v>259</v>
      </c>
      <c r="G100" s="169" t="s">
        <v>259</v>
      </c>
      <c r="H100" s="169" t="s">
        <v>259</v>
      </c>
      <c r="I100" s="169" t="s">
        <v>259</v>
      </c>
      <c r="J100" s="169" t="s">
        <v>259</v>
      </c>
      <c r="K100" s="169" t="s">
        <v>259</v>
      </c>
      <c r="L100" s="169" t="s">
        <v>259</v>
      </c>
      <c r="M100" s="169" t="s">
        <v>259</v>
      </c>
      <c r="N100" s="169" t="s">
        <v>259</v>
      </c>
      <c r="O100" s="169" t="s">
        <v>259</v>
      </c>
      <c r="P100" s="169" t="s">
        <v>259</v>
      </c>
      <c r="Q100" s="169" t="s">
        <v>259</v>
      </c>
      <c r="R100" s="169" t="s">
        <v>259</v>
      </c>
      <c r="S100" s="169" t="s">
        <v>259</v>
      </c>
      <c r="T100" s="169" t="s">
        <v>259</v>
      </c>
      <c r="U100" s="169" t="s">
        <v>259</v>
      </c>
      <c r="V100" s="169" t="s">
        <v>259</v>
      </c>
      <c r="W100" s="169" t="s">
        <v>259</v>
      </c>
      <c r="X100" s="169" t="s">
        <v>259</v>
      </c>
      <c r="Y100" s="169" t="s">
        <v>259</v>
      </c>
      <c r="Z100" s="169" t="s">
        <v>259</v>
      </c>
      <c r="AA100" s="169" t="s">
        <v>259</v>
      </c>
      <c r="AB100" s="169" t="s">
        <v>259</v>
      </c>
      <c r="AC100" s="169" t="s">
        <v>259</v>
      </c>
      <c r="AD100" s="169" t="s">
        <v>259</v>
      </c>
      <c r="AE100" s="169" t="s">
        <v>259</v>
      </c>
      <c r="AF100" s="169" t="s">
        <v>259</v>
      </c>
      <c r="AG100" s="169" t="s">
        <v>259</v>
      </c>
      <c r="AH100" s="169" t="s">
        <v>259</v>
      </c>
      <c r="AI100" s="169" t="s">
        <v>259</v>
      </c>
      <c r="AJ100" s="169" t="s">
        <v>259</v>
      </c>
      <c r="AK100" s="169" t="s">
        <v>259</v>
      </c>
      <c r="AL100" s="169" t="s">
        <v>259</v>
      </c>
      <c r="AM100" s="169" t="s">
        <v>259</v>
      </c>
      <c r="AN100" s="169" t="s">
        <v>259</v>
      </c>
      <c r="AO100" s="169" t="s">
        <v>259</v>
      </c>
      <c r="AP100" s="169" t="s">
        <v>259</v>
      </c>
      <c r="AQ100" s="169" t="s">
        <v>259</v>
      </c>
      <c r="AR100" s="169" t="s">
        <v>259</v>
      </c>
      <c r="AS100" s="169" t="s">
        <v>259</v>
      </c>
      <c r="AT100" s="169" t="s">
        <v>259</v>
      </c>
      <c r="AU100" s="169" t="s">
        <v>259</v>
      </c>
      <c r="AV100" s="169" t="s">
        <v>259</v>
      </c>
      <c r="AW100" s="169" t="s">
        <v>259</v>
      </c>
      <c r="AX100" s="169" t="s">
        <v>259</v>
      </c>
      <c r="AY100" s="169" t="s">
        <v>259</v>
      </c>
      <c r="AZ100" s="169" t="s">
        <v>259</v>
      </c>
      <c r="BA100" s="169" t="s">
        <v>259</v>
      </c>
      <c r="BB100" s="169" t="s">
        <v>259</v>
      </c>
      <c r="BC100" s="169" t="s">
        <v>259</v>
      </c>
      <c r="BD100" s="169" t="s">
        <v>259</v>
      </c>
      <c r="BE100" s="169" t="s">
        <v>259</v>
      </c>
      <c r="BF100" s="169" t="s">
        <v>259</v>
      </c>
      <c r="BG100" s="169" t="s">
        <v>259</v>
      </c>
      <c r="BH100" s="169" t="s">
        <v>259</v>
      </c>
      <c r="BI100" s="169" t="s">
        <v>259</v>
      </c>
      <c r="BJ100" s="169" t="s">
        <v>259</v>
      </c>
      <c r="BK100" s="169" t="s">
        <v>259</v>
      </c>
      <c r="BL100" s="169" t="s">
        <v>259</v>
      </c>
      <c r="BM100" s="169" t="s">
        <v>259</v>
      </c>
      <c r="BN100" s="169" t="s">
        <v>259</v>
      </c>
      <c r="BO100" s="169" t="s">
        <v>259</v>
      </c>
      <c r="BP100" s="169" t="s">
        <v>259</v>
      </c>
      <c r="BQ100" s="169" t="s">
        <v>259</v>
      </c>
      <c r="BR100" s="169" t="s">
        <v>259</v>
      </c>
      <c r="BS100" s="169" t="s">
        <v>259</v>
      </c>
      <c r="BT100" s="169" t="s">
        <v>259</v>
      </c>
      <c r="BU100" s="169" t="s">
        <v>259</v>
      </c>
      <c r="BV100" s="169" t="s">
        <v>259</v>
      </c>
      <c r="BW100" s="169" t="s">
        <v>259</v>
      </c>
      <c r="BX100" s="169" t="s">
        <v>259</v>
      </c>
      <c r="BY100" s="169" t="s">
        <v>259</v>
      </c>
      <c r="BZ100" s="169" t="s">
        <v>259</v>
      </c>
      <c r="CA100" s="169" t="s">
        <v>259</v>
      </c>
      <c r="CB100" s="169" t="s">
        <v>259</v>
      </c>
      <c r="CC100" s="169" t="s">
        <v>259</v>
      </c>
      <c r="CD100" s="169" t="s">
        <v>259</v>
      </c>
      <c r="CE100" s="169" t="s">
        <v>259</v>
      </c>
      <c r="CF100" s="169" t="s">
        <v>259</v>
      </c>
      <c r="CG100" s="169" t="s">
        <v>259</v>
      </c>
      <c r="CH100" s="169" t="s">
        <v>259</v>
      </c>
      <c r="CI100" s="169" t="s">
        <v>259</v>
      </c>
      <c r="CJ100" s="169" t="s">
        <v>259</v>
      </c>
      <c r="CK100" s="169" t="s">
        <v>259</v>
      </c>
      <c r="CL100" s="169" t="s">
        <v>259</v>
      </c>
      <c r="CM100" s="169" t="s">
        <v>259</v>
      </c>
      <c r="CN100" s="169" t="s">
        <v>259</v>
      </c>
      <c r="CO100" s="169" t="s">
        <v>259</v>
      </c>
      <c r="CP100" s="169" t="s">
        <v>259</v>
      </c>
      <c r="CQ100" s="169" t="s">
        <v>259</v>
      </c>
      <c r="CR100" s="169" t="s">
        <v>259</v>
      </c>
      <c r="CS100" s="169" t="s">
        <v>259</v>
      </c>
      <c r="CT100" s="169" t="s">
        <v>259</v>
      </c>
      <c r="CU100" s="169" t="s">
        <v>259</v>
      </c>
      <c r="CV100" s="169" t="s">
        <v>259</v>
      </c>
      <c r="CW100" s="169" t="s">
        <v>259</v>
      </c>
      <c r="CX100" s="169" t="s">
        <v>259</v>
      </c>
      <c r="CY100" s="169" t="s">
        <v>259</v>
      </c>
      <c r="CZ100" s="169" t="s">
        <v>259</v>
      </c>
      <c r="DA100" s="169" t="s">
        <v>259</v>
      </c>
      <c r="DB100" s="169" t="s">
        <v>259</v>
      </c>
      <c r="DC100" s="169" t="s">
        <v>259</v>
      </c>
      <c r="DD100" s="169" t="s">
        <v>259</v>
      </c>
      <c r="DE100" s="169" t="s">
        <v>259</v>
      </c>
      <c r="DF100" s="169" t="s">
        <v>259</v>
      </c>
      <c r="DG100" s="169" t="s">
        <v>259</v>
      </c>
      <c r="DH100" s="169" t="s">
        <v>259</v>
      </c>
      <c r="DI100" s="169" t="s">
        <v>259</v>
      </c>
      <c r="DJ100" s="169" t="s">
        <v>259</v>
      </c>
      <c r="DK100" s="169" t="s">
        <v>259</v>
      </c>
      <c r="DL100" s="169" t="s">
        <v>259</v>
      </c>
      <c r="DM100" s="169" t="s">
        <v>259</v>
      </c>
      <c r="DN100" s="169" t="s">
        <v>259</v>
      </c>
      <c r="DO100" s="169" t="s">
        <v>259</v>
      </c>
      <c r="DP100" s="169" t="s">
        <v>259</v>
      </c>
      <c r="DQ100" s="169" t="s">
        <v>259</v>
      </c>
      <c r="DR100" s="169" t="s">
        <v>259</v>
      </c>
      <c r="DS100" s="169" t="s">
        <v>259</v>
      </c>
      <c r="DT100" s="169" t="s">
        <v>259</v>
      </c>
    </row>
    <row r="101" spans="2:124" x14ac:dyDescent="0.3">
      <c r="B101" t="str">
        <f>'IMPORT SCHLIESSERDATEN'!B100</f>
        <v>TS 99 FLR EN 2-5</v>
      </c>
      <c r="D101" s="169" t="s">
        <v>259</v>
      </c>
      <c r="E101" s="169" t="s">
        <v>259</v>
      </c>
      <c r="F101" s="169" t="s">
        <v>259</v>
      </c>
      <c r="G101" s="169" t="s">
        <v>259</v>
      </c>
      <c r="H101" s="169" t="s">
        <v>259</v>
      </c>
      <c r="I101" s="169" t="s">
        <v>259</v>
      </c>
      <c r="J101" s="169" t="s">
        <v>259</v>
      </c>
      <c r="K101" s="169" t="s">
        <v>259</v>
      </c>
      <c r="L101" s="169" t="s">
        <v>259</v>
      </c>
      <c r="M101" s="169" t="s">
        <v>259</v>
      </c>
      <c r="N101" s="169" t="s">
        <v>259</v>
      </c>
      <c r="O101" s="169" t="s">
        <v>259</v>
      </c>
      <c r="P101" s="169" t="s">
        <v>259</v>
      </c>
      <c r="Q101" s="169" t="s">
        <v>259</v>
      </c>
      <c r="R101" s="169" t="s">
        <v>259</v>
      </c>
      <c r="S101" s="169" t="s">
        <v>259</v>
      </c>
      <c r="T101" s="169" t="s">
        <v>259</v>
      </c>
      <c r="U101" s="169" t="s">
        <v>259</v>
      </c>
      <c r="V101" s="169" t="s">
        <v>259</v>
      </c>
      <c r="W101" s="169" t="s">
        <v>259</v>
      </c>
      <c r="X101" s="169" t="s">
        <v>259</v>
      </c>
      <c r="Y101" s="169" t="s">
        <v>259</v>
      </c>
      <c r="Z101" s="169" t="s">
        <v>259</v>
      </c>
      <c r="AA101" s="169" t="s">
        <v>259</v>
      </c>
      <c r="AB101" s="169" t="s">
        <v>259</v>
      </c>
      <c r="AC101" s="169" t="s">
        <v>259</v>
      </c>
      <c r="AD101" s="169" t="s">
        <v>259</v>
      </c>
      <c r="AE101" s="169" t="s">
        <v>259</v>
      </c>
      <c r="AF101" s="169" t="s">
        <v>259</v>
      </c>
      <c r="AG101" s="169" t="s">
        <v>259</v>
      </c>
      <c r="AH101" s="169" t="s">
        <v>259</v>
      </c>
      <c r="AI101" s="169" t="s">
        <v>259</v>
      </c>
      <c r="AJ101" s="169" t="s">
        <v>259</v>
      </c>
      <c r="AK101" s="169" t="s">
        <v>259</v>
      </c>
      <c r="AL101" s="169" t="s">
        <v>259</v>
      </c>
      <c r="AM101" s="169" t="s">
        <v>259</v>
      </c>
      <c r="AN101" s="169" t="s">
        <v>259</v>
      </c>
      <c r="AO101" s="169" t="s">
        <v>259</v>
      </c>
      <c r="AP101" s="169" t="s">
        <v>259</v>
      </c>
      <c r="AQ101" s="169" t="s">
        <v>259</v>
      </c>
      <c r="AR101" s="169" t="s">
        <v>259</v>
      </c>
      <c r="AS101" s="169" t="s">
        <v>259</v>
      </c>
      <c r="AT101" s="169" t="s">
        <v>259</v>
      </c>
      <c r="AU101" s="169" t="s">
        <v>259</v>
      </c>
      <c r="AV101" s="169" t="s">
        <v>259</v>
      </c>
      <c r="AW101" s="169" t="s">
        <v>259</v>
      </c>
      <c r="AX101" s="169" t="s">
        <v>259</v>
      </c>
      <c r="AY101" s="169" t="s">
        <v>259</v>
      </c>
      <c r="AZ101" s="169" t="s">
        <v>259</v>
      </c>
      <c r="BA101" s="169" t="s">
        <v>259</v>
      </c>
      <c r="BB101" s="169" t="s">
        <v>259</v>
      </c>
      <c r="BC101" s="169" t="s">
        <v>259</v>
      </c>
      <c r="BD101" s="169" t="s">
        <v>259</v>
      </c>
      <c r="BE101" s="169" t="s">
        <v>259</v>
      </c>
      <c r="BF101" s="169" t="s">
        <v>259</v>
      </c>
      <c r="BG101" s="169" t="s">
        <v>259</v>
      </c>
      <c r="BH101" s="169" t="s">
        <v>259</v>
      </c>
      <c r="BI101" s="169" t="s">
        <v>259</v>
      </c>
      <c r="BJ101" s="169" t="s">
        <v>259</v>
      </c>
      <c r="BK101" s="169" t="s">
        <v>259</v>
      </c>
      <c r="BL101" s="169" t="s">
        <v>259</v>
      </c>
      <c r="BM101" s="169" t="s">
        <v>259</v>
      </c>
      <c r="BN101" s="169" t="s">
        <v>259</v>
      </c>
      <c r="BO101" s="169" t="s">
        <v>259</v>
      </c>
      <c r="BP101" s="169" t="s">
        <v>259</v>
      </c>
      <c r="BQ101" s="169" t="s">
        <v>259</v>
      </c>
      <c r="BR101" s="169" t="s">
        <v>259</v>
      </c>
      <c r="BS101" s="169" t="s">
        <v>259</v>
      </c>
      <c r="BT101" s="169" t="s">
        <v>259</v>
      </c>
      <c r="BU101" s="169" t="s">
        <v>259</v>
      </c>
      <c r="BV101" s="169" t="s">
        <v>259</v>
      </c>
      <c r="BW101" s="169" t="s">
        <v>259</v>
      </c>
      <c r="BX101" s="169" t="s">
        <v>259</v>
      </c>
      <c r="BY101" s="169" t="s">
        <v>259</v>
      </c>
      <c r="BZ101" s="169" t="s">
        <v>259</v>
      </c>
      <c r="CA101" s="169" t="s">
        <v>259</v>
      </c>
      <c r="CB101" s="169" t="s">
        <v>259</v>
      </c>
      <c r="CC101" s="169" t="s">
        <v>259</v>
      </c>
      <c r="CD101" s="169" t="s">
        <v>259</v>
      </c>
      <c r="CE101" s="169" t="s">
        <v>259</v>
      </c>
      <c r="CF101" s="169" t="s">
        <v>259</v>
      </c>
      <c r="CG101" s="169" t="s">
        <v>259</v>
      </c>
      <c r="CH101" s="169" t="s">
        <v>259</v>
      </c>
      <c r="CI101" s="169" t="s">
        <v>259</v>
      </c>
      <c r="CJ101" s="169" t="s">
        <v>259</v>
      </c>
      <c r="CK101" s="169" t="s">
        <v>259</v>
      </c>
      <c r="CL101" s="169" t="s">
        <v>259</v>
      </c>
      <c r="CM101" s="169" t="s">
        <v>259</v>
      </c>
      <c r="CN101" s="169" t="s">
        <v>259</v>
      </c>
      <c r="CO101" s="169" t="s">
        <v>259</v>
      </c>
      <c r="CP101" s="169" t="s">
        <v>259</v>
      </c>
      <c r="CQ101" s="169" t="s">
        <v>259</v>
      </c>
      <c r="CR101" s="169" t="s">
        <v>259</v>
      </c>
      <c r="CS101" s="169" t="s">
        <v>259</v>
      </c>
      <c r="CT101" s="169" t="s">
        <v>259</v>
      </c>
      <c r="CU101" s="169" t="s">
        <v>259</v>
      </c>
      <c r="CV101" s="169" t="s">
        <v>259</v>
      </c>
      <c r="CW101" s="169" t="s">
        <v>259</v>
      </c>
      <c r="CX101" s="169" t="s">
        <v>259</v>
      </c>
      <c r="CY101" s="169" t="s">
        <v>259</v>
      </c>
      <c r="CZ101" s="169" t="s">
        <v>259</v>
      </c>
      <c r="DA101" s="169" t="s">
        <v>259</v>
      </c>
      <c r="DB101" s="169" t="s">
        <v>259</v>
      </c>
      <c r="DC101" s="169" t="s">
        <v>259</v>
      </c>
      <c r="DD101" s="169" t="s">
        <v>259</v>
      </c>
      <c r="DE101" s="169" t="s">
        <v>259</v>
      </c>
      <c r="DF101" s="169" t="s">
        <v>259</v>
      </c>
      <c r="DG101" s="169" t="s">
        <v>259</v>
      </c>
      <c r="DH101" s="169" t="s">
        <v>259</v>
      </c>
      <c r="DI101" s="169" t="s">
        <v>259</v>
      </c>
      <c r="DJ101" s="169" t="s">
        <v>259</v>
      </c>
      <c r="DK101" s="169" t="s">
        <v>259</v>
      </c>
      <c r="DL101" s="169" t="s">
        <v>259</v>
      </c>
      <c r="DM101" s="169" t="s">
        <v>259</v>
      </c>
      <c r="DN101" s="169" t="s">
        <v>259</v>
      </c>
      <c r="DO101" s="169" t="s">
        <v>259</v>
      </c>
      <c r="DP101" s="169" t="s">
        <v>259</v>
      </c>
      <c r="DQ101" s="169" t="s">
        <v>259</v>
      </c>
      <c r="DR101" s="169" t="s">
        <v>259</v>
      </c>
      <c r="DS101" s="169" t="s">
        <v>259</v>
      </c>
      <c r="DT101" s="169" t="s">
        <v>259</v>
      </c>
    </row>
    <row r="102" spans="2:124" x14ac:dyDescent="0.3">
      <c r="B102" t="str">
        <f>'IMPORT SCHLIESSERDATEN'!B101</f>
        <v>TS 99 FLR-K EN 2-5</v>
      </c>
      <c r="D102" s="169" t="s">
        <v>259</v>
      </c>
      <c r="E102" s="169" t="s">
        <v>259</v>
      </c>
      <c r="F102" s="169" t="s">
        <v>259</v>
      </c>
      <c r="G102" s="169" t="s">
        <v>259</v>
      </c>
      <c r="H102" s="169" t="s">
        <v>259</v>
      </c>
      <c r="I102" s="169" t="s">
        <v>259</v>
      </c>
      <c r="J102" s="169" t="s">
        <v>259</v>
      </c>
      <c r="K102" s="169" t="s">
        <v>259</v>
      </c>
      <c r="L102" s="169" t="s">
        <v>259</v>
      </c>
      <c r="M102" s="169" t="s">
        <v>259</v>
      </c>
      <c r="N102" s="169" t="s">
        <v>259</v>
      </c>
      <c r="O102" s="169" t="s">
        <v>259</v>
      </c>
      <c r="P102" s="169" t="s">
        <v>259</v>
      </c>
      <c r="Q102" s="169" t="s">
        <v>259</v>
      </c>
      <c r="R102" s="169" t="s">
        <v>259</v>
      </c>
      <c r="S102" s="169" t="s">
        <v>259</v>
      </c>
      <c r="T102" s="169" t="s">
        <v>259</v>
      </c>
      <c r="U102" s="169" t="s">
        <v>259</v>
      </c>
      <c r="V102" s="169" t="s">
        <v>259</v>
      </c>
      <c r="W102" s="169" t="s">
        <v>259</v>
      </c>
      <c r="X102" s="169" t="s">
        <v>259</v>
      </c>
      <c r="Y102" s="169" t="s">
        <v>259</v>
      </c>
      <c r="Z102" s="169" t="s">
        <v>259</v>
      </c>
      <c r="AA102" s="169" t="s">
        <v>259</v>
      </c>
      <c r="AB102" s="169" t="s">
        <v>259</v>
      </c>
      <c r="AC102" s="169" t="s">
        <v>259</v>
      </c>
      <c r="AD102" s="169" t="s">
        <v>259</v>
      </c>
      <c r="AE102" s="169" t="s">
        <v>259</v>
      </c>
      <c r="AF102" s="169" t="s">
        <v>259</v>
      </c>
      <c r="AG102" s="169" t="s">
        <v>259</v>
      </c>
      <c r="AH102" s="169" t="s">
        <v>259</v>
      </c>
      <c r="AI102" s="169" t="s">
        <v>259</v>
      </c>
      <c r="AJ102" s="169" t="s">
        <v>259</v>
      </c>
      <c r="AK102" s="169" t="s">
        <v>259</v>
      </c>
      <c r="AL102" s="169" t="s">
        <v>259</v>
      </c>
      <c r="AM102" s="169" t="s">
        <v>259</v>
      </c>
      <c r="AN102" s="169" t="s">
        <v>259</v>
      </c>
      <c r="AO102" s="169" t="s">
        <v>259</v>
      </c>
      <c r="AP102" s="169" t="s">
        <v>259</v>
      </c>
      <c r="AQ102" s="169" t="s">
        <v>259</v>
      </c>
      <c r="AR102" s="169" t="s">
        <v>259</v>
      </c>
      <c r="AS102" s="169" t="s">
        <v>259</v>
      </c>
      <c r="AT102" s="169" t="s">
        <v>259</v>
      </c>
      <c r="AU102" s="169" t="s">
        <v>259</v>
      </c>
      <c r="AV102" s="169" t="s">
        <v>259</v>
      </c>
      <c r="AW102" s="169" t="s">
        <v>259</v>
      </c>
      <c r="AX102" s="169" t="s">
        <v>259</v>
      </c>
      <c r="AY102" s="169" t="s">
        <v>259</v>
      </c>
      <c r="AZ102" s="169" t="s">
        <v>259</v>
      </c>
      <c r="BA102" s="169" t="s">
        <v>259</v>
      </c>
      <c r="BB102" s="169" t="s">
        <v>259</v>
      </c>
      <c r="BC102" s="169" t="s">
        <v>259</v>
      </c>
      <c r="BD102" s="169" t="s">
        <v>259</v>
      </c>
      <c r="BE102" s="169" t="s">
        <v>259</v>
      </c>
      <c r="BF102" s="169" t="s">
        <v>259</v>
      </c>
      <c r="BG102" s="169" t="s">
        <v>259</v>
      </c>
      <c r="BH102" s="169" t="s">
        <v>259</v>
      </c>
      <c r="BI102" s="169" t="s">
        <v>259</v>
      </c>
      <c r="BJ102" s="169" t="s">
        <v>259</v>
      </c>
      <c r="BK102" s="169" t="s">
        <v>259</v>
      </c>
      <c r="BL102" s="169" t="s">
        <v>259</v>
      </c>
      <c r="BM102" s="169" t="s">
        <v>259</v>
      </c>
      <c r="BN102" s="169" t="s">
        <v>259</v>
      </c>
      <c r="BO102" s="169" t="s">
        <v>259</v>
      </c>
      <c r="BP102" s="169" t="s">
        <v>259</v>
      </c>
      <c r="BQ102" s="169" t="s">
        <v>259</v>
      </c>
      <c r="BR102" s="169" t="s">
        <v>259</v>
      </c>
      <c r="BS102" s="169" t="s">
        <v>259</v>
      </c>
      <c r="BT102" s="169" t="s">
        <v>259</v>
      </c>
      <c r="BU102" s="169" t="s">
        <v>259</v>
      </c>
      <c r="BV102" s="169" t="s">
        <v>259</v>
      </c>
      <c r="BW102" s="169" t="s">
        <v>259</v>
      </c>
      <c r="BX102" s="169" t="s">
        <v>259</v>
      </c>
      <c r="BY102" s="169" t="s">
        <v>259</v>
      </c>
      <c r="BZ102" s="169" t="s">
        <v>259</v>
      </c>
      <c r="CA102" s="169" t="s">
        <v>259</v>
      </c>
      <c r="CB102" s="169" t="s">
        <v>259</v>
      </c>
      <c r="CC102" s="169" t="s">
        <v>259</v>
      </c>
      <c r="CD102" s="169" t="s">
        <v>259</v>
      </c>
      <c r="CE102" s="169" t="s">
        <v>259</v>
      </c>
      <c r="CF102" s="169" t="s">
        <v>259</v>
      </c>
      <c r="CG102" s="169" t="s">
        <v>259</v>
      </c>
      <c r="CH102" s="169" t="s">
        <v>259</v>
      </c>
      <c r="CI102" s="169" t="s">
        <v>259</v>
      </c>
      <c r="CJ102" s="169" t="s">
        <v>259</v>
      </c>
      <c r="CK102" s="169" t="s">
        <v>259</v>
      </c>
      <c r="CL102" s="169" t="s">
        <v>259</v>
      </c>
      <c r="CM102" s="169" t="s">
        <v>259</v>
      </c>
      <c r="CN102" s="169" t="s">
        <v>259</v>
      </c>
      <c r="CO102" s="169" t="s">
        <v>259</v>
      </c>
      <c r="CP102" s="169" t="s">
        <v>259</v>
      </c>
      <c r="CQ102" s="169" t="s">
        <v>259</v>
      </c>
      <c r="CR102" s="169" t="s">
        <v>259</v>
      </c>
      <c r="CS102" s="169" t="s">
        <v>259</v>
      </c>
      <c r="CT102" s="169" t="s">
        <v>259</v>
      </c>
      <c r="CU102" s="169" t="s">
        <v>259</v>
      </c>
      <c r="CV102" s="169" t="s">
        <v>259</v>
      </c>
      <c r="CW102" s="169" t="s">
        <v>259</v>
      </c>
      <c r="CX102" s="169" t="s">
        <v>259</v>
      </c>
      <c r="CY102" s="169" t="s">
        <v>259</v>
      </c>
      <c r="CZ102" s="169" t="s">
        <v>259</v>
      </c>
      <c r="DA102" s="169" t="s">
        <v>259</v>
      </c>
      <c r="DB102" s="169" t="s">
        <v>259</v>
      </c>
      <c r="DC102" s="169" t="s">
        <v>259</v>
      </c>
      <c r="DD102" s="169" t="s">
        <v>259</v>
      </c>
      <c r="DE102" s="169" t="s">
        <v>259</v>
      </c>
      <c r="DF102" s="169" t="s">
        <v>259</v>
      </c>
      <c r="DG102" s="169" t="s">
        <v>259</v>
      </c>
      <c r="DH102" s="169" t="s">
        <v>259</v>
      </c>
      <c r="DI102" s="169" t="s">
        <v>259</v>
      </c>
      <c r="DJ102" s="169" t="s">
        <v>259</v>
      </c>
      <c r="DK102" s="169" t="s">
        <v>259</v>
      </c>
      <c r="DL102" s="169" t="s">
        <v>259</v>
      </c>
      <c r="DM102" s="169" t="s">
        <v>259</v>
      </c>
      <c r="DN102" s="169" t="s">
        <v>259</v>
      </c>
      <c r="DO102" s="169" t="s">
        <v>259</v>
      </c>
      <c r="DP102" s="169" t="s">
        <v>259</v>
      </c>
      <c r="DQ102" s="169" t="s">
        <v>259</v>
      </c>
      <c r="DR102" s="169" t="s">
        <v>259</v>
      </c>
      <c r="DS102" s="169" t="s">
        <v>259</v>
      </c>
      <c r="DT102" s="169" t="s">
        <v>259</v>
      </c>
    </row>
    <row r="103" spans="2:124" x14ac:dyDescent="0.3">
      <c r="B103" t="str">
        <f>'IMPORT SCHLIESSERDATEN'!B102</f>
        <v>TS 99  FL GSR-EMR 0 EN 2-5</v>
      </c>
      <c r="D103" s="169" t="s">
        <v>259</v>
      </c>
      <c r="E103" s="169" t="s">
        <v>259</v>
      </c>
      <c r="F103" s="169" t="s">
        <v>259</v>
      </c>
      <c r="G103" s="169" t="s">
        <v>259</v>
      </c>
      <c r="H103" s="169" t="s">
        <v>259</v>
      </c>
      <c r="I103" s="169" t="s">
        <v>259</v>
      </c>
      <c r="J103" s="169" t="s">
        <v>259</v>
      </c>
      <c r="K103" s="169" t="s">
        <v>259</v>
      </c>
      <c r="L103" s="169" t="s">
        <v>259</v>
      </c>
      <c r="M103" s="169" t="s">
        <v>259</v>
      </c>
      <c r="N103" s="169" t="s">
        <v>259</v>
      </c>
      <c r="O103" s="169" t="s">
        <v>259</v>
      </c>
      <c r="P103" s="169" t="s">
        <v>259</v>
      </c>
      <c r="Q103" s="169" t="s">
        <v>259</v>
      </c>
      <c r="R103" s="169" t="s">
        <v>259</v>
      </c>
      <c r="S103" s="169" t="s">
        <v>259</v>
      </c>
      <c r="T103" s="169" t="s">
        <v>259</v>
      </c>
      <c r="U103" s="169" t="s">
        <v>259</v>
      </c>
      <c r="V103" s="169" t="s">
        <v>259</v>
      </c>
      <c r="W103" s="169" t="s">
        <v>259</v>
      </c>
      <c r="X103" s="169" t="s">
        <v>259</v>
      </c>
      <c r="Y103" s="169" t="s">
        <v>259</v>
      </c>
      <c r="Z103" s="169" t="s">
        <v>259</v>
      </c>
      <c r="AA103" s="169" t="s">
        <v>259</v>
      </c>
      <c r="AB103" s="169" t="s">
        <v>259</v>
      </c>
      <c r="AC103" s="169" t="s">
        <v>259</v>
      </c>
      <c r="AD103" s="169" t="s">
        <v>259</v>
      </c>
      <c r="AE103" s="169" t="s">
        <v>259</v>
      </c>
      <c r="AF103" s="169" t="s">
        <v>259</v>
      </c>
      <c r="AG103" s="169" t="s">
        <v>259</v>
      </c>
      <c r="AH103" s="169" t="s">
        <v>259</v>
      </c>
      <c r="AI103" s="169" t="s">
        <v>259</v>
      </c>
      <c r="AJ103" s="169" t="s">
        <v>259</v>
      </c>
      <c r="AK103" s="169" t="s">
        <v>259</v>
      </c>
      <c r="AL103" s="169" t="s">
        <v>259</v>
      </c>
      <c r="AM103" s="169" t="s">
        <v>259</v>
      </c>
      <c r="AN103" s="169" t="s">
        <v>259</v>
      </c>
      <c r="AO103" s="169" t="s">
        <v>259</v>
      </c>
      <c r="AP103" s="169" t="s">
        <v>259</v>
      </c>
      <c r="AQ103" s="169" t="s">
        <v>259</v>
      </c>
      <c r="AR103" s="169" t="s">
        <v>259</v>
      </c>
      <c r="AS103" s="169" t="s">
        <v>259</v>
      </c>
      <c r="AT103" s="169" t="s">
        <v>259</v>
      </c>
      <c r="AU103" s="169" t="s">
        <v>259</v>
      </c>
      <c r="AV103" s="169" t="s">
        <v>259</v>
      </c>
      <c r="AW103" s="169" t="s">
        <v>259</v>
      </c>
      <c r="AX103" s="169" t="s">
        <v>259</v>
      </c>
      <c r="AY103" s="169" t="s">
        <v>259</v>
      </c>
      <c r="AZ103" s="169" t="s">
        <v>259</v>
      </c>
      <c r="BA103" s="169" t="s">
        <v>259</v>
      </c>
      <c r="BB103" s="169" t="s">
        <v>259</v>
      </c>
      <c r="BC103" s="169" t="s">
        <v>259</v>
      </c>
      <c r="BD103" s="169" t="s">
        <v>259</v>
      </c>
      <c r="BE103" s="169" t="s">
        <v>259</v>
      </c>
      <c r="BF103" s="169" t="s">
        <v>259</v>
      </c>
      <c r="BG103" s="169" t="s">
        <v>259</v>
      </c>
      <c r="BH103" s="169" t="s">
        <v>259</v>
      </c>
      <c r="BI103" s="169" t="s">
        <v>259</v>
      </c>
      <c r="BJ103" s="169" t="s">
        <v>259</v>
      </c>
      <c r="BK103" s="169" t="s">
        <v>259</v>
      </c>
      <c r="BL103" s="169" t="s">
        <v>259</v>
      </c>
      <c r="BM103" s="169" t="s">
        <v>259</v>
      </c>
      <c r="BN103" s="169" t="s">
        <v>259</v>
      </c>
      <c r="BO103" s="169" t="s">
        <v>259</v>
      </c>
      <c r="BP103" s="169" t="s">
        <v>259</v>
      </c>
      <c r="BQ103" s="169" t="s">
        <v>259</v>
      </c>
      <c r="BR103" s="169" t="s">
        <v>259</v>
      </c>
      <c r="BS103" s="169" t="s">
        <v>259</v>
      </c>
      <c r="BT103" s="169" t="s">
        <v>259</v>
      </c>
      <c r="BU103" s="169" t="s">
        <v>259</v>
      </c>
      <c r="BV103" s="169" t="s">
        <v>259</v>
      </c>
      <c r="BW103" s="169" t="s">
        <v>259</v>
      </c>
      <c r="BX103" s="169" t="s">
        <v>259</v>
      </c>
      <c r="BY103" s="169" t="s">
        <v>259</v>
      </c>
      <c r="BZ103" s="169" t="s">
        <v>259</v>
      </c>
      <c r="CA103" s="169" t="s">
        <v>259</v>
      </c>
      <c r="CB103" s="169" t="s">
        <v>259</v>
      </c>
      <c r="CC103" s="169" t="s">
        <v>259</v>
      </c>
      <c r="CD103" s="169" t="s">
        <v>259</v>
      </c>
      <c r="CE103" s="169" t="s">
        <v>259</v>
      </c>
      <c r="CF103" s="169" t="s">
        <v>259</v>
      </c>
      <c r="CG103" s="169" t="s">
        <v>259</v>
      </c>
      <c r="CH103" s="169" t="s">
        <v>259</v>
      </c>
      <c r="CI103" s="169" t="s">
        <v>259</v>
      </c>
      <c r="CJ103" s="169" t="s">
        <v>259</v>
      </c>
      <c r="CK103" s="169" t="s">
        <v>259</v>
      </c>
      <c r="CL103" s="169" t="s">
        <v>259</v>
      </c>
      <c r="CM103" s="169" t="s">
        <v>259</v>
      </c>
      <c r="CN103" s="169" t="s">
        <v>259</v>
      </c>
      <c r="CO103" s="169" t="s">
        <v>259</v>
      </c>
      <c r="CP103" s="169" t="s">
        <v>259</v>
      </c>
      <c r="CQ103" s="169" t="s">
        <v>259</v>
      </c>
      <c r="CR103" s="169" t="s">
        <v>259</v>
      </c>
      <c r="CS103" s="169" t="s">
        <v>259</v>
      </c>
      <c r="CT103" s="169" t="s">
        <v>259</v>
      </c>
      <c r="CU103" s="169" t="s">
        <v>259</v>
      </c>
      <c r="CV103" s="169" t="s">
        <v>259</v>
      </c>
      <c r="CW103" s="169" t="s">
        <v>259</v>
      </c>
      <c r="CX103" s="169" t="s">
        <v>259</v>
      </c>
      <c r="CY103" s="169" t="s">
        <v>259</v>
      </c>
      <c r="CZ103" s="169" t="s">
        <v>259</v>
      </c>
      <c r="DA103" s="169" t="s">
        <v>259</v>
      </c>
      <c r="DB103" s="169" t="s">
        <v>259</v>
      </c>
      <c r="DC103" s="169" t="s">
        <v>259</v>
      </c>
      <c r="DD103" s="169" t="s">
        <v>259</v>
      </c>
      <c r="DE103" s="169" t="s">
        <v>259</v>
      </c>
      <c r="DF103" s="169" t="s">
        <v>259</v>
      </c>
      <c r="DG103" s="169" t="s">
        <v>259</v>
      </c>
      <c r="DH103" s="169" t="s">
        <v>259</v>
      </c>
      <c r="DI103" s="169" t="s">
        <v>259</v>
      </c>
      <c r="DJ103" s="169" t="s">
        <v>259</v>
      </c>
      <c r="DK103" s="169" t="s">
        <v>259</v>
      </c>
      <c r="DL103" s="169" t="s">
        <v>259</v>
      </c>
      <c r="DM103" s="169" t="s">
        <v>259</v>
      </c>
      <c r="DN103" s="169" t="s">
        <v>259</v>
      </c>
      <c r="DO103" s="169" t="s">
        <v>259</v>
      </c>
      <c r="DP103" s="169" t="s">
        <v>259</v>
      </c>
      <c r="DQ103" s="169" t="s">
        <v>259</v>
      </c>
      <c r="DR103" s="169" t="s">
        <v>259</v>
      </c>
      <c r="DS103" s="169" t="s">
        <v>259</v>
      </c>
      <c r="DT103" s="169" t="s">
        <v>259</v>
      </c>
    </row>
    <row r="104" spans="2:124" x14ac:dyDescent="0.3">
      <c r="B104" t="str">
        <f>'IMPORT SCHLIESSERDATEN'!B103</f>
        <v>TS 99  FL GSR-EMR 1 EN 2-5</v>
      </c>
      <c r="D104" s="169" t="s">
        <v>259</v>
      </c>
      <c r="E104" s="169" t="s">
        <v>259</v>
      </c>
      <c r="F104" s="169" t="s">
        <v>259</v>
      </c>
      <c r="G104" s="169" t="s">
        <v>259</v>
      </c>
      <c r="H104" s="169" t="s">
        <v>259</v>
      </c>
      <c r="I104" s="169" t="s">
        <v>259</v>
      </c>
      <c r="J104" s="169" t="s">
        <v>259</v>
      </c>
      <c r="K104" s="169" t="s">
        <v>259</v>
      </c>
      <c r="L104" s="169" t="s">
        <v>259</v>
      </c>
      <c r="M104" s="169" t="s">
        <v>259</v>
      </c>
      <c r="N104" s="169" t="s">
        <v>259</v>
      </c>
      <c r="O104" s="169" t="s">
        <v>259</v>
      </c>
      <c r="P104" s="169" t="s">
        <v>259</v>
      </c>
      <c r="Q104" s="169" t="s">
        <v>259</v>
      </c>
      <c r="R104" s="169" t="s">
        <v>259</v>
      </c>
      <c r="S104" s="169" t="s">
        <v>259</v>
      </c>
      <c r="T104" s="169" t="s">
        <v>259</v>
      </c>
      <c r="U104" s="169" t="s">
        <v>259</v>
      </c>
      <c r="V104" s="169" t="s">
        <v>259</v>
      </c>
      <c r="W104" s="169" t="s">
        <v>259</v>
      </c>
      <c r="X104" s="169" t="s">
        <v>259</v>
      </c>
      <c r="Y104" s="169" t="s">
        <v>259</v>
      </c>
      <c r="Z104" s="169" t="s">
        <v>259</v>
      </c>
      <c r="AA104" s="169" t="s">
        <v>259</v>
      </c>
      <c r="AB104" s="169" t="s">
        <v>259</v>
      </c>
      <c r="AC104" s="169" t="s">
        <v>259</v>
      </c>
      <c r="AD104" s="169" t="s">
        <v>259</v>
      </c>
      <c r="AE104" s="169" t="s">
        <v>259</v>
      </c>
      <c r="AF104" s="169" t="s">
        <v>259</v>
      </c>
      <c r="AG104" s="169" t="s">
        <v>259</v>
      </c>
      <c r="AH104" s="169" t="s">
        <v>259</v>
      </c>
      <c r="AI104" s="169" t="s">
        <v>259</v>
      </c>
      <c r="AJ104" s="169" t="s">
        <v>259</v>
      </c>
      <c r="AK104" s="169" t="s">
        <v>259</v>
      </c>
      <c r="AL104" s="169" t="s">
        <v>259</v>
      </c>
      <c r="AM104" s="169" t="s">
        <v>259</v>
      </c>
      <c r="AN104" s="169" t="s">
        <v>259</v>
      </c>
      <c r="AO104" s="169" t="s">
        <v>259</v>
      </c>
      <c r="AP104" s="169" t="s">
        <v>259</v>
      </c>
      <c r="AQ104" s="169" t="s">
        <v>259</v>
      </c>
      <c r="AR104" s="169" t="s">
        <v>259</v>
      </c>
      <c r="AS104" s="169" t="s">
        <v>259</v>
      </c>
      <c r="AT104" s="169" t="s">
        <v>259</v>
      </c>
      <c r="AU104" s="169" t="s">
        <v>259</v>
      </c>
      <c r="AV104" s="169" t="s">
        <v>259</v>
      </c>
      <c r="AW104" s="169" t="s">
        <v>259</v>
      </c>
      <c r="AX104" s="169" t="s">
        <v>259</v>
      </c>
      <c r="AY104" s="169" t="s">
        <v>259</v>
      </c>
      <c r="AZ104" s="169" t="s">
        <v>259</v>
      </c>
      <c r="BA104" s="169" t="s">
        <v>259</v>
      </c>
      <c r="BB104" s="169" t="s">
        <v>259</v>
      </c>
      <c r="BC104" s="169" t="s">
        <v>259</v>
      </c>
      <c r="BD104" s="169" t="s">
        <v>259</v>
      </c>
      <c r="BE104" s="169" t="s">
        <v>259</v>
      </c>
      <c r="BF104" s="169" t="s">
        <v>259</v>
      </c>
      <c r="BG104" s="169" t="s">
        <v>259</v>
      </c>
      <c r="BH104" s="169" t="s">
        <v>259</v>
      </c>
      <c r="BI104" s="169" t="s">
        <v>259</v>
      </c>
      <c r="BJ104" s="169" t="s">
        <v>259</v>
      </c>
      <c r="BK104" s="169" t="s">
        <v>259</v>
      </c>
      <c r="BL104" s="169" t="s">
        <v>259</v>
      </c>
      <c r="BM104" s="169" t="s">
        <v>259</v>
      </c>
      <c r="BN104" s="169" t="s">
        <v>259</v>
      </c>
      <c r="BO104" s="169" t="s">
        <v>259</v>
      </c>
      <c r="BP104" s="169" t="s">
        <v>259</v>
      </c>
      <c r="BQ104" s="169" t="s">
        <v>259</v>
      </c>
      <c r="BR104" s="169" t="s">
        <v>259</v>
      </c>
      <c r="BS104" s="169" t="s">
        <v>259</v>
      </c>
      <c r="BT104" s="169" t="s">
        <v>259</v>
      </c>
      <c r="BU104" s="169" t="s">
        <v>259</v>
      </c>
      <c r="BV104" s="169" t="s">
        <v>259</v>
      </c>
      <c r="BW104" s="169" t="s">
        <v>259</v>
      </c>
      <c r="BX104" s="169" t="s">
        <v>259</v>
      </c>
      <c r="BY104" s="169" t="s">
        <v>259</v>
      </c>
      <c r="BZ104" s="169" t="s">
        <v>259</v>
      </c>
      <c r="CA104" s="169" t="s">
        <v>259</v>
      </c>
      <c r="CB104" s="169" t="s">
        <v>259</v>
      </c>
      <c r="CC104" s="169" t="s">
        <v>259</v>
      </c>
      <c r="CD104" s="169" t="s">
        <v>259</v>
      </c>
      <c r="CE104" s="169" t="s">
        <v>259</v>
      </c>
      <c r="CF104" s="169" t="s">
        <v>259</v>
      </c>
      <c r="CG104" s="169" t="s">
        <v>259</v>
      </c>
      <c r="CH104" s="169" t="s">
        <v>259</v>
      </c>
      <c r="CI104" s="169" t="s">
        <v>259</v>
      </c>
      <c r="CJ104" s="169" t="s">
        <v>259</v>
      </c>
      <c r="CK104" s="169" t="s">
        <v>259</v>
      </c>
      <c r="CL104" s="169" t="s">
        <v>259</v>
      </c>
      <c r="CM104" s="169" t="s">
        <v>259</v>
      </c>
      <c r="CN104" s="169" t="s">
        <v>259</v>
      </c>
      <c r="CO104" s="169" t="s">
        <v>259</v>
      </c>
      <c r="CP104" s="169" t="s">
        <v>259</v>
      </c>
      <c r="CQ104" s="169" t="s">
        <v>259</v>
      </c>
      <c r="CR104" s="169" t="s">
        <v>259</v>
      </c>
      <c r="CS104" s="169" t="s">
        <v>259</v>
      </c>
      <c r="CT104" s="169" t="s">
        <v>259</v>
      </c>
      <c r="CU104" s="169" t="s">
        <v>259</v>
      </c>
      <c r="CV104" s="169" t="s">
        <v>259</v>
      </c>
      <c r="CW104" s="169" t="s">
        <v>259</v>
      </c>
      <c r="CX104" s="169" t="s">
        <v>259</v>
      </c>
      <c r="CY104" s="169" t="s">
        <v>259</v>
      </c>
      <c r="CZ104" s="169" t="s">
        <v>259</v>
      </c>
      <c r="DA104" s="169" t="s">
        <v>259</v>
      </c>
      <c r="DB104" s="169" t="s">
        <v>259</v>
      </c>
      <c r="DC104" s="169" t="s">
        <v>259</v>
      </c>
      <c r="DD104" s="169" t="s">
        <v>259</v>
      </c>
      <c r="DE104" s="169" t="s">
        <v>259</v>
      </c>
      <c r="DF104" s="169" t="s">
        <v>259</v>
      </c>
      <c r="DG104" s="169" t="s">
        <v>259</v>
      </c>
      <c r="DH104" s="169" t="s">
        <v>259</v>
      </c>
      <c r="DI104" s="169" t="s">
        <v>259</v>
      </c>
      <c r="DJ104" s="169" t="s">
        <v>259</v>
      </c>
      <c r="DK104" s="169" t="s">
        <v>259</v>
      </c>
      <c r="DL104" s="169" t="s">
        <v>259</v>
      </c>
      <c r="DM104" s="169" t="s">
        <v>259</v>
      </c>
      <c r="DN104" s="169" t="s">
        <v>259</v>
      </c>
      <c r="DO104" s="169" t="s">
        <v>259</v>
      </c>
      <c r="DP104" s="169" t="s">
        <v>259</v>
      </c>
      <c r="DQ104" s="169" t="s">
        <v>259</v>
      </c>
      <c r="DR104" s="169" t="s">
        <v>259</v>
      </c>
      <c r="DS104" s="169" t="s">
        <v>259</v>
      </c>
      <c r="DT104" s="169" t="s">
        <v>259</v>
      </c>
    </row>
    <row r="105" spans="2:124" x14ac:dyDescent="0.3">
      <c r="B105" t="str">
        <f>'IMPORT SCHLIESSERDATEN'!B104</f>
        <v>TS 71 EN 4</v>
      </c>
      <c r="D105" s="169" t="s">
        <v>259</v>
      </c>
      <c r="E105" s="169" t="s">
        <v>259</v>
      </c>
      <c r="F105" s="169" t="s">
        <v>259</v>
      </c>
      <c r="G105" s="169" t="s">
        <v>259</v>
      </c>
      <c r="H105" s="169" t="s">
        <v>259</v>
      </c>
      <c r="I105" s="169" t="s">
        <v>259</v>
      </c>
      <c r="J105" s="169" t="s">
        <v>259</v>
      </c>
      <c r="K105" s="169" t="s">
        <v>259</v>
      </c>
      <c r="L105" s="169" t="s">
        <v>259</v>
      </c>
      <c r="M105" s="169" t="s">
        <v>259</v>
      </c>
      <c r="N105" s="169" t="s">
        <v>259</v>
      </c>
      <c r="O105" s="169" t="s">
        <v>259</v>
      </c>
      <c r="P105" s="169" t="s">
        <v>259</v>
      </c>
      <c r="Q105" s="169" t="s">
        <v>259</v>
      </c>
      <c r="R105" s="169" t="s">
        <v>259</v>
      </c>
      <c r="S105" s="169" t="s">
        <v>259</v>
      </c>
      <c r="T105" s="169" t="s">
        <v>259</v>
      </c>
      <c r="U105" s="169" t="s">
        <v>259</v>
      </c>
      <c r="V105" s="169" t="s">
        <v>259</v>
      </c>
      <c r="W105" s="169" t="s">
        <v>259</v>
      </c>
      <c r="X105" s="169" t="s">
        <v>259</v>
      </c>
      <c r="Y105" s="169" t="s">
        <v>259</v>
      </c>
      <c r="Z105" s="169" t="s">
        <v>259</v>
      </c>
      <c r="AA105" s="169" t="s">
        <v>259</v>
      </c>
      <c r="AB105" s="169" t="s">
        <v>259</v>
      </c>
      <c r="AC105" s="169" t="s">
        <v>259</v>
      </c>
      <c r="AD105" s="169" t="s">
        <v>259</v>
      </c>
      <c r="AE105" s="169" t="s">
        <v>259</v>
      </c>
      <c r="AF105" s="169" t="s">
        <v>259</v>
      </c>
      <c r="AG105" s="169" t="s">
        <v>259</v>
      </c>
      <c r="AH105" s="169" t="s">
        <v>259</v>
      </c>
      <c r="AI105" s="169" t="s">
        <v>259</v>
      </c>
      <c r="AJ105" s="169" t="s">
        <v>259</v>
      </c>
      <c r="AK105" s="169" t="s">
        <v>259</v>
      </c>
      <c r="AL105" s="169" t="s">
        <v>259</v>
      </c>
      <c r="AM105" s="169" t="s">
        <v>259</v>
      </c>
      <c r="AN105" s="169" t="s">
        <v>259</v>
      </c>
      <c r="AO105" s="169" t="s">
        <v>259</v>
      </c>
      <c r="AP105" s="169" t="s">
        <v>259</v>
      </c>
      <c r="AQ105" s="169" t="s">
        <v>259</v>
      </c>
      <c r="AR105" s="169" t="s">
        <v>259</v>
      </c>
      <c r="AS105" s="169" t="s">
        <v>259</v>
      </c>
      <c r="AT105" s="169" t="s">
        <v>259</v>
      </c>
      <c r="AU105" s="169" t="s">
        <v>259</v>
      </c>
      <c r="AV105" s="169" t="s">
        <v>259</v>
      </c>
      <c r="AW105" s="169" t="s">
        <v>259</v>
      </c>
      <c r="AX105" s="169" t="s">
        <v>259</v>
      </c>
      <c r="AY105" s="169" t="s">
        <v>259</v>
      </c>
      <c r="AZ105" s="169" t="s">
        <v>259</v>
      </c>
      <c r="BA105" s="169" t="s">
        <v>259</v>
      </c>
      <c r="BB105" s="169" t="s">
        <v>259</v>
      </c>
      <c r="BC105" s="169" t="s">
        <v>259</v>
      </c>
      <c r="BD105" s="169" t="s">
        <v>259</v>
      </c>
      <c r="BE105" s="169" t="s">
        <v>259</v>
      </c>
      <c r="BF105" s="169" t="s">
        <v>259</v>
      </c>
      <c r="BG105" s="169" t="s">
        <v>259</v>
      </c>
      <c r="BH105" s="169" t="s">
        <v>259</v>
      </c>
      <c r="BI105" s="169" t="s">
        <v>259</v>
      </c>
      <c r="BJ105" s="169" t="s">
        <v>259</v>
      </c>
      <c r="BK105" s="169" t="s">
        <v>259</v>
      </c>
      <c r="BL105" s="169" t="s">
        <v>259</v>
      </c>
      <c r="BM105" s="169" t="s">
        <v>259</v>
      </c>
      <c r="BN105" s="169" t="s">
        <v>259</v>
      </c>
      <c r="BO105" s="169" t="s">
        <v>259</v>
      </c>
      <c r="BP105" s="169" t="s">
        <v>259</v>
      </c>
      <c r="BQ105" s="169" t="s">
        <v>259</v>
      </c>
      <c r="BR105" s="169" t="s">
        <v>259</v>
      </c>
      <c r="BS105" s="169" t="s">
        <v>259</v>
      </c>
      <c r="BT105" s="169" t="s">
        <v>259</v>
      </c>
      <c r="BU105" s="169" t="s">
        <v>259</v>
      </c>
      <c r="BV105" s="169" t="s">
        <v>259</v>
      </c>
      <c r="BW105" s="169" t="s">
        <v>259</v>
      </c>
      <c r="BX105" s="169" t="s">
        <v>259</v>
      </c>
      <c r="BY105" s="169" t="s">
        <v>259</v>
      </c>
      <c r="BZ105" s="169" t="s">
        <v>259</v>
      </c>
      <c r="CA105" s="169" t="s">
        <v>259</v>
      </c>
      <c r="CB105" s="169" t="s">
        <v>259</v>
      </c>
      <c r="CC105" s="169" t="s">
        <v>259</v>
      </c>
      <c r="CD105" s="169" t="s">
        <v>259</v>
      </c>
      <c r="CE105" s="169" t="s">
        <v>259</v>
      </c>
      <c r="CF105" s="169" t="s">
        <v>259</v>
      </c>
      <c r="CG105" s="169" t="s">
        <v>259</v>
      </c>
      <c r="CH105" s="169" t="s">
        <v>259</v>
      </c>
      <c r="CI105" s="169" t="s">
        <v>259</v>
      </c>
      <c r="CJ105" s="169" t="s">
        <v>259</v>
      </c>
      <c r="CK105" s="169" t="s">
        <v>259</v>
      </c>
      <c r="CL105" s="169" t="s">
        <v>259</v>
      </c>
      <c r="CM105" s="169" t="s">
        <v>259</v>
      </c>
      <c r="CN105" s="169" t="s">
        <v>259</v>
      </c>
      <c r="CO105" s="169" t="s">
        <v>259</v>
      </c>
      <c r="CP105" s="169" t="s">
        <v>259</v>
      </c>
      <c r="CQ105" s="169" t="s">
        <v>259</v>
      </c>
      <c r="CR105" s="169" t="s">
        <v>259</v>
      </c>
      <c r="CS105" s="169" t="s">
        <v>259</v>
      </c>
      <c r="CT105" s="169" t="s">
        <v>259</v>
      </c>
      <c r="CU105" s="169" t="s">
        <v>259</v>
      </c>
      <c r="CV105" s="169" t="s">
        <v>259</v>
      </c>
      <c r="CW105" s="169" t="s">
        <v>259</v>
      </c>
      <c r="CX105" s="169" t="s">
        <v>259</v>
      </c>
      <c r="CY105" s="169" t="s">
        <v>259</v>
      </c>
      <c r="CZ105" s="169" t="s">
        <v>259</v>
      </c>
      <c r="DA105" s="169" t="s">
        <v>259</v>
      </c>
      <c r="DB105" s="169" t="s">
        <v>259</v>
      </c>
      <c r="DC105" s="169" t="s">
        <v>259</v>
      </c>
      <c r="DD105" s="169" t="s">
        <v>259</v>
      </c>
      <c r="DE105" s="169" t="s">
        <v>259</v>
      </c>
      <c r="DF105" s="169" t="s">
        <v>259</v>
      </c>
      <c r="DG105" s="169" t="s">
        <v>259</v>
      </c>
      <c r="DH105" s="169" t="s">
        <v>259</v>
      </c>
      <c r="DI105" s="169" t="s">
        <v>259</v>
      </c>
      <c r="DJ105" s="169" t="s">
        <v>259</v>
      </c>
      <c r="DK105" s="169" t="s">
        <v>259</v>
      </c>
      <c r="DL105" s="169" t="s">
        <v>259</v>
      </c>
      <c r="DM105" s="169" t="s">
        <v>259</v>
      </c>
      <c r="DN105" s="169" t="s">
        <v>259</v>
      </c>
      <c r="DO105" s="169" t="s">
        <v>259</v>
      </c>
      <c r="DP105" s="169" t="s">
        <v>259</v>
      </c>
      <c r="DQ105" s="169" t="s">
        <v>259</v>
      </c>
      <c r="DR105" s="169" t="s">
        <v>259</v>
      </c>
      <c r="DS105" s="169" t="s">
        <v>259</v>
      </c>
      <c r="DT105" s="169" t="s">
        <v>259</v>
      </c>
    </row>
    <row r="106" spans="2:124" x14ac:dyDescent="0.3">
      <c r="B106" t="str">
        <f>'IMPORT SCHLIESSERDATEN'!B105</f>
        <v>TS 71 RF EN 4</v>
      </c>
      <c r="D106" s="169" t="s">
        <v>259</v>
      </c>
      <c r="E106" s="169" t="s">
        <v>259</v>
      </c>
      <c r="F106" s="169" t="s">
        <v>259</v>
      </c>
      <c r="G106" s="169" t="s">
        <v>259</v>
      </c>
      <c r="H106" s="169" t="s">
        <v>259</v>
      </c>
      <c r="I106" s="169" t="s">
        <v>259</v>
      </c>
      <c r="J106" s="169" t="s">
        <v>259</v>
      </c>
      <c r="K106" s="169" t="s">
        <v>259</v>
      </c>
      <c r="L106" s="169" t="s">
        <v>259</v>
      </c>
      <c r="M106" s="169" t="s">
        <v>259</v>
      </c>
      <c r="N106" s="169" t="s">
        <v>259</v>
      </c>
      <c r="O106" s="169" t="s">
        <v>259</v>
      </c>
      <c r="P106" s="169" t="s">
        <v>259</v>
      </c>
      <c r="Q106" s="169" t="s">
        <v>259</v>
      </c>
      <c r="R106" s="169" t="s">
        <v>259</v>
      </c>
      <c r="S106" s="169" t="s">
        <v>259</v>
      </c>
      <c r="T106" s="169" t="s">
        <v>259</v>
      </c>
      <c r="U106" s="169" t="s">
        <v>1995</v>
      </c>
      <c r="V106" s="169" t="s">
        <v>259</v>
      </c>
      <c r="W106" s="169" t="s">
        <v>259</v>
      </c>
      <c r="X106" s="169" t="s">
        <v>259</v>
      </c>
      <c r="Y106" s="169" t="s">
        <v>259</v>
      </c>
      <c r="Z106" s="169" t="s">
        <v>259</v>
      </c>
      <c r="AA106" s="169" t="s">
        <v>259</v>
      </c>
      <c r="AB106" s="169" t="s">
        <v>259</v>
      </c>
      <c r="AC106" s="169" t="s">
        <v>259</v>
      </c>
      <c r="AD106" s="169" t="s">
        <v>259</v>
      </c>
      <c r="AE106" s="169" t="s">
        <v>259</v>
      </c>
      <c r="AF106" s="169" t="s">
        <v>259</v>
      </c>
      <c r="AG106" s="169" t="s">
        <v>259</v>
      </c>
      <c r="AH106" s="169" t="s">
        <v>259</v>
      </c>
      <c r="AI106" s="169" t="s">
        <v>259</v>
      </c>
      <c r="AJ106" s="169" t="s">
        <v>259</v>
      </c>
      <c r="AK106" s="169" t="s">
        <v>259</v>
      </c>
      <c r="AL106" s="169" t="s">
        <v>259</v>
      </c>
      <c r="AM106" s="169" t="s">
        <v>259</v>
      </c>
      <c r="AN106" s="169" t="s">
        <v>259</v>
      </c>
      <c r="AO106" s="169" t="s">
        <v>259</v>
      </c>
      <c r="AP106" s="169" t="s">
        <v>259</v>
      </c>
      <c r="AQ106" s="169" t="s">
        <v>259</v>
      </c>
      <c r="AR106" s="169" t="s">
        <v>259</v>
      </c>
      <c r="AS106" s="169" t="s">
        <v>259</v>
      </c>
      <c r="AT106" s="169" t="s">
        <v>259</v>
      </c>
      <c r="AU106" s="169" t="s">
        <v>259</v>
      </c>
      <c r="AV106" s="169" t="s">
        <v>259</v>
      </c>
      <c r="AW106" s="169" t="s">
        <v>259</v>
      </c>
      <c r="AX106" s="169" t="s">
        <v>259</v>
      </c>
      <c r="AY106" s="169" t="s">
        <v>259</v>
      </c>
      <c r="AZ106" s="169" t="s">
        <v>259</v>
      </c>
      <c r="BA106" s="169" t="s">
        <v>259</v>
      </c>
      <c r="BB106" s="169" t="s">
        <v>259</v>
      </c>
      <c r="BC106" s="169" t="s">
        <v>259</v>
      </c>
      <c r="BD106" s="169" t="s">
        <v>259</v>
      </c>
      <c r="BE106" s="169" t="s">
        <v>259</v>
      </c>
      <c r="BF106" s="169" t="s">
        <v>259</v>
      </c>
      <c r="BG106" s="169" t="s">
        <v>259</v>
      </c>
      <c r="BH106" s="169" t="s">
        <v>259</v>
      </c>
      <c r="BI106" s="169" t="s">
        <v>259</v>
      </c>
      <c r="BJ106" s="169" t="s">
        <v>259</v>
      </c>
      <c r="BK106" s="169" t="s">
        <v>259</v>
      </c>
      <c r="BL106" s="169" t="s">
        <v>259</v>
      </c>
      <c r="BM106" s="169" t="s">
        <v>259</v>
      </c>
      <c r="BN106" s="169" t="s">
        <v>259</v>
      </c>
      <c r="BO106" s="169" t="s">
        <v>259</v>
      </c>
      <c r="BP106" s="169" t="s">
        <v>259</v>
      </c>
      <c r="BQ106" s="169" t="s">
        <v>259</v>
      </c>
      <c r="BR106" s="169" t="s">
        <v>259</v>
      </c>
      <c r="BS106" s="169" t="s">
        <v>259</v>
      </c>
      <c r="BT106" s="169" t="s">
        <v>259</v>
      </c>
      <c r="BU106" s="169" t="s">
        <v>259</v>
      </c>
      <c r="BV106" s="169" t="s">
        <v>259</v>
      </c>
      <c r="BW106" s="169" t="s">
        <v>259</v>
      </c>
      <c r="BX106" s="169" t="s">
        <v>259</v>
      </c>
      <c r="BY106" s="169" t="s">
        <v>259</v>
      </c>
      <c r="BZ106" s="169" t="s">
        <v>259</v>
      </c>
      <c r="CA106" s="169" t="s">
        <v>259</v>
      </c>
      <c r="CB106" s="169" t="s">
        <v>259</v>
      </c>
      <c r="CC106" s="169" t="s">
        <v>259</v>
      </c>
      <c r="CD106" s="169" t="s">
        <v>259</v>
      </c>
      <c r="CE106" s="169" t="s">
        <v>259</v>
      </c>
      <c r="CF106" s="169" t="s">
        <v>259</v>
      </c>
      <c r="CG106" s="169" t="s">
        <v>259</v>
      </c>
      <c r="CH106" s="169" t="s">
        <v>259</v>
      </c>
      <c r="CI106" s="169" t="s">
        <v>259</v>
      </c>
      <c r="CJ106" s="169" t="s">
        <v>259</v>
      </c>
      <c r="CK106" s="169" t="s">
        <v>259</v>
      </c>
      <c r="CL106" s="169" t="s">
        <v>259</v>
      </c>
      <c r="CM106" s="169" t="s">
        <v>259</v>
      </c>
      <c r="CN106" s="169" t="s">
        <v>259</v>
      </c>
      <c r="CO106" s="169" t="s">
        <v>259</v>
      </c>
      <c r="CP106" s="169" t="s">
        <v>259</v>
      </c>
      <c r="CQ106" s="169" t="s">
        <v>259</v>
      </c>
      <c r="CR106" s="169" t="s">
        <v>259</v>
      </c>
      <c r="CS106" s="169" t="s">
        <v>259</v>
      </c>
      <c r="CT106" s="169" t="s">
        <v>259</v>
      </c>
      <c r="CU106" s="169" t="s">
        <v>259</v>
      </c>
      <c r="CV106" s="169" t="s">
        <v>259</v>
      </c>
      <c r="CW106" s="169" t="s">
        <v>259</v>
      </c>
      <c r="CX106" s="169" t="s">
        <v>259</v>
      </c>
      <c r="CY106" s="169" t="s">
        <v>259</v>
      </c>
      <c r="CZ106" s="169" t="s">
        <v>259</v>
      </c>
      <c r="DA106" s="169" t="s">
        <v>259</v>
      </c>
      <c r="DB106" s="169" t="s">
        <v>259</v>
      </c>
      <c r="DC106" s="169" t="s">
        <v>259</v>
      </c>
      <c r="DD106" s="169" t="s">
        <v>259</v>
      </c>
      <c r="DE106" s="169" t="s">
        <v>259</v>
      </c>
      <c r="DF106" s="169" t="s">
        <v>259</v>
      </c>
      <c r="DG106" s="169" t="s">
        <v>259</v>
      </c>
      <c r="DH106" s="169" t="s">
        <v>259</v>
      </c>
      <c r="DI106" s="169" t="s">
        <v>259</v>
      </c>
      <c r="DJ106" s="169" t="s">
        <v>259</v>
      </c>
      <c r="DK106" s="169" t="s">
        <v>259</v>
      </c>
      <c r="DL106" s="169" t="s">
        <v>259</v>
      </c>
      <c r="DM106" s="169" t="s">
        <v>259</v>
      </c>
      <c r="DN106" s="169" t="s">
        <v>259</v>
      </c>
      <c r="DO106" s="169" t="s">
        <v>259</v>
      </c>
      <c r="DP106" s="169" t="s">
        <v>259</v>
      </c>
      <c r="DQ106" s="169" t="s">
        <v>259</v>
      </c>
      <c r="DR106" s="169" t="s">
        <v>259</v>
      </c>
      <c r="DS106" s="169" t="s">
        <v>259</v>
      </c>
      <c r="DT106" s="169" t="s">
        <v>259</v>
      </c>
    </row>
    <row r="107" spans="2:124" x14ac:dyDescent="0.3">
      <c r="B107" t="str">
        <f>'IMPORT SCHLIESSERDATEN'!B106</f>
        <v>TS 72 EN 2-4</v>
      </c>
      <c r="D107" s="169" t="s">
        <v>259</v>
      </c>
      <c r="E107" s="169" t="s">
        <v>259</v>
      </c>
      <c r="F107" s="169" t="s">
        <v>259</v>
      </c>
      <c r="G107" s="169" t="s">
        <v>259</v>
      </c>
      <c r="H107" s="169" t="s">
        <v>259</v>
      </c>
      <c r="I107" s="169" t="s">
        <v>259</v>
      </c>
      <c r="J107" s="169" t="s">
        <v>259</v>
      </c>
      <c r="K107" s="169" t="s">
        <v>259</v>
      </c>
      <c r="L107" s="169" t="s">
        <v>259</v>
      </c>
      <c r="M107" s="169" t="s">
        <v>259</v>
      </c>
      <c r="N107" s="169" t="s">
        <v>259</v>
      </c>
      <c r="O107" s="169" t="s">
        <v>259</v>
      </c>
      <c r="P107" s="169" t="s">
        <v>259</v>
      </c>
      <c r="Q107" s="169" t="s">
        <v>259</v>
      </c>
      <c r="R107" s="169" t="s">
        <v>259</v>
      </c>
      <c r="S107" s="169" t="s">
        <v>259</v>
      </c>
      <c r="T107" s="169" t="s">
        <v>259</v>
      </c>
      <c r="U107" s="169" t="s">
        <v>259</v>
      </c>
      <c r="V107" s="169" t="s">
        <v>259</v>
      </c>
      <c r="W107" s="169" t="s">
        <v>259</v>
      </c>
      <c r="X107" s="169" t="s">
        <v>259</v>
      </c>
      <c r="Y107" s="169" t="s">
        <v>259</v>
      </c>
      <c r="Z107" s="169" t="s">
        <v>259</v>
      </c>
      <c r="AA107" s="169" t="s">
        <v>259</v>
      </c>
      <c r="AB107" s="169" t="s">
        <v>259</v>
      </c>
      <c r="AC107" s="169" t="s">
        <v>259</v>
      </c>
      <c r="AD107" s="169" t="s">
        <v>259</v>
      </c>
      <c r="AE107" s="169" t="s">
        <v>259</v>
      </c>
      <c r="AF107" s="169" t="s">
        <v>259</v>
      </c>
      <c r="AG107" s="169" t="s">
        <v>259</v>
      </c>
      <c r="AH107" s="169" t="s">
        <v>259</v>
      </c>
      <c r="AI107" s="169" t="s">
        <v>259</v>
      </c>
      <c r="AJ107" s="169" t="s">
        <v>259</v>
      </c>
      <c r="AK107" s="169" t="s">
        <v>259</v>
      </c>
      <c r="AL107" s="169" t="s">
        <v>259</v>
      </c>
      <c r="AM107" s="169" t="s">
        <v>259</v>
      </c>
      <c r="AN107" s="169" t="s">
        <v>259</v>
      </c>
      <c r="AO107" s="169" t="s">
        <v>259</v>
      </c>
      <c r="AP107" s="169" t="s">
        <v>259</v>
      </c>
      <c r="AQ107" s="169" t="s">
        <v>259</v>
      </c>
      <c r="AR107" s="169" t="s">
        <v>259</v>
      </c>
      <c r="AS107" s="169" t="s">
        <v>259</v>
      </c>
      <c r="AT107" s="169" t="s">
        <v>259</v>
      </c>
      <c r="AU107" s="169" t="s">
        <v>259</v>
      </c>
      <c r="AV107" s="169" t="s">
        <v>259</v>
      </c>
      <c r="AW107" s="169" t="s">
        <v>259</v>
      </c>
      <c r="AX107" s="169" t="s">
        <v>259</v>
      </c>
      <c r="AY107" s="169" t="s">
        <v>259</v>
      </c>
      <c r="AZ107" s="169" t="s">
        <v>259</v>
      </c>
      <c r="BA107" s="169" t="s">
        <v>259</v>
      </c>
      <c r="BB107" s="169" t="s">
        <v>259</v>
      </c>
      <c r="BC107" s="169" t="s">
        <v>259</v>
      </c>
      <c r="BD107" s="169" t="s">
        <v>259</v>
      </c>
      <c r="BE107" s="169" t="s">
        <v>259</v>
      </c>
      <c r="BF107" s="169" t="s">
        <v>259</v>
      </c>
      <c r="BG107" s="169" t="s">
        <v>259</v>
      </c>
      <c r="BH107" s="169" t="s">
        <v>259</v>
      </c>
      <c r="BI107" s="169" t="s">
        <v>259</v>
      </c>
      <c r="BJ107" s="169" t="s">
        <v>259</v>
      </c>
      <c r="BK107" s="169" t="s">
        <v>259</v>
      </c>
      <c r="BL107" s="169" t="s">
        <v>259</v>
      </c>
      <c r="BM107" s="169" t="s">
        <v>259</v>
      </c>
      <c r="BN107" s="169" t="s">
        <v>259</v>
      </c>
      <c r="BO107" s="169" t="s">
        <v>259</v>
      </c>
      <c r="BP107" s="169" t="s">
        <v>259</v>
      </c>
      <c r="BQ107" s="169" t="s">
        <v>259</v>
      </c>
      <c r="BR107" s="169" t="s">
        <v>259</v>
      </c>
      <c r="BS107" s="169" t="s">
        <v>259</v>
      </c>
      <c r="BT107" s="169" t="s">
        <v>259</v>
      </c>
      <c r="BU107" s="169" t="s">
        <v>259</v>
      </c>
      <c r="BV107" s="169" t="s">
        <v>259</v>
      </c>
      <c r="BW107" s="169" t="s">
        <v>259</v>
      </c>
      <c r="BX107" s="169" t="s">
        <v>259</v>
      </c>
      <c r="BY107" s="169" t="s">
        <v>259</v>
      </c>
      <c r="BZ107" s="169" t="s">
        <v>259</v>
      </c>
      <c r="CA107" s="169" t="s">
        <v>259</v>
      </c>
      <c r="CB107" s="169" t="s">
        <v>259</v>
      </c>
      <c r="CC107" s="169" t="s">
        <v>259</v>
      </c>
      <c r="CD107" s="169" t="s">
        <v>259</v>
      </c>
      <c r="CE107" s="169" t="s">
        <v>259</v>
      </c>
      <c r="CF107" s="169" t="s">
        <v>259</v>
      </c>
      <c r="CG107" s="169" t="s">
        <v>259</v>
      </c>
      <c r="CH107" s="169" t="s">
        <v>259</v>
      </c>
      <c r="CI107" s="169" t="s">
        <v>259</v>
      </c>
      <c r="CJ107" s="169" t="s">
        <v>259</v>
      </c>
      <c r="CK107" s="169" t="s">
        <v>259</v>
      </c>
      <c r="CL107" s="169" t="s">
        <v>259</v>
      </c>
      <c r="CM107" s="169" t="s">
        <v>259</v>
      </c>
      <c r="CN107" s="169" t="s">
        <v>259</v>
      </c>
      <c r="CO107" s="169" t="s">
        <v>259</v>
      </c>
      <c r="CP107" s="169" t="s">
        <v>259</v>
      </c>
      <c r="CQ107" s="169" t="s">
        <v>259</v>
      </c>
      <c r="CR107" s="169" t="s">
        <v>259</v>
      </c>
      <c r="CS107" s="169" t="s">
        <v>259</v>
      </c>
      <c r="CT107" s="169" t="s">
        <v>259</v>
      </c>
      <c r="CU107" s="169" t="s">
        <v>259</v>
      </c>
      <c r="CV107" s="169" t="s">
        <v>259</v>
      </c>
      <c r="CW107" s="169" t="s">
        <v>259</v>
      </c>
      <c r="CX107" s="169" t="s">
        <v>259</v>
      </c>
      <c r="CY107" s="169" t="s">
        <v>259</v>
      </c>
      <c r="CZ107" s="169" t="s">
        <v>259</v>
      </c>
      <c r="DA107" s="169" t="s">
        <v>259</v>
      </c>
      <c r="DB107" s="169" t="s">
        <v>259</v>
      </c>
      <c r="DC107" s="169" t="s">
        <v>259</v>
      </c>
      <c r="DD107" s="169" t="s">
        <v>259</v>
      </c>
      <c r="DE107" s="169" t="s">
        <v>259</v>
      </c>
      <c r="DF107" s="169" t="s">
        <v>259</v>
      </c>
      <c r="DG107" s="169" t="s">
        <v>259</v>
      </c>
      <c r="DH107" s="169" t="s">
        <v>259</v>
      </c>
      <c r="DI107" s="169" t="s">
        <v>259</v>
      </c>
      <c r="DJ107" s="169" t="s">
        <v>259</v>
      </c>
      <c r="DK107" s="169" t="s">
        <v>259</v>
      </c>
      <c r="DL107" s="169" t="s">
        <v>259</v>
      </c>
      <c r="DM107" s="169" t="s">
        <v>259</v>
      </c>
      <c r="DN107" s="169" t="s">
        <v>259</v>
      </c>
      <c r="DO107" s="169" t="s">
        <v>259</v>
      </c>
      <c r="DP107" s="169" t="s">
        <v>259</v>
      </c>
      <c r="DQ107" s="169" t="s">
        <v>259</v>
      </c>
      <c r="DR107" s="169" t="s">
        <v>259</v>
      </c>
      <c r="DS107" s="169" t="s">
        <v>259</v>
      </c>
      <c r="DT107" s="169" t="s">
        <v>259</v>
      </c>
    </row>
    <row r="108" spans="2:124" x14ac:dyDescent="0.3">
      <c r="B108" t="str">
        <f>'IMPORT SCHLIESSERDATEN'!B107</f>
        <v>TS 72 RF EN 2-4</v>
      </c>
      <c r="D108" s="169" t="s">
        <v>259</v>
      </c>
      <c r="E108" s="169" t="s">
        <v>259</v>
      </c>
      <c r="F108" s="169" t="s">
        <v>259</v>
      </c>
      <c r="G108" s="169" t="s">
        <v>259</v>
      </c>
      <c r="H108" s="169" t="s">
        <v>259</v>
      </c>
      <c r="I108" s="169" t="s">
        <v>259</v>
      </c>
      <c r="J108" s="169" t="s">
        <v>259</v>
      </c>
      <c r="K108" s="169" t="s">
        <v>259</v>
      </c>
      <c r="L108" s="169" t="s">
        <v>259</v>
      </c>
      <c r="M108" s="169" t="s">
        <v>259</v>
      </c>
      <c r="N108" s="169" t="s">
        <v>259</v>
      </c>
      <c r="O108" s="169" t="s">
        <v>259</v>
      </c>
      <c r="P108" s="169" t="s">
        <v>259</v>
      </c>
      <c r="Q108" s="169" t="s">
        <v>259</v>
      </c>
      <c r="R108" s="169" t="s">
        <v>259</v>
      </c>
      <c r="S108" s="169" t="s">
        <v>259</v>
      </c>
      <c r="T108" s="169" t="s">
        <v>259</v>
      </c>
      <c r="U108" s="169" t="s">
        <v>1995</v>
      </c>
      <c r="V108" s="169" t="s">
        <v>259</v>
      </c>
      <c r="W108" s="169" t="s">
        <v>259</v>
      </c>
      <c r="X108" s="169" t="s">
        <v>259</v>
      </c>
      <c r="Y108" s="169" t="s">
        <v>259</v>
      </c>
      <c r="Z108" s="169" t="s">
        <v>259</v>
      </c>
      <c r="AA108" s="169" t="s">
        <v>259</v>
      </c>
      <c r="AB108" s="169" t="s">
        <v>259</v>
      </c>
      <c r="AC108" s="169" t="s">
        <v>259</v>
      </c>
      <c r="AD108" s="169" t="s">
        <v>259</v>
      </c>
      <c r="AE108" s="169" t="s">
        <v>259</v>
      </c>
      <c r="AF108" s="169" t="s">
        <v>259</v>
      </c>
      <c r="AG108" s="169" t="s">
        <v>259</v>
      </c>
      <c r="AH108" s="169" t="s">
        <v>259</v>
      </c>
      <c r="AI108" s="169" t="s">
        <v>259</v>
      </c>
      <c r="AJ108" s="169" t="s">
        <v>259</v>
      </c>
      <c r="AK108" s="169" t="s">
        <v>259</v>
      </c>
      <c r="AL108" s="169" t="s">
        <v>259</v>
      </c>
      <c r="AM108" s="169" t="s">
        <v>259</v>
      </c>
      <c r="AN108" s="169" t="s">
        <v>259</v>
      </c>
      <c r="AO108" s="169" t="s">
        <v>259</v>
      </c>
      <c r="AP108" s="169" t="s">
        <v>259</v>
      </c>
      <c r="AQ108" s="169" t="s">
        <v>259</v>
      </c>
      <c r="AR108" s="169" t="s">
        <v>259</v>
      </c>
      <c r="AS108" s="169" t="s">
        <v>259</v>
      </c>
      <c r="AT108" s="169" t="s">
        <v>259</v>
      </c>
      <c r="AU108" s="169" t="s">
        <v>259</v>
      </c>
      <c r="AV108" s="169" t="s">
        <v>259</v>
      </c>
      <c r="AW108" s="169" t="s">
        <v>259</v>
      </c>
      <c r="AX108" s="169" t="s">
        <v>259</v>
      </c>
      <c r="AY108" s="169" t="s">
        <v>259</v>
      </c>
      <c r="AZ108" s="169" t="s">
        <v>259</v>
      </c>
      <c r="BA108" s="169" t="s">
        <v>259</v>
      </c>
      <c r="BB108" s="169" t="s">
        <v>259</v>
      </c>
      <c r="BC108" s="169" t="s">
        <v>259</v>
      </c>
      <c r="BD108" s="169" t="s">
        <v>259</v>
      </c>
      <c r="BE108" s="169" t="s">
        <v>259</v>
      </c>
      <c r="BF108" s="169" t="s">
        <v>259</v>
      </c>
      <c r="BG108" s="169" t="s">
        <v>259</v>
      </c>
      <c r="BH108" s="169" t="s">
        <v>259</v>
      </c>
      <c r="BI108" s="169" t="s">
        <v>259</v>
      </c>
      <c r="BJ108" s="169" t="s">
        <v>259</v>
      </c>
      <c r="BK108" s="169" t="s">
        <v>259</v>
      </c>
      <c r="BL108" s="169" t="s">
        <v>259</v>
      </c>
      <c r="BM108" s="169" t="s">
        <v>259</v>
      </c>
      <c r="BN108" s="169" t="s">
        <v>259</v>
      </c>
      <c r="BO108" s="169" t="s">
        <v>259</v>
      </c>
      <c r="BP108" s="169" t="s">
        <v>259</v>
      </c>
      <c r="BQ108" s="169" t="s">
        <v>259</v>
      </c>
      <c r="BR108" s="169" t="s">
        <v>259</v>
      </c>
      <c r="BS108" s="169" t="s">
        <v>259</v>
      </c>
      <c r="BT108" s="169" t="s">
        <v>259</v>
      </c>
      <c r="BU108" s="169" t="s">
        <v>259</v>
      </c>
      <c r="BV108" s="169" t="s">
        <v>259</v>
      </c>
      <c r="BW108" s="169" t="s">
        <v>259</v>
      </c>
      <c r="BX108" s="169" t="s">
        <v>259</v>
      </c>
      <c r="BY108" s="169" t="s">
        <v>259</v>
      </c>
      <c r="BZ108" s="169" t="s">
        <v>259</v>
      </c>
      <c r="CA108" s="169" t="s">
        <v>259</v>
      </c>
      <c r="CB108" s="169" t="s">
        <v>259</v>
      </c>
      <c r="CC108" s="169" t="s">
        <v>259</v>
      </c>
      <c r="CD108" s="169" t="s">
        <v>259</v>
      </c>
      <c r="CE108" s="169" t="s">
        <v>259</v>
      </c>
      <c r="CF108" s="169" t="s">
        <v>259</v>
      </c>
      <c r="CG108" s="169" t="s">
        <v>259</v>
      </c>
      <c r="CH108" s="169" t="s">
        <v>259</v>
      </c>
      <c r="CI108" s="169" t="s">
        <v>259</v>
      </c>
      <c r="CJ108" s="169" t="s">
        <v>259</v>
      </c>
      <c r="CK108" s="169" t="s">
        <v>259</v>
      </c>
      <c r="CL108" s="169" t="s">
        <v>259</v>
      </c>
      <c r="CM108" s="169" t="s">
        <v>259</v>
      </c>
      <c r="CN108" s="169" t="s">
        <v>259</v>
      </c>
      <c r="CO108" s="169" t="s">
        <v>259</v>
      </c>
      <c r="CP108" s="169" t="s">
        <v>259</v>
      </c>
      <c r="CQ108" s="169" t="s">
        <v>259</v>
      </c>
      <c r="CR108" s="169" t="s">
        <v>259</v>
      </c>
      <c r="CS108" s="169" t="s">
        <v>259</v>
      </c>
      <c r="CT108" s="169" t="s">
        <v>259</v>
      </c>
      <c r="CU108" s="169" t="s">
        <v>259</v>
      </c>
      <c r="CV108" s="169" t="s">
        <v>259</v>
      </c>
      <c r="CW108" s="169" t="s">
        <v>259</v>
      </c>
      <c r="CX108" s="169" t="s">
        <v>259</v>
      </c>
      <c r="CY108" s="169" t="s">
        <v>259</v>
      </c>
      <c r="CZ108" s="169" t="s">
        <v>259</v>
      </c>
      <c r="DA108" s="169" t="s">
        <v>259</v>
      </c>
      <c r="DB108" s="169" t="s">
        <v>259</v>
      </c>
      <c r="DC108" s="169" t="s">
        <v>259</v>
      </c>
      <c r="DD108" s="169" t="s">
        <v>259</v>
      </c>
      <c r="DE108" s="169" t="s">
        <v>259</v>
      </c>
      <c r="DF108" s="169" t="s">
        <v>259</v>
      </c>
      <c r="DG108" s="169" t="s">
        <v>259</v>
      </c>
      <c r="DH108" s="169" t="s">
        <v>259</v>
      </c>
      <c r="DI108" s="169" t="s">
        <v>259</v>
      </c>
      <c r="DJ108" s="169" t="s">
        <v>259</v>
      </c>
      <c r="DK108" s="169" t="s">
        <v>259</v>
      </c>
      <c r="DL108" s="169" t="s">
        <v>259</v>
      </c>
      <c r="DM108" s="169" t="s">
        <v>259</v>
      </c>
      <c r="DN108" s="169" t="s">
        <v>259</v>
      </c>
      <c r="DO108" s="169" t="s">
        <v>259</v>
      </c>
      <c r="DP108" s="169" t="s">
        <v>259</v>
      </c>
      <c r="DQ108" s="169" t="s">
        <v>259</v>
      </c>
      <c r="DR108" s="169" t="s">
        <v>259</v>
      </c>
      <c r="DS108" s="169" t="s">
        <v>259</v>
      </c>
      <c r="DT108" s="169" t="s">
        <v>259</v>
      </c>
    </row>
    <row r="109" spans="2:124" x14ac:dyDescent="0.3">
      <c r="B109" t="str">
        <f>'IMPORT SCHLIESSERDATEN'!B108</f>
        <v>TS 73V EN 2-4</v>
      </c>
      <c r="D109" s="169" t="s">
        <v>259</v>
      </c>
      <c r="E109" s="169" t="s">
        <v>259</v>
      </c>
      <c r="F109" s="169" t="s">
        <v>259</v>
      </c>
      <c r="G109" s="169" t="s">
        <v>259</v>
      </c>
      <c r="H109" s="169" t="s">
        <v>259</v>
      </c>
      <c r="I109" s="169" t="s">
        <v>259</v>
      </c>
      <c r="J109" s="169" t="s">
        <v>259</v>
      </c>
      <c r="K109" s="169" t="s">
        <v>259</v>
      </c>
      <c r="L109" s="169" t="s">
        <v>259</v>
      </c>
      <c r="M109" s="169" t="s">
        <v>259</v>
      </c>
      <c r="N109" s="169" t="s">
        <v>259</v>
      </c>
      <c r="O109" s="169" t="s">
        <v>259</v>
      </c>
      <c r="P109" s="169" t="s">
        <v>259</v>
      </c>
      <c r="Q109" s="169" t="s">
        <v>259</v>
      </c>
      <c r="R109" s="169" t="s">
        <v>259</v>
      </c>
      <c r="S109" s="169" t="s">
        <v>259</v>
      </c>
      <c r="T109" s="169" t="s">
        <v>259</v>
      </c>
      <c r="U109" s="169" t="s">
        <v>259</v>
      </c>
      <c r="V109" s="169" t="s">
        <v>259</v>
      </c>
      <c r="W109" s="169" t="s">
        <v>259</v>
      </c>
      <c r="X109" s="169" t="s">
        <v>259</v>
      </c>
      <c r="Y109" s="169" t="s">
        <v>259</v>
      </c>
      <c r="Z109" s="169" t="s">
        <v>259</v>
      </c>
      <c r="AA109" s="169" t="s">
        <v>259</v>
      </c>
      <c r="AB109" s="169" t="s">
        <v>259</v>
      </c>
      <c r="AC109" s="169" t="s">
        <v>259</v>
      </c>
      <c r="AD109" s="169" t="s">
        <v>259</v>
      </c>
      <c r="AE109" s="169" t="s">
        <v>259</v>
      </c>
      <c r="AF109" s="169" t="s">
        <v>259</v>
      </c>
      <c r="AG109" s="169" t="s">
        <v>259</v>
      </c>
      <c r="AH109" s="169" t="s">
        <v>259</v>
      </c>
      <c r="AI109" s="169" t="s">
        <v>259</v>
      </c>
      <c r="AJ109" s="169" t="s">
        <v>259</v>
      </c>
      <c r="AK109" s="169" t="s">
        <v>259</v>
      </c>
      <c r="AL109" s="169" t="s">
        <v>259</v>
      </c>
      <c r="AM109" s="169" t="s">
        <v>259</v>
      </c>
      <c r="AN109" s="169" t="s">
        <v>259</v>
      </c>
      <c r="AO109" s="169" t="s">
        <v>259</v>
      </c>
      <c r="AP109" s="169" t="s">
        <v>259</v>
      </c>
      <c r="AQ109" s="169" t="s">
        <v>259</v>
      </c>
      <c r="AR109" s="169" t="s">
        <v>259</v>
      </c>
      <c r="AS109" s="169" t="s">
        <v>259</v>
      </c>
      <c r="AT109" s="169" t="s">
        <v>259</v>
      </c>
      <c r="AU109" s="169" t="s">
        <v>259</v>
      </c>
      <c r="AV109" s="169" t="s">
        <v>259</v>
      </c>
      <c r="AW109" s="169" t="s">
        <v>259</v>
      </c>
      <c r="AX109" s="169" t="s">
        <v>259</v>
      </c>
      <c r="AY109" s="169" t="s">
        <v>259</v>
      </c>
      <c r="AZ109" s="169" t="s">
        <v>259</v>
      </c>
      <c r="BA109" s="169" t="s">
        <v>259</v>
      </c>
      <c r="BB109" s="169" t="s">
        <v>259</v>
      </c>
      <c r="BC109" s="169" t="s">
        <v>259</v>
      </c>
      <c r="BD109" s="169" t="s">
        <v>259</v>
      </c>
      <c r="BE109" s="169" t="s">
        <v>259</v>
      </c>
      <c r="BF109" s="169" t="s">
        <v>259</v>
      </c>
      <c r="BG109" s="169" t="s">
        <v>259</v>
      </c>
      <c r="BH109" s="169" t="s">
        <v>259</v>
      </c>
      <c r="BI109" s="169" t="s">
        <v>259</v>
      </c>
      <c r="BJ109" s="169" t="s">
        <v>259</v>
      </c>
      <c r="BK109" s="169" t="s">
        <v>259</v>
      </c>
      <c r="BL109" s="169" t="s">
        <v>259</v>
      </c>
      <c r="BM109" s="169" t="s">
        <v>259</v>
      </c>
      <c r="BN109" s="169" t="s">
        <v>259</v>
      </c>
      <c r="BO109" s="169" t="s">
        <v>259</v>
      </c>
      <c r="BP109" s="169" t="s">
        <v>259</v>
      </c>
      <c r="BQ109" s="169" t="s">
        <v>259</v>
      </c>
      <c r="BR109" s="169" t="s">
        <v>259</v>
      </c>
      <c r="BS109" s="169" t="s">
        <v>259</v>
      </c>
      <c r="BT109" s="169" t="s">
        <v>259</v>
      </c>
      <c r="BU109" s="169" t="s">
        <v>259</v>
      </c>
      <c r="BV109" s="169" t="s">
        <v>259</v>
      </c>
      <c r="BW109" s="169" t="s">
        <v>259</v>
      </c>
      <c r="BX109" s="169" t="s">
        <v>259</v>
      </c>
      <c r="BY109" s="169" t="s">
        <v>259</v>
      </c>
      <c r="BZ109" s="169" t="s">
        <v>259</v>
      </c>
      <c r="CA109" s="169" t="s">
        <v>259</v>
      </c>
      <c r="CB109" s="169" t="s">
        <v>259</v>
      </c>
      <c r="CC109" s="169" t="s">
        <v>259</v>
      </c>
      <c r="CD109" s="169" t="s">
        <v>259</v>
      </c>
      <c r="CE109" s="169" t="s">
        <v>259</v>
      </c>
      <c r="CF109" s="169" t="s">
        <v>259</v>
      </c>
      <c r="CG109" s="169" t="s">
        <v>259</v>
      </c>
      <c r="CH109" s="169" t="s">
        <v>259</v>
      </c>
      <c r="CI109" s="169" t="s">
        <v>259</v>
      </c>
      <c r="CJ109" s="169" t="s">
        <v>259</v>
      </c>
      <c r="CK109" s="169" t="s">
        <v>259</v>
      </c>
      <c r="CL109" s="169" t="s">
        <v>259</v>
      </c>
      <c r="CM109" s="169" t="s">
        <v>259</v>
      </c>
      <c r="CN109" s="169" t="s">
        <v>259</v>
      </c>
      <c r="CO109" s="169" t="s">
        <v>259</v>
      </c>
      <c r="CP109" s="169" t="s">
        <v>259</v>
      </c>
      <c r="CQ109" s="169" t="s">
        <v>259</v>
      </c>
      <c r="CR109" s="169" t="s">
        <v>259</v>
      </c>
      <c r="CS109" s="169" t="s">
        <v>259</v>
      </c>
      <c r="CT109" s="169" t="s">
        <v>259</v>
      </c>
      <c r="CU109" s="169" t="s">
        <v>259</v>
      </c>
      <c r="CV109" s="169" t="s">
        <v>259</v>
      </c>
      <c r="CW109" s="169" t="s">
        <v>259</v>
      </c>
      <c r="CX109" s="169" t="s">
        <v>259</v>
      </c>
      <c r="CY109" s="169" t="s">
        <v>259</v>
      </c>
      <c r="CZ109" s="169" t="s">
        <v>259</v>
      </c>
      <c r="DA109" s="169" t="s">
        <v>259</v>
      </c>
      <c r="DB109" s="169" t="s">
        <v>259</v>
      </c>
      <c r="DC109" s="169" t="s">
        <v>259</v>
      </c>
      <c r="DD109" s="169" t="s">
        <v>259</v>
      </c>
      <c r="DE109" s="169" t="s">
        <v>259</v>
      </c>
      <c r="DF109" s="169" t="s">
        <v>259</v>
      </c>
      <c r="DG109" s="169" t="s">
        <v>259</v>
      </c>
      <c r="DH109" s="169" t="s">
        <v>259</v>
      </c>
      <c r="DI109" s="169" t="s">
        <v>259</v>
      </c>
      <c r="DJ109" s="169" t="s">
        <v>259</v>
      </c>
      <c r="DK109" s="169" t="s">
        <v>259</v>
      </c>
      <c r="DL109" s="169" t="s">
        <v>259</v>
      </c>
      <c r="DM109" s="169" t="s">
        <v>259</v>
      </c>
      <c r="DN109" s="169" t="s">
        <v>259</v>
      </c>
      <c r="DO109" s="169" t="s">
        <v>259</v>
      </c>
      <c r="DP109" s="169" t="s">
        <v>259</v>
      </c>
      <c r="DQ109" s="169" t="s">
        <v>259</v>
      </c>
      <c r="DR109" s="169" t="s">
        <v>259</v>
      </c>
      <c r="DS109" s="169" t="s">
        <v>259</v>
      </c>
      <c r="DT109" s="169" t="s">
        <v>259</v>
      </c>
    </row>
    <row r="110" spans="2:124" x14ac:dyDescent="0.3">
      <c r="B110" t="str">
        <f>'IMPORT SCHLIESSERDATEN'!B109</f>
        <v>TS 73V EN 2-4 + SR</v>
      </c>
      <c r="D110" s="169" t="s">
        <v>259</v>
      </c>
      <c r="E110" s="169" t="s">
        <v>259</v>
      </c>
      <c r="F110" s="169" t="s">
        <v>259</v>
      </c>
      <c r="G110" s="169" t="s">
        <v>259</v>
      </c>
      <c r="H110" s="169" t="s">
        <v>259</v>
      </c>
      <c r="I110" s="169" t="s">
        <v>259</v>
      </c>
      <c r="J110" s="169" t="s">
        <v>259</v>
      </c>
      <c r="K110" s="169" t="s">
        <v>259</v>
      </c>
      <c r="L110" s="169" t="s">
        <v>259</v>
      </c>
      <c r="M110" s="169" t="s">
        <v>259</v>
      </c>
      <c r="N110" s="169" t="s">
        <v>259</v>
      </c>
      <c r="O110" s="169" t="s">
        <v>259</v>
      </c>
      <c r="P110" s="169" t="s">
        <v>259</v>
      </c>
      <c r="Q110" s="169" t="s">
        <v>259</v>
      </c>
      <c r="R110" s="169" t="s">
        <v>259</v>
      </c>
      <c r="S110" s="169" t="s">
        <v>259</v>
      </c>
      <c r="T110" s="169" t="s">
        <v>259</v>
      </c>
      <c r="U110" s="169" t="s">
        <v>259</v>
      </c>
      <c r="V110" s="169" t="s">
        <v>259</v>
      </c>
      <c r="W110" s="169" t="s">
        <v>259</v>
      </c>
      <c r="X110" s="169" t="s">
        <v>259</v>
      </c>
      <c r="Y110" s="169" t="s">
        <v>259</v>
      </c>
      <c r="Z110" s="169" t="s">
        <v>259</v>
      </c>
      <c r="AA110" s="169" t="s">
        <v>259</v>
      </c>
      <c r="AB110" s="169" t="s">
        <v>259</v>
      </c>
      <c r="AC110" s="169" t="s">
        <v>259</v>
      </c>
      <c r="AD110" s="169" t="s">
        <v>259</v>
      </c>
      <c r="AE110" s="169" t="s">
        <v>259</v>
      </c>
      <c r="AF110" s="169" t="s">
        <v>259</v>
      </c>
      <c r="AG110" s="169" t="s">
        <v>259</v>
      </c>
      <c r="AH110" s="169" t="s">
        <v>259</v>
      </c>
      <c r="AI110" s="169" t="s">
        <v>259</v>
      </c>
      <c r="AJ110" s="169" t="s">
        <v>259</v>
      </c>
      <c r="AK110" s="169" t="s">
        <v>259</v>
      </c>
      <c r="AL110" s="169" t="s">
        <v>259</v>
      </c>
      <c r="AM110" s="169" t="s">
        <v>259</v>
      </c>
      <c r="AN110" s="169" t="s">
        <v>259</v>
      </c>
      <c r="AO110" s="169" t="s">
        <v>259</v>
      </c>
      <c r="AP110" s="169" t="s">
        <v>259</v>
      </c>
      <c r="AQ110" s="169" t="s">
        <v>259</v>
      </c>
      <c r="AR110" s="169" t="s">
        <v>259</v>
      </c>
      <c r="AS110" s="169" t="s">
        <v>259</v>
      </c>
      <c r="AT110" s="169" t="s">
        <v>259</v>
      </c>
      <c r="AU110" s="169" t="s">
        <v>259</v>
      </c>
      <c r="AV110" s="169" t="s">
        <v>259</v>
      </c>
      <c r="AW110" s="169" t="s">
        <v>259</v>
      </c>
      <c r="AX110" s="169" t="s">
        <v>259</v>
      </c>
      <c r="AY110" s="169" t="s">
        <v>259</v>
      </c>
      <c r="AZ110" s="169" t="s">
        <v>259</v>
      </c>
      <c r="BA110" s="169" t="s">
        <v>259</v>
      </c>
      <c r="BB110" s="169" t="s">
        <v>259</v>
      </c>
      <c r="BC110" s="169" t="s">
        <v>259</v>
      </c>
      <c r="BD110" s="169" t="s">
        <v>259</v>
      </c>
      <c r="BE110" s="169" t="s">
        <v>259</v>
      </c>
      <c r="BF110" s="169" t="s">
        <v>259</v>
      </c>
      <c r="BG110" s="169" t="s">
        <v>259</v>
      </c>
      <c r="BH110" s="169" t="s">
        <v>259</v>
      </c>
      <c r="BI110" s="169" t="s">
        <v>259</v>
      </c>
      <c r="BJ110" s="169" t="s">
        <v>259</v>
      </c>
      <c r="BK110" s="169" t="s">
        <v>259</v>
      </c>
      <c r="BL110" s="169" t="s">
        <v>259</v>
      </c>
      <c r="BM110" s="169" t="s">
        <v>259</v>
      </c>
      <c r="BN110" s="169" t="s">
        <v>259</v>
      </c>
      <c r="BO110" s="169" t="s">
        <v>259</v>
      </c>
      <c r="BP110" s="169" t="s">
        <v>259</v>
      </c>
      <c r="BQ110" s="169" t="s">
        <v>259</v>
      </c>
      <c r="BR110" s="169" t="s">
        <v>259</v>
      </c>
      <c r="BS110" s="169" t="s">
        <v>259</v>
      </c>
      <c r="BT110" s="169" t="s">
        <v>259</v>
      </c>
      <c r="BU110" s="169" t="s">
        <v>259</v>
      </c>
      <c r="BV110" s="169" t="s">
        <v>259</v>
      </c>
      <c r="BW110" s="169" t="s">
        <v>259</v>
      </c>
      <c r="BX110" s="169" t="s">
        <v>259</v>
      </c>
      <c r="BY110" s="169" t="s">
        <v>259</v>
      </c>
      <c r="BZ110" s="169" t="s">
        <v>259</v>
      </c>
      <c r="CA110" s="169" t="s">
        <v>259</v>
      </c>
      <c r="CB110" s="169" t="s">
        <v>259</v>
      </c>
      <c r="CC110" s="169" t="s">
        <v>259</v>
      </c>
      <c r="CD110" s="169" t="s">
        <v>259</v>
      </c>
      <c r="CE110" s="169" t="s">
        <v>259</v>
      </c>
      <c r="CF110" s="169" t="s">
        <v>259</v>
      </c>
      <c r="CG110" s="169" t="s">
        <v>259</v>
      </c>
      <c r="CH110" s="169" t="s">
        <v>259</v>
      </c>
      <c r="CI110" s="169" t="s">
        <v>259</v>
      </c>
      <c r="CJ110" s="169" t="s">
        <v>259</v>
      </c>
      <c r="CK110" s="169" t="s">
        <v>259</v>
      </c>
      <c r="CL110" s="169" t="s">
        <v>259</v>
      </c>
      <c r="CM110" s="169" t="s">
        <v>259</v>
      </c>
      <c r="CN110" s="169" t="s">
        <v>259</v>
      </c>
      <c r="CO110" s="169" t="s">
        <v>259</v>
      </c>
      <c r="CP110" s="169" t="s">
        <v>259</v>
      </c>
      <c r="CQ110" s="169" t="s">
        <v>259</v>
      </c>
      <c r="CR110" s="169" t="s">
        <v>259</v>
      </c>
      <c r="CS110" s="169" t="s">
        <v>259</v>
      </c>
      <c r="CT110" s="169" t="s">
        <v>259</v>
      </c>
      <c r="CU110" s="169" t="s">
        <v>259</v>
      </c>
      <c r="CV110" s="169" t="s">
        <v>259</v>
      </c>
      <c r="CW110" s="169" t="s">
        <v>259</v>
      </c>
      <c r="CX110" s="169" t="s">
        <v>259</v>
      </c>
      <c r="CY110" s="169" t="s">
        <v>259</v>
      </c>
      <c r="CZ110" s="169" t="s">
        <v>259</v>
      </c>
      <c r="DA110" s="169" t="s">
        <v>259</v>
      </c>
      <c r="DB110" s="169" t="s">
        <v>259</v>
      </c>
      <c r="DC110" s="169" t="s">
        <v>259</v>
      </c>
      <c r="DD110" s="169" t="s">
        <v>259</v>
      </c>
      <c r="DE110" s="169" t="s">
        <v>259</v>
      </c>
      <c r="DF110" s="169" t="s">
        <v>259</v>
      </c>
      <c r="DG110" s="169" t="s">
        <v>259</v>
      </c>
      <c r="DH110" s="169" t="s">
        <v>259</v>
      </c>
      <c r="DI110" s="169" t="s">
        <v>259</v>
      </c>
      <c r="DJ110" s="169" t="s">
        <v>259</v>
      </c>
      <c r="DK110" s="169" t="s">
        <v>259</v>
      </c>
      <c r="DL110" s="169" t="s">
        <v>259</v>
      </c>
      <c r="DM110" s="169" t="s">
        <v>259</v>
      </c>
      <c r="DN110" s="169" t="s">
        <v>259</v>
      </c>
      <c r="DO110" s="169" t="s">
        <v>259</v>
      </c>
      <c r="DP110" s="169" t="s">
        <v>259</v>
      </c>
      <c r="DQ110" s="169" t="s">
        <v>259</v>
      </c>
      <c r="DR110" s="169" t="s">
        <v>259</v>
      </c>
      <c r="DS110" s="169" t="s">
        <v>259</v>
      </c>
      <c r="DT110" s="169" t="s">
        <v>259</v>
      </c>
    </row>
    <row r="111" spans="2:124" x14ac:dyDescent="0.3">
      <c r="B111" t="str">
        <f>'IMPORT SCHLIESSERDATEN'!B110</f>
        <v>TS 73V RF EN 2-4</v>
      </c>
      <c r="D111" s="169" t="s">
        <v>259</v>
      </c>
      <c r="E111" s="169" t="s">
        <v>259</v>
      </c>
      <c r="F111" s="169" t="s">
        <v>259</v>
      </c>
      <c r="G111" s="169" t="s">
        <v>259</v>
      </c>
      <c r="H111" s="169" t="s">
        <v>259</v>
      </c>
      <c r="I111" s="169" t="s">
        <v>259</v>
      </c>
      <c r="J111" s="169" t="s">
        <v>259</v>
      </c>
      <c r="K111" s="169" t="s">
        <v>259</v>
      </c>
      <c r="L111" s="169" t="s">
        <v>259</v>
      </c>
      <c r="M111" s="169" t="s">
        <v>259</v>
      </c>
      <c r="N111" s="169" t="s">
        <v>259</v>
      </c>
      <c r="O111" s="169" t="s">
        <v>259</v>
      </c>
      <c r="P111" s="169" t="s">
        <v>259</v>
      </c>
      <c r="Q111" s="169" t="s">
        <v>259</v>
      </c>
      <c r="R111" s="169" t="s">
        <v>259</v>
      </c>
      <c r="S111" s="169" t="s">
        <v>259</v>
      </c>
      <c r="T111" s="169" t="s">
        <v>259</v>
      </c>
      <c r="U111" s="169" t="s">
        <v>1995</v>
      </c>
      <c r="V111" s="169" t="s">
        <v>259</v>
      </c>
      <c r="W111" s="169" t="s">
        <v>259</v>
      </c>
      <c r="X111" s="169" t="s">
        <v>259</v>
      </c>
      <c r="Y111" s="169" t="s">
        <v>259</v>
      </c>
      <c r="Z111" s="169" t="s">
        <v>259</v>
      </c>
      <c r="AA111" s="169" t="s">
        <v>259</v>
      </c>
      <c r="AB111" s="169" t="s">
        <v>259</v>
      </c>
      <c r="AC111" s="169" t="s">
        <v>259</v>
      </c>
      <c r="AD111" s="169" t="s">
        <v>259</v>
      </c>
      <c r="AE111" s="169" t="s">
        <v>259</v>
      </c>
      <c r="AF111" s="169" t="s">
        <v>259</v>
      </c>
      <c r="AG111" s="169" t="s">
        <v>259</v>
      </c>
      <c r="AH111" s="169" t="s">
        <v>259</v>
      </c>
      <c r="AI111" s="169" t="s">
        <v>259</v>
      </c>
      <c r="AJ111" s="169" t="s">
        <v>259</v>
      </c>
      <c r="AK111" s="169" t="s">
        <v>259</v>
      </c>
      <c r="AL111" s="169" t="s">
        <v>259</v>
      </c>
      <c r="AM111" s="169" t="s">
        <v>259</v>
      </c>
      <c r="AN111" s="169" t="s">
        <v>259</v>
      </c>
      <c r="AO111" s="169" t="s">
        <v>259</v>
      </c>
      <c r="AP111" s="169" t="s">
        <v>259</v>
      </c>
      <c r="AQ111" s="169" t="s">
        <v>259</v>
      </c>
      <c r="AR111" s="169" t="s">
        <v>259</v>
      </c>
      <c r="AS111" s="169" t="s">
        <v>259</v>
      </c>
      <c r="AT111" s="169" t="s">
        <v>259</v>
      </c>
      <c r="AU111" s="169" t="s">
        <v>259</v>
      </c>
      <c r="AV111" s="169" t="s">
        <v>259</v>
      </c>
      <c r="AW111" s="169" t="s">
        <v>259</v>
      </c>
      <c r="AX111" s="169" t="s">
        <v>259</v>
      </c>
      <c r="AY111" s="169" t="s">
        <v>259</v>
      </c>
      <c r="AZ111" s="169" t="s">
        <v>259</v>
      </c>
      <c r="BA111" s="169" t="s">
        <v>259</v>
      </c>
      <c r="BB111" s="169" t="s">
        <v>259</v>
      </c>
      <c r="BC111" s="169" t="s">
        <v>259</v>
      </c>
      <c r="BD111" s="169" t="s">
        <v>259</v>
      </c>
      <c r="BE111" s="169" t="s">
        <v>259</v>
      </c>
      <c r="BF111" s="169" t="s">
        <v>259</v>
      </c>
      <c r="BG111" s="169" t="s">
        <v>259</v>
      </c>
      <c r="BH111" s="169" t="s">
        <v>259</v>
      </c>
      <c r="BI111" s="169" t="s">
        <v>259</v>
      </c>
      <c r="BJ111" s="169" t="s">
        <v>259</v>
      </c>
      <c r="BK111" s="169" t="s">
        <v>259</v>
      </c>
      <c r="BL111" s="169" t="s">
        <v>259</v>
      </c>
      <c r="BM111" s="169" t="s">
        <v>259</v>
      </c>
      <c r="BN111" s="169" t="s">
        <v>259</v>
      </c>
      <c r="BO111" s="169" t="s">
        <v>259</v>
      </c>
      <c r="BP111" s="169" t="s">
        <v>259</v>
      </c>
      <c r="BQ111" s="169" t="s">
        <v>259</v>
      </c>
      <c r="BR111" s="169" t="s">
        <v>259</v>
      </c>
      <c r="BS111" s="169" t="s">
        <v>259</v>
      </c>
      <c r="BT111" s="169" t="s">
        <v>259</v>
      </c>
      <c r="BU111" s="169" t="s">
        <v>259</v>
      </c>
      <c r="BV111" s="169" t="s">
        <v>259</v>
      </c>
      <c r="BW111" s="169" t="s">
        <v>259</v>
      </c>
      <c r="BX111" s="169" t="s">
        <v>259</v>
      </c>
      <c r="BY111" s="169" t="s">
        <v>259</v>
      </c>
      <c r="BZ111" s="169" t="s">
        <v>259</v>
      </c>
      <c r="CA111" s="169" t="s">
        <v>259</v>
      </c>
      <c r="CB111" s="169" t="s">
        <v>259</v>
      </c>
      <c r="CC111" s="169" t="s">
        <v>259</v>
      </c>
      <c r="CD111" s="169" t="s">
        <v>259</v>
      </c>
      <c r="CE111" s="169" t="s">
        <v>259</v>
      </c>
      <c r="CF111" s="169" t="s">
        <v>259</v>
      </c>
      <c r="CG111" s="169" t="s">
        <v>259</v>
      </c>
      <c r="CH111" s="169" t="s">
        <v>259</v>
      </c>
      <c r="CI111" s="169" t="s">
        <v>259</v>
      </c>
      <c r="CJ111" s="169" t="s">
        <v>259</v>
      </c>
      <c r="CK111" s="169" t="s">
        <v>259</v>
      </c>
      <c r="CL111" s="169" t="s">
        <v>259</v>
      </c>
      <c r="CM111" s="169" t="s">
        <v>259</v>
      </c>
      <c r="CN111" s="169" t="s">
        <v>259</v>
      </c>
      <c r="CO111" s="169" t="s">
        <v>259</v>
      </c>
      <c r="CP111" s="169" t="s">
        <v>259</v>
      </c>
      <c r="CQ111" s="169" t="s">
        <v>259</v>
      </c>
      <c r="CR111" s="169" t="s">
        <v>259</v>
      </c>
      <c r="CS111" s="169" t="s">
        <v>259</v>
      </c>
      <c r="CT111" s="169" t="s">
        <v>259</v>
      </c>
      <c r="CU111" s="169" t="s">
        <v>259</v>
      </c>
      <c r="CV111" s="169" t="s">
        <v>259</v>
      </c>
      <c r="CW111" s="169" t="s">
        <v>259</v>
      </c>
      <c r="CX111" s="169" t="s">
        <v>259</v>
      </c>
      <c r="CY111" s="169" t="s">
        <v>259</v>
      </c>
      <c r="CZ111" s="169" t="s">
        <v>259</v>
      </c>
      <c r="DA111" s="169" t="s">
        <v>259</v>
      </c>
      <c r="DB111" s="169" t="s">
        <v>259</v>
      </c>
      <c r="DC111" s="169" t="s">
        <v>259</v>
      </c>
      <c r="DD111" s="169" t="s">
        <v>259</v>
      </c>
      <c r="DE111" s="169" t="s">
        <v>259</v>
      </c>
      <c r="DF111" s="169" t="s">
        <v>259</v>
      </c>
      <c r="DG111" s="169" t="s">
        <v>259</v>
      </c>
      <c r="DH111" s="169" t="s">
        <v>259</v>
      </c>
      <c r="DI111" s="169" t="s">
        <v>259</v>
      </c>
      <c r="DJ111" s="169" t="s">
        <v>259</v>
      </c>
      <c r="DK111" s="169" t="s">
        <v>259</v>
      </c>
      <c r="DL111" s="169" t="s">
        <v>259</v>
      </c>
      <c r="DM111" s="169" t="s">
        <v>259</v>
      </c>
      <c r="DN111" s="169" t="s">
        <v>259</v>
      </c>
      <c r="DO111" s="169" t="s">
        <v>259</v>
      </c>
      <c r="DP111" s="169" t="s">
        <v>259</v>
      </c>
      <c r="DQ111" s="169" t="s">
        <v>259</v>
      </c>
      <c r="DR111" s="169" t="s">
        <v>259</v>
      </c>
      <c r="DS111" s="169" t="s">
        <v>259</v>
      </c>
      <c r="DT111" s="169" t="s">
        <v>259</v>
      </c>
    </row>
    <row r="112" spans="2:124" x14ac:dyDescent="0.3">
      <c r="B112" t="str">
        <f>'IMPORT SCHLIESSERDATEN'!B111</f>
        <v>TS 73 EMF EN 4</v>
      </c>
      <c r="D112" s="169" t="s">
        <v>259</v>
      </c>
      <c r="E112" s="169" t="s">
        <v>259</v>
      </c>
      <c r="F112" s="169" t="s">
        <v>259</v>
      </c>
      <c r="G112" s="169" t="s">
        <v>259</v>
      </c>
      <c r="H112" s="169" t="s">
        <v>259</v>
      </c>
      <c r="I112" s="169" t="s">
        <v>259</v>
      </c>
      <c r="J112" s="169" t="s">
        <v>259</v>
      </c>
      <c r="K112" s="169" t="s">
        <v>259</v>
      </c>
      <c r="L112" s="169" t="s">
        <v>259</v>
      </c>
      <c r="M112" s="169" t="s">
        <v>259</v>
      </c>
      <c r="N112" s="169" t="s">
        <v>259</v>
      </c>
      <c r="O112" s="169" t="s">
        <v>259</v>
      </c>
      <c r="P112" s="169" t="s">
        <v>259</v>
      </c>
      <c r="Q112" s="169" t="s">
        <v>259</v>
      </c>
      <c r="R112" s="169" t="s">
        <v>259</v>
      </c>
      <c r="S112" s="169" t="s">
        <v>259</v>
      </c>
      <c r="T112" s="169" t="s">
        <v>259</v>
      </c>
      <c r="U112" s="169" t="s">
        <v>259</v>
      </c>
      <c r="V112" s="169" t="s">
        <v>259</v>
      </c>
      <c r="W112" s="169" t="s">
        <v>259</v>
      </c>
      <c r="X112" s="169" t="s">
        <v>259</v>
      </c>
      <c r="Y112" s="169" t="s">
        <v>259</v>
      </c>
      <c r="Z112" s="169" t="s">
        <v>259</v>
      </c>
      <c r="AA112" s="169" t="s">
        <v>259</v>
      </c>
      <c r="AB112" s="169" t="s">
        <v>259</v>
      </c>
      <c r="AC112" s="169" t="s">
        <v>259</v>
      </c>
      <c r="AD112" s="169" t="s">
        <v>259</v>
      </c>
      <c r="AE112" s="169" t="s">
        <v>259</v>
      </c>
      <c r="AF112" s="169" t="s">
        <v>259</v>
      </c>
      <c r="AG112" s="169" t="s">
        <v>259</v>
      </c>
      <c r="AH112" s="169" t="s">
        <v>259</v>
      </c>
      <c r="AI112" s="169" t="s">
        <v>259</v>
      </c>
      <c r="AJ112" s="169" t="s">
        <v>259</v>
      </c>
      <c r="AK112" s="169" t="s">
        <v>259</v>
      </c>
      <c r="AL112" s="169" t="s">
        <v>259</v>
      </c>
      <c r="AM112" s="169" t="s">
        <v>259</v>
      </c>
      <c r="AN112" s="169" t="s">
        <v>259</v>
      </c>
      <c r="AO112" s="169" t="s">
        <v>259</v>
      </c>
      <c r="AP112" s="169" t="s">
        <v>259</v>
      </c>
      <c r="AQ112" s="169" t="s">
        <v>259</v>
      </c>
      <c r="AR112" s="169" t="s">
        <v>259</v>
      </c>
      <c r="AS112" s="169" t="s">
        <v>259</v>
      </c>
      <c r="AT112" s="169" t="s">
        <v>259</v>
      </c>
      <c r="AU112" s="169" t="s">
        <v>259</v>
      </c>
      <c r="AV112" s="169" t="s">
        <v>259</v>
      </c>
      <c r="AW112" s="169" t="s">
        <v>259</v>
      </c>
      <c r="AX112" s="169" t="s">
        <v>259</v>
      </c>
      <c r="AY112" s="169" t="s">
        <v>259</v>
      </c>
      <c r="AZ112" s="169" t="s">
        <v>259</v>
      </c>
      <c r="BA112" s="169" t="s">
        <v>259</v>
      </c>
      <c r="BB112" s="169" t="s">
        <v>259</v>
      </c>
      <c r="BC112" s="169" t="s">
        <v>259</v>
      </c>
      <c r="BD112" s="169" t="s">
        <v>259</v>
      </c>
      <c r="BE112" s="169" t="s">
        <v>259</v>
      </c>
      <c r="BF112" s="169" t="s">
        <v>259</v>
      </c>
      <c r="BG112" s="169" t="s">
        <v>259</v>
      </c>
      <c r="BH112" s="169" t="s">
        <v>259</v>
      </c>
      <c r="BI112" s="169" t="s">
        <v>259</v>
      </c>
      <c r="BJ112" s="169" t="s">
        <v>259</v>
      </c>
      <c r="BK112" s="169" t="s">
        <v>259</v>
      </c>
      <c r="BL112" s="169" t="s">
        <v>259</v>
      </c>
      <c r="BM112" s="169" t="s">
        <v>259</v>
      </c>
      <c r="BN112" s="169" t="s">
        <v>259</v>
      </c>
      <c r="BO112" s="169" t="s">
        <v>259</v>
      </c>
      <c r="BP112" s="169" t="s">
        <v>259</v>
      </c>
      <c r="BQ112" s="169" t="s">
        <v>259</v>
      </c>
      <c r="BR112" s="169" t="s">
        <v>259</v>
      </c>
      <c r="BS112" s="169" t="s">
        <v>259</v>
      </c>
      <c r="BT112" s="169" t="s">
        <v>259</v>
      </c>
      <c r="BU112" s="169" t="s">
        <v>259</v>
      </c>
      <c r="BV112" s="169" t="s">
        <v>259</v>
      </c>
      <c r="BW112" s="169" t="s">
        <v>259</v>
      </c>
      <c r="BX112" s="169" t="s">
        <v>259</v>
      </c>
      <c r="BY112" s="169" t="s">
        <v>259</v>
      </c>
      <c r="BZ112" s="169" t="s">
        <v>259</v>
      </c>
      <c r="CA112" s="169" t="s">
        <v>259</v>
      </c>
      <c r="CB112" s="169" t="s">
        <v>259</v>
      </c>
      <c r="CC112" s="169" t="s">
        <v>259</v>
      </c>
      <c r="CD112" s="169" t="s">
        <v>259</v>
      </c>
      <c r="CE112" s="169" t="s">
        <v>259</v>
      </c>
      <c r="CF112" s="169" t="s">
        <v>259</v>
      </c>
      <c r="CG112" s="169" t="s">
        <v>259</v>
      </c>
      <c r="CH112" s="169" t="s">
        <v>259</v>
      </c>
      <c r="CI112" s="169" t="s">
        <v>259</v>
      </c>
      <c r="CJ112" s="169" t="s">
        <v>259</v>
      </c>
      <c r="CK112" s="169" t="s">
        <v>259</v>
      </c>
      <c r="CL112" s="169" t="s">
        <v>259</v>
      </c>
      <c r="CM112" s="169" t="s">
        <v>259</v>
      </c>
      <c r="CN112" s="169" t="s">
        <v>259</v>
      </c>
      <c r="CO112" s="169" t="s">
        <v>259</v>
      </c>
      <c r="CP112" s="169" t="s">
        <v>259</v>
      </c>
      <c r="CQ112" s="169" t="s">
        <v>259</v>
      </c>
      <c r="CR112" s="169" t="s">
        <v>259</v>
      </c>
      <c r="CS112" s="169" t="s">
        <v>259</v>
      </c>
      <c r="CT112" s="169" t="s">
        <v>259</v>
      </c>
      <c r="CU112" s="169" t="s">
        <v>259</v>
      </c>
      <c r="CV112" s="169" t="s">
        <v>259</v>
      </c>
      <c r="CW112" s="169" t="s">
        <v>259</v>
      </c>
      <c r="CX112" s="169" t="s">
        <v>259</v>
      </c>
      <c r="CY112" s="169" t="s">
        <v>259</v>
      </c>
      <c r="CZ112" s="169" t="s">
        <v>259</v>
      </c>
      <c r="DA112" s="169" t="s">
        <v>259</v>
      </c>
      <c r="DB112" s="169" t="s">
        <v>259</v>
      </c>
      <c r="DC112" s="169" t="s">
        <v>259</v>
      </c>
      <c r="DD112" s="169" t="s">
        <v>259</v>
      </c>
      <c r="DE112" s="169" t="s">
        <v>259</v>
      </c>
      <c r="DF112" s="169" t="s">
        <v>259</v>
      </c>
      <c r="DG112" s="169" t="s">
        <v>259</v>
      </c>
      <c r="DH112" s="169" t="s">
        <v>259</v>
      </c>
      <c r="DI112" s="169" t="s">
        <v>259</v>
      </c>
      <c r="DJ112" s="169" t="s">
        <v>259</v>
      </c>
      <c r="DK112" s="169" t="s">
        <v>259</v>
      </c>
      <c r="DL112" s="169" t="s">
        <v>259</v>
      </c>
      <c r="DM112" s="169" t="s">
        <v>259</v>
      </c>
      <c r="DN112" s="169" t="s">
        <v>259</v>
      </c>
      <c r="DO112" s="169" t="s">
        <v>259</v>
      </c>
      <c r="DP112" s="169" t="s">
        <v>259</v>
      </c>
      <c r="DQ112" s="169" t="s">
        <v>259</v>
      </c>
      <c r="DR112" s="169" t="s">
        <v>259</v>
      </c>
      <c r="DS112" s="169" t="s">
        <v>259</v>
      </c>
      <c r="DT112" s="169" t="s">
        <v>259</v>
      </c>
    </row>
    <row r="113" spans="2:124" x14ac:dyDescent="0.3">
      <c r="B113" t="str">
        <f>'IMPORT SCHLIESSERDATEN'!B112</f>
        <v>TS 73 EMF EN 5</v>
      </c>
      <c r="D113" s="169" t="s">
        <v>259</v>
      </c>
      <c r="E113" s="169" t="s">
        <v>259</v>
      </c>
      <c r="F113" s="169" t="s">
        <v>259</v>
      </c>
      <c r="G113" s="169" t="s">
        <v>259</v>
      </c>
      <c r="H113" s="169" t="s">
        <v>259</v>
      </c>
      <c r="I113" s="169" t="s">
        <v>259</v>
      </c>
      <c r="J113" s="169" t="s">
        <v>259</v>
      </c>
      <c r="K113" s="169" t="s">
        <v>259</v>
      </c>
      <c r="L113" s="169" t="s">
        <v>259</v>
      </c>
      <c r="M113" s="169" t="s">
        <v>259</v>
      </c>
      <c r="N113" s="169" t="s">
        <v>259</v>
      </c>
      <c r="O113" s="169" t="s">
        <v>259</v>
      </c>
      <c r="P113" s="169" t="s">
        <v>259</v>
      </c>
      <c r="Q113" s="169" t="s">
        <v>259</v>
      </c>
      <c r="R113" s="169" t="s">
        <v>259</v>
      </c>
      <c r="S113" s="169" t="s">
        <v>259</v>
      </c>
      <c r="T113" s="169" t="s">
        <v>259</v>
      </c>
      <c r="U113" s="169" t="s">
        <v>259</v>
      </c>
      <c r="V113" s="169" t="s">
        <v>259</v>
      </c>
      <c r="W113" s="169" t="s">
        <v>259</v>
      </c>
      <c r="X113" s="169" t="s">
        <v>259</v>
      </c>
      <c r="Y113" s="169" t="s">
        <v>259</v>
      </c>
      <c r="Z113" s="169" t="s">
        <v>259</v>
      </c>
      <c r="AA113" s="169" t="s">
        <v>259</v>
      </c>
      <c r="AB113" s="169" t="s">
        <v>259</v>
      </c>
      <c r="AC113" s="169" t="s">
        <v>259</v>
      </c>
      <c r="AD113" s="169" t="s">
        <v>259</v>
      </c>
      <c r="AE113" s="169" t="s">
        <v>259</v>
      </c>
      <c r="AF113" s="169" t="s">
        <v>259</v>
      </c>
      <c r="AG113" s="169" t="s">
        <v>259</v>
      </c>
      <c r="AH113" s="169" t="s">
        <v>259</v>
      </c>
      <c r="AI113" s="169" t="s">
        <v>259</v>
      </c>
      <c r="AJ113" s="169" t="s">
        <v>259</v>
      </c>
      <c r="AK113" s="169" t="s">
        <v>259</v>
      </c>
      <c r="AL113" s="169" t="s">
        <v>259</v>
      </c>
      <c r="AM113" s="169" t="s">
        <v>259</v>
      </c>
      <c r="AN113" s="169" t="s">
        <v>259</v>
      </c>
      <c r="AO113" s="169" t="s">
        <v>259</v>
      </c>
      <c r="AP113" s="169" t="s">
        <v>259</v>
      </c>
      <c r="AQ113" s="169" t="s">
        <v>259</v>
      </c>
      <c r="AR113" s="169" t="s">
        <v>259</v>
      </c>
      <c r="AS113" s="169" t="s">
        <v>259</v>
      </c>
      <c r="AT113" s="169" t="s">
        <v>259</v>
      </c>
      <c r="AU113" s="169" t="s">
        <v>259</v>
      </c>
      <c r="AV113" s="169" t="s">
        <v>259</v>
      </c>
      <c r="AW113" s="169" t="s">
        <v>259</v>
      </c>
      <c r="AX113" s="169" t="s">
        <v>259</v>
      </c>
      <c r="AY113" s="169" t="s">
        <v>259</v>
      </c>
      <c r="AZ113" s="169" t="s">
        <v>259</v>
      </c>
      <c r="BA113" s="169" t="s">
        <v>259</v>
      </c>
      <c r="BB113" s="169" t="s">
        <v>259</v>
      </c>
      <c r="BC113" s="169" t="s">
        <v>259</v>
      </c>
      <c r="BD113" s="169" t="s">
        <v>259</v>
      </c>
      <c r="BE113" s="169" t="s">
        <v>259</v>
      </c>
      <c r="BF113" s="169" t="s">
        <v>259</v>
      </c>
      <c r="BG113" s="169" t="s">
        <v>259</v>
      </c>
      <c r="BH113" s="169" t="s">
        <v>259</v>
      </c>
      <c r="BI113" s="169" t="s">
        <v>259</v>
      </c>
      <c r="BJ113" s="169" t="s">
        <v>259</v>
      </c>
      <c r="BK113" s="169" t="s">
        <v>259</v>
      </c>
      <c r="BL113" s="169" t="s">
        <v>259</v>
      </c>
      <c r="BM113" s="169" t="s">
        <v>259</v>
      </c>
      <c r="BN113" s="169" t="s">
        <v>259</v>
      </c>
      <c r="BO113" s="169" t="s">
        <v>259</v>
      </c>
      <c r="BP113" s="169" t="s">
        <v>259</v>
      </c>
      <c r="BQ113" s="169" t="s">
        <v>259</v>
      </c>
      <c r="BR113" s="169" t="s">
        <v>259</v>
      </c>
      <c r="BS113" s="169" t="s">
        <v>259</v>
      </c>
      <c r="BT113" s="169" t="s">
        <v>259</v>
      </c>
      <c r="BU113" s="169" t="s">
        <v>259</v>
      </c>
      <c r="BV113" s="169" t="s">
        <v>259</v>
      </c>
      <c r="BW113" s="169" t="s">
        <v>259</v>
      </c>
      <c r="BX113" s="169" t="s">
        <v>259</v>
      </c>
      <c r="BY113" s="169" t="s">
        <v>259</v>
      </c>
      <c r="BZ113" s="169" t="s">
        <v>259</v>
      </c>
      <c r="CA113" s="169" t="s">
        <v>259</v>
      </c>
      <c r="CB113" s="169" t="s">
        <v>259</v>
      </c>
      <c r="CC113" s="169" t="s">
        <v>259</v>
      </c>
      <c r="CD113" s="169" t="s">
        <v>259</v>
      </c>
      <c r="CE113" s="169" t="s">
        <v>259</v>
      </c>
      <c r="CF113" s="169" t="s">
        <v>259</v>
      </c>
      <c r="CG113" s="169" t="s">
        <v>259</v>
      </c>
      <c r="CH113" s="169" t="s">
        <v>259</v>
      </c>
      <c r="CI113" s="169" t="s">
        <v>259</v>
      </c>
      <c r="CJ113" s="169" t="s">
        <v>259</v>
      </c>
      <c r="CK113" s="169" t="s">
        <v>259</v>
      </c>
      <c r="CL113" s="169" t="s">
        <v>259</v>
      </c>
      <c r="CM113" s="169" t="s">
        <v>259</v>
      </c>
      <c r="CN113" s="169" t="s">
        <v>259</v>
      </c>
      <c r="CO113" s="169" t="s">
        <v>259</v>
      </c>
      <c r="CP113" s="169" t="s">
        <v>259</v>
      </c>
      <c r="CQ113" s="169" t="s">
        <v>259</v>
      </c>
      <c r="CR113" s="169" t="s">
        <v>259</v>
      </c>
      <c r="CS113" s="169" t="s">
        <v>259</v>
      </c>
      <c r="CT113" s="169" t="s">
        <v>259</v>
      </c>
      <c r="CU113" s="169" t="s">
        <v>259</v>
      </c>
      <c r="CV113" s="169" t="s">
        <v>259</v>
      </c>
      <c r="CW113" s="169" t="s">
        <v>259</v>
      </c>
      <c r="CX113" s="169" t="s">
        <v>259</v>
      </c>
      <c r="CY113" s="169" t="s">
        <v>259</v>
      </c>
      <c r="CZ113" s="169" t="s">
        <v>259</v>
      </c>
      <c r="DA113" s="169" t="s">
        <v>259</v>
      </c>
      <c r="DB113" s="169" t="s">
        <v>259</v>
      </c>
      <c r="DC113" s="169" t="s">
        <v>259</v>
      </c>
      <c r="DD113" s="169" t="s">
        <v>259</v>
      </c>
      <c r="DE113" s="169" t="s">
        <v>259</v>
      </c>
      <c r="DF113" s="169" t="s">
        <v>259</v>
      </c>
      <c r="DG113" s="169" t="s">
        <v>259</v>
      </c>
      <c r="DH113" s="169" t="s">
        <v>259</v>
      </c>
      <c r="DI113" s="169" t="s">
        <v>259</v>
      </c>
      <c r="DJ113" s="169" t="s">
        <v>259</v>
      </c>
      <c r="DK113" s="169" t="s">
        <v>259</v>
      </c>
      <c r="DL113" s="169" t="s">
        <v>259</v>
      </c>
      <c r="DM113" s="169" t="s">
        <v>259</v>
      </c>
      <c r="DN113" s="169" t="s">
        <v>259</v>
      </c>
      <c r="DO113" s="169" t="s">
        <v>259</v>
      </c>
      <c r="DP113" s="169" t="s">
        <v>259</v>
      </c>
      <c r="DQ113" s="169" t="s">
        <v>259</v>
      </c>
      <c r="DR113" s="169" t="s">
        <v>259</v>
      </c>
      <c r="DS113" s="169" t="s">
        <v>259</v>
      </c>
      <c r="DT113" s="169" t="s">
        <v>259</v>
      </c>
    </row>
    <row r="114" spans="2:124" x14ac:dyDescent="0.3">
      <c r="B114" t="str">
        <f>'IMPORT SCHLIESSERDATEN'!B113</f>
        <v>TS 73 EMF EN 6</v>
      </c>
      <c r="D114" s="169" t="s">
        <v>259</v>
      </c>
      <c r="E114" s="169" t="s">
        <v>259</v>
      </c>
      <c r="F114" s="169" t="s">
        <v>259</v>
      </c>
      <c r="G114" s="169" t="s">
        <v>259</v>
      </c>
      <c r="H114" s="169" t="s">
        <v>259</v>
      </c>
      <c r="I114" s="169" t="s">
        <v>259</v>
      </c>
      <c r="J114" s="169" t="s">
        <v>259</v>
      </c>
      <c r="K114" s="169" t="s">
        <v>259</v>
      </c>
      <c r="L114" s="169" t="s">
        <v>259</v>
      </c>
      <c r="M114" s="169" t="s">
        <v>259</v>
      </c>
      <c r="N114" s="169" t="s">
        <v>259</v>
      </c>
      <c r="O114" s="169" t="s">
        <v>259</v>
      </c>
      <c r="P114" s="169" t="s">
        <v>259</v>
      </c>
      <c r="Q114" s="169" t="s">
        <v>259</v>
      </c>
      <c r="R114" s="169" t="s">
        <v>259</v>
      </c>
      <c r="S114" s="169" t="s">
        <v>259</v>
      </c>
      <c r="T114" s="169" t="s">
        <v>259</v>
      </c>
      <c r="U114" s="169" t="s">
        <v>259</v>
      </c>
      <c r="V114" s="169" t="s">
        <v>259</v>
      </c>
      <c r="W114" s="169" t="s">
        <v>259</v>
      </c>
      <c r="X114" s="169" t="s">
        <v>259</v>
      </c>
      <c r="Y114" s="169" t="s">
        <v>259</v>
      </c>
      <c r="Z114" s="169" t="s">
        <v>259</v>
      </c>
      <c r="AA114" s="169" t="s">
        <v>259</v>
      </c>
      <c r="AB114" s="169" t="s">
        <v>259</v>
      </c>
      <c r="AC114" s="169" t="s">
        <v>259</v>
      </c>
      <c r="AD114" s="169" t="s">
        <v>259</v>
      </c>
      <c r="AE114" s="169" t="s">
        <v>259</v>
      </c>
      <c r="AF114" s="169" t="s">
        <v>259</v>
      </c>
      <c r="AG114" s="169" t="s">
        <v>259</v>
      </c>
      <c r="AH114" s="169" t="s">
        <v>259</v>
      </c>
      <c r="AI114" s="169" t="s">
        <v>259</v>
      </c>
      <c r="AJ114" s="169" t="s">
        <v>259</v>
      </c>
      <c r="AK114" s="169" t="s">
        <v>259</v>
      </c>
      <c r="AL114" s="169" t="s">
        <v>259</v>
      </c>
      <c r="AM114" s="169" t="s">
        <v>259</v>
      </c>
      <c r="AN114" s="169" t="s">
        <v>259</v>
      </c>
      <c r="AO114" s="169" t="s">
        <v>259</v>
      </c>
      <c r="AP114" s="169" t="s">
        <v>259</v>
      </c>
      <c r="AQ114" s="169" t="s">
        <v>259</v>
      </c>
      <c r="AR114" s="169" t="s">
        <v>259</v>
      </c>
      <c r="AS114" s="169" t="s">
        <v>259</v>
      </c>
      <c r="AT114" s="169" t="s">
        <v>259</v>
      </c>
      <c r="AU114" s="169" t="s">
        <v>259</v>
      </c>
      <c r="AV114" s="169" t="s">
        <v>259</v>
      </c>
      <c r="AW114" s="169" t="s">
        <v>259</v>
      </c>
      <c r="AX114" s="169" t="s">
        <v>259</v>
      </c>
      <c r="AY114" s="169" t="s">
        <v>259</v>
      </c>
      <c r="AZ114" s="169" t="s">
        <v>259</v>
      </c>
      <c r="BA114" s="169" t="s">
        <v>259</v>
      </c>
      <c r="BB114" s="169" t="s">
        <v>259</v>
      </c>
      <c r="BC114" s="169" t="s">
        <v>259</v>
      </c>
      <c r="BD114" s="169" t="s">
        <v>259</v>
      </c>
      <c r="BE114" s="169" t="s">
        <v>259</v>
      </c>
      <c r="BF114" s="169" t="s">
        <v>259</v>
      </c>
      <c r="BG114" s="169" t="s">
        <v>259</v>
      </c>
      <c r="BH114" s="169" t="s">
        <v>259</v>
      </c>
      <c r="BI114" s="169" t="s">
        <v>259</v>
      </c>
      <c r="BJ114" s="169" t="s">
        <v>259</v>
      </c>
      <c r="BK114" s="169" t="s">
        <v>259</v>
      </c>
      <c r="BL114" s="169" t="s">
        <v>259</v>
      </c>
      <c r="BM114" s="169" t="s">
        <v>259</v>
      </c>
      <c r="BN114" s="169" t="s">
        <v>259</v>
      </c>
      <c r="BO114" s="169" t="s">
        <v>259</v>
      </c>
      <c r="BP114" s="169" t="s">
        <v>259</v>
      </c>
      <c r="BQ114" s="169" t="s">
        <v>259</v>
      </c>
      <c r="BR114" s="169" t="s">
        <v>259</v>
      </c>
      <c r="BS114" s="169" t="s">
        <v>259</v>
      </c>
      <c r="BT114" s="169" t="s">
        <v>259</v>
      </c>
      <c r="BU114" s="169" t="s">
        <v>259</v>
      </c>
      <c r="BV114" s="169" t="s">
        <v>259</v>
      </c>
      <c r="BW114" s="169" t="s">
        <v>259</v>
      </c>
      <c r="BX114" s="169" t="s">
        <v>259</v>
      </c>
      <c r="BY114" s="169" t="s">
        <v>259</v>
      </c>
      <c r="BZ114" s="169" t="s">
        <v>259</v>
      </c>
      <c r="CA114" s="169" t="s">
        <v>259</v>
      </c>
      <c r="CB114" s="169" t="s">
        <v>259</v>
      </c>
      <c r="CC114" s="169" t="s">
        <v>259</v>
      </c>
      <c r="CD114" s="169" t="s">
        <v>259</v>
      </c>
      <c r="CE114" s="169" t="s">
        <v>259</v>
      </c>
      <c r="CF114" s="169" t="s">
        <v>259</v>
      </c>
      <c r="CG114" s="169" t="s">
        <v>259</v>
      </c>
      <c r="CH114" s="169" t="s">
        <v>259</v>
      </c>
      <c r="CI114" s="169" t="s">
        <v>259</v>
      </c>
      <c r="CJ114" s="169" t="s">
        <v>259</v>
      </c>
      <c r="CK114" s="169" t="s">
        <v>259</v>
      </c>
      <c r="CL114" s="169" t="s">
        <v>259</v>
      </c>
      <c r="CM114" s="169" t="s">
        <v>259</v>
      </c>
      <c r="CN114" s="169" t="s">
        <v>259</v>
      </c>
      <c r="CO114" s="169" t="s">
        <v>259</v>
      </c>
      <c r="CP114" s="169" t="s">
        <v>259</v>
      </c>
      <c r="CQ114" s="169" t="s">
        <v>259</v>
      </c>
      <c r="CR114" s="169" t="s">
        <v>259</v>
      </c>
      <c r="CS114" s="169" t="s">
        <v>259</v>
      </c>
      <c r="CT114" s="169" t="s">
        <v>259</v>
      </c>
      <c r="CU114" s="169" t="s">
        <v>259</v>
      </c>
      <c r="CV114" s="169" t="s">
        <v>259</v>
      </c>
      <c r="CW114" s="169" t="s">
        <v>259</v>
      </c>
      <c r="CX114" s="169" t="s">
        <v>259</v>
      </c>
      <c r="CY114" s="169" t="s">
        <v>259</v>
      </c>
      <c r="CZ114" s="169" t="s">
        <v>259</v>
      </c>
      <c r="DA114" s="169" t="s">
        <v>259</v>
      </c>
      <c r="DB114" s="169" t="s">
        <v>259</v>
      </c>
      <c r="DC114" s="169" t="s">
        <v>259</v>
      </c>
      <c r="DD114" s="169" t="s">
        <v>259</v>
      </c>
      <c r="DE114" s="169" t="s">
        <v>259</v>
      </c>
      <c r="DF114" s="169" t="s">
        <v>259</v>
      </c>
      <c r="DG114" s="169" t="s">
        <v>259</v>
      </c>
      <c r="DH114" s="169" t="s">
        <v>259</v>
      </c>
      <c r="DI114" s="169" t="s">
        <v>259</v>
      </c>
      <c r="DJ114" s="169" t="s">
        <v>259</v>
      </c>
      <c r="DK114" s="169" t="s">
        <v>259</v>
      </c>
      <c r="DL114" s="169" t="s">
        <v>259</v>
      </c>
      <c r="DM114" s="169" t="s">
        <v>259</v>
      </c>
      <c r="DN114" s="169" t="s">
        <v>259</v>
      </c>
      <c r="DO114" s="169" t="s">
        <v>259</v>
      </c>
      <c r="DP114" s="169" t="s">
        <v>259</v>
      </c>
      <c r="DQ114" s="169" t="s">
        <v>259</v>
      </c>
      <c r="DR114" s="169" t="s">
        <v>259</v>
      </c>
      <c r="DS114" s="169" t="s">
        <v>259</v>
      </c>
      <c r="DT114" s="169" t="s">
        <v>259</v>
      </c>
    </row>
    <row r="115" spans="2:124" x14ac:dyDescent="0.3">
      <c r="B115" t="str">
        <f>'IMPORT SCHLIESSERDATEN'!B114</f>
        <v>TS 73 FL EN 4</v>
      </c>
      <c r="D115" s="169" t="s">
        <v>259</v>
      </c>
      <c r="E115" s="169" t="s">
        <v>259</v>
      </c>
      <c r="F115" s="169" t="s">
        <v>259</v>
      </c>
      <c r="G115" s="169" t="s">
        <v>259</v>
      </c>
      <c r="H115" s="169" t="s">
        <v>259</v>
      </c>
      <c r="I115" s="169" t="s">
        <v>259</v>
      </c>
      <c r="J115" s="169" t="s">
        <v>259</v>
      </c>
      <c r="K115" s="169" t="s">
        <v>259</v>
      </c>
      <c r="L115" s="169" t="s">
        <v>259</v>
      </c>
      <c r="M115" s="169" t="s">
        <v>259</v>
      </c>
      <c r="N115" s="169" t="s">
        <v>259</v>
      </c>
      <c r="O115" s="169" t="s">
        <v>259</v>
      </c>
      <c r="P115" s="169" t="s">
        <v>259</v>
      </c>
      <c r="Q115" s="169" t="s">
        <v>259</v>
      </c>
      <c r="R115" s="169" t="s">
        <v>259</v>
      </c>
      <c r="S115" s="169" t="s">
        <v>259</v>
      </c>
      <c r="T115" s="169" t="s">
        <v>259</v>
      </c>
      <c r="U115" s="169" t="s">
        <v>259</v>
      </c>
      <c r="V115" s="169" t="s">
        <v>259</v>
      </c>
      <c r="W115" s="169" t="s">
        <v>259</v>
      </c>
      <c r="X115" s="169" t="s">
        <v>259</v>
      </c>
      <c r="Y115" s="169" t="s">
        <v>259</v>
      </c>
      <c r="Z115" s="169" t="s">
        <v>259</v>
      </c>
      <c r="AA115" s="169" t="s">
        <v>259</v>
      </c>
      <c r="AB115" s="169" t="s">
        <v>259</v>
      </c>
      <c r="AC115" s="169" t="s">
        <v>259</v>
      </c>
      <c r="AD115" s="169" t="s">
        <v>259</v>
      </c>
      <c r="AE115" s="169" t="s">
        <v>259</v>
      </c>
      <c r="AF115" s="169" t="s">
        <v>259</v>
      </c>
      <c r="AG115" s="169" t="s">
        <v>259</v>
      </c>
      <c r="AH115" s="169" t="s">
        <v>259</v>
      </c>
      <c r="AI115" s="169" t="s">
        <v>259</v>
      </c>
      <c r="AJ115" s="169" t="s">
        <v>259</v>
      </c>
      <c r="AK115" s="169" t="s">
        <v>259</v>
      </c>
      <c r="AL115" s="169" t="s">
        <v>259</v>
      </c>
      <c r="AM115" s="169" t="s">
        <v>259</v>
      </c>
      <c r="AN115" s="169" t="s">
        <v>259</v>
      </c>
      <c r="AO115" s="169" t="s">
        <v>259</v>
      </c>
      <c r="AP115" s="169" t="s">
        <v>259</v>
      </c>
      <c r="AQ115" s="169" t="s">
        <v>259</v>
      </c>
      <c r="AR115" s="169" t="s">
        <v>259</v>
      </c>
      <c r="AS115" s="169" t="s">
        <v>259</v>
      </c>
      <c r="AT115" s="169" t="s">
        <v>259</v>
      </c>
      <c r="AU115" s="169" t="s">
        <v>259</v>
      </c>
      <c r="AV115" s="169" t="s">
        <v>259</v>
      </c>
      <c r="AW115" s="169" t="s">
        <v>259</v>
      </c>
      <c r="AX115" s="169" t="s">
        <v>259</v>
      </c>
      <c r="AY115" s="169" t="s">
        <v>259</v>
      </c>
      <c r="AZ115" s="169" t="s">
        <v>259</v>
      </c>
      <c r="BA115" s="169" t="s">
        <v>259</v>
      </c>
      <c r="BB115" s="169" t="s">
        <v>259</v>
      </c>
      <c r="BC115" s="169" t="s">
        <v>259</v>
      </c>
      <c r="BD115" s="169" t="s">
        <v>259</v>
      </c>
      <c r="BE115" s="169" t="s">
        <v>259</v>
      </c>
      <c r="BF115" s="169" t="s">
        <v>259</v>
      </c>
      <c r="BG115" s="169" t="s">
        <v>259</v>
      </c>
      <c r="BH115" s="169" t="s">
        <v>259</v>
      </c>
      <c r="BI115" s="169" t="s">
        <v>259</v>
      </c>
      <c r="BJ115" s="169" t="s">
        <v>259</v>
      </c>
      <c r="BK115" s="169" t="s">
        <v>259</v>
      </c>
      <c r="BL115" s="169" t="s">
        <v>259</v>
      </c>
      <c r="BM115" s="169" t="s">
        <v>259</v>
      </c>
      <c r="BN115" s="169" t="s">
        <v>259</v>
      </c>
      <c r="BO115" s="169" t="s">
        <v>259</v>
      </c>
      <c r="BP115" s="169" t="s">
        <v>259</v>
      </c>
      <c r="BQ115" s="169" t="s">
        <v>259</v>
      </c>
      <c r="BR115" s="169" t="s">
        <v>259</v>
      </c>
      <c r="BS115" s="169" t="s">
        <v>259</v>
      </c>
      <c r="BT115" s="169" t="s">
        <v>259</v>
      </c>
      <c r="BU115" s="169" t="s">
        <v>259</v>
      </c>
      <c r="BV115" s="169" t="s">
        <v>259</v>
      </c>
      <c r="BW115" s="169" t="s">
        <v>259</v>
      </c>
      <c r="BX115" s="169" t="s">
        <v>259</v>
      </c>
      <c r="BY115" s="169" t="s">
        <v>259</v>
      </c>
      <c r="BZ115" s="169" t="s">
        <v>259</v>
      </c>
      <c r="CA115" s="169" t="s">
        <v>259</v>
      </c>
      <c r="CB115" s="169" t="s">
        <v>259</v>
      </c>
      <c r="CC115" s="169" t="s">
        <v>259</v>
      </c>
      <c r="CD115" s="169" t="s">
        <v>259</v>
      </c>
      <c r="CE115" s="169" t="s">
        <v>259</v>
      </c>
      <c r="CF115" s="169" t="s">
        <v>259</v>
      </c>
      <c r="CG115" s="169" t="s">
        <v>259</v>
      </c>
      <c r="CH115" s="169" t="s">
        <v>259</v>
      </c>
      <c r="CI115" s="169" t="s">
        <v>259</v>
      </c>
      <c r="CJ115" s="169" t="s">
        <v>259</v>
      </c>
      <c r="CK115" s="169" t="s">
        <v>259</v>
      </c>
      <c r="CL115" s="169" t="s">
        <v>259</v>
      </c>
      <c r="CM115" s="169" t="s">
        <v>259</v>
      </c>
      <c r="CN115" s="169" t="s">
        <v>259</v>
      </c>
      <c r="CO115" s="169" t="s">
        <v>259</v>
      </c>
      <c r="CP115" s="169" t="s">
        <v>259</v>
      </c>
      <c r="CQ115" s="169" t="s">
        <v>259</v>
      </c>
      <c r="CR115" s="169" t="s">
        <v>259</v>
      </c>
      <c r="CS115" s="169" t="s">
        <v>259</v>
      </c>
      <c r="CT115" s="169" t="s">
        <v>259</v>
      </c>
      <c r="CU115" s="169" t="s">
        <v>259</v>
      </c>
      <c r="CV115" s="169" t="s">
        <v>259</v>
      </c>
      <c r="CW115" s="169" t="s">
        <v>259</v>
      </c>
      <c r="CX115" s="169" t="s">
        <v>259</v>
      </c>
      <c r="CY115" s="169" t="s">
        <v>259</v>
      </c>
      <c r="CZ115" s="169" t="s">
        <v>259</v>
      </c>
      <c r="DA115" s="169" t="s">
        <v>259</v>
      </c>
      <c r="DB115" s="169" t="s">
        <v>259</v>
      </c>
      <c r="DC115" s="169" t="s">
        <v>259</v>
      </c>
      <c r="DD115" s="169" t="s">
        <v>259</v>
      </c>
      <c r="DE115" s="169" t="s">
        <v>259</v>
      </c>
      <c r="DF115" s="169" t="s">
        <v>259</v>
      </c>
      <c r="DG115" s="169" t="s">
        <v>259</v>
      </c>
      <c r="DH115" s="169" t="s">
        <v>259</v>
      </c>
      <c r="DI115" s="169" t="s">
        <v>259</v>
      </c>
      <c r="DJ115" s="169" t="s">
        <v>259</v>
      </c>
      <c r="DK115" s="169" t="s">
        <v>259</v>
      </c>
      <c r="DL115" s="169" t="s">
        <v>259</v>
      </c>
      <c r="DM115" s="169" t="s">
        <v>259</v>
      </c>
      <c r="DN115" s="169" t="s">
        <v>259</v>
      </c>
      <c r="DO115" s="169" t="s">
        <v>259</v>
      </c>
      <c r="DP115" s="169" t="s">
        <v>259</v>
      </c>
      <c r="DQ115" s="169" t="s">
        <v>259</v>
      </c>
      <c r="DR115" s="169" t="s">
        <v>259</v>
      </c>
      <c r="DS115" s="169" t="s">
        <v>259</v>
      </c>
      <c r="DT115" s="169" t="s">
        <v>259</v>
      </c>
    </row>
    <row r="116" spans="2:124" x14ac:dyDescent="0.3">
      <c r="B116" t="str">
        <f>'IMPORT SCHLIESSERDATEN'!B115</f>
        <v>TS 73 FL EN 5</v>
      </c>
      <c r="D116" s="169" t="s">
        <v>259</v>
      </c>
      <c r="E116" s="169" t="s">
        <v>259</v>
      </c>
      <c r="F116" s="169" t="s">
        <v>259</v>
      </c>
      <c r="G116" s="169" t="s">
        <v>259</v>
      </c>
      <c r="H116" s="169" t="s">
        <v>259</v>
      </c>
      <c r="I116" s="169" t="s">
        <v>259</v>
      </c>
      <c r="J116" s="169" t="s">
        <v>259</v>
      </c>
      <c r="K116" s="169" t="s">
        <v>259</v>
      </c>
      <c r="L116" s="169" t="s">
        <v>259</v>
      </c>
      <c r="M116" s="169" t="s">
        <v>259</v>
      </c>
      <c r="N116" s="169" t="s">
        <v>259</v>
      </c>
      <c r="O116" s="169" t="s">
        <v>259</v>
      </c>
      <c r="P116" s="169" t="s">
        <v>259</v>
      </c>
      <c r="Q116" s="169" t="s">
        <v>259</v>
      </c>
      <c r="R116" s="169" t="s">
        <v>259</v>
      </c>
      <c r="S116" s="169" t="s">
        <v>259</v>
      </c>
      <c r="T116" s="169" t="s">
        <v>259</v>
      </c>
      <c r="U116" s="169" t="s">
        <v>259</v>
      </c>
      <c r="V116" s="169" t="s">
        <v>259</v>
      </c>
      <c r="W116" s="169" t="s">
        <v>259</v>
      </c>
      <c r="X116" s="169" t="s">
        <v>259</v>
      </c>
      <c r="Y116" s="169" t="s">
        <v>259</v>
      </c>
      <c r="Z116" s="169" t="s">
        <v>259</v>
      </c>
      <c r="AA116" s="169" t="s">
        <v>259</v>
      </c>
      <c r="AB116" s="169" t="s">
        <v>259</v>
      </c>
      <c r="AC116" s="169" t="s">
        <v>259</v>
      </c>
      <c r="AD116" s="169" t="s">
        <v>259</v>
      </c>
      <c r="AE116" s="169" t="s">
        <v>259</v>
      </c>
      <c r="AF116" s="169" t="s">
        <v>259</v>
      </c>
      <c r="AG116" s="169" t="s">
        <v>259</v>
      </c>
      <c r="AH116" s="169" t="s">
        <v>259</v>
      </c>
      <c r="AI116" s="169" t="s">
        <v>259</v>
      </c>
      <c r="AJ116" s="169" t="s">
        <v>259</v>
      </c>
      <c r="AK116" s="169" t="s">
        <v>259</v>
      </c>
      <c r="AL116" s="169" t="s">
        <v>259</v>
      </c>
      <c r="AM116" s="169" t="s">
        <v>259</v>
      </c>
      <c r="AN116" s="169" t="s">
        <v>259</v>
      </c>
      <c r="AO116" s="169" t="s">
        <v>259</v>
      </c>
      <c r="AP116" s="169" t="s">
        <v>259</v>
      </c>
      <c r="AQ116" s="169" t="s">
        <v>259</v>
      </c>
      <c r="AR116" s="169" t="s">
        <v>259</v>
      </c>
      <c r="AS116" s="169" t="s">
        <v>259</v>
      </c>
      <c r="AT116" s="169" t="s">
        <v>259</v>
      </c>
      <c r="AU116" s="169" t="s">
        <v>259</v>
      </c>
      <c r="AV116" s="169" t="s">
        <v>259</v>
      </c>
      <c r="AW116" s="169" t="s">
        <v>259</v>
      </c>
      <c r="AX116" s="169" t="s">
        <v>259</v>
      </c>
      <c r="AY116" s="169" t="s">
        <v>259</v>
      </c>
      <c r="AZ116" s="169" t="s">
        <v>259</v>
      </c>
      <c r="BA116" s="169" t="s">
        <v>259</v>
      </c>
      <c r="BB116" s="169" t="s">
        <v>259</v>
      </c>
      <c r="BC116" s="169" t="s">
        <v>259</v>
      </c>
      <c r="BD116" s="169" t="s">
        <v>259</v>
      </c>
      <c r="BE116" s="169" t="s">
        <v>259</v>
      </c>
      <c r="BF116" s="169" t="s">
        <v>259</v>
      </c>
      <c r="BG116" s="169" t="s">
        <v>259</v>
      </c>
      <c r="BH116" s="169" t="s">
        <v>259</v>
      </c>
      <c r="BI116" s="169" t="s">
        <v>259</v>
      </c>
      <c r="BJ116" s="169" t="s">
        <v>259</v>
      </c>
      <c r="BK116" s="169" t="s">
        <v>259</v>
      </c>
      <c r="BL116" s="169" t="s">
        <v>259</v>
      </c>
      <c r="BM116" s="169" t="s">
        <v>259</v>
      </c>
      <c r="BN116" s="169" t="s">
        <v>259</v>
      </c>
      <c r="BO116" s="169" t="s">
        <v>259</v>
      </c>
      <c r="BP116" s="169" t="s">
        <v>259</v>
      </c>
      <c r="BQ116" s="169" t="s">
        <v>259</v>
      </c>
      <c r="BR116" s="169" t="s">
        <v>259</v>
      </c>
      <c r="BS116" s="169" t="s">
        <v>259</v>
      </c>
      <c r="BT116" s="169" t="s">
        <v>259</v>
      </c>
      <c r="BU116" s="169" t="s">
        <v>259</v>
      </c>
      <c r="BV116" s="169" t="s">
        <v>259</v>
      </c>
      <c r="BW116" s="169" t="s">
        <v>259</v>
      </c>
      <c r="BX116" s="169" t="s">
        <v>259</v>
      </c>
      <c r="BY116" s="169" t="s">
        <v>259</v>
      </c>
      <c r="BZ116" s="169" t="s">
        <v>259</v>
      </c>
      <c r="CA116" s="169" t="s">
        <v>259</v>
      </c>
      <c r="CB116" s="169" t="s">
        <v>259</v>
      </c>
      <c r="CC116" s="169" t="s">
        <v>259</v>
      </c>
      <c r="CD116" s="169" t="s">
        <v>259</v>
      </c>
      <c r="CE116" s="169" t="s">
        <v>259</v>
      </c>
      <c r="CF116" s="169" t="s">
        <v>259</v>
      </c>
      <c r="CG116" s="169" t="s">
        <v>259</v>
      </c>
      <c r="CH116" s="169" t="s">
        <v>259</v>
      </c>
      <c r="CI116" s="169" t="s">
        <v>259</v>
      </c>
      <c r="CJ116" s="169" t="s">
        <v>259</v>
      </c>
      <c r="CK116" s="169" t="s">
        <v>259</v>
      </c>
      <c r="CL116" s="169" t="s">
        <v>259</v>
      </c>
      <c r="CM116" s="169" t="s">
        <v>259</v>
      </c>
      <c r="CN116" s="169" t="s">
        <v>259</v>
      </c>
      <c r="CO116" s="169" t="s">
        <v>259</v>
      </c>
      <c r="CP116" s="169" t="s">
        <v>259</v>
      </c>
      <c r="CQ116" s="169" t="s">
        <v>259</v>
      </c>
      <c r="CR116" s="169" t="s">
        <v>259</v>
      </c>
      <c r="CS116" s="169" t="s">
        <v>259</v>
      </c>
      <c r="CT116" s="169" t="s">
        <v>259</v>
      </c>
      <c r="CU116" s="169" t="s">
        <v>259</v>
      </c>
      <c r="CV116" s="169" t="s">
        <v>259</v>
      </c>
      <c r="CW116" s="169" t="s">
        <v>259</v>
      </c>
      <c r="CX116" s="169" t="s">
        <v>259</v>
      </c>
      <c r="CY116" s="169" t="s">
        <v>259</v>
      </c>
      <c r="CZ116" s="169" t="s">
        <v>259</v>
      </c>
      <c r="DA116" s="169" t="s">
        <v>259</v>
      </c>
      <c r="DB116" s="169" t="s">
        <v>259</v>
      </c>
      <c r="DC116" s="169" t="s">
        <v>259</v>
      </c>
      <c r="DD116" s="169" t="s">
        <v>259</v>
      </c>
      <c r="DE116" s="169" t="s">
        <v>259</v>
      </c>
      <c r="DF116" s="169" t="s">
        <v>259</v>
      </c>
      <c r="DG116" s="169" t="s">
        <v>259</v>
      </c>
      <c r="DH116" s="169" t="s">
        <v>259</v>
      </c>
      <c r="DI116" s="169" t="s">
        <v>259</v>
      </c>
      <c r="DJ116" s="169" t="s">
        <v>259</v>
      </c>
      <c r="DK116" s="169" t="s">
        <v>259</v>
      </c>
      <c r="DL116" s="169" t="s">
        <v>259</v>
      </c>
      <c r="DM116" s="169" t="s">
        <v>259</v>
      </c>
      <c r="DN116" s="169" t="s">
        <v>259</v>
      </c>
      <c r="DO116" s="169" t="s">
        <v>259</v>
      </c>
      <c r="DP116" s="169" t="s">
        <v>259</v>
      </c>
      <c r="DQ116" s="169" t="s">
        <v>259</v>
      </c>
      <c r="DR116" s="169" t="s">
        <v>259</v>
      </c>
      <c r="DS116" s="169" t="s">
        <v>259</v>
      </c>
      <c r="DT116" s="169" t="s">
        <v>259</v>
      </c>
    </row>
    <row r="117" spans="2:124" x14ac:dyDescent="0.3">
      <c r="B117" t="str">
        <f>'IMPORT SCHLIESSERDATEN'!B116</f>
        <v>TS 73 FL EN 6</v>
      </c>
      <c r="D117" s="169" t="s">
        <v>259</v>
      </c>
      <c r="E117" s="169" t="s">
        <v>259</v>
      </c>
      <c r="F117" s="169" t="s">
        <v>259</v>
      </c>
      <c r="G117" s="169" t="s">
        <v>259</v>
      </c>
      <c r="H117" s="169" t="s">
        <v>259</v>
      </c>
      <c r="I117" s="169" t="s">
        <v>259</v>
      </c>
      <c r="J117" s="169" t="s">
        <v>259</v>
      </c>
      <c r="K117" s="169" t="s">
        <v>259</v>
      </c>
      <c r="L117" s="169" t="s">
        <v>259</v>
      </c>
      <c r="M117" s="169" t="s">
        <v>259</v>
      </c>
      <c r="N117" s="169" t="s">
        <v>259</v>
      </c>
      <c r="O117" s="169" t="s">
        <v>259</v>
      </c>
      <c r="P117" s="169" t="s">
        <v>259</v>
      </c>
      <c r="Q117" s="169" t="s">
        <v>259</v>
      </c>
      <c r="R117" s="169" t="s">
        <v>259</v>
      </c>
      <c r="S117" s="169" t="s">
        <v>259</v>
      </c>
      <c r="T117" s="169" t="s">
        <v>259</v>
      </c>
      <c r="U117" s="169" t="s">
        <v>259</v>
      </c>
      <c r="V117" s="169" t="s">
        <v>259</v>
      </c>
      <c r="W117" s="169" t="s">
        <v>259</v>
      </c>
      <c r="X117" s="169" t="s">
        <v>259</v>
      </c>
      <c r="Y117" s="169" t="s">
        <v>259</v>
      </c>
      <c r="Z117" s="169" t="s">
        <v>259</v>
      </c>
      <c r="AA117" s="169" t="s">
        <v>259</v>
      </c>
      <c r="AB117" s="169" t="s">
        <v>259</v>
      </c>
      <c r="AC117" s="169" t="s">
        <v>259</v>
      </c>
      <c r="AD117" s="169" t="s">
        <v>259</v>
      </c>
      <c r="AE117" s="169" t="s">
        <v>259</v>
      </c>
      <c r="AF117" s="169" t="s">
        <v>259</v>
      </c>
      <c r="AG117" s="169" t="s">
        <v>259</v>
      </c>
      <c r="AH117" s="169" t="s">
        <v>259</v>
      </c>
      <c r="AI117" s="169" t="s">
        <v>259</v>
      </c>
      <c r="AJ117" s="169" t="s">
        <v>259</v>
      </c>
      <c r="AK117" s="169" t="s">
        <v>259</v>
      </c>
      <c r="AL117" s="169" t="s">
        <v>259</v>
      </c>
      <c r="AM117" s="169" t="s">
        <v>259</v>
      </c>
      <c r="AN117" s="169" t="s">
        <v>259</v>
      </c>
      <c r="AO117" s="169" t="s">
        <v>259</v>
      </c>
      <c r="AP117" s="169" t="s">
        <v>259</v>
      </c>
      <c r="AQ117" s="169" t="s">
        <v>259</v>
      </c>
      <c r="AR117" s="169" t="s">
        <v>259</v>
      </c>
      <c r="AS117" s="169" t="s">
        <v>259</v>
      </c>
      <c r="AT117" s="169" t="s">
        <v>259</v>
      </c>
      <c r="AU117" s="169" t="s">
        <v>259</v>
      </c>
      <c r="AV117" s="169" t="s">
        <v>259</v>
      </c>
      <c r="AW117" s="169" t="s">
        <v>259</v>
      </c>
      <c r="AX117" s="169" t="s">
        <v>259</v>
      </c>
      <c r="AY117" s="169" t="s">
        <v>259</v>
      </c>
      <c r="AZ117" s="169" t="s">
        <v>259</v>
      </c>
      <c r="BA117" s="169" t="s">
        <v>259</v>
      </c>
      <c r="BB117" s="169" t="s">
        <v>259</v>
      </c>
      <c r="BC117" s="169" t="s">
        <v>259</v>
      </c>
      <c r="BD117" s="169" t="s">
        <v>259</v>
      </c>
      <c r="BE117" s="169" t="s">
        <v>259</v>
      </c>
      <c r="BF117" s="169" t="s">
        <v>259</v>
      </c>
      <c r="BG117" s="169" t="s">
        <v>259</v>
      </c>
      <c r="BH117" s="169" t="s">
        <v>259</v>
      </c>
      <c r="BI117" s="169" t="s">
        <v>259</v>
      </c>
      <c r="BJ117" s="169" t="s">
        <v>259</v>
      </c>
      <c r="BK117" s="169" t="s">
        <v>259</v>
      </c>
      <c r="BL117" s="169" t="s">
        <v>259</v>
      </c>
      <c r="BM117" s="169" t="s">
        <v>259</v>
      </c>
      <c r="BN117" s="169" t="s">
        <v>259</v>
      </c>
      <c r="BO117" s="169" t="s">
        <v>259</v>
      </c>
      <c r="BP117" s="169" t="s">
        <v>259</v>
      </c>
      <c r="BQ117" s="169" t="s">
        <v>259</v>
      </c>
      <c r="BR117" s="169" t="s">
        <v>259</v>
      </c>
      <c r="BS117" s="169" t="s">
        <v>259</v>
      </c>
      <c r="BT117" s="169" t="s">
        <v>259</v>
      </c>
      <c r="BU117" s="169" t="s">
        <v>259</v>
      </c>
      <c r="BV117" s="169" t="s">
        <v>259</v>
      </c>
      <c r="BW117" s="169" t="s">
        <v>259</v>
      </c>
      <c r="BX117" s="169" t="s">
        <v>259</v>
      </c>
      <c r="BY117" s="169" t="s">
        <v>259</v>
      </c>
      <c r="BZ117" s="169" t="s">
        <v>259</v>
      </c>
      <c r="CA117" s="169" t="s">
        <v>259</v>
      </c>
      <c r="CB117" s="169" t="s">
        <v>259</v>
      </c>
      <c r="CC117" s="169" t="s">
        <v>259</v>
      </c>
      <c r="CD117" s="169" t="s">
        <v>259</v>
      </c>
      <c r="CE117" s="169" t="s">
        <v>259</v>
      </c>
      <c r="CF117" s="169" t="s">
        <v>259</v>
      </c>
      <c r="CG117" s="169" t="s">
        <v>259</v>
      </c>
      <c r="CH117" s="169" t="s">
        <v>259</v>
      </c>
      <c r="CI117" s="169" t="s">
        <v>259</v>
      </c>
      <c r="CJ117" s="169" t="s">
        <v>259</v>
      </c>
      <c r="CK117" s="169" t="s">
        <v>259</v>
      </c>
      <c r="CL117" s="169" t="s">
        <v>259</v>
      </c>
      <c r="CM117" s="169" t="s">
        <v>259</v>
      </c>
      <c r="CN117" s="169" t="s">
        <v>259</v>
      </c>
      <c r="CO117" s="169" t="s">
        <v>259</v>
      </c>
      <c r="CP117" s="169" t="s">
        <v>259</v>
      </c>
      <c r="CQ117" s="169" t="s">
        <v>259</v>
      </c>
      <c r="CR117" s="169" t="s">
        <v>259</v>
      </c>
      <c r="CS117" s="169" t="s">
        <v>259</v>
      </c>
      <c r="CT117" s="169" t="s">
        <v>259</v>
      </c>
      <c r="CU117" s="169" t="s">
        <v>259</v>
      </c>
      <c r="CV117" s="169" t="s">
        <v>259</v>
      </c>
      <c r="CW117" s="169" t="s">
        <v>259</v>
      </c>
      <c r="CX117" s="169" t="s">
        <v>259</v>
      </c>
      <c r="CY117" s="169" t="s">
        <v>259</v>
      </c>
      <c r="CZ117" s="169" t="s">
        <v>259</v>
      </c>
      <c r="DA117" s="169" t="s">
        <v>259</v>
      </c>
      <c r="DB117" s="169" t="s">
        <v>259</v>
      </c>
      <c r="DC117" s="169" t="s">
        <v>259</v>
      </c>
      <c r="DD117" s="169" t="s">
        <v>259</v>
      </c>
      <c r="DE117" s="169" t="s">
        <v>259</v>
      </c>
      <c r="DF117" s="169" t="s">
        <v>259</v>
      </c>
      <c r="DG117" s="169" t="s">
        <v>259</v>
      </c>
      <c r="DH117" s="169" t="s">
        <v>259</v>
      </c>
      <c r="DI117" s="169" t="s">
        <v>259</v>
      </c>
      <c r="DJ117" s="169" t="s">
        <v>259</v>
      </c>
      <c r="DK117" s="169" t="s">
        <v>259</v>
      </c>
      <c r="DL117" s="169" t="s">
        <v>259</v>
      </c>
      <c r="DM117" s="169" t="s">
        <v>259</v>
      </c>
      <c r="DN117" s="169" t="s">
        <v>259</v>
      </c>
      <c r="DO117" s="169" t="s">
        <v>259</v>
      </c>
      <c r="DP117" s="169" t="s">
        <v>259</v>
      </c>
      <c r="DQ117" s="169" t="s">
        <v>259</v>
      </c>
      <c r="DR117" s="169" t="s">
        <v>259</v>
      </c>
      <c r="DS117" s="169" t="s">
        <v>259</v>
      </c>
      <c r="DT117" s="169" t="s">
        <v>259</v>
      </c>
    </row>
    <row r="118" spans="2:124" x14ac:dyDescent="0.3">
      <c r="B118" t="str">
        <f>'IMPORT SCHLIESSERDATEN'!B117</f>
        <v>TS 83 EN 2-6</v>
      </c>
      <c r="D118" s="169" t="s">
        <v>259</v>
      </c>
      <c r="E118" s="169" t="s">
        <v>259</v>
      </c>
      <c r="F118" s="169" t="s">
        <v>259</v>
      </c>
      <c r="G118" s="169" t="s">
        <v>259</v>
      </c>
      <c r="H118" s="169" t="s">
        <v>259</v>
      </c>
      <c r="I118" s="169" t="s">
        <v>259</v>
      </c>
      <c r="J118" s="169" t="s">
        <v>259</v>
      </c>
      <c r="K118" s="169" t="s">
        <v>259</v>
      </c>
      <c r="L118" s="169" t="s">
        <v>259</v>
      </c>
      <c r="M118" s="169" t="s">
        <v>259</v>
      </c>
      <c r="N118" s="169" t="s">
        <v>259</v>
      </c>
      <c r="O118" s="169" t="s">
        <v>259</v>
      </c>
      <c r="P118" s="169" t="s">
        <v>259</v>
      </c>
      <c r="Q118" s="169" t="s">
        <v>259</v>
      </c>
      <c r="R118" s="169" t="s">
        <v>259</v>
      </c>
      <c r="S118" s="169" t="s">
        <v>259</v>
      </c>
      <c r="T118" s="169" t="s">
        <v>259</v>
      </c>
      <c r="U118" s="169" t="s">
        <v>259</v>
      </c>
      <c r="V118" s="169" t="s">
        <v>259</v>
      </c>
      <c r="W118" s="169" t="s">
        <v>259</v>
      </c>
      <c r="X118" s="169" t="s">
        <v>259</v>
      </c>
      <c r="Y118" s="169" t="s">
        <v>259</v>
      </c>
      <c r="Z118" s="169" t="s">
        <v>259</v>
      </c>
      <c r="AA118" s="169" t="s">
        <v>259</v>
      </c>
      <c r="AB118" s="169" t="s">
        <v>259</v>
      </c>
      <c r="AC118" s="169" t="s">
        <v>259</v>
      </c>
      <c r="AD118" s="169" t="s">
        <v>259</v>
      </c>
      <c r="AE118" s="169" t="s">
        <v>259</v>
      </c>
      <c r="AF118" s="169" t="s">
        <v>259</v>
      </c>
      <c r="AG118" s="169" t="s">
        <v>259</v>
      </c>
      <c r="AH118" s="169" t="s">
        <v>259</v>
      </c>
      <c r="AI118" s="169" t="s">
        <v>259</v>
      </c>
      <c r="AJ118" s="169" t="s">
        <v>259</v>
      </c>
      <c r="AK118" s="169" t="s">
        <v>259</v>
      </c>
      <c r="AL118" s="169" t="s">
        <v>259</v>
      </c>
      <c r="AM118" s="169" t="s">
        <v>259</v>
      </c>
      <c r="AN118" s="169" t="s">
        <v>259</v>
      </c>
      <c r="AO118" s="169" t="s">
        <v>259</v>
      </c>
      <c r="AP118" s="169" t="s">
        <v>259</v>
      </c>
      <c r="AQ118" s="169" t="s">
        <v>259</v>
      </c>
      <c r="AR118" s="169" t="s">
        <v>259</v>
      </c>
      <c r="AS118" s="169" t="s">
        <v>259</v>
      </c>
      <c r="AT118" s="169" t="s">
        <v>259</v>
      </c>
      <c r="AU118" s="169" t="s">
        <v>259</v>
      </c>
      <c r="AV118" s="169" t="s">
        <v>259</v>
      </c>
      <c r="AW118" s="169" t="s">
        <v>259</v>
      </c>
      <c r="AX118" s="169" t="s">
        <v>259</v>
      </c>
      <c r="AY118" s="169" t="s">
        <v>259</v>
      </c>
      <c r="AZ118" s="169" t="s">
        <v>259</v>
      </c>
      <c r="BA118" s="169" t="s">
        <v>259</v>
      </c>
      <c r="BB118" s="169" t="s">
        <v>259</v>
      </c>
      <c r="BC118" s="169" t="s">
        <v>259</v>
      </c>
      <c r="BD118" s="169" t="s">
        <v>259</v>
      </c>
      <c r="BE118" s="169" t="s">
        <v>259</v>
      </c>
      <c r="BF118" s="169" t="s">
        <v>259</v>
      </c>
      <c r="BG118" s="169" t="s">
        <v>259</v>
      </c>
      <c r="BH118" s="169" t="s">
        <v>259</v>
      </c>
      <c r="BI118" s="169" t="s">
        <v>259</v>
      </c>
      <c r="BJ118" s="169" t="s">
        <v>259</v>
      </c>
      <c r="BK118" s="169" t="s">
        <v>259</v>
      </c>
      <c r="BL118" s="169" t="s">
        <v>259</v>
      </c>
      <c r="BM118" s="169" t="s">
        <v>259</v>
      </c>
      <c r="BN118" s="169" t="s">
        <v>259</v>
      </c>
      <c r="BO118" s="169" t="s">
        <v>259</v>
      </c>
      <c r="BP118" s="169" t="s">
        <v>259</v>
      </c>
      <c r="BQ118" s="169" t="s">
        <v>259</v>
      </c>
      <c r="BR118" s="169" t="s">
        <v>259</v>
      </c>
      <c r="BS118" s="169" t="s">
        <v>259</v>
      </c>
      <c r="BT118" s="169" t="s">
        <v>259</v>
      </c>
      <c r="BU118" s="169" t="s">
        <v>259</v>
      </c>
      <c r="BV118" s="169" t="s">
        <v>259</v>
      </c>
      <c r="BW118" s="169" t="s">
        <v>259</v>
      </c>
      <c r="BX118" s="169" t="s">
        <v>259</v>
      </c>
      <c r="BY118" s="169" t="s">
        <v>259</v>
      </c>
      <c r="BZ118" s="169" t="s">
        <v>259</v>
      </c>
      <c r="CA118" s="169" t="s">
        <v>259</v>
      </c>
      <c r="CB118" s="169" t="s">
        <v>259</v>
      </c>
      <c r="CC118" s="169" t="s">
        <v>259</v>
      </c>
      <c r="CD118" s="169" t="s">
        <v>259</v>
      </c>
      <c r="CE118" s="169" t="s">
        <v>259</v>
      </c>
      <c r="CF118" s="169" t="s">
        <v>259</v>
      </c>
      <c r="CG118" s="169" t="s">
        <v>259</v>
      </c>
      <c r="CH118" s="169" t="s">
        <v>259</v>
      </c>
      <c r="CI118" s="169" t="s">
        <v>259</v>
      </c>
      <c r="CJ118" s="169" t="s">
        <v>259</v>
      </c>
      <c r="CK118" s="169" t="s">
        <v>259</v>
      </c>
      <c r="CL118" s="169" t="s">
        <v>259</v>
      </c>
      <c r="CM118" s="169" t="s">
        <v>259</v>
      </c>
      <c r="CN118" s="169" t="s">
        <v>259</v>
      </c>
      <c r="CO118" s="169" t="s">
        <v>259</v>
      </c>
      <c r="CP118" s="169" t="s">
        <v>259</v>
      </c>
      <c r="CQ118" s="169" t="s">
        <v>259</v>
      </c>
      <c r="CR118" s="169" t="s">
        <v>259</v>
      </c>
      <c r="CS118" s="169" t="s">
        <v>259</v>
      </c>
      <c r="CT118" s="169" t="s">
        <v>259</v>
      </c>
      <c r="CU118" s="169" t="s">
        <v>259</v>
      </c>
      <c r="CV118" s="169" t="s">
        <v>259</v>
      </c>
      <c r="CW118" s="169" t="s">
        <v>259</v>
      </c>
      <c r="CX118" s="169" t="s">
        <v>259</v>
      </c>
      <c r="CY118" s="169" t="s">
        <v>259</v>
      </c>
      <c r="CZ118" s="169" t="s">
        <v>259</v>
      </c>
      <c r="DA118" s="169" t="s">
        <v>259</v>
      </c>
      <c r="DB118" s="169" t="s">
        <v>259</v>
      </c>
      <c r="DC118" s="169" t="s">
        <v>259</v>
      </c>
      <c r="DD118" s="169" t="s">
        <v>259</v>
      </c>
      <c r="DE118" s="169" t="s">
        <v>259</v>
      </c>
      <c r="DF118" s="169" t="s">
        <v>259</v>
      </c>
      <c r="DG118" s="169" t="s">
        <v>259</v>
      </c>
      <c r="DH118" s="169" t="s">
        <v>259</v>
      </c>
      <c r="DI118" s="169" t="s">
        <v>259</v>
      </c>
      <c r="DJ118" s="169" t="s">
        <v>259</v>
      </c>
      <c r="DK118" s="169" t="s">
        <v>259</v>
      </c>
      <c r="DL118" s="169" t="s">
        <v>259</v>
      </c>
      <c r="DM118" s="169" t="s">
        <v>259</v>
      </c>
      <c r="DN118" s="169" t="s">
        <v>259</v>
      </c>
      <c r="DO118" s="169" t="s">
        <v>259</v>
      </c>
      <c r="DP118" s="169" t="s">
        <v>259</v>
      </c>
      <c r="DQ118" s="169" t="s">
        <v>259</v>
      </c>
      <c r="DR118" s="169" t="s">
        <v>259</v>
      </c>
      <c r="DS118" s="169" t="s">
        <v>259</v>
      </c>
      <c r="DT118" s="169" t="s">
        <v>259</v>
      </c>
    </row>
    <row r="119" spans="2:124" x14ac:dyDescent="0.3">
      <c r="B119" t="str">
        <f>'IMPORT SCHLIESSERDATEN'!B118</f>
        <v>TS 83 EN 2-6 + SR</v>
      </c>
      <c r="D119" s="169" t="s">
        <v>259</v>
      </c>
      <c r="E119" s="169" t="s">
        <v>259</v>
      </c>
      <c r="F119" s="169" t="s">
        <v>259</v>
      </c>
      <c r="G119" s="169" t="s">
        <v>259</v>
      </c>
      <c r="H119" s="169" t="s">
        <v>259</v>
      </c>
      <c r="I119" s="169" t="s">
        <v>259</v>
      </c>
      <c r="J119" s="169" t="s">
        <v>259</v>
      </c>
      <c r="K119" s="169" t="s">
        <v>259</v>
      </c>
      <c r="L119" s="169" t="s">
        <v>259</v>
      </c>
      <c r="M119" s="169" t="s">
        <v>259</v>
      </c>
      <c r="N119" s="169" t="s">
        <v>259</v>
      </c>
      <c r="O119" s="169" t="s">
        <v>259</v>
      </c>
      <c r="P119" s="169" t="s">
        <v>259</v>
      </c>
      <c r="Q119" s="169" t="s">
        <v>259</v>
      </c>
      <c r="R119" s="169" t="s">
        <v>259</v>
      </c>
      <c r="S119" s="169" t="s">
        <v>259</v>
      </c>
      <c r="T119" s="169" t="s">
        <v>259</v>
      </c>
      <c r="U119" s="169" t="s">
        <v>259</v>
      </c>
      <c r="V119" s="169" t="s">
        <v>259</v>
      </c>
      <c r="W119" s="169" t="s">
        <v>259</v>
      </c>
      <c r="X119" s="169" t="s">
        <v>259</v>
      </c>
      <c r="Y119" s="169" t="s">
        <v>259</v>
      </c>
      <c r="Z119" s="169" t="s">
        <v>259</v>
      </c>
      <c r="AA119" s="169" t="s">
        <v>259</v>
      </c>
      <c r="AB119" s="169" t="s">
        <v>259</v>
      </c>
      <c r="AC119" s="169" t="s">
        <v>259</v>
      </c>
      <c r="AD119" s="169" t="s">
        <v>259</v>
      </c>
      <c r="AE119" s="169" t="s">
        <v>259</v>
      </c>
      <c r="AF119" s="169" t="s">
        <v>259</v>
      </c>
      <c r="AG119" s="169" t="s">
        <v>259</v>
      </c>
      <c r="AH119" s="169" t="s">
        <v>259</v>
      </c>
      <c r="AI119" s="169" t="s">
        <v>259</v>
      </c>
      <c r="AJ119" s="169" t="s">
        <v>259</v>
      </c>
      <c r="AK119" s="169" t="s">
        <v>259</v>
      </c>
      <c r="AL119" s="169" t="s">
        <v>259</v>
      </c>
      <c r="AM119" s="169" t="s">
        <v>259</v>
      </c>
      <c r="AN119" s="169" t="s">
        <v>259</v>
      </c>
      <c r="AO119" s="169" t="s">
        <v>259</v>
      </c>
      <c r="AP119" s="169" t="s">
        <v>259</v>
      </c>
      <c r="AQ119" s="169" t="s">
        <v>259</v>
      </c>
      <c r="AR119" s="169" t="s">
        <v>259</v>
      </c>
      <c r="AS119" s="169" t="s">
        <v>259</v>
      </c>
      <c r="AT119" s="169" t="s">
        <v>259</v>
      </c>
      <c r="AU119" s="169" t="s">
        <v>259</v>
      </c>
      <c r="AV119" s="169" t="s">
        <v>259</v>
      </c>
      <c r="AW119" s="169" t="s">
        <v>259</v>
      </c>
      <c r="AX119" s="169" t="s">
        <v>259</v>
      </c>
      <c r="AY119" s="169" t="s">
        <v>259</v>
      </c>
      <c r="AZ119" s="169" t="s">
        <v>259</v>
      </c>
      <c r="BA119" s="169" t="s">
        <v>259</v>
      </c>
      <c r="BB119" s="169" t="s">
        <v>259</v>
      </c>
      <c r="BC119" s="169" t="s">
        <v>259</v>
      </c>
      <c r="BD119" s="169" t="s">
        <v>259</v>
      </c>
      <c r="BE119" s="169" t="s">
        <v>259</v>
      </c>
      <c r="BF119" s="169" t="s">
        <v>259</v>
      </c>
      <c r="BG119" s="169" t="s">
        <v>259</v>
      </c>
      <c r="BH119" s="169" t="s">
        <v>259</v>
      </c>
      <c r="BI119" s="169" t="s">
        <v>259</v>
      </c>
      <c r="BJ119" s="169" t="s">
        <v>259</v>
      </c>
      <c r="BK119" s="169" t="s">
        <v>259</v>
      </c>
      <c r="BL119" s="169" t="s">
        <v>259</v>
      </c>
      <c r="BM119" s="169" t="s">
        <v>259</v>
      </c>
      <c r="BN119" s="169" t="s">
        <v>259</v>
      </c>
      <c r="BO119" s="169" t="s">
        <v>259</v>
      </c>
      <c r="BP119" s="169" t="s">
        <v>259</v>
      </c>
      <c r="BQ119" s="169" t="s">
        <v>259</v>
      </c>
      <c r="BR119" s="169" t="s">
        <v>259</v>
      </c>
      <c r="BS119" s="169" t="s">
        <v>259</v>
      </c>
      <c r="BT119" s="169" t="s">
        <v>259</v>
      </c>
      <c r="BU119" s="169" t="s">
        <v>259</v>
      </c>
      <c r="BV119" s="169" t="s">
        <v>259</v>
      </c>
      <c r="BW119" s="169" t="s">
        <v>259</v>
      </c>
      <c r="BX119" s="169" t="s">
        <v>259</v>
      </c>
      <c r="BY119" s="169" t="s">
        <v>259</v>
      </c>
      <c r="BZ119" s="169" t="s">
        <v>259</v>
      </c>
      <c r="CA119" s="169" t="s">
        <v>259</v>
      </c>
      <c r="CB119" s="169" t="s">
        <v>259</v>
      </c>
      <c r="CC119" s="169" t="s">
        <v>259</v>
      </c>
      <c r="CD119" s="169" t="s">
        <v>259</v>
      </c>
      <c r="CE119" s="169" t="s">
        <v>259</v>
      </c>
      <c r="CF119" s="169" t="s">
        <v>259</v>
      </c>
      <c r="CG119" s="169" t="s">
        <v>259</v>
      </c>
      <c r="CH119" s="169" t="s">
        <v>259</v>
      </c>
      <c r="CI119" s="169" t="s">
        <v>259</v>
      </c>
      <c r="CJ119" s="169" t="s">
        <v>259</v>
      </c>
      <c r="CK119" s="169" t="s">
        <v>259</v>
      </c>
      <c r="CL119" s="169" t="s">
        <v>259</v>
      </c>
      <c r="CM119" s="169" t="s">
        <v>259</v>
      </c>
      <c r="CN119" s="169" t="s">
        <v>259</v>
      </c>
      <c r="CO119" s="169" t="s">
        <v>259</v>
      </c>
      <c r="CP119" s="169" t="s">
        <v>259</v>
      </c>
      <c r="CQ119" s="169" t="s">
        <v>259</v>
      </c>
      <c r="CR119" s="169" t="s">
        <v>259</v>
      </c>
      <c r="CS119" s="169" t="s">
        <v>259</v>
      </c>
      <c r="CT119" s="169" t="s">
        <v>259</v>
      </c>
      <c r="CU119" s="169" t="s">
        <v>259</v>
      </c>
      <c r="CV119" s="169" t="s">
        <v>259</v>
      </c>
      <c r="CW119" s="169" t="s">
        <v>259</v>
      </c>
      <c r="CX119" s="169" t="s">
        <v>259</v>
      </c>
      <c r="CY119" s="169" t="s">
        <v>259</v>
      </c>
      <c r="CZ119" s="169" t="s">
        <v>259</v>
      </c>
      <c r="DA119" s="169" t="s">
        <v>259</v>
      </c>
      <c r="DB119" s="169" t="s">
        <v>259</v>
      </c>
      <c r="DC119" s="169" t="s">
        <v>259</v>
      </c>
      <c r="DD119" s="169" t="s">
        <v>259</v>
      </c>
      <c r="DE119" s="169" t="s">
        <v>259</v>
      </c>
      <c r="DF119" s="169" t="s">
        <v>259</v>
      </c>
      <c r="DG119" s="169" t="s">
        <v>259</v>
      </c>
      <c r="DH119" s="169" t="s">
        <v>259</v>
      </c>
      <c r="DI119" s="169" t="s">
        <v>259</v>
      </c>
      <c r="DJ119" s="169" t="s">
        <v>259</v>
      </c>
      <c r="DK119" s="169" t="s">
        <v>259</v>
      </c>
      <c r="DL119" s="169" t="s">
        <v>259</v>
      </c>
      <c r="DM119" s="169" t="s">
        <v>259</v>
      </c>
      <c r="DN119" s="169" t="s">
        <v>259</v>
      </c>
      <c r="DO119" s="169" t="s">
        <v>259</v>
      </c>
      <c r="DP119" s="169" t="s">
        <v>259</v>
      </c>
      <c r="DQ119" s="169" t="s">
        <v>259</v>
      </c>
      <c r="DR119" s="169" t="s">
        <v>259</v>
      </c>
      <c r="DS119" s="169" t="s">
        <v>259</v>
      </c>
      <c r="DT119" s="169" t="s">
        <v>259</v>
      </c>
    </row>
    <row r="120" spans="2:124" x14ac:dyDescent="0.3">
      <c r="B120" t="str">
        <f>'IMPORT SCHLIESSERDATEN'!B119</f>
        <v>TS 83 RF EN 2-6</v>
      </c>
      <c r="D120" s="169" t="s">
        <v>259</v>
      </c>
      <c r="E120" s="169" t="s">
        <v>259</v>
      </c>
      <c r="F120" s="169" t="s">
        <v>259</v>
      </c>
      <c r="G120" s="169" t="s">
        <v>259</v>
      </c>
      <c r="H120" s="169" t="s">
        <v>259</v>
      </c>
      <c r="I120" s="169" t="s">
        <v>259</v>
      </c>
      <c r="J120" s="169" t="s">
        <v>259</v>
      </c>
      <c r="K120" s="169" t="s">
        <v>259</v>
      </c>
      <c r="L120" s="169" t="s">
        <v>259</v>
      </c>
      <c r="M120" s="169" t="s">
        <v>259</v>
      </c>
      <c r="N120" s="169" t="s">
        <v>259</v>
      </c>
      <c r="O120" s="169" t="s">
        <v>259</v>
      </c>
      <c r="P120" s="169" t="s">
        <v>259</v>
      </c>
      <c r="Q120" s="169" t="s">
        <v>259</v>
      </c>
      <c r="R120" s="169" t="s">
        <v>259</v>
      </c>
      <c r="S120" s="169" t="s">
        <v>259</v>
      </c>
      <c r="T120" s="169" t="s">
        <v>259</v>
      </c>
      <c r="U120" s="169" t="s">
        <v>1995</v>
      </c>
      <c r="V120" s="169" t="s">
        <v>259</v>
      </c>
      <c r="W120" s="169" t="s">
        <v>259</v>
      </c>
      <c r="X120" s="169" t="s">
        <v>259</v>
      </c>
      <c r="Y120" s="169" t="s">
        <v>259</v>
      </c>
      <c r="Z120" s="169" t="s">
        <v>259</v>
      </c>
      <c r="AA120" s="169" t="s">
        <v>259</v>
      </c>
      <c r="AB120" s="169" t="s">
        <v>259</v>
      </c>
      <c r="AC120" s="169" t="s">
        <v>259</v>
      </c>
      <c r="AD120" s="169" t="s">
        <v>259</v>
      </c>
      <c r="AE120" s="169" t="s">
        <v>259</v>
      </c>
      <c r="AF120" s="169" t="s">
        <v>259</v>
      </c>
      <c r="AG120" s="169" t="s">
        <v>259</v>
      </c>
      <c r="AH120" s="169" t="s">
        <v>259</v>
      </c>
      <c r="AI120" s="169" t="s">
        <v>259</v>
      </c>
      <c r="AJ120" s="169" t="s">
        <v>259</v>
      </c>
      <c r="AK120" s="169" t="s">
        <v>259</v>
      </c>
      <c r="AL120" s="169" t="s">
        <v>259</v>
      </c>
      <c r="AM120" s="169" t="s">
        <v>259</v>
      </c>
      <c r="AN120" s="169" t="s">
        <v>259</v>
      </c>
      <c r="AO120" s="169" t="s">
        <v>259</v>
      </c>
      <c r="AP120" s="169" t="s">
        <v>259</v>
      </c>
      <c r="AQ120" s="169" t="s">
        <v>259</v>
      </c>
      <c r="AR120" s="169" t="s">
        <v>259</v>
      </c>
      <c r="AS120" s="169" t="s">
        <v>259</v>
      </c>
      <c r="AT120" s="169" t="s">
        <v>259</v>
      </c>
      <c r="AU120" s="169" t="s">
        <v>259</v>
      </c>
      <c r="AV120" s="169" t="s">
        <v>259</v>
      </c>
      <c r="AW120" s="169" t="s">
        <v>259</v>
      </c>
      <c r="AX120" s="169" t="s">
        <v>259</v>
      </c>
      <c r="AY120" s="169" t="s">
        <v>259</v>
      </c>
      <c r="AZ120" s="169" t="s">
        <v>259</v>
      </c>
      <c r="BA120" s="169" t="s">
        <v>259</v>
      </c>
      <c r="BB120" s="169" t="s">
        <v>259</v>
      </c>
      <c r="BC120" s="169" t="s">
        <v>259</v>
      </c>
      <c r="BD120" s="169" t="s">
        <v>259</v>
      </c>
      <c r="BE120" s="169" t="s">
        <v>259</v>
      </c>
      <c r="BF120" s="169" t="s">
        <v>259</v>
      </c>
      <c r="BG120" s="169" t="s">
        <v>259</v>
      </c>
      <c r="BH120" s="169" t="s">
        <v>259</v>
      </c>
      <c r="BI120" s="169" t="s">
        <v>259</v>
      </c>
      <c r="BJ120" s="169" t="s">
        <v>259</v>
      </c>
      <c r="BK120" s="169" t="s">
        <v>259</v>
      </c>
      <c r="BL120" s="169" t="s">
        <v>259</v>
      </c>
      <c r="BM120" s="169" t="s">
        <v>259</v>
      </c>
      <c r="BN120" s="169" t="s">
        <v>259</v>
      </c>
      <c r="BO120" s="169" t="s">
        <v>259</v>
      </c>
      <c r="BP120" s="169" t="s">
        <v>259</v>
      </c>
      <c r="BQ120" s="169" t="s">
        <v>259</v>
      </c>
      <c r="BR120" s="169" t="s">
        <v>259</v>
      </c>
      <c r="BS120" s="169" t="s">
        <v>259</v>
      </c>
      <c r="BT120" s="169" t="s">
        <v>259</v>
      </c>
      <c r="BU120" s="169" t="s">
        <v>259</v>
      </c>
      <c r="BV120" s="169" t="s">
        <v>259</v>
      </c>
      <c r="BW120" s="169" t="s">
        <v>259</v>
      </c>
      <c r="BX120" s="169" t="s">
        <v>259</v>
      </c>
      <c r="BY120" s="169" t="s">
        <v>259</v>
      </c>
      <c r="BZ120" s="169" t="s">
        <v>259</v>
      </c>
      <c r="CA120" s="169" t="s">
        <v>259</v>
      </c>
      <c r="CB120" s="169" t="s">
        <v>259</v>
      </c>
      <c r="CC120" s="169" t="s">
        <v>259</v>
      </c>
      <c r="CD120" s="169" t="s">
        <v>259</v>
      </c>
      <c r="CE120" s="169" t="s">
        <v>259</v>
      </c>
      <c r="CF120" s="169" t="s">
        <v>259</v>
      </c>
      <c r="CG120" s="169" t="s">
        <v>259</v>
      </c>
      <c r="CH120" s="169" t="s">
        <v>259</v>
      </c>
      <c r="CI120" s="169" t="s">
        <v>259</v>
      </c>
      <c r="CJ120" s="169" t="s">
        <v>259</v>
      </c>
      <c r="CK120" s="169" t="s">
        <v>259</v>
      </c>
      <c r="CL120" s="169" t="s">
        <v>259</v>
      </c>
      <c r="CM120" s="169" t="s">
        <v>259</v>
      </c>
      <c r="CN120" s="169" t="s">
        <v>259</v>
      </c>
      <c r="CO120" s="169" t="s">
        <v>259</v>
      </c>
      <c r="CP120" s="169" t="s">
        <v>259</v>
      </c>
      <c r="CQ120" s="169" t="s">
        <v>259</v>
      </c>
      <c r="CR120" s="169" t="s">
        <v>259</v>
      </c>
      <c r="CS120" s="169" t="s">
        <v>259</v>
      </c>
      <c r="CT120" s="169" t="s">
        <v>259</v>
      </c>
      <c r="CU120" s="169" t="s">
        <v>259</v>
      </c>
      <c r="CV120" s="169" t="s">
        <v>259</v>
      </c>
      <c r="CW120" s="169" t="s">
        <v>259</v>
      </c>
      <c r="CX120" s="169" t="s">
        <v>259</v>
      </c>
      <c r="CY120" s="169" t="s">
        <v>259</v>
      </c>
      <c r="CZ120" s="169" t="s">
        <v>259</v>
      </c>
      <c r="DA120" s="169" t="s">
        <v>259</v>
      </c>
      <c r="DB120" s="169" t="s">
        <v>259</v>
      </c>
      <c r="DC120" s="169" t="s">
        <v>259</v>
      </c>
      <c r="DD120" s="169" t="s">
        <v>259</v>
      </c>
      <c r="DE120" s="169" t="s">
        <v>259</v>
      </c>
      <c r="DF120" s="169" t="s">
        <v>259</v>
      </c>
      <c r="DG120" s="169" t="s">
        <v>259</v>
      </c>
      <c r="DH120" s="169" t="s">
        <v>259</v>
      </c>
      <c r="DI120" s="169" t="s">
        <v>259</v>
      </c>
      <c r="DJ120" s="169" t="s">
        <v>259</v>
      </c>
      <c r="DK120" s="169" t="s">
        <v>259</v>
      </c>
      <c r="DL120" s="169" t="s">
        <v>259</v>
      </c>
      <c r="DM120" s="169" t="s">
        <v>259</v>
      </c>
      <c r="DN120" s="169" t="s">
        <v>259</v>
      </c>
      <c r="DO120" s="169" t="s">
        <v>259</v>
      </c>
      <c r="DP120" s="169" t="s">
        <v>259</v>
      </c>
      <c r="DQ120" s="169" t="s">
        <v>259</v>
      </c>
      <c r="DR120" s="169" t="s">
        <v>259</v>
      </c>
      <c r="DS120" s="169" t="s">
        <v>259</v>
      </c>
      <c r="DT120" s="169" t="s">
        <v>259</v>
      </c>
    </row>
    <row r="121" spans="2:124" x14ac:dyDescent="0.3">
      <c r="B121" t="str">
        <f>'IMPORT SCHLIESSERDATEN'!B120</f>
        <v>TS 83 SV EN 2-6</v>
      </c>
      <c r="D121" s="169" t="s">
        <v>259</v>
      </c>
      <c r="E121" s="169" t="s">
        <v>259</v>
      </c>
      <c r="F121" s="169" t="s">
        <v>259</v>
      </c>
      <c r="G121" s="169" t="s">
        <v>259</v>
      </c>
      <c r="H121" s="169" t="s">
        <v>259</v>
      </c>
      <c r="I121" s="169" t="s">
        <v>259</v>
      </c>
      <c r="J121" s="169" t="s">
        <v>259</v>
      </c>
      <c r="K121" s="169" t="s">
        <v>259</v>
      </c>
      <c r="L121" s="169" t="s">
        <v>259</v>
      </c>
      <c r="M121" s="169" t="s">
        <v>259</v>
      </c>
      <c r="N121" s="169" t="s">
        <v>259</v>
      </c>
      <c r="O121" s="169" t="s">
        <v>259</v>
      </c>
      <c r="P121" s="169" t="s">
        <v>259</v>
      </c>
      <c r="Q121" s="169" t="s">
        <v>259</v>
      </c>
      <c r="R121" s="169" t="s">
        <v>259</v>
      </c>
      <c r="S121" s="169" t="s">
        <v>259</v>
      </c>
      <c r="T121" s="169" t="s">
        <v>259</v>
      </c>
      <c r="U121" s="169" t="s">
        <v>259</v>
      </c>
      <c r="V121" s="169" t="s">
        <v>259</v>
      </c>
      <c r="W121" s="169" t="s">
        <v>259</v>
      </c>
      <c r="X121" s="169" t="s">
        <v>259</v>
      </c>
      <c r="Y121" s="169" t="s">
        <v>259</v>
      </c>
      <c r="Z121" s="169" t="s">
        <v>259</v>
      </c>
      <c r="AA121" s="169" t="s">
        <v>259</v>
      </c>
      <c r="AB121" s="169" t="s">
        <v>259</v>
      </c>
      <c r="AC121" s="169" t="s">
        <v>259</v>
      </c>
      <c r="AD121" s="169" t="s">
        <v>259</v>
      </c>
      <c r="AE121" s="169" t="s">
        <v>259</v>
      </c>
      <c r="AF121" s="169" t="s">
        <v>259</v>
      </c>
      <c r="AG121" s="169" t="s">
        <v>259</v>
      </c>
      <c r="AH121" s="169" t="s">
        <v>259</v>
      </c>
      <c r="AI121" s="169" t="s">
        <v>259</v>
      </c>
      <c r="AJ121" s="169" t="s">
        <v>259</v>
      </c>
      <c r="AK121" s="169" t="s">
        <v>259</v>
      </c>
      <c r="AL121" s="169" t="s">
        <v>259</v>
      </c>
      <c r="AM121" s="169" t="s">
        <v>259</v>
      </c>
      <c r="AN121" s="169" t="s">
        <v>259</v>
      </c>
      <c r="AO121" s="169" t="s">
        <v>259</v>
      </c>
      <c r="AP121" s="169" t="s">
        <v>259</v>
      </c>
      <c r="AQ121" s="169" t="s">
        <v>259</v>
      </c>
      <c r="AR121" s="169" t="s">
        <v>259</v>
      </c>
      <c r="AS121" s="169" t="s">
        <v>259</v>
      </c>
      <c r="AT121" s="169" t="s">
        <v>259</v>
      </c>
      <c r="AU121" s="169" t="s">
        <v>259</v>
      </c>
      <c r="AV121" s="169" t="s">
        <v>259</v>
      </c>
      <c r="AW121" s="169" t="s">
        <v>259</v>
      </c>
      <c r="AX121" s="169" t="s">
        <v>259</v>
      </c>
      <c r="AY121" s="169" t="s">
        <v>259</v>
      </c>
      <c r="AZ121" s="169" t="s">
        <v>259</v>
      </c>
      <c r="BA121" s="169" t="s">
        <v>259</v>
      </c>
      <c r="BB121" s="169" t="s">
        <v>259</v>
      </c>
      <c r="BC121" s="169" t="s">
        <v>259</v>
      </c>
      <c r="BD121" s="169" t="s">
        <v>259</v>
      </c>
      <c r="BE121" s="169" t="s">
        <v>259</v>
      </c>
      <c r="BF121" s="169" t="s">
        <v>259</v>
      </c>
      <c r="BG121" s="169" t="s">
        <v>259</v>
      </c>
      <c r="BH121" s="169" t="s">
        <v>259</v>
      </c>
      <c r="BI121" s="169" t="s">
        <v>259</v>
      </c>
      <c r="BJ121" s="169" t="s">
        <v>259</v>
      </c>
      <c r="BK121" s="169" t="s">
        <v>259</v>
      </c>
      <c r="BL121" s="169" t="s">
        <v>259</v>
      </c>
      <c r="BM121" s="169" t="s">
        <v>259</v>
      </c>
      <c r="BN121" s="169" t="s">
        <v>259</v>
      </c>
      <c r="BO121" s="169" t="s">
        <v>259</v>
      </c>
      <c r="BP121" s="169" t="s">
        <v>259</v>
      </c>
      <c r="BQ121" s="169" t="s">
        <v>259</v>
      </c>
      <c r="BR121" s="169" t="s">
        <v>259</v>
      </c>
      <c r="BS121" s="169" t="s">
        <v>259</v>
      </c>
      <c r="BT121" s="169" t="s">
        <v>259</v>
      </c>
      <c r="BU121" s="169" t="s">
        <v>259</v>
      </c>
      <c r="BV121" s="169" t="s">
        <v>259</v>
      </c>
      <c r="BW121" s="169" t="s">
        <v>259</v>
      </c>
      <c r="BX121" s="169" t="s">
        <v>259</v>
      </c>
      <c r="BY121" s="169" t="s">
        <v>259</v>
      </c>
      <c r="BZ121" s="169" t="s">
        <v>259</v>
      </c>
      <c r="CA121" s="169" t="s">
        <v>259</v>
      </c>
      <c r="CB121" s="169" t="s">
        <v>259</v>
      </c>
      <c r="CC121" s="169" t="s">
        <v>259</v>
      </c>
      <c r="CD121" s="169" t="s">
        <v>259</v>
      </c>
      <c r="CE121" s="169" t="s">
        <v>259</v>
      </c>
      <c r="CF121" s="169" t="s">
        <v>259</v>
      </c>
      <c r="CG121" s="169" t="s">
        <v>259</v>
      </c>
      <c r="CH121" s="169" t="s">
        <v>259</v>
      </c>
      <c r="CI121" s="169" t="s">
        <v>259</v>
      </c>
      <c r="CJ121" s="169" t="s">
        <v>259</v>
      </c>
      <c r="CK121" s="169" t="s">
        <v>259</v>
      </c>
      <c r="CL121" s="169" t="s">
        <v>259</v>
      </c>
      <c r="CM121" s="169" t="s">
        <v>259</v>
      </c>
      <c r="CN121" s="169" t="s">
        <v>259</v>
      </c>
      <c r="CO121" s="169" t="s">
        <v>259</v>
      </c>
      <c r="CP121" s="169" t="s">
        <v>259</v>
      </c>
      <c r="CQ121" s="169" t="s">
        <v>259</v>
      </c>
      <c r="CR121" s="169" t="s">
        <v>259</v>
      </c>
      <c r="CS121" s="169" t="s">
        <v>259</v>
      </c>
      <c r="CT121" s="169" t="s">
        <v>259</v>
      </c>
      <c r="CU121" s="169" t="s">
        <v>259</v>
      </c>
      <c r="CV121" s="169" t="s">
        <v>259</v>
      </c>
      <c r="CW121" s="169" t="s">
        <v>259</v>
      </c>
      <c r="CX121" s="169" t="s">
        <v>259</v>
      </c>
      <c r="CY121" s="169" t="s">
        <v>259</v>
      </c>
      <c r="CZ121" s="169" t="s">
        <v>259</v>
      </c>
      <c r="DA121" s="169" t="s">
        <v>259</v>
      </c>
      <c r="DB121" s="169" t="s">
        <v>259</v>
      </c>
      <c r="DC121" s="169" t="s">
        <v>259</v>
      </c>
      <c r="DD121" s="169" t="s">
        <v>259</v>
      </c>
      <c r="DE121" s="169" t="s">
        <v>259</v>
      </c>
      <c r="DF121" s="169" t="s">
        <v>259</v>
      </c>
      <c r="DG121" s="169" t="s">
        <v>259</v>
      </c>
      <c r="DH121" s="169" t="s">
        <v>259</v>
      </c>
      <c r="DI121" s="169" t="s">
        <v>259</v>
      </c>
      <c r="DJ121" s="169" t="s">
        <v>259</v>
      </c>
      <c r="DK121" s="169" t="s">
        <v>259</v>
      </c>
      <c r="DL121" s="169" t="s">
        <v>259</v>
      </c>
      <c r="DM121" s="169" t="s">
        <v>259</v>
      </c>
      <c r="DN121" s="169" t="s">
        <v>259</v>
      </c>
      <c r="DO121" s="169" t="s">
        <v>259</v>
      </c>
      <c r="DP121" s="169" t="s">
        <v>259</v>
      </c>
      <c r="DQ121" s="169" t="s">
        <v>259</v>
      </c>
      <c r="DR121" s="169" t="s">
        <v>259</v>
      </c>
      <c r="DS121" s="169" t="s">
        <v>259</v>
      </c>
      <c r="DT121" s="169" t="s">
        <v>259</v>
      </c>
    </row>
    <row r="122" spans="2:124" x14ac:dyDescent="0.3">
      <c r="B122" t="str">
        <f>'IMPORT SCHLIESSERDATEN'!B121</f>
        <v>TS 83 EN 5-7</v>
      </c>
      <c r="D122" s="169" t="s">
        <v>259</v>
      </c>
      <c r="E122" s="169" t="s">
        <v>259</v>
      </c>
      <c r="F122" s="169" t="s">
        <v>259</v>
      </c>
      <c r="G122" s="169" t="s">
        <v>259</v>
      </c>
      <c r="H122" s="169" t="s">
        <v>259</v>
      </c>
      <c r="I122" s="169" t="s">
        <v>259</v>
      </c>
      <c r="J122" s="169" t="s">
        <v>259</v>
      </c>
      <c r="K122" s="169" t="s">
        <v>259</v>
      </c>
      <c r="L122" s="169" t="s">
        <v>259</v>
      </c>
      <c r="M122" s="169" t="s">
        <v>259</v>
      </c>
      <c r="N122" s="169" t="s">
        <v>259</v>
      </c>
      <c r="O122" s="169" t="s">
        <v>259</v>
      </c>
      <c r="P122" s="169" t="s">
        <v>259</v>
      </c>
      <c r="Q122" s="169" t="s">
        <v>259</v>
      </c>
      <c r="R122" s="169" t="s">
        <v>259</v>
      </c>
      <c r="S122" s="169" t="s">
        <v>259</v>
      </c>
      <c r="T122" s="169" t="s">
        <v>259</v>
      </c>
      <c r="U122" s="169" t="s">
        <v>259</v>
      </c>
      <c r="V122" s="169" t="s">
        <v>259</v>
      </c>
      <c r="W122" s="169" t="s">
        <v>259</v>
      </c>
      <c r="X122" s="169" t="s">
        <v>259</v>
      </c>
      <c r="Y122" s="169" t="s">
        <v>259</v>
      </c>
      <c r="Z122" s="169" t="s">
        <v>259</v>
      </c>
      <c r="AA122" s="169" t="s">
        <v>259</v>
      </c>
      <c r="AB122" s="169" t="s">
        <v>259</v>
      </c>
      <c r="AC122" s="169" t="s">
        <v>259</v>
      </c>
      <c r="AD122" s="169" t="s">
        <v>259</v>
      </c>
      <c r="AE122" s="169" t="s">
        <v>259</v>
      </c>
      <c r="AF122" s="169" t="s">
        <v>259</v>
      </c>
      <c r="AG122" s="169" t="s">
        <v>259</v>
      </c>
      <c r="AH122" s="169" t="s">
        <v>259</v>
      </c>
      <c r="AI122" s="169" t="s">
        <v>259</v>
      </c>
      <c r="AJ122" s="169" t="s">
        <v>259</v>
      </c>
      <c r="AK122" s="169" t="s">
        <v>259</v>
      </c>
      <c r="AL122" s="169" t="s">
        <v>259</v>
      </c>
      <c r="AM122" s="169" t="s">
        <v>259</v>
      </c>
      <c r="AN122" s="169" t="s">
        <v>259</v>
      </c>
      <c r="AO122" s="169" t="s">
        <v>259</v>
      </c>
      <c r="AP122" s="169" t="s">
        <v>259</v>
      </c>
      <c r="AQ122" s="169" t="s">
        <v>259</v>
      </c>
      <c r="AR122" s="169" t="s">
        <v>259</v>
      </c>
      <c r="AS122" s="169" t="s">
        <v>259</v>
      </c>
      <c r="AT122" s="169" t="s">
        <v>259</v>
      </c>
      <c r="AU122" s="169" t="s">
        <v>259</v>
      </c>
      <c r="AV122" s="169" t="s">
        <v>259</v>
      </c>
      <c r="AW122" s="169" t="s">
        <v>259</v>
      </c>
      <c r="AX122" s="169" t="s">
        <v>259</v>
      </c>
      <c r="AY122" s="169" t="s">
        <v>259</v>
      </c>
      <c r="AZ122" s="169" t="s">
        <v>259</v>
      </c>
      <c r="BA122" s="169" t="s">
        <v>259</v>
      </c>
      <c r="BB122" s="169" t="s">
        <v>259</v>
      </c>
      <c r="BC122" s="169" t="s">
        <v>259</v>
      </c>
      <c r="BD122" s="169" t="s">
        <v>259</v>
      </c>
      <c r="BE122" s="169" t="s">
        <v>259</v>
      </c>
      <c r="BF122" s="169" t="s">
        <v>259</v>
      </c>
      <c r="BG122" s="169" t="s">
        <v>259</v>
      </c>
      <c r="BH122" s="169" t="s">
        <v>259</v>
      </c>
      <c r="BI122" s="169" t="s">
        <v>259</v>
      </c>
      <c r="BJ122" s="169" t="s">
        <v>259</v>
      </c>
      <c r="BK122" s="169" t="s">
        <v>259</v>
      </c>
      <c r="BL122" s="169" t="s">
        <v>259</v>
      </c>
      <c r="BM122" s="169" t="s">
        <v>259</v>
      </c>
      <c r="BN122" s="169" t="s">
        <v>259</v>
      </c>
      <c r="BO122" s="169" t="s">
        <v>259</v>
      </c>
      <c r="BP122" s="169" t="s">
        <v>259</v>
      </c>
      <c r="BQ122" s="169" t="s">
        <v>259</v>
      </c>
      <c r="BR122" s="169" t="s">
        <v>259</v>
      </c>
      <c r="BS122" s="169" t="s">
        <v>259</v>
      </c>
      <c r="BT122" s="169" t="s">
        <v>259</v>
      </c>
      <c r="BU122" s="169" t="s">
        <v>259</v>
      </c>
      <c r="BV122" s="169" t="s">
        <v>259</v>
      </c>
      <c r="BW122" s="169" t="s">
        <v>259</v>
      </c>
      <c r="BX122" s="169" t="s">
        <v>259</v>
      </c>
      <c r="BY122" s="169" t="s">
        <v>259</v>
      </c>
      <c r="BZ122" s="169" t="s">
        <v>259</v>
      </c>
      <c r="CA122" s="169" t="s">
        <v>259</v>
      </c>
      <c r="CB122" s="169" t="s">
        <v>259</v>
      </c>
      <c r="CC122" s="169" t="s">
        <v>259</v>
      </c>
      <c r="CD122" s="169" t="s">
        <v>259</v>
      </c>
      <c r="CE122" s="169" t="s">
        <v>259</v>
      </c>
      <c r="CF122" s="169" t="s">
        <v>259</v>
      </c>
      <c r="CG122" s="169" t="s">
        <v>259</v>
      </c>
      <c r="CH122" s="169" t="s">
        <v>259</v>
      </c>
      <c r="CI122" s="169" t="s">
        <v>259</v>
      </c>
      <c r="CJ122" s="169" t="s">
        <v>259</v>
      </c>
      <c r="CK122" s="169" t="s">
        <v>259</v>
      </c>
      <c r="CL122" s="169" t="s">
        <v>259</v>
      </c>
      <c r="CM122" s="169" t="s">
        <v>259</v>
      </c>
      <c r="CN122" s="169" t="s">
        <v>259</v>
      </c>
      <c r="CO122" s="169" t="s">
        <v>259</v>
      </c>
      <c r="CP122" s="169" t="s">
        <v>259</v>
      </c>
      <c r="CQ122" s="169" t="s">
        <v>259</v>
      </c>
      <c r="CR122" s="169" t="s">
        <v>259</v>
      </c>
      <c r="CS122" s="169" t="s">
        <v>259</v>
      </c>
      <c r="CT122" s="169" t="s">
        <v>259</v>
      </c>
      <c r="CU122" s="169" t="s">
        <v>259</v>
      </c>
      <c r="CV122" s="169" t="s">
        <v>259</v>
      </c>
      <c r="CW122" s="169" t="s">
        <v>259</v>
      </c>
      <c r="CX122" s="169" t="s">
        <v>259</v>
      </c>
      <c r="CY122" s="169" t="s">
        <v>259</v>
      </c>
      <c r="CZ122" s="169" t="s">
        <v>259</v>
      </c>
      <c r="DA122" s="169" t="s">
        <v>259</v>
      </c>
      <c r="DB122" s="169" t="s">
        <v>259</v>
      </c>
      <c r="DC122" s="169" t="s">
        <v>259</v>
      </c>
      <c r="DD122" s="169" t="s">
        <v>259</v>
      </c>
      <c r="DE122" s="169" t="s">
        <v>259</v>
      </c>
      <c r="DF122" s="169" t="s">
        <v>259</v>
      </c>
      <c r="DG122" s="169" t="s">
        <v>259</v>
      </c>
      <c r="DH122" s="169" t="s">
        <v>259</v>
      </c>
      <c r="DI122" s="169" t="s">
        <v>259</v>
      </c>
      <c r="DJ122" s="169" t="s">
        <v>259</v>
      </c>
      <c r="DK122" s="169" t="s">
        <v>259</v>
      </c>
      <c r="DL122" s="169" t="s">
        <v>259</v>
      </c>
      <c r="DM122" s="169" t="s">
        <v>259</v>
      </c>
      <c r="DN122" s="169" t="s">
        <v>259</v>
      </c>
      <c r="DO122" s="169" t="s">
        <v>259</v>
      </c>
      <c r="DP122" s="169" t="s">
        <v>259</v>
      </c>
      <c r="DQ122" s="169" t="s">
        <v>259</v>
      </c>
      <c r="DR122" s="169" t="s">
        <v>259</v>
      </c>
      <c r="DS122" s="169" t="s">
        <v>259</v>
      </c>
      <c r="DT122" s="169" t="s">
        <v>259</v>
      </c>
    </row>
    <row r="123" spans="2:124" x14ac:dyDescent="0.3">
      <c r="B123" t="str">
        <f>'IMPORT SCHLIESSERDATEN'!B122</f>
        <v>TS 83 EN 5-7 + SR</v>
      </c>
      <c r="D123" s="169" t="s">
        <v>259</v>
      </c>
      <c r="E123" s="169" t="s">
        <v>259</v>
      </c>
      <c r="F123" s="169" t="s">
        <v>259</v>
      </c>
      <c r="G123" s="169" t="s">
        <v>259</v>
      </c>
      <c r="H123" s="169" t="s">
        <v>259</v>
      </c>
      <c r="I123" s="169" t="s">
        <v>259</v>
      </c>
      <c r="J123" s="169" t="s">
        <v>259</v>
      </c>
      <c r="K123" s="169" t="s">
        <v>259</v>
      </c>
      <c r="L123" s="169" t="s">
        <v>259</v>
      </c>
      <c r="M123" s="169" t="s">
        <v>259</v>
      </c>
      <c r="N123" s="169" t="s">
        <v>259</v>
      </c>
      <c r="O123" s="169" t="s">
        <v>259</v>
      </c>
      <c r="P123" s="169" t="s">
        <v>259</v>
      </c>
      <c r="Q123" s="169" t="s">
        <v>259</v>
      </c>
      <c r="R123" s="169" t="s">
        <v>259</v>
      </c>
      <c r="S123" s="169" t="s">
        <v>259</v>
      </c>
      <c r="T123" s="169" t="s">
        <v>259</v>
      </c>
      <c r="U123" s="169" t="s">
        <v>259</v>
      </c>
      <c r="V123" s="169" t="s">
        <v>259</v>
      </c>
      <c r="W123" s="169" t="s">
        <v>259</v>
      </c>
      <c r="X123" s="169" t="s">
        <v>259</v>
      </c>
      <c r="Y123" s="169" t="s">
        <v>259</v>
      </c>
      <c r="Z123" s="169" t="s">
        <v>259</v>
      </c>
      <c r="AA123" s="169" t="s">
        <v>259</v>
      </c>
      <c r="AB123" s="169" t="s">
        <v>259</v>
      </c>
      <c r="AC123" s="169" t="s">
        <v>259</v>
      </c>
      <c r="AD123" s="169" t="s">
        <v>259</v>
      </c>
      <c r="AE123" s="169" t="s">
        <v>259</v>
      </c>
      <c r="AF123" s="169" t="s">
        <v>259</v>
      </c>
      <c r="AG123" s="169" t="s">
        <v>259</v>
      </c>
      <c r="AH123" s="169" t="s">
        <v>259</v>
      </c>
      <c r="AI123" s="169" t="s">
        <v>259</v>
      </c>
      <c r="AJ123" s="169" t="s">
        <v>259</v>
      </c>
      <c r="AK123" s="169" t="s">
        <v>259</v>
      </c>
      <c r="AL123" s="169" t="s">
        <v>259</v>
      </c>
      <c r="AM123" s="169" t="s">
        <v>259</v>
      </c>
      <c r="AN123" s="169" t="s">
        <v>259</v>
      </c>
      <c r="AO123" s="169" t="s">
        <v>259</v>
      </c>
      <c r="AP123" s="169" t="s">
        <v>259</v>
      </c>
      <c r="AQ123" s="169" t="s">
        <v>259</v>
      </c>
      <c r="AR123" s="169" t="s">
        <v>259</v>
      </c>
      <c r="AS123" s="169" t="s">
        <v>259</v>
      </c>
      <c r="AT123" s="169" t="s">
        <v>259</v>
      </c>
      <c r="AU123" s="169" t="s">
        <v>259</v>
      </c>
      <c r="AV123" s="169" t="s">
        <v>259</v>
      </c>
      <c r="AW123" s="169" t="s">
        <v>259</v>
      </c>
      <c r="AX123" s="169" t="s">
        <v>259</v>
      </c>
      <c r="AY123" s="169" t="s">
        <v>259</v>
      </c>
      <c r="AZ123" s="169" t="s">
        <v>259</v>
      </c>
      <c r="BA123" s="169" t="s">
        <v>259</v>
      </c>
      <c r="BB123" s="169" t="s">
        <v>259</v>
      </c>
      <c r="BC123" s="169" t="s">
        <v>259</v>
      </c>
      <c r="BD123" s="169" t="s">
        <v>259</v>
      </c>
      <c r="BE123" s="169" t="s">
        <v>259</v>
      </c>
      <c r="BF123" s="169" t="s">
        <v>259</v>
      </c>
      <c r="BG123" s="169" t="s">
        <v>259</v>
      </c>
      <c r="BH123" s="169" t="s">
        <v>259</v>
      </c>
      <c r="BI123" s="169" t="s">
        <v>259</v>
      </c>
      <c r="BJ123" s="169" t="s">
        <v>259</v>
      </c>
      <c r="BK123" s="169" t="s">
        <v>259</v>
      </c>
      <c r="BL123" s="169" t="s">
        <v>259</v>
      </c>
      <c r="BM123" s="169" t="s">
        <v>259</v>
      </c>
      <c r="BN123" s="169" t="s">
        <v>259</v>
      </c>
      <c r="BO123" s="169" t="s">
        <v>259</v>
      </c>
      <c r="BP123" s="169" t="s">
        <v>259</v>
      </c>
      <c r="BQ123" s="169" t="s">
        <v>259</v>
      </c>
      <c r="BR123" s="169" t="s">
        <v>259</v>
      </c>
      <c r="BS123" s="169" t="s">
        <v>259</v>
      </c>
      <c r="BT123" s="169" t="s">
        <v>259</v>
      </c>
      <c r="BU123" s="169" t="s">
        <v>259</v>
      </c>
      <c r="BV123" s="169" t="s">
        <v>259</v>
      </c>
      <c r="BW123" s="169" t="s">
        <v>259</v>
      </c>
      <c r="BX123" s="169" t="s">
        <v>259</v>
      </c>
      <c r="BY123" s="169" t="s">
        <v>259</v>
      </c>
      <c r="BZ123" s="169" t="s">
        <v>259</v>
      </c>
      <c r="CA123" s="169" t="s">
        <v>259</v>
      </c>
      <c r="CB123" s="169" t="s">
        <v>259</v>
      </c>
      <c r="CC123" s="169" t="s">
        <v>259</v>
      </c>
      <c r="CD123" s="169" t="s">
        <v>259</v>
      </c>
      <c r="CE123" s="169" t="s">
        <v>259</v>
      </c>
      <c r="CF123" s="169" t="s">
        <v>259</v>
      </c>
      <c r="CG123" s="169" t="s">
        <v>259</v>
      </c>
      <c r="CH123" s="169" t="s">
        <v>259</v>
      </c>
      <c r="CI123" s="169" t="s">
        <v>259</v>
      </c>
      <c r="CJ123" s="169" t="s">
        <v>259</v>
      </c>
      <c r="CK123" s="169" t="s">
        <v>259</v>
      </c>
      <c r="CL123" s="169" t="s">
        <v>259</v>
      </c>
      <c r="CM123" s="169" t="s">
        <v>259</v>
      </c>
      <c r="CN123" s="169" t="s">
        <v>259</v>
      </c>
      <c r="CO123" s="169" t="s">
        <v>259</v>
      </c>
      <c r="CP123" s="169" t="s">
        <v>259</v>
      </c>
      <c r="CQ123" s="169" t="s">
        <v>259</v>
      </c>
      <c r="CR123" s="169" t="s">
        <v>259</v>
      </c>
      <c r="CS123" s="169" t="s">
        <v>259</v>
      </c>
      <c r="CT123" s="169" t="s">
        <v>259</v>
      </c>
      <c r="CU123" s="169" t="s">
        <v>259</v>
      </c>
      <c r="CV123" s="169" t="s">
        <v>259</v>
      </c>
      <c r="CW123" s="169" t="s">
        <v>259</v>
      </c>
      <c r="CX123" s="169" t="s">
        <v>259</v>
      </c>
      <c r="CY123" s="169" t="s">
        <v>259</v>
      </c>
      <c r="CZ123" s="169" t="s">
        <v>259</v>
      </c>
      <c r="DA123" s="169" t="s">
        <v>259</v>
      </c>
      <c r="DB123" s="169" t="s">
        <v>259</v>
      </c>
      <c r="DC123" s="169" t="s">
        <v>259</v>
      </c>
      <c r="DD123" s="169" t="s">
        <v>259</v>
      </c>
      <c r="DE123" s="169" t="s">
        <v>259</v>
      </c>
      <c r="DF123" s="169" t="s">
        <v>259</v>
      </c>
      <c r="DG123" s="169" t="s">
        <v>259</v>
      </c>
      <c r="DH123" s="169" t="s">
        <v>259</v>
      </c>
      <c r="DI123" s="169" t="s">
        <v>259</v>
      </c>
      <c r="DJ123" s="169" t="s">
        <v>259</v>
      </c>
      <c r="DK123" s="169" t="s">
        <v>259</v>
      </c>
      <c r="DL123" s="169" t="s">
        <v>259</v>
      </c>
      <c r="DM123" s="169" t="s">
        <v>259</v>
      </c>
      <c r="DN123" s="169" t="s">
        <v>259</v>
      </c>
      <c r="DO123" s="169" t="s">
        <v>259</v>
      </c>
      <c r="DP123" s="169" t="s">
        <v>259</v>
      </c>
      <c r="DQ123" s="169" t="s">
        <v>259</v>
      </c>
      <c r="DR123" s="169" t="s">
        <v>259</v>
      </c>
      <c r="DS123" s="169" t="s">
        <v>259</v>
      </c>
      <c r="DT123" s="169" t="s">
        <v>259</v>
      </c>
    </row>
    <row r="124" spans="2:124" x14ac:dyDescent="0.3">
      <c r="B124" t="str">
        <f>'IMPORT SCHLIESSERDATEN'!B123</f>
        <v>TS 83 RF EN 5-7</v>
      </c>
      <c r="D124" s="169" t="s">
        <v>259</v>
      </c>
      <c r="E124" s="169" t="s">
        <v>259</v>
      </c>
      <c r="F124" s="169" t="s">
        <v>259</v>
      </c>
      <c r="G124" s="169" t="s">
        <v>259</v>
      </c>
      <c r="H124" s="169" t="s">
        <v>259</v>
      </c>
      <c r="I124" s="169" t="s">
        <v>259</v>
      </c>
      <c r="J124" s="169" t="s">
        <v>259</v>
      </c>
      <c r="K124" s="169" t="s">
        <v>259</v>
      </c>
      <c r="L124" s="169" t="s">
        <v>259</v>
      </c>
      <c r="M124" s="169" t="s">
        <v>259</v>
      </c>
      <c r="N124" s="169" t="s">
        <v>259</v>
      </c>
      <c r="O124" s="169" t="s">
        <v>259</v>
      </c>
      <c r="P124" s="169" t="s">
        <v>259</v>
      </c>
      <c r="Q124" s="169" t="s">
        <v>259</v>
      </c>
      <c r="R124" s="169" t="s">
        <v>259</v>
      </c>
      <c r="S124" s="169" t="s">
        <v>259</v>
      </c>
      <c r="T124" s="169" t="s">
        <v>259</v>
      </c>
      <c r="U124" s="169" t="s">
        <v>1995</v>
      </c>
      <c r="V124" s="169" t="s">
        <v>259</v>
      </c>
      <c r="W124" s="169" t="s">
        <v>259</v>
      </c>
      <c r="X124" s="169" t="s">
        <v>259</v>
      </c>
      <c r="Y124" s="169" t="s">
        <v>259</v>
      </c>
      <c r="Z124" s="169" t="s">
        <v>259</v>
      </c>
      <c r="AA124" s="169" t="s">
        <v>259</v>
      </c>
      <c r="AB124" s="169" t="s">
        <v>259</v>
      </c>
      <c r="AC124" s="169" t="s">
        <v>259</v>
      </c>
      <c r="AD124" s="169" t="s">
        <v>259</v>
      </c>
      <c r="AE124" s="169" t="s">
        <v>259</v>
      </c>
      <c r="AF124" s="169" t="s">
        <v>259</v>
      </c>
      <c r="AG124" s="169" t="s">
        <v>259</v>
      </c>
      <c r="AH124" s="169" t="s">
        <v>259</v>
      </c>
      <c r="AI124" s="169" t="s">
        <v>259</v>
      </c>
      <c r="AJ124" s="169" t="s">
        <v>259</v>
      </c>
      <c r="AK124" s="169" t="s">
        <v>259</v>
      </c>
      <c r="AL124" s="169" t="s">
        <v>259</v>
      </c>
      <c r="AM124" s="169" t="s">
        <v>259</v>
      </c>
      <c r="AN124" s="169" t="s">
        <v>259</v>
      </c>
      <c r="AO124" s="169" t="s">
        <v>259</v>
      </c>
      <c r="AP124" s="169" t="s">
        <v>259</v>
      </c>
      <c r="AQ124" s="169" t="s">
        <v>259</v>
      </c>
      <c r="AR124" s="169" t="s">
        <v>259</v>
      </c>
      <c r="AS124" s="169" t="s">
        <v>259</v>
      </c>
      <c r="AT124" s="169" t="s">
        <v>259</v>
      </c>
      <c r="AU124" s="169" t="s">
        <v>259</v>
      </c>
      <c r="AV124" s="169" t="s">
        <v>259</v>
      </c>
      <c r="AW124" s="169" t="s">
        <v>259</v>
      </c>
      <c r="AX124" s="169" t="s">
        <v>259</v>
      </c>
      <c r="AY124" s="169" t="s">
        <v>259</v>
      </c>
      <c r="AZ124" s="169" t="s">
        <v>259</v>
      </c>
      <c r="BA124" s="169" t="s">
        <v>259</v>
      </c>
      <c r="BB124" s="169" t="s">
        <v>259</v>
      </c>
      <c r="BC124" s="169" t="s">
        <v>259</v>
      </c>
      <c r="BD124" s="169" t="s">
        <v>259</v>
      </c>
      <c r="BE124" s="169" t="s">
        <v>259</v>
      </c>
      <c r="BF124" s="169" t="s">
        <v>259</v>
      </c>
      <c r="BG124" s="169" t="s">
        <v>259</v>
      </c>
      <c r="BH124" s="169" t="s">
        <v>259</v>
      </c>
      <c r="BI124" s="169" t="s">
        <v>259</v>
      </c>
      <c r="BJ124" s="169" t="s">
        <v>259</v>
      </c>
      <c r="BK124" s="169" t="s">
        <v>259</v>
      </c>
      <c r="BL124" s="169" t="s">
        <v>259</v>
      </c>
      <c r="BM124" s="169" t="s">
        <v>259</v>
      </c>
      <c r="BN124" s="169" t="s">
        <v>259</v>
      </c>
      <c r="BO124" s="169" t="s">
        <v>259</v>
      </c>
      <c r="BP124" s="169" t="s">
        <v>259</v>
      </c>
      <c r="BQ124" s="169" t="s">
        <v>259</v>
      </c>
      <c r="BR124" s="169" t="s">
        <v>259</v>
      </c>
      <c r="BS124" s="169" t="s">
        <v>259</v>
      </c>
      <c r="BT124" s="169" t="s">
        <v>259</v>
      </c>
      <c r="BU124" s="169" t="s">
        <v>259</v>
      </c>
      <c r="BV124" s="169" t="s">
        <v>259</v>
      </c>
      <c r="BW124" s="169" t="s">
        <v>259</v>
      </c>
      <c r="BX124" s="169" t="s">
        <v>259</v>
      </c>
      <c r="BY124" s="169" t="s">
        <v>259</v>
      </c>
      <c r="BZ124" s="169" t="s">
        <v>259</v>
      </c>
      <c r="CA124" s="169" t="s">
        <v>259</v>
      </c>
      <c r="CB124" s="169" t="s">
        <v>259</v>
      </c>
      <c r="CC124" s="169" t="s">
        <v>259</v>
      </c>
      <c r="CD124" s="169" t="s">
        <v>259</v>
      </c>
      <c r="CE124" s="169" t="s">
        <v>259</v>
      </c>
      <c r="CF124" s="169" t="s">
        <v>259</v>
      </c>
      <c r="CG124" s="169" t="s">
        <v>259</v>
      </c>
      <c r="CH124" s="169" t="s">
        <v>259</v>
      </c>
      <c r="CI124" s="169" t="s">
        <v>259</v>
      </c>
      <c r="CJ124" s="169" t="s">
        <v>259</v>
      </c>
      <c r="CK124" s="169" t="s">
        <v>259</v>
      </c>
      <c r="CL124" s="169" t="s">
        <v>259</v>
      </c>
      <c r="CM124" s="169" t="s">
        <v>259</v>
      </c>
      <c r="CN124" s="169" t="s">
        <v>259</v>
      </c>
      <c r="CO124" s="169" t="s">
        <v>259</v>
      </c>
      <c r="CP124" s="169" t="s">
        <v>259</v>
      </c>
      <c r="CQ124" s="169" t="s">
        <v>259</v>
      </c>
      <c r="CR124" s="169" t="s">
        <v>259</v>
      </c>
      <c r="CS124" s="169" t="s">
        <v>259</v>
      </c>
      <c r="CT124" s="169" t="s">
        <v>259</v>
      </c>
      <c r="CU124" s="169" t="s">
        <v>259</v>
      </c>
      <c r="CV124" s="169" t="s">
        <v>259</v>
      </c>
      <c r="CW124" s="169" t="s">
        <v>259</v>
      </c>
      <c r="CX124" s="169" t="s">
        <v>259</v>
      </c>
      <c r="CY124" s="169" t="s">
        <v>259</v>
      </c>
      <c r="CZ124" s="169" t="s">
        <v>259</v>
      </c>
      <c r="DA124" s="169" t="s">
        <v>259</v>
      </c>
      <c r="DB124" s="169" t="s">
        <v>259</v>
      </c>
      <c r="DC124" s="169" t="s">
        <v>259</v>
      </c>
      <c r="DD124" s="169" t="s">
        <v>259</v>
      </c>
      <c r="DE124" s="169" t="s">
        <v>259</v>
      </c>
      <c r="DF124" s="169" t="s">
        <v>259</v>
      </c>
      <c r="DG124" s="169" t="s">
        <v>259</v>
      </c>
      <c r="DH124" s="169" t="s">
        <v>259</v>
      </c>
      <c r="DI124" s="169" t="s">
        <v>259</v>
      </c>
      <c r="DJ124" s="169" t="s">
        <v>259</v>
      </c>
      <c r="DK124" s="169" t="s">
        <v>259</v>
      </c>
      <c r="DL124" s="169" t="s">
        <v>259</v>
      </c>
      <c r="DM124" s="169" t="s">
        <v>259</v>
      </c>
      <c r="DN124" s="169" t="s">
        <v>259</v>
      </c>
      <c r="DO124" s="169" t="s">
        <v>259</v>
      </c>
      <c r="DP124" s="169" t="s">
        <v>259</v>
      </c>
      <c r="DQ124" s="169" t="s">
        <v>259</v>
      </c>
      <c r="DR124" s="169" t="s">
        <v>259</v>
      </c>
      <c r="DS124" s="169" t="s">
        <v>259</v>
      </c>
      <c r="DT124" s="169" t="s">
        <v>259</v>
      </c>
    </row>
    <row r="125" spans="2:124" x14ac:dyDescent="0.3">
      <c r="B125" t="str">
        <f>'IMPORT SCHLIESSERDATEN'!B124</f>
        <v>TS 83 SV EN 5-7</v>
      </c>
      <c r="D125" s="169" t="s">
        <v>259</v>
      </c>
      <c r="E125" s="169" t="s">
        <v>259</v>
      </c>
      <c r="F125" s="169" t="s">
        <v>259</v>
      </c>
      <c r="G125" s="169" t="s">
        <v>259</v>
      </c>
      <c r="H125" s="169" t="s">
        <v>259</v>
      </c>
      <c r="I125" s="169" t="s">
        <v>259</v>
      </c>
      <c r="J125" s="169" t="s">
        <v>259</v>
      </c>
      <c r="K125" s="169" t="s">
        <v>259</v>
      </c>
      <c r="L125" s="169" t="s">
        <v>259</v>
      </c>
      <c r="M125" s="169" t="s">
        <v>259</v>
      </c>
      <c r="N125" s="169" t="s">
        <v>259</v>
      </c>
      <c r="O125" s="169" t="s">
        <v>259</v>
      </c>
      <c r="P125" s="169" t="s">
        <v>259</v>
      </c>
      <c r="Q125" s="169" t="s">
        <v>259</v>
      </c>
      <c r="R125" s="169" t="s">
        <v>259</v>
      </c>
      <c r="S125" s="169" t="s">
        <v>259</v>
      </c>
      <c r="T125" s="169" t="s">
        <v>259</v>
      </c>
      <c r="U125" s="169" t="s">
        <v>259</v>
      </c>
      <c r="V125" s="169" t="s">
        <v>259</v>
      </c>
      <c r="W125" s="169" t="s">
        <v>259</v>
      </c>
      <c r="X125" s="169" t="s">
        <v>259</v>
      </c>
      <c r="Y125" s="169" t="s">
        <v>259</v>
      </c>
      <c r="Z125" s="169" t="s">
        <v>259</v>
      </c>
      <c r="AA125" s="169" t="s">
        <v>259</v>
      </c>
      <c r="AB125" s="169" t="s">
        <v>259</v>
      </c>
      <c r="AC125" s="169" t="s">
        <v>259</v>
      </c>
      <c r="AD125" s="169" t="s">
        <v>259</v>
      </c>
      <c r="AE125" s="169" t="s">
        <v>259</v>
      </c>
      <c r="AF125" s="169" t="s">
        <v>259</v>
      </c>
      <c r="AG125" s="169" t="s">
        <v>259</v>
      </c>
      <c r="AH125" s="169" t="s">
        <v>259</v>
      </c>
      <c r="AI125" s="169" t="s">
        <v>259</v>
      </c>
      <c r="AJ125" s="169" t="s">
        <v>259</v>
      </c>
      <c r="AK125" s="169" t="s">
        <v>259</v>
      </c>
      <c r="AL125" s="169" t="s">
        <v>259</v>
      </c>
      <c r="AM125" s="169" t="s">
        <v>259</v>
      </c>
      <c r="AN125" s="169" t="s">
        <v>259</v>
      </c>
      <c r="AO125" s="169" t="s">
        <v>259</v>
      </c>
      <c r="AP125" s="169" t="s">
        <v>259</v>
      </c>
      <c r="AQ125" s="169" t="s">
        <v>259</v>
      </c>
      <c r="AR125" s="169" t="s">
        <v>259</v>
      </c>
      <c r="AS125" s="169" t="s">
        <v>259</v>
      </c>
      <c r="AT125" s="169" t="s">
        <v>259</v>
      </c>
      <c r="AU125" s="169" t="s">
        <v>259</v>
      </c>
      <c r="AV125" s="169" t="s">
        <v>259</v>
      </c>
      <c r="AW125" s="169" t="s">
        <v>259</v>
      </c>
      <c r="AX125" s="169" t="s">
        <v>259</v>
      </c>
      <c r="AY125" s="169" t="s">
        <v>259</v>
      </c>
      <c r="AZ125" s="169" t="s">
        <v>259</v>
      </c>
      <c r="BA125" s="169" t="s">
        <v>259</v>
      </c>
      <c r="BB125" s="169" t="s">
        <v>259</v>
      </c>
      <c r="BC125" s="169" t="s">
        <v>259</v>
      </c>
      <c r="BD125" s="169" t="s">
        <v>259</v>
      </c>
      <c r="BE125" s="169" t="s">
        <v>259</v>
      </c>
      <c r="BF125" s="169" t="s">
        <v>259</v>
      </c>
      <c r="BG125" s="169" t="s">
        <v>259</v>
      </c>
      <c r="BH125" s="169" t="s">
        <v>259</v>
      </c>
      <c r="BI125" s="169" t="s">
        <v>259</v>
      </c>
      <c r="BJ125" s="169" t="s">
        <v>259</v>
      </c>
      <c r="BK125" s="169" t="s">
        <v>259</v>
      </c>
      <c r="BL125" s="169" t="s">
        <v>259</v>
      </c>
      <c r="BM125" s="169" t="s">
        <v>259</v>
      </c>
      <c r="BN125" s="169" t="s">
        <v>259</v>
      </c>
      <c r="BO125" s="169" t="s">
        <v>259</v>
      </c>
      <c r="BP125" s="169" t="s">
        <v>259</v>
      </c>
      <c r="BQ125" s="169" t="s">
        <v>259</v>
      </c>
      <c r="BR125" s="169" t="s">
        <v>259</v>
      </c>
      <c r="BS125" s="169" t="s">
        <v>259</v>
      </c>
      <c r="BT125" s="169" t="s">
        <v>259</v>
      </c>
      <c r="BU125" s="169" t="s">
        <v>259</v>
      </c>
      <c r="BV125" s="169" t="s">
        <v>259</v>
      </c>
      <c r="BW125" s="169" t="s">
        <v>259</v>
      </c>
      <c r="BX125" s="169" t="s">
        <v>259</v>
      </c>
      <c r="BY125" s="169" t="s">
        <v>259</v>
      </c>
      <c r="BZ125" s="169" t="s">
        <v>259</v>
      </c>
      <c r="CA125" s="169" t="s">
        <v>259</v>
      </c>
      <c r="CB125" s="169" t="s">
        <v>259</v>
      </c>
      <c r="CC125" s="169" t="s">
        <v>259</v>
      </c>
      <c r="CD125" s="169" t="s">
        <v>259</v>
      </c>
      <c r="CE125" s="169" t="s">
        <v>259</v>
      </c>
      <c r="CF125" s="169" t="s">
        <v>259</v>
      </c>
      <c r="CG125" s="169" t="s">
        <v>259</v>
      </c>
      <c r="CH125" s="169" t="s">
        <v>259</v>
      </c>
      <c r="CI125" s="169" t="s">
        <v>259</v>
      </c>
      <c r="CJ125" s="169" t="s">
        <v>259</v>
      </c>
      <c r="CK125" s="169" t="s">
        <v>259</v>
      </c>
      <c r="CL125" s="169" t="s">
        <v>259</v>
      </c>
      <c r="CM125" s="169" t="s">
        <v>259</v>
      </c>
      <c r="CN125" s="169" t="s">
        <v>259</v>
      </c>
      <c r="CO125" s="169" t="s">
        <v>259</v>
      </c>
      <c r="CP125" s="169" t="s">
        <v>259</v>
      </c>
      <c r="CQ125" s="169" t="s">
        <v>259</v>
      </c>
      <c r="CR125" s="169" t="s">
        <v>259</v>
      </c>
      <c r="CS125" s="169" t="s">
        <v>259</v>
      </c>
      <c r="CT125" s="169" t="s">
        <v>259</v>
      </c>
      <c r="CU125" s="169" t="s">
        <v>259</v>
      </c>
      <c r="CV125" s="169" t="s">
        <v>259</v>
      </c>
      <c r="CW125" s="169" t="s">
        <v>259</v>
      </c>
      <c r="CX125" s="169" t="s">
        <v>259</v>
      </c>
      <c r="CY125" s="169" t="s">
        <v>259</v>
      </c>
      <c r="CZ125" s="169" t="s">
        <v>259</v>
      </c>
      <c r="DA125" s="169" t="s">
        <v>259</v>
      </c>
      <c r="DB125" s="169" t="s">
        <v>259</v>
      </c>
      <c r="DC125" s="169" t="s">
        <v>259</v>
      </c>
      <c r="DD125" s="169" t="s">
        <v>259</v>
      </c>
      <c r="DE125" s="169" t="s">
        <v>259</v>
      </c>
      <c r="DF125" s="169" t="s">
        <v>259</v>
      </c>
      <c r="DG125" s="169" t="s">
        <v>259</v>
      </c>
      <c r="DH125" s="169" t="s">
        <v>259</v>
      </c>
      <c r="DI125" s="169" t="s">
        <v>259</v>
      </c>
      <c r="DJ125" s="169" t="s">
        <v>259</v>
      </c>
      <c r="DK125" s="169" t="s">
        <v>259</v>
      </c>
      <c r="DL125" s="169" t="s">
        <v>259</v>
      </c>
      <c r="DM125" s="169" t="s">
        <v>259</v>
      </c>
      <c r="DN125" s="169" t="s">
        <v>259</v>
      </c>
      <c r="DO125" s="169" t="s">
        <v>259</v>
      </c>
      <c r="DP125" s="169" t="s">
        <v>259</v>
      </c>
      <c r="DQ125" s="169" t="s">
        <v>259</v>
      </c>
      <c r="DR125" s="169" t="s">
        <v>259</v>
      </c>
      <c r="DS125" s="169" t="s">
        <v>259</v>
      </c>
      <c r="DT125" s="169" t="s">
        <v>259</v>
      </c>
    </row>
    <row r="126" spans="2:124" x14ac:dyDescent="0.3">
      <c r="B126" t="str">
        <f>'IMPORT SCHLIESSERDATEN'!B125</f>
        <v>ITS 96 EN 2-4</v>
      </c>
      <c r="D126" s="169" t="s">
        <v>259</v>
      </c>
      <c r="E126" s="169" t="s">
        <v>259</v>
      </c>
      <c r="F126" s="169" t="s">
        <v>259</v>
      </c>
      <c r="G126" s="169" t="s">
        <v>259</v>
      </c>
      <c r="H126" s="169" t="s">
        <v>259</v>
      </c>
      <c r="I126" s="169" t="s">
        <v>259</v>
      </c>
      <c r="J126" s="169" t="s">
        <v>259</v>
      </c>
      <c r="K126" s="169" t="s">
        <v>259</v>
      </c>
      <c r="L126" s="169" t="s">
        <v>259</v>
      </c>
      <c r="M126" s="169" t="s">
        <v>259</v>
      </c>
      <c r="N126" s="169" t="s">
        <v>259</v>
      </c>
      <c r="O126" s="169" t="s">
        <v>259</v>
      </c>
      <c r="P126" s="169" t="s">
        <v>259</v>
      </c>
      <c r="Q126" s="169" t="s">
        <v>259</v>
      </c>
      <c r="R126" s="169" t="s">
        <v>259</v>
      </c>
      <c r="S126" s="169" t="s">
        <v>259</v>
      </c>
      <c r="T126" s="169" t="s">
        <v>259</v>
      </c>
      <c r="U126" s="169" t="s">
        <v>259</v>
      </c>
      <c r="V126" s="169" t="s">
        <v>259</v>
      </c>
      <c r="W126" s="169" t="s">
        <v>259</v>
      </c>
      <c r="X126" s="169" t="s">
        <v>259</v>
      </c>
      <c r="Y126" s="169" t="s">
        <v>259</v>
      </c>
      <c r="Z126" s="169" t="s">
        <v>259</v>
      </c>
      <c r="AA126" s="169" t="s">
        <v>259</v>
      </c>
      <c r="AB126" s="169" t="s">
        <v>259</v>
      </c>
      <c r="AC126" s="169" t="s">
        <v>259</v>
      </c>
      <c r="AD126" s="169" t="s">
        <v>259</v>
      </c>
      <c r="AE126" s="169" t="s">
        <v>259</v>
      </c>
      <c r="AF126" s="169" t="s">
        <v>259</v>
      </c>
      <c r="AG126" s="169" t="s">
        <v>259</v>
      </c>
      <c r="AH126" s="169" t="s">
        <v>259</v>
      </c>
      <c r="AI126" s="169" t="s">
        <v>259</v>
      </c>
      <c r="AJ126" s="169" t="s">
        <v>259</v>
      </c>
      <c r="AK126" s="169" t="s">
        <v>259</v>
      </c>
      <c r="AL126" s="169" t="s">
        <v>259</v>
      </c>
      <c r="AM126" s="169" t="s">
        <v>259</v>
      </c>
      <c r="AN126" s="169" t="s">
        <v>259</v>
      </c>
      <c r="AO126" s="169" t="s">
        <v>259</v>
      </c>
      <c r="AP126" s="169" t="s">
        <v>259</v>
      </c>
      <c r="AQ126" s="169" t="s">
        <v>259</v>
      </c>
      <c r="AR126" s="169" t="s">
        <v>259</v>
      </c>
      <c r="AS126" s="169" t="s">
        <v>259</v>
      </c>
      <c r="AT126" s="169" t="s">
        <v>259</v>
      </c>
      <c r="AU126" s="169" t="s">
        <v>259</v>
      </c>
      <c r="AV126" s="169" t="s">
        <v>259</v>
      </c>
      <c r="AW126" s="169" t="s">
        <v>259</v>
      </c>
      <c r="AX126" s="169" t="s">
        <v>259</v>
      </c>
      <c r="AY126" s="169" t="s">
        <v>259</v>
      </c>
      <c r="AZ126" s="169" t="s">
        <v>259</v>
      </c>
      <c r="BA126" s="169" t="s">
        <v>259</v>
      </c>
      <c r="BB126" s="169" t="s">
        <v>259</v>
      </c>
      <c r="BC126" s="169" t="s">
        <v>259</v>
      </c>
      <c r="BD126" s="169" t="s">
        <v>259</v>
      </c>
      <c r="BE126" s="169" t="s">
        <v>259</v>
      </c>
      <c r="BF126" s="169" t="s">
        <v>259</v>
      </c>
      <c r="BG126" s="169" t="s">
        <v>259</v>
      </c>
      <c r="BH126" s="169" t="s">
        <v>259</v>
      </c>
      <c r="BI126" s="169" t="s">
        <v>259</v>
      </c>
      <c r="BJ126" s="169" t="s">
        <v>259</v>
      </c>
      <c r="BK126" s="169" t="s">
        <v>259</v>
      </c>
      <c r="BL126" s="169" t="s">
        <v>259</v>
      </c>
      <c r="BM126" s="169" t="s">
        <v>259</v>
      </c>
      <c r="BN126" s="169" t="s">
        <v>259</v>
      </c>
      <c r="BO126" s="169" t="s">
        <v>259</v>
      </c>
      <c r="BP126" s="169" t="s">
        <v>259</v>
      </c>
      <c r="BQ126" s="169" t="s">
        <v>259</v>
      </c>
      <c r="BR126" s="169" t="s">
        <v>259</v>
      </c>
      <c r="BS126" s="169" t="s">
        <v>259</v>
      </c>
      <c r="BT126" s="169" t="s">
        <v>259</v>
      </c>
      <c r="BU126" s="169" t="s">
        <v>259</v>
      </c>
      <c r="BV126" s="169" t="s">
        <v>259</v>
      </c>
      <c r="BW126" s="169" t="s">
        <v>259</v>
      </c>
      <c r="BX126" s="169" t="s">
        <v>259</v>
      </c>
      <c r="BY126" s="169" t="s">
        <v>259</v>
      </c>
      <c r="BZ126" s="169" t="s">
        <v>259</v>
      </c>
      <c r="CA126" s="169" t="s">
        <v>259</v>
      </c>
      <c r="CB126" s="169" t="s">
        <v>259</v>
      </c>
      <c r="CC126" s="169" t="s">
        <v>259</v>
      </c>
      <c r="CD126" s="169" t="s">
        <v>259</v>
      </c>
      <c r="CE126" s="169" t="s">
        <v>259</v>
      </c>
      <c r="CF126" s="169" t="s">
        <v>259</v>
      </c>
      <c r="CG126" s="169" t="s">
        <v>259</v>
      </c>
      <c r="CH126" s="169" t="s">
        <v>259</v>
      </c>
      <c r="CI126" s="169" t="s">
        <v>259</v>
      </c>
      <c r="CJ126" s="169" t="s">
        <v>259</v>
      </c>
      <c r="CK126" s="169" t="s">
        <v>259</v>
      </c>
      <c r="CL126" s="169" t="s">
        <v>259</v>
      </c>
      <c r="CM126" s="169" t="s">
        <v>259</v>
      </c>
      <c r="CN126" s="169" t="s">
        <v>259</v>
      </c>
      <c r="CO126" s="169" t="s">
        <v>259</v>
      </c>
      <c r="CP126" s="169" t="s">
        <v>259</v>
      </c>
      <c r="CQ126" s="169" t="s">
        <v>259</v>
      </c>
      <c r="CR126" s="169" t="s">
        <v>259</v>
      </c>
      <c r="CS126" s="169" t="s">
        <v>259</v>
      </c>
      <c r="CT126" s="169" t="s">
        <v>259</v>
      </c>
      <c r="CU126" s="169" t="s">
        <v>259</v>
      </c>
      <c r="CV126" s="169" t="s">
        <v>259</v>
      </c>
      <c r="CW126" s="169" t="s">
        <v>259</v>
      </c>
      <c r="CX126" s="169" t="s">
        <v>259</v>
      </c>
      <c r="CY126" s="169" t="s">
        <v>259</v>
      </c>
      <c r="CZ126" s="169" t="s">
        <v>259</v>
      </c>
      <c r="DA126" s="169" t="s">
        <v>259</v>
      </c>
      <c r="DB126" s="169" t="s">
        <v>259</v>
      </c>
      <c r="DC126" s="169" t="s">
        <v>259</v>
      </c>
      <c r="DD126" s="169" t="s">
        <v>259</v>
      </c>
      <c r="DE126" s="169" t="s">
        <v>259</v>
      </c>
      <c r="DF126" s="169" t="s">
        <v>259</v>
      </c>
      <c r="DG126" s="169" t="s">
        <v>259</v>
      </c>
      <c r="DH126" s="169" t="s">
        <v>259</v>
      </c>
      <c r="DI126" s="169" t="s">
        <v>259</v>
      </c>
      <c r="DJ126" s="169" t="s">
        <v>259</v>
      </c>
      <c r="DK126" s="169" t="s">
        <v>259</v>
      </c>
      <c r="DL126" s="169" t="s">
        <v>259</v>
      </c>
      <c r="DM126" s="169" t="s">
        <v>259</v>
      </c>
      <c r="DN126" s="169" t="s">
        <v>259</v>
      </c>
      <c r="DO126" s="169" t="s">
        <v>259</v>
      </c>
      <c r="DP126" s="169" t="s">
        <v>259</v>
      </c>
      <c r="DQ126" s="169" t="s">
        <v>259</v>
      </c>
      <c r="DR126" s="169" t="s">
        <v>259</v>
      </c>
      <c r="DS126" s="169" t="s">
        <v>259</v>
      </c>
      <c r="DT126" s="169" t="s">
        <v>259</v>
      </c>
    </row>
    <row r="127" spans="2:124" x14ac:dyDescent="0.3">
      <c r="B127" t="str">
        <f>'IMPORT SCHLIESSERDATEN'!B126</f>
        <v>ITS 96 RF EN 2-4</v>
      </c>
      <c r="D127" s="169" t="s">
        <v>259</v>
      </c>
      <c r="E127" s="169" t="s">
        <v>259</v>
      </c>
      <c r="F127" s="169" t="s">
        <v>259</v>
      </c>
      <c r="G127" s="169" t="s">
        <v>259</v>
      </c>
      <c r="H127" s="169" t="s">
        <v>259</v>
      </c>
      <c r="I127" s="169" t="s">
        <v>259</v>
      </c>
      <c r="J127" s="169" t="s">
        <v>259</v>
      </c>
      <c r="K127" s="169" t="s">
        <v>259</v>
      </c>
      <c r="L127" s="169" t="s">
        <v>259</v>
      </c>
      <c r="M127" s="169" t="s">
        <v>259</v>
      </c>
      <c r="N127" s="169" t="s">
        <v>259</v>
      </c>
      <c r="O127" s="169" t="s">
        <v>259</v>
      </c>
      <c r="P127" s="169" t="s">
        <v>259</v>
      </c>
      <c r="Q127" s="169" t="s">
        <v>259</v>
      </c>
      <c r="R127" s="169" t="s">
        <v>259</v>
      </c>
      <c r="S127" s="169" t="s">
        <v>259</v>
      </c>
      <c r="T127" s="169" t="s">
        <v>259</v>
      </c>
      <c r="U127" s="169" t="s">
        <v>1995</v>
      </c>
      <c r="V127" s="169" t="s">
        <v>259</v>
      </c>
      <c r="W127" s="169" t="s">
        <v>259</v>
      </c>
      <c r="X127" s="169" t="s">
        <v>259</v>
      </c>
      <c r="Y127" s="169" t="s">
        <v>259</v>
      </c>
      <c r="Z127" s="169" t="s">
        <v>259</v>
      </c>
      <c r="AA127" s="169" t="s">
        <v>259</v>
      </c>
      <c r="AB127" s="169" t="s">
        <v>259</v>
      </c>
      <c r="AC127" s="169" t="s">
        <v>259</v>
      </c>
      <c r="AD127" s="169" t="s">
        <v>259</v>
      </c>
      <c r="AE127" s="169" t="s">
        <v>259</v>
      </c>
      <c r="AF127" s="169" t="s">
        <v>259</v>
      </c>
      <c r="AG127" s="169" t="s">
        <v>259</v>
      </c>
      <c r="AH127" s="169" t="s">
        <v>259</v>
      </c>
      <c r="AI127" s="169" t="s">
        <v>259</v>
      </c>
      <c r="AJ127" s="169" t="s">
        <v>259</v>
      </c>
      <c r="AK127" s="169" t="s">
        <v>259</v>
      </c>
      <c r="AL127" s="169" t="s">
        <v>259</v>
      </c>
      <c r="AM127" s="169" t="s">
        <v>259</v>
      </c>
      <c r="AN127" s="169" t="s">
        <v>259</v>
      </c>
      <c r="AO127" s="169" t="s">
        <v>259</v>
      </c>
      <c r="AP127" s="169" t="s">
        <v>259</v>
      </c>
      <c r="AQ127" s="169" t="s">
        <v>259</v>
      </c>
      <c r="AR127" s="169" t="s">
        <v>259</v>
      </c>
      <c r="AS127" s="169" t="s">
        <v>259</v>
      </c>
      <c r="AT127" s="169" t="s">
        <v>259</v>
      </c>
      <c r="AU127" s="169" t="s">
        <v>259</v>
      </c>
      <c r="AV127" s="169" t="s">
        <v>259</v>
      </c>
      <c r="AW127" s="169" t="s">
        <v>259</v>
      </c>
      <c r="AX127" s="169" t="s">
        <v>259</v>
      </c>
      <c r="AY127" s="169" t="s">
        <v>259</v>
      </c>
      <c r="AZ127" s="169" t="s">
        <v>259</v>
      </c>
      <c r="BA127" s="169" t="s">
        <v>259</v>
      </c>
      <c r="BB127" s="169" t="s">
        <v>259</v>
      </c>
      <c r="BC127" s="169" t="s">
        <v>259</v>
      </c>
      <c r="BD127" s="169" t="s">
        <v>259</v>
      </c>
      <c r="BE127" s="169" t="s">
        <v>259</v>
      </c>
      <c r="BF127" s="169" t="s">
        <v>259</v>
      </c>
      <c r="BG127" s="169" t="s">
        <v>259</v>
      </c>
      <c r="BH127" s="169" t="s">
        <v>259</v>
      </c>
      <c r="BI127" s="169" t="s">
        <v>259</v>
      </c>
      <c r="BJ127" s="169" t="s">
        <v>259</v>
      </c>
      <c r="BK127" s="169" t="s">
        <v>259</v>
      </c>
      <c r="BL127" s="169" t="s">
        <v>259</v>
      </c>
      <c r="BM127" s="169" t="s">
        <v>259</v>
      </c>
      <c r="BN127" s="169" t="s">
        <v>259</v>
      </c>
      <c r="BO127" s="169" t="s">
        <v>259</v>
      </c>
      <c r="BP127" s="169" t="s">
        <v>259</v>
      </c>
      <c r="BQ127" s="169" t="s">
        <v>259</v>
      </c>
      <c r="BR127" s="169" t="s">
        <v>259</v>
      </c>
      <c r="BS127" s="169" t="s">
        <v>259</v>
      </c>
      <c r="BT127" s="169" t="s">
        <v>259</v>
      </c>
      <c r="BU127" s="169" t="s">
        <v>259</v>
      </c>
      <c r="BV127" s="169" t="s">
        <v>259</v>
      </c>
      <c r="BW127" s="169" t="s">
        <v>259</v>
      </c>
      <c r="BX127" s="169" t="s">
        <v>259</v>
      </c>
      <c r="BY127" s="169" t="s">
        <v>259</v>
      </c>
      <c r="BZ127" s="169" t="s">
        <v>259</v>
      </c>
      <c r="CA127" s="169" t="s">
        <v>259</v>
      </c>
      <c r="CB127" s="169" t="s">
        <v>259</v>
      </c>
      <c r="CC127" s="169" t="s">
        <v>259</v>
      </c>
      <c r="CD127" s="169" t="s">
        <v>259</v>
      </c>
      <c r="CE127" s="169" t="s">
        <v>259</v>
      </c>
      <c r="CF127" s="169" t="s">
        <v>259</v>
      </c>
      <c r="CG127" s="169" t="s">
        <v>259</v>
      </c>
      <c r="CH127" s="169" t="s">
        <v>259</v>
      </c>
      <c r="CI127" s="169" t="s">
        <v>259</v>
      </c>
      <c r="CJ127" s="169" t="s">
        <v>259</v>
      </c>
      <c r="CK127" s="169" t="s">
        <v>259</v>
      </c>
      <c r="CL127" s="169" t="s">
        <v>259</v>
      </c>
      <c r="CM127" s="169" t="s">
        <v>259</v>
      </c>
      <c r="CN127" s="169" t="s">
        <v>259</v>
      </c>
      <c r="CO127" s="169" t="s">
        <v>259</v>
      </c>
      <c r="CP127" s="169" t="s">
        <v>259</v>
      </c>
      <c r="CQ127" s="169" t="s">
        <v>259</v>
      </c>
      <c r="CR127" s="169" t="s">
        <v>259</v>
      </c>
      <c r="CS127" s="169" t="s">
        <v>259</v>
      </c>
      <c r="CT127" s="169" t="s">
        <v>259</v>
      </c>
      <c r="CU127" s="169" t="s">
        <v>259</v>
      </c>
      <c r="CV127" s="169" t="s">
        <v>259</v>
      </c>
      <c r="CW127" s="169" t="s">
        <v>259</v>
      </c>
      <c r="CX127" s="169" t="s">
        <v>259</v>
      </c>
      <c r="CY127" s="169" t="s">
        <v>259</v>
      </c>
      <c r="CZ127" s="169" t="s">
        <v>259</v>
      </c>
      <c r="DA127" s="169" t="s">
        <v>259</v>
      </c>
      <c r="DB127" s="169" t="s">
        <v>259</v>
      </c>
      <c r="DC127" s="169" t="s">
        <v>259</v>
      </c>
      <c r="DD127" s="169" t="s">
        <v>259</v>
      </c>
      <c r="DE127" s="169" t="s">
        <v>259</v>
      </c>
      <c r="DF127" s="169" t="s">
        <v>259</v>
      </c>
      <c r="DG127" s="169" t="s">
        <v>259</v>
      </c>
      <c r="DH127" s="169" t="s">
        <v>259</v>
      </c>
      <c r="DI127" s="169" t="s">
        <v>259</v>
      </c>
      <c r="DJ127" s="169" t="s">
        <v>259</v>
      </c>
      <c r="DK127" s="169" t="s">
        <v>259</v>
      </c>
      <c r="DL127" s="169" t="s">
        <v>259</v>
      </c>
      <c r="DM127" s="169" t="s">
        <v>259</v>
      </c>
      <c r="DN127" s="169" t="s">
        <v>259</v>
      </c>
      <c r="DO127" s="169" t="s">
        <v>259</v>
      </c>
      <c r="DP127" s="169" t="s">
        <v>259</v>
      </c>
      <c r="DQ127" s="169" t="s">
        <v>259</v>
      </c>
      <c r="DR127" s="169" t="s">
        <v>259</v>
      </c>
      <c r="DS127" s="169" t="s">
        <v>259</v>
      </c>
      <c r="DT127" s="169" t="s">
        <v>259</v>
      </c>
    </row>
    <row r="128" spans="2:124" x14ac:dyDescent="0.3">
      <c r="B128" t="str">
        <f>'IMPORT SCHLIESSERDATEN'!B127</f>
        <v>ITS 96 EMF EN 2-4</v>
      </c>
      <c r="D128" s="169" t="s">
        <v>259</v>
      </c>
      <c r="E128" s="169" t="s">
        <v>259</v>
      </c>
      <c r="F128" s="169" t="s">
        <v>259</v>
      </c>
      <c r="G128" s="169" t="s">
        <v>259</v>
      </c>
      <c r="H128" s="169" t="s">
        <v>259</v>
      </c>
      <c r="I128" s="169" t="s">
        <v>259</v>
      </c>
      <c r="J128" s="169" t="s">
        <v>259</v>
      </c>
      <c r="K128" s="169" t="s">
        <v>259</v>
      </c>
      <c r="L128" s="169" t="s">
        <v>259</v>
      </c>
      <c r="M128" s="169" t="s">
        <v>259</v>
      </c>
      <c r="N128" s="169" t="s">
        <v>259</v>
      </c>
      <c r="O128" s="169" t="s">
        <v>259</v>
      </c>
      <c r="P128" s="169" t="s">
        <v>259</v>
      </c>
      <c r="Q128" s="169" t="s">
        <v>259</v>
      </c>
      <c r="R128" s="169" t="s">
        <v>259</v>
      </c>
      <c r="S128" s="169" t="s">
        <v>259</v>
      </c>
      <c r="T128" s="169" t="s">
        <v>259</v>
      </c>
      <c r="U128" s="169" t="s">
        <v>259</v>
      </c>
      <c r="V128" s="169" t="s">
        <v>259</v>
      </c>
      <c r="W128" s="169" t="s">
        <v>259</v>
      </c>
      <c r="X128" s="169" t="s">
        <v>259</v>
      </c>
      <c r="Y128" s="169" t="s">
        <v>259</v>
      </c>
      <c r="Z128" s="169" t="s">
        <v>259</v>
      </c>
      <c r="AA128" s="169" t="s">
        <v>259</v>
      </c>
      <c r="AB128" s="169" t="s">
        <v>259</v>
      </c>
      <c r="AC128" s="169" t="s">
        <v>259</v>
      </c>
      <c r="AD128" s="169" t="s">
        <v>259</v>
      </c>
      <c r="AE128" s="169" t="s">
        <v>259</v>
      </c>
      <c r="AF128" s="169" t="s">
        <v>259</v>
      </c>
      <c r="AG128" s="169" t="s">
        <v>259</v>
      </c>
      <c r="AH128" s="169" t="s">
        <v>259</v>
      </c>
      <c r="AI128" s="169" t="s">
        <v>259</v>
      </c>
      <c r="AJ128" s="169" t="s">
        <v>259</v>
      </c>
      <c r="AK128" s="169" t="s">
        <v>259</v>
      </c>
      <c r="AL128" s="169" t="s">
        <v>259</v>
      </c>
      <c r="AM128" s="169" t="s">
        <v>259</v>
      </c>
      <c r="AN128" s="169" t="s">
        <v>259</v>
      </c>
      <c r="AO128" s="169" t="s">
        <v>259</v>
      </c>
      <c r="AP128" s="169" t="s">
        <v>259</v>
      </c>
      <c r="AQ128" s="169" t="s">
        <v>259</v>
      </c>
      <c r="AR128" s="169" t="s">
        <v>259</v>
      </c>
      <c r="AS128" s="169" t="s">
        <v>259</v>
      </c>
      <c r="AT128" s="169" t="s">
        <v>259</v>
      </c>
      <c r="AU128" s="169" t="s">
        <v>259</v>
      </c>
      <c r="AV128" s="169" t="s">
        <v>259</v>
      </c>
      <c r="AW128" s="169" t="s">
        <v>259</v>
      </c>
      <c r="AX128" s="169" t="s">
        <v>259</v>
      </c>
      <c r="AY128" s="169" t="s">
        <v>259</v>
      </c>
      <c r="AZ128" s="169" t="s">
        <v>259</v>
      </c>
      <c r="BA128" s="169" t="s">
        <v>259</v>
      </c>
      <c r="BB128" s="169" t="s">
        <v>259</v>
      </c>
      <c r="BC128" s="169" t="s">
        <v>259</v>
      </c>
      <c r="BD128" s="169" t="s">
        <v>259</v>
      </c>
      <c r="BE128" s="169" t="s">
        <v>259</v>
      </c>
      <c r="BF128" s="169" t="s">
        <v>259</v>
      </c>
      <c r="BG128" s="169" t="s">
        <v>259</v>
      </c>
      <c r="BH128" s="169" t="s">
        <v>259</v>
      </c>
      <c r="BI128" s="169" t="s">
        <v>259</v>
      </c>
      <c r="BJ128" s="169" t="s">
        <v>259</v>
      </c>
      <c r="BK128" s="169" t="s">
        <v>259</v>
      </c>
      <c r="BL128" s="169" t="s">
        <v>259</v>
      </c>
      <c r="BM128" s="169" t="s">
        <v>259</v>
      </c>
      <c r="BN128" s="169" t="s">
        <v>259</v>
      </c>
      <c r="BO128" s="169" t="s">
        <v>259</v>
      </c>
      <c r="BP128" s="169" t="s">
        <v>259</v>
      </c>
      <c r="BQ128" s="169" t="s">
        <v>259</v>
      </c>
      <c r="BR128" s="169" t="s">
        <v>259</v>
      </c>
      <c r="BS128" s="169" t="s">
        <v>259</v>
      </c>
      <c r="BT128" s="169" t="s">
        <v>259</v>
      </c>
      <c r="BU128" s="169" t="s">
        <v>259</v>
      </c>
      <c r="BV128" s="169" t="s">
        <v>259</v>
      </c>
      <c r="BW128" s="169" t="s">
        <v>259</v>
      </c>
      <c r="BX128" s="169" t="s">
        <v>259</v>
      </c>
      <c r="BY128" s="169" t="s">
        <v>259</v>
      </c>
      <c r="BZ128" s="169" t="s">
        <v>259</v>
      </c>
      <c r="CA128" s="169" t="s">
        <v>259</v>
      </c>
      <c r="CB128" s="169" t="s">
        <v>259</v>
      </c>
      <c r="CC128" s="169" t="s">
        <v>259</v>
      </c>
      <c r="CD128" s="169" t="s">
        <v>259</v>
      </c>
      <c r="CE128" s="169" t="s">
        <v>259</v>
      </c>
      <c r="CF128" s="169" t="s">
        <v>259</v>
      </c>
      <c r="CG128" s="169" t="s">
        <v>259</v>
      </c>
      <c r="CH128" s="169" t="s">
        <v>259</v>
      </c>
      <c r="CI128" s="169" t="s">
        <v>259</v>
      </c>
      <c r="CJ128" s="169" t="s">
        <v>259</v>
      </c>
      <c r="CK128" s="169" t="s">
        <v>259</v>
      </c>
      <c r="CL128" s="169" t="s">
        <v>259</v>
      </c>
      <c r="CM128" s="169" t="s">
        <v>259</v>
      </c>
      <c r="CN128" s="169" t="s">
        <v>259</v>
      </c>
      <c r="CO128" s="169" t="s">
        <v>259</v>
      </c>
      <c r="CP128" s="169" t="s">
        <v>259</v>
      </c>
      <c r="CQ128" s="169" t="s">
        <v>259</v>
      </c>
      <c r="CR128" s="169" t="s">
        <v>259</v>
      </c>
      <c r="CS128" s="169" t="s">
        <v>259</v>
      </c>
      <c r="CT128" s="169" t="s">
        <v>259</v>
      </c>
      <c r="CU128" s="169" t="s">
        <v>259</v>
      </c>
      <c r="CV128" s="169" t="s">
        <v>259</v>
      </c>
      <c r="CW128" s="169" t="s">
        <v>259</v>
      </c>
      <c r="CX128" s="169" t="s">
        <v>259</v>
      </c>
      <c r="CY128" s="169" t="s">
        <v>259</v>
      </c>
      <c r="CZ128" s="169" t="s">
        <v>259</v>
      </c>
      <c r="DA128" s="169" t="s">
        <v>259</v>
      </c>
      <c r="DB128" s="169" t="s">
        <v>259</v>
      </c>
      <c r="DC128" s="169" t="s">
        <v>259</v>
      </c>
      <c r="DD128" s="169" t="s">
        <v>259</v>
      </c>
      <c r="DE128" s="169" t="s">
        <v>259</v>
      </c>
      <c r="DF128" s="169" t="s">
        <v>259</v>
      </c>
      <c r="DG128" s="169" t="s">
        <v>259</v>
      </c>
      <c r="DH128" s="169" t="s">
        <v>259</v>
      </c>
      <c r="DI128" s="169" t="s">
        <v>259</v>
      </c>
      <c r="DJ128" s="169" t="s">
        <v>259</v>
      </c>
      <c r="DK128" s="169" t="s">
        <v>259</v>
      </c>
      <c r="DL128" s="169" t="s">
        <v>259</v>
      </c>
      <c r="DM128" s="169" t="s">
        <v>259</v>
      </c>
      <c r="DN128" s="169" t="s">
        <v>259</v>
      </c>
      <c r="DO128" s="169" t="s">
        <v>259</v>
      </c>
      <c r="DP128" s="169" t="s">
        <v>259</v>
      </c>
      <c r="DQ128" s="169" t="s">
        <v>259</v>
      </c>
      <c r="DR128" s="169" t="s">
        <v>259</v>
      </c>
      <c r="DS128" s="169" t="s">
        <v>259</v>
      </c>
      <c r="DT128" s="169" t="s">
        <v>259</v>
      </c>
    </row>
    <row r="129" spans="2:124" x14ac:dyDescent="0.3">
      <c r="B129" t="str">
        <f>'IMPORT SCHLIESSERDATEN'!B128</f>
        <v>ITS 96 GSR EN 2-4</v>
      </c>
      <c r="D129" s="169" t="s">
        <v>259</v>
      </c>
      <c r="E129" s="169" t="s">
        <v>259</v>
      </c>
      <c r="F129" s="169" t="s">
        <v>259</v>
      </c>
      <c r="G129" s="169" t="s">
        <v>259</v>
      </c>
      <c r="H129" s="169" t="s">
        <v>259</v>
      </c>
      <c r="I129" s="169" t="s">
        <v>259</v>
      </c>
      <c r="J129" s="169" t="s">
        <v>259</v>
      </c>
      <c r="K129" s="169" t="s">
        <v>259</v>
      </c>
      <c r="L129" s="169" t="s">
        <v>259</v>
      </c>
      <c r="M129" s="169" t="s">
        <v>259</v>
      </c>
      <c r="N129" s="169" t="s">
        <v>259</v>
      </c>
      <c r="O129" s="169" t="s">
        <v>259</v>
      </c>
      <c r="P129" s="169" t="s">
        <v>259</v>
      </c>
      <c r="Q129" s="169" t="s">
        <v>259</v>
      </c>
      <c r="R129" s="169" t="s">
        <v>259</v>
      </c>
      <c r="S129" s="169" t="s">
        <v>259</v>
      </c>
      <c r="T129" s="169" t="s">
        <v>259</v>
      </c>
      <c r="U129" s="169" t="s">
        <v>259</v>
      </c>
      <c r="V129" s="169" t="s">
        <v>259</v>
      </c>
      <c r="W129" s="169" t="s">
        <v>259</v>
      </c>
      <c r="X129" s="169" t="s">
        <v>259</v>
      </c>
      <c r="Y129" s="169" t="s">
        <v>259</v>
      </c>
      <c r="Z129" s="169" t="s">
        <v>259</v>
      </c>
      <c r="AA129" s="169" t="s">
        <v>259</v>
      </c>
      <c r="AB129" s="169" t="s">
        <v>259</v>
      </c>
      <c r="AC129" s="169" t="s">
        <v>259</v>
      </c>
      <c r="AD129" s="169" t="s">
        <v>259</v>
      </c>
      <c r="AE129" s="169" t="s">
        <v>259</v>
      </c>
      <c r="AF129" s="169" t="s">
        <v>259</v>
      </c>
      <c r="AG129" s="169" t="s">
        <v>259</v>
      </c>
      <c r="AH129" s="169" t="s">
        <v>259</v>
      </c>
      <c r="AI129" s="169" t="s">
        <v>259</v>
      </c>
      <c r="AJ129" s="169" t="s">
        <v>259</v>
      </c>
      <c r="AK129" s="169" t="s">
        <v>259</v>
      </c>
      <c r="AL129" s="169" t="s">
        <v>259</v>
      </c>
      <c r="AM129" s="169" t="s">
        <v>259</v>
      </c>
      <c r="AN129" s="169" t="s">
        <v>259</v>
      </c>
      <c r="AO129" s="169" t="s">
        <v>259</v>
      </c>
      <c r="AP129" s="169" t="s">
        <v>259</v>
      </c>
      <c r="AQ129" s="169" t="s">
        <v>259</v>
      </c>
      <c r="AR129" s="169" t="s">
        <v>259</v>
      </c>
      <c r="AS129" s="169" t="s">
        <v>259</v>
      </c>
      <c r="AT129" s="169" t="s">
        <v>259</v>
      </c>
      <c r="AU129" s="169" t="s">
        <v>259</v>
      </c>
      <c r="AV129" s="169" t="s">
        <v>259</v>
      </c>
      <c r="AW129" s="169" t="s">
        <v>259</v>
      </c>
      <c r="AX129" s="169" t="s">
        <v>259</v>
      </c>
      <c r="AY129" s="169" t="s">
        <v>259</v>
      </c>
      <c r="AZ129" s="169" t="s">
        <v>259</v>
      </c>
      <c r="BA129" s="169" t="s">
        <v>259</v>
      </c>
      <c r="BB129" s="169" t="s">
        <v>259</v>
      </c>
      <c r="BC129" s="169" t="s">
        <v>259</v>
      </c>
      <c r="BD129" s="169" t="s">
        <v>259</v>
      </c>
      <c r="BE129" s="169" t="s">
        <v>259</v>
      </c>
      <c r="BF129" s="169" t="s">
        <v>259</v>
      </c>
      <c r="BG129" s="169" t="s">
        <v>259</v>
      </c>
      <c r="BH129" s="169" t="s">
        <v>259</v>
      </c>
      <c r="BI129" s="169" t="s">
        <v>259</v>
      </c>
      <c r="BJ129" s="169" t="s">
        <v>259</v>
      </c>
      <c r="BK129" s="169" t="s">
        <v>259</v>
      </c>
      <c r="BL129" s="169" t="s">
        <v>259</v>
      </c>
      <c r="BM129" s="169" t="s">
        <v>259</v>
      </c>
      <c r="BN129" s="169" t="s">
        <v>259</v>
      </c>
      <c r="BO129" s="169" t="s">
        <v>259</v>
      </c>
      <c r="BP129" s="169" t="s">
        <v>259</v>
      </c>
      <c r="BQ129" s="169" t="s">
        <v>259</v>
      </c>
      <c r="BR129" s="169" t="s">
        <v>259</v>
      </c>
      <c r="BS129" s="169" t="s">
        <v>259</v>
      </c>
      <c r="BT129" s="169" t="s">
        <v>259</v>
      </c>
      <c r="BU129" s="169" t="s">
        <v>259</v>
      </c>
      <c r="BV129" s="169" t="s">
        <v>259</v>
      </c>
      <c r="BW129" s="169" t="s">
        <v>259</v>
      </c>
      <c r="BX129" s="169" t="s">
        <v>259</v>
      </c>
      <c r="BY129" s="169" t="s">
        <v>259</v>
      </c>
      <c r="BZ129" s="169" t="s">
        <v>259</v>
      </c>
      <c r="CA129" s="169" t="s">
        <v>259</v>
      </c>
      <c r="CB129" s="169" t="s">
        <v>259</v>
      </c>
      <c r="CC129" s="169" t="s">
        <v>259</v>
      </c>
      <c r="CD129" s="169" t="s">
        <v>259</v>
      </c>
      <c r="CE129" s="169" t="s">
        <v>259</v>
      </c>
      <c r="CF129" s="169" t="s">
        <v>259</v>
      </c>
      <c r="CG129" s="169" t="s">
        <v>259</v>
      </c>
      <c r="CH129" s="169" t="s">
        <v>259</v>
      </c>
      <c r="CI129" s="169" t="s">
        <v>259</v>
      </c>
      <c r="CJ129" s="169" t="s">
        <v>259</v>
      </c>
      <c r="CK129" s="169" t="s">
        <v>259</v>
      </c>
      <c r="CL129" s="169" t="s">
        <v>259</v>
      </c>
      <c r="CM129" s="169" t="s">
        <v>259</v>
      </c>
      <c r="CN129" s="169" t="s">
        <v>259</v>
      </c>
      <c r="CO129" s="169" t="s">
        <v>259</v>
      </c>
      <c r="CP129" s="169" t="s">
        <v>259</v>
      </c>
      <c r="CQ129" s="169" t="s">
        <v>259</v>
      </c>
      <c r="CR129" s="169" t="s">
        <v>259</v>
      </c>
      <c r="CS129" s="169" t="s">
        <v>259</v>
      </c>
      <c r="CT129" s="169" t="s">
        <v>259</v>
      </c>
      <c r="CU129" s="169" t="s">
        <v>259</v>
      </c>
      <c r="CV129" s="169" t="s">
        <v>259</v>
      </c>
      <c r="CW129" s="169" t="s">
        <v>259</v>
      </c>
      <c r="CX129" s="169" t="s">
        <v>259</v>
      </c>
      <c r="CY129" s="169" t="s">
        <v>259</v>
      </c>
      <c r="CZ129" s="169" t="s">
        <v>259</v>
      </c>
      <c r="DA129" s="169" t="s">
        <v>259</v>
      </c>
      <c r="DB129" s="169" t="s">
        <v>259</v>
      </c>
      <c r="DC129" s="169" t="s">
        <v>259</v>
      </c>
      <c r="DD129" s="169" t="s">
        <v>259</v>
      </c>
      <c r="DE129" s="169" t="s">
        <v>259</v>
      </c>
      <c r="DF129" s="169" t="s">
        <v>259</v>
      </c>
      <c r="DG129" s="169" t="s">
        <v>259</v>
      </c>
      <c r="DH129" s="169" t="s">
        <v>259</v>
      </c>
      <c r="DI129" s="169" t="s">
        <v>259</v>
      </c>
      <c r="DJ129" s="169" t="s">
        <v>259</v>
      </c>
      <c r="DK129" s="169" t="s">
        <v>259</v>
      </c>
      <c r="DL129" s="169" t="s">
        <v>259</v>
      </c>
      <c r="DM129" s="169" t="s">
        <v>259</v>
      </c>
      <c r="DN129" s="169" t="s">
        <v>259</v>
      </c>
      <c r="DO129" s="169" t="s">
        <v>259</v>
      </c>
      <c r="DP129" s="169" t="s">
        <v>259</v>
      </c>
      <c r="DQ129" s="169" t="s">
        <v>259</v>
      </c>
      <c r="DR129" s="169" t="s">
        <v>259</v>
      </c>
      <c r="DS129" s="169" t="s">
        <v>259</v>
      </c>
      <c r="DT129" s="169" t="s">
        <v>259</v>
      </c>
    </row>
    <row r="130" spans="2:124" x14ac:dyDescent="0.3">
      <c r="B130" t="str">
        <f>'IMPORT SCHLIESSERDATEN'!B129</f>
        <v>ITS 96 GSR RF EN 2-4</v>
      </c>
      <c r="D130" s="169" t="s">
        <v>259</v>
      </c>
      <c r="E130" s="169" t="s">
        <v>259</v>
      </c>
      <c r="F130" s="169" t="s">
        <v>259</v>
      </c>
      <c r="G130" s="169" t="s">
        <v>259</v>
      </c>
      <c r="H130" s="169" t="s">
        <v>259</v>
      </c>
      <c r="I130" s="169" t="s">
        <v>259</v>
      </c>
      <c r="J130" s="169" t="s">
        <v>259</v>
      </c>
      <c r="K130" s="169" t="s">
        <v>259</v>
      </c>
      <c r="L130" s="169" t="s">
        <v>259</v>
      </c>
      <c r="M130" s="169" t="s">
        <v>259</v>
      </c>
      <c r="N130" s="169" t="s">
        <v>259</v>
      </c>
      <c r="O130" s="169" t="s">
        <v>259</v>
      </c>
      <c r="P130" s="169" t="s">
        <v>259</v>
      </c>
      <c r="Q130" s="169" t="s">
        <v>259</v>
      </c>
      <c r="R130" s="169" t="s">
        <v>259</v>
      </c>
      <c r="S130" s="169" t="s">
        <v>259</v>
      </c>
      <c r="T130" s="169" t="s">
        <v>259</v>
      </c>
      <c r="U130" s="169" t="s">
        <v>259</v>
      </c>
      <c r="V130" s="169" t="s">
        <v>259</v>
      </c>
      <c r="W130" s="169" t="s">
        <v>259</v>
      </c>
      <c r="X130" s="169" t="s">
        <v>259</v>
      </c>
      <c r="Y130" s="169" t="s">
        <v>259</v>
      </c>
      <c r="Z130" s="169" t="s">
        <v>259</v>
      </c>
      <c r="AA130" s="169" t="s">
        <v>259</v>
      </c>
      <c r="AB130" s="169" t="s">
        <v>259</v>
      </c>
      <c r="AC130" s="169" t="s">
        <v>259</v>
      </c>
      <c r="AD130" s="169" t="s">
        <v>259</v>
      </c>
      <c r="AE130" s="169" t="s">
        <v>259</v>
      </c>
      <c r="AF130" s="169" t="s">
        <v>259</v>
      </c>
      <c r="AG130" s="169" t="s">
        <v>259</v>
      </c>
      <c r="AH130" s="169" t="s">
        <v>259</v>
      </c>
      <c r="AI130" s="169" t="s">
        <v>259</v>
      </c>
      <c r="AJ130" s="169" t="s">
        <v>259</v>
      </c>
      <c r="AK130" s="169" t="s">
        <v>259</v>
      </c>
      <c r="AL130" s="169" t="s">
        <v>259</v>
      </c>
      <c r="AM130" s="169" t="s">
        <v>259</v>
      </c>
      <c r="AN130" s="169" t="s">
        <v>259</v>
      </c>
      <c r="AO130" s="169" t="s">
        <v>259</v>
      </c>
      <c r="AP130" s="169" t="s">
        <v>259</v>
      </c>
      <c r="AQ130" s="169" t="s">
        <v>259</v>
      </c>
      <c r="AR130" s="169" t="s">
        <v>259</v>
      </c>
      <c r="AS130" s="169" t="s">
        <v>259</v>
      </c>
      <c r="AT130" s="169" t="s">
        <v>259</v>
      </c>
      <c r="AU130" s="169" t="s">
        <v>259</v>
      </c>
      <c r="AV130" s="169" t="s">
        <v>259</v>
      </c>
      <c r="AW130" s="169" t="s">
        <v>259</v>
      </c>
      <c r="AX130" s="169" t="s">
        <v>259</v>
      </c>
      <c r="AY130" s="169" t="s">
        <v>259</v>
      </c>
      <c r="AZ130" s="169" t="s">
        <v>259</v>
      </c>
      <c r="BA130" s="169" t="s">
        <v>259</v>
      </c>
      <c r="BB130" s="169" t="s">
        <v>259</v>
      </c>
      <c r="BC130" s="169" t="s">
        <v>259</v>
      </c>
      <c r="BD130" s="169" t="s">
        <v>259</v>
      </c>
      <c r="BE130" s="169" t="s">
        <v>259</v>
      </c>
      <c r="BF130" s="169" t="s">
        <v>259</v>
      </c>
      <c r="BG130" s="169" t="s">
        <v>259</v>
      </c>
      <c r="BH130" s="169" t="s">
        <v>259</v>
      </c>
      <c r="BI130" s="169" t="s">
        <v>259</v>
      </c>
      <c r="BJ130" s="169" t="s">
        <v>259</v>
      </c>
      <c r="BK130" s="169" t="s">
        <v>259</v>
      </c>
      <c r="BL130" s="169" t="s">
        <v>259</v>
      </c>
      <c r="BM130" s="169" t="s">
        <v>259</v>
      </c>
      <c r="BN130" s="169" t="s">
        <v>259</v>
      </c>
      <c r="BO130" s="169" t="s">
        <v>259</v>
      </c>
      <c r="BP130" s="169" t="s">
        <v>259</v>
      </c>
      <c r="BQ130" s="169" t="s">
        <v>259</v>
      </c>
      <c r="BR130" s="169" t="s">
        <v>259</v>
      </c>
      <c r="BS130" s="169" t="s">
        <v>259</v>
      </c>
      <c r="BT130" s="169" t="s">
        <v>259</v>
      </c>
      <c r="BU130" s="169" t="s">
        <v>259</v>
      </c>
      <c r="BV130" s="169" t="s">
        <v>259</v>
      </c>
      <c r="BW130" s="169" t="s">
        <v>259</v>
      </c>
      <c r="BX130" s="169" t="s">
        <v>259</v>
      </c>
      <c r="BY130" s="169" t="s">
        <v>259</v>
      </c>
      <c r="BZ130" s="169" t="s">
        <v>259</v>
      </c>
      <c r="CA130" s="169" t="s">
        <v>259</v>
      </c>
      <c r="CB130" s="169" t="s">
        <v>259</v>
      </c>
      <c r="CC130" s="169" t="s">
        <v>259</v>
      </c>
      <c r="CD130" s="169" t="s">
        <v>259</v>
      </c>
      <c r="CE130" s="169" t="s">
        <v>259</v>
      </c>
      <c r="CF130" s="169" t="s">
        <v>259</v>
      </c>
      <c r="CG130" s="169" t="s">
        <v>259</v>
      </c>
      <c r="CH130" s="169" t="s">
        <v>259</v>
      </c>
      <c r="CI130" s="169" t="s">
        <v>259</v>
      </c>
      <c r="CJ130" s="169" t="s">
        <v>259</v>
      </c>
      <c r="CK130" s="169" t="s">
        <v>259</v>
      </c>
      <c r="CL130" s="169" t="s">
        <v>259</v>
      </c>
      <c r="CM130" s="169" t="s">
        <v>259</v>
      </c>
      <c r="CN130" s="169" t="s">
        <v>259</v>
      </c>
      <c r="CO130" s="169" t="s">
        <v>259</v>
      </c>
      <c r="CP130" s="169" t="s">
        <v>259</v>
      </c>
      <c r="CQ130" s="169" t="s">
        <v>259</v>
      </c>
      <c r="CR130" s="169" t="s">
        <v>259</v>
      </c>
      <c r="CS130" s="169" t="s">
        <v>259</v>
      </c>
      <c r="CT130" s="169" t="s">
        <v>259</v>
      </c>
      <c r="CU130" s="169" t="s">
        <v>259</v>
      </c>
      <c r="CV130" s="169" t="s">
        <v>259</v>
      </c>
      <c r="CW130" s="169" t="s">
        <v>259</v>
      </c>
      <c r="CX130" s="169" t="s">
        <v>259</v>
      </c>
      <c r="CY130" s="169" t="s">
        <v>259</v>
      </c>
      <c r="CZ130" s="169" t="s">
        <v>259</v>
      </c>
      <c r="DA130" s="169" t="s">
        <v>259</v>
      </c>
      <c r="DB130" s="169" t="s">
        <v>259</v>
      </c>
      <c r="DC130" s="169" t="s">
        <v>259</v>
      </c>
      <c r="DD130" s="169" t="s">
        <v>259</v>
      </c>
      <c r="DE130" s="169" t="s">
        <v>259</v>
      </c>
      <c r="DF130" s="169" t="s">
        <v>259</v>
      </c>
      <c r="DG130" s="169" t="s">
        <v>259</v>
      </c>
      <c r="DH130" s="169" t="s">
        <v>259</v>
      </c>
      <c r="DI130" s="169" t="s">
        <v>259</v>
      </c>
      <c r="DJ130" s="169" t="s">
        <v>259</v>
      </c>
      <c r="DK130" s="169" t="s">
        <v>259</v>
      </c>
      <c r="DL130" s="169" t="s">
        <v>259</v>
      </c>
      <c r="DM130" s="169" t="s">
        <v>259</v>
      </c>
      <c r="DN130" s="169" t="s">
        <v>259</v>
      </c>
      <c r="DO130" s="169" t="s">
        <v>259</v>
      </c>
      <c r="DP130" s="169" t="s">
        <v>259</v>
      </c>
      <c r="DQ130" s="169" t="s">
        <v>259</v>
      </c>
      <c r="DR130" s="169" t="s">
        <v>259</v>
      </c>
      <c r="DS130" s="169" t="s">
        <v>259</v>
      </c>
      <c r="DT130" s="169" t="s">
        <v>259</v>
      </c>
    </row>
    <row r="131" spans="2:124" x14ac:dyDescent="0.3">
      <c r="B131" t="str">
        <f>'IMPORT SCHLIESSERDATEN'!B130</f>
        <v>ITS 96 GSR-EMF EN 2-4</v>
      </c>
      <c r="D131" s="169" t="s">
        <v>259</v>
      </c>
      <c r="E131" s="169" t="s">
        <v>259</v>
      </c>
      <c r="F131" s="169" t="s">
        <v>259</v>
      </c>
      <c r="G131" s="169" t="s">
        <v>259</v>
      </c>
      <c r="H131" s="169" t="s">
        <v>259</v>
      </c>
      <c r="I131" s="169" t="s">
        <v>259</v>
      </c>
      <c r="J131" s="169" t="s">
        <v>259</v>
      </c>
      <c r="K131" s="169" t="s">
        <v>259</v>
      </c>
      <c r="L131" s="169" t="s">
        <v>259</v>
      </c>
      <c r="M131" s="169" t="s">
        <v>259</v>
      </c>
      <c r="N131" s="169" t="s">
        <v>259</v>
      </c>
      <c r="O131" s="169" t="s">
        <v>259</v>
      </c>
      <c r="P131" s="169" t="s">
        <v>259</v>
      </c>
      <c r="Q131" s="169" t="s">
        <v>259</v>
      </c>
      <c r="R131" s="169" t="s">
        <v>259</v>
      </c>
      <c r="S131" s="169" t="s">
        <v>259</v>
      </c>
      <c r="T131" s="169" t="s">
        <v>259</v>
      </c>
      <c r="U131" s="169" t="s">
        <v>259</v>
      </c>
      <c r="V131" s="169" t="s">
        <v>259</v>
      </c>
      <c r="W131" s="169" t="s">
        <v>259</v>
      </c>
      <c r="X131" s="169" t="s">
        <v>259</v>
      </c>
      <c r="Y131" s="169" t="s">
        <v>259</v>
      </c>
      <c r="Z131" s="169" t="s">
        <v>259</v>
      </c>
      <c r="AA131" s="169" t="s">
        <v>259</v>
      </c>
      <c r="AB131" s="169" t="s">
        <v>259</v>
      </c>
      <c r="AC131" s="169" t="s">
        <v>259</v>
      </c>
      <c r="AD131" s="169" t="s">
        <v>259</v>
      </c>
      <c r="AE131" s="169" t="s">
        <v>259</v>
      </c>
      <c r="AF131" s="169" t="s">
        <v>259</v>
      </c>
      <c r="AG131" s="169" t="s">
        <v>259</v>
      </c>
      <c r="AH131" s="169" t="s">
        <v>259</v>
      </c>
      <c r="AI131" s="169" t="s">
        <v>259</v>
      </c>
      <c r="AJ131" s="169" t="s">
        <v>259</v>
      </c>
      <c r="AK131" s="169" t="s">
        <v>259</v>
      </c>
      <c r="AL131" s="169" t="s">
        <v>259</v>
      </c>
      <c r="AM131" s="169" t="s">
        <v>259</v>
      </c>
      <c r="AN131" s="169" t="s">
        <v>259</v>
      </c>
      <c r="AO131" s="169" t="s">
        <v>259</v>
      </c>
      <c r="AP131" s="169" t="s">
        <v>259</v>
      </c>
      <c r="AQ131" s="169" t="s">
        <v>259</v>
      </c>
      <c r="AR131" s="169" t="s">
        <v>259</v>
      </c>
      <c r="AS131" s="169" t="s">
        <v>259</v>
      </c>
      <c r="AT131" s="169" t="s">
        <v>259</v>
      </c>
      <c r="AU131" s="169" t="s">
        <v>259</v>
      </c>
      <c r="AV131" s="169" t="s">
        <v>259</v>
      </c>
      <c r="AW131" s="169" t="s">
        <v>259</v>
      </c>
      <c r="AX131" s="169" t="s">
        <v>259</v>
      </c>
      <c r="AY131" s="169" t="s">
        <v>259</v>
      </c>
      <c r="AZ131" s="169" t="s">
        <v>259</v>
      </c>
      <c r="BA131" s="169" t="s">
        <v>259</v>
      </c>
      <c r="BB131" s="169" t="s">
        <v>259</v>
      </c>
      <c r="BC131" s="169" t="s">
        <v>259</v>
      </c>
      <c r="BD131" s="169" t="s">
        <v>259</v>
      </c>
      <c r="BE131" s="169" t="s">
        <v>259</v>
      </c>
      <c r="BF131" s="169" t="s">
        <v>259</v>
      </c>
      <c r="BG131" s="169" t="s">
        <v>259</v>
      </c>
      <c r="BH131" s="169" t="s">
        <v>259</v>
      </c>
      <c r="BI131" s="169" t="s">
        <v>259</v>
      </c>
      <c r="BJ131" s="169" t="s">
        <v>259</v>
      </c>
      <c r="BK131" s="169" t="s">
        <v>259</v>
      </c>
      <c r="BL131" s="169" t="s">
        <v>259</v>
      </c>
      <c r="BM131" s="169" t="s">
        <v>259</v>
      </c>
      <c r="BN131" s="169" t="s">
        <v>259</v>
      </c>
      <c r="BO131" s="169" t="s">
        <v>259</v>
      </c>
      <c r="BP131" s="169" t="s">
        <v>259</v>
      </c>
      <c r="BQ131" s="169" t="s">
        <v>259</v>
      </c>
      <c r="BR131" s="169" t="s">
        <v>259</v>
      </c>
      <c r="BS131" s="169" t="s">
        <v>259</v>
      </c>
      <c r="BT131" s="169" t="s">
        <v>259</v>
      </c>
      <c r="BU131" s="169" t="s">
        <v>259</v>
      </c>
      <c r="BV131" s="169" t="s">
        <v>259</v>
      </c>
      <c r="BW131" s="169" t="s">
        <v>259</v>
      </c>
      <c r="BX131" s="169" t="s">
        <v>259</v>
      </c>
      <c r="BY131" s="169" t="s">
        <v>259</v>
      </c>
      <c r="BZ131" s="169" t="s">
        <v>259</v>
      </c>
      <c r="CA131" s="169" t="s">
        <v>259</v>
      </c>
      <c r="CB131" s="169" t="s">
        <v>259</v>
      </c>
      <c r="CC131" s="169" t="s">
        <v>259</v>
      </c>
      <c r="CD131" s="169" t="s">
        <v>259</v>
      </c>
      <c r="CE131" s="169" t="s">
        <v>259</v>
      </c>
      <c r="CF131" s="169" t="s">
        <v>259</v>
      </c>
      <c r="CG131" s="169" t="s">
        <v>259</v>
      </c>
      <c r="CH131" s="169" t="s">
        <v>259</v>
      </c>
      <c r="CI131" s="169" t="s">
        <v>259</v>
      </c>
      <c r="CJ131" s="169" t="s">
        <v>259</v>
      </c>
      <c r="CK131" s="169" t="s">
        <v>259</v>
      </c>
      <c r="CL131" s="169" t="s">
        <v>259</v>
      </c>
      <c r="CM131" s="169" t="s">
        <v>259</v>
      </c>
      <c r="CN131" s="169" t="s">
        <v>259</v>
      </c>
      <c r="CO131" s="169" t="s">
        <v>259</v>
      </c>
      <c r="CP131" s="169" t="s">
        <v>259</v>
      </c>
      <c r="CQ131" s="169" t="s">
        <v>259</v>
      </c>
      <c r="CR131" s="169" t="s">
        <v>259</v>
      </c>
      <c r="CS131" s="169" t="s">
        <v>259</v>
      </c>
      <c r="CT131" s="169" t="s">
        <v>259</v>
      </c>
      <c r="CU131" s="169" t="s">
        <v>259</v>
      </c>
      <c r="CV131" s="169" t="s">
        <v>259</v>
      </c>
      <c r="CW131" s="169" t="s">
        <v>259</v>
      </c>
      <c r="CX131" s="169" t="s">
        <v>259</v>
      </c>
      <c r="CY131" s="169" t="s">
        <v>259</v>
      </c>
      <c r="CZ131" s="169" t="s">
        <v>259</v>
      </c>
      <c r="DA131" s="169" t="s">
        <v>259</v>
      </c>
      <c r="DB131" s="169" t="s">
        <v>259</v>
      </c>
      <c r="DC131" s="169" t="s">
        <v>259</v>
      </c>
      <c r="DD131" s="169" t="s">
        <v>259</v>
      </c>
      <c r="DE131" s="169" t="s">
        <v>259</v>
      </c>
      <c r="DF131" s="169" t="s">
        <v>259</v>
      </c>
      <c r="DG131" s="169" t="s">
        <v>259</v>
      </c>
      <c r="DH131" s="169" t="s">
        <v>259</v>
      </c>
      <c r="DI131" s="169" t="s">
        <v>259</v>
      </c>
      <c r="DJ131" s="169" t="s">
        <v>259</v>
      </c>
      <c r="DK131" s="169" t="s">
        <v>259</v>
      </c>
      <c r="DL131" s="169" t="s">
        <v>259</v>
      </c>
      <c r="DM131" s="169" t="s">
        <v>259</v>
      </c>
      <c r="DN131" s="169" t="s">
        <v>259</v>
      </c>
      <c r="DO131" s="169" t="s">
        <v>259</v>
      </c>
      <c r="DP131" s="169" t="s">
        <v>259</v>
      </c>
      <c r="DQ131" s="169" t="s">
        <v>259</v>
      </c>
      <c r="DR131" s="169" t="s">
        <v>259</v>
      </c>
      <c r="DS131" s="169" t="s">
        <v>259</v>
      </c>
      <c r="DT131" s="169" t="s">
        <v>259</v>
      </c>
    </row>
    <row r="132" spans="2:124" x14ac:dyDescent="0.3">
      <c r="B132" t="str">
        <f>'IMPORT SCHLIESSERDATEN'!B131</f>
        <v>ITS 96 EN 3-6</v>
      </c>
      <c r="D132" s="169" t="s">
        <v>259</v>
      </c>
      <c r="E132" s="169" t="s">
        <v>259</v>
      </c>
      <c r="F132" s="169" t="s">
        <v>259</v>
      </c>
      <c r="G132" s="169" t="s">
        <v>259</v>
      </c>
      <c r="H132" s="169" t="s">
        <v>259</v>
      </c>
      <c r="I132" s="169" t="s">
        <v>259</v>
      </c>
      <c r="J132" s="169" t="s">
        <v>259</v>
      </c>
      <c r="K132" s="169" t="s">
        <v>259</v>
      </c>
      <c r="L132" s="169" t="s">
        <v>259</v>
      </c>
      <c r="M132" s="169" t="s">
        <v>259</v>
      </c>
      <c r="N132" s="169" t="s">
        <v>259</v>
      </c>
      <c r="O132" s="169" t="s">
        <v>259</v>
      </c>
      <c r="P132" s="169" t="s">
        <v>259</v>
      </c>
      <c r="Q132" s="169" t="s">
        <v>259</v>
      </c>
      <c r="R132" s="169" t="s">
        <v>259</v>
      </c>
      <c r="S132" s="169" t="s">
        <v>259</v>
      </c>
      <c r="T132" s="169" t="s">
        <v>259</v>
      </c>
      <c r="U132" s="169" t="s">
        <v>259</v>
      </c>
      <c r="V132" s="169" t="s">
        <v>259</v>
      </c>
      <c r="W132" s="169" t="s">
        <v>259</v>
      </c>
      <c r="X132" s="169" t="s">
        <v>259</v>
      </c>
      <c r="Y132" s="169" t="s">
        <v>259</v>
      </c>
      <c r="Z132" s="169" t="s">
        <v>259</v>
      </c>
      <c r="AA132" s="169" t="s">
        <v>259</v>
      </c>
      <c r="AB132" s="169" t="s">
        <v>259</v>
      </c>
      <c r="AC132" s="169" t="s">
        <v>259</v>
      </c>
      <c r="AD132" s="169" t="s">
        <v>259</v>
      </c>
      <c r="AE132" s="169" t="s">
        <v>259</v>
      </c>
      <c r="AF132" s="169" t="s">
        <v>259</v>
      </c>
      <c r="AG132" s="169" t="s">
        <v>259</v>
      </c>
      <c r="AH132" s="169" t="s">
        <v>259</v>
      </c>
      <c r="AI132" s="169" t="s">
        <v>259</v>
      </c>
      <c r="AJ132" s="169" t="s">
        <v>259</v>
      </c>
      <c r="AK132" s="169" t="s">
        <v>259</v>
      </c>
      <c r="AL132" s="169" t="s">
        <v>259</v>
      </c>
      <c r="AM132" s="169" t="s">
        <v>259</v>
      </c>
      <c r="AN132" s="169" t="s">
        <v>259</v>
      </c>
      <c r="AO132" s="169" t="s">
        <v>259</v>
      </c>
      <c r="AP132" s="169" t="s">
        <v>259</v>
      </c>
      <c r="AQ132" s="169" t="s">
        <v>259</v>
      </c>
      <c r="AR132" s="169" t="s">
        <v>259</v>
      </c>
      <c r="AS132" s="169" t="s">
        <v>259</v>
      </c>
      <c r="AT132" s="169" t="s">
        <v>259</v>
      </c>
      <c r="AU132" s="169" t="s">
        <v>259</v>
      </c>
      <c r="AV132" s="169" t="s">
        <v>259</v>
      </c>
      <c r="AW132" s="169" t="s">
        <v>259</v>
      </c>
      <c r="AX132" s="169" t="s">
        <v>259</v>
      </c>
      <c r="AY132" s="169" t="s">
        <v>259</v>
      </c>
      <c r="AZ132" s="169" t="s">
        <v>259</v>
      </c>
      <c r="BA132" s="169" t="s">
        <v>259</v>
      </c>
      <c r="BB132" s="169" t="s">
        <v>259</v>
      </c>
      <c r="BC132" s="169" t="s">
        <v>259</v>
      </c>
      <c r="BD132" s="169" t="s">
        <v>259</v>
      </c>
      <c r="BE132" s="169" t="s">
        <v>259</v>
      </c>
      <c r="BF132" s="169" t="s">
        <v>259</v>
      </c>
      <c r="BG132" s="169" t="s">
        <v>259</v>
      </c>
      <c r="BH132" s="169" t="s">
        <v>259</v>
      </c>
      <c r="BI132" s="169" t="s">
        <v>259</v>
      </c>
      <c r="BJ132" s="169" t="s">
        <v>259</v>
      </c>
      <c r="BK132" s="169" t="s">
        <v>259</v>
      </c>
      <c r="BL132" s="169" t="s">
        <v>259</v>
      </c>
      <c r="BM132" s="169" t="s">
        <v>259</v>
      </c>
      <c r="BN132" s="169" t="s">
        <v>259</v>
      </c>
      <c r="BO132" s="169" t="s">
        <v>259</v>
      </c>
      <c r="BP132" s="169" t="s">
        <v>259</v>
      </c>
      <c r="BQ132" s="169" t="s">
        <v>259</v>
      </c>
      <c r="BR132" s="169" t="s">
        <v>259</v>
      </c>
      <c r="BS132" s="169" t="s">
        <v>259</v>
      </c>
      <c r="BT132" s="169" t="s">
        <v>259</v>
      </c>
      <c r="BU132" s="169" t="s">
        <v>259</v>
      </c>
      <c r="BV132" s="169" t="s">
        <v>259</v>
      </c>
      <c r="BW132" s="169" t="s">
        <v>259</v>
      </c>
      <c r="BX132" s="169" t="s">
        <v>259</v>
      </c>
      <c r="BY132" s="169" t="s">
        <v>259</v>
      </c>
      <c r="BZ132" s="169" t="s">
        <v>259</v>
      </c>
      <c r="CA132" s="169" t="s">
        <v>259</v>
      </c>
      <c r="CB132" s="169" t="s">
        <v>259</v>
      </c>
      <c r="CC132" s="169" t="s">
        <v>259</v>
      </c>
      <c r="CD132" s="169" t="s">
        <v>259</v>
      </c>
      <c r="CE132" s="169" t="s">
        <v>259</v>
      </c>
      <c r="CF132" s="169" t="s">
        <v>259</v>
      </c>
      <c r="CG132" s="169" t="s">
        <v>259</v>
      </c>
      <c r="CH132" s="169" t="s">
        <v>259</v>
      </c>
      <c r="CI132" s="169" t="s">
        <v>259</v>
      </c>
      <c r="CJ132" s="169" t="s">
        <v>259</v>
      </c>
      <c r="CK132" s="169" t="s">
        <v>259</v>
      </c>
      <c r="CL132" s="169" t="s">
        <v>259</v>
      </c>
      <c r="CM132" s="169" t="s">
        <v>259</v>
      </c>
      <c r="CN132" s="169" t="s">
        <v>259</v>
      </c>
      <c r="CO132" s="169" t="s">
        <v>259</v>
      </c>
      <c r="CP132" s="169" t="s">
        <v>259</v>
      </c>
      <c r="CQ132" s="169" t="s">
        <v>259</v>
      </c>
      <c r="CR132" s="169" t="s">
        <v>259</v>
      </c>
      <c r="CS132" s="169" t="s">
        <v>259</v>
      </c>
      <c r="CT132" s="169" t="s">
        <v>259</v>
      </c>
      <c r="CU132" s="169" t="s">
        <v>259</v>
      </c>
      <c r="CV132" s="169" t="s">
        <v>259</v>
      </c>
      <c r="CW132" s="169" t="s">
        <v>259</v>
      </c>
      <c r="CX132" s="169" t="s">
        <v>259</v>
      </c>
      <c r="CY132" s="169" t="s">
        <v>259</v>
      </c>
      <c r="CZ132" s="169" t="s">
        <v>259</v>
      </c>
      <c r="DA132" s="169" t="s">
        <v>259</v>
      </c>
      <c r="DB132" s="169" t="s">
        <v>259</v>
      </c>
      <c r="DC132" s="169" t="s">
        <v>259</v>
      </c>
      <c r="DD132" s="169" t="s">
        <v>259</v>
      </c>
      <c r="DE132" s="169" t="s">
        <v>259</v>
      </c>
      <c r="DF132" s="169" t="s">
        <v>259</v>
      </c>
      <c r="DG132" s="169" t="s">
        <v>259</v>
      </c>
      <c r="DH132" s="169" t="s">
        <v>259</v>
      </c>
      <c r="DI132" s="169" t="s">
        <v>259</v>
      </c>
      <c r="DJ132" s="169" t="s">
        <v>259</v>
      </c>
      <c r="DK132" s="169" t="s">
        <v>259</v>
      </c>
      <c r="DL132" s="169" t="s">
        <v>259</v>
      </c>
      <c r="DM132" s="169" t="s">
        <v>259</v>
      </c>
      <c r="DN132" s="169" t="s">
        <v>259</v>
      </c>
      <c r="DO132" s="169" t="s">
        <v>259</v>
      </c>
      <c r="DP132" s="169" t="s">
        <v>259</v>
      </c>
      <c r="DQ132" s="169" t="s">
        <v>259</v>
      </c>
      <c r="DR132" s="169" t="s">
        <v>259</v>
      </c>
      <c r="DS132" s="169" t="s">
        <v>259</v>
      </c>
      <c r="DT132" s="169" t="s">
        <v>259</v>
      </c>
    </row>
    <row r="133" spans="2:124" x14ac:dyDescent="0.3">
      <c r="B133" t="str">
        <f>'IMPORT SCHLIESSERDATEN'!B132</f>
        <v>ITS 96 RF EN 3-6</v>
      </c>
      <c r="D133" s="169" t="s">
        <v>259</v>
      </c>
      <c r="E133" s="169" t="s">
        <v>259</v>
      </c>
      <c r="F133" s="169" t="s">
        <v>259</v>
      </c>
      <c r="G133" s="169" t="s">
        <v>259</v>
      </c>
      <c r="H133" s="169" t="s">
        <v>259</v>
      </c>
      <c r="I133" s="169" t="s">
        <v>259</v>
      </c>
      <c r="J133" s="169" t="s">
        <v>259</v>
      </c>
      <c r="K133" s="169" t="s">
        <v>259</v>
      </c>
      <c r="L133" s="169" t="s">
        <v>259</v>
      </c>
      <c r="M133" s="169" t="s">
        <v>259</v>
      </c>
      <c r="N133" s="169" t="s">
        <v>259</v>
      </c>
      <c r="O133" s="169" t="s">
        <v>259</v>
      </c>
      <c r="P133" s="169" t="s">
        <v>259</v>
      </c>
      <c r="Q133" s="169" t="s">
        <v>259</v>
      </c>
      <c r="R133" s="169" t="s">
        <v>259</v>
      </c>
      <c r="S133" s="169" t="s">
        <v>259</v>
      </c>
      <c r="T133" s="169" t="s">
        <v>259</v>
      </c>
      <c r="U133" s="169" t="s">
        <v>1995</v>
      </c>
      <c r="V133" s="169" t="s">
        <v>259</v>
      </c>
      <c r="W133" s="169" t="s">
        <v>259</v>
      </c>
      <c r="X133" s="169" t="s">
        <v>259</v>
      </c>
      <c r="Y133" s="169" t="s">
        <v>259</v>
      </c>
      <c r="Z133" s="169" t="s">
        <v>259</v>
      </c>
      <c r="AA133" s="169" t="s">
        <v>259</v>
      </c>
      <c r="AB133" s="169" t="s">
        <v>259</v>
      </c>
      <c r="AC133" s="169" t="s">
        <v>259</v>
      </c>
      <c r="AD133" s="169" t="s">
        <v>259</v>
      </c>
      <c r="AE133" s="169" t="s">
        <v>259</v>
      </c>
      <c r="AF133" s="169" t="s">
        <v>259</v>
      </c>
      <c r="AG133" s="169" t="s">
        <v>259</v>
      </c>
      <c r="AH133" s="169" t="s">
        <v>259</v>
      </c>
      <c r="AI133" s="169" t="s">
        <v>259</v>
      </c>
      <c r="AJ133" s="169" t="s">
        <v>259</v>
      </c>
      <c r="AK133" s="169" t="s">
        <v>259</v>
      </c>
      <c r="AL133" s="169" t="s">
        <v>259</v>
      </c>
      <c r="AM133" s="169" t="s">
        <v>259</v>
      </c>
      <c r="AN133" s="169" t="s">
        <v>259</v>
      </c>
      <c r="AO133" s="169" t="s">
        <v>259</v>
      </c>
      <c r="AP133" s="169" t="s">
        <v>259</v>
      </c>
      <c r="AQ133" s="169" t="s">
        <v>259</v>
      </c>
      <c r="AR133" s="169" t="s">
        <v>259</v>
      </c>
      <c r="AS133" s="169" t="s">
        <v>259</v>
      </c>
      <c r="AT133" s="169" t="s">
        <v>259</v>
      </c>
      <c r="AU133" s="169" t="s">
        <v>259</v>
      </c>
      <c r="AV133" s="169" t="s">
        <v>259</v>
      </c>
      <c r="AW133" s="169" t="s">
        <v>259</v>
      </c>
      <c r="AX133" s="169" t="s">
        <v>259</v>
      </c>
      <c r="AY133" s="169" t="s">
        <v>259</v>
      </c>
      <c r="AZ133" s="169" t="s">
        <v>259</v>
      </c>
      <c r="BA133" s="169" t="s">
        <v>259</v>
      </c>
      <c r="BB133" s="169" t="s">
        <v>259</v>
      </c>
      <c r="BC133" s="169" t="s">
        <v>259</v>
      </c>
      <c r="BD133" s="169" t="s">
        <v>259</v>
      </c>
      <c r="BE133" s="169" t="s">
        <v>259</v>
      </c>
      <c r="BF133" s="169" t="s">
        <v>259</v>
      </c>
      <c r="BG133" s="169" t="s">
        <v>259</v>
      </c>
      <c r="BH133" s="169" t="s">
        <v>259</v>
      </c>
      <c r="BI133" s="169" t="s">
        <v>259</v>
      </c>
      <c r="BJ133" s="169" t="s">
        <v>259</v>
      </c>
      <c r="BK133" s="169" t="s">
        <v>259</v>
      </c>
      <c r="BL133" s="169" t="s">
        <v>259</v>
      </c>
      <c r="BM133" s="169" t="s">
        <v>259</v>
      </c>
      <c r="BN133" s="169" t="s">
        <v>259</v>
      </c>
      <c r="BO133" s="169" t="s">
        <v>259</v>
      </c>
      <c r="BP133" s="169" t="s">
        <v>259</v>
      </c>
      <c r="BQ133" s="169" t="s">
        <v>259</v>
      </c>
      <c r="BR133" s="169" t="s">
        <v>259</v>
      </c>
      <c r="BS133" s="169" t="s">
        <v>259</v>
      </c>
      <c r="BT133" s="169" t="s">
        <v>259</v>
      </c>
      <c r="BU133" s="169" t="s">
        <v>259</v>
      </c>
      <c r="BV133" s="169" t="s">
        <v>259</v>
      </c>
      <c r="BW133" s="169" t="s">
        <v>259</v>
      </c>
      <c r="BX133" s="169" t="s">
        <v>259</v>
      </c>
      <c r="BY133" s="169" t="s">
        <v>259</v>
      </c>
      <c r="BZ133" s="169" t="s">
        <v>259</v>
      </c>
      <c r="CA133" s="169" t="s">
        <v>259</v>
      </c>
      <c r="CB133" s="169" t="s">
        <v>259</v>
      </c>
      <c r="CC133" s="169" t="s">
        <v>259</v>
      </c>
      <c r="CD133" s="169" t="s">
        <v>259</v>
      </c>
      <c r="CE133" s="169" t="s">
        <v>259</v>
      </c>
      <c r="CF133" s="169" t="s">
        <v>259</v>
      </c>
      <c r="CG133" s="169" t="s">
        <v>259</v>
      </c>
      <c r="CH133" s="169" t="s">
        <v>259</v>
      </c>
      <c r="CI133" s="169" t="s">
        <v>259</v>
      </c>
      <c r="CJ133" s="169" t="s">
        <v>259</v>
      </c>
      <c r="CK133" s="169" t="s">
        <v>259</v>
      </c>
      <c r="CL133" s="169" t="s">
        <v>259</v>
      </c>
      <c r="CM133" s="169" t="s">
        <v>259</v>
      </c>
      <c r="CN133" s="169" t="s">
        <v>259</v>
      </c>
      <c r="CO133" s="169" t="s">
        <v>259</v>
      </c>
      <c r="CP133" s="169" t="s">
        <v>259</v>
      </c>
      <c r="CQ133" s="169" t="s">
        <v>259</v>
      </c>
      <c r="CR133" s="169" t="s">
        <v>259</v>
      </c>
      <c r="CS133" s="169" t="s">
        <v>259</v>
      </c>
      <c r="CT133" s="169" t="s">
        <v>259</v>
      </c>
      <c r="CU133" s="169" t="s">
        <v>259</v>
      </c>
      <c r="CV133" s="169" t="s">
        <v>259</v>
      </c>
      <c r="CW133" s="169" t="s">
        <v>259</v>
      </c>
      <c r="CX133" s="169" t="s">
        <v>259</v>
      </c>
      <c r="CY133" s="169" t="s">
        <v>259</v>
      </c>
      <c r="CZ133" s="169" t="s">
        <v>259</v>
      </c>
      <c r="DA133" s="169" t="s">
        <v>259</v>
      </c>
      <c r="DB133" s="169" t="s">
        <v>259</v>
      </c>
      <c r="DC133" s="169" t="s">
        <v>259</v>
      </c>
      <c r="DD133" s="169" t="s">
        <v>259</v>
      </c>
      <c r="DE133" s="169" t="s">
        <v>259</v>
      </c>
      <c r="DF133" s="169" t="s">
        <v>259</v>
      </c>
      <c r="DG133" s="169" t="s">
        <v>259</v>
      </c>
      <c r="DH133" s="169" t="s">
        <v>259</v>
      </c>
      <c r="DI133" s="169" t="s">
        <v>259</v>
      </c>
      <c r="DJ133" s="169" t="s">
        <v>259</v>
      </c>
      <c r="DK133" s="169" t="s">
        <v>259</v>
      </c>
      <c r="DL133" s="169" t="s">
        <v>259</v>
      </c>
      <c r="DM133" s="169" t="s">
        <v>259</v>
      </c>
      <c r="DN133" s="169" t="s">
        <v>259</v>
      </c>
      <c r="DO133" s="169" t="s">
        <v>259</v>
      </c>
      <c r="DP133" s="169" t="s">
        <v>259</v>
      </c>
      <c r="DQ133" s="169" t="s">
        <v>259</v>
      </c>
      <c r="DR133" s="169" t="s">
        <v>259</v>
      </c>
      <c r="DS133" s="169" t="s">
        <v>259</v>
      </c>
      <c r="DT133" s="169" t="s">
        <v>259</v>
      </c>
    </row>
    <row r="134" spans="2:124" x14ac:dyDescent="0.3">
      <c r="B134" t="str">
        <f>'IMPORT SCHLIESSERDATEN'!B133</f>
        <v>ITS 96 EMF EN 3-6</v>
      </c>
      <c r="D134" s="169" t="s">
        <v>259</v>
      </c>
      <c r="E134" s="169" t="s">
        <v>259</v>
      </c>
      <c r="F134" s="169" t="s">
        <v>259</v>
      </c>
      <c r="G134" s="169" t="s">
        <v>259</v>
      </c>
      <c r="H134" s="169" t="s">
        <v>259</v>
      </c>
      <c r="I134" s="169" t="s">
        <v>259</v>
      </c>
      <c r="J134" s="169" t="s">
        <v>259</v>
      </c>
      <c r="K134" s="169" t="s">
        <v>259</v>
      </c>
      <c r="L134" s="169" t="s">
        <v>259</v>
      </c>
      <c r="M134" s="169" t="s">
        <v>259</v>
      </c>
      <c r="N134" s="169" t="s">
        <v>259</v>
      </c>
      <c r="O134" s="169" t="s">
        <v>259</v>
      </c>
      <c r="P134" s="169" t="s">
        <v>259</v>
      </c>
      <c r="Q134" s="169" t="s">
        <v>259</v>
      </c>
      <c r="R134" s="169" t="s">
        <v>259</v>
      </c>
      <c r="S134" s="169" t="s">
        <v>259</v>
      </c>
      <c r="T134" s="169" t="s">
        <v>259</v>
      </c>
      <c r="U134" s="169" t="s">
        <v>259</v>
      </c>
      <c r="V134" s="169" t="s">
        <v>259</v>
      </c>
      <c r="W134" s="169" t="s">
        <v>259</v>
      </c>
      <c r="X134" s="169" t="s">
        <v>259</v>
      </c>
      <c r="Y134" s="169" t="s">
        <v>259</v>
      </c>
      <c r="Z134" s="169" t="s">
        <v>259</v>
      </c>
      <c r="AA134" s="169" t="s">
        <v>259</v>
      </c>
      <c r="AB134" s="169" t="s">
        <v>259</v>
      </c>
      <c r="AC134" s="169" t="s">
        <v>259</v>
      </c>
      <c r="AD134" s="169" t="s">
        <v>259</v>
      </c>
      <c r="AE134" s="169" t="s">
        <v>259</v>
      </c>
      <c r="AF134" s="169" t="s">
        <v>259</v>
      </c>
      <c r="AG134" s="169" t="s">
        <v>259</v>
      </c>
      <c r="AH134" s="169" t="s">
        <v>259</v>
      </c>
      <c r="AI134" s="169" t="s">
        <v>259</v>
      </c>
      <c r="AJ134" s="169" t="s">
        <v>259</v>
      </c>
      <c r="AK134" s="169" t="s">
        <v>259</v>
      </c>
      <c r="AL134" s="169" t="s">
        <v>259</v>
      </c>
      <c r="AM134" s="169" t="s">
        <v>259</v>
      </c>
      <c r="AN134" s="169" t="s">
        <v>259</v>
      </c>
      <c r="AO134" s="169" t="s">
        <v>259</v>
      </c>
      <c r="AP134" s="169" t="s">
        <v>259</v>
      </c>
      <c r="AQ134" s="169" t="s">
        <v>259</v>
      </c>
      <c r="AR134" s="169" t="s">
        <v>259</v>
      </c>
      <c r="AS134" s="169" t="s">
        <v>259</v>
      </c>
      <c r="AT134" s="169" t="s">
        <v>259</v>
      </c>
      <c r="AU134" s="169" t="s">
        <v>259</v>
      </c>
      <c r="AV134" s="169" t="s">
        <v>259</v>
      </c>
      <c r="AW134" s="169" t="s">
        <v>259</v>
      </c>
      <c r="AX134" s="169" t="s">
        <v>259</v>
      </c>
      <c r="AY134" s="169" t="s">
        <v>259</v>
      </c>
      <c r="AZ134" s="169" t="s">
        <v>259</v>
      </c>
      <c r="BA134" s="169" t="s">
        <v>259</v>
      </c>
      <c r="BB134" s="169" t="s">
        <v>259</v>
      </c>
      <c r="BC134" s="169" t="s">
        <v>259</v>
      </c>
      <c r="BD134" s="169" t="s">
        <v>259</v>
      </c>
      <c r="BE134" s="169" t="s">
        <v>259</v>
      </c>
      <c r="BF134" s="169" t="s">
        <v>259</v>
      </c>
      <c r="BG134" s="169" t="s">
        <v>259</v>
      </c>
      <c r="BH134" s="169" t="s">
        <v>259</v>
      </c>
      <c r="BI134" s="169" t="s">
        <v>259</v>
      </c>
      <c r="BJ134" s="169" t="s">
        <v>259</v>
      </c>
      <c r="BK134" s="169" t="s">
        <v>259</v>
      </c>
      <c r="BL134" s="169" t="s">
        <v>259</v>
      </c>
      <c r="BM134" s="169" t="s">
        <v>259</v>
      </c>
      <c r="BN134" s="169" t="s">
        <v>259</v>
      </c>
      <c r="BO134" s="169" t="s">
        <v>259</v>
      </c>
      <c r="BP134" s="169" t="s">
        <v>259</v>
      </c>
      <c r="BQ134" s="169" t="s">
        <v>259</v>
      </c>
      <c r="BR134" s="169" t="s">
        <v>259</v>
      </c>
      <c r="BS134" s="169" t="s">
        <v>259</v>
      </c>
      <c r="BT134" s="169" t="s">
        <v>259</v>
      </c>
      <c r="BU134" s="169" t="s">
        <v>259</v>
      </c>
      <c r="BV134" s="169" t="s">
        <v>259</v>
      </c>
      <c r="BW134" s="169" t="s">
        <v>259</v>
      </c>
      <c r="BX134" s="169" t="s">
        <v>259</v>
      </c>
      <c r="BY134" s="169" t="s">
        <v>259</v>
      </c>
      <c r="BZ134" s="169" t="s">
        <v>259</v>
      </c>
      <c r="CA134" s="169" t="s">
        <v>259</v>
      </c>
      <c r="CB134" s="169" t="s">
        <v>259</v>
      </c>
      <c r="CC134" s="169" t="s">
        <v>259</v>
      </c>
      <c r="CD134" s="169" t="s">
        <v>259</v>
      </c>
      <c r="CE134" s="169" t="s">
        <v>259</v>
      </c>
      <c r="CF134" s="169" t="s">
        <v>259</v>
      </c>
      <c r="CG134" s="169" t="s">
        <v>259</v>
      </c>
      <c r="CH134" s="169" t="s">
        <v>259</v>
      </c>
      <c r="CI134" s="169" t="s">
        <v>259</v>
      </c>
      <c r="CJ134" s="169" t="s">
        <v>259</v>
      </c>
      <c r="CK134" s="169" t="s">
        <v>259</v>
      </c>
      <c r="CL134" s="169" t="s">
        <v>259</v>
      </c>
      <c r="CM134" s="169" t="s">
        <v>259</v>
      </c>
      <c r="CN134" s="169" t="s">
        <v>259</v>
      </c>
      <c r="CO134" s="169" t="s">
        <v>259</v>
      </c>
      <c r="CP134" s="169" t="s">
        <v>259</v>
      </c>
      <c r="CQ134" s="169" t="s">
        <v>259</v>
      </c>
      <c r="CR134" s="169" t="s">
        <v>259</v>
      </c>
      <c r="CS134" s="169" t="s">
        <v>259</v>
      </c>
      <c r="CT134" s="169" t="s">
        <v>259</v>
      </c>
      <c r="CU134" s="169" t="s">
        <v>259</v>
      </c>
      <c r="CV134" s="169" t="s">
        <v>259</v>
      </c>
      <c r="CW134" s="169" t="s">
        <v>259</v>
      </c>
      <c r="CX134" s="169" t="s">
        <v>259</v>
      </c>
      <c r="CY134" s="169" t="s">
        <v>259</v>
      </c>
      <c r="CZ134" s="169" t="s">
        <v>259</v>
      </c>
      <c r="DA134" s="169" t="s">
        <v>259</v>
      </c>
      <c r="DB134" s="169" t="s">
        <v>259</v>
      </c>
      <c r="DC134" s="169" t="s">
        <v>259</v>
      </c>
      <c r="DD134" s="169" t="s">
        <v>259</v>
      </c>
      <c r="DE134" s="169" t="s">
        <v>259</v>
      </c>
      <c r="DF134" s="169" t="s">
        <v>259</v>
      </c>
      <c r="DG134" s="169" t="s">
        <v>259</v>
      </c>
      <c r="DH134" s="169" t="s">
        <v>259</v>
      </c>
      <c r="DI134" s="169" t="s">
        <v>259</v>
      </c>
      <c r="DJ134" s="169" t="s">
        <v>259</v>
      </c>
      <c r="DK134" s="169" t="s">
        <v>259</v>
      </c>
      <c r="DL134" s="169" t="s">
        <v>259</v>
      </c>
      <c r="DM134" s="169" t="s">
        <v>259</v>
      </c>
      <c r="DN134" s="169" t="s">
        <v>259</v>
      </c>
      <c r="DO134" s="169" t="s">
        <v>259</v>
      </c>
      <c r="DP134" s="169" t="s">
        <v>259</v>
      </c>
      <c r="DQ134" s="169" t="s">
        <v>259</v>
      </c>
      <c r="DR134" s="169" t="s">
        <v>259</v>
      </c>
      <c r="DS134" s="169" t="s">
        <v>259</v>
      </c>
      <c r="DT134" s="169" t="s">
        <v>259</v>
      </c>
    </row>
    <row r="135" spans="2:124" x14ac:dyDescent="0.3">
      <c r="B135" t="str">
        <f>'IMPORT SCHLIESSERDATEN'!B134</f>
        <v>ITS 96 GSR EN 3-6</v>
      </c>
      <c r="D135" s="169" t="s">
        <v>259</v>
      </c>
      <c r="E135" s="169" t="s">
        <v>259</v>
      </c>
      <c r="F135" s="169" t="s">
        <v>259</v>
      </c>
      <c r="G135" s="169" t="s">
        <v>259</v>
      </c>
      <c r="H135" s="169" t="s">
        <v>259</v>
      </c>
      <c r="I135" s="169" t="s">
        <v>259</v>
      </c>
      <c r="J135" s="169" t="s">
        <v>259</v>
      </c>
      <c r="K135" s="169" t="s">
        <v>259</v>
      </c>
      <c r="L135" s="169" t="s">
        <v>259</v>
      </c>
      <c r="M135" s="169" t="s">
        <v>259</v>
      </c>
      <c r="N135" s="169" t="s">
        <v>259</v>
      </c>
      <c r="O135" s="169" t="s">
        <v>259</v>
      </c>
      <c r="P135" s="169" t="s">
        <v>259</v>
      </c>
      <c r="Q135" s="169" t="s">
        <v>259</v>
      </c>
      <c r="R135" s="169" t="s">
        <v>259</v>
      </c>
      <c r="S135" s="169" t="s">
        <v>259</v>
      </c>
      <c r="T135" s="169" t="s">
        <v>259</v>
      </c>
      <c r="U135" s="169" t="s">
        <v>259</v>
      </c>
      <c r="V135" s="169" t="s">
        <v>259</v>
      </c>
      <c r="W135" s="169" t="s">
        <v>259</v>
      </c>
      <c r="X135" s="169" t="s">
        <v>259</v>
      </c>
      <c r="Y135" s="169" t="s">
        <v>259</v>
      </c>
      <c r="Z135" s="169" t="s">
        <v>259</v>
      </c>
      <c r="AA135" s="169" t="s">
        <v>259</v>
      </c>
      <c r="AB135" s="169" t="s">
        <v>259</v>
      </c>
      <c r="AC135" s="169" t="s">
        <v>259</v>
      </c>
      <c r="AD135" s="169" t="s">
        <v>259</v>
      </c>
      <c r="AE135" s="169" t="s">
        <v>259</v>
      </c>
      <c r="AF135" s="169" t="s">
        <v>259</v>
      </c>
      <c r="AG135" s="169" t="s">
        <v>259</v>
      </c>
      <c r="AH135" s="169" t="s">
        <v>259</v>
      </c>
      <c r="AI135" s="169" t="s">
        <v>259</v>
      </c>
      <c r="AJ135" s="169" t="s">
        <v>259</v>
      </c>
      <c r="AK135" s="169" t="s">
        <v>259</v>
      </c>
      <c r="AL135" s="169" t="s">
        <v>259</v>
      </c>
      <c r="AM135" s="169" t="s">
        <v>259</v>
      </c>
      <c r="AN135" s="169" t="s">
        <v>259</v>
      </c>
      <c r="AO135" s="169" t="s">
        <v>259</v>
      </c>
      <c r="AP135" s="169" t="s">
        <v>259</v>
      </c>
      <c r="AQ135" s="169" t="s">
        <v>259</v>
      </c>
      <c r="AR135" s="169" t="s">
        <v>259</v>
      </c>
      <c r="AS135" s="169" t="s">
        <v>259</v>
      </c>
      <c r="AT135" s="169" t="s">
        <v>259</v>
      </c>
      <c r="AU135" s="169" t="s">
        <v>259</v>
      </c>
      <c r="AV135" s="169" t="s">
        <v>259</v>
      </c>
      <c r="AW135" s="169" t="s">
        <v>259</v>
      </c>
      <c r="AX135" s="169" t="s">
        <v>259</v>
      </c>
      <c r="AY135" s="169" t="s">
        <v>259</v>
      </c>
      <c r="AZ135" s="169" t="s">
        <v>259</v>
      </c>
      <c r="BA135" s="169" t="s">
        <v>259</v>
      </c>
      <c r="BB135" s="169" t="s">
        <v>259</v>
      </c>
      <c r="BC135" s="169" t="s">
        <v>259</v>
      </c>
      <c r="BD135" s="169" t="s">
        <v>259</v>
      </c>
      <c r="BE135" s="169" t="s">
        <v>259</v>
      </c>
      <c r="BF135" s="169" t="s">
        <v>259</v>
      </c>
      <c r="BG135" s="169" t="s">
        <v>259</v>
      </c>
      <c r="BH135" s="169" t="s">
        <v>259</v>
      </c>
      <c r="BI135" s="169" t="s">
        <v>259</v>
      </c>
      <c r="BJ135" s="169" t="s">
        <v>259</v>
      </c>
      <c r="BK135" s="169" t="s">
        <v>259</v>
      </c>
      <c r="BL135" s="169" t="s">
        <v>259</v>
      </c>
      <c r="BM135" s="169" t="s">
        <v>259</v>
      </c>
      <c r="BN135" s="169" t="s">
        <v>259</v>
      </c>
      <c r="BO135" s="169" t="s">
        <v>259</v>
      </c>
      <c r="BP135" s="169" t="s">
        <v>259</v>
      </c>
      <c r="BQ135" s="169" t="s">
        <v>259</v>
      </c>
      <c r="BR135" s="169" t="s">
        <v>259</v>
      </c>
      <c r="BS135" s="169" t="s">
        <v>259</v>
      </c>
      <c r="BT135" s="169" t="s">
        <v>259</v>
      </c>
      <c r="BU135" s="169" t="s">
        <v>259</v>
      </c>
      <c r="BV135" s="169" t="s">
        <v>259</v>
      </c>
      <c r="BW135" s="169" t="s">
        <v>259</v>
      </c>
      <c r="BX135" s="169" t="s">
        <v>259</v>
      </c>
      <c r="BY135" s="169" t="s">
        <v>259</v>
      </c>
      <c r="BZ135" s="169" t="s">
        <v>259</v>
      </c>
      <c r="CA135" s="169" t="s">
        <v>259</v>
      </c>
      <c r="CB135" s="169" t="s">
        <v>259</v>
      </c>
      <c r="CC135" s="169" t="s">
        <v>259</v>
      </c>
      <c r="CD135" s="169" t="s">
        <v>259</v>
      </c>
      <c r="CE135" s="169" t="s">
        <v>259</v>
      </c>
      <c r="CF135" s="169" t="s">
        <v>259</v>
      </c>
      <c r="CG135" s="169" t="s">
        <v>259</v>
      </c>
      <c r="CH135" s="169" t="s">
        <v>259</v>
      </c>
      <c r="CI135" s="169" t="s">
        <v>259</v>
      </c>
      <c r="CJ135" s="169" t="s">
        <v>259</v>
      </c>
      <c r="CK135" s="169" t="s">
        <v>259</v>
      </c>
      <c r="CL135" s="169" t="s">
        <v>259</v>
      </c>
      <c r="CM135" s="169" t="s">
        <v>259</v>
      </c>
      <c r="CN135" s="169" t="s">
        <v>259</v>
      </c>
      <c r="CO135" s="169" t="s">
        <v>259</v>
      </c>
      <c r="CP135" s="169" t="s">
        <v>259</v>
      </c>
      <c r="CQ135" s="169" t="s">
        <v>259</v>
      </c>
      <c r="CR135" s="169" t="s">
        <v>259</v>
      </c>
      <c r="CS135" s="169" t="s">
        <v>259</v>
      </c>
      <c r="CT135" s="169" t="s">
        <v>259</v>
      </c>
      <c r="CU135" s="169" t="s">
        <v>259</v>
      </c>
      <c r="CV135" s="169" t="s">
        <v>259</v>
      </c>
      <c r="CW135" s="169" t="s">
        <v>259</v>
      </c>
      <c r="CX135" s="169" t="s">
        <v>259</v>
      </c>
      <c r="CY135" s="169" t="s">
        <v>259</v>
      </c>
      <c r="CZ135" s="169" t="s">
        <v>259</v>
      </c>
      <c r="DA135" s="169" t="s">
        <v>259</v>
      </c>
      <c r="DB135" s="169" t="s">
        <v>259</v>
      </c>
      <c r="DC135" s="169" t="s">
        <v>259</v>
      </c>
      <c r="DD135" s="169" t="s">
        <v>259</v>
      </c>
      <c r="DE135" s="169" t="s">
        <v>259</v>
      </c>
      <c r="DF135" s="169" t="s">
        <v>259</v>
      </c>
      <c r="DG135" s="169" t="s">
        <v>259</v>
      </c>
      <c r="DH135" s="169" t="s">
        <v>259</v>
      </c>
      <c r="DI135" s="169" t="s">
        <v>259</v>
      </c>
      <c r="DJ135" s="169" t="s">
        <v>259</v>
      </c>
      <c r="DK135" s="169" t="s">
        <v>259</v>
      </c>
      <c r="DL135" s="169" t="s">
        <v>259</v>
      </c>
      <c r="DM135" s="169" t="s">
        <v>259</v>
      </c>
      <c r="DN135" s="169" t="s">
        <v>259</v>
      </c>
      <c r="DO135" s="169" t="s">
        <v>259</v>
      </c>
      <c r="DP135" s="169" t="s">
        <v>259</v>
      </c>
      <c r="DQ135" s="169" t="s">
        <v>259</v>
      </c>
      <c r="DR135" s="169" t="s">
        <v>259</v>
      </c>
      <c r="DS135" s="169" t="s">
        <v>259</v>
      </c>
      <c r="DT135" s="169" t="s">
        <v>259</v>
      </c>
    </row>
    <row r="136" spans="2:124" x14ac:dyDescent="0.3">
      <c r="B136" t="str">
        <f>'IMPORT SCHLIESSERDATEN'!B135</f>
        <v>ITS 96 GSR RF EN 3-6</v>
      </c>
      <c r="D136" s="169" t="s">
        <v>259</v>
      </c>
      <c r="E136" s="169" t="s">
        <v>259</v>
      </c>
      <c r="F136" s="169" t="s">
        <v>259</v>
      </c>
      <c r="G136" s="169" t="s">
        <v>259</v>
      </c>
      <c r="H136" s="169" t="s">
        <v>259</v>
      </c>
      <c r="I136" s="169" t="s">
        <v>259</v>
      </c>
      <c r="J136" s="169" t="s">
        <v>259</v>
      </c>
      <c r="K136" s="169" t="s">
        <v>259</v>
      </c>
      <c r="L136" s="169" t="s">
        <v>259</v>
      </c>
      <c r="M136" s="169" t="s">
        <v>259</v>
      </c>
      <c r="N136" s="169" t="s">
        <v>259</v>
      </c>
      <c r="O136" s="169" t="s">
        <v>259</v>
      </c>
      <c r="P136" s="169" t="s">
        <v>259</v>
      </c>
      <c r="Q136" s="169" t="s">
        <v>259</v>
      </c>
      <c r="R136" s="169" t="s">
        <v>259</v>
      </c>
      <c r="S136" s="169" t="s">
        <v>259</v>
      </c>
      <c r="T136" s="169" t="s">
        <v>259</v>
      </c>
      <c r="U136" s="169" t="s">
        <v>1995</v>
      </c>
      <c r="V136" s="169" t="s">
        <v>259</v>
      </c>
      <c r="W136" s="169" t="s">
        <v>259</v>
      </c>
      <c r="X136" s="169" t="s">
        <v>259</v>
      </c>
      <c r="Y136" s="169" t="s">
        <v>259</v>
      </c>
      <c r="Z136" s="169" t="s">
        <v>259</v>
      </c>
      <c r="AA136" s="169" t="s">
        <v>259</v>
      </c>
      <c r="AB136" s="169" t="s">
        <v>259</v>
      </c>
      <c r="AC136" s="169" t="s">
        <v>259</v>
      </c>
      <c r="AD136" s="169" t="s">
        <v>259</v>
      </c>
      <c r="AE136" s="169" t="s">
        <v>259</v>
      </c>
      <c r="AF136" s="169" t="s">
        <v>259</v>
      </c>
      <c r="AG136" s="169" t="s">
        <v>259</v>
      </c>
      <c r="AH136" s="169" t="s">
        <v>259</v>
      </c>
      <c r="AI136" s="169" t="s">
        <v>259</v>
      </c>
      <c r="AJ136" s="169" t="s">
        <v>259</v>
      </c>
      <c r="AK136" s="169" t="s">
        <v>259</v>
      </c>
      <c r="AL136" s="169" t="s">
        <v>259</v>
      </c>
      <c r="AM136" s="169" t="s">
        <v>259</v>
      </c>
      <c r="AN136" s="169" t="s">
        <v>259</v>
      </c>
      <c r="AO136" s="169" t="s">
        <v>259</v>
      </c>
      <c r="AP136" s="169" t="s">
        <v>259</v>
      </c>
      <c r="AQ136" s="169" t="s">
        <v>259</v>
      </c>
      <c r="AR136" s="169" t="s">
        <v>259</v>
      </c>
      <c r="AS136" s="169" t="s">
        <v>259</v>
      </c>
      <c r="AT136" s="169" t="s">
        <v>259</v>
      </c>
      <c r="AU136" s="169" t="s">
        <v>259</v>
      </c>
      <c r="AV136" s="169" t="s">
        <v>259</v>
      </c>
      <c r="AW136" s="169" t="s">
        <v>259</v>
      </c>
      <c r="AX136" s="169" t="s">
        <v>259</v>
      </c>
      <c r="AY136" s="169" t="s">
        <v>259</v>
      </c>
      <c r="AZ136" s="169" t="s">
        <v>259</v>
      </c>
      <c r="BA136" s="169" t="s">
        <v>259</v>
      </c>
      <c r="BB136" s="169" t="s">
        <v>259</v>
      </c>
      <c r="BC136" s="169" t="s">
        <v>259</v>
      </c>
      <c r="BD136" s="169" t="s">
        <v>259</v>
      </c>
      <c r="BE136" s="169" t="s">
        <v>259</v>
      </c>
      <c r="BF136" s="169" t="s">
        <v>259</v>
      </c>
      <c r="BG136" s="169" t="s">
        <v>259</v>
      </c>
      <c r="BH136" s="169" t="s">
        <v>259</v>
      </c>
      <c r="BI136" s="169" t="s">
        <v>259</v>
      </c>
      <c r="BJ136" s="169" t="s">
        <v>259</v>
      </c>
      <c r="BK136" s="169" t="s">
        <v>259</v>
      </c>
      <c r="BL136" s="169" t="s">
        <v>259</v>
      </c>
      <c r="BM136" s="169" t="s">
        <v>259</v>
      </c>
      <c r="BN136" s="169" t="s">
        <v>259</v>
      </c>
      <c r="BO136" s="169" t="s">
        <v>259</v>
      </c>
      <c r="BP136" s="169" t="s">
        <v>259</v>
      </c>
      <c r="BQ136" s="169" t="s">
        <v>259</v>
      </c>
      <c r="BR136" s="169" t="s">
        <v>259</v>
      </c>
      <c r="BS136" s="169" t="s">
        <v>259</v>
      </c>
      <c r="BT136" s="169" t="s">
        <v>259</v>
      </c>
      <c r="BU136" s="169" t="s">
        <v>259</v>
      </c>
      <c r="BV136" s="169" t="s">
        <v>259</v>
      </c>
      <c r="BW136" s="169" t="s">
        <v>259</v>
      </c>
      <c r="BX136" s="169" t="s">
        <v>259</v>
      </c>
      <c r="BY136" s="169" t="s">
        <v>259</v>
      </c>
      <c r="BZ136" s="169" t="s">
        <v>259</v>
      </c>
      <c r="CA136" s="169" t="s">
        <v>259</v>
      </c>
      <c r="CB136" s="169" t="s">
        <v>259</v>
      </c>
      <c r="CC136" s="169" t="s">
        <v>259</v>
      </c>
      <c r="CD136" s="169" t="s">
        <v>259</v>
      </c>
      <c r="CE136" s="169" t="s">
        <v>259</v>
      </c>
      <c r="CF136" s="169" t="s">
        <v>259</v>
      </c>
      <c r="CG136" s="169" t="s">
        <v>259</v>
      </c>
      <c r="CH136" s="169" t="s">
        <v>259</v>
      </c>
      <c r="CI136" s="169" t="s">
        <v>259</v>
      </c>
      <c r="CJ136" s="169" t="s">
        <v>259</v>
      </c>
      <c r="CK136" s="169" t="s">
        <v>259</v>
      </c>
      <c r="CL136" s="169" t="s">
        <v>259</v>
      </c>
      <c r="CM136" s="169" t="s">
        <v>259</v>
      </c>
      <c r="CN136" s="169" t="s">
        <v>259</v>
      </c>
      <c r="CO136" s="169" t="s">
        <v>259</v>
      </c>
      <c r="CP136" s="169" t="s">
        <v>259</v>
      </c>
      <c r="CQ136" s="169" t="s">
        <v>259</v>
      </c>
      <c r="CR136" s="169" t="s">
        <v>259</v>
      </c>
      <c r="CS136" s="169" t="s">
        <v>259</v>
      </c>
      <c r="CT136" s="169" t="s">
        <v>259</v>
      </c>
      <c r="CU136" s="169" t="s">
        <v>259</v>
      </c>
      <c r="CV136" s="169" t="s">
        <v>259</v>
      </c>
      <c r="CW136" s="169" t="s">
        <v>259</v>
      </c>
      <c r="CX136" s="169" t="s">
        <v>259</v>
      </c>
      <c r="CY136" s="169" t="s">
        <v>259</v>
      </c>
      <c r="CZ136" s="169" t="s">
        <v>259</v>
      </c>
      <c r="DA136" s="169" t="s">
        <v>259</v>
      </c>
      <c r="DB136" s="169" t="s">
        <v>259</v>
      </c>
      <c r="DC136" s="169" t="s">
        <v>259</v>
      </c>
      <c r="DD136" s="169" t="s">
        <v>259</v>
      </c>
      <c r="DE136" s="169" t="s">
        <v>259</v>
      </c>
      <c r="DF136" s="169" t="s">
        <v>259</v>
      </c>
      <c r="DG136" s="169" t="s">
        <v>259</v>
      </c>
      <c r="DH136" s="169" t="s">
        <v>259</v>
      </c>
      <c r="DI136" s="169" t="s">
        <v>259</v>
      </c>
      <c r="DJ136" s="169" t="s">
        <v>259</v>
      </c>
      <c r="DK136" s="169" t="s">
        <v>259</v>
      </c>
      <c r="DL136" s="169" t="s">
        <v>259</v>
      </c>
      <c r="DM136" s="169" t="s">
        <v>259</v>
      </c>
      <c r="DN136" s="169" t="s">
        <v>259</v>
      </c>
      <c r="DO136" s="169" t="s">
        <v>259</v>
      </c>
      <c r="DP136" s="169" t="s">
        <v>259</v>
      </c>
      <c r="DQ136" s="169" t="s">
        <v>259</v>
      </c>
      <c r="DR136" s="169" t="s">
        <v>259</v>
      </c>
      <c r="DS136" s="169" t="s">
        <v>259</v>
      </c>
      <c r="DT136" s="169" t="s">
        <v>259</v>
      </c>
    </row>
    <row r="137" spans="2:124" x14ac:dyDescent="0.3">
      <c r="B137" t="str">
        <f>'IMPORT SCHLIESSERDATEN'!B136</f>
        <v>ITS 96 GSR-EMF EN 3-6</v>
      </c>
      <c r="D137" s="169" t="s">
        <v>259</v>
      </c>
      <c r="E137" s="169" t="s">
        <v>259</v>
      </c>
      <c r="F137" s="169" t="s">
        <v>259</v>
      </c>
      <c r="G137" s="169" t="s">
        <v>259</v>
      </c>
      <c r="H137" s="169" t="s">
        <v>259</v>
      </c>
      <c r="I137" s="169" t="s">
        <v>259</v>
      </c>
      <c r="J137" s="169" t="s">
        <v>259</v>
      </c>
      <c r="K137" s="169" t="s">
        <v>259</v>
      </c>
      <c r="L137" s="169" t="s">
        <v>259</v>
      </c>
      <c r="M137" s="169" t="s">
        <v>259</v>
      </c>
      <c r="N137" s="169" t="s">
        <v>259</v>
      </c>
      <c r="O137" s="169" t="s">
        <v>259</v>
      </c>
      <c r="P137" s="169" t="s">
        <v>259</v>
      </c>
      <c r="Q137" s="169" t="s">
        <v>259</v>
      </c>
      <c r="R137" s="169" t="s">
        <v>259</v>
      </c>
      <c r="S137" s="169" t="s">
        <v>259</v>
      </c>
      <c r="T137" s="169" t="s">
        <v>259</v>
      </c>
      <c r="U137" s="169" t="s">
        <v>259</v>
      </c>
      <c r="V137" s="169" t="s">
        <v>259</v>
      </c>
      <c r="W137" s="169" t="s">
        <v>259</v>
      </c>
      <c r="X137" s="169" t="s">
        <v>259</v>
      </c>
      <c r="Y137" s="169" t="s">
        <v>259</v>
      </c>
      <c r="Z137" s="169" t="s">
        <v>259</v>
      </c>
      <c r="AA137" s="169" t="s">
        <v>259</v>
      </c>
      <c r="AB137" s="169" t="s">
        <v>259</v>
      </c>
      <c r="AC137" s="169" t="s">
        <v>259</v>
      </c>
      <c r="AD137" s="169" t="s">
        <v>259</v>
      </c>
      <c r="AE137" s="169" t="s">
        <v>259</v>
      </c>
      <c r="AF137" s="169" t="s">
        <v>259</v>
      </c>
      <c r="AG137" s="169" t="s">
        <v>259</v>
      </c>
      <c r="AH137" s="169" t="s">
        <v>259</v>
      </c>
      <c r="AI137" s="169" t="s">
        <v>259</v>
      </c>
      <c r="AJ137" s="169" t="s">
        <v>259</v>
      </c>
      <c r="AK137" s="169" t="s">
        <v>259</v>
      </c>
      <c r="AL137" s="169" t="s">
        <v>259</v>
      </c>
      <c r="AM137" s="169" t="s">
        <v>259</v>
      </c>
      <c r="AN137" s="169" t="s">
        <v>259</v>
      </c>
      <c r="AO137" s="169" t="s">
        <v>259</v>
      </c>
      <c r="AP137" s="169" t="s">
        <v>259</v>
      </c>
      <c r="AQ137" s="169" t="s">
        <v>259</v>
      </c>
      <c r="AR137" s="169" t="s">
        <v>259</v>
      </c>
      <c r="AS137" s="169" t="s">
        <v>259</v>
      </c>
      <c r="AT137" s="169" t="s">
        <v>259</v>
      </c>
      <c r="AU137" s="169" t="s">
        <v>259</v>
      </c>
      <c r="AV137" s="169" t="s">
        <v>259</v>
      </c>
      <c r="AW137" s="169" t="s">
        <v>259</v>
      </c>
      <c r="AX137" s="169" t="s">
        <v>259</v>
      </c>
      <c r="AY137" s="169" t="s">
        <v>259</v>
      </c>
      <c r="AZ137" s="169" t="s">
        <v>259</v>
      </c>
      <c r="BA137" s="169" t="s">
        <v>259</v>
      </c>
      <c r="BB137" s="169" t="s">
        <v>259</v>
      </c>
      <c r="BC137" s="169" t="s">
        <v>259</v>
      </c>
      <c r="BD137" s="169" t="s">
        <v>259</v>
      </c>
      <c r="BE137" s="169" t="s">
        <v>259</v>
      </c>
      <c r="BF137" s="169" t="s">
        <v>259</v>
      </c>
      <c r="BG137" s="169" t="s">
        <v>259</v>
      </c>
      <c r="BH137" s="169" t="s">
        <v>259</v>
      </c>
      <c r="BI137" s="169" t="s">
        <v>259</v>
      </c>
      <c r="BJ137" s="169" t="s">
        <v>259</v>
      </c>
      <c r="BK137" s="169" t="s">
        <v>259</v>
      </c>
      <c r="BL137" s="169" t="s">
        <v>259</v>
      </c>
      <c r="BM137" s="169" t="s">
        <v>259</v>
      </c>
      <c r="BN137" s="169" t="s">
        <v>259</v>
      </c>
      <c r="BO137" s="169" t="s">
        <v>259</v>
      </c>
      <c r="BP137" s="169" t="s">
        <v>259</v>
      </c>
      <c r="BQ137" s="169" t="s">
        <v>259</v>
      </c>
      <c r="BR137" s="169" t="s">
        <v>259</v>
      </c>
      <c r="BS137" s="169" t="s">
        <v>259</v>
      </c>
      <c r="BT137" s="169" t="s">
        <v>259</v>
      </c>
      <c r="BU137" s="169" t="s">
        <v>259</v>
      </c>
      <c r="BV137" s="169" t="s">
        <v>259</v>
      </c>
      <c r="BW137" s="169" t="s">
        <v>259</v>
      </c>
      <c r="BX137" s="169" t="s">
        <v>259</v>
      </c>
      <c r="BY137" s="169" t="s">
        <v>259</v>
      </c>
      <c r="BZ137" s="169" t="s">
        <v>259</v>
      </c>
      <c r="CA137" s="169" t="s">
        <v>259</v>
      </c>
      <c r="CB137" s="169" t="s">
        <v>259</v>
      </c>
      <c r="CC137" s="169" t="s">
        <v>259</v>
      </c>
      <c r="CD137" s="169" t="s">
        <v>259</v>
      </c>
      <c r="CE137" s="169" t="s">
        <v>259</v>
      </c>
      <c r="CF137" s="169" t="s">
        <v>259</v>
      </c>
      <c r="CG137" s="169" t="s">
        <v>259</v>
      </c>
      <c r="CH137" s="169" t="s">
        <v>259</v>
      </c>
      <c r="CI137" s="169" t="s">
        <v>259</v>
      </c>
      <c r="CJ137" s="169" t="s">
        <v>259</v>
      </c>
      <c r="CK137" s="169" t="s">
        <v>259</v>
      </c>
      <c r="CL137" s="169" t="s">
        <v>259</v>
      </c>
      <c r="CM137" s="169" t="s">
        <v>259</v>
      </c>
      <c r="CN137" s="169" t="s">
        <v>259</v>
      </c>
      <c r="CO137" s="169" t="s">
        <v>259</v>
      </c>
      <c r="CP137" s="169" t="s">
        <v>259</v>
      </c>
      <c r="CQ137" s="169" t="s">
        <v>259</v>
      </c>
      <c r="CR137" s="169" t="s">
        <v>259</v>
      </c>
      <c r="CS137" s="169" t="s">
        <v>259</v>
      </c>
      <c r="CT137" s="169" t="s">
        <v>259</v>
      </c>
      <c r="CU137" s="169" t="s">
        <v>259</v>
      </c>
      <c r="CV137" s="169" t="s">
        <v>259</v>
      </c>
      <c r="CW137" s="169" t="s">
        <v>259</v>
      </c>
      <c r="CX137" s="169" t="s">
        <v>259</v>
      </c>
      <c r="CY137" s="169" t="s">
        <v>259</v>
      </c>
      <c r="CZ137" s="169" t="s">
        <v>259</v>
      </c>
      <c r="DA137" s="169" t="s">
        <v>259</v>
      </c>
      <c r="DB137" s="169" t="s">
        <v>259</v>
      </c>
      <c r="DC137" s="169" t="s">
        <v>259</v>
      </c>
      <c r="DD137" s="169" t="s">
        <v>259</v>
      </c>
      <c r="DE137" s="169" t="s">
        <v>259</v>
      </c>
      <c r="DF137" s="169" t="s">
        <v>259</v>
      </c>
      <c r="DG137" s="169" t="s">
        <v>259</v>
      </c>
      <c r="DH137" s="169" t="s">
        <v>259</v>
      </c>
      <c r="DI137" s="169" t="s">
        <v>259</v>
      </c>
      <c r="DJ137" s="169" t="s">
        <v>259</v>
      </c>
      <c r="DK137" s="169" t="s">
        <v>259</v>
      </c>
      <c r="DL137" s="169" t="s">
        <v>259</v>
      </c>
      <c r="DM137" s="169" t="s">
        <v>259</v>
      </c>
      <c r="DN137" s="169" t="s">
        <v>259</v>
      </c>
      <c r="DO137" s="169" t="s">
        <v>259</v>
      </c>
      <c r="DP137" s="169" t="s">
        <v>259</v>
      </c>
      <c r="DQ137" s="169" t="s">
        <v>259</v>
      </c>
      <c r="DR137" s="169" t="s">
        <v>259</v>
      </c>
      <c r="DS137" s="169" t="s">
        <v>259</v>
      </c>
      <c r="DT137" s="169" t="s">
        <v>259</v>
      </c>
    </row>
    <row r="138" spans="2:124" x14ac:dyDescent="0.3">
      <c r="B138" t="str">
        <f>'IMPORT SCHLIESSERDATEN'!B137</f>
        <v>ITS 96 FL EN 3-6</v>
      </c>
      <c r="D138" s="169" t="s">
        <v>259</v>
      </c>
      <c r="E138" s="169" t="s">
        <v>259</v>
      </c>
      <c r="F138" s="169" t="s">
        <v>259</v>
      </c>
      <c r="G138" s="169" t="s">
        <v>259</v>
      </c>
      <c r="H138" s="169" t="s">
        <v>259</v>
      </c>
      <c r="I138" s="169" t="s">
        <v>259</v>
      </c>
      <c r="J138" s="169" t="s">
        <v>259</v>
      </c>
      <c r="K138" s="169" t="s">
        <v>259</v>
      </c>
      <c r="L138" s="169" t="s">
        <v>259</v>
      </c>
      <c r="M138" s="169" t="s">
        <v>259</v>
      </c>
      <c r="N138" s="169" t="s">
        <v>259</v>
      </c>
      <c r="O138" s="169" t="s">
        <v>259</v>
      </c>
      <c r="P138" s="169" t="s">
        <v>259</v>
      </c>
      <c r="Q138" s="169" t="s">
        <v>259</v>
      </c>
      <c r="R138" s="169" t="s">
        <v>259</v>
      </c>
      <c r="S138" s="169" t="s">
        <v>259</v>
      </c>
      <c r="T138" s="169" t="s">
        <v>259</v>
      </c>
      <c r="U138" s="169" t="s">
        <v>259</v>
      </c>
      <c r="V138" s="169" t="s">
        <v>259</v>
      </c>
      <c r="W138" s="169" t="s">
        <v>259</v>
      </c>
      <c r="X138" s="169" t="s">
        <v>259</v>
      </c>
      <c r="Y138" s="169" t="s">
        <v>259</v>
      </c>
      <c r="Z138" s="169" t="s">
        <v>259</v>
      </c>
      <c r="AA138" s="169" t="s">
        <v>259</v>
      </c>
      <c r="AB138" s="169" t="s">
        <v>259</v>
      </c>
      <c r="AC138" s="169" t="s">
        <v>259</v>
      </c>
      <c r="AD138" s="169" t="s">
        <v>259</v>
      </c>
      <c r="AE138" s="169" t="s">
        <v>259</v>
      </c>
      <c r="AF138" s="169" t="s">
        <v>259</v>
      </c>
      <c r="AG138" s="169" t="s">
        <v>259</v>
      </c>
      <c r="AH138" s="169" t="s">
        <v>259</v>
      </c>
      <c r="AI138" s="169" t="s">
        <v>259</v>
      </c>
      <c r="AJ138" s="169" t="s">
        <v>259</v>
      </c>
      <c r="AK138" s="169" t="s">
        <v>259</v>
      </c>
      <c r="AL138" s="169" t="s">
        <v>259</v>
      </c>
      <c r="AM138" s="169" t="s">
        <v>259</v>
      </c>
      <c r="AN138" s="169" t="s">
        <v>259</v>
      </c>
      <c r="AO138" s="169" t="s">
        <v>259</v>
      </c>
      <c r="AP138" s="169" t="s">
        <v>259</v>
      </c>
      <c r="AQ138" s="169" t="s">
        <v>259</v>
      </c>
      <c r="AR138" s="169" t="s">
        <v>259</v>
      </c>
      <c r="AS138" s="169" t="s">
        <v>259</v>
      </c>
      <c r="AT138" s="169" t="s">
        <v>259</v>
      </c>
      <c r="AU138" s="169" t="s">
        <v>259</v>
      </c>
      <c r="AV138" s="169" t="s">
        <v>259</v>
      </c>
      <c r="AW138" s="169" t="s">
        <v>259</v>
      </c>
      <c r="AX138" s="169" t="s">
        <v>259</v>
      </c>
      <c r="AY138" s="169" t="s">
        <v>259</v>
      </c>
      <c r="AZ138" s="169" t="s">
        <v>259</v>
      </c>
      <c r="BA138" s="169" t="s">
        <v>259</v>
      </c>
      <c r="BB138" s="169" t="s">
        <v>259</v>
      </c>
      <c r="BC138" s="169" t="s">
        <v>259</v>
      </c>
      <c r="BD138" s="169" t="s">
        <v>259</v>
      </c>
      <c r="BE138" s="169" t="s">
        <v>259</v>
      </c>
      <c r="BF138" s="169" t="s">
        <v>259</v>
      </c>
      <c r="BG138" s="169" t="s">
        <v>259</v>
      </c>
      <c r="BH138" s="169" t="s">
        <v>259</v>
      </c>
      <c r="BI138" s="169" t="s">
        <v>259</v>
      </c>
      <c r="BJ138" s="169" t="s">
        <v>259</v>
      </c>
      <c r="BK138" s="169" t="s">
        <v>259</v>
      </c>
      <c r="BL138" s="169" t="s">
        <v>259</v>
      </c>
      <c r="BM138" s="169" t="s">
        <v>259</v>
      </c>
      <c r="BN138" s="169" t="s">
        <v>259</v>
      </c>
      <c r="BO138" s="169" t="s">
        <v>259</v>
      </c>
      <c r="BP138" s="169" t="s">
        <v>259</v>
      </c>
      <c r="BQ138" s="169" t="s">
        <v>259</v>
      </c>
      <c r="BR138" s="169" t="s">
        <v>259</v>
      </c>
      <c r="BS138" s="169" t="s">
        <v>259</v>
      </c>
      <c r="BT138" s="169" t="s">
        <v>259</v>
      </c>
      <c r="BU138" s="169" t="s">
        <v>259</v>
      </c>
      <c r="BV138" s="169" t="s">
        <v>259</v>
      </c>
      <c r="BW138" s="169" t="s">
        <v>259</v>
      </c>
      <c r="BX138" s="169" t="s">
        <v>259</v>
      </c>
      <c r="BY138" s="169" t="s">
        <v>259</v>
      </c>
      <c r="BZ138" s="169" t="s">
        <v>259</v>
      </c>
      <c r="CA138" s="169" t="s">
        <v>259</v>
      </c>
      <c r="CB138" s="169" t="s">
        <v>259</v>
      </c>
      <c r="CC138" s="169" t="s">
        <v>259</v>
      </c>
      <c r="CD138" s="169" t="s">
        <v>259</v>
      </c>
      <c r="CE138" s="169" t="s">
        <v>259</v>
      </c>
      <c r="CF138" s="169" t="s">
        <v>259</v>
      </c>
      <c r="CG138" s="169" t="s">
        <v>259</v>
      </c>
      <c r="CH138" s="169" t="s">
        <v>259</v>
      </c>
      <c r="CI138" s="169" t="s">
        <v>259</v>
      </c>
      <c r="CJ138" s="169" t="s">
        <v>259</v>
      </c>
      <c r="CK138" s="169" t="s">
        <v>259</v>
      </c>
      <c r="CL138" s="169" t="s">
        <v>259</v>
      </c>
      <c r="CM138" s="169" t="s">
        <v>259</v>
      </c>
      <c r="CN138" s="169" t="s">
        <v>259</v>
      </c>
      <c r="CO138" s="169" t="s">
        <v>259</v>
      </c>
      <c r="CP138" s="169" t="s">
        <v>259</v>
      </c>
      <c r="CQ138" s="169" t="s">
        <v>259</v>
      </c>
      <c r="CR138" s="169" t="s">
        <v>259</v>
      </c>
      <c r="CS138" s="169" t="s">
        <v>259</v>
      </c>
      <c r="CT138" s="169" t="s">
        <v>259</v>
      </c>
      <c r="CU138" s="169" t="s">
        <v>259</v>
      </c>
      <c r="CV138" s="169" t="s">
        <v>259</v>
      </c>
      <c r="CW138" s="169" t="s">
        <v>259</v>
      </c>
      <c r="CX138" s="169" t="s">
        <v>259</v>
      </c>
      <c r="CY138" s="169" t="s">
        <v>259</v>
      </c>
      <c r="CZ138" s="169" t="s">
        <v>259</v>
      </c>
      <c r="DA138" s="169" t="s">
        <v>259</v>
      </c>
      <c r="DB138" s="169" t="s">
        <v>259</v>
      </c>
      <c r="DC138" s="169" t="s">
        <v>259</v>
      </c>
      <c r="DD138" s="169" t="s">
        <v>259</v>
      </c>
      <c r="DE138" s="169" t="s">
        <v>259</v>
      </c>
      <c r="DF138" s="169" t="s">
        <v>259</v>
      </c>
      <c r="DG138" s="169" t="s">
        <v>259</v>
      </c>
      <c r="DH138" s="169" t="s">
        <v>259</v>
      </c>
      <c r="DI138" s="169" t="s">
        <v>259</v>
      </c>
      <c r="DJ138" s="169" t="s">
        <v>259</v>
      </c>
      <c r="DK138" s="169" t="s">
        <v>259</v>
      </c>
      <c r="DL138" s="169" t="s">
        <v>259</v>
      </c>
      <c r="DM138" s="169" t="s">
        <v>259</v>
      </c>
      <c r="DN138" s="169" t="s">
        <v>259</v>
      </c>
      <c r="DO138" s="169" t="s">
        <v>259</v>
      </c>
      <c r="DP138" s="169" t="s">
        <v>259</v>
      </c>
      <c r="DQ138" s="169" t="s">
        <v>259</v>
      </c>
      <c r="DR138" s="169" t="s">
        <v>259</v>
      </c>
      <c r="DS138" s="169" t="s">
        <v>259</v>
      </c>
      <c r="DT138" s="169" t="s">
        <v>259</v>
      </c>
    </row>
    <row r="139" spans="2:124" x14ac:dyDescent="0.3">
      <c r="B139" t="str">
        <f>'IMPORT SCHLIESSERDATEN'!B138</f>
        <v>ITS 96 GSR FL EN 3-6</v>
      </c>
      <c r="D139" s="169" t="s">
        <v>259</v>
      </c>
      <c r="E139" s="169" t="s">
        <v>259</v>
      </c>
      <c r="F139" s="169" t="s">
        <v>259</v>
      </c>
      <c r="G139" s="169" t="s">
        <v>259</v>
      </c>
      <c r="H139" s="169" t="s">
        <v>259</v>
      </c>
      <c r="I139" s="169" t="s">
        <v>259</v>
      </c>
      <c r="J139" s="169" t="s">
        <v>259</v>
      </c>
      <c r="K139" s="169" t="s">
        <v>259</v>
      </c>
      <c r="L139" s="169" t="s">
        <v>259</v>
      </c>
      <c r="M139" s="169" t="s">
        <v>259</v>
      </c>
      <c r="N139" s="169" t="s">
        <v>259</v>
      </c>
      <c r="O139" s="169" t="s">
        <v>259</v>
      </c>
      <c r="P139" s="169" t="s">
        <v>259</v>
      </c>
      <c r="Q139" s="169" t="s">
        <v>259</v>
      </c>
      <c r="R139" s="169" t="s">
        <v>259</v>
      </c>
      <c r="S139" s="169" t="s">
        <v>259</v>
      </c>
      <c r="T139" s="169" t="s">
        <v>259</v>
      </c>
      <c r="U139" s="169" t="s">
        <v>259</v>
      </c>
      <c r="V139" s="169" t="s">
        <v>259</v>
      </c>
      <c r="W139" s="169" t="s">
        <v>259</v>
      </c>
      <c r="X139" s="169" t="s">
        <v>259</v>
      </c>
      <c r="Y139" s="169" t="s">
        <v>259</v>
      </c>
      <c r="Z139" s="169" t="s">
        <v>259</v>
      </c>
      <c r="AA139" s="169" t="s">
        <v>259</v>
      </c>
      <c r="AB139" s="169" t="s">
        <v>259</v>
      </c>
      <c r="AC139" s="169" t="s">
        <v>259</v>
      </c>
      <c r="AD139" s="169" t="s">
        <v>259</v>
      </c>
      <c r="AE139" s="169" t="s">
        <v>259</v>
      </c>
      <c r="AF139" s="169" t="s">
        <v>259</v>
      </c>
      <c r="AG139" s="169" t="s">
        <v>259</v>
      </c>
      <c r="AH139" s="169" t="s">
        <v>259</v>
      </c>
      <c r="AI139" s="169" t="s">
        <v>259</v>
      </c>
      <c r="AJ139" s="169" t="s">
        <v>259</v>
      </c>
      <c r="AK139" s="169" t="s">
        <v>259</v>
      </c>
      <c r="AL139" s="169" t="s">
        <v>259</v>
      </c>
      <c r="AM139" s="169" t="s">
        <v>259</v>
      </c>
      <c r="AN139" s="169" t="s">
        <v>259</v>
      </c>
      <c r="AO139" s="169" t="s">
        <v>259</v>
      </c>
      <c r="AP139" s="169" t="s">
        <v>259</v>
      </c>
      <c r="AQ139" s="169" t="s">
        <v>259</v>
      </c>
      <c r="AR139" s="169" t="s">
        <v>259</v>
      </c>
      <c r="AS139" s="169" t="s">
        <v>259</v>
      </c>
      <c r="AT139" s="169" t="s">
        <v>259</v>
      </c>
      <c r="AU139" s="169" t="s">
        <v>259</v>
      </c>
      <c r="AV139" s="169" t="s">
        <v>259</v>
      </c>
      <c r="AW139" s="169" t="s">
        <v>259</v>
      </c>
      <c r="AX139" s="169" t="s">
        <v>259</v>
      </c>
      <c r="AY139" s="169" t="s">
        <v>259</v>
      </c>
      <c r="AZ139" s="169" t="s">
        <v>259</v>
      </c>
      <c r="BA139" s="169" t="s">
        <v>259</v>
      </c>
      <c r="BB139" s="169" t="s">
        <v>259</v>
      </c>
      <c r="BC139" s="169" t="s">
        <v>259</v>
      </c>
      <c r="BD139" s="169" t="s">
        <v>259</v>
      </c>
      <c r="BE139" s="169" t="s">
        <v>259</v>
      </c>
      <c r="BF139" s="169" t="s">
        <v>259</v>
      </c>
      <c r="BG139" s="169" t="s">
        <v>259</v>
      </c>
      <c r="BH139" s="169" t="s">
        <v>259</v>
      </c>
      <c r="BI139" s="169" t="s">
        <v>259</v>
      </c>
      <c r="BJ139" s="169" t="s">
        <v>259</v>
      </c>
      <c r="BK139" s="169" t="s">
        <v>259</v>
      </c>
      <c r="BL139" s="169" t="s">
        <v>259</v>
      </c>
      <c r="BM139" s="169" t="s">
        <v>259</v>
      </c>
      <c r="BN139" s="169" t="s">
        <v>259</v>
      </c>
      <c r="BO139" s="169" t="s">
        <v>259</v>
      </c>
      <c r="BP139" s="169" t="s">
        <v>259</v>
      </c>
      <c r="BQ139" s="169" t="s">
        <v>259</v>
      </c>
      <c r="BR139" s="169" t="s">
        <v>259</v>
      </c>
      <c r="BS139" s="169" t="s">
        <v>259</v>
      </c>
      <c r="BT139" s="169" t="s">
        <v>259</v>
      </c>
      <c r="BU139" s="169" t="s">
        <v>259</v>
      </c>
      <c r="BV139" s="169" t="s">
        <v>259</v>
      </c>
      <c r="BW139" s="169" t="s">
        <v>259</v>
      </c>
      <c r="BX139" s="169" t="s">
        <v>259</v>
      </c>
      <c r="BY139" s="169" t="s">
        <v>259</v>
      </c>
      <c r="BZ139" s="169" t="s">
        <v>259</v>
      </c>
      <c r="CA139" s="169" t="s">
        <v>259</v>
      </c>
      <c r="CB139" s="169" t="s">
        <v>259</v>
      </c>
      <c r="CC139" s="169" t="s">
        <v>259</v>
      </c>
      <c r="CD139" s="169" t="s">
        <v>259</v>
      </c>
      <c r="CE139" s="169" t="s">
        <v>259</v>
      </c>
      <c r="CF139" s="169" t="s">
        <v>259</v>
      </c>
      <c r="CG139" s="169" t="s">
        <v>259</v>
      </c>
      <c r="CH139" s="169" t="s">
        <v>259</v>
      </c>
      <c r="CI139" s="169" t="s">
        <v>259</v>
      </c>
      <c r="CJ139" s="169" t="s">
        <v>259</v>
      </c>
      <c r="CK139" s="169" t="s">
        <v>259</v>
      </c>
      <c r="CL139" s="169" t="s">
        <v>259</v>
      </c>
      <c r="CM139" s="169" t="s">
        <v>259</v>
      </c>
      <c r="CN139" s="169" t="s">
        <v>259</v>
      </c>
      <c r="CO139" s="169" t="s">
        <v>259</v>
      </c>
      <c r="CP139" s="169" t="s">
        <v>259</v>
      </c>
      <c r="CQ139" s="169" t="s">
        <v>259</v>
      </c>
      <c r="CR139" s="169" t="s">
        <v>259</v>
      </c>
      <c r="CS139" s="169" t="s">
        <v>259</v>
      </c>
      <c r="CT139" s="169" t="s">
        <v>259</v>
      </c>
      <c r="CU139" s="169" t="s">
        <v>259</v>
      </c>
      <c r="CV139" s="169" t="s">
        <v>259</v>
      </c>
      <c r="CW139" s="169" t="s">
        <v>259</v>
      </c>
      <c r="CX139" s="169" t="s">
        <v>259</v>
      </c>
      <c r="CY139" s="169" t="s">
        <v>259</v>
      </c>
      <c r="CZ139" s="169" t="s">
        <v>259</v>
      </c>
      <c r="DA139" s="169" t="s">
        <v>259</v>
      </c>
      <c r="DB139" s="169" t="s">
        <v>259</v>
      </c>
      <c r="DC139" s="169" t="s">
        <v>259</v>
      </c>
      <c r="DD139" s="169" t="s">
        <v>259</v>
      </c>
      <c r="DE139" s="169" t="s">
        <v>259</v>
      </c>
      <c r="DF139" s="169" t="s">
        <v>259</v>
      </c>
      <c r="DG139" s="169" t="s">
        <v>259</v>
      </c>
      <c r="DH139" s="169" t="s">
        <v>259</v>
      </c>
      <c r="DI139" s="169" t="s">
        <v>259</v>
      </c>
      <c r="DJ139" s="169" t="s">
        <v>259</v>
      </c>
      <c r="DK139" s="169" t="s">
        <v>259</v>
      </c>
      <c r="DL139" s="169" t="s">
        <v>259</v>
      </c>
      <c r="DM139" s="169" t="s">
        <v>259</v>
      </c>
      <c r="DN139" s="169" t="s">
        <v>259</v>
      </c>
      <c r="DO139" s="169" t="s">
        <v>259</v>
      </c>
      <c r="DP139" s="169" t="s">
        <v>259</v>
      </c>
      <c r="DQ139" s="169" t="s">
        <v>259</v>
      </c>
      <c r="DR139" s="169" t="s">
        <v>259</v>
      </c>
      <c r="DS139" s="169" t="s">
        <v>259</v>
      </c>
      <c r="DT139" s="169" t="s">
        <v>259</v>
      </c>
    </row>
    <row r="140" spans="2:124" x14ac:dyDescent="0.3">
      <c r="B140" t="str">
        <f>'IMPORT SCHLIESSERDATEN'!B139</f>
        <v>BTS 75V EN 1-4</v>
      </c>
      <c r="D140" s="169" t="s">
        <v>259</v>
      </c>
      <c r="E140" s="169" t="s">
        <v>259</v>
      </c>
      <c r="F140" s="169" t="s">
        <v>259</v>
      </c>
      <c r="G140" s="169" t="s">
        <v>259</v>
      </c>
      <c r="H140" s="169" t="s">
        <v>259</v>
      </c>
      <c r="I140" s="169" t="s">
        <v>259</v>
      </c>
      <c r="J140" s="169" t="s">
        <v>259</v>
      </c>
      <c r="K140" s="169" t="s">
        <v>259</v>
      </c>
      <c r="L140" s="169" t="s">
        <v>259</v>
      </c>
      <c r="M140" s="169" t="s">
        <v>259</v>
      </c>
      <c r="N140" s="169" t="s">
        <v>259</v>
      </c>
      <c r="O140" s="169" t="s">
        <v>259</v>
      </c>
      <c r="P140" s="169" t="s">
        <v>259</v>
      </c>
      <c r="Q140" s="169" t="s">
        <v>259</v>
      </c>
      <c r="R140" s="169" t="s">
        <v>259</v>
      </c>
      <c r="S140" s="169" t="s">
        <v>259</v>
      </c>
      <c r="T140" s="169" t="s">
        <v>259</v>
      </c>
      <c r="U140" s="169" t="s">
        <v>259</v>
      </c>
      <c r="V140" s="169" t="s">
        <v>259</v>
      </c>
      <c r="W140" s="169" t="s">
        <v>259</v>
      </c>
      <c r="X140" s="169" t="s">
        <v>259</v>
      </c>
      <c r="Y140" s="169" t="s">
        <v>259</v>
      </c>
      <c r="Z140" s="169" t="s">
        <v>259</v>
      </c>
      <c r="AA140" s="169" t="s">
        <v>259</v>
      </c>
      <c r="AB140" s="169" t="s">
        <v>259</v>
      </c>
      <c r="AC140" s="169" t="s">
        <v>259</v>
      </c>
      <c r="AD140" s="169" t="s">
        <v>259</v>
      </c>
      <c r="AE140" s="169" t="s">
        <v>259</v>
      </c>
      <c r="AF140" s="169" t="s">
        <v>259</v>
      </c>
      <c r="AG140" s="169" t="s">
        <v>259</v>
      </c>
      <c r="AH140" s="169" t="s">
        <v>259</v>
      </c>
      <c r="AI140" s="169" t="s">
        <v>259</v>
      </c>
      <c r="AJ140" s="169" t="s">
        <v>259</v>
      </c>
      <c r="AK140" s="169" t="s">
        <v>259</v>
      </c>
      <c r="AL140" s="169" t="s">
        <v>259</v>
      </c>
      <c r="AM140" s="169" t="s">
        <v>259</v>
      </c>
      <c r="AN140" s="169" t="s">
        <v>259</v>
      </c>
      <c r="AO140" s="169" t="s">
        <v>259</v>
      </c>
      <c r="AP140" s="169" t="s">
        <v>259</v>
      </c>
      <c r="AQ140" s="169" t="s">
        <v>259</v>
      </c>
      <c r="AR140" s="169" t="s">
        <v>259</v>
      </c>
      <c r="AS140" s="169" t="s">
        <v>259</v>
      </c>
      <c r="AT140" s="169" t="s">
        <v>259</v>
      </c>
      <c r="AU140" s="169" t="s">
        <v>259</v>
      </c>
      <c r="AV140" s="169" t="s">
        <v>259</v>
      </c>
      <c r="AW140" s="169" t="s">
        <v>259</v>
      </c>
      <c r="AX140" s="169" t="s">
        <v>259</v>
      </c>
      <c r="AY140" s="169" t="s">
        <v>259</v>
      </c>
      <c r="AZ140" s="169" t="s">
        <v>259</v>
      </c>
      <c r="BA140" s="169" t="s">
        <v>259</v>
      </c>
      <c r="BB140" s="169" t="s">
        <v>259</v>
      </c>
      <c r="BC140" s="169" t="s">
        <v>259</v>
      </c>
      <c r="BD140" s="169" t="s">
        <v>259</v>
      </c>
      <c r="BE140" s="169" t="s">
        <v>259</v>
      </c>
      <c r="BF140" s="169" t="s">
        <v>259</v>
      </c>
      <c r="BG140" s="169" t="s">
        <v>259</v>
      </c>
      <c r="BH140" s="169" t="s">
        <v>259</v>
      </c>
      <c r="BI140" s="169" t="s">
        <v>259</v>
      </c>
      <c r="BJ140" s="169" t="s">
        <v>259</v>
      </c>
      <c r="BK140" s="169" t="s">
        <v>259</v>
      </c>
      <c r="BL140" s="169" t="s">
        <v>259</v>
      </c>
      <c r="BM140" s="169" t="s">
        <v>259</v>
      </c>
      <c r="BN140" s="169" t="s">
        <v>259</v>
      </c>
      <c r="BO140" s="169" t="s">
        <v>259</v>
      </c>
      <c r="BP140" s="169" t="s">
        <v>259</v>
      </c>
      <c r="BQ140" s="169" t="s">
        <v>259</v>
      </c>
      <c r="BR140" s="169" t="s">
        <v>259</v>
      </c>
      <c r="BS140" s="169" t="s">
        <v>259</v>
      </c>
      <c r="BT140" s="169" t="s">
        <v>259</v>
      </c>
      <c r="BU140" s="169" t="s">
        <v>259</v>
      </c>
      <c r="BV140" s="169" t="s">
        <v>259</v>
      </c>
      <c r="BW140" s="169" t="s">
        <v>259</v>
      </c>
      <c r="BX140" s="169" t="s">
        <v>259</v>
      </c>
      <c r="BY140" s="169" t="s">
        <v>259</v>
      </c>
      <c r="BZ140" s="169" t="s">
        <v>259</v>
      </c>
      <c r="CA140" s="169" t="s">
        <v>259</v>
      </c>
      <c r="CB140" s="169" t="s">
        <v>259</v>
      </c>
      <c r="CC140" s="169" t="s">
        <v>259</v>
      </c>
      <c r="CD140" s="169" t="s">
        <v>259</v>
      </c>
      <c r="CE140" s="169" t="s">
        <v>259</v>
      </c>
      <c r="CF140" s="169" t="s">
        <v>259</v>
      </c>
      <c r="CG140" s="169" t="s">
        <v>259</v>
      </c>
      <c r="CH140" s="169" t="s">
        <v>259</v>
      </c>
      <c r="CI140" s="169" t="s">
        <v>259</v>
      </c>
      <c r="CJ140" s="169" t="s">
        <v>259</v>
      </c>
      <c r="CK140" s="169" t="s">
        <v>259</v>
      </c>
      <c r="CL140" s="169" t="s">
        <v>259</v>
      </c>
      <c r="CM140" s="169" t="s">
        <v>259</v>
      </c>
      <c r="CN140" s="169" t="s">
        <v>259</v>
      </c>
      <c r="CO140" s="169" t="s">
        <v>259</v>
      </c>
      <c r="CP140" s="169" t="s">
        <v>259</v>
      </c>
      <c r="CQ140" s="169" t="s">
        <v>259</v>
      </c>
      <c r="CR140" s="169" t="s">
        <v>259</v>
      </c>
      <c r="CS140" s="169" t="s">
        <v>259</v>
      </c>
      <c r="CT140" s="169" t="s">
        <v>259</v>
      </c>
      <c r="CU140" s="169" t="s">
        <v>259</v>
      </c>
      <c r="CV140" s="169" t="s">
        <v>259</v>
      </c>
      <c r="CW140" s="169" t="s">
        <v>259</v>
      </c>
      <c r="CX140" s="169" t="s">
        <v>259</v>
      </c>
      <c r="CY140" s="169" t="s">
        <v>259</v>
      </c>
      <c r="CZ140" s="169" t="s">
        <v>259</v>
      </c>
      <c r="DA140" s="169" t="s">
        <v>259</v>
      </c>
      <c r="DB140" s="169" t="s">
        <v>259</v>
      </c>
      <c r="DC140" s="169" t="s">
        <v>259</v>
      </c>
      <c r="DD140" s="169" t="s">
        <v>259</v>
      </c>
      <c r="DE140" s="169" t="s">
        <v>259</v>
      </c>
      <c r="DF140" s="169" t="s">
        <v>259</v>
      </c>
      <c r="DG140" s="169" t="s">
        <v>259</v>
      </c>
      <c r="DH140" s="169" t="s">
        <v>259</v>
      </c>
      <c r="DI140" s="169" t="s">
        <v>259</v>
      </c>
      <c r="DJ140" s="169" t="s">
        <v>259</v>
      </c>
      <c r="DK140" s="169" t="s">
        <v>259</v>
      </c>
      <c r="DL140" s="169" t="s">
        <v>259</v>
      </c>
      <c r="DM140" s="169" t="s">
        <v>259</v>
      </c>
      <c r="DN140" s="169" t="s">
        <v>259</v>
      </c>
      <c r="DO140" s="169" t="s">
        <v>259</v>
      </c>
      <c r="DP140" s="169" t="s">
        <v>259</v>
      </c>
      <c r="DQ140" s="169" t="s">
        <v>259</v>
      </c>
      <c r="DR140" s="169" t="s">
        <v>259</v>
      </c>
      <c r="DS140" s="169" t="s">
        <v>259</v>
      </c>
      <c r="DT140" s="169" t="s">
        <v>259</v>
      </c>
    </row>
    <row r="141" spans="2:124" x14ac:dyDescent="0.3">
      <c r="B141" t="str">
        <f>'IMPORT SCHLIESSERDATEN'!B140</f>
        <v>BTS 80 EN 3</v>
      </c>
      <c r="D141" s="169" t="s">
        <v>259</v>
      </c>
      <c r="E141" s="169" t="s">
        <v>259</v>
      </c>
      <c r="F141" s="169" t="s">
        <v>259</v>
      </c>
      <c r="G141" s="169" t="s">
        <v>259</v>
      </c>
      <c r="H141" s="169" t="s">
        <v>259</v>
      </c>
      <c r="I141" s="169" t="s">
        <v>259</v>
      </c>
      <c r="J141" s="169" t="s">
        <v>259</v>
      </c>
      <c r="K141" s="169" t="s">
        <v>259</v>
      </c>
      <c r="L141" s="169" t="s">
        <v>259</v>
      </c>
      <c r="M141" s="169" t="s">
        <v>259</v>
      </c>
      <c r="N141" s="169" t="s">
        <v>259</v>
      </c>
      <c r="O141" s="169" t="s">
        <v>259</v>
      </c>
      <c r="P141" s="169" t="s">
        <v>259</v>
      </c>
      <c r="Q141" s="169" t="s">
        <v>259</v>
      </c>
      <c r="R141" s="169" t="s">
        <v>259</v>
      </c>
      <c r="S141" s="169" t="s">
        <v>259</v>
      </c>
      <c r="T141" s="169" t="s">
        <v>259</v>
      </c>
      <c r="U141" s="169" t="s">
        <v>259</v>
      </c>
      <c r="V141" s="169" t="s">
        <v>259</v>
      </c>
      <c r="W141" s="169" t="s">
        <v>259</v>
      </c>
      <c r="X141" s="169" t="s">
        <v>259</v>
      </c>
      <c r="Y141" s="169" t="s">
        <v>259</v>
      </c>
      <c r="Z141" s="169" t="s">
        <v>259</v>
      </c>
      <c r="AA141" s="169" t="s">
        <v>259</v>
      </c>
      <c r="AB141" s="169" t="s">
        <v>259</v>
      </c>
      <c r="AC141" s="169" t="s">
        <v>259</v>
      </c>
      <c r="AD141" s="169" t="s">
        <v>259</v>
      </c>
      <c r="AE141" s="169" t="s">
        <v>259</v>
      </c>
      <c r="AF141" s="169" t="s">
        <v>259</v>
      </c>
      <c r="AG141" s="169" t="s">
        <v>259</v>
      </c>
      <c r="AH141" s="169" t="s">
        <v>259</v>
      </c>
      <c r="AI141" s="169" t="s">
        <v>259</v>
      </c>
      <c r="AJ141" s="169" t="s">
        <v>259</v>
      </c>
      <c r="AK141" s="169" t="s">
        <v>259</v>
      </c>
      <c r="AL141" s="169" t="s">
        <v>259</v>
      </c>
      <c r="AM141" s="169" t="s">
        <v>259</v>
      </c>
      <c r="AN141" s="169" t="s">
        <v>259</v>
      </c>
      <c r="AO141" s="169" t="s">
        <v>259</v>
      </c>
      <c r="AP141" s="169" t="s">
        <v>259</v>
      </c>
      <c r="AQ141" s="169" t="s">
        <v>259</v>
      </c>
      <c r="AR141" s="169" t="s">
        <v>259</v>
      </c>
      <c r="AS141" s="169" t="s">
        <v>259</v>
      </c>
      <c r="AT141" s="169" t="s">
        <v>259</v>
      </c>
      <c r="AU141" s="169" t="s">
        <v>259</v>
      </c>
      <c r="AV141" s="169" t="s">
        <v>259</v>
      </c>
      <c r="AW141" s="169" t="s">
        <v>259</v>
      </c>
      <c r="AX141" s="169" t="s">
        <v>259</v>
      </c>
      <c r="AY141" s="169" t="s">
        <v>259</v>
      </c>
      <c r="AZ141" s="169" t="s">
        <v>259</v>
      </c>
      <c r="BA141" s="169" t="s">
        <v>259</v>
      </c>
      <c r="BB141" s="169" t="s">
        <v>259</v>
      </c>
      <c r="BC141" s="169" t="s">
        <v>259</v>
      </c>
      <c r="BD141" s="169" t="s">
        <v>259</v>
      </c>
      <c r="BE141" s="169" t="s">
        <v>259</v>
      </c>
      <c r="BF141" s="169" t="s">
        <v>259</v>
      </c>
      <c r="BG141" s="169" t="s">
        <v>259</v>
      </c>
      <c r="BH141" s="169" t="s">
        <v>259</v>
      </c>
      <c r="BI141" s="169" t="s">
        <v>259</v>
      </c>
      <c r="BJ141" s="169" t="s">
        <v>259</v>
      </c>
      <c r="BK141" s="169" t="s">
        <v>259</v>
      </c>
      <c r="BL141" s="169" t="s">
        <v>259</v>
      </c>
      <c r="BM141" s="169" t="s">
        <v>259</v>
      </c>
      <c r="BN141" s="169" t="s">
        <v>259</v>
      </c>
      <c r="BO141" s="169" t="s">
        <v>259</v>
      </c>
      <c r="BP141" s="169" t="s">
        <v>259</v>
      </c>
      <c r="BQ141" s="169" t="s">
        <v>259</v>
      </c>
      <c r="BR141" s="169" t="s">
        <v>259</v>
      </c>
      <c r="BS141" s="169" t="s">
        <v>259</v>
      </c>
      <c r="BT141" s="169" t="s">
        <v>259</v>
      </c>
      <c r="BU141" s="169" t="s">
        <v>259</v>
      </c>
      <c r="BV141" s="169" t="s">
        <v>259</v>
      </c>
      <c r="BW141" s="169" t="s">
        <v>259</v>
      </c>
      <c r="BX141" s="169" t="s">
        <v>259</v>
      </c>
      <c r="BY141" s="169" t="s">
        <v>259</v>
      </c>
      <c r="BZ141" s="169" t="s">
        <v>259</v>
      </c>
      <c r="CA141" s="169" t="s">
        <v>259</v>
      </c>
      <c r="CB141" s="169" t="s">
        <v>259</v>
      </c>
      <c r="CC141" s="169" t="s">
        <v>259</v>
      </c>
      <c r="CD141" s="169" t="s">
        <v>259</v>
      </c>
      <c r="CE141" s="169" t="s">
        <v>259</v>
      </c>
      <c r="CF141" s="169" t="s">
        <v>259</v>
      </c>
      <c r="CG141" s="169" t="s">
        <v>259</v>
      </c>
      <c r="CH141" s="169" t="s">
        <v>259</v>
      </c>
      <c r="CI141" s="169" t="s">
        <v>259</v>
      </c>
      <c r="CJ141" s="169" t="s">
        <v>259</v>
      </c>
      <c r="CK141" s="169" t="s">
        <v>259</v>
      </c>
      <c r="CL141" s="169" t="s">
        <v>259</v>
      </c>
      <c r="CM141" s="169" t="s">
        <v>259</v>
      </c>
      <c r="CN141" s="169" t="s">
        <v>259</v>
      </c>
      <c r="CO141" s="169" t="s">
        <v>259</v>
      </c>
      <c r="CP141" s="169" t="s">
        <v>259</v>
      </c>
      <c r="CQ141" s="169" t="s">
        <v>259</v>
      </c>
      <c r="CR141" s="169" t="s">
        <v>259</v>
      </c>
      <c r="CS141" s="169" t="s">
        <v>259</v>
      </c>
      <c r="CT141" s="169" t="s">
        <v>259</v>
      </c>
      <c r="CU141" s="169" t="s">
        <v>259</v>
      </c>
      <c r="CV141" s="169" t="s">
        <v>259</v>
      </c>
      <c r="CW141" s="169" t="s">
        <v>259</v>
      </c>
      <c r="CX141" s="169" t="s">
        <v>259</v>
      </c>
      <c r="CY141" s="169" t="s">
        <v>259</v>
      </c>
      <c r="CZ141" s="169" t="s">
        <v>259</v>
      </c>
      <c r="DA141" s="169" t="s">
        <v>259</v>
      </c>
      <c r="DB141" s="169" t="s">
        <v>259</v>
      </c>
      <c r="DC141" s="169" t="s">
        <v>259</v>
      </c>
      <c r="DD141" s="169" t="s">
        <v>259</v>
      </c>
      <c r="DE141" s="169" t="s">
        <v>259</v>
      </c>
      <c r="DF141" s="169" t="s">
        <v>259</v>
      </c>
      <c r="DG141" s="169" t="s">
        <v>259</v>
      </c>
      <c r="DH141" s="169" t="s">
        <v>259</v>
      </c>
      <c r="DI141" s="169" t="s">
        <v>259</v>
      </c>
      <c r="DJ141" s="169" t="s">
        <v>259</v>
      </c>
      <c r="DK141" s="169" t="s">
        <v>259</v>
      </c>
      <c r="DL141" s="169" t="s">
        <v>259</v>
      </c>
      <c r="DM141" s="169" t="s">
        <v>259</v>
      </c>
      <c r="DN141" s="169" t="s">
        <v>259</v>
      </c>
      <c r="DO141" s="169" t="s">
        <v>259</v>
      </c>
      <c r="DP141" s="169" t="s">
        <v>259</v>
      </c>
      <c r="DQ141" s="169" t="s">
        <v>259</v>
      </c>
      <c r="DR141" s="169" t="s">
        <v>259</v>
      </c>
      <c r="DS141" s="169" t="s">
        <v>259</v>
      </c>
      <c r="DT141" s="169" t="s">
        <v>259</v>
      </c>
    </row>
    <row r="142" spans="2:124" x14ac:dyDescent="0.3">
      <c r="B142" t="str">
        <f>'IMPORT SCHLIESSERDATEN'!B141</f>
        <v>BTS 80 EN 4</v>
      </c>
      <c r="D142" s="169" t="s">
        <v>259</v>
      </c>
      <c r="E142" s="169" t="s">
        <v>259</v>
      </c>
      <c r="F142" s="169" t="s">
        <v>259</v>
      </c>
      <c r="G142" s="169" t="s">
        <v>259</v>
      </c>
      <c r="H142" s="169" t="s">
        <v>259</v>
      </c>
      <c r="I142" s="169" t="s">
        <v>259</v>
      </c>
      <c r="J142" s="169" t="s">
        <v>259</v>
      </c>
      <c r="K142" s="169" t="s">
        <v>259</v>
      </c>
      <c r="L142" s="169" t="s">
        <v>259</v>
      </c>
      <c r="M142" s="169" t="s">
        <v>259</v>
      </c>
      <c r="N142" s="169" t="s">
        <v>259</v>
      </c>
      <c r="O142" s="169" t="s">
        <v>259</v>
      </c>
      <c r="P142" s="169" t="s">
        <v>259</v>
      </c>
      <c r="Q142" s="169" t="s">
        <v>259</v>
      </c>
      <c r="R142" s="169" t="s">
        <v>259</v>
      </c>
      <c r="S142" s="169" t="s">
        <v>259</v>
      </c>
      <c r="T142" s="169" t="s">
        <v>259</v>
      </c>
      <c r="U142" s="169" t="s">
        <v>259</v>
      </c>
      <c r="V142" s="169" t="s">
        <v>259</v>
      </c>
      <c r="W142" s="169" t="s">
        <v>259</v>
      </c>
      <c r="X142" s="169" t="s">
        <v>259</v>
      </c>
      <c r="Y142" s="169" t="s">
        <v>259</v>
      </c>
      <c r="Z142" s="169" t="s">
        <v>259</v>
      </c>
      <c r="AA142" s="169" t="s">
        <v>259</v>
      </c>
      <c r="AB142" s="169" t="s">
        <v>259</v>
      </c>
      <c r="AC142" s="169" t="s">
        <v>259</v>
      </c>
      <c r="AD142" s="169" t="s">
        <v>259</v>
      </c>
      <c r="AE142" s="169" t="s">
        <v>259</v>
      </c>
      <c r="AF142" s="169" t="s">
        <v>259</v>
      </c>
      <c r="AG142" s="169" t="s">
        <v>259</v>
      </c>
      <c r="AH142" s="169" t="s">
        <v>259</v>
      </c>
      <c r="AI142" s="169" t="s">
        <v>259</v>
      </c>
      <c r="AJ142" s="169" t="s">
        <v>259</v>
      </c>
      <c r="AK142" s="169" t="s">
        <v>259</v>
      </c>
      <c r="AL142" s="169" t="s">
        <v>259</v>
      </c>
      <c r="AM142" s="169" t="s">
        <v>259</v>
      </c>
      <c r="AN142" s="169" t="s">
        <v>259</v>
      </c>
      <c r="AO142" s="169" t="s">
        <v>259</v>
      </c>
      <c r="AP142" s="169" t="s">
        <v>259</v>
      </c>
      <c r="AQ142" s="169" t="s">
        <v>259</v>
      </c>
      <c r="AR142" s="169" t="s">
        <v>259</v>
      </c>
      <c r="AS142" s="169" t="s">
        <v>259</v>
      </c>
      <c r="AT142" s="169" t="s">
        <v>259</v>
      </c>
      <c r="AU142" s="169" t="s">
        <v>259</v>
      </c>
      <c r="AV142" s="169" t="s">
        <v>259</v>
      </c>
      <c r="AW142" s="169" t="s">
        <v>259</v>
      </c>
      <c r="AX142" s="169" t="s">
        <v>259</v>
      </c>
      <c r="AY142" s="169" t="s">
        <v>259</v>
      </c>
      <c r="AZ142" s="169" t="s">
        <v>259</v>
      </c>
      <c r="BA142" s="169" t="s">
        <v>259</v>
      </c>
      <c r="BB142" s="169" t="s">
        <v>259</v>
      </c>
      <c r="BC142" s="169" t="s">
        <v>259</v>
      </c>
      <c r="BD142" s="169" t="s">
        <v>259</v>
      </c>
      <c r="BE142" s="169" t="s">
        <v>259</v>
      </c>
      <c r="BF142" s="169" t="s">
        <v>259</v>
      </c>
      <c r="BG142" s="169" t="s">
        <v>259</v>
      </c>
      <c r="BH142" s="169" t="s">
        <v>259</v>
      </c>
      <c r="BI142" s="169" t="s">
        <v>259</v>
      </c>
      <c r="BJ142" s="169" t="s">
        <v>259</v>
      </c>
      <c r="BK142" s="169" t="s">
        <v>259</v>
      </c>
      <c r="BL142" s="169" t="s">
        <v>259</v>
      </c>
      <c r="BM142" s="169" t="s">
        <v>259</v>
      </c>
      <c r="BN142" s="169" t="s">
        <v>259</v>
      </c>
      <c r="BO142" s="169" t="s">
        <v>259</v>
      </c>
      <c r="BP142" s="169" t="s">
        <v>259</v>
      </c>
      <c r="BQ142" s="169" t="s">
        <v>259</v>
      </c>
      <c r="BR142" s="169" t="s">
        <v>259</v>
      </c>
      <c r="BS142" s="169" t="s">
        <v>259</v>
      </c>
      <c r="BT142" s="169" t="s">
        <v>259</v>
      </c>
      <c r="BU142" s="169" t="s">
        <v>259</v>
      </c>
      <c r="BV142" s="169" t="s">
        <v>259</v>
      </c>
      <c r="BW142" s="169" t="s">
        <v>259</v>
      </c>
      <c r="BX142" s="169" t="s">
        <v>259</v>
      </c>
      <c r="BY142" s="169" t="s">
        <v>259</v>
      </c>
      <c r="BZ142" s="169" t="s">
        <v>259</v>
      </c>
      <c r="CA142" s="169" t="s">
        <v>259</v>
      </c>
      <c r="CB142" s="169" t="s">
        <v>259</v>
      </c>
      <c r="CC142" s="169" t="s">
        <v>259</v>
      </c>
      <c r="CD142" s="169" t="s">
        <v>259</v>
      </c>
      <c r="CE142" s="169" t="s">
        <v>259</v>
      </c>
      <c r="CF142" s="169" t="s">
        <v>259</v>
      </c>
      <c r="CG142" s="169" t="s">
        <v>259</v>
      </c>
      <c r="CH142" s="169" t="s">
        <v>259</v>
      </c>
      <c r="CI142" s="169" t="s">
        <v>259</v>
      </c>
      <c r="CJ142" s="169" t="s">
        <v>259</v>
      </c>
      <c r="CK142" s="169" t="s">
        <v>259</v>
      </c>
      <c r="CL142" s="169" t="s">
        <v>259</v>
      </c>
      <c r="CM142" s="169" t="s">
        <v>259</v>
      </c>
      <c r="CN142" s="169" t="s">
        <v>259</v>
      </c>
      <c r="CO142" s="169" t="s">
        <v>259</v>
      </c>
      <c r="CP142" s="169" t="s">
        <v>259</v>
      </c>
      <c r="CQ142" s="169" t="s">
        <v>259</v>
      </c>
      <c r="CR142" s="169" t="s">
        <v>259</v>
      </c>
      <c r="CS142" s="169" t="s">
        <v>259</v>
      </c>
      <c r="CT142" s="169" t="s">
        <v>259</v>
      </c>
      <c r="CU142" s="169" t="s">
        <v>259</v>
      </c>
      <c r="CV142" s="169" t="s">
        <v>259</v>
      </c>
      <c r="CW142" s="169" t="s">
        <v>259</v>
      </c>
      <c r="CX142" s="169" t="s">
        <v>259</v>
      </c>
      <c r="CY142" s="169" t="s">
        <v>259</v>
      </c>
      <c r="CZ142" s="169" t="s">
        <v>259</v>
      </c>
      <c r="DA142" s="169" t="s">
        <v>259</v>
      </c>
      <c r="DB142" s="169" t="s">
        <v>259</v>
      </c>
      <c r="DC142" s="169" t="s">
        <v>259</v>
      </c>
      <c r="DD142" s="169" t="s">
        <v>259</v>
      </c>
      <c r="DE142" s="169" t="s">
        <v>259</v>
      </c>
      <c r="DF142" s="169" t="s">
        <v>259</v>
      </c>
      <c r="DG142" s="169" t="s">
        <v>259</v>
      </c>
      <c r="DH142" s="169" t="s">
        <v>259</v>
      </c>
      <c r="DI142" s="169" t="s">
        <v>259</v>
      </c>
      <c r="DJ142" s="169" t="s">
        <v>259</v>
      </c>
      <c r="DK142" s="169" t="s">
        <v>259</v>
      </c>
      <c r="DL142" s="169" t="s">
        <v>259</v>
      </c>
      <c r="DM142" s="169" t="s">
        <v>259</v>
      </c>
      <c r="DN142" s="169" t="s">
        <v>259</v>
      </c>
      <c r="DO142" s="169" t="s">
        <v>259</v>
      </c>
      <c r="DP142" s="169" t="s">
        <v>259</v>
      </c>
      <c r="DQ142" s="169" t="s">
        <v>259</v>
      </c>
      <c r="DR142" s="169" t="s">
        <v>259</v>
      </c>
      <c r="DS142" s="169" t="s">
        <v>259</v>
      </c>
      <c r="DT142" s="169" t="s">
        <v>259</v>
      </c>
    </row>
    <row r="143" spans="2:124" x14ac:dyDescent="0.3">
      <c r="B143" t="str">
        <f>'IMPORT SCHLIESSERDATEN'!B142</f>
        <v>BTS 80 EN 6</v>
      </c>
      <c r="D143" s="169" t="s">
        <v>259</v>
      </c>
      <c r="E143" s="169" t="s">
        <v>259</v>
      </c>
      <c r="F143" s="169" t="s">
        <v>259</v>
      </c>
      <c r="G143" s="169" t="s">
        <v>259</v>
      </c>
      <c r="H143" s="169" t="s">
        <v>259</v>
      </c>
      <c r="I143" s="169" t="s">
        <v>259</v>
      </c>
      <c r="J143" s="169" t="s">
        <v>259</v>
      </c>
      <c r="K143" s="169" t="s">
        <v>259</v>
      </c>
      <c r="L143" s="169" t="s">
        <v>259</v>
      </c>
      <c r="M143" s="169" t="s">
        <v>259</v>
      </c>
      <c r="N143" s="169" t="s">
        <v>259</v>
      </c>
      <c r="O143" s="169" t="s">
        <v>259</v>
      </c>
      <c r="P143" s="169" t="s">
        <v>259</v>
      </c>
      <c r="Q143" s="169" t="s">
        <v>259</v>
      </c>
      <c r="R143" s="169" t="s">
        <v>259</v>
      </c>
      <c r="S143" s="169" t="s">
        <v>259</v>
      </c>
      <c r="T143" s="169" t="s">
        <v>259</v>
      </c>
      <c r="U143" s="169" t="s">
        <v>259</v>
      </c>
      <c r="V143" s="169" t="s">
        <v>259</v>
      </c>
      <c r="W143" s="169" t="s">
        <v>259</v>
      </c>
      <c r="X143" s="169" t="s">
        <v>259</v>
      </c>
      <c r="Y143" s="169" t="s">
        <v>259</v>
      </c>
      <c r="Z143" s="169" t="s">
        <v>259</v>
      </c>
      <c r="AA143" s="169" t="s">
        <v>259</v>
      </c>
      <c r="AB143" s="169" t="s">
        <v>259</v>
      </c>
      <c r="AC143" s="169" t="s">
        <v>259</v>
      </c>
      <c r="AD143" s="169" t="s">
        <v>259</v>
      </c>
      <c r="AE143" s="169" t="s">
        <v>259</v>
      </c>
      <c r="AF143" s="169" t="s">
        <v>259</v>
      </c>
      <c r="AG143" s="169" t="s">
        <v>259</v>
      </c>
      <c r="AH143" s="169" t="s">
        <v>259</v>
      </c>
      <c r="AI143" s="169" t="s">
        <v>259</v>
      </c>
      <c r="AJ143" s="169" t="s">
        <v>259</v>
      </c>
      <c r="AK143" s="169" t="s">
        <v>259</v>
      </c>
      <c r="AL143" s="169" t="s">
        <v>259</v>
      </c>
      <c r="AM143" s="169" t="s">
        <v>259</v>
      </c>
      <c r="AN143" s="169" t="s">
        <v>259</v>
      </c>
      <c r="AO143" s="169" t="s">
        <v>259</v>
      </c>
      <c r="AP143" s="169" t="s">
        <v>259</v>
      </c>
      <c r="AQ143" s="169" t="s">
        <v>259</v>
      </c>
      <c r="AR143" s="169" t="s">
        <v>259</v>
      </c>
      <c r="AS143" s="169" t="s">
        <v>259</v>
      </c>
      <c r="AT143" s="169" t="s">
        <v>259</v>
      </c>
      <c r="AU143" s="169" t="s">
        <v>259</v>
      </c>
      <c r="AV143" s="169" t="s">
        <v>259</v>
      </c>
      <c r="AW143" s="169" t="s">
        <v>259</v>
      </c>
      <c r="AX143" s="169" t="s">
        <v>259</v>
      </c>
      <c r="AY143" s="169" t="s">
        <v>259</v>
      </c>
      <c r="AZ143" s="169" t="s">
        <v>259</v>
      </c>
      <c r="BA143" s="169" t="s">
        <v>259</v>
      </c>
      <c r="BB143" s="169" t="s">
        <v>259</v>
      </c>
      <c r="BC143" s="169" t="s">
        <v>259</v>
      </c>
      <c r="BD143" s="169" t="s">
        <v>259</v>
      </c>
      <c r="BE143" s="169" t="s">
        <v>259</v>
      </c>
      <c r="BF143" s="169" t="s">
        <v>259</v>
      </c>
      <c r="BG143" s="169" t="s">
        <v>259</v>
      </c>
      <c r="BH143" s="169" t="s">
        <v>259</v>
      </c>
      <c r="BI143" s="169" t="s">
        <v>259</v>
      </c>
      <c r="BJ143" s="169" t="s">
        <v>259</v>
      </c>
      <c r="BK143" s="169" t="s">
        <v>259</v>
      </c>
      <c r="BL143" s="169" t="s">
        <v>259</v>
      </c>
      <c r="BM143" s="169" t="s">
        <v>259</v>
      </c>
      <c r="BN143" s="169" t="s">
        <v>259</v>
      </c>
      <c r="BO143" s="169" t="s">
        <v>259</v>
      </c>
      <c r="BP143" s="169" t="s">
        <v>259</v>
      </c>
      <c r="BQ143" s="169" t="s">
        <v>259</v>
      </c>
      <c r="BR143" s="169" t="s">
        <v>259</v>
      </c>
      <c r="BS143" s="169" t="s">
        <v>259</v>
      </c>
      <c r="BT143" s="169" t="s">
        <v>259</v>
      </c>
      <c r="BU143" s="169" t="s">
        <v>259</v>
      </c>
      <c r="BV143" s="169" t="s">
        <v>259</v>
      </c>
      <c r="BW143" s="169" t="s">
        <v>259</v>
      </c>
      <c r="BX143" s="169" t="s">
        <v>259</v>
      </c>
      <c r="BY143" s="169" t="s">
        <v>259</v>
      </c>
      <c r="BZ143" s="169" t="s">
        <v>259</v>
      </c>
      <c r="CA143" s="169" t="s">
        <v>259</v>
      </c>
      <c r="CB143" s="169" t="s">
        <v>259</v>
      </c>
      <c r="CC143" s="169" t="s">
        <v>259</v>
      </c>
      <c r="CD143" s="169" t="s">
        <v>259</v>
      </c>
      <c r="CE143" s="169" t="s">
        <v>259</v>
      </c>
      <c r="CF143" s="169" t="s">
        <v>259</v>
      </c>
      <c r="CG143" s="169" t="s">
        <v>259</v>
      </c>
      <c r="CH143" s="169" t="s">
        <v>259</v>
      </c>
      <c r="CI143" s="169" t="s">
        <v>259</v>
      </c>
      <c r="CJ143" s="169" t="s">
        <v>259</v>
      </c>
      <c r="CK143" s="169" t="s">
        <v>259</v>
      </c>
      <c r="CL143" s="169" t="s">
        <v>259</v>
      </c>
      <c r="CM143" s="169" t="s">
        <v>259</v>
      </c>
      <c r="CN143" s="169" t="s">
        <v>259</v>
      </c>
      <c r="CO143" s="169" t="s">
        <v>259</v>
      </c>
      <c r="CP143" s="169" t="s">
        <v>259</v>
      </c>
      <c r="CQ143" s="169" t="s">
        <v>259</v>
      </c>
      <c r="CR143" s="169" t="s">
        <v>259</v>
      </c>
      <c r="CS143" s="169" t="s">
        <v>259</v>
      </c>
      <c r="CT143" s="169" t="s">
        <v>259</v>
      </c>
      <c r="CU143" s="169" t="s">
        <v>259</v>
      </c>
      <c r="CV143" s="169" t="s">
        <v>259</v>
      </c>
      <c r="CW143" s="169" t="s">
        <v>259</v>
      </c>
      <c r="CX143" s="169" t="s">
        <v>259</v>
      </c>
      <c r="CY143" s="169" t="s">
        <v>259</v>
      </c>
      <c r="CZ143" s="169" t="s">
        <v>259</v>
      </c>
      <c r="DA143" s="169" t="s">
        <v>259</v>
      </c>
      <c r="DB143" s="169" t="s">
        <v>259</v>
      </c>
      <c r="DC143" s="169" t="s">
        <v>259</v>
      </c>
      <c r="DD143" s="169" t="s">
        <v>259</v>
      </c>
      <c r="DE143" s="169" t="s">
        <v>259</v>
      </c>
      <c r="DF143" s="169" t="s">
        <v>259</v>
      </c>
      <c r="DG143" s="169" t="s">
        <v>259</v>
      </c>
      <c r="DH143" s="169" t="s">
        <v>259</v>
      </c>
      <c r="DI143" s="169" t="s">
        <v>259</v>
      </c>
      <c r="DJ143" s="169" t="s">
        <v>259</v>
      </c>
      <c r="DK143" s="169" t="s">
        <v>259</v>
      </c>
      <c r="DL143" s="169" t="s">
        <v>259</v>
      </c>
      <c r="DM143" s="169" t="s">
        <v>259</v>
      </c>
      <c r="DN143" s="169" t="s">
        <v>259</v>
      </c>
      <c r="DO143" s="169" t="s">
        <v>259</v>
      </c>
      <c r="DP143" s="169" t="s">
        <v>259</v>
      </c>
      <c r="DQ143" s="169" t="s">
        <v>259</v>
      </c>
      <c r="DR143" s="169" t="s">
        <v>259</v>
      </c>
      <c r="DS143" s="169" t="s">
        <v>259</v>
      </c>
      <c r="DT143" s="169" t="s">
        <v>259</v>
      </c>
    </row>
    <row r="144" spans="2:124" x14ac:dyDescent="0.3">
      <c r="B144" t="str">
        <f>'IMPORT SCHLIESSERDATEN'!B143</f>
        <v>BTS 80 F EN 4</v>
      </c>
      <c r="D144" s="169" t="s">
        <v>259</v>
      </c>
      <c r="E144" s="169" t="s">
        <v>259</v>
      </c>
      <c r="F144" s="169" t="s">
        <v>259</v>
      </c>
      <c r="G144" s="169" t="s">
        <v>259</v>
      </c>
      <c r="H144" s="169" t="s">
        <v>259</v>
      </c>
      <c r="I144" s="169" t="s">
        <v>259</v>
      </c>
      <c r="J144" s="169" t="s">
        <v>259</v>
      </c>
      <c r="K144" s="169" t="s">
        <v>259</v>
      </c>
      <c r="L144" s="169" t="s">
        <v>259</v>
      </c>
      <c r="M144" s="169" t="s">
        <v>259</v>
      </c>
      <c r="N144" s="169" t="s">
        <v>259</v>
      </c>
      <c r="O144" s="169" t="s">
        <v>259</v>
      </c>
      <c r="P144" s="169" t="s">
        <v>259</v>
      </c>
      <c r="Q144" s="169" t="s">
        <v>259</v>
      </c>
      <c r="R144" s="169" t="s">
        <v>259</v>
      </c>
      <c r="S144" s="169" t="s">
        <v>259</v>
      </c>
      <c r="T144" s="169" t="s">
        <v>259</v>
      </c>
      <c r="U144" s="169" t="s">
        <v>259</v>
      </c>
      <c r="V144" s="169" t="s">
        <v>259</v>
      </c>
      <c r="W144" s="169" t="s">
        <v>259</v>
      </c>
      <c r="X144" s="169" t="s">
        <v>259</v>
      </c>
      <c r="Y144" s="169" t="s">
        <v>259</v>
      </c>
      <c r="Z144" s="169" t="s">
        <v>259</v>
      </c>
      <c r="AA144" s="169" t="s">
        <v>259</v>
      </c>
      <c r="AB144" s="169" t="s">
        <v>259</v>
      </c>
      <c r="AC144" s="169" t="s">
        <v>259</v>
      </c>
      <c r="AD144" s="169" t="s">
        <v>259</v>
      </c>
      <c r="AE144" s="169" t="s">
        <v>259</v>
      </c>
      <c r="AF144" s="169" t="s">
        <v>259</v>
      </c>
      <c r="AG144" s="169" t="s">
        <v>259</v>
      </c>
      <c r="AH144" s="169" t="s">
        <v>259</v>
      </c>
      <c r="AI144" s="169" t="s">
        <v>259</v>
      </c>
      <c r="AJ144" s="169" t="s">
        <v>259</v>
      </c>
      <c r="AK144" s="169" t="s">
        <v>259</v>
      </c>
      <c r="AL144" s="169" t="s">
        <v>259</v>
      </c>
      <c r="AM144" s="169" t="s">
        <v>259</v>
      </c>
      <c r="AN144" s="169" t="s">
        <v>259</v>
      </c>
      <c r="AO144" s="169" t="s">
        <v>259</v>
      </c>
      <c r="AP144" s="169" t="s">
        <v>259</v>
      </c>
      <c r="AQ144" s="169" t="s">
        <v>259</v>
      </c>
      <c r="AR144" s="169" t="s">
        <v>259</v>
      </c>
      <c r="AS144" s="169" t="s">
        <v>259</v>
      </c>
      <c r="AT144" s="169" t="s">
        <v>259</v>
      </c>
      <c r="AU144" s="169" t="s">
        <v>259</v>
      </c>
      <c r="AV144" s="169" t="s">
        <v>259</v>
      </c>
      <c r="AW144" s="169" t="s">
        <v>259</v>
      </c>
      <c r="AX144" s="169" t="s">
        <v>259</v>
      </c>
      <c r="AY144" s="169" t="s">
        <v>259</v>
      </c>
      <c r="AZ144" s="169" t="s">
        <v>259</v>
      </c>
      <c r="BA144" s="169" t="s">
        <v>259</v>
      </c>
      <c r="BB144" s="169" t="s">
        <v>259</v>
      </c>
      <c r="BC144" s="169" t="s">
        <v>259</v>
      </c>
      <c r="BD144" s="169" t="s">
        <v>259</v>
      </c>
      <c r="BE144" s="169" t="s">
        <v>259</v>
      </c>
      <c r="BF144" s="169" t="s">
        <v>259</v>
      </c>
      <c r="BG144" s="169" t="s">
        <v>259</v>
      </c>
      <c r="BH144" s="169" t="s">
        <v>259</v>
      </c>
      <c r="BI144" s="169" t="s">
        <v>259</v>
      </c>
      <c r="BJ144" s="169" t="s">
        <v>259</v>
      </c>
      <c r="BK144" s="169" t="s">
        <v>259</v>
      </c>
      <c r="BL144" s="169" t="s">
        <v>259</v>
      </c>
      <c r="BM144" s="169" t="s">
        <v>259</v>
      </c>
      <c r="BN144" s="169" t="s">
        <v>259</v>
      </c>
      <c r="BO144" s="169" t="s">
        <v>259</v>
      </c>
      <c r="BP144" s="169" t="s">
        <v>259</v>
      </c>
      <c r="BQ144" s="169" t="s">
        <v>259</v>
      </c>
      <c r="BR144" s="169" t="s">
        <v>259</v>
      </c>
      <c r="BS144" s="169" t="s">
        <v>259</v>
      </c>
      <c r="BT144" s="169" t="s">
        <v>259</v>
      </c>
      <c r="BU144" s="169" t="s">
        <v>259</v>
      </c>
      <c r="BV144" s="169" t="s">
        <v>259</v>
      </c>
      <c r="BW144" s="169" t="s">
        <v>259</v>
      </c>
      <c r="BX144" s="169" t="s">
        <v>259</v>
      </c>
      <c r="BY144" s="169" t="s">
        <v>259</v>
      </c>
      <c r="BZ144" s="169" t="s">
        <v>259</v>
      </c>
      <c r="CA144" s="169" t="s">
        <v>259</v>
      </c>
      <c r="CB144" s="169" t="s">
        <v>259</v>
      </c>
      <c r="CC144" s="169" t="s">
        <v>259</v>
      </c>
      <c r="CD144" s="169" t="s">
        <v>259</v>
      </c>
      <c r="CE144" s="169" t="s">
        <v>259</v>
      </c>
      <c r="CF144" s="169" t="s">
        <v>259</v>
      </c>
      <c r="CG144" s="169" t="s">
        <v>259</v>
      </c>
      <c r="CH144" s="169" t="s">
        <v>259</v>
      </c>
      <c r="CI144" s="169" t="s">
        <v>259</v>
      </c>
      <c r="CJ144" s="169" t="s">
        <v>259</v>
      </c>
      <c r="CK144" s="169" t="s">
        <v>259</v>
      </c>
      <c r="CL144" s="169" t="s">
        <v>259</v>
      </c>
      <c r="CM144" s="169" t="s">
        <v>259</v>
      </c>
      <c r="CN144" s="169" t="s">
        <v>259</v>
      </c>
      <c r="CO144" s="169" t="s">
        <v>259</v>
      </c>
      <c r="CP144" s="169" t="s">
        <v>259</v>
      </c>
      <c r="CQ144" s="169" t="s">
        <v>259</v>
      </c>
      <c r="CR144" s="169" t="s">
        <v>259</v>
      </c>
      <c r="CS144" s="169" t="s">
        <v>259</v>
      </c>
      <c r="CT144" s="169" t="s">
        <v>259</v>
      </c>
      <c r="CU144" s="169" t="s">
        <v>259</v>
      </c>
      <c r="CV144" s="169" t="s">
        <v>259</v>
      </c>
      <c r="CW144" s="169" t="s">
        <v>259</v>
      </c>
      <c r="CX144" s="169" t="s">
        <v>259</v>
      </c>
      <c r="CY144" s="169" t="s">
        <v>259</v>
      </c>
      <c r="CZ144" s="169" t="s">
        <v>259</v>
      </c>
      <c r="DA144" s="169" t="s">
        <v>259</v>
      </c>
      <c r="DB144" s="169" t="s">
        <v>259</v>
      </c>
      <c r="DC144" s="169" t="s">
        <v>259</v>
      </c>
      <c r="DD144" s="169" t="s">
        <v>259</v>
      </c>
      <c r="DE144" s="169" t="s">
        <v>259</v>
      </c>
      <c r="DF144" s="169" t="s">
        <v>259</v>
      </c>
      <c r="DG144" s="169" t="s">
        <v>259</v>
      </c>
      <c r="DH144" s="169" t="s">
        <v>259</v>
      </c>
      <c r="DI144" s="169" t="s">
        <v>259</v>
      </c>
      <c r="DJ144" s="169" t="s">
        <v>259</v>
      </c>
      <c r="DK144" s="169" t="s">
        <v>259</v>
      </c>
      <c r="DL144" s="169" t="s">
        <v>259</v>
      </c>
      <c r="DM144" s="169" t="s">
        <v>259</v>
      </c>
      <c r="DN144" s="169" t="s">
        <v>259</v>
      </c>
      <c r="DO144" s="169" t="s">
        <v>259</v>
      </c>
      <c r="DP144" s="169" t="s">
        <v>259</v>
      </c>
      <c r="DQ144" s="169" t="s">
        <v>259</v>
      </c>
      <c r="DR144" s="169" t="s">
        <v>259</v>
      </c>
      <c r="DS144" s="169" t="s">
        <v>259</v>
      </c>
      <c r="DT144" s="169" t="s">
        <v>259</v>
      </c>
    </row>
    <row r="145" spans="2:124" x14ac:dyDescent="0.3">
      <c r="B145" t="str">
        <f>'IMPORT SCHLIESSERDATEN'!B144</f>
        <v>BTS 80 F EN 5</v>
      </c>
      <c r="D145" s="169" t="s">
        <v>259</v>
      </c>
      <c r="E145" s="169" t="s">
        <v>259</v>
      </c>
      <c r="F145" s="169" t="s">
        <v>259</v>
      </c>
      <c r="G145" s="169" t="s">
        <v>259</v>
      </c>
      <c r="H145" s="169" t="s">
        <v>259</v>
      </c>
      <c r="I145" s="169" t="s">
        <v>259</v>
      </c>
      <c r="J145" s="169" t="s">
        <v>259</v>
      </c>
      <c r="K145" s="169" t="s">
        <v>259</v>
      </c>
      <c r="L145" s="169" t="s">
        <v>259</v>
      </c>
      <c r="M145" s="169" t="s">
        <v>259</v>
      </c>
      <c r="N145" s="169" t="s">
        <v>259</v>
      </c>
      <c r="O145" s="169" t="s">
        <v>259</v>
      </c>
      <c r="P145" s="169" t="s">
        <v>259</v>
      </c>
      <c r="Q145" s="169" t="s">
        <v>259</v>
      </c>
      <c r="R145" s="169" t="s">
        <v>259</v>
      </c>
      <c r="S145" s="169" t="s">
        <v>259</v>
      </c>
      <c r="T145" s="169" t="s">
        <v>259</v>
      </c>
      <c r="U145" s="169" t="s">
        <v>259</v>
      </c>
      <c r="V145" s="169" t="s">
        <v>259</v>
      </c>
      <c r="W145" s="169" t="s">
        <v>259</v>
      </c>
      <c r="X145" s="169" t="s">
        <v>259</v>
      </c>
      <c r="Y145" s="169" t="s">
        <v>259</v>
      </c>
      <c r="Z145" s="169" t="s">
        <v>259</v>
      </c>
      <c r="AA145" s="169" t="s">
        <v>259</v>
      </c>
      <c r="AB145" s="169" t="s">
        <v>259</v>
      </c>
      <c r="AC145" s="169" t="s">
        <v>259</v>
      </c>
      <c r="AD145" s="169" t="s">
        <v>259</v>
      </c>
      <c r="AE145" s="169" t="s">
        <v>259</v>
      </c>
      <c r="AF145" s="169" t="s">
        <v>259</v>
      </c>
      <c r="AG145" s="169" t="s">
        <v>259</v>
      </c>
      <c r="AH145" s="169" t="s">
        <v>259</v>
      </c>
      <c r="AI145" s="169" t="s">
        <v>259</v>
      </c>
      <c r="AJ145" s="169" t="s">
        <v>259</v>
      </c>
      <c r="AK145" s="169" t="s">
        <v>259</v>
      </c>
      <c r="AL145" s="169" t="s">
        <v>259</v>
      </c>
      <c r="AM145" s="169" t="s">
        <v>259</v>
      </c>
      <c r="AN145" s="169" t="s">
        <v>259</v>
      </c>
      <c r="AO145" s="169" t="s">
        <v>259</v>
      </c>
      <c r="AP145" s="169" t="s">
        <v>259</v>
      </c>
      <c r="AQ145" s="169" t="s">
        <v>259</v>
      </c>
      <c r="AR145" s="169" t="s">
        <v>259</v>
      </c>
      <c r="AS145" s="169" t="s">
        <v>259</v>
      </c>
      <c r="AT145" s="169" t="s">
        <v>259</v>
      </c>
      <c r="AU145" s="169" t="s">
        <v>259</v>
      </c>
      <c r="AV145" s="169" t="s">
        <v>259</v>
      </c>
      <c r="AW145" s="169" t="s">
        <v>259</v>
      </c>
      <c r="AX145" s="169" t="s">
        <v>259</v>
      </c>
      <c r="AY145" s="169" t="s">
        <v>259</v>
      </c>
      <c r="AZ145" s="169" t="s">
        <v>259</v>
      </c>
      <c r="BA145" s="169" t="s">
        <v>259</v>
      </c>
      <c r="BB145" s="169" t="s">
        <v>259</v>
      </c>
      <c r="BC145" s="169" t="s">
        <v>259</v>
      </c>
      <c r="BD145" s="169" t="s">
        <v>259</v>
      </c>
      <c r="BE145" s="169" t="s">
        <v>259</v>
      </c>
      <c r="BF145" s="169" t="s">
        <v>259</v>
      </c>
      <c r="BG145" s="169" t="s">
        <v>259</v>
      </c>
      <c r="BH145" s="169" t="s">
        <v>259</v>
      </c>
      <c r="BI145" s="169" t="s">
        <v>259</v>
      </c>
      <c r="BJ145" s="169" t="s">
        <v>259</v>
      </c>
      <c r="BK145" s="169" t="s">
        <v>259</v>
      </c>
      <c r="BL145" s="169" t="s">
        <v>259</v>
      </c>
      <c r="BM145" s="169" t="s">
        <v>259</v>
      </c>
      <c r="BN145" s="169" t="s">
        <v>259</v>
      </c>
      <c r="BO145" s="169" t="s">
        <v>259</v>
      </c>
      <c r="BP145" s="169" t="s">
        <v>259</v>
      </c>
      <c r="BQ145" s="169" t="s">
        <v>259</v>
      </c>
      <c r="BR145" s="169" t="s">
        <v>259</v>
      </c>
      <c r="BS145" s="169" t="s">
        <v>259</v>
      </c>
      <c r="BT145" s="169" t="s">
        <v>259</v>
      </c>
      <c r="BU145" s="169" t="s">
        <v>259</v>
      </c>
      <c r="BV145" s="169" t="s">
        <v>259</v>
      </c>
      <c r="BW145" s="169" t="s">
        <v>259</v>
      </c>
      <c r="BX145" s="169" t="s">
        <v>259</v>
      </c>
      <c r="BY145" s="169" t="s">
        <v>259</v>
      </c>
      <c r="BZ145" s="169" t="s">
        <v>259</v>
      </c>
      <c r="CA145" s="169" t="s">
        <v>259</v>
      </c>
      <c r="CB145" s="169" t="s">
        <v>259</v>
      </c>
      <c r="CC145" s="169" t="s">
        <v>259</v>
      </c>
      <c r="CD145" s="169" t="s">
        <v>259</v>
      </c>
      <c r="CE145" s="169" t="s">
        <v>259</v>
      </c>
      <c r="CF145" s="169" t="s">
        <v>259</v>
      </c>
      <c r="CG145" s="169" t="s">
        <v>259</v>
      </c>
      <c r="CH145" s="169" t="s">
        <v>259</v>
      </c>
      <c r="CI145" s="169" t="s">
        <v>259</v>
      </c>
      <c r="CJ145" s="169" t="s">
        <v>259</v>
      </c>
      <c r="CK145" s="169" t="s">
        <v>259</v>
      </c>
      <c r="CL145" s="169" t="s">
        <v>259</v>
      </c>
      <c r="CM145" s="169" t="s">
        <v>259</v>
      </c>
      <c r="CN145" s="169" t="s">
        <v>259</v>
      </c>
      <c r="CO145" s="169" t="s">
        <v>259</v>
      </c>
      <c r="CP145" s="169" t="s">
        <v>259</v>
      </c>
      <c r="CQ145" s="169" t="s">
        <v>259</v>
      </c>
      <c r="CR145" s="169" t="s">
        <v>259</v>
      </c>
      <c r="CS145" s="169" t="s">
        <v>259</v>
      </c>
      <c r="CT145" s="169" t="s">
        <v>259</v>
      </c>
      <c r="CU145" s="169" t="s">
        <v>259</v>
      </c>
      <c r="CV145" s="169" t="s">
        <v>259</v>
      </c>
      <c r="CW145" s="169" t="s">
        <v>259</v>
      </c>
      <c r="CX145" s="169" t="s">
        <v>259</v>
      </c>
      <c r="CY145" s="169" t="s">
        <v>259</v>
      </c>
      <c r="CZ145" s="169" t="s">
        <v>259</v>
      </c>
      <c r="DA145" s="169" t="s">
        <v>259</v>
      </c>
      <c r="DB145" s="169" t="s">
        <v>259</v>
      </c>
      <c r="DC145" s="169" t="s">
        <v>259</v>
      </c>
      <c r="DD145" s="169" t="s">
        <v>259</v>
      </c>
      <c r="DE145" s="169" t="s">
        <v>259</v>
      </c>
      <c r="DF145" s="169" t="s">
        <v>259</v>
      </c>
      <c r="DG145" s="169" t="s">
        <v>259</v>
      </c>
      <c r="DH145" s="169" t="s">
        <v>259</v>
      </c>
      <c r="DI145" s="169" t="s">
        <v>259</v>
      </c>
      <c r="DJ145" s="169" t="s">
        <v>259</v>
      </c>
      <c r="DK145" s="169" t="s">
        <v>259</v>
      </c>
      <c r="DL145" s="169" t="s">
        <v>259</v>
      </c>
      <c r="DM145" s="169" t="s">
        <v>259</v>
      </c>
      <c r="DN145" s="169" t="s">
        <v>259</v>
      </c>
      <c r="DO145" s="169" t="s">
        <v>259</v>
      </c>
      <c r="DP145" s="169" t="s">
        <v>259</v>
      </c>
      <c r="DQ145" s="169" t="s">
        <v>259</v>
      </c>
      <c r="DR145" s="169" t="s">
        <v>259</v>
      </c>
      <c r="DS145" s="169" t="s">
        <v>259</v>
      </c>
      <c r="DT145" s="169" t="s">
        <v>259</v>
      </c>
    </row>
    <row r="146" spans="2:124" x14ac:dyDescent="0.3">
      <c r="B146" t="str">
        <f>'IMPORT SCHLIESSERDATEN'!B145</f>
        <v>BTS 80 F EN 6</v>
      </c>
      <c r="D146" s="169" t="s">
        <v>259</v>
      </c>
      <c r="E146" s="169" t="s">
        <v>259</v>
      </c>
      <c r="F146" s="169" t="s">
        <v>259</v>
      </c>
      <c r="G146" s="169" t="s">
        <v>259</v>
      </c>
      <c r="H146" s="169" t="s">
        <v>259</v>
      </c>
      <c r="I146" s="169" t="s">
        <v>259</v>
      </c>
      <c r="J146" s="169" t="s">
        <v>259</v>
      </c>
      <c r="K146" s="169" t="s">
        <v>259</v>
      </c>
      <c r="L146" s="169" t="s">
        <v>259</v>
      </c>
      <c r="M146" s="169" t="s">
        <v>259</v>
      </c>
      <c r="N146" s="169" t="s">
        <v>259</v>
      </c>
      <c r="O146" s="169" t="s">
        <v>259</v>
      </c>
      <c r="P146" s="169" t="s">
        <v>259</v>
      </c>
      <c r="Q146" s="169" t="s">
        <v>259</v>
      </c>
      <c r="R146" s="169" t="s">
        <v>259</v>
      </c>
      <c r="S146" s="169" t="s">
        <v>259</v>
      </c>
      <c r="T146" s="169" t="s">
        <v>259</v>
      </c>
      <c r="U146" s="169" t="s">
        <v>259</v>
      </c>
      <c r="V146" s="169" t="s">
        <v>259</v>
      </c>
      <c r="W146" s="169" t="s">
        <v>259</v>
      </c>
      <c r="X146" s="169" t="s">
        <v>259</v>
      </c>
      <c r="Y146" s="169" t="s">
        <v>259</v>
      </c>
      <c r="Z146" s="169" t="s">
        <v>259</v>
      </c>
      <c r="AA146" s="169" t="s">
        <v>259</v>
      </c>
      <c r="AB146" s="169" t="s">
        <v>259</v>
      </c>
      <c r="AC146" s="169" t="s">
        <v>259</v>
      </c>
      <c r="AD146" s="169" t="s">
        <v>259</v>
      </c>
      <c r="AE146" s="169" t="s">
        <v>259</v>
      </c>
      <c r="AF146" s="169" t="s">
        <v>259</v>
      </c>
      <c r="AG146" s="169" t="s">
        <v>259</v>
      </c>
      <c r="AH146" s="169" t="s">
        <v>259</v>
      </c>
      <c r="AI146" s="169" t="s">
        <v>259</v>
      </c>
      <c r="AJ146" s="169" t="s">
        <v>259</v>
      </c>
      <c r="AK146" s="169" t="s">
        <v>259</v>
      </c>
      <c r="AL146" s="169" t="s">
        <v>259</v>
      </c>
      <c r="AM146" s="169" t="s">
        <v>259</v>
      </c>
      <c r="AN146" s="169" t="s">
        <v>259</v>
      </c>
      <c r="AO146" s="169" t="s">
        <v>259</v>
      </c>
      <c r="AP146" s="169" t="s">
        <v>259</v>
      </c>
      <c r="AQ146" s="169" t="s">
        <v>259</v>
      </c>
      <c r="AR146" s="169" t="s">
        <v>259</v>
      </c>
      <c r="AS146" s="169" t="s">
        <v>259</v>
      </c>
      <c r="AT146" s="169" t="s">
        <v>259</v>
      </c>
      <c r="AU146" s="169" t="s">
        <v>259</v>
      </c>
      <c r="AV146" s="169" t="s">
        <v>259</v>
      </c>
      <c r="AW146" s="169" t="s">
        <v>259</v>
      </c>
      <c r="AX146" s="169" t="s">
        <v>259</v>
      </c>
      <c r="AY146" s="169" t="s">
        <v>259</v>
      </c>
      <c r="AZ146" s="169" t="s">
        <v>259</v>
      </c>
      <c r="BA146" s="169" t="s">
        <v>259</v>
      </c>
      <c r="BB146" s="169" t="s">
        <v>259</v>
      </c>
      <c r="BC146" s="169" t="s">
        <v>259</v>
      </c>
      <c r="BD146" s="169" t="s">
        <v>259</v>
      </c>
      <c r="BE146" s="169" t="s">
        <v>259</v>
      </c>
      <c r="BF146" s="169" t="s">
        <v>259</v>
      </c>
      <c r="BG146" s="169" t="s">
        <v>259</v>
      </c>
      <c r="BH146" s="169" t="s">
        <v>259</v>
      </c>
      <c r="BI146" s="169" t="s">
        <v>259</v>
      </c>
      <c r="BJ146" s="169" t="s">
        <v>259</v>
      </c>
      <c r="BK146" s="169" t="s">
        <v>259</v>
      </c>
      <c r="BL146" s="169" t="s">
        <v>259</v>
      </c>
      <c r="BM146" s="169" t="s">
        <v>259</v>
      </c>
      <c r="BN146" s="169" t="s">
        <v>259</v>
      </c>
      <c r="BO146" s="169" t="s">
        <v>259</v>
      </c>
      <c r="BP146" s="169" t="s">
        <v>259</v>
      </c>
      <c r="BQ146" s="169" t="s">
        <v>259</v>
      </c>
      <c r="BR146" s="169" t="s">
        <v>259</v>
      </c>
      <c r="BS146" s="169" t="s">
        <v>259</v>
      </c>
      <c r="BT146" s="169" t="s">
        <v>259</v>
      </c>
      <c r="BU146" s="169" t="s">
        <v>259</v>
      </c>
      <c r="BV146" s="169" t="s">
        <v>259</v>
      </c>
      <c r="BW146" s="169" t="s">
        <v>259</v>
      </c>
      <c r="BX146" s="169" t="s">
        <v>259</v>
      </c>
      <c r="BY146" s="169" t="s">
        <v>259</v>
      </c>
      <c r="BZ146" s="169" t="s">
        <v>259</v>
      </c>
      <c r="CA146" s="169" t="s">
        <v>259</v>
      </c>
      <c r="CB146" s="169" t="s">
        <v>259</v>
      </c>
      <c r="CC146" s="169" t="s">
        <v>259</v>
      </c>
      <c r="CD146" s="169" t="s">
        <v>259</v>
      </c>
      <c r="CE146" s="169" t="s">
        <v>259</v>
      </c>
      <c r="CF146" s="169" t="s">
        <v>259</v>
      </c>
      <c r="CG146" s="169" t="s">
        <v>259</v>
      </c>
      <c r="CH146" s="169" t="s">
        <v>259</v>
      </c>
      <c r="CI146" s="169" t="s">
        <v>259</v>
      </c>
      <c r="CJ146" s="169" t="s">
        <v>259</v>
      </c>
      <c r="CK146" s="169" t="s">
        <v>259</v>
      </c>
      <c r="CL146" s="169" t="s">
        <v>259</v>
      </c>
      <c r="CM146" s="169" t="s">
        <v>259</v>
      </c>
      <c r="CN146" s="169" t="s">
        <v>259</v>
      </c>
      <c r="CO146" s="169" t="s">
        <v>259</v>
      </c>
      <c r="CP146" s="169" t="s">
        <v>259</v>
      </c>
      <c r="CQ146" s="169" t="s">
        <v>259</v>
      </c>
      <c r="CR146" s="169" t="s">
        <v>259</v>
      </c>
      <c r="CS146" s="169" t="s">
        <v>259</v>
      </c>
      <c r="CT146" s="169" t="s">
        <v>259</v>
      </c>
      <c r="CU146" s="169" t="s">
        <v>259</v>
      </c>
      <c r="CV146" s="169" t="s">
        <v>259</v>
      </c>
      <c r="CW146" s="169" t="s">
        <v>259</v>
      </c>
      <c r="CX146" s="169" t="s">
        <v>259</v>
      </c>
      <c r="CY146" s="169" t="s">
        <v>259</v>
      </c>
      <c r="CZ146" s="169" t="s">
        <v>259</v>
      </c>
      <c r="DA146" s="169" t="s">
        <v>259</v>
      </c>
      <c r="DB146" s="169" t="s">
        <v>259</v>
      </c>
      <c r="DC146" s="169" t="s">
        <v>259</v>
      </c>
      <c r="DD146" s="169" t="s">
        <v>259</v>
      </c>
      <c r="DE146" s="169" t="s">
        <v>259</v>
      </c>
      <c r="DF146" s="169" t="s">
        <v>259</v>
      </c>
      <c r="DG146" s="169" t="s">
        <v>259</v>
      </c>
      <c r="DH146" s="169" t="s">
        <v>259</v>
      </c>
      <c r="DI146" s="169" t="s">
        <v>259</v>
      </c>
      <c r="DJ146" s="169" t="s">
        <v>259</v>
      </c>
      <c r="DK146" s="169" t="s">
        <v>259</v>
      </c>
      <c r="DL146" s="169" t="s">
        <v>259</v>
      </c>
      <c r="DM146" s="169" t="s">
        <v>259</v>
      </c>
      <c r="DN146" s="169" t="s">
        <v>259</v>
      </c>
      <c r="DO146" s="169" t="s">
        <v>259</v>
      </c>
      <c r="DP146" s="169" t="s">
        <v>259</v>
      </c>
      <c r="DQ146" s="169" t="s">
        <v>259</v>
      </c>
      <c r="DR146" s="169" t="s">
        <v>259</v>
      </c>
      <c r="DS146" s="169" t="s">
        <v>259</v>
      </c>
      <c r="DT146" s="169" t="s">
        <v>259</v>
      </c>
    </row>
    <row r="147" spans="2:124" x14ac:dyDescent="0.3">
      <c r="B147" t="str">
        <f>'IMPORT SCHLIESSERDATEN'!B146</f>
        <v>BTS 80 F EN 4 + SR</v>
      </c>
      <c r="D147" s="169" t="s">
        <v>259</v>
      </c>
      <c r="E147" s="169" t="s">
        <v>259</v>
      </c>
      <c r="F147" s="169" t="s">
        <v>259</v>
      </c>
      <c r="G147" s="169" t="s">
        <v>259</v>
      </c>
      <c r="H147" s="169" t="s">
        <v>259</v>
      </c>
      <c r="I147" s="169" t="s">
        <v>259</v>
      </c>
      <c r="J147" s="169" t="s">
        <v>259</v>
      </c>
      <c r="K147" s="169" t="s">
        <v>259</v>
      </c>
      <c r="L147" s="169" t="s">
        <v>259</v>
      </c>
      <c r="M147" s="169" t="s">
        <v>259</v>
      </c>
      <c r="N147" s="169" t="s">
        <v>259</v>
      </c>
      <c r="O147" s="169" t="s">
        <v>259</v>
      </c>
      <c r="P147" s="169" t="s">
        <v>259</v>
      </c>
      <c r="Q147" s="169" t="s">
        <v>259</v>
      </c>
      <c r="R147" s="169" t="s">
        <v>259</v>
      </c>
      <c r="S147" s="169" t="s">
        <v>259</v>
      </c>
      <c r="T147" s="169" t="s">
        <v>259</v>
      </c>
      <c r="U147" s="169" t="s">
        <v>259</v>
      </c>
      <c r="V147" s="169" t="s">
        <v>259</v>
      </c>
      <c r="W147" s="169" t="s">
        <v>259</v>
      </c>
      <c r="X147" s="169" t="s">
        <v>259</v>
      </c>
      <c r="Y147" s="169" t="s">
        <v>259</v>
      </c>
      <c r="Z147" s="169" t="s">
        <v>259</v>
      </c>
      <c r="AA147" s="169" t="s">
        <v>259</v>
      </c>
      <c r="AB147" s="169" t="s">
        <v>259</v>
      </c>
      <c r="AC147" s="169" t="s">
        <v>259</v>
      </c>
      <c r="AD147" s="169" t="s">
        <v>259</v>
      </c>
      <c r="AE147" s="169" t="s">
        <v>259</v>
      </c>
      <c r="AF147" s="169" t="s">
        <v>259</v>
      </c>
      <c r="AG147" s="169" t="s">
        <v>259</v>
      </c>
      <c r="AH147" s="169" t="s">
        <v>259</v>
      </c>
      <c r="AI147" s="169" t="s">
        <v>259</v>
      </c>
      <c r="AJ147" s="169" t="s">
        <v>259</v>
      </c>
      <c r="AK147" s="169" t="s">
        <v>259</v>
      </c>
      <c r="AL147" s="169" t="s">
        <v>259</v>
      </c>
      <c r="AM147" s="169" t="s">
        <v>259</v>
      </c>
      <c r="AN147" s="169" t="s">
        <v>259</v>
      </c>
      <c r="AO147" s="169" t="s">
        <v>259</v>
      </c>
      <c r="AP147" s="169" t="s">
        <v>259</v>
      </c>
      <c r="AQ147" s="169" t="s">
        <v>259</v>
      </c>
      <c r="AR147" s="169" t="s">
        <v>259</v>
      </c>
      <c r="AS147" s="169" t="s">
        <v>259</v>
      </c>
      <c r="AT147" s="169" t="s">
        <v>259</v>
      </c>
      <c r="AU147" s="169" t="s">
        <v>259</v>
      </c>
      <c r="AV147" s="169" t="s">
        <v>259</v>
      </c>
      <c r="AW147" s="169" t="s">
        <v>259</v>
      </c>
      <c r="AX147" s="169" t="s">
        <v>259</v>
      </c>
      <c r="AY147" s="169" t="s">
        <v>259</v>
      </c>
      <c r="AZ147" s="169" t="s">
        <v>259</v>
      </c>
      <c r="BA147" s="169" t="s">
        <v>259</v>
      </c>
      <c r="BB147" s="169" t="s">
        <v>259</v>
      </c>
      <c r="BC147" s="169" t="s">
        <v>259</v>
      </c>
      <c r="BD147" s="169" t="s">
        <v>259</v>
      </c>
      <c r="BE147" s="169" t="s">
        <v>259</v>
      </c>
      <c r="BF147" s="169" t="s">
        <v>259</v>
      </c>
      <c r="BG147" s="169" t="s">
        <v>259</v>
      </c>
      <c r="BH147" s="169" t="s">
        <v>259</v>
      </c>
      <c r="BI147" s="169" t="s">
        <v>259</v>
      </c>
      <c r="BJ147" s="169" t="s">
        <v>259</v>
      </c>
      <c r="BK147" s="169" t="s">
        <v>259</v>
      </c>
      <c r="BL147" s="169" t="s">
        <v>259</v>
      </c>
      <c r="BM147" s="169" t="s">
        <v>259</v>
      </c>
      <c r="BN147" s="169" t="s">
        <v>259</v>
      </c>
      <c r="BO147" s="169" t="s">
        <v>259</v>
      </c>
      <c r="BP147" s="169" t="s">
        <v>259</v>
      </c>
      <c r="BQ147" s="169" t="s">
        <v>259</v>
      </c>
      <c r="BR147" s="169" t="s">
        <v>259</v>
      </c>
      <c r="BS147" s="169" t="s">
        <v>259</v>
      </c>
      <c r="BT147" s="169" t="s">
        <v>259</v>
      </c>
      <c r="BU147" s="169" t="s">
        <v>259</v>
      </c>
      <c r="BV147" s="169" t="s">
        <v>259</v>
      </c>
      <c r="BW147" s="169" t="s">
        <v>259</v>
      </c>
      <c r="BX147" s="169" t="s">
        <v>259</v>
      </c>
      <c r="BY147" s="169" t="s">
        <v>259</v>
      </c>
      <c r="BZ147" s="169" t="s">
        <v>259</v>
      </c>
      <c r="CA147" s="169" t="s">
        <v>259</v>
      </c>
      <c r="CB147" s="169" t="s">
        <v>259</v>
      </c>
      <c r="CC147" s="169" t="s">
        <v>259</v>
      </c>
      <c r="CD147" s="169" t="s">
        <v>259</v>
      </c>
      <c r="CE147" s="169" t="s">
        <v>259</v>
      </c>
      <c r="CF147" s="169" t="s">
        <v>259</v>
      </c>
      <c r="CG147" s="169" t="s">
        <v>259</v>
      </c>
      <c r="CH147" s="169" t="s">
        <v>259</v>
      </c>
      <c r="CI147" s="169" t="s">
        <v>259</v>
      </c>
      <c r="CJ147" s="169" t="s">
        <v>259</v>
      </c>
      <c r="CK147" s="169" t="s">
        <v>259</v>
      </c>
      <c r="CL147" s="169" t="s">
        <v>259</v>
      </c>
      <c r="CM147" s="169" t="s">
        <v>259</v>
      </c>
      <c r="CN147" s="169" t="s">
        <v>259</v>
      </c>
      <c r="CO147" s="169" t="s">
        <v>259</v>
      </c>
      <c r="CP147" s="169" t="s">
        <v>259</v>
      </c>
      <c r="CQ147" s="169" t="s">
        <v>259</v>
      </c>
      <c r="CR147" s="169" t="s">
        <v>259</v>
      </c>
      <c r="CS147" s="169" t="s">
        <v>259</v>
      </c>
      <c r="CT147" s="169" t="s">
        <v>259</v>
      </c>
      <c r="CU147" s="169" t="s">
        <v>259</v>
      </c>
      <c r="CV147" s="169" t="s">
        <v>259</v>
      </c>
      <c r="CW147" s="169" t="s">
        <v>259</v>
      </c>
      <c r="CX147" s="169" t="s">
        <v>259</v>
      </c>
      <c r="CY147" s="169" t="s">
        <v>259</v>
      </c>
      <c r="CZ147" s="169" t="s">
        <v>259</v>
      </c>
      <c r="DA147" s="169" t="s">
        <v>259</v>
      </c>
      <c r="DB147" s="169" t="s">
        <v>259</v>
      </c>
      <c r="DC147" s="169" t="s">
        <v>259</v>
      </c>
      <c r="DD147" s="169" t="s">
        <v>259</v>
      </c>
      <c r="DE147" s="169" t="s">
        <v>259</v>
      </c>
      <c r="DF147" s="169" t="s">
        <v>259</v>
      </c>
      <c r="DG147" s="169" t="s">
        <v>259</v>
      </c>
      <c r="DH147" s="169" t="s">
        <v>259</v>
      </c>
      <c r="DI147" s="169" t="s">
        <v>259</v>
      </c>
      <c r="DJ147" s="169" t="s">
        <v>259</v>
      </c>
      <c r="DK147" s="169" t="s">
        <v>259</v>
      </c>
      <c r="DL147" s="169" t="s">
        <v>259</v>
      </c>
      <c r="DM147" s="169" t="s">
        <v>259</v>
      </c>
      <c r="DN147" s="169" t="s">
        <v>259</v>
      </c>
      <c r="DO147" s="169" t="s">
        <v>259</v>
      </c>
      <c r="DP147" s="169" t="s">
        <v>259</v>
      </c>
      <c r="DQ147" s="169" t="s">
        <v>259</v>
      </c>
      <c r="DR147" s="169" t="s">
        <v>259</v>
      </c>
      <c r="DS147" s="169" t="s">
        <v>259</v>
      </c>
      <c r="DT147" s="169" t="s">
        <v>259</v>
      </c>
    </row>
    <row r="148" spans="2:124" x14ac:dyDescent="0.3">
      <c r="B148" t="str">
        <f>'IMPORT SCHLIESSERDATEN'!B147</f>
        <v>BTS 80 F EN 5 + SR</v>
      </c>
      <c r="D148" s="169" t="s">
        <v>259</v>
      </c>
      <c r="E148" s="169" t="s">
        <v>259</v>
      </c>
      <c r="F148" s="169" t="s">
        <v>259</v>
      </c>
      <c r="G148" s="169" t="s">
        <v>259</v>
      </c>
      <c r="H148" s="169" t="s">
        <v>259</v>
      </c>
      <c r="I148" s="169" t="s">
        <v>259</v>
      </c>
      <c r="J148" s="169" t="s">
        <v>259</v>
      </c>
      <c r="K148" s="169" t="s">
        <v>259</v>
      </c>
      <c r="L148" s="169" t="s">
        <v>259</v>
      </c>
      <c r="M148" s="169" t="s">
        <v>259</v>
      </c>
      <c r="N148" s="169" t="s">
        <v>259</v>
      </c>
      <c r="O148" s="169" t="s">
        <v>259</v>
      </c>
      <c r="P148" s="169" t="s">
        <v>259</v>
      </c>
      <c r="Q148" s="169" t="s">
        <v>259</v>
      </c>
      <c r="R148" s="169" t="s">
        <v>259</v>
      </c>
      <c r="S148" s="169" t="s">
        <v>259</v>
      </c>
      <c r="T148" s="169" t="s">
        <v>259</v>
      </c>
      <c r="U148" s="169" t="s">
        <v>259</v>
      </c>
      <c r="V148" s="169" t="s">
        <v>259</v>
      </c>
      <c r="W148" s="169" t="s">
        <v>259</v>
      </c>
      <c r="X148" s="169" t="s">
        <v>259</v>
      </c>
      <c r="Y148" s="169" t="s">
        <v>259</v>
      </c>
      <c r="Z148" s="169" t="s">
        <v>259</v>
      </c>
      <c r="AA148" s="169" t="s">
        <v>259</v>
      </c>
      <c r="AB148" s="169" t="s">
        <v>259</v>
      </c>
      <c r="AC148" s="169" t="s">
        <v>259</v>
      </c>
      <c r="AD148" s="169" t="s">
        <v>259</v>
      </c>
      <c r="AE148" s="169" t="s">
        <v>259</v>
      </c>
      <c r="AF148" s="169" t="s">
        <v>259</v>
      </c>
      <c r="AG148" s="169" t="s">
        <v>259</v>
      </c>
      <c r="AH148" s="169" t="s">
        <v>259</v>
      </c>
      <c r="AI148" s="169" t="s">
        <v>259</v>
      </c>
      <c r="AJ148" s="169" t="s">
        <v>259</v>
      </c>
      <c r="AK148" s="169" t="s">
        <v>259</v>
      </c>
      <c r="AL148" s="169" t="s">
        <v>259</v>
      </c>
      <c r="AM148" s="169" t="s">
        <v>259</v>
      </c>
      <c r="AN148" s="169" t="s">
        <v>259</v>
      </c>
      <c r="AO148" s="169" t="s">
        <v>259</v>
      </c>
      <c r="AP148" s="169" t="s">
        <v>259</v>
      </c>
      <c r="AQ148" s="169" t="s">
        <v>259</v>
      </c>
      <c r="AR148" s="169" t="s">
        <v>259</v>
      </c>
      <c r="AS148" s="169" t="s">
        <v>259</v>
      </c>
      <c r="AT148" s="169" t="s">
        <v>259</v>
      </c>
      <c r="AU148" s="169" t="s">
        <v>259</v>
      </c>
      <c r="AV148" s="169" t="s">
        <v>259</v>
      </c>
      <c r="AW148" s="169" t="s">
        <v>259</v>
      </c>
      <c r="AX148" s="169" t="s">
        <v>259</v>
      </c>
      <c r="AY148" s="169" t="s">
        <v>259</v>
      </c>
      <c r="AZ148" s="169" t="s">
        <v>259</v>
      </c>
      <c r="BA148" s="169" t="s">
        <v>259</v>
      </c>
      <c r="BB148" s="169" t="s">
        <v>259</v>
      </c>
      <c r="BC148" s="169" t="s">
        <v>259</v>
      </c>
      <c r="BD148" s="169" t="s">
        <v>259</v>
      </c>
      <c r="BE148" s="169" t="s">
        <v>259</v>
      </c>
      <c r="BF148" s="169" t="s">
        <v>259</v>
      </c>
      <c r="BG148" s="169" t="s">
        <v>259</v>
      </c>
      <c r="BH148" s="169" t="s">
        <v>259</v>
      </c>
      <c r="BI148" s="169" t="s">
        <v>259</v>
      </c>
      <c r="BJ148" s="169" t="s">
        <v>259</v>
      </c>
      <c r="BK148" s="169" t="s">
        <v>259</v>
      </c>
      <c r="BL148" s="169" t="s">
        <v>259</v>
      </c>
      <c r="BM148" s="169" t="s">
        <v>259</v>
      </c>
      <c r="BN148" s="169" t="s">
        <v>259</v>
      </c>
      <c r="BO148" s="169" t="s">
        <v>259</v>
      </c>
      <c r="BP148" s="169" t="s">
        <v>259</v>
      </c>
      <c r="BQ148" s="169" t="s">
        <v>259</v>
      </c>
      <c r="BR148" s="169" t="s">
        <v>259</v>
      </c>
      <c r="BS148" s="169" t="s">
        <v>259</v>
      </c>
      <c r="BT148" s="169" t="s">
        <v>259</v>
      </c>
      <c r="BU148" s="169" t="s">
        <v>259</v>
      </c>
      <c r="BV148" s="169" t="s">
        <v>259</v>
      </c>
      <c r="BW148" s="169" t="s">
        <v>259</v>
      </c>
      <c r="BX148" s="169" t="s">
        <v>259</v>
      </c>
      <c r="BY148" s="169" t="s">
        <v>259</v>
      </c>
      <c r="BZ148" s="169" t="s">
        <v>259</v>
      </c>
      <c r="CA148" s="169" t="s">
        <v>259</v>
      </c>
      <c r="CB148" s="169" t="s">
        <v>259</v>
      </c>
      <c r="CC148" s="169" t="s">
        <v>259</v>
      </c>
      <c r="CD148" s="169" t="s">
        <v>259</v>
      </c>
      <c r="CE148" s="169" t="s">
        <v>259</v>
      </c>
      <c r="CF148" s="169" t="s">
        <v>259</v>
      </c>
      <c r="CG148" s="169" t="s">
        <v>259</v>
      </c>
      <c r="CH148" s="169" t="s">
        <v>259</v>
      </c>
      <c r="CI148" s="169" t="s">
        <v>259</v>
      </c>
      <c r="CJ148" s="169" t="s">
        <v>259</v>
      </c>
      <c r="CK148" s="169" t="s">
        <v>259</v>
      </c>
      <c r="CL148" s="169" t="s">
        <v>259</v>
      </c>
      <c r="CM148" s="169" t="s">
        <v>259</v>
      </c>
      <c r="CN148" s="169" t="s">
        <v>259</v>
      </c>
      <c r="CO148" s="169" t="s">
        <v>259</v>
      </c>
      <c r="CP148" s="169" t="s">
        <v>259</v>
      </c>
      <c r="CQ148" s="169" t="s">
        <v>259</v>
      </c>
      <c r="CR148" s="169" t="s">
        <v>259</v>
      </c>
      <c r="CS148" s="169" t="s">
        <v>259</v>
      </c>
      <c r="CT148" s="169" t="s">
        <v>259</v>
      </c>
      <c r="CU148" s="169" t="s">
        <v>259</v>
      </c>
      <c r="CV148" s="169" t="s">
        <v>259</v>
      </c>
      <c r="CW148" s="169" t="s">
        <v>259</v>
      </c>
      <c r="CX148" s="169" t="s">
        <v>259</v>
      </c>
      <c r="CY148" s="169" t="s">
        <v>259</v>
      </c>
      <c r="CZ148" s="169" t="s">
        <v>259</v>
      </c>
      <c r="DA148" s="169" t="s">
        <v>259</v>
      </c>
      <c r="DB148" s="169" t="s">
        <v>259</v>
      </c>
      <c r="DC148" s="169" t="s">
        <v>259</v>
      </c>
      <c r="DD148" s="169" t="s">
        <v>259</v>
      </c>
      <c r="DE148" s="169" t="s">
        <v>259</v>
      </c>
      <c r="DF148" s="169" t="s">
        <v>259</v>
      </c>
      <c r="DG148" s="169" t="s">
        <v>259</v>
      </c>
      <c r="DH148" s="169" t="s">
        <v>259</v>
      </c>
      <c r="DI148" s="169" t="s">
        <v>259</v>
      </c>
      <c r="DJ148" s="169" t="s">
        <v>259</v>
      </c>
      <c r="DK148" s="169" t="s">
        <v>259</v>
      </c>
      <c r="DL148" s="169" t="s">
        <v>259</v>
      </c>
      <c r="DM148" s="169" t="s">
        <v>259</v>
      </c>
      <c r="DN148" s="169" t="s">
        <v>259</v>
      </c>
      <c r="DO148" s="169" t="s">
        <v>259</v>
      </c>
      <c r="DP148" s="169" t="s">
        <v>259</v>
      </c>
      <c r="DQ148" s="169" t="s">
        <v>259</v>
      </c>
      <c r="DR148" s="169" t="s">
        <v>259</v>
      </c>
      <c r="DS148" s="169" t="s">
        <v>259</v>
      </c>
      <c r="DT148" s="169" t="s">
        <v>259</v>
      </c>
    </row>
    <row r="149" spans="2:124" x14ac:dyDescent="0.3">
      <c r="B149" t="str">
        <f>'IMPORT SCHLIESSERDATEN'!B148</f>
        <v>BTS 80 F EN 6 + SR</v>
      </c>
      <c r="D149" s="169" t="s">
        <v>259</v>
      </c>
      <c r="E149" s="169" t="s">
        <v>259</v>
      </c>
      <c r="F149" s="169" t="s">
        <v>259</v>
      </c>
      <c r="G149" s="169" t="s">
        <v>259</v>
      </c>
      <c r="H149" s="169" t="s">
        <v>259</v>
      </c>
      <c r="I149" s="169" t="s">
        <v>259</v>
      </c>
      <c r="J149" s="169" t="s">
        <v>259</v>
      </c>
      <c r="K149" s="169" t="s">
        <v>259</v>
      </c>
      <c r="L149" s="169" t="s">
        <v>259</v>
      </c>
      <c r="M149" s="169" t="s">
        <v>259</v>
      </c>
      <c r="N149" s="169" t="s">
        <v>259</v>
      </c>
      <c r="O149" s="169" t="s">
        <v>259</v>
      </c>
      <c r="P149" s="169" t="s">
        <v>259</v>
      </c>
      <c r="Q149" s="169" t="s">
        <v>259</v>
      </c>
      <c r="R149" s="169" t="s">
        <v>259</v>
      </c>
      <c r="S149" s="169" t="s">
        <v>259</v>
      </c>
      <c r="T149" s="169" t="s">
        <v>259</v>
      </c>
      <c r="U149" s="169" t="s">
        <v>259</v>
      </c>
      <c r="V149" s="169" t="s">
        <v>259</v>
      </c>
      <c r="W149" s="169" t="s">
        <v>259</v>
      </c>
      <c r="X149" s="169" t="s">
        <v>259</v>
      </c>
      <c r="Y149" s="169" t="s">
        <v>259</v>
      </c>
      <c r="Z149" s="169" t="s">
        <v>259</v>
      </c>
      <c r="AA149" s="169" t="s">
        <v>259</v>
      </c>
      <c r="AB149" s="169" t="s">
        <v>259</v>
      </c>
      <c r="AC149" s="169" t="s">
        <v>259</v>
      </c>
      <c r="AD149" s="169" t="s">
        <v>259</v>
      </c>
      <c r="AE149" s="169" t="s">
        <v>259</v>
      </c>
      <c r="AF149" s="169" t="s">
        <v>259</v>
      </c>
      <c r="AG149" s="169" t="s">
        <v>259</v>
      </c>
      <c r="AH149" s="169" t="s">
        <v>259</v>
      </c>
      <c r="AI149" s="169" t="s">
        <v>259</v>
      </c>
      <c r="AJ149" s="169" t="s">
        <v>259</v>
      </c>
      <c r="AK149" s="169" t="s">
        <v>259</v>
      </c>
      <c r="AL149" s="169" t="s">
        <v>259</v>
      </c>
      <c r="AM149" s="169" t="s">
        <v>259</v>
      </c>
      <c r="AN149" s="169" t="s">
        <v>259</v>
      </c>
      <c r="AO149" s="169" t="s">
        <v>259</v>
      </c>
      <c r="AP149" s="169" t="s">
        <v>259</v>
      </c>
      <c r="AQ149" s="169" t="s">
        <v>259</v>
      </c>
      <c r="AR149" s="169" t="s">
        <v>259</v>
      </c>
      <c r="AS149" s="169" t="s">
        <v>259</v>
      </c>
      <c r="AT149" s="169" t="s">
        <v>259</v>
      </c>
      <c r="AU149" s="169" t="s">
        <v>259</v>
      </c>
      <c r="AV149" s="169" t="s">
        <v>259</v>
      </c>
      <c r="AW149" s="169" t="s">
        <v>259</v>
      </c>
      <c r="AX149" s="169" t="s">
        <v>259</v>
      </c>
      <c r="AY149" s="169" t="s">
        <v>259</v>
      </c>
      <c r="AZ149" s="169" t="s">
        <v>259</v>
      </c>
      <c r="BA149" s="169" t="s">
        <v>259</v>
      </c>
      <c r="BB149" s="169" t="s">
        <v>259</v>
      </c>
      <c r="BC149" s="169" t="s">
        <v>259</v>
      </c>
      <c r="BD149" s="169" t="s">
        <v>259</v>
      </c>
      <c r="BE149" s="169" t="s">
        <v>259</v>
      </c>
      <c r="BF149" s="169" t="s">
        <v>259</v>
      </c>
      <c r="BG149" s="169" t="s">
        <v>259</v>
      </c>
      <c r="BH149" s="169" t="s">
        <v>259</v>
      </c>
      <c r="BI149" s="169" t="s">
        <v>259</v>
      </c>
      <c r="BJ149" s="169" t="s">
        <v>259</v>
      </c>
      <c r="BK149" s="169" t="s">
        <v>259</v>
      </c>
      <c r="BL149" s="169" t="s">
        <v>259</v>
      </c>
      <c r="BM149" s="169" t="s">
        <v>259</v>
      </c>
      <c r="BN149" s="169" t="s">
        <v>259</v>
      </c>
      <c r="BO149" s="169" t="s">
        <v>259</v>
      </c>
      <c r="BP149" s="169" t="s">
        <v>259</v>
      </c>
      <c r="BQ149" s="169" t="s">
        <v>259</v>
      </c>
      <c r="BR149" s="169" t="s">
        <v>259</v>
      </c>
      <c r="BS149" s="169" t="s">
        <v>259</v>
      </c>
      <c r="BT149" s="169" t="s">
        <v>259</v>
      </c>
      <c r="BU149" s="169" t="s">
        <v>259</v>
      </c>
      <c r="BV149" s="169" t="s">
        <v>259</v>
      </c>
      <c r="BW149" s="169" t="s">
        <v>259</v>
      </c>
      <c r="BX149" s="169" t="s">
        <v>259</v>
      </c>
      <c r="BY149" s="169" t="s">
        <v>259</v>
      </c>
      <c r="BZ149" s="169" t="s">
        <v>259</v>
      </c>
      <c r="CA149" s="169" t="s">
        <v>259</v>
      </c>
      <c r="CB149" s="169" t="s">
        <v>259</v>
      </c>
      <c r="CC149" s="169" t="s">
        <v>259</v>
      </c>
      <c r="CD149" s="169" t="s">
        <v>259</v>
      </c>
      <c r="CE149" s="169" t="s">
        <v>259</v>
      </c>
      <c r="CF149" s="169" t="s">
        <v>259</v>
      </c>
      <c r="CG149" s="169" t="s">
        <v>259</v>
      </c>
      <c r="CH149" s="169" t="s">
        <v>259</v>
      </c>
      <c r="CI149" s="169" t="s">
        <v>259</v>
      </c>
      <c r="CJ149" s="169" t="s">
        <v>259</v>
      </c>
      <c r="CK149" s="169" t="s">
        <v>259</v>
      </c>
      <c r="CL149" s="169" t="s">
        <v>259</v>
      </c>
      <c r="CM149" s="169" t="s">
        <v>259</v>
      </c>
      <c r="CN149" s="169" t="s">
        <v>259</v>
      </c>
      <c r="CO149" s="169" t="s">
        <v>259</v>
      </c>
      <c r="CP149" s="169" t="s">
        <v>259</v>
      </c>
      <c r="CQ149" s="169" t="s">
        <v>259</v>
      </c>
      <c r="CR149" s="169" t="s">
        <v>259</v>
      </c>
      <c r="CS149" s="169" t="s">
        <v>259</v>
      </c>
      <c r="CT149" s="169" t="s">
        <v>259</v>
      </c>
      <c r="CU149" s="169" t="s">
        <v>259</v>
      </c>
      <c r="CV149" s="169" t="s">
        <v>259</v>
      </c>
      <c r="CW149" s="169" t="s">
        <v>259</v>
      </c>
      <c r="CX149" s="169" t="s">
        <v>259</v>
      </c>
      <c r="CY149" s="169" t="s">
        <v>259</v>
      </c>
      <c r="CZ149" s="169" t="s">
        <v>259</v>
      </c>
      <c r="DA149" s="169" t="s">
        <v>259</v>
      </c>
      <c r="DB149" s="169" t="s">
        <v>259</v>
      </c>
      <c r="DC149" s="169" t="s">
        <v>259</v>
      </c>
      <c r="DD149" s="169" t="s">
        <v>259</v>
      </c>
      <c r="DE149" s="169" t="s">
        <v>259</v>
      </c>
      <c r="DF149" s="169" t="s">
        <v>259</v>
      </c>
      <c r="DG149" s="169" t="s">
        <v>259</v>
      </c>
      <c r="DH149" s="169" t="s">
        <v>259</v>
      </c>
      <c r="DI149" s="169" t="s">
        <v>259</v>
      </c>
      <c r="DJ149" s="169" t="s">
        <v>259</v>
      </c>
      <c r="DK149" s="169" t="s">
        <v>259</v>
      </c>
      <c r="DL149" s="169" t="s">
        <v>259</v>
      </c>
      <c r="DM149" s="169" t="s">
        <v>259</v>
      </c>
      <c r="DN149" s="169" t="s">
        <v>259</v>
      </c>
      <c r="DO149" s="169" t="s">
        <v>259</v>
      </c>
      <c r="DP149" s="169" t="s">
        <v>259</v>
      </c>
      <c r="DQ149" s="169" t="s">
        <v>259</v>
      </c>
      <c r="DR149" s="169" t="s">
        <v>259</v>
      </c>
      <c r="DS149" s="169" t="s">
        <v>259</v>
      </c>
      <c r="DT149" s="169" t="s">
        <v>259</v>
      </c>
    </row>
    <row r="150" spans="2:124" x14ac:dyDescent="0.3">
      <c r="B150" t="str">
        <f>'IMPORT SCHLIESSERDATEN'!B149</f>
        <v>BTS 80 EMB EN 4</v>
      </c>
      <c r="D150" s="169" t="s">
        <v>259</v>
      </c>
      <c r="E150" s="169" t="s">
        <v>259</v>
      </c>
      <c r="F150" s="169" t="s">
        <v>259</v>
      </c>
      <c r="G150" s="169" t="s">
        <v>259</v>
      </c>
      <c r="H150" s="169" t="s">
        <v>259</v>
      </c>
      <c r="I150" s="169" t="s">
        <v>259</v>
      </c>
      <c r="J150" s="169" t="s">
        <v>259</v>
      </c>
      <c r="K150" s="169" t="s">
        <v>259</v>
      </c>
      <c r="L150" s="169" t="s">
        <v>259</v>
      </c>
      <c r="M150" s="169" t="s">
        <v>259</v>
      </c>
      <c r="N150" s="169" t="s">
        <v>259</v>
      </c>
      <c r="O150" s="169" t="s">
        <v>259</v>
      </c>
      <c r="P150" s="169" t="s">
        <v>259</v>
      </c>
      <c r="Q150" s="169" t="s">
        <v>259</v>
      </c>
      <c r="R150" s="169" t="s">
        <v>259</v>
      </c>
      <c r="S150" s="169" t="s">
        <v>259</v>
      </c>
      <c r="T150" s="169" t="s">
        <v>259</v>
      </c>
      <c r="U150" s="169" t="s">
        <v>259</v>
      </c>
      <c r="V150" s="169" t="s">
        <v>259</v>
      </c>
      <c r="W150" s="169" t="s">
        <v>259</v>
      </c>
      <c r="X150" s="169" t="s">
        <v>259</v>
      </c>
      <c r="Y150" s="169" t="s">
        <v>259</v>
      </c>
      <c r="Z150" s="169" t="s">
        <v>259</v>
      </c>
      <c r="AA150" s="169" t="s">
        <v>259</v>
      </c>
      <c r="AB150" s="169" t="s">
        <v>259</v>
      </c>
      <c r="AC150" s="169" t="s">
        <v>259</v>
      </c>
      <c r="AD150" s="169" t="s">
        <v>259</v>
      </c>
      <c r="AE150" s="169" t="s">
        <v>259</v>
      </c>
      <c r="AF150" s="169" t="s">
        <v>259</v>
      </c>
      <c r="AG150" s="169" t="s">
        <v>259</v>
      </c>
      <c r="AH150" s="169" t="s">
        <v>259</v>
      </c>
      <c r="AI150" s="169" t="s">
        <v>259</v>
      </c>
      <c r="AJ150" s="169" t="s">
        <v>259</v>
      </c>
      <c r="AK150" s="169" t="s">
        <v>259</v>
      </c>
      <c r="AL150" s="169" t="s">
        <v>259</v>
      </c>
      <c r="AM150" s="169" t="s">
        <v>259</v>
      </c>
      <c r="AN150" s="169" t="s">
        <v>259</v>
      </c>
      <c r="AO150" s="169" t="s">
        <v>259</v>
      </c>
      <c r="AP150" s="169" t="s">
        <v>259</v>
      </c>
      <c r="AQ150" s="169" t="s">
        <v>259</v>
      </c>
      <c r="AR150" s="169" t="s">
        <v>259</v>
      </c>
      <c r="AS150" s="169" t="s">
        <v>259</v>
      </c>
      <c r="AT150" s="169" t="s">
        <v>259</v>
      </c>
      <c r="AU150" s="169" t="s">
        <v>259</v>
      </c>
      <c r="AV150" s="169" t="s">
        <v>259</v>
      </c>
      <c r="AW150" s="169" t="s">
        <v>259</v>
      </c>
      <c r="AX150" s="169" t="s">
        <v>259</v>
      </c>
      <c r="AY150" s="169" t="s">
        <v>259</v>
      </c>
      <c r="AZ150" s="169" t="s">
        <v>259</v>
      </c>
      <c r="BA150" s="169" t="s">
        <v>259</v>
      </c>
      <c r="BB150" s="169" t="s">
        <v>259</v>
      </c>
      <c r="BC150" s="169" t="s">
        <v>259</v>
      </c>
      <c r="BD150" s="169" t="s">
        <v>259</v>
      </c>
      <c r="BE150" s="169" t="s">
        <v>259</v>
      </c>
      <c r="BF150" s="169" t="s">
        <v>259</v>
      </c>
      <c r="BG150" s="169" t="s">
        <v>259</v>
      </c>
      <c r="BH150" s="169" t="s">
        <v>259</v>
      </c>
      <c r="BI150" s="169" t="s">
        <v>259</v>
      </c>
      <c r="BJ150" s="169" t="s">
        <v>259</v>
      </c>
      <c r="BK150" s="169" t="s">
        <v>259</v>
      </c>
      <c r="BL150" s="169" t="s">
        <v>259</v>
      </c>
      <c r="BM150" s="169" t="s">
        <v>259</v>
      </c>
      <c r="BN150" s="169" t="s">
        <v>259</v>
      </c>
      <c r="BO150" s="169" t="s">
        <v>259</v>
      </c>
      <c r="BP150" s="169" t="s">
        <v>259</v>
      </c>
      <c r="BQ150" s="169" t="s">
        <v>259</v>
      </c>
      <c r="BR150" s="169" t="s">
        <v>259</v>
      </c>
      <c r="BS150" s="169" t="s">
        <v>259</v>
      </c>
      <c r="BT150" s="169" t="s">
        <v>259</v>
      </c>
      <c r="BU150" s="169" t="s">
        <v>259</v>
      </c>
      <c r="BV150" s="169" t="s">
        <v>259</v>
      </c>
      <c r="BW150" s="169" t="s">
        <v>259</v>
      </c>
      <c r="BX150" s="169" t="s">
        <v>259</v>
      </c>
      <c r="BY150" s="169" t="s">
        <v>259</v>
      </c>
      <c r="BZ150" s="169" t="s">
        <v>259</v>
      </c>
      <c r="CA150" s="169" t="s">
        <v>259</v>
      </c>
      <c r="CB150" s="169" t="s">
        <v>259</v>
      </c>
      <c r="CC150" s="169" t="s">
        <v>259</v>
      </c>
      <c r="CD150" s="169" t="s">
        <v>259</v>
      </c>
      <c r="CE150" s="169" t="s">
        <v>259</v>
      </c>
      <c r="CF150" s="169" t="s">
        <v>259</v>
      </c>
      <c r="CG150" s="169" t="s">
        <v>259</v>
      </c>
      <c r="CH150" s="169" t="s">
        <v>259</v>
      </c>
      <c r="CI150" s="169" t="s">
        <v>259</v>
      </c>
      <c r="CJ150" s="169" t="s">
        <v>259</v>
      </c>
      <c r="CK150" s="169" t="s">
        <v>259</v>
      </c>
      <c r="CL150" s="169" t="s">
        <v>259</v>
      </c>
      <c r="CM150" s="169" t="s">
        <v>259</v>
      </c>
      <c r="CN150" s="169" t="s">
        <v>259</v>
      </c>
      <c r="CO150" s="169" t="s">
        <v>259</v>
      </c>
      <c r="CP150" s="169" t="s">
        <v>259</v>
      </c>
      <c r="CQ150" s="169" t="s">
        <v>259</v>
      </c>
      <c r="CR150" s="169" t="s">
        <v>259</v>
      </c>
      <c r="CS150" s="169" t="s">
        <v>259</v>
      </c>
      <c r="CT150" s="169" t="s">
        <v>259</v>
      </c>
      <c r="CU150" s="169" t="s">
        <v>259</v>
      </c>
      <c r="CV150" s="169" t="s">
        <v>259</v>
      </c>
      <c r="CW150" s="169" t="s">
        <v>259</v>
      </c>
      <c r="CX150" s="169" t="s">
        <v>259</v>
      </c>
      <c r="CY150" s="169" t="s">
        <v>259</v>
      </c>
      <c r="CZ150" s="169" t="s">
        <v>259</v>
      </c>
      <c r="DA150" s="169" t="s">
        <v>259</v>
      </c>
      <c r="DB150" s="169" t="s">
        <v>259</v>
      </c>
      <c r="DC150" s="169" t="s">
        <v>259</v>
      </c>
      <c r="DD150" s="169" t="s">
        <v>259</v>
      </c>
      <c r="DE150" s="169" t="s">
        <v>259</v>
      </c>
      <c r="DF150" s="169" t="s">
        <v>259</v>
      </c>
      <c r="DG150" s="169" t="s">
        <v>259</v>
      </c>
      <c r="DH150" s="169" t="s">
        <v>259</v>
      </c>
      <c r="DI150" s="169" t="s">
        <v>259</v>
      </c>
      <c r="DJ150" s="169" t="s">
        <v>259</v>
      </c>
      <c r="DK150" s="169" t="s">
        <v>259</v>
      </c>
      <c r="DL150" s="169" t="s">
        <v>259</v>
      </c>
      <c r="DM150" s="169" t="s">
        <v>259</v>
      </c>
      <c r="DN150" s="169" t="s">
        <v>259</v>
      </c>
      <c r="DO150" s="169" t="s">
        <v>259</v>
      </c>
      <c r="DP150" s="169" t="s">
        <v>259</v>
      </c>
      <c r="DQ150" s="169" t="s">
        <v>259</v>
      </c>
      <c r="DR150" s="169" t="s">
        <v>259</v>
      </c>
      <c r="DS150" s="169" t="s">
        <v>259</v>
      </c>
      <c r="DT150" s="169" t="s">
        <v>259</v>
      </c>
    </row>
    <row r="151" spans="2:124" x14ac:dyDescent="0.3">
      <c r="B151" t="str">
        <f>'IMPORT SCHLIESSERDATEN'!B150</f>
        <v>BTS 80 EMB EN 5</v>
      </c>
      <c r="D151" s="169" t="s">
        <v>259</v>
      </c>
      <c r="E151" s="169" t="s">
        <v>259</v>
      </c>
      <c r="F151" s="169" t="s">
        <v>259</v>
      </c>
      <c r="G151" s="169" t="s">
        <v>259</v>
      </c>
      <c r="H151" s="169" t="s">
        <v>259</v>
      </c>
      <c r="I151" s="169" t="s">
        <v>259</v>
      </c>
      <c r="J151" s="169" t="s">
        <v>259</v>
      </c>
      <c r="K151" s="169" t="s">
        <v>259</v>
      </c>
      <c r="L151" s="169" t="s">
        <v>259</v>
      </c>
      <c r="M151" s="169" t="s">
        <v>259</v>
      </c>
      <c r="N151" s="169" t="s">
        <v>259</v>
      </c>
      <c r="O151" s="169" t="s">
        <v>259</v>
      </c>
      <c r="P151" s="169" t="s">
        <v>259</v>
      </c>
      <c r="Q151" s="169" t="s">
        <v>259</v>
      </c>
      <c r="R151" s="169" t="s">
        <v>259</v>
      </c>
      <c r="S151" s="169" t="s">
        <v>259</v>
      </c>
      <c r="T151" s="169" t="s">
        <v>259</v>
      </c>
      <c r="U151" s="169" t="s">
        <v>259</v>
      </c>
      <c r="V151" s="169" t="s">
        <v>259</v>
      </c>
      <c r="W151" s="169" t="s">
        <v>259</v>
      </c>
      <c r="X151" s="169" t="s">
        <v>259</v>
      </c>
      <c r="Y151" s="169" t="s">
        <v>259</v>
      </c>
      <c r="Z151" s="169" t="s">
        <v>259</v>
      </c>
      <c r="AA151" s="169" t="s">
        <v>259</v>
      </c>
      <c r="AB151" s="169" t="s">
        <v>259</v>
      </c>
      <c r="AC151" s="169" t="s">
        <v>259</v>
      </c>
      <c r="AD151" s="169" t="s">
        <v>259</v>
      </c>
      <c r="AE151" s="169" t="s">
        <v>259</v>
      </c>
      <c r="AF151" s="169" t="s">
        <v>259</v>
      </c>
      <c r="AG151" s="169" t="s">
        <v>259</v>
      </c>
      <c r="AH151" s="169" t="s">
        <v>259</v>
      </c>
      <c r="AI151" s="169" t="s">
        <v>259</v>
      </c>
      <c r="AJ151" s="169" t="s">
        <v>259</v>
      </c>
      <c r="AK151" s="169" t="s">
        <v>259</v>
      </c>
      <c r="AL151" s="169" t="s">
        <v>259</v>
      </c>
      <c r="AM151" s="169" t="s">
        <v>259</v>
      </c>
      <c r="AN151" s="169" t="s">
        <v>259</v>
      </c>
      <c r="AO151" s="169" t="s">
        <v>259</v>
      </c>
      <c r="AP151" s="169" t="s">
        <v>259</v>
      </c>
      <c r="AQ151" s="169" t="s">
        <v>259</v>
      </c>
      <c r="AR151" s="169" t="s">
        <v>259</v>
      </c>
      <c r="AS151" s="169" t="s">
        <v>259</v>
      </c>
      <c r="AT151" s="169" t="s">
        <v>259</v>
      </c>
      <c r="AU151" s="169" t="s">
        <v>259</v>
      </c>
      <c r="AV151" s="169" t="s">
        <v>259</v>
      </c>
      <c r="AW151" s="169" t="s">
        <v>259</v>
      </c>
      <c r="AX151" s="169" t="s">
        <v>259</v>
      </c>
      <c r="AY151" s="169" t="s">
        <v>259</v>
      </c>
      <c r="AZ151" s="169" t="s">
        <v>259</v>
      </c>
      <c r="BA151" s="169" t="s">
        <v>259</v>
      </c>
      <c r="BB151" s="169" t="s">
        <v>259</v>
      </c>
      <c r="BC151" s="169" t="s">
        <v>259</v>
      </c>
      <c r="BD151" s="169" t="s">
        <v>259</v>
      </c>
      <c r="BE151" s="169" t="s">
        <v>259</v>
      </c>
      <c r="BF151" s="169" t="s">
        <v>259</v>
      </c>
      <c r="BG151" s="169" t="s">
        <v>259</v>
      </c>
      <c r="BH151" s="169" t="s">
        <v>259</v>
      </c>
      <c r="BI151" s="169" t="s">
        <v>259</v>
      </c>
      <c r="BJ151" s="169" t="s">
        <v>259</v>
      </c>
      <c r="BK151" s="169" t="s">
        <v>259</v>
      </c>
      <c r="BL151" s="169" t="s">
        <v>259</v>
      </c>
      <c r="BM151" s="169" t="s">
        <v>259</v>
      </c>
      <c r="BN151" s="169" t="s">
        <v>259</v>
      </c>
      <c r="BO151" s="169" t="s">
        <v>259</v>
      </c>
      <c r="BP151" s="169" t="s">
        <v>259</v>
      </c>
      <c r="BQ151" s="169" t="s">
        <v>259</v>
      </c>
      <c r="BR151" s="169" t="s">
        <v>259</v>
      </c>
      <c r="BS151" s="169" t="s">
        <v>259</v>
      </c>
      <c r="BT151" s="169" t="s">
        <v>259</v>
      </c>
      <c r="BU151" s="169" t="s">
        <v>259</v>
      </c>
      <c r="BV151" s="169" t="s">
        <v>259</v>
      </c>
      <c r="BW151" s="169" t="s">
        <v>259</v>
      </c>
      <c r="BX151" s="169" t="s">
        <v>259</v>
      </c>
      <c r="BY151" s="169" t="s">
        <v>259</v>
      </c>
      <c r="BZ151" s="169" t="s">
        <v>259</v>
      </c>
      <c r="CA151" s="169" t="s">
        <v>259</v>
      </c>
      <c r="CB151" s="169" t="s">
        <v>259</v>
      </c>
      <c r="CC151" s="169" t="s">
        <v>259</v>
      </c>
      <c r="CD151" s="169" t="s">
        <v>259</v>
      </c>
      <c r="CE151" s="169" t="s">
        <v>259</v>
      </c>
      <c r="CF151" s="169" t="s">
        <v>259</v>
      </c>
      <c r="CG151" s="169" t="s">
        <v>259</v>
      </c>
      <c r="CH151" s="169" t="s">
        <v>259</v>
      </c>
      <c r="CI151" s="169" t="s">
        <v>259</v>
      </c>
      <c r="CJ151" s="169" t="s">
        <v>259</v>
      </c>
      <c r="CK151" s="169" t="s">
        <v>259</v>
      </c>
      <c r="CL151" s="169" t="s">
        <v>259</v>
      </c>
      <c r="CM151" s="169" t="s">
        <v>259</v>
      </c>
      <c r="CN151" s="169" t="s">
        <v>259</v>
      </c>
      <c r="CO151" s="169" t="s">
        <v>259</v>
      </c>
      <c r="CP151" s="169" t="s">
        <v>259</v>
      </c>
      <c r="CQ151" s="169" t="s">
        <v>259</v>
      </c>
      <c r="CR151" s="169" t="s">
        <v>259</v>
      </c>
      <c r="CS151" s="169" t="s">
        <v>259</v>
      </c>
      <c r="CT151" s="169" t="s">
        <v>259</v>
      </c>
      <c r="CU151" s="169" t="s">
        <v>259</v>
      </c>
      <c r="CV151" s="169" t="s">
        <v>259</v>
      </c>
      <c r="CW151" s="169" t="s">
        <v>259</v>
      </c>
      <c r="CX151" s="169" t="s">
        <v>259</v>
      </c>
      <c r="CY151" s="169" t="s">
        <v>259</v>
      </c>
      <c r="CZ151" s="169" t="s">
        <v>259</v>
      </c>
      <c r="DA151" s="169" t="s">
        <v>259</v>
      </c>
      <c r="DB151" s="169" t="s">
        <v>259</v>
      </c>
      <c r="DC151" s="169" t="s">
        <v>259</v>
      </c>
      <c r="DD151" s="169" t="s">
        <v>259</v>
      </c>
      <c r="DE151" s="169" t="s">
        <v>259</v>
      </c>
      <c r="DF151" s="169" t="s">
        <v>259</v>
      </c>
      <c r="DG151" s="169" t="s">
        <v>259</v>
      </c>
      <c r="DH151" s="169" t="s">
        <v>259</v>
      </c>
      <c r="DI151" s="169" t="s">
        <v>259</v>
      </c>
      <c r="DJ151" s="169" t="s">
        <v>259</v>
      </c>
      <c r="DK151" s="169" t="s">
        <v>259</v>
      </c>
      <c r="DL151" s="169" t="s">
        <v>259</v>
      </c>
      <c r="DM151" s="169" t="s">
        <v>259</v>
      </c>
      <c r="DN151" s="169" t="s">
        <v>259</v>
      </c>
      <c r="DO151" s="169" t="s">
        <v>259</v>
      </c>
      <c r="DP151" s="169" t="s">
        <v>259</v>
      </c>
      <c r="DQ151" s="169" t="s">
        <v>259</v>
      </c>
      <c r="DR151" s="169" t="s">
        <v>259</v>
      </c>
      <c r="DS151" s="169" t="s">
        <v>259</v>
      </c>
      <c r="DT151" s="169" t="s">
        <v>259</v>
      </c>
    </row>
    <row r="152" spans="2:124" x14ac:dyDescent="0.3">
      <c r="B152" t="str">
        <f>'IMPORT SCHLIESSERDATEN'!B151</f>
        <v>BTS 80 EMB EN 6</v>
      </c>
      <c r="D152" s="169" t="s">
        <v>259</v>
      </c>
      <c r="E152" s="169" t="s">
        <v>259</v>
      </c>
      <c r="F152" s="169" t="s">
        <v>259</v>
      </c>
      <c r="G152" s="169" t="s">
        <v>259</v>
      </c>
      <c r="H152" s="169" t="s">
        <v>259</v>
      </c>
      <c r="I152" s="169" t="s">
        <v>259</v>
      </c>
      <c r="J152" s="169" t="s">
        <v>259</v>
      </c>
      <c r="K152" s="169" t="s">
        <v>259</v>
      </c>
      <c r="L152" s="169" t="s">
        <v>259</v>
      </c>
      <c r="M152" s="169" t="s">
        <v>259</v>
      </c>
      <c r="N152" s="169" t="s">
        <v>259</v>
      </c>
      <c r="O152" s="169" t="s">
        <v>259</v>
      </c>
      <c r="P152" s="169" t="s">
        <v>259</v>
      </c>
      <c r="Q152" s="169" t="s">
        <v>259</v>
      </c>
      <c r="R152" s="169" t="s">
        <v>259</v>
      </c>
      <c r="S152" s="169" t="s">
        <v>259</v>
      </c>
      <c r="T152" s="169" t="s">
        <v>259</v>
      </c>
      <c r="U152" s="169" t="s">
        <v>259</v>
      </c>
      <c r="V152" s="169" t="s">
        <v>259</v>
      </c>
      <c r="W152" s="169" t="s">
        <v>259</v>
      </c>
      <c r="X152" s="169" t="s">
        <v>259</v>
      </c>
      <c r="Y152" s="169" t="s">
        <v>259</v>
      </c>
      <c r="Z152" s="169" t="s">
        <v>259</v>
      </c>
      <c r="AA152" s="169" t="s">
        <v>259</v>
      </c>
      <c r="AB152" s="169" t="s">
        <v>259</v>
      </c>
      <c r="AC152" s="169" t="s">
        <v>259</v>
      </c>
      <c r="AD152" s="169" t="s">
        <v>259</v>
      </c>
      <c r="AE152" s="169" t="s">
        <v>259</v>
      </c>
      <c r="AF152" s="169" t="s">
        <v>259</v>
      </c>
      <c r="AG152" s="169" t="s">
        <v>259</v>
      </c>
      <c r="AH152" s="169" t="s">
        <v>259</v>
      </c>
      <c r="AI152" s="169" t="s">
        <v>259</v>
      </c>
      <c r="AJ152" s="169" t="s">
        <v>259</v>
      </c>
      <c r="AK152" s="169" t="s">
        <v>259</v>
      </c>
      <c r="AL152" s="169" t="s">
        <v>259</v>
      </c>
      <c r="AM152" s="169" t="s">
        <v>259</v>
      </c>
      <c r="AN152" s="169" t="s">
        <v>259</v>
      </c>
      <c r="AO152" s="169" t="s">
        <v>259</v>
      </c>
      <c r="AP152" s="169" t="s">
        <v>259</v>
      </c>
      <c r="AQ152" s="169" t="s">
        <v>259</v>
      </c>
      <c r="AR152" s="169" t="s">
        <v>259</v>
      </c>
      <c r="AS152" s="169" t="s">
        <v>259</v>
      </c>
      <c r="AT152" s="169" t="s">
        <v>259</v>
      </c>
      <c r="AU152" s="169" t="s">
        <v>259</v>
      </c>
      <c r="AV152" s="169" t="s">
        <v>259</v>
      </c>
      <c r="AW152" s="169" t="s">
        <v>259</v>
      </c>
      <c r="AX152" s="169" t="s">
        <v>259</v>
      </c>
      <c r="AY152" s="169" t="s">
        <v>259</v>
      </c>
      <c r="AZ152" s="169" t="s">
        <v>259</v>
      </c>
      <c r="BA152" s="169" t="s">
        <v>259</v>
      </c>
      <c r="BB152" s="169" t="s">
        <v>259</v>
      </c>
      <c r="BC152" s="169" t="s">
        <v>259</v>
      </c>
      <c r="BD152" s="169" t="s">
        <v>259</v>
      </c>
      <c r="BE152" s="169" t="s">
        <v>259</v>
      </c>
      <c r="BF152" s="169" t="s">
        <v>259</v>
      </c>
      <c r="BG152" s="169" t="s">
        <v>259</v>
      </c>
      <c r="BH152" s="169" t="s">
        <v>259</v>
      </c>
      <c r="BI152" s="169" t="s">
        <v>259</v>
      </c>
      <c r="BJ152" s="169" t="s">
        <v>259</v>
      </c>
      <c r="BK152" s="169" t="s">
        <v>259</v>
      </c>
      <c r="BL152" s="169" t="s">
        <v>259</v>
      </c>
      <c r="BM152" s="169" t="s">
        <v>259</v>
      </c>
      <c r="BN152" s="169" t="s">
        <v>259</v>
      </c>
      <c r="BO152" s="169" t="s">
        <v>259</v>
      </c>
      <c r="BP152" s="169" t="s">
        <v>259</v>
      </c>
      <c r="BQ152" s="169" t="s">
        <v>259</v>
      </c>
      <c r="BR152" s="169" t="s">
        <v>259</v>
      </c>
      <c r="BS152" s="169" t="s">
        <v>259</v>
      </c>
      <c r="BT152" s="169" t="s">
        <v>259</v>
      </c>
      <c r="BU152" s="169" t="s">
        <v>259</v>
      </c>
      <c r="BV152" s="169" t="s">
        <v>259</v>
      </c>
      <c r="BW152" s="169" t="s">
        <v>259</v>
      </c>
      <c r="BX152" s="169" t="s">
        <v>259</v>
      </c>
      <c r="BY152" s="169" t="s">
        <v>259</v>
      </c>
      <c r="BZ152" s="169" t="s">
        <v>259</v>
      </c>
      <c r="CA152" s="169" t="s">
        <v>259</v>
      </c>
      <c r="CB152" s="169" t="s">
        <v>259</v>
      </c>
      <c r="CC152" s="169" t="s">
        <v>259</v>
      </c>
      <c r="CD152" s="169" t="s">
        <v>259</v>
      </c>
      <c r="CE152" s="169" t="s">
        <v>259</v>
      </c>
      <c r="CF152" s="169" t="s">
        <v>259</v>
      </c>
      <c r="CG152" s="169" t="s">
        <v>259</v>
      </c>
      <c r="CH152" s="169" t="s">
        <v>259</v>
      </c>
      <c r="CI152" s="169" t="s">
        <v>259</v>
      </c>
      <c r="CJ152" s="169" t="s">
        <v>259</v>
      </c>
      <c r="CK152" s="169" t="s">
        <v>259</v>
      </c>
      <c r="CL152" s="169" t="s">
        <v>259</v>
      </c>
      <c r="CM152" s="169" t="s">
        <v>259</v>
      </c>
      <c r="CN152" s="169" t="s">
        <v>259</v>
      </c>
      <c r="CO152" s="169" t="s">
        <v>259</v>
      </c>
      <c r="CP152" s="169" t="s">
        <v>259</v>
      </c>
      <c r="CQ152" s="169" t="s">
        <v>259</v>
      </c>
      <c r="CR152" s="169" t="s">
        <v>259</v>
      </c>
      <c r="CS152" s="169" t="s">
        <v>259</v>
      </c>
      <c r="CT152" s="169" t="s">
        <v>259</v>
      </c>
      <c r="CU152" s="169" t="s">
        <v>259</v>
      </c>
      <c r="CV152" s="169" t="s">
        <v>259</v>
      </c>
      <c r="CW152" s="169" t="s">
        <v>259</v>
      </c>
      <c r="CX152" s="169" t="s">
        <v>259</v>
      </c>
      <c r="CY152" s="169" t="s">
        <v>259</v>
      </c>
      <c r="CZ152" s="169" t="s">
        <v>259</v>
      </c>
      <c r="DA152" s="169" t="s">
        <v>259</v>
      </c>
      <c r="DB152" s="169" t="s">
        <v>259</v>
      </c>
      <c r="DC152" s="169" t="s">
        <v>259</v>
      </c>
      <c r="DD152" s="169" t="s">
        <v>259</v>
      </c>
      <c r="DE152" s="169" t="s">
        <v>259</v>
      </c>
      <c r="DF152" s="169" t="s">
        <v>259</v>
      </c>
      <c r="DG152" s="169" t="s">
        <v>259</v>
      </c>
      <c r="DH152" s="169" t="s">
        <v>259</v>
      </c>
      <c r="DI152" s="169" t="s">
        <v>259</v>
      </c>
      <c r="DJ152" s="169" t="s">
        <v>259</v>
      </c>
      <c r="DK152" s="169" t="s">
        <v>259</v>
      </c>
      <c r="DL152" s="169" t="s">
        <v>259</v>
      </c>
      <c r="DM152" s="169" t="s">
        <v>259</v>
      </c>
      <c r="DN152" s="169" t="s">
        <v>259</v>
      </c>
      <c r="DO152" s="169" t="s">
        <v>259</v>
      </c>
      <c r="DP152" s="169" t="s">
        <v>259</v>
      </c>
      <c r="DQ152" s="169" t="s">
        <v>259</v>
      </c>
      <c r="DR152" s="169" t="s">
        <v>259</v>
      </c>
      <c r="DS152" s="169" t="s">
        <v>259</v>
      </c>
      <c r="DT152" s="169" t="s">
        <v>259</v>
      </c>
    </row>
    <row r="153" spans="2:124" x14ac:dyDescent="0.3">
      <c r="B153" t="str">
        <f>'IMPORT SCHLIESSERDATEN'!B152</f>
        <v>BTS 80 EMB EN 4 + SR</v>
      </c>
      <c r="D153" s="169" t="s">
        <v>259</v>
      </c>
      <c r="E153" s="169" t="s">
        <v>259</v>
      </c>
      <c r="F153" s="169" t="s">
        <v>259</v>
      </c>
      <c r="G153" s="169" t="s">
        <v>259</v>
      </c>
      <c r="H153" s="169" t="s">
        <v>259</v>
      </c>
      <c r="I153" s="169" t="s">
        <v>259</v>
      </c>
      <c r="J153" s="169" t="s">
        <v>259</v>
      </c>
      <c r="K153" s="169" t="s">
        <v>259</v>
      </c>
      <c r="L153" s="169" t="s">
        <v>259</v>
      </c>
      <c r="M153" s="169" t="s">
        <v>259</v>
      </c>
      <c r="N153" s="169" t="s">
        <v>259</v>
      </c>
      <c r="O153" s="169" t="s">
        <v>259</v>
      </c>
      <c r="P153" s="169" t="s">
        <v>259</v>
      </c>
      <c r="Q153" s="169" t="s">
        <v>259</v>
      </c>
      <c r="R153" s="169" t="s">
        <v>259</v>
      </c>
      <c r="S153" s="169" t="s">
        <v>259</v>
      </c>
      <c r="T153" s="169" t="s">
        <v>259</v>
      </c>
      <c r="U153" s="169" t="s">
        <v>259</v>
      </c>
      <c r="V153" s="169" t="s">
        <v>259</v>
      </c>
      <c r="W153" s="169" t="s">
        <v>259</v>
      </c>
      <c r="X153" s="169" t="s">
        <v>259</v>
      </c>
      <c r="Y153" s="169" t="s">
        <v>259</v>
      </c>
      <c r="Z153" s="169" t="s">
        <v>259</v>
      </c>
      <c r="AA153" s="169" t="s">
        <v>259</v>
      </c>
      <c r="AB153" s="169" t="s">
        <v>259</v>
      </c>
      <c r="AC153" s="169" t="s">
        <v>259</v>
      </c>
      <c r="AD153" s="169" t="s">
        <v>259</v>
      </c>
      <c r="AE153" s="169" t="s">
        <v>259</v>
      </c>
      <c r="AF153" s="169" t="s">
        <v>259</v>
      </c>
      <c r="AG153" s="169" t="s">
        <v>259</v>
      </c>
      <c r="AH153" s="169" t="s">
        <v>259</v>
      </c>
      <c r="AI153" s="169" t="s">
        <v>259</v>
      </c>
      <c r="AJ153" s="169" t="s">
        <v>259</v>
      </c>
      <c r="AK153" s="169" t="s">
        <v>259</v>
      </c>
      <c r="AL153" s="169" t="s">
        <v>259</v>
      </c>
      <c r="AM153" s="169" t="s">
        <v>259</v>
      </c>
      <c r="AN153" s="169" t="s">
        <v>259</v>
      </c>
      <c r="AO153" s="169" t="s">
        <v>259</v>
      </c>
      <c r="AP153" s="169" t="s">
        <v>259</v>
      </c>
      <c r="AQ153" s="169" t="s">
        <v>259</v>
      </c>
      <c r="AR153" s="169" t="s">
        <v>259</v>
      </c>
      <c r="AS153" s="169" t="s">
        <v>259</v>
      </c>
      <c r="AT153" s="169" t="s">
        <v>259</v>
      </c>
      <c r="AU153" s="169" t="s">
        <v>259</v>
      </c>
      <c r="AV153" s="169" t="s">
        <v>259</v>
      </c>
      <c r="AW153" s="169" t="s">
        <v>259</v>
      </c>
      <c r="AX153" s="169" t="s">
        <v>259</v>
      </c>
      <c r="AY153" s="169" t="s">
        <v>259</v>
      </c>
      <c r="AZ153" s="169" t="s">
        <v>259</v>
      </c>
      <c r="BA153" s="169" t="s">
        <v>259</v>
      </c>
      <c r="BB153" s="169" t="s">
        <v>259</v>
      </c>
      <c r="BC153" s="169" t="s">
        <v>259</v>
      </c>
      <c r="BD153" s="169" t="s">
        <v>259</v>
      </c>
      <c r="BE153" s="169" t="s">
        <v>259</v>
      </c>
      <c r="BF153" s="169" t="s">
        <v>259</v>
      </c>
      <c r="BG153" s="169" t="s">
        <v>259</v>
      </c>
      <c r="BH153" s="169" t="s">
        <v>259</v>
      </c>
      <c r="BI153" s="169" t="s">
        <v>259</v>
      </c>
      <c r="BJ153" s="169" t="s">
        <v>259</v>
      </c>
      <c r="BK153" s="169" t="s">
        <v>259</v>
      </c>
      <c r="BL153" s="169" t="s">
        <v>259</v>
      </c>
      <c r="BM153" s="169" t="s">
        <v>259</v>
      </c>
      <c r="BN153" s="169" t="s">
        <v>259</v>
      </c>
      <c r="BO153" s="169" t="s">
        <v>259</v>
      </c>
      <c r="BP153" s="169" t="s">
        <v>259</v>
      </c>
      <c r="BQ153" s="169" t="s">
        <v>259</v>
      </c>
      <c r="BR153" s="169" t="s">
        <v>259</v>
      </c>
      <c r="BS153" s="169" t="s">
        <v>259</v>
      </c>
      <c r="BT153" s="169" t="s">
        <v>259</v>
      </c>
      <c r="BU153" s="169" t="s">
        <v>259</v>
      </c>
      <c r="BV153" s="169" t="s">
        <v>259</v>
      </c>
      <c r="BW153" s="169" t="s">
        <v>259</v>
      </c>
      <c r="BX153" s="169" t="s">
        <v>259</v>
      </c>
      <c r="BY153" s="169" t="s">
        <v>259</v>
      </c>
      <c r="BZ153" s="169" t="s">
        <v>259</v>
      </c>
      <c r="CA153" s="169" t="s">
        <v>259</v>
      </c>
      <c r="CB153" s="169" t="s">
        <v>259</v>
      </c>
      <c r="CC153" s="169" t="s">
        <v>259</v>
      </c>
      <c r="CD153" s="169" t="s">
        <v>259</v>
      </c>
      <c r="CE153" s="169" t="s">
        <v>259</v>
      </c>
      <c r="CF153" s="169" t="s">
        <v>259</v>
      </c>
      <c r="CG153" s="169" t="s">
        <v>259</v>
      </c>
      <c r="CH153" s="169" t="s">
        <v>259</v>
      </c>
      <c r="CI153" s="169" t="s">
        <v>259</v>
      </c>
      <c r="CJ153" s="169" t="s">
        <v>259</v>
      </c>
      <c r="CK153" s="169" t="s">
        <v>259</v>
      </c>
      <c r="CL153" s="169" t="s">
        <v>259</v>
      </c>
      <c r="CM153" s="169" t="s">
        <v>259</v>
      </c>
      <c r="CN153" s="169" t="s">
        <v>259</v>
      </c>
      <c r="CO153" s="169" t="s">
        <v>259</v>
      </c>
      <c r="CP153" s="169" t="s">
        <v>259</v>
      </c>
      <c r="CQ153" s="169" t="s">
        <v>259</v>
      </c>
      <c r="CR153" s="169" t="s">
        <v>259</v>
      </c>
      <c r="CS153" s="169" t="s">
        <v>259</v>
      </c>
      <c r="CT153" s="169" t="s">
        <v>259</v>
      </c>
      <c r="CU153" s="169" t="s">
        <v>259</v>
      </c>
      <c r="CV153" s="169" t="s">
        <v>259</v>
      </c>
      <c r="CW153" s="169" t="s">
        <v>259</v>
      </c>
      <c r="CX153" s="169" t="s">
        <v>259</v>
      </c>
      <c r="CY153" s="169" t="s">
        <v>259</v>
      </c>
      <c r="CZ153" s="169" t="s">
        <v>259</v>
      </c>
      <c r="DA153" s="169" t="s">
        <v>259</v>
      </c>
      <c r="DB153" s="169" t="s">
        <v>259</v>
      </c>
      <c r="DC153" s="169" t="s">
        <v>259</v>
      </c>
      <c r="DD153" s="169" t="s">
        <v>259</v>
      </c>
      <c r="DE153" s="169" t="s">
        <v>259</v>
      </c>
      <c r="DF153" s="169" t="s">
        <v>259</v>
      </c>
      <c r="DG153" s="169" t="s">
        <v>259</v>
      </c>
      <c r="DH153" s="169" t="s">
        <v>259</v>
      </c>
      <c r="DI153" s="169" t="s">
        <v>259</v>
      </c>
      <c r="DJ153" s="169" t="s">
        <v>259</v>
      </c>
      <c r="DK153" s="169" t="s">
        <v>259</v>
      </c>
      <c r="DL153" s="169" t="s">
        <v>259</v>
      </c>
      <c r="DM153" s="169" t="s">
        <v>259</v>
      </c>
      <c r="DN153" s="169" t="s">
        <v>259</v>
      </c>
      <c r="DO153" s="169" t="s">
        <v>259</v>
      </c>
      <c r="DP153" s="169" t="s">
        <v>259</v>
      </c>
      <c r="DQ153" s="169" t="s">
        <v>259</v>
      </c>
      <c r="DR153" s="169" t="s">
        <v>259</v>
      </c>
      <c r="DS153" s="169" t="s">
        <v>259</v>
      </c>
      <c r="DT153" s="169" t="s">
        <v>259</v>
      </c>
    </row>
    <row r="154" spans="2:124" x14ac:dyDescent="0.3">
      <c r="B154" t="str">
        <f>'IMPORT SCHLIESSERDATEN'!B153</f>
        <v>BTS 80 EMB EN 5 + SR</v>
      </c>
      <c r="D154" s="169" t="s">
        <v>259</v>
      </c>
      <c r="E154" s="169" t="s">
        <v>259</v>
      </c>
      <c r="F154" s="169" t="s">
        <v>259</v>
      </c>
      <c r="G154" s="169" t="s">
        <v>259</v>
      </c>
      <c r="H154" s="169" t="s">
        <v>259</v>
      </c>
      <c r="I154" s="169" t="s">
        <v>259</v>
      </c>
      <c r="J154" s="169" t="s">
        <v>259</v>
      </c>
      <c r="K154" s="169" t="s">
        <v>259</v>
      </c>
      <c r="L154" s="169" t="s">
        <v>259</v>
      </c>
      <c r="M154" s="169" t="s">
        <v>259</v>
      </c>
      <c r="N154" s="169" t="s">
        <v>259</v>
      </c>
      <c r="O154" s="169" t="s">
        <v>259</v>
      </c>
      <c r="P154" s="169" t="s">
        <v>259</v>
      </c>
      <c r="Q154" s="169" t="s">
        <v>259</v>
      </c>
      <c r="R154" s="169" t="s">
        <v>259</v>
      </c>
      <c r="S154" s="169" t="s">
        <v>259</v>
      </c>
      <c r="T154" s="169" t="s">
        <v>259</v>
      </c>
      <c r="U154" s="169" t="s">
        <v>259</v>
      </c>
      <c r="V154" s="169" t="s">
        <v>259</v>
      </c>
      <c r="W154" s="169" t="s">
        <v>259</v>
      </c>
      <c r="X154" s="169" t="s">
        <v>259</v>
      </c>
      <c r="Y154" s="169" t="s">
        <v>259</v>
      </c>
      <c r="Z154" s="169" t="s">
        <v>259</v>
      </c>
      <c r="AA154" s="169" t="s">
        <v>259</v>
      </c>
      <c r="AB154" s="169" t="s">
        <v>259</v>
      </c>
      <c r="AC154" s="169" t="s">
        <v>259</v>
      </c>
      <c r="AD154" s="169" t="s">
        <v>259</v>
      </c>
      <c r="AE154" s="169" t="s">
        <v>259</v>
      </c>
      <c r="AF154" s="169" t="s">
        <v>259</v>
      </c>
      <c r="AG154" s="169" t="s">
        <v>259</v>
      </c>
      <c r="AH154" s="169" t="s">
        <v>259</v>
      </c>
      <c r="AI154" s="169" t="s">
        <v>259</v>
      </c>
      <c r="AJ154" s="169" t="s">
        <v>259</v>
      </c>
      <c r="AK154" s="169" t="s">
        <v>259</v>
      </c>
      <c r="AL154" s="169" t="s">
        <v>259</v>
      </c>
      <c r="AM154" s="169" t="s">
        <v>259</v>
      </c>
      <c r="AN154" s="169" t="s">
        <v>259</v>
      </c>
      <c r="AO154" s="169" t="s">
        <v>259</v>
      </c>
      <c r="AP154" s="169" t="s">
        <v>259</v>
      </c>
      <c r="AQ154" s="169" t="s">
        <v>259</v>
      </c>
      <c r="AR154" s="169" t="s">
        <v>259</v>
      </c>
      <c r="AS154" s="169" t="s">
        <v>259</v>
      </c>
      <c r="AT154" s="169" t="s">
        <v>259</v>
      </c>
      <c r="AU154" s="169" t="s">
        <v>259</v>
      </c>
      <c r="AV154" s="169" t="s">
        <v>259</v>
      </c>
      <c r="AW154" s="169" t="s">
        <v>259</v>
      </c>
      <c r="AX154" s="169" t="s">
        <v>259</v>
      </c>
      <c r="AY154" s="169" t="s">
        <v>259</v>
      </c>
      <c r="AZ154" s="169" t="s">
        <v>259</v>
      </c>
      <c r="BA154" s="169" t="s">
        <v>259</v>
      </c>
      <c r="BB154" s="169" t="s">
        <v>259</v>
      </c>
      <c r="BC154" s="169" t="s">
        <v>259</v>
      </c>
      <c r="BD154" s="169" t="s">
        <v>259</v>
      </c>
      <c r="BE154" s="169" t="s">
        <v>259</v>
      </c>
      <c r="BF154" s="169" t="s">
        <v>259</v>
      </c>
      <c r="BG154" s="169" t="s">
        <v>259</v>
      </c>
      <c r="BH154" s="169" t="s">
        <v>259</v>
      </c>
      <c r="BI154" s="169" t="s">
        <v>259</v>
      </c>
      <c r="BJ154" s="169" t="s">
        <v>259</v>
      </c>
      <c r="BK154" s="169" t="s">
        <v>259</v>
      </c>
      <c r="BL154" s="169" t="s">
        <v>259</v>
      </c>
      <c r="BM154" s="169" t="s">
        <v>259</v>
      </c>
      <c r="BN154" s="169" t="s">
        <v>259</v>
      </c>
      <c r="BO154" s="169" t="s">
        <v>259</v>
      </c>
      <c r="BP154" s="169" t="s">
        <v>259</v>
      </c>
      <c r="BQ154" s="169" t="s">
        <v>259</v>
      </c>
      <c r="BR154" s="169" t="s">
        <v>259</v>
      </c>
      <c r="BS154" s="169" t="s">
        <v>259</v>
      </c>
      <c r="BT154" s="169" t="s">
        <v>259</v>
      </c>
      <c r="BU154" s="169" t="s">
        <v>259</v>
      </c>
      <c r="BV154" s="169" t="s">
        <v>259</v>
      </c>
      <c r="BW154" s="169" t="s">
        <v>259</v>
      </c>
      <c r="BX154" s="169" t="s">
        <v>259</v>
      </c>
      <c r="BY154" s="169" t="s">
        <v>259</v>
      </c>
      <c r="BZ154" s="169" t="s">
        <v>259</v>
      </c>
      <c r="CA154" s="169" t="s">
        <v>259</v>
      </c>
      <c r="CB154" s="169" t="s">
        <v>259</v>
      </c>
      <c r="CC154" s="169" t="s">
        <v>259</v>
      </c>
      <c r="CD154" s="169" t="s">
        <v>259</v>
      </c>
      <c r="CE154" s="169" t="s">
        <v>259</v>
      </c>
      <c r="CF154" s="169" t="s">
        <v>259</v>
      </c>
      <c r="CG154" s="169" t="s">
        <v>259</v>
      </c>
      <c r="CH154" s="169" t="s">
        <v>259</v>
      </c>
      <c r="CI154" s="169" t="s">
        <v>259</v>
      </c>
      <c r="CJ154" s="169" t="s">
        <v>259</v>
      </c>
      <c r="CK154" s="169" t="s">
        <v>259</v>
      </c>
      <c r="CL154" s="169" t="s">
        <v>259</v>
      </c>
      <c r="CM154" s="169" t="s">
        <v>259</v>
      </c>
      <c r="CN154" s="169" t="s">
        <v>259</v>
      </c>
      <c r="CO154" s="169" t="s">
        <v>259</v>
      </c>
      <c r="CP154" s="169" t="s">
        <v>259</v>
      </c>
      <c r="CQ154" s="169" t="s">
        <v>259</v>
      </c>
      <c r="CR154" s="169" t="s">
        <v>259</v>
      </c>
      <c r="CS154" s="169" t="s">
        <v>259</v>
      </c>
      <c r="CT154" s="169" t="s">
        <v>259</v>
      </c>
      <c r="CU154" s="169" t="s">
        <v>259</v>
      </c>
      <c r="CV154" s="169" t="s">
        <v>259</v>
      </c>
      <c r="CW154" s="169" t="s">
        <v>259</v>
      </c>
      <c r="CX154" s="169" t="s">
        <v>259</v>
      </c>
      <c r="CY154" s="169" t="s">
        <v>259</v>
      </c>
      <c r="CZ154" s="169" t="s">
        <v>259</v>
      </c>
      <c r="DA154" s="169" t="s">
        <v>259</v>
      </c>
      <c r="DB154" s="169" t="s">
        <v>259</v>
      </c>
      <c r="DC154" s="169" t="s">
        <v>259</v>
      </c>
      <c r="DD154" s="169" t="s">
        <v>259</v>
      </c>
      <c r="DE154" s="169" t="s">
        <v>259</v>
      </c>
      <c r="DF154" s="169" t="s">
        <v>259</v>
      </c>
      <c r="DG154" s="169" t="s">
        <v>259</v>
      </c>
      <c r="DH154" s="169" t="s">
        <v>259</v>
      </c>
      <c r="DI154" s="169" t="s">
        <v>259</v>
      </c>
      <c r="DJ154" s="169" t="s">
        <v>259</v>
      </c>
      <c r="DK154" s="169" t="s">
        <v>259</v>
      </c>
      <c r="DL154" s="169" t="s">
        <v>259</v>
      </c>
      <c r="DM154" s="169" t="s">
        <v>259</v>
      </c>
      <c r="DN154" s="169" t="s">
        <v>259</v>
      </c>
      <c r="DO154" s="169" t="s">
        <v>259</v>
      </c>
      <c r="DP154" s="169" t="s">
        <v>259</v>
      </c>
      <c r="DQ154" s="169" t="s">
        <v>259</v>
      </c>
      <c r="DR154" s="169" t="s">
        <v>259</v>
      </c>
      <c r="DS154" s="169" t="s">
        <v>259</v>
      </c>
      <c r="DT154" s="169" t="s">
        <v>259</v>
      </c>
    </row>
    <row r="155" spans="2:124" x14ac:dyDescent="0.3">
      <c r="B155" t="str">
        <f>'IMPORT SCHLIESSERDATEN'!B154</f>
        <v>BTS 80 EMB EN 6 + SR</v>
      </c>
      <c r="D155" s="169" t="s">
        <v>259</v>
      </c>
      <c r="E155" s="169" t="s">
        <v>259</v>
      </c>
      <c r="F155" s="169" t="s">
        <v>259</v>
      </c>
      <c r="G155" s="169" t="s">
        <v>259</v>
      </c>
      <c r="H155" s="169" t="s">
        <v>259</v>
      </c>
      <c r="I155" s="169" t="s">
        <v>259</v>
      </c>
      <c r="J155" s="169" t="s">
        <v>259</v>
      </c>
      <c r="K155" s="169" t="s">
        <v>259</v>
      </c>
      <c r="L155" s="169" t="s">
        <v>259</v>
      </c>
      <c r="M155" s="169" t="s">
        <v>259</v>
      </c>
      <c r="N155" s="169" t="s">
        <v>259</v>
      </c>
      <c r="O155" s="169" t="s">
        <v>259</v>
      </c>
      <c r="P155" s="169" t="s">
        <v>259</v>
      </c>
      <c r="Q155" s="169" t="s">
        <v>259</v>
      </c>
      <c r="R155" s="169" t="s">
        <v>259</v>
      </c>
      <c r="S155" s="169" t="s">
        <v>259</v>
      </c>
      <c r="T155" s="169" t="s">
        <v>259</v>
      </c>
      <c r="U155" s="169" t="s">
        <v>259</v>
      </c>
      <c r="V155" s="169" t="s">
        <v>259</v>
      </c>
      <c r="W155" s="169" t="s">
        <v>259</v>
      </c>
      <c r="X155" s="169" t="s">
        <v>259</v>
      </c>
      <c r="Y155" s="169" t="s">
        <v>259</v>
      </c>
      <c r="Z155" s="169" t="s">
        <v>259</v>
      </c>
      <c r="AA155" s="169" t="s">
        <v>259</v>
      </c>
      <c r="AB155" s="169" t="s">
        <v>259</v>
      </c>
      <c r="AC155" s="169" t="s">
        <v>259</v>
      </c>
      <c r="AD155" s="169" t="s">
        <v>259</v>
      </c>
      <c r="AE155" s="169" t="s">
        <v>259</v>
      </c>
      <c r="AF155" s="169" t="s">
        <v>259</v>
      </c>
      <c r="AG155" s="169" t="s">
        <v>259</v>
      </c>
      <c r="AH155" s="169" t="s">
        <v>259</v>
      </c>
      <c r="AI155" s="169" t="s">
        <v>259</v>
      </c>
      <c r="AJ155" s="169" t="s">
        <v>259</v>
      </c>
      <c r="AK155" s="169" t="s">
        <v>259</v>
      </c>
      <c r="AL155" s="169" t="s">
        <v>259</v>
      </c>
      <c r="AM155" s="169" t="s">
        <v>259</v>
      </c>
      <c r="AN155" s="169" t="s">
        <v>259</v>
      </c>
      <c r="AO155" s="169" t="s">
        <v>259</v>
      </c>
      <c r="AP155" s="169" t="s">
        <v>259</v>
      </c>
      <c r="AQ155" s="169" t="s">
        <v>259</v>
      </c>
      <c r="AR155" s="169" t="s">
        <v>259</v>
      </c>
      <c r="AS155" s="169" t="s">
        <v>259</v>
      </c>
      <c r="AT155" s="169" t="s">
        <v>259</v>
      </c>
      <c r="AU155" s="169" t="s">
        <v>259</v>
      </c>
      <c r="AV155" s="169" t="s">
        <v>259</v>
      </c>
      <c r="AW155" s="169" t="s">
        <v>259</v>
      </c>
      <c r="AX155" s="169" t="s">
        <v>259</v>
      </c>
      <c r="AY155" s="169" t="s">
        <v>259</v>
      </c>
      <c r="AZ155" s="169" t="s">
        <v>259</v>
      </c>
      <c r="BA155" s="169" t="s">
        <v>259</v>
      </c>
      <c r="BB155" s="169" t="s">
        <v>259</v>
      </c>
      <c r="BC155" s="169" t="s">
        <v>259</v>
      </c>
      <c r="BD155" s="169" t="s">
        <v>259</v>
      </c>
      <c r="BE155" s="169" t="s">
        <v>259</v>
      </c>
      <c r="BF155" s="169" t="s">
        <v>259</v>
      </c>
      <c r="BG155" s="169" t="s">
        <v>259</v>
      </c>
      <c r="BH155" s="169" t="s">
        <v>259</v>
      </c>
      <c r="BI155" s="169" t="s">
        <v>259</v>
      </c>
      <c r="BJ155" s="169" t="s">
        <v>259</v>
      </c>
      <c r="BK155" s="169" t="s">
        <v>259</v>
      </c>
      <c r="BL155" s="169" t="s">
        <v>259</v>
      </c>
      <c r="BM155" s="169" t="s">
        <v>259</v>
      </c>
      <c r="BN155" s="169" t="s">
        <v>259</v>
      </c>
      <c r="BO155" s="169" t="s">
        <v>259</v>
      </c>
      <c r="BP155" s="169" t="s">
        <v>259</v>
      </c>
      <c r="BQ155" s="169" t="s">
        <v>259</v>
      </c>
      <c r="BR155" s="169" t="s">
        <v>259</v>
      </c>
      <c r="BS155" s="169" t="s">
        <v>259</v>
      </c>
      <c r="BT155" s="169" t="s">
        <v>259</v>
      </c>
      <c r="BU155" s="169" t="s">
        <v>259</v>
      </c>
      <c r="BV155" s="169" t="s">
        <v>259</v>
      </c>
      <c r="BW155" s="169" t="s">
        <v>259</v>
      </c>
      <c r="BX155" s="169" t="s">
        <v>259</v>
      </c>
      <c r="BY155" s="169" t="s">
        <v>259</v>
      </c>
      <c r="BZ155" s="169" t="s">
        <v>259</v>
      </c>
      <c r="CA155" s="169" t="s">
        <v>259</v>
      </c>
      <c r="CB155" s="169" t="s">
        <v>259</v>
      </c>
      <c r="CC155" s="169" t="s">
        <v>259</v>
      </c>
      <c r="CD155" s="169" t="s">
        <v>259</v>
      </c>
      <c r="CE155" s="169" t="s">
        <v>259</v>
      </c>
      <c r="CF155" s="169" t="s">
        <v>259</v>
      </c>
      <c r="CG155" s="169" t="s">
        <v>259</v>
      </c>
      <c r="CH155" s="169" t="s">
        <v>259</v>
      </c>
      <c r="CI155" s="169" t="s">
        <v>259</v>
      </c>
      <c r="CJ155" s="169" t="s">
        <v>259</v>
      </c>
      <c r="CK155" s="169" t="s">
        <v>259</v>
      </c>
      <c r="CL155" s="169" t="s">
        <v>259</v>
      </c>
      <c r="CM155" s="169" t="s">
        <v>259</v>
      </c>
      <c r="CN155" s="169" t="s">
        <v>259</v>
      </c>
      <c r="CO155" s="169" t="s">
        <v>259</v>
      </c>
      <c r="CP155" s="169" t="s">
        <v>259</v>
      </c>
      <c r="CQ155" s="169" t="s">
        <v>259</v>
      </c>
      <c r="CR155" s="169" t="s">
        <v>259</v>
      </c>
      <c r="CS155" s="169" t="s">
        <v>259</v>
      </c>
      <c r="CT155" s="169" t="s">
        <v>259</v>
      </c>
      <c r="CU155" s="169" t="s">
        <v>259</v>
      </c>
      <c r="CV155" s="169" t="s">
        <v>259</v>
      </c>
      <c r="CW155" s="169" t="s">
        <v>259</v>
      </c>
      <c r="CX155" s="169" t="s">
        <v>259</v>
      </c>
      <c r="CY155" s="169" t="s">
        <v>259</v>
      </c>
      <c r="CZ155" s="169" t="s">
        <v>259</v>
      </c>
      <c r="DA155" s="169" t="s">
        <v>259</v>
      </c>
      <c r="DB155" s="169" t="s">
        <v>259</v>
      </c>
      <c r="DC155" s="169" t="s">
        <v>259</v>
      </c>
      <c r="DD155" s="169" t="s">
        <v>259</v>
      </c>
      <c r="DE155" s="169" t="s">
        <v>259</v>
      </c>
      <c r="DF155" s="169" t="s">
        <v>259</v>
      </c>
      <c r="DG155" s="169" t="s">
        <v>259</v>
      </c>
      <c r="DH155" s="169" t="s">
        <v>259</v>
      </c>
      <c r="DI155" s="169" t="s">
        <v>259</v>
      </c>
      <c r="DJ155" s="169" t="s">
        <v>259</v>
      </c>
      <c r="DK155" s="169" t="s">
        <v>259</v>
      </c>
      <c r="DL155" s="169" t="s">
        <v>259</v>
      </c>
      <c r="DM155" s="169" t="s">
        <v>259</v>
      </c>
      <c r="DN155" s="169" t="s">
        <v>259</v>
      </c>
      <c r="DO155" s="169" t="s">
        <v>259</v>
      </c>
      <c r="DP155" s="169" t="s">
        <v>259</v>
      </c>
      <c r="DQ155" s="169" t="s">
        <v>259</v>
      </c>
      <c r="DR155" s="169" t="s">
        <v>259</v>
      </c>
      <c r="DS155" s="169" t="s">
        <v>259</v>
      </c>
      <c r="DT155" s="169" t="s">
        <v>259</v>
      </c>
    </row>
    <row r="156" spans="2:124" x14ac:dyDescent="0.3">
      <c r="B156" t="str">
        <f>'IMPORT SCHLIESSERDATEN'!B155</f>
        <v>BTS 80 FLB EN 4</v>
      </c>
      <c r="D156" s="169" t="s">
        <v>259</v>
      </c>
      <c r="E156" s="169" t="s">
        <v>259</v>
      </c>
      <c r="F156" s="169" t="s">
        <v>259</v>
      </c>
      <c r="G156" s="169" t="s">
        <v>259</v>
      </c>
      <c r="H156" s="169" t="s">
        <v>259</v>
      </c>
      <c r="I156" s="169" t="s">
        <v>259</v>
      </c>
      <c r="J156" s="169" t="s">
        <v>259</v>
      </c>
      <c r="K156" s="169" t="s">
        <v>259</v>
      </c>
      <c r="L156" s="169" t="s">
        <v>259</v>
      </c>
      <c r="M156" s="169" t="s">
        <v>259</v>
      </c>
      <c r="N156" s="169" t="s">
        <v>259</v>
      </c>
      <c r="O156" s="169" t="s">
        <v>259</v>
      </c>
      <c r="P156" s="169" t="s">
        <v>259</v>
      </c>
      <c r="Q156" s="169" t="s">
        <v>259</v>
      </c>
      <c r="R156" s="169" t="s">
        <v>259</v>
      </c>
      <c r="S156" s="169" t="s">
        <v>259</v>
      </c>
      <c r="T156" s="169" t="s">
        <v>259</v>
      </c>
      <c r="U156" s="169" t="s">
        <v>259</v>
      </c>
      <c r="V156" s="169" t="s">
        <v>259</v>
      </c>
      <c r="W156" s="169" t="s">
        <v>259</v>
      </c>
      <c r="X156" s="169" t="s">
        <v>259</v>
      </c>
      <c r="Y156" s="169" t="s">
        <v>259</v>
      </c>
      <c r="Z156" s="169" t="s">
        <v>259</v>
      </c>
      <c r="AA156" s="169" t="s">
        <v>259</v>
      </c>
      <c r="AB156" s="169" t="s">
        <v>259</v>
      </c>
      <c r="AC156" s="169" t="s">
        <v>259</v>
      </c>
      <c r="AD156" s="169" t="s">
        <v>259</v>
      </c>
      <c r="AE156" s="169" t="s">
        <v>259</v>
      </c>
      <c r="AF156" s="169" t="s">
        <v>259</v>
      </c>
      <c r="AG156" s="169" t="s">
        <v>259</v>
      </c>
      <c r="AH156" s="169" t="s">
        <v>259</v>
      </c>
      <c r="AI156" s="169" t="s">
        <v>259</v>
      </c>
      <c r="AJ156" s="169" t="s">
        <v>259</v>
      </c>
      <c r="AK156" s="169" t="s">
        <v>259</v>
      </c>
      <c r="AL156" s="169" t="s">
        <v>259</v>
      </c>
      <c r="AM156" s="169" t="s">
        <v>259</v>
      </c>
      <c r="AN156" s="169" t="s">
        <v>259</v>
      </c>
      <c r="AO156" s="169" t="s">
        <v>259</v>
      </c>
      <c r="AP156" s="169" t="s">
        <v>259</v>
      </c>
      <c r="AQ156" s="169" t="s">
        <v>259</v>
      </c>
      <c r="AR156" s="169" t="s">
        <v>259</v>
      </c>
      <c r="AS156" s="169" t="s">
        <v>259</v>
      </c>
      <c r="AT156" s="169" t="s">
        <v>259</v>
      </c>
      <c r="AU156" s="169" t="s">
        <v>259</v>
      </c>
      <c r="AV156" s="169" t="s">
        <v>259</v>
      </c>
      <c r="AW156" s="169" t="s">
        <v>259</v>
      </c>
      <c r="AX156" s="169" t="s">
        <v>259</v>
      </c>
      <c r="AY156" s="169" t="s">
        <v>259</v>
      </c>
      <c r="AZ156" s="169" t="s">
        <v>259</v>
      </c>
      <c r="BA156" s="169" t="s">
        <v>259</v>
      </c>
      <c r="BB156" s="169" t="s">
        <v>259</v>
      </c>
      <c r="BC156" s="169" t="s">
        <v>259</v>
      </c>
      <c r="BD156" s="169" t="s">
        <v>259</v>
      </c>
      <c r="BE156" s="169" t="s">
        <v>259</v>
      </c>
      <c r="BF156" s="169" t="s">
        <v>259</v>
      </c>
      <c r="BG156" s="169" t="s">
        <v>259</v>
      </c>
      <c r="BH156" s="169" t="s">
        <v>259</v>
      </c>
      <c r="BI156" s="169" t="s">
        <v>259</v>
      </c>
      <c r="BJ156" s="169" t="s">
        <v>259</v>
      </c>
      <c r="BK156" s="169" t="s">
        <v>259</v>
      </c>
      <c r="BL156" s="169" t="s">
        <v>259</v>
      </c>
      <c r="BM156" s="169" t="s">
        <v>259</v>
      </c>
      <c r="BN156" s="169" t="s">
        <v>259</v>
      </c>
      <c r="BO156" s="169" t="s">
        <v>259</v>
      </c>
      <c r="BP156" s="169" t="s">
        <v>259</v>
      </c>
      <c r="BQ156" s="169" t="s">
        <v>259</v>
      </c>
      <c r="BR156" s="169" t="s">
        <v>259</v>
      </c>
      <c r="BS156" s="169" t="s">
        <v>259</v>
      </c>
      <c r="BT156" s="169" t="s">
        <v>259</v>
      </c>
      <c r="BU156" s="169" t="s">
        <v>259</v>
      </c>
      <c r="BV156" s="169" t="s">
        <v>259</v>
      </c>
      <c r="BW156" s="169" t="s">
        <v>259</v>
      </c>
      <c r="BX156" s="169" t="s">
        <v>259</v>
      </c>
      <c r="BY156" s="169" t="s">
        <v>259</v>
      </c>
      <c r="BZ156" s="169" t="s">
        <v>259</v>
      </c>
      <c r="CA156" s="169" t="s">
        <v>259</v>
      </c>
      <c r="CB156" s="169" t="s">
        <v>259</v>
      </c>
      <c r="CC156" s="169" t="s">
        <v>259</v>
      </c>
      <c r="CD156" s="169" t="s">
        <v>259</v>
      </c>
      <c r="CE156" s="169" t="s">
        <v>259</v>
      </c>
      <c r="CF156" s="169" t="s">
        <v>259</v>
      </c>
      <c r="CG156" s="169" t="s">
        <v>259</v>
      </c>
      <c r="CH156" s="169" t="s">
        <v>259</v>
      </c>
      <c r="CI156" s="169" t="s">
        <v>259</v>
      </c>
      <c r="CJ156" s="169" t="s">
        <v>259</v>
      </c>
      <c r="CK156" s="169" t="s">
        <v>259</v>
      </c>
      <c r="CL156" s="169" t="s">
        <v>259</v>
      </c>
      <c r="CM156" s="169" t="s">
        <v>259</v>
      </c>
      <c r="CN156" s="169" t="s">
        <v>259</v>
      </c>
      <c r="CO156" s="169" t="s">
        <v>259</v>
      </c>
      <c r="CP156" s="169" t="s">
        <v>259</v>
      </c>
      <c r="CQ156" s="169" t="s">
        <v>259</v>
      </c>
      <c r="CR156" s="169" t="s">
        <v>259</v>
      </c>
      <c r="CS156" s="169" t="s">
        <v>259</v>
      </c>
      <c r="CT156" s="169" t="s">
        <v>259</v>
      </c>
      <c r="CU156" s="169" t="s">
        <v>259</v>
      </c>
      <c r="CV156" s="169" t="s">
        <v>259</v>
      </c>
      <c r="CW156" s="169" t="s">
        <v>259</v>
      </c>
      <c r="CX156" s="169" t="s">
        <v>259</v>
      </c>
      <c r="CY156" s="169" t="s">
        <v>259</v>
      </c>
      <c r="CZ156" s="169" t="s">
        <v>259</v>
      </c>
      <c r="DA156" s="169" t="s">
        <v>259</v>
      </c>
      <c r="DB156" s="169" t="s">
        <v>259</v>
      </c>
      <c r="DC156" s="169" t="s">
        <v>259</v>
      </c>
      <c r="DD156" s="169" t="s">
        <v>259</v>
      </c>
      <c r="DE156" s="169" t="s">
        <v>259</v>
      </c>
      <c r="DF156" s="169" t="s">
        <v>259</v>
      </c>
      <c r="DG156" s="169" t="s">
        <v>259</v>
      </c>
      <c r="DH156" s="169" t="s">
        <v>259</v>
      </c>
      <c r="DI156" s="169" t="s">
        <v>259</v>
      </c>
      <c r="DJ156" s="169" t="s">
        <v>259</v>
      </c>
      <c r="DK156" s="169" t="s">
        <v>259</v>
      </c>
      <c r="DL156" s="169" t="s">
        <v>259</v>
      </c>
      <c r="DM156" s="169" t="s">
        <v>259</v>
      </c>
      <c r="DN156" s="169" t="s">
        <v>259</v>
      </c>
      <c r="DO156" s="169" t="s">
        <v>259</v>
      </c>
      <c r="DP156" s="169" t="s">
        <v>259</v>
      </c>
      <c r="DQ156" s="169" t="s">
        <v>259</v>
      </c>
      <c r="DR156" s="169" t="s">
        <v>259</v>
      </c>
      <c r="DS156" s="169" t="s">
        <v>259</v>
      </c>
      <c r="DT156" s="169" t="s">
        <v>259</v>
      </c>
    </row>
    <row r="157" spans="2:124" x14ac:dyDescent="0.3">
      <c r="B157" t="str">
        <f>'IMPORT SCHLIESSERDATEN'!B156</f>
        <v>BTS 80 FLB EN 5</v>
      </c>
      <c r="D157" s="169" t="s">
        <v>259</v>
      </c>
      <c r="E157" s="169" t="s">
        <v>259</v>
      </c>
      <c r="F157" s="169" t="s">
        <v>259</v>
      </c>
      <c r="G157" s="169" t="s">
        <v>259</v>
      </c>
      <c r="H157" s="169" t="s">
        <v>259</v>
      </c>
      <c r="I157" s="169" t="s">
        <v>259</v>
      </c>
      <c r="J157" s="169" t="s">
        <v>259</v>
      </c>
      <c r="K157" s="169" t="s">
        <v>259</v>
      </c>
      <c r="L157" s="169" t="s">
        <v>259</v>
      </c>
      <c r="M157" s="169" t="s">
        <v>259</v>
      </c>
      <c r="N157" s="169" t="s">
        <v>259</v>
      </c>
      <c r="O157" s="169" t="s">
        <v>259</v>
      </c>
      <c r="P157" s="169" t="s">
        <v>259</v>
      </c>
      <c r="Q157" s="169" t="s">
        <v>259</v>
      </c>
      <c r="R157" s="169" t="s">
        <v>259</v>
      </c>
      <c r="S157" s="169" t="s">
        <v>259</v>
      </c>
      <c r="T157" s="169" t="s">
        <v>259</v>
      </c>
      <c r="U157" s="169" t="s">
        <v>259</v>
      </c>
      <c r="V157" s="169" t="s">
        <v>259</v>
      </c>
      <c r="W157" s="169" t="s">
        <v>259</v>
      </c>
      <c r="X157" s="169" t="s">
        <v>259</v>
      </c>
      <c r="Y157" s="169" t="s">
        <v>259</v>
      </c>
      <c r="Z157" s="169" t="s">
        <v>259</v>
      </c>
      <c r="AA157" s="169" t="s">
        <v>259</v>
      </c>
      <c r="AB157" s="169" t="s">
        <v>259</v>
      </c>
      <c r="AC157" s="169" t="s">
        <v>259</v>
      </c>
      <c r="AD157" s="169" t="s">
        <v>259</v>
      </c>
      <c r="AE157" s="169" t="s">
        <v>259</v>
      </c>
      <c r="AF157" s="169" t="s">
        <v>259</v>
      </c>
      <c r="AG157" s="169" t="s">
        <v>259</v>
      </c>
      <c r="AH157" s="169" t="s">
        <v>259</v>
      </c>
      <c r="AI157" s="169" t="s">
        <v>259</v>
      </c>
      <c r="AJ157" s="169" t="s">
        <v>259</v>
      </c>
      <c r="AK157" s="169" t="s">
        <v>259</v>
      </c>
      <c r="AL157" s="169" t="s">
        <v>259</v>
      </c>
      <c r="AM157" s="169" t="s">
        <v>259</v>
      </c>
      <c r="AN157" s="169" t="s">
        <v>259</v>
      </c>
      <c r="AO157" s="169" t="s">
        <v>259</v>
      </c>
      <c r="AP157" s="169" t="s">
        <v>259</v>
      </c>
      <c r="AQ157" s="169" t="s">
        <v>259</v>
      </c>
      <c r="AR157" s="169" t="s">
        <v>259</v>
      </c>
      <c r="AS157" s="169" t="s">
        <v>259</v>
      </c>
      <c r="AT157" s="169" t="s">
        <v>259</v>
      </c>
      <c r="AU157" s="169" t="s">
        <v>259</v>
      </c>
      <c r="AV157" s="169" t="s">
        <v>259</v>
      </c>
      <c r="AW157" s="169" t="s">
        <v>259</v>
      </c>
      <c r="AX157" s="169" t="s">
        <v>259</v>
      </c>
      <c r="AY157" s="169" t="s">
        <v>259</v>
      </c>
      <c r="AZ157" s="169" t="s">
        <v>259</v>
      </c>
      <c r="BA157" s="169" t="s">
        <v>259</v>
      </c>
      <c r="BB157" s="169" t="s">
        <v>259</v>
      </c>
      <c r="BC157" s="169" t="s">
        <v>259</v>
      </c>
      <c r="BD157" s="169" t="s">
        <v>259</v>
      </c>
      <c r="BE157" s="169" t="s">
        <v>259</v>
      </c>
      <c r="BF157" s="169" t="s">
        <v>259</v>
      </c>
      <c r="BG157" s="169" t="s">
        <v>259</v>
      </c>
      <c r="BH157" s="169" t="s">
        <v>259</v>
      </c>
      <c r="BI157" s="169" t="s">
        <v>259</v>
      </c>
      <c r="BJ157" s="169" t="s">
        <v>259</v>
      </c>
      <c r="BK157" s="169" t="s">
        <v>259</v>
      </c>
      <c r="BL157" s="169" t="s">
        <v>259</v>
      </c>
      <c r="BM157" s="169" t="s">
        <v>259</v>
      </c>
      <c r="BN157" s="169" t="s">
        <v>259</v>
      </c>
      <c r="BO157" s="169" t="s">
        <v>259</v>
      </c>
      <c r="BP157" s="169" t="s">
        <v>259</v>
      </c>
      <c r="BQ157" s="169" t="s">
        <v>259</v>
      </c>
      <c r="BR157" s="169" t="s">
        <v>259</v>
      </c>
      <c r="BS157" s="169" t="s">
        <v>259</v>
      </c>
      <c r="BT157" s="169" t="s">
        <v>259</v>
      </c>
      <c r="BU157" s="169" t="s">
        <v>259</v>
      </c>
      <c r="BV157" s="169" t="s">
        <v>259</v>
      </c>
      <c r="BW157" s="169" t="s">
        <v>259</v>
      </c>
      <c r="BX157" s="169" t="s">
        <v>259</v>
      </c>
      <c r="BY157" s="169" t="s">
        <v>259</v>
      </c>
      <c r="BZ157" s="169" t="s">
        <v>259</v>
      </c>
      <c r="CA157" s="169" t="s">
        <v>259</v>
      </c>
      <c r="CB157" s="169" t="s">
        <v>259</v>
      </c>
      <c r="CC157" s="169" t="s">
        <v>259</v>
      </c>
      <c r="CD157" s="169" t="s">
        <v>259</v>
      </c>
      <c r="CE157" s="169" t="s">
        <v>259</v>
      </c>
      <c r="CF157" s="169" t="s">
        <v>259</v>
      </c>
      <c r="CG157" s="169" t="s">
        <v>259</v>
      </c>
      <c r="CH157" s="169" t="s">
        <v>259</v>
      </c>
      <c r="CI157" s="169" t="s">
        <v>259</v>
      </c>
      <c r="CJ157" s="169" t="s">
        <v>259</v>
      </c>
      <c r="CK157" s="169" t="s">
        <v>259</v>
      </c>
      <c r="CL157" s="169" t="s">
        <v>259</v>
      </c>
      <c r="CM157" s="169" t="s">
        <v>259</v>
      </c>
      <c r="CN157" s="169" t="s">
        <v>259</v>
      </c>
      <c r="CO157" s="169" t="s">
        <v>259</v>
      </c>
      <c r="CP157" s="169" t="s">
        <v>259</v>
      </c>
      <c r="CQ157" s="169" t="s">
        <v>259</v>
      </c>
      <c r="CR157" s="169" t="s">
        <v>259</v>
      </c>
      <c r="CS157" s="169" t="s">
        <v>259</v>
      </c>
      <c r="CT157" s="169" t="s">
        <v>259</v>
      </c>
      <c r="CU157" s="169" t="s">
        <v>259</v>
      </c>
      <c r="CV157" s="169" t="s">
        <v>259</v>
      </c>
      <c r="CW157" s="169" t="s">
        <v>259</v>
      </c>
      <c r="CX157" s="169" t="s">
        <v>259</v>
      </c>
      <c r="CY157" s="169" t="s">
        <v>259</v>
      </c>
      <c r="CZ157" s="169" t="s">
        <v>259</v>
      </c>
      <c r="DA157" s="169" t="s">
        <v>259</v>
      </c>
      <c r="DB157" s="169" t="s">
        <v>259</v>
      </c>
      <c r="DC157" s="169" t="s">
        <v>259</v>
      </c>
      <c r="DD157" s="169" t="s">
        <v>259</v>
      </c>
      <c r="DE157" s="169" t="s">
        <v>259</v>
      </c>
      <c r="DF157" s="169" t="s">
        <v>259</v>
      </c>
      <c r="DG157" s="169" t="s">
        <v>259</v>
      </c>
      <c r="DH157" s="169" t="s">
        <v>259</v>
      </c>
      <c r="DI157" s="169" t="s">
        <v>259</v>
      </c>
      <c r="DJ157" s="169" t="s">
        <v>259</v>
      </c>
      <c r="DK157" s="169" t="s">
        <v>259</v>
      </c>
      <c r="DL157" s="169" t="s">
        <v>259</v>
      </c>
      <c r="DM157" s="169" t="s">
        <v>259</v>
      </c>
      <c r="DN157" s="169" t="s">
        <v>259</v>
      </c>
      <c r="DO157" s="169" t="s">
        <v>259</v>
      </c>
      <c r="DP157" s="169" t="s">
        <v>259</v>
      </c>
      <c r="DQ157" s="169" t="s">
        <v>259</v>
      </c>
      <c r="DR157" s="169" t="s">
        <v>259</v>
      </c>
      <c r="DS157" s="169" t="s">
        <v>259</v>
      </c>
      <c r="DT157" s="169" t="s">
        <v>259</v>
      </c>
    </row>
    <row r="158" spans="2:124" x14ac:dyDescent="0.3">
      <c r="B158" t="str">
        <f>'IMPORT SCHLIESSERDATEN'!B157</f>
        <v>BTS 80 FLB EN 6</v>
      </c>
      <c r="D158" s="169" t="s">
        <v>259</v>
      </c>
      <c r="E158" s="169" t="s">
        <v>259</v>
      </c>
      <c r="F158" s="169" t="s">
        <v>259</v>
      </c>
      <c r="G158" s="169" t="s">
        <v>259</v>
      </c>
      <c r="H158" s="169" t="s">
        <v>259</v>
      </c>
      <c r="I158" s="169" t="s">
        <v>259</v>
      </c>
      <c r="J158" s="169" t="s">
        <v>259</v>
      </c>
      <c r="K158" s="169" t="s">
        <v>259</v>
      </c>
      <c r="L158" s="169" t="s">
        <v>259</v>
      </c>
      <c r="M158" s="169" t="s">
        <v>259</v>
      </c>
      <c r="N158" s="169" t="s">
        <v>259</v>
      </c>
      <c r="O158" s="169" t="s">
        <v>259</v>
      </c>
      <c r="P158" s="169" t="s">
        <v>259</v>
      </c>
      <c r="Q158" s="169" t="s">
        <v>259</v>
      </c>
      <c r="R158" s="169" t="s">
        <v>259</v>
      </c>
      <c r="S158" s="169" t="s">
        <v>259</v>
      </c>
      <c r="T158" s="169" t="s">
        <v>259</v>
      </c>
      <c r="U158" s="169" t="s">
        <v>259</v>
      </c>
      <c r="V158" s="169" t="s">
        <v>259</v>
      </c>
      <c r="W158" s="169" t="s">
        <v>259</v>
      </c>
      <c r="X158" s="169" t="s">
        <v>259</v>
      </c>
      <c r="Y158" s="169" t="s">
        <v>259</v>
      </c>
      <c r="Z158" s="169" t="s">
        <v>259</v>
      </c>
      <c r="AA158" s="169" t="s">
        <v>259</v>
      </c>
      <c r="AB158" s="169" t="s">
        <v>259</v>
      </c>
      <c r="AC158" s="169" t="s">
        <v>259</v>
      </c>
      <c r="AD158" s="169" t="s">
        <v>259</v>
      </c>
      <c r="AE158" s="169" t="s">
        <v>259</v>
      </c>
      <c r="AF158" s="169" t="s">
        <v>259</v>
      </c>
      <c r="AG158" s="169" t="s">
        <v>259</v>
      </c>
      <c r="AH158" s="169" t="s">
        <v>259</v>
      </c>
      <c r="AI158" s="169" t="s">
        <v>259</v>
      </c>
      <c r="AJ158" s="169" t="s">
        <v>259</v>
      </c>
      <c r="AK158" s="169" t="s">
        <v>259</v>
      </c>
      <c r="AL158" s="169" t="s">
        <v>259</v>
      </c>
      <c r="AM158" s="169" t="s">
        <v>259</v>
      </c>
      <c r="AN158" s="169" t="s">
        <v>259</v>
      </c>
      <c r="AO158" s="169" t="s">
        <v>259</v>
      </c>
      <c r="AP158" s="169" t="s">
        <v>259</v>
      </c>
      <c r="AQ158" s="169" t="s">
        <v>259</v>
      </c>
      <c r="AR158" s="169" t="s">
        <v>259</v>
      </c>
      <c r="AS158" s="169" t="s">
        <v>259</v>
      </c>
      <c r="AT158" s="169" t="s">
        <v>259</v>
      </c>
      <c r="AU158" s="169" t="s">
        <v>259</v>
      </c>
      <c r="AV158" s="169" t="s">
        <v>259</v>
      </c>
      <c r="AW158" s="169" t="s">
        <v>259</v>
      </c>
      <c r="AX158" s="169" t="s">
        <v>259</v>
      </c>
      <c r="AY158" s="169" t="s">
        <v>259</v>
      </c>
      <c r="AZ158" s="169" t="s">
        <v>259</v>
      </c>
      <c r="BA158" s="169" t="s">
        <v>259</v>
      </c>
      <c r="BB158" s="169" t="s">
        <v>259</v>
      </c>
      <c r="BC158" s="169" t="s">
        <v>259</v>
      </c>
      <c r="BD158" s="169" t="s">
        <v>259</v>
      </c>
      <c r="BE158" s="169" t="s">
        <v>259</v>
      </c>
      <c r="BF158" s="169" t="s">
        <v>259</v>
      </c>
      <c r="BG158" s="169" t="s">
        <v>259</v>
      </c>
      <c r="BH158" s="169" t="s">
        <v>259</v>
      </c>
      <c r="BI158" s="169" t="s">
        <v>259</v>
      </c>
      <c r="BJ158" s="169" t="s">
        <v>259</v>
      </c>
      <c r="BK158" s="169" t="s">
        <v>259</v>
      </c>
      <c r="BL158" s="169" t="s">
        <v>259</v>
      </c>
      <c r="BM158" s="169" t="s">
        <v>259</v>
      </c>
      <c r="BN158" s="169" t="s">
        <v>259</v>
      </c>
      <c r="BO158" s="169" t="s">
        <v>259</v>
      </c>
      <c r="BP158" s="169" t="s">
        <v>259</v>
      </c>
      <c r="BQ158" s="169" t="s">
        <v>259</v>
      </c>
      <c r="BR158" s="169" t="s">
        <v>259</v>
      </c>
      <c r="BS158" s="169" t="s">
        <v>259</v>
      </c>
      <c r="BT158" s="169" t="s">
        <v>259</v>
      </c>
      <c r="BU158" s="169" t="s">
        <v>259</v>
      </c>
      <c r="BV158" s="169" t="s">
        <v>259</v>
      </c>
      <c r="BW158" s="169" t="s">
        <v>259</v>
      </c>
      <c r="BX158" s="169" t="s">
        <v>259</v>
      </c>
      <c r="BY158" s="169" t="s">
        <v>259</v>
      </c>
      <c r="BZ158" s="169" t="s">
        <v>259</v>
      </c>
      <c r="CA158" s="169" t="s">
        <v>259</v>
      </c>
      <c r="CB158" s="169" t="s">
        <v>259</v>
      </c>
      <c r="CC158" s="169" t="s">
        <v>259</v>
      </c>
      <c r="CD158" s="169" t="s">
        <v>259</v>
      </c>
      <c r="CE158" s="169" t="s">
        <v>259</v>
      </c>
      <c r="CF158" s="169" t="s">
        <v>259</v>
      </c>
      <c r="CG158" s="169" t="s">
        <v>259</v>
      </c>
      <c r="CH158" s="169" t="s">
        <v>259</v>
      </c>
      <c r="CI158" s="169" t="s">
        <v>259</v>
      </c>
      <c r="CJ158" s="169" t="s">
        <v>259</v>
      </c>
      <c r="CK158" s="169" t="s">
        <v>259</v>
      </c>
      <c r="CL158" s="169" t="s">
        <v>259</v>
      </c>
      <c r="CM158" s="169" t="s">
        <v>259</v>
      </c>
      <c r="CN158" s="169" t="s">
        <v>259</v>
      </c>
      <c r="CO158" s="169" t="s">
        <v>259</v>
      </c>
      <c r="CP158" s="169" t="s">
        <v>259</v>
      </c>
      <c r="CQ158" s="169" t="s">
        <v>259</v>
      </c>
      <c r="CR158" s="169" t="s">
        <v>259</v>
      </c>
      <c r="CS158" s="169" t="s">
        <v>259</v>
      </c>
      <c r="CT158" s="169" t="s">
        <v>259</v>
      </c>
      <c r="CU158" s="169" t="s">
        <v>259</v>
      </c>
      <c r="CV158" s="169" t="s">
        <v>259</v>
      </c>
      <c r="CW158" s="169" t="s">
        <v>259</v>
      </c>
      <c r="CX158" s="169" t="s">
        <v>259</v>
      </c>
      <c r="CY158" s="169" t="s">
        <v>259</v>
      </c>
      <c r="CZ158" s="169" t="s">
        <v>259</v>
      </c>
      <c r="DA158" s="169" t="s">
        <v>259</v>
      </c>
      <c r="DB158" s="169" t="s">
        <v>259</v>
      </c>
      <c r="DC158" s="169" t="s">
        <v>259</v>
      </c>
      <c r="DD158" s="169" t="s">
        <v>259</v>
      </c>
      <c r="DE158" s="169" t="s">
        <v>259</v>
      </c>
      <c r="DF158" s="169" t="s">
        <v>259</v>
      </c>
      <c r="DG158" s="169" t="s">
        <v>259</v>
      </c>
      <c r="DH158" s="169" t="s">
        <v>259</v>
      </c>
      <c r="DI158" s="169" t="s">
        <v>259</v>
      </c>
      <c r="DJ158" s="169" t="s">
        <v>259</v>
      </c>
      <c r="DK158" s="169" t="s">
        <v>259</v>
      </c>
      <c r="DL158" s="169" t="s">
        <v>259</v>
      </c>
      <c r="DM158" s="169" t="s">
        <v>259</v>
      </c>
      <c r="DN158" s="169" t="s">
        <v>259</v>
      </c>
      <c r="DO158" s="169" t="s">
        <v>259</v>
      </c>
      <c r="DP158" s="169" t="s">
        <v>259</v>
      </c>
      <c r="DQ158" s="169" t="s">
        <v>259</v>
      </c>
      <c r="DR158" s="169" t="s">
        <v>259</v>
      </c>
      <c r="DS158" s="169" t="s">
        <v>259</v>
      </c>
      <c r="DT158" s="169" t="s">
        <v>259</v>
      </c>
    </row>
    <row r="159" spans="2:124" x14ac:dyDescent="0.3">
      <c r="B159" t="str">
        <f>'IMPORT SCHLIESSERDATEN'!B158</f>
        <v>BTS 75V EN 1-4 Pendeltür</v>
      </c>
      <c r="D159" s="169" t="s">
        <v>259</v>
      </c>
      <c r="E159" s="169" t="s">
        <v>259</v>
      </c>
      <c r="F159" s="169" t="s">
        <v>259</v>
      </c>
      <c r="G159" s="169" t="s">
        <v>259</v>
      </c>
      <c r="H159" s="169" t="s">
        <v>259</v>
      </c>
      <c r="I159" s="169" t="s">
        <v>259</v>
      </c>
      <c r="J159" s="169" t="s">
        <v>259</v>
      </c>
      <c r="K159" s="169" t="s">
        <v>259</v>
      </c>
      <c r="L159" s="169" t="s">
        <v>259</v>
      </c>
      <c r="M159" s="169" t="s">
        <v>259</v>
      </c>
      <c r="N159" s="169" t="s">
        <v>259</v>
      </c>
      <c r="O159" s="169" t="s">
        <v>259</v>
      </c>
      <c r="P159" s="169" t="s">
        <v>259</v>
      </c>
      <c r="Q159" s="169" t="s">
        <v>259</v>
      </c>
      <c r="R159" s="169" t="s">
        <v>259</v>
      </c>
      <c r="S159" s="169" t="s">
        <v>259</v>
      </c>
      <c r="T159" s="169" t="s">
        <v>259</v>
      </c>
      <c r="U159" s="169" t="s">
        <v>259</v>
      </c>
      <c r="V159" s="169" t="s">
        <v>259</v>
      </c>
      <c r="W159" s="169" t="s">
        <v>259</v>
      </c>
      <c r="X159" s="169" t="s">
        <v>259</v>
      </c>
      <c r="Y159" s="169" t="s">
        <v>259</v>
      </c>
      <c r="Z159" s="169" t="s">
        <v>259</v>
      </c>
      <c r="AA159" s="169" t="s">
        <v>259</v>
      </c>
      <c r="AB159" s="169" t="s">
        <v>259</v>
      </c>
      <c r="AC159" s="169" t="s">
        <v>259</v>
      </c>
      <c r="AD159" s="169" t="s">
        <v>259</v>
      </c>
      <c r="AE159" s="169" t="s">
        <v>259</v>
      </c>
      <c r="AF159" s="169" t="s">
        <v>259</v>
      </c>
      <c r="AG159" s="169" t="s">
        <v>259</v>
      </c>
      <c r="AH159" s="169" t="s">
        <v>259</v>
      </c>
      <c r="AI159" s="169" t="s">
        <v>259</v>
      </c>
      <c r="AJ159" s="169" t="s">
        <v>259</v>
      </c>
      <c r="AK159" s="169" t="s">
        <v>259</v>
      </c>
      <c r="AL159" s="169" t="s">
        <v>259</v>
      </c>
      <c r="AM159" s="169" t="s">
        <v>259</v>
      </c>
      <c r="AN159" s="169" t="s">
        <v>259</v>
      </c>
      <c r="AO159" s="169" t="s">
        <v>259</v>
      </c>
      <c r="AP159" s="169" t="s">
        <v>259</v>
      </c>
      <c r="AQ159" s="169" t="s">
        <v>259</v>
      </c>
      <c r="AR159" s="169" t="s">
        <v>259</v>
      </c>
      <c r="AS159" s="169" t="s">
        <v>259</v>
      </c>
      <c r="AT159" s="169" t="s">
        <v>259</v>
      </c>
      <c r="AU159" s="169" t="s">
        <v>259</v>
      </c>
      <c r="AV159" s="169" t="s">
        <v>259</v>
      </c>
      <c r="AW159" s="169" t="s">
        <v>259</v>
      </c>
      <c r="AX159" s="169" t="s">
        <v>259</v>
      </c>
      <c r="AY159" s="169" t="s">
        <v>259</v>
      </c>
      <c r="AZ159" s="169" t="s">
        <v>259</v>
      </c>
      <c r="BA159" s="169" t="s">
        <v>259</v>
      </c>
      <c r="BB159" s="169" t="s">
        <v>259</v>
      </c>
      <c r="BC159" s="169" t="s">
        <v>259</v>
      </c>
      <c r="BD159" s="169" t="s">
        <v>259</v>
      </c>
      <c r="BE159" s="169" t="s">
        <v>259</v>
      </c>
      <c r="BF159" s="169" t="s">
        <v>259</v>
      </c>
      <c r="BG159" s="169" t="s">
        <v>259</v>
      </c>
      <c r="BH159" s="169" t="s">
        <v>259</v>
      </c>
      <c r="BI159" s="169" t="s">
        <v>259</v>
      </c>
      <c r="BJ159" s="169" t="s">
        <v>259</v>
      </c>
      <c r="BK159" s="169" t="s">
        <v>259</v>
      </c>
      <c r="BL159" s="169" t="s">
        <v>259</v>
      </c>
      <c r="BM159" s="169" t="s">
        <v>259</v>
      </c>
      <c r="BN159" s="169" t="s">
        <v>259</v>
      </c>
      <c r="BO159" s="169" t="s">
        <v>259</v>
      </c>
      <c r="BP159" s="169" t="s">
        <v>259</v>
      </c>
      <c r="BQ159" s="169" t="s">
        <v>259</v>
      </c>
      <c r="BR159" s="169" t="s">
        <v>259</v>
      </c>
      <c r="BS159" s="169" t="s">
        <v>259</v>
      </c>
      <c r="BT159" s="169" t="s">
        <v>259</v>
      </c>
      <c r="BU159" s="169" t="s">
        <v>259</v>
      </c>
      <c r="BV159" s="169" t="s">
        <v>259</v>
      </c>
      <c r="BW159" s="169" t="s">
        <v>259</v>
      </c>
      <c r="BX159" s="169" t="s">
        <v>259</v>
      </c>
      <c r="BY159" s="169" t="s">
        <v>259</v>
      </c>
      <c r="BZ159" s="169" t="s">
        <v>259</v>
      </c>
      <c r="CA159" s="169" t="s">
        <v>259</v>
      </c>
      <c r="CB159" s="169" t="s">
        <v>259</v>
      </c>
      <c r="CC159" s="169" t="s">
        <v>259</v>
      </c>
      <c r="CD159" s="169" t="s">
        <v>259</v>
      </c>
      <c r="CE159" s="169" t="s">
        <v>259</v>
      </c>
      <c r="CF159" s="169" t="s">
        <v>259</v>
      </c>
      <c r="CG159" s="169" t="s">
        <v>259</v>
      </c>
      <c r="CH159" s="169" t="s">
        <v>259</v>
      </c>
      <c r="CI159" s="169" t="s">
        <v>259</v>
      </c>
      <c r="CJ159" s="169" t="s">
        <v>259</v>
      </c>
      <c r="CK159" s="169" t="s">
        <v>259</v>
      </c>
      <c r="CL159" s="169" t="s">
        <v>259</v>
      </c>
      <c r="CM159" s="169" t="s">
        <v>259</v>
      </c>
      <c r="CN159" s="169" t="s">
        <v>259</v>
      </c>
      <c r="CO159" s="169" t="s">
        <v>259</v>
      </c>
      <c r="CP159" s="169" t="s">
        <v>259</v>
      </c>
      <c r="CQ159" s="169" t="s">
        <v>259</v>
      </c>
      <c r="CR159" s="169" t="s">
        <v>259</v>
      </c>
      <c r="CS159" s="169" t="s">
        <v>259</v>
      </c>
      <c r="CT159" s="169" t="s">
        <v>259</v>
      </c>
      <c r="CU159" s="169" t="s">
        <v>259</v>
      </c>
      <c r="CV159" s="169" t="s">
        <v>259</v>
      </c>
      <c r="CW159" s="169" t="s">
        <v>259</v>
      </c>
      <c r="CX159" s="169" t="s">
        <v>259</v>
      </c>
      <c r="CY159" s="169" t="s">
        <v>259</v>
      </c>
      <c r="CZ159" s="169" t="s">
        <v>259</v>
      </c>
      <c r="DA159" s="169" t="s">
        <v>259</v>
      </c>
      <c r="DB159" s="169" t="s">
        <v>259</v>
      </c>
      <c r="DC159" s="169" t="s">
        <v>259</v>
      </c>
      <c r="DD159" s="169" t="s">
        <v>259</v>
      </c>
      <c r="DE159" s="169" t="s">
        <v>259</v>
      </c>
      <c r="DF159" s="169" t="s">
        <v>259</v>
      </c>
      <c r="DG159" s="169" t="s">
        <v>259</v>
      </c>
      <c r="DH159" s="169" t="s">
        <v>259</v>
      </c>
      <c r="DI159" s="169" t="s">
        <v>259</v>
      </c>
      <c r="DJ159" s="169" t="s">
        <v>259</v>
      </c>
      <c r="DK159" s="169" t="s">
        <v>259</v>
      </c>
      <c r="DL159" s="169" t="s">
        <v>259</v>
      </c>
      <c r="DM159" s="169" t="s">
        <v>259</v>
      </c>
      <c r="DN159" s="169" t="s">
        <v>259</v>
      </c>
      <c r="DO159" s="169" t="s">
        <v>259</v>
      </c>
      <c r="DP159" s="169" t="s">
        <v>259</v>
      </c>
      <c r="DQ159" s="169" t="s">
        <v>259</v>
      </c>
      <c r="DR159" s="169" t="s">
        <v>259</v>
      </c>
      <c r="DS159" s="169" t="s">
        <v>259</v>
      </c>
      <c r="DT159" s="169" t="s">
        <v>259</v>
      </c>
    </row>
    <row r="160" spans="2:124" x14ac:dyDescent="0.3">
      <c r="B160" t="str">
        <f>'IMPORT SCHLIESSERDATEN'!B159</f>
        <v>BTS 80 EN 3 Pendeltür</v>
      </c>
      <c r="D160" s="169" t="s">
        <v>259</v>
      </c>
      <c r="E160" s="169" t="s">
        <v>259</v>
      </c>
      <c r="F160" s="169" t="s">
        <v>259</v>
      </c>
      <c r="G160" s="169" t="s">
        <v>259</v>
      </c>
      <c r="H160" s="169" t="s">
        <v>259</v>
      </c>
      <c r="I160" s="169" t="s">
        <v>259</v>
      </c>
      <c r="J160" s="169" t="s">
        <v>259</v>
      </c>
      <c r="K160" s="169" t="s">
        <v>259</v>
      </c>
      <c r="L160" s="169" t="s">
        <v>259</v>
      </c>
      <c r="M160" s="169" t="s">
        <v>259</v>
      </c>
      <c r="N160" s="169" t="s">
        <v>259</v>
      </c>
      <c r="O160" s="169" t="s">
        <v>259</v>
      </c>
      <c r="P160" s="169" t="s">
        <v>259</v>
      </c>
      <c r="Q160" s="169" t="s">
        <v>259</v>
      </c>
      <c r="R160" s="169" t="s">
        <v>259</v>
      </c>
      <c r="S160" s="169" t="s">
        <v>259</v>
      </c>
      <c r="T160" s="169" t="s">
        <v>259</v>
      </c>
      <c r="U160" s="169" t="s">
        <v>259</v>
      </c>
      <c r="V160" s="169" t="s">
        <v>259</v>
      </c>
      <c r="W160" s="169" t="s">
        <v>259</v>
      </c>
      <c r="X160" s="169" t="s">
        <v>259</v>
      </c>
      <c r="Y160" s="169" t="s">
        <v>259</v>
      </c>
      <c r="Z160" s="169" t="s">
        <v>259</v>
      </c>
      <c r="AA160" s="169" t="s">
        <v>259</v>
      </c>
      <c r="AB160" s="169" t="s">
        <v>259</v>
      </c>
      <c r="AC160" s="169" t="s">
        <v>259</v>
      </c>
      <c r="AD160" s="169" t="s">
        <v>259</v>
      </c>
      <c r="AE160" s="169" t="s">
        <v>259</v>
      </c>
      <c r="AF160" s="169" t="s">
        <v>259</v>
      </c>
      <c r="AG160" s="169" t="s">
        <v>259</v>
      </c>
      <c r="AH160" s="169" t="s">
        <v>259</v>
      </c>
      <c r="AI160" s="169" t="s">
        <v>259</v>
      </c>
      <c r="AJ160" s="169" t="s">
        <v>259</v>
      </c>
      <c r="AK160" s="169" t="s">
        <v>259</v>
      </c>
      <c r="AL160" s="169" t="s">
        <v>259</v>
      </c>
      <c r="AM160" s="169" t="s">
        <v>259</v>
      </c>
      <c r="AN160" s="169" t="s">
        <v>259</v>
      </c>
      <c r="AO160" s="169" t="s">
        <v>259</v>
      </c>
      <c r="AP160" s="169" t="s">
        <v>259</v>
      </c>
      <c r="AQ160" s="169" t="s">
        <v>259</v>
      </c>
      <c r="AR160" s="169" t="s">
        <v>259</v>
      </c>
      <c r="AS160" s="169" t="s">
        <v>259</v>
      </c>
      <c r="AT160" s="169" t="s">
        <v>259</v>
      </c>
      <c r="AU160" s="169" t="s">
        <v>259</v>
      </c>
      <c r="AV160" s="169" t="s">
        <v>259</v>
      </c>
      <c r="AW160" s="169" t="s">
        <v>259</v>
      </c>
      <c r="AX160" s="169" t="s">
        <v>259</v>
      </c>
      <c r="AY160" s="169" t="s">
        <v>259</v>
      </c>
      <c r="AZ160" s="169" t="s">
        <v>259</v>
      </c>
      <c r="BA160" s="169" t="s">
        <v>259</v>
      </c>
      <c r="BB160" s="169" t="s">
        <v>259</v>
      </c>
      <c r="BC160" s="169" t="s">
        <v>259</v>
      </c>
      <c r="BD160" s="169" t="s">
        <v>259</v>
      </c>
      <c r="BE160" s="169" t="s">
        <v>259</v>
      </c>
      <c r="BF160" s="169" t="s">
        <v>259</v>
      </c>
      <c r="BG160" s="169" t="s">
        <v>259</v>
      </c>
      <c r="BH160" s="169" t="s">
        <v>259</v>
      </c>
      <c r="BI160" s="169" t="s">
        <v>259</v>
      </c>
      <c r="BJ160" s="169" t="s">
        <v>259</v>
      </c>
      <c r="BK160" s="169" t="s">
        <v>259</v>
      </c>
      <c r="BL160" s="169" t="s">
        <v>259</v>
      </c>
      <c r="BM160" s="169" t="s">
        <v>259</v>
      </c>
      <c r="BN160" s="169" t="s">
        <v>259</v>
      </c>
      <c r="BO160" s="169" t="s">
        <v>259</v>
      </c>
      <c r="BP160" s="169" t="s">
        <v>259</v>
      </c>
      <c r="BQ160" s="169" t="s">
        <v>259</v>
      </c>
      <c r="BR160" s="169" t="s">
        <v>259</v>
      </c>
      <c r="BS160" s="169" t="s">
        <v>259</v>
      </c>
      <c r="BT160" s="169" t="s">
        <v>259</v>
      </c>
      <c r="BU160" s="169" t="s">
        <v>259</v>
      </c>
      <c r="BV160" s="169" t="s">
        <v>259</v>
      </c>
      <c r="BW160" s="169" t="s">
        <v>259</v>
      </c>
      <c r="BX160" s="169" t="s">
        <v>259</v>
      </c>
      <c r="BY160" s="169" t="s">
        <v>259</v>
      </c>
      <c r="BZ160" s="169" t="s">
        <v>259</v>
      </c>
      <c r="CA160" s="169" t="s">
        <v>259</v>
      </c>
      <c r="CB160" s="169" t="s">
        <v>259</v>
      </c>
      <c r="CC160" s="169" t="s">
        <v>259</v>
      </c>
      <c r="CD160" s="169" t="s">
        <v>259</v>
      </c>
      <c r="CE160" s="169" t="s">
        <v>259</v>
      </c>
      <c r="CF160" s="169" t="s">
        <v>259</v>
      </c>
      <c r="CG160" s="169" t="s">
        <v>259</v>
      </c>
      <c r="CH160" s="169" t="s">
        <v>259</v>
      </c>
      <c r="CI160" s="169" t="s">
        <v>259</v>
      </c>
      <c r="CJ160" s="169" t="s">
        <v>259</v>
      </c>
      <c r="CK160" s="169" t="s">
        <v>259</v>
      </c>
      <c r="CL160" s="169" t="s">
        <v>259</v>
      </c>
      <c r="CM160" s="169" t="s">
        <v>259</v>
      </c>
      <c r="CN160" s="169" t="s">
        <v>259</v>
      </c>
      <c r="CO160" s="169" t="s">
        <v>259</v>
      </c>
      <c r="CP160" s="169" t="s">
        <v>259</v>
      </c>
      <c r="CQ160" s="169" t="s">
        <v>259</v>
      </c>
      <c r="CR160" s="169" t="s">
        <v>259</v>
      </c>
      <c r="CS160" s="169" t="s">
        <v>259</v>
      </c>
      <c r="CT160" s="169" t="s">
        <v>259</v>
      </c>
      <c r="CU160" s="169" t="s">
        <v>259</v>
      </c>
      <c r="CV160" s="169" t="s">
        <v>259</v>
      </c>
      <c r="CW160" s="169" t="s">
        <v>259</v>
      </c>
      <c r="CX160" s="169" t="s">
        <v>259</v>
      </c>
      <c r="CY160" s="169" t="s">
        <v>259</v>
      </c>
      <c r="CZ160" s="169" t="s">
        <v>259</v>
      </c>
      <c r="DA160" s="169" t="s">
        <v>259</v>
      </c>
      <c r="DB160" s="169" t="s">
        <v>259</v>
      </c>
      <c r="DC160" s="169" t="s">
        <v>259</v>
      </c>
      <c r="DD160" s="169" t="s">
        <v>259</v>
      </c>
      <c r="DE160" s="169" t="s">
        <v>259</v>
      </c>
      <c r="DF160" s="169" t="s">
        <v>259</v>
      </c>
      <c r="DG160" s="169" t="s">
        <v>259</v>
      </c>
      <c r="DH160" s="169" t="s">
        <v>259</v>
      </c>
      <c r="DI160" s="169" t="s">
        <v>259</v>
      </c>
      <c r="DJ160" s="169" t="s">
        <v>259</v>
      </c>
      <c r="DK160" s="169" t="s">
        <v>259</v>
      </c>
      <c r="DL160" s="169" t="s">
        <v>259</v>
      </c>
      <c r="DM160" s="169" t="s">
        <v>259</v>
      </c>
      <c r="DN160" s="169" t="s">
        <v>259</v>
      </c>
      <c r="DO160" s="169" t="s">
        <v>259</v>
      </c>
      <c r="DP160" s="169" t="s">
        <v>259</v>
      </c>
      <c r="DQ160" s="169" t="s">
        <v>259</v>
      </c>
      <c r="DR160" s="169" t="s">
        <v>259</v>
      </c>
      <c r="DS160" s="169" t="s">
        <v>259</v>
      </c>
      <c r="DT160" s="169" t="s">
        <v>259</v>
      </c>
    </row>
    <row r="161" spans="2:124" x14ac:dyDescent="0.3">
      <c r="B161" t="str">
        <f>'IMPORT SCHLIESSERDATEN'!B160</f>
        <v>BTS 80 EN 4 Pendeltür</v>
      </c>
      <c r="D161" s="169" t="s">
        <v>259</v>
      </c>
      <c r="E161" s="169" t="s">
        <v>259</v>
      </c>
      <c r="F161" s="169" t="s">
        <v>259</v>
      </c>
      <c r="G161" s="169" t="s">
        <v>259</v>
      </c>
      <c r="H161" s="169" t="s">
        <v>259</v>
      </c>
      <c r="I161" s="169" t="s">
        <v>259</v>
      </c>
      <c r="J161" s="169" t="s">
        <v>259</v>
      </c>
      <c r="K161" s="169" t="s">
        <v>259</v>
      </c>
      <c r="L161" s="169" t="s">
        <v>259</v>
      </c>
      <c r="M161" s="169" t="s">
        <v>259</v>
      </c>
      <c r="N161" s="169" t="s">
        <v>259</v>
      </c>
      <c r="O161" s="169" t="s">
        <v>259</v>
      </c>
      <c r="P161" s="169" t="s">
        <v>259</v>
      </c>
      <c r="Q161" s="169" t="s">
        <v>259</v>
      </c>
      <c r="R161" s="169" t="s">
        <v>259</v>
      </c>
      <c r="S161" s="169" t="s">
        <v>259</v>
      </c>
      <c r="T161" s="169" t="s">
        <v>259</v>
      </c>
      <c r="U161" s="169" t="s">
        <v>259</v>
      </c>
      <c r="V161" s="169" t="s">
        <v>259</v>
      </c>
      <c r="W161" s="169" t="s">
        <v>259</v>
      </c>
      <c r="X161" s="169" t="s">
        <v>259</v>
      </c>
      <c r="Y161" s="169" t="s">
        <v>259</v>
      </c>
      <c r="Z161" s="169" t="s">
        <v>259</v>
      </c>
      <c r="AA161" s="169" t="s">
        <v>259</v>
      </c>
      <c r="AB161" s="169" t="s">
        <v>259</v>
      </c>
      <c r="AC161" s="169" t="s">
        <v>259</v>
      </c>
      <c r="AD161" s="169" t="s">
        <v>259</v>
      </c>
      <c r="AE161" s="169" t="s">
        <v>259</v>
      </c>
      <c r="AF161" s="169" t="s">
        <v>259</v>
      </c>
      <c r="AG161" s="169" t="s">
        <v>259</v>
      </c>
      <c r="AH161" s="169" t="s">
        <v>259</v>
      </c>
      <c r="AI161" s="169" t="s">
        <v>259</v>
      </c>
      <c r="AJ161" s="169" t="s">
        <v>259</v>
      </c>
      <c r="AK161" s="169" t="s">
        <v>259</v>
      </c>
      <c r="AL161" s="169" t="s">
        <v>259</v>
      </c>
      <c r="AM161" s="169" t="s">
        <v>259</v>
      </c>
      <c r="AN161" s="169" t="s">
        <v>259</v>
      </c>
      <c r="AO161" s="169" t="s">
        <v>259</v>
      </c>
      <c r="AP161" s="169" t="s">
        <v>259</v>
      </c>
      <c r="AQ161" s="169" t="s">
        <v>259</v>
      </c>
      <c r="AR161" s="169" t="s">
        <v>259</v>
      </c>
      <c r="AS161" s="169" t="s">
        <v>259</v>
      </c>
      <c r="AT161" s="169" t="s">
        <v>259</v>
      </c>
      <c r="AU161" s="169" t="s">
        <v>259</v>
      </c>
      <c r="AV161" s="169" t="s">
        <v>259</v>
      </c>
      <c r="AW161" s="169" t="s">
        <v>259</v>
      </c>
      <c r="AX161" s="169" t="s">
        <v>259</v>
      </c>
      <c r="AY161" s="169" t="s">
        <v>259</v>
      </c>
      <c r="AZ161" s="169" t="s">
        <v>259</v>
      </c>
      <c r="BA161" s="169" t="s">
        <v>259</v>
      </c>
      <c r="BB161" s="169" t="s">
        <v>259</v>
      </c>
      <c r="BC161" s="169" t="s">
        <v>259</v>
      </c>
      <c r="BD161" s="169" t="s">
        <v>259</v>
      </c>
      <c r="BE161" s="169" t="s">
        <v>259</v>
      </c>
      <c r="BF161" s="169" t="s">
        <v>259</v>
      </c>
      <c r="BG161" s="169" t="s">
        <v>259</v>
      </c>
      <c r="BH161" s="169" t="s">
        <v>259</v>
      </c>
      <c r="BI161" s="169" t="s">
        <v>259</v>
      </c>
      <c r="BJ161" s="169" t="s">
        <v>259</v>
      </c>
      <c r="BK161" s="169" t="s">
        <v>259</v>
      </c>
      <c r="BL161" s="169" t="s">
        <v>259</v>
      </c>
      <c r="BM161" s="169" t="s">
        <v>259</v>
      </c>
      <c r="BN161" s="169" t="s">
        <v>259</v>
      </c>
      <c r="BO161" s="169" t="s">
        <v>259</v>
      </c>
      <c r="BP161" s="169" t="s">
        <v>259</v>
      </c>
      <c r="BQ161" s="169" t="s">
        <v>259</v>
      </c>
      <c r="BR161" s="169" t="s">
        <v>259</v>
      </c>
      <c r="BS161" s="169" t="s">
        <v>259</v>
      </c>
      <c r="BT161" s="169" t="s">
        <v>259</v>
      </c>
      <c r="BU161" s="169" t="s">
        <v>259</v>
      </c>
      <c r="BV161" s="169" t="s">
        <v>259</v>
      </c>
      <c r="BW161" s="169" t="s">
        <v>259</v>
      </c>
      <c r="BX161" s="169" t="s">
        <v>259</v>
      </c>
      <c r="BY161" s="169" t="s">
        <v>259</v>
      </c>
      <c r="BZ161" s="169" t="s">
        <v>259</v>
      </c>
      <c r="CA161" s="169" t="s">
        <v>259</v>
      </c>
      <c r="CB161" s="169" t="s">
        <v>259</v>
      </c>
      <c r="CC161" s="169" t="s">
        <v>259</v>
      </c>
      <c r="CD161" s="169" t="s">
        <v>259</v>
      </c>
      <c r="CE161" s="169" t="s">
        <v>259</v>
      </c>
      <c r="CF161" s="169" t="s">
        <v>259</v>
      </c>
      <c r="CG161" s="169" t="s">
        <v>259</v>
      </c>
      <c r="CH161" s="169" t="s">
        <v>259</v>
      </c>
      <c r="CI161" s="169" t="s">
        <v>259</v>
      </c>
      <c r="CJ161" s="169" t="s">
        <v>259</v>
      </c>
      <c r="CK161" s="169" t="s">
        <v>259</v>
      </c>
      <c r="CL161" s="169" t="s">
        <v>259</v>
      </c>
      <c r="CM161" s="169" t="s">
        <v>259</v>
      </c>
      <c r="CN161" s="169" t="s">
        <v>259</v>
      </c>
      <c r="CO161" s="169" t="s">
        <v>259</v>
      </c>
      <c r="CP161" s="169" t="s">
        <v>259</v>
      </c>
      <c r="CQ161" s="169" t="s">
        <v>259</v>
      </c>
      <c r="CR161" s="169" t="s">
        <v>259</v>
      </c>
      <c r="CS161" s="169" t="s">
        <v>259</v>
      </c>
      <c r="CT161" s="169" t="s">
        <v>259</v>
      </c>
      <c r="CU161" s="169" t="s">
        <v>259</v>
      </c>
      <c r="CV161" s="169" t="s">
        <v>259</v>
      </c>
      <c r="CW161" s="169" t="s">
        <v>259</v>
      </c>
      <c r="CX161" s="169" t="s">
        <v>259</v>
      </c>
      <c r="CY161" s="169" t="s">
        <v>259</v>
      </c>
      <c r="CZ161" s="169" t="s">
        <v>259</v>
      </c>
      <c r="DA161" s="169" t="s">
        <v>259</v>
      </c>
      <c r="DB161" s="169" t="s">
        <v>259</v>
      </c>
      <c r="DC161" s="169" t="s">
        <v>259</v>
      </c>
      <c r="DD161" s="169" t="s">
        <v>259</v>
      </c>
      <c r="DE161" s="169" t="s">
        <v>259</v>
      </c>
      <c r="DF161" s="169" t="s">
        <v>259</v>
      </c>
      <c r="DG161" s="169" t="s">
        <v>259</v>
      </c>
      <c r="DH161" s="169" t="s">
        <v>259</v>
      </c>
      <c r="DI161" s="169" t="s">
        <v>259</v>
      </c>
      <c r="DJ161" s="169" t="s">
        <v>259</v>
      </c>
      <c r="DK161" s="169" t="s">
        <v>259</v>
      </c>
      <c r="DL161" s="169" t="s">
        <v>259</v>
      </c>
      <c r="DM161" s="169" t="s">
        <v>259</v>
      </c>
      <c r="DN161" s="169" t="s">
        <v>259</v>
      </c>
      <c r="DO161" s="169" t="s">
        <v>259</v>
      </c>
      <c r="DP161" s="169" t="s">
        <v>259</v>
      </c>
      <c r="DQ161" s="169" t="s">
        <v>259</v>
      </c>
      <c r="DR161" s="169" t="s">
        <v>259</v>
      </c>
      <c r="DS161" s="169" t="s">
        <v>259</v>
      </c>
      <c r="DT161" s="169" t="s">
        <v>259</v>
      </c>
    </row>
    <row r="162" spans="2:124" x14ac:dyDescent="0.3">
      <c r="B162" t="str">
        <f>'IMPORT SCHLIESSERDATEN'!B161</f>
        <v>BTS 80 EN 6 Pendeltür</v>
      </c>
      <c r="D162" s="169" t="s">
        <v>259</v>
      </c>
      <c r="E162" s="169" t="s">
        <v>259</v>
      </c>
      <c r="F162" s="169" t="s">
        <v>259</v>
      </c>
      <c r="G162" s="169" t="s">
        <v>259</v>
      </c>
      <c r="H162" s="169" t="s">
        <v>259</v>
      </c>
      <c r="I162" s="169" t="s">
        <v>259</v>
      </c>
      <c r="J162" s="169" t="s">
        <v>259</v>
      </c>
      <c r="K162" s="169" t="s">
        <v>259</v>
      </c>
      <c r="L162" s="169" t="s">
        <v>259</v>
      </c>
      <c r="M162" s="169" t="s">
        <v>259</v>
      </c>
      <c r="N162" s="169" t="s">
        <v>259</v>
      </c>
      <c r="O162" s="169" t="s">
        <v>259</v>
      </c>
      <c r="P162" s="169" t="s">
        <v>259</v>
      </c>
      <c r="Q162" s="169" t="s">
        <v>259</v>
      </c>
      <c r="R162" s="169" t="s">
        <v>259</v>
      </c>
      <c r="S162" s="169" t="s">
        <v>259</v>
      </c>
      <c r="T162" s="169" t="s">
        <v>259</v>
      </c>
      <c r="U162" s="169" t="s">
        <v>259</v>
      </c>
      <c r="V162" s="169" t="s">
        <v>259</v>
      </c>
      <c r="W162" s="169" t="s">
        <v>259</v>
      </c>
      <c r="X162" s="169" t="s">
        <v>259</v>
      </c>
      <c r="Y162" s="169" t="s">
        <v>259</v>
      </c>
      <c r="Z162" s="169" t="s">
        <v>259</v>
      </c>
      <c r="AA162" s="169" t="s">
        <v>259</v>
      </c>
      <c r="AB162" s="169" t="s">
        <v>259</v>
      </c>
      <c r="AC162" s="169" t="s">
        <v>259</v>
      </c>
      <c r="AD162" s="169" t="s">
        <v>259</v>
      </c>
      <c r="AE162" s="169" t="s">
        <v>259</v>
      </c>
      <c r="AF162" s="169" t="s">
        <v>259</v>
      </c>
      <c r="AG162" s="169" t="s">
        <v>259</v>
      </c>
      <c r="AH162" s="169" t="s">
        <v>259</v>
      </c>
      <c r="AI162" s="169" t="s">
        <v>259</v>
      </c>
      <c r="AJ162" s="169" t="s">
        <v>259</v>
      </c>
      <c r="AK162" s="169" t="s">
        <v>259</v>
      </c>
      <c r="AL162" s="169" t="s">
        <v>259</v>
      </c>
      <c r="AM162" s="169" t="s">
        <v>259</v>
      </c>
      <c r="AN162" s="169" t="s">
        <v>259</v>
      </c>
      <c r="AO162" s="169" t="s">
        <v>259</v>
      </c>
      <c r="AP162" s="169" t="s">
        <v>259</v>
      </c>
      <c r="AQ162" s="169" t="s">
        <v>259</v>
      </c>
      <c r="AR162" s="169" t="s">
        <v>259</v>
      </c>
      <c r="AS162" s="169" t="s">
        <v>259</v>
      </c>
      <c r="AT162" s="169" t="s">
        <v>259</v>
      </c>
      <c r="AU162" s="169" t="s">
        <v>259</v>
      </c>
      <c r="AV162" s="169" t="s">
        <v>259</v>
      </c>
      <c r="AW162" s="169" t="s">
        <v>259</v>
      </c>
      <c r="AX162" s="169" t="s">
        <v>259</v>
      </c>
      <c r="AY162" s="169" t="s">
        <v>259</v>
      </c>
      <c r="AZ162" s="169" t="s">
        <v>259</v>
      </c>
      <c r="BA162" s="169" t="s">
        <v>259</v>
      </c>
      <c r="BB162" s="169" t="s">
        <v>259</v>
      </c>
      <c r="BC162" s="169" t="s">
        <v>259</v>
      </c>
      <c r="BD162" s="169" t="s">
        <v>259</v>
      </c>
      <c r="BE162" s="169" t="s">
        <v>259</v>
      </c>
      <c r="BF162" s="169" t="s">
        <v>259</v>
      </c>
      <c r="BG162" s="169" t="s">
        <v>259</v>
      </c>
      <c r="BH162" s="169" t="s">
        <v>259</v>
      </c>
      <c r="BI162" s="169" t="s">
        <v>259</v>
      </c>
      <c r="BJ162" s="169" t="s">
        <v>259</v>
      </c>
      <c r="BK162" s="169" t="s">
        <v>259</v>
      </c>
      <c r="BL162" s="169" t="s">
        <v>259</v>
      </c>
      <c r="BM162" s="169" t="s">
        <v>259</v>
      </c>
      <c r="BN162" s="169" t="s">
        <v>259</v>
      </c>
      <c r="BO162" s="169" t="s">
        <v>259</v>
      </c>
      <c r="BP162" s="169" t="s">
        <v>259</v>
      </c>
      <c r="BQ162" s="169" t="s">
        <v>259</v>
      </c>
      <c r="BR162" s="169" t="s">
        <v>259</v>
      </c>
      <c r="BS162" s="169" t="s">
        <v>259</v>
      </c>
      <c r="BT162" s="169" t="s">
        <v>259</v>
      </c>
      <c r="BU162" s="169" t="s">
        <v>259</v>
      </c>
      <c r="BV162" s="169" t="s">
        <v>259</v>
      </c>
      <c r="BW162" s="169" t="s">
        <v>259</v>
      </c>
      <c r="BX162" s="169" t="s">
        <v>259</v>
      </c>
      <c r="BY162" s="169" t="s">
        <v>259</v>
      </c>
      <c r="BZ162" s="169" t="s">
        <v>259</v>
      </c>
      <c r="CA162" s="169" t="s">
        <v>259</v>
      </c>
      <c r="CB162" s="169" t="s">
        <v>259</v>
      </c>
      <c r="CC162" s="169" t="s">
        <v>259</v>
      </c>
      <c r="CD162" s="169" t="s">
        <v>259</v>
      </c>
      <c r="CE162" s="169" t="s">
        <v>259</v>
      </c>
      <c r="CF162" s="169" t="s">
        <v>259</v>
      </c>
      <c r="CG162" s="169" t="s">
        <v>259</v>
      </c>
      <c r="CH162" s="169" t="s">
        <v>259</v>
      </c>
      <c r="CI162" s="169" t="s">
        <v>259</v>
      </c>
      <c r="CJ162" s="169" t="s">
        <v>259</v>
      </c>
      <c r="CK162" s="169" t="s">
        <v>259</v>
      </c>
      <c r="CL162" s="169" t="s">
        <v>259</v>
      </c>
      <c r="CM162" s="169" t="s">
        <v>259</v>
      </c>
      <c r="CN162" s="169" t="s">
        <v>259</v>
      </c>
      <c r="CO162" s="169" t="s">
        <v>259</v>
      </c>
      <c r="CP162" s="169" t="s">
        <v>259</v>
      </c>
      <c r="CQ162" s="169" t="s">
        <v>259</v>
      </c>
      <c r="CR162" s="169" t="s">
        <v>259</v>
      </c>
      <c r="CS162" s="169" t="s">
        <v>259</v>
      </c>
      <c r="CT162" s="169" t="s">
        <v>259</v>
      </c>
      <c r="CU162" s="169" t="s">
        <v>259</v>
      </c>
      <c r="CV162" s="169" t="s">
        <v>259</v>
      </c>
      <c r="CW162" s="169" t="s">
        <v>259</v>
      </c>
      <c r="CX162" s="169" t="s">
        <v>259</v>
      </c>
      <c r="CY162" s="169" t="s">
        <v>259</v>
      </c>
      <c r="CZ162" s="169" t="s">
        <v>259</v>
      </c>
      <c r="DA162" s="169" t="s">
        <v>259</v>
      </c>
      <c r="DB162" s="169" t="s">
        <v>259</v>
      </c>
      <c r="DC162" s="169" t="s">
        <v>259</v>
      </c>
      <c r="DD162" s="169" t="s">
        <v>259</v>
      </c>
      <c r="DE162" s="169" t="s">
        <v>259</v>
      </c>
      <c r="DF162" s="169" t="s">
        <v>259</v>
      </c>
      <c r="DG162" s="169" t="s">
        <v>259</v>
      </c>
      <c r="DH162" s="169" t="s">
        <v>259</v>
      </c>
      <c r="DI162" s="169" t="s">
        <v>259</v>
      </c>
      <c r="DJ162" s="169" t="s">
        <v>259</v>
      </c>
      <c r="DK162" s="169" t="s">
        <v>259</v>
      </c>
      <c r="DL162" s="169" t="s">
        <v>259</v>
      </c>
      <c r="DM162" s="169" t="s">
        <v>259</v>
      </c>
      <c r="DN162" s="169" t="s">
        <v>259</v>
      </c>
      <c r="DO162" s="169" t="s">
        <v>259</v>
      </c>
      <c r="DP162" s="169" t="s">
        <v>259</v>
      </c>
      <c r="DQ162" s="169" t="s">
        <v>259</v>
      </c>
      <c r="DR162" s="169" t="s">
        <v>259</v>
      </c>
      <c r="DS162" s="169" t="s">
        <v>259</v>
      </c>
      <c r="DT162" s="169" t="s">
        <v>259</v>
      </c>
    </row>
    <row r="163" spans="2:124" x14ac:dyDescent="0.3">
      <c r="B163" t="str">
        <f>'IMPORT SCHLIESSERDATEN'!B162</f>
        <v>BTS 84 EN 2 Pendeltür</v>
      </c>
      <c r="D163" s="169" t="s">
        <v>259</v>
      </c>
      <c r="E163" s="169" t="s">
        <v>259</v>
      </c>
      <c r="F163" s="169" t="s">
        <v>259</v>
      </c>
      <c r="G163" s="169" t="s">
        <v>259</v>
      </c>
      <c r="H163" s="169" t="s">
        <v>259</v>
      </c>
      <c r="I163" s="169" t="s">
        <v>259</v>
      </c>
      <c r="J163" s="169" t="s">
        <v>259</v>
      </c>
      <c r="K163" s="169" t="s">
        <v>259</v>
      </c>
      <c r="L163" s="169" t="s">
        <v>259</v>
      </c>
      <c r="M163" s="169" t="s">
        <v>259</v>
      </c>
      <c r="N163" s="169" t="s">
        <v>259</v>
      </c>
      <c r="O163" s="169" t="s">
        <v>259</v>
      </c>
      <c r="P163" s="169" t="s">
        <v>259</v>
      </c>
      <c r="Q163" s="169" t="s">
        <v>259</v>
      </c>
      <c r="R163" s="169" t="s">
        <v>259</v>
      </c>
      <c r="S163" s="169" t="s">
        <v>259</v>
      </c>
      <c r="T163" s="169" t="s">
        <v>259</v>
      </c>
      <c r="U163" s="169" t="s">
        <v>259</v>
      </c>
      <c r="V163" s="169" t="s">
        <v>259</v>
      </c>
      <c r="W163" s="169" t="s">
        <v>259</v>
      </c>
      <c r="X163" s="169" t="s">
        <v>259</v>
      </c>
      <c r="Y163" s="169" t="s">
        <v>259</v>
      </c>
      <c r="Z163" s="169" t="s">
        <v>259</v>
      </c>
      <c r="AA163" s="169" t="s">
        <v>259</v>
      </c>
      <c r="AB163" s="169" t="s">
        <v>259</v>
      </c>
      <c r="AC163" s="169" t="s">
        <v>259</v>
      </c>
      <c r="AD163" s="169" t="s">
        <v>259</v>
      </c>
      <c r="AE163" s="169" t="s">
        <v>259</v>
      </c>
      <c r="AF163" s="169" t="s">
        <v>259</v>
      </c>
      <c r="AG163" s="169" t="s">
        <v>259</v>
      </c>
      <c r="AH163" s="169" t="s">
        <v>259</v>
      </c>
      <c r="AI163" s="169" t="s">
        <v>259</v>
      </c>
      <c r="AJ163" s="169" t="s">
        <v>259</v>
      </c>
      <c r="AK163" s="169" t="s">
        <v>259</v>
      </c>
      <c r="AL163" s="169" t="s">
        <v>259</v>
      </c>
      <c r="AM163" s="169" t="s">
        <v>259</v>
      </c>
      <c r="AN163" s="169" t="s">
        <v>259</v>
      </c>
      <c r="AO163" s="169" t="s">
        <v>259</v>
      </c>
      <c r="AP163" s="169" t="s">
        <v>259</v>
      </c>
      <c r="AQ163" s="169" t="s">
        <v>259</v>
      </c>
      <c r="AR163" s="169" t="s">
        <v>259</v>
      </c>
      <c r="AS163" s="169" t="s">
        <v>259</v>
      </c>
      <c r="AT163" s="169" t="s">
        <v>259</v>
      </c>
      <c r="AU163" s="169" t="s">
        <v>259</v>
      </c>
      <c r="AV163" s="169" t="s">
        <v>259</v>
      </c>
      <c r="AW163" s="169" t="s">
        <v>259</v>
      </c>
      <c r="AX163" s="169" t="s">
        <v>259</v>
      </c>
      <c r="AY163" s="169" t="s">
        <v>259</v>
      </c>
      <c r="AZ163" s="169" t="s">
        <v>259</v>
      </c>
      <c r="BA163" s="169" t="s">
        <v>259</v>
      </c>
      <c r="BB163" s="169" t="s">
        <v>259</v>
      </c>
      <c r="BC163" s="169" t="s">
        <v>259</v>
      </c>
      <c r="BD163" s="169" t="s">
        <v>259</v>
      </c>
      <c r="BE163" s="169" t="s">
        <v>259</v>
      </c>
      <c r="BF163" s="169" t="s">
        <v>259</v>
      </c>
      <c r="BG163" s="169" t="s">
        <v>259</v>
      </c>
      <c r="BH163" s="169" t="s">
        <v>259</v>
      </c>
      <c r="BI163" s="169" t="s">
        <v>259</v>
      </c>
      <c r="BJ163" s="169" t="s">
        <v>259</v>
      </c>
      <c r="BK163" s="169" t="s">
        <v>259</v>
      </c>
      <c r="BL163" s="169" t="s">
        <v>259</v>
      </c>
      <c r="BM163" s="169" t="s">
        <v>259</v>
      </c>
      <c r="BN163" s="169" t="s">
        <v>259</v>
      </c>
      <c r="BO163" s="169" t="s">
        <v>259</v>
      </c>
      <c r="BP163" s="169" t="s">
        <v>259</v>
      </c>
      <c r="BQ163" s="169" t="s">
        <v>259</v>
      </c>
      <c r="BR163" s="169" t="s">
        <v>259</v>
      </c>
      <c r="BS163" s="169" t="s">
        <v>259</v>
      </c>
      <c r="BT163" s="169" t="s">
        <v>259</v>
      </c>
      <c r="BU163" s="169" t="s">
        <v>259</v>
      </c>
      <c r="BV163" s="169" t="s">
        <v>259</v>
      </c>
      <c r="BW163" s="169" t="s">
        <v>259</v>
      </c>
      <c r="BX163" s="169" t="s">
        <v>259</v>
      </c>
      <c r="BY163" s="169" t="s">
        <v>259</v>
      </c>
      <c r="BZ163" s="169" t="s">
        <v>259</v>
      </c>
      <c r="CA163" s="169" t="s">
        <v>259</v>
      </c>
      <c r="CB163" s="169" t="s">
        <v>259</v>
      </c>
      <c r="CC163" s="169" t="s">
        <v>259</v>
      </c>
      <c r="CD163" s="169" t="s">
        <v>259</v>
      </c>
      <c r="CE163" s="169" t="s">
        <v>259</v>
      </c>
      <c r="CF163" s="169" t="s">
        <v>259</v>
      </c>
      <c r="CG163" s="169" t="s">
        <v>259</v>
      </c>
      <c r="CH163" s="169" t="s">
        <v>259</v>
      </c>
      <c r="CI163" s="169" t="s">
        <v>259</v>
      </c>
      <c r="CJ163" s="169" t="s">
        <v>259</v>
      </c>
      <c r="CK163" s="169" t="s">
        <v>259</v>
      </c>
      <c r="CL163" s="169" t="s">
        <v>259</v>
      </c>
      <c r="CM163" s="169" t="s">
        <v>259</v>
      </c>
      <c r="CN163" s="169" t="s">
        <v>259</v>
      </c>
      <c r="CO163" s="169" t="s">
        <v>259</v>
      </c>
      <c r="CP163" s="169" t="s">
        <v>259</v>
      </c>
      <c r="CQ163" s="169" t="s">
        <v>259</v>
      </c>
      <c r="CR163" s="169" t="s">
        <v>259</v>
      </c>
      <c r="CS163" s="169" t="s">
        <v>259</v>
      </c>
      <c r="CT163" s="169" t="s">
        <v>259</v>
      </c>
      <c r="CU163" s="169" t="s">
        <v>259</v>
      </c>
      <c r="CV163" s="169" t="s">
        <v>259</v>
      </c>
      <c r="CW163" s="169" t="s">
        <v>259</v>
      </c>
      <c r="CX163" s="169" t="s">
        <v>259</v>
      </c>
      <c r="CY163" s="169" t="s">
        <v>259</v>
      </c>
      <c r="CZ163" s="169" t="s">
        <v>259</v>
      </c>
      <c r="DA163" s="169" t="s">
        <v>259</v>
      </c>
      <c r="DB163" s="169" t="s">
        <v>259</v>
      </c>
      <c r="DC163" s="169" t="s">
        <v>259</v>
      </c>
      <c r="DD163" s="169" t="s">
        <v>259</v>
      </c>
      <c r="DE163" s="169" t="s">
        <v>259</v>
      </c>
      <c r="DF163" s="169" t="s">
        <v>259</v>
      </c>
      <c r="DG163" s="169" t="s">
        <v>259</v>
      </c>
      <c r="DH163" s="169" t="s">
        <v>259</v>
      </c>
      <c r="DI163" s="169" t="s">
        <v>259</v>
      </c>
      <c r="DJ163" s="169" t="s">
        <v>259</v>
      </c>
      <c r="DK163" s="169" t="s">
        <v>259</v>
      </c>
      <c r="DL163" s="169" t="s">
        <v>259</v>
      </c>
      <c r="DM163" s="169" t="s">
        <v>259</v>
      </c>
      <c r="DN163" s="169" t="s">
        <v>259</v>
      </c>
      <c r="DO163" s="169" t="s">
        <v>259</v>
      </c>
      <c r="DP163" s="169" t="s">
        <v>259</v>
      </c>
      <c r="DQ163" s="169" t="s">
        <v>259</v>
      </c>
      <c r="DR163" s="169" t="s">
        <v>259</v>
      </c>
      <c r="DS163" s="169" t="s">
        <v>259</v>
      </c>
      <c r="DT163" s="169" t="s">
        <v>259</v>
      </c>
    </row>
    <row r="164" spans="2:124" x14ac:dyDescent="0.3">
      <c r="B164" t="str">
        <f>'IMPORT SCHLIESSERDATEN'!B163</f>
        <v>BTS 84 EN 3 Pendeltür</v>
      </c>
      <c r="D164" s="169" t="s">
        <v>259</v>
      </c>
      <c r="E164" s="169" t="s">
        <v>259</v>
      </c>
      <c r="F164" s="169" t="s">
        <v>259</v>
      </c>
      <c r="G164" s="169" t="s">
        <v>259</v>
      </c>
      <c r="H164" s="169" t="s">
        <v>259</v>
      </c>
      <c r="I164" s="169" t="s">
        <v>259</v>
      </c>
      <c r="J164" s="169" t="s">
        <v>259</v>
      </c>
      <c r="K164" s="169" t="s">
        <v>259</v>
      </c>
      <c r="L164" s="169" t="s">
        <v>259</v>
      </c>
      <c r="M164" s="169" t="s">
        <v>259</v>
      </c>
      <c r="N164" s="169" t="s">
        <v>259</v>
      </c>
      <c r="O164" s="169" t="s">
        <v>259</v>
      </c>
      <c r="P164" s="169" t="s">
        <v>259</v>
      </c>
      <c r="Q164" s="169" t="s">
        <v>259</v>
      </c>
      <c r="R164" s="169" t="s">
        <v>259</v>
      </c>
      <c r="S164" s="169" t="s">
        <v>259</v>
      </c>
      <c r="T164" s="169" t="s">
        <v>259</v>
      </c>
      <c r="U164" s="169" t="s">
        <v>259</v>
      </c>
      <c r="V164" s="169" t="s">
        <v>259</v>
      </c>
      <c r="W164" s="169" t="s">
        <v>259</v>
      </c>
      <c r="X164" s="169" t="s">
        <v>259</v>
      </c>
      <c r="Y164" s="169" t="s">
        <v>259</v>
      </c>
      <c r="Z164" s="169" t="s">
        <v>259</v>
      </c>
      <c r="AA164" s="169" t="s">
        <v>259</v>
      </c>
      <c r="AB164" s="169" t="s">
        <v>259</v>
      </c>
      <c r="AC164" s="169" t="s">
        <v>259</v>
      </c>
      <c r="AD164" s="169" t="s">
        <v>259</v>
      </c>
      <c r="AE164" s="169" t="s">
        <v>259</v>
      </c>
      <c r="AF164" s="169" t="s">
        <v>259</v>
      </c>
      <c r="AG164" s="169" t="s">
        <v>259</v>
      </c>
      <c r="AH164" s="169" t="s">
        <v>259</v>
      </c>
      <c r="AI164" s="169" t="s">
        <v>259</v>
      </c>
      <c r="AJ164" s="169" t="s">
        <v>259</v>
      </c>
      <c r="AK164" s="169" t="s">
        <v>259</v>
      </c>
      <c r="AL164" s="169" t="s">
        <v>259</v>
      </c>
      <c r="AM164" s="169" t="s">
        <v>259</v>
      </c>
      <c r="AN164" s="169" t="s">
        <v>259</v>
      </c>
      <c r="AO164" s="169" t="s">
        <v>259</v>
      </c>
      <c r="AP164" s="169" t="s">
        <v>259</v>
      </c>
      <c r="AQ164" s="169" t="s">
        <v>259</v>
      </c>
      <c r="AR164" s="169" t="s">
        <v>259</v>
      </c>
      <c r="AS164" s="169" t="s">
        <v>259</v>
      </c>
      <c r="AT164" s="169" t="s">
        <v>259</v>
      </c>
      <c r="AU164" s="169" t="s">
        <v>259</v>
      </c>
      <c r="AV164" s="169" t="s">
        <v>259</v>
      </c>
      <c r="AW164" s="169" t="s">
        <v>259</v>
      </c>
      <c r="AX164" s="169" t="s">
        <v>259</v>
      </c>
      <c r="AY164" s="169" t="s">
        <v>259</v>
      </c>
      <c r="AZ164" s="169" t="s">
        <v>259</v>
      </c>
      <c r="BA164" s="169" t="s">
        <v>259</v>
      </c>
      <c r="BB164" s="169" t="s">
        <v>259</v>
      </c>
      <c r="BC164" s="169" t="s">
        <v>259</v>
      </c>
      <c r="BD164" s="169" t="s">
        <v>259</v>
      </c>
      <c r="BE164" s="169" t="s">
        <v>259</v>
      </c>
      <c r="BF164" s="169" t="s">
        <v>259</v>
      </c>
      <c r="BG164" s="169" t="s">
        <v>259</v>
      </c>
      <c r="BH164" s="169" t="s">
        <v>259</v>
      </c>
      <c r="BI164" s="169" t="s">
        <v>259</v>
      </c>
      <c r="BJ164" s="169" t="s">
        <v>259</v>
      </c>
      <c r="BK164" s="169" t="s">
        <v>259</v>
      </c>
      <c r="BL164" s="169" t="s">
        <v>259</v>
      </c>
      <c r="BM164" s="169" t="s">
        <v>259</v>
      </c>
      <c r="BN164" s="169" t="s">
        <v>259</v>
      </c>
      <c r="BO164" s="169" t="s">
        <v>259</v>
      </c>
      <c r="BP164" s="169" t="s">
        <v>259</v>
      </c>
      <c r="BQ164" s="169" t="s">
        <v>259</v>
      </c>
      <c r="BR164" s="169" t="s">
        <v>259</v>
      </c>
      <c r="BS164" s="169" t="s">
        <v>259</v>
      </c>
      <c r="BT164" s="169" t="s">
        <v>259</v>
      </c>
      <c r="BU164" s="169" t="s">
        <v>259</v>
      </c>
      <c r="BV164" s="169" t="s">
        <v>259</v>
      </c>
      <c r="BW164" s="169" t="s">
        <v>259</v>
      </c>
      <c r="BX164" s="169" t="s">
        <v>259</v>
      </c>
      <c r="BY164" s="169" t="s">
        <v>259</v>
      </c>
      <c r="BZ164" s="169" t="s">
        <v>259</v>
      </c>
      <c r="CA164" s="169" t="s">
        <v>259</v>
      </c>
      <c r="CB164" s="169" t="s">
        <v>259</v>
      </c>
      <c r="CC164" s="169" t="s">
        <v>259</v>
      </c>
      <c r="CD164" s="169" t="s">
        <v>259</v>
      </c>
      <c r="CE164" s="169" t="s">
        <v>259</v>
      </c>
      <c r="CF164" s="169" t="s">
        <v>259</v>
      </c>
      <c r="CG164" s="169" t="s">
        <v>259</v>
      </c>
      <c r="CH164" s="169" t="s">
        <v>259</v>
      </c>
      <c r="CI164" s="169" t="s">
        <v>259</v>
      </c>
      <c r="CJ164" s="169" t="s">
        <v>259</v>
      </c>
      <c r="CK164" s="169" t="s">
        <v>259</v>
      </c>
      <c r="CL164" s="169" t="s">
        <v>259</v>
      </c>
      <c r="CM164" s="169" t="s">
        <v>259</v>
      </c>
      <c r="CN164" s="169" t="s">
        <v>259</v>
      </c>
      <c r="CO164" s="169" t="s">
        <v>259</v>
      </c>
      <c r="CP164" s="169" t="s">
        <v>259</v>
      </c>
      <c r="CQ164" s="169" t="s">
        <v>259</v>
      </c>
      <c r="CR164" s="169" t="s">
        <v>259</v>
      </c>
      <c r="CS164" s="169" t="s">
        <v>259</v>
      </c>
      <c r="CT164" s="169" t="s">
        <v>259</v>
      </c>
      <c r="CU164" s="169" t="s">
        <v>259</v>
      </c>
      <c r="CV164" s="169" t="s">
        <v>259</v>
      </c>
      <c r="CW164" s="169" t="s">
        <v>259</v>
      </c>
      <c r="CX164" s="169" t="s">
        <v>259</v>
      </c>
      <c r="CY164" s="169" t="s">
        <v>259</v>
      </c>
      <c r="CZ164" s="169" t="s">
        <v>259</v>
      </c>
      <c r="DA164" s="169" t="s">
        <v>259</v>
      </c>
      <c r="DB164" s="169" t="s">
        <v>259</v>
      </c>
      <c r="DC164" s="169" t="s">
        <v>259</v>
      </c>
      <c r="DD164" s="169" t="s">
        <v>259</v>
      </c>
      <c r="DE164" s="169" t="s">
        <v>259</v>
      </c>
      <c r="DF164" s="169" t="s">
        <v>259</v>
      </c>
      <c r="DG164" s="169" t="s">
        <v>259</v>
      </c>
      <c r="DH164" s="169" t="s">
        <v>259</v>
      </c>
      <c r="DI164" s="169" t="s">
        <v>259</v>
      </c>
      <c r="DJ164" s="169" t="s">
        <v>259</v>
      </c>
      <c r="DK164" s="169" t="s">
        <v>259</v>
      </c>
      <c r="DL164" s="169" t="s">
        <v>259</v>
      </c>
      <c r="DM164" s="169" t="s">
        <v>259</v>
      </c>
      <c r="DN164" s="169" t="s">
        <v>259</v>
      </c>
      <c r="DO164" s="169" t="s">
        <v>259</v>
      </c>
      <c r="DP164" s="169" t="s">
        <v>259</v>
      </c>
      <c r="DQ164" s="169" t="s">
        <v>259</v>
      </c>
      <c r="DR164" s="169" t="s">
        <v>259</v>
      </c>
      <c r="DS164" s="169" t="s">
        <v>259</v>
      </c>
      <c r="DT164" s="169" t="s">
        <v>259</v>
      </c>
    </row>
    <row r="165" spans="2:124" x14ac:dyDescent="0.3">
      <c r="B165" t="str">
        <f>'IMPORT SCHLIESSERDATEN'!B164</f>
        <v>BTS 84 EN 4 Pendeltür</v>
      </c>
      <c r="D165" s="169" t="s">
        <v>259</v>
      </c>
      <c r="E165" s="169" t="s">
        <v>259</v>
      </c>
      <c r="F165" s="169" t="s">
        <v>259</v>
      </c>
      <c r="G165" s="169" t="s">
        <v>259</v>
      </c>
      <c r="H165" s="169" t="s">
        <v>259</v>
      </c>
      <c r="I165" s="169" t="s">
        <v>259</v>
      </c>
      <c r="J165" s="169" t="s">
        <v>259</v>
      </c>
      <c r="K165" s="169" t="s">
        <v>259</v>
      </c>
      <c r="L165" s="169" t="s">
        <v>259</v>
      </c>
      <c r="M165" s="169" t="s">
        <v>259</v>
      </c>
      <c r="N165" s="169" t="s">
        <v>259</v>
      </c>
      <c r="O165" s="169" t="s">
        <v>259</v>
      </c>
      <c r="P165" s="169" t="s">
        <v>259</v>
      </c>
      <c r="Q165" s="169" t="s">
        <v>259</v>
      </c>
      <c r="R165" s="169" t="s">
        <v>259</v>
      </c>
      <c r="S165" s="169" t="s">
        <v>259</v>
      </c>
      <c r="T165" s="169" t="s">
        <v>259</v>
      </c>
      <c r="U165" s="169" t="s">
        <v>259</v>
      </c>
      <c r="V165" s="169" t="s">
        <v>259</v>
      </c>
      <c r="W165" s="169" t="s">
        <v>259</v>
      </c>
      <c r="X165" s="169" t="s">
        <v>259</v>
      </c>
      <c r="Y165" s="169" t="s">
        <v>259</v>
      </c>
      <c r="Z165" s="169" t="s">
        <v>259</v>
      </c>
      <c r="AA165" s="169" t="s">
        <v>259</v>
      </c>
      <c r="AB165" s="169" t="s">
        <v>259</v>
      </c>
      <c r="AC165" s="169" t="s">
        <v>259</v>
      </c>
      <c r="AD165" s="169" t="s">
        <v>259</v>
      </c>
      <c r="AE165" s="169" t="s">
        <v>259</v>
      </c>
      <c r="AF165" s="169" t="s">
        <v>259</v>
      </c>
      <c r="AG165" s="169" t="s">
        <v>259</v>
      </c>
      <c r="AH165" s="169" t="s">
        <v>259</v>
      </c>
      <c r="AI165" s="169" t="s">
        <v>259</v>
      </c>
      <c r="AJ165" s="169" t="s">
        <v>259</v>
      </c>
      <c r="AK165" s="169" t="s">
        <v>259</v>
      </c>
      <c r="AL165" s="169" t="s">
        <v>259</v>
      </c>
      <c r="AM165" s="169" t="s">
        <v>259</v>
      </c>
      <c r="AN165" s="169" t="s">
        <v>259</v>
      </c>
      <c r="AO165" s="169" t="s">
        <v>259</v>
      </c>
      <c r="AP165" s="169" t="s">
        <v>259</v>
      </c>
      <c r="AQ165" s="169" t="s">
        <v>259</v>
      </c>
      <c r="AR165" s="169" t="s">
        <v>259</v>
      </c>
      <c r="AS165" s="169" t="s">
        <v>259</v>
      </c>
      <c r="AT165" s="169" t="s">
        <v>259</v>
      </c>
      <c r="AU165" s="169" t="s">
        <v>259</v>
      </c>
      <c r="AV165" s="169" t="s">
        <v>259</v>
      </c>
      <c r="AW165" s="169" t="s">
        <v>259</v>
      </c>
      <c r="AX165" s="169" t="s">
        <v>259</v>
      </c>
      <c r="AY165" s="169" t="s">
        <v>259</v>
      </c>
      <c r="AZ165" s="169" t="s">
        <v>259</v>
      </c>
      <c r="BA165" s="169" t="s">
        <v>259</v>
      </c>
      <c r="BB165" s="169" t="s">
        <v>259</v>
      </c>
      <c r="BC165" s="169" t="s">
        <v>259</v>
      </c>
      <c r="BD165" s="169" t="s">
        <v>259</v>
      </c>
      <c r="BE165" s="169" t="s">
        <v>259</v>
      </c>
      <c r="BF165" s="169" t="s">
        <v>259</v>
      </c>
      <c r="BG165" s="169" t="s">
        <v>259</v>
      </c>
      <c r="BH165" s="169" t="s">
        <v>259</v>
      </c>
      <c r="BI165" s="169" t="s">
        <v>259</v>
      </c>
      <c r="BJ165" s="169" t="s">
        <v>259</v>
      </c>
      <c r="BK165" s="169" t="s">
        <v>259</v>
      </c>
      <c r="BL165" s="169" t="s">
        <v>259</v>
      </c>
      <c r="BM165" s="169" t="s">
        <v>259</v>
      </c>
      <c r="BN165" s="169" t="s">
        <v>259</v>
      </c>
      <c r="BO165" s="169" t="s">
        <v>259</v>
      </c>
      <c r="BP165" s="169" t="s">
        <v>259</v>
      </c>
      <c r="BQ165" s="169" t="s">
        <v>259</v>
      </c>
      <c r="BR165" s="169" t="s">
        <v>259</v>
      </c>
      <c r="BS165" s="169" t="s">
        <v>259</v>
      </c>
      <c r="BT165" s="169" t="s">
        <v>259</v>
      </c>
      <c r="BU165" s="169" t="s">
        <v>259</v>
      </c>
      <c r="BV165" s="169" t="s">
        <v>259</v>
      </c>
      <c r="BW165" s="169" t="s">
        <v>259</v>
      </c>
      <c r="BX165" s="169" t="s">
        <v>259</v>
      </c>
      <c r="BY165" s="169" t="s">
        <v>259</v>
      </c>
      <c r="BZ165" s="169" t="s">
        <v>259</v>
      </c>
      <c r="CA165" s="169" t="s">
        <v>259</v>
      </c>
      <c r="CB165" s="169" t="s">
        <v>259</v>
      </c>
      <c r="CC165" s="169" t="s">
        <v>259</v>
      </c>
      <c r="CD165" s="169" t="s">
        <v>259</v>
      </c>
      <c r="CE165" s="169" t="s">
        <v>259</v>
      </c>
      <c r="CF165" s="169" t="s">
        <v>259</v>
      </c>
      <c r="CG165" s="169" t="s">
        <v>259</v>
      </c>
      <c r="CH165" s="169" t="s">
        <v>259</v>
      </c>
      <c r="CI165" s="169" t="s">
        <v>259</v>
      </c>
      <c r="CJ165" s="169" t="s">
        <v>259</v>
      </c>
      <c r="CK165" s="169" t="s">
        <v>259</v>
      </c>
      <c r="CL165" s="169" t="s">
        <v>259</v>
      </c>
      <c r="CM165" s="169" t="s">
        <v>259</v>
      </c>
      <c r="CN165" s="169" t="s">
        <v>259</v>
      </c>
      <c r="CO165" s="169" t="s">
        <v>259</v>
      </c>
      <c r="CP165" s="169" t="s">
        <v>259</v>
      </c>
      <c r="CQ165" s="169" t="s">
        <v>259</v>
      </c>
      <c r="CR165" s="169" t="s">
        <v>259</v>
      </c>
      <c r="CS165" s="169" t="s">
        <v>259</v>
      </c>
      <c r="CT165" s="169" t="s">
        <v>259</v>
      </c>
      <c r="CU165" s="169" t="s">
        <v>259</v>
      </c>
      <c r="CV165" s="169" t="s">
        <v>259</v>
      </c>
      <c r="CW165" s="169" t="s">
        <v>259</v>
      </c>
      <c r="CX165" s="169" t="s">
        <v>259</v>
      </c>
      <c r="CY165" s="169" t="s">
        <v>259</v>
      </c>
      <c r="CZ165" s="169" t="s">
        <v>259</v>
      </c>
      <c r="DA165" s="169" t="s">
        <v>259</v>
      </c>
      <c r="DB165" s="169" t="s">
        <v>259</v>
      </c>
      <c r="DC165" s="169" t="s">
        <v>259</v>
      </c>
      <c r="DD165" s="169" t="s">
        <v>259</v>
      </c>
      <c r="DE165" s="169" t="s">
        <v>259</v>
      </c>
      <c r="DF165" s="169" t="s">
        <v>259</v>
      </c>
      <c r="DG165" s="169" t="s">
        <v>259</v>
      </c>
      <c r="DH165" s="169" t="s">
        <v>259</v>
      </c>
      <c r="DI165" s="169" t="s">
        <v>259</v>
      </c>
      <c r="DJ165" s="169" t="s">
        <v>259</v>
      </c>
      <c r="DK165" s="169" t="s">
        <v>259</v>
      </c>
      <c r="DL165" s="169" t="s">
        <v>259</v>
      </c>
      <c r="DM165" s="169" t="s">
        <v>259</v>
      </c>
      <c r="DN165" s="169" t="s">
        <v>259</v>
      </c>
      <c r="DO165" s="169" t="s">
        <v>259</v>
      </c>
      <c r="DP165" s="169" t="s">
        <v>259</v>
      </c>
      <c r="DQ165" s="169" t="s">
        <v>259</v>
      </c>
      <c r="DR165" s="169" t="s">
        <v>259</v>
      </c>
      <c r="DS165" s="169" t="s">
        <v>259</v>
      </c>
      <c r="DT165" s="169" t="s">
        <v>259</v>
      </c>
    </row>
    <row r="166" spans="2:124" x14ac:dyDescent="0.3">
      <c r="B166" t="str">
        <f>'IMPORT SCHLIESSERDATEN'!B165</f>
        <v>RTS 85 EN 3 Pendeltür</v>
      </c>
      <c r="D166" s="169" t="s">
        <v>259</v>
      </c>
      <c r="E166" s="169" t="s">
        <v>259</v>
      </c>
      <c r="F166" s="169" t="s">
        <v>259</v>
      </c>
      <c r="G166" s="169" t="s">
        <v>259</v>
      </c>
      <c r="H166" s="169" t="s">
        <v>259</v>
      </c>
      <c r="I166" s="169" t="s">
        <v>259</v>
      </c>
      <c r="J166" s="169" t="s">
        <v>259</v>
      </c>
      <c r="K166" s="169" t="s">
        <v>259</v>
      </c>
      <c r="L166" s="169" t="s">
        <v>259</v>
      </c>
      <c r="M166" s="169" t="s">
        <v>259</v>
      </c>
      <c r="N166" s="169" t="s">
        <v>259</v>
      </c>
      <c r="O166" s="169" t="s">
        <v>259</v>
      </c>
      <c r="P166" s="169" t="s">
        <v>259</v>
      </c>
      <c r="Q166" s="169" t="s">
        <v>259</v>
      </c>
      <c r="R166" s="169" t="s">
        <v>259</v>
      </c>
      <c r="S166" s="169" t="s">
        <v>259</v>
      </c>
      <c r="T166" s="169" t="s">
        <v>259</v>
      </c>
      <c r="U166" s="169" t="s">
        <v>259</v>
      </c>
      <c r="V166" s="169" t="s">
        <v>259</v>
      </c>
      <c r="W166" s="169" t="s">
        <v>259</v>
      </c>
      <c r="X166" s="169" t="s">
        <v>259</v>
      </c>
      <c r="Y166" s="169" t="s">
        <v>259</v>
      </c>
      <c r="Z166" s="169" t="s">
        <v>259</v>
      </c>
      <c r="AA166" s="169" t="s">
        <v>259</v>
      </c>
      <c r="AB166" s="169" t="s">
        <v>259</v>
      </c>
      <c r="AC166" s="169" t="s">
        <v>259</v>
      </c>
      <c r="AD166" s="169" t="s">
        <v>259</v>
      </c>
      <c r="AE166" s="169" t="s">
        <v>259</v>
      </c>
      <c r="AF166" s="169" t="s">
        <v>259</v>
      </c>
      <c r="AG166" s="169" t="s">
        <v>259</v>
      </c>
      <c r="AH166" s="169" t="s">
        <v>259</v>
      </c>
      <c r="AI166" s="169" t="s">
        <v>259</v>
      </c>
      <c r="AJ166" s="169" t="s">
        <v>259</v>
      </c>
      <c r="AK166" s="169" t="s">
        <v>259</v>
      </c>
      <c r="AL166" s="169" t="s">
        <v>259</v>
      </c>
      <c r="AM166" s="169" t="s">
        <v>259</v>
      </c>
      <c r="AN166" s="169" t="s">
        <v>259</v>
      </c>
      <c r="AO166" s="169" t="s">
        <v>259</v>
      </c>
      <c r="AP166" s="169" t="s">
        <v>259</v>
      </c>
      <c r="AQ166" s="169" t="s">
        <v>259</v>
      </c>
      <c r="AR166" s="169" t="s">
        <v>259</v>
      </c>
      <c r="AS166" s="169" t="s">
        <v>259</v>
      </c>
      <c r="AT166" s="169" t="s">
        <v>259</v>
      </c>
      <c r="AU166" s="169" t="s">
        <v>259</v>
      </c>
      <c r="AV166" s="169" t="s">
        <v>259</v>
      </c>
      <c r="AW166" s="169" t="s">
        <v>259</v>
      </c>
      <c r="AX166" s="169" t="s">
        <v>259</v>
      </c>
      <c r="AY166" s="169" t="s">
        <v>259</v>
      </c>
      <c r="AZ166" s="169" t="s">
        <v>259</v>
      </c>
      <c r="BA166" s="169" t="s">
        <v>259</v>
      </c>
      <c r="BB166" s="169" t="s">
        <v>259</v>
      </c>
      <c r="BC166" s="169" t="s">
        <v>259</v>
      </c>
      <c r="BD166" s="169" t="s">
        <v>259</v>
      </c>
      <c r="BE166" s="169" t="s">
        <v>259</v>
      </c>
      <c r="BF166" s="169" t="s">
        <v>259</v>
      </c>
      <c r="BG166" s="169" t="s">
        <v>259</v>
      </c>
      <c r="BH166" s="169" t="s">
        <v>259</v>
      </c>
      <c r="BI166" s="169" t="s">
        <v>259</v>
      </c>
      <c r="BJ166" s="169" t="s">
        <v>259</v>
      </c>
      <c r="BK166" s="169" t="s">
        <v>259</v>
      </c>
      <c r="BL166" s="169" t="s">
        <v>259</v>
      </c>
      <c r="BM166" s="169" t="s">
        <v>259</v>
      </c>
      <c r="BN166" s="169" t="s">
        <v>259</v>
      </c>
      <c r="BO166" s="169" t="s">
        <v>259</v>
      </c>
      <c r="BP166" s="169" t="s">
        <v>259</v>
      </c>
      <c r="BQ166" s="169" t="s">
        <v>259</v>
      </c>
      <c r="BR166" s="169" t="s">
        <v>259</v>
      </c>
      <c r="BS166" s="169" t="s">
        <v>259</v>
      </c>
      <c r="BT166" s="169" t="s">
        <v>259</v>
      </c>
      <c r="BU166" s="169" t="s">
        <v>259</v>
      </c>
      <c r="BV166" s="169" t="s">
        <v>259</v>
      </c>
      <c r="BW166" s="169" t="s">
        <v>259</v>
      </c>
      <c r="BX166" s="169" t="s">
        <v>259</v>
      </c>
      <c r="BY166" s="169" t="s">
        <v>259</v>
      </c>
      <c r="BZ166" s="169" t="s">
        <v>259</v>
      </c>
      <c r="CA166" s="169" t="s">
        <v>259</v>
      </c>
      <c r="CB166" s="169" t="s">
        <v>259</v>
      </c>
      <c r="CC166" s="169" t="s">
        <v>259</v>
      </c>
      <c r="CD166" s="169" t="s">
        <v>259</v>
      </c>
      <c r="CE166" s="169" t="s">
        <v>259</v>
      </c>
      <c r="CF166" s="169" t="s">
        <v>259</v>
      </c>
      <c r="CG166" s="169" t="s">
        <v>259</v>
      </c>
      <c r="CH166" s="169" t="s">
        <v>259</v>
      </c>
      <c r="CI166" s="169" t="s">
        <v>259</v>
      </c>
      <c r="CJ166" s="169" t="s">
        <v>259</v>
      </c>
      <c r="CK166" s="169" t="s">
        <v>259</v>
      </c>
      <c r="CL166" s="169" t="s">
        <v>259</v>
      </c>
      <c r="CM166" s="169" t="s">
        <v>259</v>
      </c>
      <c r="CN166" s="169" t="s">
        <v>259</v>
      </c>
      <c r="CO166" s="169" t="s">
        <v>259</v>
      </c>
      <c r="CP166" s="169" t="s">
        <v>259</v>
      </c>
      <c r="CQ166" s="169" t="s">
        <v>259</v>
      </c>
      <c r="CR166" s="169" t="s">
        <v>259</v>
      </c>
      <c r="CS166" s="169" t="s">
        <v>259</v>
      </c>
      <c r="CT166" s="169" t="s">
        <v>259</v>
      </c>
      <c r="CU166" s="169" t="s">
        <v>259</v>
      </c>
      <c r="CV166" s="169" t="s">
        <v>259</v>
      </c>
      <c r="CW166" s="169" t="s">
        <v>259</v>
      </c>
      <c r="CX166" s="169" t="s">
        <v>259</v>
      </c>
      <c r="CY166" s="169" t="s">
        <v>259</v>
      </c>
      <c r="CZ166" s="169" t="s">
        <v>259</v>
      </c>
      <c r="DA166" s="169" t="s">
        <v>259</v>
      </c>
      <c r="DB166" s="169" t="s">
        <v>259</v>
      </c>
      <c r="DC166" s="169" t="s">
        <v>259</v>
      </c>
      <c r="DD166" s="169" t="s">
        <v>259</v>
      </c>
      <c r="DE166" s="169" t="s">
        <v>259</v>
      </c>
      <c r="DF166" s="169" t="s">
        <v>259</v>
      </c>
      <c r="DG166" s="169" t="s">
        <v>259</v>
      </c>
      <c r="DH166" s="169" t="s">
        <v>259</v>
      </c>
      <c r="DI166" s="169" t="s">
        <v>259</v>
      </c>
      <c r="DJ166" s="169" t="s">
        <v>259</v>
      </c>
      <c r="DK166" s="169" t="s">
        <v>259</v>
      </c>
      <c r="DL166" s="169" t="s">
        <v>259</v>
      </c>
      <c r="DM166" s="169" t="s">
        <v>259</v>
      </c>
      <c r="DN166" s="169" t="s">
        <v>259</v>
      </c>
      <c r="DO166" s="169" t="s">
        <v>259</v>
      </c>
      <c r="DP166" s="169" t="s">
        <v>259</v>
      </c>
      <c r="DQ166" s="169" t="s">
        <v>259</v>
      </c>
      <c r="DR166" s="169" t="s">
        <v>259</v>
      </c>
      <c r="DS166" s="169" t="s">
        <v>259</v>
      </c>
      <c r="DT166" s="169" t="s">
        <v>259</v>
      </c>
    </row>
    <row r="167" spans="2:124" x14ac:dyDescent="0.3">
      <c r="B167" t="str">
        <f>'IMPORT SCHLIESSERDATEN'!B166</f>
        <v>RTS 85 EN 4 Pendeltür</v>
      </c>
      <c r="D167" s="169" t="s">
        <v>259</v>
      </c>
      <c r="E167" s="169" t="s">
        <v>259</v>
      </c>
      <c r="F167" s="169" t="s">
        <v>259</v>
      </c>
      <c r="G167" s="169" t="s">
        <v>259</v>
      </c>
      <c r="H167" s="169" t="s">
        <v>259</v>
      </c>
      <c r="I167" s="169" t="s">
        <v>259</v>
      </c>
      <c r="J167" s="169" t="s">
        <v>259</v>
      </c>
      <c r="K167" s="169" t="s">
        <v>259</v>
      </c>
      <c r="L167" s="169" t="s">
        <v>259</v>
      </c>
      <c r="M167" s="169" t="s">
        <v>259</v>
      </c>
      <c r="N167" s="169" t="s">
        <v>259</v>
      </c>
      <c r="O167" s="169" t="s">
        <v>259</v>
      </c>
      <c r="P167" s="169" t="s">
        <v>259</v>
      </c>
      <c r="Q167" s="169" t="s">
        <v>259</v>
      </c>
      <c r="R167" s="169" t="s">
        <v>259</v>
      </c>
      <c r="S167" s="169" t="s">
        <v>259</v>
      </c>
      <c r="T167" s="169" t="s">
        <v>259</v>
      </c>
      <c r="U167" s="169" t="s">
        <v>259</v>
      </c>
      <c r="V167" s="169" t="s">
        <v>259</v>
      </c>
      <c r="W167" s="169" t="s">
        <v>259</v>
      </c>
      <c r="X167" s="169" t="s">
        <v>259</v>
      </c>
      <c r="Y167" s="169" t="s">
        <v>259</v>
      </c>
      <c r="Z167" s="169" t="s">
        <v>259</v>
      </c>
      <c r="AA167" s="169" t="s">
        <v>259</v>
      </c>
      <c r="AB167" s="169" t="s">
        <v>259</v>
      </c>
      <c r="AC167" s="169" t="s">
        <v>259</v>
      </c>
      <c r="AD167" s="169" t="s">
        <v>259</v>
      </c>
      <c r="AE167" s="169" t="s">
        <v>259</v>
      </c>
      <c r="AF167" s="169" t="s">
        <v>259</v>
      </c>
      <c r="AG167" s="169" t="s">
        <v>259</v>
      </c>
      <c r="AH167" s="169" t="s">
        <v>259</v>
      </c>
      <c r="AI167" s="169" t="s">
        <v>259</v>
      </c>
      <c r="AJ167" s="169" t="s">
        <v>259</v>
      </c>
      <c r="AK167" s="169" t="s">
        <v>259</v>
      </c>
      <c r="AL167" s="169" t="s">
        <v>259</v>
      </c>
      <c r="AM167" s="169" t="s">
        <v>259</v>
      </c>
      <c r="AN167" s="169" t="s">
        <v>259</v>
      </c>
      <c r="AO167" s="169" t="s">
        <v>259</v>
      </c>
      <c r="AP167" s="169" t="s">
        <v>259</v>
      </c>
      <c r="AQ167" s="169" t="s">
        <v>259</v>
      </c>
      <c r="AR167" s="169" t="s">
        <v>259</v>
      </c>
      <c r="AS167" s="169" t="s">
        <v>259</v>
      </c>
      <c r="AT167" s="169" t="s">
        <v>259</v>
      </c>
      <c r="AU167" s="169" t="s">
        <v>259</v>
      </c>
      <c r="AV167" s="169" t="s">
        <v>259</v>
      </c>
      <c r="AW167" s="169" t="s">
        <v>259</v>
      </c>
      <c r="AX167" s="169" t="s">
        <v>259</v>
      </c>
      <c r="AY167" s="169" t="s">
        <v>259</v>
      </c>
      <c r="AZ167" s="169" t="s">
        <v>259</v>
      </c>
      <c r="BA167" s="169" t="s">
        <v>259</v>
      </c>
      <c r="BB167" s="169" t="s">
        <v>259</v>
      </c>
      <c r="BC167" s="169" t="s">
        <v>259</v>
      </c>
      <c r="BD167" s="169" t="s">
        <v>259</v>
      </c>
      <c r="BE167" s="169" t="s">
        <v>259</v>
      </c>
      <c r="BF167" s="169" t="s">
        <v>259</v>
      </c>
      <c r="BG167" s="169" t="s">
        <v>259</v>
      </c>
      <c r="BH167" s="169" t="s">
        <v>259</v>
      </c>
      <c r="BI167" s="169" t="s">
        <v>259</v>
      </c>
      <c r="BJ167" s="169" t="s">
        <v>259</v>
      </c>
      <c r="BK167" s="169" t="s">
        <v>259</v>
      </c>
      <c r="BL167" s="169" t="s">
        <v>259</v>
      </c>
      <c r="BM167" s="169" t="s">
        <v>259</v>
      </c>
      <c r="BN167" s="169" t="s">
        <v>259</v>
      </c>
      <c r="BO167" s="169" t="s">
        <v>259</v>
      </c>
      <c r="BP167" s="169" t="s">
        <v>259</v>
      </c>
      <c r="BQ167" s="169" t="s">
        <v>259</v>
      </c>
      <c r="BR167" s="169" t="s">
        <v>259</v>
      </c>
      <c r="BS167" s="169" t="s">
        <v>259</v>
      </c>
      <c r="BT167" s="169" t="s">
        <v>259</v>
      </c>
      <c r="BU167" s="169" t="s">
        <v>259</v>
      </c>
      <c r="BV167" s="169" t="s">
        <v>259</v>
      </c>
      <c r="BW167" s="169" t="s">
        <v>259</v>
      </c>
      <c r="BX167" s="169" t="s">
        <v>259</v>
      </c>
      <c r="BY167" s="169" t="s">
        <v>259</v>
      </c>
      <c r="BZ167" s="169" t="s">
        <v>259</v>
      </c>
      <c r="CA167" s="169" t="s">
        <v>259</v>
      </c>
      <c r="CB167" s="169" t="s">
        <v>259</v>
      </c>
      <c r="CC167" s="169" t="s">
        <v>259</v>
      </c>
      <c r="CD167" s="169" t="s">
        <v>259</v>
      </c>
      <c r="CE167" s="169" t="s">
        <v>259</v>
      </c>
      <c r="CF167" s="169" t="s">
        <v>259</v>
      </c>
      <c r="CG167" s="169" t="s">
        <v>259</v>
      </c>
      <c r="CH167" s="169" t="s">
        <v>259</v>
      </c>
      <c r="CI167" s="169" t="s">
        <v>259</v>
      </c>
      <c r="CJ167" s="169" t="s">
        <v>259</v>
      </c>
      <c r="CK167" s="169" t="s">
        <v>259</v>
      </c>
      <c r="CL167" s="169" t="s">
        <v>259</v>
      </c>
      <c r="CM167" s="169" t="s">
        <v>259</v>
      </c>
      <c r="CN167" s="169" t="s">
        <v>259</v>
      </c>
      <c r="CO167" s="169" t="s">
        <v>259</v>
      </c>
      <c r="CP167" s="169" t="s">
        <v>259</v>
      </c>
      <c r="CQ167" s="169" t="s">
        <v>259</v>
      </c>
      <c r="CR167" s="169" t="s">
        <v>259</v>
      </c>
      <c r="CS167" s="169" t="s">
        <v>259</v>
      </c>
      <c r="CT167" s="169" t="s">
        <v>259</v>
      </c>
      <c r="CU167" s="169" t="s">
        <v>259</v>
      </c>
      <c r="CV167" s="169" t="s">
        <v>259</v>
      </c>
      <c r="CW167" s="169" t="s">
        <v>259</v>
      </c>
      <c r="CX167" s="169" t="s">
        <v>259</v>
      </c>
      <c r="CY167" s="169" t="s">
        <v>259</v>
      </c>
      <c r="CZ167" s="169" t="s">
        <v>259</v>
      </c>
      <c r="DA167" s="169" t="s">
        <v>259</v>
      </c>
      <c r="DB167" s="169" t="s">
        <v>259</v>
      </c>
      <c r="DC167" s="169" t="s">
        <v>259</v>
      </c>
      <c r="DD167" s="169" t="s">
        <v>259</v>
      </c>
      <c r="DE167" s="169" t="s">
        <v>259</v>
      </c>
      <c r="DF167" s="169" t="s">
        <v>259</v>
      </c>
      <c r="DG167" s="169" t="s">
        <v>259</v>
      </c>
      <c r="DH167" s="169" t="s">
        <v>259</v>
      </c>
      <c r="DI167" s="169" t="s">
        <v>259</v>
      </c>
      <c r="DJ167" s="169" t="s">
        <v>259</v>
      </c>
      <c r="DK167" s="169" t="s">
        <v>259</v>
      </c>
      <c r="DL167" s="169" t="s">
        <v>259</v>
      </c>
      <c r="DM167" s="169" t="s">
        <v>259</v>
      </c>
      <c r="DN167" s="169" t="s">
        <v>259</v>
      </c>
      <c r="DO167" s="169" t="s">
        <v>259</v>
      </c>
      <c r="DP167" s="169" t="s">
        <v>259</v>
      </c>
      <c r="DQ167" s="169" t="s">
        <v>259</v>
      </c>
      <c r="DR167" s="169" t="s">
        <v>259</v>
      </c>
      <c r="DS167" s="169" t="s">
        <v>259</v>
      </c>
      <c r="DT167" s="169" t="s">
        <v>259</v>
      </c>
    </row>
    <row r="168" spans="2:124" x14ac:dyDescent="0.3">
      <c r="B168" t="str">
        <f>'IMPORT SCHLIESSERDATEN'!B167</f>
        <v>RTS 85 EN 5 Pendeltür</v>
      </c>
      <c r="D168" s="169" t="s">
        <v>259</v>
      </c>
      <c r="E168" s="169" t="s">
        <v>259</v>
      </c>
      <c r="F168" s="169" t="s">
        <v>259</v>
      </c>
      <c r="G168" s="169" t="s">
        <v>259</v>
      </c>
      <c r="H168" s="169" t="s">
        <v>259</v>
      </c>
      <c r="I168" s="169" t="s">
        <v>259</v>
      </c>
      <c r="J168" s="169" t="s">
        <v>259</v>
      </c>
      <c r="K168" s="169" t="s">
        <v>259</v>
      </c>
      <c r="L168" s="169" t="s">
        <v>259</v>
      </c>
      <c r="M168" s="169" t="s">
        <v>259</v>
      </c>
      <c r="N168" s="169" t="s">
        <v>259</v>
      </c>
      <c r="O168" s="169" t="s">
        <v>259</v>
      </c>
      <c r="P168" s="169" t="s">
        <v>259</v>
      </c>
      <c r="Q168" s="169" t="s">
        <v>259</v>
      </c>
      <c r="R168" s="169" t="s">
        <v>259</v>
      </c>
      <c r="S168" s="169" t="s">
        <v>259</v>
      </c>
      <c r="T168" s="169" t="s">
        <v>259</v>
      </c>
      <c r="U168" s="169" t="s">
        <v>259</v>
      </c>
      <c r="V168" s="169" t="s">
        <v>259</v>
      </c>
      <c r="W168" s="169" t="s">
        <v>259</v>
      </c>
      <c r="X168" s="169" t="s">
        <v>259</v>
      </c>
      <c r="Y168" s="169" t="s">
        <v>259</v>
      </c>
      <c r="Z168" s="169" t="s">
        <v>259</v>
      </c>
      <c r="AA168" s="169" t="s">
        <v>259</v>
      </c>
      <c r="AB168" s="169" t="s">
        <v>259</v>
      </c>
      <c r="AC168" s="169" t="s">
        <v>259</v>
      </c>
      <c r="AD168" s="169" t="s">
        <v>259</v>
      </c>
      <c r="AE168" s="169" t="s">
        <v>259</v>
      </c>
      <c r="AF168" s="169" t="s">
        <v>259</v>
      </c>
      <c r="AG168" s="169" t="s">
        <v>259</v>
      </c>
      <c r="AH168" s="169" t="s">
        <v>259</v>
      </c>
      <c r="AI168" s="169" t="s">
        <v>259</v>
      </c>
      <c r="AJ168" s="169" t="s">
        <v>259</v>
      </c>
      <c r="AK168" s="169" t="s">
        <v>259</v>
      </c>
      <c r="AL168" s="169" t="s">
        <v>259</v>
      </c>
      <c r="AM168" s="169" t="s">
        <v>259</v>
      </c>
      <c r="AN168" s="169" t="s">
        <v>259</v>
      </c>
      <c r="AO168" s="169" t="s">
        <v>259</v>
      </c>
      <c r="AP168" s="169" t="s">
        <v>259</v>
      </c>
      <c r="AQ168" s="169" t="s">
        <v>259</v>
      </c>
      <c r="AR168" s="169" t="s">
        <v>259</v>
      </c>
      <c r="AS168" s="169" t="s">
        <v>259</v>
      </c>
      <c r="AT168" s="169" t="s">
        <v>259</v>
      </c>
      <c r="AU168" s="169" t="s">
        <v>259</v>
      </c>
      <c r="AV168" s="169" t="s">
        <v>259</v>
      </c>
      <c r="AW168" s="169" t="s">
        <v>259</v>
      </c>
      <c r="AX168" s="169" t="s">
        <v>259</v>
      </c>
      <c r="AY168" s="169" t="s">
        <v>259</v>
      </c>
      <c r="AZ168" s="169" t="s">
        <v>259</v>
      </c>
      <c r="BA168" s="169" t="s">
        <v>259</v>
      </c>
      <c r="BB168" s="169" t="s">
        <v>259</v>
      </c>
      <c r="BC168" s="169" t="s">
        <v>259</v>
      </c>
      <c r="BD168" s="169" t="s">
        <v>259</v>
      </c>
      <c r="BE168" s="169" t="s">
        <v>259</v>
      </c>
      <c r="BF168" s="169" t="s">
        <v>259</v>
      </c>
      <c r="BG168" s="169" t="s">
        <v>259</v>
      </c>
      <c r="BH168" s="169" t="s">
        <v>259</v>
      </c>
      <c r="BI168" s="169" t="s">
        <v>259</v>
      </c>
      <c r="BJ168" s="169" t="s">
        <v>259</v>
      </c>
      <c r="BK168" s="169" t="s">
        <v>259</v>
      </c>
      <c r="BL168" s="169" t="s">
        <v>259</v>
      </c>
      <c r="BM168" s="169" t="s">
        <v>259</v>
      </c>
      <c r="BN168" s="169" t="s">
        <v>259</v>
      </c>
      <c r="BO168" s="169" t="s">
        <v>259</v>
      </c>
      <c r="BP168" s="169" t="s">
        <v>259</v>
      </c>
      <c r="BQ168" s="169" t="s">
        <v>259</v>
      </c>
      <c r="BR168" s="169" t="s">
        <v>259</v>
      </c>
      <c r="BS168" s="169" t="s">
        <v>259</v>
      </c>
      <c r="BT168" s="169" t="s">
        <v>259</v>
      </c>
      <c r="BU168" s="169" t="s">
        <v>259</v>
      </c>
      <c r="BV168" s="169" t="s">
        <v>259</v>
      </c>
      <c r="BW168" s="169" t="s">
        <v>259</v>
      </c>
      <c r="BX168" s="169" t="s">
        <v>259</v>
      </c>
      <c r="BY168" s="169" t="s">
        <v>259</v>
      </c>
      <c r="BZ168" s="169" t="s">
        <v>259</v>
      </c>
      <c r="CA168" s="169" t="s">
        <v>259</v>
      </c>
      <c r="CB168" s="169" t="s">
        <v>259</v>
      </c>
      <c r="CC168" s="169" t="s">
        <v>259</v>
      </c>
      <c r="CD168" s="169" t="s">
        <v>259</v>
      </c>
      <c r="CE168" s="169" t="s">
        <v>259</v>
      </c>
      <c r="CF168" s="169" t="s">
        <v>259</v>
      </c>
      <c r="CG168" s="169" t="s">
        <v>259</v>
      </c>
      <c r="CH168" s="169" t="s">
        <v>259</v>
      </c>
      <c r="CI168" s="169" t="s">
        <v>259</v>
      </c>
      <c r="CJ168" s="169" t="s">
        <v>259</v>
      </c>
      <c r="CK168" s="169" t="s">
        <v>259</v>
      </c>
      <c r="CL168" s="169" t="s">
        <v>259</v>
      </c>
      <c r="CM168" s="169" t="s">
        <v>259</v>
      </c>
      <c r="CN168" s="169" t="s">
        <v>259</v>
      </c>
      <c r="CO168" s="169" t="s">
        <v>259</v>
      </c>
      <c r="CP168" s="169" t="s">
        <v>259</v>
      </c>
      <c r="CQ168" s="169" t="s">
        <v>259</v>
      </c>
      <c r="CR168" s="169" t="s">
        <v>259</v>
      </c>
      <c r="CS168" s="169" t="s">
        <v>259</v>
      </c>
      <c r="CT168" s="169" t="s">
        <v>259</v>
      </c>
      <c r="CU168" s="169" t="s">
        <v>259</v>
      </c>
      <c r="CV168" s="169" t="s">
        <v>259</v>
      </c>
      <c r="CW168" s="169" t="s">
        <v>259</v>
      </c>
      <c r="CX168" s="169" t="s">
        <v>259</v>
      </c>
      <c r="CY168" s="169" t="s">
        <v>259</v>
      </c>
      <c r="CZ168" s="169" t="s">
        <v>259</v>
      </c>
      <c r="DA168" s="169" t="s">
        <v>259</v>
      </c>
      <c r="DB168" s="169" t="s">
        <v>259</v>
      </c>
      <c r="DC168" s="169" t="s">
        <v>259</v>
      </c>
      <c r="DD168" s="169" t="s">
        <v>259</v>
      </c>
      <c r="DE168" s="169" t="s">
        <v>259</v>
      </c>
      <c r="DF168" s="169" t="s">
        <v>259</v>
      </c>
      <c r="DG168" s="169" t="s">
        <v>259</v>
      </c>
      <c r="DH168" s="169" t="s">
        <v>259</v>
      </c>
      <c r="DI168" s="169" t="s">
        <v>259</v>
      </c>
      <c r="DJ168" s="169" t="s">
        <v>259</v>
      </c>
      <c r="DK168" s="169" t="s">
        <v>259</v>
      </c>
      <c r="DL168" s="169" t="s">
        <v>259</v>
      </c>
      <c r="DM168" s="169" t="s">
        <v>259</v>
      </c>
      <c r="DN168" s="169" t="s">
        <v>259</v>
      </c>
      <c r="DO168" s="169" t="s">
        <v>259</v>
      </c>
      <c r="DP168" s="169" t="s">
        <v>259</v>
      </c>
      <c r="DQ168" s="169" t="s">
        <v>259</v>
      </c>
      <c r="DR168" s="169" t="s">
        <v>259</v>
      </c>
      <c r="DS168" s="169" t="s">
        <v>259</v>
      </c>
      <c r="DT168" s="169" t="s">
        <v>259</v>
      </c>
    </row>
    <row r="169" spans="2:124" x14ac:dyDescent="0.3">
      <c r="B169" t="str">
        <f>'IMPORT SCHLIESSERDATEN'!B168</f>
        <v>ED100 G N</v>
      </c>
      <c r="D169" s="169" t="s">
        <v>259</v>
      </c>
      <c r="E169" s="169" t="s">
        <v>259</v>
      </c>
      <c r="F169" s="169" t="s">
        <v>259</v>
      </c>
      <c r="G169" s="169" t="s">
        <v>259</v>
      </c>
      <c r="H169" s="169" t="s">
        <v>259</v>
      </c>
      <c r="I169" s="169" t="s">
        <v>259</v>
      </c>
      <c r="J169" s="169" t="s">
        <v>259</v>
      </c>
      <c r="K169" s="169" t="s">
        <v>259</v>
      </c>
      <c r="L169" s="169" t="s">
        <v>259</v>
      </c>
      <c r="M169" s="169" t="s">
        <v>259</v>
      </c>
      <c r="N169" s="169" t="s">
        <v>259</v>
      </c>
      <c r="O169" s="169" t="s">
        <v>259</v>
      </c>
      <c r="P169" s="169" t="s">
        <v>259</v>
      </c>
      <c r="Q169" s="169" t="s">
        <v>259</v>
      </c>
      <c r="R169" s="169" t="s">
        <v>259</v>
      </c>
      <c r="S169" s="169" t="s">
        <v>259</v>
      </c>
      <c r="T169" s="169" t="s">
        <v>259</v>
      </c>
      <c r="U169" s="169" t="s">
        <v>259</v>
      </c>
      <c r="V169" s="169" t="s">
        <v>259</v>
      </c>
      <c r="W169" s="169" t="s">
        <v>259</v>
      </c>
      <c r="X169" s="169" t="s">
        <v>259</v>
      </c>
      <c r="Y169" s="169" t="s">
        <v>259</v>
      </c>
      <c r="Z169" s="169" t="s">
        <v>259</v>
      </c>
      <c r="AA169" s="169" t="s">
        <v>259</v>
      </c>
      <c r="AB169" s="169" t="s">
        <v>259</v>
      </c>
      <c r="AC169" s="169" t="s">
        <v>259</v>
      </c>
      <c r="AD169" s="169" t="s">
        <v>259</v>
      </c>
      <c r="AE169" s="169" t="s">
        <v>259</v>
      </c>
      <c r="AF169" s="169" t="s">
        <v>259</v>
      </c>
      <c r="AG169" s="169" t="s">
        <v>259</v>
      </c>
      <c r="AH169" s="169" t="s">
        <v>259</v>
      </c>
      <c r="AI169" s="169" t="s">
        <v>259</v>
      </c>
      <c r="AJ169" s="169" t="s">
        <v>259</v>
      </c>
      <c r="AK169" s="169" t="s">
        <v>259</v>
      </c>
      <c r="AL169" s="169" t="s">
        <v>259</v>
      </c>
      <c r="AM169" s="169" t="s">
        <v>259</v>
      </c>
      <c r="AN169" s="169" t="s">
        <v>259</v>
      </c>
      <c r="AO169" s="169" t="s">
        <v>259</v>
      </c>
      <c r="AP169" s="169" t="s">
        <v>259</v>
      </c>
      <c r="AQ169" s="169" t="s">
        <v>259</v>
      </c>
      <c r="AR169" s="169" t="s">
        <v>259</v>
      </c>
      <c r="AS169" s="169" t="s">
        <v>259</v>
      </c>
      <c r="AT169" s="169" t="s">
        <v>259</v>
      </c>
      <c r="AU169" s="169" t="s">
        <v>259</v>
      </c>
      <c r="AV169" s="169" t="s">
        <v>259</v>
      </c>
      <c r="AW169" s="169" t="s">
        <v>259</v>
      </c>
      <c r="AX169" s="169" t="s">
        <v>259</v>
      </c>
      <c r="AY169" s="169" t="s">
        <v>259</v>
      </c>
      <c r="AZ169" s="169" t="s">
        <v>259</v>
      </c>
      <c r="BA169" s="169" t="s">
        <v>259</v>
      </c>
      <c r="BB169" s="169" t="s">
        <v>259</v>
      </c>
      <c r="BC169" s="169" t="s">
        <v>259</v>
      </c>
      <c r="BD169" s="169" t="s">
        <v>259</v>
      </c>
      <c r="BE169" s="169" t="s">
        <v>259</v>
      </c>
      <c r="BF169" s="169" t="s">
        <v>259</v>
      </c>
      <c r="BG169" s="169" t="s">
        <v>259</v>
      </c>
      <c r="BH169" s="169" t="s">
        <v>259</v>
      </c>
      <c r="BI169" s="169" t="s">
        <v>259</v>
      </c>
      <c r="BJ169" s="169" t="s">
        <v>259</v>
      </c>
      <c r="BK169" s="169" t="s">
        <v>259</v>
      </c>
      <c r="BL169" s="169" t="s">
        <v>259</v>
      </c>
      <c r="BM169" s="169" t="s">
        <v>259</v>
      </c>
      <c r="BN169" s="169" t="s">
        <v>259</v>
      </c>
      <c r="BO169" s="169" t="s">
        <v>259</v>
      </c>
      <c r="BP169" s="169" t="s">
        <v>259</v>
      </c>
      <c r="BQ169" s="169" t="s">
        <v>259</v>
      </c>
      <c r="BR169" s="169" t="s">
        <v>259</v>
      </c>
      <c r="BS169" s="169" t="s">
        <v>259</v>
      </c>
      <c r="BT169" s="169" t="s">
        <v>259</v>
      </c>
      <c r="BU169" s="169" t="s">
        <v>259</v>
      </c>
      <c r="BV169" s="169" t="s">
        <v>259</v>
      </c>
      <c r="BW169" s="169" t="s">
        <v>259</v>
      </c>
      <c r="BX169" s="169" t="s">
        <v>259</v>
      </c>
      <c r="BY169" s="169" t="s">
        <v>259</v>
      </c>
      <c r="BZ169" s="169" t="s">
        <v>259</v>
      </c>
      <c r="CA169" s="169" t="s">
        <v>259</v>
      </c>
      <c r="CB169" s="169" t="s">
        <v>259</v>
      </c>
      <c r="CC169" s="169" t="s">
        <v>259</v>
      </c>
      <c r="CD169" s="169" t="s">
        <v>259</v>
      </c>
      <c r="CE169" s="169" t="s">
        <v>259</v>
      </c>
      <c r="CF169" s="169" t="s">
        <v>259</v>
      </c>
      <c r="CG169" s="169" t="s">
        <v>259</v>
      </c>
      <c r="CH169" s="169" t="s">
        <v>259</v>
      </c>
      <c r="CI169" s="169" t="s">
        <v>259</v>
      </c>
      <c r="CJ169" s="169" t="s">
        <v>259</v>
      </c>
      <c r="CK169" s="169" t="s">
        <v>259</v>
      </c>
      <c r="CL169" s="169" t="s">
        <v>259</v>
      </c>
      <c r="CM169" s="169" t="s">
        <v>259</v>
      </c>
      <c r="CN169" s="169" t="s">
        <v>259</v>
      </c>
      <c r="CO169" s="169" t="s">
        <v>259</v>
      </c>
      <c r="CP169" s="169" t="s">
        <v>259</v>
      </c>
      <c r="CQ169" s="169" t="s">
        <v>259</v>
      </c>
      <c r="CR169" s="169" t="s">
        <v>259</v>
      </c>
      <c r="CS169" s="169" t="s">
        <v>259</v>
      </c>
      <c r="CT169" s="169" t="s">
        <v>259</v>
      </c>
      <c r="CU169" s="169" t="s">
        <v>259</v>
      </c>
      <c r="CV169" s="169" t="s">
        <v>259</v>
      </c>
      <c r="CW169" s="169" t="s">
        <v>259</v>
      </c>
      <c r="CX169" s="169" t="s">
        <v>259</v>
      </c>
      <c r="CY169" s="169" t="s">
        <v>259</v>
      </c>
      <c r="CZ169" s="169" t="s">
        <v>259</v>
      </c>
      <c r="DA169" s="169" t="s">
        <v>259</v>
      </c>
      <c r="DB169" s="169" t="s">
        <v>259</v>
      </c>
      <c r="DC169" s="169" t="s">
        <v>259</v>
      </c>
      <c r="DD169" s="169" t="s">
        <v>259</v>
      </c>
      <c r="DE169" s="169" t="s">
        <v>259</v>
      </c>
      <c r="DF169" s="169" t="s">
        <v>259</v>
      </c>
      <c r="DG169" s="169" t="s">
        <v>259</v>
      </c>
      <c r="DH169" s="169" t="s">
        <v>259</v>
      </c>
      <c r="DI169" s="169" t="s">
        <v>259</v>
      </c>
      <c r="DJ169" s="169" t="s">
        <v>259</v>
      </c>
      <c r="DK169" s="169" t="s">
        <v>259</v>
      </c>
      <c r="DL169" s="169" t="s">
        <v>259</v>
      </c>
      <c r="DM169" s="169" t="s">
        <v>259</v>
      </c>
      <c r="DN169" s="169" t="s">
        <v>259</v>
      </c>
      <c r="DO169" s="169" t="s">
        <v>259</v>
      </c>
      <c r="DP169" s="169" t="s">
        <v>259</v>
      </c>
      <c r="DQ169" s="169" t="s">
        <v>259</v>
      </c>
      <c r="DR169" s="169" t="s">
        <v>259</v>
      </c>
      <c r="DS169" s="169" t="s">
        <v>259</v>
      </c>
      <c r="DT169" s="169" t="s">
        <v>259</v>
      </c>
    </row>
    <row r="170" spans="2:124" x14ac:dyDescent="0.3">
      <c r="B170" t="str">
        <f>'IMPORT SCHLIESSERDATEN'!B169</f>
        <v>ED 100 GSR, (1 ED Gangfl. -1 TS am Standfl.)</v>
      </c>
      <c r="D170" s="169" t="s">
        <v>259</v>
      </c>
      <c r="E170" s="169" t="s">
        <v>259</v>
      </c>
      <c r="F170" s="169" t="s">
        <v>259</v>
      </c>
      <c r="G170" s="169" t="s">
        <v>259</v>
      </c>
      <c r="H170" s="169" t="s">
        <v>259</v>
      </c>
      <c r="I170" s="169" t="s">
        <v>259</v>
      </c>
      <c r="J170" s="169" t="s">
        <v>259</v>
      </c>
      <c r="K170" s="169" t="s">
        <v>259</v>
      </c>
      <c r="L170" s="169" t="s">
        <v>259</v>
      </c>
      <c r="M170" s="169" t="s">
        <v>259</v>
      </c>
      <c r="N170" s="169" t="s">
        <v>259</v>
      </c>
      <c r="O170" s="169" t="s">
        <v>259</v>
      </c>
      <c r="P170" s="169" t="s">
        <v>259</v>
      </c>
      <c r="Q170" s="169" t="s">
        <v>259</v>
      </c>
      <c r="R170" s="169" t="s">
        <v>259</v>
      </c>
      <c r="S170" s="169" t="s">
        <v>259</v>
      </c>
      <c r="T170" s="169" t="s">
        <v>259</v>
      </c>
      <c r="U170" s="169" t="s">
        <v>259</v>
      </c>
      <c r="V170" s="169" t="s">
        <v>259</v>
      </c>
      <c r="W170" s="169" t="s">
        <v>259</v>
      </c>
      <c r="X170" s="169" t="s">
        <v>259</v>
      </c>
      <c r="Y170" s="169" t="s">
        <v>259</v>
      </c>
      <c r="Z170" s="169" t="s">
        <v>259</v>
      </c>
      <c r="AA170" s="169" t="s">
        <v>259</v>
      </c>
      <c r="AB170" s="169" t="s">
        <v>259</v>
      </c>
      <c r="AC170" s="169" t="s">
        <v>259</v>
      </c>
      <c r="AD170" s="169" t="s">
        <v>259</v>
      </c>
      <c r="AE170" s="169" t="s">
        <v>259</v>
      </c>
      <c r="AF170" s="169" t="s">
        <v>259</v>
      </c>
      <c r="AG170" s="169" t="s">
        <v>259</v>
      </c>
      <c r="AH170" s="169" t="s">
        <v>259</v>
      </c>
      <c r="AI170" s="169" t="s">
        <v>259</v>
      </c>
      <c r="AJ170" s="169" t="s">
        <v>259</v>
      </c>
      <c r="AK170" s="169" t="s">
        <v>259</v>
      </c>
      <c r="AL170" s="169" t="s">
        <v>259</v>
      </c>
      <c r="AM170" s="169" t="s">
        <v>259</v>
      </c>
      <c r="AN170" s="169" t="s">
        <v>259</v>
      </c>
      <c r="AO170" s="169" t="s">
        <v>259</v>
      </c>
      <c r="AP170" s="169" t="s">
        <v>259</v>
      </c>
      <c r="AQ170" s="169" t="s">
        <v>259</v>
      </c>
      <c r="AR170" s="169" t="s">
        <v>259</v>
      </c>
      <c r="AS170" s="169" t="s">
        <v>259</v>
      </c>
      <c r="AT170" s="169" t="s">
        <v>259</v>
      </c>
      <c r="AU170" s="169" t="s">
        <v>259</v>
      </c>
      <c r="AV170" s="169" t="s">
        <v>259</v>
      </c>
      <c r="AW170" s="169" t="s">
        <v>259</v>
      </c>
      <c r="AX170" s="169" t="s">
        <v>259</v>
      </c>
      <c r="AY170" s="169" t="s">
        <v>259</v>
      </c>
      <c r="AZ170" s="169" t="s">
        <v>259</v>
      </c>
      <c r="BA170" s="169" t="s">
        <v>259</v>
      </c>
      <c r="BB170" s="169" t="s">
        <v>259</v>
      </c>
      <c r="BC170" s="169" t="s">
        <v>259</v>
      </c>
      <c r="BD170" s="169" t="s">
        <v>259</v>
      </c>
      <c r="BE170" s="169" t="s">
        <v>259</v>
      </c>
      <c r="BF170" s="169" t="s">
        <v>259</v>
      </c>
      <c r="BG170" s="169" t="s">
        <v>259</v>
      </c>
      <c r="BH170" s="169" t="s">
        <v>259</v>
      </c>
      <c r="BI170" s="169" t="s">
        <v>259</v>
      </c>
      <c r="BJ170" s="169" t="s">
        <v>259</v>
      </c>
      <c r="BK170" s="169" t="s">
        <v>259</v>
      </c>
      <c r="BL170" s="169" t="s">
        <v>259</v>
      </c>
      <c r="BM170" s="169" t="s">
        <v>259</v>
      </c>
      <c r="BN170" s="169" t="s">
        <v>259</v>
      </c>
      <c r="BO170" s="169" t="s">
        <v>259</v>
      </c>
      <c r="BP170" s="169" t="s">
        <v>259</v>
      </c>
      <c r="BQ170" s="169" t="s">
        <v>259</v>
      </c>
      <c r="BR170" s="169" t="s">
        <v>259</v>
      </c>
      <c r="BS170" s="169" t="s">
        <v>259</v>
      </c>
      <c r="BT170" s="169" t="s">
        <v>259</v>
      </c>
      <c r="BU170" s="169" t="s">
        <v>259</v>
      </c>
      <c r="BV170" s="169" t="s">
        <v>259</v>
      </c>
      <c r="BW170" s="169" t="s">
        <v>259</v>
      </c>
      <c r="BX170" s="169" t="s">
        <v>259</v>
      </c>
      <c r="BY170" s="169" t="s">
        <v>259</v>
      </c>
      <c r="BZ170" s="169" t="s">
        <v>259</v>
      </c>
      <c r="CA170" s="169" t="s">
        <v>259</v>
      </c>
      <c r="CB170" s="169" t="s">
        <v>259</v>
      </c>
      <c r="CC170" s="169" t="s">
        <v>259</v>
      </c>
      <c r="CD170" s="169" t="s">
        <v>259</v>
      </c>
      <c r="CE170" s="169" t="s">
        <v>259</v>
      </c>
      <c r="CF170" s="169" t="s">
        <v>259</v>
      </c>
      <c r="CG170" s="169" t="s">
        <v>259</v>
      </c>
      <c r="CH170" s="169" t="s">
        <v>259</v>
      </c>
      <c r="CI170" s="169" t="s">
        <v>259</v>
      </c>
      <c r="CJ170" s="169" t="s">
        <v>259</v>
      </c>
      <c r="CK170" s="169" t="s">
        <v>259</v>
      </c>
      <c r="CL170" s="169" t="s">
        <v>259</v>
      </c>
      <c r="CM170" s="169" t="s">
        <v>259</v>
      </c>
      <c r="CN170" s="169" t="s">
        <v>259</v>
      </c>
      <c r="CO170" s="169" t="s">
        <v>259</v>
      </c>
      <c r="CP170" s="169" t="s">
        <v>259</v>
      </c>
      <c r="CQ170" s="169" t="s">
        <v>259</v>
      </c>
      <c r="CR170" s="169" t="s">
        <v>259</v>
      </c>
      <c r="CS170" s="169" t="s">
        <v>259</v>
      </c>
      <c r="CT170" s="169" t="s">
        <v>259</v>
      </c>
      <c r="CU170" s="169" t="s">
        <v>259</v>
      </c>
      <c r="CV170" s="169" t="s">
        <v>259</v>
      </c>
      <c r="CW170" s="169" t="s">
        <v>259</v>
      </c>
      <c r="CX170" s="169" t="s">
        <v>259</v>
      </c>
      <c r="CY170" s="169" t="s">
        <v>259</v>
      </c>
      <c r="CZ170" s="169" t="s">
        <v>259</v>
      </c>
      <c r="DA170" s="169" t="s">
        <v>259</v>
      </c>
      <c r="DB170" s="169" t="s">
        <v>259</v>
      </c>
      <c r="DC170" s="169" t="s">
        <v>259</v>
      </c>
      <c r="DD170" s="169" t="s">
        <v>259</v>
      </c>
      <c r="DE170" s="169" t="s">
        <v>259</v>
      </c>
      <c r="DF170" s="169" t="s">
        <v>259</v>
      </c>
      <c r="DG170" s="169" t="s">
        <v>259</v>
      </c>
      <c r="DH170" s="169" t="s">
        <v>259</v>
      </c>
      <c r="DI170" s="169" t="s">
        <v>259</v>
      </c>
      <c r="DJ170" s="169" t="s">
        <v>259</v>
      </c>
      <c r="DK170" s="169" t="s">
        <v>259</v>
      </c>
      <c r="DL170" s="169" t="s">
        <v>259</v>
      </c>
      <c r="DM170" s="169" t="s">
        <v>259</v>
      </c>
      <c r="DN170" s="169" t="s">
        <v>259</v>
      </c>
      <c r="DO170" s="169" t="s">
        <v>259</v>
      </c>
      <c r="DP170" s="169" t="s">
        <v>259</v>
      </c>
      <c r="DQ170" s="169" t="s">
        <v>259</v>
      </c>
      <c r="DR170" s="169" t="s">
        <v>259</v>
      </c>
      <c r="DS170" s="169" t="s">
        <v>259</v>
      </c>
      <c r="DT170" s="169" t="s">
        <v>259</v>
      </c>
    </row>
    <row r="171" spans="2:124" x14ac:dyDescent="0.3">
      <c r="B171" t="str">
        <f>'IMPORT SCHLIESSERDATEN'!B170</f>
        <v>ED 100 zweiflüglig, getrennt Gangfl.</v>
      </c>
      <c r="D171" s="169" t="s">
        <v>259</v>
      </c>
      <c r="E171" s="169" t="s">
        <v>259</v>
      </c>
      <c r="F171" s="169" t="s">
        <v>259</v>
      </c>
      <c r="G171" s="169" t="s">
        <v>259</v>
      </c>
      <c r="H171" s="169" t="s">
        <v>259</v>
      </c>
      <c r="I171" s="169" t="s">
        <v>259</v>
      </c>
      <c r="J171" s="169" t="s">
        <v>259</v>
      </c>
      <c r="K171" s="169" t="s">
        <v>259</v>
      </c>
      <c r="L171" s="169" t="s">
        <v>259</v>
      </c>
      <c r="M171" s="169" t="s">
        <v>259</v>
      </c>
      <c r="N171" s="169" t="s">
        <v>259</v>
      </c>
      <c r="O171" s="169" t="s">
        <v>259</v>
      </c>
      <c r="P171" s="169" t="s">
        <v>259</v>
      </c>
      <c r="Q171" s="169" t="s">
        <v>259</v>
      </c>
      <c r="R171" s="169" t="s">
        <v>259</v>
      </c>
      <c r="S171" s="169" t="s">
        <v>259</v>
      </c>
      <c r="T171" s="169" t="s">
        <v>259</v>
      </c>
      <c r="U171" s="169" t="s">
        <v>259</v>
      </c>
      <c r="V171" s="169" t="s">
        <v>259</v>
      </c>
      <c r="W171" s="169" t="s">
        <v>259</v>
      </c>
      <c r="X171" s="169" t="s">
        <v>259</v>
      </c>
      <c r="Y171" s="169" t="s">
        <v>259</v>
      </c>
      <c r="Z171" s="169" t="s">
        <v>259</v>
      </c>
      <c r="AA171" s="169" t="s">
        <v>259</v>
      </c>
      <c r="AB171" s="169" t="s">
        <v>259</v>
      </c>
      <c r="AC171" s="169" t="s">
        <v>259</v>
      </c>
      <c r="AD171" s="169" t="s">
        <v>259</v>
      </c>
      <c r="AE171" s="169" t="s">
        <v>259</v>
      </c>
      <c r="AF171" s="169" t="s">
        <v>259</v>
      </c>
      <c r="AG171" s="169" t="s">
        <v>259</v>
      </c>
      <c r="AH171" s="169" t="s">
        <v>259</v>
      </c>
      <c r="AI171" s="169" t="s">
        <v>259</v>
      </c>
      <c r="AJ171" s="169" t="s">
        <v>259</v>
      </c>
      <c r="AK171" s="169" t="s">
        <v>259</v>
      </c>
      <c r="AL171" s="169" t="s">
        <v>259</v>
      </c>
      <c r="AM171" s="169" t="s">
        <v>259</v>
      </c>
      <c r="AN171" s="169" t="s">
        <v>259</v>
      </c>
      <c r="AO171" s="169" t="s">
        <v>259</v>
      </c>
      <c r="AP171" s="169" t="s">
        <v>259</v>
      </c>
      <c r="AQ171" s="169" t="s">
        <v>259</v>
      </c>
      <c r="AR171" s="169" t="s">
        <v>259</v>
      </c>
      <c r="AS171" s="169" t="s">
        <v>259</v>
      </c>
      <c r="AT171" s="169" t="s">
        <v>259</v>
      </c>
      <c r="AU171" s="169" t="s">
        <v>259</v>
      </c>
      <c r="AV171" s="169" t="s">
        <v>259</v>
      </c>
      <c r="AW171" s="169" t="s">
        <v>259</v>
      </c>
      <c r="AX171" s="169" t="s">
        <v>259</v>
      </c>
      <c r="AY171" s="169" t="s">
        <v>259</v>
      </c>
      <c r="AZ171" s="169" t="s">
        <v>259</v>
      </c>
      <c r="BA171" s="169" t="s">
        <v>259</v>
      </c>
      <c r="BB171" s="169" t="s">
        <v>259</v>
      </c>
      <c r="BC171" s="169" t="s">
        <v>259</v>
      </c>
      <c r="BD171" s="169" t="s">
        <v>259</v>
      </c>
      <c r="BE171" s="169" t="s">
        <v>259</v>
      </c>
      <c r="BF171" s="169" t="s">
        <v>259</v>
      </c>
      <c r="BG171" s="169" t="s">
        <v>259</v>
      </c>
      <c r="BH171" s="169" t="s">
        <v>259</v>
      </c>
      <c r="BI171" s="169" t="s">
        <v>259</v>
      </c>
      <c r="BJ171" s="169" t="s">
        <v>259</v>
      </c>
      <c r="BK171" s="169" t="s">
        <v>259</v>
      </c>
      <c r="BL171" s="169" t="s">
        <v>259</v>
      </c>
      <c r="BM171" s="169" t="s">
        <v>259</v>
      </c>
      <c r="BN171" s="169" t="s">
        <v>259</v>
      </c>
      <c r="BO171" s="169" t="s">
        <v>259</v>
      </c>
      <c r="BP171" s="169" t="s">
        <v>259</v>
      </c>
      <c r="BQ171" s="169" t="s">
        <v>259</v>
      </c>
      <c r="BR171" s="169" t="s">
        <v>259</v>
      </c>
      <c r="BS171" s="169" t="s">
        <v>259</v>
      </c>
      <c r="BT171" s="169" t="s">
        <v>259</v>
      </c>
      <c r="BU171" s="169" t="s">
        <v>259</v>
      </c>
      <c r="BV171" s="169" t="s">
        <v>259</v>
      </c>
      <c r="BW171" s="169" t="s">
        <v>259</v>
      </c>
      <c r="BX171" s="169" t="s">
        <v>259</v>
      </c>
      <c r="BY171" s="169" t="s">
        <v>259</v>
      </c>
      <c r="BZ171" s="169" t="s">
        <v>259</v>
      </c>
      <c r="CA171" s="169" t="s">
        <v>259</v>
      </c>
      <c r="CB171" s="169" t="s">
        <v>259</v>
      </c>
      <c r="CC171" s="169" t="s">
        <v>259</v>
      </c>
      <c r="CD171" s="169" t="s">
        <v>259</v>
      </c>
      <c r="CE171" s="169" t="s">
        <v>259</v>
      </c>
      <c r="CF171" s="169" t="s">
        <v>259</v>
      </c>
      <c r="CG171" s="169" t="s">
        <v>259</v>
      </c>
      <c r="CH171" s="169" t="s">
        <v>259</v>
      </c>
      <c r="CI171" s="169" t="s">
        <v>259</v>
      </c>
      <c r="CJ171" s="169" t="s">
        <v>259</v>
      </c>
      <c r="CK171" s="169" t="s">
        <v>259</v>
      </c>
      <c r="CL171" s="169" t="s">
        <v>259</v>
      </c>
      <c r="CM171" s="169" t="s">
        <v>259</v>
      </c>
      <c r="CN171" s="169" t="s">
        <v>259</v>
      </c>
      <c r="CO171" s="169" t="s">
        <v>259</v>
      </c>
      <c r="CP171" s="169" t="s">
        <v>259</v>
      </c>
      <c r="CQ171" s="169" t="s">
        <v>259</v>
      </c>
      <c r="CR171" s="169" t="s">
        <v>259</v>
      </c>
      <c r="CS171" s="169" t="s">
        <v>259</v>
      </c>
      <c r="CT171" s="169" t="s">
        <v>259</v>
      </c>
      <c r="CU171" s="169" t="s">
        <v>259</v>
      </c>
      <c r="CV171" s="169" t="s">
        <v>259</v>
      </c>
      <c r="CW171" s="169" t="s">
        <v>259</v>
      </c>
      <c r="CX171" s="169" t="s">
        <v>259</v>
      </c>
      <c r="CY171" s="169" t="s">
        <v>259</v>
      </c>
      <c r="CZ171" s="169" t="s">
        <v>259</v>
      </c>
      <c r="DA171" s="169" t="s">
        <v>259</v>
      </c>
      <c r="DB171" s="169" t="s">
        <v>259</v>
      </c>
      <c r="DC171" s="169" t="s">
        <v>259</v>
      </c>
      <c r="DD171" s="169" t="s">
        <v>259</v>
      </c>
      <c r="DE171" s="169" t="s">
        <v>259</v>
      </c>
      <c r="DF171" s="169" t="s">
        <v>259</v>
      </c>
      <c r="DG171" s="169" t="s">
        <v>259</v>
      </c>
      <c r="DH171" s="169" t="s">
        <v>259</v>
      </c>
      <c r="DI171" s="169" t="s">
        <v>259</v>
      </c>
      <c r="DJ171" s="169" t="s">
        <v>259</v>
      </c>
      <c r="DK171" s="169" t="s">
        <v>259</v>
      </c>
      <c r="DL171" s="169" t="s">
        <v>259</v>
      </c>
      <c r="DM171" s="169" t="s">
        <v>259</v>
      </c>
      <c r="DN171" s="169" t="s">
        <v>259</v>
      </c>
      <c r="DO171" s="169" t="s">
        <v>259</v>
      </c>
      <c r="DP171" s="169" t="s">
        <v>259</v>
      </c>
      <c r="DQ171" s="169" t="s">
        <v>259</v>
      </c>
      <c r="DR171" s="169" t="s">
        <v>259</v>
      </c>
      <c r="DS171" s="169" t="s">
        <v>259</v>
      </c>
      <c r="DT171" s="169" t="s">
        <v>259</v>
      </c>
    </row>
    <row r="172" spans="2:124" x14ac:dyDescent="0.3">
      <c r="B172" t="str">
        <f>'IMPORT SCHLIESSERDATEN'!B171</f>
        <v>ED 100 zweiflüglig, ESR Gangfl.</v>
      </c>
      <c r="D172" s="169" t="s">
        <v>259</v>
      </c>
      <c r="E172" s="169" t="s">
        <v>259</v>
      </c>
      <c r="F172" s="169" t="s">
        <v>259</v>
      </c>
      <c r="G172" s="169" t="s">
        <v>259</v>
      </c>
      <c r="H172" s="169" t="s">
        <v>259</v>
      </c>
      <c r="I172" s="169" t="s">
        <v>259</v>
      </c>
      <c r="J172" s="169" t="s">
        <v>259</v>
      </c>
      <c r="K172" s="169" t="s">
        <v>259</v>
      </c>
      <c r="L172" s="169" t="s">
        <v>259</v>
      </c>
      <c r="M172" s="169" t="s">
        <v>259</v>
      </c>
      <c r="N172" s="169" t="s">
        <v>259</v>
      </c>
      <c r="O172" s="169" t="s">
        <v>259</v>
      </c>
      <c r="P172" s="169" t="s">
        <v>259</v>
      </c>
      <c r="Q172" s="169" t="s">
        <v>259</v>
      </c>
      <c r="R172" s="169" t="s">
        <v>259</v>
      </c>
      <c r="S172" s="169" t="s">
        <v>259</v>
      </c>
      <c r="T172" s="169" t="s">
        <v>259</v>
      </c>
      <c r="U172" s="169" t="s">
        <v>259</v>
      </c>
      <c r="V172" s="169" t="s">
        <v>259</v>
      </c>
      <c r="W172" s="169" t="s">
        <v>259</v>
      </c>
      <c r="X172" s="169" t="s">
        <v>259</v>
      </c>
      <c r="Y172" s="169" t="s">
        <v>259</v>
      </c>
      <c r="Z172" s="169" t="s">
        <v>259</v>
      </c>
      <c r="AA172" s="169" t="s">
        <v>259</v>
      </c>
      <c r="AB172" s="169" t="s">
        <v>259</v>
      </c>
      <c r="AC172" s="169" t="s">
        <v>259</v>
      </c>
      <c r="AD172" s="169" t="s">
        <v>259</v>
      </c>
      <c r="AE172" s="169" t="s">
        <v>259</v>
      </c>
      <c r="AF172" s="169" t="s">
        <v>259</v>
      </c>
      <c r="AG172" s="169" t="s">
        <v>259</v>
      </c>
      <c r="AH172" s="169" t="s">
        <v>259</v>
      </c>
      <c r="AI172" s="169" t="s">
        <v>259</v>
      </c>
      <c r="AJ172" s="169" t="s">
        <v>259</v>
      </c>
      <c r="AK172" s="169" t="s">
        <v>259</v>
      </c>
      <c r="AL172" s="169" t="s">
        <v>259</v>
      </c>
      <c r="AM172" s="169" t="s">
        <v>259</v>
      </c>
      <c r="AN172" s="169" t="s">
        <v>259</v>
      </c>
      <c r="AO172" s="169" t="s">
        <v>259</v>
      </c>
      <c r="AP172" s="169" t="s">
        <v>259</v>
      </c>
      <c r="AQ172" s="169" t="s">
        <v>259</v>
      </c>
      <c r="AR172" s="169" t="s">
        <v>259</v>
      </c>
      <c r="AS172" s="169" t="s">
        <v>259</v>
      </c>
      <c r="AT172" s="169" t="s">
        <v>259</v>
      </c>
      <c r="AU172" s="169" t="s">
        <v>259</v>
      </c>
      <c r="AV172" s="169" t="s">
        <v>259</v>
      </c>
      <c r="AW172" s="169" t="s">
        <v>259</v>
      </c>
      <c r="AX172" s="169" t="s">
        <v>259</v>
      </c>
      <c r="AY172" s="169" t="s">
        <v>259</v>
      </c>
      <c r="AZ172" s="169" t="s">
        <v>259</v>
      </c>
      <c r="BA172" s="169" t="s">
        <v>259</v>
      </c>
      <c r="BB172" s="169" t="s">
        <v>259</v>
      </c>
      <c r="BC172" s="169" t="s">
        <v>259</v>
      </c>
      <c r="BD172" s="169" t="s">
        <v>259</v>
      </c>
      <c r="BE172" s="169" t="s">
        <v>259</v>
      </c>
      <c r="BF172" s="169" t="s">
        <v>259</v>
      </c>
      <c r="BG172" s="169" t="s">
        <v>259</v>
      </c>
      <c r="BH172" s="169" t="s">
        <v>259</v>
      </c>
      <c r="BI172" s="169" t="s">
        <v>259</v>
      </c>
      <c r="BJ172" s="169" t="s">
        <v>259</v>
      </c>
      <c r="BK172" s="169" t="s">
        <v>259</v>
      </c>
      <c r="BL172" s="169" t="s">
        <v>259</v>
      </c>
      <c r="BM172" s="169" t="s">
        <v>259</v>
      </c>
      <c r="BN172" s="169" t="s">
        <v>259</v>
      </c>
      <c r="BO172" s="169" t="s">
        <v>259</v>
      </c>
      <c r="BP172" s="169" t="s">
        <v>259</v>
      </c>
      <c r="BQ172" s="169" t="s">
        <v>259</v>
      </c>
      <c r="BR172" s="169" t="s">
        <v>259</v>
      </c>
      <c r="BS172" s="169" t="s">
        <v>259</v>
      </c>
      <c r="BT172" s="169" t="s">
        <v>259</v>
      </c>
      <c r="BU172" s="169" t="s">
        <v>259</v>
      </c>
      <c r="BV172" s="169" t="s">
        <v>259</v>
      </c>
      <c r="BW172" s="169" t="s">
        <v>259</v>
      </c>
      <c r="BX172" s="169" t="s">
        <v>259</v>
      </c>
      <c r="BY172" s="169" t="s">
        <v>259</v>
      </c>
      <c r="BZ172" s="169" t="s">
        <v>259</v>
      </c>
      <c r="CA172" s="169" t="s">
        <v>259</v>
      </c>
      <c r="CB172" s="169" t="s">
        <v>259</v>
      </c>
      <c r="CC172" s="169" t="s">
        <v>259</v>
      </c>
      <c r="CD172" s="169" t="s">
        <v>259</v>
      </c>
      <c r="CE172" s="169" t="s">
        <v>259</v>
      </c>
      <c r="CF172" s="169" t="s">
        <v>259</v>
      </c>
      <c r="CG172" s="169" t="s">
        <v>259</v>
      </c>
      <c r="CH172" s="169" t="s">
        <v>259</v>
      </c>
      <c r="CI172" s="169" t="s">
        <v>259</v>
      </c>
      <c r="CJ172" s="169" t="s">
        <v>259</v>
      </c>
      <c r="CK172" s="169" t="s">
        <v>259</v>
      </c>
      <c r="CL172" s="169" t="s">
        <v>259</v>
      </c>
      <c r="CM172" s="169" t="s">
        <v>259</v>
      </c>
      <c r="CN172" s="169" t="s">
        <v>259</v>
      </c>
      <c r="CO172" s="169" t="s">
        <v>259</v>
      </c>
      <c r="CP172" s="169" t="s">
        <v>259</v>
      </c>
      <c r="CQ172" s="169" t="s">
        <v>259</v>
      </c>
      <c r="CR172" s="169" t="s">
        <v>259</v>
      </c>
      <c r="CS172" s="169" t="s">
        <v>259</v>
      </c>
      <c r="CT172" s="169" t="s">
        <v>259</v>
      </c>
      <c r="CU172" s="169" t="s">
        <v>259</v>
      </c>
      <c r="CV172" s="169" t="s">
        <v>259</v>
      </c>
      <c r="CW172" s="169" t="s">
        <v>259</v>
      </c>
      <c r="CX172" s="169" t="s">
        <v>259</v>
      </c>
      <c r="CY172" s="169" t="s">
        <v>259</v>
      </c>
      <c r="CZ172" s="169" t="s">
        <v>259</v>
      </c>
      <c r="DA172" s="169" t="s">
        <v>259</v>
      </c>
      <c r="DB172" s="169" t="s">
        <v>259</v>
      </c>
      <c r="DC172" s="169" t="s">
        <v>259</v>
      </c>
      <c r="DD172" s="169" t="s">
        <v>259</v>
      </c>
      <c r="DE172" s="169" t="s">
        <v>259</v>
      </c>
      <c r="DF172" s="169" t="s">
        <v>259</v>
      </c>
      <c r="DG172" s="169" t="s">
        <v>259</v>
      </c>
      <c r="DH172" s="169" t="s">
        <v>259</v>
      </c>
      <c r="DI172" s="169" t="s">
        <v>259</v>
      </c>
      <c r="DJ172" s="169" t="s">
        <v>259</v>
      </c>
      <c r="DK172" s="169" t="s">
        <v>259</v>
      </c>
      <c r="DL172" s="169" t="s">
        <v>259</v>
      </c>
      <c r="DM172" s="169" t="s">
        <v>259</v>
      </c>
      <c r="DN172" s="169" t="s">
        <v>259</v>
      </c>
      <c r="DO172" s="169" t="s">
        <v>259</v>
      </c>
      <c r="DP172" s="169" t="s">
        <v>259</v>
      </c>
      <c r="DQ172" s="169" t="s">
        <v>259</v>
      </c>
      <c r="DR172" s="169" t="s">
        <v>259</v>
      </c>
      <c r="DS172" s="169" t="s">
        <v>259</v>
      </c>
      <c r="DT172" s="169" t="s">
        <v>259</v>
      </c>
    </row>
    <row r="173" spans="2:124" x14ac:dyDescent="0.3">
      <c r="B173" t="str">
        <f>'IMPORT SCHLIESSERDATEN'!B172</f>
        <v>ED 100 mit Gleitschiene Standfl.</v>
      </c>
      <c r="D173" s="169" t="s">
        <v>259</v>
      </c>
      <c r="E173" s="169" t="s">
        <v>259</v>
      </c>
      <c r="F173" s="169" t="s">
        <v>259</v>
      </c>
      <c r="G173" s="169" t="s">
        <v>259</v>
      </c>
      <c r="H173" s="169" t="s">
        <v>259</v>
      </c>
      <c r="I173" s="169" t="s">
        <v>259</v>
      </c>
      <c r="J173" s="169" t="s">
        <v>259</v>
      </c>
      <c r="K173" s="169" t="s">
        <v>259</v>
      </c>
      <c r="L173" s="169" t="s">
        <v>259</v>
      </c>
      <c r="M173" s="169" t="s">
        <v>259</v>
      </c>
      <c r="N173" s="169" t="s">
        <v>259</v>
      </c>
      <c r="O173" s="169" t="s">
        <v>259</v>
      </c>
      <c r="P173" s="169" t="s">
        <v>259</v>
      </c>
      <c r="Q173" s="169" t="s">
        <v>259</v>
      </c>
      <c r="R173" s="169" t="s">
        <v>259</v>
      </c>
      <c r="S173" s="169" t="s">
        <v>259</v>
      </c>
      <c r="T173" s="169" t="s">
        <v>259</v>
      </c>
      <c r="U173" s="169" t="s">
        <v>259</v>
      </c>
      <c r="V173" s="169" t="s">
        <v>259</v>
      </c>
      <c r="W173" s="169" t="s">
        <v>259</v>
      </c>
      <c r="X173" s="169" t="s">
        <v>259</v>
      </c>
      <c r="Y173" s="169" t="s">
        <v>259</v>
      </c>
      <c r="Z173" s="169" t="s">
        <v>259</v>
      </c>
      <c r="AA173" s="169" t="s">
        <v>259</v>
      </c>
      <c r="AB173" s="169" t="s">
        <v>259</v>
      </c>
      <c r="AC173" s="169" t="s">
        <v>259</v>
      </c>
      <c r="AD173" s="169" t="s">
        <v>259</v>
      </c>
      <c r="AE173" s="169" t="s">
        <v>259</v>
      </c>
      <c r="AF173" s="169" t="s">
        <v>259</v>
      </c>
      <c r="AG173" s="169" t="s">
        <v>259</v>
      </c>
      <c r="AH173" s="169" t="s">
        <v>259</v>
      </c>
      <c r="AI173" s="169" t="s">
        <v>259</v>
      </c>
      <c r="AJ173" s="169" t="s">
        <v>259</v>
      </c>
      <c r="AK173" s="169" t="s">
        <v>259</v>
      </c>
      <c r="AL173" s="169" t="s">
        <v>259</v>
      </c>
      <c r="AM173" s="169" t="s">
        <v>259</v>
      </c>
      <c r="AN173" s="169" t="s">
        <v>259</v>
      </c>
      <c r="AO173" s="169" t="s">
        <v>259</v>
      </c>
      <c r="AP173" s="169" t="s">
        <v>259</v>
      </c>
      <c r="AQ173" s="169" t="s">
        <v>259</v>
      </c>
      <c r="AR173" s="169" t="s">
        <v>259</v>
      </c>
      <c r="AS173" s="169" t="s">
        <v>259</v>
      </c>
      <c r="AT173" s="169" t="s">
        <v>259</v>
      </c>
      <c r="AU173" s="169" t="s">
        <v>259</v>
      </c>
      <c r="AV173" s="169" t="s">
        <v>259</v>
      </c>
      <c r="AW173" s="169" t="s">
        <v>259</v>
      </c>
      <c r="AX173" s="169" t="s">
        <v>259</v>
      </c>
      <c r="AY173" s="169" t="s">
        <v>259</v>
      </c>
      <c r="AZ173" s="169" t="s">
        <v>259</v>
      </c>
      <c r="BA173" s="169" t="s">
        <v>259</v>
      </c>
      <c r="BB173" s="169" t="s">
        <v>259</v>
      </c>
      <c r="BC173" s="169" t="s">
        <v>259</v>
      </c>
      <c r="BD173" s="169" t="s">
        <v>259</v>
      </c>
      <c r="BE173" s="169" t="s">
        <v>259</v>
      </c>
      <c r="BF173" s="169" t="s">
        <v>259</v>
      </c>
      <c r="BG173" s="169" t="s">
        <v>259</v>
      </c>
      <c r="BH173" s="169" t="s">
        <v>259</v>
      </c>
      <c r="BI173" s="169" t="s">
        <v>259</v>
      </c>
      <c r="BJ173" s="169" t="s">
        <v>259</v>
      </c>
      <c r="BK173" s="169" t="s">
        <v>259</v>
      </c>
      <c r="BL173" s="169" t="s">
        <v>259</v>
      </c>
      <c r="BM173" s="169" t="s">
        <v>259</v>
      </c>
      <c r="BN173" s="169" t="s">
        <v>259</v>
      </c>
      <c r="BO173" s="169" t="s">
        <v>259</v>
      </c>
      <c r="BP173" s="169" t="s">
        <v>259</v>
      </c>
      <c r="BQ173" s="169" t="s">
        <v>259</v>
      </c>
      <c r="BR173" s="169" t="s">
        <v>259</v>
      </c>
      <c r="BS173" s="169" t="s">
        <v>259</v>
      </c>
      <c r="BT173" s="169" t="s">
        <v>259</v>
      </c>
      <c r="BU173" s="169" t="s">
        <v>259</v>
      </c>
      <c r="BV173" s="169" t="s">
        <v>259</v>
      </c>
      <c r="BW173" s="169" t="s">
        <v>259</v>
      </c>
      <c r="BX173" s="169" t="s">
        <v>259</v>
      </c>
      <c r="BY173" s="169" t="s">
        <v>259</v>
      </c>
      <c r="BZ173" s="169" t="s">
        <v>259</v>
      </c>
      <c r="CA173" s="169" t="s">
        <v>259</v>
      </c>
      <c r="CB173" s="169" t="s">
        <v>259</v>
      </c>
      <c r="CC173" s="169" t="s">
        <v>259</v>
      </c>
      <c r="CD173" s="169" t="s">
        <v>259</v>
      </c>
      <c r="CE173" s="169" t="s">
        <v>259</v>
      </c>
      <c r="CF173" s="169" t="s">
        <v>259</v>
      </c>
      <c r="CG173" s="169" t="s">
        <v>259</v>
      </c>
      <c r="CH173" s="169" t="s">
        <v>259</v>
      </c>
      <c r="CI173" s="169" t="s">
        <v>259</v>
      </c>
      <c r="CJ173" s="169" t="s">
        <v>259</v>
      </c>
      <c r="CK173" s="169" t="s">
        <v>259</v>
      </c>
      <c r="CL173" s="169" t="s">
        <v>259</v>
      </c>
      <c r="CM173" s="169" t="s">
        <v>259</v>
      </c>
      <c r="CN173" s="169" t="s">
        <v>259</v>
      </c>
      <c r="CO173" s="169" t="s">
        <v>259</v>
      </c>
      <c r="CP173" s="169" t="s">
        <v>259</v>
      </c>
      <c r="CQ173" s="169" t="s">
        <v>259</v>
      </c>
      <c r="CR173" s="169" t="s">
        <v>259</v>
      </c>
      <c r="CS173" s="169" t="s">
        <v>259</v>
      </c>
      <c r="CT173" s="169" t="s">
        <v>259</v>
      </c>
      <c r="CU173" s="169" t="s">
        <v>259</v>
      </c>
      <c r="CV173" s="169" t="s">
        <v>259</v>
      </c>
      <c r="CW173" s="169" t="s">
        <v>259</v>
      </c>
      <c r="CX173" s="169" t="s">
        <v>259</v>
      </c>
      <c r="CY173" s="169" t="s">
        <v>259</v>
      </c>
      <c r="CZ173" s="169" t="s">
        <v>259</v>
      </c>
      <c r="DA173" s="169" t="s">
        <v>259</v>
      </c>
      <c r="DB173" s="169" t="s">
        <v>259</v>
      </c>
      <c r="DC173" s="169" t="s">
        <v>259</v>
      </c>
      <c r="DD173" s="169" t="s">
        <v>259</v>
      </c>
      <c r="DE173" s="169" t="s">
        <v>259</v>
      </c>
      <c r="DF173" s="169" t="s">
        <v>259</v>
      </c>
      <c r="DG173" s="169" t="s">
        <v>259</v>
      </c>
      <c r="DH173" s="169" t="s">
        <v>259</v>
      </c>
      <c r="DI173" s="169" t="s">
        <v>259</v>
      </c>
      <c r="DJ173" s="169" t="s">
        <v>259</v>
      </c>
      <c r="DK173" s="169" t="s">
        <v>259</v>
      </c>
      <c r="DL173" s="169" t="s">
        <v>259</v>
      </c>
      <c r="DM173" s="169" t="s">
        <v>259</v>
      </c>
      <c r="DN173" s="169" t="s">
        <v>259</v>
      </c>
      <c r="DO173" s="169" t="s">
        <v>259</v>
      </c>
      <c r="DP173" s="169" t="s">
        <v>259</v>
      </c>
      <c r="DQ173" s="169" t="s">
        <v>259</v>
      </c>
      <c r="DR173" s="169" t="s">
        <v>259</v>
      </c>
      <c r="DS173" s="169" t="s">
        <v>259</v>
      </c>
      <c r="DT173" s="169" t="s">
        <v>259</v>
      </c>
    </row>
    <row r="174" spans="2:124" x14ac:dyDescent="0.3">
      <c r="B174" t="str">
        <f>'IMPORT SCHLIESSERDATEN'!B173</f>
        <v>ED250 G N</v>
      </c>
      <c r="D174" s="169" t="s">
        <v>259</v>
      </c>
      <c r="E174" s="169" t="s">
        <v>259</v>
      </c>
      <c r="F174" s="169" t="s">
        <v>259</v>
      </c>
      <c r="G174" s="169" t="s">
        <v>259</v>
      </c>
      <c r="H174" s="169" t="s">
        <v>259</v>
      </c>
      <c r="I174" s="169" t="s">
        <v>259</v>
      </c>
      <c r="J174" s="169" t="s">
        <v>259</v>
      </c>
      <c r="K174" s="169" t="s">
        <v>259</v>
      </c>
      <c r="L174" s="169" t="s">
        <v>259</v>
      </c>
      <c r="M174" s="169" t="s">
        <v>259</v>
      </c>
      <c r="N174" s="169" t="s">
        <v>259</v>
      </c>
      <c r="O174" s="169" t="s">
        <v>259</v>
      </c>
      <c r="P174" s="169" t="s">
        <v>259</v>
      </c>
      <c r="Q174" s="169" t="s">
        <v>259</v>
      </c>
      <c r="R174" s="169" t="s">
        <v>259</v>
      </c>
      <c r="S174" s="169" t="s">
        <v>259</v>
      </c>
      <c r="T174" s="169" t="s">
        <v>259</v>
      </c>
      <c r="U174" s="169" t="s">
        <v>259</v>
      </c>
      <c r="V174" s="169" t="s">
        <v>259</v>
      </c>
      <c r="W174" s="169" t="s">
        <v>259</v>
      </c>
      <c r="X174" s="169" t="s">
        <v>259</v>
      </c>
      <c r="Y174" s="169" t="s">
        <v>259</v>
      </c>
      <c r="Z174" s="169" t="s">
        <v>259</v>
      </c>
      <c r="AA174" s="169" t="s">
        <v>259</v>
      </c>
      <c r="AB174" s="169" t="s">
        <v>259</v>
      </c>
      <c r="AC174" s="169" t="s">
        <v>259</v>
      </c>
      <c r="AD174" s="169" t="s">
        <v>259</v>
      </c>
      <c r="AE174" s="169" t="s">
        <v>259</v>
      </c>
      <c r="AF174" s="169" t="s">
        <v>259</v>
      </c>
      <c r="AG174" s="169" t="s">
        <v>259</v>
      </c>
      <c r="AH174" s="169" t="s">
        <v>259</v>
      </c>
      <c r="AI174" s="169" t="s">
        <v>259</v>
      </c>
      <c r="AJ174" s="169" t="s">
        <v>259</v>
      </c>
      <c r="AK174" s="169" t="s">
        <v>259</v>
      </c>
      <c r="AL174" s="169" t="s">
        <v>259</v>
      </c>
      <c r="AM174" s="169" t="s">
        <v>259</v>
      </c>
      <c r="AN174" s="169" t="s">
        <v>259</v>
      </c>
      <c r="AO174" s="169" t="s">
        <v>259</v>
      </c>
      <c r="AP174" s="169" t="s">
        <v>259</v>
      </c>
      <c r="AQ174" s="169" t="s">
        <v>259</v>
      </c>
      <c r="AR174" s="169" t="s">
        <v>259</v>
      </c>
      <c r="AS174" s="169" t="s">
        <v>259</v>
      </c>
      <c r="AT174" s="169" t="s">
        <v>259</v>
      </c>
      <c r="AU174" s="169" t="s">
        <v>259</v>
      </c>
      <c r="AV174" s="169" t="s">
        <v>259</v>
      </c>
      <c r="AW174" s="169" t="s">
        <v>259</v>
      </c>
      <c r="AX174" s="169" t="s">
        <v>259</v>
      </c>
      <c r="AY174" s="169" t="s">
        <v>259</v>
      </c>
      <c r="AZ174" s="169" t="s">
        <v>259</v>
      </c>
      <c r="BA174" s="169" t="s">
        <v>259</v>
      </c>
      <c r="BB174" s="169" t="s">
        <v>259</v>
      </c>
      <c r="BC174" s="169" t="s">
        <v>259</v>
      </c>
      <c r="BD174" s="169" t="s">
        <v>259</v>
      </c>
      <c r="BE174" s="169" t="s">
        <v>259</v>
      </c>
      <c r="BF174" s="169" t="s">
        <v>259</v>
      </c>
      <c r="BG174" s="169" t="s">
        <v>259</v>
      </c>
      <c r="BH174" s="169" t="s">
        <v>259</v>
      </c>
      <c r="BI174" s="169" t="s">
        <v>259</v>
      </c>
      <c r="BJ174" s="169" t="s">
        <v>259</v>
      </c>
      <c r="BK174" s="169" t="s">
        <v>259</v>
      </c>
      <c r="BL174" s="169" t="s">
        <v>259</v>
      </c>
      <c r="BM174" s="169" t="s">
        <v>259</v>
      </c>
      <c r="BN174" s="169" t="s">
        <v>259</v>
      </c>
      <c r="BO174" s="169" t="s">
        <v>259</v>
      </c>
      <c r="BP174" s="169" t="s">
        <v>259</v>
      </c>
      <c r="BQ174" s="169" t="s">
        <v>259</v>
      </c>
      <c r="BR174" s="169" t="s">
        <v>259</v>
      </c>
      <c r="BS174" s="169" t="s">
        <v>259</v>
      </c>
      <c r="BT174" s="169" t="s">
        <v>259</v>
      </c>
      <c r="BU174" s="169" t="s">
        <v>259</v>
      </c>
      <c r="BV174" s="169" t="s">
        <v>259</v>
      </c>
      <c r="BW174" s="169" t="s">
        <v>259</v>
      </c>
      <c r="BX174" s="169" t="s">
        <v>259</v>
      </c>
      <c r="BY174" s="169" t="s">
        <v>259</v>
      </c>
      <c r="BZ174" s="169" t="s">
        <v>259</v>
      </c>
      <c r="CA174" s="169" t="s">
        <v>259</v>
      </c>
      <c r="CB174" s="169" t="s">
        <v>259</v>
      </c>
      <c r="CC174" s="169" t="s">
        <v>259</v>
      </c>
      <c r="CD174" s="169" t="s">
        <v>259</v>
      </c>
      <c r="CE174" s="169" t="s">
        <v>259</v>
      </c>
      <c r="CF174" s="169" t="s">
        <v>259</v>
      </c>
      <c r="CG174" s="169" t="s">
        <v>259</v>
      </c>
      <c r="CH174" s="169" t="s">
        <v>259</v>
      </c>
      <c r="CI174" s="169" t="s">
        <v>259</v>
      </c>
      <c r="CJ174" s="169" t="s">
        <v>259</v>
      </c>
      <c r="CK174" s="169" t="s">
        <v>259</v>
      </c>
      <c r="CL174" s="169" t="s">
        <v>259</v>
      </c>
      <c r="CM174" s="169" t="s">
        <v>259</v>
      </c>
      <c r="CN174" s="169" t="s">
        <v>259</v>
      </c>
      <c r="CO174" s="169" t="s">
        <v>259</v>
      </c>
      <c r="CP174" s="169" t="s">
        <v>259</v>
      </c>
      <c r="CQ174" s="169" t="s">
        <v>259</v>
      </c>
      <c r="CR174" s="169" t="s">
        <v>259</v>
      </c>
      <c r="CS174" s="169" t="s">
        <v>259</v>
      </c>
      <c r="CT174" s="169" t="s">
        <v>259</v>
      </c>
      <c r="CU174" s="169" t="s">
        <v>259</v>
      </c>
      <c r="CV174" s="169" t="s">
        <v>259</v>
      </c>
      <c r="CW174" s="169" t="s">
        <v>259</v>
      </c>
      <c r="CX174" s="169" t="s">
        <v>259</v>
      </c>
      <c r="CY174" s="169" t="s">
        <v>259</v>
      </c>
      <c r="CZ174" s="169" t="s">
        <v>259</v>
      </c>
      <c r="DA174" s="169" t="s">
        <v>259</v>
      </c>
      <c r="DB174" s="169" t="s">
        <v>259</v>
      </c>
      <c r="DC174" s="169" t="s">
        <v>259</v>
      </c>
      <c r="DD174" s="169" t="s">
        <v>259</v>
      </c>
      <c r="DE174" s="169" t="s">
        <v>259</v>
      </c>
      <c r="DF174" s="169" t="s">
        <v>259</v>
      </c>
      <c r="DG174" s="169" t="s">
        <v>259</v>
      </c>
      <c r="DH174" s="169" t="s">
        <v>259</v>
      </c>
      <c r="DI174" s="169" t="s">
        <v>259</v>
      </c>
      <c r="DJ174" s="169" t="s">
        <v>259</v>
      </c>
      <c r="DK174" s="169" t="s">
        <v>259</v>
      </c>
      <c r="DL174" s="169" t="s">
        <v>259</v>
      </c>
      <c r="DM174" s="169" t="s">
        <v>259</v>
      </c>
      <c r="DN174" s="169" t="s">
        <v>259</v>
      </c>
      <c r="DO174" s="169" t="s">
        <v>259</v>
      </c>
      <c r="DP174" s="169" t="s">
        <v>259</v>
      </c>
      <c r="DQ174" s="169" t="s">
        <v>259</v>
      </c>
      <c r="DR174" s="169" t="s">
        <v>259</v>
      </c>
      <c r="DS174" s="169" t="s">
        <v>259</v>
      </c>
      <c r="DT174" s="169" t="s">
        <v>259</v>
      </c>
    </row>
    <row r="175" spans="2:124" x14ac:dyDescent="0.3">
      <c r="B175" t="str">
        <f>'IMPORT SCHLIESSERDATEN'!B174</f>
        <v>ED 250 GSR, (1 ED Gangfl. -1 TS am Standfl.)</v>
      </c>
      <c r="D175" s="169" t="s">
        <v>259</v>
      </c>
      <c r="E175" s="169" t="s">
        <v>259</v>
      </c>
      <c r="F175" s="169" t="s">
        <v>259</v>
      </c>
      <c r="G175" s="169" t="s">
        <v>259</v>
      </c>
      <c r="H175" s="169" t="s">
        <v>259</v>
      </c>
      <c r="I175" s="169" t="s">
        <v>259</v>
      </c>
      <c r="J175" s="169" t="s">
        <v>259</v>
      </c>
      <c r="K175" s="169" t="s">
        <v>259</v>
      </c>
      <c r="L175" s="169" t="s">
        <v>259</v>
      </c>
      <c r="M175" s="169" t="s">
        <v>259</v>
      </c>
      <c r="N175" s="169" t="s">
        <v>259</v>
      </c>
      <c r="O175" s="169" t="s">
        <v>259</v>
      </c>
      <c r="P175" s="169" t="s">
        <v>259</v>
      </c>
      <c r="Q175" s="169" t="s">
        <v>259</v>
      </c>
      <c r="R175" s="169" t="s">
        <v>259</v>
      </c>
      <c r="S175" s="169" t="s">
        <v>259</v>
      </c>
      <c r="T175" s="169" t="s">
        <v>259</v>
      </c>
      <c r="U175" s="169" t="s">
        <v>259</v>
      </c>
      <c r="V175" s="169" t="s">
        <v>259</v>
      </c>
      <c r="W175" s="169" t="s">
        <v>259</v>
      </c>
      <c r="X175" s="169" t="s">
        <v>259</v>
      </c>
      <c r="Y175" s="169" t="s">
        <v>259</v>
      </c>
      <c r="Z175" s="169" t="s">
        <v>259</v>
      </c>
      <c r="AA175" s="169" t="s">
        <v>259</v>
      </c>
      <c r="AB175" s="169" t="s">
        <v>259</v>
      </c>
      <c r="AC175" s="169" t="s">
        <v>259</v>
      </c>
      <c r="AD175" s="169" t="s">
        <v>259</v>
      </c>
      <c r="AE175" s="169" t="s">
        <v>259</v>
      </c>
      <c r="AF175" s="169" t="s">
        <v>259</v>
      </c>
      <c r="AG175" s="169" t="s">
        <v>259</v>
      </c>
      <c r="AH175" s="169" t="s">
        <v>259</v>
      </c>
      <c r="AI175" s="169" t="s">
        <v>259</v>
      </c>
      <c r="AJ175" s="169" t="s">
        <v>259</v>
      </c>
      <c r="AK175" s="169" t="s">
        <v>259</v>
      </c>
      <c r="AL175" s="169" t="s">
        <v>259</v>
      </c>
      <c r="AM175" s="169" t="s">
        <v>259</v>
      </c>
      <c r="AN175" s="169" t="s">
        <v>259</v>
      </c>
      <c r="AO175" s="169" t="s">
        <v>259</v>
      </c>
      <c r="AP175" s="169" t="s">
        <v>259</v>
      </c>
      <c r="AQ175" s="169" t="s">
        <v>259</v>
      </c>
      <c r="AR175" s="169" t="s">
        <v>259</v>
      </c>
      <c r="AS175" s="169" t="s">
        <v>259</v>
      </c>
      <c r="AT175" s="169" t="s">
        <v>259</v>
      </c>
      <c r="AU175" s="169" t="s">
        <v>259</v>
      </c>
      <c r="AV175" s="169" t="s">
        <v>259</v>
      </c>
      <c r="AW175" s="169" t="s">
        <v>259</v>
      </c>
      <c r="AX175" s="169" t="s">
        <v>259</v>
      </c>
      <c r="AY175" s="169" t="s">
        <v>259</v>
      </c>
      <c r="AZ175" s="169" t="s">
        <v>259</v>
      </c>
      <c r="BA175" s="169" t="s">
        <v>259</v>
      </c>
      <c r="BB175" s="169" t="s">
        <v>259</v>
      </c>
      <c r="BC175" s="169" t="s">
        <v>259</v>
      </c>
      <c r="BD175" s="169" t="s">
        <v>259</v>
      </c>
      <c r="BE175" s="169" t="s">
        <v>259</v>
      </c>
      <c r="BF175" s="169" t="s">
        <v>259</v>
      </c>
      <c r="BG175" s="169" t="s">
        <v>259</v>
      </c>
      <c r="BH175" s="169" t="s">
        <v>259</v>
      </c>
      <c r="BI175" s="169" t="s">
        <v>259</v>
      </c>
      <c r="BJ175" s="169" t="s">
        <v>259</v>
      </c>
      <c r="BK175" s="169" t="s">
        <v>259</v>
      </c>
      <c r="BL175" s="169" t="s">
        <v>259</v>
      </c>
      <c r="BM175" s="169" t="s">
        <v>259</v>
      </c>
      <c r="BN175" s="169" t="s">
        <v>259</v>
      </c>
      <c r="BO175" s="169" t="s">
        <v>259</v>
      </c>
      <c r="BP175" s="169" t="s">
        <v>259</v>
      </c>
      <c r="BQ175" s="169" t="s">
        <v>259</v>
      </c>
      <c r="BR175" s="169" t="s">
        <v>259</v>
      </c>
      <c r="BS175" s="169" t="s">
        <v>259</v>
      </c>
      <c r="BT175" s="169" t="s">
        <v>259</v>
      </c>
      <c r="BU175" s="169" t="s">
        <v>259</v>
      </c>
      <c r="BV175" s="169" t="s">
        <v>259</v>
      </c>
      <c r="BW175" s="169" t="s">
        <v>259</v>
      </c>
      <c r="BX175" s="169" t="s">
        <v>259</v>
      </c>
      <c r="BY175" s="169" t="s">
        <v>259</v>
      </c>
      <c r="BZ175" s="169" t="s">
        <v>259</v>
      </c>
      <c r="CA175" s="169" t="s">
        <v>259</v>
      </c>
      <c r="CB175" s="169" t="s">
        <v>259</v>
      </c>
      <c r="CC175" s="169" t="s">
        <v>259</v>
      </c>
      <c r="CD175" s="169" t="s">
        <v>259</v>
      </c>
      <c r="CE175" s="169" t="s">
        <v>259</v>
      </c>
      <c r="CF175" s="169" t="s">
        <v>259</v>
      </c>
      <c r="CG175" s="169" t="s">
        <v>259</v>
      </c>
      <c r="CH175" s="169" t="s">
        <v>259</v>
      </c>
      <c r="CI175" s="169" t="s">
        <v>259</v>
      </c>
      <c r="CJ175" s="169" t="s">
        <v>259</v>
      </c>
      <c r="CK175" s="169" t="s">
        <v>259</v>
      </c>
      <c r="CL175" s="169" t="s">
        <v>259</v>
      </c>
      <c r="CM175" s="169" t="s">
        <v>259</v>
      </c>
      <c r="CN175" s="169" t="s">
        <v>259</v>
      </c>
      <c r="CO175" s="169" t="s">
        <v>259</v>
      </c>
      <c r="CP175" s="169" t="s">
        <v>259</v>
      </c>
      <c r="CQ175" s="169" t="s">
        <v>259</v>
      </c>
      <c r="CR175" s="169" t="s">
        <v>259</v>
      </c>
      <c r="CS175" s="169" t="s">
        <v>259</v>
      </c>
      <c r="CT175" s="169" t="s">
        <v>259</v>
      </c>
      <c r="CU175" s="169" t="s">
        <v>259</v>
      </c>
      <c r="CV175" s="169" t="s">
        <v>259</v>
      </c>
      <c r="CW175" s="169" t="s">
        <v>259</v>
      </c>
      <c r="CX175" s="169" t="s">
        <v>259</v>
      </c>
      <c r="CY175" s="169" t="s">
        <v>259</v>
      </c>
      <c r="CZ175" s="169" t="s">
        <v>259</v>
      </c>
      <c r="DA175" s="169" t="s">
        <v>259</v>
      </c>
      <c r="DB175" s="169" t="s">
        <v>259</v>
      </c>
      <c r="DC175" s="169" t="s">
        <v>259</v>
      </c>
      <c r="DD175" s="169" t="s">
        <v>259</v>
      </c>
      <c r="DE175" s="169" t="s">
        <v>259</v>
      </c>
      <c r="DF175" s="169" t="s">
        <v>259</v>
      </c>
      <c r="DG175" s="169" t="s">
        <v>259</v>
      </c>
      <c r="DH175" s="169" t="s">
        <v>259</v>
      </c>
      <c r="DI175" s="169" t="s">
        <v>259</v>
      </c>
      <c r="DJ175" s="169" t="s">
        <v>259</v>
      </c>
      <c r="DK175" s="169" t="s">
        <v>259</v>
      </c>
      <c r="DL175" s="169" t="s">
        <v>259</v>
      </c>
      <c r="DM175" s="169" t="s">
        <v>259</v>
      </c>
      <c r="DN175" s="169" t="s">
        <v>259</v>
      </c>
      <c r="DO175" s="169" t="s">
        <v>259</v>
      </c>
      <c r="DP175" s="169" t="s">
        <v>259</v>
      </c>
      <c r="DQ175" s="169" t="s">
        <v>259</v>
      </c>
      <c r="DR175" s="169" t="s">
        <v>259</v>
      </c>
      <c r="DS175" s="169" t="s">
        <v>259</v>
      </c>
      <c r="DT175" s="169" t="s">
        <v>259</v>
      </c>
    </row>
    <row r="176" spans="2:124" x14ac:dyDescent="0.3">
      <c r="B176" t="str">
        <f>'IMPORT SCHLIESSERDATEN'!B175</f>
        <v>ED 250 zweiflüglig, getrennt Gangfl.</v>
      </c>
      <c r="D176" s="169" t="s">
        <v>259</v>
      </c>
      <c r="E176" s="169" t="s">
        <v>259</v>
      </c>
      <c r="F176" s="169" t="s">
        <v>259</v>
      </c>
      <c r="G176" s="169" t="s">
        <v>259</v>
      </c>
      <c r="H176" s="169" t="s">
        <v>259</v>
      </c>
      <c r="I176" s="169" t="s">
        <v>259</v>
      </c>
      <c r="J176" s="169" t="s">
        <v>259</v>
      </c>
      <c r="K176" s="169" t="s">
        <v>259</v>
      </c>
      <c r="L176" s="169" t="s">
        <v>259</v>
      </c>
      <c r="M176" s="169" t="s">
        <v>259</v>
      </c>
      <c r="N176" s="169" t="s">
        <v>259</v>
      </c>
      <c r="O176" s="169" t="s">
        <v>259</v>
      </c>
      <c r="P176" s="169" t="s">
        <v>259</v>
      </c>
      <c r="Q176" s="169" t="s">
        <v>259</v>
      </c>
      <c r="R176" s="169" t="s">
        <v>259</v>
      </c>
      <c r="S176" s="169" t="s">
        <v>259</v>
      </c>
      <c r="T176" s="169" t="s">
        <v>259</v>
      </c>
      <c r="U176" s="169" t="s">
        <v>259</v>
      </c>
      <c r="V176" s="169" t="s">
        <v>259</v>
      </c>
      <c r="W176" s="169" t="s">
        <v>259</v>
      </c>
      <c r="X176" s="169" t="s">
        <v>259</v>
      </c>
      <c r="Y176" s="169" t="s">
        <v>259</v>
      </c>
      <c r="Z176" s="169" t="s">
        <v>259</v>
      </c>
      <c r="AA176" s="169" t="s">
        <v>259</v>
      </c>
      <c r="AB176" s="169" t="s">
        <v>259</v>
      </c>
      <c r="AC176" s="169" t="s">
        <v>259</v>
      </c>
      <c r="AD176" s="169" t="s">
        <v>259</v>
      </c>
      <c r="AE176" s="169" t="s">
        <v>259</v>
      </c>
      <c r="AF176" s="169" t="s">
        <v>259</v>
      </c>
      <c r="AG176" s="169" t="s">
        <v>259</v>
      </c>
      <c r="AH176" s="169" t="s">
        <v>259</v>
      </c>
      <c r="AI176" s="169" t="s">
        <v>259</v>
      </c>
      <c r="AJ176" s="169" t="s">
        <v>259</v>
      </c>
      <c r="AK176" s="169" t="s">
        <v>259</v>
      </c>
      <c r="AL176" s="169" t="s">
        <v>259</v>
      </c>
      <c r="AM176" s="169" t="s">
        <v>259</v>
      </c>
      <c r="AN176" s="169" t="s">
        <v>259</v>
      </c>
      <c r="AO176" s="169" t="s">
        <v>259</v>
      </c>
      <c r="AP176" s="169" t="s">
        <v>259</v>
      </c>
      <c r="AQ176" s="169" t="s">
        <v>259</v>
      </c>
      <c r="AR176" s="169" t="s">
        <v>259</v>
      </c>
      <c r="AS176" s="169" t="s">
        <v>259</v>
      </c>
      <c r="AT176" s="169" t="s">
        <v>259</v>
      </c>
      <c r="AU176" s="169" t="s">
        <v>259</v>
      </c>
      <c r="AV176" s="169" t="s">
        <v>259</v>
      </c>
      <c r="AW176" s="169" t="s">
        <v>259</v>
      </c>
      <c r="AX176" s="169" t="s">
        <v>259</v>
      </c>
      <c r="AY176" s="169" t="s">
        <v>259</v>
      </c>
      <c r="AZ176" s="169" t="s">
        <v>259</v>
      </c>
      <c r="BA176" s="169" t="s">
        <v>259</v>
      </c>
      <c r="BB176" s="169" t="s">
        <v>259</v>
      </c>
      <c r="BC176" s="169" t="s">
        <v>259</v>
      </c>
      <c r="BD176" s="169" t="s">
        <v>259</v>
      </c>
      <c r="BE176" s="169" t="s">
        <v>259</v>
      </c>
      <c r="BF176" s="169" t="s">
        <v>259</v>
      </c>
      <c r="BG176" s="169" t="s">
        <v>259</v>
      </c>
      <c r="BH176" s="169" t="s">
        <v>259</v>
      </c>
      <c r="BI176" s="169" t="s">
        <v>259</v>
      </c>
      <c r="BJ176" s="169" t="s">
        <v>259</v>
      </c>
      <c r="BK176" s="169" t="s">
        <v>259</v>
      </c>
      <c r="BL176" s="169" t="s">
        <v>259</v>
      </c>
      <c r="BM176" s="169" t="s">
        <v>259</v>
      </c>
      <c r="BN176" s="169" t="s">
        <v>259</v>
      </c>
      <c r="BO176" s="169" t="s">
        <v>259</v>
      </c>
      <c r="BP176" s="169" t="s">
        <v>259</v>
      </c>
      <c r="BQ176" s="169" t="s">
        <v>259</v>
      </c>
      <c r="BR176" s="169" t="s">
        <v>259</v>
      </c>
      <c r="BS176" s="169" t="s">
        <v>259</v>
      </c>
      <c r="BT176" s="169" t="s">
        <v>259</v>
      </c>
      <c r="BU176" s="169" t="s">
        <v>259</v>
      </c>
      <c r="BV176" s="169" t="s">
        <v>259</v>
      </c>
      <c r="BW176" s="169" t="s">
        <v>259</v>
      </c>
      <c r="BX176" s="169" t="s">
        <v>259</v>
      </c>
      <c r="BY176" s="169" t="s">
        <v>259</v>
      </c>
      <c r="BZ176" s="169" t="s">
        <v>259</v>
      </c>
      <c r="CA176" s="169" t="s">
        <v>259</v>
      </c>
      <c r="CB176" s="169" t="s">
        <v>259</v>
      </c>
      <c r="CC176" s="169" t="s">
        <v>259</v>
      </c>
      <c r="CD176" s="169" t="s">
        <v>259</v>
      </c>
      <c r="CE176" s="169" t="s">
        <v>259</v>
      </c>
      <c r="CF176" s="169" t="s">
        <v>259</v>
      </c>
      <c r="CG176" s="169" t="s">
        <v>259</v>
      </c>
      <c r="CH176" s="169" t="s">
        <v>259</v>
      </c>
      <c r="CI176" s="169" t="s">
        <v>259</v>
      </c>
      <c r="CJ176" s="169" t="s">
        <v>259</v>
      </c>
      <c r="CK176" s="169" t="s">
        <v>259</v>
      </c>
      <c r="CL176" s="169" t="s">
        <v>259</v>
      </c>
      <c r="CM176" s="169" t="s">
        <v>259</v>
      </c>
      <c r="CN176" s="169" t="s">
        <v>259</v>
      </c>
      <c r="CO176" s="169" t="s">
        <v>259</v>
      </c>
      <c r="CP176" s="169" t="s">
        <v>259</v>
      </c>
      <c r="CQ176" s="169" t="s">
        <v>259</v>
      </c>
      <c r="CR176" s="169" t="s">
        <v>259</v>
      </c>
      <c r="CS176" s="169" t="s">
        <v>259</v>
      </c>
      <c r="CT176" s="169" t="s">
        <v>259</v>
      </c>
      <c r="CU176" s="169" t="s">
        <v>259</v>
      </c>
      <c r="CV176" s="169" t="s">
        <v>259</v>
      </c>
      <c r="CW176" s="169" t="s">
        <v>259</v>
      </c>
      <c r="CX176" s="169" t="s">
        <v>259</v>
      </c>
      <c r="CY176" s="169" t="s">
        <v>259</v>
      </c>
      <c r="CZ176" s="169" t="s">
        <v>259</v>
      </c>
      <c r="DA176" s="169" t="s">
        <v>259</v>
      </c>
      <c r="DB176" s="169" t="s">
        <v>259</v>
      </c>
      <c r="DC176" s="169" t="s">
        <v>259</v>
      </c>
      <c r="DD176" s="169" t="s">
        <v>259</v>
      </c>
      <c r="DE176" s="169" t="s">
        <v>259</v>
      </c>
      <c r="DF176" s="169" t="s">
        <v>259</v>
      </c>
      <c r="DG176" s="169" t="s">
        <v>259</v>
      </c>
      <c r="DH176" s="169" t="s">
        <v>259</v>
      </c>
      <c r="DI176" s="169" t="s">
        <v>259</v>
      </c>
      <c r="DJ176" s="169" t="s">
        <v>259</v>
      </c>
      <c r="DK176" s="169" t="s">
        <v>259</v>
      </c>
      <c r="DL176" s="169" t="s">
        <v>259</v>
      </c>
      <c r="DM176" s="169" t="s">
        <v>259</v>
      </c>
      <c r="DN176" s="169" t="s">
        <v>259</v>
      </c>
      <c r="DO176" s="169" t="s">
        <v>259</v>
      </c>
      <c r="DP176" s="169" t="s">
        <v>259</v>
      </c>
      <c r="DQ176" s="169" t="s">
        <v>259</v>
      </c>
      <c r="DR176" s="169" t="s">
        <v>259</v>
      </c>
      <c r="DS176" s="169" t="s">
        <v>259</v>
      </c>
      <c r="DT176" s="169" t="s">
        <v>259</v>
      </c>
    </row>
    <row r="177" spans="2:124" x14ac:dyDescent="0.3">
      <c r="B177" t="str">
        <f>'IMPORT SCHLIESSERDATEN'!B176</f>
        <v>ED 250 zweiflüglig, ESR Gangfl.</v>
      </c>
      <c r="D177" s="169" t="s">
        <v>259</v>
      </c>
      <c r="E177" s="169" t="s">
        <v>259</v>
      </c>
      <c r="F177" s="169" t="s">
        <v>259</v>
      </c>
      <c r="G177" s="169" t="s">
        <v>259</v>
      </c>
      <c r="H177" s="169" t="s">
        <v>259</v>
      </c>
      <c r="I177" s="169" t="s">
        <v>259</v>
      </c>
      <c r="J177" s="169" t="s">
        <v>259</v>
      </c>
      <c r="K177" s="169" t="s">
        <v>259</v>
      </c>
      <c r="L177" s="169" t="s">
        <v>259</v>
      </c>
      <c r="M177" s="169" t="s">
        <v>259</v>
      </c>
      <c r="N177" s="169" t="s">
        <v>259</v>
      </c>
      <c r="O177" s="169" t="s">
        <v>259</v>
      </c>
      <c r="P177" s="169" t="s">
        <v>259</v>
      </c>
      <c r="Q177" s="169" t="s">
        <v>259</v>
      </c>
      <c r="R177" s="169" t="s">
        <v>259</v>
      </c>
      <c r="S177" s="169" t="s">
        <v>259</v>
      </c>
      <c r="T177" s="169" t="s">
        <v>259</v>
      </c>
      <c r="U177" s="169" t="s">
        <v>259</v>
      </c>
      <c r="V177" s="169" t="s">
        <v>259</v>
      </c>
      <c r="W177" s="169" t="s">
        <v>259</v>
      </c>
      <c r="X177" s="169" t="s">
        <v>259</v>
      </c>
      <c r="Y177" s="169" t="s">
        <v>259</v>
      </c>
      <c r="Z177" s="169" t="s">
        <v>259</v>
      </c>
      <c r="AA177" s="169" t="s">
        <v>259</v>
      </c>
      <c r="AB177" s="169" t="s">
        <v>259</v>
      </c>
      <c r="AC177" s="169" t="s">
        <v>259</v>
      </c>
      <c r="AD177" s="169" t="s">
        <v>259</v>
      </c>
      <c r="AE177" s="169" t="s">
        <v>259</v>
      </c>
      <c r="AF177" s="169" t="s">
        <v>259</v>
      </c>
      <c r="AG177" s="169" t="s">
        <v>259</v>
      </c>
      <c r="AH177" s="169" t="s">
        <v>259</v>
      </c>
      <c r="AI177" s="169" t="s">
        <v>259</v>
      </c>
      <c r="AJ177" s="169" t="s">
        <v>259</v>
      </c>
      <c r="AK177" s="169" t="s">
        <v>259</v>
      </c>
      <c r="AL177" s="169" t="s">
        <v>259</v>
      </c>
      <c r="AM177" s="169" t="s">
        <v>259</v>
      </c>
      <c r="AN177" s="169" t="s">
        <v>259</v>
      </c>
      <c r="AO177" s="169" t="s">
        <v>259</v>
      </c>
      <c r="AP177" s="169" t="s">
        <v>259</v>
      </c>
      <c r="AQ177" s="169" t="s">
        <v>259</v>
      </c>
      <c r="AR177" s="169" t="s">
        <v>259</v>
      </c>
      <c r="AS177" s="169" t="s">
        <v>259</v>
      </c>
      <c r="AT177" s="169" t="s">
        <v>259</v>
      </c>
      <c r="AU177" s="169" t="s">
        <v>259</v>
      </c>
      <c r="AV177" s="169" t="s">
        <v>259</v>
      </c>
      <c r="AW177" s="169" t="s">
        <v>259</v>
      </c>
      <c r="AX177" s="169" t="s">
        <v>259</v>
      </c>
      <c r="AY177" s="169" t="s">
        <v>259</v>
      </c>
      <c r="AZ177" s="169" t="s">
        <v>259</v>
      </c>
      <c r="BA177" s="169" t="s">
        <v>259</v>
      </c>
      <c r="BB177" s="169" t="s">
        <v>259</v>
      </c>
      <c r="BC177" s="169" t="s">
        <v>259</v>
      </c>
      <c r="BD177" s="169" t="s">
        <v>259</v>
      </c>
      <c r="BE177" s="169" t="s">
        <v>259</v>
      </c>
      <c r="BF177" s="169" t="s">
        <v>259</v>
      </c>
      <c r="BG177" s="169" t="s">
        <v>259</v>
      </c>
      <c r="BH177" s="169" t="s">
        <v>259</v>
      </c>
      <c r="BI177" s="169" t="s">
        <v>259</v>
      </c>
      <c r="BJ177" s="169" t="s">
        <v>259</v>
      </c>
      <c r="BK177" s="169" t="s">
        <v>259</v>
      </c>
      <c r="BL177" s="169" t="s">
        <v>259</v>
      </c>
      <c r="BM177" s="169" t="s">
        <v>259</v>
      </c>
      <c r="BN177" s="169" t="s">
        <v>259</v>
      </c>
      <c r="BO177" s="169" t="s">
        <v>259</v>
      </c>
      <c r="BP177" s="169" t="s">
        <v>259</v>
      </c>
      <c r="BQ177" s="169" t="s">
        <v>259</v>
      </c>
      <c r="BR177" s="169" t="s">
        <v>259</v>
      </c>
      <c r="BS177" s="169" t="s">
        <v>259</v>
      </c>
      <c r="BT177" s="169" t="s">
        <v>259</v>
      </c>
      <c r="BU177" s="169" t="s">
        <v>259</v>
      </c>
      <c r="BV177" s="169" t="s">
        <v>259</v>
      </c>
      <c r="BW177" s="169" t="s">
        <v>259</v>
      </c>
      <c r="BX177" s="169" t="s">
        <v>259</v>
      </c>
      <c r="BY177" s="169" t="s">
        <v>259</v>
      </c>
      <c r="BZ177" s="169" t="s">
        <v>259</v>
      </c>
      <c r="CA177" s="169" t="s">
        <v>259</v>
      </c>
      <c r="CB177" s="169" t="s">
        <v>259</v>
      </c>
      <c r="CC177" s="169" t="s">
        <v>259</v>
      </c>
      <c r="CD177" s="169" t="s">
        <v>259</v>
      </c>
      <c r="CE177" s="169" t="s">
        <v>259</v>
      </c>
      <c r="CF177" s="169" t="s">
        <v>259</v>
      </c>
      <c r="CG177" s="169" t="s">
        <v>259</v>
      </c>
      <c r="CH177" s="169" t="s">
        <v>259</v>
      </c>
      <c r="CI177" s="169" t="s">
        <v>259</v>
      </c>
      <c r="CJ177" s="169" t="s">
        <v>259</v>
      </c>
      <c r="CK177" s="169" t="s">
        <v>259</v>
      </c>
      <c r="CL177" s="169" t="s">
        <v>259</v>
      </c>
      <c r="CM177" s="169" t="s">
        <v>259</v>
      </c>
      <c r="CN177" s="169" t="s">
        <v>259</v>
      </c>
      <c r="CO177" s="169" t="s">
        <v>259</v>
      </c>
      <c r="CP177" s="169" t="s">
        <v>259</v>
      </c>
      <c r="CQ177" s="169" t="s">
        <v>259</v>
      </c>
      <c r="CR177" s="169" t="s">
        <v>259</v>
      </c>
      <c r="CS177" s="169" t="s">
        <v>259</v>
      </c>
      <c r="CT177" s="169" t="s">
        <v>259</v>
      </c>
      <c r="CU177" s="169" t="s">
        <v>259</v>
      </c>
      <c r="CV177" s="169" t="s">
        <v>259</v>
      </c>
      <c r="CW177" s="169" t="s">
        <v>259</v>
      </c>
      <c r="CX177" s="169" t="s">
        <v>259</v>
      </c>
      <c r="CY177" s="169" t="s">
        <v>259</v>
      </c>
      <c r="CZ177" s="169" t="s">
        <v>259</v>
      </c>
      <c r="DA177" s="169" t="s">
        <v>259</v>
      </c>
      <c r="DB177" s="169" t="s">
        <v>259</v>
      </c>
      <c r="DC177" s="169" t="s">
        <v>259</v>
      </c>
      <c r="DD177" s="169" t="s">
        <v>259</v>
      </c>
      <c r="DE177" s="169" t="s">
        <v>259</v>
      </c>
      <c r="DF177" s="169" t="s">
        <v>259</v>
      </c>
      <c r="DG177" s="169" t="s">
        <v>259</v>
      </c>
      <c r="DH177" s="169" t="s">
        <v>259</v>
      </c>
      <c r="DI177" s="169" t="s">
        <v>259</v>
      </c>
      <c r="DJ177" s="169" t="s">
        <v>259</v>
      </c>
      <c r="DK177" s="169" t="s">
        <v>259</v>
      </c>
      <c r="DL177" s="169" t="s">
        <v>259</v>
      </c>
      <c r="DM177" s="169" t="s">
        <v>259</v>
      </c>
      <c r="DN177" s="169" t="s">
        <v>259</v>
      </c>
      <c r="DO177" s="169" t="s">
        <v>259</v>
      </c>
      <c r="DP177" s="169" t="s">
        <v>259</v>
      </c>
      <c r="DQ177" s="169" t="s">
        <v>259</v>
      </c>
      <c r="DR177" s="169" t="s">
        <v>259</v>
      </c>
      <c r="DS177" s="169" t="s">
        <v>259</v>
      </c>
      <c r="DT177" s="169" t="s">
        <v>259</v>
      </c>
    </row>
    <row r="178" spans="2:124" x14ac:dyDescent="0.3">
      <c r="B178" t="str">
        <f>'IMPORT SCHLIESSERDATEN'!B177</f>
        <v>ED 250 mit Gleitschiene Standfl.</v>
      </c>
      <c r="D178" s="169" t="s">
        <v>259</v>
      </c>
      <c r="E178" s="169" t="s">
        <v>259</v>
      </c>
      <c r="F178" s="169" t="s">
        <v>259</v>
      </c>
      <c r="G178" s="169" t="s">
        <v>259</v>
      </c>
      <c r="H178" s="169" t="s">
        <v>259</v>
      </c>
      <c r="I178" s="169" t="s">
        <v>259</v>
      </c>
      <c r="J178" s="169" t="s">
        <v>259</v>
      </c>
      <c r="K178" s="169" t="s">
        <v>259</v>
      </c>
      <c r="L178" s="169" t="s">
        <v>259</v>
      </c>
      <c r="M178" s="169" t="s">
        <v>259</v>
      </c>
      <c r="N178" s="169" t="s">
        <v>259</v>
      </c>
      <c r="O178" s="169" t="s">
        <v>259</v>
      </c>
      <c r="P178" s="169" t="s">
        <v>259</v>
      </c>
      <c r="Q178" s="169" t="s">
        <v>259</v>
      </c>
      <c r="R178" s="169" t="s">
        <v>259</v>
      </c>
      <c r="S178" s="169" t="s">
        <v>259</v>
      </c>
      <c r="T178" s="169" t="s">
        <v>259</v>
      </c>
      <c r="U178" s="169" t="s">
        <v>259</v>
      </c>
      <c r="V178" s="169" t="s">
        <v>259</v>
      </c>
      <c r="W178" s="169" t="s">
        <v>259</v>
      </c>
      <c r="X178" s="169" t="s">
        <v>259</v>
      </c>
      <c r="Y178" s="169" t="s">
        <v>259</v>
      </c>
      <c r="Z178" s="169" t="s">
        <v>259</v>
      </c>
      <c r="AA178" s="169" t="s">
        <v>259</v>
      </c>
      <c r="AB178" s="169" t="s">
        <v>259</v>
      </c>
      <c r="AC178" s="169" t="s">
        <v>259</v>
      </c>
      <c r="AD178" s="169" t="s">
        <v>259</v>
      </c>
      <c r="AE178" s="169" t="s">
        <v>259</v>
      </c>
      <c r="AF178" s="169" t="s">
        <v>259</v>
      </c>
      <c r="AG178" s="169" t="s">
        <v>259</v>
      </c>
      <c r="AH178" s="169" t="s">
        <v>259</v>
      </c>
      <c r="AI178" s="169" t="s">
        <v>259</v>
      </c>
      <c r="AJ178" s="169" t="s">
        <v>259</v>
      </c>
      <c r="AK178" s="169" t="s">
        <v>259</v>
      </c>
      <c r="AL178" s="169" t="s">
        <v>259</v>
      </c>
      <c r="AM178" s="169" t="s">
        <v>259</v>
      </c>
      <c r="AN178" s="169" t="s">
        <v>259</v>
      </c>
      <c r="AO178" s="169" t="s">
        <v>259</v>
      </c>
      <c r="AP178" s="169" t="s">
        <v>259</v>
      </c>
      <c r="AQ178" s="169" t="s">
        <v>259</v>
      </c>
      <c r="AR178" s="169" t="s">
        <v>259</v>
      </c>
      <c r="AS178" s="169" t="s">
        <v>259</v>
      </c>
      <c r="AT178" s="169" t="s">
        <v>259</v>
      </c>
      <c r="AU178" s="169" t="s">
        <v>259</v>
      </c>
      <c r="AV178" s="169" t="s">
        <v>259</v>
      </c>
      <c r="AW178" s="169" t="s">
        <v>259</v>
      </c>
      <c r="AX178" s="169" t="s">
        <v>259</v>
      </c>
      <c r="AY178" s="169" t="s">
        <v>259</v>
      </c>
      <c r="AZ178" s="169" t="s">
        <v>259</v>
      </c>
      <c r="BA178" s="169" t="s">
        <v>259</v>
      </c>
      <c r="BB178" s="169" t="s">
        <v>259</v>
      </c>
      <c r="BC178" s="169" t="s">
        <v>259</v>
      </c>
      <c r="BD178" s="169" t="s">
        <v>259</v>
      </c>
      <c r="BE178" s="169" t="s">
        <v>259</v>
      </c>
      <c r="BF178" s="169" t="s">
        <v>259</v>
      </c>
      <c r="BG178" s="169" t="s">
        <v>259</v>
      </c>
      <c r="BH178" s="169" t="s">
        <v>259</v>
      </c>
      <c r="BI178" s="169" t="s">
        <v>259</v>
      </c>
      <c r="BJ178" s="169" t="s">
        <v>259</v>
      </c>
      <c r="BK178" s="169" t="s">
        <v>259</v>
      </c>
      <c r="BL178" s="169" t="s">
        <v>259</v>
      </c>
      <c r="BM178" s="169" t="s">
        <v>259</v>
      </c>
      <c r="BN178" s="169" t="s">
        <v>259</v>
      </c>
      <c r="BO178" s="169" t="s">
        <v>259</v>
      </c>
      <c r="BP178" s="169" t="s">
        <v>259</v>
      </c>
      <c r="BQ178" s="169" t="s">
        <v>259</v>
      </c>
      <c r="BR178" s="169" t="s">
        <v>259</v>
      </c>
      <c r="BS178" s="169" t="s">
        <v>259</v>
      </c>
      <c r="BT178" s="169" t="s">
        <v>259</v>
      </c>
      <c r="BU178" s="169" t="s">
        <v>259</v>
      </c>
      <c r="BV178" s="169" t="s">
        <v>259</v>
      </c>
      <c r="BW178" s="169" t="s">
        <v>259</v>
      </c>
      <c r="BX178" s="169" t="s">
        <v>259</v>
      </c>
      <c r="BY178" s="169" t="s">
        <v>259</v>
      </c>
      <c r="BZ178" s="169" t="s">
        <v>259</v>
      </c>
      <c r="CA178" s="169" t="s">
        <v>259</v>
      </c>
      <c r="CB178" s="169" t="s">
        <v>259</v>
      </c>
      <c r="CC178" s="169" t="s">
        <v>259</v>
      </c>
      <c r="CD178" s="169" t="s">
        <v>259</v>
      </c>
      <c r="CE178" s="169" t="s">
        <v>259</v>
      </c>
      <c r="CF178" s="169" t="s">
        <v>259</v>
      </c>
      <c r="CG178" s="169" t="s">
        <v>259</v>
      </c>
      <c r="CH178" s="169" t="s">
        <v>259</v>
      </c>
      <c r="CI178" s="169" t="s">
        <v>259</v>
      </c>
      <c r="CJ178" s="169" t="s">
        <v>259</v>
      </c>
      <c r="CK178" s="169" t="s">
        <v>259</v>
      </c>
      <c r="CL178" s="169" t="s">
        <v>259</v>
      </c>
      <c r="CM178" s="169" t="s">
        <v>259</v>
      </c>
      <c r="CN178" s="169" t="s">
        <v>259</v>
      </c>
      <c r="CO178" s="169" t="s">
        <v>259</v>
      </c>
      <c r="CP178" s="169" t="s">
        <v>259</v>
      </c>
      <c r="CQ178" s="169" t="s">
        <v>259</v>
      </c>
      <c r="CR178" s="169" t="s">
        <v>259</v>
      </c>
      <c r="CS178" s="169" t="s">
        <v>259</v>
      </c>
      <c r="CT178" s="169" t="s">
        <v>259</v>
      </c>
      <c r="CU178" s="169" t="s">
        <v>259</v>
      </c>
      <c r="CV178" s="169" t="s">
        <v>259</v>
      </c>
      <c r="CW178" s="169" t="s">
        <v>259</v>
      </c>
      <c r="CX178" s="169" t="s">
        <v>259</v>
      </c>
      <c r="CY178" s="169" t="s">
        <v>259</v>
      </c>
      <c r="CZ178" s="169" t="s">
        <v>259</v>
      </c>
      <c r="DA178" s="169" t="s">
        <v>259</v>
      </c>
      <c r="DB178" s="169" t="s">
        <v>259</v>
      </c>
      <c r="DC178" s="169" t="s">
        <v>259</v>
      </c>
      <c r="DD178" s="169" t="s">
        <v>259</v>
      </c>
      <c r="DE178" s="169" t="s">
        <v>259</v>
      </c>
      <c r="DF178" s="169" t="s">
        <v>259</v>
      </c>
      <c r="DG178" s="169" t="s">
        <v>259</v>
      </c>
      <c r="DH178" s="169" t="s">
        <v>259</v>
      </c>
      <c r="DI178" s="169" t="s">
        <v>259</v>
      </c>
      <c r="DJ178" s="169" t="s">
        <v>259</v>
      </c>
      <c r="DK178" s="169" t="s">
        <v>259</v>
      </c>
      <c r="DL178" s="169" t="s">
        <v>259</v>
      </c>
      <c r="DM178" s="169" t="s">
        <v>259</v>
      </c>
      <c r="DN178" s="169" t="s">
        <v>259</v>
      </c>
      <c r="DO178" s="169" t="s">
        <v>259</v>
      </c>
      <c r="DP178" s="169" t="s">
        <v>259</v>
      </c>
      <c r="DQ178" s="169" t="s">
        <v>259</v>
      </c>
      <c r="DR178" s="169" t="s">
        <v>259</v>
      </c>
      <c r="DS178" s="169" t="s">
        <v>259</v>
      </c>
      <c r="DT178" s="169" t="s">
        <v>259</v>
      </c>
    </row>
    <row r="179" spans="2:124" x14ac:dyDescent="0.3">
      <c r="B179" t="str">
        <f>'IMPORT SCHLIESSERDATEN'!B178</f>
        <v>ED100 GST N</v>
      </c>
      <c r="D179" s="169" t="s">
        <v>259</v>
      </c>
      <c r="E179" s="169" t="s">
        <v>259</v>
      </c>
      <c r="F179" s="169" t="s">
        <v>259</v>
      </c>
      <c r="G179" s="169" t="s">
        <v>259</v>
      </c>
      <c r="H179" s="169" t="s">
        <v>259</v>
      </c>
      <c r="I179" s="169" t="s">
        <v>259</v>
      </c>
      <c r="J179" s="169" t="s">
        <v>259</v>
      </c>
      <c r="K179" s="169" t="s">
        <v>259</v>
      </c>
      <c r="L179" s="169" t="s">
        <v>259</v>
      </c>
      <c r="M179" s="169" t="s">
        <v>259</v>
      </c>
      <c r="N179" s="169" t="s">
        <v>259</v>
      </c>
      <c r="O179" s="169" t="s">
        <v>259</v>
      </c>
      <c r="P179" s="169" t="s">
        <v>259</v>
      </c>
      <c r="Q179" s="169" t="s">
        <v>259</v>
      </c>
      <c r="R179" s="169" t="s">
        <v>259</v>
      </c>
      <c r="S179" s="169" t="s">
        <v>259</v>
      </c>
      <c r="T179" s="169" t="s">
        <v>259</v>
      </c>
      <c r="U179" s="169" t="s">
        <v>259</v>
      </c>
      <c r="V179" s="169" t="s">
        <v>259</v>
      </c>
      <c r="W179" s="169" t="s">
        <v>259</v>
      </c>
      <c r="X179" s="169" t="s">
        <v>259</v>
      </c>
      <c r="Y179" s="169" t="s">
        <v>259</v>
      </c>
      <c r="Z179" s="169" t="s">
        <v>259</v>
      </c>
      <c r="AA179" s="169" t="s">
        <v>259</v>
      </c>
      <c r="AB179" s="169" t="s">
        <v>259</v>
      </c>
      <c r="AC179" s="169" t="s">
        <v>259</v>
      </c>
      <c r="AD179" s="169" t="s">
        <v>259</v>
      </c>
      <c r="AE179" s="169" t="s">
        <v>259</v>
      </c>
      <c r="AF179" s="169" t="s">
        <v>259</v>
      </c>
      <c r="AG179" s="169" t="s">
        <v>259</v>
      </c>
      <c r="AH179" s="169" t="s">
        <v>259</v>
      </c>
      <c r="AI179" s="169" t="s">
        <v>259</v>
      </c>
      <c r="AJ179" s="169" t="s">
        <v>259</v>
      </c>
      <c r="AK179" s="169" t="s">
        <v>259</v>
      </c>
      <c r="AL179" s="169" t="s">
        <v>259</v>
      </c>
      <c r="AM179" s="169" t="s">
        <v>259</v>
      </c>
      <c r="AN179" s="169" t="s">
        <v>259</v>
      </c>
      <c r="AO179" s="169" t="s">
        <v>259</v>
      </c>
      <c r="AP179" s="169" t="s">
        <v>259</v>
      </c>
      <c r="AQ179" s="169" t="s">
        <v>259</v>
      </c>
      <c r="AR179" s="169" t="s">
        <v>259</v>
      </c>
      <c r="AS179" s="169" t="s">
        <v>259</v>
      </c>
      <c r="AT179" s="169" t="s">
        <v>259</v>
      </c>
      <c r="AU179" s="169" t="s">
        <v>259</v>
      </c>
      <c r="AV179" s="169" t="s">
        <v>259</v>
      </c>
      <c r="AW179" s="169" t="s">
        <v>259</v>
      </c>
      <c r="AX179" s="169" t="s">
        <v>259</v>
      </c>
      <c r="AY179" s="169" t="s">
        <v>259</v>
      </c>
      <c r="AZ179" s="169" t="s">
        <v>259</v>
      </c>
      <c r="BA179" s="169" t="s">
        <v>259</v>
      </c>
      <c r="BB179" s="169" t="s">
        <v>259</v>
      </c>
      <c r="BC179" s="169" t="s">
        <v>259</v>
      </c>
      <c r="BD179" s="169" t="s">
        <v>259</v>
      </c>
      <c r="BE179" s="169" t="s">
        <v>259</v>
      </c>
      <c r="BF179" s="169" t="s">
        <v>259</v>
      </c>
      <c r="BG179" s="169" t="s">
        <v>259</v>
      </c>
      <c r="BH179" s="169" t="s">
        <v>259</v>
      </c>
      <c r="BI179" s="169" t="s">
        <v>259</v>
      </c>
      <c r="BJ179" s="169" t="s">
        <v>259</v>
      </c>
      <c r="BK179" s="169" t="s">
        <v>259</v>
      </c>
      <c r="BL179" s="169" t="s">
        <v>259</v>
      </c>
      <c r="BM179" s="169" t="s">
        <v>259</v>
      </c>
      <c r="BN179" s="169" t="s">
        <v>259</v>
      </c>
      <c r="BO179" s="169" t="s">
        <v>259</v>
      </c>
      <c r="BP179" s="169" t="s">
        <v>259</v>
      </c>
      <c r="BQ179" s="169" t="s">
        <v>259</v>
      </c>
      <c r="BR179" s="169" t="s">
        <v>259</v>
      </c>
      <c r="BS179" s="169" t="s">
        <v>259</v>
      </c>
      <c r="BT179" s="169" t="s">
        <v>259</v>
      </c>
      <c r="BU179" s="169" t="s">
        <v>259</v>
      </c>
      <c r="BV179" s="169" t="s">
        <v>259</v>
      </c>
      <c r="BW179" s="169" t="s">
        <v>259</v>
      </c>
      <c r="BX179" s="169" t="s">
        <v>259</v>
      </c>
      <c r="BY179" s="169" t="s">
        <v>259</v>
      </c>
      <c r="BZ179" s="169" t="s">
        <v>259</v>
      </c>
      <c r="CA179" s="169" t="s">
        <v>259</v>
      </c>
      <c r="CB179" s="169" t="s">
        <v>259</v>
      </c>
      <c r="CC179" s="169" t="s">
        <v>259</v>
      </c>
      <c r="CD179" s="169" t="s">
        <v>259</v>
      </c>
      <c r="CE179" s="169" t="s">
        <v>259</v>
      </c>
      <c r="CF179" s="169" t="s">
        <v>259</v>
      </c>
      <c r="CG179" s="169" t="s">
        <v>259</v>
      </c>
      <c r="CH179" s="169" t="s">
        <v>259</v>
      </c>
      <c r="CI179" s="169" t="s">
        <v>259</v>
      </c>
      <c r="CJ179" s="169" t="s">
        <v>259</v>
      </c>
      <c r="CK179" s="169" t="s">
        <v>259</v>
      </c>
      <c r="CL179" s="169" t="s">
        <v>259</v>
      </c>
      <c r="CM179" s="169" t="s">
        <v>259</v>
      </c>
      <c r="CN179" s="169" t="s">
        <v>259</v>
      </c>
      <c r="CO179" s="169" t="s">
        <v>259</v>
      </c>
      <c r="CP179" s="169" t="s">
        <v>259</v>
      </c>
      <c r="CQ179" s="169" t="s">
        <v>259</v>
      </c>
      <c r="CR179" s="169" t="s">
        <v>259</v>
      </c>
      <c r="CS179" s="169" t="s">
        <v>259</v>
      </c>
      <c r="CT179" s="169" t="s">
        <v>259</v>
      </c>
      <c r="CU179" s="169" t="s">
        <v>259</v>
      </c>
      <c r="CV179" s="169" t="s">
        <v>259</v>
      </c>
      <c r="CW179" s="169" t="s">
        <v>259</v>
      </c>
      <c r="CX179" s="169" t="s">
        <v>259</v>
      </c>
      <c r="CY179" s="169" t="s">
        <v>259</v>
      </c>
      <c r="CZ179" s="169" t="s">
        <v>259</v>
      </c>
      <c r="DA179" s="169" t="s">
        <v>259</v>
      </c>
      <c r="DB179" s="169" t="s">
        <v>259</v>
      </c>
      <c r="DC179" s="169" t="s">
        <v>259</v>
      </c>
      <c r="DD179" s="169" t="s">
        <v>259</v>
      </c>
      <c r="DE179" s="169" t="s">
        <v>259</v>
      </c>
      <c r="DF179" s="169" t="s">
        <v>259</v>
      </c>
      <c r="DG179" s="169" t="s">
        <v>259</v>
      </c>
      <c r="DH179" s="169" t="s">
        <v>259</v>
      </c>
      <c r="DI179" s="169" t="s">
        <v>259</v>
      </c>
      <c r="DJ179" s="169" t="s">
        <v>259</v>
      </c>
      <c r="DK179" s="169" t="s">
        <v>259</v>
      </c>
      <c r="DL179" s="169" t="s">
        <v>259</v>
      </c>
      <c r="DM179" s="169" t="s">
        <v>259</v>
      </c>
      <c r="DN179" s="169" t="s">
        <v>259</v>
      </c>
      <c r="DO179" s="169" t="s">
        <v>259</v>
      </c>
      <c r="DP179" s="169" t="s">
        <v>259</v>
      </c>
      <c r="DQ179" s="169" t="s">
        <v>259</v>
      </c>
      <c r="DR179" s="169" t="s">
        <v>259</v>
      </c>
      <c r="DS179" s="169" t="s">
        <v>259</v>
      </c>
      <c r="DT179" s="169" t="s">
        <v>259</v>
      </c>
    </row>
    <row r="180" spans="2:124" x14ac:dyDescent="0.3">
      <c r="B180" t="str">
        <f>'IMPORT SCHLIESSERDATEN'!B179</f>
        <v>ED 100 GSR, (1 ED Gangfl. -1 TS am Standfl.)</v>
      </c>
      <c r="D180" s="169" t="s">
        <v>259</v>
      </c>
      <c r="E180" s="169" t="s">
        <v>259</v>
      </c>
      <c r="F180" s="169" t="s">
        <v>259</v>
      </c>
      <c r="G180" s="169" t="s">
        <v>259</v>
      </c>
      <c r="H180" s="169" t="s">
        <v>259</v>
      </c>
      <c r="I180" s="169" t="s">
        <v>259</v>
      </c>
      <c r="J180" s="169" t="s">
        <v>259</v>
      </c>
      <c r="K180" s="169" t="s">
        <v>259</v>
      </c>
      <c r="L180" s="169" t="s">
        <v>259</v>
      </c>
      <c r="M180" s="169" t="s">
        <v>259</v>
      </c>
      <c r="N180" s="169" t="s">
        <v>259</v>
      </c>
      <c r="O180" s="169" t="s">
        <v>259</v>
      </c>
      <c r="P180" s="169" t="s">
        <v>259</v>
      </c>
      <c r="Q180" s="169" t="s">
        <v>259</v>
      </c>
      <c r="R180" s="169" t="s">
        <v>259</v>
      </c>
      <c r="S180" s="169" t="s">
        <v>259</v>
      </c>
      <c r="T180" s="169" t="s">
        <v>259</v>
      </c>
      <c r="U180" s="169" t="s">
        <v>259</v>
      </c>
      <c r="V180" s="169" t="s">
        <v>259</v>
      </c>
      <c r="W180" s="169" t="s">
        <v>259</v>
      </c>
      <c r="X180" s="169" t="s">
        <v>259</v>
      </c>
      <c r="Y180" s="169" t="s">
        <v>259</v>
      </c>
      <c r="Z180" s="169" t="s">
        <v>259</v>
      </c>
      <c r="AA180" s="169" t="s">
        <v>259</v>
      </c>
      <c r="AB180" s="169" t="s">
        <v>259</v>
      </c>
      <c r="AC180" s="169" t="s">
        <v>259</v>
      </c>
      <c r="AD180" s="169" t="s">
        <v>259</v>
      </c>
      <c r="AE180" s="169" t="s">
        <v>259</v>
      </c>
      <c r="AF180" s="169" t="s">
        <v>259</v>
      </c>
      <c r="AG180" s="169" t="s">
        <v>259</v>
      </c>
      <c r="AH180" s="169" t="s">
        <v>259</v>
      </c>
      <c r="AI180" s="169" t="s">
        <v>259</v>
      </c>
      <c r="AJ180" s="169" t="s">
        <v>259</v>
      </c>
      <c r="AK180" s="169" t="s">
        <v>259</v>
      </c>
      <c r="AL180" s="169" t="s">
        <v>259</v>
      </c>
      <c r="AM180" s="169" t="s">
        <v>259</v>
      </c>
      <c r="AN180" s="169" t="s">
        <v>259</v>
      </c>
      <c r="AO180" s="169" t="s">
        <v>259</v>
      </c>
      <c r="AP180" s="169" t="s">
        <v>259</v>
      </c>
      <c r="AQ180" s="169" t="s">
        <v>259</v>
      </c>
      <c r="AR180" s="169" t="s">
        <v>259</v>
      </c>
      <c r="AS180" s="169" t="s">
        <v>259</v>
      </c>
      <c r="AT180" s="169" t="s">
        <v>259</v>
      </c>
      <c r="AU180" s="169" t="s">
        <v>259</v>
      </c>
      <c r="AV180" s="169" t="s">
        <v>259</v>
      </c>
      <c r="AW180" s="169" t="s">
        <v>259</v>
      </c>
      <c r="AX180" s="169" t="s">
        <v>259</v>
      </c>
      <c r="AY180" s="169" t="s">
        <v>259</v>
      </c>
      <c r="AZ180" s="169" t="s">
        <v>259</v>
      </c>
      <c r="BA180" s="169" t="s">
        <v>259</v>
      </c>
      <c r="BB180" s="169" t="s">
        <v>259</v>
      </c>
      <c r="BC180" s="169" t="s">
        <v>259</v>
      </c>
      <c r="BD180" s="169" t="s">
        <v>259</v>
      </c>
      <c r="BE180" s="169" t="s">
        <v>259</v>
      </c>
      <c r="BF180" s="169" t="s">
        <v>259</v>
      </c>
      <c r="BG180" s="169" t="s">
        <v>259</v>
      </c>
      <c r="BH180" s="169" t="s">
        <v>259</v>
      </c>
      <c r="BI180" s="169" t="s">
        <v>259</v>
      </c>
      <c r="BJ180" s="169" t="s">
        <v>259</v>
      </c>
      <c r="BK180" s="169" t="s">
        <v>259</v>
      </c>
      <c r="BL180" s="169" t="s">
        <v>259</v>
      </c>
      <c r="BM180" s="169" t="s">
        <v>259</v>
      </c>
      <c r="BN180" s="169" t="s">
        <v>259</v>
      </c>
      <c r="BO180" s="169" t="s">
        <v>259</v>
      </c>
      <c r="BP180" s="169" t="s">
        <v>259</v>
      </c>
      <c r="BQ180" s="169" t="s">
        <v>259</v>
      </c>
      <c r="BR180" s="169" t="s">
        <v>259</v>
      </c>
      <c r="BS180" s="169" t="s">
        <v>259</v>
      </c>
      <c r="BT180" s="169" t="s">
        <v>259</v>
      </c>
      <c r="BU180" s="169" t="s">
        <v>259</v>
      </c>
      <c r="BV180" s="169" t="s">
        <v>259</v>
      </c>
      <c r="BW180" s="169" t="s">
        <v>259</v>
      </c>
      <c r="BX180" s="169" t="s">
        <v>259</v>
      </c>
      <c r="BY180" s="169" t="s">
        <v>259</v>
      </c>
      <c r="BZ180" s="169" t="s">
        <v>259</v>
      </c>
      <c r="CA180" s="169" t="s">
        <v>259</v>
      </c>
      <c r="CB180" s="169" t="s">
        <v>259</v>
      </c>
      <c r="CC180" s="169" t="s">
        <v>259</v>
      </c>
      <c r="CD180" s="169" t="s">
        <v>259</v>
      </c>
      <c r="CE180" s="169" t="s">
        <v>259</v>
      </c>
      <c r="CF180" s="169" t="s">
        <v>259</v>
      </c>
      <c r="CG180" s="169" t="s">
        <v>259</v>
      </c>
      <c r="CH180" s="169" t="s">
        <v>259</v>
      </c>
      <c r="CI180" s="169" t="s">
        <v>259</v>
      </c>
      <c r="CJ180" s="169" t="s">
        <v>259</v>
      </c>
      <c r="CK180" s="169" t="s">
        <v>259</v>
      </c>
      <c r="CL180" s="169" t="s">
        <v>259</v>
      </c>
      <c r="CM180" s="169" t="s">
        <v>259</v>
      </c>
      <c r="CN180" s="169" t="s">
        <v>259</v>
      </c>
      <c r="CO180" s="169" t="s">
        <v>259</v>
      </c>
      <c r="CP180" s="169" t="s">
        <v>259</v>
      </c>
      <c r="CQ180" s="169" t="s">
        <v>259</v>
      </c>
      <c r="CR180" s="169" t="s">
        <v>259</v>
      </c>
      <c r="CS180" s="169" t="s">
        <v>259</v>
      </c>
      <c r="CT180" s="169" t="s">
        <v>259</v>
      </c>
      <c r="CU180" s="169" t="s">
        <v>259</v>
      </c>
      <c r="CV180" s="169" t="s">
        <v>259</v>
      </c>
      <c r="CW180" s="169" t="s">
        <v>259</v>
      </c>
      <c r="CX180" s="169" t="s">
        <v>259</v>
      </c>
      <c r="CY180" s="169" t="s">
        <v>259</v>
      </c>
      <c r="CZ180" s="169" t="s">
        <v>259</v>
      </c>
      <c r="DA180" s="169" t="s">
        <v>259</v>
      </c>
      <c r="DB180" s="169" t="s">
        <v>259</v>
      </c>
      <c r="DC180" s="169" t="s">
        <v>259</v>
      </c>
      <c r="DD180" s="169" t="s">
        <v>259</v>
      </c>
      <c r="DE180" s="169" t="s">
        <v>259</v>
      </c>
      <c r="DF180" s="169" t="s">
        <v>259</v>
      </c>
      <c r="DG180" s="169" t="s">
        <v>259</v>
      </c>
      <c r="DH180" s="169" t="s">
        <v>259</v>
      </c>
      <c r="DI180" s="169" t="s">
        <v>259</v>
      </c>
      <c r="DJ180" s="169" t="s">
        <v>259</v>
      </c>
      <c r="DK180" s="169" t="s">
        <v>259</v>
      </c>
      <c r="DL180" s="169" t="s">
        <v>259</v>
      </c>
      <c r="DM180" s="169" t="s">
        <v>259</v>
      </c>
      <c r="DN180" s="169" t="s">
        <v>259</v>
      </c>
      <c r="DO180" s="169" t="s">
        <v>259</v>
      </c>
      <c r="DP180" s="169" t="s">
        <v>259</v>
      </c>
      <c r="DQ180" s="169" t="s">
        <v>259</v>
      </c>
      <c r="DR180" s="169" t="s">
        <v>259</v>
      </c>
      <c r="DS180" s="169" t="s">
        <v>259</v>
      </c>
      <c r="DT180" s="169" t="s">
        <v>259</v>
      </c>
    </row>
    <row r="181" spans="2:124" x14ac:dyDescent="0.3">
      <c r="B181" t="str">
        <f>'IMPORT SCHLIESSERDATEN'!B180</f>
        <v>ED 100 zweiflüglig, getrennt Gangfl.</v>
      </c>
      <c r="D181" s="169" t="s">
        <v>259</v>
      </c>
      <c r="E181" s="169" t="s">
        <v>259</v>
      </c>
      <c r="F181" s="169" t="s">
        <v>259</v>
      </c>
      <c r="G181" s="169" t="s">
        <v>259</v>
      </c>
      <c r="H181" s="169" t="s">
        <v>259</v>
      </c>
      <c r="I181" s="169" t="s">
        <v>259</v>
      </c>
      <c r="J181" s="169" t="s">
        <v>259</v>
      </c>
      <c r="K181" s="169" t="s">
        <v>259</v>
      </c>
      <c r="L181" s="169" t="s">
        <v>259</v>
      </c>
      <c r="M181" s="169" t="s">
        <v>259</v>
      </c>
      <c r="N181" s="169" t="s">
        <v>259</v>
      </c>
      <c r="O181" s="169" t="s">
        <v>259</v>
      </c>
      <c r="P181" s="169" t="s">
        <v>259</v>
      </c>
      <c r="Q181" s="169" t="s">
        <v>259</v>
      </c>
      <c r="R181" s="169" t="s">
        <v>259</v>
      </c>
      <c r="S181" s="169" t="s">
        <v>259</v>
      </c>
      <c r="T181" s="169" t="s">
        <v>259</v>
      </c>
      <c r="U181" s="169" t="s">
        <v>259</v>
      </c>
      <c r="V181" s="169" t="s">
        <v>259</v>
      </c>
      <c r="W181" s="169" t="s">
        <v>259</v>
      </c>
      <c r="X181" s="169" t="s">
        <v>259</v>
      </c>
      <c r="Y181" s="169" t="s">
        <v>259</v>
      </c>
      <c r="Z181" s="169" t="s">
        <v>259</v>
      </c>
      <c r="AA181" s="169" t="s">
        <v>259</v>
      </c>
      <c r="AB181" s="169" t="s">
        <v>259</v>
      </c>
      <c r="AC181" s="169" t="s">
        <v>259</v>
      </c>
      <c r="AD181" s="169" t="s">
        <v>259</v>
      </c>
      <c r="AE181" s="169" t="s">
        <v>259</v>
      </c>
      <c r="AF181" s="169" t="s">
        <v>259</v>
      </c>
      <c r="AG181" s="169" t="s">
        <v>259</v>
      </c>
      <c r="AH181" s="169" t="s">
        <v>259</v>
      </c>
      <c r="AI181" s="169" t="s">
        <v>259</v>
      </c>
      <c r="AJ181" s="169" t="s">
        <v>259</v>
      </c>
      <c r="AK181" s="169" t="s">
        <v>259</v>
      </c>
      <c r="AL181" s="169" t="s">
        <v>259</v>
      </c>
      <c r="AM181" s="169" t="s">
        <v>259</v>
      </c>
      <c r="AN181" s="169" t="s">
        <v>259</v>
      </c>
      <c r="AO181" s="169" t="s">
        <v>259</v>
      </c>
      <c r="AP181" s="169" t="s">
        <v>259</v>
      </c>
      <c r="AQ181" s="169" t="s">
        <v>259</v>
      </c>
      <c r="AR181" s="169" t="s">
        <v>259</v>
      </c>
      <c r="AS181" s="169" t="s">
        <v>259</v>
      </c>
      <c r="AT181" s="169" t="s">
        <v>259</v>
      </c>
      <c r="AU181" s="169" t="s">
        <v>259</v>
      </c>
      <c r="AV181" s="169" t="s">
        <v>259</v>
      </c>
      <c r="AW181" s="169" t="s">
        <v>259</v>
      </c>
      <c r="AX181" s="169" t="s">
        <v>259</v>
      </c>
      <c r="AY181" s="169" t="s">
        <v>259</v>
      </c>
      <c r="AZ181" s="169" t="s">
        <v>259</v>
      </c>
      <c r="BA181" s="169" t="s">
        <v>259</v>
      </c>
      <c r="BB181" s="169" t="s">
        <v>259</v>
      </c>
      <c r="BC181" s="169" t="s">
        <v>259</v>
      </c>
      <c r="BD181" s="169" t="s">
        <v>259</v>
      </c>
      <c r="BE181" s="169" t="s">
        <v>259</v>
      </c>
      <c r="BF181" s="169" t="s">
        <v>259</v>
      </c>
      <c r="BG181" s="169" t="s">
        <v>259</v>
      </c>
      <c r="BH181" s="169" t="s">
        <v>259</v>
      </c>
      <c r="BI181" s="169" t="s">
        <v>259</v>
      </c>
      <c r="BJ181" s="169" t="s">
        <v>259</v>
      </c>
      <c r="BK181" s="169" t="s">
        <v>259</v>
      </c>
      <c r="BL181" s="169" t="s">
        <v>259</v>
      </c>
      <c r="BM181" s="169" t="s">
        <v>259</v>
      </c>
      <c r="BN181" s="169" t="s">
        <v>259</v>
      </c>
      <c r="BO181" s="169" t="s">
        <v>259</v>
      </c>
      <c r="BP181" s="169" t="s">
        <v>259</v>
      </c>
      <c r="BQ181" s="169" t="s">
        <v>259</v>
      </c>
      <c r="BR181" s="169" t="s">
        <v>259</v>
      </c>
      <c r="BS181" s="169" t="s">
        <v>259</v>
      </c>
      <c r="BT181" s="169" t="s">
        <v>259</v>
      </c>
      <c r="BU181" s="169" t="s">
        <v>259</v>
      </c>
      <c r="BV181" s="169" t="s">
        <v>259</v>
      </c>
      <c r="BW181" s="169" t="s">
        <v>259</v>
      </c>
      <c r="BX181" s="169" t="s">
        <v>259</v>
      </c>
      <c r="BY181" s="169" t="s">
        <v>259</v>
      </c>
      <c r="BZ181" s="169" t="s">
        <v>259</v>
      </c>
      <c r="CA181" s="169" t="s">
        <v>259</v>
      </c>
      <c r="CB181" s="169" t="s">
        <v>259</v>
      </c>
      <c r="CC181" s="169" t="s">
        <v>259</v>
      </c>
      <c r="CD181" s="169" t="s">
        <v>259</v>
      </c>
      <c r="CE181" s="169" t="s">
        <v>259</v>
      </c>
      <c r="CF181" s="169" t="s">
        <v>259</v>
      </c>
      <c r="CG181" s="169" t="s">
        <v>259</v>
      </c>
      <c r="CH181" s="169" t="s">
        <v>259</v>
      </c>
      <c r="CI181" s="169" t="s">
        <v>259</v>
      </c>
      <c r="CJ181" s="169" t="s">
        <v>259</v>
      </c>
      <c r="CK181" s="169" t="s">
        <v>259</v>
      </c>
      <c r="CL181" s="169" t="s">
        <v>259</v>
      </c>
      <c r="CM181" s="169" t="s">
        <v>259</v>
      </c>
      <c r="CN181" s="169" t="s">
        <v>259</v>
      </c>
      <c r="CO181" s="169" t="s">
        <v>259</v>
      </c>
      <c r="CP181" s="169" t="s">
        <v>259</v>
      </c>
      <c r="CQ181" s="169" t="s">
        <v>259</v>
      </c>
      <c r="CR181" s="169" t="s">
        <v>259</v>
      </c>
      <c r="CS181" s="169" t="s">
        <v>259</v>
      </c>
      <c r="CT181" s="169" t="s">
        <v>259</v>
      </c>
      <c r="CU181" s="169" t="s">
        <v>259</v>
      </c>
      <c r="CV181" s="169" t="s">
        <v>259</v>
      </c>
      <c r="CW181" s="169" t="s">
        <v>259</v>
      </c>
      <c r="CX181" s="169" t="s">
        <v>259</v>
      </c>
      <c r="CY181" s="169" t="s">
        <v>259</v>
      </c>
      <c r="CZ181" s="169" t="s">
        <v>259</v>
      </c>
      <c r="DA181" s="169" t="s">
        <v>259</v>
      </c>
      <c r="DB181" s="169" t="s">
        <v>259</v>
      </c>
      <c r="DC181" s="169" t="s">
        <v>259</v>
      </c>
      <c r="DD181" s="169" t="s">
        <v>259</v>
      </c>
      <c r="DE181" s="169" t="s">
        <v>259</v>
      </c>
      <c r="DF181" s="169" t="s">
        <v>259</v>
      </c>
      <c r="DG181" s="169" t="s">
        <v>259</v>
      </c>
      <c r="DH181" s="169" t="s">
        <v>259</v>
      </c>
      <c r="DI181" s="169" t="s">
        <v>259</v>
      </c>
      <c r="DJ181" s="169" t="s">
        <v>259</v>
      </c>
      <c r="DK181" s="169" t="s">
        <v>259</v>
      </c>
      <c r="DL181" s="169" t="s">
        <v>259</v>
      </c>
      <c r="DM181" s="169" t="s">
        <v>259</v>
      </c>
      <c r="DN181" s="169" t="s">
        <v>259</v>
      </c>
      <c r="DO181" s="169" t="s">
        <v>259</v>
      </c>
      <c r="DP181" s="169" t="s">
        <v>259</v>
      </c>
      <c r="DQ181" s="169" t="s">
        <v>259</v>
      </c>
      <c r="DR181" s="169" t="s">
        <v>259</v>
      </c>
      <c r="DS181" s="169" t="s">
        <v>259</v>
      </c>
      <c r="DT181" s="169" t="s">
        <v>259</v>
      </c>
    </row>
    <row r="182" spans="2:124" x14ac:dyDescent="0.3">
      <c r="B182" t="str">
        <f>'IMPORT SCHLIESSERDATEN'!B181</f>
        <v>ED 100 zweiflüglig, ESR Gangfl.</v>
      </c>
      <c r="D182" s="169" t="s">
        <v>259</v>
      </c>
      <c r="E182" s="169" t="s">
        <v>259</v>
      </c>
      <c r="F182" s="169" t="s">
        <v>259</v>
      </c>
      <c r="G182" s="169" t="s">
        <v>259</v>
      </c>
      <c r="H182" s="169" t="s">
        <v>259</v>
      </c>
      <c r="I182" s="169" t="s">
        <v>259</v>
      </c>
      <c r="J182" s="169" t="s">
        <v>259</v>
      </c>
      <c r="K182" s="169" t="s">
        <v>259</v>
      </c>
      <c r="L182" s="169" t="s">
        <v>259</v>
      </c>
      <c r="M182" s="169" t="s">
        <v>259</v>
      </c>
      <c r="N182" s="169" t="s">
        <v>259</v>
      </c>
      <c r="O182" s="169" t="s">
        <v>259</v>
      </c>
      <c r="P182" s="169" t="s">
        <v>259</v>
      </c>
      <c r="Q182" s="169" t="s">
        <v>259</v>
      </c>
      <c r="R182" s="169" t="s">
        <v>259</v>
      </c>
      <c r="S182" s="169" t="s">
        <v>259</v>
      </c>
      <c r="T182" s="169" t="s">
        <v>259</v>
      </c>
      <c r="U182" s="169" t="s">
        <v>259</v>
      </c>
      <c r="V182" s="169" t="s">
        <v>259</v>
      </c>
      <c r="W182" s="169" t="s">
        <v>259</v>
      </c>
      <c r="X182" s="169" t="s">
        <v>259</v>
      </c>
      <c r="Y182" s="169" t="s">
        <v>259</v>
      </c>
      <c r="Z182" s="169" t="s">
        <v>259</v>
      </c>
      <c r="AA182" s="169" t="s">
        <v>259</v>
      </c>
      <c r="AB182" s="169" t="s">
        <v>259</v>
      </c>
      <c r="AC182" s="169" t="s">
        <v>259</v>
      </c>
      <c r="AD182" s="169" t="s">
        <v>259</v>
      </c>
      <c r="AE182" s="169" t="s">
        <v>259</v>
      </c>
      <c r="AF182" s="169" t="s">
        <v>259</v>
      </c>
      <c r="AG182" s="169" t="s">
        <v>259</v>
      </c>
      <c r="AH182" s="169" t="s">
        <v>259</v>
      </c>
      <c r="AI182" s="169" t="s">
        <v>259</v>
      </c>
      <c r="AJ182" s="169" t="s">
        <v>259</v>
      </c>
      <c r="AK182" s="169" t="s">
        <v>259</v>
      </c>
      <c r="AL182" s="169" t="s">
        <v>259</v>
      </c>
      <c r="AM182" s="169" t="s">
        <v>259</v>
      </c>
      <c r="AN182" s="169" t="s">
        <v>259</v>
      </c>
      <c r="AO182" s="169" t="s">
        <v>259</v>
      </c>
      <c r="AP182" s="169" t="s">
        <v>259</v>
      </c>
      <c r="AQ182" s="169" t="s">
        <v>259</v>
      </c>
      <c r="AR182" s="169" t="s">
        <v>259</v>
      </c>
      <c r="AS182" s="169" t="s">
        <v>259</v>
      </c>
      <c r="AT182" s="169" t="s">
        <v>259</v>
      </c>
      <c r="AU182" s="169" t="s">
        <v>259</v>
      </c>
      <c r="AV182" s="169" t="s">
        <v>259</v>
      </c>
      <c r="AW182" s="169" t="s">
        <v>259</v>
      </c>
      <c r="AX182" s="169" t="s">
        <v>259</v>
      </c>
      <c r="AY182" s="169" t="s">
        <v>259</v>
      </c>
      <c r="AZ182" s="169" t="s">
        <v>259</v>
      </c>
      <c r="BA182" s="169" t="s">
        <v>259</v>
      </c>
      <c r="BB182" s="169" t="s">
        <v>259</v>
      </c>
      <c r="BC182" s="169" t="s">
        <v>259</v>
      </c>
      <c r="BD182" s="169" t="s">
        <v>259</v>
      </c>
      <c r="BE182" s="169" t="s">
        <v>259</v>
      </c>
      <c r="BF182" s="169" t="s">
        <v>259</v>
      </c>
      <c r="BG182" s="169" t="s">
        <v>259</v>
      </c>
      <c r="BH182" s="169" t="s">
        <v>259</v>
      </c>
      <c r="BI182" s="169" t="s">
        <v>259</v>
      </c>
      <c r="BJ182" s="169" t="s">
        <v>259</v>
      </c>
      <c r="BK182" s="169" t="s">
        <v>259</v>
      </c>
      <c r="BL182" s="169" t="s">
        <v>259</v>
      </c>
      <c r="BM182" s="169" t="s">
        <v>259</v>
      </c>
      <c r="BN182" s="169" t="s">
        <v>259</v>
      </c>
      <c r="BO182" s="169" t="s">
        <v>259</v>
      </c>
      <c r="BP182" s="169" t="s">
        <v>259</v>
      </c>
      <c r="BQ182" s="169" t="s">
        <v>259</v>
      </c>
      <c r="BR182" s="169" t="s">
        <v>259</v>
      </c>
      <c r="BS182" s="169" t="s">
        <v>259</v>
      </c>
      <c r="BT182" s="169" t="s">
        <v>259</v>
      </c>
      <c r="BU182" s="169" t="s">
        <v>259</v>
      </c>
      <c r="BV182" s="169" t="s">
        <v>259</v>
      </c>
      <c r="BW182" s="169" t="s">
        <v>259</v>
      </c>
      <c r="BX182" s="169" t="s">
        <v>259</v>
      </c>
      <c r="BY182" s="169" t="s">
        <v>259</v>
      </c>
      <c r="BZ182" s="169" t="s">
        <v>259</v>
      </c>
      <c r="CA182" s="169" t="s">
        <v>259</v>
      </c>
      <c r="CB182" s="169" t="s">
        <v>259</v>
      </c>
      <c r="CC182" s="169" t="s">
        <v>259</v>
      </c>
      <c r="CD182" s="169" t="s">
        <v>259</v>
      </c>
      <c r="CE182" s="169" t="s">
        <v>259</v>
      </c>
      <c r="CF182" s="169" t="s">
        <v>259</v>
      </c>
      <c r="CG182" s="169" t="s">
        <v>259</v>
      </c>
      <c r="CH182" s="169" t="s">
        <v>259</v>
      </c>
      <c r="CI182" s="169" t="s">
        <v>259</v>
      </c>
      <c r="CJ182" s="169" t="s">
        <v>259</v>
      </c>
      <c r="CK182" s="169" t="s">
        <v>259</v>
      </c>
      <c r="CL182" s="169" t="s">
        <v>259</v>
      </c>
      <c r="CM182" s="169" t="s">
        <v>259</v>
      </c>
      <c r="CN182" s="169" t="s">
        <v>259</v>
      </c>
      <c r="CO182" s="169" t="s">
        <v>259</v>
      </c>
      <c r="CP182" s="169" t="s">
        <v>259</v>
      </c>
      <c r="CQ182" s="169" t="s">
        <v>259</v>
      </c>
      <c r="CR182" s="169" t="s">
        <v>259</v>
      </c>
      <c r="CS182" s="169" t="s">
        <v>259</v>
      </c>
      <c r="CT182" s="169" t="s">
        <v>259</v>
      </c>
      <c r="CU182" s="169" t="s">
        <v>259</v>
      </c>
      <c r="CV182" s="169" t="s">
        <v>259</v>
      </c>
      <c r="CW182" s="169" t="s">
        <v>259</v>
      </c>
      <c r="CX182" s="169" t="s">
        <v>259</v>
      </c>
      <c r="CY182" s="169" t="s">
        <v>259</v>
      </c>
      <c r="CZ182" s="169" t="s">
        <v>259</v>
      </c>
      <c r="DA182" s="169" t="s">
        <v>259</v>
      </c>
      <c r="DB182" s="169" t="s">
        <v>259</v>
      </c>
      <c r="DC182" s="169" t="s">
        <v>259</v>
      </c>
      <c r="DD182" s="169" t="s">
        <v>259</v>
      </c>
      <c r="DE182" s="169" t="s">
        <v>259</v>
      </c>
      <c r="DF182" s="169" t="s">
        <v>259</v>
      </c>
      <c r="DG182" s="169" t="s">
        <v>259</v>
      </c>
      <c r="DH182" s="169" t="s">
        <v>259</v>
      </c>
      <c r="DI182" s="169" t="s">
        <v>259</v>
      </c>
      <c r="DJ182" s="169" t="s">
        <v>259</v>
      </c>
      <c r="DK182" s="169" t="s">
        <v>259</v>
      </c>
      <c r="DL182" s="169" t="s">
        <v>259</v>
      </c>
      <c r="DM182" s="169" t="s">
        <v>259</v>
      </c>
      <c r="DN182" s="169" t="s">
        <v>259</v>
      </c>
      <c r="DO182" s="169" t="s">
        <v>259</v>
      </c>
      <c r="DP182" s="169" t="s">
        <v>259</v>
      </c>
      <c r="DQ182" s="169" t="s">
        <v>259</v>
      </c>
      <c r="DR182" s="169" t="s">
        <v>259</v>
      </c>
      <c r="DS182" s="169" t="s">
        <v>259</v>
      </c>
      <c r="DT182" s="169" t="s">
        <v>259</v>
      </c>
    </row>
    <row r="183" spans="2:124" x14ac:dyDescent="0.3">
      <c r="B183" t="str">
        <f>'IMPORT SCHLIESSERDATEN'!B182</f>
        <v>ED 100 mit Gestänge Standfl.</v>
      </c>
      <c r="D183" s="169" t="s">
        <v>259</v>
      </c>
      <c r="E183" s="169" t="s">
        <v>259</v>
      </c>
      <c r="F183" s="169" t="s">
        <v>259</v>
      </c>
      <c r="G183" s="169" t="s">
        <v>259</v>
      </c>
      <c r="H183" s="169" t="s">
        <v>259</v>
      </c>
      <c r="I183" s="169" t="s">
        <v>259</v>
      </c>
      <c r="J183" s="169" t="s">
        <v>259</v>
      </c>
      <c r="K183" s="169" t="s">
        <v>259</v>
      </c>
      <c r="L183" s="169" t="s">
        <v>259</v>
      </c>
      <c r="M183" s="169" t="s">
        <v>259</v>
      </c>
      <c r="N183" s="169" t="s">
        <v>259</v>
      </c>
      <c r="O183" s="169" t="s">
        <v>259</v>
      </c>
      <c r="P183" s="169" t="s">
        <v>259</v>
      </c>
      <c r="Q183" s="169" t="s">
        <v>259</v>
      </c>
      <c r="R183" s="169" t="s">
        <v>259</v>
      </c>
      <c r="S183" s="169" t="s">
        <v>259</v>
      </c>
      <c r="T183" s="169" t="s">
        <v>259</v>
      </c>
      <c r="U183" s="169" t="s">
        <v>259</v>
      </c>
      <c r="V183" s="169" t="s">
        <v>259</v>
      </c>
      <c r="W183" s="169" t="s">
        <v>259</v>
      </c>
      <c r="X183" s="169" t="s">
        <v>259</v>
      </c>
      <c r="Y183" s="169" t="s">
        <v>259</v>
      </c>
      <c r="Z183" s="169" t="s">
        <v>259</v>
      </c>
      <c r="AA183" s="169" t="s">
        <v>259</v>
      </c>
      <c r="AB183" s="169" t="s">
        <v>259</v>
      </c>
      <c r="AC183" s="169" t="s">
        <v>259</v>
      </c>
      <c r="AD183" s="169" t="s">
        <v>259</v>
      </c>
      <c r="AE183" s="169" t="s">
        <v>259</v>
      </c>
      <c r="AF183" s="169" t="s">
        <v>259</v>
      </c>
      <c r="AG183" s="169" t="s">
        <v>259</v>
      </c>
      <c r="AH183" s="169" t="s">
        <v>259</v>
      </c>
      <c r="AI183" s="169" t="s">
        <v>259</v>
      </c>
      <c r="AJ183" s="169" t="s">
        <v>259</v>
      </c>
      <c r="AK183" s="169" t="s">
        <v>259</v>
      </c>
      <c r="AL183" s="169" t="s">
        <v>259</v>
      </c>
      <c r="AM183" s="169" t="s">
        <v>259</v>
      </c>
      <c r="AN183" s="169" t="s">
        <v>259</v>
      </c>
      <c r="AO183" s="169" t="s">
        <v>259</v>
      </c>
      <c r="AP183" s="169" t="s">
        <v>259</v>
      </c>
      <c r="AQ183" s="169" t="s">
        <v>259</v>
      </c>
      <c r="AR183" s="169" t="s">
        <v>259</v>
      </c>
      <c r="AS183" s="169" t="s">
        <v>259</v>
      </c>
      <c r="AT183" s="169" t="s">
        <v>259</v>
      </c>
      <c r="AU183" s="169" t="s">
        <v>259</v>
      </c>
      <c r="AV183" s="169" t="s">
        <v>259</v>
      </c>
      <c r="AW183" s="169" t="s">
        <v>259</v>
      </c>
      <c r="AX183" s="169" t="s">
        <v>259</v>
      </c>
      <c r="AY183" s="169" t="s">
        <v>259</v>
      </c>
      <c r="AZ183" s="169" t="s">
        <v>259</v>
      </c>
      <c r="BA183" s="169" t="s">
        <v>259</v>
      </c>
      <c r="BB183" s="169" t="s">
        <v>259</v>
      </c>
      <c r="BC183" s="169" t="s">
        <v>259</v>
      </c>
      <c r="BD183" s="169" t="s">
        <v>259</v>
      </c>
      <c r="BE183" s="169" t="s">
        <v>259</v>
      </c>
      <c r="BF183" s="169" t="s">
        <v>259</v>
      </c>
      <c r="BG183" s="169" t="s">
        <v>259</v>
      </c>
      <c r="BH183" s="169" t="s">
        <v>259</v>
      </c>
      <c r="BI183" s="169" t="s">
        <v>259</v>
      </c>
      <c r="BJ183" s="169" t="s">
        <v>259</v>
      </c>
      <c r="BK183" s="169" t="s">
        <v>259</v>
      </c>
      <c r="BL183" s="169" t="s">
        <v>259</v>
      </c>
      <c r="BM183" s="169" t="s">
        <v>259</v>
      </c>
      <c r="BN183" s="169" t="s">
        <v>259</v>
      </c>
      <c r="BO183" s="169" t="s">
        <v>259</v>
      </c>
      <c r="BP183" s="169" t="s">
        <v>259</v>
      </c>
      <c r="BQ183" s="169" t="s">
        <v>259</v>
      </c>
      <c r="BR183" s="169" t="s">
        <v>259</v>
      </c>
      <c r="BS183" s="169" t="s">
        <v>259</v>
      </c>
      <c r="BT183" s="169" t="s">
        <v>259</v>
      </c>
      <c r="BU183" s="169" t="s">
        <v>259</v>
      </c>
      <c r="BV183" s="169" t="s">
        <v>259</v>
      </c>
      <c r="BW183" s="169" t="s">
        <v>259</v>
      </c>
      <c r="BX183" s="169" t="s">
        <v>259</v>
      </c>
      <c r="BY183" s="169" t="s">
        <v>259</v>
      </c>
      <c r="BZ183" s="169" t="s">
        <v>259</v>
      </c>
      <c r="CA183" s="169" t="s">
        <v>259</v>
      </c>
      <c r="CB183" s="169" t="s">
        <v>259</v>
      </c>
      <c r="CC183" s="169" t="s">
        <v>259</v>
      </c>
      <c r="CD183" s="169" t="s">
        <v>259</v>
      </c>
      <c r="CE183" s="169" t="s">
        <v>259</v>
      </c>
      <c r="CF183" s="169" t="s">
        <v>259</v>
      </c>
      <c r="CG183" s="169" t="s">
        <v>259</v>
      </c>
      <c r="CH183" s="169" t="s">
        <v>259</v>
      </c>
      <c r="CI183" s="169" t="s">
        <v>259</v>
      </c>
      <c r="CJ183" s="169" t="s">
        <v>259</v>
      </c>
      <c r="CK183" s="169" t="s">
        <v>259</v>
      </c>
      <c r="CL183" s="169" t="s">
        <v>259</v>
      </c>
      <c r="CM183" s="169" t="s">
        <v>259</v>
      </c>
      <c r="CN183" s="169" t="s">
        <v>259</v>
      </c>
      <c r="CO183" s="169" t="s">
        <v>259</v>
      </c>
      <c r="CP183" s="169" t="s">
        <v>259</v>
      </c>
      <c r="CQ183" s="169" t="s">
        <v>259</v>
      </c>
      <c r="CR183" s="169" t="s">
        <v>259</v>
      </c>
      <c r="CS183" s="169" t="s">
        <v>259</v>
      </c>
      <c r="CT183" s="169" t="s">
        <v>259</v>
      </c>
      <c r="CU183" s="169" t="s">
        <v>259</v>
      </c>
      <c r="CV183" s="169" t="s">
        <v>259</v>
      </c>
      <c r="CW183" s="169" t="s">
        <v>259</v>
      </c>
      <c r="CX183" s="169" t="s">
        <v>259</v>
      </c>
      <c r="CY183" s="169" t="s">
        <v>259</v>
      </c>
      <c r="CZ183" s="169" t="s">
        <v>259</v>
      </c>
      <c r="DA183" s="169" t="s">
        <v>259</v>
      </c>
      <c r="DB183" s="169" t="s">
        <v>259</v>
      </c>
      <c r="DC183" s="169" t="s">
        <v>259</v>
      </c>
      <c r="DD183" s="169" t="s">
        <v>259</v>
      </c>
      <c r="DE183" s="169" t="s">
        <v>259</v>
      </c>
      <c r="DF183" s="169" t="s">
        <v>259</v>
      </c>
      <c r="DG183" s="169" t="s">
        <v>259</v>
      </c>
      <c r="DH183" s="169" t="s">
        <v>259</v>
      </c>
      <c r="DI183" s="169" t="s">
        <v>259</v>
      </c>
      <c r="DJ183" s="169" t="s">
        <v>259</v>
      </c>
      <c r="DK183" s="169" t="s">
        <v>259</v>
      </c>
      <c r="DL183" s="169" t="s">
        <v>259</v>
      </c>
      <c r="DM183" s="169" t="s">
        <v>259</v>
      </c>
      <c r="DN183" s="169" t="s">
        <v>259</v>
      </c>
      <c r="DO183" s="169" t="s">
        <v>259</v>
      </c>
      <c r="DP183" s="169" t="s">
        <v>259</v>
      </c>
      <c r="DQ183" s="169" t="s">
        <v>259</v>
      </c>
      <c r="DR183" s="169" t="s">
        <v>259</v>
      </c>
      <c r="DS183" s="169" t="s">
        <v>259</v>
      </c>
      <c r="DT183" s="169" t="s">
        <v>259</v>
      </c>
    </row>
    <row r="184" spans="2:124" x14ac:dyDescent="0.3">
      <c r="B184" t="str">
        <f>'IMPORT SCHLIESSERDATEN'!B183</f>
        <v>ED250 GST N</v>
      </c>
      <c r="D184" s="169" t="s">
        <v>259</v>
      </c>
      <c r="E184" s="169" t="s">
        <v>259</v>
      </c>
      <c r="F184" s="169" t="s">
        <v>259</v>
      </c>
      <c r="G184" s="169" t="s">
        <v>259</v>
      </c>
      <c r="H184" s="169" t="s">
        <v>259</v>
      </c>
      <c r="I184" s="169" t="s">
        <v>259</v>
      </c>
      <c r="J184" s="169" t="s">
        <v>259</v>
      </c>
      <c r="K184" s="169" t="s">
        <v>259</v>
      </c>
      <c r="L184" s="169" t="s">
        <v>259</v>
      </c>
      <c r="M184" s="169" t="s">
        <v>259</v>
      </c>
      <c r="N184" s="169" t="s">
        <v>259</v>
      </c>
      <c r="O184" s="169" t="s">
        <v>259</v>
      </c>
      <c r="P184" s="169" t="s">
        <v>259</v>
      </c>
      <c r="Q184" s="169" t="s">
        <v>259</v>
      </c>
      <c r="R184" s="169" t="s">
        <v>259</v>
      </c>
      <c r="S184" s="169" t="s">
        <v>259</v>
      </c>
      <c r="T184" s="169" t="s">
        <v>259</v>
      </c>
      <c r="U184" s="169" t="s">
        <v>259</v>
      </c>
      <c r="V184" s="169" t="s">
        <v>259</v>
      </c>
      <c r="W184" s="169" t="s">
        <v>259</v>
      </c>
      <c r="X184" s="169" t="s">
        <v>259</v>
      </c>
      <c r="Y184" s="169" t="s">
        <v>259</v>
      </c>
      <c r="Z184" s="169" t="s">
        <v>259</v>
      </c>
      <c r="AA184" s="169" t="s">
        <v>259</v>
      </c>
      <c r="AB184" s="169" t="s">
        <v>259</v>
      </c>
      <c r="AC184" s="169" t="s">
        <v>259</v>
      </c>
      <c r="AD184" s="169" t="s">
        <v>259</v>
      </c>
      <c r="AE184" s="169" t="s">
        <v>259</v>
      </c>
      <c r="AF184" s="169" t="s">
        <v>259</v>
      </c>
      <c r="AG184" s="169" t="s">
        <v>259</v>
      </c>
      <c r="AH184" s="169" t="s">
        <v>259</v>
      </c>
      <c r="AI184" s="169" t="s">
        <v>259</v>
      </c>
      <c r="AJ184" s="169" t="s">
        <v>259</v>
      </c>
      <c r="AK184" s="169" t="s">
        <v>259</v>
      </c>
      <c r="AL184" s="169" t="s">
        <v>259</v>
      </c>
      <c r="AM184" s="169" t="s">
        <v>259</v>
      </c>
      <c r="AN184" s="169" t="s">
        <v>259</v>
      </c>
      <c r="AO184" s="169" t="s">
        <v>259</v>
      </c>
      <c r="AP184" s="169" t="s">
        <v>259</v>
      </c>
      <c r="AQ184" s="169" t="s">
        <v>259</v>
      </c>
      <c r="AR184" s="169" t="s">
        <v>259</v>
      </c>
      <c r="AS184" s="169" t="s">
        <v>259</v>
      </c>
      <c r="AT184" s="169" t="s">
        <v>259</v>
      </c>
      <c r="AU184" s="169" t="s">
        <v>259</v>
      </c>
      <c r="AV184" s="169" t="s">
        <v>259</v>
      </c>
      <c r="AW184" s="169" t="s">
        <v>259</v>
      </c>
      <c r="AX184" s="169" t="s">
        <v>259</v>
      </c>
      <c r="AY184" s="169" t="s">
        <v>259</v>
      </c>
      <c r="AZ184" s="169" t="s">
        <v>259</v>
      </c>
      <c r="BA184" s="169" t="s">
        <v>259</v>
      </c>
      <c r="BB184" s="169" t="s">
        <v>259</v>
      </c>
      <c r="BC184" s="169" t="s">
        <v>259</v>
      </c>
      <c r="BD184" s="169" t="s">
        <v>259</v>
      </c>
      <c r="BE184" s="169" t="s">
        <v>259</v>
      </c>
      <c r="BF184" s="169" t="s">
        <v>259</v>
      </c>
      <c r="BG184" s="169" t="s">
        <v>259</v>
      </c>
      <c r="BH184" s="169" t="s">
        <v>259</v>
      </c>
      <c r="BI184" s="169" t="s">
        <v>259</v>
      </c>
      <c r="BJ184" s="169" t="s">
        <v>259</v>
      </c>
      <c r="BK184" s="169" t="s">
        <v>259</v>
      </c>
      <c r="BL184" s="169" t="s">
        <v>259</v>
      </c>
      <c r="BM184" s="169" t="s">
        <v>259</v>
      </c>
      <c r="BN184" s="169" t="s">
        <v>259</v>
      </c>
      <c r="BO184" s="169" t="s">
        <v>259</v>
      </c>
      <c r="BP184" s="169" t="s">
        <v>259</v>
      </c>
      <c r="BQ184" s="169" t="s">
        <v>259</v>
      </c>
      <c r="BR184" s="169" t="s">
        <v>259</v>
      </c>
      <c r="BS184" s="169" t="s">
        <v>259</v>
      </c>
      <c r="BT184" s="169" t="s">
        <v>259</v>
      </c>
      <c r="BU184" s="169" t="s">
        <v>259</v>
      </c>
      <c r="BV184" s="169" t="s">
        <v>259</v>
      </c>
      <c r="BW184" s="169" t="s">
        <v>259</v>
      </c>
      <c r="BX184" s="169" t="s">
        <v>259</v>
      </c>
      <c r="BY184" s="169" t="s">
        <v>259</v>
      </c>
      <c r="BZ184" s="169" t="s">
        <v>259</v>
      </c>
      <c r="CA184" s="169" t="s">
        <v>259</v>
      </c>
      <c r="CB184" s="169" t="s">
        <v>259</v>
      </c>
      <c r="CC184" s="169" t="s">
        <v>259</v>
      </c>
      <c r="CD184" s="169" t="s">
        <v>259</v>
      </c>
      <c r="CE184" s="169" t="s">
        <v>259</v>
      </c>
      <c r="CF184" s="169" t="s">
        <v>259</v>
      </c>
      <c r="CG184" s="169" t="s">
        <v>259</v>
      </c>
      <c r="CH184" s="169" t="s">
        <v>259</v>
      </c>
      <c r="CI184" s="169" t="s">
        <v>259</v>
      </c>
      <c r="CJ184" s="169" t="s">
        <v>259</v>
      </c>
      <c r="CK184" s="169" t="s">
        <v>259</v>
      </c>
      <c r="CL184" s="169" t="s">
        <v>259</v>
      </c>
      <c r="CM184" s="169" t="s">
        <v>259</v>
      </c>
      <c r="CN184" s="169" t="s">
        <v>259</v>
      </c>
      <c r="CO184" s="169" t="s">
        <v>259</v>
      </c>
      <c r="CP184" s="169" t="s">
        <v>259</v>
      </c>
      <c r="CQ184" s="169" t="s">
        <v>259</v>
      </c>
      <c r="CR184" s="169" t="s">
        <v>259</v>
      </c>
      <c r="CS184" s="169" t="s">
        <v>259</v>
      </c>
      <c r="CT184" s="169" t="s">
        <v>259</v>
      </c>
      <c r="CU184" s="169" t="s">
        <v>259</v>
      </c>
      <c r="CV184" s="169" t="s">
        <v>259</v>
      </c>
      <c r="CW184" s="169" t="s">
        <v>259</v>
      </c>
      <c r="CX184" s="169" t="s">
        <v>259</v>
      </c>
      <c r="CY184" s="169" t="s">
        <v>259</v>
      </c>
      <c r="CZ184" s="169" t="s">
        <v>259</v>
      </c>
      <c r="DA184" s="169" t="s">
        <v>259</v>
      </c>
      <c r="DB184" s="169" t="s">
        <v>259</v>
      </c>
      <c r="DC184" s="169" t="s">
        <v>259</v>
      </c>
      <c r="DD184" s="169" t="s">
        <v>259</v>
      </c>
      <c r="DE184" s="169" t="s">
        <v>259</v>
      </c>
      <c r="DF184" s="169" t="s">
        <v>259</v>
      </c>
      <c r="DG184" s="169" t="s">
        <v>259</v>
      </c>
      <c r="DH184" s="169" t="s">
        <v>259</v>
      </c>
      <c r="DI184" s="169" t="s">
        <v>259</v>
      </c>
      <c r="DJ184" s="169" t="s">
        <v>259</v>
      </c>
      <c r="DK184" s="169" t="s">
        <v>259</v>
      </c>
      <c r="DL184" s="169" t="s">
        <v>259</v>
      </c>
      <c r="DM184" s="169" t="s">
        <v>259</v>
      </c>
      <c r="DN184" s="169" t="s">
        <v>259</v>
      </c>
      <c r="DO184" s="169" t="s">
        <v>259</v>
      </c>
      <c r="DP184" s="169" t="s">
        <v>259</v>
      </c>
      <c r="DQ184" s="169" t="s">
        <v>259</v>
      </c>
      <c r="DR184" s="169" t="s">
        <v>259</v>
      </c>
      <c r="DS184" s="169" t="s">
        <v>259</v>
      </c>
      <c r="DT184" s="169" t="s">
        <v>259</v>
      </c>
    </row>
    <row r="185" spans="2:124" x14ac:dyDescent="0.3">
      <c r="B185" t="str">
        <f>'IMPORT SCHLIESSERDATEN'!B184</f>
        <v>ED 250 GSR, (1 ED Gangfl. -1 TS am Standfl.)</v>
      </c>
      <c r="D185" s="169" t="s">
        <v>259</v>
      </c>
      <c r="E185" s="169" t="s">
        <v>259</v>
      </c>
      <c r="F185" s="169" t="s">
        <v>259</v>
      </c>
      <c r="G185" s="169" t="s">
        <v>259</v>
      </c>
      <c r="H185" s="169" t="s">
        <v>259</v>
      </c>
      <c r="I185" s="169" t="s">
        <v>259</v>
      </c>
      <c r="J185" s="169" t="s">
        <v>259</v>
      </c>
      <c r="K185" s="169" t="s">
        <v>259</v>
      </c>
      <c r="L185" s="169" t="s">
        <v>259</v>
      </c>
      <c r="M185" s="169" t="s">
        <v>259</v>
      </c>
      <c r="N185" s="169" t="s">
        <v>259</v>
      </c>
      <c r="O185" s="169" t="s">
        <v>259</v>
      </c>
      <c r="P185" s="169" t="s">
        <v>259</v>
      </c>
      <c r="Q185" s="169" t="s">
        <v>259</v>
      </c>
      <c r="R185" s="169" t="s">
        <v>259</v>
      </c>
      <c r="S185" s="169" t="s">
        <v>259</v>
      </c>
      <c r="T185" s="169" t="s">
        <v>259</v>
      </c>
      <c r="U185" s="169" t="s">
        <v>259</v>
      </c>
      <c r="V185" s="169" t="s">
        <v>259</v>
      </c>
      <c r="W185" s="169" t="s">
        <v>259</v>
      </c>
      <c r="X185" s="169" t="s">
        <v>259</v>
      </c>
      <c r="Y185" s="169" t="s">
        <v>259</v>
      </c>
      <c r="Z185" s="169" t="s">
        <v>259</v>
      </c>
      <c r="AA185" s="169" t="s">
        <v>259</v>
      </c>
      <c r="AB185" s="169" t="s">
        <v>259</v>
      </c>
      <c r="AC185" s="169" t="s">
        <v>259</v>
      </c>
      <c r="AD185" s="169" t="s">
        <v>259</v>
      </c>
      <c r="AE185" s="169" t="s">
        <v>259</v>
      </c>
      <c r="AF185" s="169" t="s">
        <v>259</v>
      </c>
      <c r="AG185" s="169" t="s">
        <v>259</v>
      </c>
      <c r="AH185" s="169" t="s">
        <v>259</v>
      </c>
      <c r="AI185" s="169" t="s">
        <v>259</v>
      </c>
      <c r="AJ185" s="169" t="s">
        <v>259</v>
      </c>
      <c r="AK185" s="169" t="s">
        <v>259</v>
      </c>
      <c r="AL185" s="169" t="s">
        <v>259</v>
      </c>
      <c r="AM185" s="169" t="s">
        <v>259</v>
      </c>
      <c r="AN185" s="169" t="s">
        <v>259</v>
      </c>
      <c r="AO185" s="169" t="s">
        <v>259</v>
      </c>
      <c r="AP185" s="169" t="s">
        <v>259</v>
      </c>
      <c r="AQ185" s="169" t="s">
        <v>259</v>
      </c>
      <c r="AR185" s="169" t="s">
        <v>259</v>
      </c>
      <c r="AS185" s="169" t="s">
        <v>259</v>
      </c>
      <c r="AT185" s="169" t="s">
        <v>259</v>
      </c>
      <c r="AU185" s="169" t="s">
        <v>259</v>
      </c>
      <c r="AV185" s="169" t="s">
        <v>259</v>
      </c>
      <c r="AW185" s="169" t="s">
        <v>259</v>
      </c>
      <c r="AX185" s="169" t="s">
        <v>259</v>
      </c>
      <c r="AY185" s="169" t="s">
        <v>259</v>
      </c>
      <c r="AZ185" s="169" t="s">
        <v>259</v>
      </c>
      <c r="BA185" s="169" t="s">
        <v>259</v>
      </c>
      <c r="BB185" s="169" t="s">
        <v>259</v>
      </c>
      <c r="BC185" s="169" t="s">
        <v>259</v>
      </c>
      <c r="BD185" s="169" t="s">
        <v>259</v>
      </c>
      <c r="BE185" s="169" t="s">
        <v>259</v>
      </c>
      <c r="BF185" s="169" t="s">
        <v>259</v>
      </c>
      <c r="BG185" s="169" t="s">
        <v>259</v>
      </c>
      <c r="BH185" s="169" t="s">
        <v>259</v>
      </c>
      <c r="BI185" s="169" t="s">
        <v>259</v>
      </c>
      <c r="BJ185" s="169" t="s">
        <v>259</v>
      </c>
      <c r="BK185" s="169" t="s">
        <v>259</v>
      </c>
      <c r="BL185" s="169" t="s">
        <v>259</v>
      </c>
      <c r="BM185" s="169" t="s">
        <v>259</v>
      </c>
      <c r="BN185" s="169" t="s">
        <v>259</v>
      </c>
      <c r="BO185" s="169" t="s">
        <v>259</v>
      </c>
      <c r="BP185" s="169" t="s">
        <v>259</v>
      </c>
      <c r="BQ185" s="169" t="s">
        <v>259</v>
      </c>
      <c r="BR185" s="169" t="s">
        <v>259</v>
      </c>
      <c r="BS185" s="169" t="s">
        <v>259</v>
      </c>
      <c r="BT185" s="169" t="s">
        <v>259</v>
      </c>
      <c r="BU185" s="169" t="s">
        <v>259</v>
      </c>
      <c r="BV185" s="169" t="s">
        <v>259</v>
      </c>
      <c r="BW185" s="169" t="s">
        <v>259</v>
      </c>
      <c r="BX185" s="169" t="s">
        <v>259</v>
      </c>
      <c r="BY185" s="169" t="s">
        <v>259</v>
      </c>
      <c r="BZ185" s="169" t="s">
        <v>259</v>
      </c>
      <c r="CA185" s="169" t="s">
        <v>259</v>
      </c>
      <c r="CB185" s="169" t="s">
        <v>259</v>
      </c>
      <c r="CC185" s="169" t="s">
        <v>259</v>
      </c>
      <c r="CD185" s="169" t="s">
        <v>259</v>
      </c>
      <c r="CE185" s="169" t="s">
        <v>259</v>
      </c>
      <c r="CF185" s="169" t="s">
        <v>259</v>
      </c>
      <c r="CG185" s="169" t="s">
        <v>259</v>
      </c>
      <c r="CH185" s="169" t="s">
        <v>259</v>
      </c>
      <c r="CI185" s="169" t="s">
        <v>259</v>
      </c>
      <c r="CJ185" s="169" t="s">
        <v>259</v>
      </c>
      <c r="CK185" s="169" t="s">
        <v>259</v>
      </c>
      <c r="CL185" s="169" t="s">
        <v>259</v>
      </c>
      <c r="CM185" s="169" t="s">
        <v>259</v>
      </c>
      <c r="CN185" s="169" t="s">
        <v>259</v>
      </c>
      <c r="CO185" s="169" t="s">
        <v>259</v>
      </c>
      <c r="CP185" s="169" t="s">
        <v>259</v>
      </c>
      <c r="CQ185" s="169" t="s">
        <v>259</v>
      </c>
      <c r="CR185" s="169" t="s">
        <v>259</v>
      </c>
      <c r="CS185" s="169" t="s">
        <v>259</v>
      </c>
      <c r="CT185" s="169" t="s">
        <v>259</v>
      </c>
      <c r="CU185" s="169" t="s">
        <v>259</v>
      </c>
      <c r="CV185" s="169" t="s">
        <v>259</v>
      </c>
      <c r="CW185" s="169" t="s">
        <v>259</v>
      </c>
      <c r="CX185" s="169" t="s">
        <v>259</v>
      </c>
      <c r="CY185" s="169" t="s">
        <v>259</v>
      </c>
      <c r="CZ185" s="169" t="s">
        <v>259</v>
      </c>
      <c r="DA185" s="169" t="s">
        <v>259</v>
      </c>
      <c r="DB185" s="169" t="s">
        <v>259</v>
      </c>
      <c r="DC185" s="169" t="s">
        <v>259</v>
      </c>
      <c r="DD185" s="169" t="s">
        <v>259</v>
      </c>
      <c r="DE185" s="169" t="s">
        <v>259</v>
      </c>
      <c r="DF185" s="169" t="s">
        <v>259</v>
      </c>
      <c r="DG185" s="169" t="s">
        <v>259</v>
      </c>
      <c r="DH185" s="169" t="s">
        <v>259</v>
      </c>
      <c r="DI185" s="169" t="s">
        <v>259</v>
      </c>
      <c r="DJ185" s="169" t="s">
        <v>259</v>
      </c>
      <c r="DK185" s="169" t="s">
        <v>259</v>
      </c>
      <c r="DL185" s="169" t="s">
        <v>259</v>
      </c>
      <c r="DM185" s="169" t="s">
        <v>259</v>
      </c>
      <c r="DN185" s="169" t="s">
        <v>259</v>
      </c>
      <c r="DO185" s="169" t="s">
        <v>259</v>
      </c>
      <c r="DP185" s="169" t="s">
        <v>259</v>
      </c>
      <c r="DQ185" s="169" t="s">
        <v>259</v>
      </c>
      <c r="DR185" s="169" t="s">
        <v>259</v>
      </c>
      <c r="DS185" s="169" t="s">
        <v>259</v>
      </c>
      <c r="DT185" s="169" t="s">
        <v>259</v>
      </c>
    </row>
    <row r="186" spans="2:124" x14ac:dyDescent="0.3">
      <c r="B186" t="str">
        <f>'IMPORT SCHLIESSERDATEN'!B185</f>
        <v>ED 250 zweiflüglig, getrennt Gangfl.</v>
      </c>
      <c r="D186" s="169" t="s">
        <v>259</v>
      </c>
      <c r="E186" s="169" t="s">
        <v>259</v>
      </c>
      <c r="F186" s="169" t="s">
        <v>259</v>
      </c>
      <c r="G186" s="169" t="s">
        <v>259</v>
      </c>
      <c r="H186" s="169" t="s">
        <v>259</v>
      </c>
      <c r="I186" s="169" t="s">
        <v>259</v>
      </c>
      <c r="J186" s="169" t="s">
        <v>259</v>
      </c>
      <c r="K186" s="169" t="s">
        <v>259</v>
      </c>
      <c r="L186" s="169" t="s">
        <v>259</v>
      </c>
      <c r="M186" s="169" t="s">
        <v>259</v>
      </c>
      <c r="N186" s="169" t="s">
        <v>259</v>
      </c>
      <c r="O186" s="169" t="s">
        <v>259</v>
      </c>
      <c r="P186" s="169" t="s">
        <v>259</v>
      </c>
      <c r="Q186" s="169" t="s">
        <v>259</v>
      </c>
      <c r="R186" s="169" t="s">
        <v>259</v>
      </c>
      <c r="S186" s="169" t="s">
        <v>259</v>
      </c>
      <c r="T186" s="169" t="s">
        <v>259</v>
      </c>
      <c r="U186" s="169" t="s">
        <v>259</v>
      </c>
      <c r="V186" s="169" t="s">
        <v>259</v>
      </c>
      <c r="W186" s="169" t="s">
        <v>259</v>
      </c>
      <c r="X186" s="169" t="s">
        <v>259</v>
      </c>
      <c r="Y186" s="169" t="s">
        <v>259</v>
      </c>
      <c r="Z186" s="169" t="s">
        <v>259</v>
      </c>
      <c r="AA186" s="169" t="s">
        <v>259</v>
      </c>
      <c r="AB186" s="169" t="s">
        <v>259</v>
      </c>
      <c r="AC186" s="169" t="s">
        <v>259</v>
      </c>
      <c r="AD186" s="169" t="s">
        <v>259</v>
      </c>
      <c r="AE186" s="169" t="s">
        <v>259</v>
      </c>
      <c r="AF186" s="169" t="s">
        <v>259</v>
      </c>
      <c r="AG186" s="169" t="s">
        <v>259</v>
      </c>
      <c r="AH186" s="169" t="s">
        <v>259</v>
      </c>
      <c r="AI186" s="169" t="s">
        <v>259</v>
      </c>
      <c r="AJ186" s="169" t="s">
        <v>259</v>
      </c>
      <c r="AK186" s="169" t="s">
        <v>259</v>
      </c>
      <c r="AL186" s="169" t="s">
        <v>259</v>
      </c>
      <c r="AM186" s="169" t="s">
        <v>259</v>
      </c>
      <c r="AN186" s="169" t="s">
        <v>259</v>
      </c>
      <c r="AO186" s="169" t="s">
        <v>259</v>
      </c>
      <c r="AP186" s="169" t="s">
        <v>259</v>
      </c>
      <c r="AQ186" s="169" t="s">
        <v>259</v>
      </c>
      <c r="AR186" s="169" t="s">
        <v>259</v>
      </c>
      <c r="AS186" s="169" t="s">
        <v>259</v>
      </c>
      <c r="AT186" s="169" t="s">
        <v>259</v>
      </c>
      <c r="AU186" s="169" t="s">
        <v>259</v>
      </c>
      <c r="AV186" s="169" t="s">
        <v>259</v>
      </c>
      <c r="AW186" s="169" t="s">
        <v>259</v>
      </c>
      <c r="AX186" s="169" t="s">
        <v>259</v>
      </c>
      <c r="AY186" s="169" t="s">
        <v>259</v>
      </c>
      <c r="AZ186" s="169" t="s">
        <v>259</v>
      </c>
      <c r="BA186" s="169" t="s">
        <v>259</v>
      </c>
      <c r="BB186" s="169" t="s">
        <v>259</v>
      </c>
      <c r="BC186" s="169" t="s">
        <v>259</v>
      </c>
      <c r="BD186" s="169" t="s">
        <v>259</v>
      </c>
      <c r="BE186" s="169" t="s">
        <v>259</v>
      </c>
      <c r="BF186" s="169" t="s">
        <v>259</v>
      </c>
      <c r="BG186" s="169" t="s">
        <v>259</v>
      </c>
      <c r="BH186" s="169" t="s">
        <v>259</v>
      </c>
      <c r="BI186" s="169" t="s">
        <v>259</v>
      </c>
      <c r="BJ186" s="169" t="s">
        <v>259</v>
      </c>
      <c r="BK186" s="169" t="s">
        <v>259</v>
      </c>
      <c r="BL186" s="169" t="s">
        <v>259</v>
      </c>
      <c r="BM186" s="169" t="s">
        <v>259</v>
      </c>
      <c r="BN186" s="169" t="s">
        <v>259</v>
      </c>
      <c r="BO186" s="169" t="s">
        <v>259</v>
      </c>
      <c r="BP186" s="169" t="s">
        <v>259</v>
      </c>
      <c r="BQ186" s="169" t="s">
        <v>259</v>
      </c>
      <c r="BR186" s="169" t="s">
        <v>259</v>
      </c>
      <c r="BS186" s="169" t="s">
        <v>259</v>
      </c>
      <c r="BT186" s="169" t="s">
        <v>259</v>
      </c>
      <c r="BU186" s="169" t="s">
        <v>259</v>
      </c>
      <c r="BV186" s="169" t="s">
        <v>259</v>
      </c>
      <c r="BW186" s="169" t="s">
        <v>259</v>
      </c>
      <c r="BX186" s="169" t="s">
        <v>259</v>
      </c>
      <c r="BY186" s="169" t="s">
        <v>259</v>
      </c>
      <c r="BZ186" s="169" t="s">
        <v>259</v>
      </c>
      <c r="CA186" s="169" t="s">
        <v>259</v>
      </c>
      <c r="CB186" s="169" t="s">
        <v>259</v>
      </c>
      <c r="CC186" s="169" t="s">
        <v>259</v>
      </c>
      <c r="CD186" s="169" t="s">
        <v>259</v>
      </c>
      <c r="CE186" s="169" t="s">
        <v>259</v>
      </c>
      <c r="CF186" s="169" t="s">
        <v>259</v>
      </c>
      <c r="CG186" s="169" t="s">
        <v>259</v>
      </c>
      <c r="CH186" s="169" t="s">
        <v>259</v>
      </c>
      <c r="CI186" s="169" t="s">
        <v>259</v>
      </c>
      <c r="CJ186" s="169" t="s">
        <v>259</v>
      </c>
      <c r="CK186" s="169" t="s">
        <v>259</v>
      </c>
      <c r="CL186" s="169" t="s">
        <v>259</v>
      </c>
      <c r="CM186" s="169" t="s">
        <v>259</v>
      </c>
      <c r="CN186" s="169" t="s">
        <v>259</v>
      </c>
      <c r="CO186" s="169" t="s">
        <v>259</v>
      </c>
      <c r="CP186" s="169" t="s">
        <v>259</v>
      </c>
      <c r="CQ186" s="169" t="s">
        <v>259</v>
      </c>
      <c r="CR186" s="169" t="s">
        <v>259</v>
      </c>
      <c r="CS186" s="169" t="s">
        <v>259</v>
      </c>
      <c r="CT186" s="169" t="s">
        <v>259</v>
      </c>
      <c r="CU186" s="169" t="s">
        <v>259</v>
      </c>
      <c r="CV186" s="169" t="s">
        <v>259</v>
      </c>
      <c r="CW186" s="169" t="s">
        <v>259</v>
      </c>
      <c r="CX186" s="169" t="s">
        <v>259</v>
      </c>
      <c r="CY186" s="169" t="s">
        <v>259</v>
      </c>
      <c r="CZ186" s="169" t="s">
        <v>259</v>
      </c>
      <c r="DA186" s="169" t="s">
        <v>259</v>
      </c>
      <c r="DB186" s="169" t="s">
        <v>259</v>
      </c>
      <c r="DC186" s="169" t="s">
        <v>259</v>
      </c>
      <c r="DD186" s="169" t="s">
        <v>259</v>
      </c>
      <c r="DE186" s="169" t="s">
        <v>259</v>
      </c>
      <c r="DF186" s="169" t="s">
        <v>259</v>
      </c>
      <c r="DG186" s="169" t="s">
        <v>259</v>
      </c>
      <c r="DH186" s="169" t="s">
        <v>259</v>
      </c>
      <c r="DI186" s="169" t="s">
        <v>259</v>
      </c>
      <c r="DJ186" s="169" t="s">
        <v>259</v>
      </c>
      <c r="DK186" s="169" t="s">
        <v>259</v>
      </c>
      <c r="DL186" s="169" t="s">
        <v>259</v>
      </c>
      <c r="DM186" s="169" t="s">
        <v>259</v>
      </c>
      <c r="DN186" s="169" t="s">
        <v>259</v>
      </c>
      <c r="DO186" s="169" t="s">
        <v>259</v>
      </c>
      <c r="DP186" s="169" t="s">
        <v>259</v>
      </c>
      <c r="DQ186" s="169" t="s">
        <v>259</v>
      </c>
      <c r="DR186" s="169" t="s">
        <v>259</v>
      </c>
      <c r="DS186" s="169" t="s">
        <v>259</v>
      </c>
      <c r="DT186" s="169" t="s">
        <v>259</v>
      </c>
    </row>
    <row r="187" spans="2:124" x14ac:dyDescent="0.3">
      <c r="B187" t="str">
        <f>'IMPORT SCHLIESSERDATEN'!B186</f>
        <v>ED 250 zweiflüglig, ESR Gangfl.</v>
      </c>
      <c r="D187" s="169" t="s">
        <v>259</v>
      </c>
      <c r="E187" s="169" t="s">
        <v>259</v>
      </c>
      <c r="F187" s="169" t="s">
        <v>259</v>
      </c>
      <c r="G187" s="169" t="s">
        <v>259</v>
      </c>
      <c r="H187" s="169" t="s">
        <v>259</v>
      </c>
      <c r="I187" s="169" t="s">
        <v>259</v>
      </c>
      <c r="J187" s="169" t="s">
        <v>259</v>
      </c>
      <c r="K187" s="169" t="s">
        <v>259</v>
      </c>
      <c r="L187" s="169" t="s">
        <v>259</v>
      </c>
      <c r="M187" s="169" t="s">
        <v>259</v>
      </c>
      <c r="N187" s="169" t="s">
        <v>259</v>
      </c>
      <c r="O187" s="169" t="s">
        <v>259</v>
      </c>
      <c r="P187" s="169" t="s">
        <v>259</v>
      </c>
      <c r="Q187" s="169" t="s">
        <v>259</v>
      </c>
      <c r="R187" s="169" t="s">
        <v>259</v>
      </c>
      <c r="S187" s="169" t="s">
        <v>259</v>
      </c>
      <c r="T187" s="169" t="s">
        <v>259</v>
      </c>
      <c r="U187" s="169" t="s">
        <v>259</v>
      </c>
      <c r="V187" s="169" t="s">
        <v>259</v>
      </c>
      <c r="W187" s="169" t="s">
        <v>259</v>
      </c>
      <c r="X187" s="169" t="s">
        <v>259</v>
      </c>
      <c r="Y187" s="169" t="s">
        <v>259</v>
      </c>
      <c r="Z187" s="169" t="s">
        <v>259</v>
      </c>
      <c r="AA187" s="169" t="s">
        <v>259</v>
      </c>
      <c r="AB187" s="169" t="s">
        <v>259</v>
      </c>
      <c r="AC187" s="169" t="s">
        <v>259</v>
      </c>
      <c r="AD187" s="169" t="s">
        <v>259</v>
      </c>
      <c r="AE187" s="169" t="s">
        <v>259</v>
      </c>
      <c r="AF187" s="169" t="s">
        <v>259</v>
      </c>
      <c r="AG187" s="169" t="s">
        <v>259</v>
      </c>
      <c r="AH187" s="169" t="s">
        <v>259</v>
      </c>
      <c r="AI187" s="169" t="s">
        <v>259</v>
      </c>
      <c r="AJ187" s="169" t="s">
        <v>259</v>
      </c>
      <c r="AK187" s="169" t="s">
        <v>259</v>
      </c>
      <c r="AL187" s="169" t="s">
        <v>259</v>
      </c>
      <c r="AM187" s="169" t="s">
        <v>259</v>
      </c>
      <c r="AN187" s="169" t="s">
        <v>259</v>
      </c>
      <c r="AO187" s="169" t="s">
        <v>259</v>
      </c>
      <c r="AP187" s="169" t="s">
        <v>259</v>
      </c>
      <c r="AQ187" s="169" t="s">
        <v>259</v>
      </c>
      <c r="AR187" s="169" t="s">
        <v>259</v>
      </c>
      <c r="AS187" s="169" t="s">
        <v>259</v>
      </c>
      <c r="AT187" s="169" t="s">
        <v>259</v>
      </c>
      <c r="AU187" s="169" t="s">
        <v>259</v>
      </c>
      <c r="AV187" s="169" t="s">
        <v>259</v>
      </c>
      <c r="AW187" s="169" t="s">
        <v>259</v>
      </c>
      <c r="AX187" s="169" t="s">
        <v>259</v>
      </c>
      <c r="AY187" s="169" t="s">
        <v>259</v>
      </c>
      <c r="AZ187" s="169" t="s">
        <v>259</v>
      </c>
      <c r="BA187" s="169" t="s">
        <v>259</v>
      </c>
      <c r="BB187" s="169" t="s">
        <v>259</v>
      </c>
      <c r="BC187" s="169" t="s">
        <v>259</v>
      </c>
      <c r="BD187" s="169" t="s">
        <v>259</v>
      </c>
      <c r="BE187" s="169" t="s">
        <v>259</v>
      </c>
      <c r="BF187" s="169" t="s">
        <v>259</v>
      </c>
      <c r="BG187" s="169" t="s">
        <v>259</v>
      </c>
      <c r="BH187" s="169" t="s">
        <v>259</v>
      </c>
      <c r="BI187" s="169" t="s">
        <v>259</v>
      </c>
      <c r="BJ187" s="169" t="s">
        <v>259</v>
      </c>
      <c r="BK187" s="169" t="s">
        <v>259</v>
      </c>
      <c r="BL187" s="169" t="s">
        <v>259</v>
      </c>
      <c r="BM187" s="169" t="s">
        <v>259</v>
      </c>
      <c r="BN187" s="169" t="s">
        <v>259</v>
      </c>
      <c r="BO187" s="169" t="s">
        <v>259</v>
      </c>
      <c r="BP187" s="169" t="s">
        <v>259</v>
      </c>
      <c r="BQ187" s="169" t="s">
        <v>259</v>
      </c>
      <c r="BR187" s="169" t="s">
        <v>259</v>
      </c>
      <c r="BS187" s="169" t="s">
        <v>259</v>
      </c>
      <c r="BT187" s="169" t="s">
        <v>259</v>
      </c>
      <c r="BU187" s="169" t="s">
        <v>259</v>
      </c>
      <c r="BV187" s="169" t="s">
        <v>259</v>
      </c>
      <c r="BW187" s="169" t="s">
        <v>259</v>
      </c>
      <c r="BX187" s="169" t="s">
        <v>259</v>
      </c>
      <c r="BY187" s="169" t="s">
        <v>259</v>
      </c>
      <c r="BZ187" s="169" t="s">
        <v>259</v>
      </c>
      <c r="CA187" s="169" t="s">
        <v>259</v>
      </c>
      <c r="CB187" s="169" t="s">
        <v>259</v>
      </c>
      <c r="CC187" s="169" t="s">
        <v>259</v>
      </c>
      <c r="CD187" s="169" t="s">
        <v>259</v>
      </c>
      <c r="CE187" s="169" t="s">
        <v>259</v>
      </c>
      <c r="CF187" s="169" t="s">
        <v>259</v>
      </c>
      <c r="CG187" s="169" t="s">
        <v>259</v>
      </c>
      <c r="CH187" s="169" t="s">
        <v>259</v>
      </c>
      <c r="CI187" s="169" t="s">
        <v>259</v>
      </c>
      <c r="CJ187" s="169" t="s">
        <v>259</v>
      </c>
      <c r="CK187" s="169" t="s">
        <v>259</v>
      </c>
      <c r="CL187" s="169" t="s">
        <v>259</v>
      </c>
      <c r="CM187" s="169" t="s">
        <v>259</v>
      </c>
      <c r="CN187" s="169" t="s">
        <v>259</v>
      </c>
      <c r="CO187" s="169" t="s">
        <v>259</v>
      </c>
      <c r="CP187" s="169" t="s">
        <v>259</v>
      </c>
      <c r="CQ187" s="169" t="s">
        <v>259</v>
      </c>
      <c r="CR187" s="169" t="s">
        <v>259</v>
      </c>
      <c r="CS187" s="169" t="s">
        <v>259</v>
      </c>
      <c r="CT187" s="169" t="s">
        <v>259</v>
      </c>
      <c r="CU187" s="169" t="s">
        <v>259</v>
      </c>
      <c r="CV187" s="169" t="s">
        <v>259</v>
      </c>
      <c r="CW187" s="169" t="s">
        <v>259</v>
      </c>
      <c r="CX187" s="169" t="s">
        <v>259</v>
      </c>
      <c r="CY187" s="169" t="s">
        <v>259</v>
      </c>
      <c r="CZ187" s="169" t="s">
        <v>259</v>
      </c>
      <c r="DA187" s="169" t="s">
        <v>259</v>
      </c>
      <c r="DB187" s="169" t="s">
        <v>259</v>
      </c>
      <c r="DC187" s="169" t="s">
        <v>259</v>
      </c>
      <c r="DD187" s="169" t="s">
        <v>259</v>
      </c>
      <c r="DE187" s="169" t="s">
        <v>259</v>
      </c>
      <c r="DF187" s="169" t="s">
        <v>259</v>
      </c>
      <c r="DG187" s="169" t="s">
        <v>259</v>
      </c>
      <c r="DH187" s="169" t="s">
        <v>259</v>
      </c>
      <c r="DI187" s="169" t="s">
        <v>259</v>
      </c>
      <c r="DJ187" s="169" t="s">
        <v>259</v>
      </c>
      <c r="DK187" s="169" t="s">
        <v>259</v>
      </c>
      <c r="DL187" s="169" t="s">
        <v>259</v>
      </c>
      <c r="DM187" s="169" t="s">
        <v>259</v>
      </c>
      <c r="DN187" s="169" t="s">
        <v>259</v>
      </c>
      <c r="DO187" s="169" t="s">
        <v>259</v>
      </c>
      <c r="DP187" s="169" t="s">
        <v>259</v>
      </c>
      <c r="DQ187" s="169" t="s">
        <v>259</v>
      </c>
      <c r="DR187" s="169" t="s">
        <v>259</v>
      </c>
      <c r="DS187" s="169" t="s">
        <v>259</v>
      </c>
      <c r="DT187" s="169" t="s">
        <v>259</v>
      </c>
    </row>
    <row r="188" spans="2:124" x14ac:dyDescent="0.3">
      <c r="B188" t="str">
        <f>'IMPORT SCHLIESSERDATEN'!B187</f>
        <v>ED 250 mit Gestänge Standfl.</v>
      </c>
      <c r="D188" s="169" t="s">
        <v>259</v>
      </c>
      <c r="E188" s="169" t="s">
        <v>259</v>
      </c>
      <c r="F188" s="169" t="s">
        <v>259</v>
      </c>
      <c r="G188" s="169" t="s">
        <v>259</v>
      </c>
      <c r="H188" s="169" t="s">
        <v>259</v>
      </c>
      <c r="I188" s="169" t="s">
        <v>259</v>
      </c>
      <c r="J188" s="169" t="s">
        <v>259</v>
      </c>
      <c r="K188" s="169" t="s">
        <v>259</v>
      </c>
      <c r="L188" s="169" t="s">
        <v>259</v>
      </c>
      <c r="M188" s="169" t="s">
        <v>259</v>
      </c>
      <c r="N188" s="169" t="s">
        <v>259</v>
      </c>
      <c r="O188" s="169" t="s">
        <v>259</v>
      </c>
      <c r="P188" s="169" t="s">
        <v>259</v>
      </c>
      <c r="Q188" s="169" t="s">
        <v>259</v>
      </c>
      <c r="R188" s="169" t="s">
        <v>259</v>
      </c>
      <c r="S188" s="169" t="s">
        <v>259</v>
      </c>
      <c r="T188" s="169" t="s">
        <v>259</v>
      </c>
      <c r="U188" s="169" t="s">
        <v>259</v>
      </c>
      <c r="V188" s="169" t="s">
        <v>259</v>
      </c>
      <c r="W188" s="169" t="s">
        <v>259</v>
      </c>
      <c r="X188" s="169" t="s">
        <v>259</v>
      </c>
      <c r="Y188" s="169" t="s">
        <v>259</v>
      </c>
      <c r="Z188" s="169" t="s">
        <v>259</v>
      </c>
      <c r="AA188" s="169" t="s">
        <v>259</v>
      </c>
      <c r="AB188" s="169" t="s">
        <v>259</v>
      </c>
      <c r="AC188" s="169" t="s">
        <v>259</v>
      </c>
      <c r="AD188" s="169" t="s">
        <v>259</v>
      </c>
      <c r="AE188" s="169" t="s">
        <v>259</v>
      </c>
      <c r="AF188" s="169" t="s">
        <v>259</v>
      </c>
      <c r="AG188" s="169" t="s">
        <v>259</v>
      </c>
      <c r="AH188" s="169" t="s">
        <v>259</v>
      </c>
      <c r="AI188" s="169" t="s">
        <v>259</v>
      </c>
      <c r="AJ188" s="169" t="s">
        <v>259</v>
      </c>
      <c r="AK188" s="169" t="s">
        <v>259</v>
      </c>
      <c r="AL188" s="169" t="s">
        <v>259</v>
      </c>
      <c r="AM188" s="169" t="s">
        <v>259</v>
      </c>
      <c r="AN188" s="169" t="s">
        <v>259</v>
      </c>
      <c r="AO188" s="169" t="s">
        <v>259</v>
      </c>
      <c r="AP188" s="169" t="s">
        <v>259</v>
      </c>
      <c r="AQ188" s="169" t="s">
        <v>259</v>
      </c>
      <c r="AR188" s="169" t="s">
        <v>259</v>
      </c>
      <c r="AS188" s="169" t="s">
        <v>259</v>
      </c>
      <c r="AT188" s="169" t="s">
        <v>259</v>
      </c>
      <c r="AU188" s="169" t="s">
        <v>259</v>
      </c>
      <c r="AV188" s="169" t="s">
        <v>259</v>
      </c>
      <c r="AW188" s="169" t="s">
        <v>259</v>
      </c>
      <c r="AX188" s="169" t="s">
        <v>259</v>
      </c>
      <c r="AY188" s="169" t="s">
        <v>259</v>
      </c>
      <c r="AZ188" s="169" t="s">
        <v>259</v>
      </c>
      <c r="BA188" s="169" t="s">
        <v>259</v>
      </c>
      <c r="BB188" s="169" t="s">
        <v>259</v>
      </c>
      <c r="BC188" s="169" t="s">
        <v>259</v>
      </c>
      <c r="BD188" s="169" t="s">
        <v>259</v>
      </c>
      <c r="BE188" s="169" t="s">
        <v>259</v>
      </c>
      <c r="BF188" s="169" t="s">
        <v>259</v>
      </c>
      <c r="BG188" s="169" t="s">
        <v>259</v>
      </c>
      <c r="BH188" s="169" t="s">
        <v>259</v>
      </c>
      <c r="BI188" s="169" t="s">
        <v>259</v>
      </c>
      <c r="BJ188" s="169" t="s">
        <v>259</v>
      </c>
      <c r="BK188" s="169" t="s">
        <v>259</v>
      </c>
      <c r="BL188" s="169" t="s">
        <v>259</v>
      </c>
      <c r="BM188" s="169" t="s">
        <v>259</v>
      </c>
      <c r="BN188" s="169" t="s">
        <v>259</v>
      </c>
      <c r="BO188" s="169" t="s">
        <v>259</v>
      </c>
      <c r="BP188" s="169" t="s">
        <v>259</v>
      </c>
      <c r="BQ188" s="169" t="s">
        <v>259</v>
      </c>
      <c r="BR188" s="169" t="s">
        <v>259</v>
      </c>
      <c r="BS188" s="169" t="s">
        <v>259</v>
      </c>
      <c r="BT188" s="169" t="s">
        <v>259</v>
      </c>
      <c r="BU188" s="169" t="s">
        <v>259</v>
      </c>
      <c r="BV188" s="169" t="s">
        <v>259</v>
      </c>
      <c r="BW188" s="169" t="s">
        <v>259</v>
      </c>
      <c r="BX188" s="169" t="s">
        <v>259</v>
      </c>
      <c r="BY188" s="169" t="s">
        <v>259</v>
      </c>
      <c r="BZ188" s="169" t="s">
        <v>259</v>
      </c>
      <c r="CA188" s="169" t="s">
        <v>259</v>
      </c>
      <c r="CB188" s="169" t="s">
        <v>259</v>
      </c>
      <c r="CC188" s="169" t="s">
        <v>259</v>
      </c>
      <c r="CD188" s="169" t="s">
        <v>259</v>
      </c>
      <c r="CE188" s="169" t="s">
        <v>259</v>
      </c>
      <c r="CF188" s="169" t="s">
        <v>259</v>
      </c>
      <c r="CG188" s="169" t="s">
        <v>259</v>
      </c>
      <c r="CH188" s="169" t="s">
        <v>259</v>
      </c>
      <c r="CI188" s="169" t="s">
        <v>259</v>
      </c>
      <c r="CJ188" s="169" t="s">
        <v>259</v>
      </c>
      <c r="CK188" s="169" t="s">
        <v>259</v>
      </c>
      <c r="CL188" s="169" t="s">
        <v>259</v>
      </c>
      <c r="CM188" s="169" t="s">
        <v>259</v>
      </c>
      <c r="CN188" s="169" t="s">
        <v>259</v>
      </c>
      <c r="CO188" s="169" t="s">
        <v>259</v>
      </c>
      <c r="CP188" s="169" t="s">
        <v>259</v>
      </c>
      <c r="CQ188" s="169" t="s">
        <v>259</v>
      </c>
      <c r="CR188" s="169" t="s">
        <v>259</v>
      </c>
      <c r="CS188" s="169" t="s">
        <v>259</v>
      </c>
      <c r="CT188" s="169" t="s">
        <v>259</v>
      </c>
      <c r="CU188" s="169" t="s">
        <v>259</v>
      </c>
      <c r="CV188" s="169" t="s">
        <v>259</v>
      </c>
      <c r="CW188" s="169" t="s">
        <v>259</v>
      </c>
      <c r="CX188" s="169" t="s">
        <v>259</v>
      </c>
      <c r="CY188" s="169" t="s">
        <v>259</v>
      </c>
      <c r="CZ188" s="169" t="s">
        <v>259</v>
      </c>
      <c r="DA188" s="169" t="s">
        <v>259</v>
      </c>
      <c r="DB188" s="169" t="s">
        <v>259</v>
      </c>
      <c r="DC188" s="169" t="s">
        <v>259</v>
      </c>
      <c r="DD188" s="169" t="s">
        <v>259</v>
      </c>
      <c r="DE188" s="169" t="s">
        <v>259</v>
      </c>
      <c r="DF188" s="169" t="s">
        <v>259</v>
      </c>
      <c r="DG188" s="169" t="s">
        <v>259</v>
      </c>
      <c r="DH188" s="169" t="s">
        <v>259</v>
      </c>
      <c r="DI188" s="169" t="s">
        <v>259</v>
      </c>
      <c r="DJ188" s="169" t="s">
        <v>259</v>
      </c>
      <c r="DK188" s="169" t="s">
        <v>259</v>
      </c>
      <c r="DL188" s="169" t="s">
        <v>259</v>
      </c>
      <c r="DM188" s="169" t="s">
        <v>259</v>
      </c>
      <c r="DN188" s="169" t="s">
        <v>259</v>
      </c>
      <c r="DO188" s="169" t="s">
        <v>259</v>
      </c>
      <c r="DP188" s="169" t="s">
        <v>259</v>
      </c>
      <c r="DQ188" s="169" t="s">
        <v>259</v>
      </c>
      <c r="DR188" s="169" t="s">
        <v>259</v>
      </c>
      <c r="DS188" s="169" t="s">
        <v>259</v>
      </c>
      <c r="DT188" s="169" t="s">
        <v>259</v>
      </c>
    </row>
    <row r="189" spans="2:124" x14ac:dyDescent="0.3">
      <c r="B189">
        <f>'IMPORT SCHLIESSERDATEN'!B188</f>
        <v>0</v>
      </c>
      <c r="D189" s="169" t="s">
        <v>1280</v>
      </c>
      <c r="E189" s="169" t="s">
        <v>1280</v>
      </c>
      <c r="F189" s="169" t="s">
        <v>1280</v>
      </c>
      <c r="G189" s="169" t="s">
        <v>1280</v>
      </c>
      <c r="H189" s="169" t="s">
        <v>1280</v>
      </c>
      <c r="I189" s="169" t="s">
        <v>1280</v>
      </c>
      <c r="J189" s="169" t="s">
        <v>1280</v>
      </c>
      <c r="K189" s="169" t="s">
        <v>1280</v>
      </c>
      <c r="L189" s="169" t="s">
        <v>1280</v>
      </c>
      <c r="M189" s="169" t="s">
        <v>1280</v>
      </c>
      <c r="N189" s="169" t="s">
        <v>1280</v>
      </c>
      <c r="O189" s="169" t="s">
        <v>1280</v>
      </c>
      <c r="P189" s="169" t="s">
        <v>1280</v>
      </c>
      <c r="Q189" s="169" t="s">
        <v>1280</v>
      </c>
      <c r="R189" s="169" t="s">
        <v>1280</v>
      </c>
      <c r="S189" s="169" t="s">
        <v>1280</v>
      </c>
      <c r="T189" s="169" t="s">
        <v>1280</v>
      </c>
      <c r="U189" s="169" t="s">
        <v>1280</v>
      </c>
      <c r="V189" s="169" t="s">
        <v>1280</v>
      </c>
      <c r="W189" s="169" t="s">
        <v>1280</v>
      </c>
      <c r="X189" s="169" t="s">
        <v>1280</v>
      </c>
      <c r="Y189" s="169" t="s">
        <v>1280</v>
      </c>
      <c r="Z189" s="169" t="s">
        <v>1280</v>
      </c>
      <c r="AA189" s="169" t="s">
        <v>1280</v>
      </c>
      <c r="AB189" s="169" t="s">
        <v>1280</v>
      </c>
      <c r="AC189" s="169" t="s">
        <v>1280</v>
      </c>
      <c r="AD189" s="169" t="s">
        <v>1280</v>
      </c>
      <c r="AE189" s="169" t="s">
        <v>1280</v>
      </c>
      <c r="AF189" s="169" t="s">
        <v>1280</v>
      </c>
      <c r="AG189" s="169" t="s">
        <v>1280</v>
      </c>
      <c r="AH189" s="169" t="s">
        <v>1280</v>
      </c>
      <c r="AI189" s="169" t="s">
        <v>1280</v>
      </c>
      <c r="AJ189" s="169" t="s">
        <v>1280</v>
      </c>
      <c r="AK189" s="169" t="s">
        <v>1280</v>
      </c>
      <c r="AL189" s="169" t="s">
        <v>1280</v>
      </c>
      <c r="AM189" s="169" t="s">
        <v>1280</v>
      </c>
      <c r="AN189" s="169" t="s">
        <v>1280</v>
      </c>
      <c r="AO189" s="169" t="s">
        <v>1280</v>
      </c>
      <c r="AP189" s="169" t="s">
        <v>1280</v>
      </c>
      <c r="AQ189" s="169" t="s">
        <v>1280</v>
      </c>
      <c r="AR189" s="169" t="s">
        <v>1280</v>
      </c>
      <c r="AS189" s="169" t="s">
        <v>1280</v>
      </c>
      <c r="AT189" s="169" t="s">
        <v>1280</v>
      </c>
      <c r="AU189" s="169" t="s">
        <v>1280</v>
      </c>
      <c r="AV189" s="169" t="s">
        <v>1280</v>
      </c>
      <c r="AW189" s="169" t="s">
        <v>1280</v>
      </c>
      <c r="AX189" s="169" t="s">
        <v>1280</v>
      </c>
      <c r="AY189" s="169" t="s">
        <v>1280</v>
      </c>
      <c r="AZ189" s="169" t="s">
        <v>1280</v>
      </c>
      <c r="BA189" s="169" t="s">
        <v>1280</v>
      </c>
      <c r="BB189" s="169" t="s">
        <v>1280</v>
      </c>
      <c r="BC189" s="169" t="s">
        <v>1280</v>
      </c>
      <c r="BD189" s="169" t="s">
        <v>1280</v>
      </c>
      <c r="BE189" s="169" t="s">
        <v>1280</v>
      </c>
      <c r="BF189" s="169" t="s">
        <v>1280</v>
      </c>
      <c r="BG189" s="169" t="s">
        <v>1280</v>
      </c>
      <c r="BH189" s="169" t="s">
        <v>1280</v>
      </c>
      <c r="BI189" s="169" t="s">
        <v>1280</v>
      </c>
      <c r="BJ189" s="169" t="s">
        <v>1280</v>
      </c>
      <c r="BK189" s="169" t="s">
        <v>1280</v>
      </c>
      <c r="BL189" s="169" t="s">
        <v>1280</v>
      </c>
      <c r="BM189" s="169" t="s">
        <v>1280</v>
      </c>
      <c r="BN189" s="169" t="s">
        <v>1280</v>
      </c>
      <c r="BO189" s="169" t="s">
        <v>1280</v>
      </c>
      <c r="BP189" s="169" t="s">
        <v>1280</v>
      </c>
      <c r="BQ189" s="169" t="s">
        <v>1280</v>
      </c>
      <c r="BR189" s="169" t="s">
        <v>1280</v>
      </c>
      <c r="BS189" s="169" t="s">
        <v>1280</v>
      </c>
      <c r="BT189" s="169" t="s">
        <v>1280</v>
      </c>
      <c r="BU189" s="169" t="s">
        <v>1280</v>
      </c>
      <c r="BV189" s="169" t="s">
        <v>1280</v>
      </c>
      <c r="BW189" s="169" t="s">
        <v>1280</v>
      </c>
      <c r="BX189" s="169" t="s">
        <v>1280</v>
      </c>
      <c r="BY189" s="169" t="s">
        <v>1280</v>
      </c>
      <c r="BZ189" s="169" t="s">
        <v>1280</v>
      </c>
      <c r="CA189" s="169" t="s">
        <v>1280</v>
      </c>
      <c r="CB189" s="169" t="s">
        <v>1280</v>
      </c>
      <c r="CC189" s="169" t="s">
        <v>1280</v>
      </c>
      <c r="CD189" s="169" t="s">
        <v>1280</v>
      </c>
      <c r="CE189" s="169" t="s">
        <v>1280</v>
      </c>
      <c r="CF189" s="169" t="s">
        <v>1280</v>
      </c>
      <c r="CG189" s="169" t="s">
        <v>1280</v>
      </c>
      <c r="CH189" s="169" t="s">
        <v>1280</v>
      </c>
      <c r="CI189" s="169" t="s">
        <v>1280</v>
      </c>
      <c r="CJ189" s="169" t="s">
        <v>1280</v>
      </c>
      <c r="CK189" s="169" t="s">
        <v>1280</v>
      </c>
      <c r="CL189" s="169" t="s">
        <v>1280</v>
      </c>
      <c r="CM189" s="169" t="s">
        <v>1280</v>
      </c>
      <c r="CN189" s="169" t="s">
        <v>1280</v>
      </c>
      <c r="CO189" s="169" t="s">
        <v>1280</v>
      </c>
      <c r="CP189" s="169" t="s">
        <v>1280</v>
      </c>
      <c r="CQ189" s="169" t="s">
        <v>1280</v>
      </c>
      <c r="CR189" s="169" t="s">
        <v>1280</v>
      </c>
      <c r="CS189" s="169" t="s">
        <v>1280</v>
      </c>
      <c r="CT189" s="169" t="s">
        <v>1280</v>
      </c>
      <c r="CU189" s="169" t="s">
        <v>1280</v>
      </c>
      <c r="CV189" s="169" t="s">
        <v>1280</v>
      </c>
      <c r="CW189" s="169" t="s">
        <v>1280</v>
      </c>
      <c r="CX189" s="169" t="s">
        <v>1280</v>
      </c>
      <c r="CY189" s="169" t="s">
        <v>1280</v>
      </c>
      <c r="CZ189" s="169" t="s">
        <v>1280</v>
      </c>
      <c r="DA189" s="169" t="s">
        <v>1280</v>
      </c>
      <c r="DB189" s="169" t="s">
        <v>1280</v>
      </c>
      <c r="DC189" s="169" t="s">
        <v>1280</v>
      </c>
      <c r="DD189" s="169" t="s">
        <v>1280</v>
      </c>
      <c r="DE189" s="169" t="s">
        <v>1280</v>
      </c>
      <c r="DF189" s="169" t="s">
        <v>1280</v>
      </c>
      <c r="DG189" s="169" t="s">
        <v>1280</v>
      </c>
      <c r="DH189" s="169" t="s">
        <v>1280</v>
      </c>
      <c r="DI189" s="169" t="s">
        <v>1280</v>
      </c>
      <c r="DJ189" s="169" t="s">
        <v>1280</v>
      </c>
      <c r="DK189" s="169" t="s">
        <v>1280</v>
      </c>
      <c r="DL189" s="169" t="s">
        <v>1280</v>
      </c>
      <c r="DM189" s="169" t="s">
        <v>1280</v>
      </c>
      <c r="DN189" s="169" t="s">
        <v>1280</v>
      </c>
      <c r="DO189" s="169" t="s">
        <v>1280</v>
      </c>
      <c r="DP189" s="169" t="s">
        <v>1280</v>
      </c>
      <c r="DQ189" s="169" t="s">
        <v>1280</v>
      </c>
      <c r="DR189" s="169" t="s">
        <v>1280</v>
      </c>
      <c r="DS189" s="169" t="s">
        <v>1280</v>
      </c>
      <c r="DT189" s="169" t="s">
        <v>1280</v>
      </c>
    </row>
    <row r="190" spans="2:124" x14ac:dyDescent="0.3">
      <c r="B190">
        <f>'IMPORT SCHLIESSERDATEN'!B189</f>
        <v>0</v>
      </c>
      <c r="D190" s="169" t="s">
        <v>1280</v>
      </c>
      <c r="E190" s="169" t="s">
        <v>1280</v>
      </c>
      <c r="F190" s="169" t="s">
        <v>1280</v>
      </c>
      <c r="G190" s="169" t="s">
        <v>1280</v>
      </c>
      <c r="H190" s="169" t="s">
        <v>1280</v>
      </c>
      <c r="I190" s="169" t="s">
        <v>1280</v>
      </c>
      <c r="J190" s="169" t="s">
        <v>1280</v>
      </c>
      <c r="K190" s="169" t="s">
        <v>1280</v>
      </c>
      <c r="L190" s="169" t="s">
        <v>1280</v>
      </c>
      <c r="M190" s="169" t="s">
        <v>1280</v>
      </c>
      <c r="N190" s="169" t="s">
        <v>1280</v>
      </c>
      <c r="O190" s="169" t="s">
        <v>1280</v>
      </c>
      <c r="P190" s="169" t="s">
        <v>1280</v>
      </c>
      <c r="Q190" s="169" t="s">
        <v>1280</v>
      </c>
      <c r="R190" s="169" t="s">
        <v>1280</v>
      </c>
      <c r="S190" s="169" t="s">
        <v>1280</v>
      </c>
      <c r="T190" s="169" t="s">
        <v>1280</v>
      </c>
      <c r="U190" s="169" t="s">
        <v>1280</v>
      </c>
      <c r="V190" s="169" t="s">
        <v>1280</v>
      </c>
      <c r="W190" s="169" t="s">
        <v>1280</v>
      </c>
      <c r="X190" s="169" t="s">
        <v>1280</v>
      </c>
      <c r="Y190" s="169" t="s">
        <v>1280</v>
      </c>
      <c r="Z190" s="169" t="s">
        <v>1280</v>
      </c>
      <c r="AA190" s="169" t="s">
        <v>1280</v>
      </c>
      <c r="AB190" s="169" t="s">
        <v>1280</v>
      </c>
      <c r="AC190" s="169" t="s">
        <v>1280</v>
      </c>
      <c r="AD190" s="169" t="s">
        <v>1280</v>
      </c>
      <c r="AE190" s="169" t="s">
        <v>1280</v>
      </c>
      <c r="AF190" s="169" t="s">
        <v>1280</v>
      </c>
      <c r="AG190" s="169" t="s">
        <v>1280</v>
      </c>
      <c r="AH190" s="169" t="s">
        <v>1280</v>
      </c>
      <c r="AI190" s="169" t="s">
        <v>1280</v>
      </c>
      <c r="AJ190" s="169" t="s">
        <v>1280</v>
      </c>
      <c r="AK190" s="169" t="s">
        <v>1280</v>
      </c>
      <c r="AL190" s="169" t="s">
        <v>1280</v>
      </c>
      <c r="AM190" s="169" t="s">
        <v>1280</v>
      </c>
      <c r="AN190" s="169" t="s">
        <v>1280</v>
      </c>
      <c r="AO190" s="169" t="s">
        <v>1280</v>
      </c>
      <c r="AP190" s="169" t="s">
        <v>1280</v>
      </c>
      <c r="AQ190" s="169" t="s">
        <v>1280</v>
      </c>
      <c r="AR190" s="169" t="s">
        <v>1280</v>
      </c>
      <c r="AS190" s="169" t="s">
        <v>1280</v>
      </c>
      <c r="AT190" s="169" t="s">
        <v>1280</v>
      </c>
      <c r="AU190" s="169" t="s">
        <v>1280</v>
      </c>
      <c r="AV190" s="169" t="s">
        <v>1280</v>
      </c>
      <c r="AW190" s="169" t="s">
        <v>1280</v>
      </c>
      <c r="AX190" s="169" t="s">
        <v>1280</v>
      </c>
      <c r="AY190" s="169" t="s">
        <v>1280</v>
      </c>
      <c r="AZ190" s="169" t="s">
        <v>1280</v>
      </c>
      <c r="BA190" s="169" t="s">
        <v>1280</v>
      </c>
      <c r="BB190" s="169" t="s">
        <v>1280</v>
      </c>
      <c r="BC190" s="169" t="s">
        <v>1280</v>
      </c>
      <c r="BD190" s="169" t="s">
        <v>1280</v>
      </c>
      <c r="BE190" s="169" t="s">
        <v>1280</v>
      </c>
      <c r="BF190" s="169" t="s">
        <v>1280</v>
      </c>
      <c r="BG190" s="169" t="s">
        <v>1280</v>
      </c>
      <c r="BH190" s="169" t="s">
        <v>1280</v>
      </c>
      <c r="BI190" s="169" t="s">
        <v>1280</v>
      </c>
      <c r="BJ190" s="169" t="s">
        <v>1280</v>
      </c>
      <c r="BK190" s="169" t="s">
        <v>1280</v>
      </c>
      <c r="BL190" s="169" t="s">
        <v>1280</v>
      </c>
      <c r="BM190" s="169" t="s">
        <v>1280</v>
      </c>
      <c r="BN190" s="169" t="s">
        <v>1280</v>
      </c>
      <c r="BO190" s="169" t="s">
        <v>1280</v>
      </c>
      <c r="BP190" s="169" t="s">
        <v>1280</v>
      </c>
      <c r="BQ190" s="169" t="s">
        <v>1280</v>
      </c>
      <c r="BR190" s="169" t="s">
        <v>1280</v>
      </c>
      <c r="BS190" s="169" t="s">
        <v>1280</v>
      </c>
      <c r="BT190" s="169" t="s">
        <v>1280</v>
      </c>
      <c r="BU190" s="169" t="s">
        <v>1280</v>
      </c>
      <c r="BV190" s="169" t="s">
        <v>1280</v>
      </c>
      <c r="BW190" s="169" t="s">
        <v>1280</v>
      </c>
      <c r="BX190" s="169" t="s">
        <v>1280</v>
      </c>
      <c r="BY190" s="169" t="s">
        <v>1280</v>
      </c>
      <c r="BZ190" s="169" t="s">
        <v>1280</v>
      </c>
      <c r="CA190" s="169" t="s">
        <v>1280</v>
      </c>
      <c r="CB190" s="169" t="s">
        <v>1280</v>
      </c>
      <c r="CC190" s="169" t="s">
        <v>1280</v>
      </c>
      <c r="CD190" s="169" t="s">
        <v>1280</v>
      </c>
      <c r="CE190" s="169" t="s">
        <v>1280</v>
      </c>
      <c r="CF190" s="169" t="s">
        <v>1280</v>
      </c>
      <c r="CG190" s="169" t="s">
        <v>1280</v>
      </c>
      <c r="CH190" s="169" t="s">
        <v>1280</v>
      </c>
      <c r="CI190" s="169" t="s">
        <v>1280</v>
      </c>
      <c r="CJ190" s="169" t="s">
        <v>1280</v>
      </c>
      <c r="CK190" s="169" t="s">
        <v>1280</v>
      </c>
      <c r="CL190" s="169" t="s">
        <v>1280</v>
      </c>
      <c r="CM190" s="169" t="s">
        <v>1280</v>
      </c>
      <c r="CN190" s="169" t="s">
        <v>1280</v>
      </c>
      <c r="CO190" s="169" t="s">
        <v>1280</v>
      </c>
      <c r="CP190" s="169" t="s">
        <v>1280</v>
      </c>
      <c r="CQ190" s="169" t="s">
        <v>1280</v>
      </c>
      <c r="CR190" s="169" t="s">
        <v>1280</v>
      </c>
      <c r="CS190" s="169" t="s">
        <v>1280</v>
      </c>
      <c r="CT190" s="169" t="s">
        <v>1280</v>
      </c>
      <c r="CU190" s="169" t="s">
        <v>1280</v>
      </c>
      <c r="CV190" s="169" t="s">
        <v>1280</v>
      </c>
      <c r="CW190" s="169" t="s">
        <v>1280</v>
      </c>
      <c r="CX190" s="169" t="s">
        <v>1280</v>
      </c>
      <c r="CY190" s="169" t="s">
        <v>1280</v>
      </c>
      <c r="CZ190" s="169" t="s">
        <v>1280</v>
      </c>
      <c r="DA190" s="169" t="s">
        <v>1280</v>
      </c>
      <c r="DB190" s="169" t="s">
        <v>1280</v>
      </c>
      <c r="DC190" s="169" t="s">
        <v>1280</v>
      </c>
      <c r="DD190" s="169" t="s">
        <v>1280</v>
      </c>
      <c r="DE190" s="169" t="s">
        <v>1280</v>
      </c>
      <c r="DF190" s="169" t="s">
        <v>1280</v>
      </c>
      <c r="DG190" s="169" t="s">
        <v>1280</v>
      </c>
      <c r="DH190" s="169" t="s">
        <v>1280</v>
      </c>
      <c r="DI190" s="169" t="s">
        <v>1280</v>
      </c>
      <c r="DJ190" s="169" t="s">
        <v>1280</v>
      </c>
      <c r="DK190" s="169" t="s">
        <v>1280</v>
      </c>
      <c r="DL190" s="169" t="s">
        <v>1280</v>
      </c>
      <c r="DM190" s="169" t="s">
        <v>1280</v>
      </c>
      <c r="DN190" s="169" t="s">
        <v>1280</v>
      </c>
      <c r="DO190" s="169" t="s">
        <v>1280</v>
      </c>
      <c r="DP190" s="169" t="s">
        <v>1280</v>
      </c>
      <c r="DQ190" s="169" t="s">
        <v>1280</v>
      </c>
      <c r="DR190" s="169" t="s">
        <v>1280</v>
      </c>
      <c r="DS190" s="169" t="s">
        <v>1280</v>
      </c>
      <c r="DT190" s="169" t="s">
        <v>1280</v>
      </c>
    </row>
    <row r="191" spans="2:124" x14ac:dyDescent="0.3">
      <c r="B191">
        <f>'IMPORT SCHLIESSERDATEN'!B190</f>
        <v>0</v>
      </c>
      <c r="D191" s="169" t="s">
        <v>1280</v>
      </c>
      <c r="E191" s="169" t="s">
        <v>1280</v>
      </c>
      <c r="F191" s="169" t="s">
        <v>1280</v>
      </c>
      <c r="G191" s="169" t="s">
        <v>1280</v>
      </c>
      <c r="H191" s="169" t="s">
        <v>1280</v>
      </c>
      <c r="I191" s="169" t="s">
        <v>1280</v>
      </c>
      <c r="J191" s="169" t="s">
        <v>1280</v>
      </c>
      <c r="K191" s="169" t="s">
        <v>1280</v>
      </c>
      <c r="L191" s="169" t="s">
        <v>1280</v>
      </c>
      <c r="M191" s="169" t="s">
        <v>1280</v>
      </c>
      <c r="N191" s="169" t="s">
        <v>1280</v>
      </c>
      <c r="O191" s="169" t="s">
        <v>1280</v>
      </c>
      <c r="P191" s="169" t="s">
        <v>1280</v>
      </c>
      <c r="Q191" s="169" t="s">
        <v>1280</v>
      </c>
      <c r="R191" s="169" t="s">
        <v>1280</v>
      </c>
      <c r="S191" s="169" t="s">
        <v>1280</v>
      </c>
      <c r="T191" s="169" t="s">
        <v>1280</v>
      </c>
      <c r="U191" s="169" t="s">
        <v>1280</v>
      </c>
      <c r="V191" s="169" t="s">
        <v>1280</v>
      </c>
      <c r="W191" s="169" t="s">
        <v>1280</v>
      </c>
      <c r="X191" s="169" t="s">
        <v>1280</v>
      </c>
      <c r="Y191" s="169" t="s">
        <v>1280</v>
      </c>
      <c r="Z191" s="169" t="s">
        <v>1280</v>
      </c>
      <c r="AA191" s="169" t="s">
        <v>1280</v>
      </c>
      <c r="AB191" s="169" t="s">
        <v>1280</v>
      </c>
      <c r="AC191" s="169" t="s">
        <v>1280</v>
      </c>
      <c r="AD191" s="169" t="s">
        <v>1280</v>
      </c>
      <c r="AE191" s="169" t="s">
        <v>1280</v>
      </c>
      <c r="AF191" s="169" t="s">
        <v>1280</v>
      </c>
      <c r="AG191" s="169" t="s">
        <v>1280</v>
      </c>
      <c r="AH191" s="169" t="s">
        <v>1280</v>
      </c>
      <c r="AI191" s="169" t="s">
        <v>1280</v>
      </c>
      <c r="AJ191" s="169" t="s">
        <v>1280</v>
      </c>
      <c r="AK191" s="169" t="s">
        <v>1280</v>
      </c>
      <c r="AL191" s="169" t="s">
        <v>1280</v>
      </c>
      <c r="AM191" s="169" t="s">
        <v>1280</v>
      </c>
      <c r="AN191" s="169" t="s">
        <v>1280</v>
      </c>
      <c r="AO191" s="169" t="s">
        <v>1280</v>
      </c>
      <c r="AP191" s="169" t="s">
        <v>1280</v>
      </c>
      <c r="AQ191" s="169" t="s">
        <v>1280</v>
      </c>
      <c r="AR191" s="169" t="s">
        <v>1280</v>
      </c>
      <c r="AS191" s="169" t="s">
        <v>1280</v>
      </c>
      <c r="AT191" s="169" t="s">
        <v>1280</v>
      </c>
      <c r="AU191" s="169" t="s">
        <v>1280</v>
      </c>
      <c r="AV191" s="169" t="s">
        <v>1280</v>
      </c>
      <c r="AW191" s="169" t="s">
        <v>1280</v>
      </c>
      <c r="AX191" s="169" t="s">
        <v>1280</v>
      </c>
      <c r="AY191" s="169" t="s">
        <v>1280</v>
      </c>
      <c r="AZ191" s="169" t="s">
        <v>1280</v>
      </c>
      <c r="BA191" s="169" t="s">
        <v>1280</v>
      </c>
      <c r="BB191" s="169" t="s">
        <v>1280</v>
      </c>
      <c r="BC191" s="169" t="s">
        <v>1280</v>
      </c>
      <c r="BD191" s="169" t="s">
        <v>1280</v>
      </c>
      <c r="BE191" s="169" t="s">
        <v>1280</v>
      </c>
      <c r="BF191" s="169" t="s">
        <v>1280</v>
      </c>
      <c r="BG191" s="169" t="s">
        <v>1280</v>
      </c>
      <c r="BH191" s="169" t="s">
        <v>1280</v>
      </c>
      <c r="BI191" s="169" t="s">
        <v>1280</v>
      </c>
      <c r="BJ191" s="169" t="s">
        <v>1280</v>
      </c>
      <c r="BK191" s="169" t="s">
        <v>1280</v>
      </c>
      <c r="BL191" s="169" t="s">
        <v>1280</v>
      </c>
      <c r="BM191" s="169" t="s">
        <v>1280</v>
      </c>
      <c r="BN191" s="169" t="s">
        <v>1280</v>
      </c>
      <c r="BO191" s="169" t="s">
        <v>1280</v>
      </c>
      <c r="BP191" s="169" t="s">
        <v>1280</v>
      </c>
      <c r="BQ191" s="169" t="s">
        <v>1280</v>
      </c>
      <c r="BR191" s="169" t="s">
        <v>1280</v>
      </c>
      <c r="BS191" s="169" t="s">
        <v>1280</v>
      </c>
      <c r="BT191" s="169" t="s">
        <v>1280</v>
      </c>
      <c r="BU191" s="169" t="s">
        <v>1280</v>
      </c>
      <c r="BV191" s="169" t="s">
        <v>1280</v>
      </c>
      <c r="BW191" s="169" t="s">
        <v>1280</v>
      </c>
      <c r="BX191" s="169" t="s">
        <v>1280</v>
      </c>
      <c r="BY191" s="169" t="s">
        <v>1280</v>
      </c>
      <c r="BZ191" s="169" t="s">
        <v>1280</v>
      </c>
      <c r="CA191" s="169" t="s">
        <v>1280</v>
      </c>
      <c r="CB191" s="169" t="s">
        <v>1280</v>
      </c>
      <c r="CC191" s="169" t="s">
        <v>1280</v>
      </c>
      <c r="CD191" s="169" t="s">
        <v>1280</v>
      </c>
      <c r="CE191" s="169" t="s">
        <v>1280</v>
      </c>
      <c r="CF191" s="169" t="s">
        <v>1280</v>
      </c>
      <c r="CG191" s="169" t="s">
        <v>1280</v>
      </c>
      <c r="CH191" s="169" t="s">
        <v>1280</v>
      </c>
      <c r="CI191" s="169" t="s">
        <v>1280</v>
      </c>
      <c r="CJ191" s="169" t="s">
        <v>1280</v>
      </c>
      <c r="CK191" s="169" t="s">
        <v>1280</v>
      </c>
      <c r="CL191" s="169" t="s">
        <v>1280</v>
      </c>
      <c r="CM191" s="169" t="s">
        <v>1280</v>
      </c>
      <c r="CN191" s="169" t="s">
        <v>1280</v>
      </c>
      <c r="CO191" s="169" t="s">
        <v>1280</v>
      </c>
      <c r="CP191" s="169" t="s">
        <v>1280</v>
      </c>
      <c r="CQ191" s="169" t="s">
        <v>1280</v>
      </c>
      <c r="CR191" s="169" t="s">
        <v>1280</v>
      </c>
      <c r="CS191" s="169" t="s">
        <v>1280</v>
      </c>
      <c r="CT191" s="169" t="s">
        <v>1280</v>
      </c>
      <c r="CU191" s="169" t="s">
        <v>1280</v>
      </c>
      <c r="CV191" s="169" t="s">
        <v>1280</v>
      </c>
      <c r="CW191" s="169" t="s">
        <v>1280</v>
      </c>
      <c r="CX191" s="169" t="s">
        <v>1280</v>
      </c>
      <c r="CY191" s="169" t="s">
        <v>1280</v>
      </c>
      <c r="CZ191" s="169" t="s">
        <v>1280</v>
      </c>
      <c r="DA191" s="169" t="s">
        <v>1280</v>
      </c>
      <c r="DB191" s="169" t="s">
        <v>1280</v>
      </c>
      <c r="DC191" s="169" t="s">
        <v>1280</v>
      </c>
      <c r="DD191" s="169" t="s">
        <v>1280</v>
      </c>
      <c r="DE191" s="169" t="s">
        <v>1280</v>
      </c>
      <c r="DF191" s="169" t="s">
        <v>1280</v>
      </c>
      <c r="DG191" s="169" t="s">
        <v>1280</v>
      </c>
      <c r="DH191" s="169" t="s">
        <v>1280</v>
      </c>
      <c r="DI191" s="169" t="s">
        <v>1280</v>
      </c>
      <c r="DJ191" s="169" t="s">
        <v>1280</v>
      </c>
      <c r="DK191" s="169" t="s">
        <v>1280</v>
      </c>
      <c r="DL191" s="169" t="s">
        <v>1280</v>
      </c>
      <c r="DM191" s="169" t="s">
        <v>1280</v>
      </c>
      <c r="DN191" s="169" t="s">
        <v>1280</v>
      </c>
      <c r="DO191" s="169" t="s">
        <v>1280</v>
      </c>
      <c r="DP191" s="169" t="s">
        <v>1280</v>
      </c>
      <c r="DQ191" s="169" t="s">
        <v>1280</v>
      </c>
      <c r="DR191" s="169" t="s">
        <v>1280</v>
      </c>
      <c r="DS191" s="169" t="s">
        <v>1280</v>
      </c>
      <c r="DT191" s="169" t="s">
        <v>1280</v>
      </c>
    </row>
    <row r="192" spans="2:124" x14ac:dyDescent="0.3">
      <c r="B192">
        <f>'IMPORT SCHLIESSERDATEN'!B191</f>
        <v>0</v>
      </c>
      <c r="D192" s="169" t="s">
        <v>1280</v>
      </c>
      <c r="E192" s="169" t="s">
        <v>1280</v>
      </c>
      <c r="F192" s="169" t="s">
        <v>1280</v>
      </c>
      <c r="G192" s="169" t="s">
        <v>1280</v>
      </c>
      <c r="H192" s="169" t="s">
        <v>1280</v>
      </c>
      <c r="I192" s="169" t="s">
        <v>1280</v>
      </c>
      <c r="J192" s="169" t="s">
        <v>1280</v>
      </c>
      <c r="K192" s="169" t="s">
        <v>1280</v>
      </c>
      <c r="L192" s="169" t="s">
        <v>1280</v>
      </c>
      <c r="M192" s="169" t="s">
        <v>1280</v>
      </c>
      <c r="N192" s="169" t="s">
        <v>1280</v>
      </c>
      <c r="O192" s="169" t="s">
        <v>1280</v>
      </c>
      <c r="P192" s="169" t="s">
        <v>1280</v>
      </c>
      <c r="Q192" s="169" t="s">
        <v>1280</v>
      </c>
      <c r="R192" s="169" t="s">
        <v>1280</v>
      </c>
      <c r="S192" s="169" t="s">
        <v>1280</v>
      </c>
      <c r="T192" s="169" t="s">
        <v>1280</v>
      </c>
      <c r="U192" s="169" t="s">
        <v>1280</v>
      </c>
      <c r="V192" s="169" t="s">
        <v>1280</v>
      </c>
      <c r="W192" s="169" t="s">
        <v>1280</v>
      </c>
      <c r="X192" s="169" t="s">
        <v>1280</v>
      </c>
      <c r="Y192" s="169" t="s">
        <v>1280</v>
      </c>
      <c r="Z192" s="169" t="s">
        <v>1280</v>
      </c>
      <c r="AA192" s="169" t="s">
        <v>1280</v>
      </c>
      <c r="AB192" s="169" t="s">
        <v>1280</v>
      </c>
      <c r="AC192" s="169" t="s">
        <v>1280</v>
      </c>
      <c r="AD192" s="169" t="s">
        <v>1280</v>
      </c>
      <c r="AE192" s="169" t="s">
        <v>1280</v>
      </c>
      <c r="AF192" s="169" t="s">
        <v>1280</v>
      </c>
      <c r="AG192" s="169" t="s">
        <v>1280</v>
      </c>
      <c r="AH192" s="169" t="s">
        <v>1280</v>
      </c>
      <c r="AI192" s="169" t="s">
        <v>1280</v>
      </c>
      <c r="AJ192" s="169" t="s">
        <v>1280</v>
      </c>
      <c r="AK192" s="169" t="s">
        <v>1280</v>
      </c>
      <c r="AL192" s="169" t="s">
        <v>1280</v>
      </c>
      <c r="AM192" s="169" t="s">
        <v>1280</v>
      </c>
      <c r="AN192" s="169" t="s">
        <v>1280</v>
      </c>
      <c r="AO192" s="169" t="s">
        <v>1280</v>
      </c>
      <c r="AP192" s="169" t="s">
        <v>1280</v>
      </c>
      <c r="AQ192" s="169" t="s">
        <v>1280</v>
      </c>
      <c r="AR192" s="169" t="s">
        <v>1280</v>
      </c>
      <c r="AS192" s="169" t="s">
        <v>1280</v>
      </c>
      <c r="AT192" s="169" t="s">
        <v>1280</v>
      </c>
      <c r="AU192" s="169" t="s">
        <v>1280</v>
      </c>
      <c r="AV192" s="169" t="s">
        <v>1280</v>
      </c>
      <c r="AW192" s="169" t="s">
        <v>1280</v>
      </c>
      <c r="AX192" s="169" t="s">
        <v>1280</v>
      </c>
      <c r="AY192" s="169" t="s">
        <v>1280</v>
      </c>
      <c r="AZ192" s="169" t="s">
        <v>1280</v>
      </c>
      <c r="BA192" s="169" t="s">
        <v>1280</v>
      </c>
      <c r="BB192" s="169" t="s">
        <v>1280</v>
      </c>
      <c r="BC192" s="169" t="s">
        <v>1280</v>
      </c>
      <c r="BD192" s="169" t="s">
        <v>1280</v>
      </c>
      <c r="BE192" s="169" t="s">
        <v>1280</v>
      </c>
      <c r="BF192" s="169" t="s">
        <v>1280</v>
      </c>
      <c r="BG192" s="169" t="s">
        <v>1280</v>
      </c>
      <c r="BH192" s="169" t="s">
        <v>1280</v>
      </c>
      <c r="BI192" s="169" t="s">
        <v>1280</v>
      </c>
      <c r="BJ192" s="169" t="s">
        <v>1280</v>
      </c>
      <c r="BK192" s="169" t="s">
        <v>1280</v>
      </c>
      <c r="BL192" s="169" t="s">
        <v>1280</v>
      </c>
      <c r="BM192" s="169" t="s">
        <v>1280</v>
      </c>
      <c r="BN192" s="169" t="s">
        <v>1280</v>
      </c>
      <c r="BO192" s="169" t="s">
        <v>1280</v>
      </c>
      <c r="BP192" s="169" t="s">
        <v>1280</v>
      </c>
      <c r="BQ192" s="169" t="s">
        <v>1280</v>
      </c>
      <c r="BR192" s="169" t="s">
        <v>1280</v>
      </c>
      <c r="BS192" s="169" t="s">
        <v>1280</v>
      </c>
      <c r="BT192" s="169" t="s">
        <v>1280</v>
      </c>
      <c r="BU192" s="169" t="s">
        <v>1280</v>
      </c>
      <c r="BV192" s="169" t="s">
        <v>1280</v>
      </c>
      <c r="BW192" s="169" t="s">
        <v>1280</v>
      </c>
      <c r="BX192" s="169" t="s">
        <v>1280</v>
      </c>
      <c r="BY192" s="169" t="s">
        <v>1280</v>
      </c>
      <c r="BZ192" s="169" t="s">
        <v>1280</v>
      </c>
      <c r="CA192" s="169" t="s">
        <v>1280</v>
      </c>
      <c r="CB192" s="169" t="s">
        <v>1280</v>
      </c>
      <c r="CC192" s="169" t="s">
        <v>1280</v>
      </c>
      <c r="CD192" s="169" t="s">
        <v>1280</v>
      </c>
      <c r="CE192" s="169" t="s">
        <v>1280</v>
      </c>
      <c r="CF192" s="169" t="s">
        <v>1280</v>
      </c>
      <c r="CG192" s="169" t="s">
        <v>1280</v>
      </c>
      <c r="CH192" s="169" t="s">
        <v>1280</v>
      </c>
      <c r="CI192" s="169" t="s">
        <v>1280</v>
      </c>
      <c r="CJ192" s="169" t="s">
        <v>1280</v>
      </c>
      <c r="CK192" s="169" t="s">
        <v>1280</v>
      </c>
      <c r="CL192" s="169" t="s">
        <v>1280</v>
      </c>
      <c r="CM192" s="169" t="s">
        <v>1280</v>
      </c>
      <c r="CN192" s="169" t="s">
        <v>1280</v>
      </c>
      <c r="CO192" s="169" t="s">
        <v>1280</v>
      </c>
      <c r="CP192" s="169" t="s">
        <v>1280</v>
      </c>
      <c r="CQ192" s="169" t="s">
        <v>1280</v>
      </c>
      <c r="CR192" s="169" t="s">
        <v>1280</v>
      </c>
      <c r="CS192" s="169" t="s">
        <v>1280</v>
      </c>
      <c r="CT192" s="169" t="s">
        <v>1280</v>
      </c>
      <c r="CU192" s="169" t="s">
        <v>1280</v>
      </c>
      <c r="CV192" s="169" t="s">
        <v>1280</v>
      </c>
      <c r="CW192" s="169" t="s">
        <v>1280</v>
      </c>
      <c r="CX192" s="169" t="s">
        <v>1280</v>
      </c>
      <c r="CY192" s="169" t="s">
        <v>1280</v>
      </c>
      <c r="CZ192" s="169" t="s">
        <v>1280</v>
      </c>
      <c r="DA192" s="169" t="s">
        <v>1280</v>
      </c>
      <c r="DB192" s="169" t="s">
        <v>1280</v>
      </c>
      <c r="DC192" s="169" t="s">
        <v>1280</v>
      </c>
      <c r="DD192" s="169" t="s">
        <v>1280</v>
      </c>
      <c r="DE192" s="169" t="s">
        <v>1280</v>
      </c>
      <c r="DF192" s="169" t="s">
        <v>1280</v>
      </c>
      <c r="DG192" s="169" t="s">
        <v>1280</v>
      </c>
      <c r="DH192" s="169" t="s">
        <v>1280</v>
      </c>
      <c r="DI192" s="169" t="s">
        <v>1280</v>
      </c>
      <c r="DJ192" s="169" t="s">
        <v>1280</v>
      </c>
      <c r="DK192" s="169" t="s">
        <v>1280</v>
      </c>
      <c r="DL192" s="169" t="s">
        <v>1280</v>
      </c>
      <c r="DM192" s="169" t="s">
        <v>1280</v>
      </c>
      <c r="DN192" s="169" t="s">
        <v>1280</v>
      </c>
      <c r="DO192" s="169" t="s">
        <v>1280</v>
      </c>
      <c r="DP192" s="169" t="s">
        <v>1280</v>
      </c>
      <c r="DQ192" s="169" t="s">
        <v>1280</v>
      </c>
      <c r="DR192" s="169" t="s">
        <v>1280</v>
      </c>
      <c r="DS192" s="169" t="s">
        <v>1280</v>
      </c>
      <c r="DT192" s="169" t="s">
        <v>1280</v>
      </c>
    </row>
    <row r="193" spans="2:124" x14ac:dyDescent="0.3">
      <c r="B193">
        <f>'IMPORT SCHLIESSERDATEN'!B192</f>
        <v>0</v>
      </c>
      <c r="D193" s="169" t="s">
        <v>1280</v>
      </c>
      <c r="E193" s="169" t="s">
        <v>1280</v>
      </c>
      <c r="F193" s="169" t="s">
        <v>1280</v>
      </c>
      <c r="G193" s="169" t="s">
        <v>1280</v>
      </c>
      <c r="H193" s="169" t="s">
        <v>1280</v>
      </c>
      <c r="I193" s="169" t="s">
        <v>1280</v>
      </c>
      <c r="J193" s="169" t="s">
        <v>1280</v>
      </c>
      <c r="K193" s="169" t="s">
        <v>1280</v>
      </c>
      <c r="L193" s="169" t="s">
        <v>1280</v>
      </c>
      <c r="M193" s="169" t="s">
        <v>1280</v>
      </c>
      <c r="N193" s="169" t="s">
        <v>1280</v>
      </c>
      <c r="O193" s="169" t="s">
        <v>1280</v>
      </c>
      <c r="P193" s="169" t="s">
        <v>1280</v>
      </c>
      <c r="Q193" s="169" t="s">
        <v>1280</v>
      </c>
      <c r="R193" s="169" t="s">
        <v>1280</v>
      </c>
      <c r="S193" s="169" t="s">
        <v>1280</v>
      </c>
      <c r="T193" s="169" t="s">
        <v>1280</v>
      </c>
      <c r="U193" s="169" t="s">
        <v>1280</v>
      </c>
      <c r="V193" s="169" t="s">
        <v>1280</v>
      </c>
      <c r="W193" s="169" t="s">
        <v>1280</v>
      </c>
      <c r="X193" s="169" t="s">
        <v>1280</v>
      </c>
      <c r="Y193" s="169" t="s">
        <v>1280</v>
      </c>
      <c r="Z193" s="169" t="s">
        <v>1280</v>
      </c>
      <c r="AA193" s="169" t="s">
        <v>1280</v>
      </c>
      <c r="AB193" s="169" t="s">
        <v>1280</v>
      </c>
      <c r="AC193" s="169" t="s">
        <v>1280</v>
      </c>
      <c r="AD193" s="169" t="s">
        <v>1280</v>
      </c>
      <c r="AE193" s="169" t="s">
        <v>1280</v>
      </c>
      <c r="AF193" s="169" t="s">
        <v>1280</v>
      </c>
      <c r="AG193" s="169" t="s">
        <v>1280</v>
      </c>
      <c r="AH193" s="169" t="s">
        <v>1280</v>
      </c>
      <c r="AI193" s="169" t="s">
        <v>1280</v>
      </c>
      <c r="AJ193" s="169" t="s">
        <v>1280</v>
      </c>
      <c r="AK193" s="169" t="s">
        <v>1280</v>
      </c>
      <c r="AL193" s="169" t="s">
        <v>1280</v>
      </c>
      <c r="AM193" s="169" t="s">
        <v>1280</v>
      </c>
      <c r="AN193" s="169" t="s">
        <v>1280</v>
      </c>
      <c r="AO193" s="169" t="s">
        <v>1280</v>
      </c>
      <c r="AP193" s="169" t="s">
        <v>1280</v>
      </c>
      <c r="AQ193" s="169" t="s">
        <v>1280</v>
      </c>
      <c r="AR193" s="169" t="s">
        <v>1280</v>
      </c>
      <c r="AS193" s="169" t="s">
        <v>1280</v>
      </c>
      <c r="AT193" s="169" t="s">
        <v>1280</v>
      </c>
      <c r="AU193" s="169" t="s">
        <v>1280</v>
      </c>
      <c r="AV193" s="169" t="s">
        <v>1280</v>
      </c>
      <c r="AW193" s="169" t="s">
        <v>1280</v>
      </c>
      <c r="AX193" s="169" t="s">
        <v>1280</v>
      </c>
      <c r="AY193" s="169" t="s">
        <v>1280</v>
      </c>
      <c r="AZ193" s="169" t="s">
        <v>1280</v>
      </c>
      <c r="BA193" s="169" t="s">
        <v>1280</v>
      </c>
      <c r="BB193" s="169" t="s">
        <v>1280</v>
      </c>
      <c r="BC193" s="169" t="s">
        <v>1280</v>
      </c>
      <c r="BD193" s="169" t="s">
        <v>1280</v>
      </c>
      <c r="BE193" s="169" t="s">
        <v>1280</v>
      </c>
      <c r="BF193" s="169" t="s">
        <v>1280</v>
      </c>
      <c r="BG193" s="169" t="s">
        <v>1280</v>
      </c>
      <c r="BH193" s="169" t="s">
        <v>1280</v>
      </c>
      <c r="BI193" s="169" t="s">
        <v>1280</v>
      </c>
      <c r="BJ193" s="169" t="s">
        <v>1280</v>
      </c>
      <c r="BK193" s="169" t="s">
        <v>1280</v>
      </c>
      <c r="BL193" s="169" t="s">
        <v>1280</v>
      </c>
      <c r="BM193" s="169" t="s">
        <v>1280</v>
      </c>
      <c r="BN193" s="169" t="s">
        <v>1280</v>
      </c>
      <c r="BO193" s="169" t="s">
        <v>1280</v>
      </c>
      <c r="BP193" s="169" t="s">
        <v>1280</v>
      </c>
      <c r="BQ193" s="169" t="s">
        <v>1280</v>
      </c>
      <c r="BR193" s="169" t="s">
        <v>1280</v>
      </c>
      <c r="BS193" s="169" t="s">
        <v>1280</v>
      </c>
      <c r="BT193" s="169" t="s">
        <v>1280</v>
      </c>
      <c r="BU193" s="169" t="s">
        <v>1280</v>
      </c>
      <c r="BV193" s="169" t="s">
        <v>1280</v>
      </c>
      <c r="BW193" s="169" t="s">
        <v>1280</v>
      </c>
      <c r="BX193" s="169" t="s">
        <v>1280</v>
      </c>
      <c r="BY193" s="169" t="s">
        <v>1280</v>
      </c>
      <c r="BZ193" s="169" t="s">
        <v>1280</v>
      </c>
      <c r="CA193" s="169" t="s">
        <v>1280</v>
      </c>
      <c r="CB193" s="169" t="s">
        <v>1280</v>
      </c>
      <c r="CC193" s="169" t="s">
        <v>1280</v>
      </c>
      <c r="CD193" s="169" t="s">
        <v>1280</v>
      </c>
      <c r="CE193" s="169" t="s">
        <v>1280</v>
      </c>
      <c r="CF193" s="169" t="s">
        <v>1280</v>
      </c>
      <c r="CG193" s="169" t="s">
        <v>1280</v>
      </c>
      <c r="CH193" s="169" t="s">
        <v>1280</v>
      </c>
      <c r="CI193" s="169" t="s">
        <v>1280</v>
      </c>
      <c r="CJ193" s="169" t="s">
        <v>1280</v>
      </c>
      <c r="CK193" s="169" t="s">
        <v>1280</v>
      </c>
      <c r="CL193" s="169" t="s">
        <v>1280</v>
      </c>
      <c r="CM193" s="169" t="s">
        <v>1280</v>
      </c>
      <c r="CN193" s="169" t="s">
        <v>1280</v>
      </c>
      <c r="CO193" s="169" t="s">
        <v>1280</v>
      </c>
      <c r="CP193" s="169" t="s">
        <v>1280</v>
      </c>
      <c r="CQ193" s="169" t="s">
        <v>1280</v>
      </c>
      <c r="CR193" s="169" t="s">
        <v>1280</v>
      </c>
      <c r="CS193" s="169" t="s">
        <v>1280</v>
      </c>
      <c r="CT193" s="169" t="s">
        <v>1280</v>
      </c>
      <c r="CU193" s="169" t="s">
        <v>1280</v>
      </c>
      <c r="CV193" s="169" t="s">
        <v>1280</v>
      </c>
      <c r="CW193" s="169" t="s">
        <v>1280</v>
      </c>
      <c r="CX193" s="169" t="s">
        <v>1280</v>
      </c>
      <c r="CY193" s="169" t="s">
        <v>1280</v>
      </c>
      <c r="CZ193" s="169" t="s">
        <v>1280</v>
      </c>
      <c r="DA193" s="169" t="s">
        <v>1280</v>
      </c>
      <c r="DB193" s="169" t="s">
        <v>1280</v>
      </c>
      <c r="DC193" s="169" t="s">
        <v>1280</v>
      </c>
      <c r="DD193" s="169" t="s">
        <v>1280</v>
      </c>
      <c r="DE193" s="169" t="s">
        <v>1280</v>
      </c>
      <c r="DF193" s="169" t="s">
        <v>1280</v>
      </c>
      <c r="DG193" s="169" t="s">
        <v>1280</v>
      </c>
      <c r="DH193" s="169" t="s">
        <v>1280</v>
      </c>
      <c r="DI193" s="169" t="s">
        <v>1280</v>
      </c>
      <c r="DJ193" s="169" t="s">
        <v>1280</v>
      </c>
      <c r="DK193" s="169" t="s">
        <v>1280</v>
      </c>
      <c r="DL193" s="169" t="s">
        <v>1280</v>
      </c>
      <c r="DM193" s="169" t="s">
        <v>1280</v>
      </c>
      <c r="DN193" s="169" t="s">
        <v>1280</v>
      </c>
      <c r="DO193" s="169" t="s">
        <v>1280</v>
      </c>
      <c r="DP193" s="169" t="s">
        <v>1280</v>
      </c>
      <c r="DQ193" s="169" t="s">
        <v>1280</v>
      </c>
      <c r="DR193" s="169" t="s">
        <v>1280</v>
      </c>
      <c r="DS193" s="169" t="s">
        <v>1280</v>
      </c>
      <c r="DT193" s="169" t="s">
        <v>1280</v>
      </c>
    </row>
    <row r="194" spans="2:124" x14ac:dyDescent="0.3">
      <c r="B194">
        <f>'IMPORT SCHLIESSERDATEN'!B193</f>
        <v>0</v>
      </c>
      <c r="D194" s="169" t="s">
        <v>1280</v>
      </c>
      <c r="E194" s="169" t="s">
        <v>1280</v>
      </c>
      <c r="F194" s="169" t="s">
        <v>1280</v>
      </c>
      <c r="G194" s="169" t="s">
        <v>1280</v>
      </c>
      <c r="H194" s="169" t="s">
        <v>1280</v>
      </c>
      <c r="I194" s="169" t="s">
        <v>1280</v>
      </c>
      <c r="J194" s="169" t="s">
        <v>1280</v>
      </c>
      <c r="K194" s="169" t="s">
        <v>1280</v>
      </c>
      <c r="L194" s="169" t="s">
        <v>1280</v>
      </c>
      <c r="M194" s="169" t="s">
        <v>1280</v>
      </c>
      <c r="N194" s="169" t="s">
        <v>1280</v>
      </c>
      <c r="O194" s="169" t="s">
        <v>1280</v>
      </c>
      <c r="P194" s="169" t="s">
        <v>1280</v>
      </c>
      <c r="Q194" s="169" t="s">
        <v>1280</v>
      </c>
      <c r="R194" s="169" t="s">
        <v>1280</v>
      </c>
      <c r="S194" s="169" t="s">
        <v>1280</v>
      </c>
      <c r="T194" s="169" t="s">
        <v>1280</v>
      </c>
      <c r="U194" s="169" t="s">
        <v>1280</v>
      </c>
      <c r="V194" s="169" t="s">
        <v>1280</v>
      </c>
      <c r="W194" s="169" t="s">
        <v>1280</v>
      </c>
      <c r="X194" s="169" t="s">
        <v>1280</v>
      </c>
      <c r="Y194" s="169" t="s">
        <v>1280</v>
      </c>
      <c r="Z194" s="169" t="s">
        <v>1280</v>
      </c>
      <c r="AA194" s="169" t="s">
        <v>1280</v>
      </c>
      <c r="AB194" s="169" t="s">
        <v>1280</v>
      </c>
      <c r="AC194" s="169" t="s">
        <v>1280</v>
      </c>
      <c r="AD194" s="169" t="s">
        <v>1280</v>
      </c>
      <c r="AE194" s="169" t="s">
        <v>1280</v>
      </c>
      <c r="AF194" s="169" t="s">
        <v>1280</v>
      </c>
      <c r="AG194" s="169" t="s">
        <v>1280</v>
      </c>
      <c r="AH194" s="169" t="s">
        <v>1280</v>
      </c>
      <c r="AI194" s="169" t="s">
        <v>1280</v>
      </c>
      <c r="AJ194" s="169" t="s">
        <v>1280</v>
      </c>
      <c r="AK194" s="169" t="s">
        <v>1280</v>
      </c>
      <c r="AL194" s="169" t="s">
        <v>1280</v>
      </c>
      <c r="AM194" s="169" t="s">
        <v>1280</v>
      </c>
      <c r="AN194" s="169" t="s">
        <v>1280</v>
      </c>
      <c r="AO194" s="169" t="s">
        <v>1280</v>
      </c>
      <c r="AP194" s="169" t="s">
        <v>1280</v>
      </c>
      <c r="AQ194" s="169" t="s">
        <v>1280</v>
      </c>
      <c r="AR194" s="169" t="s">
        <v>1280</v>
      </c>
      <c r="AS194" s="169" t="s">
        <v>1280</v>
      </c>
      <c r="AT194" s="169" t="s">
        <v>1280</v>
      </c>
      <c r="AU194" s="169" t="s">
        <v>1280</v>
      </c>
      <c r="AV194" s="169" t="s">
        <v>1280</v>
      </c>
      <c r="AW194" s="169" t="s">
        <v>1280</v>
      </c>
      <c r="AX194" s="169" t="s">
        <v>1280</v>
      </c>
      <c r="AY194" s="169" t="s">
        <v>1280</v>
      </c>
      <c r="AZ194" s="169" t="s">
        <v>1280</v>
      </c>
      <c r="BA194" s="169" t="s">
        <v>1280</v>
      </c>
      <c r="BB194" s="169" t="s">
        <v>1280</v>
      </c>
      <c r="BC194" s="169" t="s">
        <v>1280</v>
      </c>
      <c r="BD194" s="169" t="s">
        <v>1280</v>
      </c>
      <c r="BE194" s="169" t="s">
        <v>1280</v>
      </c>
      <c r="BF194" s="169" t="s">
        <v>1280</v>
      </c>
      <c r="BG194" s="169" t="s">
        <v>1280</v>
      </c>
      <c r="BH194" s="169" t="s">
        <v>1280</v>
      </c>
      <c r="BI194" s="169" t="s">
        <v>1280</v>
      </c>
      <c r="BJ194" s="169" t="s">
        <v>1280</v>
      </c>
      <c r="BK194" s="169" t="s">
        <v>1280</v>
      </c>
      <c r="BL194" s="169" t="s">
        <v>1280</v>
      </c>
      <c r="BM194" s="169" t="s">
        <v>1280</v>
      </c>
      <c r="BN194" s="169" t="s">
        <v>1280</v>
      </c>
      <c r="BO194" s="169" t="s">
        <v>1280</v>
      </c>
      <c r="BP194" s="169" t="s">
        <v>1280</v>
      </c>
      <c r="BQ194" s="169" t="s">
        <v>1280</v>
      </c>
      <c r="BR194" s="169" t="s">
        <v>1280</v>
      </c>
      <c r="BS194" s="169" t="s">
        <v>1280</v>
      </c>
      <c r="BT194" s="169" t="s">
        <v>1280</v>
      </c>
      <c r="BU194" s="169" t="s">
        <v>1280</v>
      </c>
      <c r="BV194" s="169" t="s">
        <v>1280</v>
      </c>
      <c r="BW194" s="169" t="s">
        <v>1280</v>
      </c>
      <c r="BX194" s="169" t="s">
        <v>1280</v>
      </c>
      <c r="BY194" s="169" t="s">
        <v>1280</v>
      </c>
      <c r="BZ194" s="169" t="s">
        <v>1280</v>
      </c>
      <c r="CA194" s="169" t="s">
        <v>1280</v>
      </c>
      <c r="CB194" s="169" t="s">
        <v>1280</v>
      </c>
      <c r="CC194" s="169" t="s">
        <v>1280</v>
      </c>
      <c r="CD194" s="169" t="s">
        <v>1280</v>
      </c>
      <c r="CE194" s="169" t="s">
        <v>1280</v>
      </c>
      <c r="CF194" s="169" t="s">
        <v>1280</v>
      </c>
      <c r="CG194" s="169" t="s">
        <v>1280</v>
      </c>
      <c r="CH194" s="169" t="s">
        <v>1280</v>
      </c>
      <c r="CI194" s="169" t="s">
        <v>1280</v>
      </c>
      <c r="CJ194" s="169" t="s">
        <v>1280</v>
      </c>
      <c r="CK194" s="169" t="s">
        <v>1280</v>
      </c>
      <c r="CL194" s="169" t="s">
        <v>1280</v>
      </c>
      <c r="CM194" s="169" t="s">
        <v>1280</v>
      </c>
      <c r="CN194" s="169" t="s">
        <v>1280</v>
      </c>
      <c r="CO194" s="169" t="s">
        <v>1280</v>
      </c>
      <c r="CP194" s="169" t="s">
        <v>1280</v>
      </c>
      <c r="CQ194" s="169" t="s">
        <v>1280</v>
      </c>
      <c r="CR194" s="169" t="s">
        <v>1280</v>
      </c>
      <c r="CS194" s="169" t="s">
        <v>1280</v>
      </c>
      <c r="CT194" s="169" t="s">
        <v>1280</v>
      </c>
      <c r="CU194" s="169" t="s">
        <v>1280</v>
      </c>
      <c r="CV194" s="169" t="s">
        <v>1280</v>
      </c>
      <c r="CW194" s="169" t="s">
        <v>1280</v>
      </c>
      <c r="CX194" s="169" t="s">
        <v>1280</v>
      </c>
      <c r="CY194" s="169" t="s">
        <v>1280</v>
      </c>
      <c r="CZ194" s="169" t="s">
        <v>1280</v>
      </c>
      <c r="DA194" s="169" t="s">
        <v>1280</v>
      </c>
      <c r="DB194" s="169" t="s">
        <v>1280</v>
      </c>
      <c r="DC194" s="169" t="s">
        <v>1280</v>
      </c>
      <c r="DD194" s="169" t="s">
        <v>1280</v>
      </c>
      <c r="DE194" s="169" t="s">
        <v>1280</v>
      </c>
      <c r="DF194" s="169" t="s">
        <v>1280</v>
      </c>
      <c r="DG194" s="169" t="s">
        <v>1280</v>
      </c>
      <c r="DH194" s="169" t="s">
        <v>1280</v>
      </c>
      <c r="DI194" s="169" t="s">
        <v>1280</v>
      </c>
      <c r="DJ194" s="169" t="s">
        <v>1280</v>
      </c>
      <c r="DK194" s="169" t="s">
        <v>1280</v>
      </c>
      <c r="DL194" s="169" t="s">
        <v>1280</v>
      </c>
      <c r="DM194" s="169" t="s">
        <v>1280</v>
      </c>
      <c r="DN194" s="169" t="s">
        <v>1280</v>
      </c>
      <c r="DO194" s="169" t="s">
        <v>1280</v>
      </c>
      <c r="DP194" s="169" t="s">
        <v>1280</v>
      </c>
      <c r="DQ194" s="169" t="s">
        <v>1280</v>
      </c>
      <c r="DR194" s="169" t="s">
        <v>1280</v>
      </c>
      <c r="DS194" s="169" t="s">
        <v>1280</v>
      </c>
      <c r="DT194" s="169" t="s">
        <v>1280</v>
      </c>
    </row>
    <row r="195" spans="2:124" x14ac:dyDescent="0.3">
      <c r="B195">
        <f>'IMPORT SCHLIESSERDATEN'!B194</f>
        <v>0</v>
      </c>
      <c r="D195" s="169" t="s">
        <v>1280</v>
      </c>
      <c r="E195" s="169" t="s">
        <v>1280</v>
      </c>
      <c r="F195" s="169" t="s">
        <v>1280</v>
      </c>
      <c r="G195" s="169" t="s">
        <v>1280</v>
      </c>
      <c r="H195" s="169" t="s">
        <v>1280</v>
      </c>
      <c r="I195" s="169" t="s">
        <v>1280</v>
      </c>
      <c r="J195" s="169" t="s">
        <v>1280</v>
      </c>
      <c r="K195" s="169" t="s">
        <v>1280</v>
      </c>
      <c r="L195" s="169" t="s">
        <v>1280</v>
      </c>
      <c r="M195" s="169" t="s">
        <v>1280</v>
      </c>
      <c r="N195" s="169" t="s">
        <v>1280</v>
      </c>
      <c r="O195" s="169" t="s">
        <v>1280</v>
      </c>
      <c r="P195" s="169" t="s">
        <v>1280</v>
      </c>
      <c r="Q195" s="169" t="s">
        <v>1280</v>
      </c>
      <c r="R195" s="169" t="s">
        <v>1280</v>
      </c>
      <c r="S195" s="169" t="s">
        <v>1280</v>
      </c>
      <c r="T195" s="169" t="s">
        <v>1280</v>
      </c>
      <c r="U195" s="169" t="s">
        <v>1280</v>
      </c>
      <c r="V195" s="169" t="s">
        <v>1280</v>
      </c>
      <c r="W195" s="169" t="s">
        <v>1280</v>
      </c>
      <c r="X195" s="169" t="s">
        <v>1280</v>
      </c>
      <c r="Y195" s="169" t="s">
        <v>1280</v>
      </c>
      <c r="Z195" s="169" t="s">
        <v>1280</v>
      </c>
      <c r="AA195" s="169" t="s">
        <v>1280</v>
      </c>
      <c r="AB195" s="169" t="s">
        <v>1280</v>
      </c>
      <c r="AC195" s="169" t="s">
        <v>1280</v>
      </c>
      <c r="AD195" s="169" t="s">
        <v>1280</v>
      </c>
      <c r="AE195" s="169" t="s">
        <v>1280</v>
      </c>
      <c r="AF195" s="169" t="s">
        <v>1280</v>
      </c>
      <c r="AG195" s="169" t="s">
        <v>1280</v>
      </c>
      <c r="AH195" s="169" t="s">
        <v>1280</v>
      </c>
      <c r="AI195" s="169" t="s">
        <v>1280</v>
      </c>
      <c r="AJ195" s="169" t="s">
        <v>1280</v>
      </c>
      <c r="AK195" s="169" t="s">
        <v>1280</v>
      </c>
      <c r="AL195" s="169" t="s">
        <v>1280</v>
      </c>
      <c r="AM195" s="169" t="s">
        <v>1280</v>
      </c>
      <c r="AN195" s="169" t="s">
        <v>1280</v>
      </c>
      <c r="AO195" s="169" t="s">
        <v>1280</v>
      </c>
      <c r="AP195" s="169" t="s">
        <v>1280</v>
      </c>
      <c r="AQ195" s="169" t="s">
        <v>1280</v>
      </c>
      <c r="AR195" s="169" t="s">
        <v>1280</v>
      </c>
      <c r="AS195" s="169" t="s">
        <v>1280</v>
      </c>
      <c r="AT195" s="169" t="s">
        <v>1280</v>
      </c>
      <c r="AU195" s="169" t="s">
        <v>1280</v>
      </c>
      <c r="AV195" s="169" t="s">
        <v>1280</v>
      </c>
      <c r="AW195" s="169" t="s">
        <v>1280</v>
      </c>
      <c r="AX195" s="169" t="s">
        <v>1280</v>
      </c>
      <c r="AY195" s="169" t="s">
        <v>1280</v>
      </c>
      <c r="AZ195" s="169" t="s">
        <v>1280</v>
      </c>
      <c r="BA195" s="169" t="s">
        <v>1280</v>
      </c>
      <c r="BB195" s="169" t="s">
        <v>1280</v>
      </c>
      <c r="BC195" s="169" t="s">
        <v>1280</v>
      </c>
      <c r="BD195" s="169" t="s">
        <v>1280</v>
      </c>
      <c r="BE195" s="169" t="s">
        <v>1280</v>
      </c>
      <c r="BF195" s="169" t="s">
        <v>1280</v>
      </c>
      <c r="BG195" s="169" t="s">
        <v>1280</v>
      </c>
      <c r="BH195" s="169" t="s">
        <v>1280</v>
      </c>
      <c r="BI195" s="169" t="s">
        <v>1280</v>
      </c>
      <c r="BJ195" s="169" t="s">
        <v>1280</v>
      </c>
      <c r="BK195" s="169" t="s">
        <v>1280</v>
      </c>
      <c r="BL195" s="169" t="s">
        <v>1280</v>
      </c>
      <c r="BM195" s="169" t="s">
        <v>1280</v>
      </c>
      <c r="BN195" s="169" t="s">
        <v>1280</v>
      </c>
      <c r="BO195" s="169" t="s">
        <v>1280</v>
      </c>
      <c r="BP195" s="169" t="s">
        <v>1280</v>
      </c>
      <c r="BQ195" s="169" t="s">
        <v>1280</v>
      </c>
      <c r="BR195" s="169" t="s">
        <v>1280</v>
      </c>
      <c r="BS195" s="169" t="s">
        <v>1280</v>
      </c>
      <c r="BT195" s="169" t="s">
        <v>1280</v>
      </c>
      <c r="BU195" s="169" t="s">
        <v>1280</v>
      </c>
      <c r="BV195" s="169" t="s">
        <v>1280</v>
      </c>
      <c r="BW195" s="169" t="s">
        <v>1280</v>
      </c>
      <c r="BX195" s="169" t="s">
        <v>1280</v>
      </c>
      <c r="BY195" s="169" t="s">
        <v>1280</v>
      </c>
      <c r="BZ195" s="169" t="s">
        <v>1280</v>
      </c>
      <c r="CA195" s="169" t="s">
        <v>1280</v>
      </c>
      <c r="CB195" s="169" t="s">
        <v>1280</v>
      </c>
      <c r="CC195" s="169" t="s">
        <v>1280</v>
      </c>
      <c r="CD195" s="169" t="s">
        <v>1280</v>
      </c>
      <c r="CE195" s="169" t="s">
        <v>1280</v>
      </c>
      <c r="CF195" s="169" t="s">
        <v>1280</v>
      </c>
      <c r="CG195" s="169" t="s">
        <v>1280</v>
      </c>
      <c r="CH195" s="169" t="s">
        <v>1280</v>
      </c>
      <c r="CI195" s="169" t="s">
        <v>1280</v>
      </c>
      <c r="CJ195" s="169" t="s">
        <v>1280</v>
      </c>
      <c r="CK195" s="169" t="s">
        <v>1280</v>
      </c>
      <c r="CL195" s="169" t="s">
        <v>1280</v>
      </c>
      <c r="CM195" s="169" t="s">
        <v>1280</v>
      </c>
      <c r="CN195" s="169" t="s">
        <v>1280</v>
      </c>
      <c r="CO195" s="169" t="s">
        <v>1280</v>
      </c>
      <c r="CP195" s="169" t="s">
        <v>1280</v>
      </c>
      <c r="CQ195" s="169" t="s">
        <v>1280</v>
      </c>
      <c r="CR195" s="169" t="s">
        <v>1280</v>
      </c>
      <c r="CS195" s="169" t="s">
        <v>1280</v>
      </c>
      <c r="CT195" s="169" t="s">
        <v>1280</v>
      </c>
      <c r="CU195" s="169" t="s">
        <v>1280</v>
      </c>
      <c r="CV195" s="169" t="s">
        <v>1280</v>
      </c>
      <c r="CW195" s="169" t="s">
        <v>1280</v>
      </c>
      <c r="CX195" s="169" t="s">
        <v>1280</v>
      </c>
      <c r="CY195" s="169" t="s">
        <v>1280</v>
      </c>
      <c r="CZ195" s="169" t="s">
        <v>1280</v>
      </c>
      <c r="DA195" s="169" t="s">
        <v>1280</v>
      </c>
      <c r="DB195" s="169" t="s">
        <v>1280</v>
      </c>
      <c r="DC195" s="169" t="s">
        <v>1280</v>
      </c>
      <c r="DD195" s="169" t="s">
        <v>1280</v>
      </c>
      <c r="DE195" s="169" t="s">
        <v>1280</v>
      </c>
      <c r="DF195" s="169" t="s">
        <v>1280</v>
      </c>
      <c r="DG195" s="169" t="s">
        <v>1280</v>
      </c>
      <c r="DH195" s="169" t="s">
        <v>1280</v>
      </c>
      <c r="DI195" s="169" t="s">
        <v>1280</v>
      </c>
      <c r="DJ195" s="169" t="s">
        <v>1280</v>
      </c>
      <c r="DK195" s="169" t="s">
        <v>1280</v>
      </c>
      <c r="DL195" s="169" t="s">
        <v>1280</v>
      </c>
      <c r="DM195" s="169" t="s">
        <v>1280</v>
      </c>
      <c r="DN195" s="169" t="s">
        <v>1280</v>
      </c>
      <c r="DO195" s="169" t="s">
        <v>1280</v>
      </c>
      <c r="DP195" s="169" t="s">
        <v>1280</v>
      </c>
      <c r="DQ195" s="169" t="s">
        <v>1280</v>
      </c>
      <c r="DR195" s="169" t="s">
        <v>1280</v>
      </c>
      <c r="DS195" s="169" t="s">
        <v>1280</v>
      </c>
      <c r="DT195" s="169" t="s">
        <v>1280</v>
      </c>
    </row>
    <row r="196" spans="2:124" x14ac:dyDescent="0.3">
      <c r="B196">
        <f>'IMPORT SCHLIESSERDATEN'!B195</f>
        <v>0</v>
      </c>
      <c r="D196" s="169" t="s">
        <v>1280</v>
      </c>
      <c r="E196" s="169" t="s">
        <v>1280</v>
      </c>
      <c r="F196" s="169" t="s">
        <v>1280</v>
      </c>
      <c r="G196" s="169" t="s">
        <v>1280</v>
      </c>
      <c r="H196" s="169" t="s">
        <v>1280</v>
      </c>
      <c r="I196" s="169" t="s">
        <v>1280</v>
      </c>
      <c r="J196" s="169" t="s">
        <v>1280</v>
      </c>
      <c r="K196" s="169" t="s">
        <v>1280</v>
      </c>
      <c r="L196" s="169" t="s">
        <v>1280</v>
      </c>
      <c r="M196" s="169" t="s">
        <v>1280</v>
      </c>
      <c r="N196" s="169" t="s">
        <v>1280</v>
      </c>
      <c r="O196" s="169" t="s">
        <v>1280</v>
      </c>
      <c r="P196" s="169" t="s">
        <v>1280</v>
      </c>
      <c r="Q196" s="169" t="s">
        <v>1280</v>
      </c>
      <c r="R196" s="169" t="s">
        <v>1280</v>
      </c>
      <c r="S196" s="169" t="s">
        <v>1280</v>
      </c>
      <c r="T196" s="169" t="s">
        <v>1280</v>
      </c>
      <c r="U196" s="169" t="s">
        <v>1280</v>
      </c>
      <c r="V196" s="169" t="s">
        <v>1280</v>
      </c>
      <c r="W196" s="169" t="s">
        <v>1280</v>
      </c>
      <c r="X196" s="169" t="s">
        <v>1280</v>
      </c>
      <c r="Y196" s="169" t="s">
        <v>1280</v>
      </c>
      <c r="Z196" s="169" t="s">
        <v>1280</v>
      </c>
      <c r="AA196" s="169" t="s">
        <v>1280</v>
      </c>
      <c r="AB196" s="169" t="s">
        <v>1280</v>
      </c>
      <c r="AC196" s="169" t="s">
        <v>1280</v>
      </c>
      <c r="AD196" s="169" t="s">
        <v>1280</v>
      </c>
      <c r="AE196" s="169" t="s">
        <v>1280</v>
      </c>
      <c r="AF196" s="169" t="s">
        <v>1280</v>
      </c>
      <c r="AG196" s="169" t="s">
        <v>1280</v>
      </c>
      <c r="AH196" s="169" t="s">
        <v>1280</v>
      </c>
      <c r="AI196" s="169" t="s">
        <v>1280</v>
      </c>
      <c r="AJ196" s="169" t="s">
        <v>1280</v>
      </c>
      <c r="AK196" s="169" t="s">
        <v>1280</v>
      </c>
      <c r="AL196" s="169" t="s">
        <v>1280</v>
      </c>
      <c r="AM196" s="169" t="s">
        <v>1280</v>
      </c>
      <c r="AN196" s="169" t="s">
        <v>1280</v>
      </c>
      <c r="AO196" s="169" t="s">
        <v>1280</v>
      </c>
      <c r="AP196" s="169" t="s">
        <v>1280</v>
      </c>
      <c r="AQ196" s="169" t="s">
        <v>1280</v>
      </c>
      <c r="AR196" s="169" t="s">
        <v>1280</v>
      </c>
      <c r="AS196" s="169" t="s">
        <v>1280</v>
      </c>
      <c r="AT196" s="169" t="s">
        <v>1280</v>
      </c>
      <c r="AU196" s="169" t="s">
        <v>1280</v>
      </c>
      <c r="AV196" s="169" t="s">
        <v>1280</v>
      </c>
      <c r="AW196" s="169" t="s">
        <v>1280</v>
      </c>
      <c r="AX196" s="169" t="s">
        <v>1280</v>
      </c>
      <c r="AY196" s="169" t="s">
        <v>1280</v>
      </c>
      <c r="AZ196" s="169" t="s">
        <v>1280</v>
      </c>
      <c r="BA196" s="169" t="s">
        <v>1280</v>
      </c>
      <c r="BB196" s="169" t="s">
        <v>1280</v>
      </c>
      <c r="BC196" s="169" t="s">
        <v>1280</v>
      </c>
      <c r="BD196" s="169" t="s">
        <v>1280</v>
      </c>
      <c r="BE196" s="169" t="s">
        <v>1280</v>
      </c>
      <c r="BF196" s="169" t="s">
        <v>1280</v>
      </c>
      <c r="BG196" s="169" t="s">
        <v>1280</v>
      </c>
      <c r="BH196" s="169" t="s">
        <v>1280</v>
      </c>
      <c r="BI196" s="169" t="s">
        <v>1280</v>
      </c>
      <c r="BJ196" s="169" t="s">
        <v>1280</v>
      </c>
      <c r="BK196" s="169" t="s">
        <v>1280</v>
      </c>
      <c r="BL196" s="169" t="s">
        <v>1280</v>
      </c>
      <c r="BM196" s="169" t="s">
        <v>1280</v>
      </c>
      <c r="BN196" s="169" t="s">
        <v>1280</v>
      </c>
      <c r="BO196" s="169" t="s">
        <v>1280</v>
      </c>
      <c r="BP196" s="169" t="s">
        <v>1280</v>
      </c>
      <c r="BQ196" s="169" t="s">
        <v>1280</v>
      </c>
      <c r="BR196" s="169" t="s">
        <v>1280</v>
      </c>
      <c r="BS196" s="169" t="s">
        <v>1280</v>
      </c>
      <c r="BT196" s="169" t="s">
        <v>1280</v>
      </c>
      <c r="BU196" s="169" t="s">
        <v>1280</v>
      </c>
      <c r="BV196" s="169" t="s">
        <v>1280</v>
      </c>
      <c r="BW196" s="169" t="s">
        <v>1280</v>
      </c>
      <c r="BX196" s="169" t="s">
        <v>1280</v>
      </c>
      <c r="BY196" s="169" t="s">
        <v>1280</v>
      </c>
      <c r="BZ196" s="169" t="s">
        <v>1280</v>
      </c>
      <c r="CA196" s="169" t="s">
        <v>1280</v>
      </c>
      <c r="CB196" s="169" t="s">
        <v>1280</v>
      </c>
      <c r="CC196" s="169" t="s">
        <v>1280</v>
      </c>
      <c r="CD196" s="169" t="s">
        <v>1280</v>
      </c>
      <c r="CE196" s="169" t="s">
        <v>1280</v>
      </c>
      <c r="CF196" s="169" t="s">
        <v>1280</v>
      </c>
      <c r="CG196" s="169" t="s">
        <v>1280</v>
      </c>
      <c r="CH196" s="169" t="s">
        <v>1280</v>
      </c>
      <c r="CI196" s="169" t="s">
        <v>1280</v>
      </c>
      <c r="CJ196" s="169" t="s">
        <v>1280</v>
      </c>
      <c r="CK196" s="169" t="s">
        <v>1280</v>
      </c>
      <c r="CL196" s="169" t="s">
        <v>1280</v>
      </c>
      <c r="CM196" s="169" t="s">
        <v>1280</v>
      </c>
      <c r="CN196" s="169" t="s">
        <v>1280</v>
      </c>
      <c r="CO196" s="169" t="s">
        <v>1280</v>
      </c>
      <c r="CP196" s="169" t="s">
        <v>1280</v>
      </c>
      <c r="CQ196" s="169" t="s">
        <v>1280</v>
      </c>
      <c r="CR196" s="169" t="s">
        <v>1280</v>
      </c>
      <c r="CS196" s="169" t="s">
        <v>1280</v>
      </c>
      <c r="CT196" s="169" t="s">
        <v>1280</v>
      </c>
      <c r="CU196" s="169" t="s">
        <v>1280</v>
      </c>
      <c r="CV196" s="169" t="s">
        <v>1280</v>
      </c>
      <c r="CW196" s="169" t="s">
        <v>1280</v>
      </c>
      <c r="CX196" s="169" t="s">
        <v>1280</v>
      </c>
      <c r="CY196" s="169" t="s">
        <v>1280</v>
      </c>
      <c r="CZ196" s="169" t="s">
        <v>1280</v>
      </c>
      <c r="DA196" s="169" t="s">
        <v>1280</v>
      </c>
      <c r="DB196" s="169" t="s">
        <v>1280</v>
      </c>
      <c r="DC196" s="169" t="s">
        <v>1280</v>
      </c>
      <c r="DD196" s="169" t="s">
        <v>1280</v>
      </c>
      <c r="DE196" s="169" t="s">
        <v>1280</v>
      </c>
      <c r="DF196" s="169" t="s">
        <v>1280</v>
      </c>
      <c r="DG196" s="169" t="s">
        <v>1280</v>
      </c>
      <c r="DH196" s="169" t="s">
        <v>1280</v>
      </c>
      <c r="DI196" s="169" t="s">
        <v>1280</v>
      </c>
      <c r="DJ196" s="169" t="s">
        <v>1280</v>
      </c>
      <c r="DK196" s="169" t="s">
        <v>1280</v>
      </c>
      <c r="DL196" s="169" t="s">
        <v>1280</v>
      </c>
      <c r="DM196" s="169" t="s">
        <v>1280</v>
      </c>
      <c r="DN196" s="169" t="s">
        <v>1280</v>
      </c>
      <c r="DO196" s="169" t="s">
        <v>1280</v>
      </c>
      <c r="DP196" s="169" t="s">
        <v>1280</v>
      </c>
      <c r="DQ196" s="169" t="s">
        <v>1280</v>
      </c>
      <c r="DR196" s="169" t="s">
        <v>1280</v>
      </c>
      <c r="DS196" s="169" t="s">
        <v>1280</v>
      </c>
      <c r="DT196" s="169" t="s">
        <v>1280</v>
      </c>
    </row>
    <row r="197" spans="2:124" x14ac:dyDescent="0.3">
      <c r="B197">
        <f>'IMPORT SCHLIESSERDATEN'!B196</f>
        <v>0</v>
      </c>
      <c r="D197" s="169" t="s">
        <v>1280</v>
      </c>
      <c r="E197" s="169" t="s">
        <v>1280</v>
      </c>
      <c r="F197" s="169" t="s">
        <v>1280</v>
      </c>
      <c r="G197" s="169" t="s">
        <v>1280</v>
      </c>
      <c r="H197" s="169" t="s">
        <v>1280</v>
      </c>
      <c r="I197" s="169" t="s">
        <v>1280</v>
      </c>
      <c r="J197" s="169" t="s">
        <v>1280</v>
      </c>
      <c r="K197" s="169" t="s">
        <v>1280</v>
      </c>
      <c r="L197" s="169" t="s">
        <v>1280</v>
      </c>
      <c r="M197" s="169" t="s">
        <v>1280</v>
      </c>
      <c r="N197" s="169" t="s">
        <v>1280</v>
      </c>
      <c r="O197" s="169" t="s">
        <v>1280</v>
      </c>
      <c r="P197" s="169" t="s">
        <v>1280</v>
      </c>
      <c r="Q197" s="169" t="s">
        <v>1280</v>
      </c>
      <c r="R197" s="169" t="s">
        <v>1280</v>
      </c>
      <c r="S197" s="169" t="s">
        <v>1280</v>
      </c>
      <c r="T197" s="169" t="s">
        <v>1280</v>
      </c>
      <c r="U197" s="169" t="s">
        <v>1280</v>
      </c>
      <c r="V197" s="169" t="s">
        <v>1280</v>
      </c>
      <c r="W197" s="169" t="s">
        <v>1280</v>
      </c>
      <c r="X197" s="169" t="s">
        <v>1280</v>
      </c>
      <c r="Y197" s="169" t="s">
        <v>1280</v>
      </c>
      <c r="Z197" s="169" t="s">
        <v>1280</v>
      </c>
      <c r="AA197" s="169" t="s">
        <v>1280</v>
      </c>
      <c r="AB197" s="169" t="s">
        <v>1280</v>
      </c>
      <c r="AC197" s="169" t="s">
        <v>1280</v>
      </c>
      <c r="AD197" s="169" t="s">
        <v>1280</v>
      </c>
      <c r="AE197" s="169" t="s">
        <v>1280</v>
      </c>
      <c r="AF197" s="169" t="s">
        <v>1280</v>
      </c>
      <c r="AG197" s="169" t="s">
        <v>1280</v>
      </c>
      <c r="AH197" s="169" t="s">
        <v>1280</v>
      </c>
      <c r="AI197" s="169" t="s">
        <v>1280</v>
      </c>
      <c r="AJ197" s="169" t="s">
        <v>1280</v>
      </c>
      <c r="AK197" s="169" t="s">
        <v>1280</v>
      </c>
      <c r="AL197" s="169" t="s">
        <v>1280</v>
      </c>
      <c r="AM197" s="169" t="s">
        <v>1280</v>
      </c>
      <c r="AN197" s="169" t="s">
        <v>1280</v>
      </c>
      <c r="AO197" s="169" t="s">
        <v>1280</v>
      </c>
      <c r="AP197" s="169" t="s">
        <v>1280</v>
      </c>
      <c r="AQ197" s="169" t="s">
        <v>1280</v>
      </c>
      <c r="AR197" s="169" t="s">
        <v>1280</v>
      </c>
      <c r="AS197" s="169" t="s">
        <v>1280</v>
      </c>
      <c r="AT197" s="169" t="s">
        <v>1280</v>
      </c>
      <c r="AU197" s="169" t="s">
        <v>1280</v>
      </c>
      <c r="AV197" s="169" t="s">
        <v>1280</v>
      </c>
      <c r="AW197" s="169" t="s">
        <v>1280</v>
      </c>
      <c r="AX197" s="169" t="s">
        <v>1280</v>
      </c>
      <c r="AY197" s="169" t="s">
        <v>1280</v>
      </c>
      <c r="AZ197" s="169" t="s">
        <v>1280</v>
      </c>
      <c r="BA197" s="169" t="s">
        <v>1280</v>
      </c>
      <c r="BB197" s="169" t="s">
        <v>1280</v>
      </c>
      <c r="BC197" s="169" t="s">
        <v>1280</v>
      </c>
      <c r="BD197" s="169" t="s">
        <v>1280</v>
      </c>
      <c r="BE197" s="169" t="s">
        <v>1280</v>
      </c>
      <c r="BF197" s="169" t="s">
        <v>1280</v>
      </c>
      <c r="BG197" s="169" t="s">
        <v>1280</v>
      </c>
      <c r="BH197" s="169" t="s">
        <v>1280</v>
      </c>
      <c r="BI197" s="169" t="s">
        <v>1280</v>
      </c>
      <c r="BJ197" s="169" t="s">
        <v>1280</v>
      </c>
      <c r="BK197" s="169" t="s">
        <v>1280</v>
      </c>
      <c r="BL197" s="169" t="s">
        <v>1280</v>
      </c>
      <c r="BM197" s="169" t="s">
        <v>1280</v>
      </c>
      <c r="BN197" s="169" t="s">
        <v>1280</v>
      </c>
      <c r="BO197" s="169" t="s">
        <v>1280</v>
      </c>
      <c r="BP197" s="169" t="s">
        <v>1280</v>
      </c>
      <c r="BQ197" s="169" t="s">
        <v>1280</v>
      </c>
      <c r="BR197" s="169" t="s">
        <v>1280</v>
      </c>
      <c r="BS197" s="169" t="s">
        <v>1280</v>
      </c>
      <c r="BT197" s="169" t="s">
        <v>1280</v>
      </c>
      <c r="BU197" s="169" t="s">
        <v>1280</v>
      </c>
      <c r="BV197" s="169" t="s">
        <v>1280</v>
      </c>
      <c r="BW197" s="169" t="s">
        <v>1280</v>
      </c>
      <c r="BX197" s="169" t="s">
        <v>1280</v>
      </c>
      <c r="BY197" s="169" t="s">
        <v>1280</v>
      </c>
      <c r="BZ197" s="169" t="s">
        <v>1280</v>
      </c>
      <c r="CA197" s="169" t="s">
        <v>1280</v>
      </c>
      <c r="CB197" s="169" t="s">
        <v>1280</v>
      </c>
      <c r="CC197" s="169" t="s">
        <v>1280</v>
      </c>
      <c r="CD197" s="169" t="s">
        <v>1280</v>
      </c>
      <c r="CE197" s="169" t="s">
        <v>1280</v>
      </c>
      <c r="CF197" s="169" t="s">
        <v>1280</v>
      </c>
      <c r="CG197" s="169" t="s">
        <v>1280</v>
      </c>
      <c r="CH197" s="169" t="s">
        <v>1280</v>
      </c>
      <c r="CI197" s="169" t="s">
        <v>1280</v>
      </c>
      <c r="CJ197" s="169" t="s">
        <v>1280</v>
      </c>
      <c r="CK197" s="169" t="s">
        <v>1280</v>
      </c>
      <c r="CL197" s="169" t="s">
        <v>1280</v>
      </c>
      <c r="CM197" s="169" t="s">
        <v>1280</v>
      </c>
      <c r="CN197" s="169" t="s">
        <v>1280</v>
      </c>
      <c r="CO197" s="169" t="s">
        <v>1280</v>
      </c>
      <c r="CP197" s="169" t="s">
        <v>1280</v>
      </c>
      <c r="CQ197" s="169" t="s">
        <v>1280</v>
      </c>
      <c r="CR197" s="169" t="s">
        <v>1280</v>
      </c>
      <c r="CS197" s="169" t="s">
        <v>1280</v>
      </c>
      <c r="CT197" s="169" t="s">
        <v>1280</v>
      </c>
      <c r="CU197" s="169" t="s">
        <v>1280</v>
      </c>
      <c r="CV197" s="169" t="s">
        <v>1280</v>
      </c>
      <c r="CW197" s="169" t="s">
        <v>1280</v>
      </c>
      <c r="CX197" s="169" t="s">
        <v>1280</v>
      </c>
      <c r="CY197" s="169" t="s">
        <v>1280</v>
      </c>
      <c r="CZ197" s="169" t="s">
        <v>1280</v>
      </c>
      <c r="DA197" s="169" t="s">
        <v>1280</v>
      </c>
      <c r="DB197" s="169" t="s">
        <v>1280</v>
      </c>
      <c r="DC197" s="169" t="s">
        <v>1280</v>
      </c>
      <c r="DD197" s="169" t="s">
        <v>1280</v>
      </c>
      <c r="DE197" s="169" t="s">
        <v>1280</v>
      </c>
      <c r="DF197" s="169" t="s">
        <v>1280</v>
      </c>
      <c r="DG197" s="169" t="s">
        <v>1280</v>
      </c>
      <c r="DH197" s="169" t="s">
        <v>1280</v>
      </c>
      <c r="DI197" s="169" t="s">
        <v>1280</v>
      </c>
      <c r="DJ197" s="169" t="s">
        <v>1280</v>
      </c>
      <c r="DK197" s="169" t="s">
        <v>1280</v>
      </c>
      <c r="DL197" s="169" t="s">
        <v>1280</v>
      </c>
      <c r="DM197" s="169" t="s">
        <v>1280</v>
      </c>
      <c r="DN197" s="169" t="s">
        <v>1280</v>
      </c>
      <c r="DO197" s="169" t="s">
        <v>1280</v>
      </c>
      <c r="DP197" s="169" t="s">
        <v>1280</v>
      </c>
      <c r="DQ197" s="169" t="s">
        <v>1280</v>
      </c>
      <c r="DR197" s="169" t="s">
        <v>1280</v>
      </c>
      <c r="DS197" s="169" t="s">
        <v>1280</v>
      </c>
      <c r="DT197" s="169" t="s">
        <v>1280</v>
      </c>
    </row>
    <row r="198" spans="2:124" x14ac:dyDescent="0.3">
      <c r="B198">
        <f>'IMPORT SCHLIESSERDATEN'!B197</f>
        <v>0</v>
      </c>
      <c r="D198" s="169" t="s">
        <v>1280</v>
      </c>
      <c r="E198" s="169" t="s">
        <v>1280</v>
      </c>
      <c r="F198" s="169" t="s">
        <v>1280</v>
      </c>
      <c r="G198" s="169" t="s">
        <v>1280</v>
      </c>
      <c r="H198" s="169" t="s">
        <v>1280</v>
      </c>
      <c r="I198" s="169" t="s">
        <v>1280</v>
      </c>
      <c r="J198" s="169" t="s">
        <v>1280</v>
      </c>
      <c r="K198" s="169" t="s">
        <v>1280</v>
      </c>
      <c r="L198" s="169" t="s">
        <v>1280</v>
      </c>
      <c r="M198" s="169" t="s">
        <v>1280</v>
      </c>
      <c r="N198" s="169" t="s">
        <v>1280</v>
      </c>
      <c r="O198" s="169" t="s">
        <v>1280</v>
      </c>
      <c r="P198" s="169" t="s">
        <v>1280</v>
      </c>
      <c r="Q198" s="169" t="s">
        <v>1280</v>
      </c>
      <c r="R198" s="169" t="s">
        <v>1280</v>
      </c>
      <c r="S198" s="169" t="s">
        <v>1280</v>
      </c>
      <c r="T198" s="169" t="s">
        <v>1280</v>
      </c>
      <c r="U198" s="169" t="s">
        <v>1280</v>
      </c>
      <c r="V198" s="169" t="s">
        <v>1280</v>
      </c>
      <c r="W198" s="169" t="s">
        <v>1280</v>
      </c>
      <c r="X198" s="169" t="s">
        <v>1280</v>
      </c>
      <c r="Y198" s="169" t="s">
        <v>1280</v>
      </c>
      <c r="Z198" s="169" t="s">
        <v>1280</v>
      </c>
      <c r="AA198" s="169" t="s">
        <v>1280</v>
      </c>
      <c r="AB198" s="169" t="s">
        <v>1280</v>
      </c>
      <c r="AC198" s="169" t="s">
        <v>1280</v>
      </c>
      <c r="AD198" s="169" t="s">
        <v>1280</v>
      </c>
      <c r="AE198" s="169" t="s">
        <v>1280</v>
      </c>
      <c r="AF198" s="169" t="s">
        <v>1280</v>
      </c>
      <c r="AG198" s="169" t="s">
        <v>1280</v>
      </c>
      <c r="AH198" s="169" t="s">
        <v>1280</v>
      </c>
      <c r="AI198" s="169" t="s">
        <v>1280</v>
      </c>
      <c r="AJ198" s="169" t="s">
        <v>1280</v>
      </c>
      <c r="AK198" s="169" t="s">
        <v>1280</v>
      </c>
      <c r="AL198" s="169" t="s">
        <v>1280</v>
      </c>
      <c r="AM198" s="169" t="s">
        <v>1280</v>
      </c>
      <c r="AN198" s="169" t="s">
        <v>1280</v>
      </c>
      <c r="AO198" s="169" t="s">
        <v>1280</v>
      </c>
      <c r="AP198" s="169" t="s">
        <v>1280</v>
      </c>
      <c r="AQ198" s="169" t="s">
        <v>1280</v>
      </c>
      <c r="AR198" s="169" t="s">
        <v>1280</v>
      </c>
      <c r="AS198" s="169" t="s">
        <v>1280</v>
      </c>
      <c r="AT198" s="169" t="s">
        <v>1280</v>
      </c>
      <c r="AU198" s="169" t="s">
        <v>1280</v>
      </c>
      <c r="AV198" s="169" t="s">
        <v>1280</v>
      </c>
      <c r="AW198" s="169" t="s">
        <v>1280</v>
      </c>
      <c r="AX198" s="169" t="s">
        <v>1280</v>
      </c>
      <c r="AY198" s="169" t="s">
        <v>1280</v>
      </c>
      <c r="AZ198" s="169" t="s">
        <v>1280</v>
      </c>
      <c r="BA198" s="169" t="s">
        <v>1280</v>
      </c>
      <c r="BB198" s="169" t="s">
        <v>1280</v>
      </c>
      <c r="BC198" s="169" t="s">
        <v>1280</v>
      </c>
      <c r="BD198" s="169" t="s">
        <v>1280</v>
      </c>
      <c r="BE198" s="169" t="s">
        <v>1280</v>
      </c>
      <c r="BF198" s="169" t="s">
        <v>1280</v>
      </c>
      <c r="BG198" s="169" t="s">
        <v>1280</v>
      </c>
      <c r="BH198" s="169" t="s">
        <v>1280</v>
      </c>
      <c r="BI198" s="169" t="s">
        <v>1280</v>
      </c>
      <c r="BJ198" s="169" t="s">
        <v>1280</v>
      </c>
      <c r="BK198" s="169" t="s">
        <v>1280</v>
      </c>
      <c r="BL198" s="169" t="s">
        <v>1280</v>
      </c>
      <c r="BM198" s="169" t="s">
        <v>1280</v>
      </c>
      <c r="BN198" s="169" t="s">
        <v>1280</v>
      </c>
      <c r="BO198" s="169" t="s">
        <v>1280</v>
      </c>
      <c r="BP198" s="169" t="s">
        <v>1280</v>
      </c>
      <c r="BQ198" s="169" t="s">
        <v>1280</v>
      </c>
      <c r="BR198" s="169" t="s">
        <v>1280</v>
      </c>
      <c r="BS198" s="169" t="s">
        <v>1280</v>
      </c>
      <c r="BT198" s="169" t="s">
        <v>1280</v>
      </c>
      <c r="BU198" s="169" t="s">
        <v>1280</v>
      </c>
      <c r="BV198" s="169" t="s">
        <v>1280</v>
      </c>
      <c r="BW198" s="169" t="s">
        <v>1280</v>
      </c>
      <c r="BX198" s="169" t="s">
        <v>1280</v>
      </c>
      <c r="BY198" s="169" t="s">
        <v>1280</v>
      </c>
      <c r="BZ198" s="169" t="s">
        <v>1280</v>
      </c>
      <c r="CA198" s="169" t="s">
        <v>1280</v>
      </c>
      <c r="CB198" s="169" t="s">
        <v>1280</v>
      </c>
      <c r="CC198" s="169" t="s">
        <v>1280</v>
      </c>
      <c r="CD198" s="169" t="s">
        <v>1280</v>
      </c>
      <c r="CE198" s="169" t="s">
        <v>1280</v>
      </c>
      <c r="CF198" s="169" t="s">
        <v>1280</v>
      </c>
      <c r="CG198" s="169" t="s">
        <v>1280</v>
      </c>
      <c r="CH198" s="169" t="s">
        <v>1280</v>
      </c>
      <c r="CI198" s="169" t="s">
        <v>1280</v>
      </c>
      <c r="CJ198" s="169" t="s">
        <v>1280</v>
      </c>
      <c r="CK198" s="169" t="s">
        <v>1280</v>
      </c>
      <c r="CL198" s="169" t="s">
        <v>1280</v>
      </c>
      <c r="CM198" s="169" t="s">
        <v>1280</v>
      </c>
      <c r="CN198" s="169" t="s">
        <v>1280</v>
      </c>
      <c r="CO198" s="169" t="s">
        <v>1280</v>
      </c>
      <c r="CP198" s="169" t="s">
        <v>1280</v>
      </c>
      <c r="CQ198" s="169" t="s">
        <v>1280</v>
      </c>
      <c r="CR198" s="169" t="s">
        <v>1280</v>
      </c>
      <c r="CS198" s="169" t="s">
        <v>1280</v>
      </c>
      <c r="CT198" s="169" t="s">
        <v>1280</v>
      </c>
      <c r="CU198" s="169" t="s">
        <v>1280</v>
      </c>
      <c r="CV198" s="169" t="s">
        <v>1280</v>
      </c>
      <c r="CW198" s="169" t="s">
        <v>1280</v>
      </c>
      <c r="CX198" s="169" t="s">
        <v>1280</v>
      </c>
      <c r="CY198" s="169" t="s">
        <v>1280</v>
      </c>
      <c r="CZ198" s="169" t="s">
        <v>1280</v>
      </c>
      <c r="DA198" s="169" t="s">
        <v>1280</v>
      </c>
      <c r="DB198" s="169" t="s">
        <v>1280</v>
      </c>
      <c r="DC198" s="169" t="s">
        <v>1280</v>
      </c>
      <c r="DD198" s="169" t="s">
        <v>1280</v>
      </c>
      <c r="DE198" s="169" t="s">
        <v>1280</v>
      </c>
      <c r="DF198" s="169" t="s">
        <v>1280</v>
      </c>
      <c r="DG198" s="169" t="s">
        <v>1280</v>
      </c>
      <c r="DH198" s="169" t="s">
        <v>1280</v>
      </c>
      <c r="DI198" s="169" t="s">
        <v>1280</v>
      </c>
      <c r="DJ198" s="169" t="s">
        <v>1280</v>
      </c>
      <c r="DK198" s="169" t="s">
        <v>1280</v>
      </c>
      <c r="DL198" s="169" t="s">
        <v>1280</v>
      </c>
      <c r="DM198" s="169" t="s">
        <v>1280</v>
      </c>
      <c r="DN198" s="169" t="s">
        <v>1280</v>
      </c>
      <c r="DO198" s="169" t="s">
        <v>1280</v>
      </c>
      <c r="DP198" s="169" t="s">
        <v>1280</v>
      </c>
      <c r="DQ198" s="169" t="s">
        <v>1280</v>
      </c>
      <c r="DR198" s="169" t="s">
        <v>1280</v>
      </c>
      <c r="DS198" s="169" t="s">
        <v>1280</v>
      </c>
      <c r="DT198" s="169" t="s">
        <v>1280</v>
      </c>
    </row>
    <row r="199" spans="2:124" x14ac:dyDescent="0.3">
      <c r="B199">
        <f>'IMPORT SCHLIESSERDATEN'!B198</f>
        <v>0</v>
      </c>
      <c r="D199" s="169" t="s">
        <v>1280</v>
      </c>
      <c r="E199" s="169" t="s">
        <v>1280</v>
      </c>
      <c r="F199" s="169" t="s">
        <v>1280</v>
      </c>
      <c r="G199" s="169" t="s">
        <v>1280</v>
      </c>
      <c r="H199" s="169" t="s">
        <v>1280</v>
      </c>
      <c r="I199" s="169" t="s">
        <v>1280</v>
      </c>
      <c r="J199" s="169" t="s">
        <v>1280</v>
      </c>
      <c r="K199" s="169" t="s">
        <v>1280</v>
      </c>
      <c r="L199" s="169" t="s">
        <v>1280</v>
      </c>
      <c r="M199" s="169" t="s">
        <v>1280</v>
      </c>
      <c r="N199" s="169" t="s">
        <v>1280</v>
      </c>
      <c r="O199" s="169" t="s">
        <v>1280</v>
      </c>
      <c r="P199" s="169" t="s">
        <v>1280</v>
      </c>
      <c r="Q199" s="169" t="s">
        <v>1280</v>
      </c>
      <c r="R199" s="169" t="s">
        <v>1280</v>
      </c>
      <c r="S199" s="169" t="s">
        <v>1280</v>
      </c>
      <c r="T199" s="169" t="s">
        <v>1280</v>
      </c>
      <c r="U199" s="169" t="s">
        <v>1280</v>
      </c>
      <c r="V199" s="169" t="s">
        <v>1280</v>
      </c>
      <c r="W199" s="169" t="s">
        <v>1280</v>
      </c>
      <c r="X199" s="169" t="s">
        <v>1280</v>
      </c>
      <c r="Y199" s="169" t="s">
        <v>1280</v>
      </c>
      <c r="Z199" s="169" t="s">
        <v>1280</v>
      </c>
      <c r="AA199" s="169" t="s">
        <v>1280</v>
      </c>
      <c r="AB199" s="169" t="s">
        <v>1280</v>
      </c>
      <c r="AC199" s="169" t="s">
        <v>1280</v>
      </c>
      <c r="AD199" s="169" t="s">
        <v>1280</v>
      </c>
      <c r="AE199" s="169" t="s">
        <v>1280</v>
      </c>
      <c r="AF199" s="169" t="s">
        <v>1280</v>
      </c>
      <c r="AG199" s="169" t="s">
        <v>1280</v>
      </c>
      <c r="AH199" s="169" t="s">
        <v>1280</v>
      </c>
      <c r="AI199" s="169" t="s">
        <v>1280</v>
      </c>
      <c r="AJ199" s="169" t="s">
        <v>1280</v>
      </c>
      <c r="AK199" s="169" t="s">
        <v>1280</v>
      </c>
      <c r="AL199" s="169" t="s">
        <v>1280</v>
      </c>
      <c r="AM199" s="169" t="s">
        <v>1280</v>
      </c>
      <c r="AN199" s="169" t="s">
        <v>1280</v>
      </c>
      <c r="AO199" s="169" t="s">
        <v>1280</v>
      </c>
      <c r="AP199" s="169" t="s">
        <v>1280</v>
      </c>
      <c r="AQ199" s="169" t="s">
        <v>1280</v>
      </c>
      <c r="AR199" s="169" t="s">
        <v>1280</v>
      </c>
      <c r="AS199" s="169" t="s">
        <v>1280</v>
      </c>
      <c r="AT199" s="169" t="s">
        <v>1280</v>
      </c>
      <c r="AU199" s="169" t="s">
        <v>1280</v>
      </c>
      <c r="AV199" s="169" t="s">
        <v>1280</v>
      </c>
      <c r="AW199" s="169" t="s">
        <v>1280</v>
      </c>
      <c r="AX199" s="169" t="s">
        <v>1280</v>
      </c>
      <c r="AY199" s="169" t="s">
        <v>1280</v>
      </c>
      <c r="AZ199" s="169" t="s">
        <v>1280</v>
      </c>
      <c r="BA199" s="169" t="s">
        <v>1280</v>
      </c>
      <c r="BB199" s="169" t="s">
        <v>1280</v>
      </c>
      <c r="BC199" s="169" t="s">
        <v>1280</v>
      </c>
      <c r="BD199" s="169" t="s">
        <v>1280</v>
      </c>
      <c r="BE199" s="169" t="s">
        <v>1280</v>
      </c>
      <c r="BF199" s="169" t="s">
        <v>1280</v>
      </c>
      <c r="BG199" s="169" t="s">
        <v>1280</v>
      </c>
      <c r="BH199" s="169" t="s">
        <v>1280</v>
      </c>
      <c r="BI199" s="169" t="s">
        <v>1280</v>
      </c>
      <c r="BJ199" s="169" t="s">
        <v>1280</v>
      </c>
      <c r="BK199" s="169" t="s">
        <v>1280</v>
      </c>
      <c r="BL199" s="169" t="s">
        <v>1280</v>
      </c>
      <c r="BM199" s="169" t="s">
        <v>1280</v>
      </c>
      <c r="BN199" s="169" t="s">
        <v>1280</v>
      </c>
      <c r="BO199" s="169" t="s">
        <v>1280</v>
      </c>
      <c r="BP199" s="169" t="s">
        <v>1280</v>
      </c>
      <c r="BQ199" s="169" t="s">
        <v>1280</v>
      </c>
      <c r="BR199" s="169" t="s">
        <v>1280</v>
      </c>
      <c r="BS199" s="169" t="s">
        <v>1280</v>
      </c>
      <c r="BT199" s="169" t="s">
        <v>1280</v>
      </c>
      <c r="BU199" s="169" t="s">
        <v>1280</v>
      </c>
      <c r="BV199" s="169" t="s">
        <v>1280</v>
      </c>
      <c r="BW199" s="169" t="s">
        <v>1280</v>
      </c>
      <c r="BX199" s="169" t="s">
        <v>1280</v>
      </c>
      <c r="BY199" s="169" t="s">
        <v>1280</v>
      </c>
      <c r="BZ199" s="169" t="s">
        <v>1280</v>
      </c>
      <c r="CA199" s="169" t="s">
        <v>1280</v>
      </c>
      <c r="CB199" s="169" t="s">
        <v>1280</v>
      </c>
      <c r="CC199" s="169" t="s">
        <v>1280</v>
      </c>
      <c r="CD199" s="169" t="s">
        <v>1280</v>
      </c>
      <c r="CE199" s="169" t="s">
        <v>1280</v>
      </c>
      <c r="CF199" s="169" t="s">
        <v>1280</v>
      </c>
      <c r="CG199" s="169" t="s">
        <v>1280</v>
      </c>
      <c r="CH199" s="169" t="s">
        <v>1280</v>
      </c>
      <c r="CI199" s="169" t="s">
        <v>1280</v>
      </c>
      <c r="CJ199" s="169" t="s">
        <v>1280</v>
      </c>
      <c r="CK199" s="169" t="s">
        <v>1280</v>
      </c>
      <c r="CL199" s="169" t="s">
        <v>1280</v>
      </c>
      <c r="CM199" s="169" t="s">
        <v>1280</v>
      </c>
      <c r="CN199" s="169" t="s">
        <v>1280</v>
      </c>
      <c r="CO199" s="169" t="s">
        <v>1280</v>
      </c>
      <c r="CP199" s="169" t="s">
        <v>1280</v>
      </c>
      <c r="CQ199" s="169" t="s">
        <v>1280</v>
      </c>
      <c r="CR199" s="169" t="s">
        <v>1280</v>
      </c>
      <c r="CS199" s="169" t="s">
        <v>1280</v>
      </c>
      <c r="CT199" s="169" t="s">
        <v>1280</v>
      </c>
      <c r="CU199" s="169" t="s">
        <v>1280</v>
      </c>
      <c r="CV199" s="169" t="s">
        <v>1280</v>
      </c>
      <c r="CW199" s="169" t="s">
        <v>1280</v>
      </c>
      <c r="CX199" s="169" t="s">
        <v>1280</v>
      </c>
      <c r="CY199" s="169" t="s">
        <v>1280</v>
      </c>
      <c r="CZ199" s="169" t="s">
        <v>1280</v>
      </c>
      <c r="DA199" s="169" t="s">
        <v>1280</v>
      </c>
      <c r="DB199" s="169" t="s">
        <v>1280</v>
      </c>
      <c r="DC199" s="169" t="s">
        <v>1280</v>
      </c>
      <c r="DD199" s="169" t="s">
        <v>1280</v>
      </c>
      <c r="DE199" s="169" t="s">
        <v>1280</v>
      </c>
      <c r="DF199" s="169" t="s">
        <v>1280</v>
      </c>
      <c r="DG199" s="169" t="s">
        <v>1280</v>
      </c>
      <c r="DH199" s="169" t="s">
        <v>1280</v>
      </c>
      <c r="DI199" s="169" t="s">
        <v>1280</v>
      </c>
      <c r="DJ199" s="169" t="s">
        <v>1280</v>
      </c>
      <c r="DK199" s="169" t="s">
        <v>1280</v>
      </c>
      <c r="DL199" s="169" t="s">
        <v>1280</v>
      </c>
      <c r="DM199" s="169" t="s">
        <v>1280</v>
      </c>
      <c r="DN199" s="169" t="s">
        <v>1280</v>
      </c>
      <c r="DO199" s="169" t="s">
        <v>1280</v>
      </c>
      <c r="DP199" s="169" t="s">
        <v>1280</v>
      </c>
      <c r="DQ199" s="169" t="s">
        <v>1280</v>
      </c>
      <c r="DR199" s="169" t="s">
        <v>1280</v>
      </c>
      <c r="DS199" s="169" t="s">
        <v>1280</v>
      </c>
      <c r="DT199" s="169" t="s">
        <v>1280</v>
      </c>
    </row>
    <row r="200" spans="2:124" x14ac:dyDescent="0.3">
      <c r="B200">
        <f>'IMPORT SCHLIESSERDATEN'!B199</f>
        <v>0</v>
      </c>
      <c r="D200" s="169" t="s">
        <v>1280</v>
      </c>
      <c r="E200" s="169" t="s">
        <v>1280</v>
      </c>
      <c r="F200" s="169" t="s">
        <v>1280</v>
      </c>
      <c r="G200" s="169" t="s">
        <v>1280</v>
      </c>
      <c r="H200" s="169" t="s">
        <v>1280</v>
      </c>
      <c r="I200" s="169" t="s">
        <v>1280</v>
      </c>
      <c r="J200" s="169" t="s">
        <v>1280</v>
      </c>
      <c r="K200" s="169" t="s">
        <v>1280</v>
      </c>
      <c r="L200" s="169" t="s">
        <v>1280</v>
      </c>
      <c r="M200" s="169" t="s">
        <v>1280</v>
      </c>
      <c r="N200" s="169" t="s">
        <v>1280</v>
      </c>
      <c r="O200" s="169" t="s">
        <v>1280</v>
      </c>
      <c r="P200" s="169" t="s">
        <v>1280</v>
      </c>
      <c r="Q200" s="169" t="s">
        <v>1280</v>
      </c>
      <c r="R200" s="169" t="s">
        <v>1280</v>
      </c>
      <c r="S200" s="169" t="s">
        <v>1280</v>
      </c>
      <c r="T200" s="169" t="s">
        <v>1280</v>
      </c>
      <c r="U200" s="169" t="s">
        <v>1280</v>
      </c>
      <c r="V200" s="169" t="s">
        <v>1280</v>
      </c>
      <c r="W200" s="169" t="s">
        <v>1280</v>
      </c>
      <c r="X200" s="169" t="s">
        <v>1280</v>
      </c>
      <c r="Y200" s="169" t="s">
        <v>1280</v>
      </c>
      <c r="Z200" s="169" t="s">
        <v>1280</v>
      </c>
      <c r="AA200" s="169" t="s">
        <v>1280</v>
      </c>
      <c r="AB200" s="169" t="s">
        <v>1280</v>
      </c>
      <c r="AC200" s="169" t="s">
        <v>1280</v>
      </c>
      <c r="AD200" s="169" t="s">
        <v>1280</v>
      </c>
      <c r="AE200" s="169" t="s">
        <v>1280</v>
      </c>
      <c r="AF200" s="169" t="s">
        <v>1280</v>
      </c>
      <c r="AG200" s="169" t="s">
        <v>1280</v>
      </c>
      <c r="AH200" s="169" t="s">
        <v>1280</v>
      </c>
      <c r="AI200" s="169" t="s">
        <v>1280</v>
      </c>
      <c r="AJ200" s="169" t="s">
        <v>1280</v>
      </c>
      <c r="AK200" s="169" t="s">
        <v>1280</v>
      </c>
      <c r="AL200" s="169" t="s">
        <v>1280</v>
      </c>
      <c r="AM200" s="169" t="s">
        <v>1280</v>
      </c>
      <c r="AN200" s="169" t="s">
        <v>1280</v>
      </c>
      <c r="AO200" s="169" t="s">
        <v>1280</v>
      </c>
      <c r="AP200" s="169" t="s">
        <v>1280</v>
      </c>
      <c r="AQ200" s="169" t="s">
        <v>1280</v>
      </c>
      <c r="AR200" s="169" t="s">
        <v>1280</v>
      </c>
      <c r="AS200" s="169" t="s">
        <v>1280</v>
      </c>
      <c r="AT200" s="169" t="s">
        <v>1280</v>
      </c>
      <c r="AU200" s="169" t="s">
        <v>1280</v>
      </c>
      <c r="AV200" s="169" t="s">
        <v>1280</v>
      </c>
      <c r="AW200" s="169" t="s">
        <v>1280</v>
      </c>
      <c r="AX200" s="169" t="s">
        <v>1280</v>
      </c>
      <c r="AY200" s="169" t="s">
        <v>1280</v>
      </c>
      <c r="AZ200" s="169" t="s">
        <v>1280</v>
      </c>
      <c r="BA200" s="169" t="s">
        <v>1280</v>
      </c>
      <c r="BB200" s="169" t="s">
        <v>1280</v>
      </c>
      <c r="BC200" s="169" t="s">
        <v>1280</v>
      </c>
      <c r="BD200" s="169" t="s">
        <v>1280</v>
      </c>
      <c r="BE200" s="169" t="s">
        <v>1280</v>
      </c>
      <c r="BF200" s="169" t="s">
        <v>1280</v>
      </c>
      <c r="BG200" s="169" t="s">
        <v>1280</v>
      </c>
      <c r="BH200" s="169" t="s">
        <v>1280</v>
      </c>
      <c r="BI200" s="169" t="s">
        <v>1280</v>
      </c>
      <c r="BJ200" s="169" t="s">
        <v>1280</v>
      </c>
      <c r="BK200" s="169" t="s">
        <v>1280</v>
      </c>
      <c r="BL200" s="169" t="s">
        <v>1280</v>
      </c>
      <c r="BM200" s="169" t="s">
        <v>1280</v>
      </c>
      <c r="BN200" s="169" t="s">
        <v>1280</v>
      </c>
      <c r="BO200" s="169" t="s">
        <v>1280</v>
      </c>
      <c r="BP200" s="169" t="s">
        <v>1280</v>
      </c>
      <c r="BQ200" s="169" t="s">
        <v>1280</v>
      </c>
      <c r="BR200" s="169" t="s">
        <v>1280</v>
      </c>
      <c r="BS200" s="169" t="s">
        <v>1280</v>
      </c>
      <c r="BT200" s="169" t="s">
        <v>1280</v>
      </c>
      <c r="BU200" s="169" t="s">
        <v>1280</v>
      </c>
      <c r="BV200" s="169" t="s">
        <v>1280</v>
      </c>
      <c r="BW200" s="169" t="s">
        <v>1280</v>
      </c>
      <c r="BX200" s="169" t="s">
        <v>1280</v>
      </c>
      <c r="BY200" s="169" t="s">
        <v>1280</v>
      </c>
      <c r="BZ200" s="169" t="s">
        <v>1280</v>
      </c>
      <c r="CA200" s="169" t="s">
        <v>1280</v>
      </c>
      <c r="CB200" s="169" t="s">
        <v>1280</v>
      </c>
      <c r="CC200" s="169" t="s">
        <v>1280</v>
      </c>
      <c r="CD200" s="169" t="s">
        <v>1280</v>
      </c>
      <c r="CE200" s="169" t="s">
        <v>1280</v>
      </c>
      <c r="CF200" s="169" t="s">
        <v>1280</v>
      </c>
      <c r="CG200" s="169" t="s">
        <v>1280</v>
      </c>
      <c r="CH200" s="169" t="s">
        <v>1280</v>
      </c>
      <c r="CI200" s="169" t="s">
        <v>1280</v>
      </c>
      <c r="CJ200" s="169" t="s">
        <v>1280</v>
      </c>
      <c r="CK200" s="169" t="s">
        <v>1280</v>
      </c>
      <c r="CL200" s="169" t="s">
        <v>1280</v>
      </c>
      <c r="CM200" s="169" t="s">
        <v>1280</v>
      </c>
      <c r="CN200" s="169" t="s">
        <v>1280</v>
      </c>
      <c r="CO200" s="169" t="s">
        <v>1280</v>
      </c>
      <c r="CP200" s="169" t="s">
        <v>1280</v>
      </c>
      <c r="CQ200" s="169" t="s">
        <v>1280</v>
      </c>
      <c r="CR200" s="169" t="s">
        <v>1280</v>
      </c>
      <c r="CS200" s="169" t="s">
        <v>1280</v>
      </c>
      <c r="CT200" s="169" t="s">
        <v>1280</v>
      </c>
      <c r="CU200" s="169" t="s">
        <v>1280</v>
      </c>
      <c r="CV200" s="169" t="s">
        <v>1280</v>
      </c>
      <c r="CW200" s="169" t="s">
        <v>1280</v>
      </c>
      <c r="CX200" s="169" t="s">
        <v>1280</v>
      </c>
      <c r="CY200" s="169" t="s">
        <v>1280</v>
      </c>
      <c r="CZ200" s="169" t="s">
        <v>1280</v>
      </c>
      <c r="DA200" s="169" t="s">
        <v>1280</v>
      </c>
      <c r="DB200" s="169" t="s">
        <v>1280</v>
      </c>
      <c r="DC200" s="169" t="s">
        <v>1280</v>
      </c>
      <c r="DD200" s="169" t="s">
        <v>1280</v>
      </c>
      <c r="DE200" s="169" t="s">
        <v>1280</v>
      </c>
      <c r="DF200" s="169" t="s">
        <v>1280</v>
      </c>
      <c r="DG200" s="169" t="s">
        <v>1280</v>
      </c>
      <c r="DH200" s="169" t="s">
        <v>1280</v>
      </c>
      <c r="DI200" s="169" t="s">
        <v>1280</v>
      </c>
      <c r="DJ200" s="169" t="s">
        <v>1280</v>
      </c>
      <c r="DK200" s="169" t="s">
        <v>1280</v>
      </c>
      <c r="DL200" s="169" t="s">
        <v>1280</v>
      </c>
      <c r="DM200" s="169" t="s">
        <v>1280</v>
      </c>
      <c r="DN200" s="169" t="s">
        <v>1280</v>
      </c>
      <c r="DO200" s="169" t="s">
        <v>1280</v>
      </c>
      <c r="DP200" s="169" t="s">
        <v>1280</v>
      </c>
      <c r="DQ200" s="169" t="s">
        <v>1280</v>
      </c>
      <c r="DR200" s="169" t="s">
        <v>1280</v>
      </c>
      <c r="DS200" s="169" t="s">
        <v>1280</v>
      </c>
      <c r="DT200" s="169" t="s">
        <v>1280</v>
      </c>
    </row>
    <row r="201" spans="2:124" x14ac:dyDescent="0.3">
      <c r="B201">
        <f>'IMPORT SCHLIESSERDATEN'!B200</f>
        <v>0</v>
      </c>
      <c r="D201" t="s">
        <v>1280</v>
      </c>
      <c r="E201" t="s">
        <v>1280</v>
      </c>
      <c r="F201" t="s">
        <v>1280</v>
      </c>
      <c r="G201" t="s">
        <v>1280</v>
      </c>
      <c r="H201" t="s">
        <v>1280</v>
      </c>
      <c r="I201" t="s">
        <v>1280</v>
      </c>
      <c r="J201" t="s">
        <v>1280</v>
      </c>
      <c r="K201" t="s">
        <v>1280</v>
      </c>
      <c r="L201" t="s">
        <v>1280</v>
      </c>
      <c r="M201" t="s">
        <v>1280</v>
      </c>
      <c r="N201" t="s">
        <v>1280</v>
      </c>
      <c r="O201" t="s">
        <v>1280</v>
      </c>
      <c r="P201" t="s">
        <v>1280</v>
      </c>
      <c r="Q201" t="s">
        <v>1280</v>
      </c>
      <c r="R201" t="s">
        <v>1280</v>
      </c>
      <c r="S201" t="s">
        <v>1280</v>
      </c>
      <c r="T201" t="s">
        <v>1280</v>
      </c>
      <c r="U201" t="s">
        <v>1280</v>
      </c>
      <c r="V201" t="s">
        <v>1280</v>
      </c>
      <c r="W201" t="s">
        <v>1280</v>
      </c>
      <c r="X201" t="s">
        <v>1280</v>
      </c>
      <c r="Y201" t="s">
        <v>1280</v>
      </c>
      <c r="Z201" t="s">
        <v>1280</v>
      </c>
      <c r="AA201" t="s">
        <v>1280</v>
      </c>
      <c r="AB201" t="s">
        <v>1280</v>
      </c>
      <c r="AC201" t="s">
        <v>1280</v>
      </c>
      <c r="AD201" t="s">
        <v>1280</v>
      </c>
      <c r="AE201" t="s">
        <v>1280</v>
      </c>
      <c r="AF201" t="s">
        <v>1280</v>
      </c>
      <c r="AG201" t="s">
        <v>1280</v>
      </c>
      <c r="AH201" t="s">
        <v>1280</v>
      </c>
      <c r="AI201" t="s">
        <v>1280</v>
      </c>
      <c r="AJ201" t="s">
        <v>1280</v>
      </c>
      <c r="AK201" t="s">
        <v>1280</v>
      </c>
      <c r="AL201" t="s">
        <v>1280</v>
      </c>
      <c r="AM201" t="s">
        <v>1280</v>
      </c>
      <c r="AN201" t="s">
        <v>1280</v>
      </c>
      <c r="AO201" t="s">
        <v>1280</v>
      </c>
      <c r="AP201" t="s">
        <v>1280</v>
      </c>
      <c r="AQ201" t="s">
        <v>1280</v>
      </c>
      <c r="AR201" t="s">
        <v>1280</v>
      </c>
      <c r="AS201" t="s">
        <v>1280</v>
      </c>
      <c r="AT201" t="s">
        <v>1280</v>
      </c>
      <c r="AU201" t="s">
        <v>1280</v>
      </c>
      <c r="AV201" t="s">
        <v>1280</v>
      </c>
      <c r="AW201" t="s">
        <v>1280</v>
      </c>
      <c r="AX201" t="s">
        <v>1280</v>
      </c>
      <c r="AY201" t="s">
        <v>1280</v>
      </c>
      <c r="AZ201" t="s">
        <v>1280</v>
      </c>
      <c r="BA201" t="s">
        <v>1280</v>
      </c>
      <c r="BB201" t="s">
        <v>1280</v>
      </c>
      <c r="BC201" t="s">
        <v>1280</v>
      </c>
      <c r="BD201" t="s">
        <v>1280</v>
      </c>
      <c r="BE201" t="s">
        <v>1280</v>
      </c>
      <c r="BF201" t="s">
        <v>1280</v>
      </c>
      <c r="BG201" t="s">
        <v>1280</v>
      </c>
      <c r="BH201" t="s">
        <v>1280</v>
      </c>
      <c r="BI201" t="s">
        <v>1280</v>
      </c>
      <c r="BJ201" t="s">
        <v>1280</v>
      </c>
      <c r="BK201" t="s">
        <v>1280</v>
      </c>
      <c r="BL201" t="s">
        <v>1280</v>
      </c>
      <c r="BM201" t="s">
        <v>1280</v>
      </c>
      <c r="BN201" t="s">
        <v>1280</v>
      </c>
      <c r="BO201" t="s">
        <v>1280</v>
      </c>
      <c r="BP201" t="s">
        <v>1280</v>
      </c>
      <c r="BQ201" t="s">
        <v>1280</v>
      </c>
      <c r="BR201" t="s">
        <v>1280</v>
      </c>
      <c r="BS201" t="s">
        <v>1280</v>
      </c>
      <c r="BT201" t="s">
        <v>1280</v>
      </c>
      <c r="BU201" t="s">
        <v>1280</v>
      </c>
      <c r="BV201" t="s">
        <v>1280</v>
      </c>
      <c r="BW201" t="s">
        <v>1280</v>
      </c>
      <c r="BX201" t="s">
        <v>1280</v>
      </c>
      <c r="BY201" t="s">
        <v>1280</v>
      </c>
      <c r="BZ201" t="s">
        <v>1280</v>
      </c>
      <c r="CA201" t="s">
        <v>1280</v>
      </c>
      <c r="CB201" t="s">
        <v>1280</v>
      </c>
      <c r="CC201" t="s">
        <v>1280</v>
      </c>
      <c r="CD201" s="169" t="s">
        <v>1280</v>
      </c>
      <c r="CE201" s="169" t="s">
        <v>1280</v>
      </c>
      <c r="CF201" s="169" t="s">
        <v>1280</v>
      </c>
      <c r="CG201" s="169" t="s">
        <v>1280</v>
      </c>
      <c r="CH201" s="169" t="s">
        <v>1280</v>
      </c>
      <c r="CI201" s="169" t="s">
        <v>1280</v>
      </c>
      <c r="CJ201" s="169" t="s">
        <v>1280</v>
      </c>
      <c r="CK201" s="169" t="s">
        <v>1280</v>
      </c>
      <c r="CL201" s="169" t="s">
        <v>1280</v>
      </c>
      <c r="CM201" s="169" t="s">
        <v>1280</v>
      </c>
      <c r="CN201" s="169" t="s">
        <v>1280</v>
      </c>
      <c r="CO201" s="169" t="s">
        <v>1280</v>
      </c>
      <c r="CP201" s="169" t="s">
        <v>1280</v>
      </c>
      <c r="CQ201" s="169" t="s">
        <v>1280</v>
      </c>
      <c r="CR201" s="169" t="s">
        <v>1280</v>
      </c>
      <c r="CS201" s="169" t="s">
        <v>1280</v>
      </c>
      <c r="CT201" s="169" t="s">
        <v>1280</v>
      </c>
      <c r="CU201" s="169" t="s">
        <v>1280</v>
      </c>
      <c r="CV201" s="169" t="s">
        <v>1280</v>
      </c>
      <c r="CW201" s="169" t="s">
        <v>1280</v>
      </c>
      <c r="CX201" s="169" t="s">
        <v>1280</v>
      </c>
      <c r="CY201" s="169" t="s">
        <v>1280</v>
      </c>
      <c r="CZ201" s="169" t="s">
        <v>1280</v>
      </c>
      <c r="DA201" s="169" t="s">
        <v>1280</v>
      </c>
      <c r="DB201" s="169" t="s">
        <v>1280</v>
      </c>
      <c r="DC201" s="169" t="s">
        <v>1280</v>
      </c>
      <c r="DD201" s="169" t="s">
        <v>1280</v>
      </c>
      <c r="DE201" s="169" t="s">
        <v>1280</v>
      </c>
      <c r="DF201" s="169" t="s">
        <v>1280</v>
      </c>
      <c r="DG201" s="169" t="s">
        <v>1280</v>
      </c>
      <c r="DH201" s="169" t="s">
        <v>1280</v>
      </c>
      <c r="DI201" s="169" t="s">
        <v>1280</v>
      </c>
      <c r="DJ201" s="169" t="s">
        <v>1280</v>
      </c>
      <c r="DK201" s="169" t="s">
        <v>1280</v>
      </c>
      <c r="DL201" s="169" t="s">
        <v>1280</v>
      </c>
      <c r="DM201" s="169" t="s">
        <v>1280</v>
      </c>
      <c r="DN201" s="169" t="s">
        <v>1280</v>
      </c>
      <c r="DO201" s="169" t="s">
        <v>1280</v>
      </c>
      <c r="DP201" s="169" t="s">
        <v>1280</v>
      </c>
      <c r="DQ201" s="169" t="s">
        <v>1280</v>
      </c>
      <c r="DR201" s="169" t="s">
        <v>1280</v>
      </c>
      <c r="DS201" s="169" t="s">
        <v>1280</v>
      </c>
      <c r="DT201" s="169" t="s">
        <v>1280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Y452"/>
  <sheetViews>
    <sheetView workbookViewId="0"/>
  </sheetViews>
  <sheetFormatPr baseColWidth="10" defaultRowHeight="14.4" x14ac:dyDescent="0.3"/>
  <sheetData>
    <row r="1" spans="1:25" ht="82.8" x14ac:dyDescent="0.3">
      <c r="A1" s="170"/>
      <c r="B1" s="170"/>
      <c r="C1" s="170"/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1038</v>
      </c>
      <c r="O1" s="40" t="s">
        <v>74</v>
      </c>
      <c r="P1" s="37" t="s">
        <v>75</v>
      </c>
      <c r="Q1" s="37" t="s">
        <v>76</v>
      </c>
      <c r="R1" s="37" t="s">
        <v>105</v>
      </c>
      <c r="S1" s="37" t="s">
        <v>108</v>
      </c>
      <c r="T1" s="37" t="s">
        <v>109</v>
      </c>
      <c r="U1" s="37" t="s">
        <v>77</v>
      </c>
      <c r="V1" s="32" t="s">
        <v>1039</v>
      </c>
      <c r="W1" s="32" t="s">
        <v>1040</v>
      </c>
      <c r="X1" s="32" t="s">
        <v>1041</v>
      </c>
      <c r="Y1" s="32" t="s">
        <v>78</v>
      </c>
    </row>
    <row r="2" spans="1:25" x14ac:dyDescent="0.3">
      <c r="A2" s="171" t="s">
        <v>65</v>
      </c>
      <c r="B2" s="171">
        <v>1</v>
      </c>
      <c r="C2" s="171">
        <v>2</v>
      </c>
      <c r="D2" s="171"/>
      <c r="E2" s="171"/>
      <c r="F2" s="171"/>
      <c r="G2" s="171"/>
      <c r="H2" s="171"/>
      <c r="I2" s="171"/>
      <c r="J2" s="171"/>
      <c r="K2" s="171">
        <v>5</v>
      </c>
      <c r="L2" s="171" t="s">
        <v>21</v>
      </c>
      <c r="M2" s="171">
        <v>4</v>
      </c>
      <c r="N2" s="171"/>
      <c r="O2" s="171">
        <v>7</v>
      </c>
      <c r="P2" s="171">
        <v>6</v>
      </c>
      <c r="Q2" s="171" t="s">
        <v>9</v>
      </c>
      <c r="R2" s="171" t="s">
        <v>102</v>
      </c>
      <c r="S2" s="171" t="s">
        <v>111</v>
      </c>
      <c r="T2" s="171">
        <v>10</v>
      </c>
      <c r="U2" s="171">
        <v>9</v>
      </c>
      <c r="V2" s="171">
        <v>4</v>
      </c>
      <c r="W2" s="171"/>
      <c r="X2" s="171"/>
      <c r="Y2" s="171">
        <v>8</v>
      </c>
    </row>
    <row r="3" spans="1:25" x14ac:dyDescent="0.3">
      <c r="A3" s="172">
        <f t="shared" ref="A3:A66" si="0">ROW()-ROW($A$2)</f>
        <v>1</v>
      </c>
      <c r="B3" s="173" t="str">
        <f t="shared" ref="B3:K12" si="1">IF(ISNONTEXT(B$2),IF(B$2="","",IF(INDEX(IMPORT,$A3,B$2)=0,"",IFERROR(VLOOKUP(INDEX(IMPORT,$A3,B$2),ImportTranslation,2,0),INDEX(IMPORT,$A3,B$2)))),B$2)</f>
        <v/>
      </c>
      <c r="C3" s="173" t="str">
        <f t="shared" si="1"/>
        <v/>
      </c>
      <c r="D3" s="173" t="str">
        <f t="shared" si="1"/>
        <v/>
      </c>
      <c r="E3" s="173" t="str">
        <f t="shared" si="1"/>
        <v/>
      </c>
      <c r="F3" s="173" t="str">
        <f t="shared" si="1"/>
        <v/>
      </c>
      <c r="G3" s="173" t="str">
        <f t="shared" si="1"/>
        <v/>
      </c>
      <c r="H3" s="173" t="str">
        <f t="shared" si="1"/>
        <v/>
      </c>
      <c r="I3" s="173" t="str">
        <f t="shared" si="1"/>
        <v/>
      </c>
      <c r="J3" s="173" t="str">
        <f t="shared" si="1"/>
        <v/>
      </c>
      <c r="K3" s="173" t="str">
        <f t="shared" si="1"/>
        <v/>
      </c>
      <c r="L3" s="173" t="str">
        <f t="shared" ref="L3:Y12" si="2">IF(ISNONTEXT(L$2),IF(L$2="","",IF(INDEX(IMPORT,$A3,L$2)=0,"",IFERROR(VLOOKUP(INDEX(IMPORT,$A3,L$2),ImportTranslation,2,0),INDEX(IMPORT,$A3,L$2)))),L$2)</f>
        <v>info</v>
      </c>
      <c r="M3" s="173" t="str">
        <f t="shared" si="2"/>
        <v/>
      </c>
      <c r="N3" s="173" t="str">
        <f t="shared" si="2"/>
        <v/>
      </c>
      <c r="O3" s="173" t="str">
        <f t="shared" si="2"/>
        <v/>
      </c>
      <c r="P3" s="174" t="str">
        <f t="shared" si="2"/>
        <v/>
      </c>
      <c r="Q3" s="174" t="str">
        <f t="shared" si="2"/>
        <v>x</v>
      </c>
      <c r="R3" s="174" t="str">
        <f t="shared" si="2"/>
        <v>BS</v>
      </c>
      <c r="S3" s="174" t="str">
        <f t="shared" si="2"/>
        <v>all</v>
      </c>
      <c r="T3" s="173" t="str">
        <f t="shared" si="2"/>
        <v/>
      </c>
      <c r="U3" s="173" t="str">
        <f t="shared" si="2"/>
        <v/>
      </c>
      <c r="V3" s="173" t="str">
        <f t="shared" si="2"/>
        <v/>
      </c>
      <c r="W3" s="173" t="str">
        <f t="shared" si="2"/>
        <v/>
      </c>
      <c r="X3" s="173" t="str">
        <f t="shared" si="2"/>
        <v/>
      </c>
      <c r="Y3" s="173" t="str">
        <f t="shared" si="2"/>
        <v/>
      </c>
    </row>
    <row r="4" spans="1:25" x14ac:dyDescent="0.3">
      <c r="A4" s="172">
        <f t="shared" si="0"/>
        <v>2</v>
      </c>
      <c r="B4" s="173" t="str">
        <f t="shared" si="1"/>
        <v/>
      </c>
      <c r="C4" s="173" t="str">
        <f t="shared" si="1"/>
        <v/>
      </c>
      <c r="D4" s="173" t="str">
        <f t="shared" si="1"/>
        <v/>
      </c>
      <c r="E4" s="173" t="str">
        <f t="shared" si="1"/>
        <v/>
      </c>
      <c r="F4" s="173" t="str">
        <f t="shared" si="1"/>
        <v/>
      </c>
      <c r="G4" s="173" t="str">
        <f t="shared" si="1"/>
        <v/>
      </c>
      <c r="H4" s="173" t="str">
        <f t="shared" si="1"/>
        <v/>
      </c>
      <c r="I4" s="173" t="str">
        <f t="shared" si="1"/>
        <v/>
      </c>
      <c r="J4" s="173" t="str">
        <f t="shared" si="1"/>
        <v/>
      </c>
      <c r="K4" s="173" t="str">
        <f t="shared" si="1"/>
        <v/>
      </c>
      <c r="L4" s="173" t="str">
        <f t="shared" si="2"/>
        <v>info</v>
      </c>
      <c r="M4" s="173" t="str">
        <f t="shared" si="2"/>
        <v/>
      </c>
      <c r="N4" s="173" t="str">
        <f t="shared" si="2"/>
        <v/>
      </c>
      <c r="O4" s="173" t="str">
        <f t="shared" si="2"/>
        <v/>
      </c>
      <c r="P4" s="174" t="str">
        <f t="shared" si="2"/>
        <v/>
      </c>
      <c r="Q4" s="174" t="str">
        <f t="shared" si="2"/>
        <v>x</v>
      </c>
      <c r="R4" s="174" t="str">
        <f t="shared" si="2"/>
        <v>BS</v>
      </c>
      <c r="S4" s="174" t="str">
        <f t="shared" si="2"/>
        <v>all</v>
      </c>
      <c r="T4" s="173" t="str">
        <f t="shared" si="2"/>
        <v/>
      </c>
      <c r="U4" s="173" t="str">
        <f t="shared" si="2"/>
        <v/>
      </c>
      <c r="V4" s="173" t="str">
        <f t="shared" si="2"/>
        <v/>
      </c>
      <c r="W4" s="173" t="str">
        <f t="shared" si="2"/>
        <v/>
      </c>
      <c r="X4" s="173" t="str">
        <f t="shared" si="2"/>
        <v/>
      </c>
      <c r="Y4" s="173" t="str">
        <f t="shared" si="2"/>
        <v/>
      </c>
    </row>
    <row r="5" spans="1:25" x14ac:dyDescent="0.3">
      <c r="A5" s="172">
        <f t="shared" si="0"/>
        <v>3</v>
      </c>
      <c r="B5" s="173" t="str">
        <f t="shared" si="1"/>
        <v/>
      </c>
      <c r="C5" s="173" t="str">
        <f t="shared" si="1"/>
        <v/>
      </c>
      <c r="D5" s="173" t="str">
        <f t="shared" si="1"/>
        <v/>
      </c>
      <c r="E5" s="173" t="str">
        <f t="shared" si="1"/>
        <v/>
      </c>
      <c r="F5" s="173" t="str">
        <f t="shared" si="1"/>
        <v/>
      </c>
      <c r="G5" s="173" t="str">
        <f t="shared" si="1"/>
        <v/>
      </c>
      <c r="H5" s="173" t="str">
        <f t="shared" si="1"/>
        <v/>
      </c>
      <c r="I5" s="173" t="str">
        <f t="shared" si="1"/>
        <v/>
      </c>
      <c r="J5" s="173" t="str">
        <f t="shared" si="1"/>
        <v/>
      </c>
      <c r="K5" s="173" t="str">
        <f t="shared" si="1"/>
        <v/>
      </c>
      <c r="L5" s="173" t="str">
        <f t="shared" si="2"/>
        <v>info</v>
      </c>
      <c r="M5" s="173" t="str">
        <f t="shared" si="2"/>
        <v/>
      </c>
      <c r="N5" s="173" t="str">
        <f t="shared" si="2"/>
        <v/>
      </c>
      <c r="O5" s="173" t="str">
        <f t="shared" si="2"/>
        <v/>
      </c>
      <c r="P5" s="174" t="str">
        <f t="shared" si="2"/>
        <v/>
      </c>
      <c r="Q5" s="174" t="str">
        <f t="shared" si="2"/>
        <v>x</v>
      </c>
      <c r="R5" s="174" t="str">
        <f t="shared" si="2"/>
        <v>BS</v>
      </c>
      <c r="S5" s="174" t="str">
        <f t="shared" si="2"/>
        <v>all</v>
      </c>
      <c r="T5" s="173" t="str">
        <f t="shared" si="2"/>
        <v/>
      </c>
      <c r="U5" s="173" t="str">
        <f t="shared" si="2"/>
        <v/>
      </c>
      <c r="V5" s="173" t="str">
        <f t="shared" si="2"/>
        <v/>
      </c>
      <c r="W5" s="173" t="str">
        <f t="shared" si="2"/>
        <v/>
      </c>
      <c r="X5" s="173" t="str">
        <f t="shared" si="2"/>
        <v/>
      </c>
      <c r="Y5" s="173" t="str">
        <f t="shared" si="2"/>
        <v/>
      </c>
    </row>
    <row r="6" spans="1:25" x14ac:dyDescent="0.3">
      <c r="A6" s="172">
        <f t="shared" si="0"/>
        <v>4</v>
      </c>
      <c r="B6" s="173" t="str">
        <f t="shared" si="1"/>
        <v/>
      </c>
      <c r="C6" s="173" t="str">
        <f t="shared" si="1"/>
        <v/>
      </c>
      <c r="D6" s="173" t="str">
        <f t="shared" si="1"/>
        <v/>
      </c>
      <c r="E6" s="173" t="str">
        <f t="shared" si="1"/>
        <v/>
      </c>
      <c r="F6" s="173" t="str">
        <f t="shared" si="1"/>
        <v/>
      </c>
      <c r="G6" s="173" t="str">
        <f t="shared" si="1"/>
        <v/>
      </c>
      <c r="H6" s="173" t="str">
        <f t="shared" si="1"/>
        <v/>
      </c>
      <c r="I6" s="173" t="str">
        <f t="shared" si="1"/>
        <v/>
      </c>
      <c r="J6" s="173" t="str">
        <f t="shared" si="1"/>
        <v/>
      </c>
      <c r="K6" s="173" t="str">
        <f t="shared" si="1"/>
        <v/>
      </c>
      <c r="L6" s="173" t="str">
        <f t="shared" si="2"/>
        <v>info</v>
      </c>
      <c r="M6" s="173" t="str">
        <f t="shared" si="2"/>
        <v/>
      </c>
      <c r="N6" s="173" t="str">
        <f t="shared" si="2"/>
        <v/>
      </c>
      <c r="O6" s="173" t="str">
        <f t="shared" si="2"/>
        <v/>
      </c>
      <c r="P6" s="174" t="str">
        <f t="shared" si="2"/>
        <v/>
      </c>
      <c r="Q6" s="174" t="str">
        <f t="shared" si="2"/>
        <v>x</v>
      </c>
      <c r="R6" s="174" t="str">
        <f t="shared" si="2"/>
        <v>BS</v>
      </c>
      <c r="S6" s="174" t="str">
        <f t="shared" si="2"/>
        <v>all</v>
      </c>
      <c r="T6" s="173" t="str">
        <f t="shared" si="2"/>
        <v/>
      </c>
      <c r="U6" s="173" t="str">
        <f t="shared" si="2"/>
        <v/>
      </c>
      <c r="V6" s="173" t="str">
        <f t="shared" si="2"/>
        <v/>
      </c>
      <c r="W6" s="173" t="str">
        <f t="shared" si="2"/>
        <v/>
      </c>
      <c r="X6" s="173" t="str">
        <f t="shared" si="2"/>
        <v/>
      </c>
      <c r="Y6" s="173" t="str">
        <f t="shared" si="2"/>
        <v/>
      </c>
    </row>
    <row r="7" spans="1:25" x14ac:dyDescent="0.3">
      <c r="A7" s="172">
        <f t="shared" si="0"/>
        <v>5</v>
      </c>
      <c r="B7" s="173" t="str">
        <f t="shared" si="1"/>
        <v/>
      </c>
      <c r="C7" s="173" t="str">
        <f t="shared" si="1"/>
        <v/>
      </c>
      <c r="D7" s="173" t="str">
        <f t="shared" si="1"/>
        <v/>
      </c>
      <c r="E7" s="173" t="str">
        <f t="shared" si="1"/>
        <v/>
      </c>
      <c r="F7" s="173" t="str">
        <f t="shared" si="1"/>
        <v/>
      </c>
      <c r="G7" s="173" t="str">
        <f t="shared" si="1"/>
        <v/>
      </c>
      <c r="H7" s="173" t="str">
        <f t="shared" si="1"/>
        <v/>
      </c>
      <c r="I7" s="173" t="str">
        <f t="shared" si="1"/>
        <v/>
      </c>
      <c r="J7" s="173" t="str">
        <f t="shared" si="1"/>
        <v/>
      </c>
      <c r="K7" s="173" t="str">
        <f t="shared" si="1"/>
        <v/>
      </c>
      <c r="L7" s="173" t="str">
        <f t="shared" si="2"/>
        <v>info</v>
      </c>
      <c r="M7" s="173" t="str">
        <f t="shared" si="2"/>
        <v/>
      </c>
      <c r="N7" s="173" t="str">
        <f t="shared" si="2"/>
        <v/>
      </c>
      <c r="O7" s="173" t="str">
        <f t="shared" si="2"/>
        <v/>
      </c>
      <c r="P7" s="174" t="str">
        <f t="shared" si="2"/>
        <v/>
      </c>
      <c r="Q7" s="174" t="str">
        <f t="shared" si="2"/>
        <v>x</v>
      </c>
      <c r="R7" s="174" t="str">
        <f t="shared" si="2"/>
        <v>BS</v>
      </c>
      <c r="S7" s="174" t="str">
        <f t="shared" si="2"/>
        <v>all</v>
      </c>
      <c r="T7" s="173" t="str">
        <f t="shared" si="2"/>
        <v/>
      </c>
      <c r="U7" s="173" t="str">
        <f t="shared" si="2"/>
        <v/>
      </c>
      <c r="V7" s="173" t="str">
        <f t="shared" si="2"/>
        <v/>
      </c>
      <c r="W7" s="173" t="str">
        <f t="shared" si="2"/>
        <v/>
      </c>
      <c r="X7" s="173" t="str">
        <f t="shared" si="2"/>
        <v/>
      </c>
      <c r="Y7" s="173" t="str">
        <f t="shared" si="2"/>
        <v/>
      </c>
    </row>
    <row r="8" spans="1:25" x14ac:dyDescent="0.3">
      <c r="A8" s="172">
        <f t="shared" si="0"/>
        <v>6</v>
      </c>
      <c r="B8" s="173" t="str">
        <f t="shared" si="1"/>
        <v/>
      </c>
      <c r="C8" s="173" t="str">
        <f t="shared" si="1"/>
        <v/>
      </c>
      <c r="D8" s="173" t="str">
        <f t="shared" si="1"/>
        <v/>
      </c>
      <c r="E8" s="173" t="str">
        <f t="shared" si="1"/>
        <v/>
      </c>
      <c r="F8" s="173" t="str">
        <f t="shared" si="1"/>
        <v/>
      </c>
      <c r="G8" s="173" t="str">
        <f t="shared" si="1"/>
        <v/>
      </c>
      <c r="H8" s="173" t="str">
        <f t="shared" si="1"/>
        <v/>
      </c>
      <c r="I8" s="173" t="str">
        <f t="shared" si="1"/>
        <v/>
      </c>
      <c r="J8" s="173" t="str">
        <f t="shared" si="1"/>
        <v/>
      </c>
      <c r="K8" s="173" t="str">
        <f t="shared" si="1"/>
        <v/>
      </c>
      <c r="L8" s="173" t="str">
        <f t="shared" si="2"/>
        <v>info</v>
      </c>
      <c r="M8" s="173" t="str">
        <f t="shared" si="2"/>
        <v/>
      </c>
      <c r="N8" s="173" t="str">
        <f t="shared" si="2"/>
        <v/>
      </c>
      <c r="O8" s="173" t="str">
        <f t="shared" si="2"/>
        <v/>
      </c>
      <c r="P8" s="174" t="str">
        <f t="shared" si="2"/>
        <v/>
      </c>
      <c r="Q8" s="174" t="str">
        <f t="shared" si="2"/>
        <v>x</v>
      </c>
      <c r="R8" s="174" t="str">
        <f t="shared" si="2"/>
        <v>BS</v>
      </c>
      <c r="S8" s="174" t="str">
        <f t="shared" si="2"/>
        <v>all</v>
      </c>
      <c r="T8" s="173" t="str">
        <f t="shared" si="2"/>
        <v/>
      </c>
      <c r="U8" s="173" t="str">
        <f t="shared" si="2"/>
        <v/>
      </c>
      <c r="V8" s="173" t="str">
        <f t="shared" si="2"/>
        <v/>
      </c>
      <c r="W8" s="173" t="str">
        <f t="shared" si="2"/>
        <v/>
      </c>
      <c r="X8" s="173" t="str">
        <f t="shared" si="2"/>
        <v/>
      </c>
      <c r="Y8" s="173" t="str">
        <f t="shared" si="2"/>
        <v/>
      </c>
    </row>
    <row r="9" spans="1:25" x14ac:dyDescent="0.3">
      <c r="A9" s="172">
        <f t="shared" si="0"/>
        <v>7</v>
      </c>
      <c r="B9" s="173" t="str">
        <f t="shared" si="1"/>
        <v/>
      </c>
      <c r="C9" s="173" t="str">
        <f t="shared" si="1"/>
        <v/>
      </c>
      <c r="D9" s="173" t="str">
        <f t="shared" si="1"/>
        <v/>
      </c>
      <c r="E9" s="173" t="str">
        <f t="shared" si="1"/>
        <v/>
      </c>
      <c r="F9" s="173" t="str">
        <f t="shared" si="1"/>
        <v/>
      </c>
      <c r="G9" s="173" t="str">
        <f t="shared" si="1"/>
        <v/>
      </c>
      <c r="H9" s="173" t="str">
        <f t="shared" si="1"/>
        <v/>
      </c>
      <c r="I9" s="173" t="str">
        <f t="shared" si="1"/>
        <v/>
      </c>
      <c r="J9" s="173" t="str">
        <f t="shared" si="1"/>
        <v/>
      </c>
      <c r="K9" s="173" t="str">
        <f t="shared" si="1"/>
        <v/>
      </c>
      <c r="L9" s="173" t="str">
        <f t="shared" si="2"/>
        <v>info</v>
      </c>
      <c r="M9" s="173" t="str">
        <f t="shared" si="2"/>
        <v/>
      </c>
      <c r="N9" s="173" t="str">
        <f t="shared" si="2"/>
        <v/>
      </c>
      <c r="O9" s="173" t="str">
        <f t="shared" si="2"/>
        <v/>
      </c>
      <c r="P9" s="174" t="str">
        <f t="shared" si="2"/>
        <v/>
      </c>
      <c r="Q9" s="174" t="str">
        <f t="shared" si="2"/>
        <v>x</v>
      </c>
      <c r="R9" s="174" t="str">
        <f t="shared" si="2"/>
        <v>BS</v>
      </c>
      <c r="S9" s="174" t="str">
        <f t="shared" si="2"/>
        <v>all</v>
      </c>
      <c r="T9" s="173" t="str">
        <f t="shared" si="2"/>
        <v/>
      </c>
      <c r="U9" s="173" t="str">
        <f t="shared" si="2"/>
        <v/>
      </c>
      <c r="V9" s="173" t="str">
        <f t="shared" si="2"/>
        <v/>
      </c>
      <c r="W9" s="173" t="str">
        <f t="shared" si="2"/>
        <v/>
      </c>
      <c r="X9" s="173" t="str">
        <f t="shared" si="2"/>
        <v/>
      </c>
      <c r="Y9" s="173" t="str">
        <f t="shared" si="2"/>
        <v/>
      </c>
    </row>
    <row r="10" spans="1:25" x14ac:dyDescent="0.3">
      <c r="A10" s="172">
        <f t="shared" si="0"/>
        <v>8</v>
      </c>
      <c r="B10" s="173" t="str">
        <f t="shared" si="1"/>
        <v/>
      </c>
      <c r="C10" s="173" t="str">
        <f t="shared" si="1"/>
        <v/>
      </c>
      <c r="D10" s="173" t="str">
        <f t="shared" si="1"/>
        <v/>
      </c>
      <c r="E10" s="173" t="str">
        <f t="shared" si="1"/>
        <v/>
      </c>
      <c r="F10" s="173" t="str">
        <f t="shared" si="1"/>
        <v/>
      </c>
      <c r="G10" s="173" t="str">
        <f t="shared" si="1"/>
        <v/>
      </c>
      <c r="H10" s="173" t="str">
        <f t="shared" si="1"/>
        <v/>
      </c>
      <c r="I10" s="173" t="str">
        <f t="shared" si="1"/>
        <v/>
      </c>
      <c r="J10" s="173" t="str">
        <f t="shared" si="1"/>
        <v/>
      </c>
      <c r="K10" s="173" t="str">
        <f t="shared" si="1"/>
        <v/>
      </c>
      <c r="L10" s="173" t="str">
        <f t="shared" si="2"/>
        <v>info</v>
      </c>
      <c r="M10" s="173" t="str">
        <f t="shared" si="2"/>
        <v/>
      </c>
      <c r="N10" s="173" t="str">
        <f t="shared" si="2"/>
        <v/>
      </c>
      <c r="O10" s="173" t="str">
        <f t="shared" si="2"/>
        <v/>
      </c>
      <c r="P10" s="174" t="str">
        <f t="shared" si="2"/>
        <v/>
      </c>
      <c r="Q10" s="174" t="str">
        <f t="shared" si="2"/>
        <v>x</v>
      </c>
      <c r="R10" s="174" t="str">
        <f t="shared" si="2"/>
        <v>BS</v>
      </c>
      <c r="S10" s="174" t="str">
        <f t="shared" si="2"/>
        <v>all</v>
      </c>
      <c r="T10" s="173" t="str">
        <f t="shared" si="2"/>
        <v/>
      </c>
      <c r="U10" s="173" t="str">
        <f t="shared" si="2"/>
        <v/>
      </c>
      <c r="V10" s="173" t="str">
        <f t="shared" si="2"/>
        <v/>
      </c>
      <c r="W10" s="173" t="str">
        <f t="shared" si="2"/>
        <v/>
      </c>
      <c r="X10" s="173" t="str">
        <f t="shared" si="2"/>
        <v/>
      </c>
      <c r="Y10" s="173" t="str">
        <f t="shared" si="2"/>
        <v/>
      </c>
    </row>
    <row r="11" spans="1:25" x14ac:dyDescent="0.3">
      <c r="A11" s="172">
        <f t="shared" si="0"/>
        <v>9</v>
      </c>
      <c r="B11" s="173" t="str">
        <f t="shared" si="1"/>
        <v/>
      </c>
      <c r="C11" s="173" t="str">
        <f t="shared" si="1"/>
        <v/>
      </c>
      <c r="D11" s="173" t="str">
        <f t="shared" si="1"/>
        <v/>
      </c>
      <c r="E11" s="173" t="str">
        <f t="shared" si="1"/>
        <v/>
      </c>
      <c r="F11" s="173" t="str">
        <f t="shared" si="1"/>
        <v/>
      </c>
      <c r="G11" s="173" t="str">
        <f t="shared" si="1"/>
        <v/>
      </c>
      <c r="H11" s="173" t="str">
        <f t="shared" si="1"/>
        <v/>
      </c>
      <c r="I11" s="173" t="str">
        <f t="shared" si="1"/>
        <v/>
      </c>
      <c r="J11" s="173" t="str">
        <f t="shared" si="1"/>
        <v/>
      </c>
      <c r="K11" s="173" t="str">
        <f t="shared" si="1"/>
        <v/>
      </c>
      <c r="L11" s="173" t="str">
        <f t="shared" si="2"/>
        <v>info</v>
      </c>
      <c r="M11" s="173" t="str">
        <f t="shared" si="2"/>
        <v/>
      </c>
      <c r="N11" s="173" t="str">
        <f t="shared" si="2"/>
        <v/>
      </c>
      <c r="O11" s="173" t="str">
        <f t="shared" si="2"/>
        <v/>
      </c>
      <c r="P11" s="174" t="str">
        <f t="shared" si="2"/>
        <v/>
      </c>
      <c r="Q11" s="174" t="str">
        <f t="shared" si="2"/>
        <v>x</v>
      </c>
      <c r="R11" s="174" t="str">
        <f t="shared" si="2"/>
        <v>BS</v>
      </c>
      <c r="S11" s="174" t="str">
        <f t="shared" si="2"/>
        <v>all</v>
      </c>
      <c r="T11" s="173" t="str">
        <f t="shared" si="2"/>
        <v/>
      </c>
      <c r="U11" s="173" t="str">
        <f t="shared" si="2"/>
        <v/>
      </c>
      <c r="V11" s="173" t="str">
        <f t="shared" si="2"/>
        <v/>
      </c>
      <c r="W11" s="173" t="str">
        <f t="shared" si="2"/>
        <v/>
      </c>
      <c r="X11" s="173" t="str">
        <f t="shared" si="2"/>
        <v/>
      </c>
      <c r="Y11" s="173" t="str">
        <f t="shared" si="2"/>
        <v/>
      </c>
    </row>
    <row r="12" spans="1:25" x14ac:dyDescent="0.3">
      <c r="A12" s="172">
        <f t="shared" si="0"/>
        <v>10</v>
      </c>
      <c r="B12" s="173" t="str">
        <f t="shared" si="1"/>
        <v/>
      </c>
      <c r="C12" s="173" t="str">
        <f t="shared" si="1"/>
        <v/>
      </c>
      <c r="D12" s="173" t="str">
        <f t="shared" si="1"/>
        <v/>
      </c>
      <c r="E12" s="173" t="str">
        <f t="shared" si="1"/>
        <v/>
      </c>
      <c r="F12" s="173" t="str">
        <f t="shared" si="1"/>
        <v/>
      </c>
      <c r="G12" s="173" t="str">
        <f t="shared" si="1"/>
        <v/>
      </c>
      <c r="H12" s="173" t="str">
        <f t="shared" si="1"/>
        <v/>
      </c>
      <c r="I12" s="173" t="str">
        <f t="shared" si="1"/>
        <v/>
      </c>
      <c r="J12" s="173" t="str">
        <f t="shared" si="1"/>
        <v/>
      </c>
      <c r="K12" s="173" t="str">
        <f t="shared" si="1"/>
        <v/>
      </c>
      <c r="L12" s="173" t="str">
        <f t="shared" si="2"/>
        <v>info</v>
      </c>
      <c r="M12" s="173" t="str">
        <f t="shared" si="2"/>
        <v/>
      </c>
      <c r="N12" s="173" t="str">
        <f t="shared" si="2"/>
        <v/>
      </c>
      <c r="O12" s="173" t="str">
        <f t="shared" si="2"/>
        <v/>
      </c>
      <c r="P12" s="174" t="str">
        <f t="shared" si="2"/>
        <v/>
      </c>
      <c r="Q12" s="174" t="str">
        <f t="shared" si="2"/>
        <v>x</v>
      </c>
      <c r="R12" s="174" t="str">
        <f t="shared" si="2"/>
        <v>BS</v>
      </c>
      <c r="S12" s="174" t="str">
        <f t="shared" si="2"/>
        <v>all</v>
      </c>
      <c r="T12" s="173" t="str">
        <f t="shared" si="2"/>
        <v/>
      </c>
      <c r="U12" s="173" t="str">
        <f t="shared" si="2"/>
        <v/>
      </c>
      <c r="V12" s="173" t="str">
        <f t="shared" si="2"/>
        <v/>
      </c>
      <c r="W12" s="173" t="str">
        <f t="shared" si="2"/>
        <v/>
      </c>
      <c r="X12" s="173" t="str">
        <f t="shared" si="2"/>
        <v/>
      </c>
      <c r="Y12" s="173" t="str">
        <f t="shared" si="2"/>
        <v/>
      </c>
    </row>
    <row r="13" spans="1:25" x14ac:dyDescent="0.3">
      <c r="A13" s="172">
        <f t="shared" si="0"/>
        <v>11</v>
      </c>
      <c r="B13" s="173" t="str">
        <f t="shared" ref="B13:K22" si="3">IF(ISNONTEXT(B$2),IF(B$2="","",IF(INDEX(IMPORT,$A13,B$2)=0,"",IFERROR(VLOOKUP(INDEX(IMPORT,$A13,B$2),ImportTranslation,2,0),INDEX(IMPORT,$A13,B$2)))),B$2)</f>
        <v/>
      </c>
      <c r="C13" s="173" t="str">
        <f t="shared" si="3"/>
        <v/>
      </c>
      <c r="D13" s="173" t="str">
        <f t="shared" si="3"/>
        <v/>
      </c>
      <c r="E13" s="173" t="str">
        <f t="shared" si="3"/>
        <v/>
      </c>
      <c r="F13" s="173" t="str">
        <f t="shared" si="3"/>
        <v/>
      </c>
      <c r="G13" s="173" t="str">
        <f t="shared" si="3"/>
        <v/>
      </c>
      <c r="H13" s="173" t="str">
        <f t="shared" si="3"/>
        <v/>
      </c>
      <c r="I13" s="173" t="str">
        <f t="shared" si="3"/>
        <v/>
      </c>
      <c r="J13" s="173" t="str">
        <f t="shared" si="3"/>
        <v/>
      </c>
      <c r="K13" s="173" t="str">
        <f t="shared" si="3"/>
        <v/>
      </c>
      <c r="L13" s="173" t="str">
        <f t="shared" ref="L13:Y22" si="4">IF(ISNONTEXT(L$2),IF(L$2="","",IF(INDEX(IMPORT,$A13,L$2)=0,"",IFERROR(VLOOKUP(INDEX(IMPORT,$A13,L$2),ImportTranslation,2,0),INDEX(IMPORT,$A13,L$2)))),L$2)</f>
        <v>info</v>
      </c>
      <c r="M13" s="173" t="str">
        <f t="shared" si="4"/>
        <v/>
      </c>
      <c r="N13" s="173" t="str">
        <f t="shared" si="4"/>
        <v/>
      </c>
      <c r="O13" s="173" t="str">
        <f t="shared" si="4"/>
        <v/>
      </c>
      <c r="P13" s="174" t="str">
        <f t="shared" si="4"/>
        <v/>
      </c>
      <c r="Q13" s="174" t="str">
        <f t="shared" si="4"/>
        <v>x</v>
      </c>
      <c r="R13" s="174" t="str">
        <f t="shared" si="4"/>
        <v>BS</v>
      </c>
      <c r="S13" s="174" t="str">
        <f t="shared" si="4"/>
        <v>all</v>
      </c>
      <c r="T13" s="173" t="str">
        <f t="shared" si="4"/>
        <v/>
      </c>
      <c r="U13" s="173" t="str">
        <f t="shared" si="4"/>
        <v/>
      </c>
      <c r="V13" s="173" t="str">
        <f t="shared" si="4"/>
        <v/>
      </c>
      <c r="W13" s="173" t="str">
        <f t="shared" si="4"/>
        <v/>
      </c>
      <c r="X13" s="173" t="str">
        <f t="shared" si="4"/>
        <v/>
      </c>
      <c r="Y13" s="173" t="str">
        <f t="shared" si="4"/>
        <v/>
      </c>
    </row>
    <row r="14" spans="1:25" x14ac:dyDescent="0.3">
      <c r="A14" s="172">
        <f t="shared" si="0"/>
        <v>12</v>
      </c>
      <c r="B14" s="173" t="str">
        <f t="shared" si="3"/>
        <v/>
      </c>
      <c r="C14" s="173" t="str">
        <f t="shared" si="3"/>
        <v/>
      </c>
      <c r="D14" s="173" t="str">
        <f t="shared" si="3"/>
        <v/>
      </c>
      <c r="E14" s="173" t="str">
        <f t="shared" si="3"/>
        <v/>
      </c>
      <c r="F14" s="173" t="str">
        <f t="shared" si="3"/>
        <v/>
      </c>
      <c r="G14" s="173" t="str">
        <f t="shared" si="3"/>
        <v/>
      </c>
      <c r="H14" s="173" t="str">
        <f t="shared" si="3"/>
        <v/>
      </c>
      <c r="I14" s="173" t="str">
        <f t="shared" si="3"/>
        <v/>
      </c>
      <c r="J14" s="173" t="str">
        <f t="shared" si="3"/>
        <v/>
      </c>
      <c r="K14" s="173" t="str">
        <f t="shared" si="3"/>
        <v/>
      </c>
      <c r="L14" s="173" t="str">
        <f t="shared" si="4"/>
        <v>info</v>
      </c>
      <c r="M14" s="173" t="str">
        <f t="shared" si="4"/>
        <v/>
      </c>
      <c r="N14" s="173" t="str">
        <f t="shared" si="4"/>
        <v/>
      </c>
      <c r="O14" s="173" t="str">
        <f t="shared" si="4"/>
        <v/>
      </c>
      <c r="P14" s="174" t="str">
        <f t="shared" si="4"/>
        <v/>
      </c>
      <c r="Q14" s="174" t="str">
        <f t="shared" si="4"/>
        <v>x</v>
      </c>
      <c r="R14" s="174" t="str">
        <f t="shared" si="4"/>
        <v>BS</v>
      </c>
      <c r="S14" s="174" t="str">
        <f t="shared" si="4"/>
        <v>all</v>
      </c>
      <c r="T14" s="173" t="str">
        <f t="shared" si="4"/>
        <v/>
      </c>
      <c r="U14" s="173" t="str">
        <f t="shared" si="4"/>
        <v/>
      </c>
      <c r="V14" s="173" t="str">
        <f t="shared" si="4"/>
        <v/>
      </c>
      <c r="W14" s="173" t="str">
        <f t="shared" si="4"/>
        <v/>
      </c>
      <c r="X14" s="173" t="str">
        <f t="shared" si="4"/>
        <v/>
      </c>
      <c r="Y14" s="173" t="str">
        <f t="shared" si="4"/>
        <v/>
      </c>
    </row>
    <row r="15" spans="1:25" x14ac:dyDescent="0.3">
      <c r="A15" s="172">
        <f t="shared" si="0"/>
        <v>13</v>
      </c>
      <c r="B15" s="173" t="str">
        <f t="shared" si="3"/>
        <v/>
      </c>
      <c r="C15" s="173" t="str">
        <f t="shared" si="3"/>
        <v/>
      </c>
      <c r="D15" s="173" t="str">
        <f t="shared" si="3"/>
        <v/>
      </c>
      <c r="E15" s="173" t="str">
        <f t="shared" si="3"/>
        <v/>
      </c>
      <c r="F15" s="173" t="str">
        <f t="shared" si="3"/>
        <v/>
      </c>
      <c r="G15" s="173" t="str">
        <f t="shared" si="3"/>
        <v/>
      </c>
      <c r="H15" s="173" t="str">
        <f t="shared" si="3"/>
        <v/>
      </c>
      <c r="I15" s="173" t="str">
        <f t="shared" si="3"/>
        <v/>
      </c>
      <c r="J15" s="173" t="str">
        <f t="shared" si="3"/>
        <v/>
      </c>
      <c r="K15" s="173" t="str">
        <f t="shared" si="3"/>
        <v/>
      </c>
      <c r="L15" s="173" t="str">
        <f t="shared" si="4"/>
        <v>info</v>
      </c>
      <c r="M15" s="173" t="str">
        <f t="shared" si="4"/>
        <v/>
      </c>
      <c r="N15" s="173" t="str">
        <f t="shared" si="4"/>
        <v/>
      </c>
      <c r="O15" s="173" t="str">
        <f t="shared" si="4"/>
        <v/>
      </c>
      <c r="P15" s="174" t="str">
        <f t="shared" si="4"/>
        <v/>
      </c>
      <c r="Q15" s="174" t="str">
        <f t="shared" si="4"/>
        <v>x</v>
      </c>
      <c r="R15" s="174" t="str">
        <f t="shared" si="4"/>
        <v>BS</v>
      </c>
      <c r="S15" s="174" t="str">
        <f t="shared" si="4"/>
        <v>all</v>
      </c>
      <c r="T15" s="173" t="str">
        <f t="shared" si="4"/>
        <v/>
      </c>
      <c r="U15" s="173" t="str">
        <f t="shared" si="4"/>
        <v/>
      </c>
      <c r="V15" s="173" t="str">
        <f t="shared" si="4"/>
        <v/>
      </c>
      <c r="W15" s="173" t="str">
        <f t="shared" si="4"/>
        <v/>
      </c>
      <c r="X15" s="173" t="str">
        <f t="shared" si="4"/>
        <v/>
      </c>
      <c r="Y15" s="173" t="str">
        <f t="shared" si="4"/>
        <v/>
      </c>
    </row>
    <row r="16" spans="1:25" x14ac:dyDescent="0.3">
      <c r="A16" s="172">
        <f t="shared" si="0"/>
        <v>14</v>
      </c>
      <c r="B16" s="173" t="str">
        <f t="shared" si="3"/>
        <v/>
      </c>
      <c r="C16" s="173" t="str">
        <f t="shared" si="3"/>
        <v/>
      </c>
      <c r="D16" s="173" t="str">
        <f t="shared" si="3"/>
        <v/>
      </c>
      <c r="E16" s="173" t="str">
        <f t="shared" si="3"/>
        <v/>
      </c>
      <c r="F16" s="173" t="str">
        <f t="shared" si="3"/>
        <v/>
      </c>
      <c r="G16" s="173" t="str">
        <f t="shared" si="3"/>
        <v/>
      </c>
      <c r="H16" s="173" t="str">
        <f t="shared" si="3"/>
        <v/>
      </c>
      <c r="I16" s="173" t="str">
        <f t="shared" si="3"/>
        <v/>
      </c>
      <c r="J16" s="173" t="str">
        <f t="shared" si="3"/>
        <v/>
      </c>
      <c r="K16" s="173" t="str">
        <f t="shared" si="3"/>
        <v/>
      </c>
      <c r="L16" s="173" t="str">
        <f t="shared" si="4"/>
        <v>info</v>
      </c>
      <c r="M16" s="173" t="str">
        <f t="shared" si="4"/>
        <v/>
      </c>
      <c r="N16" s="173" t="str">
        <f t="shared" si="4"/>
        <v/>
      </c>
      <c r="O16" s="173" t="str">
        <f t="shared" si="4"/>
        <v/>
      </c>
      <c r="P16" s="174" t="str">
        <f t="shared" si="4"/>
        <v/>
      </c>
      <c r="Q16" s="174" t="str">
        <f t="shared" si="4"/>
        <v>x</v>
      </c>
      <c r="R16" s="174" t="str">
        <f t="shared" si="4"/>
        <v>BS</v>
      </c>
      <c r="S16" s="174" t="str">
        <f t="shared" si="4"/>
        <v>all</v>
      </c>
      <c r="T16" s="173" t="str">
        <f t="shared" si="4"/>
        <v/>
      </c>
      <c r="U16" s="173" t="str">
        <f t="shared" si="4"/>
        <v/>
      </c>
      <c r="V16" s="173" t="str">
        <f t="shared" si="4"/>
        <v/>
      </c>
      <c r="W16" s="173" t="str">
        <f t="shared" si="4"/>
        <v/>
      </c>
      <c r="X16" s="173" t="str">
        <f t="shared" si="4"/>
        <v/>
      </c>
      <c r="Y16" s="173" t="str">
        <f t="shared" si="4"/>
        <v/>
      </c>
    </row>
    <row r="17" spans="1:25" x14ac:dyDescent="0.3">
      <c r="A17" s="172">
        <f t="shared" si="0"/>
        <v>15</v>
      </c>
      <c r="B17" s="173" t="str">
        <f t="shared" si="3"/>
        <v/>
      </c>
      <c r="C17" s="173" t="str">
        <f t="shared" si="3"/>
        <v/>
      </c>
      <c r="D17" s="173" t="str">
        <f t="shared" si="3"/>
        <v/>
      </c>
      <c r="E17" s="173" t="str">
        <f t="shared" si="3"/>
        <v/>
      </c>
      <c r="F17" s="173" t="str">
        <f t="shared" si="3"/>
        <v/>
      </c>
      <c r="G17" s="173" t="str">
        <f t="shared" si="3"/>
        <v/>
      </c>
      <c r="H17" s="173" t="str">
        <f t="shared" si="3"/>
        <v/>
      </c>
      <c r="I17" s="173" t="str">
        <f t="shared" si="3"/>
        <v/>
      </c>
      <c r="J17" s="173" t="str">
        <f t="shared" si="3"/>
        <v/>
      </c>
      <c r="K17" s="173" t="str">
        <f t="shared" si="3"/>
        <v/>
      </c>
      <c r="L17" s="173" t="str">
        <f t="shared" si="4"/>
        <v>info</v>
      </c>
      <c r="M17" s="173" t="str">
        <f t="shared" si="4"/>
        <v/>
      </c>
      <c r="N17" s="173" t="str">
        <f t="shared" si="4"/>
        <v/>
      </c>
      <c r="O17" s="173" t="str">
        <f t="shared" si="4"/>
        <v/>
      </c>
      <c r="P17" s="174" t="str">
        <f t="shared" si="4"/>
        <v/>
      </c>
      <c r="Q17" s="174" t="str">
        <f t="shared" si="4"/>
        <v>x</v>
      </c>
      <c r="R17" s="174" t="str">
        <f t="shared" si="4"/>
        <v>BS</v>
      </c>
      <c r="S17" s="174" t="str">
        <f t="shared" si="4"/>
        <v>all</v>
      </c>
      <c r="T17" s="173" t="str">
        <f t="shared" si="4"/>
        <v/>
      </c>
      <c r="U17" s="173" t="str">
        <f t="shared" si="4"/>
        <v/>
      </c>
      <c r="V17" s="173" t="str">
        <f t="shared" si="4"/>
        <v/>
      </c>
      <c r="W17" s="173" t="str">
        <f t="shared" si="4"/>
        <v/>
      </c>
      <c r="X17" s="173" t="str">
        <f t="shared" si="4"/>
        <v/>
      </c>
      <c r="Y17" s="173" t="str">
        <f t="shared" si="4"/>
        <v/>
      </c>
    </row>
    <row r="18" spans="1:25" x14ac:dyDescent="0.3">
      <c r="A18" s="172">
        <f t="shared" si="0"/>
        <v>16</v>
      </c>
      <c r="B18" s="173" t="str">
        <f t="shared" si="3"/>
        <v/>
      </c>
      <c r="C18" s="173" t="str">
        <f t="shared" si="3"/>
        <v/>
      </c>
      <c r="D18" s="173" t="str">
        <f t="shared" si="3"/>
        <v/>
      </c>
      <c r="E18" s="173" t="str">
        <f t="shared" si="3"/>
        <v/>
      </c>
      <c r="F18" s="173" t="str">
        <f t="shared" si="3"/>
        <v/>
      </c>
      <c r="G18" s="173" t="str">
        <f t="shared" si="3"/>
        <v/>
      </c>
      <c r="H18" s="173" t="str">
        <f t="shared" si="3"/>
        <v/>
      </c>
      <c r="I18" s="173" t="str">
        <f t="shared" si="3"/>
        <v/>
      </c>
      <c r="J18" s="173" t="str">
        <f t="shared" si="3"/>
        <v/>
      </c>
      <c r="K18" s="173" t="str">
        <f t="shared" si="3"/>
        <v/>
      </c>
      <c r="L18" s="173" t="str">
        <f t="shared" si="4"/>
        <v>info</v>
      </c>
      <c r="M18" s="173" t="str">
        <f t="shared" si="4"/>
        <v/>
      </c>
      <c r="N18" s="173" t="str">
        <f t="shared" si="4"/>
        <v/>
      </c>
      <c r="O18" s="173" t="str">
        <f t="shared" si="4"/>
        <v/>
      </c>
      <c r="P18" s="174" t="str">
        <f t="shared" si="4"/>
        <v/>
      </c>
      <c r="Q18" s="174" t="str">
        <f t="shared" si="4"/>
        <v>x</v>
      </c>
      <c r="R18" s="174" t="str">
        <f t="shared" si="4"/>
        <v>BS</v>
      </c>
      <c r="S18" s="174" t="str">
        <f t="shared" si="4"/>
        <v>all</v>
      </c>
      <c r="T18" s="173" t="str">
        <f t="shared" si="4"/>
        <v/>
      </c>
      <c r="U18" s="173" t="str">
        <f t="shared" si="4"/>
        <v/>
      </c>
      <c r="V18" s="173" t="str">
        <f t="shared" si="4"/>
        <v/>
      </c>
      <c r="W18" s="173" t="str">
        <f t="shared" si="4"/>
        <v/>
      </c>
      <c r="X18" s="173" t="str">
        <f t="shared" si="4"/>
        <v/>
      </c>
      <c r="Y18" s="173" t="str">
        <f t="shared" si="4"/>
        <v/>
      </c>
    </row>
    <row r="19" spans="1:25" x14ac:dyDescent="0.3">
      <c r="A19" s="172">
        <f t="shared" si="0"/>
        <v>17</v>
      </c>
      <c r="B19" s="173" t="str">
        <f t="shared" si="3"/>
        <v/>
      </c>
      <c r="C19" s="173" t="str">
        <f t="shared" si="3"/>
        <v/>
      </c>
      <c r="D19" s="173" t="str">
        <f t="shared" si="3"/>
        <v/>
      </c>
      <c r="E19" s="173" t="str">
        <f t="shared" si="3"/>
        <v/>
      </c>
      <c r="F19" s="173" t="str">
        <f t="shared" si="3"/>
        <v/>
      </c>
      <c r="G19" s="173" t="str">
        <f t="shared" si="3"/>
        <v/>
      </c>
      <c r="H19" s="173" t="str">
        <f t="shared" si="3"/>
        <v/>
      </c>
      <c r="I19" s="173" t="str">
        <f t="shared" si="3"/>
        <v/>
      </c>
      <c r="J19" s="173" t="str">
        <f t="shared" si="3"/>
        <v/>
      </c>
      <c r="K19" s="173" t="str">
        <f t="shared" si="3"/>
        <v/>
      </c>
      <c r="L19" s="173" t="str">
        <f t="shared" si="4"/>
        <v>info</v>
      </c>
      <c r="M19" s="173" t="str">
        <f t="shared" si="4"/>
        <v/>
      </c>
      <c r="N19" s="173" t="str">
        <f t="shared" si="4"/>
        <v/>
      </c>
      <c r="O19" s="173" t="str">
        <f t="shared" si="4"/>
        <v/>
      </c>
      <c r="P19" s="174" t="str">
        <f t="shared" si="4"/>
        <v/>
      </c>
      <c r="Q19" s="174" t="str">
        <f t="shared" si="4"/>
        <v>x</v>
      </c>
      <c r="R19" s="174" t="str">
        <f t="shared" si="4"/>
        <v>BS</v>
      </c>
      <c r="S19" s="174" t="str">
        <f t="shared" si="4"/>
        <v>all</v>
      </c>
      <c r="T19" s="173" t="str">
        <f t="shared" si="4"/>
        <v/>
      </c>
      <c r="U19" s="173" t="str">
        <f t="shared" si="4"/>
        <v/>
      </c>
      <c r="V19" s="173" t="str">
        <f t="shared" si="4"/>
        <v/>
      </c>
      <c r="W19" s="173" t="str">
        <f t="shared" si="4"/>
        <v/>
      </c>
      <c r="X19" s="173" t="str">
        <f t="shared" si="4"/>
        <v/>
      </c>
      <c r="Y19" s="173" t="str">
        <f t="shared" si="4"/>
        <v/>
      </c>
    </row>
    <row r="20" spans="1:25" x14ac:dyDescent="0.3">
      <c r="A20" s="172">
        <f t="shared" si="0"/>
        <v>18</v>
      </c>
      <c r="B20" s="173" t="str">
        <f t="shared" si="3"/>
        <v/>
      </c>
      <c r="C20" s="173" t="str">
        <f t="shared" si="3"/>
        <v/>
      </c>
      <c r="D20" s="173" t="str">
        <f t="shared" si="3"/>
        <v/>
      </c>
      <c r="E20" s="173" t="str">
        <f t="shared" si="3"/>
        <v/>
      </c>
      <c r="F20" s="173" t="str">
        <f t="shared" si="3"/>
        <v/>
      </c>
      <c r="G20" s="173" t="str">
        <f t="shared" si="3"/>
        <v/>
      </c>
      <c r="H20" s="173" t="str">
        <f t="shared" si="3"/>
        <v/>
      </c>
      <c r="I20" s="173" t="str">
        <f t="shared" si="3"/>
        <v/>
      </c>
      <c r="J20" s="173" t="str">
        <f t="shared" si="3"/>
        <v/>
      </c>
      <c r="K20" s="173" t="str">
        <f t="shared" si="3"/>
        <v/>
      </c>
      <c r="L20" s="173" t="str">
        <f t="shared" si="4"/>
        <v>info</v>
      </c>
      <c r="M20" s="173" t="str">
        <f t="shared" si="4"/>
        <v/>
      </c>
      <c r="N20" s="173" t="str">
        <f t="shared" si="4"/>
        <v/>
      </c>
      <c r="O20" s="173" t="str">
        <f t="shared" si="4"/>
        <v/>
      </c>
      <c r="P20" s="174" t="str">
        <f t="shared" si="4"/>
        <v/>
      </c>
      <c r="Q20" s="174" t="str">
        <f t="shared" si="4"/>
        <v>x</v>
      </c>
      <c r="R20" s="174" t="str">
        <f t="shared" si="4"/>
        <v>BS</v>
      </c>
      <c r="S20" s="174" t="str">
        <f t="shared" si="4"/>
        <v>all</v>
      </c>
      <c r="T20" s="173" t="str">
        <f t="shared" si="4"/>
        <v/>
      </c>
      <c r="U20" s="173" t="str">
        <f t="shared" si="4"/>
        <v/>
      </c>
      <c r="V20" s="173" t="str">
        <f t="shared" si="4"/>
        <v/>
      </c>
      <c r="W20" s="173" t="str">
        <f t="shared" si="4"/>
        <v/>
      </c>
      <c r="X20" s="173" t="str">
        <f t="shared" si="4"/>
        <v/>
      </c>
      <c r="Y20" s="173" t="str">
        <f t="shared" si="4"/>
        <v/>
      </c>
    </row>
    <row r="21" spans="1:25" x14ac:dyDescent="0.3">
      <c r="A21" s="172">
        <f t="shared" si="0"/>
        <v>19</v>
      </c>
      <c r="B21" s="173" t="str">
        <f t="shared" si="3"/>
        <v/>
      </c>
      <c r="C21" s="173" t="str">
        <f t="shared" si="3"/>
        <v/>
      </c>
      <c r="D21" s="173" t="str">
        <f t="shared" si="3"/>
        <v/>
      </c>
      <c r="E21" s="173" t="str">
        <f t="shared" si="3"/>
        <v/>
      </c>
      <c r="F21" s="173" t="str">
        <f t="shared" si="3"/>
        <v/>
      </c>
      <c r="G21" s="173" t="str">
        <f t="shared" si="3"/>
        <v/>
      </c>
      <c r="H21" s="173" t="str">
        <f t="shared" si="3"/>
        <v/>
      </c>
      <c r="I21" s="173" t="str">
        <f t="shared" si="3"/>
        <v/>
      </c>
      <c r="J21" s="173" t="str">
        <f t="shared" si="3"/>
        <v/>
      </c>
      <c r="K21" s="173" t="str">
        <f t="shared" si="3"/>
        <v/>
      </c>
      <c r="L21" s="173" t="str">
        <f t="shared" si="4"/>
        <v>info</v>
      </c>
      <c r="M21" s="173" t="str">
        <f t="shared" si="4"/>
        <v/>
      </c>
      <c r="N21" s="173" t="str">
        <f t="shared" si="4"/>
        <v/>
      </c>
      <c r="O21" s="173" t="str">
        <f t="shared" si="4"/>
        <v/>
      </c>
      <c r="P21" s="174" t="str">
        <f t="shared" si="4"/>
        <v/>
      </c>
      <c r="Q21" s="174" t="str">
        <f t="shared" si="4"/>
        <v>x</v>
      </c>
      <c r="R21" s="174" t="str">
        <f t="shared" si="4"/>
        <v>BS</v>
      </c>
      <c r="S21" s="174" t="str">
        <f t="shared" si="4"/>
        <v>all</v>
      </c>
      <c r="T21" s="173" t="str">
        <f t="shared" si="4"/>
        <v/>
      </c>
      <c r="U21" s="173" t="str">
        <f t="shared" si="4"/>
        <v/>
      </c>
      <c r="V21" s="173" t="str">
        <f t="shared" si="4"/>
        <v/>
      </c>
      <c r="W21" s="173" t="str">
        <f t="shared" si="4"/>
        <v/>
      </c>
      <c r="X21" s="173" t="str">
        <f t="shared" si="4"/>
        <v/>
      </c>
      <c r="Y21" s="173" t="str">
        <f t="shared" si="4"/>
        <v/>
      </c>
    </row>
    <row r="22" spans="1:25" x14ac:dyDescent="0.3">
      <c r="A22" s="172">
        <f t="shared" si="0"/>
        <v>20</v>
      </c>
      <c r="B22" s="173" t="str">
        <f t="shared" si="3"/>
        <v/>
      </c>
      <c r="C22" s="173" t="str">
        <f t="shared" si="3"/>
        <v/>
      </c>
      <c r="D22" s="173" t="str">
        <f t="shared" si="3"/>
        <v/>
      </c>
      <c r="E22" s="173" t="str">
        <f t="shared" si="3"/>
        <v/>
      </c>
      <c r="F22" s="173" t="str">
        <f t="shared" si="3"/>
        <v/>
      </c>
      <c r="G22" s="173" t="str">
        <f t="shared" si="3"/>
        <v/>
      </c>
      <c r="H22" s="173" t="str">
        <f t="shared" si="3"/>
        <v/>
      </c>
      <c r="I22" s="173" t="str">
        <f t="shared" si="3"/>
        <v/>
      </c>
      <c r="J22" s="173" t="str">
        <f t="shared" si="3"/>
        <v/>
      </c>
      <c r="K22" s="173" t="str">
        <f t="shared" si="3"/>
        <v/>
      </c>
      <c r="L22" s="173" t="str">
        <f t="shared" si="4"/>
        <v>info</v>
      </c>
      <c r="M22" s="173" t="str">
        <f t="shared" si="4"/>
        <v/>
      </c>
      <c r="N22" s="173" t="str">
        <f t="shared" si="4"/>
        <v/>
      </c>
      <c r="O22" s="173" t="str">
        <f t="shared" si="4"/>
        <v/>
      </c>
      <c r="P22" s="174" t="str">
        <f t="shared" si="4"/>
        <v/>
      </c>
      <c r="Q22" s="174" t="str">
        <f t="shared" si="4"/>
        <v>x</v>
      </c>
      <c r="R22" s="174" t="str">
        <f t="shared" si="4"/>
        <v>BS</v>
      </c>
      <c r="S22" s="174" t="str">
        <f t="shared" si="4"/>
        <v>all</v>
      </c>
      <c r="T22" s="173" t="str">
        <f t="shared" si="4"/>
        <v/>
      </c>
      <c r="U22" s="173" t="str">
        <f t="shared" si="4"/>
        <v/>
      </c>
      <c r="V22" s="173" t="str">
        <f t="shared" si="4"/>
        <v/>
      </c>
      <c r="W22" s="173" t="str">
        <f t="shared" si="4"/>
        <v/>
      </c>
      <c r="X22" s="173" t="str">
        <f t="shared" si="4"/>
        <v/>
      </c>
      <c r="Y22" s="173" t="str">
        <f t="shared" si="4"/>
        <v/>
      </c>
    </row>
    <row r="23" spans="1:25" x14ac:dyDescent="0.3">
      <c r="A23" s="172">
        <f t="shared" si="0"/>
        <v>21</v>
      </c>
      <c r="B23" s="173" t="str">
        <f t="shared" ref="B23:K32" si="5">IF(ISNONTEXT(B$2),IF(B$2="","",IF(INDEX(IMPORT,$A23,B$2)=0,"",IFERROR(VLOOKUP(INDEX(IMPORT,$A23,B$2),ImportTranslation,2,0),INDEX(IMPORT,$A23,B$2)))),B$2)</f>
        <v/>
      </c>
      <c r="C23" s="173" t="str">
        <f t="shared" si="5"/>
        <v/>
      </c>
      <c r="D23" s="173" t="str">
        <f t="shared" si="5"/>
        <v/>
      </c>
      <c r="E23" s="173" t="str">
        <f t="shared" si="5"/>
        <v/>
      </c>
      <c r="F23" s="173" t="str">
        <f t="shared" si="5"/>
        <v/>
      </c>
      <c r="G23" s="173" t="str">
        <f t="shared" si="5"/>
        <v/>
      </c>
      <c r="H23" s="173" t="str">
        <f t="shared" si="5"/>
        <v/>
      </c>
      <c r="I23" s="173" t="str">
        <f t="shared" si="5"/>
        <v/>
      </c>
      <c r="J23" s="173" t="str">
        <f t="shared" si="5"/>
        <v/>
      </c>
      <c r="K23" s="173" t="str">
        <f t="shared" si="5"/>
        <v/>
      </c>
      <c r="L23" s="173" t="str">
        <f t="shared" ref="L23:Y32" si="6">IF(ISNONTEXT(L$2),IF(L$2="","",IF(INDEX(IMPORT,$A23,L$2)=0,"",IFERROR(VLOOKUP(INDEX(IMPORT,$A23,L$2),ImportTranslation,2,0),INDEX(IMPORT,$A23,L$2)))),L$2)</f>
        <v>info</v>
      </c>
      <c r="M23" s="173" t="str">
        <f t="shared" si="6"/>
        <v/>
      </c>
      <c r="N23" s="173" t="str">
        <f t="shared" si="6"/>
        <v/>
      </c>
      <c r="O23" s="173" t="str">
        <f t="shared" si="6"/>
        <v/>
      </c>
      <c r="P23" s="174" t="str">
        <f t="shared" si="6"/>
        <v/>
      </c>
      <c r="Q23" s="174" t="str">
        <f t="shared" si="6"/>
        <v>x</v>
      </c>
      <c r="R23" s="174" t="str">
        <f t="shared" si="6"/>
        <v>BS</v>
      </c>
      <c r="S23" s="174" t="str">
        <f t="shared" si="6"/>
        <v>all</v>
      </c>
      <c r="T23" s="173" t="str">
        <f t="shared" si="6"/>
        <v/>
      </c>
      <c r="U23" s="173" t="str">
        <f t="shared" si="6"/>
        <v/>
      </c>
      <c r="V23" s="173" t="str">
        <f t="shared" si="6"/>
        <v/>
      </c>
      <c r="W23" s="173" t="str">
        <f t="shared" si="6"/>
        <v/>
      </c>
      <c r="X23" s="173" t="str">
        <f t="shared" si="6"/>
        <v/>
      </c>
      <c r="Y23" s="173" t="str">
        <f t="shared" si="6"/>
        <v/>
      </c>
    </row>
    <row r="24" spans="1:25" x14ac:dyDescent="0.3">
      <c r="A24" s="172">
        <f t="shared" si="0"/>
        <v>22</v>
      </c>
      <c r="B24" s="173" t="str">
        <f t="shared" si="5"/>
        <v/>
      </c>
      <c r="C24" s="173" t="str">
        <f t="shared" si="5"/>
        <v/>
      </c>
      <c r="D24" s="173" t="str">
        <f t="shared" si="5"/>
        <v/>
      </c>
      <c r="E24" s="173" t="str">
        <f t="shared" si="5"/>
        <v/>
      </c>
      <c r="F24" s="173" t="str">
        <f t="shared" si="5"/>
        <v/>
      </c>
      <c r="G24" s="173" t="str">
        <f t="shared" si="5"/>
        <v/>
      </c>
      <c r="H24" s="173" t="str">
        <f t="shared" si="5"/>
        <v/>
      </c>
      <c r="I24" s="173" t="str">
        <f t="shared" si="5"/>
        <v/>
      </c>
      <c r="J24" s="173" t="str">
        <f t="shared" si="5"/>
        <v/>
      </c>
      <c r="K24" s="173" t="str">
        <f t="shared" si="5"/>
        <v/>
      </c>
      <c r="L24" s="173" t="str">
        <f t="shared" si="6"/>
        <v>info</v>
      </c>
      <c r="M24" s="173" t="str">
        <f t="shared" si="6"/>
        <v/>
      </c>
      <c r="N24" s="173" t="str">
        <f t="shared" si="6"/>
        <v/>
      </c>
      <c r="O24" s="173" t="str">
        <f t="shared" si="6"/>
        <v/>
      </c>
      <c r="P24" s="174" t="str">
        <f t="shared" si="6"/>
        <v/>
      </c>
      <c r="Q24" s="174" t="str">
        <f t="shared" si="6"/>
        <v>x</v>
      </c>
      <c r="R24" s="174" t="str">
        <f t="shared" si="6"/>
        <v>BS</v>
      </c>
      <c r="S24" s="174" t="str">
        <f t="shared" si="6"/>
        <v>all</v>
      </c>
      <c r="T24" s="173" t="str">
        <f t="shared" si="6"/>
        <v/>
      </c>
      <c r="U24" s="173" t="str">
        <f t="shared" si="6"/>
        <v/>
      </c>
      <c r="V24" s="173" t="str">
        <f t="shared" si="6"/>
        <v/>
      </c>
      <c r="W24" s="173" t="str">
        <f t="shared" si="6"/>
        <v/>
      </c>
      <c r="X24" s="173" t="str">
        <f t="shared" si="6"/>
        <v/>
      </c>
      <c r="Y24" s="173" t="str">
        <f t="shared" si="6"/>
        <v/>
      </c>
    </row>
    <row r="25" spans="1:25" x14ac:dyDescent="0.3">
      <c r="A25" s="172">
        <f t="shared" si="0"/>
        <v>23</v>
      </c>
      <c r="B25" s="173" t="str">
        <f t="shared" si="5"/>
        <v/>
      </c>
      <c r="C25" s="173" t="str">
        <f t="shared" si="5"/>
        <v/>
      </c>
      <c r="D25" s="173" t="str">
        <f t="shared" si="5"/>
        <v/>
      </c>
      <c r="E25" s="173" t="str">
        <f t="shared" si="5"/>
        <v/>
      </c>
      <c r="F25" s="173" t="str">
        <f t="shared" si="5"/>
        <v/>
      </c>
      <c r="G25" s="173" t="str">
        <f t="shared" si="5"/>
        <v/>
      </c>
      <c r="H25" s="173" t="str">
        <f t="shared" si="5"/>
        <v/>
      </c>
      <c r="I25" s="173" t="str">
        <f t="shared" si="5"/>
        <v/>
      </c>
      <c r="J25" s="173" t="str">
        <f t="shared" si="5"/>
        <v/>
      </c>
      <c r="K25" s="173" t="str">
        <f t="shared" si="5"/>
        <v/>
      </c>
      <c r="L25" s="173" t="str">
        <f t="shared" si="6"/>
        <v>info</v>
      </c>
      <c r="M25" s="173" t="str">
        <f t="shared" si="6"/>
        <v/>
      </c>
      <c r="N25" s="173" t="str">
        <f t="shared" si="6"/>
        <v/>
      </c>
      <c r="O25" s="173" t="str">
        <f t="shared" si="6"/>
        <v/>
      </c>
      <c r="P25" s="174" t="str">
        <f t="shared" si="6"/>
        <v/>
      </c>
      <c r="Q25" s="174" t="str">
        <f t="shared" si="6"/>
        <v>x</v>
      </c>
      <c r="R25" s="174" t="str">
        <f t="shared" si="6"/>
        <v>BS</v>
      </c>
      <c r="S25" s="174" t="str">
        <f t="shared" si="6"/>
        <v>all</v>
      </c>
      <c r="T25" s="173" t="str">
        <f t="shared" si="6"/>
        <v/>
      </c>
      <c r="U25" s="173" t="str">
        <f t="shared" si="6"/>
        <v/>
      </c>
      <c r="V25" s="173" t="str">
        <f t="shared" si="6"/>
        <v/>
      </c>
      <c r="W25" s="173" t="str">
        <f t="shared" si="6"/>
        <v/>
      </c>
      <c r="X25" s="173" t="str">
        <f t="shared" si="6"/>
        <v/>
      </c>
      <c r="Y25" s="173" t="str">
        <f t="shared" si="6"/>
        <v/>
      </c>
    </row>
    <row r="26" spans="1:25" x14ac:dyDescent="0.3">
      <c r="A26" s="172">
        <f t="shared" si="0"/>
        <v>24</v>
      </c>
      <c r="B26" s="173" t="str">
        <f t="shared" si="5"/>
        <v/>
      </c>
      <c r="C26" s="173" t="str">
        <f t="shared" si="5"/>
        <v/>
      </c>
      <c r="D26" s="173" t="str">
        <f t="shared" si="5"/>
        <v/>
      </c>
      <c r="E26" s="173" t="str">
        <f t="shared" si="5"/>
        <v/>
      </c>
      <c r="F26" s="173" t="str">
        <f t="shared" si="5"/>
        <v/>
      </c>
      <c r="G26" s="173" t="str">
        <f t="shared" si="5"/>
        <v/>
      </c>
      <c r="H26" s="173" t="str">
        <f t="shared" si="5"/>
        <v/>
      </c>
      <c r="I26" s="173" t="str">
        <f t="shared" si="5"/>
        <v/>
      </c>
      <c r="J26" s="173" t="str">
        <f t="shared" si="5"/>
        <v/>
      </c>
      <c r="K26" s="173" t="str">
        <f t="shared" si="5"/>
        <v/>
      </c>
      <c r="L26" s="173" t="str">
        <f t="shared" si="6"/>
        <v>info</v>
      </c>
      <c r="M26" s="173" t="str">
        <f t="shared" si="6"/>
        <v/>
      </c>
      <c r="N26" s="173" t="str">
        <f t="shared" si="6"/>
        <v/>
      </c>
      <c r="O26" s="173" t="str">
        <f t="shared" si="6"/>
        <v/>
      </c>
      <c r="P26" s="174" t="str">
        <f t="shared" si="6"/>
        <v/>
      </c>
      <c r="Q26" s="174" t="str">
        <f t="shared" si="6"/>
        <v>x</v>
      </c>
      <c r="R26" s="174" t="str">
        <f t="shared" si="6"/>
        <v>BS</v>
      </c>
      <c r="S26" s="174" t="str">
        <f t="shared" si="6"/>
        <v>all</v>
      </c>
      <c r="T26" s="173" t="str">
        <f t="shared" si="6"/>
        <v/>
      </c>
      <c r="U26" s="173" t="str">
        <f t="shared" si="6"/>
        <v/>
      </c>
      <c r="V26" s="173" t="str">
        <f t="shared" si="6"/>
        <v/>
      </c>
      <c r="W26" s="173" t="str">
        <f t="shared" si="6"/>
        <v/>
      </c>
      <c r="X26" s="173" t="str">
        <f t="shared" si="6"/>
        <v/>
      </c>
      <c r="Y26" s="173" t="str">
        <f t="shared" si="6"/>
        <v/>
      </c>
    </row>
    <row r="27" spans="1:25" x14ac:dyDescent="0.3">
      <c r="A27" s="172">
        <f t="shared" si="0"/>
        <v>25</v>
      </c>
      <c r="B27" s="173" t="str">
        <f t="shared" si="5"/>
        <v/>
      </c>
      <c r="C27" s="173" t="str">
        <f t="shared" si="5"/>
        <v/>
      </c>
      <c r="D27" s="173" t="str">
        <f t="shared" si="5"/>
        <v/>
      </c>
      <c r="E27" s="173" t="str">
        <f t="shared" si="5"/>
        <v/>
      </c>
      <c r="F27" s="173" t="str">
        <f t="shared" si="5"/>
        <v/>
      </c>
      <c r="G27" s="173" t="str">
        <f t="shared" si="5"/>
        <v/>
      </c>
      <c r="H27" s="173" t="str">
        <f t="shared" si="5"/>
        <v/>
      </c>
      <c r="I27" s="173" t="str">
        <f t="shared" si="5"/>
        <v/>
      </c>
      <c r="J27" s="173" t="str">
        <f t="shared" si="5"/>
        <v/>
      </c>
      <c r="K27" s="173" t="str">
        <f t="shared" si="5"/>
        <v/>
      </c>
      <c r="L27" s="173" t="str">
        <f t="shared" si="6"/>
        <v>info</v>
      </c>
      <c r="M27" s="173" t="str">
        <f t="shared" si="6"/>
        <v/>
      </c>
      <c r="N27" s="173" t="str">
        <f t="shared" si="6"/>
        <v/>
      </c>
      <c r="O27" s="173" t="str">
        <f t="shared" si="6"/>
        <v/>
      </c>
      <c r="P27" s="174" t="str">
        <f t="shared" si="6"/>
        <v/>
      </c>
      <c r="Q27" s="174" t="str">
        <f t="shared" si="6"/>
        <v>x</v>
      </c>
      <c r="R27" s="174" t="str">
        <f t="shared" si="6"/>
        <v>BS</v>
      </c>
      <c r="S27" s="174" t="str">
        <f t="shared" si="6"/>
        <v>all</v>
      </c>
      <c r="T27" s="173" t="str">
        <f t="shared" si="6"/>
        <v/>
      </c>
      <c r="U27" s="173" t="str">
        <f t="shared" si="6"/>
        <v/>
      </c>
      <c r="V27" s="173" t="str">
        <f t="shared" si="6"/>
        <v/>
      </c>
      <c r="W27" s="173" t="str">
        <f t="shared" si="6"/>
        <v/>
      </c>
      <c r="X27" s="173" t="str">
        <f t="shared" si="6"/>
        <v/>
      </c>
      <c r="Y27" s="173" t="str">
        <f t="shared" si="6"/>
        <v/>
      </c>
    </row>
    <row r="28" spans="1:25" x14ac:dyDescent="0.3">
      <c r="A28" s="172">
        <f t="shared" si="0"/>
        <v>26</v>
      </c>
      <c r="B28" s="173" t="str">
        <f t="shared" si="5"/>
        <v/>
      </c>
      <c r="C28" s="173" t="str">
        <f t="shared" si="5"/>
        <v/>
      </c>
      <c r="D28" s="173" t="str">
        <f t="shared" si="5"/>
        <v/>
      </c>
      <c r="E28" s="173" t="str">
        <f t="shared" si="5"/>
        <v/>
      </c>
      <c r="F28" s="173" t="str">
        <f t="shared" si="5"/>
        <v/>
      </c>
      <c r="G28" s="173" t="str">
        <f t="shared" si="5"/>
        <v/>
      </c>
      <c r="H28" s="173" t="str">
        <f t="shared" si="5"/>
        <v/>
      </c>
      <c r="I28" s="173" t="str">
        <f t="shared" si="5"/>
        <v/>
      </c>
      <c r="J28" s="173" t="str">
        <f t="shared" si="5"/>
        <v/>
      </c>
      <c r="K28" s="173" t="str">
        <f t="shared" si="5"/>
        <v/>
      </c>
      <c r="L28" s="173" t="str">
        <f t="shared" si="6"/>
        <v>info</v>
      </c>
      <c r="M28" s="173" t="str">
        <f t="shared" si="6"/>
        <v/>
      </c>
      <c r="N28" s="173" t="str">
        <f t="shared" si="6"/>
        <v/>
      </c>
      <c r="O28" s="173" t="str">
        <f t="shared" si="6"/>
        <v/>
      </c>
      <c r="P28" s="174" t="str">
        <f t="shared" si="6"/>
        <v/>
      </c>
      <c r="Q28" s="174" t="str">
        <f t="shared" si="6"/>
        <v>x</v>
      </c>
      <c r="R28" s="174" t="str">
        <f t="shared" si="6"/>
        <v>BS</v>
      </c>
      <c r="S28" s="174" t="str">
        <f t="shared" si="6"/>
        <v>all</v>
      </c>
      <c r="T28" s="173" t="str">
        <f t="shared" si="6"/>
        <v/>
      </c>
      <c r="U28" s="173" t="str">
        <f t="shared" si="6"/>
        <v/>
      </c>
      <c r="V28" s="173" t="str">
        <f t="shared" si="6"/>
        <v/>
      </c>
      <c r="W28" s="173" t="str">
        <f t="shared" si="6"/>
        <v/>
      </c>
      <c r="X28" s="173" t="str">
        <f t="shared" si="6"/>
        <v/>
      </c>
      <c r="Y28" s="173" t="str">
        <f t="shared" si="6"/>
        <v/>
      </c>
    </row>
    <row r="29" spans="1:25" x14ac:dyDescent="0.3">
      <c r="A29" s="172">
        <f t="shared" si="0"/>
        <v>27</v>
      </c>
      <c r="B29" s="173" t="str">
        <f t="shared" si="5"/>
        <v/>
      </c>
      <c r="C29" s="173" t="str">
        <f t="shared" si="5"/>
        <v/>
      </c>
      <c r="D29" s="173" t="str">
        <f t="shared" si="5"/>
        <v/>
      </c>
      <c r="E29" s="173" t="str">
        <f t="shared" si="5"/>
        <v/>
      </c>
      <c r="F29" s="173" t="str">
        <f t="shared" si="5"/>
        <v/>
      </c>
      <c r="G29" s="173" t="str">
        <f t="shared" si="5"/>
        <v/>
      </c>
      <c r="H29" s="173" t="str">
        <f t="shared" si="5"/>
        <v/>
      </c>
      <c r="I29" s="173" t="str">
        <f t="shared" si="5"/>
        <v/>
      </c>
      <c r="J29" s="173" t="str">
        <f t="shared" si="5"/>
        <v/>
      </c>
      <c r="K29" s="173" t="str">
        <f t="shared" si="5"/>
        <v/>
      </c>
      <c r="L29" s="173" t="str">
        <f t="shared" si="6"/>
        <v>info</v>
      </c>
      <c r="M29" s="173" t="str">
        <f t="shared" si="6"/>
        <v/>
      </c>
      <c r="N29" s="173" t="str">
        <f t="shared" si="6"/>
        <v/>
      </c>
      <c r="O29" s="173" t="str">
        <f t="shared" si="6"/>
        <v/>
      </c>
      <c r="P29" s="174" t="str">
        <f t="shared" si="6"/>
        <v/>
      </c>
      <c r="Q29" s="174" t="str">
        <f t="shared" si="6"/>
        <v>x</v>
      </c>
      <c r="R29" s="174" t="str">
        <f t="shared" si="6"/>
        <v>BS</v>
      </c>
      <c r="S29" s="174" t="str">
        <f t="shared" si="6"/>
        <v>all</v>
      </c>
      <c r="T29" s="173" t="str">
        <f t="shared" si="6"/>
        <v/>
      </c>
      <c r="U29" s="173" t="str">
        <f t="shared" si="6"/>
        <v/>
      </c>
      <c r="V29" s="173" t="str">
        <f t="shared" si="6"/>
        <v/>
      </c>
      <c r="W29" s="173" t="str">
        <f t="shared" si="6"/>
        <v/>
      </c>
      <c r="X29" s="173" t="str">
        <f t="shared" si="6"/>
        <v/>
      </c>
      <c r="Y29" s="173" t="str">
        <f t="shared" si="6"/>
        <v/>
      </c>
    </row>
    <row r="30" spans="1:25" x14ac:dyDescent="0.3">
      <c r="A30" s="172">
        <f t="shared" si="0"/>
        <v>28</v>
      </c>
      <c r="B30" s="173" t="str">
        <f t="shared" si="5"/>
        <v/>
      </c>
      <c r="C30" s="173" t="str">
        <f t="shared" si="5"/>
        <v/>
      </c>
      <c r="D30" s="173" t="str">
        <f t="shared" si="5"/>
        <v/>
      </c>
      <c r="E30" s="173" t="str">
        <f t="shared" si="5"/>
        <v/>
      </c>
      <c r="F30" s="173" t="str">
        <f t="shared" si="5"/>
        <v/>
      </c>
      <c r="G30" s="173" t="str">
        <f t="shared" si="5"/>
        <v/>
      </c>
      <c r="H30" s="173" t="str">
        <f t="shared" si="5"/>
        <v/>
      </c>
      <c r="I30" s="173" t="str">
        <f t="shared" si="5"/>
        <v/>
      </c>
      <c r="J30" s="173" t="str">
        <f t="shared" si="5"/>
        <v/>
      </c>
      <c r="K30" s="173" t="str">
        <f t="shared" si="5"/>
        <v/>
      </c>
      <c r="L30" s="173" t="str">
        <f t="shared" si="6"/>
        <v>info</v>
      </c>
      <c r="M30" s="173" t="str">
        <f t="shared" si="6"/>
        <v/>
      </c>
      <c r="N30" s="173" t="str">
        <f t="shared" si="6"/>
        <v/>
      </c>
      <c r="O30" s="173" t="str">
        <f t="shared" si="6"/>
        <v/>
      </c>
      <c r="P30" s="174" t="str">
        <f t="shared" si="6"/>
        <v/>
      </c>
      <c r="Q30" s="174" t="str">
        <f t="shared" si="6"/>
        <v>x</v>
      </c>
      <c r="R30" s="174" t="str">
        <f t="shared" si="6"/>
        <v>BS</v>
      </c>
      <c r="S30" s="174" t="str">
        <f t="shared" si="6"/>
        <v>all</v>
      </c>
      <c r="T30" s="173" t="str">
        <f t="shared" si="6"/>
        <v/>
      </c>
      <c r="U30" s="173" t="str">
        <f t="shared" si="6"/>
        <v/>
      </c>
      <c r="V30" s="173" t="str">
        <f t="shared" si="6"/>
        <v/>
      </c>
      <c r="W30" s="173" t="str">
        <f t="shared" si="6"/>
        <v/>
      </c>
      <c r="X30" s="173" t="str">
        <f t="shared" si="6"/>
        <v/>
      </c>
      <c r="Y30" s="173" t="str">
        <f t="shared" si="6"/>
        <v/>
      </c>
    </row>
    <row r="31" spans="1:25" x14ac:dyDescent="0.3">
      <c r="A31" s="172">
        <f t="shared" si="0"/>
        <v>29</v>
      </c>
      <c r="B31" s="173" t="str">
        <f t="shared" si="5"/>
        <v/>
      </c>
      <c r="C31" s="173" t="str">
        <f t="shared" si="5"/>
        <v/>
      </c>
      <c r="D31" s="173" t="str">
        <f t="shared" si="5"/>
        <v/>
      </c>
      <c r="E31" s="173" t="str">
        <f t="shared" si="5"/>
        <v/>
      </c>
      <c r="F31" s="173" t="str">
        <f t="shared" si="5"/>
        <v/>
      </c>
      <c r="G31" s="173" t="str">
        <f t="shared" si="5"/>
        <v/>
      </c>
      <c r="H31" s="173" t="str">
        <f t="shared" si="5"/>
        <v/>
      </c>
      <c r="I31" s="173" t="str">
        <f t="shared" si="5"/>
        <v/>
      </c>
      <c r="J31" s="173" t="str">
        <f t="shared" si="5"/>
        <v/>
      </c>
      <c r="K31" s="173" t="str">
        <f t="shared" si="5"/>
        <v/>
      </c>
      <c r="L31" s="173" t="str">
        <f t="shared" si="6"/>
        <v>info</v>
      </c>
      <c r="M31" s="173" t="str">
        <f t="shared" si="6"/>
        <v/>
      </c>
      <c r="N31" s="173" t="str">
        <f t="shared" si="6"/>
        <v/>
      </c>
      <c r="O31" s="173" t="str">
        <f t="shared" si="6"/>
        <v/>
      </c>
      <c r="P31" s="174" t="str">
        <f t="shared" si="6"/>
        <v/>
      </c>
      <c r="Q31" s="174" t="str">
        <f t="shared" si="6"/>
        <v>x</v>
      </c>
      <c r="R31" s="174" t="str">
        <f t="shared" si="6"/>
        <v>BS</v>
      </c>
      <c r="S31" s="174" t="str">
        <f t="shared" si="6"/>
        <v>all</v>
      </c>
      <c r="T31" s="173" t="str">
        <f t="shared" si="6"/>
        <v/>
      </c>
      <c r="U31" s="173" t="str">
        <f t="shared" si="6"/>
        <v/>
      </c>
      <c r="V31" s="173" t="str">
        <f t="shared" si="6"/>
        <v/>
      </c>
      <c r="W31" s="173" t="str">
        <f t="shared" si="6"/>
        <v/>
      </c>
      <c r="X31" s="173" t="str">
        <f t="shared" si="6"/>
        <v/>
      </c>
      <c r="Y31" s="173" t="str">
        <f t="shared" si="6"/>
        <v/>
      </c>
    </row>
    <row r="32" spans="1:25" x14ac:dyDescent="0.3">
      <c r="A32" s="172">
        <f t="shared" si="0"/>
        <v>30</v>
      </c>
      <c r="B32" s="173" t="str">
        <f t="shared" si="5"/>
        <v/>
      </c>
      <c r="C32" s="173" t="str">
        <f t="shared" si="5"/>
        <v/>
      </c>
      <c r="D32" s="173" t="str">
        <f t="shared" si="5"/>
        <v/>
      </c>
      <c r="E32" s="173" t="str">
        <f t="shared" si="5"/>
        <v/>
      </c>
      <c r="F32" s="173" t="str">
        <f t="shared" si="5"/>
        <v/>
      </c>
      <c r="G32" s="173" t="str">
        <f t="shared" si="5"/>
        <v/>
      </c>
      <c r="H32" s="173" t="str">
        <f t="shared" si="5"/>
        <v/>
      </c>
      <c r="I32" s="173" t="str">
        <f t="shared" si="5"/>
        <v/>
      </c>
      <c r="J32" s="173" t="str">
        <f t="shared" si="5"/>
        <v/>
      </c>
      <c r="K32" s="173" t="str">
        <f t="shared" si="5"/>
        <v/>
      </c>
      <c r="L32" s="173" t="str">
        <f t="shared" si="6"/>
        <v>info</v>
      </c>
      <c r="M32" s="173" t="str">
        <f t="shared" si="6"/>
        <v/>
      </c>
      <c r="N32" s="173" t="str">
        <f t="shared" si="6"/>
        <v/>
      </c>
      <c r="O32" s="173" t="str">
        <f t="shared" si="6"/>
        <v/>
      </c>
      <c r="P32" s="174" t="str">
        <f t="shared" si="6"/>
        <v/>
      </c>
      <c r="Q32" s="174" t="str">
        <f t="shared" si="6"/>
        <v>x</v>
      </c>
      <c r="R32" s="174" t="str">
        <f t="shared" si="6"/>
        <v>BS</v>
      </c>
      <c r="S32" s="174" t="str">
        <f t="shared" si="6"/>
        <v>all</v>
      </c>
      <c r="T32" s="173" t="str">
        <f t="shared" si="6"/>
        <v/>
      </c>
      <c r="U32" s="173" t="str">
        <f t="shared" si="6"/>
        <v/>
      </c>
      <c r="V32" s="173" t="str">
        <f t="shared" si="6"/>
        <v/>
      </c>
      <c r="W32" s="173" t="str">
        <f t="shared" si="6"/>
        <v/>
      </c>
      <c r="X32" s="173" t="str">
        <f t="shared" si="6"/>
        <v/>
      </c>
      <c r="Y32" s="173" t="str">
        <f t="shared" si="6"/>
        <v/>
      </c>
    </row>
    <row r="33" spans="1:25" x14ac:dyDescent="0.3">
      <c r="A33" s="172">
        <f t="shared" si="0"/>
        <v>31</v>
      </c>
      <c r="B33" s="173" t="str">
        <f t="shared" ref="B33:K42" si="7">IF(ISNONTEXT(B$2),IF(B$2="","",IF(INDEX(IMPORT,$A33,B$2)=0,"",IFERROR(VLOOKUP(INDEX(IMPORT,$A33,B$2),ImportTranslation,2,0),INDEX(IMPORT,$A33,B$2)))),B$2)</f>
        <v/>
      </c>
      <c r="C33" s="173" t="str">
        <f t="shared" si="7"/>
        <v/>
      </c>
      <c r="D33" s="173" t="str">
        <f t="shared" si="7"/>
        <v/>
      </c>
      <c r="E33" s="173" t="str">
        <f t="shared" si="7"/>
        <v/>
      </c>
      <c r="F33" s="173" t="str">
        <f t="shared" si="7"/>
        <v/>
      </c>
      <c r="G33" s="173" t="str">
        <f t="shared" si="7"/>
        <v/>
      </c>
      <c r="H33" s="173" t="str">
        <f t="shared" si="7"/>
        <v/>
      </c>
      <c r="I33" s="173" t="str">
        <f t="shared" si="7"/>
        <v/>
      </c>
      <c r="J33" s="173" t="str">
        <f t="shared" si="7"/>
        <v/>
      </c>
      <c r="K33" s="173" t="str">
        <f t="shared" si="7"/>
        <v/>
      </c>
      <c r="L33" s="173" t="str">
        <f t="shared" ref="L33:Y42" si="8">IF(ISNONTEXT(L$2),IF(L$2="","",IF(INDEX(IMPORT,$A33,L$2)=0,"",IFERROR(VLOOKUP(INDEX(IMPORT,$A33,L$2),ImportTranslation,2,0),INDEX(IMPORT,$A33,L$2)))),L$2)</f>
        <v>info</v>
      </c>
      <c r="M33" s="173" t="str">
        <f t="shared" si="8"/>
        <v/>
      </c>
      <c r="N33" s="173" t="str">
        <f t="shared" si="8"/>
        <v/>
      </c>
      <c r="O33" s="173" t="str">
        <f t="shared" si="8"/>
        <v/>
      </c>
      <c r="P33" s="174" t="str">
        <f t="shared" si="8"/>
        <v/>
      </c>
      <c r="Q33" s="174" t="str">
        <f t="shared" si="8"/>
        <v>x</v>
      </c>
      <c r="R33" s="174" t="str">
        <f t="shared" si="8"/>
        <v>BS</v>
      </c>
      <c r="S33" s="174" t="str">
        <f t="shared" si="8"/>
        <v>all</v>
      </c>
      <c r="T33" s="173" t="str">
        <f t="shared" si="8"/>
        <v/>
      </c>
      <c r="U33" s="173" t="str">
        <f t="shared" si="8"/>
        <v/>
      </c>
      <c r="V33" s="173" t="str">
        <f t="shared" si="8"/>
        <v/>
      </c>
      <c r="W33" s="173" t="str">
        <f t="shared" si="8"/>
        <v/>
      </c>
      <c r="X33" s="173" t="str">
        <f t="shared" si="8"/>
        <v/>
      </c>
      <c r="Y33" s="173" t="str">
        <f t="shared" si="8"/>
        <v/>
      </c>
    </row>
    <row r="34" spans="1:25" x14ac:dyDescent="0.3">
      <c r="A34" s="172">
        <f t="shared" si="0"/>
        <v>32</v>
      </c>
      <c r="B34" s="173" t="str">
        <f t="shared" si="7"/>
        <v/>
      </c>
      <c r="C34" s="173" t="str">
        <f t="shared" si="7"/>
        <v/>
      </c>
      <c r="D34" s="173" t="str">
        <f t="shared" si="7"/>
        <v/>
      </c>
      <c r="E34" s="173" t="str">
        <f t="shared" si="7"/>
        <v/>
      </c>
      <c r="F34" s="173" t="str">
        <f t="shared" si="7"/>
        <v/>
      </c>
      <c r="G34" s="173" t="str">
        <f t="shared" si="7"/>
        <v/>
      </c>
      <c r="H34" s="173" t="str">
        <f t="shared" si="7"/>
        <v/>
      </c>
      <c r="I34" s="173" t="str">
        <f t="shared" si="7"/>
        <v/>
      </c>
      <c r="J34" s="173" t="str">
        <f t="shared" si="7"/>
        <v/>
      </c>
      <c r="K34" s="173" t="str">
        <f t="shared" si="7"/>
        <v/>
      </c>
      <c r="L34" s="173" t="str">
        <f t="shared" si="8"/>
        <v>info</v>
      </c>
      <c r="M34" s="173" t="str">
        <f t="shared" si="8"/>
        <v/>
      </c>
      <c r="N34" s="173" t="str">
        <f t="shared" si="8"/>
        <v/>
      </c>
      <c r="O34" s="173" t="str">
        <f t="shared" si="8"/>
        <v/>
      </c>
      <c r="P34" s="174" t="str">
        <f t="shared" si="8"/>
        <v/>
      </c>
      <c r="Q34" s="174" t="str">
        <f t="shared" si="8"/>
        <v>x</v>
      </c>
      <c r="R34" s="174" t="str">
        <f t="shared" si="8"/>
        <v>BS</v>
      </c>
      <c r="S34" s="174" t="str">
        <f t="shared" si="8"/>
        <v>all</v>
      </c>
      <c r="T34" s="173" t="str">
        <f t="shared" si="8"/>
        <v/>
      </c>
      <c r="U34" s="173" t="str">
        <f t="shared" si="8"/>
        <v/>
      </c>
      <c r="V34" s="173" t="str">
        <f t="shared" si="8"/>
        <v/>
      </c>
      <c r="W34" s="173" t="str">
        <f t="shared" si="8"/>
        <v/>
      </c>
      <c r="X34" s="173" t="str">
        <f t="shared" si="8"/>
        <v/>
      </c>
      <c r="Y34" s="173" t="str">
        <f t="shared" si="8"/>
        <v/>
      </c>
    </row>
    <row r="35" spans="1:25" x14ac:dyDescent="0.3">
      <c r="A35" s="172">
        <f t="shared" si="0"/>
        <v>33</v>
      </c>
      <c r="B35" s="173" t="str">
        <f t="shared" si="7"/>
        <v/>
      </c>
      <c r="C35" s="173" t="str">
        <f t="shared" si="7"/>
        <v/>
      </c>
      <c r="D35" s="173" t="str">
        <f t="shared" si="7"/>
        <v/>
      </c>
      <c r="E35" s="173" t="str">
        <f t="shared" si="7"/>
        <v/>
      </c>
      <c r="F35" s="173" t="str">
        <f t="shared" si="7"/>
        <v/>
      </c>
      <c r="G35" s="173" t="str">
        <f t="shared" si="7"/>
        <v/>
      </c>
      <c r="H35" s="173" t="str">
        <f t="shared" si="7"/>
        <v/>
      </c>
      <c r="I35" s="173" t="str">
        <f t="shared" si="7"/>
        <v/>
      </c>
      <c r="J35" s="173" t="str">
        <f t="shared" si="7"/>
        <v/>
      </c>
      <c r="K35" s="173" t="str">
        <f t="shared" si="7"/>
        <v/>
      </c>
      <c r="L35" s="173" t="str">
        <f t="shared" si="8"/>
        <v>info</v>
      </c>
      <c r="M35" s="173" t="str">
        <f t="shared" si="8"/>
        <v/>
      </c>
      <c r="N35" s="173" t="str">
        <f t="shared" si="8"/>
        <v/>
      </c>
      <c r="O35" s="173" t="str">
        <f t="shared" si="8"/>
        <v/>
      </c>
      <c r="P35" s="174" t="str">
        <f t="shared" si="8"/>
        <v/>
      </c>
      <c r="Q35" s="174" t="str">
        <f t="shared" si="8"/>
        <v>x</v>
      </c>
      <c r="R35" s="174" t="str">
        <f t="shared" si="8"/>
        <v>BS</v>
      </c>
      <c r="S35" s="174" t="str">
        <f t="shared" si="8"/>
        <v>all</v>
      </c>
      <c r="T35" s="173" t="str">
        <f t="shared" si="8"/>
        <v/>
      </c>
      <c r="U35" s="173" t="str">
        <f t="shared" si="8"/>
        <v/>
      </c>
      <c r="V35" s="173" t="str">
        <f t="shared" si="8"/>
        <v/>
      </c>
      <c r="W35" s="173" t="str">
        <f t="shared" si="8"/>
        <v/>
      </c>
      <c r="X35" s="173" t="str">
        <f t="shared" si="8"/>
        <v/>
      </c>
      <c r="Y35" s="173" t="str">
        <f t="shared" si="8"/>
        <v/>
      </c>
    </row>
    <row r="36" spans="1:25" x14ac:dyDescent="0.3">
      <c r="A36" s="172">
        <f t="shared" si="0"/>
        <v>34</v>
      </c>
      <c r="B36" s="173" t="str">
        <f t="shared" si="7"/>
        <v/>
      </c>
      <c r="C36" s="173" t="str">
        <f t="shared" si="7"/>
        <v/>
      </c>
      <c r="D36" s="173" t="str">
        <f t="shared" si="7"/>
        <v/>
      </c>
      <c r="E36" s="173" t="str">
        <f t="shared" si="7"/>
        <v/>
      </c>
      <c r="F36" s="173" t="str">
        <f t="shared" si="7"/>
        <v/>
      </c>
      <c r="G36" s="173" t="str">
        <f t="shared" si="7"/>
        <v/>
      </c>
      <c r="H36" s="173" t="str">
        <f t="shared" si="7"/>
        <v/>
      </c>
      <c r="I36" s="173" t="str">
        <f t="shared" si="7"/>
        <v/>
      </c>
      <c r="J36" s="173" t="str">
        <f t="shared" si="7"/>
        <v/>
      </c>
      <c r="K36" s="173" t="str">
        <f t="shared" si="7"/>
        <v/>
      </c>
      <c r="L36" s="173" t="str">
        <f t="shared" si="8"/>
        <v>info</v>
      </c>
      <c r="M36" s="173" t="str">
        <f t="shared" si="8"/>
        <v/>
      </c>
      <c r="N36" s="173" t="str">
        <f t="shared" si="8"/>
        <v/>
      </c>
      <c r="O36" s="173" t="str">
        <f t="shared" si="8"/>
        <v/>
      </c>
      <c r="P36" s="174" t="str">
        <f t="shared" si="8"/>
        <v/>
      </c>
      <c r="Q36" s="174" t="str">
        <f t="shared" si="8"/>
        <v>x</v>
      </c>
      <c r="R36" s="174" t="str">
        <f t="shared" si="8"/>
        <v>BS</v>
      </c>
      <c r="S36" s="174" t="str">
        <f t="shared" si="8"/>
        <v>all</v>
      </c>
      <c r="T36" s="173" t="str">
        <f t="shared" si="8"/>
        <v/>
      </c>
      <c r="U36" s="173" t="str">
        <f t="shared" si="8"/>
        <v/>
      </c>
      <c r="V36" s="173" t="str">
        <f t="shared" si="8"/>
        <v/>
      </c>
      <c r="W36" s="173" t="str">
        <f t="shared" si="8"/>
        <v/>
      </c>
      <c r="X36" s="173" t="str">
        <f t="shared" si="8"/>
        <v/>
      </c>
      <c r="Y36" s="173" t="str">
        <f t="shared" si="8"/>
        <v/>
      </c>
    </row>
    <row r="37" spans="1:25" x14ac:dyDescent="0.3">
      <c r="A37" s="172">
        <f t="shared" si="0"/>
        <v>35</v>
      </c>
      <c r="B37" s="173" t="str">
        <f t="shared" si="7"/>
        <v/>
      </c>
      <c r="C37" s="173" t="str">
        <f t="shared" si="7"/>
        <v/>
      </c>
      <c r="D37" s="173" t="str">
        <f t="shared" si="7"/>
        <v/>
      </c>
      <c r="E37" s="173" t="str">
        <f t="shared" si="7"/>
        <v/>
      </c>
      <c r="F37" s="173" t="str">
        <f t="shared" si="7"/>
        <v/>
      </c>
      <c r="G37" s="173" t="str">
        <f t="shared" si="7"/>
        <v/>
      </c>
      <c r="H37" s="173" t="str">
        <f t="shared" si="7"/>
        <v/>
      </c>
      <c r="I37" s="173" t="str">
        <f t="shared" si="7"/>
        <v/>
      </c>
      <c r="J37" s="173" t="str">
        <f t="shared" si="7"/>
        <v/>
      </c>
      <c r="K37" s="173" t="str">
        <f t="shared" si="7"/>
        <v/>
      </c>
      <c r="L37" s="173" t="str">
        <f t="shared" si="8"/>
        <v>info</v>
      </c>
      <c r="M37" s="173" t="str">
        <f t="shared" si="8"/>
        <v/>
      </c>
      <c r="N37" s="173" t="str">
        <f t="shared" si="8"/>
        <v/>
      </c>
      <c r="O37" s="173" t="str">
        <f t="shared" si="8"/>
        <v/>
      </c>
      <c r="P37" s="174" t="str">
        <f t="shared" si="8"/>
        <v/>
      </c>
      <c r="Q37" s="174" t="str">
        <f t="shared" si="8"/>
        <v>x</v>
      </c>
      <c r="R37" s="174" t="str">
        <f t="shared" si="8"/>
        <v>BS</v>
      </c>
      <c r="S37" s="174" t="str">
        <f t="shared" si="8"/>
        <v>all</v>
      </c>
      <c r="T37" s="173" t="str">
        <f t="shared" si="8"/>
        <v/>
      </c>
      <c r="U37" s="173" t="str">
        <f t="shared" si="8"/>
        <v/>
      </c>
      <c r="V37" s="173" t="str">
        <f t="shared" si="8"/>
        <v/>
      </c>
      <c r="W37" s="173" t="str">
        <f t="shared" si="8"/>
        <v/>
      </c>
      <c r="X37" s="173" t="str">
        <f t="shared" si="8"/>
        <v/>
      </c>
      <c r="Y37" s="173" t="str">
        <f t="shared" si="8"/>
        <v/>
      </c>
    </row>
    <row r="38" spans="1:25" x14ac:dyDescent="0.3">
      <c r="A38" s="172">
        <f t="shared" si="0"/>
        <v>36</v>
      </c>
      <c r="B38" s="173" t="str">
        <f t="shared" si="7"/>
        <v/>
      </c>
      <c r="C38" s="173" t="str">
        <f t="shared" si="7"/>
        <v/>
      </c>
      <c r="D38" s="173" t="str">
        <f t="shared" si="7"/>
        <v/>
      </c>
      <c r="E38" s="173" t="str">
        <f t="shared" si="7"/>
        <v/>
      </c>
      <c r="F38" s="173" t="str">
        <f t="shared" si="7"/>
        <v/>
      </c>
      <c r="G38" s="173" t="str">
        <f t="shared" si="7"/>
        <v/>
      </c>
      <c r="H38" s="173" t="str">
        <f t="shared" si="7"/>
        <v/>
      </c>
      <c r="I38" s="173" t="str">
        <f t="shared" si="7"/>
        <v/>
      </c>
      <c r="J38" s="173" t="str">
        <f t="shared" si="7"/>
        <v/>
      </c>
      <c r="K38" s="173" t="str">
        <f t="shared" si="7"/>
        <v/>
      </c>
      <c r="L38" s="173" t="str">
        <f t="shared" si="8"/>
        <v>info</v>
      </c>
      <c r="M38" s="173" t="str">
        <f t="shared" si="8"/>
        <v/>
      </c>
      <c r="N38" s="173" t="str">
        <f t="shared" si="8"/>
        <v/>
      </c>
      <c r="O38" s="173" t="str">
        <f t="shared" si="8"/>
        <v/>
      </c>
      <c r="P38" s="174" t="str">
        <f t="shared" si="8"/>
        <v/>
      </c>
      <c r="Q38" s="174" t="str">
        <f t="shared" si="8"/>
        <v>x</v>
      </c>
      <c r="R38" s="174" t="str">
        <f t="shared" si="8"/>
        <v>BS</v>
      </c>
      <c r="S38" s="174" t="str">
        <f t="shared" si="8"/>
        <v>all</v>
      </c>
      <c r="T38" s="173" t="str">
        <f t="shared" si="8"/>
        <v/>
      </c>
      <c r="U38" s="173" t="str">
        <f t="shared" si="8"/>
        <v/>
      </c>
      <c r="V38" s="173" t="str">
        <f t="shared" si="8"/>
        <v/>
      </c>
      <c r="W38" s="173" t="str">
        <f t="shared" si="8"/>
        <v/>
      </c>
      <c r="X38" s="173" t="str">
        <f t="shared" si="8"/>
        <v/>
      </c>
      <c r="Y38" s="173" t="str">
        <f t="shared" si="8"/>
        <v/>
      </c>
    </row>
    <row r="39" spans="1:25" x14ac:dyDescent="0.3">
      <c r="A39" s="172">
        <f t="shared" si="0"/>
        <v>37</v>
      </c>
      <c r="B39" s="173" t="str">
        <f t="shared" si="7"/>
        <v/>
      </c>
      <c r="C39" s="173" t="str">
        <f t="shared" si="7"/>
        <v/>
      </c>
      <c r="D39" s="173" t="str">
        <f t="shared" si="7"/>
        <v/>
      </c>
      <c r="E39" s="173" t="str">
        <f t="shared" si="7"/>
        <v/>
      </c>
      <c r="F39" s="173" t="str">
        <f t="shared" si="7"/>
        <v/>
      </c>
      <c r="G39" s="173" t="str">
        <f t="shared" si="7"/>
        <v/>
      </c>
      <c r="H39" s="173" t="str">
        <f t="shared" si="7"/>
        <v/>
      </c>
      <c r="I39" s="173" t="str">
        <f t="shared" si="7"/>
        <v/>
      </c>
      <c r="J39" s="173" t="str">
        <f t="shared" si="7"/>
        <v/>
      </c>
      <c r="K39" s="173" t="str">
        <f t="shared" si="7"/>
        <v/>
      </c>
      <c r="L39" s="173" t="str">
        <f t="shared" si="8"/>
        <v>info</v>
      </c>
      <c r="M39" s="173" t="str">
        <f t="shared" si="8"/>
        <v/>
      </c>
      <c r="N39" s="173" t="str">
        <f t="shared" si="8"/>
        <v/>
      </c>
      <c r="O39" s="173" t="str">
        <f t="shared" si="8"/>
        <v/>
      </c>
      <c r="P39" s="174" t="str">
        <f t="shared" si="8"/>
        <v/>
      </c>
      <c r="Q39" s="174" t="str">
        <f t="shared" si="8"/>
        <v>x</v>
      </c>
      <c r="R39" s="174" t="str">
        <f t="shared" si="8"/>
        <v>BS</v>
      </c>
      <c r="S39" s="174" t="str">
        <f t="shared" si="8"/>
        <v>all</v>
      </c>
      <c r="T39" s="173" t="str">
        <f t="shared" si="8"/>
        <v/>
      </c>
      <c r="U39" s="173" t="str">
        <f t="shared" si="8"/>
        <v/>
      </c>
      <c r="V39" s="173" t="str">
        <f t="shared" si="8"/>
        <v/>
      </c>
      <c r="W39" s="173" t="str">
        <f t="shared" si="8"/>
        <v/>
      </c>
      <c r="X39" s="173" t="str">
        <f t="shared" si="8"/>
        <v/>
      </c>
      <c r="Y39" s="173" t="str">
        <f t="shared" si="8"/>
        <v/>
      </c>
    </row>
    <row r="40" spans="1:25" x14ac:dyDescent="0.3">
      <c r="A40" s="172">
        <f t="shared" si="0"/>
        <v>38</v>
      </c>
      <c r="B40" s="173" t="str">
        <f t="shared" si="7"/>
        <v/>
      </c>
      <c r="C40" s="173" t="str">
        <f t="shared" si="7"/>
        <v/>
      </c>
      <c r="D40" s="173" t="str">
        <f t="shared" si="7"/>
        <v/>
      </c>
      <c r="E40" s="173" t="str">
        <f t="shared" si="7"/>
        <v/>
      </c>
      <c r="F40" s="173" t="str">
        <f t="shared" si="7"/>
        <v/>
      </c>
      <c r="G40" s="173" t="str">
        <f t="shared" si="7"/>
        <v/>
      </c>
      <c r="H40" s="173" t="str">
        <f t="shared" si="7"/>
        <v/>
      </c>
      <c r="I40" s="173" t="str">
        <f t="shared" si="7"/>
        <v/>
      </c>
      <c r="J40" s="173" t="str">
        <f t="shared" si="7"/>
        <v/>
      </c>
      <c r="K40" s="173" t="str">
        <f t="shared" si="7"/>
        <v/>
      </c>
      <c r="L40" s="173" t="str">
        <f t="shared" si="8"/>
        <v>info</v>
      </c>
      <c r="M40" s="173" t="str">
        <f t="shared" si="8"/>
        <v/>
      </c>
      <c r="N40" s="173" t="str">
        <f t="shared" si="8"/>
        <v/>
      </c>
      <c r="O40" s="173" t="str">
        <f t="shared" si="8"/>
        <v/>
      </c>
      <c r="P40" s="174" t="str">
        <f t="shared" si="8"/>
        <v/>
      </c>
      <c r="Q40" s="174" t="str">
        <f t="shared" si="8"/>
        <v>x</v>
      </c>
      <c r="R40" s="174" t="str">
        <f t="shared" si="8"/>
        <v>BS</v>
      </c>
      <c r="S40" s="174" t="str">
        <f t="shared" si="8"/>
        <v>all</v>
      </c>
      <c r="T40" s="173" t="str">
        <f t="shared" si="8"/>
        <v/>
      </c>
      <c r="U40" s="173" t="str">
        <f t="shared" si="8"/>
        <v/>
      </c>
      <c r="V40" s="173" t="str">
        <f t="shared" si="8"/>
        <v/>
      </c>
      <c r="W40" s="173" t="str">
        <f t="shared" si="8"/>
        <v/>
      </c>
      <c r="X40" s="173" t="str">
        <f t="shared" si="8"/>
        <v/>
      </c>
      <c r="Y40" s="173" t="str">
        <f t="shared" si="8"/>
        <v/>
      </c>
    </row>
    <row r="41" spans="1:25" x14ac:dyDescent="0.3">
      <c r="A41" s="172">
        <f t="shared" si="0"/>
        <v>39</v>
      </c>
      <c r="B41" s="173" t="str">
        <f t="shared" si="7"/>
        <v/>
      </c>
      <c r="C41" s="173" t="str">
        <f t="shared" si="7"/>
        <v/>
      </c>
      <c r="D41" s="173" t="str">
        <f t="shared" si="7"/>
        <v/>
      </c>
      <c r="E41" s="173" t="str">
        <f t="shared" si="7"/>
        <v/>
      </c>
      <c r="F41" s="173" t="str">
        <f t="shared" si="7"/>
        <v/>
      </c>
      <c r="G41" s="173" t="str">
        <f t="shared" si="7"/>
        <v/>
      </c>
      <c r="H41" s="173" t="str">
        <f t="shared" si="7"/>
        <v/>
      </c>
      <c r="I41" s="173" t="str">
        <f t="shared" si="7"/>
        <v/>
      </c>
      <c r="J41" s="173" t="str">
        <f t="shared" si="7"/>
        <v/>
      </c>
      <c r="K41" s="173" t="str">
        <f t="shared" si="7"/>
        <v/>
      </c>
      <c r="L41" s="173" t="str">
        <f t="shared" si="8"/>
        <v>info</v>
      </c>
      <c r="M41" s="173" t="str">
        <f t="shared" si="8"/>
        <v/>
      </c>
      <c r="N41" s="173" t="str">
        <f t="shared" si="8"/>
        <v/>
      </c>
      <c r="O41" s="173" t="str">
        <f t="shared" si="8"/>
        <v/>
      </c>
      <c r="P41" s="174" t="str">
        <f t="shared" si="8"/>
        <v/>
      </c>
      <c r="Q41" s="174" t="str">
        <f t="shared" si="8"/>
        <v>x</v>
      </c>
      <c r="R41" s="174" t="str">
        <f t="shared" si="8"/>
        <v>BS</v>
      </c>
      <c r="S41" s="174" t="str">
        <f t="shared" si="8"/>
        <v>all</v>
      </c>
      <c r="T41" s="173" t="str">
        <f t="shared" si="8"/>
        <v/>
      </c>
      <c r="U41" s="173" t="str">
        <f t="shared" si="8"/>
        <v/>
      </c>
      <c r="V41" s="173" t="str">
        <f t="shared" si="8"/>
        <v/>
      </c>
      <c r="W41" s="173" t="str">
        <f t="shared" si="8"/>
        <v/>
      </c>
      <c r="X41" s="173" t="str">
        <f t="shared" si="8"/>
        <v/>
      </c>
      <c r="Y41" s="173" t="str">
        <f t="shared" si="8"/>
        <v/>
      </c>
    </row>
    <row r="42" spans="1:25" x14ac:dyDescent="0.3">
      <c r="A42" s="172">
        <f t="shared" si="0"/>
        <v>40</v>
      </c>
      <c r="B42" s="173" t="str">
        <f t="shared" si="7"/>
        <v/>
      </c>
      <c r="C42" s="173" t="str">
        <f t="shared" si="7"/>
        <v/>
      </c>
      <c r="D42" s="173" t="str">
        <f t="shared" si="7"/>
        <v/>
      </c>
      <c r="E42" s="173" t="str">
        <f t="shared" si="7"/>
        <v/>
      </c>
      <c r="F42" s="173" t="str">
        <f t="shared" si="7"/>
        <v/>
      </c>
      <c r="G42" s="173" t="str">
        <f t="shared" si="7"/>
        <v/>
      </c>
      <c r="H42" s="173" t="str">
        <f t="shared" si="7"/>
        <v/>
      </c>
      <c r="I42" s="173" t="str">
        <f t="shared" si="7"/>
        <v/>
      </c>
      <c r="J42" s="173" t="str">
        <f t="shared" si="7"/>
        <v/>
      </c>
      <c r="K42" s="173" t="str">
        <f t="shared" si="7"/>
        <v/>
      </c>
      <c r="L42" s="173" t="str">
        <f t="shared" si="8"/>
        <v>info</v>
      </c>
      <c r="M42" s="173" t="str">
        <f t="shared" si="8"/>
        <v/>
      </c>
      <c r="N42" s="173" t="str">
        <f t="shared" si="8"/>
        <v/>
      </c>
      <c r="O42" s="173" t="str">
        <f t="shared" si="8"/>
        <v/>
      </c>
      <c r="P42" s="174" t="str">
        <f t="shared" si="8"/>
        <v/>
      </c>
      <c r="Q42" s="174" t="str">
        <f t="shared" si="8"/>
        <v>x</v>
      </c>
      <c r="R42" s="174" t="str">
        <f t="shared" si="8"/>
        <v>BS</v>
      </c>
      <c r="S42" s="174" t="str">
        <f t="shared" si="8"/>
        <v>all</v>
      </c>
      <c r="T42" s="173" t="str">
        <f t="shared" si="8"/>
        <v/>
      </c>
      <c r="U42" s="173" t="str">
        <f t="shared" si="8"/>
        <v/>
      </c>
      <c r="V42" s="173" t="str">
        <f t="shared" si="8"/>
        <v/>
      </c>
      <c r="W42" s="173" t="str">
        <f t="shared" si="8"/>
        <v/>
      </c>
      <c r="X42" s="173" t="str">
        <f t="shared" si="8"/>
        <v/>
      </c>
      <c r="Y42" s="173" t="str">
        <f t="shared" si="8"/>
        <v/>
      </c>
    </row>
    <row r="43" spans="1:25" x14ac:dyDescent="0.3">
      <c r="A43" s="172">
        <f t="shared" si="0"/>
        <v>41</v>
      </c>
      <c r="B43" s="173" t="str">
        <f t="shared" ref="B43:K52" si="9">IF(ISNONTEXT(B$2),IF(B$2="","",IF(INDEX(IMPORT,$A43,B$2)=0,"",IFERROR(VLOOKUP(INDEX(IMPORT,$A43,B$2),ImportTranslation,2,0),INDEX(IMPORT,$A43,B$2)))),B$2)</f>
        <v/>
      </c>
      <c r="C43" s="173" t="str">
        <f t="shared" si="9"/>
        <v/>
      </c>
      <c r="D43" s="173" t="str">
        <f t="shared" si="9"/>
        <v/>
      </c>
      <c r="E43" s="173" t="str">
        <f t="shared" si="9"/>
        <v/>
      </c>
      <c r="F43" s="173" t="str">
        <f t="shared" si="9"/>
        <v/>
      </c>
      <c r="G43" s="173" t="str">
        <f t="shared" si="9"/>
        <v/>
      </c>
      <c r="H43" s="173" t="str">
        <f t="shared" si="9"/>
        <v/>
      </c>
      <c r="I43" s="173" t="str">
        <f t="shared" si="9"/>
        <v/>
      </c>
      <c r="J43" s="173" t="str">
        <f t="shared" si="9"/>
        <v/>
      </c>
      <c r="K43" s="173" t="str">
        <f t="shared" si="9"/>
        <v/>
      </c>
      <c r="L43" s="173" t="str">
        <f t="shared" ref="L43:Y52" si="10">IF(ISNONTEXT(L$2),IF(L$2="","",IF(INDEX(IMPORT,$A43,L$2)=0,"",IFERROR(VLOOKUP(INDEX(IMPORT,$A43,L$2),ImportTranslation,2,0),INDEX(IMPORT,$A43,L$2)))),L$2)</f>
        <v>info</v>
      </c>
      <c r="M43" s="173" t="str">
        <f t="shared" si="10"/>
        <v/>
      </c>
      <c r="N43" s="173" t="str">
        <f t="shared" si="10"/>
        <v/>
      </c>
      <c r="O43" s="173" t="str">
        <f t="shared" si="10"/>
        <v/>
      </c>
      <c r="P43" s="174" t="str">
        <f t="shared" si="10"/>
        <v/>
      </c>
      <c r="Q43" s="174" t="str">
        <f t="shared" si="10"/>
        <v>x</v>
      </c>
      <c r="R43" s="174" t="str">
        <f t="shared" si="10"/>
        <v>BS</v>
      </c>
      <c r="S43" s="174" t="str">
        <f t="shared" si="10"/>
        <v>all</v>
      </c>
      <c r="T43" s="173" t="str">
        <f t="shared" si="10"/>
        <v/>
      </c>
      <c r="U43" s="173" t="str">
        <f t="shared" si="10"/>
        <v/>
      </c>
      <c r="V43" s="173" t="str">
        <f t="shared" si="10"/>
        <v/>
      </c>
      <c r="W43" s="173" t="str">
        <f t="shared" si="10"/>
        <v/>
      </c>
      <c r="X43" s="173" t="str">
        <f t="shared" si="10"/>
        <v/>
      </c>
      <c r="Y43" s="173" t="str">
        <f t="shared" si="10"/>
        <v/>
      </c>
    </row>
    <row r="44" spans="1:25" x14ac:dyDescent="0.3">
      <c r="A44" s="172">
        <f t="shared" si="0"/>
        <v>42</v>
      </c>
      <c r="B44" s="173" t="str">
        <f t="shared" si="9"/>
        <v/>
      </c>
      <c r="C44" s="173" t="str">
        <f t="shared" si="9"/>
        <v/>
      </c>
      <c r="D44" s="173" t="str">
        <f t="shared" si="9"/>
        <v/>
      </c>
      <c r="E44" s="173" t="str">
        <f t="shared" si="9"/>
        <v/>
      </c>
      <c r="F44" s="173" t="str">
        <f t="shared" si="9"/>
        <v/>
      </c>
      <c r="G44" s="173" t="str">
        <f t="shared" si="9"/>
        <v/>
      </c>
      <c r="H44" s="173" t="str">
        <f t="shared" si="9"/>
        <v/>
      </c>
      <c r="I44" s="173" t="str">
        <f t="shared" si="9"/>
        <v/>
      </c>
      <c r="J44" s="173" t="str">
        <f t="shared" si="9"/>
        <v/>
      </c>
      <c r="K44" s="173" t="str">
        <f t="shared" si="9"/>
        <v/>
      </c>
      <c r="L44" s="173" t="str">
        <f t="shared" si="10"/>
        <v>info</v>
      </c>
      <c r="M44" s="173" t="str">
        <f t="shared" si="10"/>
        <v/>
      </c>
      <c r="N44" s="173" t="str">
        <f t="shared" si="10"/>
        <v/>
      </c>
      <c r="O44" s="173" t="str">
        <f t="shared" si="10"/>
        <v/>
      </c>
      <c r="P44" s="174" t="str">
        <f t="shared" si="10"/>
        <v/>
      </c>
      <c r="Q44" s="174" t="str">
        <f t="shared" si="10"/>
        <v>x</v>
      </c>
      <c r="R44" s="174" t="str">
        <f t="shared" si="10"/>
        <v>BS</v>
      </c>
      <c r="S44" s="174" t="str">
        <f t="shared" si="10"/>
        <v>all</v>
      </c>
      <c r="T44" s="173" t="str">
        <f t="shared" si="10"/>
        <v/>
      </c>
      <c r="U44" s="173" t="str">
        <f t="shared" si="10"/>
        <v/>
      </c>
      <c r="V44" s="173" t="str">
        <f t="shared" si="10"/>
        <v/>
      </c>
      <c r="W44" s="173" t="str">
        <f t="shared" si="10"/>
        <v/>
      </c>
      <c r="X44" s="173" t="str">
        <f t="shared" si="10"/>
        <v/>
      </c>
      <c r="Y44" s="173" t="str">
        <f t="shared" si="10"/>
        <v/>
      </c>
    </row>
    <row r="45" spans="1:25" x14ac:dyDescent="0.3">
      <c r="A45" s="172">
        <f t="shared" si="0"/>
        <v>43</v>
      </c>
      <c r="B45" s="173" t="str">
        <f t="shared" si="9"/>
        <v/>
      </c>
      <c r="C45" s="173" t="str">
        <f t="shared" si="9"/>
        <v/>
      </c>
      <c r="D45" s="173" t="str">
        <f t="shared" si="9"/>
        <v/>
      </c>
      <c r="E45" s="173" t="str">
        <f t="shared" si="9"/>
        <v/>
      </c>
      <c r="F45" s="173" t="str">
        <f t="shared" si="9"/>
        <v/>
      </c>
      <c r="G45" s="173" t="str">
        <f t="shared" si="9"/>
        <v/>
      </c>
      <c r="H45" s="173" t="str">
        <f t="shared" si="9"/>
        <v/>
      </c>
      <c r="I45" s="173" t="str">
        <f t="shared" si="9"/>
        <v/>
      </c>
      <c r="J45" s="173" t="str">
        <f t="shared" si="9"/>
        <v/>
      </c>
      <c r="K45" s="173" t="str">
        <f t="shared" si="9"/>
        <v/>
      </c>
      <c r="L45" s="173" t="str">
        <f t="shared" si="10"/>
        <v>info</v>
      </c>
      <c r="M45" s="173" t="str">
        <f t="shared" si="10"/>
        <v/>
      </c>
      <c r="N45" s="173" t="str">
        <f t="shared" si="10"/>
        <v/>
      </c>
      <c r="O45" s="173" t="str">
        <f t="shared" si="10"/>
        <v/>
      </c>
      <c r="P45" s="174" t="str">
        <f t="shared" si="10"/>
        <v/>
      </c>
      <c r="Q45" s="174" t="str">
        <f t="shared" si="10"/>
        <v>x</v>
      </c>
      <c r="R45" s="174" t="str">
        <f t="shared" si="10"/>
        <v>BS</v>
      </c>
      <c r="S45" s="174" t="str">
        <f t="shared" si="10"/>
        <v>all</v>
      </c>
      <c r="T45" s="173" t="str">
        <f t="shared" si="10"/>
        <v/>
      </c>
      <c r="U45" s="173" t="str">
        <f t="shared" si="10"/>
        <v/>
      </c>
      <c r="V45" s="173" t="str">
        <f t="shared" si="10"/>
        <v/>
      </c>
      <c r="W45" s="173" t="str">
        <f t="shared" si="10"/>
        <v/>
      </c>
      <c r="X45" s="173" t="str">
        <f t="shared" si="10"/>
        <v/>
      </c>
      <c r="Y45" s="173" t="str">
        <f t="shared" si="10"/>
        <v/>
      </c>
    </row>
    <row r="46" spans="1:25" x14ac:dyDescent="0.3">
      <c r="A46" s="172">
        <f t="shared" si="0"/>
        <v>44</v>
      </c>
      <c r="B46" s="173" t="str">
        <f t="shared" si="9"/>
        <v/>
      </c>
      <c r="C46" s="173" t="str">
        <f t="shared" si="9"/>
        <v/>
      </c>
      <c r="D46" s="173" t="str">
        <f t="shared" si="9"/>
        <v/>
      </c>
      <c r="E46" s="173" t="str">
        <f t="shared" si="9"/>
        <v/>
      </c>
      <c r="F46" s="173" t="str">
        <f t="shared" si="9"/>
        <v/>
      </c>
      <c r="G46" s="173" t="str">
        <f t="shared" si="9"/>
        <v/>
      </c>
      <c r="H46" s="173" t="str">
        <f t="shared" si="9"/>
        <v/>
      </c>
      <c r="I46" s="173" t="str">
        <f t="shared" si="9"/>
        <v/>
      </c>
      <c r="J46" s="173" t="str">
        <f t="shared" si="9"/>
        <v/>
      </c>
      <c r="K46" s="173" t="str">
        <f t="shared" si="9"/>
        <v/>
      </c>
      <c r="L46" s="173" t="str">
        <f t="shared" si="10"/>
        <v>info</v>
      </c>
      <c r="M46" s="173" t="str">
        <f t="shared" si="10"/>
        <v/>
      </c>
      <c r="N46" s="173" t="str">
        <f t="shared" si="10"/>
        <v/>
      </c>
      <c r="O46" s="173" t="str">
        <f t="shared" si="10"/>
        <v/>
      </c>
      <c r="P46" s="174" t="str">
        <f t="shared" si="10"/>
        <v/>
      </c>
      <c r="Q46" s="174" t="str">
        <f t="shared" si="10"/>
        <v>x</v>
      </c>
      <c r="R46" s="174" t="str">
        <f t="shared" si="10"/>
        <v>BS</v>
      </c>
      <c r="S46" s="174" t="str">
        <f t="shared" si="10"/>
        <v>all</v>
      </c>
      <c r="T46" s="173" t="str">
        <f t="shared" si="10"/>
        <v/>
      </c>
      <c r="U46" s="173" t="str">
        <f t="shared" si="10"/>
        <v/>
      </c>
      <c r="V46" s="173" t="str">
        <f t="shared" si="10"/>
        <v/>
      </c>
      <c r="W46" s="173" t="str">
        <f t="shared" si="10"/>
        <v/>
      </c>
      <c r="X46" s="173" t="str">
        <f t="shared" si="10"/>
        <v/>
      </c>
      <c r="Y46" s="173" t="str">
        <f t="shared" si="10"/>
        <v/>
      </c>
    </row>
    <row r="47" spans="1:25" x14ac:dyDescent="0.3">
      <c r="A47" s="172">
        <f t="shared" si="0"/>
        <v>45</v>
      </c>
      <c r="B47" s="173" t="str">
        <f t="shared" si="9"/>
        <v/>
      </c>
      <c r="C47" s="173" t="str">
        <f t="shared" si="9"/>
        <v/>
      </c>
      <c r="D47" s="173" t="str">
        <f t="shared" si="9"/>
        <v/>
      </c>
      <c r="E47" s="173" t="str">
        <f t="shared" si="9"/>
        <v/>
      </c>
      <c r="F47" s="173" t="str">
        <f t="shared" si="9"/>
        <v/>
      </c>
      <c r="G47" s="173" t="str">
        <f t="shared" si="9"/>
        <v/>
      </c>
      <c r="H47" s="173" t="str">
        <f t="shared" si="9"/>
        <v/>
      </c>
      <c r="I47" s="173" t="str">
        <f t="shared" si="9"/>
        <v/>
      </c>
      <c r="J47" s="173" t="str">
        <f t="shared" si="9"/>
        <v/>
      </c>
      <c r="K47" s="173" t="str">
        <f t="shared" si="9"/>
        <v/>
      </c>
      <c r="L47" s="173" t="str">
        <f t="shared" si="10"/>
        <v>info</v>
      </c>
      <c r="M47" s="173" t="str">
        <f t="shared" si="10"/>
        <v/>
      </c>
      <c r="N47" s="173" t="str">
        <f t="shared" si="10"/>
        <v/>
      </c>
      <c r="O47" s="173" t="str">
        <f t="shared" si="10"/>
        <v/>
      </c>
      <c r="P47" s="174" t="str">
        <f t="shared" si="10"/>
        <v/>
      </c>
      <c r="Q47" s="174" t="str">
        <f t="shared" si="10"/>
        <v>x</v>
      </c>
      <c r="R47" s="174" t="str">
        <f t="shared" si="10"/>
        <v>BS</v>
      </c>
      <c r="S47" s="174" t="str">
        <f t="shared" si="10"/>
        <v>all</v>
      </c>
      <c r="T47" s="173" t="str">
        <f t="shared" si="10"/>
        <v/>
      </c>
      <c r="U47" s="173" t="str">
        <f t="shared" si="10"/>
        <v/>
      </c>
      <c r="V47" s="173" t="str">
        <f t="shared" si="10"/>
        <v/>
      </c>
      <c r="W47" s="173" t="str">
        <f t="shared" si="10"/>
        <v/>
      </c>
      <c r="X47" s="173" t="str">
        <f t="shared" si="10"/>
        <v/>
      </c>
      <c r="Y47" s="173" t="str">
        <f t="shared" si="10"/>
        <v/>
      </c>
    </row>
    <row r="48" spans="1:25" x14ac:dyDescent="0.3">
      <c r="A48" s="172">
        <f t="shared" si="0"/>
        <v>46</v>
      </c>
      <c r="B48" s="173" t="str">
        <f t="shared" si="9"/>
        <v/>
      </c>
      <c r="C48" s="173" t="str">
        <f t="shared" si="9"/>
        <v/>
      </c>
      <c r="D48" s="173" t="str">
        <f t="shared" si="9"/>
        <v/>
      </c>
      <c r="E48" s="173" t="str">
        <f t="shared" si="9"/>
        <v/>
      </c>
      <c r="F48" s="173" t="str">
        <f t="shared" si="9"/>
        <v/>
      </c>
      <c r="G48" s="173" t="str">
        <f t="shared" si="9"/>
        <v/>
      </c>
      <c r="H48" s="173" t="str">
        <f t="shared" si="9"/>
        <v/>
      </c>
      <c r="I48" s="173" t="str">
        <f t="shared" si="9"/>
        <v/>
      </c>
      <c r="J48" s="173" t="str">
        <f t="shared" si="9"/>
        <v/>
      </c>
      <c r="K48" s="173" t="str">
        <f t="shared" si="9"/>
        <v/>
      </c>
      <c r="L48" s="173" t="str">
        <f t="shared" si="10"/>
        <v>info</v>
      </c>
      <c r="M48" s="173" t="str">
        <f t="shared" si="10"/>
        <v/>
      </c>
      <c r="N48" s="173" t="str">
        <f t="shared" si="10"/>
        <v/>
      </c>
      <c r="O48" s="173" t="str">
        <f t="shared" si="10"/>
        <v/>
      </c>
      <c r="P48" s="174" t="str">
        <f t="shared" si="10"/>
        <v/>
      </c>
      <c r="Q48" s="174" t="str">
        <f t="shared" si="10"/>
        <v>x</v>
      </c>
      <c r="R48" s="174" t="str">
        <f t="shared" si="10"/>
        <v>BS</v>
      </c>
      <c r="S48" s="174" t="str">
        <f t="shared" si="10"/>
        <v>all</v>
      </c>
      <c r="T48" s="173" t="str">
        <f t="shared" si="10"/>
        <v/>
      </c>
      <c r="U48" s="173" t="str">
        <f t="shared" si="10"/>
        <v/>
      </c>
      <c r="V48" s="173" t="str">
        <f t="shared" si="10"/>
        <v/>
      </c>
      <c r="W48" s="173" t="str">
        <f t="shared" si="10"/>
        <v/>
      </c>
      <c r="X48" s="173" t="str">
        <f t="shared" si="10"/>
        <v/>
      </c>
      <c r="Y48" s="173" t="str">
        <f t="shared" si="10"/>
        <v/>
      </c>
    </row>
    <row r="49" spans="1:25" x14ac:dyDescent="0.3">
      <c r="A49" s="172">
        <f t="shared" si="0"/>
        <v>47</v>
      </c>
      <c r="B49" s="173" t="str">
        <f t="shared" si="9"/>
        <v/>
      </c>
      <c r="C49" s="173" t="str">
        <f t="shared" si="9"/>
        <v/>
      </c>
      <c r="D49" s="173" t="str">
        <f t="shared" si="9"/>
        <v/>
      </c>
      <c r="E49" s="173" t="str">
        <f t="shared" si="9"/>
        <v/>
      </c>
      <c r="F49" s="173" t="str">
        <f t="shared" si="9"/>
        <v/>
      </c>
      <c r="G49" s="173" t="str">
        <f t="shared" si="9"/>
        <v/>
      </c>
      <c r="H49" s="173" t="str">
        <f t="shared" si="9"/>
        <v/>
      </c>
      <c r="I49" s="173" t="str">
        <f t="shared" si="9"/>
        <v/>
      </c>
      <c r="J49" s="173" t="str">
        <f t="shared" si="9"/>
        <v/>
      </c>
      <c r="K49" s="173" t="str">
        <f t="shared" si="9"/>
        <v/>
      </c>
      <c r="L49" s="173" t="str">
        <f t="shared" si="10"/>
        <v>info</v>
      </c>
      <c r="M49" s="173" t="str">
        <f t="shared" si="10"/>
        <v/>
      </c>
      <c r="N49" s="173" t="str">
        <f t="shared" si="10"/>
        <v/>
      </c>
      <c r="O49" s="173" t="str">
        <f t="shared" si="10"/>
        <v/>
      </c>
      <c r="P49" s="174" t="str">
        <f t="shared" si="10"/>
        <v/>
      </c>
      <c r="Q49" s="174" t="str">
        <f t="shared" si="10"/>
        <v>x</v>
      </c>
      <c r="R49" s="174" t="str">
        <f t="shared" si="10"/>
        <v>BS</v>
      </c>
      <c r="S49" s="174" t="str">
        <f t="shared" si="10"/>
        <v>all</v>
      </c>
      <c r="T49" s="173" t="str">
        <f t="shared" si="10"/>
        <v/>
      </c>
      <c r="U49" s="173" t="str">
        <f t="shared" si="10"/>
        <v/>
      </c>
      <c r="V49" s="173" t="str">
        <f t="shared" si="10"/>
        <v/>
      </c>
      <c r="W49" s="173" t="str">
        <f t="shared" si="10"/>
        <v/>
      </c>
      <c r="X49" s="173" t="str">
        <f t="shared" si="10"/>
        <v/>
      </c>
      <c r="Y49" s="173" t="str">
        <f t="shared" si="10"/>
        <v/>
      </c>
    </row>
    <row r="50" spans="1:25" x14ac:dyDescent="0.3">
      <c r="A50" s="172">
        <f t="shared" si="0"/>
        <v>48</v>
      </c>
      <c r="B50" s="173" t="str">
        <f t="shared" si="9"/>
        <v/>
      </c>
      <c r="C50" s="173" t="str">
        <f t="shared" si="9"/>
        <v/>
      </c>
      <c r="D50" s="173" t="str">
        <f t="shared" si="9"/>
        <v/>
      </c>
      <c r="E50" s="173" t="str">
        <f t="shared" si="9"/>
        <v/>
      </c>
      <c r="F50" s="173" t="str">
        <f t="shared" si="9"/>
        <v/>
      </c>
      <c r="G50" s="173" t="str">
        <f t="shared" si="9"/>
        <v/>
      </c>
      <c r="H50" s="173" t="str">
        <f t="shared" si="9"/>
        <v/>
      </c>
      <c r="I50" s="173" t="str">
        <f t="shared" si="9"/>
        <v/>
      </c>
      <c r="J50" s="173" t="str">
        <f t="shared" si="9"/>
        <v/>
      </c>
      <c r="K50" s="173" t="str">
        <f t="shared" si="9"/>
        <v/>
      </c>
      <c r="L50" s="173" t="str">
        <f t="shared" si="10"/>
        <v>info</v>
      </c>
      <c r="M50" s="173" t="str">
        <f t="shared" si="10"/>
        <v/>
      </c>
      <c r="N50" s="173" t="str">
        <f t="shared" si="10"/>
        <v/>
      </c>
      <c r="O50" s="173" t="str">
        <f t="shared" si="10"/>
        <v/>
      </c>
      <c r="P50" s="174" t="str">
        <f t="shared" si="10"/>
        <v/>
      </c>
      <c r="Q50" s="174" t="str">
        <f t="shared" si="10"/>
        <v>x</v>
      </c>
      <c r="R50" s="174" t="str">
        <f t="shared" si="10"/>
        <v>BS</v>
      </c>
      <c r="S50" s="174" t="str">
        <f t="shared" si="10"/>
        <v>all</v>
      </c>
      <c r="T50" s="173" t="str">
        <f t="shared" si="10"/>
        <v/>
      </c>
      <c r="U50" s="173" t="str">
        <f t="shared" si="10"/>
        <v/>
      </c>
      <c r="V50" s="173" t="str">
        <f t="shared" si="10"/>
        <v/>
      </c>
      <c r="W50" s="173" t="str">
        <f t="shared" si="10"/>
        <v/>
      </c>
      <c r="X50" s="173" t="str">
        <f t="shared" si="10"/>
        <v/>
      </c>
      <c r="Y50" s="173" t="str">
        <f t="shared" si="10"/>
        <v/>
      </c>
    </row>
    <row r="51" spans="1:25" x14ac:dyDescent="0.3">
      <c r="A51" s="172">
        <f t="shared" si="0"/>
        <v>49</v>
      </c>
      <c r="B51" s="173" t="str">
        <f t="shared" si="9"/>
        <v/>
      </c>
      <c r="C51" s="173" t="str">
        <f t="shared" si="9"/>
        <v/>
      </c>
      <c r="D51" s="173" t="str">
        <f t="shared" si="9"/>
        <v/>
      </c>
      <c r="E51" s="173" t="str">
        <f t="shared" si="9"/>
        <v/>
      </c>
      <c r="F51" s="173" t="str">
        <f t="shared" si="9"/>
        <v/>
      </c>
      <c r="G51" s="173" t="str">
        <f t="shared" si="9"/>
        <v/>
      </c>
      <c r="H51" s="173" t="str">
        <f t="shared" si="9"/>
        <v/>
      </c>
      <c r="I51" s="173" t="str">
        <f t="shared" si="9"/>
        <v/>
      </c>
      <c r="J51" s="173" t="str">
        <f t="shared" si="9"/>
        <v/>
      </c>
      <c r="K51" s="173" t="str">
        <f t="shared" si="9"/>
        <v/>
      </c>
      <c r="L51" s="173" t="str">
        <f t="shared" si="10"/>
        <v>info</v>
      </c>
      <c r="M51" s="173" t="str">
        <f t="shared" si="10"/>
        <v/>
      </c>
      <c r="N51" s="173" t="str">
        <f t="shared" si="10"/>
        <v/>
      </c>
      <c r="O51" s="173" t="str">
        <f t="shared" si="10"/>
        <v/>
      </c>
      <c r="P51" s="174" t="str">
        <f t="shared" si="10"/>
        <v/>
      </c>
      <c r="Q51" s="174" t="str">
        <f t="shared" si="10"/>
        <v>x</v>
      </c>
      <c r="R51" s="174" t="str">
        <f t="shared" si="10"/>
        <v>BS</v>
      </c>
      <c r="S51" s="174" t="str">
        <f t="shared" si="10"/>
        <v>all</v>
      </c>
      <c r="T51" s="173" t="str">
        <f t="shared" si="10"/>
        <v/>
      </c>
      <c r="U51" s="173" t="str">
        <f t="shared" si="10"/>
        <v/>
      </c>
      <c r="V51" s="173" t="str">
        <f t="shared" si="10"/>
        <v/>
      </c>
      <c r="W51" s="173" t="str">
        <f t="shared" si="10"/>
        <v/>
      </c>
      <c r="X51" s="173" t="str">
        <f t="shared" si="10"/>
        <v/>
      </c>
      <c r="Y51" s="173" t="str">
        <f t="shared" si="10"/>
        <v/>
      </c>
    </row>
    <row r="52" spans="1:25" x14ac:dyDescent="0.3">
      <c r="A52" s="172">
        <f t="shared" si="0"/>
        <v>50</v>
      </c>
      <c r="B52" s="173" t="str">
        <f t="shared" si="9"/>
        <v/>
      </c>
      <c r="C52" s="173" t="str">
        <f t="shared" si="9"/>
        <v/>
      </c>
      <c r="D52" s="173" t="str">
        <f t="shared" si="9"/>
        <v/>
      </c>
      <c r="E52" s="173" t="str">
        <f t="shared" si="9"/>
        <v/>
      </c>
      <c r="F52" s="173" t="str">
        <f t="shared" si="9"/>
        <v/>
      </c>
      <c r="G52" s="173" t="str">
        <f t="shared" si="9"/>
        <v/>
      </c>
      <c r="H52" s="173" t="str">
        <f t="shared" si="9"/>
        <v/>
      </c>
      <c r="I52" s="173" t="str">
        <f t="shared" si="9"/>
        <v/>
      </c>
      <c r="J52" s="173" t="str">
        <f t="shared" si="9"/>
        <v/>
      </c>
      <c r="K52" s="173" t="str">
        <f t="shared" si="9"/>
        <v/>
      </c>
      <c r="L52" s="173" t="str">
        <f t="shared" si="10"/>
        <v>info</v>
      </c>
      <c r="M52" s="173" t="str">
        <f t="shared" si="10"/>
        <v/>
      </c>
      <c r="N52" s="173" t="str">
        <f t="shared" si="10"/>
        <v/>
      </c>
      <c r="O52" s="173" t="str">
        <f t="shared" si="10"/>
        <v/>
      </c>
      <c r="P52" s="174" t="str">
        <f t="shared" si="10"/>
        <v/>
      </c>
      <c r="Q52" s="174" t="str">
        <f t="shared" si="10"/>
        <v>x</v>
      </c>
      <c r="R52" s="174" t="str">
        <f t="shared" si="10"/>
        <v>BS</v>
      </c>
      <c r="S52" s="174" t="str">
        <f t="shared" si="10"/>
        <v>all</v>
      </c>
      <c r="T52" s="173" t="str">
        <f t="shared" si="10"/>
        <v/>
      </c>
      <c r="U52" s="173" t="str">
        <f t="shared" si="10"/>
        <v/>
      </c>
      <c r="V52" s="173" t="str">
        <f t="shared" si="10"/>
        <v/>
      </c>
      <c r="W52" s="173" t="str">
        <f t="shared" si="10"/>
        <v/>
      </c>
      <c r="X52" s="173" t="str">
        <f t="shared" si="10"/>
        <v/>
      </c>
      <c r="Y52" s="173" t="str">
        <f t="shared" si="10"/>
        <v/>
      </c>
    </row>
    <row r="53" spans="1:25" x14ac:dyDescent="0.3">
      <c r="A53" s="172">
        <f t="shared" si="0"/>
        <v>51</v>
      </c>
      <c r="B53" s="173" t="str">
        <f t="shared" ref="B53:K62" si="11">IF(ISNONTEXT(B$2),IF(B$2="","",IF(INDEX(IMPORT,$A53,B$2)=0,"",IFERROR(VLOOKUP(INDEX(IMPORT,$A53,B$2),ImportTranslation,2,0),INDEX(IMPORT,$A53,B$2)))),B$2)</f>
        <v/>
      </c>
      <c r="C53" s="173" t="str">
        <f t="shared" si="11"/>
        <v/>
      </c>
      <c r="D53" s="173" t="str">
        <f t="shared" si="11"/>
        <v/>
      </c>
      <c r="E53" s="173" t="str">
        <f t="shared" si="11"/>
        <v/>
      </c>
      <c r="F53" s="173" t="str">
        <f t="shared" si="11"/>
        <v/>
      </c>
      <c r="G53" s="173" t="str">
        <f t="shared" si="11"/>
        <v/>
      </c>
      <c r="H53" s="173" t="str">
        <f t="shared" si="11"/>
        <v/>
      </c>
      <c r="I53" s="173" t="str">
        <f t="shared" si="11"/>
        <v/>
      </c>
      <c r="J53" s="173" t="str">
        <f t="shared" si="11"/>
        <v/>
      </c>
      <c r="K53" s="173" t="str">
        <f t="shared" si="11"/>
        <v/>
      </c>
      <c r="L53" s="173" t="str">
        <f t="shared" ref="L53:Y62" si="12">IF(ISNONTEXT(L$2),IF(L$2="","",IF(INDEX(IMPORT,$A53,L$2)=0,"",IFERROR(VLOOKUP(INDEX(IMPORT,$A53,L$2),ImportTranslation,2,0),INDEX(IMPORT,$A53,L$2)))),L$2)</f>
        <v>info</v>
      </c>
      <c r="M53" s="173" t="str">
        <f t="shared" si="12"/>
        <v/>
      </c>
      <c r="N53" s="173" t="str">
        <f t="shared" si="12"/>
        <v/>
      </c>
      <c r="O53" s="173" t="str">
        <f t="shared" si="12"/>
        <v/>
      </c>
      <c r="P53" s="174" t="str">
        <f t="shared" si="12"/>
        <v/>
      </c>
      <c r="Q53" s="174" t="str">
        <f t="shared" si="12"/>
        <v>x</v>
      </c>
      <c r="R53" s="174" t="str">
        <f t="shared" si="12"/>
        <v>BS</v>
      </c>
      <c r="S53" s="174" t="str">
        <f t="shared" si="12"/>
        <v>all</v>
      </c>
      <c r="T53" s="173" t="str">
        <f t="shared" si="12"/>
        <v/>
      </c>
      <c r="U53" s="173" t="str">
        <f t="shared" si="12"/>
        <v/>
      </c>
      <c r="V53" s="173" t="str">
        <f t="shared" si="12"/>
        <v/>
      </c>
      <c r="W53" s="173" t="str">
        <f t="shared" si="12"/>
        <v/>
      </c>
      <c r="X53" s="173" t="str">
        <f t="shared" si="12"/>
        <v/>
      </c>
      <c r="Y53" s="173" t="str">
        <f t="shared" si="12"/>
        <v/>
      </c>
    </row>
    <row r="54" spans="1:25" x14ac:dyDescent="0.3">
      <c r="A54" s="172">
        <f t="shared" si="0"/>
        <v>52</v>
      </c>
      <c r="B54" s="173" t="str">
        <f t="shared" si="11"/>
        <v/>
      </c>
      <c r="C54" s="173" t="str">
        <f t="shared" si="11"/>
        <v/>
      </c>
      <c r="D54" s="173" t="str">
        <f t="shared" si="11"/>
        <v/>
      </c>
      <c r="E54" s="173" t="str">
        <f t="shared" si="11"/>
        <v/>
      </c>
      <c r="F54" s="173" t="str">
        <f t="shared" si="11"/>
        <v/>
      </c>
      <c r="G54" s="173" t="str">
        <f t="shared" si="11"/>
        <v/>
      </c>
      <c r="H54" s="173" t="str">
        <f t="shared" si="11"/>
        <v/>
      </c>
      <c r="I54" s="173" t="str">
        <f t="shared" si="11"/>
        <v/>
      </c>
      <c r="J54" s="173" t="str">
        <f t="shared" si="11"/>
        <v/>
      </c>
      <c r="K54" s="173" t="str">
        <f t="shared" si="11"/>
        <v/>
      </c>
      <c r="L54" s="173" t="str">
        <f t="shared" si="12"/>
        <v>info</v>
      </c>
      <c r="M54" s="173" t="str">
        <f t="shared" si="12"/>
        <v/>
      </c>
      <c r="N54" s="173" t="str">
        <f t="shared" si="12"/>
        <v/>
      </c>
      <c r="O54" s="173" t="str">
        <f t="shared" si="12"/>
        <v/>
      </c>
      <c r="P54" s="174" t="str">
        <f t="shared" si="12"/>
        <v/>
      </c>
      <c r="Q54" s="174" t="str">
        <f t="shared" si="12"/>
        <v>x</v>
      </c>
      <c r="R54" s="174" t="str">
        <f t="shared" si="12"/>
        <v>BS</v>
      </c>
      <c r="S54" s="174" t="str">
        <f t="shared" si="12"/>
        <v>all</v>
      </c>
      <c r="T54" s="173" t="str">
        <f t="shared" si="12"/>
        <v/>
      </c>
      <c r="U54" s="173" t="str">
        <f t="shared" si="12"/>
        <v/>
      </c>
      <c r="V54" s="173" t="str">
        <f t="shared" si="12"/>
        <v/>
      </c>
      <c r="W54" s="173" t="str">
        <f t="shared" si="12"/>
        <v/>
      </c>
      <c r="X54" s="173" t="str">
        <f t="shared" si="12"/>
        <v/>
      </c>
      <c r="Y54" s="173" t="str">
        <f t="shared" si="12"/>
        <v/>
      </c>
    </row>
    <row r="55" spans="1:25" x14ac:dyDescent="0.3">
      <c r="A55" s="172">
        <f t="shared" si="0"/>
        <v>53</v>
      </c>
      <c r="B55" s="173" t="str">
        <f t="shared" si="11"/>
        <v/>
      </c>
      <c r="C55" s="173" t="str">
        <f t="shared" si="11"/>
        <v/>
      </c>
      <c r="D55" s="173" t="str">
        <f t="shared" si="11"/>
        <v/>
      </c>
      <c r="E55" s="173" t="str">
        <f t="shared" si="11"/>
        <v/>
      </c>
      <c r="F55" s="173" t="str">
        <f t="shared" si="11"/>
        <v/>
      </c>
      <c r="G55" s="173" t="str">
        <f t="shared" si="11"/>
        <v/>
      </c>
      <c r="H55" s="173" t="str">
        <f t="shared" si="11"/>
        <v/>
      </c>
      <c r="I55" s="173" t="str">
        <f t="shared" si="11"/>
        <v/>
      </c>
      <c r="J55" s="173" t="str">
        <f t="shared" si="11"/>
        <v/>
      </c>
      <c r="K55" s="173" t="str">
        <f t="shared" si="11"/>
        <v/>
      </c>
      <c r="L55" s="173" t="str">
        <f t="shared" si="12"/>
        <v>info</v>
      </c>
      <c r="M55" s="173" t="str">
        <f t="shared" si="12"/>
        <v/>
      </c>
      <c r="N55" s="173" t="str">
        <f t="shared" si="12"/>
        <v/>
      </c>
      <c r="O55" s="173" t="str">
        <f t="shared" si="12"/>
        <v/>
      </c>
      <c r="P55" s="174" t="str">
        <f t="shared" si="12"/>
        <v/>
      </c>
      <c r="Q55" s="174" t="str">
        <f t="shared" si="12"/>
        <v>x</v>
      </c>
      <c r="R55" s="174" t="str">
        <f t="shared" si="12"/>
        <v>BS</v>
      </c>
      <c r="S55" s="174" t="str">
        <f t="shared" si="12"/>
        <v>all</v>
      </c>
      <c r="T55" s="173" t="str">
        <f t="shared" si="12"/>
        <v/>
      </c>
      <c r="U55" s="173" t="str">
        <f t="shared" si="12"/>
        <v/>
      </c>
      <c r="V55" s="173" t="str">
        <f t="shared" si="12"/>
        <v/>
      </c>
      <c r="W55" s="173" t="str">
        <f t="shared" si="12"/>
        <v/>
      </c>
      <c r="X55" s="173" t="str">
        <f t="shared" si="12"/>
        <v/>
      </c>
      <c r="Y55" s="173" t="str">
        <f t="shared" si="12"/>
        <v/>
      </c>
    </row>
    <row r="56" spans="1:25" x14ac:dyDescent="0.3">
      <c r="A56" s="172">
        <f t="shared" si="0"/>
        <v>54</v>
      </c>
      <c r="B56" s="173" t="str">
        <f t="shared" si="11"/>
        <v/>
      </c>
      <c r="C56" s="173" t="str">
        <f t="shared" si="11"/>
        <v/>
      </c>
      <c r="D56" s="173" t="str">
        <f t="shared" si="11"/>
        <v/>
      </c>
      <c r="E56" s="173" t="str">
        <f t="shared" si="11"/>
        <v/>
      </c>
      <c r="F56" s="173" t="str">
        <f t="shared" si="11"/>
        <v/>
      </c>
      <c r="G56" s="173" t="str">
        <f t="shared" si="11"/>
        <v/>
      </c>
      <c r="H56" s="173" t="str">
        <f t="shared" si="11"/>
        <v/>
      </c>
      <c r="I56" s="173" t="str">
        <f t="shared" si="11"/>
        <v/>
      </c>
      <c r="J56" s="173" t="str">
        <f t="shared" si="11"/>
        <v/>
      </c>
      <c r="K56" s="173" t="str">
        <f t="shared" si="11"/>
        <v/>
      </c>
      <c r="L56" s="173" t="str">
        <f t="shared" si="12"/>
        <v>info</v>
      </c>
      <c r="M56" s="173" t="str">
        <f t="shared" si="12"/>
        <v/>
      </c>
      <c r="N56" s="173" t="str">
        <f t="shared" si="12"/>
        <v/>
      </c>
      <c r="O56" s="173" t="str">
        <f t="shared" si="12"/>
        <v/>
      </c>
      <c r="P56" s="174" t="str">
        <f t="shared" si="12"/>
        <v/>
      </c>
      <c r="Q56" s="174" t="str">
        <f t="shared" si="12"/>
        <v>x</v>
      </c>
      <c r="R56" s="174" t="str">
        <f t="shared" si="12"/>
        <v>BS</v>
      </c>
      <c r="S56" s="174" t="str">
        <f t="shared" si="12"/>
        <v>all</v>
      </c>
      <c r="T56" s="173" t="str">
        <f t="shared" si="12"/>
        <v/>
      </c>
      <c r="U56" s="173" t="str">
        <f t="shared" si="12"/>
        <v/>
      </c>
      <c r="V56" s="173" t="str">
        <f t="shared" si="12"/>
        <v/>
      </c>
      <c r="W56" s="173" t="str">
        <f t="shared" si="12"/>
        <v/>
      </c>
      <c r="X56" s="173" t="str">
        <f t="shared" si="12"/>
        <v/>
      </c>
      <c r="Y56" s="173" t="str">
        <f t="shared" si="12"/>
        <v/>
      </c>
    </row>
    <row r="57" spans="1:25" x14ac:dyDescent="0.3">
      <c r="A57" s="172">
        <f t="shared" si="0"/>
        <v>55</v>
      </c>
      <c r="B57" s="173" t="str">
        <f t="shared" si="11"/>
        <v/>
      </c>
      <c r="C57" s="173" t="str">
        <f t="shared" si="11"/>
        <v/>
      </c>
      <c r="D57" s="173" t="str">
        <f t="shared" si="11"/>
        <v/>
      </c>
      <c r="E57" s="173" t="str">
        <f t="shared" si="11"/>
        <v/>
      </c>
      <c r="F57" s="173" t="str">
        <f t="shared" si="11"/>
        <v/>
      </c>
      <c r="G57" s="173" t="str">
        <f t="shared" si="11"/>
        <v/>
      </c>
      <c r="H57" s="173" t="str">
        <f t="shared" si="11"/>
        <v/>
      </c>
      <c r="I57" s="173" t="str">
        <f t="shared" si="11"/>
        <v/>
      </c>
      <c r="J57" s="173" t="str">
        <f t="shared" si="11"/>
        <v/>
      </c>
      <c r="K57" s="173" t="str">
        <f t="shared" si="11"/>
        <v/>
      </c>
      <c r="L57" s="173" t="str">
        <f t="shared" si="12"/>
        <v>info</v>
      </c>
      <c r="M57" s="173" t="str">
        <f t="shared" si="12"/>
        <v/>
      </c>
      <c r="N57" s="173" t="str">
        <f t="shared" si="12"/>
        <v/>
      </c>
      <c r="O57" s="173" t="str">
        <f t="shared" si="12"/>
        <v/>
      </c>
      <c r="P57" s="174" t="str">
        <f t="shared" si="12"/>
        <v/>
      </c>
      <c r="Q57" s="174" t="str">
        <f t="shared" si="12"/>
        <v>x</v>
      </c>
      <c r="R57" s="174" t="str">
        <f t="shared" si="12"/>
        <v>BS</v>
      </c>
      <c r="S57" s="174" t="str">
        <f t="shared" si="12"/>
        <v>all</v>
      </c>
      <c r="T57" s="173" t="str">
        <f t="shared" si="12"/>
        <v/>
      </c>
      <c r="U57" s="173" t="str">
        <f t="shared" si="12"/>
        <v/>
      </c>
      <c r="V57" s="173" t="str">
        <f t="shared" si="12"/>
        <v/>
      </c>
      <c r="W57" s="173" t="str">
        <f t="shared" si="12"/>
        <v/>
      </c>
      <c r="X57" s="173" t="str">
        <f t="shared" si="12"/>
        <v/>
      </c>
      <c r="Y57" s="173" t="str">
        <f t="shared" si="12"/>
        <v/>
      </c>
    </row>
    <row r="58" spans="1:25" x14ac:dyDescent="0.3">
      <c r="A58" s="172">
        <f t="shared" si="0"/>
        <v>56</v>
      </c>
      <c r="B58" s="173" t="str">
        <f t="shared" si="11"/>
        <v/>
      </c>
      <c r="C58" s="173" t="str">
        <f t="shared" si="11"/>
        <v/>
      </c>
      <c r="D58" s="173" t="str">
        <f t="shared" si="11"/>
        <v/>
      </c>
      <c r="E58" s="173" t="str">
        <f t="shared" si="11"/>
        <v/>
      </c>
      <c r="F58" s="173" t="str">
        <f t="shared" si="11"/>
        <v/>
      </c>
      <c r="G58" s="173" t="str">
        <f t="shared" si="11"/>
        <v/>
      </c>
      <c r="H58" s="173" t="str">
        <f t="shared" si="11"/>
        <v/>
      </c>
      <c r="I58" s="173" t="str">
        <f t="shared" si="11"/>
        <v/>
      </c>
      <c r="J58" s="173" t="str">
        <f t="shared" si="11"/>
        <v/>
      </c>
      <c r="K58" s="173" t="str">
        <f t="shared" si="11"/>
        <v/>
      </c>
      <c r="L58" s="173" t="str">
        <f t="shared" si="12"/>
        <v>info</v>
      </c>
      <c r="M58" s="173" t="str">
        <f t="shared" si="12"/>
        <v/>
      </c>
      <c r="N58" s="173" t="str">
        <f t="shared" si="12"/>
        <v/>
      </c>
      <c r="O58" s="173" t="str">
        <f t="shared" si="12"/>
        <v/>
      </c>
      <c r="P58" s="174" t="str">
        <f t="shared" si="12"/>
        <v/>
      </c>
      <c r="Q58" s="174" t="str">
        <f t="shared" si="12"/>
        <v>x</v>
      </c>
      <c r="R58" s="174" t="str">
        <f t="shared" si="12"/>
        <v>BS</v>
      </c>
      <c r="S58" s="174" t="str">
        <f t="shared" si="12"/>
        <v>all</v>
      </c>
      <c r="T58" s="173" t="str">
        <f t="shared" si="12"/>
        <v/>
      </c>
      <c r="U58" s="173" t="str">
        <f t="shared" si="12"/>
        <v/>
      </c>
      <c r="V58" s="173" t="str">
        <f t="shared" si="12"/>
        <v/>
      </c>
      <c r="W58" s="173" t="str">
        <f t="shared" si="12"/>
        <v/>
      </c>
      <c r="X58" s="173" t="str">
        <f t="shared" si="12"/>
        <v/>
      </c>
      <c r="Y58" s="173" t="str">
        <f t="shared" si="12"/>
        <v/>
      </c>
    </row>
    <row r="59" spans="1:25" x14ac:dyDescent="0.3">
      <c r="A59" s="172">
        <f t="shared" si="0"/>
        <v>57</v>
      </c>
      <c r="B59" s="173" t="str">
        <f t="shared" si="11"/>
        <v/>
      </c>
      <c r="C59" s="173" t="str">
        <f t="shared" si="11"/>
        <v/>
      </c>
      <c r="D59" s="173" t="str">
        <f t="shared" si="11"/>
        <v/>
      </c>
      <c r="E59" s="173" t="str">
        <f t="shared" si="11"/>
        <v/>
      </c>
      <c r="F59" s="173" t="str">
        <f t="shared" si="11"/>
        <v/>
      </c>
      <c r="G59" s="173" t="str">
        <f t="shared" si="11"/>
        <v/>
      </c>
      <c r="H59" s="173" t="str">
        <f t="shared" si="11"/>
        <v/>
      </c>
      <c r="I59" s="173" t="str">
        <f t="shared" si="11"/>
        <v/>
      </c>
      <c r="J59" s="173" t="str">
        <f t="shared" si="11"/>
        <v/>
      </c>
      <c r="K59" s="173" t="str">
        <f t="shared" si="11"/>
        <v/>
      </c>
      <c r="L59" s="173" t="str">
        <f t="shared" si="12"/>
        <v>info</v>
      </c>
      <c r="M59" s="173" t="str">
        <f t="shared" si="12"/>
        <v/>
      </c>
      <c r="N59" s="173" t="str">
        <f t="shared" si="12"/>
        <v/>
      </c>
      <c r="O59" s="173" t="str">
        <f t="shared" si="12"/>
        <v/>
      </c>
      <c r="P59" s="174" t="str">
        <f t="shared" si="12"/>
        <v/>
      </c>
      <c r="Q59" s="174" t="str">
        <f t="shared" si="12"/>
        <v>x</v>
      </c>
      <c r="R59" s="174" t="str">
        <f t="shared" si="12"/>
        <v>BS</v>
      </c>
      <c r="S59" s="174" t="str">
        <f t="shared" si="12"/>
        <v>all</v>
      </c>
      <c r="T59" s="173" t="str">
        <f t="shared" si="12"/>
        <v/>
      </c>
      <c r="U59" s="173" t="str">
        <f t="shared" si="12"/>
        <v/>
      </c>
      <c r="V59" s="173" t="str">
        <f t="shared" si="12"/>
        <v/>
      </c>
      <c r="W59" s="173" t="str">
        <f t="shared" si="12"/>
        <v/>
      </c>
      <c r="X59" s="173" t="str">
        <f t="shared" si="12"/>
        <v/>
      </c>
      <c r="Y59" s="173" t="str">
        <f t="shared" si="12"/>
        <v/>
      </c>
    </row>
    <row r="60" spans="1:25" x14ac:dyDescent="0.3">
      <c r="A60" s="172">
        <f t="shared" si="0"/>
        <v>58</v>
      </c>
      <c r="B60" s="173" t="str">
        <f t="shared" si="11"/>
        <v/>
      </c>
      <c r="C60" s="173" t="str">
        <f t="shared" si="11"/>
        <v/>
      </c>
      <c r="D60" s="173" t="str">
        <f t="shared" si="11"/>
        <v/>
      </c>
      <c r="E60" s="173" t="str">
        <f t="shared" si="11"/>
        <v/>
      </c>
      <c r="F60" s="173" t="str">
        <f t="shared" si="11"/>
        <v/>
      </c>
      <c r="G60" s="173" t="str">
        <f t="shared" si="11"/>
        <v/>
      </c>
      <c r="H60" s="173" t="str">
        <f t="shared" si="11"/>
        <v/>
      </c>
      <c r="I60" s="173" t="str">
        <f t="shared" si="11"/>
        <v/>
      </c>
      <c r="J60" s="173" t="str">
        <f t="shared" si="11"/>
        <v/>
      </c>
      <c r="K60" s="173" t="str">
        <f t="shared" si="11"/>
        <v/>
      </c>
      <c r="L60" s="173" t="str">
        <f t="shared" si="12"/>
        <v>info</v>
      </c>
      <c r="M60" s="173" t="str">
        <f t="shared" si="12"/>
        <v/>
      </c>
      <c r="N60" s="173" t="str">
        <f t="shared" si="12"/>
        <v/>
      </c>
      <c r="O60" s="173" t="str">
        <f t="shared" si="12"/>
        <v/>
      </c>
      <c r="P60" s="174" t="str">
        <f t="shared" si="12"/>
        <v/>
      </c>
      <c r="Q60" s="174" t="str">
        <f t="shared" si="12"/>
        <v>x</v>
      </c>
      <c r="R60" s="174" t="str">
        <f t="shared" si="12"/>
        <v>BS</v>
      </c>
      <c r="S60" s="174" t="str">
        <f t="shared" si="12"/>
        <v>all</v>
      </c>
      <c r="T60" s="173" t="str">
        <f t="shared" si="12"/>
        <v/>
      </c>
      <c r="U60" s="173" t="str">
        <f t="shared" si="12"/>
        <v/>
      </c>
      <c r="V60" s="173" t="str">
        <f t="shared" si="12"/>
        <v/>
      </c>
      <c r="W60" s="173" t="str">
        <f t="shared" si="12"/>
        <v/>
      </c>
      <c r="X60" s="173" t="str">
        <f t="shared" si="12"/>
        <v/>
      </c>
      <c r="Y60" s="173" t="str">
        <f t="shared" si="12"/>
        <v/>
      </c>
    </row>
    <row r="61" spans="1:25" x14ac:dyDescent="0.3">
      <c r="A61" s="172">
        <f t="shared" si="0"/>
        <v>59</v>
      </c>
      <c r="B61" s="173" t="str">
        <f t="shared" si="11"/>
        <v/>
      </c>
      <c r="C61" s="173" t="str">
        <f t="shared" si="11"/>
        <v/>
      </c>
      <c r="D61" s="173" t="str">
        <f t="shared" si="11"/>
        <v/>
      </c>
      <c r="E61" s="173" t="str">
        <f t="shared" si="11"/>
        <v/>
      </c>
      <c r="F61" s="173" t="str">
        <f t="shared" si="11"/>
        <v/>
      </c>
      <c r="G61" s="173" t="str">
        <f t="shared" si="11"/>
        <v/>
      </c>
      <c r="H61" s="173" t="str">
        <f t="shared" si="11"/>
        <v/>
      </c>
      <c r="I61" s="173" t="str">
        <f t="shared" si="11"/>
        <v/>
      </c>
      <c r="J61" s="173" t="str">
        <f t="shared" si="11"/>
        <v/>
      </c>
      <c r="K61" s="173" t="str">
        <f t="shared" si="11"/>
        <v/>
      </c>
      <c r="L61" s="173" t="str">
        <f t="shared" si="12"/>
        <v>info</v>
      </c>
      <c r="M61" s="173" t="str">
        <f t="shared" si="12"/>
        <v/>
      </c>
      <c r="N61" s="173" t="str">
        <f t="shared" si="12"/>
        <v/>
      </c>
      <c r="O61" s="173" t="str">
        <f t="shared" si="12"/>
        <v/>
      </c>
      <c r="P61" s="174" t="str">
        <f t="shared" si="12"/>
        <v/>
      </c>
      <c r="Q61" s="174" t="str">
        <f t="shared" si="12"/>
        <v>x</v>
      </c>
      <c r="R61" s="174" t="str">
        <f t="shared" si="12"/>
        <v>BS</v>
      </c>
      <c r="S61" s="174" t="str">
        <f t="shared" si="12"/>
        <v>all</v>
      </c>
      <c r="T61" s="173" t="str">
        <f t="shared" si="12"/>
        <v/>
      </c>
      <c r="U61" s="173" t="str">
        <f t="shared" si="12"/>
        <v/>
      </c>
      <c r="V61" s="173" t="str">
        <f t="shared" si="12"/>
        <v/>
      </c>
      <c r="W61" s="173" t="str">
        <f t="shared" si="12"/>
        <v/>
      </c>
      <c r="X61" s="173" t="str">
        <f t="shared" si="12"/>
        <v/>
      </c>
      <c r="Y61" s="173" t="str">
        <f t="shared" si="12"/>
        <v/>
      </c>
    </row>
    <row r="62" spans="1:25" x14ac:dyDescent="0.3">
      <c r="A62" s="172">
        <f t="shared" si="0"/>
        <v>60</v>
      </c>
      <c r="B62" s="173" t="str">
        <f t="shared" si="11"/>
        <v/>
      </c>
      <c r="C62" s="173" t="str">
        <f t="shared" si="11"/>
        <v/>
      </c>
      <c r="D62" s="173" t="str">
        <f t="shared" si="11"/>
        <v/>
      </c>
      <c r="E62" s="173" t="str">
        <f t="shared" si="11"/>
        <v/>
      </c>
      <c r="F62" s="173" t="str">
        <f t="shared" si="11"/>
        <v/>
      </c>
      <c r="G62" s="173" t="str">
        <f t="shared" si="11"/>
        <v/>
      </c>
      <c r="H62" s="173" t="str">
        <f t="shared" si="11"/>
        <v/>
      </c>
      <c r="I62" s="173" t="str">
        <f t="shared" si="11"/>
        <v/>
      </c>
      <c r="J62" s="173" t="str">
        <f t="shared" si="11"/>
        <v/>
      </c>
      <c r="K62" s="173" t="str">
        <f t="shared" si="11"/>
        <v/>
      </c>
      <c r="L62" s="173" t="str">
        <f t="shared" si="12"/>
        <v>info</v>
      </c>
      <c r="M62" s="173" t="str">
        <f t="shared" si="12"/>
        <v/>
      </c>
      <c r="N62" s="173" t="str">
        <f t="shared" si="12"/>
        <v/>
      </c>
      <c r="O62" s="173" t="str">
        <f t="shared" si="12"/>
        <v/>
      </c>
      <c r="P62" s="174" t="str">
        <f t="shared" si="12"/>
        <v/>
      </c>
      <c r="Q62" s="174" t="str">
        <f t="shared" si="12"/>
        <v>x</v>
      </c>
      <c r="R62" s="174" t="str">
        <f t="shared" si="12"/>
        <v>BS</v>
      </c>
      <c r="S62" s="174" t="str">
        <f t="shared" si="12"/>
        <v>all</v>
      </c>
      <c r="T62" s="173" t="str">
        <f t="shared" si="12"/>
        <v/>
      </c>
      <c r="U62" s="173" t="str">
        <f t="shared" si="12"/>
        <v/>
      </c>
      <c r="V62" s="173" t="str">
        <f t="shared" si="12"/>
        <v/>
      </c>
      <c r="W62" s="173" t="str">
        <f t="shared" si="12"/>
        <v/>
      </c>
      <c r="X62" s="173" t="str">
        <f t="shared" si="12"/>
        <v/>
      </c>
      <c r="Y62" s="173" t="str">
        <f t="shared" si="12"/>
        <v/>
      </c>
    </row>
    <row r="63" spans="1:25" x14ac:dyDescent="0.3">
      <c r="A63" s="172">
        <f t="shared" si="0"/>
        <v>61</v>
      </c>
      <c r="B63" s="173" t="str">
        <f t="shared" ref="B63:K72" si="13">IF(ISNONTEXT(B$2),IF(B$2="","",IF(INDEX(IMPORT,$A63,B$2)=0,"",IFERROR(VLOOKUP(INDEX(IMPORT,$A63,B$2),ImportTranslation,2,0),INDEX(IMPORT,$A63,B$2)))),B$2)</f>
        <v/>
      </c>
      <c r="C63" s="173" t="str">
        <f t="shared" si="13"/>
        <v/>
      </c>
      <c r="D63" s="173" t="str">
        <f t="shared" si="13"/>
        <v/>
      </c>
      <c r="E63" s="173" t="str">
        <f t="shared" si="13"/>
        <v/>
      </c>
      <c r="F63" s="173" t="str">
        <f t="shared" si="13"/>
        <v/>
      </c>
      <c r="G63" s="173" t="str">
        <f t="shared" si="13"/>
        <v/>
      </c>
      <c r="H63" s="173" t="str">
        <f t="shared" si="13"/>
        <v/>
      </c>
      <c r="I63" s="173" t="str">
        <f t="shared" si="13"/>
        <v/>
      </c>
      <c r="J63" s="173" t="str">
        <f t="shared" si="13"/>
        <v/>
      </c>
      <c r="K63" s="173" t="str">
        <f t="shared" si="13"/>
        <v/>
      </c>
      <c r="L63" s="173" t="str">
        <f t="shared" ref="L63:Y72" si="14">IF(ISNONTEXT(L$2),IF(L$2="","",IF(INDEX(IMPORT,$A63,L$2)=0,"",IFERROR(VLOOKUP(INDEX(IMPORT,$A63,L$2),ImportTranslation,2,0),INDEX(IMPORT,$A63,L$2)))),L$2)</f>
        <v>info</v>
      </c>
      <c r="M63" s="173" t="str">
        <f t="shared" si="14"/>
        <v/>
      </c>
      <c r="N63" s="173" t="str">
        <f t="shared" si="14"/>
        <v/>
      </c>
      <c r="O63" s="173" t="str">
        <f t="shared" si="14"/>
        <v/>
      </c>
      <c r="P63" s="174" t="str">
        <f t="shared" si="14"/>
        <v/>
      </c>
      <c r="Q63" s="174" t="str">
        <f t="shared" si="14"/>
        <v>x</v>
      </c>
      <c r="R63" s="174" t="str">
        <f t="shared" si="14"/>
        <v>BS</v>
      </c>
      <c r="S63" s="174" t="str">
        <f t="shared" si="14"/>
        <v>all</v>
      </c>
      <c r="T63" s="173" t="str">
        <f t="shared" si="14"/>
        <v/>
      </c>
      <c r="U63" s="173" t="str">
        <f t="shared" si="14"/>
        <v/>
      </c>
      <c r="V63" s="173" t="str">
        <f t="shared" si="14"/>
        <v/>
      </c>
      <c r="W63" s="173" t="str">
        <f t="shared" si="14"/>
        <v/>
      </c>
      <c r="X63" s="173" t="str">
        <f t="shared" si="14"/>
        <v/>
      </c>
      <c r="Y63" s="173" t="str">
        <f t="shared" si="14"/>
        <v/>
      </c>
    </row>
    <row r="64" spans="1:25" x14ac:dyDescent="0.3">
      <c r="A64" s="172">
        <f t="shared" si="0"/>
        <v>62</v>
      </c>
      <c r="B64" s="173" t="str">
        <f t="shared" si="13"/>
        <v/>
      </c>
      <c r="C64" s="173" t="str">
        <f t="shared" si="13"/>
        <v/>
      </c>
      <c r="D64" s="173" t="str">
        <f t="shared" si="13"/>
        <v/>
      </c>
      <c r="E64" s="173" t="str">
        <f t="shared" si="13"/>
        <v/>
      </c>
      <c r="F64" s="173" t="str">
        <f t="shared" si="13"/>
        <v/>
      </c>
      <c r="G64" s="173" t="str">
        <f t="shared" si="13"/>
        <v/>
      </c>
      <c r="H64" s="173" t="str">
        <f t="shared" si="13"/>
        <v/>
      </c>
      <c r="I64" s="173" t="str">
        <f t="shared" si="13"/>
        <v/>
      </c>
      <c r="J64" s="173" t="str">
        <f t="shared" si="13"/>
        <v/>
      </c>
      <c r="K64" s="173" t="str">
        <f t="shared" si="13"/>
        <v/>
      </c>
      <c r="L64" s="173" t="str">
        <f t="shared" si="14"/>
        <v>info</v>
      </c>
      <c r="M64" s="173" t="str">
        <f t="shared" si="14"/>
        <v/>
      </c>
      <c r="N64" s="173" t="str">
        <f t="shared" si="14"/>
        <v/>
      </c>
      <c r="O64" s="173" t="str">
        <f t="shared" si="14"/>
        <v/>
      </c>
      <c r="P64" s="174" t="str">
        <f t="shared" si="14"/>
        <v/>
      </c>
      <c r="Q64" s="174" t="str">
        <f t="shared" si="14"/>
        <v>x</v>
      </c>
      <c r="R64" s="174" t="str">
        <f t="shared" si="14"/>
        <v>BS</v>
      </c>
      <c r="S64" s="174" t="str">
        <f t="shared" si="14"/>
        <v>all</v>
      </c>
      <c r="T64" s="173" t="str">
        <f t="shared" si="14"/>
        <v/>
      </c>
      <c r="U64" s="173" t="str">
        <f t="shared" si="14"/>
        <v/>
      </c>
      <c r="V64" s="173" t="str">
        <f t="shared" si="14"/>
        <v/>
      </c>
      <c r="W64" s="173" t="str">
        <f t="shared" si="14"/>
        <v/>
      </c>
      <c r="X64" s="173" t="str">
        <f t="shared" si="14"/>
        <v/>
      </c>
      <c r="Y64" s="173" t="str">
        <f t="shared" si="14"/>
        <v/>
      </c>
    </row>
    <row r="65" spans="1:25" x14ac:dyDescent="0.3">
      <c r="A65" s="172">
        <f t="shared" si="0"/>
        <v>63</v>
      </c>
      <c r="B65" s="173" t="str">
        <f t="shared" si="13"/>
        <v/>
      </c>
      <c r="C65" s="173" t="str">
        <f t="shared" si="13"/>
        <v/>
      </c>
      <c r="D65" s="173" t="str">
        <f t="shared" si="13"/>
        <v/>
      </c>
      <c r="E65" s="173" t="str">
        <f t="shared" si="13"/>
        <v/>
      </c>
      <c r="F65" s="173" t="str">
        <f t="shared" si="13"/>
        <v/>
      </c>
      <c r="G65" s="173" t="str">
        <f t="shared" si="13"/>
        <v/>
      </c>
      <c r="H65" s="173" t="str">
        <f t="shared" si="13"/>
        <v/>
      </c>
      <c r="I65" s="173" t="str">
        <f t="shared" si="13"/>
        <v/>
      </c>
      <c r="J65" s="173" t="str">
        <f t="shared" si="13"/>
        <v/>
      </c>
      <c r="K65" s="173" t="str">
        <f t="shared" si="13"/>
        <v/>
      </c>
      <c r="L65" s="173" t="str">
        <f t="shared" si="14"/>
        <v>info</v>
      </c>
      <c r="M65" s="173" t="str">
        <f t="shared" si="14"/>
        <v/>
      </c>
      <c r="N65" s="173" t="str">
        <f t="shared" si="14"/>
        <v/>
      </c>
      <c r="O65" s="173" t="str">
        <f t="shared" si="14"/>
        <v/>
      </c>
      <c r="P65" s="174" t="str">
        <f t="shared" si="14"/>
        <v/>
      </c>
      <c r="Q65" s="174" t="str">
        <f t="shared" si="14"/>
        <v>x</v>
      </c>
      <c r="R65" s="174" t="str">
        <f t="shared" si="14"/>
        <v>BS</v>
      </c>
      <c r="S65" s="174" t="str">
        <f t="shared" si="14"/>
        <v>all</v>
      </c>
      <c r="T65" s="173" t="str">
        <f t="shared" si="14"/>
        <v/>
      </c>
      <c r="U65" s="173" t="str">
        <f t="shared" si="14"/>
        <v/>
      </c>
      <c r="V65" s="173" t="str">
        <f t="shared" si="14"/>
        <v/>
      </c>
      <c r="W65" s="173" t="str">
        <f t="shared" si="14"/>
        <v/>
      </c>
      <c r="X65" s="173" t="str">
        <f t="shared" si="14"/>
        <v/>
      </c>
      <c r="Y65" s="173" t="str">
        <f t="shared" si="14"/>
        <v/>
      </c>
    </row>
    <row r="66" spans="1:25" x14ac:dyDescent="0.3">
      <c r="A66" s="172">
        <f t="shared" si="0"/>
        <v>64</v>
      </c>
      <c r="B66" s="173" t="str">
        <f t="shared" si="13"/>
        <v/>
      </c>
      <c r="C66" s="173" t="str">
        <f t="shared" si="13"/>
        <v/>
      </c>
      <c r="D66" s="173" t="str">
        <f t="shared" si="13"/>
        <v/>
      </c>
      <c r="E66" s="173" t="str">
        <f t="shared" si="13"/>
        <v/>
      </c>
      <c r="F66" s="173" t="str">
        <f t="shared" si="13"/>
        <v/>
      </c>
      <c r="G66" s="173" t="str">
        <f t="shared" si="13"/>
        <v/>
      </c>
      <c r="H66" s="173" t="str">
        <f t="shared" si="13"/>
        <v/>
      </c>
      <c r="I66" s="173" t="str">
        <f t="shared" si="13"/>
        <v/>
      </c>
      <c r="J66" s="173" t="str">
        <f t="shared" si="13"/>
        <v/>
      </c>
      <c r="K66" s="173" t="str">
        <f t="shared" si="13"/>
        <v/>
      </c>
      <c r="L66" s="173" t="str">
        <f t="shared" si="14"/>
        <v>info</v>
      </c>
      <c r="M66" s="173" t="str">
        <f t="shared" si="14"/>
        <v/>
      </c>
      <c r="N66" s="173" t="str">
        <f t="shared" si="14"/>
        <v/>
      </c>
      <c r="O66" s="173" t="str">
        <f t="shared" si="14"/>
        <v/>
      </c>
      <c r="P66" s="174" t="str">
        <f t="shared" si="14"/>
        <v/>
      </c>
      <c r="Q66" s="174" t="str">
        <f t="shared" si="14"/>
        <v>x</v>
      </c>
      <c r="R66" s="174" t="str">
        <f t="shared" si="14"/>
        <v>BS</v>
      </c>
      <c r="S66" s="174" t="str">
        <f t="shared" si="14"/>
        <v>all</v>
      </c>
      <c r="T66" s="173" t="str">
        <f t="shared" si="14"/>
        <v/>
      </c>
      <c r="U66" s="173" t="str">
        <f t="shared" si="14"/>
        <v/>
      </c>
      <c r="V66" s="173" t="str">
        <f t="shared" si="14"/>
        <v/>
      </c>
      <c r="W66" s="173" t="str">
        <f t="shared" si="14"/>
        <v/>
      </c>
      <c r="X66" s="173" t="str">
        <f t="shared" si="14"/>
        <v/>
      </c>
      <c r="Y66" s="173" t="str">
        <f t="shared" si="14"/>
        <v/>
      </c>
    </row>
    <row r="67" spans="1:25" x14ac:dyDescent="0.3">
      <c r="A67" s="172">
        <f t="shared" ref="A67:A130" si="15">ROW()-ROW($A$2)</f>
        <v>65</v>
      </c>
      <c r="B67" s="173" t="str">
        <f t="shared" si="13"/>
        <v/>
      </c>
      <c r="C67" s="173" t="str">
        <f t="shared" si="13"/>
        <v/>
      </c>
      <c r="D67" s="173" t="str">
        <f t="shared" si="13"/>
        <v/>
      </c>
      <c r="E67" s="173" t="str">
        <f t="shared" si="13"/>
        <v/>
      </c>
      <c r="F67" s="173" t="str">
        <f t="shared" si="13"/>
        <v/>
      </c>
      <c r="G67" s="173" t="str">
        <f t="shared" si="13"/>
        <v/>
      </c>
      <c r="H67" s="173" t="str">
        <f t="shared" si="13"/>
        <v/>
      </c>
      <c r="I67" s="173" t="str">
        <f t="shared" si="13"/>
        <v/>
      </c>
      <c r="J67" s="173" t="str">
        <f t="shared" si="13"/>
        <v/>
      </c>
      <c r="K67" s="173" t="str">
        <f t="shared" si="13"/>
        <v/>
      </c>
      <c r="L67" s="173" t="str">
        <f t="shared" si="14"/>
        <v>info</v>
      </c>
      <c r="M67" s="173" t="str">
        <f t="shared" si="14"/>
        <v/>
      </c>
      <c r="N67" s="173" t="str">
        <f t="shared" si="14"/>
        <v/>
      </c>
      <c r="O67" s="173" t="str">
        <f t="shared" si="14"/>
        <v/>
      </c>
      <c r="P67" s="174" t="str">
        <f t="shared" si="14"/>
        <v/>
      </c>
      <c r="Q67" s="174" t="str">
        <f t="shared" si="14"/>
        <v>x</v>
      </c>
      <c r="R67" s="174" t="str">
        <f t="shared" si="14"/>
        <v>BS</v>
      </c>
      <c r="S67" s="174" t="str">
        <f t="shared" si="14"/>
        <v>all</v>
      </c>
      <c r="T67" s="173" t="str">
        <f t="shared" si="14"/>
        <v/>
      </c>
      <c r="U67" s="173" t="str">
        <f t="shared" si="14"/>
        <v/>
      </c>
      <c r="V67" s="173" t="str">
        <f t="shared" si="14"/>
        <v/>
      </c>
      <c r="W67" s="173" t="str">
        <f t="shared" si="14"/>
        <v/>
      </c>
      <c r="X67" s="173" t="str">
        <f t="shared" si="14"/>
        <v/>
      </c>
      <c r="Y67" s="173" t="str">
        <f t="shared" si="14"/>
        <v/>
      </c>
    </row>
    <row r="68" spans="1:25" x14ac:dyDescent="0.3">
      <c r="A68" s="172">
        <f t="shared" si="15"/>
        <v>66</v>
      </c>
      <c r="B68" s="173" t="str">
        <f t="shared" si="13"/>
        <v/>
      </c>
      <c r="C68" s="173" t="str">
        <f t="shared" si="13"/>
        <v/>
      </c>
      <c r="D68" s="173" t="str">
        <f t="shared" si="13"/>
        <v/>
      </c>
      <c r="E68" s="173" t="str">
        <f t="shared" si="13"/>
        <v/>
      </c>
      <c r="F68" s="173" t="str">
        <f t="shared" si="13"/>
        <v/>
      </c>
      <c r="G68" s="173" t="str">
        <f t="shared" si="13"/>
        <v/>
      </c>
      <c r="H68" s="173" t="str">
        <f t="shared" si="13"/>
        <v/>
      </c>
      <c r="I68" s="173" t="str">
        <f t="shared" si="13"/>
        <v/>
      </c>
      <c r="J68" s="173" t="str">
        <f t="shared" si="13"/>
        <v/>
      </c>
      <c r="K68" s="173" t="str">
        <f t="shared" si="13"/>
        <v/>
      </c>
      <c r="L68" s="173" t="str">
        <f t="shared" si="14"/>
        <v>info</v>
      </c>
      <c r="M68" s="173" t="str">
        <f t="shared" si="14"/>
        <v/>
      </c>
      <c r="N68" s="173" t="str">
        <f t="shared" si="14"/>
        <v/>
      </c>
      <c r="O68" s="173" t="str">
        <f t="shared" si="14"/>
        <v/>
      </c>
      <c r="P68" s="174" t="str">
        <f t="shared" si="14"/>
        <v/>
      </c>
      <c r="Q68" s="174" t="str">
        <f t="shared" si="14"/>
        <v>x</v>
      </c>
      <c r="R68" s="174" t="str">
        <f t="shared" si="14"/>
        <v>BS</v>
      </c>
      <c r="S68" s="174" t="str">
        <f t="shared" si="14"/>
        <v>all</v>
      </c>
      <c r="T68" s="173" t="str">
        <f t="shared" si="14"/>
        <v/>
      </c>
      <c r="U68" s="173" t="str">
        <f t="shared" si="14"/>
        <v/>
      </c>
      <c r="V68" s="173" t="str">
        <f t="shared" si="14"/>
        <v/>
      </c>
      <c r="W68" s="173" t="str">
        <f t="shared" si="14"/>
        <v/>
      </c>
      <c r="X68" s="173" t="str">
        <f t="shared" si="14"/>
        <v/>
      </c>
      <c r="Y68" s="173" t="str">
        <f t="shared" si="14"/>
        <v/>
      </c>
    </row>
    <row r="69" spans="1:25" x14ac:dyDescent="0.3">
      <c r="A69" s="172">
        <f t="shared" si="15"/>
        <v>67</v>
      </c>
      <c r="B69" s="173" t="str">
        <f t="shared" si="13"/>
        <v/>
      </c>
      <c r="C69" s="173" t="str">
        <f t="shared" si="13"/>
        <v/>
      </c>
      <c r="D69" s="173" t="str">
        <f t="shared" si="13"/>
        <v/>
      </c>
      <c r="E69" s="173" t="str">
        <f t="shared" si="13"/>
        <v/>
      </c>
      <c r="F69" s="173" t="str">
        <f t="shared" si="13"/>
        <v/>
      </c>
      <c r="G69" s="173" t="str">
        <f t="shared" si="13"/>
        <v/>
      </c>
      <c r="H69" s="173" t="str">
        <f t="shared" si="13"/>
        <v/>
      </c>
      <c r="I69" s="173" t="str">
        <f t="shared" si="13"/>
        <v/>
      </c>
      <c r="J69" s="173" t="str">
        <f t="shared" si="13"/>
        <v/>
      </c>
      <c r="K69" s="173" t="str">
        <f t="shared" si="13"/>
        <v/>
      </c>
      <c r="L69" s="173" t="str">
        <f t="shared" si="14"/>
        <v>info</v>
      </c>
      <c r="M69" s="173" t="str">
        <f t="shared" si="14"/>
        <v/>
      </c>
      <c r="N69" s="173" t="str">
        <f t="shared" si="14"/>
        <v/>
      </c>
      <c r="O69" s="173" t="str">
        <f t="shared" si="14"/>
        <v/>
      </c>
      <c r="P69" s="174" t="str">
        <f t="shared" si="14"/>
        <v/>
      </c>
      <c r="Q69" s="174" t="str">
        <f t="shared" si="14"/>
        <v>x</v>
      </c>
      <c r="R69" s="174" t="str">
        <f t="shared" si="14"/>
        <v>BS</v>
      </c>
      <c r="S69" s="174" t="str">
        <f t="shared" si="14"/>
        <v>all</v>
      </c>
      <c r="T69" s="173" t="str">
        <f t="shared" si="14"/>
        <v/>
      </c>
      <c r="U69" s="173" t="str">
        <f t="shared" si="14"/>
        <v/>
      </c>
      <c r="V69" s="173" t="str">
        <f t="shared" si="14"/>
        <v/>
      </c>
      <c r="W69" s="173" t="str">
        <f t="shared" si="14"/>
        <v/>
      </c>
      <c r="X69" s="173" t="str">
        <f t="shared" si="14"/>
        <v/>
      </c>
      <c r="Y69" s="173" t="str">
        <f t="shared" si="14"/>
        <v/>
      </c>
    </row>
    <row r="70" spans="1:25" x14ac:dyDescent="0.3">
      <c r="A70" s="172">
        <f t="shared" si="15"/>
        <v>68</v>
      </c>
      <c r="B70" s="173" t="str">
        <f t="shared" si="13"/>
        <v/>
      </c>
      <c r="C70" s="173" t="str">
        <f t="shared" si="13"/>
        <v/>
      </c>
      <c r="D70" s="173" t="str">
        <f t="shared" si="13"/>
        <v/>
      </c>
      <c r="E70" s="173" t="str">
        <f t="shared" si="13"/>
        <v/>
      </c>
      <c r="F70" s="173" t="str">
        <f t="shared" si="13"/>
        <v/>
      </c>
      <c r="G70" s="173" t="str">
        <f t="shared" si="13"/>
        <v/>
      </c>
      <c r="H70" s="173" t="str">
        <f t="shared" si="13"/>
        <v/>
      </c>
      <c r="I70" s="173" t="str">
        <f t="shared" si="13"/>
        <v/>
      </c>
      <c r="J70" s="173" t="str">
        <f t="shared" si="13"/>
        <v/>
      </c>
      <c r="K70" s="173" t="str">
        <f t="shared" si="13"/>
        <v/>
      </c>
      <c r="L70" s="173" t="str">
        <f t="shared" si="14"/>
        <v>info</v>
      </c>
      <c r="M70" s="173" t="str">
        <f t="shared" si="14"/>
        <v/>
      </c>
      <c r="N70" s="173" t="str">
        <f t="shared" si="14"/>
        <v/>
      </c>
      <c r="O70" s="173" t="str">
        <f t="shared" si="14"/>
        <v/>
      </c>
      <c r="P70" s="174" t="str">
        <f t="shared" si="14"/>
        <v/>
      </c>
      <c r="Q70" s="174" t="str">
        <f t="shared" si="14"/>
        <v>x</v>
      </c>
      <c r="R70" s="174" t="str">
        <f t="shared" si="14"/>
        <v>BS</v>
      </c>
      <c r="S70" s="174" t="str">
        <f t="shared" si="14"/>
        <v>all</v>
      </c>
      <c r="T70" s="173" t="str">
        <f t="shared" si="14"/>
        <v/>
      </c>
      <c r="U70" s="173" t="str">
        <f t="shared" si="14"/>
        <v/>
      </c>
      <c r="V70" s="173" t="str">
        <f t="shared" si="14"/>
        <v/>
      </c>
      <c r="W70" s="173" t="str">
        <f t="shared" si="14"/>
        <v/>
      </c>
      <c r="X70" s="173" t="str">
        <f t="shared" si="14"/>
        <v/>
      </c>
      <c r="Y70" s="173" t="str">
        <f t="shared" si="14"/>
        <v/>
      </c>
    </row>
    <row r="71" spans="1:25" x14ac:dyDescent="0.3">
      <c r="A71" s="172">
        <f t="shared" si="15"/>
        <v>69</v>
      </c>
      <c r="B71" s="173" t="str">
        <f t="shared" si="13"/>
        <v/>
      </c>
      <c r="C71" s="173" t="str">
        <f t="shared" si="13"/>
        <v/>
      </c>
      <c r="D71" s="173" t="str">
        <f t="shared" si="13"/>
        <v/>
      </c>
      <c r="E71" s="173" t="str">
        <f t="shared" si="13"/>
        <v/>
      </c>
      <c r="F71" s="173" t="str">
        <f t="shared" si="13"/>
        <v/>
      </c>
      <c r="G71" s="173" t="str">
        <f t="shared" si="13"/>
        <v/>
      </c>
      <c r="H71" s="173" t="str">
        <f t="shared" si="13"/>
        <v/>
      </c>
      <c r="I71" s="173" t="str">
        <f t="shared" si="13"/>
        <v/>
      </c>
      <c r="J71" s="173" t="str">
        <f t="shared" si="13"/>
        <v/>
      </c>
      <c r="K71" s="173" t="str">
        <f t="shared" si="13"/>
        <v/>
      </c>
      <c r="L71" s="173" t="str">
        <f t="shared" si="14"/>
        <v>info</v>
      </c>
      <c r="M71" s="173" t="str">
        <f t="shared" si="14"/>
        <v/>
      </c>
      <c r="N71" s="173" t="str">
        <f t="shared" si="14"/>
        <v/>
      </c>
      <c r="O71" s="173" t="str">
        <f t="shared" si="14"/>
        <v/>
      </c>
      <c r="P71" s="174" t="str">
        <f t="shared" si="14"/>
        <v/>
      </c>
      <c r="Q71" s="174" t="str">
        <f t="shared" si="14"/>
        <v>x</v>
      </c>
      <c r="R71" s="174" t="str">
        <f t="shared" si="14"/>
        <v>BS</v>
      </c>
      <c r="S71" s="174" t="str">
        <f t="shared" si="14"/>
        <v>all</v>
      </c>
      <c r="T71" s="173" t="str">
        <f t="shared" si="14"/>
        <v/>
      </c>
      <c r="U71" s="173" t="str">
        <f t="shared" si="14"/>
        <v/>
      </c>
      <c r="V71" s="173" t="str">
        <f t="shared" si="14"/>
        <v/>
      </c>
      <c r="W71" s="173" t="str">
        <f t="shared" si="14"/>
        <v/>
      </c>
      <c r="X71" s="173" t="str">
        <f t="shared" si="14"/>
        <v/>
      </c>
      <c r="Y71" s="173" t="str">
        <f t="shared" si="14"/>
        <v/>
      </c>
    </row>
    <row r="72" spans="1:25" x14ac:dyDescent="0.3">
      <c r="A72" s="172">
        <f t="shared" si="15"/>
        <v>70</v>
      </c>
      <c r="B72" s="173" t="str">
        <f t="shared" si="13"/>
        <v/>
      </c>
      <c r="C72" s="173" t="str">
        <f t="shared" si="13"/>
        <v/>
      </c>
      <c r="D72" s="173" t="str">
        <f t="shared" si="13"/>
        <v/>
      </c>
      <c r="E72" s="173" t="str">
        <f t="shared" si="13"/>
        <v/>
      </c>
      <c r="F72" s="173" t="str">
        <f t="shared" si="13"/>
        <v/>
      </c>
      <c r="G72" s="173" t="str">
        <f t="shared" si="13"/>
        <v/>
      </c>
      <c r="H72" s="173" t="str">
        <f t="shared" si="13"/>
        <v/>
      </c>
      <c r="I72" s="173" t="str">
        <f t="shared" si="13"/>
        <v/>
      </c>
      <c r="J72" s="173" t="str">
        <f t="shared" si="13"/>
        <v/>
      </c>
      <c r="K72" s="173" t="str">
        <f t="shared" si="13"/>
        <v/>
      </c>
      <c r="L72" s="173" t="str">
        <f t="shared" si="14"/>
        <v>info</v>
      </c>
      <c r="M72" s="173" t="str">
        <f t="shared" si="14"/>
        <v/>
      </c>
      <c r="N72" s="173" t="str">
        <f t="shared" si="14"/>
        <v/>
      </c>
      <c r="O72" s="173" t="str">
        <f t="shared" si="14"/>
        <v/>
      </c>
      <c r="P72" s="174" t="str">
        <f t="shared" si="14"/>
        <v/>
      </c>
      <c r="Q72" s="174" t="str">
        <f t="shared" si="14"/>
        <v>x</v>
      </c>
      <c r="R72" s="174" t="str">
        <f t="shared" si="14"/>
        <v>BS</v>
      </c>
      <c r="S72" s="174" t="str">
        <f t="shared" si="14"/>
        <v>all</v>
      </c>
      <c r="T72" s="173" t="str">
        <f t="shared" si="14"/>
        <v/>
      </c>
      <c r="U72" s="173" t="str">
        <f t="shared" si="14"/>
        <v/>
      </c>
      <c r="V72" s="173" t="str">
        <f t="shared" si="14"/>
        <v/>
      </c>
      <c r="W72" s="173" t="str">
        <f t="shared" si="14"/>
        <v/>
      </c>
      <c r="X72" s="173" t="str">
        <f t="shared" si="14"/>
        <v/>
      </c>
      <c r="Y72" s="173" t="str">
        <f t="shared" si="14"/>
        <v/>
      </c>
    </row>
    <row r="73" spans="1:25" x14ac:dyDescent="0.3">
      <c r="A73" s="172">
        <f t="shared" si="15"/>
        <v>71</v>
      </c>
      <c r="B73" s="173" t="str">
        <f t="shared" ref="B73:K82" si="16">IF(ISNONTEXT(B$2),IF(B$2="","",IF(INDEX(IMPORT,$A73,B$2)=0,"",IFERROR(VLOOKUP(INDEX(IMPORT,$A73,B$2),ImportTranslation,2,0),INDEX(IMPORT,$A73,B$2)))),B$2)</f>
        <v/>
      </c>
      <c r="C73" s="173" t="str">
        <f t="shared" si="16"/>
        <v/>
      </c>
      <c r="D73" s="173" t="str">
        <f t="shared" si="16"/>
        <v/>
      </c>
      <c r="E73" s="173" t="str">
        <f t="shared" si="16"/>
        <v/>
      </c>
      <c r="F73" s="173" t="str">
        <f t="shared" si="16"/>
        <v/>
      </c>
      <c r="G73" s="173" t="str">
        <f t="shared" si="16"/>
        <v/>
      </c>
      <c r="H73" s="173" t="str">
        <f t="shared" si="16"/>
        <v/>
      </c>
      <c r="I73" s="173" t="str">
        <f t="shared" si="16"/>
        <v/>
      </c>
      <c r="J73" s="173" t="str">
        <f t="shared" si="16"/>
        <v/>
      </c>
      <c r="K73" s="173" t="str">
        <f t="shared" si="16"/>
        <v/>
      </c>
      <c r="L73" s="173" t="str">
        <f t="shared" ref="L73:Y82" si="17">IF(ISNONTEXT(L$2),IF(L$2="","",IF(INDEX(IMPORT,$A73,L$2)=0,"",IFERROR(VLOOKUP(INDEX(IMPORT,$A73,L$2),ImportTranslation,2,0),INDEX(IMPORT,$A73,L$2)))),L$2)</f>
        <v>info</v>
      </c>
      <c r="M73" s="173" t="str">
        <f t="shared" si="17"/>
        <v/>
      </c>
      <c r="N73" s="173" t="str">
        <f t="shared" si="17"/>
        <v/>
      </c>
      <c r="O73" s="173" t="str">
        <f t="shared" si="17"/>
        <v/>
      </c>
      <c r="P73" s="174" t="str">
        <f t="shared" si="17"/>
        <v/>
      </c>
      <c r="Q73" s="174" t="str">
        <f t="shared" si="17"/>
        <v>x</v>
      </c>
      <c r="R73" s="174" t="str">
        <f t="shared" si="17"/>
        <v>BS</v>
      </c>
      <c r="S73" s="174" t="str">
        <f t="shared" si="17"/>
        <v>all</v>
      </c>
      <c r="T73" s="173" t="str">
        <f t="shared" si="17"/>
        <v/>
      </c>
      <c r="U73" s="173" t="str">
        <f t="shared" si="17"/>
        <v/>
      </c>
      <c r="V73" s="173" t="str">
        <f t="shared" si="17"/>
        <v/>
      </c>
      <c r="W73" s="173" t="str">
        <f t="shared" si="17"/>
        <v/>
      </c>
      <c r="X73" s="173" t="str">
        <f t="shared" si="17"/>
        <v/>
      </c>
      <c r="Y73" s="173" t="str">
        <f t="shared" si="17"/>
        <v/>
      </c>
    </row>
    <row r="74" spans="1:25" x14ac:dyDescent="0.3">
      <c r="A74" s="172">
        <f t="shared" si="15"/>
        <v>72</v>
      </c>
      <c r="B74" s="173" t="str">
        <f t="shared" si="16"/>
        <v/>
      </c>
      <c r="C74" s="173" t="str">
        <f t="shared" si="16"/>
        <v/>
      </c>
      <c r="D74" s="173" t="str">
        <f t="shared" si="16"/>
        <v/>
      </c>
      <c r="E74" s="173" t="str">
        <f t="shared" si="16"/>
        <v/>
      </c>
      <c r="F74" s="173" t="str">
        <f t="shared" si="16"/>
        <v/>
      </c>
      <c r="G74" s="173" t="str">
        <f t="shared" si="16"/>
        <v/>
      </c>
      <c r="H74" s="173" t="str">
        <f t="shared" si="16"/>
        <v/>
      </c>
      <c r="I74" s="173" t="str">
        <f t="shared" si="16"/>
        <v/>
      </c>
      <c r="J74" s="173" t="str">
        <f t="shared" si="16"/>
        <v/>
      </c>
      <c r="K74" s="173" t="str">
        <f t="shared" si="16"/>
        <v/>
      </c>
      <c r="L74" s="173" t="str">
        <f t="shared" si="17"/>
        <v>info</v>
      </c>
      <c r="M74" s="173" t="str">
        <f t="shared" si="17"/>
        <v/>
      </c>
      <c r="N74" s="173" t="str">
        <f t="shared" si="17"/>
        <v/>
      </c>
      <c r="O74" s="173" t="str">
        <f t="shared" si="17"/>
        <v/>
      </c>
      <c r="P74" s="174" t="str">
        <f t="shared" si="17"/>
        <v/>
      </c>
      <c r="Q74" s="174" t="str">
        <f t="shared" si="17"/>
        <v>x</v>
      </c>
      <c r="R74" s="174" t="str">
        <f t="shared" si="17"/>
        <v>BS</v>
      </c>
      <c r="S74" s="174" t="str">
        <f t="shared" si="17"/>
        <v>all</v>
      </c>
      <c r="T74" s="173" t="str">
        <f t="shared" si="17"/>
        <v/>
      </c>
      <c r="U74" s="173" t="str">
        <f t="shared" si="17"/>
        <v/>
      </c>
      <c r="V74" s="173" t="str">
        <f t="shared" si="17"/>
        <v/>
      </c>
      <c r="W74" s="173" t="str">
        <f t="shared" si="17"/>
        <v/>
      </c>
      <c r="X74" s="173" t="str">
        <f t="shared" si="17"/>
        <v/>
      </c>
      <c r="Y74" s="173" t="str">
        <f t="shared" si="17"/>
        <v/>
      </c>
    </row>
    <row r="75" spans="1:25" x14ac:dyDescent="0.3">
      <c r="A75" s="172">
        <f t="shared" si="15"/>
        <v>73</v>
      </c>
      <c r="B75" s="173" t="str">
        <f t="shared" si="16"/>
        <v/>
      </c>
      <c r="C75" s="173" t="str">
        <f t="shared" si="16"/>
        <v/>
      </c>
      <c r="D75" s="173" t="str">
        <f t="shared" si="16"/>
        <v/>
      </c>
      <c r="E75" s="173" t="str">
        <f t="shared" si="16"/>
        <v/>
      </c>
      <c r="F75" s="173" t="str">
        <f t="shared" si="16"/>
        <v/>
      </c>
      <c r="G75" s="173" t="str">
        <f t="shared" si="16"/>
        <v/>
      </c>
      <c r="H75" s="173" t="str">
        <f t="shared" si="16"/>
        <v/>
      </c>
      <c r="I75" s="173" t="str">
        <f t="shared" si="16"/>
        <v/>
      </c>
      <c r="J75" s="173" t="str">
        <f t="shared" si="16"/>
        <v/>
      </c>
      <c r="K75" s="173" t="str">
        <f t="shared" si="16"/>
        <v/>
      </c>
      <c r="L75" s="173" t="str">
        <f t="shared" si="17"/>
        <v>info</v>
      </c>
      <c r="M75" s="173" t="str">
        <f t="shared" si="17"/>
        <v/>
      </c>
      <c r="N75" s="173" t="str">
        <f t="shared" si="17"/>
        <v/>
      </c>
      <c r="O75" s="173" t="str">
        <f t="shared" si="17"/>
        <v/>
      </c>
      <c r="P75" s="174" t="str">
        <f t="shared" si="17"/>
        <v/>
      </c>
      <c r="Q75" s="174" t="str">
        <f t="shared" si="17"/>
        <v>x</v>
      </c>
      <c r="R75" s="174" t="str">
        <f t="shared" si="17"/>
        <v>BS</v>
      </c>
      <c r="S75" s="174" t="str">
        <f t="shared" si="17"/>
        <v>all</v>
      </c>
      <c r="T75" s="173" t="str">
        <f t="shared" si="17"/>
        <v/>
      </c>
      <c r="U75" s="173" t="str">
        <f t="shared" si="17"/>
        <v/>
      </c>
      <c r="V75" s="173" t="str">
        <f t="shared" si="17"/>
        <v/>
      </c>
      <c r="W75" s="173" t="str">
        <f t="shared" si="17"/>
        <v/>
      </c>
      <c r="X75" s="173" t="str">
        <f t="shared" si="17"/>
        <v/>
      </c>
      <c r="Y75" s="173" t="str">
        <f t="shared" si="17"/>
        <v/>
      </c>
    </row>
    <row r="76" spans="1:25" x14ac:dyDescent="0.3">
      <c r="A76" s="172">
        <f t="shared" si="15"/>
        <v>74</v>
      </c>
      <c r="B76" s="173" t="str">
        <f t="shared" si="16"/>
        <v/>
      </c>
      <c r="C76" s="173" t="str">
        <f t="shared" si="16"/>
        <v/>
      </c>
      <c r="D76" s="173" t="str">
        <f t="shared" si="16"/>
        <v/>
      </c>
      <c r="E76" s="173" t="str">
        <f t="shared" si="16"/>
        <v/>
      </c>
      <c r="F76" s="173" t="str">
        <f t="shared" si="16"/>
        <v/>
      </c>
      <c r="G76" s="173" t="str">
        <f t="shared" si="16"/>
        <v/>
      </c>
      <c r="H76" s="173" t="str">
        <f t="shared" si="16"/>
        <v/>
      </c>
      <c r="I76" s="173" t="str">
        <f t="shared" si="16"/>
        <v/>
      </c>
      <c r="J76" s="173" t="str">
        <f t="shared" si="16"/>
        <v/>
      </c>
      <c r="K76" s="173" t="str">
        <f t="shared" si="16"/>
        <v/>
      </c>
      <c r="L76" s="173" t="str">
        <f t="shared" si="17"/>
        <v>info</v>
      </c>
      <c r="M76" s="173" t="str">
        <f t="shared" si="17"/>
        <v/>
      </c>
      <c r="N76" s="173" t="str">
        <f t="shared" si="17"/>
        <v/>
      </c>
      <c r="O76" s="173" t="str">
        <f t="shared" si="17"/>
        <v/>
      </c>
      <c r="P76" s="174" t="str">
        <f t="shared" si="17"/>
        <v/>
      </c>
      <c r="Q76" s="174" t="str">
        <f t="shared" si="17"/>
        <v>x</v>
      </c>
      <c r="R76" s="174" t="str">
        <f t="shared" si="17"/>
        <v>BS</v>
      </c>
      <c r="S76" s="174" t="str">
        <f t="shared" si="17"/>
        <v>all</v>
      </c>
      <c r="T76" s="173" t="str">
        <f t="shared" si="17"/>
        <v/>
      </c>
      <c r="U76" s="173" t="str">
        <f t="shared" si="17"/>
        <v/>
      </c>
      <c r="V76" s="173" t="str">
        <f t="shared" si="17"/>
        <v/>
      </c>
      <c r="W76" s="173" t="str">
        <f t="shared" si="17"/>
        <v/>
      </c>
      <c r="X76" s="173" t="str">
        <f t="shared" si="17"/>
        <v/>
      </c>
      <c r="Y76" s="173" t="str">
        <f t="shared" si="17"/>
        <v/>
      </c>
    </row>
    <row r="77" spans="1:25" x14ac:dyDescent="0.3">
      <c r="A77" s="172">
        <f t="shared" si="15"/>
        <v>75</v>
      </c>
      <c r="B77" s="173" t="str">
        <f t="shared" si="16"/>
        <v/>
      </c>
      <c r="C77" s="173" t="str">
        <f t="shared" si="16"/>
        <v/>
      </c>
      <c r="D77" s="173" t="str">
        <f t="shared" si="16"/>
        <v/>
      </c>
      <c r="E77" s="173" t="str">
        <f t="shared" si="16"/>
        <v/>
      </c>
      <c r="F77" s="173" t="str">
        <f t="shared" si="16"/>
        <v/>
      </c>
      <c r="G77" s="173" t="str">
        <f t="shared" si="16"/>
        <v/>
      </c>
      <c r="H77" s="173" t="str">
        <f t="shared" si="16"/>
        <v/>
      </c>
      <c r="I77" s="173" t="str">
        <f t="shared" si="16"/>
        <v/>
      </c>
      <c r="J77" s="173" t="str">
        <f t="shared" si="16"/>
        <v/>
      </c>
      <c r="K77" s="173" t="str">
        <f t="shared" si="16"/>
        <v/>
      </c>
      <c r="L77" s="173" t="str">
        <f t="shared" si="17"/>
        <v>info</v>
      </c>
      <c r="M77" s="173" t="str">
        <f t="shared" si="17"/>
        <v/>
      </c>
      <c r="N77" s="173" t="str">
        <f t="shared" si="17"/>
        <v/>
      </c>
      <c r="O77" s="173" t="str">
        <f t="shared" si="17"/>
        <v/>
      </c>
      <c r="P77" s="174" t="str">
        <f t="shared" si="17"/>
        <v/>
      </c>
      <c r="Q77" s="174" t="str">
        <f t="shared" si="17"/>
        <v>x</v>
      </c>
      <c r="R77" s="174" t="str">
        <f t="shared" si="17"/>
        <v>BS</v>
      </c>
      <c r="S77" s="174" t="str">
        <f t="shared" si="17"/>
        <v>all</v>
      </c>
      <c r="T77" s="173" t="str">
        <f t="shared" si="17"/>
        <v/>
      </c>
      <c r="U77" s="173" t="str">
        <f t="shared" si="17"/>
        <v/>
      </c>
      <c r="V77" s="173" t="str">
        <f t="shared" si="17"/>
        <v/>
      </c>
      <c r="W77" s="173" t="str">
        <f t="shared" si="17"/>
        <v/>
      </c>
      <c r="X77" s="173" t="str">
        <f t="shared" si="17"/>
        <v/>
      </c>
      <c r="Y77" s="173" t="str">
        <f t="shared" si="17"/>
        <v/>
      </c>
    </row>
    <row r="78" spans="1:25" x14ac:dyDescent="0.3">
      <c r="A78" s="172">
        <f t="shared" si="15"/>
        <v>76</v>
      </c>
      <c r="B78" s="173" t="str">
        <f t="shared" si="16"/>
        <v/>
      </c>
      <c r="C78" s="173" t="str">
        <f t="shared" si="16"/>
        <v/>
      </c>
      <c r="D78" s="173" t="str">
        <f t="shared" si="16"/>
        <v/>
      </c>
      <c r="E78" s="173" t="str">
        <f t="shared" si="16"/>
        <v/>
      </c>
      <c r="F78" s="173" t="str">
        <f t="shared" si="16"/>
        <v/>
      </c>
      <c r="G78" s="173" t="str">
        <f t="shared" si="16"/>
        <v/>
      </c>
      <c r="H78" s="173" t="str">
        <f t="shared" si="16"/>
        <v/>
      </c>
      <c r="I78" s="173" t="str">
        <f t="shared" si="16"/>
        <v/>
      </c>
      <c r="J78" s="173" t="str">
        <f t="shared" si="16"/>
        <v/>
      </c>
      <c r="K78" s="173" t="str">
        <f t="shared" si="16"/>
        <v/>
      </c>
      <c r="L78" s="173" t="str">
        <f t="shared" si="17"/>
        <v>info</v>
      </c>
      <c r="M78" s="173" t="str">
        <f t="shared" si="17"/>
        <v/>
      </c>
      <c r="N78" s="173" t="str">
        <f t="shared" si="17"/>
        <v/>
      </c>
      <c r="O78" s="173" t="str">
        <f t="shared" si="17"/>
        <v/>
      </c>
      <c r="P78" s="174" t="str">
        <f t="shared" si="17"/>
        <v/>
      </c>
      <c r="Q78" s="174" t="str">
        <f t="shared" si="17"/>
        <v>x</v>
      </c>
      <c r="R78" s="174" t="str">
        <f t="shared" si="17"/>
        <v>BS</v>
      </c>
      <c r="S78" s="174" t="str">
        <f t="shared" si="17"/>
        <v>all</v>
      </c>
      <c r="T78" s="173" t="str">
        <f t="shared" si="17"/>
        <v/>
      </c>
      <c r="U78" s="173" t="str">
        <f t="shared" si="17"/>
        <v/>
      </c>
      <c r="V78" s="173" t="str">
        <f t="shared" si="17"/>
        <v/>
      </c>
      <c r="W78" s="173" t="str">
        <f t="shared" si="17"/>
        <v/>
      </c>
      <c r="X78" s="173" t="str">
        <f t="shared" si="17"/>
        <v/>
      </c>
      <c r="Y78" s="173" t="str">
        <f t="shared" si="17"/>
        <v/>
      </c>
    </row>
    <row r="79" spans="1:25" x14ac:dyDescent="0.3">
      <c r="A79" s="172">
        <f t="shared" si="15"/>
        <v>77</v>
      </c>
      <c r="B79" s="173" t="str">
        <f t="shared" si="16"/>
        <v/>
      </c>
      <c r="C79" s="173" t="str">
        <f t="shared" si="16"/>
        <v/>
      </c>
      <c r="D79" s="173" t="str">
        <f t="shared" si="16"/>
        <v/>
      </c>
      <c r="E79" s="173" t="str">
        <f t="shared" si="16"/>
        <v/>
      </c>
      <c r="F79" s="173" t="str">
        <f t="shared" si="16"/>
        <v/>
      </c>
      <c r="G79" s="173" t="str">
        <f t="shared" si="16"/>
        <v/>
      </c>
      <c r="H79" s="173" t="str">
        <f t="shared" si="16"/>
        <v/>
      </c>
      <c r="I79" s="173" t="str">
        <f t="shared" si="16"/>
        <v/>
      </c>
      <c r="J79" s="173" t="str">
        <f t="shared" si="16"/>
        <v/>
      </c>
      <c r="K79" s="173" t="str">
        <f t="shared" si="16"/>
        <v/>
      </c>
      <c r="L79" s="173" t="str">
        <f t="shared" si="17"/>
        <v>info</v>
      </c>
      <c r="M79" s="173" t="str">
        <f t="shared" si="17"/>
        <v/>
      </c>
      <c r="N79" s="173" t="str">
        <f t="shared" si="17"/>
        <v/>
      </c>
      <c r="O79" s="173" t="str">
        <f t="shared" si="17"/>
        <v/>
      </c>
      <c r="P79" s="174" t="str">
        <f t="shared" si="17"/>
        <v/>
      </c>
      <c r="Q79" s="174" t="str">
        <f t="shared" si="17"/>
        <v>x</v>
      </c>
      <c r="R79" s="174" t="str">
        <f t="shared" si="17"/>
        <v>BS</v>
      </c>
      <c r="S79" s="174" t="str">
        <f t="shared" si="17"/>
        <v>all</v>
      </c>
      <c r="T79" s="173" t="str">
        <f t="shared" si="17"/>
        <v/>
      </c>
      <c r="U79" s="173" t="str">
        <f t="shared" si="17"/>
        <v/>
      </c>
      <c r="V79" s="173" t="str">
        <f t="shared" si="17"/>
        <v/>
      </c>
      <c r="W79" s="173" t="str">
        <f t="shared" si="17"/>
        <v/>
      </c>
      <c r="X79" s="173" t="str">
        <f t="shared" si="17"/>
        <v/>
      </c>
      <c r="Y79" s="173" t="str">
        <f t="shared" si="17"/>
        <v/>
      </c>
    </row>
    <row r="80" spans="1:25" x14ac:dyDescent="0.3">
      <c r="A80" s="172">
        <f t="shared" si="15"/>
        <v>78</v>
      </c>
      <c r="B80" s="173" t="str">
        <f t="shared" si="16"/>
        <v/>
      </c>
      <c r="C80" s="173" t="str">
        <f t="shared" si="16"/>
        <v/>
      </c>
      <c r="D80" s="173" t="str">
        <f t="shared" si="16"/>
        <v/>
      </c>
      <c r="E80" s="173" t="str">
        <f t="shared" si="16"/>
        <v/>
      </c>
      <c r="F80" s="173" t="str">
        <f t="shared" si="16"/>
        <v/>
      </c>
      <c r="G80" s="173" t="str">
        <f t="shared" si="16"/>
        <v/>
      </c>
      <c r="H80" s="173" t="str">
        <f t="shared" si="16"/>
        <v/>
      </c>
      <c r="I80" s="173" t="str">
        <f t="shared" si="16"/>
        <v/>
      </c>
      <c r="J80" s="173" t="str">
        <f t="shared" si="16"/>
        <v/>
      </c>
      <c r="K80" s="173" t="str">
        <f t="shared" si="16"/>
        <v/>
      </c>
      <c r="L80" s="173" t="str">
        <f t="shared" si="17"/>
        <v>info</v>
      </c>
      <c r="M80" s="173" t="str">
        <f t="shared" si="17"/>
        <v/>
      </c>
      <c r="N80" s="173" t="str">
        <f t="shared" si="17"/>
        <v/>
      </c>
      <c r="O80" s="173" t="str">
        <f t="shared" si="17"/>
        <v/>
      </c>
      <c r="P80" s="174" t="str">
        <f t="shared" si="17"/>
        <v/>
      </c>
      <c r="Q80" s="174" t="str">
        <f t="shared" si="17"/>
        <v>x</v>
      </c>
      <c r="R80" s="174" t="str">
        <f t="shared" si="17"/>
        <v>BS</v>
      </c>
      <c r="S80" s="174" t="str">
        <f t="shared" si="17"/>
        <v>all</v>
      </c>
      <c r="T80" s="173" t="str">
        <f t="shared" si="17"/>
        <v/>
      </c>
      <c r="U80" s="173" t="str">
        <f t="shared" si="17"/>
        <v/>
      </c>
      <c r="V80" s="173" t="str">
        <f t="shared" si="17"/>
        <v/>
      </c>
      <c r="W80" s="173" t="str">
        <f t="shared" si="17"/>
        <v/>
      </c>
      <c r="X80" s="173" t="str">
        <f t="shared" si="17"/>
        <v/>
      </c>
      <c r="Y80" s="173" t="str">
        <f t="shared" si="17"/>
        <v/>
      </c>
    </row>
    <row r="81" spans="1:25" x14ac:dyDescent="0.3">
      <c r="A81" s="172">
        <f t="shared" si="15"/>
        <v>79</v>
      </c>
      <c r="B81" s="173" t="str">
        <f t="shared" si="16"/>
        <v/>
      </c>
      <c r="C81" s="173" t="str">
        <f t="shared" si="16"/>
        <v/>
      </c>
      <c r="D81" s="173" t="str">
        <f t="shared" si="16"/>
        <v/>
      </c>
      <c r="E81" s="173" t="str">
        <f t="shared" si="16"/>
        <v/>
      </c>
      <c r="F81" s="173" t="str">
        <f t="shared" si="16"/>
        <v/>
      </c>
      <c r="G81" s="173" t="str">
        <f t="shared" si="16"/>
        <v/>
      </c>
      <c r="H81" s="173" t="str">
        <f t="shared" si="16"/>
        <v/>
      </c>
      <c r="I81" s="173" t="str">
        <f t="shared" si="16"/>
        <v/>
      </c>
      <c r="J81" s="173" t="str">
        <f t="shared" si="16"/>
        <v/>
      </c>
      <c r="K81" s="173" t="str">
        <f t="shared" si="16"/>
        <v/>
      </c>
      <c r="L81" s="173" t="str">
        <f t="shared" si="17"/>
        <v>info</v>
      </c>
      <c r="M81" s="173" t="str">
        <f t="shared" si="17"/>
        <v/>
      </c>
      <c r="N81" s="173" t="str">
        <f t="shared" si="17"/>
        <v/>
      </c>
      <c r="O81" s="173" t="str">
        <f t="shared" si="17"/>
        <v/>
      </c>
      <c r="P81" s="174" t="str">
        <f t="shared" si="17"/>
        <v/>
      </c>
      <c r="Q81" s="174" t="str">
        <f t="shared" si="17"/>
        <v>x</v>
      </c>
      <c r="R81" s="174" t="str">
        <f t="shared" si="17"/>
        <v>BS</v>
      </c>
      <c r="S81" s="174" t="str">
        <f t="shared" si="17"/>
        <v>all</v>
      </c>
      <c r="T81" s="173" t="str">
        <f t="shared" si="17"/>
        <v/>
      </c>
      <c r="U81" s="173" t="str">
        <f t="shared" si="17"/>
        <v/>
      </c>
      <c r="V81" s="173" t="str">
        <f t="shared" si="17"/>
        <v/>
      </c>
      <c r="W81" s="173" t="str">
        <f t="shared" si="17"/>
        <v/>
      </c>
      <c r="X81" s="173" t="str">
        <f t="shared" si="17"/>
        <v/>
      </c>
      <c r="Y81" s="173" t="str">
        <f t="shared" si="17"/>
        <v/>
      </c>
    </row>
    <row r="82" spans="1:25" x14ac:dyDescent="0.3">
      <c r="A82" s="172">
        <f t="shared" si="15"/>
        <v>80</v>
      </c>
      <c r="B82" s="173" t="str">
        <f t="shared" si="16"/>
        <v/>
      </c>
      <c r="C82" s="173" t="str">
        <f t="shared" si="16"/>
        <v/>
      </c>
      <c r="D82" s="173" t="str">
        <f t="shared" si="16"/>
        <v/>
      </c>
      <c r="E82" s="173" t="str">
        <f t="shared" si="16"/>
        <v/>
      </c>
      <c r="F82" s="173" t="str">
        <f t="shared" si="16"/>
        <v/>
      </c>
      <c r="G82" s="173" t="str">
        <f t="shared" si="16"/>
        <v/>
      </c>
      <c r="H82" s="173" t="str">
        <f t="shared" si="16"/>
        <v/>
      </c>
      <c r="I82" s="173" t="str">
        <f t="shared" si="16"/>
        <v/>
      </c>
      <c r="J82" s="173" t="str">
        <f t="shared" si="16"/>
        <v/>
      </c>
      <c r="K82" s="173" t="str">
        <f t="shared" si="16"/>
        <v/>
      </c>
      <c r="L82" s="173" t="str">
        <f t="shared" si="17"/>
        <v>info</v>
      </c>
      <c r="M82" s="173" t="str">
        <f t="shared" si="17"/>
        <v/>
      </c>
      <c r="N82" s="173" t="str">
        <f t="shared" si="17"/>
        <v/>
      </c>
      <c r="O82" s="173" t="str">
        <f t="shared" si="17"/>
        <v/>
      </c>
      <c r="P82" s="174" t="str">
        <f t="shared" si="17"/>
        <v/>
      </c>
      <c r="Q82" s="174" t="str">
        <f t="shared" si="17"/>
        <v>x</v>
      </c>
      <c r="R82" s="174" t="str">
        <f t="shared" si="17"/>
        <v>BS</v>
      </c>
      <c r="S82" s="174" t="str">
        <f t="shared" si="17"/>
        <v>all</v>
      </c>
      <c r="T82" s="173" t="str">
        <f t="shared" si="17"/>
        <v/>
      </c>
      <c r="U82" s="173" t="str">
        <f t="shared" si="17"/>
        <v/>
      </c>
      <c r="V82" s="173" t="str">
        <f t="shared" si="17"/>
        <v/>
      </c>
      <c r="W82" s="173" t="str">
        <f t="shared" si="17"/>
        <v/>
      </c>
      <c r="X82" s="173" t="str">
        <f t="shared" si="17"/>
        <v/>
      </c>
      <c r="Y82" s="173" t="str">
        <f t="shared" si="17"/>
        <v/>
      </c>
    </row>
    <row r="83" spans="1:25" x14ac:dyDescent="0.3">
      <c r="A83" s="172">
        <f t="shared" si="15"/>
        <v>81</v>
      </c>
      <c r="B83" s="173" t="str">
        <f t="shared" ref="B83:K92" si="18">IF(ISNONTEXT(B$2),IF(B$2="","",IF(INDEX(IMPORT,$A83,B$2)=0,"",IFERROR(VLOOKUP(INDEX(IMPORT,$A83,B$2),ImportTranslation,2,0),INDEX(IMPORT,$A83,B$2)))),B$2)</f>
        <v/>
      </c>
      <c r="C83" s="173" t="str">
        <f t="shared" si="18"/>
        <v/>
      </c>
      <c r="D83" s="173" t="str">
        <f t="shared" si="18"/>
        <v/>
      </c>
      <c r="E83" s="173" t="str">
        <f t="shared" si="18"/>
        <v/>
      </c>
      <c r="F83" s="173" t="str">
        <f t="shared" si="18"/>
        <v/>
      </c>
      <c r="G83" s="173" t="str">
        <f t="shared" si="18"/>
        <v/>
      </c>
      <c r="H83" s="173" t="str">
        <f t="shared" si="18"/>
        <v/>
      </c>
      <c r="I83" s="173" t="str">
        <f t="shared" si="18"/>
        <v/>
      </c>
      <c r="J83" s="173" t="str">
        <f t="shared" si="18"/>
        <v/>
      </c>
      <c r="K83" s="173" t="str">
        <f t="shared" si="18"/>
        <v/>
      </c>
      <c r="L83" s="173" t="str">
        <f t="shared" ref="L83:Y92" si="19">IF(ISNONTEXT(L$2),IF(L$2="","",IF(INDEX(IMPORT,$A83,L$2)=0,"",IFERROR(VLOOKUP(INDEX(IMPORT,$A83,L$2),ImportTranslation,2,0),INDEX(IMPORT,$A83,L$2)))),L$2)</f>
        <v>info</v>
      </c>
      <c r="M83" s="173" t="str">
        <f t="shared" si="19"/>
        <v/>
      </c>
      <c r="N83" s="173" t="str">
        <f t="shared" si="19"/>
        <v/>
      </c>
      <c r="O83" s="173" t="str">
        <f t="shared" si="19"/>
        <v/>
      </c>
      <c r="P83" s="174" t="str">
        <f t="shared" si="19"/>
        <v/>
      </c>
      <c r="Q83" s="174" t="str">
        <f t="shared" si="19"/>
        <v>x</v>
      </c>
      <c r="R83" s="174" t="str">
        <f t="shared" si="19"/>
        <v>BS</v>
      </c>
      <c r="S83" s="174" t="str">
        <f t="shared" si="19"/>
        <v>all</v>
      </c>
      <c r="T83" s="173" t="str">
        <f t="shared" si="19"/>
        <v/>
      </c>
      <c r="U83" s="173" t="str">
        <f t="shared" si="19"/>
        <v/>
      </c>
      <c r="V83" s="173" t="str">
        <f t="shared" si="19"/>
        <v/>
      </c>
      <c r="W83" s="173" t="str">
        <f t="shared" si="19"/>
        <v/>
      </c>
      <c r="X83" s="173" t="str">
        <f t="shared" si="19"/>
        <v/>
      </c>
      <c r="Y83" s="173" t="str">
        <f t="shared" si="19"/>
        <v/>
      </c>
    </row>
    <row r="84" spans="1:25" x14ac:dyDescent="0.3">
      <c r="A84" s="172">
        <f t="shared" si="15"/>
        <v>82</v>
      </c>
      <c r="B84" s="173" t="str">
        <f t="shared" si="18"/>
        <v/>
      </c>
      <c r="C84" s="173" t="str">
        <f t="shared" si="18"/>
        <v/>
      </c>
      <c r="D84" s="173" t="str">
        <f t="shared" si="18"/>
        <v/>
      </c>
      <c r="E84" s="173" t="str">
        <f t="shared" si="18"/>
        <v/>
      </c>
      <c r="F84" s="173" t="str">
        <f t="shared" si="18"/>
        <v/>
      </c>
      <c r="G84" s="173" t="str">
        <f t="shared" si="18"/>
        <v/>
      </c>
      <c r="H84" s="173" t="str">
        <f t="shared" si="18"/>
        <v/>
      </c>
      <c r="I84" s="173" t="str">
        <f t="shared" si="18"/>
        <v/>
      </c>
      <c r="J84" s="173" t="str">
        <f t="shared" si="18"/>
        <v/>
      </c>
      <c r="K84" s="173" t="str">
        <f t="shared" si="18"/>
        <v/>
      </c>
      <c r="L84" s="173" t="str">
        <f t="shared" si="19"/>
        <v>info</v>
      </c>
      <c r="M84" s="173" t="str">
        <f t="shared" si="19"/>
        <v/>
      </c>
      <c r="N84" s="173" t="str">
        <f t="shared" si="19"/>
        <v/>
      </c>
      <c r="O84" s="173" t="str">
        <f t="shared" si="19"/>
        <v/>
      </c>
      <c r="P84" s="174" t="str">
        <f t="shared" si="19"/>
        <v/>
      </c>
      <c r="Q84" s="174" t="str">
        <f t="shared" si="19"/>
        <v>x</v>
      </c>
      <c r="R84" s="174" t="str">
        <f t="shared" si="19"/>
        <v>BS</v>
      </c>
      <c r="S84" s="174" t="str">
        <f t="shared" si="19"/>
        <v>all</v>
      </c>
      <c r="T84" s="173" t="str">
        <f t="shared" si="19"/>
        <v/>
      </c>
      <c r="U84" s="173" t="str">
        <f t="shared" si="19"/>
        <v/>
      </c>
      <c r="V84" s="173" t="str">
        <f t="shared" si="19"/>
        <v/>
      </c>
      <c r="W84" s="173" t="str">
        <f t="shared" si="19"/>
        <v/>
      </c>
      <c r="X84" s="173" t="str">
        <f t="shared" si="19"/>
        <v/>
      </c>
      <c r="Y84" s="173" t="str">
        <f t="shared" si="19"/>
        <v/>
      </c>
    </row>
    <row r="85" spans="1:25" x14ac:dyDescent="0.3">
      <c r="A85" s="172">
        <f t="shared" si="15"/>
        <v>83</v>
      </c>
      <c r="B85" s="173" t="str">
        <f t="shared" si="18"/>
        <v/>
      </c>
      <c r="C85" s="173" t="str">
        <f t="shared" si="18"/>
        <v/>
      </c>
      <c r="D85" s="173" t="str">
        <f t="shared" si="18"/>
        <v/>
      </c>
      <c r="E85" s="173" t="str">
        <f t="shared" si="18"/>
        <v/>
      </c>
      <c r="F85" s="173" t="str">
        <f t="shared" si="18"/>
        <v/>
      </c>
      <c r="G85" s="173" t="str">
        <f t="shared" si="18"/>
        <v/>
      </c>
      <c r="H85" s="173" t="str">
        <f t="shared" si="18"/>
        <v/>
      </c>
      <c r="I85" s="173" t="str">
        <f t="shared" si="18"/>
        <v/>
      </c>
      <c r="J85" s="173" t="str">
        <f t="shared" si="18"/>
        <v/>
      </c>
      <c r="K85" s="173" t="str">
        <f t="shared" si="18"/>
        <v/>
      </c>
      <c r="L85" s="173" t="str">
        <f t="shared" si="19"/>
        <v>info</v>
      </c>
      <c r="M85" s="173" t="str">
        <f t="shared" si="19"/>
        <v/>
      </c>
      <c r="N85" s="173" t="str">
        <f t="shared" si="19"/>
        <v/>
      </c>
      <c r="O85" s="173" t="str">
        <f t="shared" si="19"/>
        <v/>
      </c>
      <c r="P85" s="174" t="str">
        <f t="shared" si="19"/>
        <v/>
      </c>
      <c r="Q85" s="174" t="str">
        <f t="shared" si="19"/>
        <v>x</v>
      </c>
      <c r="R85" s="174" t="str">
        <f t="shared" si="19"/>
        <v>BS</v>
      </c>
      <c r="S85" s="174" t="str">
        <f t="shared" si="19"/>
        <v>all</v>
      </c>
      <c r="T85" s="173" t="str">
        <f t="shared" si="19"/>
        <v/>
      </c>
      <c r="U85" s="173" t="str">
        <f t="shared" si="19"/>
        <v/>
      </c>
      <c r="V85" s="173" t="str">
        <f t="shared" si="19"/>
        <v/>
      </c>
      <c r="W85" s="173" t="str">
        <f t="shared" si="19"/>
        <v/>
      </c>
      <c r="X85" s="173" t="str">
        <f t="shared" si="19"/>
        <v/>
      </c>
      <c r="Y85" s="173" t="str">
        <f t="shared" si="19"/>
        <v/>
      </c>
    </row>
    <row r="86" spans="1:25" x14ac:dyDescent="0.3">
      <c r="A86" s="172">
        <f t="shared" si="15"/>
        <v>84</v>
      </c>
      <c r="B86" s="173" t="str">
        <f t="shared" si="18"/>
        <v/>
      </c>
      <c r="C86" s="173" t="str">
        <f t="shared" si="18"/>
        <v/>
      </c>
      <c r="D86" s="173" t="str">
        <f t="shared" si="18"/>
        <v/>
      </c>
      <c r="E86" s="173" t="str">
        <f t="shared" si="18"/>
        <v/>
      </c>
      <c r="F86" s="173" t="str">
        <f t="shared" si="18"/>
        <v/>
      </c>
      <c r="G86" s="173" t="str">
        <f t="shared" si="18"/>
        <v/>
      </c>
      <c r="H86" s="173" t="str">
        <f t="shared" si="18"/>
        <v/>
      </c>
      <c r="I86" s="173" t="str">
        <f t="shared" si="18"/>
        <v/>
      </c>
      <c r="J86" s="173" t="str">
        <f t="shared" si="18"/>
        <v/>
      </c>
      <c r="K86" s="173" t="str">
        <f t="shared" si="18"/>
        <v/>
      </c>
      <c r="L86" s="173" t="str">
        <f t="shared" si="19"/>
        <v>info</v>
      </c>
      <c r="M86" s="173" t="str">
        <f t="shared" si="19"/>
        <v/>
      </c>
      <c r="N86" s="173" t="str">
        <f t="shared" si="19"/>
        <v/>
      </c>
      <c r="O86" s="173" t="str">
        <f t="shared" si="19"/>
        <v/>
      </c>
      <c r="P86" s="174" t="str">
        <f t="shared" si="19"/>
        <v/>
      </c>
      <c r="Q86" s="174" t="str">
        <f t="shared" si="19"/>
        <v>x</v>
      </c>
      <c r="R86" s="174" t="str">
        <f t="shared" si="19"/>
        <v>BS</v>
      </c>
      <c r="S86" s="174" t="str">
        <f t="shared" si="19"/>
        <v>all</v>
      </c>
      <c r="T86" s="173" t="str">
        <f t="shared" si="19"/>
        <v/>
      </c>
      <c r="U86" s="173" t="str">
        <f t="shared" si="19"/>
        <v/>
      </c>
      <c r="V86" s="173" t="str">
        <f t="shared" si="19"/>
        <v/>
      </c>
      <c r="W86" s="173" t="str">
        <f t="shared" si="19"/>
        <v/>
      </c>
      <c r="X86" s="173" t="str">
        <f t="shared" si="19"/>
        <v/>
      </c>
      <c r="Y86" s="173" t="str">
        <f t="shared" si="19"/>
        <v/>
      </c>
    </row>
    <row r="87" spans="1:25" x14ac:dyDescent="0.3">
      <c r="A87" s="172">
        <f t="shared" si="15"/>
        <v>85</v>
      </c>
      <c r="B87" s="173" t="str">
        <f t="shared" si="18"/>
        <v/>
      </c>
      <c r="C87" s="173" t="str">
        <f t="shared" si="18"/>
        <v/>
      </c>
      <c r="D87" s="173" t="str">
        <f t="shared" si="18"/>
        <v/>
      </c>
      <c r="E87" s="173" t="str">
        <f t="shared" si="18"/>
        <v/>
      </c>
      <c r="F87" s="173" t="str">
        <f t="shared" si="18"/>
        <v/>
      </c>
      <c r="G87" s="173" t="str">
        <f t="shared" si="18"/>
        <v/>
      </c>
      <c r="H87" s="173" t="str">
        <f t="shared" si="18"/>
        <v/>
      </c>
      <c r="I87" s="173" t="str">
        <f t="shared" si="18"/>
        <v/>
      </c>
      <c r="J87" s="173" t="str">
        <f t="shared" si="18"/>
        <v/>
      </c>
      <c r="K87" s="173" t="str">
        <f t="shared" si="18"/>
        <v/>
      </c>
      <c r="L87" s="173" t="str">
        <f t="shared" si="19"/>
        <v>info</v>
      </c>
      <c r="M87" s="173" t="str">
        <f t="shared" si="19"/>
        <v/>
      </c>
      <c r="N87" s="173" t="str">
        <f t="shared" si="19"/>
        <v/>
      </c>
      <c r="O87" s="173" t="str">
        <f t="shared" si="19"/>
        <v/>
      </c>
      <c r="P87" s="174" t="str">
        <f t="shared" si="19"/>
        <v/>
      </c>
      <c r="Q87" s="174" t="str">
        <f t="shared" si="19"/>
        <v>x</v>
      </c>
      <c r="R87" s="174" t="str">
        <f t="shared" si="19"/>
        <v>BS</v>
      </c>
      <c r="S87" s="174" t="str">
        <f t="shared" si="19"/>
        <v>all</v>
      </c>
      <c r="T87" s="173" t="str">
        <f t="shared" si="19"/>
        <v/>
      </c>
      <c r="U87" s="173" t="str">
        <f t="shared" si="19"/>
        <v/>
      </c>
      <c r="V87" s="173" t="str">
        <f t="shared" si="19"/>
        <v/>
      </c>
      <c r="W87" s="173" t="str">
        <f t="shared" si="19"/>
        <v/>
      </c>
      <c r="X87" s="173" t="str">
        <f t="shared" si="19"/>
        <v/>
      </c>
      <c r="Y87" s="173" t="str">
        <f t="shared" si="19"/>
        <v/>
      </c>
    </row>
    <row r="88" spans="1:25" x14ac:dyDescent="0.3">
      <c r="A88" s="172">
        <f t="shared" si="15"/>
        <v>86</v>
      </c>
      <c r="B88" s="173" t="str">
        <f t="shared" si="18"/>
        <v/>
      </c>
      <c r="C88" s="173" t="str">
        <f t="shared" si="18"/>
        <v/>
      </c>
      <c r="D88" s="173" t="str">
        <f t="shared" si="18"/>
        <v/>
      </c>
      <c r="E88" s="173" t="str">
        <f t="shared" si="18"/>
        <v/>
      </c>
      <c r="F88" s="173" t="str">
        <f t="shared" si="18"/>
        <v/>
      </c>
      <c r="G88" s="173" t="str">
        <f t="shared" si="18"/>
        <v/>
      </c>
      <c r="H88" s="173" t="str">
        <f t="shared" si="18"/>
        <v/>
      </c>
      <c r="I88" s="173" t="str">
        <f t="shared" si="18"/>
        <v/>
      </c>
      <c r="J88" s="173" t="str">
        <f t="shared" si="18"/>
        <v/>
      </c>
      <c r="K88" s="173" t="str">
        <f t="shared" si="18"/>
        <v/>
      </c>
      <c r="L88" s="173" t="str">
        <f t="shared" si="19"/>
        <v>info</v>
      </c>
      <c r="M88" s="173" t="str">
        <f t="shared" si="19"/>
        <v/>
      </c>
      <c r="N88" s="173" t="str">
        <f t="shared" si="19"/>
        <v/>
      </c>
      <c r="O88" s="173" t="str">
        <f t="shared" si="19"/>
        <v/>
      </c>
      <c r="P88" s="174" t="str">
        <f t="shared" si="19"/>
        <v/>
      </c>
      <c r="Q88" s="174" t="str">
        <f t="shared" si="19"/>
        <v>x</v>
      </c>
      <c r="R88" s="174" t="str">
        <f t="shared" si="19"/>
        <v>BS</v>
      </c>
      <c r="S88" s="174" t="str">
        <f t="shared" si="19"/>
        <v>all</v>
      </c>
      <c r="T88" s="173" t="str">
        <f t="shared" si="19"/>
        <v/>
      </c>
      <c r="U88" s="173" t="str">
        <f t="shared" si="19"/>
        <v/>
      </c>
      <c r="V88" s="173" t="str">
        <f t="shared" si="19"/>
        <v/>
      </c>
      <c r="W88" s="173" t="str">
        <f t="shared" si="19"/>
        <v/>
      </c>
      <c r="X88" s="173" t="str">
        <f t="shared" si="19"/>
        <v/>
      </c>
      <c r="Y88" s="173" t="str">
        <f t="shared" si="19"/>
        <v/>
      </c>
    </row>
    <row r="89" spans="1:25" x14ac:dyDescent="0.3">
      <c r="A89" s="172">
        <f t="shared" si="15"/>
        <v>87</v>
      </c>
      <c r="B89" s="173" t="str">
        <f t="shared" si="18"/>
        <v/>
      </c>
      <c r="C89" s="173" t="str">
        <f t="shared" si="18"/>
        <v/>
      </c>
      <c r="D89" s="173" t="str">
        <f t="shared" si="18"/>
        <v/>
      </c>
      <c r="E89" s="173" t="str">
        <f t="shared" si="18"/>
        <v/>
      </c>
      <c r="F89" s="173" t="str">
        <f t="shared" si="18"/>
        <v/>
      </c>
      <c r="G89" s="173" t="str">
        <f t="shared" si="18"/>
        <v/>
      </c>
      <c r="H89" s="173" t="str">
        <f t="shared" si="18"/>
        <v/>
      </c>
      <c r="I89" s="173" t="str">
        <f t="shared" si="18"/>
        <v/>
      </c>
      <c r="J89" s="173" t="str">
        <f t="shared" si="18"/>
        <v/>
      </c>
      <c r="K89" s="173" t="str">
        <f t="shared" si="18"/>
        <v/>
      </c>
      <c r="L89" s="173" t="str">
        <f t="shared" si="19"/>
        <v>info</v>
      </c>
      <c r="M89" s="173" t="str">
        <f t="shared" si="19"/>
        <v/>
      </c>
      <c r="N89" s="173" t="str">
        <f t="shared" si="19"/>
        <v/>
      </c>
      <c r="O89" s="173" t="str">
        <f t="shared" si="19"/>
        <v/>
      </c>
      <c r="P89" s="174" t="str">
        <f t="shared" si="19"/>
        <v/>
      </c>
      <c r="Q89" s="174" t="str">
        <f t="shared" si="19"/>
        <v>x</v>
      </c>
      <c r="R89" s="174" t="str">
        <f t="shared" si="19"/>
        <v>BS</v>
      </c>
      <c r="S89" s="174" t="str">
        <f t="shared" si="19"/>
        <v>all</v>
      </c>
      <c r="T89" s="173" t="str">
        <f t="shared" si="19"/>
        <v/>
      </c>
      <c r="U89" s="173" t="str">
        <f t="shared" si="19"/>
        <v/>
      </c>
      <c r="V89" s="173" t="str">
        <f t="shared" si="19"/>
        <v/>
      </c>
      <c r="W89" s="173" t="str">
        <f t="shared" si="19"/>
        <v/>
      </c>
      <c r="X89" s="173" t="str">
        <f t="shared" si="19"/>
        <v/>
      </c>
      <c r="Y89" s="173" t="str">
        <f t="shared" si="19"/>
        <v/>
      </c>
    </row>
    <row r="90" spans="1:25" x14ac:dyDescent="0.3">
      <c r="A90" s="172">
        <f t="shared" si="15"/>
        <v>88</v>
      </c>
      <c r="B90" s="173" t="str">
        <f t="shared" si="18"/>
        <v/>
      </c>
      <c r="C90" s="173" t="str">
        <f t="shared" si="18"/>
        <v/>
      </c>
      <c r="D90" s="173" t="str">
        <f t="shared" si="18"/>
        <v/>
      </c>
      <c r="E90" s="173" t="str">
        <f t="shared" si="18"/>
        <v/>
      </c>
      <c r="F90" s="173" t="str">
        <f t="shared" si="18"/>
        <v/>
      </c>
      <c r="G90" s="173" t="str">
        <f t="shared" si="18"/>
        <v/>
      </c>
      <c r="H90" s="173" t="str">
        <f t="shared" si="18"/>
        <v/>
      </c>
      <c r="I90" s="173" t="str">
        <f t="shared" si="18"/>
        <v/>
      </c>
      <c r="J90" s="173" t="str">
        <f t="shared" si="18"/>
        <v/>
      </c>
      <c r="K90" s="173" t="str">
        <f t="shared" si="18"/>
        <v/>
      </c>
      <c r="L90" s="173" t="str">
        <f t="shared" si="19"/>
        <v>info</v>
      </c>
      <c r="M90" s="173" t="str">
        <f t="shared" si="19"/>
        <v/>
      </c>
      <c r="N90" s="173" t="str">
        <f t="shared" si="19"/>
        <v/>
      </c>
      <c r="O90" s="173" t="str">
        <f t="shared" si="19"/>
        <v/>
      </c>
      <c r="P90" s="174" t="str">
        <f t="shared" si="19"/>
        <v/>
      </c>
      <c r="Q90" s="174" t="str">
        <f t="shared" si="19"/>
        <v>x</v>
      </c>
      <c r="R90" s="174" t="str">
        <f t="shared" si="19"/>
        <v>BS</v>
      </c>
      <c r="S90" s="174" t="str">
        <f t="shared" si="19"/>
        <v>all</v>
      </c>
      <c r="T90" s="173" t="str">
        <f t="shared" si="19"/>
        <v/>
      </c>
      <c r="U90" s="173" t="str">
        <f t="shared" si="19"/>
        <v/>
      </c>
      <c r="V90" s="173" t="str">
        <f t="shared" si="19"/>
        <v/>
      </c>
      <c r="W90" s="173" t="str">
        <f t="shared" si="19"/>
        <v/>
      </c>
      <c r="X90" s="173" t="str">
        <f t="shared" si="19"/>
        <v/>
      </c>
      <c r="Y90" s="173" t="str">
        <f t="shared" si="19"/>
        <v/>
      </c>
    </row>
    <row r="91" spans="1:25" x14ac:dyDescent="0.3">
      <c r="A91" s="172">
        <f t="shared" si="15"/>
        <v>89</v>
      </c>
      <c r="B91" s="173" t="str">
        <f t="shared" si="18"/>
        <v/>
      </c>
      <c r="C91" s="173" t="str">
        <f t="shared" si="18"/>
        <v/>
      </c>
      <c r="D91" s="173" t="str">
        <f t="shared" si="18"/>
        <v/>
      </c>
      <c r="E91" s="173" t="str">
        <f t="shared" si="18"/>
        <v/>
      </c>
      <c r="F91" s="173" t="str">
        <f t="shared" si="18"/>
        <v/>
      </c>
      <c r="G91" s="173" t="str">
        <f t="shared" si="18"/>
        <v/>
      </c>
      <c r="H91" s="173" t="str">
        <f t="shared" si="18"/>
        <v/>
      </c>
      <c r="I91" s="173" t="str">
        <f t="shared" si="18"/>
        <v/>
      </c>
      <c r="J91" s="173" t="str">
        <f t="shared" si="18"/>
        <v/>
      </c>
      <c r="K91" s="173" t="str">
        <f t="shared" si="18"/>
        <v/>
      </c>
      <c r="L91" s="173" t="str">
        <f t="shared" si="19"/>
        <v>info</v>
      </c>
      <c r="M91" s="173" t="str">
        <f t="shared" si="19"/>
        <v/>
      </c>
      <c r="N91" s="173" t="str">
        <f t="shared" si="19"/>
        <v/>
      </c>
      <c r="O91" s="173" t="str">
        <f t="shared" si="19"/>
        <v/>
      </c>
      <c r="P91" s="174" t="str">
        <f t="shared" si="19"/>
        <v/>
      </c>
      <c r="Q91" s="174" t="str">
        <f t="shared" si="19"/>
        <v>x</v>
      </c>
      <c r="R91" s="174" t="str">
        <f t="shared" si="19"/>
        <v>BS</v>
      </c>
      <c r="S91" s="174" t="str">
        <f t="shared" si="19"/>
        <v>all</v>
      </c>
      <c r="T91" s="173" t="str">
        <f t="shared" si="19"/>
        <v/>
      </c>
      <c r="U91" s="173" t="str">
        <f t="shared" si="19"/>
        <v/>
      </c>
      <c r="V91" s="173" t="str">
        <f t="shared" si="19"/>
        <v/>
      </c>
      <c r="W91" s="173" t="str">
        <f t="shared" si="19"/>
        <v/>
      </c>
      <c r="X91" s="173" t="str">
        <f t="shared" si="19"/>
        <v/>
      </c>
      <c r="Y91" s="173" t="str">
        <f t="shared" si="19"/>
        <v/>
      </c>
    </row>
    <row r="92" spans="1:25" x14ac:dyDescent="0.3">
      <c r="A92" s="172">
        <f t="shared" si="15"/>
        <v>90</v>
      </c>
      <c r="B92" s="173" t="str">
        <f t="shared" si="18"/>
        <v/>
      </c>
      <c r="C92" s="173" t="str">
        <f t="shared" si="18"/>
        <v/>
      </c>
      <c r="D92" s="173" t="str">
        <f t="shared" si="18"/>
        <v/>
      </c>
      <c r="E92" s="173" t="str">
        <f t="shared" si="18"/>
        <v/>
      </c>
      <c r="F92" s="173" t="str">
        <f t="shared" si="18"/>
        <v/>
      </c>
      <c r="G92" s="173" t="str">
        <f t="shared" si="18"/>
        <v/>
      </c>
      <c r="H92" s="173" t="str">
        <f t="shared" si="18"/>
        <v/>
      </c>
      <c r="I92" s="173" t="str">
        <f t="shared" si="18"/>
        <v/>
      </c>
      <c r="J92" s="173" t="str">
        <f t="shared" si="18"/>
        <v/>
      </c>
      <c r="K92" s="173" t="str">
        <f t="shared" si="18"/>
        <v/>
      </c>
      <c r="L92" s="173" t="str">
        <f t="shared" si="19"/>
        <v>info</v>
      </c>
      <c r="M92" s="173" t="str">
        <f t="shared" si="19"/>
        <v/>
      </c>
      <c r="N92" s="173" t="str">
        <f t="shared" si="19"/>
        <v/>
      </c>
      <c r="O92" s="173" t="str">
        <f t="shared" si="19"/>
        <v/>
      </c>
      <c r="P92" s="174" t="str">
        <f t="shared" si="19"/>
        <v/>
      </c>
      <c r="Q92" s="174" t="str">
        <f t="shared" si="19"/>
        <v>x</v>
      </c>
      <c r="R92" s="174" t="str">
        <f t="shared" si="19"/>
        <v>BS</v>
      </c>
      <c r="S92" s="174" t="str">
        <f t="shared" si="19"/>
        <v>all</v>
      </c>
      <c r="T92" s="173" t="str">
        <f t="shared" si="19"/>
        <v/>
      </c>
      <c r="U92" s="173" t="str">
        <f t="shared" si="19"/>
        <v/>
      </c>
      <c r="V92" s="173" t="str">
        <f t="shared" si="19"/>
        <v/>
      </c>
      <c r="W92" s="173" t="str">
        <f t="shared" si="19"/>
        <v/>
      </c>
      <c r="X92" s="173" t="str">
        <f t="shared" si="19"/>
        <v/>
      </c>
      <c r="Y92" s="173" t="str">
        <f t="shared" si="19"/>
        <v/>
      </c>
    </row>
    <row r="93" spans="1:25" x14ac:dyDescent="0.3">
      <c r="A93" s="172">
        <f t="shared" si="15"/>
        <v>91</v>
      </c>
      <c r="B93" s="173" t="str">
        <f t="shared" ref="B93:K102" si="20">IF(ISNONTEXT(B$2),IF(B$2="","",IF(INDEX(IMPORT,$A93,B$2)=0,"",IFERROR(VLOOKUP(INDEX(IMPORT,$A93,B$2),ImportTranslation,2,0),INDEX(IMPORT,$A93,B$2)))),B$2)</f>
        <v/>
      </c>
      <c r="C93" s="173" t="str">
        <f t="shared" si="20"/>
        <v/>
      </c>
      <c r="D93" s="173" t="str">
        <f t="shared" si="20"/>
        <v/>
      </c>
      <c r="E93" s="173" t="str">
        <f t="shared" si="20"/>
        <v/>
      </c>
      <c r="F93" s="173" t="str">
        <f t="shared" si="20"/>
        <v/>
      </c>
      <c r="G93" s="173" t="str">
        <f t="shared" si="20"/>
        <v/>
      </c>
      <c r="H93" s="173" t="str">
        <f t="shared" si="20"/>
        <v/>
      </c>
      <c r="I93" s="173" t="str">
        <f t="shared" si="20"/>
        <v/>
      </c>
      <c r="J93" s="173" t="str">
        <f t="shared" si="20"/>
        <v/>
      </c>
      <c r="K93" s="173" t="str">
        <f t="shared" si="20"/>
        <v/>
      </c>
      <c r="L93" s="173" t="str">
        <f t="shared" ref="L93:Y102" si="21">IF(ISNONTEXT(L$2),IF(L$2="","",IF(INDEX(IMPORT,$A93,L$2)=0,"",IFERROR(VLOOKUP(INDEX(IMPORT,$A93,L$2),ImportTranslation,2,0),INDEX(IMPORT,$A93,L$2)))),L$2)</f>
        <v>info</v>
      </c>
      <c r="M93" s="173" t="str">
        <f t="shared" si="21"/>
        <v/>
      </c>
      <c r="N93" s="173" t="str">
        <f t="shared" si="21"/>
        <v/>
      </c>
      <c r="O93" s="173" t="str">
        <f t="shared" si="21"/>
        <v/>
      </c>
      <c r="P93" s="174" t="str">
        <f t="shared" si="21"/>
        <v/>
      </c>
      <c r="Q93" s="174" t="str">
        <f t="shared" si="21"/>
        <v>x</v>
      </c>
      <c r="R93" s="174" t="str">
        <f t="shared" si="21"/>
        <v>BS</v>
      </c>
      <c r="S93" s="174" t="str">
        <f t="shared" si="21"/>
        <v>all</v>
      </c>
      <c r="T93" s="173" t="str">
        <f t="shared" si="21"/>
        <v/>
      </c>
      <c r="U93" s="173" t="str">
        <f t="shared" si="21"/>
        <v/>
      </c>
      <c r="V93" s="173" t="str">
        <f t="shared" si="21"/>
        <v/>
      </c>
      <c r="W93" s="173" t="str">
        <f t="shared" si="21"/>
        <v/>
      </c>
      <c r="X93" s="173" t="str">
        <f t="shared" si="21"/>
        <v/>
      </c>
      <c r="Y93" s="173" t="str">
        <f t="shared" si="21"/>
        <v/>
      </c>
    </row>
    <row r="94" spans="1:25" x14ac:dyDescent="0.3">
      <c r="A94" s="172">
        <f t="shared" si="15"/>
        <v>92</v>
      </c>
      <c r="B94" s="173" t="str">
        <f t="shared" si="20"/>
        <v/>
      </c>
      <c r="C94" s="173" t="str">
        <f t="shared" si="20"/>
        <v/>
      </c>
      <c r="D94" s="173" t="str">
        <f t="shared" si="20"/>
        <v/>
      </c>
      <c r="E94" s="173" t="str">
        <f t="shared" si="20"/>
        <v/>
      </c>
      <c r="F94" s="173" t="str">
        <f t="shared" si="20"/>
        <v/>
      </c>
      <c r="G94" s="173" t="str">
        <f t="shared" si="20"/>
        <v/>
      </c>
      <c r="H94" s="173" t="str">
        <f t="shared" si="20"/>
        <v/>
      </c>
      <c r="I94" s="173" t="str">
        <f t="shared" si="20"/>
        <v/>
      </c>
      <c r="J94" s="173" t="str">
        <f t="shared" si="20"/>
        <v/>
      </c>
      <c r="K94" s="173" t="str">
        <f t="shared" si="20"/>
        <v/>
      </c>
      <c r="L94" s="173" t="str">
        <f t="shared" si="21"/>
        <v>info</v>
      </c>
      <c r="M94" s="173" t="str">
        <f t="shared" si="21"/>
        <v/>
      </c>
      <c r="N94" s="173" t="str">
        <f t="shared" si="21"/>
        <v/>
      </c>
      <c r="O94" s="173" t="str">
        <f t="shared" si="21"/>
        <v/>
      </c>
      <c r="P94" s="174" t="str">
        <f t="shared" si="21"/>
        <v/>
      </c>
      <c r="Q94" s="174" t="str">
        <f t="shared" si="21"/>
        <v>x</v>
      </c>
      <c r="R94" s="174" t="str">
        <f t="shared" si="21"/>
        <v>BS</v>
      </c>
      <c r="S94" s="174" t="str">
        <f t="shared" si="21"/>
        <v>all</v>
      </c>
      <c r="T94" s="173" t="str">
        <f t="shared" si="21"/>
        <v/>
      </c>
      <c r="U94" s="173" t="str">
        <f t="shared" si="21"/>
        <v/>
      </c>
      <c r="V94" s="173" t="str">
        <f t="shared" si="21"/>
        <v/>
      </c>
      <c r="W94" s="173" t="str">
        <f t="shared" si="21"/>
        <v/>
      </c>
      <c r="X94" s="173" t="str">
        <f t="shared" si="21"/>
        <v/>
      </c>
      <c r="Y94" s="173" t="str">
        <f t="shared" si="21"/>
        <v/>
      </c>
    </row>
    <row r="95" spans="1:25" x14ac:dyDescent="0.3">
      <c r="A95" s="172">
        <f t="shared" si="15"/>
        <v>93</v>
      </c>
      <c r="B95" s="173" t="str">
        <f t="shared" si="20"/>
        <v/>
      </c>
      <c r="C95" s="173" t="str">
        <f t="shared" si="20"/>
        <v/>
      </c>
      <c r="D95" s="173" t="str">
        <f t="shared" si="20"/>
        <v/>
      </c>
      <c r="E95" s="173" t="str">
        <f t="shared" si="20"/>
        <v/>
      </c>
      <c r="F95" s="173" t="str">
        <f t="shared" si="20"/>
        <v/>
      </c>
      <c r="G95" s="173" t="str">
        <f t="shared" si="20"/>
        <v/>
      </c>
      <c r="H95" s="173" t="str">
        <f t="shared" si="20"/>
        <v/>
      </c>
      <c r="I95" s="173" t="str">
        <f t="shared" si="20"/>
        <v/>
      </c>
      <c r="J95" s="173" t="str">
        <f t="shared" si="20"/>
        <v/>
      </c>
      <c r="K95" s="173" t="str">
        <f t="shared" si="20"/>
        <v/>
      </c>
      <c r="L95" s="173" t="str">
        <f t="shared" si="21"/>
        <v>info</v>
      </c>
      <c r="M95" s="173" t="str">
        <f t="shared" si="21"/>
        <v/>
      </c>
      <c r="N95" s="173" t="str">
        <f t="shared" si="21"/>
        <v/>
      </c>
      <c r="O95" s="173" t="str">
        <f t="shared" si="21"/>
        <v/>
      </c>
      <c r="P95" s="174" t="str">
        <f t="shared" si="21"/>
        <v/>
      </c>
      <c r="Q95" s="174" t="str">
        <f t="shared" si="21"/>
        <v>x</v>
      </c>
      <c r="R95" s="174" t="str">
        <f t="shared" si="21"/>
        <v>BS</v>
      </c>
      <c r="S95" s="174" t="str">
        <f t="shared" si="21"/>
        <v>all</v>
      </c>
      <c r="T95" s="173" t="str">
        <f t="shared" si="21"/>
        <v/>
      </c>
      <c r="U95" s="173" t="str">
        <f t="shared" si="21"/>
        <v/>
      </c>
      <c r="V95" s="173" t="str">
        <f t="shared" si="21"/>
        <v/>
      </c>
      <c r="W95" s="173" t="str">
        <f t="shared" si="21"/>
        <v/>
      </c>
      <c r="X95" s="173" t="str">
        <f t="shared" si="21"/>
        <v/>
      </c>
      <c r="Y95" s="173" t="str">
        <f t="shared" si="21"/>
        <v/>
      </c>
    </row>
    <row r="96" spans="1:25" x14ac:dyDescent="0.3">
      <c r="A96" s="172">
        <f t="shared" si="15"/>
        <v>94</v>
      </c>
      <c r="B96" s="173" t="str">
        <f t="shared" si="20"/>
        <v/>
      </c>
      <c r="C96" s="173" t="str">
        <f t="shared" si="20"/>
        <v/>
      </c>
      <c r="D96" s="173" t="str">
        <f t="shared" si="20"/>
        <v/>
      </c>
      <c r="E96" s="173" t="str">
        <f t="shared" si="20"/>
        <v/>
      </c>
      <c r="F96" s="173" t="str">
        <f t="shared" si="20"/>
        <v/>
      </c>
      <c r="G96" s="173" t="str">
        <f t="shared" si="20"/>
        <v/>
      </c>
      <c r="H96" s="173" t="str">
        <f t="shared" si="20"/>
        <v/>
      </c>
      <c r="I96" s="173" t="str">
        <f t="shared" si="20"/>
        <v/>
      </c>
      <c r="J96" s="173" t="str">
        <f t="shared" si="20"/>
        <v/>
      </c>
      <c r="K96" s="173" t="str">
        <f t="shared" si="20"/>
        <v/>
      </c>
      <c r="L96" s="173" t="str">
        <f t="shared" si="21"/>
        <v>info</v>
      </c>
      <c r="M96" s="173" t="str">
        <f t="shared" si="21"/>
        <v/>
      </c>
      <c r="N96" s="173" t="str">
        <f t="shared" si="21"/>
        <v/>
      </c>
      <c r="O96" s="173" t="str">
        <f t="shared" si="21"/>
        <v/>
      </c>
      <c r="P96" s="174" t="str">
        <f t="shared" si="21"/>
        <v/>
      </c>
      <c r="Q96" s="174" t="str">
        <f t="shared" si="21"/>
        <v>x</v>
      </c>
      <c r="R96" s="174" t="str">
        <f t="shared" si="21"/>
        <v>BS</v>
      </c>
      <c r="S96" s="174" t="str">
        <f t="shared" si="21"/>
        <v>all</v>
      </c>
      <c r="T96" s="173" t="str">
        <f t="shared" si="21"/>
        <v/>
      </c>
      <c r="U96" s="173" t="str">
        <f t="shared" si="21"/>
        <v/>
      </c>
      <c r="V96" s="173" t="str">
        <f t="shared" si="21"/>
        <v/>
      </c>
      <c r="W96" s="173" t="str">
        <f t="shared" si="21"/>
        <v/>
      </c>
      <c r="X96" s="173" t="str">
        <f t="shared" si="21"/>
        <v/>
      </c>
      <c r="Y96" s="173" t="str">
        <f t="shared" si="21"/>
        <v/>
      </c>
    </row>
    <row r="97" spans="1:25" x14ac:dyDescent="0.3">
      <c r="A97" s="172">
        <f t="shared" si="15"/>
        <v>95</v>
      </c>
      <c r="B97" s="173" t="str">
        <f t="shared" si="20"/>
        <v/>
      </c>
      <c r="C97" s="173" t="str">
        <f t="shared" si="20"/>
        <v/>
      </c>
      <c r="D97" s="173" t="str">
        <f t="shared" si="20"/>
        <v/>
      </c>
      <c r="E97" s="173" t="str">
        <f t="shared" si="20"/>
        <v/>
      </c>
      <c r="F97" s="173" t="str">
        <f t="shared" si="20"/>
        <v/>
      </c>
      <c r="G97" s="173" t="str">
        <f t="shared" si="20"/>
        <v/>
      </c>
      <c r="H97" s="173" t="str">
        <f t="shared" si="20"/>
        <v/>
      </c>
      <c r="I97" s="173" t="str">
        <f t="shared" si="20"/>
        <v/>
      </c>
      <c r="J97" s="173" t="str">
        <f t="shared" si="20"/>
        <v/>
      </c>
      <c r="K97" s="173" t="str">
        <f t="shared" si="20"/>
        <v/>
      </c>
      <c r="L97" s="173" t="str">
        <f t="shared" si="21"/>
        <v>info</v>
      </c>
      <c r="M97" s="173" t="str">
        <f t="shared" si="21"/>
        <v/>
      </c>
      <c r="N97" s="173" t="str">
        <f t="shared" si="21"/>
        <v/>
      </c>
      <c r="O97" s="173" t="str">
        <f t="shared" si="21"/>
        <v/>
      </c>
      <c r="P97" s="174" t="str">
        <f t="shared" si="21"/>
        <v/>
      </c>
      <c r="Q97" s="174" t="str">
        <f t="shared" si="21"/>
        <v>x</v>
      </c>
      <c r="R97" s="174" t="str">
        <f t="shared" si="21"/>
        <v>BS</v>
      </c>
      <c r="S97" s="174" t="str">
        <f t="shared" si="21"/>
        <v>all</v>
      </c>
      <c r="T97" s="173" t="str">
        <f t="shared" si="21"/>
        <v/>
      </c>
      <c r="U97" s="173" t="str">
        <f t="shared" si="21"/>
        <v/>
      </c>
      <c r="V97" s="173" t="str">
        <f t="shared" si="21"/>
        <v/>
      </c>
      <c r="W97" s="173" t="str">
        <f t="shared" si="21"/>
        <v/>
      </c>
      <c r="X97" s="173" t="str">
        <f t="shared" si="21"/>
        <v/>
      </c>
      <c r="Y97" s="173" t="str">
        <f t="shared" si="21"/>
        <v/>
      </c>
    </row>
    <row r="98" spans="1:25" x14ac:dyDescent="0.3">
      <c r="A98" s="172">
        <f t="shared" si="15"/>
        <v>96</v>
      </c>
      <c r="B98" s="173" t="str">
        <f t="shared" si="20"/>
        <v/>
      </c>
      <c r="C98" s="173" t="str">
        <f t="shared" si="20"/>
        <v/>
      </c>
      <c r="D98" s="173" t="str">
        <f t="shared" si="20"/>
        <v/>
      </c>
      <c r="E98" s="173" t="str">
        <f t="shared" si="20"/>
        <v/>
      </c>
      <c r="F98" s="173" t="str">
        <f t="shared" si="20"/>
        <v/>
      </c>
      <c r="G98" s="173" t="str">
        <f t="shared" si="20"/>
        <v/>
      </c>
      <c r="H98" s="173" t="str">
        <f t="shared" si="20"/>
        <v/>
      </c>
      <c r="I98" s="173" t="str">
        <f t="shared" si="20"/>
        <v/>
      </c>
      <c r="J98" s="173" t="str">
        <f t="shared" si="20"/>
        <v/>
      </c>
      <c r="K98" s="173" t="str">
        <f t="shared" si="20"/>
        <v/>
      </c>
      <c r="L98" s="173" t="str">
        <f t="shared" si="21"/>
        <v>info</v>
      </c>
      <c r="M98" s="173" t="str">
        <f t="shared" si="21"/>
        <v/>
      </c>
      <c r="N98" s="173" t="str">
        <f t="shared" si="21"/>
        <v/>
      </c>
      <c r="O98" s="173" t="str">
        <f t="shared" si="21"/>
        <v/>
      </c>
      <c r="P98" s="174" t="str">
        <f t="shared" si="21"/>
        <v/>
      </c>
      <c r="Q98" s="174" t="str">
        <f t="shared" si="21"/>
        <v>x</v>
      </c>
      <c r="R98" s="174" t="str">
        <f t="shared" si="21"/>
        <v>BS</v>
      </c>
      <c r="S98" s="174" t="str">
        <f t="shared" si="21"/>
        <v>all</v>
      </c>
      <c r="T98" s="173" t="str">
        <f t="shared" si="21"/>
        <v/>
      </c>
      <c r="U98" s="173" t="str">
        <f t="shared" si="21"/>
        <v/>
      </c>
      <c r="V98" s="173" t="str">
        <f t="shared" si="21"/>
        <v/>
      </c>
      <c r="W98" s="173" t="str">
        <f t="shared" si="21"/>
        <v/>
      </c>
      <c r="X98" s="173" t="str">
        <f t="shared" si="21"/>
        <v/>
      </c>
      <c r="Y98" s="173" t="str">
        <f t="shared" si="21"/>
        <v/>
      </c>
    </row>
    <row r="99" spans="1:25" x14ac:dyDescent="0.3">
      <c r="A99" s="172">
        <f t="shared" si="15"/>
        <v>97</v>
      </c>
      <c r="B99" s="173" t="str">
        <f t="shared" si="20"/>
        <v/>
      </c>
      <c r="C99" s="173" t="str">
        <f t="shared" si="20"/>
        <v/>
      </c>
      <c r="D99" s="173" t="str">
        <f t="shared" si="20"/>
        <v/>
      </c>
      <c r="E99" s="173" t="str">
        <f t="shared" si="20"/>
        <v/>
      </c>
      <c r="F99" s="173" t="str">
        <f t="shared" si="20"/>
        <v/>
      </c>
      <c r="G99" s="173" t="str">
        <f t="shared" si="20"/>
        <v/>
      </c>
      <c r="H99" s="173" t="str">
        <f t="shared" si="20"/>
        <v/>
      </c>
      <c r="I99" s="173" t="str">
        <f t="shared" si="20"/>
        <v/>
      </c>
      <c r="J99" s="173" t="str">
        <f t="shared" si="20"/>
        <v/>
      </c>
      <c r="K99" s="173" t="str">
        <f t="shared" si="20"/>
        <v/>
      </c>
      <c r="L99" s="173" t="str">
        <f t="shared" si="21"/>
        <v>info</v>
      </c>
      <c r="M99" s="173" t="str">
        <f t="shared" si="21"/>
        <v/>
      </c>
      <c r="N99" s="173" t="str">
        <f t="shared" si="21"/>
        <v/>
      </c>
      <c r="O99" s="173" t="str">
        <f t="shared" si="21"/>
        <v/>
      </c>
      <c r="P99" s="174" t="str">
        <f t="shared" si="21"/>
        <v/>
      </c>
      <c r="Q99" s="174" t="str">
        <f t="shared" si="21"/>
        <v>x</v>
      </c>
      <c r="R99" s="174" t="str">
        <f t="shared" si="21"/>
        <v>BS</v>
      </c>
      <c r="S99" s="174" t="str">
        <f t="shared" si="21"/>
        <v>all</v>
      </c>
      <c r="T99" s="173" t="str">
        <f t="shared" si="21"/>
        <v/>
      </c>
      <c r="U99" s="173" t="str">
        <f t="shared" si="21"/>
        <v/>
      </c>
      <c r="V99" s="173" t="str">
        <f t="shared" si="21"/>
        <v/>
      </c>
      <c r="W99" s="173" t="str">
        <f t="shared" si="21"/>
        <v/>
      </c>
      <c r="X99" s="173" t="str">
        <f t="shared" si="21"/>
        <v/>
      </c>
      <c r="Y99" s="173" t="str">
        <f t="shared" si="21"/>
        <v/>
      </c>
    </row>
    <row r="100" spans="1:25" x14ac:dyDescent="0.3">
      <c r="A100" s="172">
        <f t="shared" si="15"/>
        <v>98</v>
      </c>
      <c r="B100" s="173" t="str">
        <f t="shared" si="20"/>
        <v/>
      </c>
      <c r="C100" s="173" t="str">
        <f t="shared" si="20"/>
        <v/>
      </c>
      <c r="D100" s="173" t="str">
        <f t="shared" si="20"/>
        <v/>
      </c>
      <c r="E100" s="173" t="str">
        <f t="shared" si="20"/>
        <v/>
      </c>
      <c r="F100" s="173" t="str">
        <f t="shared" si="20"/>
        <v/>
      </c>
      <c r="G100" s="173" t="str">
        <f t="shared" si="20"/>
        <v/>
      </c>
      <c r="H100" s="173" t="str">
        <f t="shared" si="20"/>
        <v/>
      </c>
      <c r="I100" s="173" t="str">
        <f t="shared" si="20"/>
        <v/>
      </c>
      <c r="J100" s="173" t="str">
        <f t="shared" si="20"/>
        <v/>
      </c>
      <c r="K100" s="173" t="str">
        <f t="shared" si="20"/>
        <v/>
      </c>
      <c r="L100" s="173" t="str">
        <f t="shared" si="21"/>
        <v>info</v>
      </c>
      <c r="M100" s="173" t="str">
        <f t="shared" si="21"/>
        <v/>
      </c>
      <c r="N100" s="173" t="str">
        <f t="shared" si="21"/>
        <v/>
      </c>
      <c r="O100" s="173" t="str">
        <f t="shared" si="21"/>
        <v/>
      </c>
      <c r="P100" s="174" t="str">
        <f t="shared" si="21"/>
        <v/>
      </c>
      <c r="Q100" s="174" t="str">
        <f t="shared" si="21"/>
        <v>x</v>
      </c>
      <c r="R100" s="174" t="str">
        <f t="shared" si="21"/>
        <v>BS</v>
      </c>
      <c r="S100" s="174" t="str">
        <f t="shared" si="21"/>
        <v>all</v>
      </c>
      <c r="T100" s="173" t="str">
        <f t="shared" si="21"/>
        <v/>
      </c>
      <c r="U100" s="173" t="str">
        <f t="shared" si="21"/>
        <v/>
      </c>
      <c r="V100" s="173" t="str">
        <f t="shared" si="21"/>
        <v/>
      </c>
      <c r="W100" s="173" t="str">
        <f t="shared" si="21"/>
        <v/>
      </c>
      <c r="X100" s="173" t="str">
        <f t="shared" si="21"/>
        <v/>
      </c>
      <c r="Y100" s="173" t="str">
        <f t="shared" si="21"/>
        <v/>
      </c>
    </row>
    <row r="101" spans="1:25" x14ac:dyDescent="0.3">
      <c r="A101" s="172">
        <f t="shared" si="15"/>
        <v>99</v>
      </c>
      <c r="B101" s="173" t="str">
        <f t="shared" si="20"/>
        <v/>
      </c>
      <c r="C101" s="173" t="str">
        <f t="shared" si="20"/>
        <v/>
      </c>
      <c r="D101" s="173" t="str">
        <f t="shared" si="20"/>
        <v/>
      </c>
      <c r="E101" s="173" t="str">
        <f t="shared" si="20"/>
        <v/>
      </c>
      <c r="F101" s="173" t="str">
        <f t="shared" si="20"/>
        <v/>
      </c>
      <c r="G101" s="173" t="str">
        <f t="shared" si="20"/>
        <v/>
      </c>
      <c r="H101" s="173" t="str">
        <f t="shared" si="20"/>
        <v/>
      </c>
      <c r="I101" s="173" t="str">
        <f t="shared" si="20"/>
        <v/>
      </c>
      <c r="J101" s="173" t="str">
        <f t="shared" si="20"/>
        <v/>
      </c>
      <c r="K101" s="173" t="str">
        <f t="shared" si="20"/>
        <v/>
      </c>
      <c r="L101" s="173" t="str">
        <f t="shared" si="21"/>
        <v>info</v>
      </c>
      <c r="M101" s="173" t="str">
        <f t="shared" si="21"/>
        <v/>
      </c>
      <c r="N101" s="173" t="str">
        <f t="shared" si="21"/>
        <v/>
      </c>
      <c r="O101" s="173" t="str">
        <f t="shared" si="21"/>
        <v/>
      </c>
      <c r="P101" s="174" t="str">
        <f t="shared" si="21"/>
        <v/>
      </c>
      <c r="Q101" s="174" t="str">
        <f t="shared" si="21"/>
        <v>x</v>
      </c>
      <c r="R101" s="174" t="str">
        <f t="shared" si="21"/>
        <v>BS</v>
      </c>
      <c r="S101" s="174" t="str">
        <f t="shared" si="21"/>
        <v>all</v>
      </c>
      <c r="T101" s="173" t="str">
        <f t="shared" si="21"/>
        <v/>
      </c>
      <c r="U101" s="173" t="str">
        <f t="shared" si="21"/>
        <v/>
      </c>
      <c r="V101" s="173" t="str">
        <f t="shared" si="21"/>
        <v/>
      </c>
      <c r="W101" s="173" t="str">
        <f t="shared" si="21"/>
        <v/>
      </c>
      <c r="X101" s="173" t="str">
        <f t="shared" si="21"/>
        <v/>
      </c>
      <c r="Y101" s="173" t="str">
        <f t="shared" si="21"/>
        <v/>
      </c>
    </row>
    <row r="102" spans="1:25" x14ac:dyDescent="0.3">
      <c r="A102" s="172">
        <f t="shared" si="15"/>
        <v>100</v>
      </c>
      <c r="B102" s="173" t="str">
        <f t="shared" si="20"/>
        <v/>
      </c>
      <c r="C102" s="173" t="str">
        <f t="shared" si="20"/>
        <v/>
      </c>
      <c r="D102" s="173" t="str">
        <f t="shared" si="20"/>
        <v/>
      </c>
      <c r="E102" s="173" t="str">
        <f t="shared" si="20"/>
        <v/>
      </c>
      <c r="F102" s="173" t="str">
        <f t="shared" si="20"/>
        <v/>
      </c>
      <c r="G102" s="173" t="str">
        <f t="shared" si="20"/>
        <v/>
      </c>
      <c r="H102" s="173" t="str">
        <f t="shared" si="20"/>
        <v/>
      </c>
      <c r="I102" s="173" t="str">
        <f t="shared" si="20"/>
        <v/>
      </c>
      <c r="J102" s="173" t="str">
        <f t="shared" si="20"/>
        <v/>
      </c>
      <c r="K102" s="173" t="str">
        <f t="shared" si="20"/>
        <v/>
      </c>
      <c r="L102" s="173" t="str">
        <f t="shared" si="21"/>
        <v>info</v>
      </c>
      <c r="M102" s="173" t="str">
        <f t="shared" si="21"/>
        <v/>
      </c>
      <c r="N102" s="173" t="str">
        <f t="shared" si="21"/>
        <v/>
      </c>
      <c r="O102" s="173" t="str">
        <f t="shared" si="21"/>
        <v/>
      </c>
      <c r="P102" s="174" t="str">
        <f t="shared" si="21"/>
        <v/>
      </c>
      <c r="Q102" s="174" t="str">
        <f t="shared" si="21"/>
        <v>x</v>
      </c>
      <c r="R102" s="174" t="str">
        <f t="shared" si="21"/>
        <v>BS</v>
      </c>
      <c r="S102" s="174" t="str">
        <f t="shared" si="21"/>
        <v>all</v>
      </c>
      <c r="T102" s="173" t="str">
        <f t="shared" si="21"/>
        <v/>
      </c>
      <c r="U102" s="173" t="str">
        <f t="shared" si="21"/>
        <v/>
      </c>
      <c r="V102" s="173" t="str">
        <f t="shared" si="21"/>
        <v/>
      </c>
      <c r="W102" s="173" t="str">
        <f t="shared" si="21"/>
        <v/>
      </c>
      <c r="X102" s="173" t="str">
        <f t="shared" si="21"/>
        <v/>
      </c>
      <c r="Y102" s="173" t="str">
        <f t="shared" si="21"/>
        <v/>
      </c>
    </row>
    <row r="103" spans="1:25" x14ac:dyDescent="0.3">
      <c r="A103" s="172">
        <f t="shared" si="15"/>
        <v>101</v>
      </c>
      <c r="B103" s="173" t="str">
        <f t="shared" ref="B103:K112" si="22">IF(ISNONTEXT(B$2),IF(B$2="","",IF(INDEX(IMPORT,$A103,B$2)=0,"",IFERROR(VLOOKUP(INDEX(IMPORT,$A103,B$2),ImportTranslation,2,0),INDEX(IMPORT,$A103,B$2)))),B$2)</f>
        <v/>
      </c>
      <c r="C103" s="173" t="str">
        <f t="shared" si="22"/>
        <v/>
      </c>
      <c r="D103" s="173" t="str">
        <f t="shared" si="22"/>
        <v/>
      </c>
      <c r="E103" s="173" t="str">
        <f t="shared" si="22"/>
        <v/>
      </c>
      <c r="F103" s="173" t="str">
        <f t="shared" si="22"/>
        <v/>
      </c>
      <c r="G103" s="173" t="str">
        <f t="shared" si="22"/>
        <v/>
      </c>
      <c r="H103" s="173" t="str">
        <f t="shared" si="22"/>
        <v/>
      </c>
      <c r="I103" s="173" t="str">
        <f t="shared" si="22"/>
        <v/>
      </c>
      <c r="J103" s="173" t="str">
        <f t="shared" si="22"/>
        <v/>
      </c>
      <c r="K103" s="173" t="str">
        <f t="shared" si="22"/>
        <v/>
      </c>
      <c r="L103" s="173" t="str">
        <f t="shared" ref="L103:Y112" si="23">IF(ISNONTEXT(L$2),IF(L$2="","",IF(INDEX(IMPORT,$A103,L$2)=0,"",IFERROR(VLOOKUP(INDEX(IMPORT,$A103,L$2),ImportTranslation,2,0),INDEX(IMPORT,$A103,L$2)))),L$2)</f>
        <v>info</v>
      </c>
      <c r="M103" s="173" t="str">
        <f t="shared" si="23"/>
        <v/>
      </c>
      <c r="N103" s="173" t="str">
        <f t="shared" si="23"/>
        <v/>
      </c>
      <c r="O103" s="173" t="str">
        <f t="shared" si="23"/>
        <v/>
      </c>
      <c r="P103" s="174" t="str">
        <f t="shared" si="23"/>
        <v/>
      </c>
      <c r="Q103" s="174" t="str">
        <f t="shared" si="23"/>
        <v>x</v>
      </c>
      <c r="R103" s="174" t="str">
        <f t="shared" si="23"/>
        <v>BS</v>
      </c>
      <c r="S103" s="174" t="str">
        <f t="shared" si="23"/>
        <v>all</v>
      </c>
      <c r="T103" s="173" t="str">
        <f t="shared" si="23"/>
        <v/>
      </c>
      <c r="U103" s="173" t="str">
        <f t="shared" si="23"/>
        <v/>
      </c>
      <c r="V103" s="173" t="str">
        <f t="shared" si="23"/>
        <v/>
      </c>
      <c r="W103" s="173" t="str">
        <f t="shared" si="23"/>
        <v/>
      </c>
      <c r="X103" s="173" t="str">
        <f t="shared" si="23"/>
        <v/>
      </c>
      <c r="Y103" s="173" t="str">
        <f t="shared" si="23"/>
        <v/>
      </c>
    </row>
    <row r="104" spans="1:25" x14ac:dyDescent="0.3">
      <c r="A104" s="172">
        <f t="shared" si="15"/>
        <v>102</v>
      </c>
      <c r="B104" s="173" t="str">
        <f t="shared" si="22"/>
        <v/>
      </c>
      <c r="C104" s="173" t="str">
        <f t="shared" si="22"/>
        <v/>
      </c>
      <c r="D104" s="173" t="str">
        <f t="shared" si="22"/>
        <v/>
      </c>
      <c r="E104" s="173" t="str">
        <f t="shared" si="22"/>
        <v/>
      </c>
      <c r="F104" s="173" t="str">
        <f t="shared" si="22"/>
        <v/>
      </c>
      <c r="G104" s="173" t="str">
        <f t="shared" si="22"/>
        <v/>
      </c>
      <c r="H104" s="173" t="str">
        <f t="shared" si="22"/>
        <v/>
      </c>
      <c r="I104" s="173" t="str">
        <f t="shared" si="22"/>
        <v/>
      </c>
      <c r="J104" s="173" t="str">
        <f t="shared" si="22"/>
        <v/>
      </c>
      <c r="K104" s="173" t="str">
        <f t="shared" si="22"/>
        <v/>
      </c>
      <c r="L104" s="173" t="str">
        <f t="shared" si="23"/>
        <v>info</v>
      </c>
      <c r="M104" s="173" t="str">
        <f t="shared" si="23"/>
        <v/>
      </c>
      <c r="N104" s="173" t="str">
        <f t="shared" si="23"/>
        <v/>
      </c>
      <c r="O104" s="173" t="str">
        <f t="shared" si="23"/>
        <v/>
      </c>
      <c r="P104" s="174" t="str">
        <f t="shared" si="23"/>
        <v/>
      </c>
      <c r="Q104" s="174" t="str">
        <f t="shared" si="23"/>
        <v>x</v>
      </c>
      <c r="R104" s="174" t="str">
        <f t="shared" si="23"/>
        <v>BS</v>
      </c>
      <c r="S104" s="174" t="str">
        <f t="shared" si="23"/>
        <v>all</v>
      </c>
      <c r="T104" s="173" t="str">
        <f t="shared" si="23"/>
        <v/>
      </c>
      <c r="U104" s="173" t="str">
        <f t="shared" si="23"/>
        <v/>
      </c>
      <c r="V104" s="173" t="str">
        <f t="shared" si="23"/>
        <v/>
      </c>
      <c r="W104" s="173" t="str">
        <f t="shared" si="23"/>
        <v/>
      </c>
      <c r="X104" s="173" t="str">
        <f t="shared" si="23"/>
        <v/>
      </c>
      <c r="Y104" s="173" t="str">
        <f t="shared" si="23"/>
        <v/>
      </c>
    </row>
    <row r="105" spans="1:25" x14ac:dyDescent="0.3">
      <c r="A105" s="172">
        <f t="shared" si="15"/>
        <v>103</v>
      </c>
      <c r="B105" s="173" t="str">
        <f t="shared" si="22"/>
        <v/>
      </c>
      <c r="C105" s="173" t="str">
        <f t="shared" si="22"/>
        <v/>
      </c>
      <c r="D105" s="173" t="str">
        <f t="shared" si="22"/>
        <v/>
      </c>
      <c r="E105" s="173" t="str">
        <f t="shared" si="22"/>
        <v/>
      </c>
      <c r="F105" s="173" t="str">
        <f t="shared" si="22"/>
        <v/>
      </c>
      <c r="G105" s="173" t="str">
        <f t="shared" si="22"/>
        <v/>
      </c>
      <c r="H105" s="173" t="str">
        <f t="shared" si="22"/>
        <v/>
      </c>
      <c r="I105" s="173" t="str">
        <f t="shared" si="22"/>
        <v/>
      </c>
      <c r="J105" s="173" t="str">
        <f t="shared" si="22"/>
        <v/>
      </c>
      <c r="K105" s="173" t="str">
        <f t="shared" si="22"/>
        <v/>
      </c>
      <c r="L105" s="173" t="str">
        <f t="shared" si="23"/>
        <v>info</v>
      </c>
      <c r="M105" s="173" t="str">
        <f t="shared" si="23"/>
        <v/>
      </c>
      <c r="N105" s="173" t="str">
        <f t="shared" si="23"/>
        <v/>
      </c>
      <c r="O105" s="173" t="str">
        <f t="shared" si="23"/>
        <v/>
      </c>
      <c r="P105" s="174" t="str">
        <f t="shared" si="23"/>
        <v/>
      </c>
      <c r="Q105" s="174" t="str">
        <f t="shared" si="23"/>
        <v>x</v>
      </c>
      <c r="R105" s="174" t="str">
        <f t="shared" si="23"/>
        <v>BS</v>
      </c>
      <c r="S105" s="174" t="str">
        <f t="shared" si="23"/>
        <v>all</v>
      </c>
      <c r="T105" s="173" t="str">
        <f t="shared" si="23"/>
        <v/>
      </c>
      <c r="U105" s="173" t="str">
        <f t="shared" si="23"/>
        <v/>
      </c>
      <c r="V105" s="173" t="str">
        <f t="shared" si="23"/>
        <v/>
      </c>
      <c r="W105" s="173" t="str">
        <f t="shared" si="23"/>
        <v/>
      </c>
      <c r="X105" s="173" t="str">
        <f t="shared" si="23"/>
        <v/>
      </c>
      <c r="Y105" s="173" t="str">
        <f t="shared" si="23"/>
        <v/>
      </c>
    </row>
    <row r="106" spans="1:25" x14ac:dyDescent="0.3">
      <c r="A106" s="172">
        <f t="shared" si="15"/>
        <v>104</v>
      </c>
      <c r="B106" s="173" t="str">
        <f t="shared" si="22"/>
        <v/>
      </c>
      <c r="C106" s="173" t="str">
        <f t="shared" si="22"/>
        <v/>
      </c>
      <c r="D106" s="173" t="str">
        <f t="shared" si="22"/>
        <v/>
      </c>
      <c r="E106" s="173" t="str">
        <f t="shared" si="22"/>
        <v/>
      </c>
      <c r="F106" s="173" t="str">
        <f t="shared" si="22"/>
        <v/>
      </c>
      <c r="G106" s="173" t="str">
        <f t="shared" si="22"/>
        <v/>
      </c>
      <c r="H106" s="173" t="str">
        <f t="shared" si="22"/>
        <v/>
      </c>
      <c r="I106" s="173" t="str">
        <f t="shared" si="22"/>
        <v/>
      </c>
      <c r="J106" s="173" t="str">
        <f t="shared" si="22"/>
        <v/>
      </c>
      <c r="K106" s="173" t="str">
        <f t="shared" si="22"/>
        <v/>
      </c>
      <c r="L106" s="173" t="str">
        <f t="shared" si="23"/>
        <v>info</v>
      </c>
      <c r="M106" s="173" t="str">
        <f t="shared" si="23"/>
        <v/>
      </c>
      <c r="N106" s="173" t="str">
        <f t="shared" si="23"/>
        <v/>
      </c>
      <c r="O106" s="173" t="str">
        <f t="shared" si="23"/>
        <v/>
      </c>
      <c r="P106" s="174" t="str">
        <f t="shared" si="23"/>
        <v/>
      </c>
      <c r="Q106" s="174" t="str">
        <f t="shared" si="23"/>
        <v>x</v>
      </c>
      <c r="R106" s="174" t="str">
        <f t="shared" si="23"/>
        <v>BS</v>
      </c>
      <c r="S106" s="174" t="str">
        <f t="shared" si="23"/>
        <v>all</v>
      </c>
      <c r="T106" s="173" t="str">
        <f t="shared" si="23"/>
        <v/>
      </c>
      <c r="U106" s="173" t="str">
        <f t="shared" si="23"/>
        <v/>
      </c>
      <c r="V106" s="173" t="str">
        <f t="shared" si="23"/>
        <v/>
      </c>
      <c r="W106" s="173" t="str">
        <f t="shared" si="23"/>
        <v/>
      </c>
      <c r="X106" s="173" t="str">
        <f t="shared" si="23"/>
        <v/>
      </c>
      <c r="Y106" s="173" t="str">
        <f t="shared" si="23"/>
        <v/>
      </c>
    </row>
    <row r="107" spans="1:25" x14ac:dyDescent="0.3">
      <c r="A107" s="172">
        <f t="shared" si="15"/>
        <v>105</v>
      </c>
      <c r="B107" s="173" t="str">
        <f t="shared" si="22"/>
        <v/>
      </c>
      <c r="C107" s="173" t="str">
        <f t="shared" si="22"/>
        <v/>
      </c>
      <c r="D107" s="173" t="str">
        <f t="shared" si="22"/>
        <v/>
      </c>
      <c r="E107" s="173" t="str">
        <f t="shared" si="22"/>
        <v/>
      </c>
      <c r="F107" s="173" t="str">
        <f t="shared" si="22"/>
        <v/>
      </c>
      <c r="G107" s="173" t="str">
        <f t="shared" si="22"/>
        <v/>
      </c>
      <c r="H107" s="173" t="str">
        <f t="shared" si="22"/>
        <v/>
      </c>
      <c r="I107" s="173" t="str">
        <f t="shared" si="22"/>
        <v/>
      </c>
      <c r="J107" s="173" t="str">
        <f t="shared" si="22"/>
        <v/>
      </c>
      <c r="K107" s="173" t="str">
        <f t="shared" si="22"/>
        <v/>
      </c>
      <c r="L107" s="173" t="str">
        <f t="shared" si="23"/>
        <v>info</v>
      </c>
      <c r="M107" s="173" t="str">
        <f t="shared" si="23"/>
        <v/>
      </c>
      <c r="N107" s="173" t="str">
        <f t="shared" si="23"/>
        <v/>
      </c>
      <c r="O107" s="173" t="str">
        <f t="shared" si="23"/>
        <v/>
      </c>
      <c r="P107" s="174" t="str">
        <f t="shared" si="23"/>
        <v/>
      </c>
      <c r="Q107" s="174" t="str">
        <f t="shared" si="23"/>
        <v>x</v>
      </c>
      <c r="R107" s="174" t="str">
        <f t="shared" si="23"/>
        <v>BS</v>
      </c>
      <c r="S107" s="174" t="str">
        <f t="shared" si="23"/>
        <v>all</v>
      </c>
      <c r="T107" s="173" t="str">
        <f t="shared" si="23"/>
        <v/>
      </c>
      <c r="U107" s="173" t="str">
        <f t="shared" si="23"/>
        <v/>
      </c>
      <c r="V107" s="173" t="str">
        <f t="shared" si="23"/>
        <v/>
      </c>
      <c r="W107" s="173" t="str">
        <f t="shared" si="23"/>
        <v/>
      </c>
      <c r="X107" s="173" t="str">
        <f t="shared" si="23"/>
        <v/>
      </c>
      <c r="Y107" s="173" t="str">
        <f t="shared" si="23"/>
        <v/>
      </c>
    </row>
    <row r="108" spans="1:25" x14ac:dyDescent="0.3">
      <c r="A108" s="172">
        <f t="shared" si="15"/>
        <v>106</v>
      </c>
      <c r="B108" s="173" t="str">
        <f t="shared" si="22"/>
        <v/>
      </c>
      <c r="C108" s="173" t="str">
        <f t="shared" si="22"/>
        <v/>
      </c>
      <c r="D108" s="173" t="str">
        <f t="shared" si="22"/>
        <v/>
      </c>
      <c r="E108" s="173" t="str">
        <f t="shared" si="22"/>
        <v/>
      </c>
      <c r="F108" s="173" t="str">
        <f t="shared" si="22"/>
        <v/>
      </c>
      <c r="G108" s="173" t="str">
        <f t="shared" si="22"/>
        <v/>
      </c>
      <c r="H108" s="173" t="str">
        <f t="shared" si="22"/>
        <v/>
      </c>
      <c r="I108" s="173" t="str">
        <f t="shared" si="22"/>
        <v/>
      </c>
      <c r="J108" s="173" t="str">
        <f t="shared" si="22"/>
        <v/>
      </c>
      <c r="K108" s="173" t="str">
        <f t="shared" si="22"/>
        <v/>
      </c>
      <c r="L108" s="173" t="str">
        <f t="shared" si="23"/>
        <v>info</v>
      </c>
      <c r="M108" s="173" t="str">
        <f t="shared" si="23"/>
        <v/>
      </c>
      <c r="N108" s="173" t="str">
        <f t="shared" si="23"/>
        <v/>
      </c>
      <c r="O108" s="173" t="str">
        <f t="shared" si="23"/>
        <v/>
      </c>
      <c r="P108" s="174" t="str">
        <f t="shared" si="23"/>
        <v/>
      </c>
      <c r="Q108" s="174" t="str">
        <f t="shared" si="23"/>
        <v>x</v>
      </c>
      <c r="R108" s="174" t="str">
        <f t="shared" si="23"/>
        <v>BS</v>
      </c>
      <c r="S108" s="174" t="str">
        <f t="shared" si="23"/>
        <v>all</v>
      </c>
      <c r="T108" s="173" t="str">
        <f t="shared" si="23"/>
        <v/>
      </c>
      <c r="U108" s="173" t="str">
        <f t="shared" si="23"/>
        <v/>
      </c>
      <c r="V108" s="173" t="str">
        <f t="shared" si="23"/>
        <v/>
      </c>
      <c r="W108" s="173" t="str">
        <f t="shared" si="23"/>
        <v/>
      </c>
      <c r="X108" s="173" t="str">
        <f t="shared" si="23"/>
        <v/>
      </c>
      <c r="Y108" s="173" t="str">
        <f t="shared" si="23"/>
        <v/>
      </c>
    </row>
    <row r="109" spans="1:25" x14ac:dyDescent="0.3">
      <c r="A109" s="172">
        <f t="shared" si="15"/>
        <v>107</v>
      </c>
      <c r="B109" s="173" t="str">
        <f t="shared" si="22"/>
        <v/>
      </c>
      <c r="C109" s="173" t="str">
        <f t="shared" si="22"/>
        <v/>
      </c>
      <c r="D109" s="173" t="str">
        <f t="shared" si="22"/>
        <v/>
      </c>
      <c r="E109" s="173" t="str">
        <f t="shared" si="22"/>
        <v/>
      </c>
      <c r="F109" s="173" t="str">
        <f t="shared" si="22"/>
        <v/>
      </c>
      <c r="G109" s="173" t="str">
        <f t="shared" si="22"/>
        <v/>
      </c>
      <c r="H109" s="173" t="str">
        <f t="shared" si="22"/>
        <v/>
      </c>
      <c r="I109" s="173" t="str">
        <f t="shared" si="22"/>
        <v/>
      </c>
      <c r="J109" s="173" t="str">
        <f t="shared" si="22"/>
        <v/>
      </c>
      <c r="K109" s="173" t="str">
        <f t="shared" si="22"/>
        <v/>
      </c>
      <c r="L109" s="173" t="str">
        <f t="shared" si="23"/>
        <v>info</v>
      </c>
      <c r="M109" s="173" t="str">
        <f t="shared" si="23"/>
        <v/>
      </c>
      <c r="N109" s="173" t="str">
        <f t="shared" si="23"/>
        <v/>
      </c>
      <c r="O109" s="173" t="str">
        <f t="shared" si="23"/>
        <v/>
      </c>
      <c r="P109" s="174" t="str">
        <f t="shared" si="23"/>
        <v/>
      </c>
      <c r="Q109" s="174" t="str">
        <f t="shared" si="23"/>
        <v>x</v>
      </c>
      <c r="R109" s="174" t="str">
        <f t="shared" si="23"/>
        <v>BS</v>
      </c>
      <c r="S109" s="174" t="str">
        <f t="shared" si="23"/>
        <v>all</v>
      </c>
      <c r="T109" s="173" t="str">
        <f t="shared" si="23"/>
        <v/>
      </c>
      <c r="U109" s="173" t="str">
        <f t="shared" si="23"/>
        <v/>
      </c>
      <c r="V109" s="173" t="str">
        <f t="shared" si="23"/>
        <v/>
      </c>
      <c r="W109" s="173" t="str">
        <f t="shared" si="23"/>
        <v/>
      </c>
      <c r="X109" s="173" t="str">
        <f t="shared" si="23"/>
        <v/>
      </c>
      <c r="Y109" s="173" t="str">
        <f t="shared" si="23"/>
        <v/>
      </c>
    </row>
    <row r="110" spans="1:25" x14ac:dyDescent="0.3">
      <c r="A110" s="172">
        <f t="shared" si="15"/>
        <v>108</v>
      </c>
      <c r="B110" s="173" t="str">
        <f t="shared" si="22"/>
        <v/>
      </c>
      <c r="C110" s="173" t="str">
        <f t="shared" si="22"/>
        <v/>
      </c>
      <c r="D110" s="173" t="str">
        <f t="shared" si="22"/>
        <v/>
      </c>
      <c r="E110" s="173" t="str">
        <f t="shared" si="22"/>
        <v/>
      </c>
      <c r="F110" s="173" t="str">
        <f t="shared" si="22"/>
        <v/>
      </c>
      <c r="G110" s="173" t="str">
        <f t="shared" si="22"/>
        <v/>
      </c>
      <c r="H110" s="173" t="str">
        <f t="shared" si="22"/>
        <v/>
      </c>
      <c r="I110" s="173" t="str">
        <f t="shared" si="22"/>
        <v/>
      </c>
      <c r="J110" s="173" t="str">
        <f t="shared" si="22"/>
        <v/>
      </c>
      <c r="K110" s="173" t="str">
        <f t="shared" si="22"/>
        <v/>
      </c>
      <c r="L110" s="173" t="str">
        <f t="shared" si="23"/>
        <v>info</v>
      </c>
      <c r="M110" s="173" t="str">
        <f t="shared" si="23"/>
        <v/>
      </c>
      <c r="N110" s="173" t="str">
        <f t="shared" si="23"/>
        <v/>
      </c>
      <c r="O110" s="173" t="str">
        <f t="shared" si="23"/>
        <v/>
      </c>
      <c r="P110" s="174" t="str">
        <f t="shared" si="23"/>
        <v/>
      </c>
      <c r="Q110" s="174" t="str">
        <f t="shared" si="23"/>
        <v>x</v>
      </c>
      <c r="R110" s="174" t="str">
        <f t="shared" si="23"/>
        <v>BS</v>
      </c>
      <c r="S110" s="174" t="str">
        <f t="shared" si="23"/>
        <v>all</v>
      </c>
      <c r="T110" s="173" t="str">
        <f t="shared" si="23"/>
        <v/>
      </c>
      <c r="U110" s="173" t="str">
        <f t="shared" si="23"/>
        <v/>
      </c>
      <c r="V110" s="173" t="str">
        <f t="shared" si="23"/>
        <v/>
      </c>
      <c r="W110" s="173" t="str">
        <f t="shared" si="23"/>
        <v/>
      </c>
      <c r="X110" s="173" t="str">
        <f t="shared" si="23"/>
        <v/>
      </c>
      <c r="Y110" s="173" t="str">
        <f t="shared" si="23"/>
        <v/>
      </c>
    </row>
    <row r="111" spans="1:25" x14ac:dyDescent="0.3">
      <c r="A111" s="172">
        <f t="shared" si="15"/>
        <v>109</v>
      </c>
      <c r="B111" s="173" t="str">
        <f t="shared" si="22"/>
        <v/>
      </c>
      <c r="C111" s="173" t="str">
        <f t="shared" si="22"/>
        <v/>
      </c>
      <c r="D111" s="173" t="str">
        <f t="shared" si="22"/>
        <v/>
      </c>
      <c r="E111" s="173" t="str">
        <f t="shared" si="22"/>
        <v/>
      </c>
      <c r="F111" s="173" t="str">
        <f t="shared" si="22"/>
        <v/>
      </c>
      <c r="G111" s="173" t="str">
        <f t="shared" si="22"/>
        <v/>
      </c>
      <c r="H111" s="173" t="str">
        <f t="shared" si="22"/>
        <v/>
      </c>
      <c r="I111" s="173" t="str">
        <f t="shared" si="22"/>
        <v/>
      </c>
      <c r="J111" s="173" t="str">
        <f t="shared" si="22"/>
        <v/>
      </c>
      <c r="K111" s="173" t="str">
        <f t="shared" si="22"/>
        <v/>
      </c>
      <c r="L111" s="173" t="str">
        <f t="shared" si="23"/>
        <v>info</v>
      </c>
      <c r="M111" s="173" t="str">
        <f t="shared" si="23"/>
        <v/>
      </c>
      <c r="N111" s="173" t="str">
        <f t="shared" si="23"/>
        <v/>
      </c>
      <c r="O111" s="173" t="str">
        <f t="shared" si="23"/>
        <v/>
      </c>
      <c r="P111" s="174" t="str">
        <f t="shared" si="23"/>
        <v/>
      </c>
      <c r="Q111" s="174" t="str">
        <f t="shared" si="23"/>
        <v>x</v>
      </c>
      <c r="R111" s="174" t="str">
        <f t="shared" si="23"/>
        <v>BS</v>
      </c>
      <c r="S111" s="174" t="str">
        <f t="shared" si="23"/>
        <v>all</v>
      </c>
      <c r="T111" s="173" t="str">
        <f t="shared" si="23"/>
        <v/>
      </c>
      <c r="U111" s="173" t="str">
        <f t="shared" si="23"/>
        <v/>
      </c>
      <c r="V111" s="173" t="str">
        <f t="shared" si="23"/>
        <v/>
      </c>
      <c r="W111" s="173" t="str">
        <f t="shared" si="23"/>
        <v/>
      </c>
      <c r="X111" s="173" t="str">
        <f t="shared" si="23"/>
        <v/>
      </c>
      <c r="Y111" s="173" t="str">
        <f t="shared" si="23"/>
        <v/>
      </c>
    </row>
    <row r="112" spans="1:25" x14ac:dyDescent="0.3">
      <c r="A112" s="172">
        <f t="shared" si="15"/>
        <v>110</v>
      </c>
      <c r="B112" s="173" t="str">
        <f t="shared" si="22"/>
        <v/>
      </c>
      <c r="C112" s="173" t="str">
        <f t="shared" si="22"/>
        <v/>
      </c>
      <c r="D112" s="173" t="str">
        <f t="shared" si="22"/>
        <v/>
      </c>
      <c r="E112" s="173" t="str">
        <f t="shared" si="22"/>
        <v/>
      </c>
      <c r="F112" s="173" t="str">
        <f t="shared" si="22"/>
        <v/>
      </c>
      <c r="G112" s="173" t="str">
        <f t="shared" si="22"/>
        <v/>
      </c>
      <c r="H112" s="173" t="str">
        <f t="shared" si="22"/>
        <v/>
      </c>
      <c r="I112" s="173" t="str">
        <f t="shared" si="22"/>
        <v/>
      </c>
      <c r="J112" s="173" t="str">
        <f t="shared" si="22"/>
        <v/>
      </c>
      <c r="K112" s="173" t="str">
        <f t="shared" si="22"/>
        <v/>
      </c>
      <c r="L112" s="173" t="str">
        <f t="shared" si="23"/>
        <v>info</v>
      </c>
      <c r="M112" s="173" t="str">
        <f t="shared" si="23"/>
        <v/>
      </c>
      <c r="N112" s="173" t="str">
        <f t="shared" si="23"/>
        <v/>
      </c>
      <c r="O112" s="173" t="str">
        <f t="shared" si="23"/>
        <v/>
      </c>
      <c r="P112" s="174" t="str">
        <f t="shared" si="23"/>
        <v/>
      </c>
      <c r="Q112" s="174" t="str">
        <f t="shared" si="23"/>
        <v>x</v>
      </c>
      <c r="R112" s="174" t="str">
        <f t="shared" si="23"/>
        <v>BS</v>
      </c>
      <c r="S112" s="174" t="str">
        <f t="shared" si="23"/>
        <v>all</v>
      </c>
      <c r="T112" s="173" t="str">
        <f t="shared" si="23"/>
        <v/>
      </c>
      <c r="U112" s="173" t="str">
        <f t="shared" si="23"/>
        <v/>
      </c>
      <c r="V112" s="173" t="str">
        <f t="shared" si="23"/>
        <v/>
      </c>
      <c r="W112" s="173" t="str">
        <f t="shared" si="23"/>
        <v/>
      </c>
      <c r="X112" s="173" t="str">
        <f t="shared" si="23"/>
        <v/>
      </c>
      <c r="Y112" s="173" t="str">
        <f t="shared" si="23"/>
        <v/>
      </c>
    </row>
    <row r="113" spans="1:25" x14ac:dyDescent="0.3">
      <c r="A113" s="172">
        <f t="shared" si="15"/>
        <v>111</v>
      </c>
      <c r="B113" s="173" t="str">
        <f t="shared" ref="B113:K122" si="24">IF(ISNONTEXT(B$2),IF(B$2="","",IF(INDEX(IMPORT,$A113,B$2)=0,"",IFERROR(VLOOKUP(INDEX(IMPORT,$A113,B$2),ImportTranslation,2,0),INDEX(IMPORT,$A113,B$2)))),B$2)</f>
        <v/>
      </c>
      <c r="C113" s="173" t="str">
        <f t="shared" si="24"/>
        <v/>
      </c>
      <c r="D113" s="173" t="str">
        <f t="shared" si="24"/>
        <v/>
      </c>
      <c r="E113" s="173" t="str">
        <f t="shared" si="24"/>
        <v/>
      </c>
      <c r="F113" s="173" t="str">
        <f t="shared" si="24"/>
        <v/>
      </c>
      <c r="G113" s="173" t="str">
        <f t="shared" si="24"/>
        <v/>
      </c>
      <c r="H113" s="173" t="str">
        <f t="shared" si="24"/>
        <v/>
      </c>
      <c r="I113" s="173" t="str">
        <f t="shared" si="24"/>
        <v/>
      </c>
      <c r="J113" s="173" t="str">
        <f t="shared" si="24"/>
        <v/>
      </c>
      <c r="K113" s="173" t="str">
        <f t="shared" si="24"/>
        <v/>
      </c>
      <c r="L113" s="173" t="str">
        <f t="shared" ref="L113:Y122" si="25">IF(ISNONTEXT(L$2),IF(L$2="","",IF(INDEX(IMPORT,$A113,L$2)=0,"",IFERROR(VLOOKUP(INDEX(IMPORT,$A113,L$2),ImportTranslation,2,0),INDEX(IMPORT,$A113,L$2)))),L$2)</f>
        <v>info</v>
      </c>
      <c r="M113" s="173" t="str">
        <f t="shared" si="25"/>
        <v/>
      </c>
      <c r="N113" s="173" t="str">
        <f t="shared" si="25"/>
        <v/>
      </c>
      <c r="O113" s="173" t="str">
        <f t="shared" si="25"/>
        <v/>
      </c>
      <c r="P113" s="174" t="str">
        <f t="shared" si="25"/>
        <v/>
      </c>
      <c r="Q113" s="174" t="str">
        <f t="shared" si="25"/>
        <v>x</v>
      </c>
      <c r="R113" s="174" t="str">
        <f t="shared" si="25"/>
        <v>BS</v>
      </c>
      <c r="S113" s="174" t="str">
        <f t="shared" si="25"/>
        <v>all</v>
      </c>
      <c r="T113" s="173" t="str">
        <f t="shared" si="25"/>
        <v/>
      </c>
      <c r="U113" s="173" t="str">
        <f t="shared" si="25"/>
        <v/>
      </c>
      <c r="V113" s="173" t="str">
        <f t="shared" si="25"/>
        <v/>
      </c>
      <c r="W113" s="173" t="str">
        <f t="shared" si="25"/>
        <v/>
      </c>
      <c r="X113" s="173" t="str">
        <f t="shared" si="25"/>
        <v/>
      </c>
      <c r="Y113" s="173" t="str">
        <f t="shared" si="25"/>
        <v/>
      </c>
    </row>
    <row r="114" spans="1:25" x14ac:dyDescent="0.3">
      <c r="A114" s="172">
        <f t="shared" si="15"/>
        <v>112</v>
      </c>
      <c r="B114" s="173" t="str">
        <f t="shared" si="24"/>
        <v/>
      </c>
      <c r="C114" s="173" t="str">
        <f t="shared" si="24"/>
        <v/>
      </c>
      <c r="D114" s="173" t="str">
        <f t="shared" si="24"/>
        <v/>
      </c>
      <c r="E114" s="173" t="str">
        <f t="shared" si="24"/>
        <v/>
      </c>
      <c r="F114" s="173" t="str">
        <f t="shared" si="24"/>
        <v/>
      </c>
      <c r="G114" s="173" t="str">
        <f t="shared" si="24"/>
        <v/>
      </c>
      <c r="H114" s="173" t="str">
        <f t="shared" si="24"/>
        <v/>
      </c>
      <c r="I114" s="173" t="str">
        <f t="shared" si="24"/>
        <v/>
      </c>
      <c r="J114" s="173" t="str">
        <f t="shared" si="24"/>
        <v/>
      </c>
      <c r="K114" s="173" t="str">
        <f t="shared" si="24"/>
        <v/>
      </c>
      <c r="L114" s="173" t="str">
        <f t="shared" si="25"/>
        <v>info</v>
      </c>
      <c r="M114" s="173" t="str">
        <f t="shared" si="25"/>
        <v/>
      </c>
      <c r="N114" s="173" t="str">
        <f t="shared" si="25"/>
        <v/>
      </c>
      <c r="O114" s="173" t="str">
        <f t="shared" si="25"/>
        <v/>
      </c>
      <c r="P114" s="174" t="str">
        <f t="shared" si="25"/>
        <v/>
      </c>
      <c r="Q114" s="174" t="str">
        <f t="shared" si="25"/>
        <v>x</v>
      </c>
      <c r="R114" s="174" t="str">
        <f t="shared" si="25"/>
        <v>BS</v>
      </c>
      <c r="S114" s="174" t="str">
        <f t="shared" si="25"/>
        <v>all</v>
      </c>
      <c r="T114" s="173" t="str">
        <f t="shared" si="25"/>
        <v/>
      </c>
      <c r="U114" s="173" t="str">
        <f t="shared" si="25"/>
        <v/>
      </c>
      <c r="V114" s="173" t="str">
        <f t="shared" si="25"/>
        <v/>
      </c>
      <c r="W114" s="173" t="str">
        <f t="shared" si="25"/>
        <v/>
      </c>
      <c r="X114" s="173" t="str">
        <f t="shared" si="25"/>
        <v/>
      </c>
      <c r="Y114" s="173" t="str">
        <f t="shared" si="25"/>
        <v/>
      </c>
    </row>
    <row r="115" spans="1:25" x14ac:dyDescent="0.3">
      <c r="A115" s="172">
        <f t="shared" si="15"/>
        <v>113</v>
      </c>
      <c r="B115" s="173" t="str">
        <f t="shared" si="24"/>
        <v/>
      </c>
      <c r="C115" s="173" t="str">
        <f t="shared" si="24"/>
        <v/>
      </c>
      <c r="D115" s="173" t="str">
        <f t="shared" si="24"/>
        <v/>
      </c>
      <c r="E115" s="173" t="str">
        <f t="shared" si="24"/>
        <v/>
      </c>
      <c r="F115" s="173" t="str">
        <f t="shared" si="24"/>
        <v/>
      </c>
      <c r="G115" s="173" t="str">
        <f t="shared" si="24"/>
        <v/>
      </c>
      <c r="H115" s="173" t="str">
        <f t="shared" si="24"/>
        <v/>
      </c>
      <c r="I115" s="173" t="str">
        <f t="shared" si="24"/>
        <v/>
      </c>
      <c r="J115" s="173" t="str">
        <f t="shared" si="24"/>
        <v/>
      </c>
      <c r="K115" s="173" t="str">
        <f t="shared" si="24"/>
        <v/>
      </c>
      <c r="L115" s="173" t="str">
        <f t="shared" si="25"/>
        <v>info</v>
      </c>
      <c r="M115" s="173" t="str">
        <f t="shared" si="25"/>
        <v/>
      </c>
      <c r="N115" s="173" t="str">
        <f t="shared" si="25"/>
        <v/>
      </c>
      <c r="O115" s="173" t="str">
        <f t="shared" si="25"/>
        <v/>
      </c>
      <c r="P115" s="174" t="str">
        <f t="shared" si="25"/>
        <v/>
      </c>
      <c r="Q115" s="174" t="str">
        <f t="shared" si="25"/>
        <v>x</v>
      </c>
      <c r="R115" s="174" t="str">
        <f t="shared" si="25"/>
        <v>BS</v>
      </c>
      <c r="S115" s="174" t="str">
        <f t="shared" si="25"/>
        <v>all</v>
      </c>
      <c r="T115" s="173" t="str">
        <f t="shared" si="25"/>
        <v/>
      </c>
      <c r="U115" s="173" t="str">
        <f t="shared" si="25"/>
        <v/>
      </c>
      <c r="V115" s="173" t="str">
        <f t="shared" si="25"/>
        <v/>
      </c>
      <c r="W115" s="173" t="str">
        <f t="shared" si="25"/>
        <v/>
      </c>
      <c r="X115" s="173" t="str">
        <f t="shared" si="25"/>
        <v/>
      </c>
      <c r="Y115" s="173" t="str">
        <f t="shared" si="25"/>
        <v/>
      </c>
    </row>
    <row r="116" spans="1:25" x14ac:dyDescent="0.3">
      <c r="A116" s="172">
        <f t="shared" si="15"/>
        <v>114</v>
      </c>
      <c r="B116" s="173" t="str">
        <f t="shared" si="24"/>
        <v/>
      </c>
      <c r="C116" s="173" t="str">
        <f t="shared" si="24"/>
        <v/>
      </c>
      <c r="D116" s="173" t="str">
        <f t="shared" si="24"/>
        <v/>
      </c>
      <c r="E116" s="173" t="str">
        <f t="shared" si="24"/>
        <v/>
      </c>
      <c r="F116" s="173" t="str">
        <f t="shared" si="24"/>
        <v/>
      </c>
      <c r="G116" s="173" t="str">
        <f t="shared" si="24"/>
        <v/>
      </c>
      <c r="H116" s="173" t="str">
        <f t="shared" si="24"/>
        <v/>
      </c>
      <c r="I116" s="173" t="str">
        <f t="shared" si="24"/>
        <v/>
      </c>
      <c r="J116" s="173" t="str">
        <f t="shared" si="24"/>
        <v/>
      </c>
      <c r="K116" s="173" t="str">
        <f t="shared" si="24"/>
        <v/>
      </c>
      <c r="L116" s="173" t="str">
        <f t="shared" si="25"/>
        <v>info</v>
      </c>
      <c r="M116" s="173" t="str">
        <f t="shared" si="25"/>
        <v/>
      </c>
      <c r="N116" s="173" t="str">
        <f t="shared" si="25"/>
        <v/>
      </c>
      <c r="O116" s="173" t="str">
        <f t="shared" si="25"/>
        <v/>
      </c>
      <c r="P116" s="174" t="str">
        <f t="shared" si="25"/>
        <v/>
      </c>
      <c r="Q116" s="174" t="str">
        <f t="shared" si="25"/>
        <v>x</v>
      </c>
      <c r="R116" s="174" t="str">
        <f t="shared" si="25"/>
        <v>BS</v>
      </c>
      <c r="S116" s="174" t="str">
        <f t="shared" si="25"/>
        <v>all</v>
      </c>
      <c r="T116" s="173" t="str">
        <f t="shared" si="25"/>
        <v/>
      </c>
      <c r="U116" s="173" t="str">
        <f t="shared" si="25"/>
        <v/>
      </c>
      <c r="V116" s="173" t="str">
        <f t="shared" si="25"/>
        <v/>
      </c>
      <c r="W116" s="173" t="str">
        <f t="shared" si="25"/>
        <v/>
      </c>
      <c r="X116" s="173" t="str">
        <f t="shared" si="25"/>
        <v/>
      </c>
      <c r="Y116" s="173" t="str">
        <f t="shared" si="25"/>
        <v/>
      </c>
    </row>
    <row r="117" spans="1:25" x14ac:dyDescent="0.3">
      <c r="A117" s="172">
        <f t="shared" si="15"/>
        <v>115</v>
      </c>
      <c r="B117" s="173" t="str">
        <f t="shared" si="24"/>
        <v/>
      </c>
      <c r="C117" s="173" t="str">
        <f t="shared" si="24"/>
        <v/>
      </c>
      <c r="D117" s="173" t="str">
        <f t="shared" si="24"/>
        <v/>
      </c>
      <c r="E117" s="173" t="str">
        <f t="shared" si="24"/>
        <v/>
      </c>
      <c r="F117" s="173" t="str">
        <f t="shared" si="24"/>
        <v/>
      </c>
      <c r="G117" s="173" t="str">
        <f t="shared" si="24"/>
        <v/>
      </c>
      <c r="H117" s="173" t="str">
        <f t="shared" si="24"/>
        <v/>
      </c>
      <c r="I117" s="173" t="str">
        <f t="shared" si="24"/>
        <v/>
      </c>
      <c r="J117" s="173" t="str">
        <f t="shared" si="24"/>
        <v/>
      </c>
      <c r="K117" s="173" t="str">
        <f t="shared" si="24"/>
        <v/>
      </c>
      <c r="L117" s="173" t="str">
        <f t="shared" si="25"/>
        <v>info</v>
      </c>
      <c r="M117" s="173" t="str">
        <f t="shared" si="25"/>
        <v/>
      </c>
      <c r="N117" s="173" t="str">
        <f t="shared" si="25"/>
        <v/>
      </c>
      <c r="O117" s="173" t="str">
        <f t="shared" si="25"/>
        <v/>
      </c>
      <c r="P117" s="174" t="str">
        <f t="shared" si="25"/>
        <v/>
      </c>
      <c r="Q117" s="174" t="str">
        <f t="shared" si="25"/>
        <v>x</v>
      </c>
      <c r="R117" s="174" t="str">
        <f t="shared" si="25"/>
        <v>BS</v>
      </c>
      <c r="S117" s="174" t="str">
        <f t="shared" si="25"/>
        <v>all</v>
      </c>
      <c r="T117" s="173" t="str">
        <f t="shared" si="25"/>
        <v/>
      </c>
      <c r="U117" s="173" t="str">
        <f t="shared" si="25"/>
        <v/>
      </c>
      <c r="V117" s="173" t="str">
        <f t="shared" si="25"/>
        <v/>
      </c>
      <c r="W117" s="173" t="str">
        <f t="shared" si="25"/>
        <v/>
      </c>
      <c r="X117" s="173" t="str">
        <f t="shared" si="25"/>
        <v/>
      </c>
      <c r="Y117" s="173" t="str">
        <f t="shared" si="25"/>
        <v/>
      </c>
    </row>
    <row r="118" spans="1:25" x14ac:dyDescent="0.3">
      <c r="A118" s="172">
        <f t="shared" si="15"/>
        <v>116</v>
      </c>
      <c r="B118" s="173" t="str">
        <f t="shared" si="24"/>
        <v/>
      </c>
      <c r="C118" s="173" t="str">
        <f t="shared" si="24"/>
        <v/>
      </c>
      <c r="D118" s="173" t="str">
        <f t="shared" si="24"/>
        <v/>
      </c>
      <c r="E118" s="173" t="str">
        <f t="shared" si="24"/>
        <v/>
      </c>
      <c r="F118" s="173" t="str">
        <f t="shared" si="24"/>
        <v/>
      </c>
      <c r="G118" s="173" t="str">
        <f t="shared" si="24"/>
        <v/>
      </c>
      <c r="H118" s="173" t="str">
        <f t="shared" si="24"/>
        <v/>
      </c>
      <c r="I118" s="173" t="str">
        <f t="shared" si="24"/>
        <v/>
      </c>
      <c r="J118" s="173" t="str">
        <f t="shared" si="24"/>
        <v/>
      </c>
      <c r="K118" s="173" t="str">
        <f t="shared" si="24"/>
        <v/>
      </c>
      <c r="L118" s="173" t="str">
        <f t="shared" si="25"/>
        <v>info</v>
      </c>
      <c r="M118" s="173" t="str">
        <f t="shared" si="25"/>
        <v/>
      </c>
      <c r="N118" s="173" t="str">
        <f t="shared" si="25"/>
        <v/>
      </c>
      <c r="O118" s="173" t="str">
        <f t="shared" si="25"/>
        <v/>
      </c>
      <c r="P118" s="174" t="str">
        <f t="shared" si="25"/>
        <v/>
      </c>
      <c r="Q118" s="174" t="str">
        <f t="shared" si="25"/>
        <v>x</v>
      </c>
      <c r="R118" s="174" t="str">
        <f t="shared" si="25"/>
        <v>BS</v>
      </c>
      <c r="S118" s="174" t="str">
        <f t="shared" si="25"/>
        <v>all</v>
      </c>
      <c r="T118" s="173" t="str">
        <f t="shared" si="25"/>
        <v/>
      </c>
      <c r="U118" s="173" t="str">
        <f t="shared" si="25"/>
        <v/>
      </c>
      <c r="V118" s="173" t="str">
        <f t="shared" si="25"/>
        <v/>
      </c>
      <c r="W118" s="173" t="str">
        <f t="shared" si="25"/>
        <v/>
      </c>
      <c r="X118" s="173" t="str">
        <f t="shared" si="25"/>
        <v/>
      </c>
      <c r="Y118" s="173" t="str">
        <f t="shared" si="25"/>
        <v/>
      </c>
    </row>
    <row r="119" spans="1:25" x14ac:dyDescent="0.3">
      <c r="A119" s="172">
        <f t="shared" si="15"/>
        <v>117</v>
      </c>
      <c r="B119" s="173" t="str">
        <f t="shared" si="24"/>
        <v/>
      </c>
      <c r="C119" s="173" t="str">
        <f t="shared" si="24"/>
        <v/>
      </c>
      <c r="D119" s="173" t="str">
        <f t="shared" si="24"/>
        <v/>
      </c>
      <c r="E119" s="173" t="str">
        <f t="shared" si="24"/>
        <v/>
      </c>
      <c r="F119" s="173" t="str">
        <f t="shared" si="24"/>
        <v/>
      </c>
      <c r="G119" s="173" t="str">
        <f t="shared" si="24"/>
        <v/>
      </c>
      <c r="H119" s="173" t="str">
        <f t="shared" si="24"/>
        <v/>
      </c>
      <c r="I119" s="173" t="str">
        <f t="shared" si="24"/>
        <v/>
      </c>
      <c r="J119" s="173" t="str">
        <f t="shared" si="24"/>
        <v/>
      </c>
      <c r="K119" s="173" t="str">
        <f t="shared" si="24"/>
        <v/>
      </c>
      <c r="L119" s="173" t="str">
        <f t="shared" si="25"/>
        <v>info</v>
      </c>
      <c r="M119" s="173" t="str">
        <f t="shared" si="25"/>
        <v/>
      </c>
      <c r="N119" s="173" t="str">
        <f t="shared" si="25"/>
        <v/>
      </c>
      <c r="O119" s="173" t="str">
        <f t="shared" si="25"/>
        <v/>
      </c>
      <c r="P119" s="174" t="str">
        <f t="shared" si="25"/>
        <v/>
      </c>
      <c r="Q119" s="174" t="str">
        <f t="shared" si="25"/>
        <v>x</v>
      </c>
      <c r="R119" s="174" t="str">
        <f t="shared" si="25"/>
        <v>BS</v>
      </c>
      <c r="S119" s="174" t="str">
        <f t="shared" si="25"/>
        <v>all</v>
      </c>
      <c r="T119" s="173" t="str">
        <f t="shared" si="25"/>
        <v/>
      </c>
      <c r="U119" s="173" t="str">
        <f t="shared" si="25"/>
        <v/>
      </c>
      <c r="V119" s="173" t="str">
        <f t="shared" si="25"/>
        <v/>
      </c>
      <c r="W119" s="173" t="str">
        <f t="shared" si="25"/>
        <v/>
      </c>
      <c r="X119" s="173" t="str">
        <f t="shared" si="25"/>
        <v/>
      </c>
      <c r="Y119" s="173" t="str">
        <f t="shared" si="25"/>
        <v/>
      </c>
    </row>
    <row r="120" spans="1:25" x14ac:dyDescent="0.3">
      <c r="A120" s="172">
        <f t="shared" si="15"/>
        <v>118</v>
      </c>
      <c r="B120" s="173" t="str">
        <f t="shared" si="24"/>
        <v/>
      </c>
      <c r="C120" s="173" t="str">
        <f t="shared" si="24"/>
        <v/>
      </c>
      <c r="D120" s="173" t="str">
        <f t="shared" si="24"/>
        <v/>
      </c>
      <c r="E120" s="173" t="str">
        <f t="shared" si="24"/>
        <v/>
      </c>
      <c r="F120" s="173" t="str">
        <f t="shared" si="24"/>
        <v/>
      </c>
      <c r="G120" s="173" t="str">
        <f t="shared" si="24"/>
        <v/>
      </c>
      <c r="H120" s="173" t="str">
        <f t="shared" si="24"/>
        <v/>
      </c>
      <c r="I120" s="173" t="str">
        <f t="shared" si="24"/>
        <v/>
      </c>
      <c r="J120" s="173" t="str">
        <f t="shared" si="24"/>
        <v/>
      </c>
      <c r="K120" s="173" t="str">
        <f t="shared" si="24"/>
        <v/>
      </c>
      <c r="L120" s="173" t="str">
        <f t="shared" si="25"/>
        <v>info</v>
      </c>
      <c r="M120" s="173" t="str">
        <f t="shared" si="25"/>
        <v/>
      </c>
      <c r="N120" s="173" t="str">
        <f t="shared" si="25"/>
        <v/>
      </c>
      <c r="O120" s="173" t="str">
        <f t="shared" si="25"/>
        <v/>
      </c>
      <c r="P120" s="174" t="str">
        <f t="shared" si="25"/>
        <v/>
      </c>
      <c r="Q120" s="174" t="str">
        <f t="shared" si="25"/>
        <v>x</v>
      </c>
      <c r="R120" s="174" t="str">
        <f t="shared" si="25"/>
        <v>BS</v>
      </c>
      <c r="S120" s="174" t="str">
        <f t="shared" si="25"/>
        <v>all</v>
      </c>
      <c r="T120" s="173" t="str">
        <f t="shared" si="25"/>
        <v/>
      </c>
      <c r="U120" s="173" t="str">
        <f t="shared" si="25"/>
        <v/>
      </c>
      <c r="V120" s="173" t="str">
        <f t="shared" si="25"/>
        <v/>
      </c>
      <c r="W120" s="173" t="str">
        <f t="shared" si="25"/>
        <v/>
      </c>
      <c r="X120" s="173" t="str">
        <f t="shared" si="25"/>
        <v/>
      </c>
      <c r="Y120" s="173" t="str">
        <f t="shared" si="25"/>
        <v/>
      </c>
    </row>
    <row r="121" spans="1:25" x14ac:dyDescent="0.3">
      <c r="A121" s="172">
        <f t="shared" si="15"/>
        <v>119</v>
      </c>
      <c r="B121" s="173" t="str">
        <f t="shared" si="24"/>
        <v/>
      </c>
      <c r="C121" s="173" t="str">
        <f t="shared" si="24"/>
        <v/>
      </c>
      <c r="D121" s="173" t="str">
        <f t="shared" si="24"/>
        <v/>
      </c>
      <c r="E121" s="173" t="str">
        <f t="shared" si="24"/>
        <v/>
      </c>
      <c r="F121" s="173" t="str">
        <f t="shared" si="24"/>
        <v/>
      </c>
      <c r="G121" s="173" t="str">
        <f t="shared" si="24"/>
        <v/>
      </c>
      <c r="H121" s="173" t="str">
        <f t="shared" si="24"/>
        <v/>
      </c>
      <c r="I121" s="173" t="str">
        <f t="shared" si="24"/>
        <v/>
      </c>
      <c r="J121" s="173" t="str">
        <f t="shared" si="24"/>
        <v/>
      </c>
      <c r="K121" s="173" t="str">
        <f t="shared" si="24"/>
        <v/>
      </c>
      <c r="L121" s="173" t="str">
        <f t="shared" si="25"/>
        <v>info</v>
      </c>
      <c r="M121" s="173" t="str">
        <f t="shared" si="25"/>
        <v/>
      </c>
      <c r="N121" s="173" t="str">
        <f t="shared" si="25"/>
        <v/>
      </c>
      <c r="O121" s="173" t="str">
        <f t="shared" si="25"/>
        <v/>
      </c>
      <c r="P121" s="174" t="str">
        <f t="shared" si="25"/>
        <v/>
      </c>
      <c r="Q121" s="174" t="str">
        <f t="shared" si="25"/>
        <v>x</v>
      </c>
      <c r="R121" s="174" t="str">
        <f t="shared" si="25"/>
        <v>BS</v>
      </c>
      <c r="S121" s="174" t="str">
        <f t="shared" si="25"/>
        <v>all</v>
      </c>
      <c r="T121" s="173" t="str">
        <f t="shared" si="25"/>
        <v/>
      </c>
      <c r="U121" s="173" t="str">
        <f t="shared" si="25"/>
        <v/>
      </c>
      <c r="V121" s="173" t="str">
        <f t="shared" si="25"/>
        <v/>
      </c>
      <c r="W121" s="173" t="str">
        <f t="shared" si="25"/>
        <v/>
      </c>
      <c r="X121" s="173" t="str">
        <f t="shared" si="25"/>
        <v/>
      </c>
      <c r="Y121" s="173" t="str">
        <f t="shared" si="25"/>
        <v/>
      </c>
    </row>
    <row r="122" spans="1:25" x14ac:dyDescent="0.3">
      <c r="A122" s="172">
        <f t="shared" si="15"/>
        <v>120</v>
      </c>
      <c r="B122" s="173" t="str">
        <f t="shared" si="24"/>
        <v/>
      </c>
      <c r="C122" s="173" t="str">
        <f t="shared" si="24"/>
        <v/>
      </c>
      <c r="D122" s="173" t="str">
        <f t="shared" si="24"/>
        <v/>
      </c>
      <c r="E122" s="173" t="str">
        <f t="shared" si="24"/>
        <v/>
      </c>
      <c r="F122" s="173" t="str">
        <f t="shared" si="24"/>
        <v/>
      </c>
      <c r="G122" s="173" t="str">
        <f t="shared" si="24"/>
        <v/>
      </c>
      <c r="H122" s="173" t="str">
        <f t="shared" si="24"/>
        <v/>
      </c>
      <c r="I122" s="173" t="str">
        <f t="shared" si="24"/>
        <v/>
      </c>
      <c r="J122" s="173" t="str">
        <f t="shared" si="24"/>
        <v/>
      </c>
      <c r="K122" s="173" t="str">
        <f t="shared" si="24"/>
        <v/>
      </c>
      <c r="L122" s="173" t="str">
        <f t="shared" si="25"/>
        <v>info</v>
      </c>
      <c r="M122" s="173" t="str">
        <f t="shared" si="25"/>
        <v/>
      </c>
      <c r="N122" s="173" t="str">
        <f t="shared" si="25"/>
        <v/>
      </c>
      <c r="O122" s="173" t="str">
        <f t="shared" si="25"/>
        <v/>
      </c>
      <c r="P122" s="174" t="str">
        <f t="shared" si="25"/>
        <v/>
      </c>
      <c r="Q122" s="174" t="str">
        <f t="shared" si="25"/>
        <v>x</v>
      </c>
      <c r="R122" s="174" t="str">
        <f t="shared" si="25"/>
        <v>BS</v>
      </c>
      <c r="S122" s="174" t="str">
        <f t="shared" si="25"/>
        <v>all</v>
      </c>
      <c r="T122" s="173" t="str">
        <f t="shared" si="25"/>
        <v/>
      </c>
      <c r="U122" s="173" t="str">
        <f t="shared" si="25"/>
        <v/>
      </c>
      <c r="V122" s="173" t="str">
        <f t="shared" si="25"/>
        <v/>
      </c>
      <c r="W122" s="173" t="str">
        <f t="shared" si="25"/>
        <v/>
      </c>
      <c r="X122" s="173" t="str">
        <f t="shared" si="25"/>
        <v/>
      </c>
      <c r="Y122" s="173" t="str">
        <f t="shared" si="25"/>
        <v/>
      </c>
    </row>
    <row r="123" spans="1:25" x14ac:dyDescent="0.3">
      <c r="A123" s="172">
        <f t="shared" si="15"/>
        <v>121</v>
      </c>
      <c r="B123" s="173" t="str">
        <f t="shared" ref="B123:K132" si="26">IF(ISNONTEXT(B$2),IF(B$2="","",IF(INDEX(IMPORT,$A123,B$2)=0,"",IFERROR(VLOOKUP(INDEX(IMPORT,$A123,B$2),ImportTranslation,2,0),INDEX(IMPORT,$A123,B$2)))),B$2)</f>
        <v/>
      </c>
      <c r="C123" s="173" t="str">
        <f t="shared" si="26"/>
        <v/>
      </c>
      <c r="D123" s="173" t="str">
        <f t="shared" si="26"/>
        <v/>
      </c>
      <c r="E123" s="173" t="str">
        <f t="shared" si="26"/>
        <v/>
      </c>
      <c r="F123" s="173" t="str">
        <f t="shared" si="26"/>
        <v/>
      </c>
      <c r="G123" s="173" t="str">
        <f t="shared" si="26"/>
        <v/>
      </c>
      <c r="H123" s="173" t="str">
        <f t="shared" si="26"/>
        <v/>
      </c>
      <c r="I123" s="173" t="str">
        <f t="shared" si="26"/>
        <v/>
      </c>
      <c r="J123" s="173" t="str">
        <f t="shared" si="26"/>
        <v/>
      </c>
      <c r="K123" s="173" t="str">
        <f t="shared" si="26"/>
        <v/>
      </c>
      <c r="L123" s="173" t="str">
        <f t="shared" ref="L123:Y132" si="27">IF(ISNONTEXT(L$2),IF(L$2="","",IF(INDEX(IMPORT,$A123,L$2)=0,"",IFERROR(VLOOKUP(INDEX(IMPORT,$A123,L$2),ImportTranslation,2,0),INDEX(IMPORT,$A123,L$2)))),L$2)</f>
        <v>info</v>
      </c>
      <c r="M123" s="173" t="str">
        <f t="shared" si="27"/>
        <v/>
      </c>
      <c r="N123" s="173" t="str">
        <f t="shared" si="27"/>
        <v/>
      </c>
      <c r="O123" s="173" t="str">
        <f t="shared" si="27"/>
        <v/>
      </c>
      <c r="P123" s="174" t="str">
        <f t="shared" si="27"/>
        <v/>
      </c>
      <c r="Q123" s="174" t="str">
        <f t="shared" si="27"/>
        <v>x</v>
      </c>
      <c r="R123" s="174" t="str">
        <f t="shared" si="27"/>
        <v>BS</v>
      </c>
      <c r="S123" s="174" t="str">
        <f t="shared" si="27"/>
        <v>all</v>
      </c>
      <c r="T123" s="173" t="str">
        <f t="shared" si="27"/>
        <v/>
      </c>
      <c r="U123" s="173" t="str">
        <f t="shared" si="27"/>
        <v/>
      </c>
      <c r="V123" s="173" t="str">
        <f t="shared" si="27"/>
        <v/>
      </c>
      <c r="W123" s="173" t="str">
        <f t="shared" si="27"/>
        <v/>
      </c>
      <c r="X123" s="173" t="str">
        <f t="shared" si="27"/>
        <v/>
      </c>
      <c r="Y123" s="173" t="str">
        <f t="shared" si="27"/>
        <v/>
      </c>
    </row>
    <row r="124" spans="1:25" x14ac:dyDescent="0.3">
      <c r="A124" s="172">
        <f t="shared" si="15"/>
        <v>122</v>
      </c>
      <c r="B124" s="173" t="str">
        <f t="shared" si="26"/>
        <v/>
      </c>
      <c r="C124" s="173" t="str">
        <f t="shared" si="26"/>
        <v/>
      </c>
      <c r="D124" s="173" t="str">
        <f t="shared" si="26"/>
        <v/>
      </c>
      <c r="E124" s="173" t="str">
        <f t="shared" si="26"/>
        <v/>
      </c>
      <c r="F124" s="173" t="str">
        <f t="shared" si="26"/>
        <v/>
      </c>
      <c r="G124" s="173" t="str">
        <f t="shared" si="26"/>
        <v/>
      </c>
      <c r="H124" s="173" t="str">
        <f t="shared" si="26"/>
        <v/>
      </c>
      <c r="I124" s="173" t="str">
        <f t="shared" si="26"/>
        <v/>
      </c>
      <c r="J124" s="173" t="str">
        <f t="shared" si="26"/>
        <v/>
      </c>
      <c r="K124" s="173" t="str">
        <f t="shared" si="26"/>
        <v/>
      </c>
      <c r="L124" s="173" t="str">
        <f t="shared" si="27"/>
        <v>info</v>
      </c>
      <c r="M124" s="173" t="str">
        <f t="shared" si="27"/>
        <v/>
      </c>
      <c r="N124" s="173" t="str">
        <f t="shared" si="27"/>
        <v/>
      </c>
      <c r="O124" s="173" t="str">
        <f t="shared" si="27"/>
        <v/>
      </c>
      <c r="P124" s="174" t="str">
        <f t="shared" si="27"/>
        <v/>
      </c>
      <c r="Q124" s="174" t="str">
        <f t="shared" si="27"/>
        <v>x</v>
      </c>
      <c r="R124" s="174" t="str">
        <f t="shared" si="27"/>
        <v>BS</v>
      </c>
      <c r="S124" s="174" t="str">
        <f t="shared" si="27"/>
        <v>all</v>
      </c>
      <c r="T124" s="173" t="str">
        <f t="shared" si="27"/>
        <v/>
      </c>
      <c r="U124" s="173" t="str">
        <f t="shared" si="27"/>
        <v/>
      </c>
      <c r="V124" s="173" t="str">
        <f t="shared" si="27"/>
        <v/>
      </c>
      <c r="W124" s="173" t="str">
        <f t="shared" si="27"/>
        <v/>
      </c>
      <c r="X124" s="173" t="str">
        <f t="shared" si="27"/>
        <v/>
      </c>
      <c r="Y124" s="173" t="str">
        <f t="shared" si="27"/>
        <v/>
      </c>
    </row>
    <row r="125" spans="1:25" x14ac:dyDescent="0.3">
      <c r="A125" s="172">
        <f t="shared" si="15"/>
        <v>123</v>
      </c>
      <c r="B125" s="173" t="str">
        <f t="shared" si="26"/>
        <v/>
      </c>
      <c r="C125" s="173" t="str">
        <f t="shared" si="26"/>
        <v/>
      </c>
      <c r="D125" s="173" t="str">
        <f t="shared" si="26"/>
        <v/>
      </c>
      <c r="E125" s="173" t="str">
        <f t="shared" si="26"/>
        <v/>
      </c>
      <c r="F125" s="173" t="str">
        <f t="shared" si="26"/>
        <v/>
      </c>
      <c r="G125" s="173" t="str">
        <f t="shared" si="26"/>
        <v/>
      </c>
      <c r="H125" s="173" t="str">
        <f t="shared" si="26"/>
        <v/>
      </c>
      <c r="I125" s="173" t="str">
        <f t="shared" si="26"/>
        <v/>
      </c>
      <c r="J125" s="173" t="str">
        <f t="shared" si="26"/>
        <v/>
      </c>
      <c r="K125" s="173" t="str">
        <f t="shared" si="26"/>
        <v/>
      </c>
      <c r="L125" s="173" t="str">
        <f t="shared" si="27"/>
        <v>info</v>
      </c>
      <c r="M125" s="173" t="str">
        <f t="shared" si="27"/>
        <v/>
      </c>
      <c r="N125" s="173" t="str">
        <f t="shared" si="27"/>
        <v/>
      </c>
      <c r="O125" s="173" t="str">
        <f t="shared" si="27"/>
        <v/>
      </c>
      <c r="P125" s="174" t="str">
        <f t="shared" si="27"/>
        <v/>
      </c>
      <c r="Q125" s="174" t="str">
        <f t="shared" si="27"/>
        <v>x</v>
      </c>
      <c r="R125" s="174" t="str">
        <f t="shared" si="27"/>
        <v>BS</v>
      </c>
      <c r="S125" s="174" t="str">
        <f t="shared" si="27"/>
        <v>all</v>
      </c>
      <c r="T125" s="173" t="str">
        <f t="shared" si="27"/>
        <v/>
      </c>
      <c r="U125" s="173" t="str">
        <f t="shared" si="27"/>
        <v/>
      </c>
      <c r="V125" s="173" t="str">
        <f t="shared" si="27"/>
        <v/>
      </c>
      <c r="W125" s="173" t="str">
        <f t="shared" si="27"/>
        <v/>
      </c>
      <c r="X125" s="173" t="str">
        <f t="shared" si="27"/>
        <v/>
      </c>
      <c r="Y125" s="173" t="str">
        <f t="shared" si="27"/>
        <v/>
      </c>
    </row>
    <row r="126" spans="1:25" x14ac:dyDescent="0.3">
      <c r="A126" s="172">
        <f t="shared" si="15"/>
        <v>124</v>
      </c>
      <c r="B126" s="173" t="str">
        <f t="shared" si="26"/>
        <v/>
      </c>
      <c r="C126" s="173" t="str">
        <f t="shared" si="26"/>
        <v/>
      </c>
      <c r="D126" s="173" t="str">
        <f t="shared" si="26"/>
        <v/>
      </c>
      <c r="E126" s="173" t="str">
        <f t="shared" si="26"/>
        <v/>
      </c>
      <c r="F126" s="173" t="str">
        <f t="shared" si="26"/>
        <v/>
      </c>
      <c r="G126" s="173" t="str">
        <f t="shared" si="26"/>
        <v/>
      </c>
      <c r="H126" s="173" t="str">
        <f t="shared" si="26"/>
        <v/>
      </c>
      <c r="I126" s="173" t="str">
        <f t="shared" si="26"/>
        <v/>
      </c>
      <c r="J126" s="173" t="str">
        <f t="shared" si="26"/>
        <v/>
      </c>
      <c r="K126" s="173" t="str">
        <f t="shared" si="26"/>
        <v/>
      </c>
      <c r="L126" s="173" t="str">
        <f t="shared" si="27"/>
        <v>info</v>
      </c>
      <c r="M126" s="173" t="str">
        <f t="shared" si="27"/>
        <v/>
      </c>
      <c r="N126" s="173" t="str">
        <f t="shared" si="27"/>
        <v/>
      </c>
      <c r="O126" s="173" t="str">
        <f t="shared" si="27"/>
        <v/>
      </c>
      <c r="P126" s="174" t="str">
        <f t="shared" si="27"/>
        <v/>
      </c>
      <c r="Q126" s="174" t="str">
        <f t="shared" si="27"/>
        <v>x</v>
      </c>
      <c r="R126" s="174" t="str">
        <f t="shared" si="27"/>
        <v>BS</v>
      </c>
      <c r="S126" s="174" t="str">
        <f t="shared" si="27"/>
        <v>all</v>
      </c>
      <c r="T126" s="173" t="str">
        <f t="shared" si="27"/>
        <v/>
      </c>
      <c r="U126" s="173" t="str">
        <f t="shared" si="27"/>
        <v/>
      </c>
      <c r="V126" s="173" t="str">
        <f t="shared" si="27"/>
        <v/>
      </c>
      <c r="W126" s="173" t="str">
        <f t="shared" si="27"/>
        <v/>
      </c>
      <c r="X126" s="173" t="str">
        <f t="shared" si="27"/>
        <v/>
      </c>
      <c r="Y126" s="173" t="str">
        <f t="shared" si="27"/>
        <v/>
      </c>
    </row>
    <row r="127" spans="1:25" x14ac:dyDescent="0.3">
      <c r="A127" s="172">
        <f t="shared" si="15"/>
        <v>125</v>
      </c>
      <c r="B127" s="173" t="str">
        <f t="shared" si="26"/>
        <v/>
      </c>
      <c r="C127" s="173" t="str">
        <f t="shared" si="26"/>
        <v/>
      </c>
      <c r="D127" s="173" t="str">
        <f t="shared" si="26"/>
        <v/>
      </c>
      <c r="E127" s="173" t="str">
        <f t="shared" si="26"/>
        <v/>
      </c>
      <c r="F127" s="173" t="str">
        <f t="shared" si="26"/>
        <v/>
      </c>
      <c r="G127" s="173" t="str">
        <f t="shared" si="26"/>
        <v/>
      </c>
      <c r="H127" s="173" t="str">
        <f t="shared" si="26"/>
        <v/>
      </c>
      <c r="I127" s="173" t="str">
        <f t="shared" si="26"/>
        <v/>
      </c>
      <c r="J127" s="173" t="str">
        <f t="shared" si="26"/>
        <v/>
      </c>
      <c r="K127" s="173" t="str">
        <f t="shared" si="26"/>
        <v/>
      </c>
      <c r="L127" s="173" t="str">
        <f t="shared" si="27"/>
        <v>info</v>
      </c>
      <c r="M127" s="173" t="str">
        <f t="shared" si="27"/>
        <v/>
      </c>
      <c r="N127" s="173" t="str">
        <f t="shared" si="27"/>
        <v/>
      </c>
      <c r="O127" s="173" t="str">
        <f t="shared" si="27"/>
        <v/>
      </c>
      <c r="P127" s="174" t="str">
        <f t="shared" si="27"/>
        <v/>
      </c>
      <c r="Q127" s="174" t="str">
        <f t="shared" si="27"/>
        <v>x</v>
      </c>
      <c r="R127" s="174" t="str">
        <f t="shared" si="27"/>
        <v>BS</v>
      </c>
      <c r="S127" s="174" t="str">
        <f t="shared" si="27"/>
        <v>all</v>
      </c>
      <c r="T127" s="173" t="str">
        <f t="shared" si="27"/>
        <v/>
      </c>
      <c r="U127" s="173" t="str">
        <f t="shared" si="27"/>
        <v/>
      </c>
      <c r="V127" s="173" t="str">
        <f t="shared" si="27"/>
        <v/>
      </c>
      <c r="W127" s="173" t="str">
        <f t="shared" si="27"/>
        <v/>
      </c>
      <c r="X127" s="173" t="str">
        <f t="shared" si="27"/>
        <v/>
      </c>
      <c r="Y127" s="173" t="str">
        <f t="shared" si="27"/>
        <v/>
      </c>
    </row>
    <row r="128" spans="1:25" x14ac:dyDescent="0.3">
      <c r="A128" s="172">
        <f t="shared" si="15"/>
        <v>126</v>
      </c>
      <c r="B128" s="173" t="str">
        <f t="shared" si="26"/>
        <v/>
      </c>
      <c r="C128" s="173" t="str">
        <f t="shared" si="26"/>
        <v/>
      </c>
      <c r="D128" s="173" t="str">
        <f t="shared" si="26"/>
        <v/>
      </c>
      <c r="E128" s="173" t="str">
        <f t="shared" si="26"/>
        <v/>
      </c>
      <c r="F128" s="173" t="str">
        <f t="shared" si="26"/>
        <v/>
      </c>
      <c r="G128" s="173" t="str">
        <f t="shared" si="26"/>
        <v/>
      </c>
      <c r="H128" s="173" t="str">
        <f t="shared" si="26"/>
        <v/>
      </c>
      <c r="I128" s="173" t="str">
        <f t="shared" si="26"/>
        <v/>
      </c>
      <c r="J128" s="173" t="str">
        <f t="shared" si="26"/>
        <v/>
      </c>
      <c r="K128" s="173" t="str">
        <f t="shared" si="26"/>
        <v/>
      </c>
      <c r="L128" s="173" t="str">
        <f t="shared" si="27"/>
        <v>info</v>
      </c>
      <c r="M128" s="173" t="str">
        <f t="shared" si="27"/>
        <v/>
      </c>
      <c r="N128" s="173" t="str">
        <f t="shared" si="27"/>
        <v/>
      </c>
      <c r="O128" s="173" t="str">
        <f t="shared" si="27"/>
        <v/>
      </c>
      <c r="P128" s="174" t="str">
        <f t="shared" si="27"/>
        <v/>
      </c>
      <c r="Q128" s="174" t="str">
        <f t="shared" si="27"/>
        <v>x</v>
      </c>
      <c r="R128" s="174" t="str">
        <f t="shared" si="27"/>
        <v>BS</v>
      </c>
      <c r="S128" s="174" t="str">
        <f t="shared" si="27"/>
        <v>all</v>
      </c>
      <c r="T128" s="173" t="str">
        <f t="shared" si="27"/>
        <v/>
      </c>
      <c r="U128" s="173" t="str">
        <f t="shared" si="27"/>
        <v/>
      </c>
      <c r="V128" s="173" t="str">
        <f t="shared" si="27"/>
        <v/>
      </c>
      <c r="W128" s="173" t="str">
        <f t="shared" si="27"/>
        <v/>
      </c>
      <c r="X128" s="173" t="str">
        <f t="shared" si="27"/>
        <v/>
      </c>
      <c r="Y128" s="173" t="str">
        <f t="shared" si="27"/>
        <v/>
      </c>
    </row>
    <row r="129" spans="1:25" x14ac:dyDescent="0.3">
      <c r="A129" s="172">
        <f t="shared" si="15"/>
        <v>127</v>
      </c>
      <c r="B129" s="173" t="str">
        <f t="shared" si="26"/>
        <v/>
      </c>
      <c r="C129" s="173" t="str">
        <f t="shared" si="26"/>
        <v/>
      </c>
      <c r="D129" s="173" t="str">
        <f t="shared" si="26"/>
        <v/>
      </c>
      <c r="E129" s="173" t="str">
        <f t="shared" si="26"/>
        <v/>
      </c>
      <c r="F129" s="173" t="str">
        <f t="shared" si="26"/>
        <v/>
      </c>
      <c r="G129" s="173" t="str">
        <f t="shared" si="26"/>
        <v/>
      </c>
      <c r="H129" s="173" t="str">
        <f t="shared" si="26"/>
        <v/>
      </c>
      <c r="I129" s="173" t="str">
        <f t="shared" si="26"/>
        <v/>
      </c>
      <c r="J129" s="173" t="str">
        <f t="shared" si="26"/>
        <v/>
      </c>
      <c r="K129" s="173" t="str">
        <f t="shared" si="26"/>
        <v/>
      </c>
      <c r="L129" s="173" t="str">
        <f t="shared" si="27"/>
        <v>info</v>
      </c>
      <c r="M129" s="173" t="str">
        <f t="shared" si="27"/>
        <v/>
      </c>
      <c r="N129" s="173" t="str">
        <f t="shared" si="27"/>
        <v/>
      </c>
      <c r="O129" s="173" t="str">
        <f t="shared" si="27"/>
        <v/>
      </c>
      <c r="P129" s="174" t="str">
        <f t="shared" si="27"/>
        <v/>
      </c>
      <c r="Q129" s="174" t="str">
        <f t="shared" si="27"/>
        <v>x</v>
      </c>
      <c r="R129" s="174" t="str">
        <f t="shared" si="27"/>
        <v>BS</v>
      </c>
      <c r="S129" s="174" t="str">
        <f t="shared" si="27"/>
        <v>all</v>
      </c>
      <c r="T129" s="173" t="str">
        <f t="shared" si="27"/>
        <v/>
      </c>
      <c r="U129" s="173" t="str">
        <f t="shared" si="27"/>
        <v/>
      </c>
      <c r="V129" s="173" t="str">
        <f t="shared" si="27"/>
        <v/>
      </c>
      <c r="W129" s="173" t="str">
        <f t="shared" si="27"/>
        <v/>
      </c>
      <c r="X129" s="173" t="str">
        <f t="shared" si="27"/>
        <v/>
      </c>
      <c r="Y129" s="173" t="str">
        <f t="shared" si="27"/>
        <v/>
      </c>
    </row>
    <row r="130" spans="1:25" x14ac:dyDescent="0.3">
      <c r="A130" s="172">
        <f t="shared" si="15"/>
        <v>128</v>
      </c>
      <c r="B130" s="173" t="str">
        <f t="shared" si="26"/>
        <v/>
      </c>
      <c r="C130" s="173" t="str">
        <f t="shared" si="26"/>
        <v/>
      </c>
      <c r="D130" s="173" t="str">
        <f t="shared" si="26"/>
        <v/>
      </c>
      <c r="E130" s="173" t="str">
        <f t="shared" si="26"/>
        <v/>
      </c>
      <c r="F130" s="173" t="str">
        <f t="shared" si="26"/>
        <v/>
      </c>
      <c r="G130" s="173" t="str">
        <f t="shared" si="26"/>
        <v/>
      </c>
      <c r="H130" s="173" t="str">
        <f t="shared" si="26"/>
        <v/>
      </c>
      <c r="I130" s="173" t="str">
        <f t="shared" si="26"/>
        <v/>
      </c>
      <c r="J130" s="173" t="str">
        <f t="shared" si="26"/>
        <v/>
      </c>
      <c r="K130" s="173" t="str">
        <f t="shared" si="26"/>
        <v/>
      </c>
      <c r="L130" s="173" t="str">
        <f t="shared" si="27"/>
        <v>info</v>
      </c>
      <c r="M130" s="173" t="str">
        <f t="shared" si="27"/>
        <v/>
      </c>
      <c r="N130" s="173" t="str">
        <f t="shared" si="27"/>
        <v/>
      </c>
      <c r="O130" s="173" t="str">
        <f t="shared" si="27"/>
        <v/>
      </c>
      <c r="P130" s="174" t="str">
        <f t="shared" si="27"/>
        <v/>
      </c>
      <c r="Q130" s="174" t="str">
        <f t="shared" si="27"/>
        <v>x</v>
      </c>
      <c r="R130" s="174" t="str">
        <f t="shared" si="27"/>
        <v>BS</v>
      </c>
      <c r="S130" s="174" t="str">
        <f t="shared" si="27"/>
        <v>all</v>
      </c>
      <c r="T130" s="173" t="str">
        <f t="shared" si="27"/>
        <v/>
      </c>
      <c r="U130" s="173" t="str">
        <f t="shared" si="27"/>
        <v/>
      </c>
      <c r="V130" s="173" t="str">
        <f t="shared" si="27"/>
        <v/>
      </c>
      <c r="W130" s="173" t="str">
        <f t="shared" si="27"/>
        <v/>
      </c>
      <c r="X130" s="173" t="str">
        <f t="shared" si="27"/>
        <v/>
      </c>
      <c r="Y130" s="173" t="str">
        <f t="shared" si="27"/>
        <v/>
      </c>
    </row>
    <row r="131" spans="1:25" x14ac:dyDescent="0.3">
      <c r="A131" s="172">
        <f t="shared" ref="A131:A194" si="28">ROW()-ROW($A$2)</f>
        <v>129</v>
      </c>
      <c r="B131" s="173" t="str">
        <f t="shared" si="26"/>
        <v/>
      </c>
      <c r="C131" s="173" t="str">
        <f t="shared" si="26"/>
        <v/>
      </c>
      <c r="D131" s="173" t="str">
        <f t="shared" si="26"/>
        <v/>
      </c>
      <c r="E131" s="173" t="str">
        <f t="shared" si="26"/>
        <v/>
      </c>
      <c r="F131" s="173" t="str">
        <f t="shared" si="26"/>
        <v/>
      </c>
      <c r="G131" s="173" t="str">
        <f t="shared" si="26"/>
        <v/>
      </c>
      <c r="H131" s="173" t="str">
        <f t="shared" si="26"/>
        <v/>
      </c>
      <c r="I131" s="173" t="str">
        <f t="shared" si="26"/>
        <v/>
      </c>
      <c r="J131" s="173" t="str">
        <f t="shared" si="26"/>
        <v/>
      </c>
      <c r="K131" s="173" t="str">
        <f t="shared" si="26"/>
        <v/>
      </c>
      <c r="L131" s="173" t="str">
        <f t="shared" si="27"/>
        <v>info</v>
      </c>
      <c r="M131" s="173" t="str">
        <f t="shared" si="27"/>
        <v/>
      </c>
      <c r="N131" s="173" t="str">
        <f t="shared" si="27"/>
        <v/>
      </c>
      <c r="O131" s="173" t="str">
        <f t="shared" si="27"/>
        <v/>
      </c>
      <c r="P131" s="174" t="str">
        <f t="shared" si="27"/>
        <v/>
      </c>
      <c r="Q131" s="174" t="str">
        <f t="shared" si="27"/>
        <v>x</v>
      </c>
      <c r="R131" s="174" t="str">
        <f t="shared" si="27"/>
        <v>BS</v>
      </c>
      <c r="S131" s="174" t="str">
        <f t="shared" si="27"/>
        <v>all</v>
      </c>
      <c r="T131" s="173" t="str">
        <f t="shared" si="27"/>
        <v/>
      </c>
      <c r="U131" s="173" t="str">
        <f t="shared" si="27"/>
        <v/>
      </c>
      <c r="V131" s="173" t="str">
        <f t="shared" si="27"/>
        <v/>
      </c>
      <c r="W131" s="173" t="str">
        <f t="shared" si="27"/>
        <v/>
      </c>
      <c r="X131" s="173" t="str">
        <f t="shared" si="27"/>
        <v/>
      </c>
      <c r="Y131" s="173" t="str">
        <f t="shared" si="27"/>
        <v/>
      </c>
    </row>
    <row r="132" spans="1:25" x14ac:dyDescent="0.3">
      <c r="A132" s="172">
        <f t="shared" si="28"/>
        <v>130</v>
      </c>
      <c r="B132" s="173" t="str">
        <f t="shared" si="26"/>
        <v/>
      </c>
      <c r="C132" s="173" t="str">
        <f t="shared" si="26"/>
        <v/>
      </c>
      <c r="D132" s="173" t="str">
        <f t="shared" si="26"/>
        <v/>
      </c>
      <c r="E132" s="173" t="str">
        <f t="shared" si="26"/>
        <v/>
      </c>
      <c r="F132" s="173" t="str">
        <f t="shared" si="26"/>
        <v/>
      </c>
      <c r="G132" s="173" t="str">
        <f t="shared" si="26"/>
        <v/>
      </c>
      <c r="H132" s="173" t="str">
        <f t="shared" si="26"/>
        <v/>
      </c>
      <c r="I132" s="173" t="str">
        <f t="shared" si="26"/>
        <v/>
      </c>
      <c r="J132" s="173" t="str">
        <f t="shared" si="26"/>
        <v/>
      </c>
      <c r="K132" s="173" t="str">
        <f t="shared" si="26"/>
        <v/>
      </c>
      <c r="L132" s="173" t="str">
        <f t="shared" si="27"/>
        <v>info</v>
      </c>
      <c r="M132" s="173" t="str">
        <f t="shared" si="27"/>
        <v/>
      </c>
      <c r="N132" s="173" t="str">
        <f t="shared" si="27"/>
        <v/>
      </c>
      <c r="O132" s="173" t="str">
        <f t="shared" si="27"/>
        <v/>
      </c>
      <c r="P132" s="174" t="str">
        <f t="shared" si="27"/>
        <v/>
      </c>
      <c r="Q132" s="174" t="str">
        <f t="shared" si="27"/>
        <v>x</v>
      </c>
      <c r="R132" s="174" t="str">
        <f t="shared" si="27"/>
        <v>BS</v>
      </c>
      <c r="S132" s="174" t="str">
        <f t="shared" si="27"/>
        <v>all</v>
      </c>
      <c r="T132" s="173" t="str">
        <f t="shared" si="27"/>
        <v/>
      </c>
      <c r="U132" s="173" t="str">
        <f t="shared" si="27"/>
        <v/>
      </c>
      <c r="V132" s="173" t="str">
        <f t="shared" si="27"/>
        <v/>
      </c>
      <c r="W132" s="173" t="str">
        <f t="shared" si="27"/>
        <v/>
      </c>
      <c r="X132" s="173" t="str">
        <f t="shared" si="27"/>
        <v/>
      </c>
      <c r="Y132" s="173" t="str">
        <f t="shared" si="27"/>
        <v/>
      </c>
    </row>
    <row r="133" spans="1:25" x14ac:dyDescent="0.3">
      <c r="A133" s="172">
        <f t="shared" si="28"/>
        <v>131</v>
      </c>
      <c r="B133" s="173" t="str">
        <f t="shared" ref="B133:K142" si="29">IF(ISNONTEXT(B$2),IF(B$2="","",IF(INDEX(IMPORT,$A133,B$2)=0,"",IFERROR(VLOOKUP(INDEX(IMPORT,$A133,B$2),ImportTranslation,2,0),INDEX(IMPORT,$A133,B$2)))),B$2)</f>
        <v/>
      </c>
      <c r="C133" s="173" t="str">
        <f t="shared" si="29"/>
        <v/>
      </c>
      <c r="D133" s="173" t="str">
        <f t="shared" si="29"/>
        <v/>
      </c>
      <c r="E133" s="173" t="str">
        <f t="shared" si="29"/>
        <v/>
      </c>
      <c r="F133" s="173" t="str">
        <f t="shared" si="29"/>
        <v/>
      </c>
      <c r="G133" s="173" t="str">
        <f t="shared" si="29"/>
        <v/>
      </c>
      <c r="H133" s="173" t="str">
        <f t="shared" si="29"/>
        <v/>
      </c>
      <c r="I133" s="173" t="str">
        <f t="shared" si="29"/>
        <v/>
      </c>
      <c r="J133" s="173" t="str">
        <f t="shared" si="29"/>
        <v/>
      </c>
      <c r="K133" s="173" t="str">
        <f t="shared" si="29"/>
        <v/>
      </c>
      <c r="L133" s="173" t="str">
        <f t="shared" ref="L133:Y142" si="30">IF(ISNONTEXT(L$2),IF(L$2="","",IF(INDEX(IMPORT,$A133,L$2)=0,"",IFERROR(VLOOKUP(INDEX(IMPORT,$A133,L$2),ImportTranslation,2,0),INDEX(IMPORT,$A133,L$2)))),L$2)</f>
        <v>info</v>
      </c>
      <c r="M133" s="173" t="str">
        <f t="shared" si="30"/>
        <v/>
      </c>
      <c r="N133" s="173" t="str">
        <f t="shared" si="30"/>
        <v/>
      </c>
      <c r="O133" s="173" t="str">
        <f t="shared" si="30"/>
        <v/>
      </c>
      <c r="P133" s="174" t="str">
        <f t="shared" si="30"/>
        <v/>
      </c>
      <c r="Q133" s="174" t="str">
        <f t="shared" si="30"/>
        <v>x</v>
      </c>
      <c r="R133" s="174" t="str">
        <f t="shared" si="30"/>
        <v>BS</v>
      </c>
      <c r="S133" s="174" t="str">
        <f t="shared" si="30"/>
        <v>all</v>
      </c>
      <c r="T133" s="173" t="str">
        <f t="shared" si="30"/>
        <v/>
      </c>
      <c r="U133" s="173" t="str">
        <f t="shared" si="30"/>
        <v/>
      </c>
      <c r="V133" s="173" t="str">
        <f t="shared" si="30"/>
        <v/>
      </c>
      <c r="W133" s="173" t="str">
        <f t="shared" si="30"/>
        <v/>
      </c>
      <c r="X133" s="173" t="str">
        <f t="shared" si="30"/>
        <v/>
      </c>
      <c r="Y133" s="173" t="str">
        <f t="shared" si="30"/>
        <v/>
      </c>
    </row>
    <row r="134" spans="1:25" x14ac:dyDescent="0.3">
      <c r="A134" s="172">
        <f t="shared" si="28"/>
        <v>132</v>
      </c>
      <c r="B134" s="173" t="str">
        <f t="shared" si="29"/>
        <v/>
      </c>
      <c r="C134" s="173" t="str">
        <f t="shared" si="29"/>
        <v/>
      </c>
      <c r="D134" s="173" t="str">
        <f t="shared" si="29"/>
        <v/>
      </c>
      <c r="E134" s="173" t="str">
        <f t="shared" si="29"/>
        <v/>
      </c>
      <c r="F134" s="173" t="str">
        <f t="shared" si="29"/>
        <v/>
      </c>
      <c r="G134" s="173" t="str">
        <f t="shared" si="29"/>
        <v/>
      </c>
      <c r="H134" s="173" t="str">
        <f t="shared" si="29"/>
        <v/>
      </c>
      <c r="I134" s="173" t="str">
        <f t="shared" si="29"/>
        <v/>
      </c>
      <c r="J134" s="173" t="str">
        <f t="shared" si="29"/>
        <v/>
      </c>
      <c r="K134" s="173" t="str">
        <f t="shared" si="29"/>
        <v/>
      </c>
      <c r="L134" s="173" t="str">
        <f t="shared" si="30"/>
        <v>info</v>
      </c>
      <c r="M134" s="173" t="str">
        <f t="shared" si="30"/>
        <v/>
      </c>
      <c r="N134" s="173" t="str">
        <f t="shared" si="30"/>
        <v/>
      </c>
      <c r="O134" s="173" t="str">
        <f t="shared" si="30"/>
        <v/>
      </c>
      <c r="P134" s="174" t="str">
        <f t="shared" si="30"/>
        <v/>
      </c>
      <c r="Q134" s="174" t="str">
        <f t="shared" si="30"/>
        <v>x</v>
      </c>
      <c r="R134" s="174" t="str">
        <f t="shared" si="30"/>
        <v>BS</v>
      </c>
      <c r="S134" s="174" t="str">
        <f t="shared" si="30"/>
        <v>all</v>
      </c>
      <c r="T134" s="173" t="str">
        <f t="shared" si="30"/>
        <v/>
      </c>
      <c r="U134" s="173" t="str">
        <f t="shared" si="30"/>
        <v/>
      </c>
      <c r="V134" s="173" t="str">
        <f t="shared" si="30"/>
        <v/>
      </c>
      <c r="W134" s="173" t="str">
        <f t="shared" si="30"/>
        <v/>
      </c>
      <c r="X134" s="173" t="str">
        <f t="shared" si="30"/>
        <v/>
      </c>
      <c r="Y134" s="173" t="str">
        <f t="shared" si="30"/>
        <v/>
      </c>
    </row>
    <row r="135" spans="1:25" x14ac:dyDescent="0.3">
      <c r="A135" s="172">
        <f t="shared" si="28"/>
        <v>133</v>
      </c>
      <c r="B135" s="173" t="str">
        <f t="shared" si="29"/>
        <v/>
      </c>
      <c r="C135" s="173" t="str">
        <f t="shared" si="29"/>
        <v/>
      </c>
      <c r="D135" s="173" t="str">
        <f t="shared" si="29"/>
        <v/>
      </c>
      <c r="E135" s="173" t="str">
        <f t="shared" si="29"/>
        <v/>
      </c>
      <c r="F135" s="173" t="str">
        <f t="shared" si="29"/>
        <v/>
      </c>
      <c r="G135" s="173" t="str">
        <f t="shared" si="29"/>
        <v/>
      </c>
      <c r="H135" s="173" t="str">
        <f t="shared" si="29"/>
        <v/>
      </c>
      <c r="I135" s="173" t="str">
        <f t="shared" si="29"/>
        <v/>
      </c>
      <c r="J135" s="173" t="str">
        <f t="shared" si="29"/>
        <v/>
      </c>
      <c r="K135" s="173" t="str">
        <f t="shared" si="29"/>
        <v/>
      </c>
      <c r="L135" s="173" t="str">
        <f t="shared" si="30"/>
        <v>info</v>
      </c>
      <c r="M135" s="173" t="str">
        <f t="shared" si="30"/>
        <v/>
      </c>
      <c r="N135" s="173" t="str">
        <f t="shared" si="30"/>
        <v/>
      </c>
      <c r="O135" s="173" t="str">
        <f t="shared" si="30"/>
        <v/>
      </c>
      <c r="P135" s="174" t="str">
        <f t="shared" si="30"/>
        <v/>
      </c>
      <c r="Q135" s="174" t="str">
        <f t="shared" si="30"/>
        <v>x</v>
      </c>
      <c r="R135" s="174" t="str">
        <f t="shared" si="30"/>
        <v>BS</v>
      </c>
      <c r="S135" s="174" t="str">
        <f t="shared" si="30"/>
        <v>all</v>
      </c>
      <c r="T135" s="173" t="str">
        <f t="shared" si="30"/>
        <v/>
      </c>
      <c r="U135" s="173" t="str">
        <f t="shared" si="30"/>
        <v/>
      </c>
      <c r="V135" s="173" t="str">
        <f t="shared" si="30"/>
        <v/>
      </c>
      <c r="W135" s="173" t="str">
        <f t="shared" si="30"/>
        <v/>
      </c>
      <c r="X135" s="173" t="str">
        <f t="shared" si="30"/>
        <v/>
      </c>
      <c r="Y135" s="173" t="str">
        <f t="shared" si="30"/>
        <v/>
      </c>
    </row>
    <row r="136" spans="1:25" x14ac:dyDescent="0.3">
      <c r="A136" s="172">
        <f t="shared" si="28"/>
        <v>134</v>
      </c>
      <c r="B136" s="173" t="str">
        <f t="shared" si="29"/>
        <v/>
      </c>
      <c r="C136" s="173" t="str">
        <f t="shared" si="29"/>
        <v/>
      </c>
      <c r="D136" s="173" t="str">
        <f t="shared" si="29"/>
        <v/>
      </c>
      <c r="E136" s="173" t="str">
        <f t="shared" si="29"/>
        <v/>
      </c>
      <c r="F136" s="173" t="str">
        <f t="shared" si="29"/>
        <v/>
      </c>
      <c r="G136" s="173" t="str">
        <f t="shared" si="29"/>
        <v/>
      </c>
      <c r="H136" s="173" t="str">
        <f t="shared" si="29"/>
        <v/>
      </c>
      <c r="I136" s="173" t="str">
        <f t="shared" si="29"/>
        <v/>
      </c>
      <c r="J136" s="173" t="str">
        <f t="shared" si="29"/>
        <v/>
      </c>
      <c r="K136" s="173" t="str">
        <f t="shared" si="29"/>
        <v/>
      </c>
      <c r="L136" s="173" t="str">
        <f t="shared" si="30"/>
        <v>info</v>
      </c>
      <c r="M136" s="173" t="str">
        <f t="shared" si="30"/>
        <v/>
      </c>
      <c r="N136" s="173" t="str">
        <f t="shared" si="30"/>
        <v/>
      </c>
      <c r="O136" s="173" t="str">
        <f t="shared" si="30"/>
        <v/>
      </c>
      <c r="P136" s="174" t="str">
        <f t="shared" si="30"/>
        <v/>
      </c>
      <c r="Q136" s="174" t="str">
        <f t="shared" si="30"/>
        <v>x</v>
      </c>
      <c r="R136" s="174" t="str">
        <f t="shared" si="30"/>
        <v>BS</v>
      </c>
      <c r="S136" s="174" t="str">
        <f t="shared" si="30"/>
        <v>all</v>
      </c>
      <c r="T136" s="173" t="str">
        <f t="shared" si="30"/>
        <v/>
      </c>
      <c r="U136" s="173" t="str">
        <f t="shared" si="30"/>
        <v/>
      </c>
      <c r="V136" s="173" t="str">
        <f t="shared" si="30"/>
        <v/>
      </c>
      <c r="W136" s="173" t="str">
        <f t="shared" si="30"/>
        <v/>
      </c>
      <c r="X136" s="173" t="str">
        <f t="shared" si="30"/>
        <v/>
      </c>
      <c r="Y136" s="173" t="str">
        <f t="shared" si="30"/>
        <v/>
      </c>
    </row>
    <row r="137" spans="1:25" x14ac:dyDescent="0.3">
      <c r="A137" s="172">
        <f t="shared" si="28"/>
        <v>135</v>
      </c>
      <c r="B137" s="173" t="str">
        <f t="shared" si="29"/>
        <v/>
      </c>
      <c r="C137" s="173" t="str">
        <f t="shared" si="29"/>
        <v/>
      </c>
      <c r="D137" s="173" t="str">
        <f t="shared" si="29"/>
        <v/>
      </c>
      <c r="E137" s="173" t="str">
        <f t="shared" si="29"/>
        <v/>
      </c>
      <c r="F137" s="173" t="str">
        <f t="shared" si="29"/>
        <v/>
      </c>
      <c r="G137" s="173" t="str">
        <f t="shared" si="29"/>
        <v/>
      </c>
      <c r="H137" s="173" t="str">
        <f t="shared" si="29"/>
        <v/>
      </c>
      <c r="I137" s="173" t="str">
        <f t="shared" si="29"/>
        <v/>
      </c>
      <c r="J137" s="173" t="str">
        <f t="shared" si="29"/>
        <v/>
      </c>
      <c r="K137" s="173" t="str">
        <f t="shared" si="29"/>
        <v/>
      </c>
      <c r="L137" s="173" t="str">
        <f t="shared" si="30"/>
        <v>info</v>
      </c>
      <c r="M137" s="173" t="str">
        <f t="shared" si="30"/>
        <v/>
      </c>
      <c r="N137" s="173" t="str">
        <f t="shared" si="30"/>
        <v/>
      </c>
      <c r="O137" s="173" t="str">
        <f t="shared" si="30"/>
        <v/>
      </c>
      <c r="P137" s="174" t="str">
        <f t="shared" si="30"/>
        <v/>
      </c>
      <c r="Q137" s="174" t="str">
        <f t="shared" si="30"/>
        <v>x</v>
      </c>
      <c r="R137" s="174" t="str">
        <f t="shared" si="30"/>
        <v>BS</v>
      </c>
      <c r="S137" s="174" t="str">
        <f t="shared" si="30"/>
        <v>all</v>
      </c>
      <c r="T137" s="173" t="str">
        <f t="shared" si="30"/>
        <v/>
      </c>
      <c r="U137" s="173" t="str">
        <f t="shared" si="30"/>
        <v/>
      </c>
      <c r="V137" s="173" t="str">
        <f t="shared" si="30"/>
        <v/>
      </c>
      <c r="W137" s="173" t="str">
        <f t="shared" si="30"/>
        <v/>
      </c>
      <c r="X137" s="173" t="str">
        <f t="shared" si="30"/>
        <v/>
      </c>
      <c r="Y137" s="173" t="str">
        <f t="shared" si="30"/>
        <v/>
      </c>
    </row>
    <row r="138" spans="1:25" x14ac:dyDescent="0.3">
      <c r="A138" s="172">
        <f t="shared" si="28"/>
        <v>136</v>
      </c>
      <c r="B138" s="173" t="str">
        <f t="shared" si="29"/>
        <v/>
      </c>
      <c r="C138" s="173" t="str">
        <f t="shared" si="29"/>
        <v/>
      </c>
      <c r="D138" s="173" t="str">
        <f t="shared" si="29"/>
        <v/>
      </c>
      <c r="E138" s="173" t="str">
        <f t="shared" si="29"/>
        <v/>
      </c>
      <c r="F138" s="173" t="str">
        <f t="shared" si="29"/>
        <v/>
      </c>
      <c r="G138" s="173" t="str">
        <f t="shared" si="29"/>
        <v/>
      </c>
      <c r="H138" s="173" t="str">
        <f t="shared" si="29"/>
        <v/>
      </c>
      <c r="I138" s="173" t="str">
        <f t="shared" si="29"/>
        <v/>
      </c>
      <c r="J138" s="173" t="str">
        <f t="shared" si="29"/>
        <v/>
      </c>
      <c r="K138" s="173" t="str">
        <f t="shared" si="29"/>
        <v/>
      </c>
      <c r="L138" s="173" t="str">
        <f t="shared" si="30"/>
        <v>info</v>
      </c>
      <c r="M138" s="173" t="str">
        <f t="shared" si="30"/>
        <v/>
      </c>
      <c r="N138" s="173" t="str">
        <f t="shared" si="30"/>
        <v/>
      </c>
      <c r="O138" s="173" t="str">
        <f t="shared" si="30"/>
        <v/>
      </c>
      <c r="P138" s="174" t="str">
        <f t="shared" si="30"/>
        <v/>
      </c>
      <c r="Q138" s="174" t="str">
        <f t="shared" si="30"/>
        <v>x</v>
      </c>
      <c r="R138" s="174" t="str">
        <f t="shared" si="30"/>
        <v>BS</v>
      </c>
      <c r="S138" s="174" t="str">
        <f t="shared" si="30"/>
        <v>all</v>
      </c>
      <c r="T138" s="173" t="str">
        <f t="shared" si="30"/>
        <v/>
      </c>
      <c r="U138" s="173" t="str">
        <f t="shared" si="30"/>
        <v/>
      </c>
      <c r="V138" s="173" t="str">
        <f t="shared" si="30"/>
        <v/>
      </c>
      <c r="W138" s="173" t="str">
        <f t="shared" si="30"/>
        <v/>
      </c>
      <c r="X138" s="173" t="str">
        <f t="shared" si="30"/>
        <v/>
      </c>
      <c r="Y138" s="173" t="str">
        <f t="shared" si="30"/>
        <v/>
      </c>
    </row>
    <row r="139" spans="1:25" x14ac:dyDescent="0.3">
      <c r="A139" s="172">
        <f t="shared" si="28"/>
        <v>137</v>
      </c>
      <c r="B139" s="173" t="str">
        <f t="shared" si="29"/>
        <v/>
      </c>
      <c r="C139" s="173" t="str">
        <f t="shared" si="29"/>
        <v/>
      </c>
      <c r="D139" s="173" t="str">
        <f t="shared" si="29"/>
        <v/>
      </c>
      <c r="E139" s="173" t="str">
        <f t="shared" si="29"/>
        <v/>
      </c>
      <c r="F139" s="173" t="str">
        <f t="shared" si="29"/>
        <v/>
      </c>
      <c r="G139" s="173" t="str">
        <f t="shared" si="29"/>
        <v/>
      </c>
      <c r="H139" s="173" t="str">
        <f t="shared" si="29"/>
        <v/>
      </c>
      <c r="I139" s="173" t="str">
        <f t="shared" si="29"/>
        <v/>
      </c>
      <c r="J139" s="173" t="str">
        <f t="shared" si="29"/>
        <v/>
      </c>
      <c r="K139" s="173" t="str">
        <f t="shared" si="29"/>
        <v/>
      </c>
      <c r="L139" s="173" t="str">
        <f t="shared" si="30"/>
        <v>info</v>
      </c>
      <c r="M139" s="173" t="str">
        <f t="shared" si="30"/>
        <v/>
      </c>
      <c r="N139" s="173" t="str">
        <f t="shared" si="30"/>
        <v/>
      </c>
      <c r="O139" s="173" t="str">
        <f t="shared" si="30"/>
        <v/>
      </c>
      <c r="P139" s="174" t="str">
        <f t="shared" si="30"/>
        <v/>
      </c>
      <c r="Q139" s="174" t="str">
        <f t="shared" si="30"/>
        <v>x</v>
      </c>
      <c r="R139" s="174" t="str">
        <f t="shared" si="30"/>
        <v>BS</v>
      </c>
      <c r="S139" s="174" t="str">
        <f t="shared" si="30"/>
        <v>all</v>
      </c>
      <c r="T139" s="173" t="str">
        <f t="shared" si="30"/>
        <v/>
      </c>
      <c r="U139" s="173" t="str">
        <f t="shared" si="30"/>
        <v/>
      </c>
      <c r="V139" s="173" t="str">
        <f t="shared" si="30"/>
        <v/>
      </c>
      <c r="W139" s="173" t="str">
        <f t="shared" si="30"/>
        <v/>
      </c>
      <c r="X139" s="173" t="str">
        <f t="shared" si="30"/>
        <v/>
      </c>
      <c r="Y139" s="173" t="str">
        <f t="shared" si="30"/>
        <v/>
      </c>
    </row>
    <row r="140" spans="1:25" x14ac:dyDescent="0.3">
      <c r="A140" s="172">
        <f t="shared" si="28"/>
        <v>138</v>
      </c>
      <c r="B140" s="173" t="str">
        <f t="shared" si="29"/>
        <v/>
      </c>
      <c r="C140" s="173" t="str">
        <f t="shared" si="29"/>
        <v/>
      </c>
      <c r="D140" s="173" t="str">
        <f t="shared" si="29"/>
        <v/>
      </c>
      <c r="E140" s="173" t="str">
        <f t="shared" si="29"/>
        <v/>
      </c>
      <c r="F140" s="173" t="str">
        <f t="shared" si="29"/>
        <v/>
      </c>
      <c r="G140" s="173" t="str">
        <f t="shared" si="29"/>
        <v/>
      </c>
      <c r="H140" s="173" t="str">
        <f t="shared" si="29"/>
        <v/>
      </c>
      <c r="I140" s="173" t="str">
        <f t="shared" si="29"/>
        <v/>
      </c>
      <c r="J140" s="173" t="str">
        <f t="shared" si="29"/>
        <v/>
      </c>
      <c r="K140" s="173" t="str">
        <f t="shared" si="29"/>
        <v/>
      </c>
      <c r="L140" s="173" t="str">
        <f t="shared" si="30"/>
        <v>info</v>
      </c>
      <c r="M140" s="173" t="str">
        <f t="shared" si="30"/>
        <v/>
      </c>
      <c r="N140" s="173" t="str">
        <f t="shared" si="30"/>
        <v/>
      </c>
      <c r="O140" s="173" t="str">
        <f t="shared" si="30"/>
        <v/>
      </c>
      <c r="P140" s="174" t="str">
        <f t="shared" si="30"/>
        <v/>
      </c>
      <c r="Q140" s="174" t="str">
        <f t="shared" si="30"/>
        <v>x</v>
      </c>
      <c r="R140" s="174" t="str">
        <f t="shared" si="30"/>
        <v>BS</v>
      </c>
      <c r="S140" s="174" t="str">
        <f t="shared" si="30"/>
        <v>all</v>
      </c>
      <c r="T140" s="173" t="str">
        <f t="shared" si="30"/>
        <v/>
      </c>
      <c r="U140" s="173" t="str">
        <f t="shared" si="30"/>
        <v/>
      </c>
      <c r="V140" s="173" t="str">
        <f t="shared" si="30"/>
        <v/>
      </c>
      <c r="W140" s="173" t="str">
        <f t="shared" si="30"/>
        <v/>
      </c>
      <c r="X140" s="173" t="str">
        <f t="shared" si="30"/>
        <v/>
      </c>
      <c r="Y140" s="173" t="str">
        <f t="shared" si="30"/>
        <v/>
      </c>
    </row>
    <row r="141" spans="1:25" x14ac:dyDescent="0.3">
      <c r="A141" s="172">
        <f t="shared" si="28"/>
        <v>139</v>
      </c>
      <c r="B141" s="173" t="str">
        <f t="shared" si="29"/>
        <v/>
      </c>
      <c r="C141" s="173" t="str">
        <f t="shared" si="29"/>
        <v/>
      </c>
      <c r="D141" s="173" t="str">
        <f t="shared" si="29"/>
        <v/>
      </c>
      <c r="E141" s="173" t="str">
        <f t="shared" si="29"/>
        <v/>
      </c>
      <c r="F141" s="173" t="str">
        <f t="shared" si="29"/>
        <v/>
      </c>
      <c r="G141" s="173" t="str">
        <f t="shared" si="29"/>
        <v/>
      </c>
      <c r="H141" s="173" t="str">
        <f t="shared" si="29"/>
        <v/>
      </c>
      <c r="I141" s="173" t="str">
        <f t="shared" si="29"/>
        <v/>
      </c>
      <c r="J141" s="173" t="str">
        <f t="shared" si="29"/>
        <v/>
      </c>
      <c r="K141" s="173" t="str">
        <f t="shared" si="29"/>
        <v/>
      </c>
      <c r="L141" s="173" t="str">
        <f t="shared" si="30"/>
        <v>info</v>
      </c>
      <c r="M141" s="173" t="str">
        <f t="shared" si="30"/>
        <v/>
      </c>
      <c r="N141" s="173" t="str">
        <f t="shared" si="30"/>
        <v/>
      </c>
      <c r="O141" s="173" t="str">
        <f t="shared" si="30"/>
        <v/>
      </c>
      <c r="P141" s="174" t="str">
        <f t="shared" si="30"/>
        <v/>
      </c>
      <c r="Q141" s="174" t="str">
        <f t="shared" si="30"/>
        <v>x</v>
      </c>
      <c r="R141" s="174" t="str">
        <f t="shared" si="30"/>
        <v>BS</v>
      </c>
      <c r="S141" s="174" t="str">
        <f t="shared" si="30"/>
        <v>all</v>
      </c>
      <c r="T141" s="173" t="str">
        <f t="shared" si="30"/>
        <v/>
      </c>
      <c r="U141" s="173" t="str">
        <f t="shared" si="30"/>
        <v/>
      </c>
      <c r="V141" s="173" t="str">
        <f t="shared" si="30"/>
        <v/>
      </c>
      <c r="W141" s="173" t="str">
        <f t="shared" si="30"/>
        <v/>
      </c>
      <c r="X141" s="173" t="str">
        <f t="shared" si="30"/>
        <v/>
      </c>
      <c r="Y141" s="173" t="str">
        <f t="shared" si="30"/>
        <v/>
      </c>
    </row>
    <row r="142" spans="1:25" x14ac:dyDescent="0.3">
      <c r="A142" s="172">
        <f t="shared" si="28"/>
        <v>140</v>
      </c>
      <c r="B142" s="173" t="str">
        <f t="shared" si="29"/>
        <v/>
      </c>
      <c r="C142" s="173" t="str">
        <f t="shared" si="29"/>
        <v/>
      </c>
      <c r="D142" s="173" t="str">
        <f t="shared" si="29"/>
        <v/>
      </c>
      <c r="E142" s="173" t="str">
        <f t="shared" si="29"/>
        <v/>
      </c>
      <c r="F142" s="173" t="str">
        <f t="shared" si="29"/>
        <v/>
      </c>
      <c r="G142" s="173" t="str">
        <f t="shared" si="29"/>
        <v/>
      </c>
      <c r="H142" s="173" t="str">
        <f t="shared" si="29"/>
        <v/>
      </c>
      <c r="I142" s="173" t="str">
        <f t="shared" si="29"/>
        <v/>
      </c>
      <c r="J142" s="173" t="str">
        <f t="shared" si="29"/>
        <v/>
      </c>
      <c r="K142" s="173" t="str">
        <f t="shared" si="29"/>
        <v/>
      </c>
      <c r="L142" s="173" t="str">
        <f t="shared" si="30"/>
        <v>info</v>
      </c>
      <c r="M142" s="173" t="str">
        <f t="shared" si="30"/>
        <v/>
      </c>
      <c r="N142" s="173" t="str">
        <f t="shared" si="30"/>
        <v/>
      </c>
      <c r="O142" s="173" t="str">
        <f t="shared" si="30"/>
        <v/>
      </c>
      <c r="P142" s="174" t="str">
        <f t="shared" si="30"/>
        <v/>
      </c>
      <c r="Q142" s="174" t="str">
        <f t="shared" si="30"/>
        <v>x</v>
      </c>
      <c r="R142" s="174" t="str">
        <f t="shared" si="30"/>
        <v>BS</v>
      </c>
      <c r="S142" s="174" t="str">
        <f t="shared" si="30"/>
        <v>all</v>
      </c>
      <c r="T142" s="173" t="str">
        <f t="shared" si="30"/>
        <v/>
      </c>
      <c r="U142" s="173" t="str">
        <f t="shared" si="30"/>
        <v/>
      </c>
      <c r="V142" s="173" t="str">
        <f t="shared" si="30"/>
        <v/>
      </c>
      <c r="W142" s="173" t="str">
        <f t="shared" si="30"/>
        <v/>
      </c>
      <c r="X142" s="173" t="str">
        <f t="shared" si="30"/>
        <v/>
      </c>
      <c r="Y142" s="173" t="str">
        <f t="shared" si="30"/>
        <v/>
      </c>
    </row>
    <row r="143" spans="1:25" x14ac:dyDescent="0.3">
      <c r="A143" s="172">
        <f t="shared" si="28"/>
        <v>141</v>
      </c>
      <c r="B143" s="173" t="str">
        <f t="shared" ref="B143:K152" si="31">IF(ISNONTEXT(B$2),IF(B$2="","",IF(INDEX(IMPORT,$A143,B$2)=0,"",IFERROR(VLOOKUP(INDEX(IMPORT,$A143,B$2),ImportTranslation,2,0),INDEX(IMPORT,$A143,B$2)))),B$2)</f>
        <v/>
      </c>
      <c r="C143" s="173" t="str">
        <f t="shared" si="31"/>
        <v/>
      </c>
      <c r="D143" s="173" t="str">
        <f t="shared" si="31"/>
        <v/>
      </c>
      <c r="E143" s="173" t="str">
        <f t="shared" si="31"/>
        <v/>
      </c>
      <c r="F143" s="173" t="str">
        <f t="shared" si="31"/>
        <v/>
      </c>
      <c r="G143" s="173" t="str">
        <f t="shared" si="31"/>
        <v/>
      </c>
      <c r="H143" s="173" t="str">
        <f t="shared" si="31"/>
        <v/>
      </c>
      <c r="I143" s="173" t="str">
        <f t="shared" si="31"/>
        <v/>
      </c>
      <c r="J143" s="173" t="str">
        <f t="shared" si="31"/>
        <v/>
      </c>
      <c r="K143" s="173" t="str">
        <f t="shared" si="31"/>
        <v/>
      </c>
      <c r="L143" s="173" t="str">
        <f t="shared" ref="L143:Y152" si="32">IF(ISNONTEXT(L$2),IF(L$2="","",IF(INDEX(IMPORT,$A143,L$2)=0,"",IFERROR(VLOOKUP(INDEX(IMPORT,$A143,L$2),ImportTranslation,2,0),INDEX(IMPORT,$A143,L$2)))),L$2)</f>
        <v>info</v>
      </c>
      <c r="M143" s="173" t="str">
        <f t="shared" si="32"/>
        <v/>
      </c>
      <c r="N143" s="173" t="str">
        <f t="shared" si="32"/>
        <v/>
      </c>
      <c r="O143" s="173" t="str">
        <f t="shared" si="32"/>
        <v/>
      </c>
      <c r="P143" s="174" t="str">
        <f t="shared" si="32"/>
        <v/>
      </c>
      <c r="Q143" s="174" t="str">
        <f t="shared" si="32"/>
        <v>x</v>
      </c>
      <c r="R143" s="174" t="str">
        <f t="shared" si="32"/>
        <v>BS</v>
      </c>
      <c r="S143" s="174" t="str">
        <f t="shared" si="32"/>
        <v>all</v>
      </c>
      <c r="T143" s="173" t="str">
        <f t="shared" si="32"/>
        <v/>
      </c>
      <c r="U143" s="173" t="str">
        <f t="shared" si="32"/>
        <v/>
      </c>
      <c r="V143" s="173" t="str">
        <f t="shared" si="32"/>
        <v/>
      </c>
      <c r="W143" s="173" t="str">
        <f t="shared" si="32"/>
        <v/>
      </c>
      <c r="X143" s="173" t="str">
        <f t="shared" si="32"/>
        <v/>
      </c>
      <c r="Y143" s="173" t="str">
        <f t="shared" si="32"/>
        <v/>
      </c>
    </row>
    <row r="144" spans="1:25" x14ac:dyDescent="0.3">
      <c r="A144" s="172">
        <f t="shared" si="28"/>
        <v>142</v>
      </c>
      <c r="B144" s="173" t="str">
        <f t="shared" si="31"/>
        <v/>
      </c>
      <c r="C144" s="173" t="str">
        <f t="shared" si="31"/>
        <v/>
      </c>
      <c r="D144" s="173" t="str">
        <f t="shared" si="31"/>
        <v/>
      </c>
      <c r="E144" s="173" t="str">
        <f t="shared" si="31"/>
        <v/>
      </c>
      <c r="F144" s="173" t="str">
        <f t="shared" si="31"/>
        <v/>
      </c>
      <c r="G144" s="173" t="str">
        <f t="shared" si="31"/>
        <v/>
      </c>
      <c r="H144" s="173" t="str">
        <f t="shared" si="31"/>
        <v/>
      </c>
      <c r="I144" s="173" t="str">
        <f t="shared" si="31"/>
        <v/>
      </c>
      <c r="J144" s="173" t="str">
        <f t="shared" si="31"/>
        <v/>
      </c>
      <c r="K144" s="173" t="str">
        <f t="shared" si="31"/>
        <v/>
      </c>
      <c r="L144" s="173" t="str">
        <f t="shared" si="32"/>
        <v>info</v>
      </c>
      <c r="M144" s="173" t="str">
        <f t="shared" si="32"/>
        <v/>
      </c>
      <c r="N144" s="173" t="str">
        <f t="shared" si="32"/>
        <v/>
      </c>
      <c r="O144" s="173" t="str">
        <f t="shared" si="32"/>
        <v/>
      </c>
      <c r="P144" s="174" t="str">
        <f t="shared" si="32"/>
        <v/>
      </c>
      <c r="Q144" s="174" t="str">
        <f t="shared" si="32"/>
        <v>x</v>
      </c>
      <c r="R144" s="174" t="str">
        <f t="shared" si="32"/>
        <v>BS</v>
      </c>
      <c r="S144" s="174" t="str">
        <f t="shared" si="32"/>
        <v>all</v>
      </c>
      <c r="T144" s="173" t="str">
        <f t="shared" si="32"/>
        <v/>
      </c>
      <c r="U144" s="173" t="str">
        <f t="shared" si="32"/>
        <v/>
      </c>
      <c r="V144" s="173" t="str">
        <f t="shared" si="32"/>
        <v/>
      </c>
      <c r="W144" s="173" t="str">
        <f t="shared" si="32"/>
        <v/>
      </c>
      <c r="X144" s="173" t="str">
        <f t="shared" si="32"/>
        <v/>
      </c>
      <c r="Y144" s="173" t="str">
        <f t="shared" si="32"/>
        <v/>
      </c>
    </row>
    <row r="145" spans="1:25" x14ac:dyDescent="0.3">
      <c r="A145" s="172">
        <f t="shared" si="28"/>
        <v>143</v>
      </c>
      <c r="B145" s="173" t="str">
        <f t="shared" si="31"/>
        <v/>
      </c>
      <c r="C145" s="173" t="str">
        <f t="shared" si="31"/>
        <v/>
      </c>
      <c r="D145" s="173" t="str">
        <f t="shared" si="31"/>
        <v/>
      </c>
      <c r="E145" s="173" t="str">
        <f t="shared" si="31"/>
        <v/>
      </c>
      <c r="F145" s="173" t="str">
        <f t="shared" si="31"/>
        <v/>
      </c>
      <c r="G145" s="173" t="str">
        <f t="shared" si="31"/>
        <v/>
      </c>
      <c r="H145" s="173" t="str">
        <f t="shared" si="31"/>
        <v/>
      </c>
      <c r="I145" s="173" t="str">
        <f t="shared" si="31"/>
        <v/>
      </c>
      <c r="J145" s="173" t="str">
        <f t="shared" si="31"/>
        <v/>
      </c>
      <c r="K145" s="173" t="str">
        <f t="shared" si="31"/>
        <v/>
      </c>
      <c r="L145" s="173" t="str">
        <f t="shared" si="32"/>
        <v>info</v>
      </c>
      <c r="M145" s="173" t="str">
        <f t="shared" si="32"/>
        <v/>
      </c>
      <c r="N145" s="173" t="str">
        <f t="shared" si="32"/>
        <v/>
      </c>
      <c r="O145" s="173" t="str">
        <f t="shared" si="32"/>
        <v/>
      </c>
      <c r="P145" s="174" t="str">
        <f t="shared" si="32"/>
        <v/>
      </c>
      <c r="Q145" s="174" t="str">
        <f t="shared" si="32"/>
        <v>x</v>
      </c>
      <c r="R145" s="174" t="str">
        <f t="shared" si="32"/>
        <v>BS</v>
      </c>
      <c r="S145" s="174" t="str">
        <f t="shared" si="32"/>
        <v>all</v>
      </c>
      <c r="T145" s="173" t="str">
        <f t="shared" si="32"/>
        <v/>
      </c>
      <c r="U145" s="173" t="str">
        <f t="shared" si="32"/>
        <v/>
      </c>
      <c r="V145" s="173" t="str">
        <f t="shared" si="32"/>
        <v/>
      </c>
      <c r="W145" s="173" t="str">
        <f t="shared" si="32"/>
        <v/>
      </c>
      <c r="X145" s="173" t="str">
        <f t="shared" si="32"/>
        <v/>
      </c>
      <c r="Y145" s="173" t="str">
        <f t="shared" si="32"/>
        <v/>
      </c>
    </row>
    <row r="146" spans="1:25" x14ac:dyDescent="0.3">
      <c r="A146" s="172">
        <f t="shared" si="28"/>
        <v>144</v>
      </c>
      <c r="B146" s="173" t="str">
        <f t="shared" si="31"/>
        <v/>
      </c>
      <c r="C146" s="173" t="str">
        <f t="shared" si="31"/>
        <v/>
      </c>
      <c r="D146" s="173" t="str">
        <f t="shared" si="31"/>
        <v/>
      </c>
      <c r="E146" s="173" t="str">
        <f t="shared" si="31"/>
        <v/>
      </c>
      <c r="F146" s="173" t="str">
        <f t="shared" si="31"/>
        <v/>
      </c>
      <c r="G146" s="173" t="str">
        <f t="shared" si="31"/>
        <v/>
      </c>
      <c r="H146" s="173" t="str">
        <f t="shared" si="31"/>
        <v/>
      </c>
      <c r="I146" s="173" t="str">
        <f t="shared" si="31"/>
        <v/>
      </c>
      <c r="J146" s="173" t="str">
        <f t="shared" si="31"/>
        <v/>
      </c>
      <c r="K146" s="173" t="str">
        <f t="shared" si="31"/>
        <v/>
      </c>
      <c r="L146" s="173" t="str">
        <f t="shared" si="32"/>
        <v>info</v>
      </c>
      <c r="M146" s="173" t="str">
        <f t="shared" si="32"/>
        <v/>
      </c>
      <c r="N146" s="173" t="str">
        <f t="shared" si="32"/>
        <v/>
      </c>
      <c r="O146" s="173" t="str">
        <f t="shared" si="32"/>
        <v/>
      </c>
      <c r="P146" s="174" t="str">
        <f t="shared" si="32"/>
        <v/>
      </c>
      <c r="Q146" s="174" t="str">
        <f t="shared" si="32"/>
        <v>x</v>
      </c>
      <c r="R146" s="174" t="str">
        <f t="shared" si="32"/>
        <v>BS</v>
      </c>
      <c r="S146" s="174" t="str">
        <f t="shared" si="32"/>
        <v>all</v>
      </c>
      <c r="T146" s="173" t="str">
        <f t="shared" si="32"/>
        <v/>
      </c>
      <c r="U146" s="173" t="str">
        <f t="shared" si="32"/>
        <v/>
      </c>
      <c r="V146" s="173" t="str">
        <f t="shared" si="32"/>
        <v/>
      </c>
      <c r="W146" s="173" t="str">
        <f t="shared" si="32"/>
        <v/>
      </c>
      <c r="X146" s="173" t="str">
        <f t="shared" si="32"/>
        <v/>
      </c>
      <c r="Y146" s="173" t="str">
        <f t="shared" si="32"/>
        <v/>
      </c>
    </row>
    <row r="147" spans="1:25" x14ac:dyDescent="0.3">
      <c r="A147" s="172">
        <f t="shared" si="28"/>
        <v>145</v>
      </c>
      <c r="B147" s="173" t="str">
        <f t="shared" si="31"/>
        <v/>
      </c>
      <c r="C147" s="173" t="str">
        <f t="shared" si="31"/>
        <v/>
      </c>
      <c r="D147" s="173" t="str">
        <f t="shared" si="31"/>
        <v/>
      </c>
      <c r="E147" s="173" t="str">
        <f t="shared" si="31"/>
        <v/>
      </c>
      <c r="F147" s="173" t="str">
        <f t="shared" si="31"/>
        <v/>
      </c>
      <c r="G147" s="173" t="str">
        <f t="shared" si="31"/>
        <v/>
      </c>
      <c r="H147" s="173" t="str">
        <f t="shared" si="31"/>
        <v/>
      </c>
      <c r="I147" s="173" t="str">
        <f t="shared" si="31"/>
        <v/>
      </c>
      <c r="J147" s="173" t="str">
        <f t="shared" si="31"/>
        <v/>
      </c>
      <c r="K147" s="173" t="str">
        <f t="shared" si="31"/>
        <v/>
      </c>
      <c r="L147" s="173" t="str">
        <f t="shared" si="32"/>
        <v>info</v>
      </c>
      <c r="M147" s="173" t="str">
        <f t="shared" si="32"/>
        <v/>
      </c>
      <c r="N147" s="173" t="str">
        <f t="shared" si="32"/>
        <v/>
      </c>
      <c r="O147" s="173" t="str">
        <f t="shared" si="32"/>
        <v/>
      </c>
      <c r="P147" s="174" t="str">
        <f t="shared" si="32"/>
        <v/>
      </c>
      <c r="Q147" s="174" t="str">
        <f t="shared" si="32"/>
        <v>x</v>
      </c>
      <c r="R147" s="174" t="str">
        <f t="shared" si="32"/>
        <v>BS</v>
      </c>
      <c r="S147" s="174" t="str">
        <f t="shared" si="32"/>
        <v>all</v>
      </c>
      <c r="T147" s="173" t="str">
        <f t="shared" si="32"/>
        <v/>
      </c>
      <c r="U147" s="173" t="str">
        <f t="shared" si="32"/>
        <v/>
      </c>
      <c r="V147" s="173" t="str">
        <f t="shared" si="32"/>
        <v/>
      </c>
      <c r="W147" s="173" t="str">
        <f t="shared" si="32"/>
        <v/>
      </c>
      <c r="X147" s="173" t="str">
        <f t="shared" si="32"/>
        <v/>
      </c>
      <c r="Y147" s="173" t="str">
        <f t="shared" si="32"/>
        <v/>
      </c>
    </row>
    <row r="148" spans="1:25" x14ac:dyDescent="0.3">
      <c r="A148" s="172">
        <f t="shared" si="28"/>
        <v>146</v>
      </c>
      <c r="B148" s="173" t="str">
        <f t="shared" si="31"/>
        <v/>
      </c>
      <c r="C148" s="173" t="str">
        <f t="shared" si="31"/>
        <v/>
      </c>
      <c r="D148" s="173" t="str">
        <f t="shared" si="31"/>
        <v/>
      </c>
      <c r="E148" s="173" t="str">
        <f t="shared" si="31"/>
        <v/>
      </c>
      <c r="F148" s="173" t="str">
        <f t="shared" si="31"/>
        <v/>
      </c>
      <c r="G148" s="173" t="str">
        <f t="shared" si="31"/>
        <v/>
      </c>
      <c r="H148" s="173" t="str">
        <f t="shared" si="31"/>
        <v/>
      </c>
      <c r="I148" s="173" t="str">
        <f t="shared" si="31"/>
        <v/>
      </c>
      <c r="J148" s="173" t="str">
        <f t="shared" si="31"/>
        <v/>
      </c>
      <c r="K148" s="173" t="str">
        <f t="shared" si="31"/>
        <v/>
      </c>
      <c r="L148" s="173" t="str">
        <f t="shared" si="32"/>
        <v>info</v>
      </c>
      <c r="M148" s="173" t="str">
        <f t="shared" si="32"/>
        <v/>
      </c>
      <c r="N148" s="173" t="str">
        <f t="shared" si="32"/>
        <v/>
      </c>
      <c r="O148" s="173" t="str">
        <f t="shared" si="32"/>
        <v/>
      </c>
      <c r="P148" s="174" t="str">
        <f t="shared" si="32"/>
        <v/>
      </c>
      <c r="Q148" s="174" t="str">
        <f t="shared" si="32"/>
        <v>x</v>
      </c>
      <c r="R148" s="174" t="str">
        <f t="shared" si="32"/>
        <v>BS</v>
      </c>
      <c r="S148" s="174" t="str">
        <f t="shared" si="32"/>
        <v>all</v>
      </c>
      <c r="T148" s="173" t="str">
        <f t="shared" si="32"/>
        <v/>
      </c>
      <c r="U148" s="173" t="str">
        <f t="shared" si="32"/>
        <v/>
      </c>
      <c r="V148" s="173" t="str">
        <f t="shared" si="32"/>
        <v/>
      </c>
      <c r="W148" s="173" t="str">
        <f t="shared" si="32"/>
        <v/>
      </c>
      <c r="X148" s="173" t="str">
        <f t="shared" si="32"/>
        <v/>
      </c>
      <c r="Y148" s="173" t="str">
        <f t="shared" si="32"/>
        <v/>
      </c>
    </row>
    <row r="149" spans="1:25" x14ac:dyDescent="0.3">
      <c r="A149" s="172">
        <f t="shared" si="28"/>
        <v>147</v>
      </c>
      <c r="B149" s="173" t="str">
        <f t="shared" si="31"/>
        <v/>
      </c>
      <c r="C149" s="173" t="str">
        <f t="shared" si="31"/>
        <v/>
      </c>
      <c r="D149" s="173" t="str">
        <f t="shared" si="31"/>
        <v/>
      </c>
      <c r="E149" s="173" t="str">
        <f t="shared" si="31"/>
        <v/>
      </c>
      <c r="F149" s="173" t="str">
        <f t="shared" si="31"/>
        <v/>
      </c>
      <c r="G149" s="173" t="str">
        <f t="shared" si="31"/>
        <v/>
      </c>
      <c r="H149" s="173" t="str">
        <f t="shared" si="31"/>
        <v/>
      </c>
      <c r="I149" s="173" t="str">
        <f t="shared" si="31"/>
        <v/>
      </c>
      <c r="J149" s="173" t="str">
        <f t="shared" si="31"/>
        <v/>
      </c>
      <c r="K149" s="173" t="str">
        <f t="shared" si="31"/>
        <v/>
      </c>
      <c r="L149" s="173" t="str">
        <f t="shared" si="32"/>
        <v>info</v>
      </c>
      <c r="M149" s="173" t="str">
        <f t="shared" si="32"/>
        <v/>
      </c>
      <c r="N149" s="173" t="str">
        <f t="shared" si="32"/>
        <v/>
      </c>
      <c r="O149" s="173" t="str">
        <f t="shared" si="32"/>
        <v/>
      </c>
      <c r="P149" s="174" t="str">
        <f t="shared" si="32"/>
        <v/>
      </c>
      <c r="Q149" s="174" t="str">
        <f t="shared" si="32"/>
        <v>x</v>
      </c>
      <c r="R149" s="174" t="str">
        <f t="shared" si="32"/>
        <v>BS</v>
      </c>
      <c r="S149" s="174" t="str">
        <f t="shared" si="32"/>
        <v>all</v>
      </c>
      <c r="T149" s="173" t="str">
        <f t="shared" si="32"/>
        <v/>
      </c>
      <c r="U149" s="173" t="str">
        <f t="shared" si="32"/>
        <v/>
      </c>
      <c r="V149" s="173" t="str">
        <f t="shared" si="32"/>
        <v/>
      </c>
      <c r="W149" s="173" t="str">
        <f t="shared" si="32"/>
        <v/>
      </c>
      <c r="X149" s="173" t="str">
        <f t="shared" si="32"/>
        <v/>
      </c>
      <c r="Y149" s="173" t="str">
        <f t="shared" si="32"/>
        <v/>
      </c>
    </row>
    <row r="150" spans="1:25" x14ac:dyDescent="0.3">
      <c r="A150" s="172">
        <f t="shared" si="28"/>
        <v>148</v>
      </c>
      <c r="B150" s="173" t="str">
        <f t="shared" si="31"/>
        <v/>
      </c>
      <c r="C150" s="173" t="str">
        <f t="shared" si="31"/>
        <v/>
      </c>
      <c r="D150" s="173" t="str">
        <f t="shared" si="31"/>
        <v/>
      </c>
      <c r="E150" s="173" t="str">
        <f t="shared" si="31"/>
        <v/>
      </c>
      <c r="F150" s="173" t="str">
        <f t="shared" si="31"/>
        <v/>
      </c>
      <c r="G150" s="173" t="str">
        <f t="shared" si="31"/>
        <v/>
      </c>
      <c r="H150" s="173" t="str">
        <f t="shared" si="31"/>
        <v/>
      </c>
      <c r="I150" s="173" t="str">
        <f t="shared" si="31"/>
        <v/>
      </c>
      <c r="J150" s="173" t="str">
        <f t="shared" si="31"/>
        <v/>
      </c>
      <c r="K150" s="173" t="str">
        <f t="shared" si="31"/>
        <v/>
      </c>
      <c r="L150" s="173" t="str">
        <f t="shared" si="32"/>
        <v>info</v>
      </c>
      <c r="M150" s="173" t="str">
        <f t="shared" si="32"/>
        <v/>
      </c>
      <c r="N150" s="173" t="str">
        <f t="shared" si="32"/>
        <v/>
      </c>
      <c r="O150" s="173" t="str">
        <f t="shared" si="32"/>
        <v/>
      </c>
      <c r="P150" s="174" t="str">
        <f t="shared" si="32"/>
        <v/>
      </c>
      <c r="Q150" s="174" t="str">
        <f t="shared" si="32"/>
        <v>x</v>
      </c>
      <c r="R150" s="174" t="str">
        <f t="shared" si="32"/>
        <v>BS</v>
      </c>
      <c r="S150" s="174" t="str">
        <f t="shared" si="32"/>
        <v>all</v>
      </c>
      <c r="T150" s="173" t="str">
        <f t="shared" si="32"/>
        <v/>
      </c>
      <c r="U150" s="173" t="str">
        <f t="shared" si="32"/>
        <v/>
      </c>
      <c r="V150" s="173" t="str">
        <f t="shared" si="32"/>
        <v/>
      </c>
      <c r="W150" s="173" t="str">
        <f t="shared" si="32"/>
        <v/>
      </c>
      <c r="X150" s="173" t="str">
        <f t="shared" si="32"/>
        <v/>
      </c>
      <c r="Y150" s="173" t="str">
        <f t="shared" si="32"/>
        <v/>
      </c>
    </row>
    <row r="151" spans="1:25" x14ac:dyDescent="0.3">
      <c r="A151" s="172">
        <f t="shared" si="28"/>
        <v>149</v>
      </c>
      <c r="B151" s="173" t="str">
        <f t="shared" si="31"/>
        <v/>
      </c>
      <c r="C151" s="173" t="str">
        <f t="shared" si="31"/>
        <v/>
      </c>
      <c r="D151" s="173" t="str">
        <f t="shared" si="31"/>
        <v/>
      </c>
      <c r="E151" s="173" t="str">
        <f t="shared" si="31"/>
        <v/>
      </c>
      <c r="F151" s="173" t="str">
        <f t="shared" si="31"/>
        <v/>
      </c>
      <c r="G151" s="173" t="str">
        <f t="shared" si="31"/>
        <v/>
      </c>
      <c r="H151" s="173" t="str">
        <f t="shared" si="31"/>
        <v/>
      </c>
      <c r="I151" s="173" t="str">
        <f t="shared" si="31"/>
        <v/>
      </c>
      <c r="J151" s="173" t="str">
        <f t="shared" si="31"/>
        <v/>
      </c>
      <c r="K151" s="173" t="str">
        <f t="shared" si="31"/>
        <v/>
      </c>
      <c r="L151" s="173" t="str">
        <f t="shared" si="32"/>
        <v>info</v>
      </c>
      <c r="M151" s="173" t="str">
        <f t="shared" si="32"/>
        <v/>
      </c>
      <c r="N151" s="173" t="str">
        <f t="shared" si="32"/>
        <v/>
      </c>
      <c r="O151" s="173" t="str">
        <f t="shared" si="32"/>
        <v/>
      </c>
      <c r="P151" s="174" t="str">
        <f t="shared" si="32"/>
        <v/>
      </c>
      <c r="Q151" s="174" t="str">
        <f t="shared" si="32"/>
        <v>x</v>
      </c>
      <c r="R151" s="174" t="str">
        <f t="shared" si="32"/>
        <v>BS</v>
      </c>
      <c r="S151" s="174" t="str">
        <f t="shared" si="32"/>
        <v>all</v>
      </c>
      <c r="T151" s="173" t="str">
        <f t="shared" si="32"/>
        <v/>
      </c>
      <c r="U151" s="173" t="str">
        <f t="shared" si="32"/>
        <v/>
      </c>
      <c r="V151" s="173" t="str">
        <f t="shared" si="32"/>
        <v/>
      </c>
      <c r="W151" s="173" t="str">
        <f t="shared" si="32"/>
        <v/>
      </c>
      <c r="X151" s="173" t="str">
        <f t="shared" si="32"/>
        <v/>
      </c>
      <c r="Y151" s="173" t="str">
        <f t="shared" si="32"/>
        <v/>
      </c>
    </row>
    <row r="152" spans="1:25" x14ac:dyDescent="0.3">
      <c r="A152" s="172">
        <f t="shared" si="28"/>
        <v>150</v>
      </c>
      <c r="B152" s="173" t="str">
        <f t="shared" si="31"/>
        <v/>
      </c>
      <c r="C152" s="173" t="str">
        <f t="shared" si="31"/>
        <v/>
      </c>
      <c r="D152" s="173" t="str">
        <f t="shared" si="31"/>
        <v/>
      </c>
      <c r="E152" s="173" t="str">
        <f t="shared" si="31"/>
        <v/>
      </c>
      <c r="F152" s="173" t="str">
        <f t="shared" si="31"/>
        <v/>
      </c>
      <c r="G152" s="173" t="str">
        <f t="shared" si="31"/>
        <v/>
      </c>
      <c r="H152" s="173" t="str">
        <f t="shared" si="31"/>
        <v/>
      </c>
      <c r="I152" s="173" t="str">
        <f t="shared" si="31"/>
        <v/>
      </c>
      <c r="J152" s="173" t="str">
        <f t="shared" si="31"/>
        <v/>
      </c>
      <c r="K152" s="173" t="str">
        <f t="shared" si="31"/>
        <v/>
      </c>
      <c r="L152" s="173" t="str">
        <f t="shared" si="32"/>
        <v>info</v>
      </c>
      <c r="M152" s="173" t="str">
        <f t="shared" si="32"/>
        <v/>
      </c>
      <c r="N152" s="173" t="str">
        <f t="shared" si="32"/>
        <v/>
      </c>
      <c r="O152" s="173" t="str">
        <f t="shared" si="32"/>
        <v/>
      </c>
      <c r="P152" s="174" t="str">
        <f t="shared" si="32"/>
        <v/>
      </c>
      <c r="Q152" s="174" t="str">
        <f t="shared" si="32"/>
        <v>x</v>
      </c>
      <c r="R152" s="174" t="str">
        <f t="shared" si="32"/>
        <v>BS</v>
      </c>
      <c r="S152" s="174" t="str">
        <f t="shared" si="32"/>
        <v>all</v>
      </c>
      <c r="T152" s="173" t="str">
        <f t="shared" si="32"/>
        <v/>
      </c>
      <c r="U152" s="173" t="str">
        <f t="shared" si="32"/>
        <v/>
      </c>
      <c r="V152" s="173" t="str">
        <f t="shared" si="32"/>
        <v/>
      </c>
      <c r="W152" s="173" t="str">
        <f t="shared" si="32"/>
        <v/>
      </c>
      <c r="X152" s="173" t="str">
        <f t="shared" si="32"/>
        <v/>
      </c>
      <c r="Y152" s="173" t="str">
        <f t="shared" si="32"/>
        <v/>
      </c>
    </row>
    <row r="153" spans="1:25" x14ac:dyDescent="0.3">
      <c r="A153" s="172">
        <f t="shared" si="28"/>
        <v>151</v>
      </c>
      <c r="B153" s="173" t="str">
        <f t="shared" ref="B153:K162" si="33">IF(ISNONTEXT(B$2),IF(B$2="","",IF(INDEX(IMPORT,$A153,B$2)=0,"",IFERROR(VLOOKUP(INDEX(IMPORT,$A153,B$2),ImportTranslation,2,0),INDEX(IMPORT,$A153,B$2)))),B$2)</f>
        <v/>
      </c>
      <c r="C153" s="173" t="str">
        <f t="shared" si="33"/>
        <v/>
      </c>
      <c r="D153" s="173" t="str">
        <f t="shared" si="33"/>
        <v/>
      </c>
      <c r="E153" s="173" t="str">
        <f t="shared" si="33"/>
        <v/>
      </c>
      <c r="F153" s="173" t="str">
        <f t="shared" si="33"/>
        <v/>
      </c>
      <c r="G153" s="173" t="str">
        <f t="shared" si="33"/>
        <v/>
      </c>
      <c r="H153" s="173" t="str">
        <f t="shared" si="33"/>
        <v/>
      </c>
      <c r="I153" s="173" t="str">
        <f t="shared" si="33"/>
        <v/>
      </c>
      <c r="J153" s="173" t="str">
        <f t="shared" si="33"/>
        <v/>
      </c>
      <c r="K153" s="173" t="str">
        <f t="shared" si="33"/>
        <v/>
      </c>
      <c r="L153" s="173" t="str">
        <f t="shared" ref="L153:Y162" si="34">IF(ISNONTEXT(L$2),IF(L$2="","",IF(INDEX(IMPORT,$A153,L$2)=0,"",IFERROR(VLOOKUP(INDEX(IMPORT,$A153,L$2),ImportTranslation,2,0),INDEX(IMPORT,$A153,L$2)))),L$2)</f>
        <v>info</v>
      </c>
      <c r="M153" s="173" t="str">
        <f t="shared" si="34"/>
        <v/>
      </c>
      <c r="N153" s="173" t="str">
        <f t="shared" si="34"/>
        <v/>
      </c>
      <c r="O153" s="173" t="str">
        <f t="shared" si="34"/>
        <v/>
      </c>
      <c r="P153" s="174" t="str">
        <f t="shared" si="34"/>
        <v/>
      </c>
      <c r="Q153" s="174" t="str">
        <f t="shared" si="34"/>
        <v>x</v>
      </c>
      <c r="R153" s="174" t="str">
        <f t="shared" si="34"/>
        <v>BS</v>
      </c>
      <c r="S153" s="174" t="str">
        <f t="shared" si="34"/>
        <v>all</v>
      </c>
      <c r="T153" s="173" t="str">
        <f t="shared" si="34"/>
        <v/>
      </c>
      <c r="U153" s="173" t="str">
        <f t="shared" si="34"/>
        <v/>
      </c>
      <c r="V153" s="173" t="str">
        <f t="shared" si="34"/>
        <v/>
      </c>
      <c r="W153" s="173" t="str">
        <f t="shared" si="34"/>
        <v/>
      </c>
      <c r="X153" s="173" t="str">
        <f t="shared" si="34"/>
        <v/>
      </c>
      <c r="Y153" s="173" t="str">
        <f t="shared" si="34"/>
        <v/>
      </c>
    </row>
    <row r="154" spans="1:25" x14ac:dyDescent="0.3">
      <c r="A154" s="172">
        <f t="shared" si="28"/>
        <v>152</v>
      </c>
      <c r="B154" s="173" t="str">
        <f t="shared" si="33"/>
        <v/>
      </c>
      <c r="C154" s="173" t="str">
        <f t="shared" si="33"/>
        <v/>
      </c>
      <c r="D154" s="173" t="str">
        <f t="shared" si="33"/>
        <v/>
      </c>
      <c r="E154" s="173" t="str">
        <f t="shared" si="33"/>
        <v/>
      </c>
      <c r="F154" s="173" t="str">
        <f t="shared" si="33"/>
        <v/>
      </c>
      <c r="G154" s="173" t="str">
        <f t="shared" si="33"/>
        <v/>
      </c>
      <c r="H154" s="173" t="str">
        <f t="shared" si="33"/>
        <v/>
      </c>
      <c r="I154" s="173" t="str">
        <f t="shared" si="33"/>
        <v/>
      </c>
      <c r="J154" s="173" t="str">
        <f t="shared" si="33"/>
        <v/>
      </c>
      <c r="K154" s="173" t="str">
        <f t="shared" si="33"/>
        <v/>
      </c>
      <c r="L154" s="173" t="str">
        <f t="shared" si="34"/>
        <v>info</v>
      </c>
      <c r="M154" s="173" t="str">
        <f t="shared" si="34"/>
        <v/>
      </c>
      <c r="N154" s="173" t="str">
        <f t="shared" si="34"/>
        <v/>
      </c>
      <c r="O154" s="173" t="str">
        <f t="shared" si="34"/>
        <v/>
      </c>
      <c r="P154" s="174" t="str">
        <f t="shared" si="34"/>
        <v/>
      </c>
      <c r="Q154" s="174" t="str">
        <f t="shared" si="34"/>
        <v>x</v>
      </c>
      <c r="R154" s="174" t="str">
        <f t="shared" si="34"/>
        <v>BS</v>
      </c>
      <c r="S154" s="174" t="str">
        <f t="shared" si="34"/>
        <v>all</v>
      </c>
      <c r="T154" s="173" t="str">
        <f t="shared" si="34"/>
        <v/>
      </c>
      <c r="U154" s="173" t="str">
        <f t="shared" si="34"/>
        <v/>
      </c>
      <c r="V154" s="173" t="str">
        <f t="shared" si="34"/>
        <v/>
      </c>
      <c r="W154" s="173" t="str">
        <f t="shared" si="34"/>
        <v/>
      </c>
      <c r="X154" s="173" t="str">
        <f t="shared" si="34"/>
        <v/>
      </c>
      <c r="Y154" s="173" t="str">
        <f t="shared" si="34"/>
        <v/>
      </c>
    </row>
    <row r="155" spans="1:25" x14ac:dyDescent="0.3">
      <c r="A155" s="172">
        <f t="shared" si="28"/>
        <v>153</v>
      </c>
      <c r="B155" s="173" t="str">
        <f t="shared" si="33"/>
        <v/>
      </c>
      <c r="C155" s="173" t="str">
        <f t="shared" si="33"/>
        <v/>
      </c>
      <c r="D155" s="173" t="str">
        <f t="shared" si="33"/>
        <v/>
      </c>
      <c r="E155" s="173" t="str">
        <f t="shared" si="33"/>
        <v/>
      </c>
      <c r="F155" s="173" t="str">
        <f t="shared" si="33"/>
        <v/>
      </c>
      <c r="G155" s="173" t="str">
        <f t="shared" si="33"/>
        <v/>
      </c>
      <c r="H155" s="173" t="str">
        <f t="shared" si="33"/>
        <v/>
      </c>
      <c r="I155" s="173" t="str">
        <f t="shared" si="33"/>
        <v/>
      </c>
      <c r="J155" s="173" t="str">
        <f t="shared" si="33"/>
        <v/>
      </c>
      <c r="K155" s="173" t="str">
        <f t="shared" si="33"/>
        <v/>
      </c>
      <c r="L155" s="173" t="str">
        <f t="shared" si="34"/>
        <v>info</v>
      </c>
      <c r="M155" s="173" t="str">
        <f t="shared" si="34"/>
        <v/>
      </c>
      <c r="N155" s="173" t="str">
        <f t="shared" si="34"/>
        <v/>
      </c>
      <c r="O155" s="173" t="str">
        <f t="shared" si="34"/>
        <v/>
      </c>
      <c r="P155" s="174" t="str">
        <f t="shared" si="34"/>
        <v/>
      </c>
      <c r="Q155" s="174" t="str">
        <f t="shared" si="34"/>
        <v>x</v>
      </c>
      <c r="R155" s="174" t="str">
        <f t="shared" si="34"/>
        <v>BS</v>
      </c>
      <c r="S155" s="174" t="str">
        <f t="shared" si="34"/>
        <v>all</v>
      </c>
      <c r="T155" s="173" t="str">
        <f t="shared" si="34"/>
        <v/>
      </c>
      <c r="U155" s="173" t="str">
        <f t="shared" si="34"/>
        <v/>
      </c>
      <c r="V155" s="173" t="str">
        <f t="shared" si="34"/>
        <v/>
      </c>
      <c r="W155" s="173" t="str">
        <f t="shared" si="34"/>
        <v/>
      </c>
      <c r="X155" s="173" t="str">
        <f t="shared" si="34"/>
        <v/>
      </c>
      <c r="Y155" s="173" t="str">
        <f t="shared" si="34"/>
        <v/>
      </c>
    </row>
    <row r="156" spans="1:25" x14ac:dyDescent="0.3">
      <c r="A156" s="172">
        <f t="shared" si="28"/>
        <v>154</v>
      </c>
      <c r="B156" s="173" t="str">
        <f t="shared" si="33"/>
        <v/>
      </c>
      <c r="C156" s="173" t="str">
        <f t="shared" si="33"/>
        <v/>
      </c>
      <c r="D156" s="173" t="str">
        <f t="shared" si="33"/>
        <v/>
      </c>
      <c r="E156" s="173" t="str">
        <f t="shared" si="33"/>
        <v/>
      </c>
      <c r="F156" s="173" t="str">
        <f t="shared" si="33"/>
        <v/>
      </c>
      <c r="G156" s="173" t="str">
        <f t="shared" si="33"/>
        <v/>
      </c>
      <c r="H156" s="173" t="str">
        <f t="shared" si="33"/>
        <v/>
      </c>
      <c r="I156" s="173" t="str">
        <f t="shared" si="33"/>
        <v/>
      </c>
      <c r="J156" s="173" t="str">
        <f t="shared" si="33"/>
        <v/>
      </c>
      <c r="K156" s="173" t="str">
        <f t="shared" si="33"/>
        <v/>
      </c>
      <c r="L156" s="173" t="str">
        <f t="shared" si="34"/>
        <v>info</v>
      </c>
      <c r="M156" s="173" t="str">
        <f t="shared" si="34"/>
        <v/>
      </c>
      <c r="N156" s="173" t="str">
        <f t="shared" si="34"/>
        <v/>
      </c>
      <c r="O156" s="173" t="str">
        <f t="shared" si="34"/>
        <v/>
      </c>
      <c r="P156" s="174" t="str">
        <f t="shared" si="34"/>
        <v/>
      </c>
      <c r="Q156" s="174" t="str">
        <f t="shared" si="34"/>
        <v>x</v>
      </c>
      <c r="R156" s="174" t="str">
        <f t="shared" si="34"/>
        <v>BS</v>
      </c>
      <c r="S156" s="174" t="str">
        <f t="shared" si="34"/>
        <v>all</v>
      </c>
      <c r="T156" s="173" t="str">
        <f t="shared" si="34"/>
        <v/>
      </c>
      <c r="U156" s="173" t="str">
        <f t="shared" si="34"/>
        <v/>
      </c>
      <c r="V156" s="173" t="str">
        <f t="shared" si="34"/>
        <v/>
      </c>
      <c r="W156" s="173" t="str">
        <f t="shared" si="34"/>
        <v/>
      </c>
      <c r="X156" s="173" t="str">
        <f t="shared" si="34"/>
        <v/>
      </c>
      <c r="Y156" s="173" t="str">
        <f t="shared" si="34"/>
        <v/>
      </c>
    </row>
    <row r="157" spans="1:25" x14ac:dyDescent="0.3">
      <c r="A157" s="172">
        <f t="shared" si="28"/>
        <v>155</v>
      </c>
      <c r="B157" s="173" t="str">
        <f t="shared" si="33"/>
        <v/>
      </c>
      <c r="C157" s="173" t="str">
        <f t="shared" si="33"/>
        <v/>
      </c>
      <c r="D157" s="173" t="str">
        <f t="shared" si="33"/>
        <v/>
      </c>
      <c r="E157" s="173" t="str">
        <f t="shared" si="33"/>
        <v/>
      </c>
      <c r="F157" s="173" t="str">
        <f t="shared" si="33"/>
        <v/>
      </c>
      <c r="G157" s="173" t="str">
        <f t="shared" si="33"/>
        <v/>
      </c>
      <c r="H157" s="173" t="str">
        <f t="shared" si="33"/>
        <v/>
      </c>
      <c r="I157" s="173" t="str">
        <f t="shared" si="33"/>
        <v/>
      </c>
      <c r="J157" s="173" t="str">
        <f t="shared" si="33"/>
        <v/>
      </c>
      <c r="K157" s="173" t="str">
        <f t="shared" si="33"/>
        <v/>
      </c>
      <c r="L157" s="173" t="str">
        <f t="shared" si="34"/>
        <v>info</v>
      </c>
      <c r="M157" s="173" t="str">
        <f t="shared" si="34"/>
        <v/>
      </c>
      <c r="N157" s="173" t="str">
        <f t="shared" si="34"/>
        <v/>
      </c>
      <c r="O157" s="173" t="str">
        <f t="shared" si="34"/>
        <v/>
      </c>
      <c r="P157" s="174" t="str">
        <f t="shared" si="34"/>
        <v/>
      </c>
      <c r="Q157" s="174" t="str">
        <f t="shared" si="34"/>
        <v>x</v>
      </c>
      <c r="R157" s="174" t="str">
        <f t="shared" si="34"/>
        <v>BS</v>
      </c>
      <c r="S157" s="174" t="str">
        <f t="shared" si="34"/>
        <v>all</v>
      </c>
      <c r="T157" s="173" t="str">
        <f t="shared" si="34"/>
        <v/>
      </c>
      <c r="U157" s="173" t="str">
        <f t="shared" si="34"/>
        <v/>
      </c>
      <c r="V157" s="173" t="str">
        <f t="shared" si="34"/>
        <v/>
      </c>
      <c r="W157" s="173" t="str">
        <f t="shared" si="34"/>
        <v/>
      </c>
      <c r="X157" s="173" t="str">
        <f t="shared" si="34"/>
        <v/>
      </c>
      <c r="Y157" s="173" t="str">
        <f t="shared" si="34"/>
        <v/>
      </c>
    </row>
    <row r="158" spans="1:25" x14ac:dyDescent="0.3">
      <c r="A158" s="172">
        <f t="shared" si="28"/>
        <v>156</v>
      </c>
      <c r="B158" s="173" t="str">
        <f t="shared" si="33"/>
        <v/>
      </c>
      <c r="C158" s="173" t="str">
        <f t="shared" si="33"/>
        <v/>
      </c>
      <c r="D158" s="173" t="str">
        <f t="shared" si="33"/>
        <v/>
      </c>
      <c r="E158" s="173" t="str">
        <f t="shared" si="33"/>
        <v/>
      </c>
      <c r="F158" s="173" t="str">
        <f t="shared" si="33"/>
        <v/>
      </c>
      <c r="G158" s="173" t="str">
        <f t="shared" si="33"/>
        <v/>
      </c>
      <c r="H158" s="173" t="str">
        <f t="shared" si="33"/>
        <v/>
      </c>
      <c r="I158" s="173" t="str">
        <f t="shared" si="33"/>
        <v/>
      </c>
      <c r="J158" s="173" t="str">
        <f t="shared" si="33"/>
        <v/>
      </c>
      <c r="K158" s="173" t="str">
        <f t="shared" si="33"/>
        <v/>
      </c>
      <c r="L158" s="173" t="str">
        <f t="shared" si="34"/>
        <v>info</v>
      </c>
      <c r="M158" s="173" t="str">
        <f t="shared" si="34"/>
        <v/>
      </c>
      <c r="N158" s="173" t="str">
        <f t="shared" si="34"/>
        <v/>
      </c>
      <c r="O158" s="173" t="str">
        <f t="shared" si="34"/>
        <v/>
      </c>
      <c r="P158" s="174" t="str">
        <f t="shared" si="34"/>
        <v/>
      </c>
      <c r="Q158" s="174" t="str">
        <f t="shared" si="34"/>
        <v>x</v>
      </c>
      <c r="R158" s="174" t="str">
        <f t="shared" si="34"/>
        <v>BS</v>
      </c>
      <c r="S158" s="174" t="str">
        <f t="shared" si="34"/>
        <v>all</v>
      </c>
      <c r="T158" s="173" t="str">
        <f t="shared" si="34"/>
        <v/>
      </c>
      <c r="U158" s="173" t="str">
        <f t="shared" si="34"/>
        <v/>
      </c>
      <c r="V158" s="173" t="str">
        <f t="shared" si="34"/>
        <v/>
      </c>
      <c r="W158" s="173" t="str">
        <f t="shared" si="34"/>
        <v/>
      </c>
      <c r="X158" s="173" t="str">
        <f t="shared" si="34"/>
        <v/>
      </c>
      <c r="Y158" s="173" t="str">
        <f t="shared" si="34"/>
        <v/>
      </c>
    </row>
    <row r="159" spans="1:25" x14ac:dyDescent="0.3">
      <c r="A159" s="172">
        <f t="shared" si="28"/>
        <v>157</v>
      </c>
      <c r="B159" s="173" t="str">
        <f t="shared" si="33"/>
        <v/>
      </c>
      <c r="C159" s="173" t="str">
        <f t="shared" si="33"/>
        <v/>
      </c>
      <c r="D159" s="173" t="str">
        <f t="shared" si="33"/>
        <v/>
      </c>
      <c r="E159" s="173" t="str">
        <f t="shared" si="33"/>
        <v/>
      </c>
      <c r="F159" s="173" t="str">
        <f t="shared" si="33"/>
        <v/>
      </c>
      <c r="G159" s="173" t="str">
        <f t="shared" si="33"/>
        <v/>
      </c>
      <c r="H159" s="173" t="str">
        <f t="shared" si="33"/>
        <v/>
      </c>
      <c r="I159" s="173" t="str">
        <f t="shared" si="33"/>
        <v/>
      </c>
      <c r="J159" s="173" t="str">
        <f t="shared" si="33"/>
        <v/>
      </c>
      <c r="K159" s="173" t="str">
        <f t="shared" si="33"/>
        <v/>
      </c>
      <c r="L159" s="173" t="str">
        <f t="shared" si="34"/>
        <v>info</v>
      </c>
      <c r="M159" s="173" t="str">
        <f t="shared" si="34"/>
        <v/>
      </c>
      <c r="N159" s="173" t="str">
        <f t="shared" si="34"/>
        <v/>
      </c>
      <c r="O159" s="173" t="str">
        <f t="shared" si="34"/>
        <v/>
      </c>
      <c r="P159" s="174" t="str">
        <f t="shared" si="34"/>
        <v/>
      </c>
      <c r="Q159" s="174" t="str">
        <f t="shared" si="34"/>
        <v>x</v>
      </c>
      <c r="R159" s="174" t="str">
        <f t="shared" si="34"/>
        <v>BS</v>
      </c>
      <c r="S159" s="174" t="str">
        <f t="shared" si="34"/>
        <v>all</v>
      </c>
      <c r="T159" s="173" t="str">
        <f t="shared" si="34"/>
        <v/>
      </c>
      <c r="U159" s="173" t="str">
        <f t="shared" si="34"/>
        <v/>
      </c>
      <c r="V159" s="173" t="str">
        <f t="shared" si="34"/>
        <v/>
      </c>
      <c r="W159" s="173" t="str">
        <f t="shared" si="34"/>
        <v/>
      </c>
      <c r="X159" s="173" t="str">
        <f t="shared" si="34"/>
        <v/>
      </c>
      <c r="Y159" s="173" t="str">
        <f t="shared" si="34"/>
        <v/>
      </c>
    </row>
    <row r="160" spans="1:25" x14ac:dyDescent="0.3">
      <c r="A160" s="172">
        <f t="shared" si="28"/>
        <v>158</v>
      </c>
      <c r="B160" s="173" t="str">
        <f t="shared" si="33"/>
        <v/>
      </c>
      <c r="C160" s="173" t="str">
        <f t="shared" si="33"/>
        <v/>
      </c>
      <c r="D160" s="173" t="str">
        <f t="shared" si="33"/>
        <v/>
      </c>
      <c r="E160" s="173" t="str">
        <f t="shared" si="33"/>
        <v/>
      </c>
      <c r="F160" s="173" t="str">
        <f t="shared" si="33"/>
        <v/>
      </c>
      <c r="G160" s="173" t="str">
        <f t="shared" si="33"/>
        <v/>
      </c>
      <c r="H160" s="173" t="str">
        <f t="shared" si="33"/>
        <v/>
      </c>
      <c r="I160" s="173" t="str">
        <f t="shared" si="33"/>
        <v/>
      </c>
      <c r="J160" s="173" t="str">
        <f t="shared" si="33"/>
        <v/>
      </c>
      <c r="K160" s="173" t="str">
        <f t="shared" si="33"/>
        <v/>
      </c>
      <c r="L160" s="173" t="str">
        <f t="shared" si="34"/>
        <v>info</v>
      </c>
      <c r="M160" s="173" t="str">
        <f t="shared" si="34"/>
        <v/>
      </c>
      <c r="N160" s="173" t="str">
        <f t="shared" si="34"/>
        <v/>
      </c>
      <c r="O160" s="173" t="str">
        <f t="shared" si="34"/>
        <v/>
      </c>
      <c r="P160" s="174" t="str">
        <f t="shared" si="34"/>
        <v/>
      </c>
      <c r="Q160" s="174" t="str">
        <f t="shared" si="34"/>
        <v>x</v>
      </c>
      <c r="R160" s="174" t="str">
        <f t="shared" si="34"/>
        <v>BS</v>
      </c>
      <c r="S160" s="174" t="str">
        <f t="shared" si="34"/>
        <v>all</v>
      </c>
      <c r="T160" s="173" t="str">
        <f t="shared" si="34"/>
        <v/>
      </c>
      <c r="U160" s="173" t="str">
        <f t="shared" si="34"/>
        <v/>
      </c>
      <c r="V160" s="173" t="str">
        <f t="shared" si="34"/>
        <v/>
      </c>
      <c r="W160" s="173" t="str">
        <f t="shared" si="34"/>
        <v/>
      </c>
      <c r="X160" s="173" t="str">
        <f t="shared" si="34"/>
        <v/>
      </c>
      <c r="Y160" s="173" t="str">
        <f t="shared" si="34"/>
        <v/>
      </c>
    </row>
    <row r="161" spans="1:25" x14ac:dyDescent="0.3">
      <c r="A161" s="172">
        <f t="shared" si="28"/>
        <v>159</v>
      </c>
      <c r="B161" s="173" t="str">
        <f t="shared" si="33"/>
        <v/>
      </c>
      <c r="C161" s="173" t="str">
        <f t="shared" si="33"/>
        <v/>
      </c>
      <c r="D161" s="173" t="str">
        <f t="shared" si="33"/>
        <v/>
      </c>
      <c r="E161" s="173" t="str">
        <f t="shared" si="33"/>
        <v/>
      </c>
      <c r="F161" s="173" t="str">
        <f t="shared" si="33"/>
        <v/>
      </c>
      <c r="G161" s="173" t="str">
        <f t="shared" si="33"/>
        <v/>
      </c>
      <c r="H161" s="173" t="str">
        <f t="shared" si="33"/>
        <v/>
      </c>
      <c r="I161" s="173" t="str">
        <f t="shared" si="33"/>
        <v/>
      </c>
      <c r="J161" s="173" t="str">
        <f t="shared" si="33"/>
        <v/>
      </c>
      <c r="K161" s="173" t="str">
        <f t="shared" si="33"/>
        <v/>
      </c>
      <c r="L161" s="173" t="str">
        <f t="shared" si="34"/>
        <v>info</v>
      </c>
      <c r="M161" s="173" t="str">
        <f t="shared" si="34"/>
        <v/>
      </c>
      <c r="N161" s="173" t="str">
        <f t="shared" si="34"/>
        <v/>
      </c>
      <c r="O161" s="173" t="str">
        <f t="shared" si="34"/>
        <v/>
      </c>
      <c r="P161" s="174" t="str">
        <f t="shared" si="34"/>
        <v/>
      </c>
      <c r="Q161" s="174" t="str">
        <f t="shared" si="34"/>
        <v>x</v>
      </c>
      <c r="R161" s="174" t="str">
        <f t="shared" si="34"/>
        <v>BS</v>
      </c>
      <c r="S161" s="174" t="str">
        <f t="shared" si="34"/>
        <v>all</v>
      </c>
      <c r="T161" s="173" t="str">
        <f t="shared" si="34"/>
        <v/>
      </c>
      <c r="U161" s="173" t="str">
        <f t="shared" si="34"/>
        <v/>
      </c>
      <c r="V161" s="173" t="str">
        <f t="shared" si="34"/>
        <v/>
      </c>
      <c r="W161" s="173" t="str">
        <f t="shared" si="34"/>
        <v/>
      </c>
      <c r="X161" s="173" t="str">
        <f t="shared" si="34"/>
        <v/>
      </c>
      <c r="Y161" s="173" t="str">
        <f t="shared" si="34"/>
        <v/>
      </c>
    </row>
    <row r="162" spans="1:25" x14ac:dyDescent="0.3">
      <c r="A162" s="172">
        <f t="shared" si="28"/>
        <v>160</v>
      </c>
      <c r="B162" s="173" t="str">
        <f t="shared" si="33"/>
        <v/>
      </c>
      <c r="C162" s="173" t="str">
        <f t="shared" si="33"/>
        <v/>
      </c>
      <c r="D162" s="173" t="str">
        <f t="shared" si="33"/>
        <v/>
      </c>
      <c r="E162" s="173" t="str">
        <f t="shared" si="33"/>
        <v/>
      </c>
      <c r="F162" s="173" t="str">
        <f t="shared" si="33"/>
        <v/>
      </c>
      <c r="G162" s="173" t="str">
        <f t="shared" si="33"/>
        <v/>
      </c>
      <c r="H162" s="173" t="str">
        <f t="shared" si="33"/>
        <v/>
      </c>
      <c r="I162" s="173" t="str">
        <f t="shared" si="33"/>
        <v/>
      </c>
      <c r="J162" s="173" t="str">
        <f t="shared" si="33"/>
        <v/>
      </c>
      <c r="K162" s="173" t="str">
        <f t="shared" si="33"/>
        <v/>
      </c>
      <c r="L162" s="173" t="str">
        <f t="shared" si="34"/>
        <v>info</v>
      </c>
      <c r="M162" s="173" t="str">
        <f t="shared" si="34"/>
        <v/>
      </c>
      <c r="N162" s="173" t="str">
        <f t="shared" si="34"/>
        <v/>
      </c>
      <c r="O162" s="173" t="str">
        <f t="shared" si="34"/>
        <v/>
      </c>
      <c r="P162" s="174" t="str">
        <f t="shared" si="34"/>
        <v/>
      </c>
      <c r="Q162" s="174" t="str">
        <f t="shared" si="34"/>
        <v>x</v>
      </c>
      <c r="R162" s="174" t="str">
        <f t="shared" si="34"/>
        <v>BS</v>
      </c>
      <c r="S162" s="174" t="str">
        <f t="shared" si="34"/>
        <v>all</v>
      </c>
      <c r="T162" s="173" t="str">
        <f t="shared" si="34"/>
        <v/>
      </c>
      <c r="U162" s="173" t="str">
        <f t="shared" si="34"/>
        <v/>
      </c>
      <c r="V162" s="173" t="str">
        <f t="shared" si="34"/>
        <v/>
      </c>
      <c r="W162" s="173" t="str">
        <f t="shared" si="34"/>
        <v/>
      </c>
      <c r="X162" s="173" t="str">
        <f t="shared" si="34"/>
        <v/>
      </c>
      <c r="Y162" s="173" t="str">
        <f t="shared" si="34"/>
        <v/>
      </c>
    </row>
    <row r="163" spans="1:25" x14ac:dyDescent="0.3">
      <c r="A163" s="172">
        <f t="shared" si="28"/>
        <v>161</v>
      </c>
      <c r="B163" s="173" t="str">
        <f t="shared" ref="B163:K172" si="35">IF(ISNONTEXT(B$2),IF(B$2="","",IF(INDEX(IMPORT,$A163,B$2)=0,"",IFERROR(VLOOKUP(INDEX(IMPORT,$A163,B$2),ImportTranslation,2,0),INDEX(IMPORT,$A163,B$2)))),B$2)</f>
        <v/>
      </c>
      <c r="C163" s="173" t="str">
        <f t="shared" si="35"/>
        <v/>
      </c>
      <c r="D163" s="173" t="str">
        <f t="shared" si="35"/>
        <v/>
      </c>
      <c r="E163" s="173" t="str">
        <f t="shared" si="35"/>
        <v/>
      </c>
      <c r="F163" s="173" t="str">
        <f t="shared" si="35"/>
        <v/>
      </c>
      <c r="G163" s="173" t="str">
        <f t="shared" si="35"/>
        <v/>
      </c>
      <c r="H163" s="173" t="str">
        <f t="shared" si="35"/>
        <v/>
      </c>
      <c r="I163" s="173" t="str">
        <f t="shared" si="35"/>
        <v/>
      </c>
      <c r="J163" s="173" t="str">
        <f t="shared" si="35"/>
        <v/>
      </c>
      <c r="K163" s="173" t="str">
        <f t="shared" si="35"/>
        <v/>
      </c>
      <c r="L163" s="173" t="str">
        <f t="shared" ref="L163:Y172" si="36">IF(ISNONTEXT(L$2),IF(L$2="","",IF(INDEX(IMPORT,$A163,L$2)=0,"",IFERROR(VLOOKUP(INDEX(IMPORT,$A163,L$2),ImportTranslation,2,0),INDEX(IMPORT,$A163,L$2)))),L$2)</f>
        <v>info</v>
      </c>
      <c r="M163" s="173" t="str">
        <f t="shared" si="36"/>
        <v/>
      </c>
      <c r="N163" s="173" t="str">
        <f t="shared" si="36"/>
        <v/>
      </c>
      <c r="O163" s="173" t="str">
        <f t="shared" si="36"/>
        <v/>
      </c>
      <c r="P163" s="174" t="str">
        <f t="shared" si="36"/>
        <v/>
      </c>
      <c r="Q163" s="174" t="str">
        <f t="shared" si="36"/>
        <v>x</v>
      </c>
      <c r="R163" s="174" t="str">
        <f t="shared" si="36"/>
        <v>BS</v>
      </c>
      <c r="S163" s="174" t="str">
        <f t="shared" si="36"/>
        <v>all</v>
      </c>
      <c r="T163" s="173" t="str">
        <f t="shared" si="36"/>
        <v/>
      </c>
      <c r="U163" s="173" t="str">
        <f t="shared" si="36"/>
        <v/>
      </c>
      <c r="V163" s="173" t="str">
        <f t="shared" si="36"/>
        <v/>
      </c>
      <c r="W163" s="173" t="str">
        <f t="shared" si="36"/>
        <v/>
      </c>
      <c r="X163" s="173" t="str">
        <f t="shared" si="36"/>
        <v/>
      </c>
      <c r="Y163" s="173" t="str">
        <f t="shared" si="36"/>
        <v/>
      </c>
    </row>
    <row r="164" spans="1:25" x14ac:dyDescent="0.3">
      <c r="A164" s="172">
        <f t="shared" si="28"/>
        <v>162</v>
      </c>
      <c r="B164" s="173" t="str">
        <f t="shared" si="35"/>
        <v/>
      </c>
      <c r="C164" s="173" t="str">
        <f t="shared" si="35"/>
        <v/>
      </c>
      <c r="D164" s="173" t="str">
        <f t="shared" si="35"/>
        <v/>
      </c>
      <c r="E164" s="173" t="str">
        <f t="shared" si="35"/>
        <v/>
      </c>
      <c r="F164" s="173" t="str">
        <f t="shared" si="35"/>
        <v/>
      </c>
      <c r="G164" s="173" t="str">
        <f t="shared" si="35"/>
        <v/>
      </c>
      <c r="H164" s="173" t="str">
        <f t="shared" si="35"/>
        <v/>
      </c>
      <c r="I164" s="173" t="str">
        <f t="shared" si="35"/>
        <v/>
      </c>
      <c r="J164" s="173" t="str">
        <f t="shared" si="35"/>
        <v/>
      </c>
      <c r="K164" s="173" t="str">
        <f t="shared" si="35"/>
        <v/>
      </c>
      <c r="L164" s="173" t="str">
        <f t="shared" si="36"/>
        <v>info</v>
      </c>
      <c r="M164" s="173" t="str">
        <f t="shared" si="36"/>
        <v/>
      </c>
      <c r="N164" s="173" t="str">
        <f t="shared" si="36"/>
        <v/>
      </c>
      <c r="O164" s="173" t="str">
        <f t="shared" si="36"/>
        <v/>
      </c>
      <c r="P164" s="174" t="str">
        <f t="shared" si="36"/>
        <v/>
      </c>
      <c r="Q164" s="174" t="str">
        <f t="shared" si="36"/>
        <v>x</v>
      </c>
      <c r="R164" s="174" t="str">
        <f t="shared" si="36"/>
        <v>BS</v>
      </c>
      <c r="S164" s="174" t="str">
        <f t="shared" si="36"/>
        <v>all</v>
      </c>
      <c r="T164" s="173" t="str">
        <f t="shared" si="36"/>
        <v/>
      </c>
      <c r="U164" s="173" t="str">
        <f t="shared" si="36"/>
        <v/>
      </c>
      <c r="V164" s="173" t="str">
        <f t="shared" si="36"/>
        <v/>
      </c>
      <c r="W164" s="173" t="str">
        <f t="shared" si="36"/>
        <v/>
      </c>
      <c r="X164" s="173" t="str">
        <f t="shared" si="36"/>
        <v/>
      </c>
      <c r="Y164" s="173" t="str">
        <f t="shared" si="36"/>
        <v/>
      </c>
    </row>
    <row r="165" spans="1:25" x14ac:dyDescent="0.3">
      <c r="A165" s="172">
        <f t="shared" si="28"/>
        <v>163</v>
      </c>
      <c r="B165" s="173" t="str">
        <f t="shared" si="35"/>
        <v/>
      </c>
      <c r="C165" s="173" t="str">
        <f t="shared" si="35"/>
        <v/>
      </c>
      <c r="D165" s="173" t="str">
        <f t="shared" si="35"/>
        <v/>
      </c>
      <c r="E165" s="173" t="str">
        <f t="shared" si="35"/>
        <v/>
      </c>
      <c r="F165" s="173" t="str">
        <f t="shared" si="35"/>
        <v/>
      </c>
      <c r="G165" s="173" t="str">
        <f t="shared" si="35"/>
        <v/>
      </c>
      <c r="H165" s="173" t="str">
        <f t="shared" si="35"/>
        <v/>
      </c>
      <c r="I165" s="173" t="str">
        <f t="shared" si="35"/>
        <v/>
      </c>
      <c r="J165" s="173" t="str">
        <f t="shared" si="35"/>
        <v/>
      </c>
      <c r="K165" s="173" t="str">
        <f t="shared" si="35"/>
        <v/>
      </c>
      <c r="L165" s="173" t="str">
        <f t="shared" si="36"/>
        <v>info</v>
      </c>
      <c r="M165" s="173" t="str">
        <f t="shared" si="36"/>
        <v/>
      </c>
      <c r="N165" s="173" t="str">
        <f t="shared" si="36"/>
        <v/>
      </c>
      <c r="O165" s="173" t="str">
        <f t="shared" si="36"/>
        <v/>
      </c>
      <c r="P165" s="174" t="str">
        <f t="shared" si="36"/>
        <v/>
      </c>
      <c r="Q165" s="174" t="str">
        <f t="shared" si="36"/>
        <v>x</v>
      </c>
      <c r="R165" s="174" t="str">
        <f t="shared" si="36"/>
        <v>BS</v>
      </c>
      <c r="S165" s="174" t="str">
        <f t="shared" si="36"/>
        <v>all</v>
      </c>
      <c r="T165" s="173" t="str">
        <f t="shared" si="36"/>
        <v/>
      </c>
      <c r="U165" s="173" t="str">
        <f t="shared" si="36"/>
        <v/>
      </c>
      <c r="V165" s="173" t="str">
        <f t="shared" si="36"/>
        <v/>
      </c>
      <c r="W165" s="173" t="str">
        <f t="shared" si="36"/>
        <v/>
      </c>
      <c r="X165" s="173" t="str">
        <f t="shared" si="36"/>
        <v/>
      </c>
      <c r="Y165" s="173" t="str">
        <f t="shared" si="36"/>
        <v/>
      </c>
    </row>
    <row r="166" spans="1:25" x14ac:dyDescent="0.3">
      <c r="A166" s="172">
        <f t="shared" si="28"/>
        <v>164</v>
      </c>
      <c r="B166" s="173" t="str">
        <f t="shared" si="35"/>
        <v/>
      </c>
      <c r="C166" s="173" t="str">
        <f t="shared" si="35"/>
        <v/>
      </c>
      <c r="D166" s="173" t="str">
        <f t="shared" si="35"/>
        <v/>
      </c>
      <c r="E166" s="173" t="str">
        <f t="shared" si="35"/>
        <v/>
      </c>
      <c r="F166" s="173" t="str">
        <f t="shared" si="35"/>
        <v/>
      </c>
      <c r="G166" s="173" t="str">
        <f t="shared" si="35"/>
        <v/>
      </c>
      <c r="H166" s="173" t="str">
        <f t="shared" si="35"/>
        <v/>
      </c>
      <c r="I166" s="173" t="str">
        <f t="shared" si="35"/>
        <v/>
      </c>
      <c r="J166" s="173" t="str">
        <f t="shared" si="35"/>
        <v/>
      </c>
      <c r="K166" s="173" t="str">
        <f t="shared" si="35"/>
        <v/>
      </c>
      <c r="L166" s="173" t="str">
        <f t="shared" si="36"/>
        <v>info</v>
      </c>
      <c r="M166" s="173" t="str">
        <f t="shared" si="36"/>
        <v/>
      </c>
      <c r="N166" s="173" t="str">
        <f t="shared" si="36"/>
        <v/>
      </c>
      <c r="O166" s="173" t="str">
        <f t="shared" si="36"/>
        <v/>
      </c>
      <c r="P166" s="174" t="str">
        <f t="shared" si="36"/>
        <v/>
      </c>
      <c r="Q166" s="174" t="str">
        <f t="shared" si="36"/>
        <v>x</v>
      </c>
      <c r="R166" s="174" t="str">
        <f t="shared" si="36"/>
        <v>BS</v>
      </c>
      <c r="S166" s="174" t="str">
        <f t="shared" si="36"/>
        <v>all</v>
      </c>
      <c r="T166" s="173" t="str">
        <f t="shared" si="36"/>
        <v/>
      </c>
      <c r="U166" s="173" t="str">
        <f t="shared" si="36"/>
        <v/>
      </c>
      <c r="V166" s="173" t="str">
        <f t="shared" si="36"/>
        <v/>
      </c>
      <c r="W166" s="173" t="str">
        <f t="shared" si="36"/>
        <v/>
      </c>
      <c r="X166" s="173" t="str">
        <f t="shared" si="36"/>
        <v/>
      </c>
      <c r="Y166" s="173" t="str">
        <f t="shared" si="36"/>
        <v/>
      </c>
    </row>
    <row r="167" spans="1:25" x14ac:dyDescent="0.3">
      <c r="A167" s="172">
        <f t="shared" si="28"/>
        <v>165</v>
      </c>
      <c r="B167" s="173" t="str">
        <f t="shared" si="35"/>
        <v/>
      </c>
      <c r="C167" s="173" t="str">
        <f t="shared" si="35"/>
        <v/>
      </c>
      <c r="D167" s="173" t="str">
        <f t="shared" si="35"/>
        <v/>
      </c>
      <c r="E167" s="173" t="str">
        <f t="shared" si="35"/>
        <v/>
      </c>
      <c r="F167" s="173" t="str">
        <f t="shared" si="35"/>
        <v/>
      </c>
      <c r="G167" s="173" t="str">
        <f t="shared" si="35"/>
        <v/>
      </c>
      <c r="H167" s="173" t="str">
        <f t="shared" si="35"/>
        <v/>
      </c>
      <c r="I167" s="173" t="str">
        <f t="shared" si="35"/>
        <v/>
      </c>
      <c r="J167" s="173" t="str">
        <f t="shared" si="35"/>
        <v/>
      </c>
      <c r="K167" s="173" t="str">
        <f t="shared" si="35"/>
        <v/>
      </c>
      <c r="L167" s="173" t="str">
        <f t="shared" si="36"/>
        <v>info</v>
      </c>
      <c r="M167" s="173" t="str">
        <f t="shared" si="36"/>
        <v/>
      </c>
      <c r="N167" s="173" t="str">
        <f t="shared" si="36"/>
        <v/>
      </c>
      <c r="O167" s="173" t="str">
        <f t="shared" si="36"/>
        <v/>
      </c>
      <c r="P167" s="174" t="str">
        <f t="shared" si="36"/>
        <v/>
      </c>
      <c r="Q167" s="174" t="str">
        <f t="shared" si="36"/>
        <v>x</v>
      </c>
      <c r="R167" s="174" t="str">
        <f t="shared" si="36"/>
        <v>BS</v>
      </c>
      <c r="S167" s="174" t="str">
        <f t="shared" si="36"/>
        <v>all</v>
      </c>
      <c r="T167" s="173" t="str">
        <f t="shared" si="36"/>
        <v/>
      </c>
      <c r="U167" s="173" t="str">
        <f t="shared" si="36"/>
        <v/>
      </c>
      <c r="V167" s="173" t="str">
        <f t="shared" si="36"/>
        <v/>
      </c>
      <c r="W167" s="173" t="str">
        <f t="shared" si="36"/>
        <v/>
      </c>
      <c r="X167" s="173" t="str">
        <f t="shared" si="36"/>
        <v/>
      </c>
      <c r="Y167" s="173" t="str">
        <f t="shared" si="36"/>
        <v/>
      </c>
    </row>
    <row r="168" spans="1:25" x14ac:dyDescent="0.3">
      <c r="A168" s="172">
        <f t="shared" si="28"/>
        <v>166</v>
      </c>
      <c r="B168" s="173" t="str">
        <f t="shared" si="35"/>
        <v/>
      </c>
      <c r="C168" s="173" t="str">
        <f t="shared" si="35"/>
        <v/>
      </c>
      <c r="D168" s="173" t="str">
        <f t="shared" si="35"/>
        <v/>
      </c>
      <c r="E168" s="173" t="str">
        <f t="shared" si="35"/>
        <v/>
      </c>
      <c r="F168" s="173" t="str">
        <f t="shared" si="35"/>
        <v/>
      </c>
      <c r="G168" s="173" t="str">
        <f t="shared" si="35"/>
        <v/>
      </c>
      <c r="H168" s="173" t="str">
        <f t="shared" si="35"/>
        <v/>
      </c>
      <c r="I168" s="173" t="str">
        <f t="shared" si="35"/>
        <v/>
      </c>
      <c r="J168" s="173" t="str">
        <f t="shared" si="35"/>
        <v/>
      </c>
      <c r="K168" s="173" t="str">
        <f t="shared" si="35"/>
        <v/>
      </c>
      <c r="L168" s="173" t="str">
        <f t="shared" si="36"/>
        <v>info</v>
      </c>
      <c r="M168" s="173" t="str">
        <f t="shared" si="36"/>
        <v/>
      </c>
      <c r="N168" s="173" t="str">
        <f t="shared" si="36"/>
        <v/>
      </c>
      <c r="O168" s="173" t="str">
        <f t="shared" si="36"/>
        <v/>
      </c>
      <c r="P168" s="174" t="str">
        <f t="shared" si="36"/>
        <v/>
      </c>
      <c r="Q168" s="174" t="str">
        <f t="shared" si="36"/>
        <v>x</v>
      </c>
      <c r="R168" s="174" t="str">
        <f t="shared" si="36"/>
        <v>BS</v>
      </c>
      <c r="S168" s="174" t="str">
        <f t="shared" si="36"/>
        <v>all</v>
      </c>
      <c r="T168" s="173" t="str">
        <f t="shared" si="36"/>
        <v/>
      </c>
      <c r="U168" s="173" t="str">
        <f t="shared" si="36"/>
        <v/>
      </c>
      <c r="V168" s="173" t="str">
        <f t="shared" si="36"/>
        <v/>
      </c>
      <c r="W168" s="173" t="str">
        <f t="shared" si="36"/>
        <v/>
      </c>
      <c r="X168" s="173" t="str">
        <f t="shared" si="36"/>
        <v/>
      </c>
      <c r="Y168" s="173" t="str">
        <f t="shared" si="36"/>
        <v/>
      </c>
    </row>
    <row r="169" spans="1:25" x14ac:dyDescent="0.3">
      <c r="A169" s="172">
        <f t="shared" si="28"/>
        <v>167</v>
      </c>
      <c r="B169" s="173" t="str">
        <f t="shared" si="35"/>
        <v/>
      </c>
      <c r="C169" s="173" t="str">
        <f t="shared" si="35"/>
        <v/>
      </c>
      <c r="D169" s="173" t="str">
        <f t="shared" si="35"/>
        <v/>
      </c>
      <c r="E169" s="173" t="str">
        <f t="shared" si="35"/>
        <v/>
      </c>
      <c r="F169" s="173" t="str">
        <f t="shared" si="35"/>
        <v/>
      </c>
      <c r="G169" s="173" t="str">
        <f t="shared" si="35"/>
        <v/>
      </c>
      <c r="H169" s="173" t="str">
        <f t="shared" si="35"/>
        <v/>
      </c>
      <c r="I169" s="173" t="str">
        <f t="shared" si="35"/>
        <v/>
      </c>
      <c r="J169" s="173" t="str">
        <f t="shared" si="35"/>
        <v/>
      </c>
      <c r="K169" s="173" t="str">
        <f t="shared" si="35"/>
        <v/>
      </c>
      <c r="L169" s="173" t="str">
        <f t="shared" si="36"/>
        <v>info</v>
      </c>
      <c r="M169" s="173" t="str">
        <f t="shared" si="36"/>
        <v/>
      </c>
      <c r="N169" s="173" t="str">
        <f t="shared" si="36"/>
        <v/>
      </c>
      <c r="O169" s="173" t="str">
        <f t="shared" si="36"/>
        <v/>
      </c>
      <c r="P169" s="174" t="str">
        <f t="shared" si="36"/>
        <v/>
      </c>
      <c r="Q169" s="174" t="str">
        <f t="shared" si="36"/>
        <v>x</v>
      </c>
      <c r="R169" s="174" t="str">
        <f t="shared" si="36"/>
        <v>BS</v>
      </c>
      <c r="S169" s="174" t="str">
        <f t="shared" si="36"/>
        <v>all</v>
      </c>
      <c r="T169" s="173" t="str">
        <f t="shared" si="36"/>
        <v/>
      </c>
      <c r="U169" s="173" t="str">
        <f t="shared" si="36"/>
        <v/>
      </c>
      <c r="V169" s="173" t="str">
        <f t="shared" si="36"/>
        <v/>
      </c>
      <c r="W169" s="173" t="str">
        <f t="shared" si="36"/>
        <v/>
      </c>
      <c r="X169" s="173" t="str">
        <f t="shared" si="36"/>
        <v/>
      </c>
      <c r="Y169" s="173" t="str">
        <f t="shared" si="36"/>
        <v/>
      </c>
    </row>
    <row r="170" spans="1:25" x14ac:dyDescent="0.3">
      <c r="A170" s="172">
        <f t="shared" si="28"/>
        <v>168</v>
      </c>
      <c r="B170" s="173" t="str">
        <f t="shared" si="35"/>
        <v/>
      </c>
      <c r="C170" s="173" t="str">
        <f t="shared" si="35"/>
        <v/>
      </c>
      <c r="D170" s="173" t="str">
        <f t="shared" si="35"/>
        <v/>
      </c>
      <c r="E170" s="173" t="str">
        <f t="shared" si="35"/>
        <v/>
      </c>
      <c r="F170" s="173" t="str">
        <f t="shared" si="35"/>
        <v/>
      </c>
      <c r="G170" s="173" t="str">
        <f t="shared" si="35"/>
        <v/>
      </c>
      <c r="H170" s="173" t="str">
        <f t="shared" si="35"/>
        <v/>
      </c>
      <c r="I170" s="173" t="str">
        <f t="shared" si="35"/>
        <v/>
      </c>
      <c r="J170" s="173" t="str">
        <f t="shared" si="35"/>
        <v/>
      </c>
      <c r="K170" s="173" t="str">
        <f t="shared" si="35"/>
        <v/>
      </c>
      <c r="L170" s="173" t="str">
        <f t="shared" si="36"/>
        <v>info</v>
      </c>
      <c r="M170" s="173" t="str">
        <f t="shared" si="36"/>
        <v/>
      </c>
      <c r="N170" s="173" t="str">
        <f t="shared" si="36"/>
        <v/>
      </c>
      <c r="O170" s="173" t="str">
        <f t="shared" si="36"/>
        <v/>
      </c>
      <c r="P170" s="174" t="str">
        <f t="shared" si="36"/>
        <v/>
      </c>
      <c r="Q170" s="174" t="str">
        <f t="shared" si="36"/>
        <v>x</v>
      </c>
      <c r="R170" s="174" t="str">
        <f t="shared" si="36"/>
        <v>BS</v>
      </c>
      <c r="S170" s="174" t="str">
        <f t="shared" si="36"/>
        <v>all</v>
      </c>
      <c r="T170" s="173" t="str">
        <f t="shared" si="36"/>
        <v/>
      </c>
      <c r="U170" s="173" t="str">
        <f t="shared" si="36"/>
        <v/>
      </c>
      <c r="V170" s="173" t="str">
        <f t="shared" si="36"/>
        <v/>
      </c>
      <c r="W170" s="173" t="str">
        <f t="shared" si="36"/>
        <v/>
      </c>
      <c r="X170" s="173" t="str">
        <f t="shared" si="36"/>
        <v/>
      </c>
      <c r="Y170" s="173" t="str">
        <f t="shared" si="36"/>
        <v/>
      </c>
    </row>
    <row r="171" spans="1:25" x14ac:dyDescent="0.3">
      <c r="A171" s="172">
        <f t="shared" si="28"/>
        <v>169</v>
      </c>
      <c r="B171" s="173" t="str">
        <f t="shared" si="35"/>
        <v/>
      </c>
      <c r="C171" s="173" t="str">
        <f t="shared" si="35"/>
        <v/>
      </c>
      <c r="D171" s="173" t="str">
        <f t="shared" si="35"/>
        <v/>
      </c>
      <c r="E171" s="173" t="str">
        <f t="shared" si="35"/>
        <v/>
      </c>
      <c r="F171" s="173" t="str">
        <f t="shared" si="35"/>
        <v/>
      </c>
      <c r="G171" s="173" t="str">
        <f t="shared" si="35"/>
        <v/>
      </c>
      <c r="H171" s="173" t="str">
        <f t="shared" si="35"/>
        <v/>
      </c>
      <c r="I171" s="173" t="str">
        <f t="shared" si="35"/>
        <v/>
      </c>
      <c r="J171" s="173" t="str">
        <f t="shared" si="35"/>
        <v/>
      </c>
      <c r="K171" s="173" t="str">
        <f t="shared" si="35"/>
        <v/>
      </c>
      <c r="L171" s="173" t="str">
        <f t="shared" si="36"/>
        <v>info</v>
      </c>
      <c r="M171" s="173" t="str">
        <f t="shared" si="36"/>
        <v/>
      </c>
      <c r="N171" s="173" t="str">
        <f t="shared" si="36"/>
        <v/>
      </c>
      <c r="O171" s="173" t="str">
        <f t="shared" si="36"/>
        <v/>
      </c>
      <c r="P171" s="174" t="str">
        <f t="shared" si="36"/>
        <v/>
      </c>
      <c r="Q171" s="174" t="str">
        <f t="shared" si="36"/>
        <v>x</v>
      </c>
      <c r="R171" s="174" t="str">
        <f t="shared" si="36"/>
        <v>BS</v>
      </c>
      <c r="S171" s="174" t="str">
        <f t="shared" si="36"/>
        <v>all</v>
      </c>
      <c r="T171" s="173" t="str">
        <f t="shared" si="36"/>
        <v/>
      </c>
      <c r="U171" s="173" t="str">
        <f t="shared" si="36"/>
        <v/>
      </c>
      <c r="V171" s="173" t="str">
        <f t="shared" si="36"/>
        <v/>
      </c>
      <c r="W171" s="173" t="str">
        <f t="shared" si="36"/>
        <v/>
      </c>
      <c r="X171" s="173" t="str">
        <f t="shared" si="36"/>
        <v/>
      </c>
      <c r="Y171" s="173" t="str">
        <f t="shared" si="36"/>
        <v/>
      </c>
    </row>
    <row r="172" spans="1:25" x14ac:dyDescent="0.3">
      <c r="A172" s="172">
        <f t="shared" si="28"/>
        <v>170</v>
      </c>
      <c r="B172" s="173" t="str">
        <f t="shared" si="35"/>
        <v/>
      </c>
      <c r="C172" s="173" t="str">
        <f t="shared" si="35"/>
        <v/>
      </c>
      <c r="D172" s="173" t="str">
        <f t="shared" si="35"/>
        <v/>
      </c>
      <c r="E172" s="173" t="str">
        <f t="shared" si="35"/>
        <v/>
      </c>
      <c r="F172" s="173" t="str">
        <f t="shared" si="35"/>
        <v/>
      </c>
      <c r="G172" s="173" t="str">
        <f t="shared" si="35"/>
        <v/>
      </c>
      <c r="H172" s="173" t="str">
        <f t="shared" si="35"/>
        <v/>
      </c>
      <c r="I172" s="173" t="str">
        <f t="shared" si="35"/>
        <v/>
      </c>
      <c r="J172" s="173" t="str">
        <f t="shared" si="35"/>
        <v/>
      </c>
      <c r="K172" s="173" t="str">
        <f t="shared" si="35"/>
        <v/>
      </c>
      <c r="L172" s="173" t="str">
        <f t="shared" si="36"/>
        <v>info</v>
      </c>
      <c r="M172" s="173" t="str">
        <f t="shared" si="36"/>
        <v/>
      </c>
      <c r="N172" s="173" t="str">
        <f t="shared" si="36"/>
        <v/>
      </c>
      <c r="O172" s="173" t="str">
        <f t="shared" si="36"/>
        <v/>
      </c>
      <c r="P172" s="174" t="str">
        <f t="shared" si="36"/>
        <v/>
      </c>
      <c r="Q172" s="174" t="str">
        <f t="shared" si="36"/>
        <v>x</v>
      </c>
      <c r="R172" s="174" t="str">
        <f t="shared" si="36"/>
        <v>BS</v>
      </c>
      <c r="S172" s="174" t="str">
        <f t="shared" si="36"/>
        <v>all</v>
      </c>
      <c r="T172" s="173" t="str">
        <f t="shared" si="36"/>
        <v/>
      </c>
      <c r="U172" s="173" t="str">
        <f t="shared" si="36"/>
        <v/>
      </c>
      <c r="V172" s="173" t="str">
        <f t="shared" si="36"/>
        <v/>
      </c>
      <c r="W172" s="173" t="str">
        <f t="shared" si="36"/>
        <v/>
      </c>
      <c r="X172" s="173" t="str">
        <f t="shared" si="36"/>
        <v/>
      </c>
      <c r="Y172" s="173" t="str">
        <f t="shared" si="36"/>
        <v/>
      </c>
    </row>
    <row r="173" spans="1:25" x14ac:dyDescent="0.3">
      <c r="A173" s="172">
        <f t="shared" si="28"/>
        <v>171</v>
      </c>
      <c r="B173" s="173" t="str">
        <f t="shared" ref="B173:K182" si="37">IF(ISNONTEXT(B$2),IF(B$2="","",IF(INDEX(IMPORT,$A173,B$2)=0,"",IFERROR(VLOOKUP(INDEX(IMPORT,$A173,B$2),ImportTranslation,2,0),INDEX(IMPORT,$A173,B$2)))),B$2)</f>
        <v/>
      </c>
      <c r="C173" s="173" t="str">
        <f t="shared" si="37"/>
        <v/>
      </c>
      <c r="D173" s="173" t="str">
        <f t="shared" si="37"/>
        <v/>
      </c>
      <c r="E173" s="173" t="str">
        <f t="shared" si="37"/>
        <v/>
      </c>
      <c r="F173" s="173" t="str">
        <f t="shared" si="37"/>
        <v/>
      </c>
      <c r="G173" s="173" t="str">
        <f t="shared" si="37"/>
        <v/>
      </c>
      <c r="H173" s="173" t="str">
        <f t="shared" si="37"/>
        <v/>
      </c>
      <c r="I173" s="173" t="str">
        <f t="shared" si="37"/>
        <v/>
      </c>
      <c r="J173" s="173" t="str">
        <f t="shared" si="37"/>
        <v/>
      </c>
      <c r="K173" s="173" t="str">
        <f t="shared" si="37"/>
        <v/>
      </c>
      <c r="L173" s="173" t="str">
        <f t="shared" ref="L173:Y182" si="38">IF(ISNONTEXT(L$2),IF(L$2="","",IF(INDEX(IMPORT,$A173,L$2)=0,"",IFERROR(VLOOKUP(INDEX(IMPORT,$A173,L$2),ImportTranslation,2,0),INDEX(IMPORT,$A173,L$2)))),L$2)</f>
        <v>info</v>
      </c>
      <c r="M173" s="173" t="str">
        <f t="shared" si="38"/>
        <v/>
      </c>
      <c r="N173" s="173" t="str">
        <f t="shared" si="38"/>
        <v/>
      </c>
      <c r="O173" s="173" t="str">
        <f t="shared" si="38"/>
        <v/>
      </c>
      <c r="P173" s="174" t="str">
        <f t="shared" si="38"/>
        <v/>
      </c>
      <c r="Q173" s="174" t="str">
        <f t="shared" si="38"/>
        <v>x</v>
      </c>
      <c r="R173" s="174" t="str">
        <f t="shared" si="38"/>
        <v>BS</v>
      </c>
      <c r="S173" s="174" t="str">
        <f t="shared" si="38"/>
        <v>all</v>
      </c>
      <c r="T173" s="173" t="str">
        <f t="shared" si="38"/>
        <v/>
      </c>
      <c r="U173" s="173" t="str">
        <f t="shared" si="38"/>
        <v/>
      </c>
      <c r="V173" s="173" t="str">
        <f t="shared" si="38"/>
        <v/>
      </c>
      <c r="W173" s="173" t="str">
        <f t="shared" si="38"/>
        <v/>
      </c>
      <c r="X173" s="173" t="str">
        <f t="shared" si="38"/>
        <v/>
      </c>
      <c r="Y173" s="173" t="str">
        <f t="shared" si="38"/>
        <v/>
      </c>
    </row>
    <row r="174" spans="1:25" x14ac:dyDescent="0.3">
      <c r="A174" s="172">
        <f t="shared" si="28"/>
        <v>172</v>
      </c>
      <c r="B174" s="173" t="str">
        <f t="shared" si="37"/>
        <v/>
      </c>
      <c r="C174" s="173" t="str">
        <f t="shared" si="37"/>
        <v/>
      </c>
      <c r="D174" s="173" t="str">
        <f t="shared" si="37"/>
        <v/>
      </c>
      <c r="E174" s="173" t="str">
        <f t="shared" si="37"/>
        <v/>
      </c>
      <c r="F174" s="173" t="str">
        <f t="shared" si="37"/>
        <v/>
      </c>
      <c r="G174" s="173" t="str">
        <f t="shared" si="37"/>
        <v/>
      </c>
      <c r="H174" s="173" t="str">
        <f t="shared" si="37"/>
        <v/>
      </c>
      <c r="I174" s="173" t="str">
        <f t="shared" si="37"/>
        <v/>
      </c>
      <c r="J174" s="173" t="str">
        <f t="shared" si="37"/>
        <v/>
      </c>
      <c r="K174" s="173" t="str">
        <f t="shared" si="37"/>
        <v/>
      </c>
      <c r="L174" s="173" t="str">
        <f t="shared" si="38"/>
        <v>info</v>
      </c>
      <c r="M174" s="173" t="str">
        <f t="shared" si="38"/>
        <v/>
      </c>
      <c r="N174" s="173" t="str">
        <f t="shared" si="38"/>
        <v/>
      </c>
      <c r="O174" s="173" t="str">
        <f t="shared" si="38"/>
        <v/>
      </c>
      <c r="P174" s="174" t="str">
        <f t="shared" si="38"/>
        <v/>
      </c>
      <c r="Q174" s="174" t="str">
        <f t="shared" si="38"/>
        <v>x</v>
      </c>
      <c r="R174" s="174" t="str">
        <f t="shared" si="38"/>
        <v>BS</v>
      </c>
      <c r="S174" s="174" t="str">
        <f t="shared" si="38"/>
        <v>all</v>
      </c>
      <c r="T174" s="173" t="str">
        <f t="shared" si="38"/>
        <v/>
      </c>
      <c r="U174" s="173" t="str">
        <f t="shared" si="38"/>
        <v/>
      </c>
      <c r="V174" s="173" t="str">
        <f t="shared" si="38"/>
        <v/>
      </c>
      <c r="W174" s="173" t="str">
        <f t="shared" si="38"/>
        <v/>
      </c>
      <c r="X174" s="173" t="str">
        <f t="shared" si="38"/>
        <v/>
      </c>
      <c r="Y174" s="173" t="str">
        <f t="shared" si="38"/>
        <v/>
      </c>
    </row>
    <row r="175" spans="1:25" x14ac:dyDescent="0.3">
      <c r="A175" s="172">
        <f t="shared" si="28"/>
        <v>173</v>
      </c>
      <c r="B175" s="173" t="str">
        <f t="shared" si="37"/>
        <v/>
      </c>
      <c r="C175" s="173" t="str">
        <f t="shared" si="37"/>
        <v/>
      </c>
      <c r="D175" s="173" t="str">
        <f t="shared" si="37"/>
        <v/>
      </c>
      <c r="E175" s="173" t="str">
        <f t="shared" si="37"/>
        <v/>
      </c>
      <c r="F175" s="173" t="str">
        <f t="shared" si="37"/>
        <v/>
      </c>
      <c r="G175" s="173" t="str">
        <f t="shared" si="37"/>
        <v/>
      </c>
      <c r="H175" s="173" t="str">
        <f t="shared" si="37"/>
        <v/>
      </c>
      <c r="I175" s="173" t="str">
        <f t="shared" si="37"/>
        <v/>
      </c>
      <c r="J175" s="173" t="str">
        <f t="shared" si="37"/>
        <v/>
      </c>
      <c r="K175" s="173" t="str">
        <f t="shared" si="37"/>
        <v/>
      </c>
      <c r="L175" s="173" t="str">
        <f t="shared" si="38"/>
        <v>info</v>
      </c>
      <c r="M175" s="173" t="str">
        <f t="shared" si="38"/>
        <v/>
      </c>
      <c r="N175" s="173" t="str">
        <f t="shared" si="38"/>
        <v/>
      </c>
      <c r="O175" s="173" t="str">
        <f t="shared" si="38"/>
        <v/>
      </c>
      <c r="P175" s="174" t="str">
        <f t="shared" si="38"/>
        <v/>
      </c>
      <c r="Q175" s="174" t="str">
        <f t="shared" si="38"/>
        <v>x</v>
      </c>
      <c r="R175" s="174" t="str">
        <f t="shared" si="38"/>
        <v>BS</v>
      </c>
      <c r="S175" s="174" t="str">
        <f t="shared" si="38"/>
        <v>all</v>
      </c>
      <c r="T175" s="173" t="str">
        <f t="shared" si="38"/>
        <v/>
      </c>
      <c r="U175" s="173" t="str">
        <f t="shared" si="38"/>
        <v/>
      </c>
      <c r="V175" s="173" t="str">
        <f t="shared" si="38"/>
        <v/>
      </c>
      <c r="W175" s="173" t="str">
        <f t="shared" si="38"/>
        <v/>
      </c>
      <c r="X175" s="173" t="str">
        <f t="shared" si="38"/>
        <v/>
      </c>
      <c r="Y175" s="173" t="str">
        <f t="shared" si="38"/>
        <v/>
      </c>
    </row>
    <row r="176" spans="1:25" x14ac:dyDescent="0.3">
      <c r="A176" s="172">
        <f t="shared" si="28"/>
        <v>174</v>
      </c>
      <c r="B176" s="173" t="str">
        <f t="shared" si="37"/>
        <v/>
      </c>
      <c r="C176" s="173" t="str">
        <f t="shared" si="37"/>
        <v/>
      </c>
      <c r="D176" s="173" t="str">
        <f t="shared" si="37"/>
        <v/>
      </c>
      <c r="E176" s="173" t="str">
        <f t="shared" si="37"/>
        <v/>
      </c>
      <c r="F176" s="173" t="str">
        <f t="shared" si="37"/>
        <v/>
      </c>
      <c r="G176" s="173" t="str">
        <f t="shared" si="37"/>
        <v/>
      </c>
      <c r="H176" s="173" t="str">
        <f t="shared" si="37"/>
        <v/>
      </c>
      <c r="I176" s="173" t="str">
        <f t="shared" si="37"/>
        <v/>
      </c>
      <c r="J176" s="173" t="str">
        <f t="shared" si="37"/>
        <v/>
      </c>
      <c r="K176" s="173" t="str">
        <f t="shared" si="37"/>
        <v/>
      </c>
      <c r="L176" s="173" t="str">
        <f t="shared" si="38"/>
        <v>info</v>
      </c>
      <c r="M176" s="173" t="str">
        <f t="shared" si="38"/>
        <v/>
      </c>
      <c r="N176" s="173" t="str">
        <f t="shared" si="38"/>
        <v/>
      </c>
      <c r="O176" s="173" t="str">
        <f t="shared" si="38"/>
        <v/>
      </c>
      <c r="P176" s="174" t="str">
        <f t="shared" si="38"/>
        <v/>
      </c>
      <c r="Q176" s="174" t="str">
        <f t="shared" si="38"/>
        <v>x</v>
      </c>
      <c r="R176" s="174" t="str">
        <f t="shared" si="38"/>
        <v>BS</v>
      </c>
      <c r="S176" s="174" t="str">
        <f t="shared" si="38"/>
        <v>all</v>
      </c>
      <c r="T176" s="173" t="str">
        <f t="shared" si="38"/>
        <v/>
      </c>
      <c r="U176" s="173" t="str">
        <f t="shared" si="38"/>
        <v/>
      </c>
      <c r="V176" s="173" t="str">
        <f t="shared" si="38"/>
        <v/>
      </c>
      <c r="W176" s="173" t="str">
        <f t="shared" si="38"/>
        <v/>
      </c>
      <c r="X176" s="173" t="str">
        <f t="shared" si="38"/>
        <v/>
      </c>
      <c r="Y176" s="173" t="str">
        <f t="shared" si="38"/>
        <v/>
      </c>
    </row>
    <row r="177" spans="1:25" x14ac:dyDescent="0.3">
      <c r="A177" s="172">
        <f t="shared" si="28"/>
        <v>175</v>
      </c>
      <c r="B177" s="173" t="str">
        <f t="shared" si="37"/>
        <v/>
      </c>
      <c r="C177" s="173" t="str">
        <f t="shared" si="37"/>
        <v/>
      </c>
      <c r="D177" s="173" t="str">
        <f t="shared" si="37"/>
        <v/>
      </c>
      <c r="E177" s="173" t="str">
        <f t="shared" si="37"/>
        <v/>
      </c>
      <c r="F177" s="173" t="str">
        <f t="shared" si="37"/>
        <v/>
      </c>
      <c r="G177" s="173" t="str">
        <f t="shared" si="37"/>
        <v/>
      </c>
      <c r="H177" s="173" t="str">
        <f t="shared" si="37"/>
        <v/>
      </c>
      <c r="I177" s="173" t="str">
        <f t="shared" si="37"/>
        <v/>
      </c>
      <c r="J177" s="173" t="str">
        <f t="shared" si="37"/>
        <v/>
      </c>
      <c r="K177" s="173" t="str">
        <f t="shared" si="37"/>
        <v/>
      </c>
      <c r="L177" s="173" t="str">
        <f t="shared" si="38"/>
        <v>info</v>
      </c>
      <c r="M177" s="173" t="str">
        <f t="shared" si="38"/>
        <v/>
      </c>
      <c r="N177" s="173" t="str">
        <f t="shared" si="38"/>
        <v/>
      </c>
      <c r="O177" s="173" t="str">
        <f t="shared" si="38"/>
        <v/>
      </c>
      <c r="P177" s="174" t="str">
        <f t="shared" si="38"/>
        <v/>
      </c>
      <c r="Q177" s="174" t="str">
        <f t="shared" si="38"/>
        <v>x</v>
      </c>
      <c r="R177" s="174" t="str">
        <f t="shared" si="38"/>
        <v>BS</v>
      </c>
      <c r="S177" s="174" t="str">
        <f t="shared" si="38"/>
        <v>all</v>
      </c>
      <c r="T177" s="173" t="str">
        <f t="shared" si="38"/>
        <v/>
      </c>
      <c r="U177" s="173" t="str">
        <f t="shared" si="38"/>
        <v/>
      </c>
      <c r="V177" s="173" t="str">
        <f t="shared" si="38"/>
        <v/>
      </c>
      <c r="W177" s="173" t="str">
        <f t="shared" si="38"/>
        <v/>
      </c>
      <c r="X177" s="173" t="str">
        <f t="shared" si="38"/>
        <v/>
      </c>
      <c r="Y177" s="173" t="str">
        <f t="shared" si="38"/>
        <v/>
      </c>
    </row>
    <row r="178" spans="1:25" x14ac:dyDescent="0.3">
      <c r="A178" s="172">
        <f t="shared" si="28"/>
        <v>176</v>
      </c>
      <c r="B178" s="173" t="str">
        <f t="shared" si="37"/>
        <v/>
      </c>
      <c r="C178" s="173" t="str">
        <f t="shared" si="37"/>
        <v/>
      </c>
      <c r="D178" s="173" t="str">
        <f t="shared" si="37"/>
        <v/>
      </c>
      <c r="E178" s="173" t="str">
        <f t="shared" si="37"/>
        <v/>
      </c>
      <c r="F178" s="173" t="str">
        <f t="shared" si="37"/>
        <v/>
      </c>
      <c r="G178" s="173" t="str">
        <f t="shared" si="37"/>
        <v/>
      </c>
      <c r="H178" s="173" t="str">
        <f t="shared" si="37"/>
        <v/>
      </c>
      <c r="I178" s="173" t="str">
        <f t="shared" si="37"/>
        <v/>
      </c>
      <c r="J178" s="173" t="str">
        <f t="shared" si="37"/>
        <v/>
      </c>
      <c r="K178" s="173" t="str">
        <f t="shared" si="37"/>
        <v/>
      </c>
      <c r="L178" s="173" t="str">
        <f t="shared" si="38"/>
        <v>info</v>
      </c>
      <c r="M178" s="173" t="str">
        <f t="shared" si="38"/>
        <v/>
      </c>
      <c r="N178" s="173" t="str">
        <f t="shared" si="38"/>
        <v/>
      </c>
      <c r="O178" s="173" t="str">
        <f t="shared" si="38"/>
        <v/>
      </c>
      <c r="P178" s="174" t="str">
        <f t="shared" si="38"/>
        <v/>
      </c>
      <c r="Q178" s="174" t="str">
        <f t="shared" si="38"/>
        <v>x</v>
      </c>
      <c r="R178" s="174" t="str">
        <f t="shared" si="38"/>
        <v>BS</v>
      </c>
      <c r="S178" s="174" t="str">
        <f t="shared" si="38"/>
        <v>all</v>
      </c>
      <c r="T178" s="173" t="str">
        <f t="shared" si="38"/>
        <v/>
      </c>
      <c r="U178" s="173" t="str">
        <f t="shared" si="38"/>
        <v/>
      </c>
      <c r="V178" s="173" t="str">
        <f t="shared" si="38"/>
        <v/>
      </c>
      <c r="W178" s="173" t="str">
        <f t="shared" si="38"/>
        <v/>
      </c>
      <c r="X178" s="173" t="str">
        <f t="shared" si="38"/>
        <v/>
      </c>
      <c r="Y178" s="173" t="str">
        <f t="shared" si="38"/>
        <v/>
      </c>
    </row>
    <row r="179" spans="1:25" x14ac:dyDescent="0.3">
      <c r="A179" s="172">
        <f t="shared" si="28"/>
        <v>177</v>
      </c>
      <c r="B179" s="173" t="str">
        <f t="shared" si="37"/>
        <v/>
      </c>
      <c r="C179" s="173" t="str">
        <f t="shared" si="37"/>
        <v/>
      </c>
      <c r="D179" s="173" t="str">
        <f t="shared" si="37"/>
        <v/>
      </c>
      <c r="E179" s="173" t="str">
        <f t="shared" si="37"/>
        <v/>
      </c>
      <c r="F179" s="173" t="str">
        <f t="shared" si="37"/>
        <v/>
      </c>
      <c r="G179" s="173" t="str">
        <f t="shared" si="37"/>
        <v/>
      </c>
      <c r="H179" s="173" t="str">
        <f t="shared" si="37"/>
        <v/>
      </c>
      <c r="I179" s="173" t="str">
        <f t="shared" si="37"/>
        <v/>
      </c>
      <c r="J179" s="173" t="str">
        <f t="shared" si="37"/>
        <v/>
      </c>
      <c r="K179" s="173" t="str">
        <f t="shared" si="37"/>
        <v/>
      </c>
      <c r="L179" s="173" t="str">
        <f t="shared" si="38"/>
        <v>info</v>
      </c>
      <c r="M179" s="173" t="str">
        <f t="shared" si="38"/>
        <v/>
      </c>
      <c r="N179" s="173" t="str">
        <f t="shared" si="38"/>
        <v/>
      </c>
      <c r="O179" s="173" t="str">
        <f t="shared" si="38"/>
        <v/>
      </c>
      <c r="P179" s="174" t="str">
        <f t="shared" si="38"/>
        <v/>
      </c>
      <c r="Q179" s="174" t="str">
        <f t="shared" si="38"/>
        <v>x</v>
      </c>
      <c r="R179" s="174" t="str">
        <f t="shared" si="38"/>
        <v>BS</v>
      </c>
      <c r="S179" s="174" t="str">
        <f t="shared" si="38"/>
        <v>all</v>
      </c>
      <c r="T179" s="173" t="str">
        <f t="shared" si="38"/>
        <v/>
      </c>
      <c r="U179" s="173" t="str">
        <f t="shared" si="38"/>
        <v/>
      </c>
      <c r="V179" s="173" t="str">
        <f t="shared" si="38"/>
        <v/>
      </c>
      <c r="W179" s="173" t="str">
        <f t="shared" si="38"/>
        <v/>
      </c>
      <c r="X179" s="173" t="str">
        <f t="shared" si="38"/>
        <v/>
      </c>
      <c r="Y179" s="173" t="str">
        <f t="shared" si="38"/>
        <v/>
      </c>
    </row>
    <row r="180" spans="1:25" x14ac:dyDescent="0.3">
      <c r="A180" s="172">
        <f t="shared" si="28"/>
        <v>178</v>
      </c>
      <c r="B180" s="173" t="str">
        <f t="shared" si="37"/>
        <v/>
      </c>
      <c r="C180" s="173" t="str">
        <f t="shared" si="37"/>
        <v/>
      </c>
      <c r="D180" s="173" t="str">
        <f t="shared" si="37"/>
        <v/>
      </c>
      <c r="E180" s="173" t="str">
        <f t="shared" si="37"/>
        <v/>
      </c>
      <c r="F180" s="173" t="str">
        <f t="shared" si="37"/>
        <v/>
      </c>
      <c r="G180" s="173" t="str">
        <f t="shared" si="37"/>
        <v/>
      </c>
      <c r="H180" s="173" t="str">
        <f t="shared" si="37"/>
        <v/>
      </c>
      <c r="I180" s="173" t="str">
        <f t="shared" si="37"/>
        <v/>
      </c>
      <c r="J180" s="173" t="str">
        <f t="shared" si="37"/>
        <v/>
      </c>
      <c r="K180" s="173" t="str">
        <f t="shared" si="37"/>
        <v/>
      </c>
      <c r="L180" s="173" t="str">
        <f t="shared" si="38"/>
        <v>info</v>
      </c>
      <c r="M180" s="173" t="str">
        <f t="shared" si="38"/>
        <v/>
      </c>
      <c r="N180" s="173" t="str">
        <f t="shared" si="38"/>
        <v/>
      </c>
      <c r="O180" s="173" t="str">
        <f t="shared" si="38"/>
        <v/>
      </c>
      <c r="P180" s="174" t="str">
        <f t="shared" si="38"/>
        <v/>
      </c>
      <c r="Q180" s="174" t="str">
        <f t="shared" si="38"/>
        <v>x</v>
      </c>
      <c r="R180" s="174" t="str">
        <f t="shared" si="38"/>
        <v>BS</v>
      </c>
      <c r="S180" s="174" t="str">
        <f t="shared" si="38"/>
        <v>all</v>
      </c>
      <c r="T180" s="173" t="str">
        <f t="shared" si="38"/>
        <v/>
      </c>
      <c r="U180" s="173" t="str">
        <f t="shared" si="38"/>
        <v/>
      </c>
      <c r="V180" s="173" t="str">
        <f t="shared" si="38"/>
        <v/>
      </c>
      <c r="W180" s="173" t="str">
        <f t="shared" si="38"/>
        <v/>
      </c>
      <c r="X180" s="173" t="str">
        <f t="shared" si="38"/>
        <v/>
      </c>
      <c r="Y180" s="173" t="str">
        <f t="shared" si="38"/>
        <v/>
      </c>
    </row>
    <row r="181" spans="1:25" x14ac:dyDescent="0.3">
      <c r="A181" s="172">
        <f t="shared" si="28"/>
        <v>179</v>
      </c>
      <c r="B181" s="173" t="str">
        <f t="shared" si="37"/>
        <v/>
      </c>
      <c r="C181" s="173" t="str">
        <f t="shared" si="37"/>
        <v/>
      </c>
      <c r="D181" s="173" t="str">
        <f t="shared" si="37"/>
        <v/>
      </c>
      <c r="E181" s="173" t="str">
        <f t="shared" si="37"/>
        <v/>
      </c>
      <c r="F181" s="173" t="str">
        <f t="shared" si="37"/>
        <v/>
      </c>
      <c r="G181" s="173" t="str">
        <f t="shared" si="37"/>
        <v/>
      </c>
      <c r="H181" s="173" t="str">
        <f t="shared" si="37"/>
        <v/>
      </c>
      <c r="I181" s="173" t="str">
        <f t="shared" si="37"/>
        <v/>
      </c>
      <c r="J181" s="173" t="str">
        <f t="shared" si="37"/>
        <v/>
      </c>
      <c r="K181" s="173" t="str">
        <f t="shared" si="37"/>
        <v/>
      </c>
      <c r="L181" s="173" t="str">
        <f t="shared" si="38"/>
        <v>info</v>
      </c>
      <c r="M181" s="173" t="str">
        <f t="shared" si="38"/>
        <v/>
      </c>
      <c r="N181" s="173" t="str">
        <f t="shared" si="38"/>
        <v/>
      </c>
      <c r="O181" s="173" t="str">
        <f t="shared" si="38"/>
        <v/>
      </c>
      <c r="P181" s="174" t="str">
        <f t="shared" si="38"/>
        <v/>
      </c>
      <c r="Q181" s="174" t="str">
        <f t="shared" si="38"/>
        <v>x</v>
      </c>
      <c r="R181" s="174" t="str">
        <f t="shared" si="38"/>
        <v>BS</v>
      </c>
      <c r="S181" s="174" t="str">
        <f t="shared" si="38"/>
        <v>all</v>
      </c>
      <c r="T181" s="173" t="str">
        <f t="shared" si="38"/>
        <v/>
      </c>
      <c r="U181" s="173" t="str">
        <f t="shared" si="38"/>
        <v/>
      </c>
      <c r="V181" s="173" t="str">
        <f t="shared" si="38"/>
        <v/>
      </c>
      <c r="W181" s="173" t="str">
        <f t="shared" si="38"/>
        <v/>
      </c>
      <c r="X181" s="173" t="str">
        <f t="shared" si="38"/>
        <v/>
      </c>
      <c r="Y181" s="173" t="str">
        <f t="shared" si="38"/>
        <v/>
      </c>
    </row>
    <row r="182" spans="1:25" x14ac:dyDescent="0.3">
      <c r="A182" s="172">
        <f t="shared" si="28"/>
        <v>180</v>
      </c>
      <c r="B182" s="173" t="str">
        <f t="shared" si="37"/>
        <v/>
      </c>
      <c r="C182" s="173" t="str">
        <f t="shared" si="37"/>
        <v/>
      </c>
      <c r="D182" s="173" t="str">
        <f t="shared" si="37"/>
        <v/>
      </c>
      <c r="E182" s="173" t="str">
        <f t="shared" si="37"/>
        <v/>
      </c>
      <c r="F182" s="173" t="str">
        <f t="shared" si="37"/>
        <v/>
      </c>
      <c r="G182" s="173" t="str">
        <f t="shared" si="37"/>
        <v/>
      </c>
      <c r="H182" s="173" t="str">
        <f t="shared" si="37"/>
        <v/>
      </c>
      <c r="I182" s="173" t="str">
        <f t="shared" si="37"/>
        <v/>
      </c>
      <c r="J182" s="173" t="str">
        <f t="shared" si="37"/>
        <v/>
      </c>
      <c r="K182" s="173" t="str">
        <f t="shared" si="37"/>
        <v/>
      </c>
      <c r="L182" s="173" t="str">
        <f t="shared" si="38"/>
        <v>info</v>
      </c>
      <c r="M182" s="173" t="str">
        <f t="shared" si="38"/>
        <v/>
      </c>
      <c r="N182" s="173" t="str">
        <f t="shared" si="38"/>
        <v/>
      </c>
      <c r="O182" s="173" t="str">
        <f t="shared" si="38"/>
        <v/>
      </c>
      <c r="P182" s="174" t="str">
        <f t="shared" si="38"/>
        <v/>
      </c>
      <c r="Q182" s="174" t="str">
        <f t="shared" si="38"/>
        <v>x</v>
      </c>
      <c r="R182" s="174" t="str">
        <f t="shared" si="38"/>
        <v>BS</v>
      </c>
      <c r="S182" s="174" t="str">
        <f t="shared" si="38"/>
        <v>all</v>
      </c>
      <c r="T182" s="173" t="str">
        <f t="shared" si="38"/>
        <v/>
      </c>
      <c r="U182" s="173" t="str">
        <f t="shared" si="38"/>
        <v/>
      </c>
      <c r="V182" s="173" t="str">
        <f t="shared" si="38"/>
        <v/>
      </c>
      <c r="W182" s="173" t="str">
        <f t="shared" si="38"/>
        <v/>
      </c>
      <c r="X182" s="173" t="str">
        <f t="shared" si="38"/>
        <v/>
      </c>
      <c r="Y182" s="173" t="str">
        <f t="shared" si="38"/>
        <v/>
      </c>
    </row>
    <row r="183" spans="1:25" x14ac:dyDescent="0.3">
      <c r="A183" s="172">
        <f t="shared" si="28"/>
        <v>181</v>
      </c>
      <c r="B183" s="173" t="str">
        <f t="shared" ref="B183:K192" si="39">IF(ISNONTEXT(B$2),IF(B$2="","",IF(INDEX(IMPORT,$A183,B$2)=0,"",IFERROR(VLOOKUP(INDEX(IMPORT,$A183,B$2),ImportTranslation,2,0),INDEX(IMPORT,$A183,B$2)))),B$2)</f>
        <v/>
      </c>
      <c r="C183" s="173" t="str">
        <f t="shared" si="39"/>
        <v/>
      </c>
      <c r="D183" s="173" t="str">
        <f t="shared" si="39"/>
        <v/>
      </c>
      <c r="E183" s="173" t="str">
        <f t="shared" si="39"/>
        <v/>
      </c>
      <c r="F183" s="173" t="str">
        <f t="shared" si="39"/>
        <v/>
      </c>
      <c r="G183" s="173" t="str">
        <f t="shared" si="39"/>
        <v/>
      </c>
      <c r="H183" s="173" t="str">
        <f t="shared" si="39"/>
        <v/>
      </c>
      <c r="I183" s="173" t="str">
        <f t="shared" si="39"/>
        <v/>
      </c>
      <c r="J183" s="173" t="str">
        <f t="shared" si="39"/>
        <v/>
      </c>
      <c r="K183" s="173" t="str">
        <f t="shared" si="39"/>
        <v/>
      </c>
      <c r="L183" s="173" t="str">
        <f t="shared" ref="L183:Y192" si="40">IF(ISNONTEXT(L$2),IF(L$2="","",IF(INDEX(IMPORT,$A183,L$2)=0,"",IFERROR(VLOOKUP(INDEX(IMPORT,$A183,L$2),ImportTranslation,2,0),INDEX(IMPORT,$A183,L$2)))),L$2)</f>
        <v>info</v>
      </c>
      <c r="M183" s="173" t="str">
        <f t="shared" si="40"/>
        <v/>
      </c>
      <c r="N183" s="173" t="str">
        <f t="shared" si="40"/>
        <v/>
      </c>
      <c r="O183" s="173" t="str">
        <f t="shared" si="40"/>
        <v/>
      </c>
      <c r="P183" s="174" t="str">
        <f t="shared" si="40"/>
        <v/>
      </c>
      <c r="Q183" s="174" t="str">
        <f t="shared" si="40"/>
        <v>x</v>
      </c>
      <c r="R183" s="174" t="str">
        <f t="shared" si="40"/>
        <v>BS</v>
      </c>
      <c r="S183" s="174" t="str">
        <f t="shared" si="40"/>
        <v>all</v>
      </c>
      <c r="T183" s="173" t="str">
        <f t="shared" si="40"/>
        <v/>
      </c>
      <c r="U183" s="173" t="str">
        <f t="shared" si="40"/>
        <v/>
      </c>
      <c r="V183" s="173" t="str">
        <f t="shared" si="40"/>
        <v/>
      </c>
      <c r="W183" s="173" t="str">
        <f t="shared" si="40"/>
        <v/>
      </c>
      <c r="X183" s="173" t="str">
        <f t="shared" si="40"/>
        <v/>
      </c>
      <c r="Y183" s="173" t="str">
        <f t="shared" si="40"/>
        <v/>
      </c>
    </row>
    <row r="184" spans="1:25" x14ac:dyDescent="0.3">
      <c r="A184" s="172">
        <f t="shared" si="28"/>
        <v>182</v>
      </c>
      <c r="B184" s="173" t="str">
        <f t="shared" si="39"/>
        <v/>
      </c>
      <c r="C184" s="173" t="str">
        <f t="shared" si="39"/>
        <v/>
      </c>
      <c r="D184" s="173" t="str">
        <f t="shared" si="39"/>
        <v/>
      </c>
      <c r="E184" s="173" t="str">
        <f t="shared" si="39"/>
        <v/>
      </c>
      <c r="F184" s="173" t="str">
        <f t="shared" si="39"/>
        <v/>
      </c>
      <c r="G184" s="173" t="str">
        <f t="shared" si="39"/>
        <v/>
      </c>
      <c r="H184" s="173" t="str">
        <f t="shared" si="39"/>
        <v/>
      </c>
      <c r="I184" s="173" t="str">
        <f t="shared" si="39"/>
        <v/>
      </c>
      <c r="J184" s="173" t="str">
        <f t="shared" si="39"/>
        <v/>
      </c>
      <c r="K184" s="173" t="str">
        <f t="shared" si="39"/>
        <v/>
      </c>
      <c r="L184" s="173" t="str">
        <f t="shared" si="40"/>
        <v>info</v>
      </c>
      <c r="M184" s="173" t="str">
        <f t="shared" si="40"/>
        <v/>
      </c>
      <c r="N184" s="173" t="str">
        <f t="shared" si="40"/>
        <v/>
      </c>
      <c r="O184" s="173" t="str">
        <f t="shared" si="40"/>
        <v/>
      </c>
      <c r="P184" s="174" t="str">
        <f t="shared" si="40"/>
        <v/>
      </c>
      <c r="Q184" s="174" t="str">
        <f t="shared" si="40"/>
        <v>x</v>
      </c>
      <c r="R184" s="174" t="str">
        <f t="shared" si="40"/>
        <v>BS</v>
      </c>
      <c r="S184" s="174" t="str">
        <f t="shared" si="40"/>
        <v>all</v>
      </c>
      <c r="T184" s="173" t="str">
        <f t="shared" si="40"/>
        <v/>
      </c>
      <c r="U184" s="173" t="str">
        <f t="shared" si="40"/>
        <v/>
      </c>
      <c r="V184" s="173" t="str">
        <f t="shared" si="40"/>
        <v/>
      </c>
      <c r="W184" s="173" t="str">
        <f t="shared" si="40"/>
        <v/>
      </c>
      <c r="X184" s="173" t="str">
        <f t="shared" si="40"/>
        <v/>
      </c>
      <c r="Y184" s="173" t="str">
        <f t="shared" si="40"/>
        <v/>
      </c>
    </row>
    <row r="185" spans="1:25" x14ac:dyDescent="0.3">
      <c r="A185" s="172">
        <f t="shared" si="28"/>
        <v>183</v>
      </c>
      <c r="B185" s="173" t="str">
        <f t="shared" si="39"/>
        <v/>
      </c>
      <c r="C185" s="173" t="str">
        <f t="shared" si="39"/>
        <v/>
      </c>
      <c r="D185" s="173" t="str">
        <f t="shared" si="39"/>
        <v/>
      </c>
      <c r="E185" s="173" t="str">
        <f t="shared" si="39"/>
        <v/>
      </c>
      <c r="F185" s="173" t="str">
        <f t="shared" si="39"/>
        <v/>
      </c>
      <c r="G185" s="173" t="str">
        <f t="shared" si="39"/>
        <v/>
      </c>
      <c r="H185" s="173" t="str">
        <f t="shared" si="39"/>
        <v/>
      </c>
      <c r="I185" s="173" t="str">
        <f t="shared" si="39"/>
        <v/>
      </c>
      <c r="J185" s="173" t="str">
        <f t="shared" si="39"/>
        <v/>
      </c>
      <c r="K185" s="173" t="str">
        <f t="shared" si="39"/>
        <v/>
      </c>
      <c r="L185" s="173" t="str">
        <f t="shared" si="40"/>
        <v>info</v>
      </c>
      <c r="M185" s="173" t="str">
        <f t="shared" si="40"/>
        <v/>
      </c>
      <c r="N185" s="173" t="str">
        <f t="shared" si="40"/>
        <v/>
      </c>
      <c r="O185" s="173" t="str">
        <f t="shared" si="40"/>
        <v/>
      </c>
      <c r="P185" s="174" t="str">
        <f t="shared" si="40"/>
        <v/>
      </c>
      <c r="Q185" s="174" t="str">
        <f t="shared" si="40"/>
        <v>x</v>
      </c>
      <c r="R185" s="174" t="str">
        <f t="shared" si="40"/>
        <v>BS</v>
      </c>
      <c r="S185" s="174" t="str">
        <f t="shared" si="40"/>
        <v>all</v>
      </c>
      <c r="T185" s="173" t="str">
        <f t="shared" si="40"/>
        <v/>
      </c>
      <c r="U185" s="173" t="str">
        <f t="shared" si="40"/>
        <v/>
      </c>
      <c r="V185" s="173" t="str">
        <f t="shared" si="40"/>
        <v/>
      </c>
      <c r="W185" s="173" t="str">
        <f t="shared" si="40"/>
        <v/>
      </c>
      <c r="X185" s="173" t="str">
        <f t="shared" si="40"/>
        <v/>
      </c>
      <c r="Y185" s="173" t="str">
        <f t="shared" si="40"/>
        <v/>
      </c>
    </row>
    <row r="186" spans="1:25" x14ac:dyDescent="0.3">
      <c r="A186" s="172">
        <f t="shared" si="28"/>
        <v>184</v>
      </c>
      <c r="B186" s="173" t="str">
        <f t="shared" si="39"/>
        <v/>
      </c>
      <c r="C186" s="173" t="str">
        <f t="shared" si="39"/>
        <v/>
      </c>
      <c r="D186" s="173" t="str">
        <f t="shared" si="39"/>
        <v/>
      </c>
      <c r="E186" s="173" t="str">
        <f t="shared" si="39"/>
        <v/>
      </c>
      <c r="F186" s="173" t="str">
        <f t="shared" si="39"/>
        <v/>
      </c>
      <c r="G186" s="173" t="str">
        <f t="shared" si="39"/>
        <v/>
      </c>
      <c r="H186" s="173" t="str">
        <f t="shared" si="39"/>
        <v/>
      </c>
      <c r="I186" s="173" t="str">
        <f t="shared" si="39"/>
        <v/>
      </c>
      <c r="J186" s="173" t="str">
        <f t="shared" si="39"/>
        <v/>
      </c>
      <c r="K186" s="173" t="str">
        <f t="shared" si="39"/>
        <v/>
      </c>
      <c r="L186" s="173" t="str">
        <f t="shared" si="40"/>
        <v>info</v>
      </c>
      <c r="M186" s="173" t="str">
        <f t="shared" si="40"/>
        <v/>
      </c>
      <c r="N186" s="173" t="str">
        <f t="shared" si="40"/>
        <v/>
      </c>
      <c r="O186" s="173" t="str">
        <f t="shared" si="40"/>
        <v/>
      </c>
      <c r="P186" s="174" t="str">
        <f t="shared" si="40"/>
        <v/>
      </c>
      <c r="Q186" s="174" t="str">
        <f t="shared" si="40"/>
        <v>x</v>
      </c>
      <c r="R186" s="174" t="str">
        <f t="shared" si="40"/>
        <v>BS</v>
      </c>
      <c r="S186" s="174" t="str">
        <f t="shared" si="40"/>
        <v>all</v>
      </c>
      <c r="T186" s="173" t="str">
        <f t="shared" si="40"/>
        <v/>
      </c>
      <c r="U186" s="173" t="str">
        <f t="shared" si="40"/>
        <v/>
      </c>
      <c r="V186" s="173" t="str">
        <f t="shared" si="40"/>
        <v/>
      </c>
      <c r="W186" s="173" t="str">
        <f t="shared" si="40"/>
        <v/>
      </c>
      <c r="X186" s="173" t="str">
        <f t="shared" si="40"/>
        <v/>
      </c>
      <c r="Y186" s="173" t="str">
        <f t="shared" si="40"/>
        <v/>
      </c>
    </row>
    <row r="187" spans="1:25" x14ac:dyDescent="0.3">
      <c r="A187" s="172">
        <f t="shared" si="28"/>
        <v>185</v>
      </c>
      <c r="B187" s="173" t="str">
        <f t="shared" si="39"/>
        <v/>
      </c>
      <c r="C187" s="173" t="str">
        <f t="shared" si="39"/>
        <v/>
      </c>
      <c r="D187" s="173" t="str">
        <f t="shared" si="39"/>
        <v/>
      </c>
      <c r="E187" s="173" t="str">
        <f t="shared" si="39"/>
        <v/>
      </c>
      <c r="F187" s="173" t="str">
        <f t="shared" si="39"/>
        <v/>
      </c>
      <c r="G187" s="173" t="str">
        <f t="shared" si="39"/>
        <v/>
      </c>
      <c r="H187" s="173" t="str">
        <f t="shared" si="39"/>
        <v/>
      </c>
      <c r="I187" s="173" t="str">
        <f t="shared" si="39"/>
        <v/>
      </c>
      <c r="J187" s="173" t="str">
        <f t="shared" si="39"/>
        <v/>
      </c>
      <c r="K187" s="173" t="str">
        <f t="shared" si="39"/>
        <v/>
      </c>
      <c r="L187" s="173" t="str">
        <f t="shared" si="40"/>
        <v>info</v>
      </c>
      <c r="M187" s="173" t="str">
        <f t="shared" si="40"/>
        <v/>
      </c>
      <c r="N187" s="173" t="str">
        <f t="shared" si="40"/>
        <v/>
      </c>
      <c r="O187" s="173" t="str">
        <f t="shared" si="40"/>
        <v/>
      </c>
      <c r="P187" s="174" t="str">
        <f t="shared" si="40"/>
        <v/>
      </c>
      <c r="Q187" s="174" t="str">
        <f t="shared" si="40"/>
        <v>x</v>
      </c>
      <c r="R187" s="174" t="str">
        <f t="shared" si="40"/>
        <v>BS</v>
      </c>
      <c r="S187" s="174" t="str">
        <f t="shared" si="40"/>
        <v>all</v>
      </c>
      <c r="T187" s="173" t="str">
        <f t="shared" si="40"/>
        <v/>
      </c>
      <c r="U187" s="173" t="str">
        <f t="shared" si="40"/>
        <v/>
      </c>
      <c r="V187" s="173" t="str">
        <f t="shared" si="40"/>
        <v/>
      </c>
      <c r="W187" s="173" t="str">
        <f t="shared" si="40"/>
        <v/>
      </c>
      <c r="X187" s="173" t="str">
        <f t="shared" si="40"/>
        <v/>
      </c>
      <c r="Y187" s="173" t="str">
        <f t="shared" si="40"/>
        <v/>
      </c>
    </row>
    <row r="188" spans="1:25" x14ac:dyDescent="0.3">
      <c r="A188" s="172">
        <f t="shared" si="28"/>
        <v>186</v>
      </c>
      <c r="B188" s="173" t="str">
        <f t="shared" si="39"/>
        <v/>
      </c>
      <c r="C188" s="173" t="str">
        <f t="shared" si="39"/>
        <v/>
      </c>
      <c r="D188" s="173" t="str">
        <f t="shared" si="39"/>
        <v/>
      </c>
      <c r="E188" s="173" t="str">
        <f t="shared" si="39"/>
        <v/>
      </c>
      <c r="F188" s="173" t="str">
        <f t="shared" si="39"/>
        <v/>
      </c>
      <c r="G188" s="173" t="str">
        <f t="shared" si="39"/>
        <v/>
      </c>
      <c r="H188" s="173" t="str">
        <f t="shared" si="39"/>
        <v/>
      </c>
      <c r="I188" s="173" t="str">
        <f t="shared" si="39"/>
        <v/>
      </c>
      <c r="J188" s="173" t="str">
        <f t="shared" si="39"/>
        <v/>
      </c>
      <c r="K188" s="173" t="str">
        <f t="shared" si="39"/>
        <v/>
      </c>
      <c r="L188" s="173" t="str">
        <f t="shared" si="40"/>
        <v>info</v>
      </c>
      <c r="M188" s="173" t="str">
        <f t="shared" si="40"/>
        <v/>
      </c>
      <c r="N188" s="173" t="str">
        <f t="shared" si="40"/>
        <v/>
      </c>
      <c r="O188" s="173" t="str">
        <f t="shared" si="40"/>
        <v/>
      </c>
      <c r="P188" s="174" t="str">
        <f t="shared" si="40"/>
        <v/>
      </c>
      <c r="Q188" s="174" t="str">
        <f t="shared" si="40"/>
        <v>x</v>
      </c>
      <c r="R188" s="174" t="str">
        <f t="shared" si="40"/>
        <v>BS</v>
      </c>
      <c r="S188" s="174" t="str">
        <f t="shared" si="40"/>
        <v>all</v>
      </c>
      <c r="T188" s="173" t="str">
        <f t="shared" si="40"/>
        <v/>
      </c>
      <c r="U188" s="173" t="str">
        <f t="shared" si="40"/>
        <v/>
      </c>
      <c r="V188" s="173" t="str">
        <f t="shared" si="40"/>
        <v/>
      </c>
      <c r="W188" s="173" t="str">
        <f t="shared" si="40"/>
        <v/>
      </c>
      <c r="X188" s="173" t="str">
        <f t="shared" si="40"/>
        <v/>
      </c>
      <c r="Y188" s="173" t="str">
        <f t="shared" si="40"/>
        <v/>
      </c>
    </row>
    <row r="189" spans="1:25" x14ac:dyDescent="0.3">
      <c r="A189" s="172">
        <f t="shared" si="28"/>
        <v>187</v>
      </c>
      <c r="B189" s="173" t="str">
        <f t="shared" si="39"/>
        <v/>
      </c>
      <c r="C189" s="173" t="str">
        <f t="shared" si="39"/>
        <v/>
      </c>
      <c r="D189" s="173" t="str">
        <f t="shared" si="39"/>
        <v/>
      </c>
      <c r="E189" s="173" t="str">
        <f t="shared" si="39"/>
        <v/>
      </c>
      <c r="F189" s="173" t="str">
        <f t="shared" si="39"/>
        <v/>
      </c>
      <c r="G189" s="173" t="str">
        <f t="shared" si="39"/>
        <v/>
      </c>
      <c r="H189" s="173" t="str">
        <f t="shared" si="39"/>
        <v/>
      </c>
      <c r="I189" s="173" t="str">
        <f t="shared" si="39"/>
        <v/>
      </c>
      <c r="J189" s="173" t="str">
        <f t="shared" si="39"/>
        <v/>
      </c>
      <c r="K189" s="173" t="str">
        <f t="shared" si="39"/>
        <v/>
      </c>
      <c r="L189" s="173" t="str">
        <f t="shared" si="40"/>
        <v>info</v>
      </c>
      <c r="M189" s="173" t="str">
        <f t="shared" si="40"/>
        <v/>
      </c>
      <c r="N189" s="173" t="str">
        <f t="shared" si="40"/>
        <v/>
      </c>
      <c r="O189" s="173" t="str">
        <f t="shared" si="40"/>
        <v/>
      </c>
      <c r="P189" s="174" t="str">
        <f t="shared" si="40"/>
        <v/>
      </c>
      <c r="Q189" s="174" t="str">
        <f t="shared" si="40"/>
        <v>x</v>
      </c>
      <c r="R189" s="174" t="str">
        <f t="shared" si="40"/>
        <v>BS</v>
      </c>
      <c r="S189" s="174" t="str">
        <f t="shared" si="40"/>
        <v>all</v>
      </c>
      <c r="T189" s="173" t="str">
        <f t="shared" si="40"/>
        <v/>
      </c>
      <c r="U189" s="173" t="str">
        <f t="shared" si="40"/>
        <v/>
      </c>
      <c r="V189" s="173" t="str">
        <f t="shared" si="40"/>
        <v/>
      </c>
      <c r="W189" s="173" t="str">
        <f t="shared" si="40"/>
        <v/>
      </c>
      <c r="X189" s="173" t="str">
        <f t="shared" si="40"/>
        <v/>
      </c>
      <c r="Y189" s="173" t="str">
        <f t="shared" si="40"/>
        <v/>
      </c>
    </row>
    <row r="190" spans="1:25" x14ac:dyDescent="0.3">
      <c r="A190" s="172">
        <f t="shared" si="28"/>
        <v>188</v>
      </c>
      <c r="B190" s="173" t="str">
        <f t="shared" si="39"/>
        <v/>
      </c>
      <c r="C190" s="173" t="str">
        <f t="shared" si="39"/>
        <v/>
      </c>
      <c r="D190" s="173" t="str">
        <f t="shared" si="39"/>
        <v/>
      </c>
      <c r="E190" s="173" t="str">
        <f t="shared" si="39"/>
        <v/>
      </c>
      <c r="F190" s="173" t="str">
        <f t="shared" si="39"/>
        <v/>
      </c>
      <c r="G190" s="173" t="str">
        <f t="shared" si="39"/>
        <v/>
      </c>
      <c r="H190" s="173" t="str">
        <f t="shared" si="39"/>
        <v/>
      </c>
      <c r="I190" s="173" t="str">
        <f t="shared" si="39"/>
        <v/>
      </c>
      <c r="J190" s="173" t="str">
        <f t="shared" si="39"/>
        <v/>
      </c>
      <c r="K190" s="173" t="str">
        <f t="shared" si="39"/>
        <v/>
      </c>
      <c r="L190" s="173" t="str">
        <f t="shared" si="40"/>
        <v>info</v>
      </c>
      <c r="M190" s="173" t="str">
        <f t="shared" si="40"/>
        <v/>
      </c>
      <c r="N190" s="173" t="str">
        <f t="shared" si="40"/>
        <v/>
      </c>
      <c r="O190" s="173" t="str">
        <f t="shared" si="40"/>
        <v/>
      </c>
      <c r="P190" s="174" t="str">
        <f t="shared" si="40"/>
        <v/>
      </c>
      <c r="Q190" s="174" t="str">
        <f t="shared" si="40"/>
        <v>x</v>
      </c>
      <c r="R190" s="174" t="str">
        <f t="shared" si="40"/>
        <v>BS</v>
      </c>
      <c r="S190" s="174" t="str">
        <f t="shared" si="40"/>
        <v>all</v>
      </c>
      <c r="T190" s="173" t="str">
        <f t="shared" si="40"/>
        <v/>
      </c>
      <c r="U190" s="173" t="str">
        <f t="shared" si="40"/>
        <v/>
      </c>
      <c r="V190" s="173" t="str">
        <f t="shared" si="40"/>
        <v/>
      </c>
      <c r="W190" s="173" t="str">
        <f t="shared" si="40"/>
        <v/>
      </c>
      <c r="X190" s="173" t="str">
        <f t="shared" si="40"/>
        <v/>
      </c>
      <c r="Y190" s="173" t="str">
        <f t="shared" si="40"/>
        <v/>
      </c>
    </row>
    <row r="191" spans="1:25" x14ac:dyDescent="0.3">
      <c r="A191" s="172">
        <f t="shared" si="28"/>
        <v>189</v>
      </c>
      <c r="B191" s="173" t="str">
        <f t="shared" si="39"/>
        <v/>
      </c>
      <c r="C191" s="173" t="str">
        <f t="shared" si="39"/>
        <v/>
      </c>
      <c r="D191" s="173" t="str">
        <f t="shared" si="39"/>
        <v/>
      </c>
      <c r="E191" s="173" t="str">
        <f t="shared" si="39"/>
        <v/>
      </c>
      <c r="F191" s="173" t="str">
        <f t="shared" si="39"/>
        <v/>
      </c>
      <c r="G191" s="173" t="str">
        <f t="shared" si="39"/>
        <v/>
      </c>
      <c r="H191" s="173" t="str">
        <f t="shared" si="39"/>
        <v/>
      </c>
      <c r="I191" s="173" t="str">
        <f t="shared" si="39"/>
        <v/>
      </c>
      <c r="J191" s="173" t="str">
        <f t="shared" si="39"/>
        <v/>
      </c>
      <c r="K191" s="173" t="str">
        <f t="shared" si="39"/>
        <v/>
      </c>
      <c r="L191" s="173" t="str">
        <f t="shared" si="40"/>
        <v>info</v>
      </c>
      <c r="M191" s="173" t="str">
        <f t="shared" si="40"/>
        <v/>
      </c>
      <c r="N191" s="173" t="str">
        <f t="shared" si="40"/>
        <v/>
      </c>
      <c r="O191" s="173" t="str">
        <f t="shared" si="40"/>
        <v/>
      </c>
      <c r="P191" s="174" t="str">
        <f t="shared" si="40"/>
        <v/>
      </c>
      <c r="Q191" s="174" t="str">
        <f t="shared" si="40"/>
        <v>x</v>
      </c>
      <c r="R191" s="174" t="str">
        <f t="shared" si="40"/>
        <v>BS</v>
      </c>
      <c r="S191" s="174" t="str">
        <f t="shared" si="40"/>
        <v>all</v>
      </c>
      <c r="T191" s="173" t="str">
        <f t="shared" si="40"/>
        <v/>
      </c>
      <c r="U191" s="173" t="str">
        <f t="shared" si="40"/>
        <v/>
      </c>
      <c r="V191" s="173" t="str">
        <f t="shared" si="40"/>
        <v/>
      </c>
      <c r="W191" s="173" t="str">
        <f t="shared" si="40"/>
        <v/>
      </c>
      <c r="X191" s="173" t="str">
        <f t="shared" si="40"/>
        <v/>
      </c>
      <c r="Y191" s="173" t="str">
        <f t="shared" si="40"/>
        <v/>
      </c>
    </row>
    <row r="192" spans="1:25" x14ac:dyDescent="0.3">
      <c r="A192" s="172">
        <f t="shared" si="28"/>
        <v>190</v>
      </c>
      <c r="B192" s="173" t="str">
        <f t="shared" si="39"/>
        <v/>
      </c>
      <c r="C192" s="173" t="str">
        <f t="shared" si="39"/>
        <v/>
      </c>
      <c r="D192" s="173" t="str">
        <f t="shared" si="39"/>
        <v/>
      </c>
      <c r="E192" s="173" t="str">
        <f t="shared" si="39"/>
        <v/>
      </c>
      <c r="F192" s="173" t="str">
        <f t="shared" si="39"/>
        <v/>
      </c>
      <c r="G192" s="173" t="str">
        <f t="shared" si="39"/>
        <v/>
      </c>
      <c r="H192" s="173" t="str">
        <f t="shared" si="39"/>
        <v/>
      </c>
      <c r="I192" s="173" t="str">
        <f t="shared" si="39"/>
        <v/>
      </c>
      <c r="J192" s="173" t="str">
        <f t="shared" si="39"/>
        <v/>
      </c>
      <c r="K192" s="173" t="str">
        <f t="shared" si="39"/>
        <v/>
      </c>
      <c r="L192" s="173" t="str">
        <f t="shared" si="40"/>
        <v>info</v>
      </c>
      <c r="M192" s="173" t="str">
        <f t="shared" si="40"/>
        <v/>
      </c>
      <c r="N192" s="173" t="str">
        <f t="shared" si="40"/>
        <v/>
      </c>
      <c r="O192" s="173" t="str">
        <f t="shared" si="40"/>
        <v/>
      </c>
      <c r="P192" s="174" t="str">
        <f t="shared" si="40"/>
        <v/>
      </c>
      <c r="Q192" s="174" t="str">
        <f t="shared" si="40"/>
        <v>x</v>
      </c>
      <c r="R192" s="174" t="str">
        <f t="shared" si="40"/>
        <v>BS</v>
      </c>
      <c r="S192" s="174" t="str">
        <f t="shared" si="40"/>
        <v>all</v>
      </c>
      <c r="T192" s="173" t="str">
        <f t="shared" si="40"/>
        <v/>
      </c>
      <c r="U192" s="173" t="str">
        <f t="shared" si="40"/>
        <v/>
      </c>
      <c r="V192" s="173" t="str">
        <f t="shared" si="40"/>
        <v/>
      </c>
      <c r="W192" s="173" t="str">
        <f t="shared" si="40"/>
        <v/>
      </c>
      <c r="X192" s="173" t="str">
        <f t="shared" si="40"/>
        <v/>
      </c>
      <c r="Y192" s="173" t="str">
        <f t="shared" si="40"/>
        <v/>
      </c>
    </row>
    <row r="193" spans="1:25" x14ac:dyDescent="0.3">
      <c r="A193" s="172">
        <f t="shared" si="28"/>
        <v>191</v>
      </c>
      <c r="B193" s="173" t="str">
        <f t="shared" ref="B193:K202" si="41">IF(ISNONTEXT(B$2),IF(B$2="","",IF(INDEX(IMPORT,$A193,B$2)=0,"",IFERROR(VLOOKUP(INDEX(IMPORT,$A193,B$2),ImportTranslation,2,0),INDEX(IMPORT,$A193,B$2)))),B$2)</f>
        <v/>
      </c>
      <c r="C193" s="173" t="str">
        <f t="shared" si="41"/>
        <v/>
      </c>
      <c r="D193" s="173" t="str">
        <f t="shared" si="41"/>
        <v/>
      </c>
      <c r="E193" s="173" t="str">
        <f t="shared" si="41"/>
        <v/>
      </c>
      <c r="F193" s="173" t="str">
        <f t="shared" si="41"/>
        <v/>
      </c>
      <c r="G193" s="173" t="str">
        <f t="shared" si="41"/>
        <v/>
      </c>
      <c r="H193" s="173" t="str">
        <f t="shared" si="41"/>
        <v/>
      </c>
      <c r="I193" s="173" t="str">
        <f t="shared" si="41"/>
        <v/>
      </c>
      <c r="J193" s="173" t="str">
        <f t="shared" si="41"/>
        <v/>
      </c>
      <c r="K193" s="173" t="str">
        <f t="shared" si="41"/>
        <v/>
      </c>
      <c r="L193" s="173" t="str">
        <f t="shared" ref="L193:Y202" si="42">IF(ISNONTEXT(L$2),IF(L$2="","",IF(INDEX(IMPORT,$A193,L$2)=0,"",IFERROR(VLOOKUP(INDEX(IMPORT,$A193,L$2),ImportTranslation,2,0),INDEX(IMPORT,$A193,L$2)))),L$2)</f>
        <v>info</v>
      </c>
      <c r="M193" s="173" t="str">
        <f t="shared" si="42"/>
        <v/>
      </c>
      <c r="N193" s="173" t="str">
        <f t="shared" si="42"/>
        <v/>
      </c>
      <c r="O193" s="173" t="str">
        <f t="shared" si="42"/>
        <v/>
      </c>
      <c r="P193" s="174" t="str">
        <f t="shared" si="42"/>
        <v/>
      </c>
      <c r="Q193" s="174" t="str">
        <f t="shared" si="42"/>
        <v>x</v>
      </c>
      <c r="R193" s="174" t="str">
        <f t="shared" si="42"/>
        <v>BS</v>
      </c>
      <c r="S193" s="174" t="str">
        <f t="shared" si="42"/>
        <v>all</v>
      </c>
      <c r="T193" s="173" t="str">
        <f t="shared" si="42"/>
        <v/>
      </c>
      <c r="U193" s="173" t="str">
        <f t="shared" si="42"/>
        <v/>
      </c>
      <c r="V193" s="173" t="str">
        <f t="shared" si="42"/>
        <v/>
      </c>
      <c r="W193" s="173" t="str">
        <f t="shared" si="42"/>
        <v/>
      </c>
      <c r="X193" s="173" t="str">
        <f t="shared" si="42"/>
        <v/>
      </c>
      <c r="Y193" s="173" t="str">
        <f t="shared" si="42"/>
        <v/>
      </c>
    </row>
    <row r="194" spans="1:25" x14ac:dyDescent="0.3">
      <c r="A194" s="172">
        <f t="shared" si="28"/>
        <v>192</v>
      </c>
      <c r="B194" s="173" t="str">
        <f t="shared" si="41"/>
        <v/>
      </c>
      <c r="C194" s="173" t="str">
        <f t="shared" si="41"/>
        <v/>
      </c>
      <c r="D194" s="173" t="str">
        <f t="shared" si="41"/>
        <v/>
      </c>
      <c r="E194" s="173" t="str">
        <f t="shared" si="41"/>
        <v/>
      </c>
      <c r="F194" s="173" t="str">
        <f t="shared" si="41"/>
        <v/>
      </c>
      <c r="G194" s="173" t="str">
        <f t="shared" si="41"/>
        <v/>
      </c>
      <c r="H194" s="173" t="str">
        <f t="shared" si="41"/>
        <v/>
      </c>
      <c r="I194" s="173" t="str">
        <f t="shared" si="41"/>
        <v/>
      </c>
      <c r="J194" s="173" t="str">
        <f t="shared" si="41"/>
        <v/>
      </c>
      <c r="K194" s="173" t="str">
        <f t="shared" si="41"/>
        <v/>
      </c>
      <c r="L194" s="173" t="str">
        <f t="shared" si="42"/>
        <v>info</v>
      </c>
      <c r="M194" s="173" t="str">
        <f t="shared" si="42"/>
        <v/>
      </c>
      <c r="N194" s="173" t="str">
        <f t="shared" si="42"/>
        <v/>
      </c>
      <c r="O194" s="173" t="str">
        <f t="shared" si="42"/>
        <v/>
      </c>
      <c r="P194" s="174" t="str">
        <f t="shared" si="42"/>
        <v/>
      </c>
      <c r="Q194" s="174" t="str">
        <f t="shared" si="42"/>
        <v>x</v>
      </c>
      <c r="R194" s="174" t="str">
        <f t="shared" si="42"/>
        <v>BS</v>
      </c>
      <c r="S194" s="174" t="str">
        <f t="shared" si="42"/>
        <v>all</v>
      </c>
      <c r="T194" s="173" t="str">
        <f t="shared" si="42"/>
        <v/>
      </c>
      <c r="U194" s="173" t="str">
        <f t="shared" si="42"/>
        <v/>
      </c>
      <c r="V194" s="173" t="str">
        <f t="shared" si="42"/>
        <v/>
      </c>
      <c r="W194" s="173" t="str">
        <f t="shared" si="42"/>
        <v/>
      </c>
      <c r="X194" s="173" t="str">
        <f t="shared" si="42"/>
        <v/>
      </c>
      <c r="Y194" s="173" t="str">
        <f t="shared" si="42"/>
        <v/>
      </c>
    </row>
    <row r="195" spans="1:25" x14ac:dyDescent="0.3">
      <c r="A195" s="172">
        <f t="shared" ref="A195:A258" si="43">ROW()-ROW($A$2)</f>
        <v>193</v>
      </c>
      <c r="B195" s="173" t="str">
        <f t="shared" si="41"/>
        <v/>
      </c>
      <c r="C195" s="173" t="str">
        <f t="shared" si="41"/>
        <v/>
      </c>
      <c r="D195" s="173" t="str">
        <f t="shared" si="41"/>
        <v/>
      </c>
      <c r="E195" s="173" t="str">
        <f t="shared" si="41"/>
        <v/>
      </c>
      <c r="F195" s="173" t="str">
        <f t="shared" si="41"/>
        <v/>
      </c>
      <c r="G195" s="173" t="str">
        <f t="shared" si="41"/>
        <v/>
      </c>
      <c r="H195" s="173" t="str">
        <f t="shared" si="41"/>
        <v/>
      </c>
      <c r="I195" s="173" t="str">
        <f t="shared" si="41"/>
        <v/>
      </c>
      <c r="J195" s="173" t="str">
        <f t="shared" si="41"/>
        <v/>
      </c>
      <c r="K195" s="173" t="str">
        <f t="shared" si="41"/>
        <v/>
      </c>
      <c r="L195" s="173" t="str">
        <f t="shared" si="42"/>
        <v>info</v>
      </c>
      <c r="M195" s="173" t="str">
        <f t="shared" si="42"/>
        <v/>
      </c>
      <c r="N195" s="173" t="str">
        <f t="shared" si="42"/>
        <v/>
      </c>
      <c r="O195" s="173" t="str">
        <f t="shared" si="42"/>
        <v/>
      </c>
      <c r="P195" s="174" t="str">
        <f t="shared" si="42"/>
        <v/>
      </c>
      <c r="Q195" s="174" t="str">
        <f t="shared" si="42"/>
        <v>x</v>
      </c>
      <c r="R195" s="174" t="str">
        <f t="shared" si="42"/>
        <v>BS</v>
      </c>
      <c r="S195" s="174" t="str">
        <f t="shared" si="42"/>
        <v>all</v>
      </c>
      <c r="T195" s="173" t="str">
        <f t="shared" si="42"/>
        <v/>
      </c>
      <c r="U195" s="173" t="str">
        <f t="shared" si="42"/>
        <v/>
      </c>
      <c r="V195" s="173" t="str">
        <f t="shared" si="42"/>
        <v/>
      </c>
      <c r="W195" s="173" t="str">
        <f t="shared" si="42"/>
        <v/>
      </c>
      <c r="X195" s="173" t="str">
        <f t="shared" si="42"/>
        <v/>
      </c>
      <c r="Y195" s="173" t="str">
        <f t="shared" si="42"/>
        <v/>
      </c>
    </row>
    <row r="196" spans="1:25" x14ac:dyDescent="0.3">
      <c r="A196" s="172">
        <f t="shared" si="43"/>
        <v>194</v>
      </c>
      <c r="B196" s="173" t="str">
        <f t="shared" si="41"/>
        <v/>
      </c>
      <c r="C196" s="173" t="str">
        <f t="shared" si="41"/>
        <v/>
      </c>
      <c r="D196" s="173" t="str">
        <f t="shared" si="41"/>
        <v/>
      </c>
      <c r="E196" s="173" t="str">
        <f t="shared" si="41"/>
        <v/>
      </c>
      <c r="F196" s="173" t="str">
        <f t="shared" si="41"/>
        <v/>
      </c>
      <c r="G196" s="173" t="str">
        <f t="shared" si="41"/>
        <v/>
      </c>
      <c r="H196" s="173" t="str">
        <f t="shared" si="41"/>
        <v/>
      </c>
      <c r="I196" s="173" t="str">
        <f t="shared" si="41"/>
        <v/>
      </c>
      <c r="J196" s="173" t="str">
        <f t="shared" si="41"/>
        <v/>
      </c>
      <c r="K196" s="173" t="str">
        <f t="shared" si="41"/>
        <v/>
      </c>
      <c r="L196" s="173" t="str">
        <f t="shared" si="42"/>
        <v>info</v>
      </c>
      <c r="M196" s="173" t="str">
        <f t="shared" si="42"/>
        <v/>
      </c>
      <c r="N196" s="173" t="str">
        <f t="shared" si="42"/>
        <v/>
      </c>
      <c r="O196" s="173" t="str">
        <f t="shared" si="42"/>
        <v/>
      </c>
      <c r="P196" s="174" t="str">
        <f t="shared" si="42"/>
        <v/>
      </c>
      <c r="Q196" s="174" t="str">
        <f t="shared" si="42"/>
        <v>x</v>
      </c>
      <c r="R196" s="174" t="str">
        <f t="shared" si="42"/>
        <v>BS</v>
      </c>
      <c r="S196" s="174" t="str">
        <f t="shared" si="42"/>
        <v>all</v>
      </c>
      <c r="T196" s="173" t="str">
        <f t="shared" si="42"/>
        <v/>
      </c>
      <c r="U196" s="173" t="str">
        <f t="shared" si="42"/>
        <v/>
      </c>
      <c r="V196" s="173" t="str">
        <f t="shared" si="42"/>
        <v/>
      </c>
      <c r="W196" s="173" t="str">
        <f t="shared" si="42"/>
        <v/>
      </c>
      <c r="X196" s="173" t="str">
        <f t="shared" si="42"/>
        <v/>
      </c>
      <c r="Y196" s="173" t="str">
        <f t="shared" si="42"/>
        <v/>
      </c>
    </row>
    <row r="197" spans="1:25" x14ac:dyDescent="0.3">
      <c r="A197" s="172">
        <f t="shared" si="43"/>
        <v>195</v>
      </c>
      <c r="B197" s="173" t="str">
        <f t="shared" si="41"/>
        <v/>
      </c>
      <c r="C197" s="173" t="str">
        <f t="shared" si="41"/>
        <v/>
      </c>
      <c r="D197" s="173" t="str">
        <f t="shared" si="41"/>
        <v/>
      </c>
      <c r="E197" s="173" t="str">
        <f t="shared" si="41"/>
        <v/>
      </c>
      <c r="F197" s="173" t="str">
        <f t="shared" si="41"/>
        <v/>
      </c>
      <c r="G197" s="173" t="str">
        <f t="shared" si="41"/>
        <v/>
      </c>
      <c r="H197" s="173" t="str">
        <f t="shared" si="41"/>
        <v/>
      </c>
      <c r="I197" s="173" t="str">
        <f t="shared" si="41"/>
        <v/>
      </c>
      <c r="J197" s="173" t="str">
        <f t="shared" si="41"/>
        <v/>
      </c>
      <c r="K197" s="173" t="str">
        <f t="shared" si="41"/>
        <v/>
      </c>
      <c r="L197" s="173" t="str">
        <f t="shared" si="42"/>
        <v>info</v>
      </c>
      <c r="M197" s="173" t="str">
        <f t="shared" si="42"/>
        <v/>
      </c>
      <c r="N197" s="173" t="str">
        <f t="shared" si="42"/>
        <v/>
      </c>
      <c r="O197" s="173" t="str">
        <f t="shared" si="42"/>
        <v/>
      </c>
      <c r="P197" s="174" t="str">
        <f t="shared" si="42"/>
        <v/>
      </c>
      <c r="Q197" s="174" t="str">
        <f t="shared" si="42"/>
        <v>x</v>
      </c>
      <c r="R197" s="174" t="str">
        <f t="shared" si="42"/>
        <v>BS</v>
      </c>
      <c r="S197" s="174" t="str">
        <f t="shared" si="42"/>
        <v>all</v>
      </c>
      <c r="T197" s="173" t="str">
        <f t="shared" si="42"/>
        <v/>
      </c>
      <c r="U197" s="173" t="str">
        <f t="shared" si="42"/>
        <v/>
      </c>
      <c r="V197" s="173" t="str">
        <f t="shared" si="42"/>
        <v/>
      </c>
      <c r="W197" s="173" t="str">
        <f t="shared" si="42"/>
        <v/>
      </c>
      <c r="X197" s="173" t="str">
        <f t="shared" si="42"/>
        <v/>
      </c>
      <c r="Y197" s="173" t="str">
        <f t="shared" si="42"/>
        <v/>
      </c>
    </row>
    <row r="198" spans="1:25" x14ac:dyDescent="0.3">
      <c r="A198" s="172">
        <f t="shared" si="43"/>
        <v>196</v>
      </c>
      <c r="B198" s="173" t="str">
        <f t="shared" si="41"/>
        <v/>
      </c>
      <c r="C198" s="173" t="str">
        <f t="shared" si="41"/>
        <v/>
      </c>
      <c r="D198" s="173" t="str">
        <f t="shared" si="41"/>
        <v/>
      </c>
      <c r="E198" s="173" t="str">
        <f t="shared" si="41"/>
        <v/>
      </c>
      <c r="F198" s="173" t="str">
        <f t="shared" si="41"/>
        <v/>
      </c>
      <c r="G198" s="173" t="str">
        <f t="shared" si="41"/>
        <v/>
      </c>
      <c r="H198" s="173" t="str">
        <f t="shared" si="41"/>
        <v/>
      </c>
      <c r="I198" s="173" t="str">
        <f t="shared" si="41"/>
        <v/>
      </c>
      <c r="J198" s="173" t="str">
        <f t="shared" si="41"/>
        <v/>
      </c>
      <c r="K198" s="173" t="str">
        <f t="shared" si="41"/>
        <v/>
      </c>
      <c r="L198" s="173" t="str">
        <f t="shared" si="42"/>
        <v>info</v>
      </c>
      <c r="M198" s="173" t="str">
        <f t="shared" si="42"/>
        <v/>
      </c>
      <c r="N198" s="173" t="str">
        <f t="shared" si="42"/>
        <v/>
      </c>
      <c r="O198" s="173" t="str">
        <f t="shared" si="42"/>
        <v/>
      </c>
      <c r="P198" s="174" t="str">
        <f t="shared" si="42"/>
        <v/>
      </c>
      <c r="Q198" s="174" t="str">
        <f t="shared" si="42"/>
        <v>x</v>
      </c>
      <c r="R198" s="174" t="str">
        <f t="shared" si="42"/>
        <v>BS</v>
      </c>
      <c r="S198" s="174" t="str">
        <f t="shared" si="42"/>
        <v>all</v>
      </c>
      <c r="T198" s="173" t="str">
        <f t="shared" si="42"/>
        <v/>
      </c>
      <c r="U198" s="173" t="str">
        <f t="shared" si="42"/>
        <v/>
      </c>
      <c r="V198" s="173" t="str">
        <f t="shared" si="42"/>
        <v/>
      </c>
      <c r="W198" s="173" t="str">
        <f t="shared" si="42"/>
        <v/>
      </c>
      <c r="X198" s="173" t="str">
        <f t="shared" si="42"/>
        <v/>
      </c>
      <c r="Y198" s="173" t="str">
        <f t="shared" si="42"/>
        <v/>
      </c>
    </row>
    <row r="199" spans="1:25" x14ac:dyDescent="0.3">
      <c r="A199" s="172">
        <f t="shared" si="43"/>
        <v>197</v>
      </c>
      <c r="B199" s="173" t="str">
        <f t="shared" si="41"/>
        <v/>
      </c>
      <c r="C199" s="173" t="str">
        <f t="shared" si="41"/>
        <v/>
      </c>
      <c r="D199" s="173" t="str">
        <f t="shared" si="41"/>
        <v/>
      </c>
      <c r="E199" s="173" t="str">
        <f t="shared" si="41"/>
        <v/>
      </c>
      <c r="F199" s="173" t="str">
        <f t="shared" si="41"/>
        <v/>
      </c>
      <c r="G199" s="173" t="str">
        <f t="shared" si="41"/>
        <v/>
      </c>
      <c r="H199" s="173" t="str">
        <f t="shared" si="41"/>
        <v/>
      </c>
      <c r="I199" s="173" t="str">
        <f t="shared" si="41"/>
        <v/>
      </c>
      <c r="J199" s="173" t="str">
        <f t="shared" si="41"/>
        <v/>
      </c>
      <c r="K199" s="173" t="str">
        <f t="shared" si="41"/>
        <v/>
      </c>
      <c r="L199" s="173" t="str">
        <f t="shared" si="42"/>
        <v>info</v>
      </c>
      <c r="M199" s="173" t="str">
        <f t="shared" si="42"/>
        <v/>
      </c>
      <c r="N199" s="173" t="str">
        <f t="shared" si="42"/>
        <v/>
      </c>
      <c r="O199" s="173" t="str">
        <f t="shared" si="42"/>
        <v/>
      </c>
      <c r="P199" s="174" t="str">
        <f t="shared" si="42"/>
        <v/>
      </c>
      <c r="Q199" s="174" t="str">
        <f t="shared" si="42"/>
        <v>x</v>
      </c>
      <c r="R199" s="174" t="str">
        <f t="shared" si="42"/>
        <v>BS</v>
      </c>
      <c r="S199" s="174" t="str">
        <f t="shared" si="42"/>
        <v>all</v>
      </c>
      <c r="T199" s="173" t="str">
        <f t="shared" si="42"/>
        <v/>
      </c>
      <c r="U199" s="173" t="str">
        <f t="shared" si="42"/>
        <v/>
      </c>
      <c r="V199" s="173" t="str">
        <f t="shared" si="42"/>
        <v/>
      </c>
      <c r="W199" s="173" t="str">
        <f t="shared" si="42"/>
        <v/>
      </c>
      <c r="X199" s="173" t="str">
        <f t="shared" si="42"/>
        <v/>
      </c>
      <c r="Y199" s="173" t="str">
        <f t="shared" si="42"/>
        <v/>
      </c>
    </row>
    <row r="200" spans="1:25" x14ac:dyDescent="0.3">
      <c r="A200" s="172">
        <f t="shared" si="43"/>
        <v>198</v>
      </c>
      <c r="B200" s="173" t="str">
        <f t="shared" si="41"/>
        <v/>
      </c>
      <c r="C200" s="173" t="str">
        <f t="shared" si="41"/>
        <v/>
      </c>
      <c r="D200" s="173" t="str">
        <f t="shared" si="41"/>
        <v/>
      </c>
      <c r="E200" s="173" t="str">
        <f t="shared" si="41"/>
        <v/>
      </c>
      <c r="F200" s="173" t="str">
        <f t="shared" si="41"/>
        <v/>
      </c>
      <c r="G200" s="173" t="str">
        <f t="shared" si="41"/>
        <v/>
      </c>
      <c r="H200" s="173" t="str">
        <f t="shared" si="41"/>
        <v/>
      </c>
      <c r="I200" s="173" t="str">
        <f t="shared" si="41"/>
        <v/>
      </c>
      <c r="J200" s="173" t="str">
        <f t="shared" si="41"/>
        <v/>
      </c>
      <c r="K200" s="173" t="str">
        <f t="shared" si="41"/>
        <v/>
      </c>
      <c r="L200" s="173" t="str">
        <f t="shared" si="42"/>
        <v>info</v>
      </c>
      <c r="M200" s="173" t="str">
        <f t="shared" si="42"/>
        <v/>
      </c>
      <c r="N200" s="173" t="str">
        <f t="shared" si="42"/>
        <v/>
      </c>
      <c r="O200" s="173" t="str">
        <f t="shared" si="42"/>
        <v/>
      </c>
      <c r="P200" s="174" t="str">
        <f t="shared" si="42"/>
        <v/>
      </c>
      <c r="Q200" s="174" t="str">
        <f t="shared" si="42"/>
        <v>x</v>
      </c>
      <c r="R200" s="174" t="str">
        <f t="shared" si="42"/>
        <v>BS</v>
      </c>
      <c r="S200" s="174" t="str">
        <f t="shared" si="42"/>
        <v>all</v>
      </c>
      <c r="T200" s="173" t="str">
        <f t="shared" si="42"/>
        <v/>
      </c>
      <c r="U200" s="173" t="str">
        <f t="shared" si="42"/>
        <v/>
      </c>
      <c r="V200" s="173" t="str">
        <f t="shared" si="42"/>
        <v/>
      </c>
      <c r="W200" s="173" t="str">
        <f t="shared" si="42"/>
        <v/>
      </c>
      <c r="X200" s="173" t="str">
        <f t="shared" si="42"/>
        <v/>
      </c>
      <c r="Y200" s="173" t="str">
        <f t="shared" si="42"/>
        <v/>
      </c>
    </row>
    <row r="201" spans="1:25" x14ac:dyDescent="0.3">
      <c r="A201" s="172">
        <f t="shared" si="43"/>
        <v>199</v>
      </c>
      <c r="B201" s="173" t="str">
        <f t="shared" si="41"/>
        <v/>
      </c>
      <c r="C201" s="173" t="str">
        <f t="shared" si="41"/>
        <v/>
      </c>
      <c r="D201" s="173" t="str">
        <f t="shared" si="41"/>
        <v/>
      </c>
      <c r="E201" s="173" t="str">
        <f t="shared" si="41"/>
        <v/>
      </c>
      <c r="F201" s="173" t="str">
        <f t="shared" si="41"/>
        <v/>
      </c>
      <c r="G201" s="173" t="str">
        <f t="shared" si="41"/>
        <v/>
      </c>
      <c r="H201" s="173" t="str">
        <f t="shared" si="41"/>
        <v/>
      </c>
      <c r="I201" s="173" t="str">
        <f t="shared" si="41"/>
        <v/>
      </c>
      <c r="J201" s="173" t="str">
        <f t="shared" si="41"/>
        <v/>
      </c>
      <c r="K201" s="173" t="str">
        <f t="shared" si="41"/>
        <v/>
      </c>
      <c r="L201" s="173" t="str">
        <f t="shared" si="42"/>
        <v>info</v>
      </c>
      <c r="M201" s="173" t="str">
        <f t="shared" si="42"/>
        <v/>
      </c>
      <c r="N201" s="173" t="str">
        <f t="shared" si="42"/>
        <v/>
      </c>
      <c r="O201" s="173" t="str">
        <f t="shared" si="42"/>
        <v/>
      </c>
      <c r="P201" s="174" t="str">
        <f t="shared" si="42"/>
        <v/>
      </c>
      <c r="Q201" s="174" t="str">
        <f t="shared" si="42"/>
        <v>x</v>
      </c>
      <c r="R201" s="174" t="str">
        <f t="shared" si="42"/>
        <v>BS</v>
      </c>
      <c r="S201" s="174" t="str">
        <f t="shared" si="42"/>
        <v>all</v>
      </c>
      <c r="T201" s="173" t="str">
        <f t="shared" si="42"/>
        <v/>
      </c>
      <c r="U201" s="173" t="str">
        <f t="shared" si="42"/>
        <v/>
      </c>
      <c r="V201" s="173" t="str">
        <f t="shared" si="42"/>
        <v/>
      </c>
      <c r="W201" s="173" t="str">
        <f t="shared" si="42"/>
        <v/>
      </c>
      <c r="X201" s="173" t="str">
        <f t="shared" si="42"/>
        <v/>
      </c>
      <c r="Y201" s="173" t="str">
        <f t="shared" si="42"/>
        <v/>
      </c>
    </row>
    <row r="202" spans="1:25" x14ac:dyDescent="0.3">
      <c r="A202" s="172">
        <f t="shared" si="43"/>
        <v>200</v>
      </c>
      <c r="B202" s="173" t="str">
        <f t="shared" si="41"/>
        <v/>
      </c>
      <c r="C202" s="173" t="str">
        <f t="shared" si="41"/>
        <v/>
      </c>
      <c r="D202" s="173" t="str">
        <f t="shared" si="41"/>
        <v/>
      </c>
      <c r="E202" s="173" t="str">
        <f t="shared" si="41"/>
        <v/>
      </c>
      <c r="F202" s="173" t="str">
        <f t="shared" si="41"/>
        <v/>
      </c>
      <c r="G202" s="173" t="str">
        <f t="shared" si="41"/>
        <v/>
      </c>
      <c r="H202" s="173" t="str">
        <f t="shared" si="41"/>
        <v/>
      </c>
      <c r="I202" s="173" t="str">
        <f t="shared" si="41"/>
        <v/>
      </c>
      <c r="J202" s="173" t="str">
        <f t="shared" si="41"/>
        <v/>
      </c>
      <c r="K202" s="173" t="str">
        <f t="shared" si="41"/>
        <v/>
      </c>
      <c r="L202" s="173" t="str">
        <f t="shared" si="42"/>
        <v>info</v>
      </c>
      <c r="M202" s="173" t="str">
        <f t="shared" si="42"/>
        <v/>
      </c>
      <c r="N202" s="173" t="str">
        <f t="shared" si="42"/>
        <v/>
      </c>
      <c r="O202" s="173" t="str">
        <f t="shared" si="42"/>
        <v/>
      </c>
      <c r="P202" s="174" t="str">
        <f t="shared" si="42"/>
        <v/>
      </c>
      <c r="Q202" s="174" t="str">
        <f t="shared" si="42"/>
        <v>x</v>
      </c>
      <c r="R202" s="174" t="str">
        <f t="shared" si="42"/>
        <v>BS</v>
      </c>
      <c r="S202" s="174" t="str">
        <f t="shared" si="42"/>
        <v>all</v>
      </c>
      <c r="T202" s="173" t="str">
        <f t="shared" si="42"/>
        <v/>
      </c>
      <c r="U202" s="173" t="str">
        <f t="shared" si="42"/>
        <v/>
      </c>
      <c r="V202" s="173" t="str">
        <f t="shared" si="42"/>
        <v/>
      </c>
      <c r="W202" s="173" t="str">
        <f t="shared" si="42"/>
        <v/>
      </c>
      <c r="X202" s="173" t="str">
        <f t="shared" si="42"/>
        <v/>
      </c>
      <c r="Y202" s="173" t="str">
        <f t="shared" si="42"/>
        <v/>
      </c>
    </row>
    <row r="203" spans="1:25" x14ac:dyDescent="0.3">
      <c r="A203" s="172">
        <f t="shared" si="43"/>
        <v>201</v>
      </c>
      <c r="B203" s="173" t="str">
        <f t="shared" ref="B203:K212" si="44">IF(ISNONTEXT(B$2),IF(B$2="","",IF(INDEX(IMPORT,$A203,B$2)=0,"",IFERROR(VLOOKUP(INDEX(IMPORT,$A203,B$2),ImportTranslation,2,0),INDEX(IMPORT,$A203,B$2)))),B$2)</f>
        <v/>
      </c>
      <c r="C203" s="173" t="str">
        <f t="shared" si="44"/>
        <v/>
      </c>
      <c r="D203" s="173" t="str">
        <f t="shared" si="44"/>
        <v/>
      </c>
      <c r="E203" s="173" t="str">
        <f t="shared" si="44"/>
        <v/>
      </c>
      <c r="F203" s="173" t="str">
        <f t="shared" si="44"/>
        <v/>
      </c>
      <c r="G203" s="173" t="str">
        <f t="shared" si="44"/>
        <v/>
      </c>
      <c r="H203" s="173" t="str">
        <f t="shared" si="44"/>
        <v/>
      </c>
      <c r="I203" s="173" t="str">
        <f t="shared" si="44"/>
        <v/>
      </c>
      <c r="J203" s="173" t="str">
        <f t="shared" si="44"/>
        <v/>
      </c>
      <c r="K203" s="173" t="str">
        <f t="shared" si="44"/>
        <v/>
      </c>
      <c r="L203" s="173" t="str">
        <f t="shared" ref="L203:Y212" si="45">IF(ISNONTEXT(L$2),IF(L$2="","",IF(INDEX(IMPORT,$A203,L$2)=0,"",IFERROR(VLOOKUP(INDEX(IMPORT,$A203,L$2),ImportTranslation,2,0),INDEX(IMPORT,$A203,L$2)))),L$2)</f>
        <v>info</v>
      </c>
      <c r="M203" s="173" t="str">
        <f t="shared" si="45"/>
        <v/>
      </c>
      <c r="N203" s="173" t="str">
        <f t="shared" si="45"/>
        <v/>
      </c>
      <c r="O203" s="173" t="str">
        <f t="shared" si="45"/>
        <v/>
      </c>
      <c r="P203" s="174" t="str">
        <f t="shared" si="45"/>
        <v/>
      </c>
      <c r="Q203" s="174" t="str">
        <f t="shared" si="45"/>
        <v>x</v>
      </c>
      <c r="R203" s="174" t="str">
        <f t="shared" si="45"/>
        <v>BS</v>
      </c>
      <c r="S203" s="174" t="str">
        <f t="shared" si="45"/>
        <v>all</v>
      </c>
      <c r="T203" s="173" t="str">
        <f t="shared" si="45"/>
        <v/>
      </c>
      <c r="U203" s="173" t="str">
        <f t="shared" si="45"/>
        <v/>
      </c>
      <c r="V203" s="173" t="str">
        <f t="shared" si="45"/>
        <v/>
      </c>
      <c r="W203" s="173" t="str">
        <f t="shared" si="45"/>
        <v/>
      </c>
      <c r="X203" s="173" t="str">
        <f t="shared" si="45"/>
        <v/>
      </c>
      <c r="Y203" s="173" t="str">
        <f t="shared" si="45"/>
        <v/>
      </c>
    </row>
    <row r="204" spans="1:25" x14ac:dyDescent="0.3">
      <c r="A204" s="172">
        <f t="shared" si="43"/>
        <v>202</v>
      </c>
      <c r="B204" s="173" t="str">
        <f t="shared" si="44"/>
        <v/>
      </c>
      <c r="C204" s="173" t="str">
        <f t="shared" si="44"/>
        <v/>
      </c>
      <c r="D204" s="173" t="str">
        <f t="shared" si="44"/>
        <v/>
      </c>
      <c r="E204" s="173" t="str">
        <f t="shared" si="44"/>
        <v/>
      </c>
      <c r="F204" s="173" t="str">
        <f t="shared" si="44"/>
        <v/>
      </c>
      <c r="G204" s="173" t="str">
        <f t="shared" si="44"/>
        <v/>
      </c>
      <c r="H204" s="173" t="str">
        <f t="shared" si="44"/>
        <v/>
      </c>
      <c r="I204" s="173" t="str">
        <f t="shared" si="44"/>
        <v/>
      </c>
      <c r="J204" s="173" t="str">
        <f t="shared" si="44"/>
        <v/>
      </c>
      <c r="K204" s="173" t="str">
        <f t="shared" si="44"/>
        <v/>
      </c>
      <c r="L204" s="173" t="str">
        <f t="shared" si="45"/>
        <v>info</v>
      </c>
      <c r="M204" s="173" t="str">
        <f t="shared" si="45"/>
        <v/>
      </c>
      <c r="N204" s="173" t="str">
        <f t="shared" si="45"/>
        <v/>
      </c>
      <c r="O204" s="173" t="str">
        <f t="shared" si="45"/>
        <v/>
      </c>
      <c r="P204" s="174" t="str">
        <f t="shared" si="45"/>
        <v/>
      </c>
      <c r="Q204" s="174" t="str">
        <f t="shared" si="45"/>
        <v>x</v>
      </c>
      <c r="R204" s="174" t="str">
        <f t="shared" si="45"/>
        <v>BS</v>
      </c>
      <c r="S204" s="174" t="str">
        <f t="shared" si="45"/>
        <v>all</v>
      </c>
      <c r="T204" s="173" t="str">
        <f t="shared" si="45"/>
        <v/>
      </c>
      <c r="U204" s="173" t="str">
        <f t="shared" si="45"/>
        <v/>
      </c>
      <c r="V204" s="173" t="str">
        <f t="shared" si="45"/>
        <v/>
      </c>
      <c r="W204" s="173" t="str">
        <f t="shared" si="45"/>
        <v/>
      </c>
      <c r="X204" s="173" t="str">
        <f t="shared" si="45"/>
        <v/>
      </c>
      <c r="Y204" s="173" t="str">
        <f t="shared" si="45"/>
        <v/>
      </c>
    </row>
    <row r="205" spans="1:25" x14ac:dyDescent="0.3">
      <c r="A205" s="172">
        <f t="shared" si="43"/>
        <v>203</v>
      </c>
      <c r="B205" s="173" t="str">
        <f t="shared" si="44"/>
        <v/>
      </c>
      <c r="C205" s="173" t="str">
        <f t="shared" si="44"/>
        <v/>
      </c>
      <c r="D205" s="173" t="str">
        <f t="shared" si="44"/>
        <v/>
      </c>
      <c r="E205" s="173" t="str">
        <f t="shared" si="44"/>
        <v/>
      </c>
      <c r="F205" s="173" t="str">
        <f t="shared" si="44"/>
        <v/>
      </c>
      <c r="G205" s="173" t="str">
        <f t="shared" si="44"/>
        <v/>
      </c>
      <c r="H205" s="173" t="str">
        <f t="shared" si="44"/>
        <v/>
      </c>
      <c r="I205" s="173" t="str">
        <f t="shared" si="44"/>
        <v/>
      </c>
      <c r="J205" s="173" t="str">
        <f t="shared" si="44"/>
        <v/>
      </c>
      <c r="K205" s="173" t="str">
        <f t="shared" si="44"/>
        <v/>
      </c>
      <c r="L205" s="173" t="str">
        <f t="shared" si="45"/>
        <v>info</v>
      </c>
      <c r="M205" s="173" t="str">
        <f t="shared" si="45"/>
        <v/>
      </c>
      <c r="N205" s="173" t="str">
        <f t="shared" si="45"/>
        <v/>
      </c>
      <c r="O205" s="173" t="str">
        <f t="shared" si="45"/>
        <v/>
      </c>
      <c r="P205" s="174" t="str">
        <f t="shared" si="45"/>
        <v/>
      </c>
      <c r="Q205" s="174" t="str">
        <f t="shared" si="45"/>
        <v>x</v>
      </c>
      <c r="R205" s="174" t="str">
        <f t="shared" si="45"/>
        <v>BS</v>
      </c>
      <c r="S205" s="174" t="str">
        <f t="shared" si="45"/>
        <v>all</v>
      </c>
      <c r="T205" s="173" t="str">
        <f t="shared" si="45"/>
        <v/>
      </c>
      <c r="U205" s="173" t="str">
        <f t="shared" si="45"/>
        <v/>
      </c>
      <c r="V205" s="173" t="str">
        <f t="shared" si="45"/>
        <v/>
      </c>
      <c r="W205" s="173" t="str">
        <f t="shared" si="45"/>
        <v/>
      </c>
      <c r="X205" s="173" t="str">
        <f t="shared" si="45"/>
        <v/>
      </c>
      <c r="Y205" s="173" t="str">
        <f t="shared" si="45"/>
        <v/>
      </c>
    </row>
    <row r="206" spans="1:25" x14ac:dyDescent="0.3">
      <c r="A206" s="172">
        <f t="shared" si="43"/>
        <v>204</v>
      </c>
      <c r="B206" s="173" t="str">
        <f t="shared" si="44"/>
        <v/>
      </c>
      <c r="C206" s="173" t="str">
        <f t="shared" si="44"/>
        <v/>
      </c>
      <c r="D206" s="173" t="str">
        <f t="shared" si="44"/>
        <v/>
      </c>
      <c r="E206" s="173" t="str">
        <f t="shared" si="44"/>
        <v/>
      </c>
      <c r="F206" s="173" t="str">
        <f t="shared" si="44"/>
        <v/>
      </c>
      <c r="G206" s="173" t="str">
        <f t="shared" si="44"/>
        <v/>
      </c>
      <c r="H206" s="173" t="str">
        <f t="shared" si="44"/>
        <v/>
      </c>
      <c r="I206" s="173" t="str">
        <f t="shared" si="44"/>
        <v/>
      </c>
      <c r="J206" s="173" t="str">
        <f t="shared" si="44"/>
        <v/>
      </c>
      <c r="K206" s="173" t="str">
        <f t="shared" si="44"/>
        <v/>
      </c>
      <c r="L206" s="173" t="str">
        <f t="shared" si="45"/>
        <v>info</v>
      </c>
      <c r="M206" s="173" t="str">
        <f t="shared" si="45"/>
        <v/>
      </c>
      <c r="N206" s="173" t="str">
        <f t="shared" si="45"/>
        <v/>
      </c>
      <c r="O206" s="173" t="str">
        <f t="shared" si="45"/>
        <v/>
      </c>
      <c r="P206" s="174" t="str">
        <f t="shared" si="45"/>
        <v/>
      </c>
      <c r="Q206" s="174" t="str">
        <f t="shared" si="45"/>
        <v>x</v>
      </c>
      <c r="R206" s="174" t="str">
        <f t="shared" si="45"/>
        <v>BS</v>
      </c>
      <c r="S206" s="174" t="str">
        <f t="shared" si="45"/>
        <v>all</v>
      </c>
      <c r="T206" s="173" t="str">
        <f t="shared" si="45"/>
        <v/>
      </c>
      <c r="U206" s="173" t="str">
        <f t="shared" si="45"/>
        <v/>
      </c>
      <c r="V206" s="173" t="str">
        <f t="shared" si="45"/>
        <v/>
      </c>
      <c r="W206" s="173" t="str">
        <f t="shared" si="45"/>
        <v/>
      </c>
      <c r="X206" s="173" t="str">
        <f t="shared" si="45"/>
        <v/>
      </c>
      <c r="Y206" s="173" t="str">
        <f t="shared" si="45"/>
        <v/>
      </c>
    </row>
    <row r="207" spans="1:25" x14ac:dyDescent="0.3">
      <c r="A207" s="172">
        <f t="shared" si="43"/>
        <v>205</v>
      </c>
      <c r="B207" s="173" t="str">
        <f t="shared" si="44"/>
        <v/>
      </c>
      <c r="C207" s="173" t="str">
        <f t="shared" si="44"/>
        <v/>
      </c>
      <c r="D207" s="173" t="str">
        <f t="shared" si="44"/>
        <v/>
      </c>
      <c r="E207" s="173" t="str">
        <f t="shared" si="44"/>
        <v/>
      </c>
      <c r="F207" s="173" t="str">
        <f t="shared" si="44"/>
        <v/>
      </c>
      <c r="G207" s="173" t="str">
        <f t="shared" si="44"/>
        <v/>
      </c>
      <c r="H207" s="173" t="str">
        <f t="shared" si="44"/>
        <v/>
      </c>
      <c r="I207" s="173" t="str">
        <f t="shared" si="44"/>
        <v/>
      </c>
      <c r="J207" s="173" t="str">
        <f t="shared" si="44"/>
        <v/>
      </c>
      <c r="K207" s="173" t="str">
        <f t="shared" si="44"/>
        <v/>
      </c>
      <c r="L207" s="173" t="str">
        <f t="shared" si="45"/>
        <v>info</v>
      </c>
      <c r="M207" s="173" t="str">
        <f t="shared" si="45"/>
        <v/>
      </c>
      <c r="N207" s="173" t="str">
        <f t="shared" si="45"/>
        <v/>
      </c>
      <c r="O207" s="173" t="str">
        <f t="shared" si="45"/>
        <v/>
      </c>
      <c r="P207" s="174" t="str">
        <f t="shared" si="45"/>
        <v/>
      </c>
      <c r="Q207" s="174" t="str">
        <f t="shared" si="45"/>
        <v>x</v>
      </c>
      <c r="R207" s="174" t="str">
        <f t="shared" si="45"/>
        <v>BS</v>
      </c>
      <c r="S207" s="174" t="str">
        <f t="shared" si="45"/>
        <v>all</v>
      </c>
      <c r="T207" s="173" t="str">
        <f t="shared" si="45"/>
        <v/>
      </c>
      <c r="U207" s="173" t="str">
        <f t="shared" si="45"/>
        <v/>
      </c>
      <c r="V207" s="173" t="str">
        <f t="shared" si="45"/>
        <v/>
      </c>
      <c r="W207" s="173" t="str">
        <f t="shared" si="45"/>
        <v/>
      </c>
      <c r="X207" s="173" t="str">
        <f t="shared" si="45"/>
        <v/>
      </c>
      <c r="Y207" s="173" t="str">
        <f t="shared" si="45"/>
        <v/>
      </c>
    </row>
    <row r="208" spans="1:25" x14ac:dyDescent="0.3">
      <c r="A208" s="172">
        <f t="shared" si="43"/>
        <v>206</v>
      </c>
      <c r="B208" s="173" t="str">
        <f t="shared" si="44"/>
        <v/>
      </c>
      <c r="C208" s="173" t="str">
        <f t="shared" si="44"/>
        <v/>
      </c>
      <c r="D208" s="173" t="str">
        <f t="shared" si="44"/>
        <v/>
      </c>
      <c r="E208" s="173" t="str">
        <f t="shared" si="44"/>
        <v/>
      </c>
      <c r="F208" s="173" t="str">
        <f t="shared" si="44"/>
        <v/>
      </c>
      <c r="G208" s="173" t="str">
        <f t="shared" si="44"/>
        <v/>
      </c>
      <c r="H208" s="173" t="str">
        <f t="shared" si="44"/>
        <v/>
      </c>
      <c r="I208" s="173" t="str">
        <f t="shared" si="44"/>
        <v/>
      </c>
      <c r="J208" s="173" t="str">
        <f t="shared" si="44"/>
        <v/>
      </c>
      <c r="K208" s="173" t="str">
        <f t="shared" si="44"/>
        <v/>
      </c>
      <c r="L208" s="173" t="str">
        <f t="shared" si="45"/>
        <v>info</v>
      </c>
      <c r="M208" s="173" t="str">
        <f t="shared" si="45"/>
        <v/>
      </c>
      <c r="N208" s="173" t="str">
        <f t="shared" si="45"/>
        <v/>
      </c>
      <c r="O208" s="173" t="str">
        <f t="shared" si="45"/>
        <v/>
      </c>
      <c r="P208" s="174" t="str">
        <f t="shared" si="45"/>
        <v/>
      </c>
      <c r="Q208" s="174" t="str">
        <f t="shared" si="45"/>
        <v>x</v>
      </c>
      <c r="R208" s="174" t="str">
        <f t="shared" si="45"/>
        <v>BS</v>
      </c>
      <c r="S208" s="174" t="str">
        <f t="shared" si="45"/>
        <v>all</v>
      </c>
      <c r="T208" s="173" t="str">
        <f t="shared" si="45"/>
        <v/>
      </c>
      <c r="U208" s="173" t="str">
        <f t="shared" si="45"/>
        <v/>
      </c>
      <c r="V208" s="173" t="str">
        <f t="shared" si="45"/>
        <v/>
      </c>
      <c r="W208" s="173" t="str">
        <f t="shared" si="45"/>
        <v/>
      </c>
      <c r="X208" s="173" t="str">
        <f t="shared" si="45"/>
        <v/>
      </c>
      <c r="Y208" s="173" t="str">
        <f t="shared" si="45"/>
        <v/>
      </c>
    </row>
    <row r="209" spans="1:25" x14ac:dyDescent="0.3">
      <c r="A209" s="172">
        <f t="shared" si="43"/>
        <v>207</v>
      </c>
      <c r="B209" s="173" t="str">
        <f t="shared" si="44"/>
        <v/>
      </c>
      <c r="C209" s="173" t="str">
        <f t="shared" si="44"/>
        <v/>
      </c>
      <c r="D209" s="173" t="str">
        <f t="shared" si="44"/>
        <v/>
      </c>
      <c r="E209" s="173" t="str">
        <f t="shared" si="44"/>
        <v/>
      </c>
      <c r="F209" s="173" t="str">
        <f t="shared" si="44"/>
        <v/>
      </c>
      <c r="G209" s="173" t="str">
        <f t="shared" si="44"/>
        <v/>
      </c>
      <c r="H209" s="173" t="str">
        <f t="shared" si="44"/>
        <v/>
      </c>
      <c r="I209" s="173" t="str">
        <f t="shared" si="44"/>
        <v/>
      </c>
      <c r="J209" s="173" t="str">
        <f t="shared" si="44"/>
        <v/>
      </c>
      <c r="K209" s="173" t="str">
        <f t="shared" si="44"/>
        <v/>
      </c>
      <c r="L209" s="173" t="str">
        <f t="shared" si="45"/>
        <v>info</v>
      </c>
      <c r="M209" s="173" t="str">
        <f t="shared" si="45"/>
        <v/>
      </c>
      <c r="N209" s="173" t="str">
        <f t="shared" si="45"/>
        <v/>
      </c>
      <c r="O209" s="173" t="str">
        <f t="shared" si="45"/>
        <v/>
      </c>
      <c r="P209" s="174" t="str">
        <f t="shared" si="45"/>
        <v/>
      </c>
      <c r="Q209" s="174" t="str">
        <f t="shared" si="45"/>
        <v>x</v>
      </c>
      <c r="R209" s="174" t="str">
        <f t="shared" si="45"/>
        <v>BS</v>
      </c>
      <c r="S209" s="174" t="str">
        <f t="shared" si="45"/>
        <v>all</v>
      </c>
      <c r="T209" s="173" t="str">
        <f t="shared" si="45"/>
        <v/>
      </c>
      <c r="U209" s="173" t="str">
        <f t="shared" si="45"/>
        <v/>
      </c>
      <c r="V209" s="173" t="str">
        <f t="shared" si="45"/>
        <v/>
      </c>
      <c r="W209" s="173" t="str">
        <f t="shared" si="45"/>
        <v/>
      </c>
      <c r="X209" s="173" t="str">
        <f t="shared" si="45"/>
        <v/>
      </c>
      <c r="Y209" s="173" t="str">
        <f t="shared" si="45"/>
        <v/>
      </c>
    </row>
    <row r="210" spans="1:25" x14ac:dyDescent="0.3">
      <c r="A210" s="172">
        <f t="shared" si="43"/>
        <v>208</v>
      </c>
      <c r="B210" s="173" t="str">
        <f t="shared" si="44"/>
        <v/>
      </c>
      <c r="C210" s="173" t="str">
        <f t="shared" si="44"/>
        <v/>
      </c>
      <c r="D210" s="173" t="str">
        <f t="shared" si="44"/>
        <v/>
      </c>
      <c r="E210" s="173" t="str">
        <f t="shared" si="44"/>
        <v/>
      </c>
      <c r="F210" s="173" t="str">
        <f t="shared" si="44"/>
        <v/>
      </c>
      <c r="G210" s="173" t="str">
        <f t="shared" si="44"/>
        <v/>
      </c>
      <c r="H210" s="173" t="str">
        <f t="shared" si="44"/>
        <v/>
      </c>
      <c r="I210" s="173" t="str">
        <f t="shared" si="44"/>
        <v/>
      </c>
      <c r="J210" s="173" t="str">
        <f t="shared" si="44"/>
        <v/>
      </c>
      <c r="K210" s="173" t="str">
        <f t="shared" si="44"/>
        <v/>
      </c>
      <c r="L210" s="173" t="str">
        <f t="shared" si="45"/>
        <v>info</v>
      </c>
      <c r="M210" s="173" t="str">
        <f t="shared" si="45"/>
        <v/>
      </c>
      <c r="N210" s="173" t="str">
        <f t="shared" si="45"/>
        <v/>
      </c>
      <c r="O210" s="173" t="str">
        <f t="shared" si="45"/>
        <v/>
      </c>
      <c r="P210" s="174" t="str">
        <f t="shared" si="45"/>
        <v/>
      </c>
      <c r="Q210" s="174" t="str">
        <f t="shared" si="45"/>
        <v>x</v>
      </c>
      <c r="R210" s="174" t="str">
        <f t="shared" si="45"/>
        <v>BS</v>
      </c>
      <c r="S210" s="174" t="str">
        <f t="shared" si="45"/>
        <v>all</v>
      </c>
      <c r="T210" s="173" t="str">
        <f t="shared" si="45"/>
        <v/>
      </c>
      <c r="U210" s="173" t="str">
        <f t="shared" si="45"/>
        <v/>
      </c>
      <c r="V210" s="173" t="str">
        <f t="shared" si="45"/>
        <v/>
      </c>
      <c r="W210" s="173" t="str">
        <f t="shared" si="45"/>
        <v/>
      </c>
      <c r="X210" s="173" t="str">
        <f t="shared" si="45"/>
        <v/>
      </c>
      <c r="Y210" s="173" t="str">
        <f t="shared" si="45"/>
        <v/>
      </c>
    </row>
    <row r="211" spans="1:25" x14ac:dyDescent="0.3">
      <c r="A211" s="172">
        <f t="shared" si="43"/>
        <v>209</v>
      </c>
      <c r="B211" s="173" t="str">
        <f t="shared" si="44"/>
        <v/>
      </c>
      <c r="C211" s="173" t="str">
        <f t="shared" si="44"/>
        <v/>
      </c>
      <c r="D211" s="173" t="str">
        <f t="shared" si="44"/>
        <v/>
      </c>
      <c r="E211" s="173" t="str">
        <f t="shared" si="44"/>
        <v/>
      </c>
      <c r="F211" s="173" t="str">
        <f t="shared" si="44"/>
        <v/>
      </c>
      <c r="G211" s="173" t="str">
        <f t="shared" si="44"/>
        <v/>
      </c>
      <c r="H211" s="173" t="str">
        <f t="shared" si="44"/>
        <v/>
      </c>
      <c r="I211" s="173" t="str">
        <f t="shared" si="44"/>
        <v/>
      </c>
      <c r="J211" s="173" t="str">
        <f t="shared" si="44"/>
        <v/>
      </c>
      <c r="K211" s="173" t="str">
        <f t="shared" si="44"/>
        <v/>
      </c>
      <c r="L211" s="173" t="str">
        <f t="shared" si="45"/>
        <v>info</v>
      </c>
      <c r="M211" s="173" t="str">
        <f t="shared" si="45"/>
        <v/>
      </c>
      <c r="N211" s="173" t="str">
        <f t="shared" si="45"/>
        <v/>
      </c>
      <c r="O211" s="173" t="str">
        <f t="shared" si="45"/>
        <v/>
      </c>
      <c r="P211" s="174" t="str">
        <f t="shared" si="45"/>
        <v/>
      </c>
      <c r="Q211" s="174" t="str">
        <f t="shared" si="45"/>
        <v>x</v>
      </c>
      <c r="R211" s="174" t="str">
        <f t="shared" si="45"/>
        <v>BS</v>
      </c>
      <c r="S211" s="174" t="str">
        <f t="shared" si="45"/>
        <v>all</v>
      </c>
      <c r="T211" s="173" t="str">
        <f t="shared" si="45"/>
        <v/>
      </c>
      <c r="U211" s="173" t="str">
        <f t="shared" si="45"/>
        <v/>
      </c>
      <c r="V211" s="173" t="str">
        <f t="shared" si="45"/>
        <v/>
      </c>
      <c r="W211" s="173" t="str">
        <f t="shared" si="45"/>
        <v/>
      </c>
      <c r="X211" s="173" t="str">
        <f t="shared" si="45"/>
        <v/>
      </c>
      <c r="Y211" s="173" t="str">
        <f t="shared" si="45"/>
        <v/>
      </c>
    </row>
    <row r="212" spans="1:25" x14ac:dyDescent="0.3">
      <c r="A212" s="172">
        <f t="shared" si="43"/>
        <v>210</v>
      </c>
      <c r="B212" s="173" t="str">
        <f t="shared" si="44"/>
        <v/>
      </c>
      <c r="C212" s="173" t="str">
        <f t="shared" si="44"/>
        <v/>
      </c>
      <c r="D212" s="173" t="str">
        <f t="shared" si="44"/>
        <v/>
      </c>
      <c r="E212" s="173" t="str">
        <f t="shared" si="44"/>
        <v/>
      </c>
      <c r="F212" s="173" t="str">
        <f t="shared" si="44"/>
        <v/>
      </c>
      <c r="G212" s="173" t="str">
        <f t="shared" si="44"/>
        <v/>
      </c>
      <c r="H212" s="173" t="str">
        <f t="shared" si="44"/>
        <v/>
      </c>
      <c r="I212" s="173" t="str">
        <f t="shared" si="44"/>
        <v/>
      </c>
      <c r="J212" s="173" t="str">
        <f t="shared" si="44"/>
        <v/>
      </c>
      <c r="K212" s="173" t="str">
        <f t="shared" si="44"/>
        <v/>
      </c>
      <c r="L212" s="173" t="str">
        <f t="shared" si="45"/>
        <v>info</v>
      </c>
      <c r="M212" s="173" t="str">
        <f t="shared" si="45"/>
        <v/>
      </c>
      <c r="N212" s="173" t="str">
        <f t="shared" si="45"/>
        <v/>
      </c>
      <c r="O212" s="173" t="str">
        <f t="shared" si="45"/>
        <v/>
      </c>
      <c r="P212" s="174" t="str">
        <f t="shared" si="45"/>
        <v/>
      </c>
      <c r="Q212" s="174" t="str">
        <f t="shared" si="45"/>
        <v>x</v>
      </c>
      <c r="R212" s="174" t="str">
        <f t="shared" si="45"/>
        <v>BS</v>
      </c>
      <c r="S212" s="174" t="str">
        <f t="shared" si="45"/>
        <v>all</v>
      </c>
      <c r="T212" s="173" t="str">
        <f t="shared" si="45"/>
        <v/>
      </c>
      <c r="U212" s="173" t="str">
        <f t="shared" si="45"/>
        <v/>
      </c>
      <c r="V212" s="173" t="str">
        <f t="shared" si="45"/>
        <v/>
      </c>
      <c r="W212" s="173" t="str">
        <f t="shared" si="45"/>
        <v/>
      </c>
      <c r="X212" s="173" t="str">
        <f t="shared" si="45"/>
        <v/>
      </c>
      <c r="Y212" s="173" t="str">
        <f t="shared" si="45"/>
        <v/>
      </c>
    </row>
    <row r="213" spans="1:25" x14ac:dyDescent="0.3">
      <c r="A213" s="172">
        <f t="shared" si="43"/>
        <v>211</v>
      </c>
      <c r="B213" s="173" t="str">
        <f t="shared" ref="B213:K222" si="46">IF(ISNONTEXT(B$2),IF(B$2="","",IF(INDEX(IMPORT,$A213,B$2)=0,"",IFERROR(VLOOKUP(INDEX(IMPORT,$A213,B$2),ImportTranslation,2,0),INDEX(IMPORT,$A213,B$2)))),B$2)</f>
        <v/>
      </c>
      <c r="C213" s="173" t="str">
        <f t="shared" si="46"/>
        <v/>
      </c>
      <c r="D213" s="173" t="str">
        <f t="shared" si="46"/>
        <v/>
      </c>
      <c r="E213" s="173" t="str">
        <f t="shared" si="46"/>
        <v/>
      </c>
      <c r="F213" s="173" t="str">
        <f t="shared" si="46"/>
        <v/>
      </c>
      <c r="G213" s="173" t="str">
        <f t="shared" si="46"/>
        <v/>
      </c>
      <c r="H213" s="173" t="str">
        <f t="shared" si="46"/>
        <v/>
      </c>
      <c r="I213" s="173" t="str">
        <f t="shared" si="46"/>
        <v/>
      </c>
      <c r="J213" s="173" t="str">
        <f t="shared" si="46"/>
        <v/>
      </c>
      <c r="K213" s="173" t="str">
        <f t="shared" si="46"/>
        <v/>
      </c>
      <c r="L213" s="173" t="str">
        <f t="shared" ref="L213:Y222" si="47">IF(ISNONTEXT(L$2),IF(L$2="","",IF(INDEX(IMPORT,$A213,L$2)=0,"",IFERROR(VLOOKUP(INDEX(IMPORT,$A213,L$2),ImportTranslation,2,0),INDEX(IMPORT,$A213,L$2)))),L$2)</f>
        <v>info</v>
      </c>
      <c r="M213" s="173" t="str">
        <f t="shared" si="47"/>
        <v/>
      </c>
      <c r="N213" s="173" t="str">
        <f t="shared" si="47"/>
        <v/>
      </c>
      <c r="O213" s="173" t="str">
        <f t="shared" si="47"/>
        <v/>
      </c>
      <c r="P213" s="174" t="str">
        <f t="shared" si="47"/>
        <v/>
      </c>
      <c r="Q213" s="174" t="str">
        <f t="shared" si="47"/>
        <v>x</v>
      </c>
      <c r="R213" s="174" t="str">
        <f t="shared" si="47"/>
        <v>BS</v>
      </c>
      <c r="S213" s="174" t="str">
        <f t="shared" si="47"/>
        <v>all</v>
      </c>
      <c r="T213" s="173" t="str">
        <f t="shared" si="47"/>
        <v/>
      </c>
      <c r="U213" s="173" t="str">
        <f t="shared" si="47"/>
        <v/>
      </c>
      <c r="V213" s="173" t="str">
        <f t="shared" si="47"/>
        <v/>
      </c>
      <c r="W213" s="173" t="str">
        <f t="shared" si="47"/>
        <v/>
      </c>
      <c r="X213" s="173" t="str">
        <f t="shared" si="47"/>
        <v/>
      </c>
      <c r="Y213" s="173" t="str">
        <f t="shared" si="47"/>
        <v/>
      </c>
    </row>
    <row r="214" spans="1:25" x14ac:dyDescent="0.3">
      <c r="A214" s="172">
        <f t="shared" si="43"/>
        <v>212</v>
      </c>
      <c r="B214" s="173" t="str">
        <f t="shared" si="46"/>
        <v/>
      </c>
      <c r="C214" s="173" t="str">
        <f t="shared" si="46"/>
        <v/>
      </c>
      <c r="D214" s="173" t="str">
        <f t="shared" si="46"/>
        <v/>
      </c>
      <c r="E214" s="173" t="str">
        <f t="shared" si="46"/>
        <v/>
      </c>
      <c r="F214" s="173" t="str">
        <f t="shared" si="46"/>
        <v/>
      </c>
      <c r="G214" s="173" t="str">
        <f t="shared" si="46"/>
        <v/>
      </c>
      <c r="H214" s="173" t="str">
        <f t="shared" si="46"/>
        <v/>
      </c>
      <c r="I214" s="173" t="str">
        <f t="shared" si="46"/>
        <v/>
      </c>
      <c r="J214" s="173" t="str">
        <f t="shared" si="46"/>
        <v/>
      </c>
      <c r="K214" s="173" t="str">
        <f t="shared" si="46"/>
        <v/>
      </c>
      <c r="L214" s="173" t="str">
        <f t="shared" si="47"/>
        <v>info</v>
      </c>
      <c r="M214" s="173" t="str">
        <f t="shared" si="47"/>
        <v/>
      </c>
      <c r="N214" s="173" t="str">
        <f t="shared" si="47"/>
        <v/>
      </c>
      <c r="O214" s="173" t="str">
        <f t="shared" si="47"/>
        <v/>
      </c>
      <c r="P214" s="174" t="str">
        <f t="shared" si="47"/>
        <v/>
      </c>
      <c r="Q214" s="174" t="str">
        <f t="shared" si="47"/>
        <v>x</v>
      </c>
      <c r="R214" s="174" t="str">
        <f t="shared" si="47"/>
        <v>BS</v>
      </c>
      <c r="S214" s="174" t="str">
        <f t="shared" si="47"/>
        <v>all</v>
      </c>
      <c r="T214" s="173" t="str">
        <f t="shared" si="47"/>
        <v/>
      </c>
      <c r="U214" s="173" t="str">
        <f t="shared" si="47"/>
        <v/>
      </c>
      <c r="V214" s="173" t="str">
        <f t="shared" si="47"/>
        <v/>
      </c>
      <c r="W214" s="173" t="str">
        <f t="shared" si="47"/>
        <v/>
      </c>
      <c r="X214" s="173" t="str">
        <f t="shared" si="47"/>
        <v/>
      </c>
      <c r="Y214" s="173" t="str">
        <f t="shared" si="47"/>
        <v/>
      </c>
    </row>
    <row r="215" spans="1:25" x14ac:dyDescent="0.3">
      <c r="A215" s="172">
        <f t="shared" si="43"/>
        <v>213</v>
      </c>
      <c r="B215" s="173" t="str">
        <f t="shared" si="46"/>
        <v/>
      </c>
      <c r="C215" s="173" t="str">
        <f t="shared" si="46"/>
        <v/>
      </c>
      <c r="D215" s="173" t="str">
        <f t="shared" si="46"/>
        <v/>
      </c>
      <c r="E215" s="173" t="str">
        <f t="shared" si="46"/>
        <v/>
      </c>
      <c r="F215" s="173" t="str">
        <f t="shared" si="46"/>
        <v/>
      </c>
      <c r="G215" s="173" t="str">
        <f t="shared" si="46"/>
        <v/>
      </c>
      <c r="H215" s="173" t="str">
        <f t="shared" si="46"/>
        <v/>
      </c>
      <c r="I215" s="173" t="str">
        <f t="shared" si="46"/>
        <v/>
      </c>
      <c r="J215" s="173" t="str">
        <f t="shared" si="46"/>
        <v/>
      </c>
      <c r="K215" s="173" t="str">
        <f t="shared" si="46"/>
        <v/>
      </c>
      <c r="L215" s="173" t="str">
        <f t="shared" si="47"/>
        <v>info</v>
      </c>
      <c r="M215" s="173" t="str">
        <f t="shared" si="47"/>
        <v/>
      </c>
      <c r="N215" s="173" t="str">
        <f t="shared" si="47"/>
        <v/>
      </c>
      <c r="O215" s="173" t="str">
        <f t="shared" si="47"/>
        <v/>
      </c>
      <c r="P215" s="174" t="str">
        <f t="shared" si="47"/>
        <v/>
      </c>
      <c r="Q215" s="174" t="str">
        <f t="shared" si="47"/>
        <v>x</v>
      </c>
      <c r="R215" s="174" t="str">
        <f t="shared" si="47"/>
        <v>BS</v>
      </c>
      <c r="S215" s="174" t="str">
        <f t="shared" si="47"/>
        <v>all</v>
      </c>
      <c r="T215" s="173" t="str">
        <f t="shared" si="47"/>
        <v/>
      </c>
      <c r="U215" s="173" t="str">
        <f t="shared" si="47"/>
        <v/>
      </c>
      <c r="V215" s="173" t="str">
        <f t="shared" si="47"/>
        <v/>
      </c>
      <c r="W215" s="173" t="str">
        <f t="shared" si="47"/>
        <v/>
      </c>
      <c r="X215" s="173" t="str">
        <f t="shared" si="47"/>
        <v/>
      </c>
      <c r="Y215" s="173" t="str">
        <f t="shared" si="47"/>
        <v/>
      </c>
    </row>
    <row r="216" spans="1:25" x14ac:dyDescent="0.3">
      <c r="A216" s="172">
        <f t="shared" si="43"/>
        <v>214</v>
      </c>
      <c r="B216" s="173" t="str">
        <f t="shared" si="46"/>
        <v/>
      </c>
      <c r="C216" s="173" t="str">
        <f t="shared" si="46"/>
        <v/>
      </c>
      <c r="D216" s="173" t="str">
        <f t="shared" si="46"/>
        <v/>
      </c>
      <c r="E216" s="173" t="str">
        <f t="shared" si="46"/>
        <v/>
      </c>
      <c r="F216" s="173" t="str">
        <f t="shared" si="46"/>
        <v/>
      </c>
      <c r="G216" s="173" t="str">
        <f t="shared" si="46"/>
        <v/>
      </c>
      <c r="H216" s="173" t="str">
        <f t="shared" si="46"/>
        <v/>
      </c>
      <c r="I216" s="173" t="str">
        <f t="shared" si="46"/>
        <v/>
      </c>
      <c r="J216" s="173" t="str">
        <f t="shared" si="46"/>
        <v/>
      </c>
      <c r="K216" s="173" t="str">
        <f t="shared" si="46"/>
        <v/>
      </c>
      <c r="L216" s="173" t="str">
        <f t="shared" si="47"/>
        <v>info</v>
      </c>
      <c r="M216" s="173" t="str">
        <f t="shared" si="47"/>
        <v/>
      </c>
      <c r="N216" s="173" t="str">
        <f t="shared" si="47"/>
        <v/>
      </c>
      <c r="O216" s="173" t="str">
        <f t="shared" si="47"/>
        <v/>
      </c>
      <c r="P216" s="174" t="str">
        <f t="shared" si="47"/>
        <v/>
      </c>
      <c r="Q216" s="174" t="str">
        <f t="shared" si="47"/>
        <v>x</v>
      </c>
      <c r="R216" s="174" t="str">
        <f t="shared" si="47"/>
        <v>BS</v>
      </c>
      <c r="S216" s="174" t="str">
        <f t="shared" si="47"/>
        <v>all</v>
      </c>
      <c r="T216" s="173" t="str">
        <f t="shared" si="47"/>
        <v/>
      </c>
      <c r="U216" s="173" t="str">
        <f t="shared" si="47"/>
        <v/>
      </c>
      <c r="V216" s="173" t="str">
        <f t="shared" si="47"/>
        <v/>
      </c>
      <c r="W216" s="173" t="str">
        <f t="shared" si="47"/>
        <v/>
      </c>
      <c r="X216" s="173" t="str">
        <f t="shared" si="47"/>
        <v/>
      </c>
      <c r="Y216" s="173" t="str">
        <f t="shared" si="47"/>
        <v/>
      </c>
    </row>
    <row r="217" spans="1:25" x14ac:dyDescent="0.3">
      <c r="A217" s="172">
        <f t="shared" si="43"/>
        <v>215</v>
      </c>
      <c r="B217" s="173" t="str">
        <f t="shared" si="46"/>
        <v/>
      </c>
      <c r="C217" s="173" t="str">
        <f t="shared" si="46"/>
        <v/>
      </c>
      <c r="D217" s="173" t="str">
        <f t="shared" si="46"/>
        <v/>
      </c>
      <c r="E217" s="173" t="str">
        <f t="shared" si="46"/>
        <v/>
      </c>
      <c r="F217" s="173" t="str">
        <f t="shared" si="46"/>
        <v/>
      </c>
      <c r="G217" s="173" t="str">
        <f t="shared" si="46"/>
        <v/>
      </c>
      <c r="H217" s="173" t="str">
        <f t="shared" si="46"/>
        <v/>
      </c>
      <c r="I217" s="173" t="str">
        <f t="shared" si="46"/>
        <v/>
      </c>
      <c r="J217" s="173" t="str">
        <f t="shared" si="46"/>
        <v/>
      </c>
      <c r="K217" s="173" t="str">
        <f t="shared" si="46"/>
        <v/>
      </c>
      <c r="L217" s="173" t="str">
        <f t="shared" si="47"/>
        <v>info</v>
      </c>
      <c r="M217" s="173" t="str">
        <f t="shared" si="47"/>
        <v/>
      </c>
      <c r="N217" s="173" t="str">
        <f t="shared" si="47"/>
        <v/>
      </c>
      <c r="O217" s="173" t="str">
        <f t="shared" si="47"/>
        <v/>
      </c>
      <c r="P217" s="174" t="str">
        <f t="shared" si="47"/>
        <v/>
      </c>
      <c r="Q217" s="174" t="str">
        <f t="shared" si="47"/>
        <v>x</v>
      </c>
      <c r="R217" s="174" t="str">
        <f t="shared" si="47"/>
        <v>BS</v>
      </c>
      <c r="S217" s="174" t="str">
        <f t="shared" si="47"/>
        <v>all</v>
      </c>
      <c r="T217" s="173" t="str">
        <f t="shared" si="47"/>
        <v/>
      </c>
      <c r="U217" s="173" t="str">
        <f t="shared" si="47"/>
        <v/>
      </c>
      <c r="V217" s="173" t="str">
        <f t="shared" si="47"/>
        <v/>
      </c>
      <c r="W217" s="173" t="str">
        <f t="shared" si="47"/>
        <v/>
      </c>
      <c r="X217" s="173" t="str">
        <f t="shared" si="47"/>
        <v/>
      </c>
      <c r="Y217" s="173" t="str">
        <f t="shared" si="47"/>
        <v/>
      </c>
    </row>
    <row r="218" spans="1:25" x14ac:dyDescent="0.3">
      <c r="A218" s="172">
        <f t="shared" si="43"/>
        <v>216</v>
      </c>
      <c r="B218" s="173" t="str">
        <f t="shared" si="46"/>
        <v/>
      </c>
      <c r="C218" s="173" t="str">
        <f t="shared" si="46"/>
        <v/>
      </c>
      <c r="D218" s="173" t="str">
        <f t="shared" si="46"/>
        <v/>
      </c>
      <c r="E218" s="173" t="str">
        <f t="shared" si="46"/>
        <v/>
      </c>
      <c r="F218" s="173" t="str">
        <f t="shared" si="46"/>
        <v/>
      </c>
      <c r="G218" s="173" t="str">
        <f t="shared" si="46"/>
        <v/>
      </c>
      <c r="H218" s="173" t="str">
        <f t="shared" si="46"/>
        <v/>
      </c>
      <c r="I218" s="173" t="str">
        <f t="shared" si="46"/>
        <v/>
      </c>
      <c r="J218" s="173" t="str">
        <f t="shared" si="46"/>
        <v/>
      </c>
      <c r="K218" s="173" t="str">
        <f t="shared" si="46"/>
        <v/>
      </c>
      <c r="L218" s="173" t="str">
        <f t="shared" si="47"/>
        <v>info</v>
      </c>
      <c r="M218" s="173" t="str">
        <f t="shared" si="47"/>
        <v/>
      </c>
      <c r="N218" s="173" t="str">
        <f t="shared" si="47"/>
        <v/>
      </c>
      <c r="O218" s="173" t="str">
        <f t="shared" si="47"/>
        <v/>
      </c>
      <c r="P218" s="174" t="str">
        <f t="shared" si="47"/>
        <v/>
      </c>
      <c r="Q218" s="174" t="str">
        <f t="shared" si="47"/>
        <v>x</v>
      </c>
      <c r="R218" s="174" t="str">
        <f t="shared" si="47"/>
        <v>BS</v>
      </c>
      <c r="S218" s="174" t="str">
        <f t="shared" si="47"/>
        <v>all</v>
      </c>
      <c r="T218" s="173" t="str">
        <f t="shared" si="47"/>
        <v/>
      </c>
      <c r="U218" s="173" t="str">
        <f t="shared" si="47"/>
        <v/>
      </c>
      <c r="V218" s="173" t="str">
        <f t="shared" si="47"/>
        <v/>
      </c>
      <c r="W218" s="173" t="str">
        <f t="shared" si="47"/>
        <v/>
      </c>
      <c r="X218" s="173" t="str">
        <f t="shared" si="47"/>
        <v/>
      </c>
      <c r="Y218" s="173" t="str">
        <f t="shared" si="47"/>
        <v/>
      </c>
    </row>
    <row r="219" spans="1:25" x14ac:dyDescent="0.3">
      <c r="A219" s="172">
        <f t="shared" si="43"/>
        <v>217</v>
      </c>
      <c r="B219" s="173" t="str">
        <f t="shared" si="46"/>
        <v/>
      </c>
      <c r="C219" s="173" t="str">
        <f t="shared" si="46"/>
        <v/>
      </c>
      <c r="D219" s="173" t="str">
        <f t="shared" si="46"/>
        <v/>
      </c>
      <c r="E219" s="173" t="str">
        <f t="shared" si="46"/>
        <v/>
      </c>
      <c r="F219" s="173" t="str">
        <f t="shared" si="46"/>
        <v/>
      </c>
      <c r="G219" s="173" t="str">
        <f t="shared" si="46"/>
        <v/>
      </c>
      <c r="H219" s="173" t="str">
        <f t="shared" si="46"/>
        <v/>
      </c>
      <c r="I219" s="173" t="str">
        <f t="shared" si="46"/>
        <v/>
      </c>
      <c r="J219" s="173" t="str">
        <f t="shared" si="46"/>
        <v/>
      </c>
      <c r="K219" s="173" t="str">
        <f t="shared" si="46"/>
        <v/>
      </c>
      <c r="L219" s="173" t="str">
        <f t="shared" si="47"/>
        <v>info</v>
      </c>
      <c r="M219" s="173" t="str">
        <f t="shared" si="47"/>
        <v/>
      </c>
      <c r="N219" s="173" t="str">
        <f t="shared" si="47"/>
        <v/>
      </c>
      <c r="O219" s="173" t="str">
        <f t="shared" si="47"/>
        <v/>
      </c>
      <c r="P219" s="174" t="str">
        <f t="shared" si="47"/>
        <v/>
      </c>
      <c r="Q219" s="174" t="str">
        <f t="shared" si="47"/>
        <v>x</v>
      </c>
      <c r="R219" s="174" t="str">
        <f t="shared" si="47"/>
        <v>BS</v>
      </c>
      <c r="S219" s="174" t="str">
        <f t="shared" si="47"/>
        <v>all</v>
      </c>
      <c r="T219" s="173" t="str">
        <f t="shared" si="47"/>
        <v/>
      </c>
      <c r="U219" s="173" t="str">
        <f t="shared" si="47"/>
        <v/>
      </c>
      <c r="V219" s="173" t="str">
        <f t="shared" si="47"/>
        <v/>
      </c>
      <c r="W219" s="173" t="str">
        <f t="shared" si="47"/>
        <v/>
      </c>
      <c r="X219" s="173" t="str">
        <f t="shared" si="47"/>
        <v/>
      </c>
      <c r="Y219" s="173" t="str">
        <f t="shared" si="47"/>
        <v/>
      </c>
    </row>
    <row r="220" spans="1:25" x14ac:dyDescent="0.3">
      <c r="A220" s="172">
        <f t="shared" si="43"/>
        <v>218</v>
      </c>
      <c r="B220" s="173" t="str">
        <f t="shared" si="46"/>
        <v/>
      </c>
      <c r="C220" s="173" t="str">
        <f t="shared" si="46"/>
        <v/>
      </c>
      <c r="D220" s="173" t="str">
        <f t="shared" si="46"/>
        <v/>
      </c>
      <c r="E220" s="173" t="str">
        <f t="shared" si="46"/>
        <v/>
      </c>
      <c r="F220" s="173" t="str">
        <f t="shared" si="46"/>
        <v/>
      </c>
      <c r="G220" s="173" t="str">
        <f t="shared" si="46"/>
        <v/>
      </c>
      <c r="H220" s="173" t="str">
        <f t="shared" si="46"/>
        <v/>
      </c>
      <c r="I220" s="173" t="str">
        <f t="shared" si="46"/>
        <v/>
      </c>
      <c r="J220" s="173" t="str">
        <f t="shared" si="46"/>
        <v/>
      </c>
      <c r="K220" s="173" t="str">
        <f t="shared" si="46"/>
        <v/>
      </c>
      <c r="L220" s="173" t="str">
        <f t="shared" si="47"/>
        <v>info</v>
      </c>
      <c r="M220" s="173" t="str">
        <f t="shared" si="47"/>
        <v/>
      </c>
      <c r="N220" s="173" t="str">
        <f t="shared" si="47"/>
        <v/>
      </c>
      <c r="O220" s="173" t="str">
        <f t="shared" si="47"/>
        <v/>
      </c>
      <c r="P220" s="174" t="str">
        <f t="shared" si="47"/>
        <v/>
      </c>
      <c r="Q220" s="174" t="str">
        <f t="shared" si="47"/>
        <v>x</v>
      </c>
      <c r="R220" s="174" t="str">
        <f t="shared" si="47"/>
        <v>BS</v>
      </c>
      <c r="S220" s="174" t="str">
        <f t="shared" si="47"/>
        <v>all</v>
      </c>
      <c r="T220" s="173" t="str">
        <f t="shared" si="47"/>
        <v/>
      </c>
      <c r="U220" s="173" t="str">
        <f t="shared" si="47"/>
        <v/>
      </c>
      <c r="V220" s="173" t="str">
        <f t="shared" si="47"/>
        <v/>
      </c>
      <c r="W220" s="173" t="str">
        <f t="shared" si="47"/>
        <v/>
      </c>
      <c r="X220" s="173" t="str">
        <f t="shared" si="47"/>
        <v/>
      </c>
      <c r="Y220" s="173" t="str">
        <f t="shared" si="47"/>
        <v/>
      </c>
    </row>
    <row r="221" spans="1:25" x14ac:dyDescent="0.3">
      <c r="A221" s="172">
        <f t="shared" si="43"/>
        <v>219</v>
      </c>
      <c r="B221" s="173" t="str">
        <f t="shared" si="46"/>
        <v/>
      </c>
      <c r="C221" s="173" t="str">
        <f t="shared" si="46"/>
        <v/>
      </c>
      <c r="D221" s="173" t="str">
        <f t="shared" si="46"/>
        <v/>
      </c>
      <c r="E221" s="173" t="str">
        <f t="shared" si="46"/>
        <v/>
      </c>
      <c r="F221" s="173" t="str">
        <f t="shared" si="46"/>
        <v/>
      </c>
      <c r="G221" s="173" t="str">
        <f t="shared" si="46"/>
        <v/>
      </c>
      <c r="H221" s="173" t="str">
        <f t="shared" si="46"/>
        <v/>
      </c>
      <c r="I221" s="173" t="str">
        <f t="shared" si="46"/>
        <v/>
      </c>
      <c r="J221" s="173" t="str">
        <f t="shared" si="46"/>
        <v/>
      </c>
      <c r="K221" s="173" t="str">
        <f t="shared" si="46"/>
        <v/>
      </c>
      <c r="L221" s="173" t="str">
        <f t="shared" si="47"/>
        <v>info</v>
      </c>
      <c r="M221" s="173" t="str">
        <f t="shared" si="47"/>
        <v/>
      </c>
      <c r="N221" s="173" t="str">
        <f t="shared" si="47"/>
        <v/>
      </c>
      <c r="O221" s="173" t="str">
        <f t="shared" si="47"/>
        <v/>
      </c>
      <c r="P221" s="174" t="str">
        <f t="shared" si="47"/>
        <v/>
      </c>
      <c r="Q221" s="174" t="str">
        <f t="shared" si="47"/>
        <v>x</v>
      </c>
      <c r="R221" s="174" t="str">
        <f t="shared" si="47"/>
        <v>BS</v>
      </c>
      <c r="S221" s="174" t="str">
        <f t="shared" si="47"/>
        <v>all</v>
      </c>
      <c r="T221" s="173" t="str">
        <f t="shared" si="47"/>
        <v/>
      </c>
      <c r="U221" s="173" t="str">
        <f t="shared" si="47"/>
        <v/>
      </c>
      <c r="V221" s="173" t="str">
        <f t="shared" si="47"/>
        <v/>
      </c>
      <c r="W221" s="173" t="str">
        <f t="shared" si="47"/>
        <v/>
      </c>
      <c r="X221" s="173" t="str">
        <f t="shared" si="47"/>
        <v/>
      </c>
      <c r="Y221" s="173" t="str">
        <f t="shared" si="47"/>
        <v/>
      </c>
    </row>
    <row r="222" spans="1:25" x14ac:dyDescent="0.3">
      <c r="A222" s="172">
        <f t="shared" si="43"/>
        <v>220</v>
      </c>
      <c r="B222" s="173" t="str">
        <f t="shared" si="46"/>
        <v/>
      </c>
      <c r="C222" s="173" t="str">
        <f t="shared" si="46"/>
        <v/>
      </c>
      <c r="D222" s="173" t="str">
        <f t="shared" si="46"/>
        <v/>
      </c>
      <c r="E222" s="173" t="str">
        <f t="shared" si="46"/>
        <v/>
      </c>
      <c r="F222" s="173" t="str">
        <f t="shared" si="46"/>
        <v/>
      </c>
      <c r="G222" s="173" t="str">
        <f t="shared" si="46"/>
        <v/>
      </c>
      <c r="H222" s="173" t="str">
        <f t="shared" si="46"/>
        <v/>
      </c>
      <c r="I222" s="173" t="str">
        <f t="shared" si="46"/>
        <v/>
      </c>
      <c r="J222" s="173" t="str">
        <f t="shared" si="46"/>
        <v/>
      </c>
      <c r="K222" s="173" t="str">
        <f t="shared" si="46"/>
        <v/>
      </c>
      <c r="L222" s="173" t="str">
        <f t="shared" si="47"/>
        <v>info</v>
      </c>
      <c r="M222" s="173" t="str">
        <f t="shared" si="47"/>
        <v/>
      </c>
      <c r="N222" s="173" t="str">
        <f t="shared" si="47"/>
        <v/>
      </c>
      <c r="O222" s="173" t="str">
        <f t="shared" si="47"/>
        <v/>
      </c>
      <c r="P222" s="174" t="str">
        <f t="shared" si="47"/>
        <v/>
      </c>
      <c r="Q222" s="174" t="str">
        <f t="shared" si="47"/>
        <v>x</v>
      </c>
      <c r="R222" s="174" t="str">
        <f t="shared" si="47"/>
        <v>BS</v>
      </c>
      <c r="S222" s="174" t="str">
        <f t="shared" si="47"/>
        <v>all</v>
      </c>
      <c r="T222" s="173" t="str">
        <f t="shared" si="47"/>
        <v/>
      </c>
      <c r="U222" s="173" t="str">
        <f t="shared" si="47"/>
        <v/>
      </c>
      <c r="V222" s="173" t="str">
        <f t="shared" si="47"/>
        <v/>
      </c>
      <c r="W222" s="173" t="str">
        <f t="shared" si="47"/>
        <v/>
      </c>
      <c r="X222" s="173" t="str">
        <f t="shared" si="47"/>
        <v/>
      </c>
      <c r="Y222" s="173" t="str">
        <f t="shared" si="47"/>
        <v/>
      </c>
    </row>
    <row r="223" spans="1:25" x14ac:dyDescent="0.3">
      <c r="A223" s="172">
        <f t="shared" si="43"/>
        <v>221</v>
      </c>
      <c r="B223" s="173" t="str">
        <f t="shared" ref="B223:K232" si="48">IF(ISNONTEXT(B$2),IF(B$2="","",IF(INDEX(IMPORT,$A223,B$2)=0,"",IFERROR(VLOOKUP(INDEX(IMPORT,$A223,B$2),ImportTranslation,2,0),INDEX(IMPORT,$A223,B$2)))),B$2)</f>
        <v/>
      </c>
      <c r="C223" s="173" t="str">
        <f t="shared" si="48"/>
        <v/>
      </c>
      <c r="D223" s="173" t="str">
        <f t="shared" si="48"/>
        <v/>
      </c>
      <c r="E223" s="173" t="str">
        <f t="shared" si="48"/>
        <v/>
      </c>
      <c r="F223" s="173" t="str">
        <f t="shared" si="48"/>
        <v/>
      </c>
      <c r="G223" s="173" t="str">
        <f t="shared" si="48"/>
        <v/>
      </c>
      <c r="H223" s="173" t="str">
        <f t="shared" si="48"/>
        <v/>
      </c>
      <c r="I223" s="173" t="str">
        <f t="shared" si="48"/>
        <v/>
      </c>
      <c r="J223" s="173" t="str">
        <f t="shared" si="48"/>
        <v/>
      </c>
      <c r="K223" s="173" t="str">
        <f t="shared" si="48"/>
        <v/>
      </c>
      <c r="L223" s="173" t="str">
        <f t="shared" ref="L223:Y232" si="49">IF(ISNONTEXT(L$2),IF(L$2="","",IF(INDEX(IMPORT,$A223,L$2)=0,"",IFERROR(VLOOKUP(INDEX(IMPORT,$A223,L$2),ImportTranslation,2,0),INDEX(IMPORT,$A223,L$2)))),L$2)</f>
        <v>info</v>
      </c>
      <c r="M223" s="173" t="str">
        <f t="shared" si="49"/>
        <v/>
      </c>
      <c r="N223" s="173" t="str">
        <f t="shared" si="49"/>
        <v/>
      </c>
      <c r="O223" s="173" t="str">
        <f t="shared" si="49"/>
        <v/>
      </c>
      <c r="P223" s="174" t="str">
        <f t="shared" si="49"/>
        <v/>
      </c>
      <c r="Q223" s="174" t="str">
        <f t="shared" si="49"/>
        <v>x</v>
      </c>
      <c r="R223" s="174" t="str">
        <f t="shared" si="49"/>
        <v>BS</v>
      </c>
      <c r="S223" s="174" t="str">
        <f t="shared" si="49"/>
        <v>all</v>
      </c>
      <c r="T223" s="173" t="str">
        <f t="shared" si="49"/>
        <v/>
      </c>
      <c r="U223" s="173" t="str">
        <f t="shared" si="49"/>
        <v/>
      </c>
      <c r="V223" s="173" t="str">
        <f t="shared" si="49"/>
        <v/>
      </c>
      <c r="W223" s="173" t="str">
        <f t="shared" si="49"/>
        <v/>
      </c>
      <c r="X223" s="173" t="str">
        <f t="shared" si="49"/>
        <v/>
      </c>
      <c r="Y223" s="173" t="str">
        <f t="shared" si="49"/>
        <v/>
      </c>
    </row>
    <row r="224" spans="1:25" x14ac:dyDescent="0.3">
      <c r="A224" s="172">
        <f t="shared" si="43"/>
        <v>222</v>
      </c>
      <c r="B224" s="173" t="str">
        <f t="shared" si="48"/>
        <v/>
      </c>
      <c r="C224" s="173" t="str">
        <f t="shared" si="48"/>
        <v/>
      </c>
      <c r="D224" s="173" t="str">
        <f t="shared" si="48"/>
        <v/>
      </c>
      <c r="E224" s="173" t="str">
        <f t="shared" si="48"/>
        <v/>
      </c>
      <c r="F224" s="173" t="str">
        <f t="shared" si="48"/>
        <v/>
      </c>
      <c r="G224" s="173" t="str">
        <f t="shared" si="48"/>
        <v/>
      </c>
      <c r="H224" s="173" t="str">
        <f t="shared" si="48"/>
        <v/>
      </c>
      <c r="I224" s="173" t="str">
        <f t="shared" si="48"/>
        <v/>
      </c>
      <c r="J224" s="173" t="str">
        <f t="shared" si="48"/>
        <v/>
      </c>
      <c r="K224" s="173" t="str">
        <f t="shared" si="48"/>
        <v/>
      </c>
      <c r="L224" s="173" t="str">
        <f t="shared" si="49"/>
        <v>info</v>
      </c>
      <c r="M224" s="173" t="str">
        <f t="shared" si="49"/>
        <v/>
      </c>
      <c r="N224" s="173" t="str">
        <f t="shared" si="49"/>
        <v/>
      </c>
      <c r="O224" s="173" t="str">
        <f t="shared" si="49"/>
        <v/>
      </c>
      <c r="P224" s="174" t="str">
        <f t="shared" si="49"/>
        <v/>
      </c>
      <c r="Q224" s="174" t="str">
        <f t="shared" si="49"/>
        <v>x</v>
      </c>
      <c r="R224" s="174" t="str">
        <f t="shared" si="49"/>
        <v>BS</v>
      </c>
      <c r="S224" s="174" t="str">
        <f t="shared" si="49"/>
        <v>all</v>
      </c>
      <c r="T224" s="173" t="str">
        <f t="shared" si="49"/>
        <v/>
      </c>
      <c r="U224" s="173" t="str">
        <f t="shared" si="49"/>
        <v/>
      </c>
      <c r="V224" s="173" t="str">
        <f t="shared" si="49"/>
        <v/>
      </c>
      <c r="W224" s="173" t="str">
        <f t="shared" si="49"/>
        <v/>
      </c>
      <c r="X224" s="173" t="str">
        <f t="shared" si="49"/>
        <v/>
      </c>
      <c r="Y224" s="173" t="str">
        <f t="shared" si="49"/>
        <v/>
      </c>
    </row>
    <row r="225" spans="1:25" x14ac:dyDescent="0.3">
      <c r="A225" s="172">
        <f t="shared" si="43"/>
        <v>223</v>
      </c>
      <c r="B225" s="173" t="str">
        <f t="shared" si="48"/>
        <v/>
      </c>
      <c r="C225" s="173" t="str">
        <f t="shared" si="48"/>
        <v/>
      </c>
      <c r="D225" s="173" t="str">
        <f t="shared" si="48"/>
        <v/>
      </c>
      <c r="E225" s="173" t="str">
        <f t="shared" si="48"/>
        <v/>
      </c>
      <c r="F225" s="173" t="str">
        <f t="shared" si="48"/>
        <v/>
      </c>
      <c r="G225" s="173" t="str">
        <f t="shared" si="48"/>
        <v/>
      </c>
      <c r="H225" s="173" t="str">
        <f t="shared" si="48"/>
        <v/>
      </c>
      <c r="I225" s="173" t="str">
        <f t="shared" si="48"/>
        <v/>
      </c>
      <c r="J225" s="173" t="str">
        <f t="shared" si="48"/>
        <v/>
      </c>
      <c r="K225" s="173" t="str">
        <f t="shared" si="48"/>
        <v/>
      </c>
      <c r="L225" s="173" t="str">
        <f t="shared" si="49"/>
        <v>info</v>
      </c>
      <c r="M225" s="173" t="str">
        <f t="shared" si="49"/>
        <v/>
      </c>
      <c r="N225" s="173" t="str">
        <f t="shared" si="49"/>
        <v/>
      </c>
      <c r="O225" s="173" t="str">
        <f t="shared" si="49"/>
        <v/>
      </c>
      <c r="P225" s="174" t="str">
        <f t="shared" si="49"/>
        <v/>
      </c>
      <c r="Q225" s="174" t="str">
        <f t="shared" si="49"/>
        <v>x</v>
      </c>
      <c r="R225" s="174" t="str">
        <f t="shared" si="49"/>
        <v>BS</v>
      </c>
      <c r="S225" s="174" t="str">
        <f t="shared" si="49"/>
        <v>all</v>
      </c>
      <c r="T225" s="173" t="str">
        <f t="shared" si="49"/>
        <v/>
      </c>
      <c r="U225" s="173" t="str">
        <f t="shared" si="49"/>
        <v/>
      </c>
      <c r="V225" s="173" t="str">
        <f t="shared" si="49"/>
        <v/>
      </c>
      <c r="W225" s="173" t="str">
        <f t="shared" si="49"/>
        <v/>
      </c>
      <c r="X225" s="173" t="str">
        <f t="shared" si="49"/>
        <v/>
      </c>
      <c r="Y225" s="173" t="str">
        <f t="shared" si="49"/>
        <v/>
      </c>
    </row>
    <row r="226" spans="1:25" x14ac:dyDescent="0.3">
      <c r="A226" s="172">
        <f t="shared" si="43"/>
        <v>224</v>
      </c>
      <c r="B226" s="173" t="str">
        <f t="shared" si="48"/>
        <v/>
      </c>
      <c r="C226" s="173" t="str">
        <f t="shared" si="48"/>
        <v/>
      </c>
      <c r="D226" s="173" t="str">
        <f t="shared" si="48"/>
        <v/>
      </c>
      <c r="E226" s="173" t="str">
        <f t="shared" si="48"/>
        <v/>
      </c>
      <c r="F226" s="173" t="str">
        <f t="shared" si="48"/>
        <v/>
      </c>
      <c r="G226" s="173" t="str">
        <f t="shared" si="48"/>
        <v/>
      </c>
      <c r="H226" s="173" t="str">
        <f t="shared" si="48"/>
        <v/>
      </c>
      <c r="I226" s="173" t="str">
        <f t="shared" si="48"/>
        <v/>
      </c>
      <c r="J226" s="173" t="str">
        <f t="shared" si="48"/>
        <v/>
      </c>
      <c r="K226" s="173" t="str">
        <f t="shared" si="48"/>
        <v/>
      </c>
      <c r="L226" s="173" t="str">
        <f t="shared" si="49"/>
        <v>info</v>
      </c>
      <c r="M226" s="173" t="str">
        <f t="shared" si="49"/>
        <v/>
      </c>
      <c r="N226" s="173" t="str">
        <f t="shared" si="49"/>
        <v/>
      </c>
      <c r="O226" s="173" t="str">
        <f t="shared" si="49"/>
        <v/>
      </c>
      <c r="P226" s="174" t="str">
        <f t="shared" si="49"/>
        <v/>
      </c>
      <c r="Q226" s="174" t="str">
        <f t="shared" si="49"/>
        <v>x</v>
      </c>
      <c r="R226" s="174" t="str">
        <f t="shared" si="49"/>
        <v>BS</v>
      </c>
      <c r="S226" s="174" t="str">
        <f t="shared" si="49"/>
        <v>all</v>
      </c>
      <c r="T226" s="173" t="str">
        <f t="shared" si="49"/>
        <v/>
      </c>
      <c r="U226" s="173" t="str">
        <f t="shared" si="49"/>
        <v/>
      </c>
      <c r="V226" s="173" t="str">
        <f t="shared" si="49"/>
        <v/>
      </c>
      <c r="W226" s="173" t="str">
        <f t="shared" si="49"/>
        <v/>
      </c>
      <c r="X226" s="173" t="str">
        <f t="shared" si="49"/>
        <v/>
      </c>
      <c r="Y226" s="173" t="str">
        <f t="shared" si="49"/>
        <v/>
      </c>
    </row>
    <row r="227" spans="1:25" x14ac:dyDescent="0.3">
      <c r="A227" s="172">
        <f t="shared" si="43"/>
        <v>225</v>
      </c>
      <c r="B227" s="173" t="str">
        <f t="shared" si="48"/>
        <v/>
      </c>
      <c r="C227" s="173" t="str">
        <f t="shared" si="48"/>
        <v/>
      </c>
      <c r="D227" s="173" t="str">
        <f t="shared" si="48"/>
        <v/>
      </c>
      <c r="E227" s="173" t="str">
        <f t="shared" si="48"/>
        <v/>
      </c>
      <c r="F227" s="173" t="str">
        <f t="shared" si="48"/>
        <v/>
      </c>
      <c r="G227" s="173" t="str">
        <f t="shared" si="48"/>
        <v/>
      </c>
      <c r="H227" s="173" t="str">
        <f t="shared" si="48"/>
        <v/>
      </c>
      <c r="I227" s="173" t="str">
        <f t="shared" si="48"/>
        <v/>
      </c>
      <c r="J227" s="173" t="str">
        <f t="shared" si="48"/>
        <v/>
      </c>
      <c r="K227" s="173" t="str">
        <f t="shared" si="48"/>
        <v/>
      </c>
      <c r="L227" s="173" t="str">
        <f t="shared" si="49"/>
        <v>info</v>
      </c>
      <c r="M227" s="173" t="str">
        <f t="shared" si="49"/>
        <v/>
      </c>
      <c r="N227" s="173" t="str">
        <f t="shared" si="49"/>
        <v/>
      </c>
      <c r="O227" s="173" t="str">
        <f t="shared" si="49"/>
        <v/>
      </c>
      <c r="P227" s="174" t="str">
        <f t="shared" si="49"/>
        <v/>
      </c>
      <c r="Q227" s="174" t="str">
        <f t="shared" si="49"/>
        <v>x</v>
      </c>
      <c r="R227" s="174" t="str">
        <f t="shared" si="49"/>
        <v>BS</v>
      </c>
      <c r="S227" s="174" t="str">
        <f t="shared" si="49"/>
        <v>all</v>
      </c>
      <c r="T227" s="173" t="str">
        <f t="shared" si="49"/>
        <v/>
      </c>
      <c r="U227" s="173" t="str">
        <f t="shared" si="49"/>
        <v/>
      </c>
      <c r="V227" s="173" t="str">
        <f t="shared" si="49"/>
        <v/>
      </c>
      <c r="W227" s="173" t="str">
        <f t="shared" si="49"/>
        <v/>
      </c>
      <c r="X227" s="173" t="str">
        <f t="shared" si="49"/>
        <v/>
      </c>
      <c r="Y227" s="173" t="str">
        <f t="shared" si="49"/>
        <v/>
      </c>
    </row>
    <row r="228" spans="1:25" x14ac:dyDescent="0.3">
      <c r="A228" s="172">
        <f t="shared" si="43"/>
        <v>226</v>
      </c>
      <c r="B228" s="173" t="str">
        <f t="shared" si="48"/>
        <v/>
      </c>
      <c r="C228" s="173" t="str">
        <f t="shared" si="48"/>
        <v/>
      </c>
      <c r="D228" s="173" t="str">
        <f t="shared" si="48"/>
        <v/>
      </c>
      <c r="E228" s="173" t="str">
        <f t="shared" si="48"/>
        <v/>
      </c>
      <c r="F228" s="173" t="str">
        <f t="shared" si="48"/>
        <v/>
      </c>
      <c r="G228" s="173" t="str">
        <f t="shared" si="48"/>
        <v/>
      </c>
      <c r="H228" s="173" t="str">
        <f t="shared" si="48"/>
        <v/>
      </c>
      <c r="I228" s="173" t="str">
        <f t="shared" si="48"/>
        <v/>
      </c>
      <c r="J228" s="173" t="str">
        <f t="shared" si="48"/>
        <v/>
      </c>
      <c r="K228" s="173" t="str">
        <f t="shared" si="48"/>
        <v/>
      </c>
      <c r="L228" s="173" t="str">
        <f t="shared" si="49"/>
        <v>info</v>
      </c>
      <c r="M228" s="173" t="str">
        <f t="shared" si="49"/>
        <v/>
      </c>
      <c r="N228" s="173" t="str">
        <f t="shared" si="49"/>
        <v/>
      </c>
      <c r="O228" s="173" t="str">
        <f t="shared" si="49"/>
        <v/>
      </c>
      <c r="P228" s="174" t="str">
        <f t="shared" si="49"/>
        <v/>
      </c>
      <c r="Q228" s="174" t="str">
        <f t="shared" si="49"/>
        <v>x</v>
      </c>
      <c r="R228" s="174" t="str">
        <f t="shared" si="49"/>
        <v>BS</v>
      </c>
      <c r="S228" s="174" t="str">
        <f t="shared" si="49"/>
        <v>all</v>
      </c>
      <c r="T228" s="173" t="str">
        <f t="shared" si="49"/>
        <v/>
      </c>
      <c r="U228" s="173" t="str">
        <f t="shared" si="49"/>
        <v/>
      </c>
      <c r="V228" s="173" t="str">
        <f t="shared" si="49"/>
        <v/>
      </c>
      <c r="W228" s="173" t="str">
        <f t="shared" si="49"/>
        <v/>
      </c>
      <c r="X228" s="173" t="str">
        <f t="shared" si="49"/>
        <v/>
      </c>
      <c r="Y228" s="173" t="str">
        <f t="shared" si="49"/>
        <v/>
      </c>
    </row>
    <row r="229" spans="1:25" x14ac:dyDescent="0.3">
      <c r="A229" s="172">
        <f t="shared" si="43"/>
        <v>227</v>
      </c>
      <c r="B229" s="173" t="str">
        <f t="shared" si="48"/>
        <v/>
      </c>
      <c r="C229" s="173" t="str">
        <f t="shared" si="48"/>
        <v/>
      </c>
      <c r="D229" s="173" t="str">
        <f t="shared" si="48"/>
        <v/>
      </c>
      <c r="E229" s="173" t="str">
        <f t="shared" si="48"/>
        <v/>
      </c>
      <c r="F229" s="173" t="str">
        <f t="shared" si="48"/>
        <v/>
      </c>
      <c r="G229" s="173" t="str">
        <f t="shared" si="48"/>
        <v/>
      </c>
      <c r="H229" s="173" t="str">
        <f t="shared" si="48"/>
        <v/>
      </c>
      <c r="I229" s="173" t="str">
        <f t="shared" si="48"/>
        <v/>
      </c>
      <c r="J229" s="173" t="str">
        <f t="shared" si="48"/>
        <v/>
      </c>
      <c r="K229" s="173" t="str">
        <f t="shared" si="48"/>
        <v/>
      </c>
      <c r="L229" s="173" t="str">
        <f t="shared" si="49"/>
        <v>info</v>
      </c>
      <c r="M229" s="173" t="str">
        <f t="shared" si="49"/>
        <v/>
      </c>
      <c r="N229" s="173" t="str">
        <f t="shared" si="49"/>
        <v/>
      </c>
      <c r="O229" s="173" t="str">
        <f t="shared" si="49"/>
        <v/>
      </c>
      <c r="P229" s="174" t="str">
        <f t="shared" si="49"/>
        <v/>
      </c>
      <c r="Q229" s="174" t="str">
        <f t="shared" si="49"/>
        <v>x</v>
      </c>
      <c r="R229" s="174" t="str">
        <f t="shared" si="49"/>
        <v>BS</v>
      </c>
      <c r="S229" s="174" t="str">
        <f t="shared" si="49"/>
        <v>all</v>
      </c>
      <c r="T229" s="173" t="str">
        <f t="shared" si="49"/>
        <v/>
      </c>
      <c r="U229" s="173" t="str">
        <f t="shared" si="49"/>
        <v/>
      </c>
      <c r="V229" s="173" t="str">
        <f t="shared" si="49"/>
        <v/>
      </c>
      <c r="W229" s="173" t="str">
        <f t="shared" si="49"/>
        <v/>
      </c>
      <c r="X229" s="173" t="str">
        <f t="shared" si="49"/>
        <v/>
      </c>
      <c r="Y229" s="173" t="str">
        <f t="shared" si="49"/>
        <v/>
      </c>
    </row>
    <row r="230" spans="1:25" x14ac:dyDescent="0.3">
      <c r="A230" s="172">
        <f t="shared" si="43"/>
        <v>228</v>
      </c>
      <c r="B230" s="173" t="str">
        <f t="shared" si="48"/>
        <v/>
      </c>
      <c r="C230" s="173" t="str">
        <f t="shared" si="48"/>
        <v/>
      </c>
      <c r="D230" s="173" t="str">
        <f t="shared" si="48"/>
        <v/>
      </c>
      <c r="E230" s="173" t="str">
        <f t="shared" si="48"/>
        <v/>
      </c>
      <c r="F230" s="173" t="str">
        <f t="shared" si="48"/>
        <v/>
      </c>
      <c r="G230" s="173" t="str">
        <f t="shared" si="48"/>
        <v/>
      </c>
      <c r="H230" s="173" t="str">
        <f t="shared" si="48"/>
        <v/>
      </c>
      <c r="I230" s="173" t="str">
        <f t="shared" si="48"/>
        <v/>
      </c>
      <c r="J230" s="173" t="str">
        <f t="shared" si="48"/>
        <v/>
      </c>
      <c r="K230" s="173" t="str">
        <f t="shared" si="48"/>
        <v/>
      </c>
      <c r="L230" s="173" t="str">
        <f t="shared" si="49"/>
        <v>info</v>
      </c>
      <c r="M230" s="173" t="str">
        <f t="shared" si="49"/>
        <v/>
      </c>
      <c r="N230" s="173" t="str">
        <f t="shared" si="49"/>
        <v/>
      </c>
      <c r="O230" s="173" t="str">
        <f t="shared" si="49"/>
        <v/>
      </c>
      <c r="P230" s="174" t="str">
        <f t="shared" si="49"/>
        <v/>
      </c>
      <c r="Q230" s="174" t="str">
        <f t="shared" si="49"/>
        <v>x</v>
      </c>
      <c r="R230" s="174" t="str">
        <f t="shared" si="49"/>
        <v>BS</v>
      </c>
      <c r="S230" s="174" t="str">
        <f t="shared" si="49"/>
        <v>all</v>
      </c>
      <c r="T230" s="173" t="str">
        <f t="shared" si="49"/>
        <v/>
      </c>
      <c r="U230" s="173" t="str">
        <f t="shared" si="49"/>
        <v/>
      </c>
      <c r="V230" s="173" t="str">
        <f t="shared" si="49"/>
        <v/>
      </c>
      <c r="W230" s="173" t="str">
        <f t="shared" si="49"/>
        <v/>
      </c>
      <c r="X230" s="173" t="str">
        <f t="shared" si="49"/>
        <v/>
      </c>
      <c r="Y230" s="173" t="str">
        <f t="shared" si="49"/>
        <v/>
      </c>
    </row>
    <row r="231" spans="1:25" x14ac:dyDescent="0.3">
      <c r="A231" s="172">
        <f t="shared" si="43"/>
        <v>229</v>
      </c>
      <c r="B231" s="173" t="str">
        <f t="shared" si="48"/>
        <v/>
      </c>
      <c r="C231" s="173" t="str">
        <f t="shared" si="48"/>
        <v/>
      </c>
      <c r="D231" s="173" t="str">
        <f t="shared" si="48"/>
        <v/>
      </c>
      <c r="E231" s="173" t="str">
        <f t="shared" si="48"/>
        <v/>
      </c>
      <c r="F231" s="173" t="str">
        <f t="shared" si="48"/>
        <v/>
      </c>
      <c r="G231" s="173" t="str">
        <f t="shared" si="48"/>
        <v/>
      </c>
      <c r="H231" s="173" t="str">
        <f t="shared" si="48"/>
        <v/>
      </c>
      <c r="I231" s="173" t="str">
        <f t="shared" si="48"/>
        <v/>
      </c>
      <c r="J231" s="173" t="str">
        <f t="shared" si="48"/>
        <v/>
      </c>
      <c r="K231" s="173" t="str">
        <f t="shared" si="48"/>
        <v/>
      </c>
      <c r="L231" s="173" t="str">
        <f t="shared" si="49"/>
        <v>info</v>
      </c>
      <c r="M231" s="173" t="str">
        <f t="shared" si="49"/>
        <v/>
      </c>
      <c r="N231" s="173" t="str">
        <f t="shared" si="49"/>
        <v/>
      </c>
      <c r="O231" s="173" t="str">
        <f t="shared" si="49"/>
        <v/>
      </c>
      <c r="P231" s="174" t="str">
        <f t="shared" si="49"/>
        <v/>
      </c>
      <c r="Q231" s="174" t="str">
        <f t="shared" si="49"/>
        <v>x</v>
      </c>
      <c r="R231" s="174" t="str">
        <f t="shared" si="49"/>
        <v>BS</v>
      </c>
      <c r="S231" s="174" t="str">
        <f t="shared" si="49"/>
        <v>all</v>
      </c>
      <c r="T231" s="173" t="str">
        <f t="shared" si="49"/>
        <v/>
      </c>
      <c r="U231" s="173" t="str">
        <f t="shared" si="49"/>
        <v/>
      </c>
      <c r="V231" s="173" t="str">
        <f t="shared" si="49"/>
        <v/>
      </c>
      <c r="W231" s="173" t="str">
        <f t="shared" si="49"/>
        <v/>
      </c>
      <c r="X231" s="173" t="str">
        <f t="shared" si="49"/>
        <v/>
      </c>
      <c r="Y231" s="173" t="str">
        <f t="shared" si="49"/>
        <v/>
      </c>
    </row>
    <row r="232" spans="1:25" x14ac:dyDescent="0.3">
      <c r="A232" s="172">
        <f t="shared" si="43"/>
        <v>230</v>
      </c>
      <c r="B232" s="173" t="str">
        <f t="shared" si="48"/>
        <v/>
      </c>
      <c r="C232" s="173" t="str">
        <f t="shared" si="48"/>
        <v/>
      </c>
      <c r="D232" s="173" t="str">
        <f t="shared" si="48"/>
        <v/>
      </c>
      <c r="E232" s="173" t="str">
        <f t="shared" si="48"/>
        <v/>
      </c>
      <c r="F232" s="173" t="str">
        <f t="shared" si="48"/>
        <v/>
      </c>
      <c r="G232" s="173" t="str">
        <f t="shared" si="48"/>
        <v/>
      </c>
      <c r="H232" s="173" t="str">
        <f t="shared" si="48"/>
        <v/>
      </c>
      <c r="I232" s="173" t="str">
        <f t="shared" si="48"/>
        <v/>
      </c>
      <c r="J232" s="173" t="str">
        <f t="shared" si="48"/>
        <v/>
      </c>
      <c r="K232" s="173" t="str">
        <f t="shared" si="48"/>
        <v/>
      </c>
      <c r="L232" s="173" t="str">
        <f t="shared" si="49"/>
        <v>info</v>
      </c>
      <c r="M232" s="173" t="str">
        <f t="shared" si="49"/>
        <v/>
      </c>
      <c r="N232" s="173" t="str">
        <f t="shared" si="49"/>
        <v/>
      </c>
      <c r="O232" s="173" t="str">
        <f t="shared" si="49"/>
        <v/>
      </c>
      <c r="P232" s="174" t="str">
        <f t="shared" si="49"/>
        <v/>
      </c>
      <c r="Q232" s="174" t="str">
        <f t="shared" si="49"/>
        <v>x</v>
      </c>
      <c r="R232" s="174" t="str">
        <f t="shared" si="49"/>
        <v>BS</v>
      </c>
      <c r="S232" s="174" t="str">
        <f t="shared" si="49"/>
        <v>all</v>
      </c>
      <c r="T232" s="173" t="str">
        <f t="shared" si="49"/>
        <v/>
      </c>
      <c r="U232" s="173" t="str">
        <f t="shared" si="49"/>
        <v/>
      </c>
      <c r="V232" s="173" t="str">
        <f t="shared" si="49"/>
        <v/>
      </c>
      <c r="W232" s="173" t="str">
        <f t="shared" si="49"/>
        <v/>
      </c>
      <c r="X232" s="173" t="str">
        <f t="shared" si="49"/>
        <v/>
      </c>
      <c r="Y232" s="173" t="str">
        <f t="shared" si="49"/>
        <v/>
      </c>
    </row>
    <row r="233" spans="1:25" x14ac:dyDescent="0.3">
      <c r="A233" s="172">
        <f t="shared" si="43"/>
        <v>231</v>
      </c>
      <c r="B233" s="173" t="str">
        <f t="shared" ref="B233:K242" si="50">IF(ISNONTEXT(B$2),IF(B$2="","",IF(INDEX(IMPORT,$A233,B$2)=0,"",IFERROR(VLOOKUP(INDEX(IMPORT,$A233,B$2),ImportTranslation,2,0),INDEX(IMPORT,$A233,B$2)))),B$2)</f>
        <v/>
      </c>
      <c r="C233" s="173" t="str">
        <f t="shared" si="50"/>
        <v/>
      </c>
      <c r="D233" s="173" t="str">
        <f t="shared" si="50"/>
        <v/>
      </c>
      <c r="E233" s="173" t="str">
        <f t="shared" si="50"/>
        <v/>
      </c>
      <c r="F233" s="173" t="str">
        <f t="shared" si="50"/>
        <v/>
      </c>
      <c r="G233" s="173" t="str">
        <f t="shared" si="50"/>
        <v/>
      </c>
      <c r="H233" s="173" t="str">
        <f t="shared" si="50"/>
        <v/>
      </c>
      <c r="I233" s="173" t="str">
        <f t="shared" si="50"/>
        <v/>
      </c>
      <c r="J233" s="173" t="str">
        <f t="shared" si="50"/>
        <v/>
      </c>
      <c r="K233" s="173" t="str">
        <f t="shared" si="50"/>
        <v/>
      </c>
      <c r="L233" s="173" t="str">
        <f t="shared" ref="L233:Y242" si="51">IF(ISNONTEXT(L$2),IF(L$2="","",IF(INDEX(IMPORT,$A233,L$2)=0,"",IFERROR(VLOOKUP(INDEX(IMPORT,$A233,L$2),ImportTranslation,2,0),INDEX(IMPORT,$A233,L$2)))),L$2)</f>
        <v>info</v>
      </c>
      <c r="M233" s="173" t="str">
        <f t="shared" si="51"/>
        <v/>
      </c>
      <c r="N233" s="173" t="str">
        <f t="shared" si="51"/>
        <v/>
      </c>
      <c r="O233" s="173" t="str">
        <f t="shared" si="51"/>
        <v/>
      </c>
      <c r="P233" s="174" t="str">
        <f t="shared" si="51"/>
        <v/>
      </c>
      <c r="Q233" s="174" t="str">
        <f t="shared" si="51"/>
        <v>x</v>
      </c>
      <c r="R233" s="174" t="str">
        <f t="shared" si="51"/>
        <v>BS</v>
      </c>
      <c r="S233" s="174" t="str">
        <f t="shared" si="51"/>
        <v>all</v>
      </c>
      <c r="T233" s="173" t="str">
        <f t="shared" si="51"/>
        <v/>
      </c>
      <c r="U233" s="173" t="str">
        <f t="shared" si="51"/>
        <v/>
      </c>
      <c r="V233" s="173" t="str">
        <f t="shared" si="51"/>
        <v/>
      </c>
      <c r="W233" s="173" t="str">
        <f t="shared" si="51"/>
        <v/>
      </c>
      <c r="X233" s="173" t="str">
        <f t="shared" si="51"/>
        <v/>
      </c>
      <c r="Y233" s="173" t="str">
        <f t="shared" si="51"/>
        <v/>
      </c>
    </row>
    <row r="234" spans="1:25" x14ac:dyDescent="0.3">
      <c r="A234" s="172">
        <f t="shared" si="43"/>
        <v>232</v>
      </c>
      <c r="B234" s="173" t="str">
        <f t="shared" si="50"/>
        <v/>
      </c>
      <c r="C234" s="173" t="str">
        <f t="shared" si="50"/>
        <v/>
      </c>
      <c r="D234" s="173" t="str">
        <f t="shared" si="50"/>
        <v/>
      </c>
      <c r="E234" s="173" t="str">
        <f t="shared" si="50"/>
        <v/>
      </c>
      <c r="F234" s="173" t="str">
        <f t="shared" si="50"/>
        <v/>
      </c>
      <c r="G234" s="173" t="str">
        <f t="shared" si="50"/>
        <v/>
      </c>
      <c r="H234" s="173" t="str">
        <f t="shared" si="50"/>
        <v/>
      </c>
      <c r="I234" s="173" t="str">
        <f t="shared" si="50"/>
        <v/>
      </c>
      <c r="J234" s="173" t="str">
        <f t="shared" si="50"/>
        <v/>
      </c>
      <c r="K234" s="173" t="str">
        <f t="shared" si="50"/>
        <v/>
      </c>
      <c r="L234" s="173" t="str">
        <f t="shared" si="51"/>
        <v>info</v>
      </c>
      <c r="M234" s="173" t="str">
        <f t="shared" si="51"/>
        <v/>
      </c>
      <c r="N234" s="173" t="str">
        <f t="shared" si="51"/>
        <v/>
      </c>
      <c r="O234" s="173" t="str">
        <f t="shared" si="51"/>
        <v/>
      </c>
      <c r="P234" s="174" t="str">
        <f t="shared" si="51"/>
        <v/>
      </c>
      <c r="Q234" s="174" t="str">
        <f t="shared" si="51"/>
        <v>x</v>
      </c>
      <c r="R234" s="174" t="str">
        <f t="shared" si="51"/>
        <v>BS</v>
      </c>
      <c r="S234" s="174" t="str">
        <f t="shared" si="51"/>
        <v>all</v>
      </c>
      <c r="T234" s="173" t="str">
        <f t="shared" si="51"/>
        <v/>
      </c>
      <c r="U234" s="173" t="str">
        <f t="shared" si="51"/>
        <v/>
      </c>
      <c r="V234" s="173" t="str">
        <f t="shared" si="51"/>
        <v/>
      </c>
      <c r="W234" s="173" t="str">
        <f t="shared" si="51"/>
        <v/>
      </c>
      <c r="X234" s="173" t="str">
        <f t="shared" si="51"/>
        <v/>
      </c>
      <c r="Y234" s="173" t="str">
        <f t="shared" si="51"/>
        <v/>
      </c>
    </row>
    <row r="235" spans="1:25" x14ac:dyDescent="0.3">
      <c r="A235" s="172">
        <f t="shared" si="43"/>
        <v>233</v>
      </c>
      <c r="B235" s="173" t="str">
        <f t="shared" si="50"/>
        <v/>
      </c>
      <c r="C235" s="173" t="str">
        <f t="shared" si="50"/>
        <v/>
      </c>
      <c r="D235" s="173" t="str">
        <f t="shared" si="50"/>
        <v/>
      </c>
      <c r="E235" s="173" t="str">
        <f t="shared" si="50"/>
        <v/>
      </c>
      <c r="F235" s="173" t="str">
        <f t="shared" si="50"/>
        <v/>
      </c>
      <c r="G235" s="173" t="str">
        <f t="shared" si="50"/>
        <v/>
      </c>
      <c r="H235" s="173" t="str">
        <f t="shared" si="50"/>
        <v/>
      </c>
      <c r="I235" s="173" t="str">
        <f t="shared" si="50"/>
        <v/>
      </c>
      <c r="J235" s="173" t="str">
        <f t="shared" si="50"/>
        <v/>
      </c>
      <c r="K235" s="173" t="str">
        <f t="shared" si="50"/>
        <v/>
      </c>
      <c r="L235" s="173" t="str">
        <f t="shared" si="51"/>
        <v>info</v>
      </c>
      <c r="M235" s="173" t="str">
        <f t="shared" si="51"/>
        <v/>
      </c>
      <c r="N235" s="173" t="str">
        <f t="shared" si="51"/>
        <v/>
      </c>
      <c r="O235" s="173" t="str">
        <f t="shared" si="51"/>
        <v/>
      </c>
      <c r="P235" s="174" t="str">
        <f t="shared" si="51"/>
        <v/>
      </c>
      <c r="Q235" s="174" t="str">
        <f t="shared" si="51"/>
        <v>x</v>
      </c>
      <c r="R235" s="174" t="str">
        <f t="shared" si="51"/>
        <v>BS</v>
      </c>
      <c r="S235" s="174" t="str">
        <f t="shared" si="51"/>
        <v>all</v>
      </c>
      <c r="T235" s="173" t="str">
        <f t="shared" si="51"/>
        <v/>
      </c>
      <c r="U235" s="173" t="str">
        <f t="shared" si="51"/>
        <v/>
      </c>
      <c r="V235" s="173" t="str">
        <f t="shared" si="51"/>
        <v/>
      </c>
      <c r="W235" s="173" t="str">
        <f t="shared" si="51"/>
        <v/>
      </c>
      <c r="X235" s="173" t="str">
        <f t="shared" si="51"/>
        <v/>
      </c>
      <c r="Y235" s="173" t="str">
        <f t="shared" si="51"/>
        <v/>
      </c>
    </row>
    <row r="236" spans="1:25" x14ac:dyDescent="0.3">
      <c r="A236" s="172">
        <f t="shared" si="43"/>
        <v>234</v>
      </c>
      <c r="B236" s="173" t="str">
        <f t="shared" si="50"/>
        <v/>
      </c>
      <c r="C236" s="173" t="str">
        <f t="shared" si="50"/>
        <v/>
      </c>
      <c r="D236" s="173" t="str">
        <f t="shared" si="50"/>
        <v/>
      </c>
      <c r="E236" s="173" t="str">
        <f t="shared" si="50"/>
        <v/>
      </c>
      <c r="F236" s="173" t="str">
        <f t="shared" si="50"/>
        <v/>
      </c>
      <c r="G236" s="173" t="str">
        <f t="shared" si="50"/>
        <v/>
      </c>
      <c r="H236" s="173" t="str">
        <f t="shared" si="50"/>
        <v/>
      </c>
      <c r="I236" s="173" t="str">
        <f t="shared" si="50"/>
        <v/>
      </c>
      <c r="J236" s="173" t="str">
        <f t="shared" si="50"/>
        <v/>
      </c>
      <c r="K236" s="173" t="str">
        <f t="shared" si="50"/>
        <v/>
      </c>
      <c r="L236" s="173" t="str">
        <f t="shared" si="51"/>
        <v>info</v>
      </c>
      <c r="M236" s="173" t="str">
        <f t="shared" si="51"/>
        <v/>
      </c>
      <c r="N236" s="173" t="str">
        <f t="shared" si="51"/>
        <v/>
      </c>
      <c r="O236" s="173" t="str">
        <f t="shared" si="51"/>
        <v/>
      </c>
      <c r="P236" s="174" t="str">
        <f t="shared" si="51"/>
        <v/>
      </c>
      <c r="Q236" s="174" t="str">
        <f t="shared" si="51"/>
        <v>x</v>
      </c>
      <c r="R236" s="174" t="str">
        <f t="shared" si="51"/>
        <v>BS</v>
      </c>
      <c r="S236" s="174" t="str">
        <f t="shared" si="51"/>
        <v>all</v>
      </c>
      <c r="T236" s="173" t="str">
        <f t="shared" si="51"/>
        <v/>
      </c>
      <c r="U236" s="173" t="str">
        <f t="shared" si="51"/>
        <v/>
      </c>
      <c r="V236" s="173" t="str">
        <f t="shared" si="51"/>
        <v/>
      </c>
      <c r="W236" s="173" t="str">
        <f t="shared" si="51"/>
        <v/>
      </c>
      <c r="X236" s="173" t="str">
        <f t="shared" si="51"/>
        <v/>
      </c>
      <c r="Y236" s="173" t="str">
        <f t="shared" si="51"/>
        <v/>
      </c>
    </row>
    <row r="237" spans="1:25" x14ac:dyDescent="0.3">
      <c r="A237" s="172">
        <f t="shared" si="43"/>
        <v>235</v>
      </c>
      <c r="B237" s="173" t="str">
        <f t="shared" si="50"/>
        <v/>
      </c>
      <c r="C237" s="173" t="str">
        <f t="shared" si="50"/>
        <v/>
      </c>
      <c r="D237" s="173" t="str">
        <f t="shared" si="50"/>
        <v/>
      </c>
      <c r="E237" s="173" t="str">
        <f t="shared" si="50"/>
        <v/>
      </c>
      <c r="F237" s="173" t="str">
        <f t="shared" si="50"/>
        <v/>
      </c>
      <c r="G237" s="173" t="str">
        <f t="shared" si="50"/>
        <v/>
      </c>
      <c r="H237" s="173" t="str">
        <f t="shared" si="50"/>
        <v/>
      </c>
      <c r="I237" s="173" t="str">
        <f t="shared" si="50"/>
        <v/>
      </c>
      <c r="J237" s="173" t="str">
        <f t="shared" si="50"/>
        <v/>
      </c>
      <c r="K237" s="173" t="str">
        <f t="shared" si="50"/>
        <v/>
      </c>
      <c r="L237" s="173" t="str">
        <f t="shared" si="51"/>
        <v>info</v>
      </c>
      <c r="M237" s="173" t="str">
        <f t="shared" si="51"/>
        <v/>
      </c>
      <c r="N237" s="173" t="str">
        <f t="shared" si="51"/>
        <v/>
      </c>
      <c r="O237" s="173" t="str">
        <f t="shared" si="51"/>
        <v/>
      </c>
      <c r="P237" s="174" t="str">
        <f t="shared" si="51"/>
        <v/>
      </c>
      <c r="Q237" s="174" t="str">
        <f t="shared" si="51"/>
        <v>x</v>
      </c>
      <c r="R237" s="174" t="str">
        <f t="shared" si="51"/>
        <v>BS</v>
      </c>
      <c r="S237" s="174" t="str">
        <f t="shared" si="51"/>
        <v>all</v>
      </c>
      <c r="T237" s="173" t="str">
        <f t="shared" si="51"/>
        <v/>
      </c>
      <c r="U237" s="173" t="str">
        <f t="shared" si="51"/>
        <v/>
      </c>
      <c r="V237" s="173" t="str">
        <f t="shared" si="51"/>
        <v/>
      </c>
      <c r="W237" s="173" t="str">
        <f t="shared" si="51"/>
        <v/>
      </c>
      <c r="X237" s="173" t="str">
        <f t="shared" si="51"/>
        <v/>
      </c>
      <c r="Y237" s="173" t="str">
        <f t="shared" si="51"/>
        <v/>
      </c>
    </row>
    <row r="238" spans="1:25" x14ac:dyDescent="0.3">
      <c r="A238" s="172">
        <f t="shared" si="43"/>
        <v>236</v>
      </c>
      <c r="B238" s="173" t="str">
        <f t="shared" si="50"/>
        <v/>
      </c>
      <c r="C238" s="173" t="str">
        <f t="shared" si="50"/>
        <v/>
      </c>
      <c r="D238" s="173" t="str">
        <f t="shared" si="50"/>
        <v/>
      </c>
      <c r="E238" s="173" t="str">
        <f t="shared" si="50"/>
        <v/>
      </c>
      <c r="F238" s="173" t="str">
        <f t="shared" si="50"/>
        <v/>
      </c>
      <c r="G238" s="173" t="str">
        <f t="shared" si="50"/>
        <v/>
      </c>
      <c r="H238" s="173" t="str">
        <f t="shared" si="50"/>
        <v/>
      </c>
      <c r="I238" s="173" t="str">
        <f t="shared" si="50"/>
        <v/>
      </c>
      <c r="J238" s="173" t="str">
        <f t="shared" si="50"/>
        <v/>
      </c>
      <c r="K238" s="173" t="str">
        <f t="shared" si="50"/>
        <v/>
      </c>
      <c r="L238" s="173" t="str">
        <f t="shared" si="51"/>
        <v>info</v>
      </c>
      <c r="M238" s="173" t="str">
        <f t="shared" si="51"/>
        <v/>
      </c>
      <c r="N238" s="173" t="str">
        <f t="shared" si="51"/>
        <v/>
      </c>
      <c r="O238" s="173" t="str">
        <f t="shared" si="51"/>
        <v/>
      </c>
      <c r="P238" s="174" t="str">
        <f t="shared" si="51"/>
        <v/>
      </c>
      <c r="Q238" s="174" t="str">
        <f t="shared" si="51"/>
        <v>x</v>
      </c>
      <c r="R238" s="174" t="str">
        <f t="shared" si="51"/>
        <v>BS</v>
      </c>
      <c r="S238" s="174" t="str">
        <f t="shared" si="51"/>
        <v>all</v>
      </c>
      <c r="T238" s="173" t="str">
        <f t="shared" si="51"/>
        <v/>
      </c>
      <c r="U238" s="173" t="str">
        <f t="shared" si="51"/>
        <v/>
      </c>
      <c r="V238" s="173" t="str">
        <f t="shared" si="51"/>
        <v/>
      </c>
      <c r="W238" s="173" t="str">
        <f t="shared" si="51"/>
        <v/>
      </c>
      <c r="X238" s="173" t="str">
        <f t="shared" si="51"/>
        <v/>
      </c>
      <c r="Y238" s="173" t="str">
        <f t="shared" si="51"/>
        <v/>
      </c>
    </row>
    <row r="239" spans="1:25" x14ac:dyDescent="0.3">
      <c r="A239" s="172">
        <f t="shared" si="43"/>
        <v>237</v>
      </c>
      <c r="B239" s="173" t="str">
        <f t="shared" si="50"/>
        <v/>
      </c>
      <c r="C239" s="173" t="str">
        <f t="shared" si="50"/>
        <v/>
      </c>
      <c r="D239" s="173" t="str">
        <f t="shared" si="50"/>
        <v/>
      </c>
      <c r="E239" s="173" t="str">
        <f t="shared" si="50"/>
        <v/>
      </c>
      <c r="F239" s="173" t="str">
        <f t="shared" si="50"/>
        <v/>
      </c>
      <c r="G239" s="173" t="str">
        <f t="shared" si="50"/>
        <v/>
      </c>
      <c r="H239" s="173" t="str">
        <f t="shared" si="50"/>
        <v/>
      </c>
      <c r="I239" s="173" t="str">
        <f t="shared" si="50"/>
        <v/>
      </c>
      <c r="J239" s="173" t="str">
        <f t="shared" si="50"/>
        <v/>
      </c>
      <c r="K239" s="173" t="str">
        <f t="shared" si="50"/>
        <v/>
      </c>
      <c r="L239" s="173" t="str">
        <f t="shared" si="51"/>
        <v>info</v>
      </c>
      <c r="M239" s="173" t="str">
        <f t="shared" si="51"/>
        <v/>
      </c>
      <c r="N239" s="173" t="str">
        <f t="shared" si="51"/>
        <v/>
      </c>
      <c r="O239" s="173" t="str">
        <f t="shared" si="51"/>
        <v/>
      </c>
      <c r="P239" s="174" t="str">
        <f t="shared" si="51"/>
        <v/>
      </c>
      <c r="Q239" s="174" t="str">
        <f t="shared" si="51"/>
        <v>x</v>
      </c>
      <c r="R239" s="174" t="str">
        <f t="shared" si="51"/>
        <v>BS</v>
      </c>
      <c r="S239" s="174" t="str">
        <f t="shared" si="51"/>
        <v>all</v>
      </c>
      <c r="T239" s="173" t="str">
        <f t="shared" si="51"/>
        <v/>
      </c>
      <c r="U239" s="173" t="str">
        <f t="shared" si="51"/>
        <v/>
      </c>
      <c r="V239" s="173" t="str">
        <f t="shared" si="51"/>
        <v/>
      </c>
      <c r="W239" s="173" t="str">
        <f t="shared" si="51"/>
        <v/>
      </c>
      <c r="X239" s="173" t="str">
        <f t="shared" si="51"/>
        <v/>
      </c>
      <c r="Y239" s="173" t="str">
        <f t="shared" si="51"/>
        <v/>
      </c>
    </row>
    <row r="240" spans="1:25" x14ac:dyDescent="0.3">
      <c r="A240" s="172">
        <f t="shared" si="43"/>
        <v>238</v>
      </c>
      <c r="B240" s="173" t="str">
        <f t="shared" si="50"/>
        <v/>
      </c>
      <c r="C240" s="173" t="str">
        <f t="shared" si="50"/>
        <v/>
      </c>
      <c r="D240" s="173" t="str">
        <f t="shared" si="50"/>
        <v/>
      </c>
      <c r="E240" s="173" t="str">
        <f t="shared" si="50"/>
        <v/>
      </c>
      <c r="F240" s="173" t="str">
        <f t="shared" si="50"/>
        <v/>
      </c>
      <c r="G240" s="173" t="str">
        <f t="shared" si="50"/>
        <v/>
      </c>
      <c r="H240" s="173" t="str">
        <f t="shared" si="50"/>
        <v/>
      </c>
      <c r="I240" s="173" t="str">
        <f t="shared" si="50"/>
        <v/>
      </c>
      <c r="J240" s="173" t="str">
        <f t="shared" si="50"/>
        <v/>
      </c>
      <c r="K240" s="173" t="str">
        <f t="shared" si="50"/>
        <v/>
      </c>
      <c r="L240" s="173" t="str">
        <f t="shared" si="51"/>
        <v>info</v>
      </c>
      <c r="M240" s="173" t="str">
        <f t="shared" si="51"/>
        <v/>
      </c>
      <c r="N240" s="173" t="str">
        <f t="shared" si="51"/>
        <v/>
      </c>
      <c r="O240" s="173" t="str">
        <f t="shared" si="51"/>
        <v/>
      </c>
      <c r="P240" s="174" t="str">
        <f t="shared" si="51"/>
        <v/>
      </c>
      <c r="Q240" s="174" t="str">
        <f t="shared" si="51"/>
        <v>x</v>
      </c>
      <c r="R240" s="174" t="str">
        <f t="shared" si="51"/>
        <v>BS</v>
      </c>
      <c r="S240" s="174" t="str">
        <f t="shared" si="51"/>
        <v>all</v>
      </c>
      <c r="T240" s="173" t="str">
        <f t="shared" si="51"/>
        <v/>
      </c>
      <c r="U240" s="173" t="str">
        <f t="shared" si="51"/>
        <v/>
      </c>
      <c r="V240" s="173" t="str">
        <f t="shared" si="51"/>
        <v/>
      </c>
      <c r="W240" s="173" t="str">
        <f t="shared" si="51"/>
        <v/>
      </c>
      <c r="X240" s="173" t="str">
        <f t="shared" si="51"/>
        <v/>
      </c>
      <c r="Y240" s="173" t="str">
        <f t="shared" si="51"/>
        <v/>
      </c>
    </row>
    <row r="241" spans="1:25" x14ac:dyDescent="0.3">
      <c r="A241" s="172">
        <f t="shared" si="43"/>
        <v>239</v>
      </c>
      <c r="B241" s="173" t="str">
        <f t="shared" si="50"/>
        <v/>
      </c>
      <c r="C241" s="173" t="str">
        <f t="shared" si="50"/>
        <v/>
      </c>
      <c r="D241" s="173" t="str">
        <f t="shared" si="50"/>
        <v/>
      </c>
      <c r="E241" s="173" t="str">
        <f t="shared" si="50"/>
        <v/>
      </c>
      <c r="F241" s="173" t="str">
        <f t="shared" si="50"/>
        <v/>
      </c>
      <c r="G241" s="173" t="str">
        <f t="shared" si="50"/>
        <v/>
      </c>
      <c r="H241" s="173" t="str">
        <f t="shared" si="50"/>
        <v/>
      </c>
      <c r="I241" s="173" t="str">
        <f t="shared" si="50"/>
        <v/>
      </c>
      <c r="J241" s="173" t="str">
        <f t="shared" si="50"/>
        <v/>
      </c>
      <c r="K241" s="173" t="str">
        <f t="shared" si="50"/>
        <v/>
      </c>
      <c r="L241" s="173" t="str">
        <f t="shared" si="51"/>
        <v>info</v>
      </c>
      <c r="M241" s="173" t="str">
        <f t="shared" si="51"/>
        <v/>
      </c>
      <c r="N241" s="173" t="str">
        <f t="shared" si="51"/>
        <v/>
      </c>
      <c r="O241" s="173" t="str">
        <f t="shared" si="51"/>
        <v/>
      </c>
      <c r="P241" s="174" t="str">
        <f t="shared" si="51"/>
        <v/>
      </c>
      <c r="Q241" s="174" t="str">
        <f t="shared" si="51"/>
        <v>x</v>
      </c>
      <c r="R241" s="174" t="str">
        <f t="shared" si="51"/>
        <v>BS</v>
      </c>
      <c r="S241" s="174" t="str">
        <f t="shared" si="51"/>
        <v>all</v>
      </c>
      <c r="T241" s="173" t="str">
        <f t="shared" si="51"/>
        <v/>
      </c>
      <c r="U241" s="173" t="str">
        <f t="shared" si="51"/>
        <v/>
      </c>
      <c r="V241" s="173" t="str">
        <f t="shared" si="51"/>
        <v/>
      </c>
      <c r="W241" s="173" t="str">
        <f t="shared" si="51"/>
        <v/>
      </c>
      <c r="X241" s="173" t="str">
        <f t="shared" si="51"/>
        <v/>
      </c>
      <c r="Y241" s="173" t="str">
        <f t="shared" si="51"/>
        <v/>
      </c>
    </row>
    <row r="242" spans="1:25" x14ac:dyDescent="0.3">
      <c r="A242" s="172">
        <f t="shared" si="43"/>
        <v>240</v>
      </c>
      <c r="B242" s="173" t="str">
        <f t="shared" si="50"/>
        <v/>
      </c>
      <c r="C242" s="173" t="str">
        <f t="shared" si="50"/>
        <v/>
      </c>
      <c r="D242" s="173" t="str">
        <f t="shared" si="50"/>
        <v/>
      </c>
      <c r="E242" s="173" t="str">
        <f t="shared" si="50"/>
        <v/>
      </c>
      <c r="F242" s="173" t="str">
        <f t="shared" si="50"/>
        <v/>
      </c>
      <c r="G242" s="173" t="str">
        <f t="shared" si="50"/>
        <v/>
      </c>
      <c r="H242" s="173" t="str">
        <f t="shared" si="50"/>
        <v/>
      </c>
      <c r="I242" s="173" t="str">
        <f t="shared" si="50"/>
        <v/>
      </c>
      <c r="J242" s="173" t="str">
        <f t="shared" si="50"/>
        <v/>
      </c>
      <c r="K242" s="173" t="str">
        <f t="shared" si="50"/>
        <v/>
      </c>
      <c r="L242" s="173" t="str">
        <f t="shared" si="51"/>
        <v>info</v>
      </c>
      <c r="M242" s="173" t="str">
        <f t="shared" si="51"/>
        <v/>
      </c>
      <c r="N242" s="173" t="str">
        <f t="shared" si="51"/>
        <v/>
      </c>
      <c r="O242" s="173" t="str">
        <f t="shared" si="51"/>
        <v/>
      </c>
      <c r="P242" s="174" t="str">
        <f t="shared" si="51"/>
        <v/>
      </c>
      <c r="Q242" s="174" t="str">
        <f t="shared" si="51"/>
        <v>x</v>
      </c>
      <c r="R242" s="174" t="str">
        <f t="shared" si="51"/>
        <v>BS</v>
      </c>
      <c r="S242" s="174" t="str">
        <f t="shared" si="51"/>
        <v>all</v>
      </c>
      <c r="T242" s="173" t="str">
        <f t="shared" si="51"/>
        <v/>
      </c>
      <c r="U242" s="173" t="str">
        <f t="shared" si="51"/>
        <v/>
      </c>
      <c r="V242" s="173" t="str">
        <f t="shared" si="51"/>
        <v/>
      </c>
      <c r="W242" s="173" t="str">
        <f t="shared" si="51"/>
        <v/>
      </c>
      <c r="X242" s="173" t="str">
        <f t="shared" si="51"/>
        <v/>
      </c>
      <c r="Y242" s="173" t="str">
        <f t="shared" si="51"/>
        <v/>
      </c>
    </row>
    <row r="243" spans="1:25" x14ac:dyDescent="0.3">
      <c r="A243" s="172">
        <f t="shared" si="43"/>
        <v>241</v>
      </c>
      <c r="B243" s="173" t="str">
        <f t="shared" ref="B243:K252" si="52">IF(ISNONTEXT(B$2),IF(B$2="","",IF(INDEX(IMPORT,$A243,B$2)=0,"",IFERROR(VLOOKUP(INDEX(IMPORT,$A243,B$2),ImportTranslation,2,0),INDEX(IMPORT,$A243,B$2)))),B$2)</f>
        <v/>
      </c>
      <c r="C243" s="173" t="str">
        <f t="shared" si="52"/>
        <v/>
      </c>
      <c r="D243" s="173" t="str">
        <f t="shared" si="52"/>
        <v/>
      </c>
      <c r="E243" s="173" t="str">
        <f t="shared" si="52"/>
        <v/>
      </c>
      <c r="F243" s="173" t="str">
        <f t="shared" si="52"/>
        <v/>
      </c>
      <c r="G243" s="173" t="str">
        <f t="shared" si="52"/>
        <v/>
      </c>
      <c r="H243" s="173" t="str">
        <f t="shared" si="52"/>
        <v/>
      </c>
      <c r="I243" s="173" t="str">
        <f t="shared" si="52"/>
        <v/>
      </c>
      <c r="J243" s="173" t="str">
        <f t="shared" si="52"/>
        <v/>
      </c>
      <c r="K243" s="173" t="str">
        <f t="shared" si="52"/>
        <v/>
      </c>
      <c r="L243" s="173" t="str">
        <f t="shared" ref="L243:Y252" si="53">IF(ISNONTEXT(L$2),IF(L$2="","",IF(INDEX(IMPORT,$A243,L$2)=0,"",IFERROR(VLOOKUP(INDEX(IMPORT,$A243,L$2),ImportTranslation,2,0),INDEX(IMPORT,$A243,L$2)))),L$2)</f>
        <v>info</v>
      </c>
      <c r="M243" s="173" t="str">
        <f t="shared" si="53"/>
        <v/>
      </c>
      <c r="N243" s="173" t="str">
        <f t="shared" si="53"/>
        <v/>
      </c>
      <c r="O243" s="173" t="str">
        <f t="shared" si="53"/>
        <v/>
      </c>
      <c r="P243" s="174" t="str">
        <f t="shared" si="53"/>
        <v/>
      </c>
      <c r="Q243" s="174" t="str">
        <f t="shared" si="53"/>
        <v>x</v>
      </c>
      <c r="R243" s="174" t="str">
        <f t="shared" si="53"/>
        <v>BS</v>
      </c>
      <c r="S243" s="174" t="str">
        <f t="shared" si="53"/>
        <v>all</v>
      </c>
      <c r="T243" s="173" t="str">
        <f t="shared" si="53"/>
        <v/>
      </c>
      <c r="U243" s="173" t="str">
        <f t="shared" si="53"/>
        <v/>
      </c>
      <c r="V243" s="173" t="str">
        <f t="shared" si="53"/>
        <v/>
      </c>
      <c r="W243" s="173" t="str">
        <f t="shared" si="53"/>
        <v/>
      </c>
      <c r="X243" s="173" t="str">
        <f t="shared" si="53"/>
        <v/>
      </c>
      <c r="Y243" s="173" t="str">
        <f t="shared" si="53"/>
        <v/>
      </c>
    </row>
    <row r="244" spans="1:25" x14ac:dyDescent="0.3">
      <c r="A244" s="172">
        <f t="shared" si="43"/>
        <v>242</v>
      </c>
      <c r="B244" s="173" t="str">
        <f t="shared" si="52"/>
        <v/>
      </c>
      <c r="C244" s="173" t="str">
        <f t="shared" si="52"/>
        <v/>
      </c>
      <c r="D244" s="173" t="str">
        <f t="shared" si="52"/>
        <v/>
      </c>
      <c r="E244" s="173" t="str">
        <f t="shared" si="52"/>
        <v/>
      </c>
      <c r="F244" s="173" t="str">
        <f t="shared" si="52"/>
        <v/>
      </c>
      <c r="G244" s="173" t="str">
        <f t="shared" si="52"/>
        <v/>
      </c>
      <c r="H244" s="173" t="str">
        <f t="shared" si="52"/>
        <v/>
      </c>
      <c r="I244" s="173" t="str">
        <f t="shared" si="52"/>
        <v/>
      </c>
      <c r="J244" s="173" t="str">
        <f t="shared" si="52"/>
        <v/>
      </c>
      <c r="K244" s="173" t="str">
        <f t="shared" si="52"/>
        <v/>
      </c>
      <c r="L244" s="173" t="str">
        <f t="shared" si="53"/>
        <v>info</v>
      </c>
      <c r="M244" s="173" t="str">
        <f t="shared" si="53"/>
        <v/>
      </c>
      <c r="N244" s="173" t="str">
        <f t="shared" si="53"/>
        <v/>
      </c>
      <c r="O244" s="173" t="str">
        <f t="shared" si="53"/>
        <v/>
      </c>
      <c r="P244" s="174" t="str">
        <f t="shared" si="53"/>
        <v/>
      </c>
      <c r="Q244" s="174" t="str">
        <f t="shared" si="53"/>
        <v>x</v>
      </c>
      <c r="R244" s="174" t="str">
        <f t="shared" si="53"/>
        <v>BS</v>
      </c>
      <c r="S244" s="174" t="str">
        <f t="shared" si="53"/>
        <v>all</v>
      </c>
      <c r="T244" s="173" t="str">
        <f t="shared" si="53"/>
        <v/>
      </c>
      <c r="U244" s="173" t="str">
        <f t="shared" si="53"/>
        <v/>
      </c>
      <c r="V244" s="173" t="str">
        <f t="shared" si="53"/>
        <v/>
      </c>
      <c r="W244" s="173" t="str">
        <f t="shared" si="53"/>
        <v/>
      </c>
      <c r="X244" s="173" t="str">
        <f t="shared" si="53"/>
        <v/>
      </c>
      <c r="Y244" s="173" t="str">
        <f t="shared" si="53"/>
        <v/>
      </c>
    </row>
    <row r="245" spans="1:25" x14ac:dyDescent="0.3">
      <c r="A245" s="172">
        <f t="shared" si="43"/>
        <v>243</v>
      </c>
      <c r="B245" s="173" t="str">
        <f t="shared" si="52"/>
        <v/>
      </c>
      <c r="C245" s="173" t="str">
        <f t="shared" si="52"/>
        <v/>
      </c>
      <c r="D245" s="173" t="str">
        <f t="shared" si="52"/>
        <v/>
      </c>
      <c r="E245" s="173" t="str">
        <f t="shared" si="52"/>
        <v/>
      </c>
      <c r="F245" s="173" t="str">
        <f t="shared" si="52"/>
        <v/>
      </c>
      <c r="G245" s="173" t="str">
        <f t="shared" si="52"/>
        <v/>
      </c>
      <c r="H245" s="173" t="str">
        <f t="shared" si="52"/>
        <v/>
      </c>
      <c r="I245" s="173" t="str">
        <f t="shared" si="52"/>
        <v/>
      </c>
      <c r="J245" s="173" t="str">
        <f t="shared" si="52"/>
        <v/>
      </c>
      <c r="K245" s="173" t="str">
        <f t="shared" si="52"/>
        <v/>
      </c>
      <c r="L245" s="173" t="str">
        <f t="shared" si="53"/>
        <v>info</v>
      </c>
      <c r="M245" s="173" t="str">
        <f t="shared" si="53"/>
        <v/>
      </c>
      <c r="N245" s="173" t="str">
        <f t="shared" si="53"/>
        <v/>
      </c>
      <c r="O245" s="173" t="str">
        <f t="shared" si="53"/>
        <v/>
      </c>
      <c r="P245" s="174" t="str">
        <f t="shared" si="53"/>
        <v/>
      </c>
      <c r="Q245" s="174" t="str">
        <f t="shared" si="53"/>
        <v>x</v>
      </c>
      <c r="R245" s="174" t="str">
        <f t="shared" si="53"/>
        <v>BS</v>
      </c>
      <c r="S245" s="174" t="str">
        <f t="shared" si="53"/>
        <v>all</v>
      </c>
      <c r="T245" s="173" t="str">
        <f t="shared" si="53"/>
        <v/>
      </c>
      <c r="U245" s="173" t="str">
        <f t="shared" si="53"/>
        <v/>
      </c>
      <c r="V245" s="173" t="str">
        <f t="shared" si="53"/>
        <v/>
      </c>
      <c r="W245" s="173" t="str">
        <f t="shared" si="53"/>
        <v/>
      </c>
      <c r="X245" s="173" t="str">
        <f t="shared" si="53"/>
        <v/>
      </c>
      <c r="Y245" s="173" t="str">
        <f t="shared" si="53"/>
        <v/>
      </c>
    </row>
    <row r="246" spans="1:25" x14ac:dyDescent="0.3">
      <c r="A246" s="172">
        <f t="shared" si="43"/>
        <v>244</v>
      </c>
      <c r="B246" s="173" t="str">
        <f t="shared" si="52"/>
        <v/>
      </c>
      <c r="C246" s="173" t="str">
        <f t="shared" si="52"/>
        <v/>
      </c>
      <c r="D246" s="173" t="str">
        <f t="shared" si="52"/>
        <v/>
      </c>
      <c r="E246" s="173" t="str">
        <f t="shared" si="52"/>
        <v/>
      </c>
      <c r="F246" s="173" t="str">
        <f t="shared" si="52"/>
        <v/>
      </c>
      <c r="G246" s="173" t="str">
        <f t="shared" si="52"/>
        <v/>
      </c>
      <c r="H246" s="173" t="str">
        <f t="shared" si="52"/>
        <v/>
      </c>
      <c r="I246" s="173" t="str">
        <f t="shared" si="52"/>
        <v/>
      </c>
      <c r="J246" s="173" t="str">
        <f t="shared" si="52"/>
        <v/>
      </c>
      <c r="K246" s="173" t="str">
        <f t="shared" si="52"/>
        <v/>
      </c>
      <c r="L246" s="173" t="str">
        <f t="shared" si="53"/>
        <v>info</v>
      </c>
      <c r="M246" s="173" t="str">
        <f t="shared" si="53"/>
        <v/>
      </c>
      <c r="N246" s="173" t="str">
        <f t="shared" si="53"/>
        <v/>
      </c>
      <c r="O246" s="173" t="str">
        <f t="shared" si="53"/>
        <v/>
      </c>
      <c r="P246" s="174" t="str">
        <f t="shared" si="53"/>
        <v/>
      </c>
      <c r="Q246" s="174" t="str">
        <f t="shared" si="53"/>
        <v>x</v>
      </c>
      <c r="R246" s="174" t="str">
        <f t="shared" si="53"/>
        <v>BS</v>
      </c>
      <c r="S246" s="174" t="str">
        <f t="shared" si="53"/>
        <v>all</v>
      </c>
      <c r="T246" s="173" t="str">
        <f t="shared" si="53"/>
        <v/>
      </c>
      <c r="U246" s="173" t="str">
        <f t="shared" si="53"/>
        <v/>
      </c>
      <c r="V246" s="173" t="str">
        <f t="shared" si="53"/>
        <v/>
      </c>
      <c r="W246" s="173" t="str">
        <f t="shared" si="53"/>
        <v/>
      </c>
      <c r="X246" s="173" t="str">
        <f t="shared" si="53"/>
        <v/>
      </c>
      <c r="Y246" s="173" t="str">
        <f t="shared" si="53"/>
        <v/>
      </c>
    </row>
    <row r="247" spans="1:25" x14ac:dyDescent="0.3">
      <c r="A247" s="172">
        <f t="shared" si="43"/>
        <v>245</v>
      </c>
      <c r="B247" s="173" t="str">
        <f t="shared" si="52"/>
        <v/>
      </c>
      <c r="C247" s="173" t="str">
        <f t="shared" si="52"/>
        <v/>
      </c>
      <c r="D247" s="173" t="str">
        <f t="shared" si="52"/>
        <v/>
      </c>
      <c r="E247" s="173" t="str">
        <f t="shared" si="52"/>
        <v/>
      </c>
      <c r="F247" s="173" t="str">
        <f t="shared" si="52"/>
        <v/>
      </c>
      <c r="G247" s="173" t="str">
        <f t="shared" si="52"/>
        <v/>
      </c>
      <c r="H247" s="173" t="str">
        <f t="shared" si="52"/>
        <v/>
      </c>
      <c r="I247" s="173" t="str">
        <f t="shared" si="52"/>
        <v/>
      </c>
      <c r="J247" s="173" t="str">
        <f t="shared" si="52"/>
        <v/>
      </c>
      <c r="K247" s="173" t="str">
        <f t="shared" si="52"/>
        <v/>
      </c>
      <c r="L247" s="173" t="str">
        <f t="shared" si="53"/>
        <v>info</v>
      </c>
      <c r="M247" s="173" t="str">
        <f t="shared" si="53"/>
        <v/>
      </c>
      <c r="N247" s="173" t="str">
        <f t="shared" si="53"/>
        <v/>
      </c>
      <c r="O247" s="173" t="str">
        <f t="shared" si="53"/>
        <v/>
      </c>
      <c r="P247" s="174" t="str">
        <f t="shared" si="53"/>
        <v/>
      </c>
      <c r="Q247" s="174" t="str">
        <f t="shared" si="53"/>
        <v>x</v>
      </c>
      <c r="R247" s="174" t="str">
        <f t="shared" si="53"/>
        <v>BS</v>
      </c>
      <c r="S247" s="174" t="str">
        <f t="shared" si="53"/>
        <v>all</v>
      </c>
      <c r="T247" s="173" t="str">
        <f t="shared" si="53"/>
        <v/>
      </c>
      <c r="U247" s="173" t="str">
        <f t="shared" si="53"/>
        <v/>
      </c>
      <c r="V247" s="173" t="str">
        <f t="shared" si="53"/>
        <v/>
      </c>
      <c r="W247" s="173" t="str">
        <f t="shared" si="53"/>
        <v/>
      </c>
      <c r="X247" s="173" t="str">
        <f t="shared" si="53"/>
        <v/>
      </c>
      <c r="Y247" s="173" t="str">
        <f t="shared" si="53"/>
        <v/>
      </c>
    </row>
    <row r="248" spans="1:25" x14ac:dyDescent="0.3">
      <c r="A248" s="172">
        <f t="shared" si="43"/>
        <v>246</v>
      </c>
      <c r="B248" s="173" t="str">
        <f t="shared" si="52"/>
        <v/>
      </c>
      <c r="C248" s="173" t="str">
        <f t="shared" si="52"/>
        <v/>
      </c>
      <c r="D248" s="173" t="str">
        <f t="shared" si="52"/>
        <v/>
      </c>
      <c r="E248" s="173" t="str">
        <f t="shared" si="52"/>
        <v/>
      </c>
      <c r="F248" s="173" t="str">
        <f t="shared" si="52"/>
        <v/>
      </c>
      <c r="G248" s="173" t="str">
        <f t="shared" si="52"/>
        <v/>
      </c>
      <c r="H248" s="173" t="str">
        <f t="shared" si="52"/>
        <v/>
      </c>
      <c r="I248" s="173" t="str">
        <f t="shared" si="52"/>
        <v/>
      </c>
      <c r="J248" s="173" t="str">
        <f t="shared" si="52"/>
        <v/>
      </c>
      <c r="K248" s="173" t="str">
        <f t="shared" si="52"/>
        <v/>
      </c>
      <c r="L248" s="173" t="str">
        <f t="shared" si="53"/>
        <v>info</v>
      </c>
      <c r="M248" s="173" t="str">
        <f t="shared" si="53"/>
        <v/>
      </c>
      <c r="N248" s="173" t="str">
        <f t="shared" si="53"/>
        <v/>
      </c>
      <c r="O248" s="173" t="str">
        <f t="shared" si="53"/>
        <v/>
      </c>
      <c r="P248" s="174" t="str">
        <f t="shared" si="53"/>
        <v/>
      </c>
      <c r="Q248" s="174" t="str">
        <f t="shared" si="53"/>
        <v>x</v>
      </c>
      <c r="R248" s="174" t="str">
        <f t="shared" si="53"/>
        <v>BS</v>
      </c>
      <c r="S248" s="174" t="str">
        <f t="shared" si="53"/>
        <v>all</v>
      </c>
      <c r="T248" s="173" t="str">
        <f t="shared" si="53"/>
        <v/>
      </c>
      <c r="U248" s="173" t="str">
        <f t="shared" si="53"/>
        <v/>
      </c>
      <c r="V248" s="173" t="str">
        <f t="shared" si="53"/>
        <v/>
      </c>
      <c r="W248" s="173" t="str">
        <f t="shared" si="53"/>
        <v/>
      </c>
      <c r="X248" s="173" t="str">
        <f t="shared" si="53"/>
        <v/>
      </c>
      <c r="Y248" s="173" t="str">
        <f t="shared" si="53"/>
        <v/>
      </c>
    </row>
    <row r="249" spans="1:25" x14ac:dyDescent="0.3">
      <c r="A249" s="172">
        <f t="shared" si="43"/>
        <v>247</v>
      </c>
      <c r="B249" s="173" t="str">
        <f t="shared" si="52"/>
        <v/>
      </c>
      <c r="C249" s="173" t="str">
        <f t="shared" si="52"/>
        <v/>
      </c>
      <c r="D249" s="173" t="str">
        <f t="shared" si="52"/>
        <v/>
      </c>
      <c r="E249" s="173" t="str">
        <f t="shared" si="52"/>
        <v/>
      </c>
      <c r="F249" s="173" t="str">
        <f t="shared" si="52"/>
        <v/>
      </c>
      <c r="G249" s="173" t="str">
        <f t="shared" si="52"/>
        <v/>
      </c>
      <c r="H249" s="173" t="str">
        <f t="shared" si="52"/>
        <v/>
      </c>
      <c r="I249" s="173" t="str">
        <f t="shared" si="52"/>
        <v/>
      </c>
      <c r="J249" s="173" t="str">
        <f t="shared" si="52"/>
        <v/>
      </c>
      <c r="K249" s="173" t="str">
        <f t="shared" si="52"/>
        <v/>
      </c>
      <c r="L249" s="173" t="str">
        <f t="shared" si="53"/>
        <v>info</v>
      </c>
      <c r="M249" s="173" t="str">
        <f t="shared" si="53"/>
        <v/>
      </c>
      <c r="N249" s="173" t="str">
        <f t="shared" si="53"/>
        <v/>
      </c>
      <c r="O249" s="173" t="str">
        <f t="shared" si="53"/>
        <v/>
      </c>
      <c r="P249" s="174" t="str">
        <f t="shared" si="53"/>
        <v/>
      </c>
      <c r="Q249" s="174" t="str">
        <f t="shared" si="53"/>
        <v>x</v>
      </c>
      <c r="R249" s="174" t="str">
        <f t="shared" si="53"/>
        <v>BS</v>
      </c>
      <c r="S249" s="174" t="str">
        <f t="shared" si="53"/>
        <v>all</v>
      </c>
      <c r="T249" s="173" t="str">
        <f t="shared" si="53"/>
        <v/>
      </c>
      <c r="U249" s="173" t="str">
        <f t="shared" si="53"/>
        <v/>
      </c>
      <c r="V249" s="173" t="str">
        <f t="shared" si="53"/>
        <v/>
      </c>
      <c r="W249" s="173" t="str">
        <f t="shared" si="53"/>
        <v/>
      </c>
      <c r="X249" s="173" t="str">
        <f t="shared" si="53"/>
        <v/>
      </c>
      <c r="Y249" s="173" t="str">
        <f t="shared" si="53"/>
        <v/>
      </c>
    </row>
    <row r="250" spans="1:25" x14ac:dyDescent="0.3">
      <c r="A250" s="172">
        <f t="shared" si="43"/>
        <v>248</v>
      </c>
      <c r="B250" s="173" t="str">
        <f t="shared" si="52"/>
        <v/>
      </c>
      <c r="C250" s="173" t="str">
        <f t="shared" si="52"/>
        <v/>
      </c>
      <c r="D250" s="173" t="str">
        <f t="shared" si="52"/>
        <v/>
      </c>
      <c r="E250" s="173" t="str">
        <f t="shared" si="52"/>
        <v/>
      </c>
      <c r="F250" s="173" t="str">
        <f t="shared" si="52"/>
        <v/>
      </c>
      <c r="G250" s="173" t="str">
        <f t="shared" si="52"/>
        <v/>
      </c>
      <c r="H250" s="173" t="str">
        <f t="shared" si="52"/>
        <v/>
      </c>
      <c r="I250" s="173" t="str">
        <f t="shared" si="52"/>
        <v/>
      </c>
      <c r="J250" s="173" t="str">
        <f t="shared" si="52"/>
        <v/>
      </c>
      <c r="K250" s="173" t="str">
        <f t="shared" si="52"/>
        <v/>
      </c>
      <c r="L250" s="173" t="str">
        <f t="shared" si="53"/>
        <v>info</v>
      </c>
      <c r="M250" s="173" t="str">
        <f t="shared" si="53"/>
        <v/>
      </c>
      <c r="N250" s="173" t="str">
        <f t="shared" si="53"/>
        <v/>
      </c>
      <c r="O250" s="173" t="str">
        <f t="shared" si="53"/>
        <v/>
      </c>
      <c r="P250" s="174" t="str">
        <f t="shared" si="53"/>
        <v/>
      </c>
      <c r="Q250" s="174" t="str">
        <f t="shared" si="53"/>
        <v>x</v>
      </c>
      <c r="R250" s="174" t="str">
        <f t="shared" si="53"/>
        <v>BS</v>
      </c>
      <c r="S250" s="174" t="str">
        <f t="shared" si="53"/>
        <v>all</v>
      </c>
      <c r="T250" s="173" t="str">
        <f t="shared" si="53"/>
        <v/>
      </c>
      <c r="U250" s="173" t="str">
        <f t="shared" si="53"/>
        <v/>
      </c>
      <c r="V250" s="173" t="str">
        <f t="shared" si="53"/>
        <v/>
      </c>
      <c r="W250" s="173" t="str">
        <f t="shared" si="53"/>
        <v/>
      </c>
      <c r="X250" s="173" t="str">
        <f t="shared" si="53"/>
        <v/>
      </c>
      <c r="Y250" s="173" t="str">
        <f t="shared" si="53"/>
        <v/>
      </c>
    </row>
    <row r="251" spans="1:25" x14ac:dyDescent="0.3">
      <c r="A251" s="172">
        <f t="shared" si="43"/>
        <v>249</v>
      </c>
      <c r="B251" s="173" t="str">
        <f t="shared" si="52"/>
        <v/>
      </c>
      <c r="C251" s="173" t="str">
        <f t="shared" si="52"/>
        <v/>
      </c>
      <c r="D251" s="173" t="str">
        <f t="shared" si="52"/>
        <v/>
      </c>
      <c r="E251" s="173" t="str">
        <f t="shared" si="52"/>
        <v/>
      </c>
      <c r="F251" s="173" t="str">
        <f t="shared" si="52"/>
        <v/>
      </c>
      <c r="G251" s="173" t="str">
        <f t="shared" si="52"/>
        <v/>
      </c>
      <c r="H251" s="173" t="str">
        <f t="shared" si="52"/>
        <v/>
      </c>
      <c r="I251" s="173" t="str">
        <f t="shared" si="52"/>
        <v/>
      </c>
      <c r="J251" s="173" t="str">
        <f t="shared" si="52"/>
        <v/>
      </c>
      <c r="K251" s="173" t="str">
        <f t="shared" si="52"/>
        <v/>
      </c>
      <c r="L251" s="173" t="str">
        <f t="shared" si="53"/>
        <v>info</v>
      </c>
      <c r="M251" s="173" t="str">
        <f t="shared" si="53"/>
        <v/>
      </c>
      <c r="N251" s="173" t="str">
        <f t="shared" si="53"/>
        <v/>
      </c>
      <c r="O251" s="173" t="str">
        <f t="shared" si="53"/>
        <v/>
      </c>
      <c r="P251" s="174" t="str">
        <f t="shared" si="53"/>
        <v/>
      </c>
      <c r="Q251" s="174" t="str">
        <f t="shared" si="53"/>
        <v>x</v>
      </c>
      <c r="R251" s="174" t="str">
        <f t="shared" si="53"/>
        <v>BS</v>
      </c>
      <c r="S251" s="174" t="str">
        <f t="shared" si="53"/>
        <v>all</v>
      </c>
      <c r="T251" s="173" t="str">
        <f t="shared" si="53"/>
        <v/>
      </c>
      <c r="U251" s="173" t="str">
        <f t="shared" si="53"/>
        <v/>
      </c>
      <c r="V251" s="173" t="str">
        <f t="shared" si="53"/>
        <v/>
      </c>
      <c r="W251" s="173" t="str">
        <f t="shared" si="53"/>
        <v/>
      </c>
      <c r="X251" s="173" t="str">
        <f t="shared" si="53"/>
        <v/>
      </c>
      <c r="Y251" s="173" t="str">
        <f t="shared" si="53"/>
        <v/>
      </c>
    </row>
    <row r="252" spans="1:25" x14ac:dyDescent="0.3">
      <c r="A252" s="172">
        <f t="shared" si="43"/>
        <v>250</v>
      </c>
      <c r="B252" s="173" t="str">
        <f t="shared" si="52"/>
        <v/>
      </c>
      <c r="C252" s="173" t="str">
        <f t="shared" si="52"/>
        <v/>
      </c>
      <c r="D252" s="173" t="str">
        <f t="shared" si="52"/>
        <v/>
      </c>
      <c r="E252" s="173" t="str">
        <f t="shared" si="52"/>
        <v/>
      </c>
      <c r="F252" s="173" t="str">
        <f t="shared" si="52"/>
        <v/>
      </c>
      <c r="G252" s="173" t="str">
        <f t="shared" si="52"/>
        <v/>
      </c>
      <c r="H252" s="173" t="str">
        <f t="shared" si="52"/>
        <v/>
      </c>
      <c r="I252" s="173" t="str">
        <f t="shared" si="52"/>
        <v/>
      </c>
      <c r="J252" s="173" t="str">
        <f t="shared" si="52"/>
        <v/>
      </c>
      <c r="K252" s="173" t="str">
        <f t="shared" si="52"/>
        <v/>
      </c>
      <c r="L252" s="173" t="str">
        <f t="shared" si="53"/>
        <v>info</v>
      </c>
      <c r="M252" s="173" t="str">
        <f t="shared" si="53"/>
        <v/>
      </c>
      <c r="N252" s="173" t="str">
        <f t="shared" si="53"/>
        <v/>
      </c>
      <c r="O252" s="173" t="str">
        <f t="shared" si="53"/>
        <v/>
      </c>
      <c r="P252" s="174" t="str">
        <f t="shared" si="53"/>
        <v/>
      </c>
      <c r="Q252" s="174" t="str">
        <f t="shared" si="53"/>
        <v>x</v>
      </c>
      <c r="R252" s="174" t="str">
        <f t="shared" si="53"/>
        <v>BS</v>
      </c>
      <c r="S252" s="174" t="str">
        <f t="shared" si="53"/>
        <v>all</v>
      </c>
      <c r="T252" s="173" t="str">
        <f t="shared" si="53"/>
        <v/>
      </c>
      <c r="U252" s="173" t="str">
        <f t="shared" si="53"/>
        <v/>
      </c>
      <c r="V252" s="173" t="str">
        <f t="shared" si="53"/>
        <v/>
      </c>
      <c r="W252" s="173" t="str">
        <f t="shared" si="53"/>
        <v/>
      </c>
      <c r="X252" s="173" t="str">
        <f t="shared" si="53"/>
        <v/>
      </c>
      <c r="Y252" s="173" t="str">
        <f t="shared" si="53"/>
        <v/>
      </c>
    </row>
    <row r="253" spans="1:25" x14ac:dyDescent="0.3">
      <c r="A253" s="172">
        <f t="shared" si="43"/>
        <v>251</v>
      </c>
      <c r="B253" s="173" t="str">
        <f t="shared" ref="B253:K262" si="54">IF(ISNONTEXT(B$2),IF(B$2="","",IF(INDEX(IMPORT,$A253,B$2)=0,"",IFERROR(VLOOKUP(INDEX(IMPORT,$A253,B$2),ImportTranslation,2,0),INDEX(IMPORT,$A253,B$2)))),B$2)</f>
        <v/>
      </c>
      <c r="C253" s="173" t="str">
        <f t="shared" si="54"/>
        <v/>
      </c>
      <c r="D253" s="173" t="str">
        <f t="shared" si="54"/>
        <v/>
      </c>
      <c r="E253" s="173" t="str">
        <f t="shared" si="54"/>
        <v/>
      </c>
      <c r="F253" s="173" t="str">
        <f t="shared" si="54"/>
        <v/>
      </c>
      <c r="G253" s="173" t="str">
        <f t="shared" si="54"/>
        <v/>
      </c>
      <c r="H253" s="173" t="str">
        <f t="shared" si="54"/>
        <v/>
      </c>
      <c r="I253" s="173" t="str">
        <f t="shared" si="54"/>
        <v/>
      </c>
      <c r="J253" s="173" t="str">
        <f t="shared" si="54"/>
        <v/>
      </c>
      <c r="K253" s="173" t="str">
        <f t="shared" si="54"/>
        <v/>
      </c>
      <c r="L253" s="173" t="str">
        <f t="shared" ref="L253:Y262" si="55">IF(ISNONTEXT(L$2),IF(L$2="","",IF(INDEX(IMPORT,$A253,L$2)=0,"",IFERROR(VLOOKUP(INDEX(IMPORT,$A253,L$2),ImportTranslation,2,0),INDEX(IMPORT,$A253,L$2)))),L$2)</f>
        <v>info</v>
      </c>
      <c r="M253" s="173" t="str">
        <f t="shared" si="55"/>
        <v/>
      </c>
      <c r="N253" s="173" t="str">
        <f t="shared" si="55"/>
        <v/>
      </c>
      <c r="O253" s="173" t="str">
        <f t="shared" si="55"/>
        <v/>
      </c>
      <c r="P253" s="174" t="str">
        <f t="shared" si="55"/>
        <v/>
      </c>
      <c r="Q253" s="174" t="str">
        <f t="shared" si="55"/>
        <v>x</v>
      </c>
      <c r="R253" s="174" t="str">
        <f t="shared" si="55"/>
        <v>BS</v>
      </c>
      <c r="S253" s="174" t="str">
        <f t="shared" si="55"/>
        <v>all</v>
      </c>
      <c r="T253" s="173" t="str">
        <f t="shared" si="55"/>
        <v/>
      </c>
      <c r="U253" s="173" t="str">
        <f t="shared" si="55"/>
        <v/>
      </c>
      <c r="V253" s="173" t="str">
        <f t="shared" si="55"/>
        <v/>
      </c>
      <c r="W253" s="173" t="str">
        <f t="shared" si="55"/>
        <v/>
      </c>
      <c r="X253" s="173" t="str">
        <f t="shared" si="55"/>
        <v/>
      </c>
      <c r="Y253" s="173" t="str">
        <f t="shared" si="55"/>
        <v/>
      </c>
    </row>
    <row r="254" spans="1:25" x14ac:dyDescent="0.3">
      <c r="A254" s="172">
        <f t="shared" si="43"/>
        <v>252</v>
      </c>
      <c r="B254" s="173" t="str">
        <f t="shared" si="54"/>
        <v/>
      </c>
      <c r="C254" s="173" t="str">
        <f t="shared" si="54"/>
        <v/>
      </c>
      <c r="D254" s="173" t="str">
        <f t="shared" si="54"/>
        <v/>
      </c>
      <c r="E254" s="173" t="str">
        <f t="shared" si="54"/>
        <v/>
      </c>
      <c r="F254" s="173" t="str">
        <f t="shared" si="54"/>
        <v/>
      </c>
      <c r="G254" s="173" t="str">
        <f t="shared" si="54"/>
        <v/>
      </c>
      <c r="H254" s="173" t="str">
        <f t="shared" si="54"/>
        <v/>
      </c>
      <c r="I254" s="173" t="str">
        <f t="shared" si="54"/>
        <v/>
      </c>
      <c r="J254" s="173" t="str">
        <f t="shared" si="54"/>
        <v/>
      </c>
      <c r="K254" s="173" t="str">
        <f t="shared" si="54"/>
        <v/>
      </c>
      <c r="L254" s="173" t="str">
        <f t="shared" si="55"/>
        <v>info</v>
      </c>
      <c r="M254" s="173" t="str">
        <f t="shared" si="55"/>
        <v/>
      </c>
      <c r="N254" s="173" t="str">
        <f t="shared" si="55"/>
        <v/>
      </c>
      <c r="O254" s="173" t="str">
        <f t="shared" si="55"/>
        <v/>
      </c>
      <c r="P254" s="174" t="str">
        <f t="shared" si="55"/>
        <v/>
      </c>
      <c r="Q254" s="174" t="str">
        <f t="shared" si="55"/>
        <v>x</v>
      </c>
      <c r="R254" s="174" t="str">
        <f t="shared" si="55"/>
        <v>BS</v>
      </c>
      <c r="S254" s="174" t="str">
        <f t="shared" si="55"/>
        <v>all</v>
      </c>
      <c r="T254" s="173" t="str">
        <f t="shared" si="55"/>
        <v/>
      </c>
      <c r="U254" s="173" t="str">
        <f t="shared" si="55"/>
        <v/>
      </c>
      <c r="V254" s="173" t="str">
        <f t="shared" si="55"/>
        <v/>
      </c>
      <c r="W254" s="173" t="str">
        <f t="shared" si="55"/>
        <v/>
      </c>
      <c r="X254" s="173" t="str">
        <f t="shared" si="55"/>
        <v/>
      </c>
      <c r="Y254" s="173" t="str">
        <f t="shared" si="55"/>
        <v/>
      </c>
    </row>
    <row r="255" spans="1:25" x14ac:dyDescent="0.3">
      <c r="A255" s="172">
        <f t="shared" si="43"/>
        <v>253</v>
      </c>
      <c r="B255" s="173" t="str">
        <f t="shared" si="54"/>
        <v/>
      </c>
      <c r="C255" s="173" t="str">
        <f t="shared" si="54"/>
        <v/>
      </c>
      <c r="D255" s="173" t="str">
        <f t="shared" si="54"/>
        <v/>
      </c>
      <c r="E255" s="173" t="str">
        <f t="shared" si="54"/>
        <v/>
      </c>
      <c r="F255" s="173" t="str">
        <f t="shared" si="54"/>
        <v/>
      </c>
      <c r="G255" s="173" t="str">
        <f t="shared" si="54"/>
        <v/>
      </c>
      <c r="H255" s="173" t="str">
        <f t="shared" si="54"/>
        <v/>
      </c>
      <c r="I255" s="173" t="str">
        <f t="shared" si="54"/>
        <v/>
      </c>
      <c r="J255" s="173" t="str">
        <f t="shared" si="54"/>
        <v/>
      </c>
      <c r="K255" s="173" t="str">
        <f t="shared" si="54"/>
        <v/>
      </c>
      <c r="L255" s="173" t="str">
        <f t="shared" si="55"/>
        <v>info</v>
      </c>
      <c r="M255" s="173" t="str">
        <f t="shared" si="55"/>
        <v/>
      </c>
      <c r="N255" s="173" t="str">
        <f t="shared" si="55"/>
        <v/>
      </c>
      <c r="O255" s="173" t="str">
        <f t="shared" si="55"/>
        <v/>
      </c>
      <c r="P255" s="174" t="str">
        <f t="shared" si="55"/>
        <v/>
      </c>
      <c r="Q255" s="174" t="str">
        <f t="shared" si="55"/>
        <v>x</v>
      </c>
      <c r="R255" s="174" t="str">
        <f t="shared" si="55"/>
        <v>BS</v>
      </c>
      <c r="S255" s="174" t="str">
        <f t="shared" si="55"/>
        <v>all</v>
      </c>
      <c r="T255" s="173" t="str">
        <f t="shared" si="55"/>
        <v/>
      </c>
      <c r="U255" s="173" t="str">
        <f t="shared" si="55"/>
        <v/>
      </c>
      <c r="V255" s="173" t="str">
        <f t="shared" si="55"/>
        <v/>
      </c>
      <c r="W255" s="173" t="str">
        <f t="shared" si="55"/>
        <v/>
      </c>
      <c r="X255" s="173" t="str">
        <f t="shared" si="55"/>
        <v/>
      </c>
      <c r="Y255" s="173" t="str">
        <f t="shared" si="55"/>
        <v/>
      </c>
    </row>
    <row r="256" spans="1:25" x14ac:dyDescent="0.3">
      <c r="A256" s="172">
        <f t="shared" si="43"/>
        <v>254</v>
      </c>
      <c r="B256" s="173" t="str">
        <f t="shared" si="54"/>
        <v/>
      </c>
      <c r="C256" s="173" t="str">
        <f t="shared" si="54"/>
        <v/>
      </c>
      <c r="D256" s="173" t="str">
        <f t="shared" si="54"/>
        <v/>
      </c>
      <c r="E256" s="173" t="str">
        <f t="shared" si="54"/>
        <v/>
      </c>
      <c r="F256" s="173" t="str">
        <f t="shared" si="54"/>
        <v/>
      </c>
      <c r="G256" s="173" t="str">
        <f t="shared" si="54"/>
        <v/>
      </c>
      <c r="H256" s="173" t="str">
        <f t="shared" si="54"/>
        <v/>
      </c>
      <c r="I256" s="173" t="str">
        <f t="shared" si="54"/>
        <v/>
      </c>
      <c r="J256" s="173" t="str">
        <f t="shared" si="54"/>
        <v/>
      </c>
      <c r="K256" s="173" t="str">
        <f t="shared" si="54"/>
        <v/>
      </c>
      <c r="L256" s="173" t="str">
        <f t="shared" si="55"/>
        <v>info</v>
      </c>
      <c r="M256" s="173" t="str">
        <f t="shared" si="55"/>
        <v/>
      </c>
      <c r="N256" s="173" t="str">
        <f t="shared" si="55"/>
        <v/>
      </c>
      <c r="O256" s="173" t="str">
        <f t="shared" si="55"/>
        <v/>
      </c>
      <c r="P256" s="174" t="str">
        <f t="shared" si="55"/>
        <v/>
      </c>
      <c r="Q256" s="174" t="str">
        <f t="shared" si="55"/>
        <v>x</v>
      </c>
      <c r="R256" s="174" t="str">
        <f t="shared" si="55"/>
        <v>BS</v>
      </c>
      <c r="S256" s="174" t="str">
        <f t="shared" si="55"/>
        <v>all</v>
      </c>
      <c r="T256" s="173" t="str">
        <f t="shared" si="55"/>
        <v/>
      </c>
      <c r="U256" s="173" t="str">
        <f t="shared" si="55"/>
        <v/>
      </c>
      <c r="V256" s="173" t="str">
        <f t="shared" si="55"/>
        <v/>
      </c>
      <c r="W256" s="173" t="str">
        <f t="shared" si="55"/>
        <v/>
      </c>
      <c r="X256" s="173" t="str">
        <f t="shared" si="55"/>
        <v/>
      </c>
      <c r="Y256" s="173" t="str">
        <f t="shared" si="55"/>
        <v/>
      </c>
    </row>
    <row r="257" spans="1:25" x14ac:dyDescent="0.3">
      <c r="A257" s="172">
        <f t="shared" si="43"/>
        <v>255</v>
      </c>
      <c r="B257" s="173" t="str">
        <f t="shared" si="54"/>
        <v/>
      </c>
      <c r="C257" s="173" t="str">
        <f t="shared" si="54"/>
        <v/>
      </c>
      <c r="D257" s="173" t="str">
        <f t="shared" si="54"/>
        <v/>
      </c>
      <c r="E257" s="173" t="str">
        <f t="shared" si="54"/>
        <v/>
      </c>
      <c r="F257" s="173" t="str">
        <f t="shared" si="54"/>
        <v/>
      </c>
      <c r="G257" s="173" t="str">
        <f t="shared" si="54"/>
        <v/>
      </c>
      <c r="H257" s="173" t="str">
        <f t="shared" si="54"/>
        <v/>
      </c>
      <c r="I257" s="173" t="str">
        <f t="shared" si="54"/>
        <v/>
      </c>
      <c r="J257" s="173" t="str">
        <f t="shared" si="54"/>
        <v/>
      </c>
      <c r="K257" s="173" t="str">
        <f t="shared" si="54"/>
        <v/>
      </c>
      <c r="L257" s="173" t="str">
        <f t="shared" si="55"/>
        <v>info</v>
      </c>
      <c r="M257" s="173" t="str">
        <f t="shared" si="55"/>
        <v/>
      </c>
      <c r="N257" s="173" t="str">
        <f t="shared" si="55"/>
        <v/>
      </c>
      <c r="O257" s="173" t="str">
        <f t="shared" si="55"/>
        <v/>
      </c>
      <c r="P257" s="174" t="str">
        <f t="shared" si="55"/>
        <v/>
      </c>
      <c r="Q257" s="174" t="str">
        <f t="shared" si="55"/>
        <v>x</v>
      </c>
      <c r="R257" s="174" t="str">
        <f t="shared" si="55"/>
        <v>BS</v>
      </c>
      <c r="S257" s="174" t="str">
        <f t="shared" si="55"/>
        <v>all</v>
      </c>
      <c r="T257" s="173" t="str">
        <f t="shared" si="55"/>
        <v/>
      </c>
      <c r="U257" s="173" t="str">
        <f t="shared" si="55"/>
        <v/>
      </c>
      <c r="V257" s="173" t="str">
        <f t="shared" si="55"/>
        <v/>
      </c>
      <c r="W257" s="173" t="str">
        <f t="shared" si="55"/>
        <v/>
      </c>
      <c r="X257" s="173" t="str">
        <f t="shared" si="55"/>
        <v/>
      </c>
      <c r="Y257" s="173" t="str">
        <f t="shared" si="55"/>
        <v/>
      </c>
    </row>
    <row r="258" spans="1:25" x14ac:dyDescent="0.3">
      <c r="A258" s="172">
        <f t="shared" si="43"/>
        <v>256</v>
      </c>
      <c r="B258" s="173" t="str">
        <f t="shared" si="54"/>
        <v/>
      </c>
      <c r="C258" s="173" t="str">
        <f t="shared" si="54"/>
        <v/>
      </c>
      <c r="D258" s="173" t="str">
        <f t="shared" si="54"/>
        <v/>
      </c>
      <c r="E258" s="173" t="str">
        <f t="shared" si="54"/>
        <v/>
      </c>
      <c r="F258" s="173" t="str">
        <f t="shared" si="54"/>
        <v/>
      </c>
      <c r="G258" s="173" t="str">
        <f t="shared" si="54"/>
        <v/>
      </c>
      <c r="H258" s="173" t="str">
        <f t="shared" si="54"/>
        <v/>
      </c>
      <c r="I258" s="173" t="str">
        <f t="shared" si="54"/>
        <v/>
      </c>
      <c r="J258" s="173" t="str">
        <f t="shared" si="54"/>
        <v/>
      </c>
      <c r="K258" s="173" t="str">
        <f t="shared" si="54"/>
        <v/>
      </c>
      <c r="L258" s="173" t="str">
        <f t="shared" si="55"/>
        <v>info</v>
      </c>
      <c r="M258" s="173" t="str">
        <f t="shared" si="55"/>
        <v/>
      </c>
      <c r="N258" s="173" t="str">
        <f t="shared" si="55"/>
        <v/>
      </c>
      <c r="O258" s="173" t="str">
        <f t="shared" si="55"/>
        <v/>
      </c>
      <c r="P258" s="174" t="str">
        <f t="shared" si="55"/>
        <v/>
      </c>
      <c r="Q258" s="174" t="str">
        <f t="shared" si="55"/>
        <v>x</v>
      </c>
      <c r="R258" s="174" t="str">
        <f t="shared" si="55"/>
        <v>BS</v>
      </c>
      <c r="S258" s="174" t="str">
        <f t="shared" si="55"/>
        <v>all</v>
      </c>
      <c r="T258" s="173" t="str">
        <f t="shared" si="55"/>
        <v/>
      </c>
      <c r="U258" s="173" t="str">
        <f t="shared" si="55"/>
        <v/>
      </c>
      <c r="V258" s="173" t="str">
        <f t="shared" si="55"/>
        <v/>
      </c>
      <c r="W258" s="173" t="str">
        <f t="shared" si="55"/>
        <v/>
      </c>
      <c r="X258" s="173" t="str">
        <f t="shared" si="55"/>
        <v/>
      </c>
      <c r="Y258" s="173" t="str">
        <f t="shared" si="55"/>
        <v/>
      </c>
    </row>
    <row r="259" spans="1:25" x14ac:dyDescent="0.3">
      <c r="A259" s="172">
        <f t="shared" ref="A259:A322" si="56">ROW()-ROW($A$2)</f>
        <v>257</v>
      </c>
      <c r="B259" s="173" t="str">
        <f t="shared" si="54"/>
        <v/>
      </c>
      <c r="C259" s="173" t="str">
        <f t="shared" si="54"/>
        <v/>
      </c>
      <c r="D259" s="173" t="str">
        <f t="shared" si="54"/>
        <v/>
      </c>
      <c r="E259" s="173" t="str">
        <f t="shared" si="54"/>
        <v/>
      </c>
      <c r="F259" s="173" t="str">
        <f t="shared" si="54"/>
        <v/>
      </c>
      <c r="G259" s="173" t="str">
        <f t="shared" si="54"/>
        <v/>
      </c>
      <c r="H259" s="173" t="str">
        <f t="shared" si="54"/>
        <v/>
      </c>
      <c r="I259" s="173" t="str">
        <f t="shared" si="54"/>
        <v/>
      </c>
      <c r="J259" s="173" t="str">
        <f t="shared" si="54"/>
        <v/>
      </c>
      <c r="K259" s="173" t="str">
        <f t="shared" si="54"/>
        <v/>
      </c>
      <c r="L259" s="173" t="str">
        <f t="shared" si="55"/>
        <v>info</v>
      </c>
      <c r="M259" s="173" t="str">
        <f t="shared" si="55"/>
        <v/>
      </c>
      <c r="N259" s="173" t="str">
        <f t="shared" si="55"/>
        <v/>
      </c>
      <c r="O259" s="173" t="str">
        <f t="shared" si="55"/>
        <v/>
      </c>
      <c r="P259" s="174" t="str">
        <f t="shared" si="55"/>
        <v/>
      </c>
      <c r="Q259" s="174" t="str">
        <f t="shared" si="55"/>
        <v>x</v>
      </c>
      <c r="R259" s="174" t="str">
        <f t="shared" si="55"/>
        <v>BS</v>
      </c>
      <c r="S259" s="174" t="str">
        <f t="shared" si="55"/>
        <v>all</v>
      </c>
      <c r="T259" s="173" t="str">
        <f t="shared" si="55"/>
        <v/>
      </c>
      <c r="U259" s="173" t="str">
        <f t="shared" si="55"/>
        <v/>
      </c>
      <c r="V259" s="173" t="str">
        <f t="shared" si="55"/>
        <v/>
      </c>
      <c r="W259" s="173" t="str">
        <f t="shared" si="55"/>
        <v/>
      </c>
      <c r="X259" s="173" t="str">
        <f t="shared" si="55"/>
        <v/>
      </c>
      <c r="Y259" s="173" t="str">
        <f t="shared" si="55"/>
        <v/>
      </c>
    </row>
    <row r="260" spans="1:25" x14ac:dyDescent="0.3">
      <c r="A260" s="172">
        <f t="shared" si="56"/>
        <v>258</v>
      </c>
      <c r="B260" s="173" t="str">
        <f t="shared" si="54"/>
        <v/>
      </c>
      <c r="C260" s="173" t="str">
        <f t="shared" si="54"/>
        <v/>
      </c>
      <c r="D260" s="173" t="str">
        <f t="shared" si="54"/>
        <v/>
      </c>
      <c r="E260" s="173" t="str">
        <f t="shared" si="54"/>
        <v/>
      </c>
      <c r="F260" s="173" t="str">
        <f t="shared" si="54"/>
        <v/>
      </c>
      <c r="G260" s="173" t="str">
        <f t="shared" si="54"/>
        <v/>
      </c>
      <c r="H260" s="173" t="str">
        <f t="shared" si="54"/>
        <v/>
      </c>
      <c r="I260" s="173" t="str">
        <f t="shared" si="54"/>
        <v/>
      </c>
      <c r="J260" s="173" t="str">
        <f t="shared" si="54"/>
        <v/>
      </c>
      <c r="K260" s="173" t="str">
        <f t="shared" si="54"/>
        <v/>
      </c>
      <c r="L260" s="173" t="str">
        <f t="shared" si="55"/>
        <v>info</v>
      </c>
      <c r="M260" s="173" t="str">
        <f t="shared" si="55"/>
        <v/>
      </c>
      <c r="N260" s="173" t="str">
        <f t="shared" si="55"/>
        <v/>
      </c>
      <c r="O260" s="173" t="str">
        <f t="shared" si="55"/>
        <v/>
      </c>
      <c r="P260" s="174" t="str">
        <f t="shared" si="55"/>
        <v/>
      </c>
      <c r="Q260" s="174" t="str">
        <f t="shared" si="55"/>
        <v>x</v>
      </c>
      <c r="R260" s="174" t="str">
        <f t="shared" si="55"/>
        <v>BS</v>
      </c>
      <c r="S260" s="174" t="str">
        <f t="shared" si="55"/>
        <v>all</v>
      </c>
      <c r="T260" s="173" t="str">
        <f t="shared" si="55"/>
        <v/>
      </c>
      <c r="U260" s="173" t="str">
        <f t="shared" si="55"/>
        <v/>
      </c>
      <c r="V260" s="173" t="str">
        <f t="shared" si="55"/>
        <v/>
      </c>
      <c r="W260" s="173" t="str">
        <f t="shared" si="55"/>
        <v/>
      </c>
      <c r="X260" s="173" t="str">
        <f t="shared" si="55"/>
        <v/>
      </c>
      <c r="Y260" s="173" t="str">
        <f t="shared" si="55"/>
        <v/>
      </c>
    </row>
    <row r="261" spans="1:25" x14ac:dyDescent="0.3">
      <c r="A261" s="172">
        <f t="shared" si="56"/>
        <v>259</v>
      </c>
      <c r="B261" s="173" t="str">
        <f t="shared" si="54"/>
        <v/>
      </c>
      <c r="C261" s="173" t="str">
        <f t="shared" si="54"/>
        <v/>
      </c>
      <c r="D261" s="173" t="str">
        <f t="shared" si="54"/>
        <v/>
      </c>
      <c r="E261" s="173" t="str">
        <f t="shared" si="54"/>
        <v/>
      </c>
      <c r="F261" s="173" t="str">
        <f t="shared" si="54"/>
        <v/>
      </c>
      <c r="G261" s="173" t="str">
        <f t="shared" si="54"/>
        <v/>
      </c>
      <c r="H261" s="173" t="str">
        <f t="shared" si="54"/>
        <v/>
      </c>
      <c r="I261" s="173" t="str">
        <f t="shared" si="54"/>
        <v/>
      </c>
      <c r="J261" s="173" t="str">
        <f t="shared" si="54"/>
        <v/>
      </c>
      <c r="K261" s="173" t="str">
        <f t="shared" si="54"/>
        <v/>
      </c>
      <c r="L261" s="173" t="str">
        <f t="shared" si="55"/>
        <v>info</v>
      </c>
      <c r="M261" s="173" t="str">
        <f t="shared" si="55"/>
        <v/>
      </c>
      <c r="N261" s="173" t="str">
        <f t="shared" si="55"/>
        <v/>
      </c>
      <c r="O261" s="173" t="str">
        <f t="shared" si="55"/>
        <v/>
      </c>
      <c r="P261" s="174" t="str">
        <f t="shared" si="55"/>
        <v/>
      </c>
      <c r="Q261" s="174" t="str">
        <f t="shared" si="55"/>
        <v>x</v>
      </c>
      <c r="R261" s="174" t="str">
        <f t="shared" si="55"/>
        <v>BS</v>
      </c>
      <c r="S261" s="174" t="str">
        <f t="shared" si="55"/>
        <v>all</v>
      </c>
      <c r="T261" s="173" t="str">
        <f t="shared" si="55"/>
        <v/>
      </c>
      <c r="U261" s="173" t="str">
        <f t="shared" si="55"/>
        <v/>
      </c>
      <c r="V261" s="173" t="str">
        <f t="shared" si="55"/>
        <v/>
      </c>
      <c r="W261" s="173" t="str">
        <f t="shared" si="55"/>
        <v/>
      </c>
      <c r="X261" s="173" t="str">
        <f t="shared" si="55"/>
        <v/>
      </c>
      <c r="Y261" s="173" t="str">
        <f t="shared" si="55"/>
        <v/>
      </c>
    </row>
    <row r="262" spans="1:25" x14ac:dyDescent="0.3">
      <c r="A262" s="172">
        <f t="shared" si="56"/>
        <v>260</v>
      </c>
      <c r="B262" s="173" t="str">
        <f t="shared" si="54"/>
        <v/>
      </c>
      <c r="C262" s="173" t="str">
        <f t="shared" si="54"/>
        <v/>
      </c>
      <c r="D262" s="173" t="str">
        <f t="shared" si="54"/>
        <v/>
      </c>
      <c r="E262" s="173" t="str">
        <f t="shared" si="54"/>
        <v/>
      </c>
      <c r="F262" s="173" t="str">
        <f t="shared" si="54"/>
        <v/>
      </c>
      <c r="G262" s="173" t="str">
        <f t="shared" si="54"/>
        <v/>
      </c>
      <c r="H262" s="173" t="str">
        <f t="shared" si="54"/>
        <v/>
      </c>
      <c r="I262" s="173" t="str">
        <f t="shared" si="54"/>
        <v/>
      </c>
      <c r="J262" s="173" t="str">
        <f t="shared" si="54"/>
        <v/>
      </c>
      <c r="K262" s="173" t="str">
        <f t="shared" si="54"/>
        <v/>
      </c>
      <c r="L262" s="173" t="str">
        <f t="shared" si="55"/>
        <v>info</v>
      </c>
      <c r="M262" s="173" t="str">
        <f t="shared" si="55"/>
        <v/>
      </c>
      <c r="N262" s="173" t="str">
        <f t="shared" si="55"/>
        <v/>
      </c>
      <c r="O262" s="173" t="str">
        <f t="shared" si="55"/>
        <v/>
      </c>
      <c r="P262" s="174" t="str">
        <f t="shared" si="55"/>
        <v/>
      </c>
      <c r="Q262" s="174" t="str">
        <f t="shared" si="55"/>
        <v>x</v>
      </c>
      <c r="R262" s="174" t="str">
        <f t="shared" si="55"/>
        <v>BS</v>
      </c>
      <c r="S262" s="174" t="str">
        <f t="shared" si="55"/>
        <v>all</v>
      </c>
      <c r="T262" s="173" t="str">
        <f t="shared" si="55"/>
        <v/>
      </c>
      <c r="U262" s="173" t="str">
        <f t="shared" si="55"/>
        <v/>
      </c>
      <c r="V262" s="173" t="str">
        <f t="shared" si="55"/>
        <v/>
      </c>
      <c r="W262" s="173" t="str">
        <f t="shared" si="55"/>
        <v/>
      </c>
      <c r="X262" s="173" t="str">
        <f t="shared" si="55"/>
        <v/>
      </c>
      <c r="Y262" s="173" t="str">
        <f t="shared" si="55"/>
        <v/>
      </c>
    </row>
    <row r="263" spans="1:25" x14ac:dyDescent="0.3">
      <c r="A263" s="172">
        <f t="shared" si="56"/>
        <v>261</v>
      </c>
      <c r="B263" s="173" t="str">
        <f t="shared" ref="B263:K272" si="57">IF(ISNONTEXT(B$2),IF(B$2="","",IF(INDEX(IMPORT,$A263,B$2)=0,"",IFERROR(VLOOKUP(INDEX(IMPORT,$A263,B$2),ImportTranslation,2,0),INDEX(IMPORT,$A263,B$2)))),B$2)</f>
        <v/>
      </c>
      <c r="C263" s="173" t="str">
        <f t="shared" si="57"/>
        <v/>
      </c>
      <c r="D263" s="173" t="str">
        <f t="shared" si="57"/>
        <v/>
      </c>
      <c r="E263" s="173" t="str">
        <f t="shared" si="57"/>
        <v/>
      </c>
      <c r="F263" s="173" t="str">
        <f t="shared" si="57"/>
        <v/>
      </c>
      <c r="G263" s="173" t="str">
        <f t="shared" si="57"/>
        <v/>
      </c>
      <c r="H263" s="173" t="str">
        <f t="shared" si="57"/>
        <v/>
      </c>
      <c r="I263" s="173" t="str">
        <f t="shared" si="57"/>
        <v/>
      </c>
      <c r="J263" s="173" t="str">
        <f t="shared" si="57"/>
        <v/>
      </c>
      <c r="K263" s="173" t="str">
        <f t="shared" si="57"/>
        <v/>
      </c>
      <c r="L263" s="173" t="str">
        <f t="shared" ref="L263:Y272" si="58">IF(ISNONTEXT(L$2),IF(L$2="","",IF(INDEX(IMPORT,$A263,L$2)=0,"",IFERROR(VLOOKUP(INDEX(IMPORT,$A263,L$2),ImportTranslation,2,0),INDEX(IMPORT,$A263,L$2)))),L$2)</f>
        <v>info</v>
      </c>
      <c r="M263" s="173" t="str">
        <f t="shared" si="58"/>
        <v/>
      </c>
      <c r="N263" s="173" t="str">
        <f t="shared" si="58"/>
        <v/>
      </c>
      <c r="O263" s="173" t="str">
        <f t="shared" si="58"/>
        <v/>
      </c>
      <c r="P263" s="174" t="str">
        <f t="shared" si="58"/>
        <v/>
      </c>
      <c r="Q263" s="174" t="str">
        <f t="shared" si="58"/>
        <v>x</v>
      </c>
      <c r="R263" s="174" t="str">
        <f t="shared" si="58"/>
        <v>BS</v>
      </c>
      <c r="S263" s="174" t="str">
        <f t="shared" si="58"/>
        <v>all</v>
      </c>
      <c r="T263" s="173" t="str">
        <f t="shared" si="58"/>
        <v/>
      </c>
      <c r="U263" s="173" t="str">
        <f t="shared" si="58"/>
        <v/>
      </c>
      <c r="V263" s="173" t="str">
        <f t="shared" si="58"/>
        <v/>
      </c>
      <c r="W263" s="173" t="str">
        <f t="shared" si="58"/>
        <v/>
      </c>
      <c r="X263" s="173" t="str">
        <f t="shared" si="58"/>
        <v/>
      </c>
      <c r="Y263" s="173" t="str">
        <f t="shared" si="58"/>
        <v/>
      </c>
    </row>
    <row r="264" spans="1:25" x14ac:dyDescent="0.3">
      <c r="A264" s="172">
        <f t="shared" si="56"/>
        <v>262</v>
      </c>
      <c r="B264" s="173" t="str">
        <f t="shared" si="57"/>
        <v/>
      </c>
      <c r="C264" s="173" t="str">
        <f t="shared" si="57"/>
        <v/>
      </c>
      <c r="D264" s="173" t="str">
        <f t="shared" si="57"/>
        <v/>
      </c>
      <c r="E264" s="173" t="str">
        <f t="shared" si="57"/>
        <v/>
      </c>
      <c r="F264" s="173" t="str">
        <f t="shared" si="57"/>
        <v/>
      </c>
      <c r="G264" s="173" t="str">
        <f t="shared" si="57"/>
        <v/>
      </c>
      <c r="H264" s="173" t="str">
        <f t="shared" si="57"/>
        <v/>
      </c>
      <c r="I264" s="173" t="str">
        <f t="shared" si="57"/>
        <v/>
      </c>
      <c r="J264" s="173" t="str">
        <f t="shared" si="57"/>
        <v/>
      </c>
      <c r="K264" s="173" t="str">
        <f t="shared" si="57"/>
        <v/>
      </c>
      <c r="L264" s="173" t="str">
        <f t="shared" si="58"/>
        <v>info</v>
      </c>
      <c r="M264" s="173" t="str">
        <f t="shared" si="58"/>
        <v/>
      </c>
      <c r="N264" s="173" t="str">
        <f t="shared" si="58"/>
        <v/>
      </c>
      <c r="O264" s="173" t="str">
        <f t="shared" si="58"/>
        <v/>
      </c>
      <c r="P264" s="174" t="str">
        <f t="shared" si="58"/>
        <v/>
      </c>
      <c r="Q264" s="174" t="str">
        <f t="shared" si="58"/>
        <v>x</v>
      </c>
      <c r="R264" s="174" t="str">
        <f t="shared" si="58"/>
        <v>BS</v>
      </c>
      <c r="S264" s="174" t="str">
        <f t="shared" si="58"/>
        <v>all</v>
      </c>
      <c r="T264" s="173" t="str">
        <f t="shared" si="58"/>
        <v/>
      </c>
      <c r="U264" s="173" t="str">
        <f t="shared" si="58"/>
        <v/>
      </c>
      <c r="V264" s="173" t="str">
        <f t="shared" si="58"/>
        <v/>
      </c>
      <c r="W264" s="173" t="str">
        <f t="shared" si="58"/>
        <v/>
      </c>
      <c r="X264" s="173" t="str">
        <f t="shared" si="58"/>
        <v/>
      </c>
      <c r="Y264" s="173" t="str">
        <f t="shared" si="58"/>
        <v/>
      </c>
    </row>
    <row r="265" spans="1:25" x14ac:dyDescent="0.3">
      <c r="A265" s="172">
        <f t="shared" si="56"/>
        <v>263</v>
      </c>
      <c r="B265" s="173" t="str">
        <f t="shared" si="57"/>
        <v/>
      </c>
      <c r="C265" s="173" t="str">
        <f t="shared" si="57"/>
        <v/>
      </c>
      <c r="D265" s="173" t="str">
        <f t="shared" si="57"/>
        <v/>
      </c>
      <c r="E265" s="173" t="str">
        <f t="shared" si="57"/>
        <v/>
      </c>
      <c r="F265" s="173" t="str">
        <f t="shared" si="57"/>
        <v/>
      </c>
      <c r="G265" s="173" t="str">
        <f t="shared" si="57"/>
        <v/>
      </c>
      <c r="H265" s="173" t="str">
        <f t="shared" si="57"/>
        <v/>
      </c>
      <c r="I265" s="173" t="str">
        <f t="shared" si="57"/>
        <v/>
      </c>
      <c r="J265" s="173" t="str">
        <f t="shared" si="57"/>
        <v/>
      </c>
      <c r="K265" s="173" t="str">
        <f t="shared" si="57"/>
        <v/>
      </c>
      <c r="L265" s="173" t="str">
        <f t="shared" si="58"/>
        <v>info</v>
      </c>
      <c r="M265" s="173" t="str">
        <f t="shared" si="58"/>
        <v/>
      </c>
      <c r="N265" s="173" t="str">
        <f t="shared" si="58"/>
        <v/>
      </c>
      <c r="O265" s="173" t="str">
        <f t="shared" si="58"/>
        <v/>
      </c>
      <c r="P265" s="174" t="str">
        <f t="shared" si="58"/>
        <v/>
      </c>
      <c r="Q265" s="174" t="str">
        <f t="shared" si="58"/>
        <v>x</v>
      </c>
      <c r="R265" s="174" t="str">
        <f t="shared" si="58"/>
        <v>BS</v>
      </c>
      <c r="S265" s="174" t="str">
        <f t="shared" si="58"/>
        <v>all</v>
      </c>
      <c r="T265" s="173" t="str">
        <f t="shared" si="58"/>
        <v/>
      </c>
      <c r="U265" s="173" t="str">
        <f t="shared" si="58"/>
        <v/>
      </c>
      <c r="V265" s="173" t="str">
        <f t="shared" si="58"/>
        <v/>
      </c>
      <c r="W265" s="173" t="str">
        <f t="shared" si="58"/>
        <v/>
      </c>
      <c r="X265" s="173" t="str">
        <f t="shared" si="58"/>
        <v/>
      </c>
      <c r="Y265" s="173" t="str">
        <f t="shared" si="58"/>
        <v/>
      </c>
    </row>
    <row r="266" spans="1:25" x14ac:dyDescent="0.3">
      <c r="A266" s="172">
        <f t="shared" si="56"/>
        <v>264</v>
      </c>
      <c r="B266" s="173" t="str">
        <f t="shared" si="57"/>
        <v/>
      </c>
      <c r="C266" s="173" t="str">
        <f t="shared" si="57"/>
        <v/>
      </c>
      <c r="D266" s="173" t="str">
        <f t="shared" si="57"/>
        <v/>
      </c>
      <c r="E266" s="173" t="str">
        <f t="shared" si="57"/>
        <v/>
      </c>
      <c r="F266" s="173" t="str">
        <f t="shared" si="57"/>
        <v/>
      </c>
      <c r="G266" s="173" t="str">
        <f t="shared" si="57"/>
        <v/>
      </c>
      <c r="H266" s="173" t="str">
        <f t="shared" si="57"/>
        <v/>
      </c>
      <c r="I266" s="173" t="str">
        <f t="shared" si="57"/>
        <v/>
      </c>
      <c r="J266" s="173" t="str">
        <f t="shared" si="57"/>
        <v/>
      </c>
      <c r="K266" s="173" t="str">
        <f t="shared" si="57"/>
        <v/>
      </c>
      <c r="L266" s="173" t="str">
        <f t="shared" si="58"/>
        <v>info</v>
      </c>
      <c r="M266" s="173" t="str">
        <f t="shared" si="58"/>
        <v/>
      </c>
      <c r="N266" s="173" t="str">
        <f t="shared" si="58"/>
        <v/>
      </c>
      <c r="O266" s="173" t="str">
        <f t="shared" si="58"/>
        <v/>
      </c>
      <c r="P266" s="174" t="str">
        <f t="shared" si="58"/>
        <v/>
      </c>
      <c r="Q266" s="174" t="str">
        <f t="shared" si="58"/>
        <v>x</v>
      </c>
      <c r="R266" s="174" t="str">
        <f t="shared" si="58"/>
        <v>BS</v>
      </c>
      <c r="S266" s="174" t="str">
        <f t="shared" si="58"/>
        <v>all</v>
      </c>
      <c r="T266" s="173" t="str">
        <f t="shared" si="58"/>
        <v/>
      </c>
      <c r="U266" s="173" t="str">
        <f t="shared" si="58"/>
        <v/>
      </c>
      <c r="V266" s="173" t="str">
        <f t="shared" si="58"/>
        <v/>
      </c>
      <c r="W266" s="173" t="str">
        <f t="shared" si="58"/>
        <v/>
      </c>
      <c r="X266" s="173" t="str">
        <f t="shared" si="58"/>
        <v/>
      </c>
      <c r="Y266" s="173" t="str">
        <f t="shared" si="58"/>
        <v/>
      </c>
    </row>
    <row r="267" spans="1:25" x14ac:dyDescent="0.3">
      <c r="A267" s="172">
        <f t="shared" si="56"/>
        <v>265</v>
      </c>
      <c r="B267" s="173" t="str">
        <f t="shared" si="57"/>
        <v/>
      </c>
      <c r="C267" s="173" t="str">
        <f t="shared" si="57"/>
        <v/>
      </c>
      <c r="D267" s="173" t="str">
        <f t="shared" si="57"/>
        <v/>
      </c>
      <c r="E267" s="173" t="str">
        <f t="shared" si="57"/>
        <v/>
      </c>
      <c r="F267" s="173" t="str">
        <f t="shared" si="57"/>
        <v/>
      </c>
      <c r="G267" s="173" t="str">
        <f t="shared" si="57"/>
        <v/>
      </c>
      <c r="H267" s="173" t="str">
        <f t="shared" si="57"/>
        <v/>
      </c>
      <c r="I267" s="173" t="str">
        <f t="shared" si="57"/>
        <v/>
      </c>
      <c r="J267" s="173" t="str">
        <f t="shared" si="57"/>
        <v/>
      </c>
      <c r="K267" s="173" t="str">
        <f t="shared" si="57"/>
        <v/>
      </c>
      <c r="L267" s="173" t="str">
        <f t="shared" si="58"/>
        <v>info</v>
      </c>
      <c r="M267" s="173" t="str">
        <f t="shared" si="58"/>
        <v/>
      </c>
      <c r="N267" s="173" t="str">
        <f t="shared" si="58"/>
        <v/>
      </c>
      <c r="O267" s="173" t="str">
        <f t="shared" si="58"/>
        <v/>
      </c>
      <c r="P267" s="174" t="str">
        <f t="shared" si="58"/>
        <v/>
      </c>
      <c r="Q267" s="174" t="str">
        <f t="shared" si="58"/>
        <v>x</v>
      </c>
      <c r="R267" s="174" t="str">
        <f t="shared" si="58"/>
        <v>BS</v>
      </c>
      <c r="S267" s="174" t="str">
        <f t="shared" si="58"/>
        <v>all</v>
      </c>
      <c r="T267" s="173" t="str">
        <f t="shared" si="58"/>
        <v/>
      </c>
      <c r="U267" s="173" t="str">
        <f t="shared" si="58"/>
        <v/>
      </c>
      <c r="V267" s="173" t="str">
        <f t="shared" si="58"/>
        <v/>
      </c>
      <c r="W267" s="173" t="str">
        <f t="shared" si="58"/>
        <v/>
      </c>
      <c r="X267" s="173" t="str">
        <f t="shared" si="58"/>
        <v/>
      </c>
      <c r="Y267" s="173" t="str">
        <f t="shared" si="58"/>
        <v/>
      </c>
    </row>
    <row r="268" spans="1:25" x14ac:dyDescent="0.3">
      <c r="A268" s="172">
        <f t="shared" si="56"/>
        <v>266</v>
      </c>
      <c r="B268" s="173" t="str">
        <f t="shared" si="57"/>
        <v/>
      </c>
      <c r="C268" s="173" t="str">
        <f t="shared" si="57"/>
        <v/>
      </c>
      <c r="D268" s="173" t="str">
        <f t="shared" si="57"/>
        <v/>
      </c>
      <c r="E268" s="173" t="str">
        <f t="shared" si="57"/>
        <v/>
      </c>
      <c r="F268" s="173" t="str">
        <f t="shared" si="57"/>
        <v/>
      </c>
      <c r="G268" s="173" t="str">
        <f t="shared" si="57"/>
        <v/>
      </c>
      <c r="H268" s="173" t="str">
        <f t="shared" si="57"/>
        <v/>
      </c>
      <c r="I268" s="173" t="str">
        <f t="shared" si="57"/>
        <v/>
      </c>
      <c r="J268" s="173" t="str">
        <f t="shared" si="57"/>
        <v/>
      </c>
      <c r="K268" s="173" t="str">
        <f t="shared" si="57"/>
        <v/>
      </c>
      <c r="L268" s="173" t="str">
        <f t="shared" si="58"/>
        <v>info</v>
      </c>
      <c r="M268" s="173" t="str">
        <f t="shared" si="58"/>
        <v/>
      </c>
      <c r="N268" s="173" t="str">
        <f t="shared" si="58"/>
        <v/>
      </c>
      <c r="O268" s="173" t="str">
        <f t="shared" si="58"/>
        <v/>
      </c>
      <c r="P268" s="174" t="str">
        <f t="shared" si="58"/>
        <v/>
      </c>
      <c r="Q268" s="174" t="str">
        <f t="shared" si="58"/>
        <v>x</v>
      </c>
      <c r="R268" s="174" t="str">
        <f t="shared" si="58"/>
        <v>BS</v>
      </c>
      <c r="S268" s="174" t="str">
        <f t="shared" si="58"/>
        <v>all</v>
      </c>
      <c r="T268" s="173" t="str">
        <f t="shared" si="58"/>
        <v/>
      </c>
      <c r="U268" s="173" t="str">
        <f t="shared" si="58"/>
        <v/>
      </c>
      <c r="V268" s="173" t="str">
        <f t="shared" si="58"/>
        <v/>
      </c>
      <c r="W268" s="173" t="str">
        <f t="shared" si="58"/>
        <v/>
      </c>
      <c r="X268" s="173" t="str">
        <f t="shared" si="58"/>
        <v/>
      </c>
      <c r="Y268" s="173" t="str">
        <f t="shared" si="58"/>
        <v/>
      </c>
    </row>
    <row r="269" spans="1:25" x14ac:dyDescent="0.3">
      <c r="A269" s="172">
        <f t="shared" si="56"/>
        <v>267</v>
      </c>
      <c r="B269" s="173" t="str">
        <f t="shared" si="57"/>
        <v/>
      </c>
      <c r="C269" s="173" t="str">
        <f t="shared" si="57"/>
        <v/>
      </c>
      <c r="D269" s="173" t="str">
        <f t="shared" si="57"/>
        <v/>
      </c>
      <c r="E269" s="173" t="str">
        <f t="shared" si="57"/>
        <v/>
      </c>
      <c r="F269" s="173" t="str">
        <f t="shared" si="57"/>
        <v/>
      </c>
      <c r="G269" s="173" t="str">
        <f t="shared" si="57"/>
        <v/>
      </c>
      <c r="H269" s="173" t="str">
        <f t="shared" si="57"/>
        <v/>
      </c>
      <c r="I269" s="173" t="str">
        <f t="shared" si="57"/>
        <v/>
      </c>
      <c r="J269" s="173" t="str">
        <f t="shared" si="57"/>
        <v/>
      </c>
      <c r="K269" s="173" t="str">
        <f t="shared" si="57"/>
        <v/>
      </c>
      <c r="L269" s="173" t="str">
        <f t="shared" si="58"/>
        <v>info</v>
      </c>
      <c r="M269" s="173" t="str">
        <f t="shared" si="58"/>
        <v/>
      </c>
      <c r="N269" s="173" t="str">
        <f t="shared" si="58"/>
        <v/>
      </c>
      <c r="O269" s="173" t="str">
        <f t="shared" si="58"/>
        <v/>
      </c>
      <c r="P269" s="174" t="str">
        <f t="shared" si="58"/>
        <v/>
      </c>
      <c r="Q269" s="174" t="str">
        <f t="shared" si="58"/>
        <v>x</v>
      </c>
      <c r="R269" s="174" t="str">
        <f t="shared" si="58"/>
        <v>BS</v>
      </c>
      <c r="S269" s="174" t="str">
        <f t="shared" si="58"/>
        <v>all</v>
      </c>
      <c r="T269" s="173" t="str">
        <f t="shared" si="58"/>
        <v/>
      </c>
      <c r="U269" s="173" t="str">
        <f t="shared" si="58"/>
        <v/>
      </c>
      <c r="V269" s="173" t="str">
        <f t="shared" si="58"/>
        <v/>
      </c>
      <c r="W269" s="173" t="str">
        <f t="shared" si="58"/>
        <v/>
      </c>
      <c r="X269" s="173" t="str">
        <f t="shared" si="58"/>
        <v/>
      </c>
      <c r="Y269" s="173" t="str">
        <f t="shared" si="58"/>
        <v/>
      </c>
    </row>
    <row r="270" spans="1:25" x14ac:dyDescent="0.3">
      <c r="A270" s="172">
        <f t="shared" si="56"/>
        <v>268</v>
      </c>
      <c r="B270" s="173" t="str">
        <f t="shared" si="57"/>
        <v/>
      </c>
      <c r="C270" s="173" t="str">
        <f t="shared" si="57"/>
        <v/>
      </c>
      <c r="D270" s="173" t="str">
        <f t="shared" si="57"/>
        <v/>
      </c>
      <c r="E270" s="173" t="str">
        <f t="shared" si="57"/>
        <v/>
      </c>
      <c r="F270" s="173" t="str">
        <f t="shared" si="57"/>
        <v/>
      </c>
      <c r="G270" s="173" t="str">
        <f t="shared" si="57"/>
        <v/>
      </c>
      <c r="H270" s="173" t="str">
        <f t="shared" si="57"/>
        <v/>
      </c>
      <c r="I270" s="173" t="str">
        <f t="shared" si="57"/>
        <v/>
      </c>
      <c r="J270" s="173" t="str">
        <f t="shared" si="57"/>
        <v/>
      </c>
      <c r="K270" s="173" t="str">
        <f t="shared" si="57"/>
        <v/>
      </c>
      <c r="L270" s="173" t="str">
        <f t="shared" si="58"/>
        <v>info</v>
      </c>
      <c r="M270" s="173" t="str">
        <f t="shared" si="58"/>
        <v/>
      </c>
      <c r="N270" s="173" t="str">
        <f t="shared" si="58"/>
        <v/>
      </c>
      <c r="O270" s="173" t="str">
        <f t="shared" si="58"/>
        <v/>
      </c>
      <c r="P270" s="174" t="str">
        <f t="shared" si="58"/>
        <v/>
      </c>
      <c r="Q270" s="174" t="str">
        <f t="shared" si="58"/>
        <v>x</v>
      </c>
      <c r="R270" s="174" t="str">
        <f t="shared" si="58"/>
        <v>BS</v>
      </c>
      <c r="S270" s="174" t="str">
        <f t="shared" si="58"/>
        <v>all</v>
      </c>
      <c r="T270" s="173" t="str">
        <f t="shared" si="58"/>
        <v/>
      </c>
      <c r="U270" s="173" t="str">
        <f t="shared" si="58"/>
        <v/>
      </c>
      <c r="V270" s="173" t="str">
        <f t="shared" si="58"/>
        <v/>
      </c>
      <c r="W270" s="173" t="str">
        <f t="shared" si="58"/>
        <v/>
      </c>
      <c r="X270" s="173" t="str">
        <f t="shared" si="58"/>
        <v/>
      </c>
      <c r="Y270" s="173" t="str">
        <f t="shared" si="58"/>
        <v/>
      </c>
    </row>
    <row r="271" spans="1:25" x14ac:dyDescent="0.3">
      <c r="A271" s="172">
        <f t="shared" si="56"/>
        <v>269</v>
      </c>
      <c r="B271" s="173" t="str">
        <f t="shared" si="57"/>
        <v/>
      </c>
      <c r="C271" s="173" t="str">
        <f t="shared" si="57"/>
        <v/>
      </c>
      <c r="D271" s="173" t="str">
        <f t="shared" si="57"/>
        <v/>
      </c>
      <c r="E271" s="173" t="str">
        <f t="shared" si="57"/>
        <v/>
      </c>
      <c r="F271" s="173" t="str">
        <f t="shared" si="57"/>
        <v/>
      </c>
      <c r="G271" s="173" t="str">
        <f t="shared" si="57"/>
        <v/>
      </c>
      <c r="H271" s="173" t="str">
        <f t="shared" si="57"/>
        <v/>
      </c>
      <c r="I271" s="173" t="str">
        <f t="shared" si="57"/>
        <v/>
      </c>
      <c r="J271" s="173" t="str">
        <f t="shared" si="57"/>
        <v/>
      </c>
      <c r="K271" s="173" t="str">
        <f t="shared" si="57"/>
        <v/>
      </c>
      <c r="L271" s="173" t="str">
        <f t="shared" si="58"/>
        <v>info</v>
      </c>
      <c r="M271" s="173" t="str">
        <f t="shared" si="58"/>
        <v/>
      </c>
      <c r="N271" s="173" t="str">
        <f t="shared" si="58"/>
        <v/>
      </c>
      <c r="O271" s="173" t="str">
        <f t="shared" si="58"/>
        <v/>
      </c>
      <c r="P271" s="174" t="str">
        <f t="shared" si="58"/>
        <v/>
      </c>
      <c r="Q271" s="174" t="str">
        <f t="shared" si="58"/>
        <v>x</v>
      </c>
      <c r="R271" s="174" t="str">
        <f t="shared" si="58"/>
        <v>BS</v>
      </c>
      <c r="S271" s="174" t="str">
        <f t="shared" si="58"/>
        <v>all</v>
      </c>
      <c r="T271" s="173" t="str">
        <f t="shared" si="58"/>
        <v/>
      </c>
      <c r="U271" s="173" t="str">
        <f t="shared" si="58"/>
        <v/>
      </c>
      <c r="V271" s="173" t="str">
        <f t="shared" si="58"/>
        <v/>
      </c>
      <c r="W271" s="173" t="str">
        <f t="shared" si="58"/>
        <v/>
      </c>
      <c r="X271" s="173" t="str">
        <f t="shared" si="58"/>
        <v/>
      </c>
      <c r="Y271" s="173" t="str">
        <f t="shared" si="58"/>
        <v/>
      </c>
    </row>
    <row r="272" spans="1:25" x14ac:dyDescent="0.3">
      <c r="A272" s="172">
        <f t="shared" si="56"/>
        <v>270</v>
      </c>
      <c r="B272" s="173" t="str">
        <f t="shared" si="57"/>
        <v/>
      </c>
      <c r="C272" s="173" t="str">
        <f t="shared" si="57"/>
        <v/>
      </c>
      <c r="D272" s="173" t="str">
        <f t="shared" si="57"/>
        <v/>
      </c>
      <c r="E272" s="173" t="str">
        <f t="shared" si="57"/>
        <v/>
      </c>
      <c r="F272" s="173" t="str">
        <f t="shared" si="57"/>
        <v/>
      </c>
      <c r="G272" s="173" t="str">
        <f t="shared" si="57"/>
        <v/>
      </c>
      <c r="H272" s="173" t="str">
        <f t="shared" si="57"/>
        <v/>
      </c>
      <c r="I272" s="173" t="str">
        <f t="shared" si="57"/>
        <v/>
      </c>
      <c r="J272" s="173" t="str">
        <f t="shared" si="57"/>
        <v/>
      </c>
      <c r="K272" s="173" t="str">
        <f t="shared" si="57"/>
        <v/>
      </c>
      <c r="L272" s="173" t="str">
        <f t="shared" si="58"/>
        <v>info</v>
      </c>
      <c r="M272" s="173" t="str">
        <f t="shared" si="58"/>
        <v/>
      </c>
      <c r="N272" s="173" t="str">
        <f t="shared" si="58"/>
        <v/>
      </c>
      <c r="O272" s="173" t="str">
        <f t="shared" si="58"/>
        <v/>
      </c>
      <c r="P272" s="174" t="str">
        <f t="shared" si="58"/>
        <v/>
      </c>
      <c r="Q272" s="174" t="str">
        <f t="shared" si="58"/>
        <v>x</v>
      </c>
      <c r="R272" s="174" t="str">
        <f t="shared" si="58"/>
        <v>BS</v>
      </c>
      <c r="S272" s="174" t="str">
        <f t="shared" si="58"/>
        <v>all</v>
      </c>
      <c r="T272" s="173" t="str">
        <f t="shared" si="58"/>
        <v/>
      </c>
      <c r="U272" s="173" t="str">
        <f t="shared" si="58"/>
        <v/>
      </c>
      <c r="V272" s="173" t="str">
        <f t="shared" si="58"/>
        <v/>
      </c>
      <c r="W272" s="173" t="str">
        <f t="shared" si="58"/>
        <v/>
      </c>
      <c r="X272" s="173" t="str">
        <f t="shared" si="58"/>
        <v/>
      </c>
      <c r="Y272" s="173" t="str">
        <f t="shared" si="58"/>
        <v/>
      </c>
    </row>
    <row r="273" spans="1:25" x14ac:dyDescent="0.3">
      <c r="A273" s="172">
        <f t="shared" si="56"/>
        <v>271</v>
      </c>
      <c r="B273" s="173" t="str">
        <f t="shared" ref="B273:K282" si="59">IF(ISNONTEXT(B$2),IF(B$2="","",IF(INDEX(IMPORT,$A273,B$2)=0,"",IFERROR(VLOOKUP(INDEX(IMPORT,$A273,B$2),ImportTranslation,2,0),INDEX(IMPORT,$A273,B$2)))),B$2)</f>
        <v/>
      </c>
      <c r="C273" s="173" t="str">
        <f t="shared" si="59"/>
        <v/>
      </c>
      <c r="D273" s="173" t="str">
        <f t="shared" si="59"/>
        <v/>
      </c>
      <c r="E273" s="173" t="str">
        <f t="shared" si="59"/>
        <v/>
      </c>
      <c r="F273" s="173" t="str">
        <f t="shared" si="59"/>
        <v/>
      </c>
      <c r="G273" s="173" t="str">
        <f t="shared" si="59"/>
        <v/>
      </c>
      <c r="H273" s="173" t="str">
        <f t="shared" si="59"/>
        <v/>
      </c>
      <c r="I273" s="173" t="str">
        <f t="shared" si="59"/>
        <v/>
      </c>
      <c r="J273" s="173" t="str">
        <f t="shared" si="59"/>
        <v/>
      </c>
      <c r="K273" s="173" t="str">
        <f t="shared" si="59"/>
        <v/>
      </c>
      <c r="L273" s="173" t="str">
        <f t="shared" ref="L273:Y282" si="60">IF(ISNONTEXT(L$2),IF(L$2="","",IF(INDEX(IMPORT,$A273,L$2)=0,"",IFERROR(VLOOKUP(INDEX(IMPORT,$A273,L$2),ImportTranslation,2,0),INDEX(IMPORT,$A273,L$2)))),L$2)</f>
        <v>info</v>
      </c>
      <c r="M273" s="173" t="str">
        <f t="shared" si="60"/>
        <v/>
      </c>
      <c r="N273" s="173" t="str">
        <f t="shared" si="60"/>
        <v/>
      </c>
      <c r="O273" s="173" t="str">
        <f t="shared" si="60"/>
        <v/>
      </c>
      <c r="P273" s="174" t="str">
        <f t="shared" si="60"/>
        <v/>
      </c>
      <c r="Q273" s="174" t="str">
        <f t="shared" si="60"/>
        <v>x</v>
      </c>
      <c r="R273" s="174" t="str">
        <f t="shared" si="60"/>
        <v>BS</v>
      </c>
      <c r="S273" s="174" t="str">
        <f t="shared" si="60"/>
        <v>all</v>
      </c>
      <c r="T273" s="173" t="str">
        <f t="shared" si="60"/>
        <v/>
      </c>
      <c r="U273" s="173" t="str">
        <f t="shared" si="60"/>
        <v/>
      </c>
      <c r="V273" s="173" t="str">
        <f t="shared" si="60"/>
        <v/>
      </c>
      <c r="W273" s="173" t="str">
        <f t="shared" si="60"/>
        <v/>
      </c>
      <c r="X273" s="173" t="str">
        <f t="shared" si="60"/>
        <v/>
      </c>
      <c r="Y273" s="173" t="str">
        <f t="shared" si="60"/>
        <v/>
      </c>
    </row>
    <row r="274" spans="1:25" x14ac:dyDescent="0.3">
      <c r="A274" s="172">
        <f t="shared" si="56"/>
        <v>272</v>
      </c>
      <c r="B274" s="173" t="str">
        <f t="shared" si="59"/>
        <v/>
      </c>
      <c r="C274" s="173" t="str">
        <f t="shared" si="59"/>
        <v/>
      </c>
      <c r="D274" s="173" t="str">
        <f t="shared" si="59"/>
        <v/>
      </c>
      <c r="E274" s="173" t="str">
        <f t="shared" si="59"/>
        <v/>
      </c>
      <c r="F274" s="173" t="str">
        <f t="shared" si="59"/>
        <v/>
      </c>
      <c r="G274" s="173" t="str">
        <f t="shared" si="59"/>
        <v/>
      </c>
      <c r="H274" s="173" t="str">
        <f t="shared" si="59"/>
        <v/>
      </c>
      <c r="I274" s="173" t="str">
        <f t="shared" si="59"/>
        <v/>
      </c>
      <c r="J274" s="173" t="str">
        <f t="shared" si="59"/>
        <v/>
      </c>
      <c r="K274" s="173" t="str">
        <f t="shared" si="59"/>
        <v/>
      </c>
      <c r="L274" s="173" t="str">
        <f t="shared" si="60"/>
        <v>info</v>
      </c>
      <c r="M274" s="173" t="str">
        <f t="shared" si="60"/>
        <v/>
      </c>
      <c r="N274" s="173" t="str">
        <f t="shared" si="60"/>
        <v/>
      </c>
      <c r="O274" s="173" t="str">
        <f t="shared" si="60"/>
        <v/>
      </c>
      <c r="P274" s="174" t="str">
        <f t="shared" si="60"/>
        <v/>
      </c>
      <c r="Q274" s="174" t="str">
        <f t="shared" si="60"/>
        <v>x</v>
      </c>
      <c r="R274" s="174" t="str">
        <f t="shared" si="60"/>
        <v>BS</v>
      </c>
      <c r="S274" s="174" t="str">
        <f t="shared" si="60"/>
        <v>all</v>
      </c>
      <c r="T274" s="173" t="str">
        <f t="shared" si="60"/>
        <v/>
      </c>
      <c r="U274" s="173" t="str">
        <f t="shared" si="60"/>
        <v/>
      </c>
      <c r="V274" s="173" t="str">
        <f t="shared" si="60"/>
        <v/>
      </c>
      <c r="W274" s="173" t="str">
        <f t="shared" si="60"/>
        <v/>
      </c>
      <c r="X274" s="173" t="str">
        <f t="shared" si="60"/>
        <v/>
      </c>
      <c r="Y274" s="173" t="str">
        <f t="shared" si="60"/>
        <v/>
      </c>
    </row>
    <row r="275" spans="1:25" x14ac:dyDescent="0.3">
      <c r="A275" s="172">
        <f t="shared" si="56"/>
        <v>273</v>
      </c>
      <c r="B275" s="173" t="str">
        <f t="shared" si="59"/>
        <v/>
      </c>
      <c r="C275" s="173" t="str">
        <f t="shared" si="59"/>
        <v/>
      </c>
      <c r="D275" s="173" t="str">
        <f t="shared" si="59"/>
        <v/>
      </c>
      <c r="E275" s="173" t="str">
        <f t="shared" si="59"/>
        <v/>
      </c>
      <c r="F275" s="173" t="str">
        <f t="shared" si="59"/>
        <v/>
      </c>
      <c r="G275" s="173" t="str">
        <f t="shared" si="59"/>
        <v/>
      </c>
      <c r="H275" s="173" t="str">
        <f t="shared" si="59"/>
        <v/>
      </c>
      <c r="I275" s="173" t="str">
        <f t="shared" si="59"/>
        <v/>
      </c>
      <c r="J275" s="173" t="str">
        <f t="shared" si="59"/>
        <v/>
      </c>
      <c r="K275" s="173" t="str">
        <f t="shared" si="59"/>
        <v/>
      </c>
      <c r="L275" s="173" t="str">
        <f t="shared" si="60"/>
        <v>info</v>
      </c>
      <c r="M275" s="173" t="str">
        <f t="shared" si="60"/>
        <v/>
      </c>
      <c r="N275" s="173" t="str">
        <f t="shared" si="60"/>
        <v/>
      </c>
      <c r="O275" s="173" t="str">
        <f t="shared" si="60"/>
        <v/>
      </c>
      <c r="P275" s="174" t="str">
        <f t="shared" si="60"/>
        <v/>
      </c>
      <c r="Q275" s="174" t="str">
        <f t="shared" si="60"/>
        <v>x</v>
      </c>
      <c r="R275" s="174" t="str">
        <f t="shared" si="60"/>
        <v>BS</v>
      </c>
      <c r="S275" s="174" t="str">
        <f t="shared" si="60"/>
        <v>all</v>
      </c>
      <c r="T275" s="173" t="str">
        <f t="shared" si="60"/>
        <v/>
      </c>
      <c r="U275" s="173" t="str">
        <f t="shared" si="60"/>
        <v/>
      </c>
      <c r="V275" s="173" t="str">
        <f t="shared" si="60"/>
        <v/>
      </c>
      <c r="W275" s="173" t="str">
        <f t="shared" si="60"/>
        <v/>
      </c>
      <c r="X275" s="173" t="str">
        <f t="shared" si="60"/>
        <v/>
      </c>
      <c r="Y275" s="173" t="str">
        <f t="shared" si="60"/>
        <v/>
      </c>
    </row>
    <row r="276" spans="1:25" x14ac:dyDescent="0.3">
      <c r="A276" s="172">
        <f t="shared" si="56"/>
        <v>274</v>
      </c>
      <c r="B276" s="173" t="str">
        <f t="shared" si="59"/>
        <v/>
      </c>
      <c r="C276" s="173" t="str">
        <f t="shared" si="59"/>
        <v/>
      </c>
      <c r="D276" s="173" t="str">
        <f t="shared" si="59"/>
        <v/>
      </c>
      <c r="E276" s="173" t="str">
        <f t="shared" si="59"/>
        <v/>
      </c>
      <c r="F276" s="173" t="str">
        <f t="shared" si="59"/>
        <v/>
      </c>
      <c r="G276" s="173" t="str">
        <f t="shared" si="59"/>
        <v/>
      </c>
      <c r="H276" s="173" t="str">
        <f t="shared" si="59"/>
        <v/>
      </c>
      <c r="I276" s="173" t="str">
        <f t="shared" si="59"/>
        <v/>
      </c>
      <c r="J276" s="173" t="str">
        <f t="shared" si="59"/>
        <v/>
      </c>
      <c r="K276" s="173" t="str">
        <f t="shared" si="59"/>
        <v/>
      </c>
      <c r="L276" s="173" t="str">
        <f t="shared" si="60"/>
        <v>info</v>
      </c>
      <c r="M276" s="173" t="str">
        <f t="shared" si="60"/>
        <v/>
      </c>
      <c r="N276" s="173" t="str">
        <f t="shared" si="60"/>
        <v/>
      </c>
      <c r="O276" s="173" t="str">
        <f t="shared" si="60"/>
        <v/>
      </c>
      <c r="P276" s="174" t="str">
        <f t="shared" si="60"/>
        <v/>
      </c>
      <c r="Q276" s="174" t="str">
        <f t="shared" si="60"/>
        <v>x</v>
      </c>
      <c r="R276" s="174" t="str">
        <f t="shared" si="60"/>
        <v>BS</v>
      </c>
      <c r="S276" s="174" t="str">
        <f t="shared" si="60"/>
        <v>all</v>
      </c>
      <c r="T276" s="173" t="str">
        <f t="shared" si="60"/>
        <v/>
      </c>
      <c r="U276" s="173" t="str">
        <f t="shared" si="60"/>
        <v/>
      </c>
      <c r="V276" s="173" t="str">
        <f t="shared" si="60"/>
        <v/>
      </c>
      <c r="W276" s="173" t="str">
        <f t="shared" si="60"/>
        <v/>
      </c>
      <c r="X276" s="173" t="str">
        <f t="shared" si="60"/>
        <v/>
      </c>
      <c r="Y276" s="173" t="str">
        <f t="shared" si="60"/>
        <v/>
      </c>
    </row>
    <row r="277" spans="1:25" x14ac:dyDescent="0.3">
      <c r="A277" s="172">
        <f t="shared" si="56"/>
        <v>275</v>
      </c>
      <c r="B277" s="173" t="str">
        <f t="shared" si="59"/>
        <v/>
      </c>
      <c r="C277" s="173" t="str">
        <f t="shared" si="59"/>
        <v/>
      </c>
      <c r="D277" s="173" t="str">
        <f t="shared" si="59"/>
        <v/>
      </c>
      <c r="E277" s="173" t="str">
        <f t="shared" si="59"/>
        <v/>
      </c>
      <c r="F277" s="173" t="str">
        <f t="shared" si="59"/>
        <v/>
      </c>
      <c r="G277" s="173" t="str">
        <f t="shared" si="59"/>
        <v/>
      </c>
      <c r="H277" s="173" t="str">
        <f t="shared" si="59"/>
        <v/>
      </c>
      <c r="I277" s="173" t="str">
        <f t="shared" si="59"/>
        <v/>
      </c>
      <c r="J277" s="173" t="str">
        <f t="shared" si="59"/>
        <v/>
      </c>
      <c r="K277" s="173" t="str">
        <f t="shared" si="59"/>
        <v/>
      </c>
      <c r="L277" s="173" t="str">
        <f t="shared" si="60"/>
        <v>info</v>
      </c>
      <c r="M277" s="173" t="str">
        <f t="shared" si="60"/>
        <v/>
      </c>
      <c r="N277" s="173" t="str">
        <f t="shared" si="60"/>
        <v/>
      </c>
      <c r="O277" s="173" t="str">
        <f t="shared" si="60"/>
        <v/>
      </c>
      <c r="P277" s="174" t="str">
        <f t="shared" si="60"/>
        <v/>
      </c>
      <c r="Q277" s="174" t="str">
        <f t="shared" si="60"/>
        <v>x</v>
      </c>
      <c r="R277" s="174" t="str">
        <f t="shared" si="60"/>
        <v>BS</v>
      </c>
      <c r="S277" s="174" t="str">
        <f t="shared" si="60"/>
        <v>all</v>
      </c>
      <c r="T277" s="173" t="str">
        <f t="shared" si="60"/>
        <v/>
      </c>
      <c r="U277" s="173" t="str">
        <f t="shared" si="60"/>
        <v/>
      </c>
      <c r="V277" s="173" t="str">
        <f t="shared" si="60"/>
        <v/>
      </c>
      <c r="W277" s="173" t="str">
        <f t="shared" si="60"/>
        <v/>
      </c>
      <c r="X277" s="173" t="str">
        <f t="shared" si="60"/>
        <v/>
      </c>
      <c r="Y277" s="173" t="str">
        <f t="shared" si="60"/>
        <v/>
      </c>
    </row>
    <row r="278" spans="1:25" x14ac:dyDescent="0.3">
      <c r="A278" s="172">
        <f t="shared" si="56"/>
        <v>276</v>
      </c>
      <c r="B278" s="173" t="str">
        <f t="shared" si="59"/>
        <v/>
      </c>
      <c r="C278" s="173" t="str">
        <f t="shared" si="59"/>
        <v/>
      </c>
      <c r="D278" s="173" t="str">
        <f t="shared" si="59"/>
        <v/>
      </c>
      <c r="E278" s="173" t="str">
        <f t="shared" si="59"/>
        <v/>
      </c>
      <c r="F278" s="173" t="str">
        <f t="shared" si="59"/>
        <v/>
      </c>
      <c r="G278" s="173" t="str">
        <f t="shared" si="59"/>
        <v/>
      </c>
      <c r="H278" s="173" t="str">
        <f t="shared" si="59"/>
        <v/>
      </c>
      <c r="I278" s="173" t="str">
        <f t="shared" si="59"/>
        <v/>
      </c>
      <c r="J278" s="173" t="str">
        <f t="shared" si="59"/>
        <v/>
      </c>
      <c r="K278" s="173" t="str">
        <f t="shared" si="59"/>
        <v/>
      </c>
      <c r="L278" s="173" t="str">
        <f t="shared" si="60"/>
        <v>info</v>
      </c>
      <c r="M278" s="173" t="str">
        <f t="shared" si="60"/>
        <v/>
      </c>
      <c r="N278" s="173" t="str">
        <f t="shared" si="60"/>
        <v/>
      </c>
      <c r="O278" s="173" t="str">
        <f t="shared" si="60"/>
        <v/>
      </c>
      <c r="P278" s="174" t="str">
        <f t="shared" si="60"/>
        <v/>
      </c>
      <c r="Q278" s="174" t="str">
        <f t="shared" si="60"/>
        <v>x</v>
      </c>
      <c r="R278" s="174" t="str">
        <f t="shared" si="60"/>
        <v>BS</v>
      </c>
      <c r="S278" s="174" t="str">
        <f t="shared" si="60"/>
        <v>all</v>
      </c>
      <c r="T278" s="173" t="str">
        <f t="shared" si="60"/>
        <v/>
      </c>
      <c r="U278" s="173" t="str">
        <f t="shared" si="60"/>
        <v/>
      </c>
      <c r="V278" s="173" t="str">
        <f t="shared" si="60"/>
        <v/>
      </c>
      <c r="W278" s="173" t="str">
        <f t="shared" si="60"/>
        <v/>
      </c>
      <c r="X278" s="173" t="str">
        <f t="shared" si="60"/>
        <v/>
      </c>
      <c r="Y278" s="173" t="str">
        <f t="shared" si="60"/>
        <v/>
      </c>
    </row>
    <row r="279" spans="1:25" x14ac:dyDescent="0.3">
      <c r="A279" s="172">
        <f t="shared" si="56"/>
        <v>277</v>
      </c>
      <c r="B279" s="173" t="str">
        <f t="shared" si="59"/>
        <v/>
      </c>
      <c r="C279" s="173" t="str">
        <f t="shared" si="59"/>
        <v/>
      </c>
      <c r="D279" s="173" t="str">
        <f t="shared" si="59"/>
        <v/>
      </c>
      <c r="E279" s="173" t="str">
        <f t="shared" si="59"/>
        <v/>
      </c>
      <c r="F279" s="173" t="str">
        <f t="shared" si="59"/>
        <v/>
      </c>
      <c r="G279" s="173" t="str">
        <f t="shared" si="59"/>
        <v/>
      </c>
      <c r="H279" s="173" t="str">
        <f t="shared" si="59"/>
        <v/>
      </c>
      <c r="I279" s="173" t="str">
        <f t="shared" si="59"/>
        <v/>
      </c>
      <c r="J279" s="173" t="str">
        <f t="shared" si="59"/>
        <v/>
      </c>
      <c r="K279" s="173" t="str">
        <f t="shared" si="59"/>
        <v/>
      </c>
      <c r="L279" s="173" t="str">
        <f t="shared" si="60"/>
        <v>info</v>
      </c>
      <c r="M279" s="173" t="str">
        <f t="shared" si="60"/>
        <v/>
      </c>
      <c r="N279" s="173" t="str">
        <f t="shared" si="60"/>
        <v/>
      </c>
      <c r="O279" s="173" t="str">
        <f t="shared" si="60"/>
        <v/>
      </c>
      <c r="P279" s="174" t="str">
        <f t="shared" si="60"/>
        <v/>
      </c>
      <c r="Q279" s="174" t="str">
        <f t="shared" si="60"/>
        <v>x</v>
      </c>
      <c r="R279" s="174" t="str">
        <f t="shared" si="60"/>
        <v>BS</v>
      </c>
      <c r="S279" s="174" t="str">
        <f t="shared" si="60"/>
        <v>all</v>
      </c>
      <c r="T279" s="173" t="str">
        <f t="shared" si="60"/>
        <v/>
      </c>
      <c r="U279" s="173" t="str">
        <f t="shared" si="60"/>
        <v/>
      </c>
      <c r="V279" s="173" t="str">
        <f t="shared" si="60"/>
        <v/>
      </c>
      <c r="W279" s="173" t="str">
        <f t="shared" si="60"/>
        <v/>
      </c>
      <c r="X279" s="173" t="str">
        <f t="shared" si="60"/>
        <v/>
      </c>
      <c r="Y279" s="173" t="str">
        <f t="shared" si="60"/>
        <v/>
      </c>
    </row>
    <row r="280" spans="1:25" x14ac:dyDescent="0.3">
      <c r="A280" s="172">
        <f t="shared" si="56"/>
        <v>278</v>
      </c>
      <c r="B280" s="173" t="str">
        <f t="shared" si="59"/>
        <v/>
      </c>
      <c r="C280" s="173" t="str">
        <f t="shared" si="59"/>
        <v/>
      </c>
      <c r="D280" s="173" t="str">
        <f t="shared" si="59"/>
        <v/>
      </c>
      <c r="E280" s="173" t="str">
        <f t="shared" si="59"/>
        <v/>
      </c>
      <c r="F280" s="173" t="str">
        <f t="shared" si="59"/>
        <v/>
      </c>
      <c r="G280" s="173" t="str">
        <f t="shared" si="59"/>
        <v/>
      </c>
      <c r="H280" s="173" t="str">
        <f t="shared" si="59"/>
        <v/>
      </c>
      <c r="I280" s="173" t="str">
        <f t="shared" si="59"/>
        <v/>
      </c>
      <c r="J280" s="173" t="str">
        <f t="shared" si="59"/>
        <v/>
      </c>
      <c r="K280" s="173" t="str">
        <f t="shared" si="59"/>
        <v/>
      </c>
      <c r="L280" s="173" t="str">
        <f t="shared" si="60"/>
        <v>info</v>
      </c>
      <c r="M280" s="173" t="str">
        <f t="shared" si="60"/>
        <v/>
      </c>
      <c r="N280" s="173" t="str">
        <f t="shared" si="60"/>
        <v/>
      </c>
      <c r="O280" s="173" t="str">
        <f t="shared" si="60"/>
        <v/>
      </c>
      <c r="P280" s="174" t="str">
        <f t="shared" si="60"/>
        <v/>
      </c>
      <c r="Q280" s="174" t="str">
        <f t="shared" si="60"/>
        <v>x</v>
      </c>
      <c r="R280" s="174" t="str">
        <f t="shared" si="60"/>
        <v>BS</v>
      </c>
      <c r="S280" s="174" t="str">
        <f t="shared" si="60"/>
        <v>all</v>
      </c>
      <c r="T280" s="173" t="str">
        <f t="shared" si="60"/>
        <v/>
      </c>
      <c r="U280" s="173" t="str">
        <f t="shared" si="60"/>
        <v/>
      </c>
      <c r="V280" s="173" t="str">
        <f t="shared" si="60"/>
        <v/>
      </c>
      <c r="W280" s="173" t="str">
        <f t="shared" si="60"/>
        <v/>
      </c>
      <c r="X280" s="173" t="str">
        <f t="shared" si="60"/>
        <v/>
      </c>
      <c r="Y280" s="173" t="str">
        <f t="shared" si="60"/>
        <v/>
      </c>
    </row>
    <row r="281" spans="1:25" x14ac:dyDescent="0.3">
      <c r="A281" s="172">
        <f t="shared" si="56"/>
        <v>279</v>
      </c>
      <c r="B281" s="173" t="str">
        <f t="shared" si="59"/>
        <v/>
      </c>
      <c r="C281" s="173" t="str">
        <f t="shared" si="59"/>
        <v/>
      </c>
      <c r="D281" s="173" t="str">
        <f t="shared" si="59"/>
        <v/>
      </c>
      <c r="E281" s="173" t="str">
        <f t="shared" si="59"/>
        <v/>
      </c>
      <c r="F281" s="173" t="str">
        <f t="shared" si="59"/>
        <v/>
      </c>
      <c r="G281" s="173" t="str">
        <f t="shared" si="59"/>
        <v/>
      </c>
      <c r="H281" s="173" t="str">
        <f t="shared" si="59"/>
        <v/>
      </c>
      <c r="I281" s="173" t="str">
        <f t="shared" si="59"/>
        <v/>
      </c>
      <c r="J281" s="173" t="str">
        <f t="shared" si="59"/>
        <v/>
      </c>
      <c r="K281" s="173" t="str">
        <f t="shared" si="59"/>
        <v/>
      </c>
      <c r="L281" s="173" t="str">
        <f t="shared" si="60"/>
        <v>info</v>
      </c>
      <c r="M281" s="173" t="str">
        <f t="shared" si="60"/>
        <v/>
      </c>
      <c r="N281" s="173" t="str">
        <f t="shared" si="60"/>
        <v/>
      </c>
      <c r="O281" s="173" t="str">
        <f t="shared" si="60"/>
        <v/>
      </c>
      <c r="P281" s="174" t="str">
        <f t="shared" si="60"/>
        <v/>
      </c>
      <c r="Q281" s="174" t="str">
        <f t="shared" si="60"/>
        <v>x</v>
      </c>
      <c r="R281" s="174" t="str">
        <f t="shared" si="60"/>
        <v>BS</v>
      </c>
      <c r="S281" s="174" t="str">
        <f t="shared" si="60"/>
        <v>all</v>
      </c>
      <c r="T281" s="173" t="str">
        <f t="shared" si="60"/>
        <v/>
      </c>
      <c r="U281" s="173" t="str">
        <f t="shared" si="60"/>
        <v/>
      </c>
      <c r="V281" s="173" t="str">
        <f t="shared" si="60"/>
        <v/>
      </c>
      <c r="W281" s="173" t="str">
        <f t="shared" si="60"/>
        <v/>
      </c>
      <c r="X281" s="173" t="str">
        <f t="shared" si="60"/>
        <v/>
      </c>
      <c r="Y281" s="173" t="str">
        <f t="shared" si="60"/>
        <v/>
      </c>
    </row>
    <row r="282" spans="1:25" x14ac:dyDescent="0.3">
      <c r="A282" s="172">
        <f t="shared" si="56"/>
        <v>280</v>
      </c>
      <c r="B282" s="173" t="str">
        <f t="shared" si="59"/>
        <v/>
      </c>
      <c r="C282" s="173" t="str">
        <f t="shared" si="59"/>
        <v/>
      </c>
      <c r="D282" s="173" t="str">
        <f t="shared" si="59"/>
        <v/>
      </c>
      <c r="E282" s="173" t="str">
        <f t="shared" si="59"/>
        <v/>
      </c>
      <c r="F282" s="173" t="str">
        <f t="shared" si="59"/>
        <v/>
      </c>
      <c r="G282" s="173" t="str">
        <f t="shared" si="59"/>
        <v/>
      </c>
      <c r="H282" s="173" t="str">
        <f t="shared" si="59"/>
        <v/>
      </c>
      <c r="I282" s="173" t="str">
        <f t="shared" si="59"/>
        <v/>
      </c>
      <c r="J282" s="173" t="str">
        <f t="shared" si="59"/>
        <v/>
      </c>
      <c r="K282" s="173" t="str">
        <f t="shared" si="59"/>
        <v/>
      </c>
      <c r="L282" s="173" t="str">
        <f t="shared" si="60"/>
        <v>info</v>
      </c>
      <c r="M282" s="173" t="str">
        <f t="shared" si="60"/>
        <v/>
      </c>
      <c r="N282" s="173" t="str">
        <f t="shared" si="60"/>
        <v/>
      </c>
      <c r="O282" s="173" t="str">
        <f t="shared" si="60"/>
        <v/>
      </c>
      <c r="P282" s="174" t="str">
        <f t="shared" si="60"/>
        <v/>
      </c>
      <c r="Q282" s="174" t="str">
        <f t="shared" si="60"/>
        <v>x</v>
      </c>
      <c r="R282" s="174" t="str">
        <f t="shared" si="60"/>
        <v>BS</v>
      </c>
      <c r="S282" s="174" t="str">
        <f t="shared" si="60"/>
        <v>all</v>
      </c>
      <c r="T282" s="173" t="str">
        <f t="shared" si="60"/>
        <v/>
      </c>
      <c r="U282" s="173" t="str">
        <f t="shared" si="60"/>
        <v/>
      </c>
      <c r="V282" s="173" t="str">
        <f t="shared" si="60"/>
        <v/>
      </c>
      <c r="W282" s="173" t="str">
        <f t="shared" si="60"/>
        <v/>
      </c>
      <c r="X282" s="173" t="str">
        <f t="shared" si="60"/>
        <v/>
      </c>
      <c r="Y282" s="173" t="str">
        <f t="shared" si="60"/>
        <v/>
      </c>
    </row>
    <row r="283" spans="1:25" x14ac:dyDescent="0.3">
      <c r="A283" s="172">
        <f t="shared" si="56"/>
        <v>281</v>
      </c>
      <c r="B283" s="173" t="str">
        <f t="shared" ref="B283:K292" si="61">IF(ISNONTEXT(B$2),IF(B$2="","",IF(INDEX(IMPORT,$A283,B$2)=0,"",IFERROR(VLOOKUP(INDEX(IMPORT,$A283,B$2),ImportTranslation,2,0),INDEX(IMPORT,$A283,B$2)))),B$2)</f>
        <v/>
      </c>
      <c r="C283" s="173" t="str">
        <f t="shared" si="61"/>
        <v/>
      </c>
      <c r="D283" s="173" t="str">
        <f t="shared" si="61"/>
        <v/>
      </c>
      <c r="E283" s="173" t="str">
        <f t="shared" si="61"/>
        <v/>
      </c>
      <c r="F283" s="173" t="str">
        <f t="shared" si="61"/>
        <v/>
      </c>
      <c r="G283" s="173" t="str">
        <f t="shared" si="61"/>
        <v/>
      </c>
      <c r="H283" s="173" t="str">
        <f t="shared" si="61"/>
        <v/>
      </c>
      <c r="I283" s="173" t="str">
        <f t="shared" si="61"/>
        <v/>
      </c>
      <c r="J283" s="173" t="str">
        <f t="shared" si="61"/>
        <v/>
      </c>
      <c r="K283" s="173" t="str">
        <f t="shared" si="61"/>
        <v/>
      </c>
      <c r="L283" s="173" t="str">
        <f t="shared" ref="L283:Y292" si="62">IF(ISNONTEXT(L$2),IF(L$2="","",IF(INDEX(IMPORT,$A283,L$2)=0,"",IFERROR(VLOOKUP(INDEX(IMPORT,$A283,L$2),ImportTranslation,2,0),INDEX(IMPORT,$A283,L$2)))),L$2)</f>
        <v>info</v>
      </c>
      <c r="M283" s="173" t="str">
        <f t="shared" si="62"/>
        <v/>
      </c>
      <c r="N283" s="173" t="str">
        <f t="shared" si="62"/>
        <v/>
      </c>
      <c r="O283" s="173" t="str">
        <f t="shared" si="62"/>
        <v/>
      </c>
      <c r="P283" s="174" t="str">
        <f t="shared" si="62"/>
        <v/>
      </c>
      <c r="Q283" s="174" t="str">
        <f t="shared" si="62"/>
        <v>x</v>
      </c>
      <c r="R283" s="174" t="str">
        <f t="shared" si="62"/>
        <v>BS</v>
      </c>
      <c r="S283" s="174" t="str">
        <f t="shared" si="62"/>
        <v>all</v>
      </c>
      <c r="T283" s="173" t="str">
        <f t="shared" si="62"/>
        <v/>
      </c>
      <c r="U283" s="173" t="str">
        <f t="shared" si="62"/>
        <v/>
      </c>
      <c r="V283" s="173" t="str">
        <f t="shared" si="62"/>
        <v/>
      </c>
      <c r="W283" s="173" t="str">
        <f t="shared" si="62"/>
        <v/>
      </c>
      <c r="X283" s="173" t="str">
        <f t="shared" si="62"/>
        <v/>
      </c>
      <c r="Y283" s="173" t="str">
        <f t="shared" si="62"/>
        <v/>
      </c>
    </row>
    <row r="284" spans="1:25" x14ac:dyDescent="0.3">
      <c r="A284" s="172">
        <f t="shared" si="56"/>
        <v>282</v>
      </c>
      <c r="B284" s="173" t="str">
        <f t="shared" si="61"/>
        <v/>
      </c>
      <c r="C284" s="173" t="str">
        <f t="shared" si="61"/>
        <v/>
      </c>
      <c r="D284" s="173" t="str">
        <f t="shared" si="61"/>
        <v/>
      </c>
      <c r="E284" s="173" t="str">
        <f t="shared" si="61"/>
        <v/>
      </c>
      <c r="F284" s="173" t="str">
        <f t="shared" si="61"/>
        <v/>
      </c>
      <c r="G284" s="173" t="str">
        <f t="shared" si="61"/>
        <v/>
      </c>
      <c r="H284" s="173" t="str">
        <f t="shared" si="61"/>
        <v/>
      </c>
      <c r="I284" s="173" t="str">
        <f t="shared" si="61"/>
        <v/>
      </c>
      <c r="J284" s="173" t="str">
        <f t="shared" si="61"/>
        <v/>
      </c>
      <c r="K284" s="173" t="str">
        <f t="shared" si="61"/>
        <v/>
      </c>
      <c r="L284" s="173" t="str">
        <f t="shared" si="62"/>
        <v>info</v>
      </c>
      <c r="M284" s="173" t="str">
        <f t="shared" si="62"/>
        <v/>
      </c>
      <c r="N284" s="173" t="str">
        <f t="shared" si="62"/>
        <v/>
      </c>
      <c r="O284" s="173" t="str">
        <f t="shared" si="62"/>
        <v/>
      </c>
      <c r="P284" s="174" t="str">
        <f t="shared" si="62"/>
        <v/>
      </c>
      <c r="Q284" s="174" t="str">
        <f t="shared" si="62"/>
        <v>x</v>
      </c>
      <c r="R284" s="174" t="str">
        <f t="shared" si="62"/>
        <v>BS</v>
      </c>
      <c r="S284" s="174" t="str">
        <f t="shared" si="62"/>
        <v>all</v>
      </c>
      <c r="T284" s="173" t="str">
        <f t="shared" si="62"/>
        <v/>
      </c>
      <c r="U284" s="173" t="str">
        <f t="shared" si="62"/>
        <v/>
      </c>
      <c r="V284" s="173" t="str">
        <f t="shared" si="62"/>
        <v/>
      </c>
      <c r="W284" s="173" t="str">
        <f t="shared" si="62"/>
        <v/>
      </c>
      <c r="X284" s="173" t="str">
        <f t="shared" si="62"/>
        <v/>
      </c>
      <c r="Y284" s="173" t="str">
        <f t="shared" si="62"/>
        <v/>
      </c>
    </row>
    <row r="285" spans="1:25" x14ac:dyDescent="0.3">
      <c r="A285" s="172">
        <f t="shared" si="56"/>
        <v>283</v>
      </c>
      <c r="B285" s="173" t="str">
        <f t="shared" si="61"/>
        <v/>
      </c>
      <c r="C285" s="173" t="str">
        <f t="shared" si="61"/>
        <v/>
      </c>
      <c r="D285" s="173" t="str">
        <f t="shared" si="61"/>
        <v/>
      </c>
      <c r="E285" s="173" t="str">
        <f t="shared" si="61"/>
        <v/>
      </c>
      <c r="F285" s="173" t="str">
        <f t="shared" si="61"/>
        <v/>
      </c>
      <c r="G285" s="173" t="str">
        <f t="shared" si="61"/>
        <v/>
      </c>
      <c r="H285" s="173" t="str">
        <f t="shared" si="61"/>
        <v/>
      </c>
      <c r="I285" s="173" t="str">
        <f t="shared" si="61"/>
        <v/>
      </c>
      <c r="J285" s="173" t="str">
        <f t="shared" si="61"/>
        <v/>
      </c>
      <c r="K285" s="173" t="str">
        <f t="shared" si="61"/>
        <v/>
      </c>
      <c r="L285" s="173" t="str">
        <f t="shared" si="62"/>
        <v>info</v>
      </c>
      <c r="M285" s="173" t="str">
        <f t="shared" si="62"/>
        <v/>
      </c>
      <c r="N285" s="173" t="str">
        <f t="shared" si="62"/>
        <v/>
      </c>
      <c r="O285" s="173" t="str">
        <f t="shared" si="62"/>
        <v/>
      </c>
      <c r="P285" s="174" t="str">
        <f t="shared" si="62"/>
        <v/>
      </c>
      <c r="Q285" s="174" t="str">
        <f t="shared" si="62"/>
        <v>x</v>
      </c>
      <c r="R285" s="174" t="str">
        <f t="shared" si="62"/>
        <v>BS</v>
      </c>
      <c r="S285" s="174" t="str">
        <f t="shared" si="62"/>
        <v>all</v>
      </c>
      <c r="T285" s="173" t="str">
        <f t="shared" si="62"/>
        <v/>
      </c>
      <c r="U285" s="173" t="str">
        <f t="shared" si="62"/>
        <v/>
      </c>
      <c r="V285" s="173" t="str">
        <f t="shared" si="62"/>
        <v/>
      </c>
      <c r="W285" s="173" t="str">
        <f t="shared" si="62"/>
        <v/>
      </c>
      <c r="X285" s="173" t="str">
        <f t="shared" si="62"/>
        <v/>
      </c>
      <c r="Y285" s="173" t="str">
        <f t="shared" si="62"/>
        <v/>
      </c>
    </row>
    <row r="286" spans="1:25" x14ac:dyDescent="0.3">
      <c r="A286" s="172">
        <f t="shared" si="56"/>
        <v>284</v>
      </c>
      <c r="B286" s="173" t="str">
        <f t="shared" si="61"/>
        <v/>
      </c>
      <c r="C286" s="173" t="str">
        <f t="shared" si="61"/>
        <v/>
      </c>
      <c r="D286" s="173" t="str">
        <f t="shared" si="61"/>
        <v/>
      </c>
      <c r="E286" s="173" t="str">
        <f t="shared" si="61"/>
        <v/>
      </c>
      <c r="F286" s="173" t="str">
        <f t="shared" si="61"/>
        <v/>
      </c>
      <c r="G286" s="173" t="str">
        <f t="shared" si="61"/>
        <v/>
      </c>
      <c r="H286" s="173" t="str">
        <f t="shared" si="61"/>
        <v/>
      </c>
      <c r="I286" s="173" t="str">
        <f t="shared" si="61"/>
        <v/>
      </c>
      <c r="J286" s="173" t="str">
        <f t="shared" si="61"/>
        <v/>
      </c>
      <c r="K286" s="173" t="str">
        <f t="shared" si="61"/>
        <v/>
      </c>
      <c r="L286" s="173" t="str">
        <f t="shared" si="62"/>
        <v>info</v>
      </c>
      <c r="M286" s="173" t="str">
        <f t="shared" si="62"/>
        <v/>
      </c>
      <c r="N286" s="173" t="str">
        <f t="shared" si="62"/>
        <v/>
      </c>
      <c r="O286" s="173" t="str">
        <f t="shared" si="62"/>
        <v/>
      </c>
      <c r="P286" s="174" t="str">
        <f t="shared" si="62"/>
        <v/>
      </c>
      <c r="Q286" s="174" t="str">
        <f t="shared" si="62"/>
        <v>x</v>
      </c>
      <c r="R286" s="174" t="str">
        <f t="shared" si="62"/>
        <v>BS</v>
      </c>
      <c r="S286" s="174" t="str">
        <f t="shared" si="62"/>
        <v>all</v>
      </c>
      <c r="T286" s="173" t="str">
        <f t="shared" si="62"/>
        <v/>
      </c>
      <c r="U286" s="173" t="str">
        <f t="shared" si="62"/>
        <v/>
      </c>
      <c r="V286" s="173" t="str">
        <f t="shared" si="62"/>
        <v/>
      </c>
      <c r="W286" s="173" t="str">
        <f t="shared" si="62"/>
        <v/>
      </c>
      <c r="X286" s="173" t="str">
        <f t="shared" si="62"/>
        <v/>
      </c>
      <c r="Y286" s="173" t="str">
        <f t="shared" si="62"/>
        <v/>
      </c>
    </row>
    <row r="287" spans="1:25" x14ac:dyDescent="0.3">
      <c r="A287" s="172">
        <f t="shared" si="56"/>
        <v>285</v>
      </c>
      <c r="B287" s="173" t="str">
        <f t="shared" si="61"/>
        <v/>
      </c>
      <c r="C287" s="173" t="str">
        <f t="shared" si="61"/>
        <v/>
      </c>
      <c r="D287" s="173" t="str">
        <f t="shared" si="61"/>
        <v/>
      </c>
      <c r="E287" s="173" t="str">
        <f t="shared" si="61"/>
        <v/>
      </c>
      <c r="F287" s="173" t="str">
        <f t="shared" si="61"/>
        <v/>
      </c>
      <c r="G287" s="173" t="str">
        <f t="shared" si="61"/>
        <v/>
      </c>
      <c r="H287" s="173" t="str">
        <f t="shared" si="61"/>
        <v/>
      </c>
      <c r="I287" s="173" t="str">
        <f t="shared" si="61"/>
        <v/>
      </c>
      <c r="J287" s="173" t="str">
        <f t="shared" si="61"/>
        <v/>
      </c>
      <c r="K287" s="173" t="str">
        <f t="shared" si="61"/>
        <v/>
      </c>
      <c r="L287" s="173" t="str">
        <f t="shared" si="62"/>
        <v>info</v>
      </c>
      <c r="M287" s="173" t="str">
        <f t="shared" si="62"/>
        <v/>
      </c>
      <c r="N287" s="173" t="str">
        <f t="shared" si="62"/>
        <v/>
      </c>
      <c r="O287" s="173" t="str">
        <f t="shared" si="62"/>
        <v/>
      </c>
      <c r="P287" s="174" t="str">
        <f t="shared" si="62"/>
        <v/>
      </c>
      <c r="Q287" s="174" t="str">
        <f t="shared" si="62"/>
        <v>x</v>
      </c>
      <c r="R287" s="174" t="str">
        <f t="shared" si="62"/>
        <v>BS</v>
      </c>
      <c r="S287" s="174" t="str">
        <f t="shared" si="62"/>
        <v>all</v>
      </c>
      <c r="T287" s="173" t="str">
        <f t="shared" si="62"/>
        <v/>
      </c>
      <c r="U287" s="173" t="str">
        <f t="shared" si="62"/>
        <v/>
      </c>
      <c r="V287" s="173" t="str">
        <f t="shared" si="62"/>
        <v/>
      </c>
      <c r="W287" s="173" t="str">
        <f t="shared" si="62"/>
        <v/>
      </c>
      <c r="X287" s="173" t="str">
        <f t="shared" si="62"/>
        <v/>
      </c>
      <c r="Y287" s="173" t="str">
        <f t="shared" si="62"/>
        <v/>
      </c>
    </row>
    <row r="288" spans="1:25" x14ac:dyDescent="0.3">
      <c r="A288" s="172">
        <f t="shared" si="56"/>
        <v>286</v>
      </c>
      <c r="B288" s="173" t="str">
        <f t="shared" si="61"/>
        <v/>
      </c>
      <c r="C288" s="173" t="str">
        <f t="shared" si="61"/>
        <v/>
      </c>
      <c r="D288" s="173" t="str">
        <f t="shared" si="61"/>
        <v/>
      </c>
      <c r="E288" s="173" t="str">
        <f t="shared" si="61"/>
        <v/>
      </c>
      <c r="F288" s="173" t="str">
        <f t="shared" si="61"/>
        <v/>
      </c>
      <c r="G288" s="173" t="str">
        <f t="shared" si="61"/>
        <v/>
      </c>
      <c r="H288" s="173" t="str">
        <f t="shared" si="61"/>
        <v/>
      </c>
      <c r="I288" s="173" t="str">
        <f t="shared" si="61"/>
        <v/>
      </c>
      <c r="J288" s="173" t="str">
        <f t="shared" si="61"/>
        <v/>
      </c>
      <c r="K288" s="173" t="str">
        <f t="shared" si="61"/>
        <v/>
      </c>
      <c r="L288" s="173" t="str">
        <f t="shared" si="62"/>
        <v>info</v>
      </c>
      <c r="M288" s="173" t="str">
        <f t="shared" si="62"/>
        <v/>
      </c>
      <c r="N288" s="173" t="str">
        <f t="shared" si="62"/>
        <v/>
      </c>
      <c r="O288" s="173" t="str">
        <f t="shared" si="62"/>
        <v/>
      </c>
      <c r="P288" s="174" t="str">
        <f t="shared" si="62"/>
        <v/>
      </c>
      <c r="Q288" s="174" t="str">
        <f t="shared" si="62"/>
        <v>x</v>
      </c>
      <c r="R288" s="174" t="str">
        <f t="shared" si="62"/>
        <v>BS</v>
      </c>
      <c r="S288" s="174" t="str">
        <f t="shared" si="62"/>
        <v>all</v>
      </c>
      <c r="T288" s="173" t="str">
        <f t="shared" si="62"/>
        <v/>
      </c>
      <c r="U288" s="173" t="str">
        <f t="shared" si="62"/>
        <v/>
      </c>
      <c r="V288" s="173" t="str">
        <f t="shared" si="62"/>
        <v/>
      </c>
      <c r="W288" s="173" t="str">
        <f t="shared" si="62"/>
        <v/>
      </c>
      <c r="X288" s="173" t="str">
        <f t="shared" si="62"/>
        <v/>
      </c>
      <c r="Y288" s="173" t="str">
        <f t="shared" si="62"/>
        <v/>
      </c>
    </row>
    <row r="289" spans="1:25" x14ac:dyDescent="0.3">
      <c r="A289" s="172">
        <f t="shared" si="56"/>
        <v>287</v>
      </c>
      <c r="B289" s="173" t="str">
        <f t="shared" si="61"/>
        <v/>
      </c>
      <c r="C289" s="173" t="str">
        <f t="shared" si="61"/>
        <v/>
      </c>
      <c r="D289" s="173" t="str">
        <f t="shared" si="61"/>
        <v/>
      </c>
      <c r="E289" s="173" t="str">
        <f t="shared" si="61"/>
        <v/>
      </c>
      <c r="F289" s="173" t="str">
        <f t="shared" si="61"/>
        <v/>
      </c>
      <c r="G289" s="173" t="str">
        <f t="shared" si="61"/>
        <v/>
      </c>
      <c r="H289" s="173" t="str">
        <f t="shared" si="61"/>
        <v/>
      </c>
      <c r="I289" s="173" t="str">
        <f t="shared" si="61"/>
        <v/>
      </c>
      <c r="J289" s="173" t="str">
        <f t="shared" si="61"/>
        <v/>
      </c>
      <c r="K289" s="173" t="str">
        <f t="shared" si="61"/>
        <v/>
      </c>
      <c r="L289" s="173" t="str">
        <f t="shared" si="62"/>
        <v>info</v>
      </c>
      <c r="M289" s="173" t="str">
        <f t="shared" si="62"/>
        <v/>
      </c>
      <c r="N289" s="173" t="str">
        <f t="shared" si="62"/>
        <v/>
      </c>
      <c r="O289" s="173" t="str">
        <f t="shared" si="62"/>
        <v/>
      </c>
      <c r="P289" s="174" t="str">
        <f t="shared" si="62"/>
        <v/>
      </c>
      <c r="Q289" s="174" t="str">
        <f t="shared" si="62"/>
        <v>x</v>
      </c>
      <c r="R289" s="174" t="str">
        <f t="shared" si="62"/>
        <v>BS</v>
      </c>
      <c r="S289" s="174" t="str">
        <f t="shared" si="62"/>
        <v>all</v>
      </c>
      <c r="T289" s="173" t="str">
        <f t="shared" si="62"/>
        <v/>
      </c>
      <c r="U289" s="173" t="str">
        <f t="shared" si="62"/>
        <v/>
      </c>
      <c r="V289" s="173" t="str">
        <f t="shared" si="62"/>
        <v/>
      </c>
      <c r="W289" s="173" t="str">
        <f t="shared" si="62"/>
        <v/>
      </c>
      <c r="X289" s="173" t="str">
        <f t="shared" si="62"/>
        <v/>
      </c>
      <c r="Y289" s="173" t="str">
        <f t="shared" si="62"/>
        <v/>
      </c>
    </row>
    <row r="290" spans="1:25" x14ac:dyDescent="0.3">
      <c r="A290" s="172">
        <f t="shared" si="56"/>
        <v>288</v>
      </c>
      <c r="B290" s="173" t="str">
        <f t="shared" si="61"/>
        <v/>
      </c>
      <c r="C290" s="173" t="str">
        <f t="shared" si="61"/>
        <v/>
      </c>
      <c r="D290" s="173" t="str">
        <f t="shared" si="61"/>
        <v/>
      </c>
      <c r="E290" s="173" t="str">
        <f t="shared" si="61"/>
        <v/>
      </c>
      <c r="F290" s="173" t="str">
        <f t="shared" si="61"/>
        <v/>
      </c>
      <c r="G290" s="173" t="str">
        <f t="shared" si="61"/>
        <v/>
      </c>
      <c r="H290" s="173" t="str">
        <f t="shared" si="61"/>
        <v/>
      </c>
      <c r="I290" s="173" t="str">
        <f t="shared" si="61"/>
        <v/>
      </c>
      <c r="J290" s="173" t="str">
        <f t="shared" si="61"/>
        <v/>
      </c>
      <c r="K290" s="173" t="str">
        <f t="shared" si="61"/>
        <v/>
      </c>
      <c r="L290" s="173" t="str">
        <f t="shared" si="62"/>
        <v>info</v>
      </c>
      <c r="M290" s="173" t="str">
        <f t="shared" si="62"/>
        <v/>
      </c>
      <c r="N290" s="173" t="str">
        <f t="shared" si="62"/>
        <v/>
      </c>
      <c r="O290" s="173" t="str">
        <f t="shared" si="62"/>
        <v/>
      </c>
      <c r="P290" s="174" t="str">
        <f t="shared" si="62"/>
        <v/>
      </c>
      <c r="Q290" s="174" t="str">
        <f t="shared" si="62"/>
        <v>x</v>
      </c>
      <c r="R290" s="174" t="str">
        <f t="shared" si="62"/>
        <v>BS</v>
      </c>
      <c r="S290" s="174" t="str">
        <f t="shared" si="62"/>
        <v>all</v>
      </c>
      <c r="T290" s="173" t="str">
        <f t="shared" si="62"/>
        <v/>
      </c>
      <c r="U290" s="173" t="str">
        <f t="shared" si="62"/>
        <v/>
      </c>
      <c r="V290" s="173" t="str">
        <f t="shared" si="62"/>
        <v/>
      </c>
      <c r="W290" s="173" t="str">
        <f t="shared" si="62"/>
        <v/>
      </c>
      <c r="X290" s="173" t="str">
        <f t="shared" si="62"/>
        <v/>
      </c>
      <c r="Y290" s="173" t="str">
        <f t="shared" si="62"/>
        <v/>
      </c>
    </row>
    <row r="291" spans="1:25" x14ac:dyDescent="0.3">
      <c r="A291" s="172">
        <f t="shared" si="56"/>
        <v>289</v>
      </c>
      <c r="B291" s="173" t="str">
        <f t="shared" si="61"/>
        <v/>
      </c>
      <c r="C291" s="173" t="str">
        <f t="shared" si="61"/>
        <v/>
      </c>
      <c r="D291" s="173" t="str">
        <f t="shared" si="61"/>
        <v/>
      </c>
      <c r="E291" s="173" t="str">
        <f t="shared" si="61"/>
        <v/>
      </c>
      <c r="F291" s="173" t="str">
        <f t="shared" si="61"/>
        <v/>
      </c>
      <c r="G291" s="173" t="str">
        <f t="shared" si="61"/>
        <v/>
      </c>
      <c r="H291" s="173" t="str">
        <f t="shared" si="61"/>
        <v/>
      </c>
      <c r="I291" s="173" t="str">
        <f t="shared" si="61"/>
        <v/>
      </c>
      <c r="J291" s="173" t="str">
        <f t="shared" si="61"/>
        <v/>
      </c>
      <c r="K291" s="173" t="str">
        <f t="shared" si="61"/>
        <v/>
      </c>
      <c r="L291" s="173" t="str">
        <f t="shared" si="62"/>
        <v>info</v>
      </c>
      <c r="M291" s="173" t="str">
        <f t="shared" si="62"/>
        <v/>
      </c>
      <c r="N291" s="173" t="str">
        <f t="shared" si="62"/>
        <v/>
      </c>
      <c r="O291" s="173" t="str">
        <f t="shared" si="62"/>
        <v/>
      </c>
      <c r="P291" s="174" t="str">
        <f t="shared" si="62"/>
        <v/>
      </c>
      <c r="Q291" s="174" t="str">
        <f t="shared" si="62"/>
        <v>x</v>
      </c>
      <c r="R291" s="174" t="str">
        <f t="shared" si="62"/>
        <v>BS</v>
      </c>
      <c r="S291" s="174" t="str">
        <f t="shared" si="62"/>
        <v>all</v>
      </c>
      <c r="T291" s="173" t="str">
        <f t="shared" si="62"/>
        <v/>
      </c>
      <c r="U291" s="173" t="str">
        <f t="shared" si="62"/>
        <v/>
      </c>
      <c r="V291" s="173" t="str">
        <f t="shared" si="62"/>
        <v/>
      </c>
      <c r="W291" s="173" t="str">
        <f t="shared" si="62"/>
        <v/>
      </c>
      <c r="X291" s="173" t="str">
        <f t="shared" si="62"/>
        <v/>
      </c>
      <c r="Y291" s="173" t="str">
        <f t="shared" si="62"/>
        <v/>
      </c>
    </row>
    <row r="292" spans="1:25" x14ac:dyDescent="0.3">
      <c r="A292" s="172">
        <f t="shared" si="56"/>
        <v>290</v>
      </c>
      <c r="B292" s="173" t="str">
        <f t="shared" si="61"/>
        <v/>
      </c>
      <c r="C292" s="173" t="str">
        <f t="shared" si="61"/>
        <v/>
      </c>
      <c r="D292" s="173" t="str">
        <f t="shared" si="61"/>
        <v/>
      </c>
      <c r="E292" s="173" t="str">
        <f t="shared" si="61"/>
        <v/>
      </c>
      <c r="F292" s="173" t="str">
        <f t="shared" si="61"/>
        <v/>
      </c>
      <c r="G292" s="173" t="str">
        <f t="shared" si="61"/>
        <v/>
      </c>
      <c r="H292" s="173" t="str">
        <f t="shared" si="61"/>
        <v/>
      </c>
      <c r="I292" s="173" t="str">
        <f t="shared" si="61"/>
        <v/>
      </c>
      <c r="J292" s="173" t="str">
        <f t="shared" si="61"/>
        <v/>
      </c>
      <c r="K292" s="173" t="str">
        <f t="shared" si="61"/>
        <v/>
      </c>
      <c r="L292" s="173" t="str">
        <f t="shared" si="62"/>
        <v>info</v>
      </c>
      <c r="M292" s="173" t="str">
        <f t="shared" si="62"/>
        <v/>
      </c>
      <c r="N292" s="173" t="str">
        <f t="shared" si="62"/>
        <v/>
      </c>
      <c r="O292" s="173" t="str">
        <f t="shared" si="62"/>
        <v/>
      </c>
      <c r="P292" s="174" t="str">
        <f t="shared" si="62"/>
        <v/>
      </c>
      <c r="Q292" s="174" t="str">
        <f t="shared" si="62"/>
        <v>x</v>
      </c>
      <c r="R292" s="174" t="str">
        <f t="shared" si="62"/>
        <v>BS</v>
      </c>
      <c r="S292" s="174" t="str">
        <f t="shared" si="62"/>
        <v>all</v>
      </c>
      <c r="T292" s="173" t="str">
        <f t="shared" si="62"/>
        <v/>
      </c>
      <c r="U292" s="173" t="str">
        <f t="shared" si="62"/>
        <v/>
      </c>
      <c r="V292" s="173" t="str">
        <f t="shared" si="62"/>
        <v/>
      </c>
      <c r="W292" s="173" t="str">
        <f t="shared" si="62"/>
        <v/>
      </c>
      <c r="X292" s="173" t="str">
        <f t="shared" si="62"/>
        <v/>
      </c>
      <c r="Y292" s="173" t="str">
        <f t="shared" si="62"/>
        <v/>
      </c>
    </row>
    <row r="293" spans="1:25" x14ac:dyDescent="0.3">
      <c r="A293" s="172">
        <f t="shared" si="56"/>
        <v>291</v>
      </c>
      <c r="B293" s="173" t="str">
        <f t="shared" ref="B293:K302" si="63">IF(ISNONTEXT(B$2),IF(B$2="","",IF(INDEX(IMPORT,$A293,B$2)=0,"",IFERROR(VLOOKUP(INDEX(IMPORT,$A293,B$2),ImportTranslation,2,0),INDEX(IMPORT,$A293,B$2)))),B$2)</f>
        <v/>
      </c>
      <c r="C293" s="173" t="str">
        <f t="shared" si="63"/>
        <v/>
      </c>
      <c r="D293" s="173" t="str">
        <f t="shared" si="63"/>
        <v/>
      </c>
      <c r="E293" s="173" t="str">
        <f t="shared" si="63"/>
        <v/>
      </c>
      <c r="F293" s="173" t="str">
        <f t="shared" si="63"/>
        <v/>
      </c>
      <c r="G293" s="173" t="str">
        <f t="shared" si="63"/>
        <v/>
      </c>
      <c r="H293" s="173" t="str">
        <f t="shared" si="63"/>
        <v/>
      </c>
      <c r="I293" s="173" t="str">
        <f t="shared" si="63"/>
        <v/>
      </c>
      <c r="J293" s="173" t="str">
        <f t="shared" si="63"/>
        <v/>
      </c>
      <c r="K293" s="173" t="str">
        <f t="shared" si="63"/>
        <v/>
      </c>
      <c r="L293" s="173" t="str">
        <f t="shared" ref="L293:Y302" si="64">IF(ISNONTEXT(L$2),IF(L$2="","",IF(INDEX(IMPORT,$A293,L$2)=0,"",IFERROR(VLOOKUP(INDEX(IMPORT,$A293,L$2),ImportTranslation,2,0),INDEX(IMPORT,$A293,L$2)))),L$2)</f>
        <v>info</v>
      </c>
      <c r="M293" s="173" t="str">
        <f t="shared" si="64"/>
        <v/>
      </c>
      <c r="N293" s="173" t="str">
        <f t="shared" si="64"/>
        <v/>
      </c>
      <c r="O293" s="173" t="str">
        <f t="shared" si="64"/>
        <v/>
      </c>
      <c r="P293" s="174" t="str">
        <f t="shared" si="64"/>
        <v/>
      </c>
      <c r="Q293" s="174" t="str">
        <f t="shared" si="64"/>
        <v>x</v>
      </c>
      <c r="R293" s="174" t="str">
        <f t="shared" si="64"/>
        <v>BS</v>
      </c>
      <c r="S293" s="174" t="str">
        <f t="shared" si="64"/>
        <v>all</v>
      </c>
      <c r="T293" s="173" t="str">
        <f t="shared" si="64"/>
        <v/>
      </c>
      <c r="U293" s="173" t="str">
        <f t="shared" si="64"/>
        <v/>
      </c>
      <c r="V293" s="173" t="str">
        <f t="shared" si="64"/>
        <v/>
      </c>
      <c r="W293" s="173" t="str">
        <f t="shared" si="64"/>
        <v/>
      </c>
      <c r="X293" s="173" t="str">
        <f t="shared" si="64"/>
        <v/>
      </c>
      <c r="Y293" s="173" t="str">
        <f t="shared" si="64"/>
        <v/>
      </c>
    </row>
    <row r="294" spans="1:25" x14ac:dyDescent="0.3">
      <c r="A294" s="172">
        <f t="shared" si="56"/>
        <v>292</v>
      </c>
      <c r="B294" s="173" t="str">
        <f t="shared" si="63"/>
        <v/>
      </c>
      <c r="C294" s="173" t="str">
        <f t="shared" si="63"/>
        <v/>
      </c>
      <c r="D294" s="173" t="str">
        <f t="shared" si="63"/>
        <v/>
      </c>
      <c r="E294" s="173" t="str">
        <f t="shared" si="63"/>
        <v/>
      </c>
      <c r="F294" s="173" t="str">
        <f t="shared" si="63"/>
        <v/>
      </c>
      <c r="G294" s="173" t="str">
        <f t="shared" si="63"/>
        <v/>
      </c>
      <c r="H294" s="173" t="str">
        <f t="shared" si="63"/>
        <v/>
      </c>
      <c r="I294" s="173" t="str">
        <f t="shared" si="63"/>
        <v/>
      </c>
      <c r="J294" s="173" t="str">
        <f t="shared" si="63"/>
        <v/>
      </c>
      <c r="K294" s="173" t="str">
        <f t="shared" si="63"/>
        <v/>
      </c>
      <c r="L294" s="173" t="str">
        <f t="shared" si="64"/>
        <v>info</v>
      </c>
      <c r="M294" s="173" t="str">
        <f t="shared" si="64"/>
        <v/>
      </c>
      <c r="N294" s="173" t="str">
        <f t="shared" si="64"/>
        <v/>
      </c>
      <c r="O294" s="173" t="str">
        <f t="shared" si="64"/>
        <v/>
      </c>
      <c r="P294" s="174" t="str">
        <f t="shared" si="64"/>
        <v/>
      </c>
      <c r="Q294" s="174" t="str">
        <f t="shared" si="64"/>
        <v>x</v>
      </c>
      <c r="R294" s="174" t="str">
        <f t="shared" si="64"/>
        <v>BS</v>
      </c>
      <c r="S294" s="174" t="str">
        <f t="shared" si="64"/>
        <v>all</v>
      </c>
      <c r="T294" s="173" t="str">
        <f t="shared" si="64"/>
        <v/>
      </c>
      <c r="U294" s="173" t="str">
        <f t="shared" si="64"/>
        <v/>
      </c>
      <c r="V294" s="173" t="str">
        <f t="shared" si="64"/>
        <v/>
      </c>
      <c r="W294" s="173" t="str">
        <f t="shared" si="64"/>
        <v/>
      </c>
      <c r="X294" s="173" t="str">
        <f t="shared" si="64"/>
        <v/>
      </c>
      <c r="Y294" s="173" t="str">
        <f t="shared" si="64"/>
        <v/>
      </c>
    </row>
    <row r="295" spans="1:25" x14ac:dyDescent="0.3">
      <c r="A295" s="172">
        <f t="shared" si="56"/>
        <v>293</v>
      </c>
      <c r="B295" s="173" t="str">
        <f t="shared" si="63"/>
        <v/>
      </c>
      <c r="C295" s="173" t="str">
        <f t="shared" si="63"/>
        <v/>
      </c>
      <c r="D295" s="173" t="str">
        <f t="shared" si="63"/>
        <v/>
      </c>
      <c r="E295" s="173" t="str">
        <f t="shared" si="63"/>
        <v/>
      </c>
      <c r="F295" s="173" t="str">
        <f t="shared" si="63"/>
        <v/>
      </c>
      <c r="G295" s="173" t="str">
        <f t="shared" si="63"/>
        <v/>
      </c>
      <c r="H295" s="173" t="str">
        <f t="shared" si="63"/>
        <v/>
      </c>
      <c r="I295" s="173" t="str">
        <f t="shared" si="63"/>
        <v/>
      </c>
      <c r="J295" s="173" t="str">
        <f t="shared" si="63"/>
        <v/>
      </c>
      <c r="K295" s="173" t="str">
        <f t="shared" si="63"/>
        <v/>
      </c>
      <c r="L295" s="173" t="str">
        <f t="shared" si="64"/>
        <v>info</v>
      </c>
      <c r="M295" s="173" t="str">
        <f t="shared" si="64"/>
        <v/>
      </c>
      <c r="N295" s="173" t="str">
        <f t="shared" si="64"/>
        <v/>
      </c>
      <c r="O295" s="173" t="str">
        <f t="shared" si="64"/>
        <v/>
      </c>
      <c r="P295" s="174" t="str">
        <f t="shared" si="64"/>
        <v/>
      </c>
      <c r="Q295" s="174" t="str">
        <f t="shared" si="64"/>
        <v>x</v>
      </c>
      <c r="R295" s="174" t="str">
        <f t="shared" si="64"/>
        <v>BS</v>
      </c>
      <c r="S295" s="174" t="str">
        <f t="shared" si="64"/>
        <v>all</v>
      </c>
      <c r="T295" s="173" t="str">
        <f t="shared" si="64"/>
        <v/>
      </c>
      <c r="U295" s="173" t="str">
        <f t="shared" si="64"/>
        <v/>
      </c>
      <c r="V295" s="173" t="str">
        <f t="shared" si="64"/>
        <v/>
      </c>
      <c r="W295" s="173" t="str">
        <f t="shared" si="64"/>
        <v/>
      </c>
      <c r="X295" s="173" t="str">
        <f t="shared" si="64"/>
        <v/>
      </c>
      <c r="Y295" s="173" t="str">
        <f t="shared" si="64"/>
        <v/>
      </c>
    </row>
    <row r="296" spans="1:25" x14ac:dyDescent="0.3">
      <c r="A296" s="172">
        <f t="shared" si="56"/>
        <v>294</v>
      </c>
      <c r="B296" s="173" t="str">
        <f t="shared" si="63"/>
        <v/>
      </c>
      <c r="C296" s="173" t="str">
        <f t="shared" si="63"/>
        <v/>
      </c>
      <c r="D296" s="173" t="str">
        <f t="shared" si="63"/>
        <v/>
      </c>
      <c r="E296" s="173" t="str">
        <f t="shared" si="63"/>
        <v/>
      </c>
      <c r="F296" s="173" t="str">
        <f t="shared" si="63"/>
        <v/>
      </c>
      <c r="G296" s="173" t="str">
        <f t="shared" si="63"/>
        <v/>
      </c>
      <c r="H296" s="173" t="str">
        <f t="shared" si="63"/>
        <v/>
      </c>
      <c r="I296" s="173" t="str">
        <f t="shared" si="63"/>
        <v/>
      </c>
      <c r="J296" s="173" t="str">
        <f t="shared" si="63"/>
        <v/>
      </c>
      <c r="K296" s="173" t="str">
        <f t="shared" si="63"/>
        <v/>
      </c>
      <c r="L296" s="173" t="str">
        <f t="shared" si="64"/>
        <v>info</v>
      </c>
      <c r="M296" s="173" t="str">
        <f t="shared" si="64"/>
        <v/>
      </c>
      <c r="N296" s="173" t="str">
        <f t="shared" si="64"/>
        <v/>
      </c>
      <c r="O296" s="173" t="str">
        <f t="shared" si="64"/>
        <v/>
      </c>
      <c r="P296" s="174" t="str">
        <f t="shared" si="64"/>
        <v/>
      </c>
      <c r="Q296" s="174" t="str">
        <f t="shared" si="64"/>
        <v>x</v>
      </c>
      <c r="R296" s="174" t="str">
        <f t="shared" si="64"/>
        <v>BS</v>
      </c>
      <c r="S296" s="174" t="str">
        <f t="shared" si="64"/>
        <v>all</v>
      </c>
      <c r="T296" s="173" t="str">
        <f t="shared" si="64"/>
        <v/>
      </c>
      <c r="U296" s="173" t="str">
        <f t="shared" si="64"/>
        <v/>
      </c>
      <c r="V296" s="173" t="str">
        <f t="shared" si="64"/>
        <v/>
      </c>
      <c r="W296" s="173" t="str">
        <f t="shared" si="64"/>
        <v/>
      </c>
      <c r="X296" s="173" t="str">
        <f t="shared" si="64"/>
        <v/>
      </c>
      <c r="Y296" s="173" t="str">
        <f t="shared" si="64"/>
        <v/>
      </c>
    </row>
    <row r="297" spans="1:25" x14ac:dyDescent="0.3">
      <c r="A297" s="172">
        <f t="shared" si="56"/>
        <v>295</v>
      </c>
      <c r="B297" s="173" t="str">
        <f t="shared" si="63"/>
        <v/>
      </c>
      <c r="C297" s="173" t="str">
        <f t="shared" si="63"/>
        <v/>
      </c>
      <c r="D297" s="173" t="str">
        <f t="shared" si="63"/>
        <v/>
      </c>
      <c r="E297" s="173" t="str">
        <f t="shared" si="63"/>
        <v/>
      </c>
      <c r="F297" s="173" t="str">
        <f t="shared" si="63"/>
        <v/>
      </c>
      <c r="G297" s="173" t="str">
        <f t="shared" si="63"/>
        <v/>
      </c>
      <c r="H297" s="173" t="str">
        <f t="shared" si="63"/>
        <v/>
      </c>
      <c r="I297" s="173" t="str">
        <f t="shared" si="63"/>
        <v/>
      </c>
      <c r="J297" s="173" t="str">
        <f t="shared" si="63"/>
        <v/>
      </c>
      <c r="K297" s="173" t="str">
        <f t="shared" si="63"/>
        <v/>
      </c>
      <c r="L297" s="173" t="str">
        <f t="shared" si="64"/>
        <v>info</v>
      </c>
      <c r="M297" s="173" t="str">
        <f t="shared" si="64"/>
        <v/>
      </c>
      <c r="N297" s="173" t="str">
        <f t="shared" si="64"/>
        <v/>
      </c>
      <c r="O297" s="173" t="str">
        <f t="shared" si="64"/>
        <v/>
      </c>
      <c r="P297" s="174" t="str">
        <f t="shared" si="64"/>
        <v/>
      </c>
      <c r="Q297" s="174" t="str">
        <f t="shared" si="64"/>
        <v>x</v>
      </c>
      <c r="R297" s="174" t="str">
        <f t="shared" si="64"/>
        <v>BS</v>
      </c>
      <c r="S297" s="174" t="str">
        <f t="shared" si="64"/>
        <v>all</v>
      </c>
      <c r="T297" s="173" t="str">
        <f t="shared" si="64"/>
        <v/>
      </c>
      <c r="U297" s="173" t="str">
        <f t="shared" si="64"/>
        <v/>
      </c>
      <c r="V297" s="173" t="str">
        <f t="shared" si="64"/>
        <v/>
      </c>
      <c r="W297" s="173" t="str">
        <f t="shared" si="64"/>
        <v/>
      </c>
      <c r="X297" s="173" t="str">
        <f t="shared" si="64"/>
        <v/>
      </c>
      <c r="Y297" s="173" t="str">
        <f t="shared" si="64"/>
        <v/>
      </c>
    </row>
    <row r="298" spans="1:25" x14ac:dyDescent="0.3">
      <c r="A298" s="172">
        <f t="shared" si="56"/>
        <v>296</v>
      </c>
      <c r="B298" s="173" t="str">
        <f t="shared" si="63"/>
        <v/>
      </c>
      <c r="C298" s="173" t="str">
        <f t="shared" si="63"/>
        <v/>
      </c>
      <c r="D298" s="173" t="str">
        <f t="shared" si="63"/>
        <v/>
      </c>
      <c r="E298" s="173" t="str">
        <f t="shared" si="63"/>
        <v/>
      </c>
      <c r="F298" s="173" t="str">
        <f t="shared" si="63"/>
        <v/>
      </c>
      <c r="G298" s="173" t="str">
        <f t="shared" si="63"/>
        <v/>
      </c>
      <c r="H298" s="173" t="str">
        <f t="shared" si="63"/>
        <v/>
      </c>
      <c r="I298" s="173" t="str">
        <f t="shared" si="63"/>
        <v/>
      </c>
      <c r="J298" s="173" t="str">
        <f t="shared" si="63"/>
        <v/>
      </c>
      <c r="K298" s="173" t="str">
        <f t="shared" si="63"/>
        <v/>
      </c>
      <c r="L298" s="173" t="str">
        <f t="shared" si="64"/>
        <v>info</v>
      </c>
      <c r="M298" s="173" t="str">
        <f t="shared" si="64"/>
        <v/>
      </c>
      <c r="N298" s="173" t="str">
        <f t="shared" si="64"/>
        <v/>
      </c>
      <c r="O298" s="173" t="str">
        <f t="shared" si="64"/>
        <v/>
      </c>
      <c r="P298" s="174" t="str">
        <f t="shared" si="64"/>
        <v/>
      </c>
      <c r="Q298" s="174" t="str">
        <f t="shared" si="64"/>
        <v>x</v>
      </c>
      <c r="R298" s="174" t="str">
        <f t="shared" si="64"/>
        <v>BS</v>
      </c>
      <c r="S298" s="174" t="str">
        <f t="shared" si="64"/>
        <v>all</v>
      </c>
      <c r="T298" s="173" t="str">
        <f t="shared" si="64"/>
        <v/>
      </c>
      <c r="U298" s="173" t="str">
        <f t="shared" si="64"/>
        <v/>
      </c>
      <c r="V298" s="173" t="str">
        <f t="shared" si="64"/>
        <v/>
      </c>
      <c r="W298" s="173" t="str">
        <f t="shared" si="64"/>
        <v/>
      </c>
      <c r="X298" s="173" t="str">
        <f t="shared" si="64"/>
        <v/>
      </c>
      <c r="Y298" s="173" t="str">
        <f t="shared" si="64"/>
        <v/>
      </c>
    </row>
    <row r="299" spans="1:25" x14ac:dyDescent="0.3">
      <c r="A299" s="172">
        <f t="shared" si="56"/>
        <v>297</v>
      </c>
      <c r="B299" s="173" t="str">
        <f t="shared" si="63"/>
        <v/>
      </c>
      <c r="C299" s="173" t="str">
        <f t="shared" si="63"/>
        <v/>
      </c>
      <c r="D299" s="173" t="str">
        <f t="shared" si="63"/>
        <v/>
      </c>
      <c r="E299" s="173" t="str">
        <f t="shared" si="63"/>
        <v/>
      </c>
      <c r="F299" s="173" t="str">
        <f t="shared" si="63"/>
        <v/>
      </c>
      <c r="G299" s="173" t="str">
        <f t="shared" si="63"/>
        <v/>
      </c>
      <c r="H299" s="173" t="str">
        <f t="shared" si="63"/>
        <v/>
      </c>
      <c r="I299" s="173" t="str">
        <f t="shared" si="63"/>
        <v/>
      </c>
      <c r="J299" s="173" t="str">
        <f t="shared" si="63"/>
        <v/>
      </c>
      <c r="K299" s="173" t="str">
        <f t="shared" si="63"/>
        <v/>
      </c>
      <c r="L299" s="173" t="str">
        <f t="shared" si="64"/>
        <v>info</v>
      </c>
      <c r="M299" s="173" t="str">
        <f t="shared" si="64"/>
        <v/>
      </c>
      <c r="N299" s="173" t="str">
        <f t="shared" si="64"/>
        <v/>
      </c>
      <c r="O299" s="173" t="str">
        <f t="shared" si="64"/>
        <v/>
      </c>
      <c r="P299" s="174" t="str">
        <f t="shared" si="64"/>
        <v/>
      </c>
      <c r="Q299" s="174" t="str">
        <f t="shared" si="64"/>
        <v>x</v>
      </c>
      <c r="R299" s="174" t="str">
        <f t="shared" si="64"/>
        <v>BS</v>
      </c>
      <c r="S299" s="174" t="str">
        <f t="shared" si="64"/>
        <v>all</v>
      </c>
      <c r="T299" s="173" t="str">
        <f t="shared" si="64"/>
        <v/>
      </c>
      <c r="U299" s="173" t="str">
        <f t="shared" si="64"/>
        <v/>
      </c>
      <c r="V299" s="173" t="str">
        <f t="shared" si="64"/>
        <v/>
      </c>
      <c r="W299" s="173" t="str">
        <f t="shared" si="64"/>
        <v/>
      </c>
      <c r="X299" s="173" t="str">
        <f t="shared" si="64"/>
        <v/>
      </c>
      <c r="Y299" s="173" t="str">
        <f t="shared" si="64"/>
        <v/>
      </c>
    </row>
    <row r="300" spans="1:25" x14ac:dyDescent="0.3">
      <c r="A300" s="172">
        <f t="shared" si="56"/>
        <v>298</v>
      </c>
      <c r="B300" s="173" t="str">
        <f t="shared" si="63"/>
        <v/>
      </c>
      <c r="C300" s="173" t="str">
        <f t="shared" si="63"/>
        <v/>
      </c>
      <c r="D300" s="173" t="str">
        <f t="shared" si="63"/>
        <v/>
      </c>
      <c r="E300" s="173" t="str">
        <f t="shared" si="63"/>
        <v/>
      </c>
      <c r="F300" s="173" t="str">
        <f t="shared" si="63"/>
        <v/>
      </c>
      <c r="G300" s="173" t="str">
        <f t="shared" si="63"/>
        <v/>
      </c>
      <c r="H300" s="173" t="str">
        <f t="shared" si="63"/>
        <v/>
      </c>
      <c r="I300" s="173" t="str">
        <f t="shared" si="63"/>
        <v/>
      </c>
      <c r="J300" s="173" t="str">
        <f t="shared" si="63"/>
        <v/>
      </c>
      <c r="K300" s="173" t="str">
        <f t="shared" si="63"/>
        <v/>
      </c>
      <c r="L300" s="173" t="str">
        <f t="shared" si="64"/>
        <v>info</v>
      </c>
      <c r="M300" s="173" t="str">
        <f t="shared" si="64"/>
        <v/>
      </c>
      <c r="N300" s="173" t="str">
        <f t="shared" si="64"/>
        <v/>
      </c>
      <c r="O300" s="173" t="str">
        <f t="shared" si="64"/>
        <v/>
      </c>
      <c r="P300" s="174" t="str">
        <f t="shared" si="64"/>
        <v/>
      </c>
      <c r="Q300" s="174" t="str">
        <f t="shared" si="64"/>
        <v>x</v>
      </c>
      <c r="R300" s="174" t="str">
        <f t="shared" si="64"/>
        <v>BS</v>
      </c>
      <c r="S300" s="174" t="str">
        <f t="shared" si="64"/>
        <v>all</v>
      </c>
      <c r="T300" s="173" t="str">
        <f t="shared" si="64"/>
        <v/>
      </c>
      <c r="U300" s="173" t="str">
        <f t="shared" si="64"/>
        <v/>
      </c>
      <c r="V300" s="173" t="str">
        <f t="shared" si="64"/>
        <v/>
      </c>
      <c r="W300" s="173" t="str">
        <f t="shared" si="64"/>
        <v/>
      </c>
      <c r="X300" s="173" t="str">
        <f t="shared" si="64"/>
        <v/>
      </c>
      <c r="Y300" s="173" t="str">
        <f t="shared" si="64"/>
        <v/>
      </c>
    </row>
    <row r="301" spans="1:25" x14ac:dyDescent="0.3">
      <c r="A301" s="172">
        <f t="shared" si="56"/>
        <v>299</v>
      </c>
      <c r="B301" s="173" t="str">
        <f t="shared" si="63"/>
        <v/>
      </c>
      <c r="C301" s="173" t="str">
        <f t="shared" si="63"/>
        <v/>
      </c>
      <c r="D301" s="173" t="str">
        <f t="shared" si="63"/>
        <v/>
      </c>
      <c r="E301" s="173" t="str">
        <f t="shared" si="63"/>
        <v/>
      </c>
      <c r="F301" s="173" t="str">
        <f t="shared" si="63"/>
        <v/>
      </c>
      <c r="G301" s="173" t="str">
        <f t="shared" si="63"/>
        <v/>
      </c>
      <c r="H301" s="173" t="str">
        <f t="shared" si="63"/>
        <v/>
      </c>
      <c r="I301" s="173" t="str">
        <f t="shared" si="63"/>
        <v/>
      </c>
      <c r="J301" s="173" t="str">
        <f t="shared" si="63"/>
        <v/>
      </c>
      <c r="K301" s="173" t="str">
        <f t="shared" si="63"/>
        <v/>
      </c>
      <c r="L301" s="173" t="str">
        <f t="shared" si="64"/>
        <v>info</v>
      </c>
      <c r="M301" s="173" t="str">
        <f t="shared" si="64"/>
        <v/>
      </c>
      <c r="N301" s="173" t="str">
        <f t="shared" si="64"/>
        <v/>
      </c>
      <c r="O301" s="173" t="str">
        <f t="shared" si="64"/>
        <v/>
      </c>
      <c r="P301" s="174" t="str">
        <f t="shared" si="64"/>
        <v/>
      </c>
      <c r="Q301" s="174" t="str">
        <f t="shared" si="64"/>
        <v>x</v>
      </c>
      <c r="R301" s="174" t="str">
        <f t="shared" si="64"/>
        <v>BS</v>
      </c>
      <c r="S301" s="174" t="str">
        <f t="shared" si="64"/>
        <v>all</v>
      </c>
      <c r="T301" s="173" t="str">
        <f t="shared" si="64"/>
        <v/>
      </c>
      <c r="U301" s="173" t="str">
        <f t="shared" si="64"/>
        <v/>
      </c>
      <c r="V301" s="173" t="str">
        <f t="shared" si="64"/>
        <v/>
      </c>
      <c r="W301" s="173" t="str">
        <f t="shared" si="64"/>
        <v/>
      </c>
      <c r="X301" s="173" t="str">
        <f t="shared" si="64"/>
        <v/>
      </c>
      <c r="Y301" s="173" t="str">
        <f t="shared" si="64"/>
        <v/>
      </c>
    </row>
    <row r="302" spans="1:25" x14ac:dyDescent="0.3">
      <c r="A302" s="172">
        <f t="shared" si="56"/>
        <v>300</v>
      </c>
      <c r="B302" s="173" t="str">
        <f t="shared" si="63"/>
        <v/>
      </c>
      <c r="C302" s="173" t="str">
        <f t="shared" si="63"/>
        <v/>
      </c>
      <c r="D302" s="173" t="str">
        <f t="shared" si="63"/>
        <v/>
      </c>
      <c r="E302" s="173" t="str">
        <f t="shared" si="63"/>
        <v/>
      </c>
      <c r="F302" s="173" t="str">
        <f t="shared" si="63"/>
        <v/>
      </c>
      <c r="G302" s="173" t="str">
        <f t="shared" si="63"/>
        <v/>
      </c>
      <c r="H302" s="173" t="str">
        <f t="shared" si="63"/>
        <v/>
      </c>
      <c r="I302" s="173" t="str">
        <f t="shared" si="63"/>
        <v/>
      </c>
      <c r="J302" s="173" t="str">
        <f t="shared" si="63"/>
        <v/>
      </c>
      <c r="K302" s="173" t="str">
        <f t="shared" si="63"/>
        <v/>
      </c>
      <c r="L302" s="173" t="str">
        <f t="shared" si="64"/>
        <v>info</v>
      </c>
      <c r="M302" s="173" t="str">
        <f t="shared" si="64"/>
        <v/>
      </c>
      <c r="N302" s="173" t="str">
        <f t="shared" si="64"/>
        <v/>
      </c>
      <c r="O302" s="173" t="str">
        <f t="shared" si="64"/>
        <v/>
      </c>
      <c r="P302" s="174" t="str">
        <f t="shared" si="64"/>
        <v/>
      </c>
      <c r="Q302" s="174" t="str">
        <f t="shared" si="64"/>
        <v>x</v>
      </c>
      <c r="R302" s="174" t="str">
        <f t="shared" si="64"/>
        <v>BS</v>
      </c>
      <c r="S302" s="174" t="str">
        <f t="shared" si="64"/>
        <v>all</v>
      </c>
      <c r="T302" s="173" t="str">
        <f t="shared" si="64"/>
        <v/>
      </c>
      <c r="U302" s="173" t="str">
        <f t="shared" si="64"/>
        <v/>
      </c>
      <c r="V302" s="173" t="str">
        <f t="shared" si="64"/>
        <v/>
      </c>
      <c r="W302" s="173" t="str">
        <f t="shared" si="64"/>
        <v/>
      </c>
      <c r="X302" s="173" t="str">
        <f t="shared" si="64"/>
        <v/>
      </c>
      <c r="Y302" s="173" t="str">
        <f t="shared" si="64"/>
        <v/>
      </c>
    </row>
    <row r="303" spans="1:25" x14ac:dyDescent="0.3">
      <c r="A303" s="172">
        <f t="shared" si="56"/>
        <v>301</v>
      </c>
      <c r="B303" s="173" t="str">
        <f t="shared" ref="B303:K312" si="65">IF(ISNONTEXT(B$2),IF(B$2="","",IF(INDEX(IMPORT,$A303,B$2)=0,"",IFERROR(VLOOKUP(INDEX(IMPORT,$A303,B$2),ImportTranslation,2,0),INDEX(IMPORT,$A303,B$2)))),B$2)</f>
        <v/>
      </c>
      <c r="C303" s="173" t="str">
        <f t="shared" si="65"/>
        <v/>
      </c>
      <c r="D303" s="173" t="str">
        <f t="shared" si="65"/>
        <v/>
      </c>
      <c r="E303" s="173" t="str">
        <f t="shared" si="65"/>
        <v/>
      </c>
      <c r="F303" s="173" t="str">
        <f t="shared" si="65"/>
        <v/>
      </c>
      <c r="G303" s="173" t="str">
        <f t="shared" si="65"/>
        <v/>
      </c>
      <c r="H303" s="173" t="str">
        <f t="shared" si="65"/>
        <v/>
      </c>
      <c r="I303" s="173" t="str">
        <f t="shared" si="65"/>
        <v/>
      </c>
      <c r="J303" s="173" t="str">
        <f t="shared" si="65"/>
        <v/>
      </c>
      <c r="K303" s="173" t="str">
        <f t="shared" si="65"/>
        <v/>
      </c>
      <c r="L303" s="173" t="str">
        <f t="shared" ref="L303:Y312" si="66">IF(ISNONTEXT(L$2),IF(L$2="","",IF(INDEX(IMPORT,$A303,L$2)=0,"",IFERROR(VLOOKUP(INDEX(IMPORT,$A303,L$2),ImportTranslation,2,0),INDEX(IMPORT,$A303,L$2)))),L$2)</f>
        <v>info</v>
      </c>
      <c r="M303" s="173" t="str">
        <f t="shared" si="66"/>
        <v/>
      </c>
      <c r="N303" s="173" t="str">
        <f t="shared" si="66"/>
        <v/>
      </c>
      <c r="O303" s="173" t="str">
        <f t="shared" si="66"/>
        <v/>
      </c>
      <c r="P303" s="174" t="str">
        <f t="shared" si="66"/>
        <v/>
      </c>
      <c r="Q303" s="174" t="str">
        <f t="shared" si="66"/>
        <v>x</v>
      </c>
      <c r="R303" s="174" t="str">
        <f t="shared" si="66"/>
        <v>BS</v>
      </c>
      <c r="S303" s="174" t="str">
        <f t="shared" si="66"/>
        <v>all</v>
      </c>
      <c r="T303" s="173" t="str">
        <f t="shared" si="66"/>
        <v/>
      </c>
      <c r="U303" s="173" t="str">
        <f t="shared" si="66"/>
        <v/>
      </c>
      <c r="V303" s="173" t="str">
        <f t="shared" si="66"/>
        <v/>
      </c>
      <c r="W303" s="173" t="str">
        <f t="shared" si="66"/>
        <v/>
      </c>
      <c r="X303" s="173" t="str">
        <f t="shared" si="66"/>
        <v/>
      </c>
      <c r="Y303" s="173" t="str">
        <f t="shared" si="66"/>
        <v/>
      </c>
    </row>
    <row r="304" spans="1:25" x14ac:dyDescent="0.3">
      <c r="A304" s="172">
        <f t="shared" si="56"/>
        <v>302</v>
      </c>
      <c r="B304" s="173" t="str">
        <f t="shared" si="65"/>
        <v/>
      </c>
      <c r="C304" s="173" t="str">
        <f t="shared" si="65"/>
        <v/>
      </c>
      <c r="D304" s="173" t="str">
        <f t="shared" si="65"/>
        <v/>
      </c>
      <c r="E304" s="173" t="str">
        <f t="shared" si="65"/>
        <v/>
      </c>
      <c r="F304" s="173" t="str">
        <f t="shared" si="65"/>
        <v/>
      </c>
      <c r="G304" s="173" t="str">
        <f t="shared" si="65"/>
        <v/>
      </c>
      <c r="H304" s="173" t="str">
        <f t="shared" si="65"/>
        <v/>
      </c>
      <c r="I304" s="173" t="str">
        <f t="shared" si="65"/>
        <v/>
      </c>
      <c r="J304" s="173" t="str">
        <f t="shared" si="65"/>
        <v/>
      </c>
      <c r="K304" s="173" t="str">
        <f t="shared" si="65"/>
        <v/>
      </c>
      <c r="L304" s="173" t="str">
        <f t="shared" si="66"/>
        <v>info</v>
      </c>
      <c r="M304" s="173" t="str">
        <f t="shared" si="66"/>
        <v/>
      </c>
      <c r="N304" s="173" t="str">
        <f t="shared" si="66"/>
        <v/>
      </c>
      <c r="O304" s="173" t="str">
        <f t="shared" si="66"/>
        <v/>
      </c>
      <c r="P304" s="174" t="str">
        <f t="shared" si="66"/>
        <v/>
      </c>
      <c r="Q304" s="174" t="str">
        <f t="shared" si="66"/>
        <v>x</v>
      </c>
      <c r="R304" s="174" t="str">
        <f t="shared" si="66"/>
        <v>BS</v>
      </c>
      <c r="S304" s="174" t="str">
        <f t="shared" si="66"/>
        <v>all</v>
      </c>
      <c r="T304" s="173" t="str">
        <f t="shared" si="66"/>
        <v/>
      </c>
      <c r="U304" s="173" t="str">
        <f t="shared" si="66"/>
        <v/>
      </c>
      <c r="V304" s="173" t="str">
        <f t="shared" si="66"/>
        <v/>
      </c>
      <c r="W304" s="173" t="str">
        <f t="shared" si="66"/>
        <v/>
      </c>
      <c r="X304" s="173" t="str">
        <f t="shared" si="66"/>
        <v/>
      </c>
      <c r="Y304" s="173" t="str">
        <f t="shared" si="66"/>
        <v/>
      </c>
    </row>
    <row r="305" spans="1:25" x14ac:dyDescent="0.3">
      <c r="A305" s="172">
        <f t="shared" si="56"/>
        <v>303</v>
      </c>
      <c r="B305" s="173" t="str">
        <f t="shared" si="65"/>
        <v/>
      </c>
      <c r="C305" s="173" t="str">
        <f t="shared" si="65"/>
        <v/>
      </c>
      <c r="D305" s="173" t="str">
        <f t="shared" si="65"/>
        <v/>
      </c>
      <c r="E305" s="173" t="str">
        <f t="shared" si="65"/>
        <v/>
      </c>
      <c r="F305" s="173" t="str">
        <f t="shared" si="65"/>
        <v/>
      </c>
      <c r="G305" s="173" t="str">
        <f t="shared" si="65"/>
        <v/>
      </c>
      <c r="H305" s="173" t="str">
        <f t="shared" si="65"/>
        <v/>
      </c>
      <c r="I305" s="173" t="str">
        <f t="shared" si="65"/>
        <v/>
      </c>
      <c r="J305" s="173" t="str">
        <f t="shared" si="65"/>
        <v/>
      </c>
      <c r="K305" s="173" t="str">
        <f t="shared" si="65"/>
        <v/>
      </c>
      <c r="L305" s="173" t="str">
        <f t="shared" si="66"/>
        <v>info</v>
      </c>
      <c r="M305" s="173" t="str">
        <f t="shared" si="66"/>
        <v/>
      </c>
      <c r="N305" s="173" t="str">
        <f t="shared" si="66"/>
        <v/>
      </c>
      <c r="O305" s="173" t="str">
        <f t="shared" si="66"/>
        <v/>
      </c>
      <c r="P305" s="174" t="str">
        <f t="shared" si="66"/>
        <v/>
      </c>
      <c r="Q305" s="174" t="str">
        <f t="shared" si="66"/>
        <v>x</v>
      </c>
      <c r="R305" s="174" t="str">
        <f t="shared" si="66"/>
        <v>BS</v>
      </c>
      <c r="S305" s="174" t="str">
        <f t="shared" si="66"/>
        <v>all</v>
      </c>
      <c r="T305" s="173" t="str">
        <f t="shared" si="66"/>
        <v/>
      </c>
      <c r="U305" s="173" t="str">
        <f t="shared" si="66"/>
        <v/>
      </c>
      <c r="V305" s="173" t="str">
        <f t="shared" si="66"/>
        <v/>
      </c>
      <c r="W305" s="173" t="str">
        <f t="shared" si="66"/>
        <v/>
      </c>
      <c r="X305" s="173" t="str">
        <f t="shared" si="66"/>
        <v/>
      </c>
      <c r="Y305" s="173" t="str">
        <f t="shared" si="66"/>
        <v/>
      </c>
    </row>
    <row r="306" spans="1:25" x14ac:dyDescent="0.3">
      <c r="A306" s="172">
        <f t="shared" si="56"/>
        <v>304</v>
      </c>
      <c r="B306" s="173" t="str">
        <f t="shared" si="65"/>
        <v/>
      </c>
      <c r="C306" s="173" t="str">
        <f t="shared" si="65"/>
        <v/>
      </c>
      <c r="D306" s="173" t="str">
        <f t="shared" si="65"/>
        <v/>
      </c>
      <c r="E306" s="173" t="str">
        <f t="shared" si="65"/>
        <v/>
      </c>
      <c r="F306" s="173" t="str">
        <f t="shared" si="65"/>
        <v/>
      </c>
      <c r="G306" s="173" t="str">
        <f t="shared" si="65"/>
        <v/>
      </c>
      <c r="H306" s="173" t="str">
        <f t="shared" si="65"/>
        <v/>
      </c>
      <c r="I306" s="173" t="str">
        <f t="shared" si="65"/>
        <v/>
      </c>
      <c r="J306" s="173" t="str">
        <f t="shared" si="65"/>
        <v/>
      </c>
      <c r="K306" s="173" t="str">
        <f t="shared" si="65"/>
        <v/>
      </c>
      <c r="L306" s="173" t="str">
        <f t="shared" si="66"/>
        <v>info</v>
      </c>
      <c r="M306" s="173" t="str">
        <f t="shared" si="66"/>
        <v/>
      </c>
      <c r="N306" s="173" t="str">
        <f t="shared" si="66"/>
        <v/>
      </c>
      <c r="O306" s="173" t="str">
        <f t="shared" si="66"/>
        <v/>
      </c>
      <c r="P306" s="174" t="str">
        <f t="shared" si="66"/>
        <v/>
      </c>
      <c r="Q306" s="174" t="str">
        <f t="shared" si="66"/>
        <v>x</v>
      </c>
      <c r="R306" s="174" t="str">
        <f t="shared" si="66"/>
        <v>BS</v>
      </c>
      <c r="S306" s="174" t="str">
        <f t="shared" si="66"/>
        <v>all</v>
      </c>
      <c r="T306" s="173" t="str">
        <f t="shared" si="66"/>
        <v/>
      </c>
      <c r="U306" s="173" t="str">
        <f t="shared" si="66"/>
        <v/>
      </c>
      <c r="V306" s="173" t="str">
        <f t="shared" si="66"/>
        <v/>
      </c>
      <c r="W306" s="173" t="str">
        <f t="shared" si="66"/>
        <v/>
      </c>
      <c r="X306" s="173" t="str">
        <f t="shared" si="66"/>
        <v/>
      </c>
      <c r="Y306" s="173" t="str">
        <f t="shared" si="66"/>
        <v/>
      </c>
    </row>
    <row r="307" spans="1:25" x14ac:dyDescent="0.3">
      <c r="A307" s="172">
        <f t="shared" si="56"/>
        <v>305</v>
      </c>
      <c r="B307" s="173" t="str">
        <f t="shared" si="65"/>
        <v/>
      </c>
      <c r="C307" s="173" t="str">
        <f t="shared" si="65"/>
        <v/>
      </c>
      <c r="D307" s="173" t="str">
        <f t="shared" si="65"/>
        <v/>
      </c>
      <c r="E307" s="173" t="str">
        <f t="shared" si="65"/>
        <v/>
      </c>
      <c r="F307" s="173" t="str">
        <f t="shared" si="65"/>
        <v/>
      </c>
      <c r="G307" s="173" t="str">
        <f t="shared" si="65"/>
        <v/>
      </c>
      <c r="H307" s="173" t="str">
        <f t="shared" si="65"/>
        <v/>
      </c>
      <c r="I307" s="173" t="str">
        <f t="shared" si="65"/>
        <v/>
      </c>
      <c r="J307" s="173" t="str">
        <f t="shared" si="65"/>
        <v/>
      </c>
      <c r="K307" s="173" t="str">
        <f t="shared" si="65"/>
        <v/>
      </c>
      <c r="L307" s="173" t="str">
        <f t="shared" si="66"/>
        <v>info</v>
      </c>
      <c r="M307" s="173" t="str">
        <f t="shared" si="66"/>
        <v/>
      </c>
      <c r="N307" s="173" t="str">
        <f t="shared" si="66"/>
        <v/>
      </c>
      <c r="O307" s="173" t="str">
        <f t="shared" si="66"/>
        <v/>
      </c>
      <c r="P307" s="174" t="str">
        <f t="shared" si="66"/>
        <v/>
      </c>
      <c r="Q307" s="174" t="str">
        <f t="shared" si="66"/>
        <v>x</v>
      </c>
      <c r="R307" s="174" t="str">
        <f t="shared" si="66"/>
        <v>BS</v>
      </c>
      <c r="S307" s="174" t="str">
        <f t="shared" si="66"/>
        <v>all</v>
      </c>
      <c r="T307" s="173" t="str">
        <f t="shared" si="66"/>
        <v/>
      </c>
      <c r="U307" s="173" t="str">
        <f t="shared" si="66"/>
        <v/>
      </c>
      <c r="V307" s="173" t="str">
        <f t="shared" si="66"/>
        <v/>
      </c>
      <c r="W307" s="173" t="str">
        <f t="shared" si="66"/>
        <v/>
      </c>
      <c r="X307" s="173" t="str">
        <f t="shared" si="66"/>
        <v/>
      </c>
      <c r="Y307" s="173" t="str">
        <f t="shared" si="66"/>
        <v/>
      </c>
    </row>
    <row r="308" spans="1:25" x14ac:dyDescent="0.3">
      <c r="A308" s="172">
        <f t="shared" si="56"/>
        <v>306</v>
      </c>
      <c r="B308" s="173" t="str">
        <f t="shared" si="65"/>
        <v/>
      </c>
      <c r="C308" s="173" t="str">
        <f t="shared" si="65"/>
        <v/>
      </c>
      <c r="D308" s="173" t="str">
        <f t="shared" si="65"/>
        <v/>
      </c>
      <c r="E308" s="173" t="str">
        <f t="shared" si="65"/>
        <v/>
      </c>
      <c r="F308" s="173" t="str">
        <f t="shared" si="65"/>
        <v/>
      </c>
      <c r="G308" s="173" t="str">
        <f t="shared" si="65"/>
        <v/>
      </c>
      <c r="H308" s="173" t="str">
        <f t="shared" si="65"/>
        <v/>
      </c>
      <c r="I308" s="173" t="str">
        <f t="shared" si="65"/>
        <v/>
      </c>
      <c r="J308" s="173" t="str">
        <f t="shared" si="65"/>
        <v/>
      </c>
      <c r="K308" s="173" t="str">
        <f t="shared" si="65"/>
        <v/>
      </c>
      <c r="L308" s="173" t="str">
        <f t="shared" si="66"/>
        <v>info</v>
      </c>
      <c r="M308" s="173" t="str">
        <f t="shared" si="66"/>
        <v/>
      </c>
      <c r="N308" s="173" t="str">
        <f t="shared" si="66"/>
        <v/>
      </c>
      <c r="O308" s="173" t="str">
        <f t="shared" si="66"/>
        <v/>
      </c>
      <c r="P308" s="174" t="str">
        <f t="shared" si="66"/>
        <v/>
      </c>
      <c r="Q308" s="174" t="str">
        <f t="shared" si="66"/>
        <v>x</v>
      </c>
      <c r="R308" s="174" t="str">
        <f t="shared" si="66"/>
        <v>BS</v>
      </c>
      <c r="S308" s="174" t="str">
        <f t="shared" si="66"/>
        <v>all</v>
      </c>
      <c r="T308" s="173" t="str">
        <f t="shared" si="66"/>
        <v/>
      </c>
      <c r="U308" s="173" t="str">
        <f t="shared" si="66"/>
        <v/>
      </c>
      <c r="V308" s="173" t="str">
        <f t="shared" si="66"/>
        <v/>
      </c>
      <c r="W308" s="173" t="str">
        <f t="shared" si="66"/>
        <v/>
      </c>
      <c r="X308" s="173" t="str">
        <f t="shared" si="66"/>
        <v/>
      </c>
      <c r="Y308" s="173" t="str">
        <f t="shared" si="66"/>
        <v/>
      </c>
    </row>
    <row r="309" spans="1:25" x14ac:dyDescent="0.3">
      <c r="A309" s="172">
        <f t="shared" si="56"/>
        <v>307</v>
      </c>
      <c r="B309" s="173" t="str">
        <f t="shared" si="65"/>
        <v/>
      </c>
      <c r="C309" s="173" t="str">
        <f t="shared" si="65"/>
        <v/>
      </c>
      <c r="D309" s="173" t="str">
        <f t="shared" si="65"/>
        <v/>
      </c>
      <c r="E309" s="173" t="str">
        <f t="shared" si="65"/>
        <v/>
      </c>
      <c r="F309" s="173" t="str">
        <f t="shared" si="65"/>
        <v/>
      </c>
      <c r="G309" s="173" t="str">
        <f t="shared" si="65"/>
        <v/>
      </c>
      <c r="H309" s="173" t="str">
        <f t="shared" si="65"/>
        <v/>
      </c>
      <c r="I309" s="173" t="str">
        <f t="shared" si="65"/>
        <v/>
      </c>
      <c r="J309" s="173" t="str">
        <f t="shared" si="65"/>
        <v/>
      </c>
      <c r="K309" s="173" t="str">
        <f t="shared" si="65"/>
        <v/>
      </c>
      <c r="L309" s="173" t="str">
        <f t="shared" si="66"/>
        <v>info</v>
      </c>
      <c r="M309" s="173" t="str">
        <f t="shared" si="66"/>
        <v/>
      </c>
      <c r="N309" s="173" t="str">
        <f t="shared" si="66"/>
        <v/>
      </c>
      <c r="O309" s="173" t="str">
        <f t="shared" si="66"/>
        <v/>
      </c>
      <c r="P309" s="174" t="str">
        <f t="shared" si="66"/>
        <v/>
      </c>
      <c r="Q309" s="174" t="str">
        <f t="shared" si="66"/>
        <v>x</v>
      </c>
      <c r="R309" s="174" t="str">
        <f t="shared" si="66"/>
        <v>BS</v>
      </c>
      <c r="S309" s="174" t="str">
        <f t="shared" si="66"/>
        <v>all</v>
      </c>
      <c r="T309" s="173" t="str">
        <f t="shared" si="66"/>
        <v/>
      </c>
      <c r="U309" s="173" t="str">
        <f t="shared" si="66"/>
        <v/>
      </c>
      <c r="V309" s="173" t="str">
        <f t="shared" si="66"/>
        <v/>
      </c>
      <c r="W309" s="173" t="str">
        <f t="shared" si="66"/>
        <v/>
      </c>
      <c r="X309" s="173" t="str">
        <f t="shared" si="66"/>
        <v/>
      </c>
      <c r="Y309" s="173" t="str">
        <f t="shared" si="66"/>
        <v/>
      </c>
    </row>
    <row r="310" spans="1:25" x14ac:dyDescent="0.3">
      <c r="A310" s="172">
        <f t="shared" si="56"/>
        <v>308</v>
      </c>
      <c r="B310" s="173" t="str">
        <f t="shared" si="65"/>
        <v/>
      </c>
      <c r="C310" s="173" t="str">
        <f t="shared" si="65"/>
        <v/>
      </c>
      <c r="D310" s="173" t="str">
        <f t="shared" si="65"/>
        <v/>
      </c>
      <c r="E310" s="173" t="str">
        <f t="shared" si="65"/>
        <v/>
      </c>
      <c r="F310" s="173" t="str">
        <f t="shared" si="65"/>
        <v/>
      </c>
      <c r="G310" s="173" t="str">
        <f t="shared" si="65"/>
        <v/>
      </c>
      <c r="H310" s="173" t="str">
        <f t="shared" si="65"/>
        <v/>
      </c>
      <c r="I310" s="173" t="str">
        <f t="shared" si="65"/>
        <v/>
      </c>
      <c r="J310" s="173" t="str">
        <f t="shared" si="65"/>
        <v/>
      </c>
      <c r="K310" s="173" t="str">
        <f t="shared" si="65"/>
        <v/>
      </c>
      <c r="L310" s="173" t="str">
        <f t="shared" si="66"/>
        <v>info</v>
      </c>
      <c r="M310" s="173" t="str">
        <f t="shared" si="66"/>
        <v/>
      </c>
      <c r="N310" s="173" t="str">
        <f t="shared" si="66"/>
        <v/>
      </c>
      <c r="O310" s="173" t="str">
        <f t="shared" si="66"/>
        <v/>
      </c>
      <c r="P310" s="174" t="str">
        <f t="shared" si="66"/>
        <v/>
      </c>
      <c r="Q310" s="174" t="str">
        <f t="shared" si="66"/>
        <v>x</v>
      </c>
      <c r="R310" s="174" t="str">
        <f t="shared" si="66"/>
        <v>BS</v>
      </c>
      <c r="S310" s="174" t="str">
        <f t="shared" si="66"/>
        <v>all</v>
      </c>
      <c r="T310" s="173" t="str">
        <f t="shared" si="66"/>
        <v/>
      </c>
      <c r="U310" s="173" t="str">
        <f t="shared" si="66"/>
        <v/>
      </c>
      <c r="V310" s="173" t="str">
        <f t="shared" si="66"/>
        <v/>
      </c>
      <c r="W310" s="173" t="str">
        <f t="shared" si="66"/>
        <v/>
      </c>
      <c r="X310" s="173" t="str">
        <f t="shared" si="66"/>
        <v/>
      </c>
      <c r="Y310" s="173" t="str">
        <f t="shared" si="66"/>
        <v/>
      </c>
    </row>
    <row r="311" spans="1:25" x14ac:dyDescent="0.3">
      <c r="A311" s="172">
        <f t="shared" si="56"/>
        <v>309</v>
      </c>
      <c r="B311" s="173" t="str">
        <f t="shared" si="65"/>
        <v/>
      </c>
      <c r="C311" s="173" t="str">
        <f t="shared" si="65"/>
        <v/>
      </c>
      <c r="D311" s="173" t="str">
        <f t="shared" si="65"/>
        <v/>
      </c>
      <c r="E311" s="173" t="str">
        <f t="shared" si="65"/>
        <v/>
      </c>
      <c r="F311" s="173" t="str">
        <f t="shared" si="65"/>
        <v/>
      </c>
      <c r="G311" s="173" t="str">
        <f t="shared" si="65"/>
        <v/>
      </c>
      <c r="H311" s="173" t="str">
        <f t="shared" si="65"/>
        <v/>
      </c>
      <c r="I311" s="173" t="str">
        <f t="shared" si="65"/>
        <v/>
      </c>
      <c r="J311" s="173" t="str">
        <f t="shared" si="65"/>
        <v/>
      </c>
      <c r="K311" s="173" t="str">
        <f t="shared" si="65"/>
        <v/>
      </c>
      <c r="L311" s="173" t="str">
        <f t="shared" si="66"/>
        <v>info</v>
      </c>
      <c r="M311" s="173" t="str">
        <f t="shared" si="66"/>
        <v/>
      </c>
      <c r="N311" s="173" t="str">
        <f t="shared" si="66"/>
        <v/>
      </c>
      <c r="O311" s="173" t="str">
        <f t="shared" si="66"/>
        <v/>
      </c>
      <c r="P311" s="174" t="str">
        <f t="shared" si="66"/>
        <v/>
      </c>
      <c r="Q311" s="174" t="str">
        <f t="shared" si="66"/>
        <v>x</v>
      </c>
      <c r="R311" s="174" t="str">
        <f t="shared" si="66"/>
        <v>BS</v>
      </c>
      <c r="S311" s="174" t="str">
        <f t="shared" si="66"/>
        <v>all</v>
      </c>
      <c r="T311" s="173" t="str">
        <f t="shared" si="66"/>
        <v/>
      </c>
      <c r="U311" s="173" t="str">
        <f t="shared" si="66"/>
        <v/>
      </c>
      <c r="V311" s="173" t="str">
        <f t="shared" si="66"/>
        <v/>
      </c>
      <c r="W311" s="173" t="str">
        <f t="shared" si="66"/>
        <v/>
      </c>
      <c r="X311" s="173" t="str">
        <f t="shared" si="66"/>
        <v/>
      </c>
      <c r="Y311" s="173" t="str">
        <f t="shared" si="66"/>
        <v/>
      </c>
    </row>
    <row r="312" spans="1:25" x14ac:dyDescent="0.3">
      <c r="A312" s="172">
        <f t="shared" si="56"/>
        <v>310</v>
      </c>
      <c r="B312" s="173" t="str">
        <f t="shared" si="65"/>
        <v/>
      </c>
      <c r="C312" s="173" t="str">
        <f t="shared" si="65"/>
        <v/>
      </c>
      <c r="D312" s="173" t="str">
        <f t="shared" si="65"/>
        <v/>
      </c>
      <c r="E312" s="173" t="str">
        <f t="shared" si="65"/>
        <v/>
      </c>
      <c r="F312" s="173" t="str">
        <f t="shared" si="65"/>
        <v/>
      </c>
      <c r="G312" s="173" t="str">
        <f t="shared" si="65"/>
        <v/>
      </c>
      <c r="H312" s="173" t="str">
        <f t="shared" si="65"/>
        <v/>
      </c>
      <c r="I312" s="173" t="str">
        <f t="shared" si="65"/>
        <v/>
      </c>
      <c r="J312" s="173" t="str">
        <f t="shared" si="65"/>
        <v/>
      </c>
      <c r="K312" s="173" t="str">
        <f t="shared" si="65"/>
        <v/>
      </c>
      <c r="L312" s="173" t="str">
        <f t="shared" si="66"/>
        <v>info</v>
      </c>
      <c r="M312" s="173" t="str">
        <f t="shared" si="66"/>
        <v/>
      </c>
      <c r="N312" s="173" t="str">
        <f t="shared" si="66"/>
        <v/>
      </c>
      <c r="O312" s="173" t="str">
        <f t="shared" si="66"/>
        <v/>
      </c>
      <c r="P312" s="174" t="str">
        <f t="shared" si="66"/>
        <v/>
      </c>
      <c r="Q312" s="174" t="str">
        <f t="shared" si="66"/>
        <v>x</v>
      </c>
      <c r="R312" s="174" t="str">
        <f t="shared" si="66"/>
        <v>BS</v>
      </c>
      <c r="S312" s="174" t="str">
        <f t="shared" si="66"/>
        <v>all</v>
      </c>
      <c r="T312" s="173" t="str">
        <f t="shared" si="66"/>
        <v/>
      </c>
      <c r="U312" s="173" t="str">
        <f t="shared" si="66"/>
        <v/>
      </c>
      <c r="V312" s="173" t="str">
        <f t="shared" si="66"/>
        <v/>
      </c>
      <c r="W312" s="173" t="str">
        <f t="shared" si="66"/>
        <v/>
      </c>
      <c r="X312" s="173" t="str">
        <f t="shared" si="66"/>
        <v/>
      </c>
      <c r="Y312" s="173" t="str">
        <f t="shared" si="66"/>
        <v/>
      </c>
    </row>
    <row r="313" spans="1:25" x14ac:dyDescent="0.3">
      <c r="A313" s="172">
        <f t="shared" si="56"/>
        <v>311</v>
      </c>
      <c r="B313" s="173" t="str">
        <f t="shared" ref="B313:K322" si="67">IF(ISNONTEXT(B$2),IF(B$2="","",IF(INDEX(IMPORT,$A313,B$2)=0,"",IFERROR(VLOOKUP(INDEX(IMPORT,$A313,B$2),ImportTranslation,2,0),INDEX(IMPORT,$A313,B$2)))),B$2)</f>
        <v/>
      </c>
      <c r="C313" s="173" t="str">
        <f t="shared" si="67"/>
        <v/>
      </c>
      <c r="D313" s="173" t="str">
        <f t="shared" si="67"/>
        <v/>
      </c>
      <c r="E313" s="173" t="str">
        <f t="shared" si="67"/>
        <v/>
      </c>
      <c r="F313" s="173" t="str">
        <f t="shared" si="67"/>
        <v/>
      </c>
      <c r="G313" s="173" t="str">
        <f t="shared" si="67"/>
        <v/>
      </c>
      <c r="H313" s="173" t="str">
        <f t="shared" si="67"/>
        <v/>
      </c>
      <c r="I313" s="173" t="str">
        <f t="shared" si="67"/>
        <v/>
      </c>
      <c r="J313" s="173" t="str">
        <f t="shared" si="67"/>
        <v/>
      </c>
      <c r="K313" s="173" t="str">
        <f t="shared" si="67"/>
        <v/>
      </c>
      <c r="L313" s="173" t="str">
        <f t="shared" ref="L313:Y322" si="68">IF(ISNONTEXT(L$2),IF(L$2="","",IF(INDEX(IMPORT,$A313,L$2)=0,"",IFERROR(VLOOKUP(INDEX(IMPORT,$A313,L$2),ImportTranslation,2,0),INDEX(IMPORT,$A313,L$2)))),L$2)</f>
        <v>info</v>
      </c>
      <c r="M313" s="173" t="str">
        <f t="shared" si="68"/>
        <v/>
      </c>
      <c r="N313" s="173" t="str">
        <f t="shared" si="68"/>
        <v/>
      </c>
      <c r="O313" s="173" t="str">
        <f t="shared" si="68"/>
        <v/>
      </c>
      <c r="P313" s="174" t="str">
        <f t="shared" si="68"/>
        <v/>
      </c>
      <c r="Q313" s="174" t="str">
        <f t="shared" si="68"/>
        <v>x</v>
      </c>
      <c r="R313" s="174" t="str">
        <f t="shared" si="68"/>
        <v>BS</v>
      </c>
      <c r="S313" s="174" t="str">
        <f t="shared" si="68"/>
        <v>all</v>
      </c>
      <c r="T313" s="173" t="str">
        <f t="shared" si="68"/>
        <v/>
      </c>
      <c r="U313" s="173" t="str">
        <f t="shared" si="68"/>
        <v/>
      </c>
      <c r="V313" s="173" t="str">
        <f t="shared" si="68"/>
        <v/>
      </c>
      <c r="W313" s="173" t="str">
        <f t="shared" si="68"/>
        <v/>
      </c>
      <c r="X313" s="173" t="str">
        <f t="shared" si="68"/>
        <v/>
      </c>
      <c r="Y313" s="173" t="str">
        <f t="shared" si="68"/>
        <v/>
      </c>
    </row>
    <row r="314" spans="1:25" x14ac:dyDescent="0.3">
      <c r="A314" s="172">
        <f t="shared" si="56"/>
        <v>312</v>
      </c>
      <c r="B314" s="173" t="str">
        <f t="shared" si="67"/>
        <v/>
      </c>
      <c r="C314" s="173" t="str">
        <f t="shared" si="67"/>
        <v/>
      </c>
      <c r="D314" s="173" t="str">
        <f t="shared" si="67"/>
        <v/>
      </c>
      <c r="E314" s="173" t="str">
        <f t="shared" si="67"/>
        <v/>
      </c>
      <c r="F314" s="173" t="str">
        <f t="shared" si="67"/>
        <v/>
      </c>
      <c r="G314" s="173" t="str">
        <f t="shared" si="67"/>
        <v/>
      </c>
      <c r="H314" s="173" t="str">
        <f t="shared" si="67"/>
        <v/>
      </c>
      <c r="I314" s="173" t="str">
        <f t="shared" si="67"/>
        <v/>
      </c>
      <c r="J314" s="173" t="str">
        <f t="shared" si="67"/>
        <v/>
      </c>
      <c r="K314" s="173" t="str">
        <f t="shared" si="67"/>
        <v/>
      </c>
      <c r="L314" s="173" t="str">
        <f t="shared" si="68"/>
        <v>info</v>
      </c>
      <c r="M314" s="173" t="str">
        <f t="shared" si="68"/>
        <v/>
      </c>
      <c r="N314" s="173" t="str">
        <f t="shared" si="68"/>
        <v/>
      </c>
      <c r="O314" s="173" t="str">
        <f t="shared" si="68"/>
        <v/>
      </c>
      <c r="P314" s="174" t="str">
        <f t="shared" si="68"/>
        <v/>
      </c>
      <c r="Q314" s="174" t="str">
        <f t="shared" si="68"/>
        <v>x</v>
      </c>
      <c r="R314" s="174" t="str">
        <f t="shared" si="68"/>
        <v>BS</v>
      </c>
      <c r="S314" s="174" t="str">
        <f t="shared" si="68"/>
        <v>all</v>
      </c>
      <c r="T314" s="173" t="str">
        <f t="shared" si="68"/>
        <v/>
      </c>
      <c r="U314" s="173" t="str">
        <f t="shared" si="68"/>
        <v/>
      </c>
      <c r="V314" s="173" t="str">
        <f t="shared" si="68"/>
        <v/>
      </c>
      <c r="W314" s="173" t="str">
        <f t="shared" si="68"/>
        <v/>
      </c>
      <c r="X314" s="173" t="str">
        <f t="shared" si="68"/>
        <v/>
      </c>
      <c r="Y314" s="173" t="str">
        <f t="shared" si="68"/>
        <v/>
      </c>
    </row>
    <row r="315" spans="1:25" x14ac:dyDescent="0.3">
      <c r="A315" s="172">
        <f t="shared" si="56"/>
        <v>313</v>
      </c>
      <c r="B315" s="173" t="str">
        <f t="shared" si="67"/>
        <v/>
      </c>
      <c r="C315" s="173" t="str">
        <f t="shared" si="67"/>
        <v/>
      </c>
      <c r="D315" s="173" t="str">
        <f t="shared" si="67"/>
        <v/>
      </c>
      <c r="E315" s="173" t="str">
        <f t="shared" si="67"/>
        <v/>
      </c>
      <c r="F315" s="173" t="str">
        <f t="shared" si="67"/>
        <v/>
      </c>
      <c r="G315" s="173" t="str">
        <f t="shared" si="67"/>
        <v/>
      </c>
      <c r="H315" s="173" t="str">
        <f t="shared" si="67"/>
        <v/>
      </c>
      <c r="I315" s="173" t="str">
        <f t="shared" si="67"/>
        <v/>
      </c>
      <c r="J315" s="173" t="str">
        <f t="shared" si="67"/>
        <v/>
      </c>
      <c r="K315" s="173" t="str">
        <f t="shared" si="67"/>
        <v/>
      </c>
      <c r="L315" s="173" t="str">
        <f t="shared" si="68"/>
        <v>info</v>
      </c>
      <c r="M315" s="173" t="str">
        <f t="shared" si="68"/>
        <v/>
      </c>
      <c r="N315" s="173" t="str">
        <f t="shared" si="68"/>
        <v/>
      </c>
      <c r="O315" s="173" t="str">
        <f t="shared" si="68"/>
        <v/>
      </c>
      <c r="P315" s="174" t="str">
        <f t="shared" si="68"/>
        <v/>
      </c>
      <c r="Q315" s="174" t="str">
        <f t="shared" si="68"/>
        <v>x</v>
      </c>
      <c r="R315" s="174" t="str">
        <f t="shared" si="68"/>
        <v>BS</v>
      </c>
      <c r="S315" s="174" t="str">
        <f t="shared" si="68"/>
        <v>all</v>
      </c>
      <c r="T315" s="173" t="str">
        <f t="shared" si="68"/>
        <v/>
      </c>
      <c r="U315" s="173" t="str">
        <f t="shared" si="68"/>
        <v/>
      </c>
      <c r="V315" s="173" t="str">
        <f t="shared" si="68"/>
        <v/>
      </c>
      <c r="W315" s="173" t="str">
        <f t="shared" si="68"/>
        <v/>
      </c>
      <c r="X315" s="173" t="str">
        <f t="shared" si="68"/>
        <v/>
      </c>
      <c r="Y315" s="173" t="str">
        <f t="shared" si="68"/>
        <v/>
      </c>
    </row>
    <row r="316" spans="1:25" x14ac:dyDescent="0.3">
      <c r="A316" s="172">
        <f t="shared" si="56"/>
        <v>314</v>
      </c>
      <c r="B316" s="173" t="str">
        <f t="shared" si="67"/>
        <v/>
      </c>
      <c r="C316" s="173" t="str">
        <f t="shared" si="67"/>
        <v/>
      </c>
      <c r="D316" s="173" t="str">
        <f t="shared" si="67"/>
        <v/>
      </c>
      <c r="E316" s="173" t="str">
        <f t="shared" si="67"/>
        <v/>
      </c>
      <c r="F316" s="173" t="str">
        <f t="shared" si="67"/>
        <v/>
      </c>
      <c r="G316" s="173" t="str">
        <f t="shared" si="67"/>
        <v/>
      </c>
      <c r="H316" s="173" t="str">
        <f t="shared" si="67"/>
        <v/>
      </c>
      <c r="I316" s="173" t="str">
        <f t="shared" si="67"/>
        <v/>
      </c>
      <c r="J316" s="173" t="str">
        <f t="shared" si="67"/>
        <v/>
      </c>
      <c r="K316" s="173" t="str">
        <f t="shared" si="67"/>
        <v/>
      </c>
      <c r="L316" s="173" t="str">
        <f t="shared" si="68"/>
        <v>info</v>
      </c>
      <c r="M316" s="173" t="str">
        <f t="shared" si="68"/>
        <v/>
      </c>
      <c r="N316" s="173" t="str">
        <f t="shared" si="68"/>
        <v/>
      </c>
      <c r="O316" s="173" t="str">
        <f t="shared" si="68"/>
        <v/>
      </c>
      <c r="P316" s="174" t="str">
        <f t="shared" si="68"/>
        <v/>
      </c>
      <c r="Q316" s="174" t="str">
        <f t="shared" si="68"/>
        <v>x</v>
      </c>
      <c r="R316" s="174" t="str">
        <f t="shared" si="68"/>
        <v>BS</v>
      </c>
      <c r="S316" s="174" t="str">
        <f t="shared" si="68"/>
        <v>all</v>
      </c>
      <c r="T316" s="173" t="str">
        <f t="shared" si="68"/>
        <v/>
      </c>
      <c r="U316" s="173" t="str">
        <f t="shared" si="68"/>
        <v/>
      </c>
      <c r="V316" s="173" t="str">
        <f t="shared" si="68"/>
        <v/>
      </c>
      <c r="W316" s="173" t="str">
        <f t="shared" si="68"/>
        <v/>
      </c>
      <c r="X316" s="173" t="str">
        <f t="shared" si="68"/>
        <v/>
      </c>
      <c r="Y316" s="173" t="str">
        <f t="shared" si="68"/>
        <v/>
      </c>
    </row>
    <row r="317" spans="1:25" x14ac:dyDescent="0.3">
      <c r="A317" s="172">
        <f t="shared" si="56"/>
        <v>315</v>
      </c>
      <c r="B317" s="173" t="str">
        <f t="shared" si="67"/>
        <v/>
      </c>
      <c r="C317" s="173" t="str">
        <f t="shared" si="67"/>
        <v/>
      </c>
      <c r="D317" s="173" t="str">
        <f t="shared" si="67"/>
        <v/>
      </c>
      <c r="E317" s="173" t="str">
        <f t="shared" si="67"/>
        <v/>
      </c>
      <c r="F317" s="173" t="str">
        <f t="shared" si="67"/>
        <v/>
      </c>
      <c r="G317" s="173" t="str">
        <f t="shared" si="67"/>
        <v/>
      </c>
      <c r="H317" s="173" t="str">
        <f t="shared" si="67"/>
        <v/>
      </c>
      <c r="I317" s="173" t="str">
        <f t="shared" si="67"/>
        <v/>
      </c>
      <c r="J317" s="173" t="str">
        <f t="shared" si="67"/>
        <v/>
      </c>
      <c r="K317" s="173" t="str">
        <f t="shared" si="67"/>
        <v/>
      </c>
      <c r="L317" s="173" t="str">
        <f t="shared" si="68"/>
        <v>info</v>
      </c>
      <c r="M317" s="173" t="str">
        <f t="shared" si="68"/>
        <v/>
      </c>
      <c r="N317" s="173" t="str">
        <f t="shared" si="68"/>
        <v/>
      </c>
      <c r="O317" s="173" t="str">
        <f t="shared" si="68"/>
        <v/>
      </c>
      <c r="P317" s="174" t="str">
        <f t="shared" si="68"/>
        <v/>
      </c>
      <c r="Q317" s="174" t="str">
        <f t="shared" si="68"/>
        <v>x</v>
      </c>
      <c r="R317" s="174" t="str">
        <f t="shared" si="68"/>
        <v>BS</v>
      </c>
      <c r="S317" s="174" t="str">
        <f t="shared" si="68"/>
        <v>all</v>
      </c>
      <c r="T317" s="173" t="str">
        <f t="shared" si="68"/>
        <v/>
      </c>
      <c r="U317" s="173" t="str">
        <f t="shared" si="68"/>
        <v/>
      </c>
      <c r="V317" s="173" t="str">
        <f t="shared" si="68"/>
        <v/>
      </c>
      <c r="W317" s="173" t="str">
        <f t="shared" si="68"/>
        <v/>
      </c>
      <c r="X317" s="173" t="str">
        <f t="shared" si="68"/>
        <v/>
      </c>
      <c r="Y317" s="173" t="str">
        <f t="shared" si="68"/>
        <v/>
      </c>
    </row>
    <row r="318" spans="1:25" x14ac:dyDescent="0.3">
      <c r="A318" s="172">
        <f t="shared" si="56"/>
        <v>316</v>
      </c>
      <c r="B318" s="173" t="str">
        <f t="shared" si="67"/>
        <v/>
      </c>
      <c r="C318" s="173" t="str">
        <f t="shared" si="67"/>
        <v/>
      </c>
      <c r="D318" s="173" t="str">
        <f t="shared" si="67"/>
        <v/>
      </c>
      <c r="E318" s="173" t="str">
        <f t="shared" si="67"/>
        <v/>
      </c>
      <c r="F318" s="173" t="str">
        <f t="shared" si="67"/>
        <v/>
      </c>
      <c r="G318" s="173" t="str">
        <f t="shared" si="67"/>
        <v/>
      </c>
      <c r="H318" s="173" t="str">
        <f t="shared" si="67"/>
        <v/>
      </c>
      <c r="I318" s="173" t="str">
        <f t="shared" si="67"/>
        <v/>
      </c>
      <c r="J318" s="173" t="str">
        <f t="shared" si="67"/>
        <v/>
      </c>
      <c r="K318" s="173" t="str">
        <f t="shared" si="67"/>
        <v/>
      </c>
      <c r="L318" s="173" t="str">
        <f t="shared" si="68"/>
        <v>info</v>
      </c>
      <c r="M318" s="173" t="str">
        <f t="shared" si="68"/>
        <v/>
      </c>
      <c r="N318" s="173" t="str">
        <f t="shared" si="68"/>
        <v/>
      </c>
      <c r="O318" s="173" t="str">
        <f t="shared" si="68"/>
        <v/>
      </c>
      <c r="P318" s="174" t="str">
        <f t="shared" si="68"/>
        <v/>
      </c>
      <c r="Q318" s="174" t="str">
        <f t="shared" si="68"/>
        <v>x</v>
      </c>
      <c r="R318" s="174" t="str">
        <f t="shared" si="68"/>
        <v>BS</v>
      </c>
      <c r="S318" s="174" t="str">
        <f t="shared" si="68"/>
        <v>all</v>
      </c>
      <c r="T318" s="173" t="str">
        <f t="shared" si="68"/>
        <v/>
      </c>
      <c r="U318" s="173" t="str">
        <f t="shared" si="68"/>
        <v/>
      </c>
      <c r="V318" s="173" t="str">
        <f t="shared" si="68"/>
        <v/>
      </c>
      <c r="W318" s="173" t="str">
        <f t="shared" si="68"/>
        <v/>
      </c>
      <c r="X318" s="173" t="str">
        <f t="shared" si="68"/>
        <v/>
      </c>
      <c r="Y318" s="173" t="str">
        <f t="shared" si="68"/>
        <v/>
      </c>
    </row>
    <row r="319" spans="1:25" x14ac:dyDescent="0.3">
      <c r="A319" s="172">
        <f t="shared" si="56"/>
        <v>317</v>
      </c>
      <c r="B319" s="173" t="str">
        <f t="shared" si="67"/>
        <v/>
      </c>
      <c r="C319" s="173" t="str">
        <f t="shared" si="67"/>
        <v/>
      </c>
      <c r="D319" s="173" t="str">
        <f t="shared" si="67"/>
        <v/>
      </c>
      <c r="E319" s="173" t="str">
        <f t="shared" si="67"/>
        <v/>
      </c>
      <c r="F319" s="173" t="str">
        <f t="shared" si="67"/>
        <v/>
      </c>
      <c r="G319" s="173" t="str">
        <f t="shared" si="67"/>
        <v/>
      </c>
      <c r="H319" s="173" t="str">
        <f t="shared" si="67"/>
        <v/>
      </c>
      <c r="I319" s="173" t="str">
        <f t="shared" si="67"/>
        <v/>
      </c>
      <c r="J319" s="173" t="str">
        <f t="shared" si="67"/>
        <v/>
      </c>
      <c r="K319" s="173" t="str">
        <f t="shared" si="67"/>
        <v/>
      </c>
      <c r="L319" s="173" t="str">
        <f t="shared" si="68"/>
        <v>info</v>
      </c>
      <c r="M319" s="173" t="str">
        <f t="shared" si="68"/>
        <v/>
      </c>
      <c r="N319" s="173" t="str">
        <f t="shared" si="68"/>
        <v/>
      </c>
      <c r="O319" s="173" t="str">
        <f t="shared" si="68"/>
        <v/>
      </c>
      <c r="P319" s="174" t="str">
        <f t="shared" si="68"/>
        <v/>
      </c>
      <c r="Q319" s="174" t="str">
        <f t="shared" si="68"/>
        <v>x</v>
      </c>
      <c r="R319" s="174" t="str">
        <f t="shared" si="68"/>
        <v>BS</v>
      </c>
      <c r="S319" s="174" t="str">
        <f t="shared" si="68"/>
        <v>all</v>
      </c>
      <c r="T319" s="173" t="str">
        <f t="shared" si="68"/>
        <v/>
      </c>
      <c r="U319" s="173" t="str">
        <f t="shared" si="68"/>
        <v/>
      </c>
      <c r="V319" s="173" t="str">
        <f t="shared" si="68"/>
        <v/>
      </c>
      <c r="W319" s="173" t="str">
        <f t="shared" si="68"/>
        <v/>
      </c>
      <c r="X319" s="173" t="str">
        <f t="shared" si="68"/>
        <v/>
      </c>
      <c r="Y319" s="173" t="str">
        <f t="shared" si="68"/>
        <v/>
      </c>
    </row>
    <row r="320" spans="1:25" x14ac:dyDescent="0.3">
      <c r="A320" s="172">
        <f t="shared" si="56"/>
        <v>318</v>
      </c>
      <c r="B320" s="173" t="str">
        <f t="shared" si="67"/>
        <v/>
      </c>
      <c r="C320" s="173" t="str">
        <f t="shared" si="67"/>
        <v/>
      </c>
      <c r="D320" s="173" t="str">
        <f t="shared" si="67"/>
        <v/>
      </c>
      <c r="E320" s="173" t="str">
        <f t="shared" si="67"/>
        <v/>
      </c>
      <c r="F320" s="173" t="str">
        <f t="shared" si="67"/>
        <v/>
      </c>
      <c r="G320" s="173" t="str">
        <f t="shared" si="67"/>
        <v/>
      </c>
      <c r="H320" s="173" t="str">
        <f t="shared" si="67"/>
        <v/>
      </c>
      <c r="I320" s="173" t="str">
        <f t="shared" si="67"/>
        <v/>
      </c>
      <c r="J320" s="173" t="str">
        <f t="shared" si="67"/>
        <v/>
      </c>
      <c r="K320" s="173" t="str">
        <f t="shared" si="67"/>
        <v/>
      </c>
      <c r="L320" s="173" t="str">
        <f t="shared" si="68"/>
        <v>info</v>
      </c>
      <c r="M320" s="173" t="str">
        <f t="shared" si="68"/>
        <v/>
      </c>
      <c r="N320" s="173" t="str">
        <f t="shared" si="68"/>
        <v/>
      </c>
      <c r="O320" s="173" t="str">
        <f t="shared" si="68"/>
        <v/>
      </c>
      <c r="P320" s="174" t="str">
        <f t="shared" si="68"/>
        <v/>
      </c>
      <c r="Q320" s="174" t="str">
        <f t="shared" si="68"/>
        <v>x</v>
      </c>
      <c r="R320" s="174" t="str">
        <f t="shared" si="68"/>
        <v>BS</v>
      </c>
      <c r="S320" s="174" t="str">
        <f t="shared" si="68"/>
        <v>all</v>
      </c>
      <c r="T320" s="173" t="str">
        <f t="shared" si="68"/>
        <v/>
      </c>
      <c r="U320" s="173" t="str">
        <f t="shared" si="68"/>
        <v/>
      </c>
      <c r="V320" s="173" t="str">
        <f t="shared" si="68"/>
        <v/>
      </c>
      <c r="W320" s="173" t="str">
        <f t="shared" si="68"/>
        <v/>
      </c>
      <c r="X320" s="173" t="str">
        <f t="shared" si="68"/>
        <v/>
      </c>
      <c r="Y320" s="173" t="str">
        <f t="shared" si="68"/>
        <v/>
      </c>
    </row>
    <row r="321" spans="1:25" x14ac:dyDescent="0.3">
      <c r="A321" s="172">
        <f t="shared" si="56"/>
        <v>319</v>
      </c>
      <c r="B321" s="173" t="str">
        <f t="shared" si="67"/>
        <v/>
      </c>
      <c r="C321" s="173" t="str">
        <f t="shared" si="67"/>
        <v/>
      </c>
      <c r="D321" s="173" t="str">
        <f t="shared" si="67"/>
        <v/>
      </c>
      <c r="E321" s="173" t="str">
        <f t="shared" si="67"/>
        <v/>
      </c>
      <c r="F321" s="173" t="str">
        <f t="shared" si="67"/>
        <v/>
      </c>
      <c r="G321" s="173" t="str">
        <f t="shared" si="67"/>
        <v/>
      </c>
      <c r="H321" s="173" t="str">
        <f t="shared" si="67"/>
        <v/>
      </c>
      <c r="I321" s="173" t="str">
        <f t="shared" si="67"/>
        <v/>
      </c>
      <c r="J321" s="173" t="str">
        <f t="shared" si="67"/>
        <v/>
      </c>
      <c r="K321" s="173" t="str">
        <f t="shared" si="67"/>
        <v/>
      </c>
      <c r="L321" s="173" t="str">
        <f t="shared" si="68"/>
        <v>info</v>
      </c>
      <c r="M321" s="173" t="str">
        <f t="shared" si="68"/>
        <v/>
      </c>
      <c r="N321" s="173" t="str">
        <f t="shared" si="68"/>
        <v/>
      </c>
      <c r="O321" s="173" t="str">
        <f t="shared" si="68"/>
        <v/>
      </c>
      <c r="P321" s="174" t="str">
        <f t="shared" si="68"/>
        <v/>
      </c>
      <c r="Q321" s="174" t="str">
        <f t="shared" si="68"/>
        <v>x</v>
      </c>
      <c r="R321" s="174" t="str">
        <f t="shared" si="68"/>
        <v>BS</v>
      </c>
      <c r="S321" s="174" t="str">
        <f t="shared" si="68"/>
        <v>all</v>
      </c>
      <c r="T321" s="173" t="str">
        <f t="shared" si="68"/>
        <v/>
      </c>
      <c r="U321" s="173" t="str">
        <f t="shared" si="68"/>
        <v/>
      </c>
      <c r="V321" s="173" t="str">
        <f t="shared" si="68"/>
        <v/>
      </c>
      <c r="W321" s="173" t="str">
        <f t="shared" si="68"/>
        <v/>
      </c>
      <c r="X321" s="173" t="str">
        <f t="shared" si="68"/>
        <v/>
      </c>
      <c r="Y321" s="173" t="str">
        <f t="shared" si="68"/>
        <v/>
      </c>
    </row>
    <row r="322" spans="1:25" x14ac:dyDescent="0.3">
      <c r="A322" s="172">
        <f t="shared" si="56"/>
        <v>320</v>
      </c>
      <c r="B322" s="173" t="str">
        <f t="shared" si="67"/>
        <v/>
      </c>
      <c r="C322" s="173" t="str">
        <f t="shared" si="67"/>
        <v/>
      </c>
      <c r="D322" s="173" t="str">
        <f t="shared" si="67"/>
        <v/>
      </c>
      <c r="E322" s="173" t="str">
        <f t="shared" si="67"/>
        <v/>
      </c>
      <c r="F322" s="173" t="str">
        <f t="shared" si="67"/>
        <v/>
      </c>
      <c r="G322" s="173" t="str">
        <f t="shared" si="67"/>
        <v/>
      </c>
      <c r="H322" s="173" t="str">
        <f t="shared" si="67"/>
        <v/>
      </c>
      <c r="I322" s="173" t="str">
        <f t="shared" si="67"/>
        <v/>
      </c>
      <c r="J322" s="173" t="str">
        <f t="shared" si="67"/>
        <v/>
      </c>
      <c r="K322" s="173" t="str">
        <f t="shared" si="67"/>
        <v/>
      </c>
      <c r="L322" s="173" t="str">
        <f t="shared" si="68"/>
        <v>info</v>
      </c>
      <c r="M322" s="173" t="str">
        <f t="shared" si="68"/>
        <v/>
      </c>
      <c r="N322" s="173" t="str">
        <f t="shared" si="68"/>
        <v/>
      </c>
      <c r="O322" s="173" t="str">
        <f t="shared" si="68"/>
        <v/>
      </c>
      <c r="P322" s="174" t="str">
        <f t="shared" si="68"/>
        <v/>
      </c>
      <c r="Q322" s="174" t="str">
        <f t="shared" si="68"/>
        <v>x</v>
      </c>
      <c r="R322" s="174" t="str">
        <f t="shared" si="68"/>
        <v>BS</v>
      </c>
      <c r="S322" s="174" t="str">
        <f t="shared" si="68"/>
        <v>all</v>
      </c>
      <c r="T322" s="173" t="str">
        <f t="shared" si="68"/>
        <v/>
      </c>
      <c r="U322" s="173" t="str">
        <f t="shared" si="68"/>
        <v/>
      </c>
      <c r="V322" s="173" t="str">
        <f t="shared" si="68"/>
        <v/>
      </c>
      <c r="W322" s="173" t="str">
        <f t="shared" si="68"/>
        <v/>
      </c>
      <c r="X322" s="173" t="str">
        <f t="shared" si="68"/>
        <v/>
      </c>
      <c r="Y322" s="173" t="str">
        <f t="shared" si="68"/>
        <v/>
      </c>
    </row>
    <row r="323" spans="1:25" x14ac:dyDescent="0.3">
      <c r="A323" s="172">
        <f t="shared" ref="A323:A386" si="69">ROW()-ROW($A$2)</f>
        <v>321</v>
      </c>
      <c r="B323" s="173" t="str">
        <f t="shared" ref="B323:K332" si="70">IF(ISNONTEXT(B$2),IF(B$2="","",IF(INDEX(IMPORT,$A323,B$2)=0,"",IFERROR(VLOOKUP(INDEX(IMPORT,$A323,B$2),ImportTranslation,2,0),INDEX(IMPORT,$A323,B$2)))),B$2)</f>
        <v/>
      </c>
      <c r="C323" s="173" t="str">
        <f t="shared" si="70"/>
        <v/>
      </c>
      <c r="D323" s="173" t="str">
        <f t="shared" si="70"/>
        <v/>
      </c>
      <c r="E323" s="173" t="str">
        <f t="shared" si="70"/>
        <v/>
      </c>
      <c r="F323" s="173" t="str">
        <f t="shared" si="70"/>
        <v/>
      </c>
      <c r="G323" s="173" t="str">
        <f t="shared" si="70"/>
        <v/>
      </c>
      <c r="H323" s="173" t="str">
        <f t="shared" si="70"/>
        <v/>
      </c>
      <c r="I323" s="173" t="str">
        <f t="shared" si="70"/>
        <v/>
      </c>
      <c r="J323" s="173" t="str">
        <f t="shared" si="70"/>
        <v/>
      </c>
      <c r="K323" s="173" t="str">
        <f t="shared" si="70"/>
        <v/>
      </c>
      <c r="L323" s="173" t="str">
        <f t="shared" ref="L323:Y332" si="71">IF(ISNONTEXT(L$2),IF(L$2="","",IF(INDEX(IMPORT,$A323,L$2)=0,"",IFERROR(VLOOKUP(INDEX(IMPORT,$A323,L$2),ImportTranslation,2,0),INDEX(IMPORT,$A323,L$2)))),L$2)</f>
        <v>info</v>
      </c>
      <c r="M323" s="173" t="str">
        <f t="shared" si="71"/>
        <v/>
      </c>
      <c r="N323" s="173" t="str">
        <f t="shared" si="71"/>
        <v/>
      </c>
      <c r="O323" s="173" t="str">
        <f t="shared" si="71"/>
        <v/>
      </c>
      <c r="P323" s="174" t="str">
        <f t="shared" si="71"/>
        <v/>
      </c>
      <c r="Q323" s="174" t="str">
        <f t="shared" si="71"/>
        <v>x</v>
      </c>
      <c r="R323" s="174" t="str">
        <f t="shared" si="71"/>
        <v>BS</v>
      </c>
      <c r="S323" s="174" t="str">
        <f t="shared" si="71"/>
        <v>all</v>
      </c>
      <c r="T323" s="173" t="str">
        <f t="shared" si="71"/>
        <v/>
      </c>
      <c r="U323" s="173" t="str">
        <f t="shared" si="71"/>
        <v/>
      </c>
      <c r="V323" s="173" t="str">
        <f t="shared" si="71"/>
        <v/>
      </c>
      <c r="W323" s="173" t="str">
        <f t="shared" si="71"/>
        <v/>
      </c>
      <c r="X323" s="173" t="str">
        <f t="shared" si="71"/>
        <v/>
      </c>
      <c r="Y323" s="173" t="str">
        <f t="shared" si="71"/>
        <v/>
      </c>
    </row>
    <row r="324" spans="1:25" x14ac:dyDescent="0.3">
      <c r="A324" s="172">
        <f t="shared" si="69"/>
        <v>322</v>
      </c>
      <c r="B324" s="173" t="str">
        <f t="shared" si="70"/>
        <v/>
      </c>
      <c r="C324" s="173" t="str">
        <f t="shared" si="70"/>
        <v/>
      </c>
      <c r="D324" s="173" t="str">
        <f t="shared" si="70"/>
        <v/>
      </c>
      <c r="E324" s="173" t="str">
        <f t="shared" si="70"/>
        <v/>
      </c>
      <c r="F324" s="173" t="str">
        <f t="shared" si="70"/>
        <v/>
      </c>
      <c r="G324" s="173" t="str">
        <f t="shared" si="70"/>
        <v/>
      </c>
      <c r="H324" s="173" t="str">
        <f t="shared" si="70"/>
        <v/>
      </c>
      <c r="I324" s="173" t="str">
        <f t="shared" si="70"/>
        <v/>
      </c>
      <c r="J324" s="173" t="str">
        <f t="shared" si="70"/>
        <v/>
      </c>
      <c r="K324" s="173" t="str">
        <f t="shared" si="70"/>
        <v/>
      </c>
      <c r="L324" s="173" t="str">
        <f t="shared" si="71"/>
        <v>info</v>
      </c>
      <c r="M324" s="173" t="str">
        <f t="shared" si="71"/>
        <v/>
      </c>
      <c r="N324" s="173" t="str">
        <f t="shared" si="71"/>
        <v/>
      </c>
      <c r="O324" s="173" t="str">
        <f t="shared" si="71"/>
        <v/>
      </c>
      <c r="P324" s="174" t="str">
        <f t="shared" si="71"/>
        <v/>
      </c>
      <c r="Q324" s="174" t="str">
        <f t="shared" si="71"/>
        <v>x</v>
      </c>
      <c r="R324" s="174" t="str">
        <f t="shared" si="71"/>
        <v>BS</v>
      </c>
      <c r="S324" s="174" t="str">
        <f t="shared" si="71"/>
        <v>all</v>
      </c>
      <c r="T324" s="173" t="str">
        <f t="shared" si="71"/>
        <v/>
      </c>
      <c r="U324" s="173" t="str">
        <f t="shared" si="71"/>
        <v/>
      </c>
      <c r="V324" s="173" t="str">
        <f t="shared" si="71"/>
        <v/>
      </c>
      <c r="W324" s="173" t="str">
        <f t="shared" si="71"/>
        <v/>
      </c>
      <c r="X324" s="173" t="str">
        <f t="shared" si="71"/>
        <v/>
      </c>
      <c r="Y324" s="173" t="str">
        <f t="shared" si="71"/>
        <v/>
      </c>
    </row>
    <row r="325" spans="1:25" x14ac:dyDescent="0.3">
      <c r="A325" s="172">
        <f t="shared" si="69"/>
        <v>323</v>
      </c>
      <c r="B325" s="173" t="str">
        <f t="shared" si="70"/>
        <v/>
      </c>
      <c r="C325" s="173" t="str">
        <f t="shared" si="70"/>
        <v/>
      </c>
      <c r="D325" s="173" t="str">
        <f t="shared" si="70"/>
        <v/>
      </c>
      <c r="E325" s="173" t="str">
        <f t="shared" si="70"/>
        <v/>
      </c>
      <c r="F325" s="173" t="str">
        <f t="shared" si="70"/>
        <v/>
      </c>
      <c r="G325" s="173" t="str">
        <f t="shared" si="70"/>
        <v/>
      </c>
      <c r="H325" s="173" t="str">
        <f t="shared" si="70"/>
        <v/>
      </c>
      <c r="I325" s="173" t="str">
        <f t="shared" si="70"/>
        <v/>
      </c>
      <c r="J325" s="173" t="str">
        <f t="shared" si="70"/>
        <v/>
      </c>
      <c r="K325" s="173" t="str">
        <f t="shared" si="70"/>
        <v/>
      </c>
      <c r="L325" s="173" t="str">
        <f t="shared" si="71"/>
        <v>info</v>
      </c>
      <c r="M325" s="173" t="str">
        <f t="shared" si="71"/>
        <v/>
      </c>
      <c r="N325" s="173" t="str">
        <f t="shared" si="71"/>
        <v/>
      </c>
      <c r="O325" s="173" t="str">
        <f t="shared" si="71"/>
        <v/>
      </c>
      <c r="P325" s="174" t="str">
        <f t="shared" si="71"/>
        <v/>
      </c>
      <c r="Q325" s="174" t="str">
        <f t="shared" si="71"/>
        <v>x</v>
      </c>
      <c r="R325" s="174" t="str">
        <f t="shared" si="71"/>
        <v>BS</v>
      </c>
      <c r="S325" s="174" t="str">
        <f t="shared" si="71"/>
        <v>all</v>
      </c>
      <c r="T325" s="173" t="str">
        <f t="shared" si="71"/>
        <v/>
      </c>
      <c r="U325" s="173" t="str">
        <f t="shared" si="71"/>
        <v/>
      </c>
      <c r="V325" s="173" t="str">
        <f t="shared" si="71"/>
        <v/>
      </c>
      <c r="W325" s="173" t="str">
        <f t="shared" si="71"/>
        <v/>
      </c>
      <c r="X325" s="173" t="str">
        <f t="shared" si="71"/>
        <v/>
      </c>
      <c r="Y325" s="173" t="str">
        <f t="shared" si="71"/>
        <v/>
      </c>
    </row>
    <row r="326" spans="1:25" x14ac:dyDescent="0.3">
      <c r="A326" s="172">
        <f t="shared" si="69"/>
        <v>324</v>
      </c>
      <c r="B326" s="173" t="str">
        <f t="shared" si="70"/>
        <v/>
      </c>
      <c r="C326" s="173" t="str">
        <f t="shared" si="70"/>
        <v/>
      </c>
      <c r="D326" s="173" t="str">
        <f t="shared" si="70"/>
        <v/>
      </c>
      <c r="E326" s="173" t="str">
        <f t="shared" si="70"/>
        <v/>
      </c>
      <c r="F326" s="173" t="str">
        <f t="shared" si="70"/>
        <v/>
      </c>
      <c r="G326" s="173" t="str">
        <f t="shared" si="70"/>
        <v/>
      </c>
      <c r="H326" s="173" t="str">
        <f t="shared" si="70"/>
        <v/>
      </c>
      <c r="I326" s="173" t="str">
        <f t="shared" si="70"/>
        <v/>
      </c>
      <c r="J326" s="173" t="str">
        <f t="shared" si="70"/>
        <v/>
      </c>
      <c r="K326" s="173" t="str">
        <f t="shared" si="70"/>
        <v/>
      </c>
      <c r="L326" s="173" t="str">
        <f t="shared" si="71"/>
        <v>info</v>
      </c>
      <c r="M326" s="173" t="str">
        <f t="shared" si="71"/>
        <v/>
      </c>
      <c r="N326" s="173" t="str">
        <f t="shared" si="71"/>
        <v/>
      </c>
      <c r="O326" s="173" t="str">
        <f t="shared" si="71"/>
        <v/>
      </c>
      <c r="P326" s="174" t="str">
        <f t="shared" si="71"/>
        <v/>
      </c>
      <c r="Q326" s="174" t="str">
        <f t="shared" si="71"/>
        <v>x</v>
      </c>
      <c r="R326" s="174" t="str">
        <f t="shared" si="71"/>
        <v>BS</v>
      </c>
      <c r="S326" s="174" t="str">
        <f t="shared" si="71"/>
        <v>all</v>
      </c>
      <c r="T326" s="173" t="str">
        <f t="shared" si="71"/>
        <v/>
      </c>
      <c r="U326" s="173" t="str">
        <f t="shared" si="71"/>
        <v/>
      </c>
      <c r="V326" s="173" t="str">
        <f t="shared" si="71"/>
        <v/>
      </c>
      <c r="W326" s="173" t="str">
        <f t="shared" si="71"/>
        <v/>
      </c>
      <c r="X326" s="173" t="str">
        <f t="shared" si="71"/>
        <v/>
      </c>
      <c r="Y326" s="173" t="str">
        <f t="shared" si="71"/>
        <v/>
      </c>
    </row>
    <row r="327" spans="1:25" x14ac:dyDescent="0.3">
      <c r="A327" s="172">
        <f t="shared" si="69"/>
        <v>325</v>
      </c>
      <c r="B327" s="173" t="str">
        <f t="shared" si="70"/>
        <v/>
      </c>
      <c r="C327" s="173" t="str">
        <f t="shared" si="70"/>
        <v/>
      </c>
      <c r="D327" s="173" t="str">
        <f t="shared" si="70"/>
        <v/>
      </c>
      <c r="E327" s="173" t="str">
        <f t="shared" si="70"/>
        <v/>
      </c>
      <c r="F327" s="173" t="str">
        <f t="shared" si="70"/>
        <v/>
      </c>
      <c r="G327" s="173" t="str">
        <f t="shared" si="70"/>
        <v/>
      </c>
      <c r="H327" s="173" t="str">
        <f t="shared" si="70"/>
        <v/>
      </c>
      <c r="I327" s="173" t="str">
        <f t="shared" si="70"/>
        <v/>
      </c>
      <c r="J327" s="173" t="str">
        <f t="shared" si="70"/>
        <v/>
      </c>
      <c r="K327" s="173" t="str">
        <f t="shared" si="70"/>
        <v/>
      </c>
      <c r="L327" s="173" t="str">
        <f t="shared" si="71"/>
        <v>info</v>
      </c>
      <c r="M327" s="173" t="str">
        <f t="shared" si="71"/>
        <v/>
      </c>
      <c r="N327" s="173" t="str">
        <f t="shared" si="71"/>
        <v/>
      </c>
      <c r="O327" s="173" t="str">
        <f t="shared" si="71"/>
        <v/>
      </c>
      <c r="P327" s="174" t="str">
        <f t="shared" si="71"/>
        <v/>
      </c>
      <c r="Q327" s="174" t="str">
        <f t="shared" si="71"/>
        <v>x</v>
      </c>
      <c r="R327" s="174" t="str">
        <f t="shared" si="71"/>
        <v>BS</v>
      </c>
      <c r="S327" s="174" t="str">
        <f t="shared" si="71"/>
        <v>all</v>
      </c>
      <c r="T327" s="173" t="str">
        <f t="shared" si="71"/>
        <v/>
      </c>
      <c r="U327" s="173" t="str">
        <f t="shared" si="71"/>
        <v/>
      </c>
      <c r="V327" s="173" t="str">
        <f t="shared" si="71"/>
        <v/>
      </c>
      <c r="W327" s="173" t="str">
        <f t="shared" si="71"/>
        <v/>
      </c>
      <c r="X327" s="173" t="str">
        <f t="shared" si="71"/>
        <v/>
      </c>
      <c r="Y327" s="173" t="str">
        <f t="shared" si="71"/>
        <v/>
      </c>
    </row>
    <row r="328" spans="1:25" x14ac:dyDescent="0.3">
      <c r="A328" s="172">
        <f t="shared" si="69"/>
        <v>326</v>
      </c>
      <c r="B328" s="173" t="str">
        <f t="shared" si="70"/>
        <v/>
      </c>
      <c r="C328" s="173" t="str">
        <f t="shared" si="70"/>
        <v/>
      </c>
      <c r="D328" s="173" t="str">
        <f t="shared" si="70"/>
        <v/>
      </c>
      <c r="E328" s="173" t="str">
        <f t="shared" si="70"/>
        <v/>
      </c>
      <c r="F328" s="173" t="str">
        <f t="shared" si="70"/>
        <v/>
      </c>
      <c r="G328" s="173" t="str">
        <f t="shared" si="70"/>
        <v/>
      </c>
      <c r="H328" s="173" t="str">
        <f t="shared" si="70"/>
        <v/>
      </c>
      <c r="I328" s="173" t="str">
        <f t="shared" si="70"/>
        <v/>
      </c>
      <c r="J328" s="173" t="str">
        <f t="shared" si="70"/>
        <v/>
      </c>
      <c r="K328" s="173" t="str">
        <f t="shared" si="70"/>
        <v/>
      </c>
      <c r="L328" s="173" t="str">
        <f t="shared" si="71"/>
        <v>info</v>
      </c>
      <c r="M328" s="173" t="str">
        <f t="shared" si="71"/>
        <v/>
      </c>
      <c r="N328" s="173" t="str">
        <f t="shared" si="71"/>
        <v/>
      </c>
      <c r="O328" s="173" t="str">
        <f t="shared" si="71"/>
        <v/>
      </c>
      <c r="P328" s="174" t="str">
        <f t="shared" si="71"/>
        <v/>
      </c>
      <c r="Q328" s="174" t="str">
        <f t="shared" si="71"/>
        <v>x</v>
      </c>
      <c r="R328" s="174" t="str">
        <f t="shared" si="71"/>
        <v>BS</v>
      </c>
      <c r="S328" s="174" t="str">
        <f t="shared" si="71"/>
        <v>all</v>
      </c>
      <c r="T328" s="173" t="str">
        <f t="shared" si="71"/>
        <v/>
      </c>
      <c r="U328" s="173" t="str">
        <f t="shared" si="71"/>
        <v/>
      </c>
      <c r="V328" s="173" t="str">
        <f t="shared" si="71"/>
        <v/>
      </c>
      <c r="W328" s="173" t="str">
        <f t="shared" si="71"/>
        <v/>
      </c>
      <c r="X328" s="173" t="str">
        <f t="shared" si="71"/>
        <v/>
      </c>
      <c r="Y328" s="173" t="str">
        <f t="shared" si="71"/>
        <v/>
      </c>
    </row>
    <row r="329" spans="1:25" x14ac:dyDescent="0.3">
      <c r="A329" s="172">
        <f t="shared" si="69"/>
        <v>327</v>
      </c>
      <c r="B329" s="173" t="str">
        <f t="shared" si="70"/>
        <v/>
      </c>
      <c r="C329" s="173" t="str">
        <f t="shared" si="70"/>
        <v/>
      </c>
      <c r="D329" s="173" t="str">
        <f t="shared" si="70"/>
        <v/>
      </c>
      <c r="E329" s="173" t="str">
        <f t="shared" si="70"/>
        <v/>
      </c>
      <c r="F329" s="173" t="str">
        <f t="shared" si="70"/>
        <v/>
      </c>
      <c r="G329" s="173" t="str">
        <f t="shared" si="70"/>
        <v/>
      </c>
      <c r="H329" s="173" t="str">
        <f t="shared" si="70"/>
        <v/>
      </c>
      <c r="I329" s="173" t="str">
        <f t="shared" si="70"/>
        <v/>
      </c>
      <c r="J329" s="173" t="str">
        <f t="shared" si="70"/>
        <v/>
      </c>
      <c r="K329" s="173" t="str">
        <f t="shared" si="70"/>
        <v/>
      </c>
      <c r="L329" s="173" t="str">
        <f t="shared" si="71"/>
        <v>info</v>
      </c>
      <c r="M329" s="173" t="str">
        <f t="shared" si="71"/>
        <v/>
      </c>
      <c r="N329" s="173" t="str">
        <f t="shared" si="71"/>
        <v/>
      </c>
      <c r="O329" s="173" t="str">
        <f t="shared" si="71"/>
        <v/>
      </c>
      <c r="P329" s="174" t="str">
        <f t="shared" si="71"/>
        <v/>
      </c>
      <c r="Q329" s="174" t="str">
        <f t="shared" si="71"/>
        <v>x</v>
      </c>
      <c r="R329" s="174" t="str">
        <f t="shared" si="71"/>
        <v>BS</v>
      </c>
      <c r="S329" s="174" t="str">
        <f t="shared" si="71"/>
        <v>all</v>
      </c>
      <c r="T329" s="173" t="str">
        <f t="shared" si="71"/>
        <v/>
      </c>
      <c r="U329" s="173" t="str">
        <f t="shared" si="71"/>
        <v/>
      </c>
      <c r="V329" s="173" t="str">
        <f t="shared" si="71"/>
        <v/>
      </c>
      <c r="W329" s="173" t="str">
        <f t="shared" si="71"/>
        <v/>
      </c>
      <c r="X329" s="173" t="str">
        <f t="shared" si="71"/>
        <v/>
      </c>
      <c r="Y329" s="173" t="str">
        <f t="shared" si="71"/>
        <v/>
      </c>
    </row>
    <row r="330" spans="1:25" x14ac:dyDescent="0.3">
      <c r="A330" s="172">
        <f t="shared" si="69"/>
        <v>328</v>
      </c>
      <c r="B330" s="173" t="str">
        <f t="shared" si="70"/>
        <v/>
      </c>
      <c r="C330" s="173" t="str">
        <f t="shared" si="70"/>
        <v/>
      </c>
      <c r="D330" s="173" t="str">
        <f t="shared" si="70"/>
        <v/>
      </c>
      <c r="E330" s="173" t="str">
        <f t="shared" si="70"/>
        <v/>
      </c>
      <c r="F330" s="173" t="str">
        <f t="shared" si="70"/>
        <v/>
      </c>
      <c r="G330" s="173" t="str">
        <f t="shared" si="70"/>
        <v/>
      </c>
      <c r="H330" s="173" t="str">
        <f t="shared" si="70"/>
        <v/>
      </c>
      <c r="I330" s="173" t="str">
        <f t="shared" si="70"/>
        <v/>
      </c>
      <c r="J330" s="173" t="str">
        <f t="shared" si="70"/>
        <v/>
      </c>
      <c r="K330" s="173" t="str">
        <f t="shared" si="70"/>
        <v/>
      </c>
      <c r="L330" s="173" t="str">
        <f t="shared" si="71"/>
        <v>info</v>
      </c>
      <c r="M330" s="173" t="str">
        <f t="shared" si="71"/>
        <v/>
      </c>
      <c r="N330" s="173" t="str">
        <f t="shared" si="71"/>
        <v/>
      </c>
      <c r="O330" s="173" t="str">
        <f t="shared" si="71"/>
        <v/>
      </c>
      <c r="P330" s="174" t="str">
        <f t="shared" si="71"/>
        <v/>
      </c>
      <c r="Q330" s="174" t="str">
        <f t="shared" si="71"/>
        <v>x</v>
      </c>
      <c r="R330" s="174" t="str">
        <f t="shared" si="71"/>
        <v>BS</v>
      </c>
      <c r="S330" s="174" t="str">
        <f t="shared" si="71"/>
        <v>all</v>
      </c>
      <c r="T330" s="173" t="str">
        <f t="shared" si="71"/>
        <v/>
      </c>
      <c r="U330" s="173" t="str">
        <f t="shared" si="71"/>
        <v/>
      </c>
      <c r="V330" s="173" t="str">
        <f t="shared" si="71"/>
        <v/>
      </c>
      <c r="W330" s="173" t="str">
        <f t="shared" si="71"/>
        <v/>
      </c>
      <c r="X330" s="173" t="str">
        <f t="shared" si="71"/>
        <v/>
      </c>
      <c r="Y330" s="173" t="str">
        <f t="shared" si="71"/>
        <v/>
      </c>
    </row>
    <row r="331" spans="1:25" x14ac:dyDescent="0.3">
      <c r="A331" s="172">
        <f t="shared" si="69"/>
        <v>329</v>
      </c>
      <c r="B331" s="173" t="str">
        <f t="shared" si="70"/>
        <v/>
      </c>
      <c r="C331" s="173" t="str">
        <f t="shared" si="70"/>
        <v/>
      </c>
      <c r="D331" s="173" t="str">
        <f t="shared" si="70"/>
        <v/>
      </c>
      <c r="E331" s="173" t="str">
        <f t="shared" si="70"/>
        <v/>
      </c>
      <c r="F331" s="173" t="str">
        <f t="shared" si="70"/>
        <v/>
      </c>
      <c r="G331" s="173" t="str">
        <f t="shared" si="70"/>
        <v/>
      </c>
      <c r="H331" s="173" t="str">
        <f t="shared" si="70"/>
        <v/>
      </c>
      <c r="I331" s="173" t="str">
        <f t="shared" si="70"/>
        <v/>
      </c>
      <c r="J331" s="173" t="str">
        <f t="shared" si="70"/>
        <v/>
      </c>
      <c r="K331" s="173" t="str">
        <f t="shared" si="70"/>
        <v/>
      </c>
      <c r="L331" s="173" t="str">
        <f t="shared" si="71"/>
        <v>info</v>
      </c>
      <c r="M331" s="173" t="str">
        <f t="shared" si="71"/>
        <v/>
      </c>
      <c r="N331" s="173" t="str">
        <f t="shared" si="71"/>
        <v/>
      </c>
      <c r="O331" s="173" t="str">
        <f t="shared" si="71"/>
        <v/>
      </c>
      <c r="P331" s="174" t="str">
        <f t="shared" si="71"/>
        <v/>
      </c>
      <c r="Q331" s="174" t="str">
        <f t="shared" si="71"/>
        <v>x</v>
      </c>
      <c r="R331" s="174" t="str">
        <f t="shared" si="71"/>
        <v>BS</v>
      </c>
      <c r="S331" s="174" t="str">
        <f t="shared" si="71"/>
        <v>all</v>
      </c>
      <c r="T331" s="173" t="str">
        <f t="shared" si="71"/>
        <v/>
      </c>
      <c r="U331" s="173" t="str">
        <f t="shared" si="71"/>
        <v/>
      </c>
      <c r="V331" s="173" t="str">
        <f t="shared" si="71"/>
        <v/>
      </c>
      <c r="W331" s="173" t="str">
        <f t="shared" si="71"/>
        <v/>
      </c>
      <c r="X331" s="173" t="str">
        <f t="shared" si="71"/>
        <v/>
      </c>
      <c r="Y331" s="173" t="str">
        <f t="shared" si="71"/>
        <v/>
      </c>
    </row>
    <row r="332" spans="1:25" x14ac:dyDescent="0.3">
      <c r="A332" s="172">
        <f t="shared" si="69"/>
        <v>330</v>
      </c>
      <c r="B332" s="173" t="str">
        <f t="shared" si="70"/>
        <v/>
      </c>
      <c r="C332" s="173" t="str">
        <f t="shared" si="70"/>
        <v/>
      </c>
      <c r="D332" s="173" t="str">
        <f t="shared" si="70"/>
        <v/>
      </c>
      <c r="E332" s="173" t="str">
        <f t="shared" si="70"/>
        <v/>
      </c>
      <c r="F332" s="173" t="str">
        <f t="shared" si="70"/>
        <v/>
      </c>
      <c r="G332" s="173" t="str">
        <f t="shared" si="70"/>
        <v/>
      </c>
      <c r="H332" s="173" t="str">
        <f t="shared" si="70"/>
        <v/>
      </c>
      <c r="I332" s="173" t="str">
        <f t="shared" si="70"/>
        <v/>
      </c>
      <c r="J332" s="173" t="str">
        <f t="shared" si="70"/>
        <v/>
      </c>
      <c r="K332" s="173" t="str">
        <f t="shared" si="70"/>
        <v/>
      </c>
      <c r="L332" s="173" t="str">
        <f t="shared" si="71"/>
        <v>info</v>
      </c>
      <c r="M332" s="173" t="str">
        <f t="shared" si="71"/>
        <v/>
      </c>
      <c r="N332" s="173" t="str">
        <f t="shared" si="71"/>
        <v/>
      </c>
      <c r="O332" s="173" t="str">
        <f t="shared" si="71"/>
        <v/>
      </c>
      <c r="P332" s="174" t="str">
        <f t="shared" si="71"/>
        <v/>
      </c>
      <c r="Q332" s="174" t="str">
        <f t="shared" si="71"/>
        <v>x</v>
      </c>
      <c r="R332" s="174" t="str">
        <f t="shared" si="71"/>
        <v>BS</v>
      </c>
      <c r="S332" s="174" t="str">
        <f t="shared" si="71"/>
        <v>all</v>
      </c>
      <c r="T332" s="173" t="str">
        <f t="shared" si="71"/>
        <v/>
      </c>
      <c r="U332" s="173" t="str">
        <f t="shared" si="71"/>
        <v/>
      </c>
      <c r="V332" s="173" t="str">
        <f t="shared" si="71"/>
        <v/>
      </c>
      <c r="W332" s="173" t="str">
        <f t="shared" si="71"/>
        <v/>
      </c>
      <c r="X332" s="173" t="str">
        <f t="shared" si="71"/>
        <v/>
      </c>
      <c r="Y332" s="173" t="str">
        <f t="shared" si="71"/>
        <v/>
      </c>
    </row>
    <row r="333" spans="1:25" x14ac:dyDescent="0.3">
      <c r="A333" s="172">
        <f t="shared" si="69"/>
        <v>331</v>
      </c>
      <c r="B333" s="173" t="str">
        <f t="shared" ref="B333:K342" si="72">IF(ISNONTEXT(B$2),IF(B$2="","",IF(INDEX(IMPORT,$A333,B$2)=0,"",IFERROR(VLOOKUP(INDEX(IMPORT,$A333,B$2),ImportTranslation,2,0),INDEX(IMPORT,$A333,B$2)))),B$2)</f>
        <v/>
      </c>
      <c r="C333" s="173" t="str">
        <f t="shared" si="72"/>
        <v/>
      </c>
      <c r="D333" s="173" t="str">
        <f t="shared" si="72"/>
        <v/>
      </c>
      <c r="E333" s="173" t="str">
        <f t="shared" si="72"/>
        <v/>
      </c>
      <c r="F333" s="173" t="str">
        <f t="shared" si="72"/>
        <v/>
      </c>
      <c r="G333" s="173" t="str">
        <f t="shared" si="72"/>
        <v/>
      </c>
      <c r="H333" s="173" t="str">
        <f t="shared" si="72"/>
        <v/>
      </c>
      <c r="I333" s="173" t="str">
        <f t="shared" si="72"/>
        <v/>
      </c>
      <c r="J333" s="173" t="str">
        <f t="shared" si="72"/>
        <v/>
      </c>
      <c r="K333" s="173" t="str">
        <f t="shared" si="72"/>
        <v/>
      </c>
      <c r="L333" s="173" t="str">
        <f t="shared" ref="L333:Y342" si="73">IF(ISNONTEXT(L$2),IF(L$2="","",IF(INDEX(IMPORT,$A333,L$2)=0,"",IFERROR(VLOOKUP(INDEX(IMPORT,$A333,L$2),ImportTranslation,2,0),INDEX(IMPORT,$A333,L$2)))),L$2)</f>
        <v>info</v>
      </c>
      <c r="M333" s="173" t="str">
        <f t="shared" si="73"/>
        <v/>
      </c>
      <c r="N333" s="173" t="str">
        <f t="shared" si="73"/>
        <v/>
      </c>
      <c r="O333" s="173" t="str">
        <f t="shared" si="73"/>
        <v/>
      </c>
      <c r="P333" s="174" t="str">
        <f t="shared" si="73"/>
        <v/>
      </c>
      <c r="Q333" s="174" t="str">
        <f t="shared" si="73"/>
        <v>x</v>
      </c>
      <c r="R333" s="174" t="str">
        <f t="shared" si="73"/>
        <v>BS</v>
      </c>
      <c r="S333" s="174" t="str">
        <f t="shared" si="73"/>
        <v>all</v>
      </c>
      <c r="T333" s="173" t="str">
        <f t="shared" si="73"/>
        <v/>
      </c>
      <c r="U333" s="173" t="str">
        <f t="shared" si="73"/>
        <v/>
      </c>
      <c r="V333" s="173" t="str">
        <f t="shared" si="73"/>
        <v/>
      </c>
      <c r="W333" s="173" t="str">
        <f t="shared" si="73"/>
        <v/>
      </c>
      <c r="X333" s="173" t="str">
        <f t="shared" si="73"/>
        <v/>
      </c>
      <c r="Y333" s="173" t="str">
        <f t="shared" si="73"/>
        <v/>
      </c>
    </row>
    <row r="334" spans="1:25" x14ac:dyDescent="0.3">
      <c r="A334" s="172">
        <f t="shared" si="69"/>
        <v>332</v>
      </c>
      <c r="B334" s="173" t="str">
        <f t="shared" si="72"/>
        <v/>
      </c>
      <c r="C334" s="173" t="str">
        <f t="shared" si="72"/>
        <v/>
      </c>
      <c r="D334" s="173" t="str">
        <f t="shared" si="72"/>
        <v/>
      </c>
      <c r="E334" s="173" t="str">
        <f t="shared" si="72"/>
        <v/>
      </c>
      <c r="F334" s="173" t="str">
        <f t="shared" si="72"/>
        <v/>
      </c>
      <c r="G334" s="173" t="str">
        <f t="shared" si="72"/>
        <v/>
      </c>
      <c r="H334" s="173" t="str">
        <f t="shared" si="72"/>
        <v/>
      </c>
      <c r="I334" s="173" t="str">
        <f t="shared" si="72"/>
        <v/>
      </c>
      <c r="J334" s="173" t="str">
        <f t="shared" si="72"/>
        <v/>
      </c>
      <c r="K334" s="173" t="str">
        <f t="shared" si="72"/>
        <v/>
      </c>
      <c r="L334" s="173" t="str">
        <f t="shared" si="73"/>
        <v>info</v>
      </c>
      <c r="M334" s="173" t="str">
        <f t="shared" si="73"/>
        <v/>
      </c>
      <c r="N334" s="173" t="str">
        <f t="shared" si="73"/>
        <v/>
      </c>
      <c r="O334" s="173" t="str">
        <f t="shared" si="73"/>
        <v/>
      </c>
      <c r="P334" s="174" t="str">
        <f t="shared" si="73"/>
        <v/>
      </c>
      <c r="Q334" s="174" t="str">
        <f t="shared" si="73"/>
        <v>x</v>
      </c>
      <c r="R334" s="174" t="str">
        <f t="shared" si="73"/>
        <v>BS</v>
      </c>
      <c r="S334" s="174" t="str">
        <f t="shared" si="73"/>
        <v>all</v>
      </c>
      <c r="T334" s="173" t="str">
        <f t="shared" si="73"/>
        <v/>
      </c>
      <c r="U334" s="173" t="str">
        <f t="shared" si="73"/>
        <v/>
      </c>
      <c r="V334" s="173" t="str">
        <f t="shared" si="73"/>
        <v/>
      </c>
      <c r="W334" s="173" t="str">
        <f t="shared" si="73"/>
        <v/>
      </c>
      <c r="X334" s="173" t="str">
        <f t="shared" si="73"/>
        <v/>
      </c>
      <c r="Y334" s="173" t="str">
        <f t="shared" si="73"/>
        <v/>
      </c>
    </row>
    <row r="335" spans="1:25" x14ac:dyDescent="0.3">
      <c r="A335" s="172">
        <f t="shared" si="69"/>
        <v>333</v>
      </c>
      <c r="B335" s="173" t="str">
        <f t="shared" si="72"/>
        <v/>
      </c>
      <c r="C335" s="173" t="str">
        <f t="shared" si="72"/>
        <v/>
      </c>
      <c r="D335" s="173" t="str">
        <f t="shared" si="72"/>
        <v/>
      </c>
      <c r="E335" s="173" t="str">
        <f t="shared" si="72"/>
        <v/>
      </c>
      <c r="F335" s="173" t="str">
        <f t="shared" si="72"/>
        <v/>
      </c>
      <c r="G335" s="173" t="str">
        <f t="shared" si="72"/>
        <v/>
      </c>
      <c r="H335" s="173" t="str">
        <f t="shared" si="72"/>
        <v/>
      </c>
      <c r="I335" s="173" t="str">
        <f t="shared" si="72"/>
        <v/>
      </c>
      <c r="J335" s="173" t="str">
        <f t="shared" si="72"/>
        <v/>
      </c>
      <c r="K335" s="173" t="str">
        <f t="shared" si="72"/>
        <v/>
      </c>
      <c r="L335" s="173" t="str">
        <f t="shared" si="73"/>
        <v>info</v>
      </c>
      <c r="M335" s="173" t="str">
        <f t="shared" si="73"/>
        <v/>
      </c>
      <c r="N335" s="173" t="str">
        <f t="shared" si="73"/>
        <v/>
      </c>
      <c r="O335" s="173" t="str">
        <f t="shared" si="73"/>
        <v/>
      </c>
      <c r="P335" s="174" t="str">
        <f t="shared" si="73"/>
        <v/>
      </c>
      <c r="Q335" s="174" t="str">
        <f t="shared" si="73"/>
        <v>x</v>
      </c>
      <c r="R335" s="174" t="str">
        <f t="shared" si="73"/>
        <v>BS</v>
      </c>
      <c r="S335" s="174" t="str">
        <f t="shared" si="73"/>
        <v>all</v>
      </c>
      <c r="T335" s="173" t="str">
        <f t="shared" si="73"/>
        <v/>
      </c>
      <c r="U335" s="173" t="str">
        <f t="shared" si="73"/>
        <v/>
      </c>
      <c r="V335" s="173" t="str">
        <f t="shared" si="73"/>
        <v/>
      </c>
      <c r="W335" s="173" t="str">
        <f t="shared" si="73"/>
        <v/>
      </c>
      <c r="X335" s="173" t="str">
        <f t="shared" si="73"/>
        <v/>
      </c>
      <c r="Y335" s="173" t="str">
        <f t="shared" si="73"/>
        <v/>
      </c>
    </row>
    <row r="336" spans="1:25" x14ac:dyDescent="0.3">
      <c r="A336" s="172">
        <f t="shared" si="69"/>
        <v>334</v>
      </c>
      <c r="B336" s="173" t="str">
        <f t="shared" si="72"/>
        <v/>
      </c>
      <c r="C336" s="173" t="str">
        <f t="shared" si="72"/>
        <v/>
      </c>
      <c r="D336" s="173" t="str">
        <f t="shared" si="72"/>
        <v/>
      </c>
      <c r="E336" s="173" t="str">
        <f t="shared" si="72"/>
        <v/>
      </c>
      <c r="F336" s="173" t="str">
        <f t="shared" si="72"/>
        <v/>
      </c>
      <c r="G336" s="173" t="str">
        <f t="shared" si="72"/>
        <v/>
      </c>
      <c r="H336" s="173" t="str">
        <f t="shared" si="72"/>
        <v/>
      </c>
      <c r="I336" s="173" t="str">
        <f t="shared" si="72"/>
        <v/>
      </c>
      <c r="J336" s="173" t="str">
        <f t="shared" si="72"/>
        <v/>
      </c>
      <c r="K336" s="173" t="str">
        <f t="shared" si="72"/>
        <v/>
      </c>
      <c r="L336" s="173" t="str">
        <f t="shared" si="73"/>
        <v>info</v>
      </c>
      <c r="M336" s="173" t="str">
        <f t="shared" si="73"/>
        <v/>
      </c>
      <c r="N336" s="173" t="str">
        <f t="shared" si="73"/>
        <v/>
      </c>
      <c r="O336" s="173" t="str">
        <f t="shared" si="73"/>
        <v/>
      </c>
      <c r="P336" s="174" t="str">
        <f t="shared" si="73"/>
        <v/>
      </c>
      <c r="Q336" s="174" t="str">
        <f t="shared" si="73"/>
        <v>x</v>
      </c>
      <c r="R336" s="174" t="str">
        <f t="shared" si="73"/>
        <v>BS</v>
      </c>
      <c r="S336" s="174" t="str">
        <f t="shared" si="73"/>
        <v>all</v>
      </c>
      <c r="T336" s="173" t="str">
        <f t="shared" si="73"/>
        <v/>
      </c>
      <c r="U336" s="173" t="str">
        <f t="shared" si="73"/>
        <v/>
      </c>
      <c r="V336" s="173" t="str">
        <f t="shared" si="73"/>
        <v/>
      </c>
      <c r="W336" s="173" t="str">
        <f t="shared" si="73"/>
        <v/>
      </c>
      <c r="X336" s="173" t="str">
        <f t="shared" si="73"/>
        <v/>
      </c>
      <c r="Y336" s="173" t="str">
        <f t="shared" si="73"/>
        <v/>
      </c>
    </row>
    <row r="337" spans="1:25" x14ac:dyDescent="0.3">
      <c r="A337" s="172">
        <f t="shared" si="69"/>
        <v>335</v>
      </c>
      <c r="B337" s="173" t="str">
        <f t="shared" si="72"/>
        <v/>
      </c>
      <c r="C337" s="173" t="str">
        <f t="shared" si="72"/>
        <v/>
      </c>
      <c r="D337" s="173" t="str">
        <f t="shared" si="72"/>
        <v/>
      </c>
      <c r="E337" s="173" t="str">
        <f t="shared" si="72"/>
        <v/>
      </c>
      <c r="F337" s="173" t="str">
        <f t="shared" si="72"/>
        <v/>
      </c>
      <c r="G337" s="173" t="str">
        <f t="shared" si="72"/>
        <v/>
      </c>
      <c r="H337" s="173" t="str">
        <f t="shared" si="72"/>
        <v/>
      </c>
      <c r="I337" s="173" t="str">
        <f t="shared" si="72"/>
        <v/>
      </c>
      <c r="J337" s="173" t="str">
        <f t="shared" si="72"/>
        <v/>
      </c>
      <c r="K337" s="173" t="str">
        <f t="shared" si="72"/>
        <v/>
      </c>
      <c r="L337" s="173" t="str">
        <f t="shared" si="73"/>
        <v>info</v>
      </c>
      <c r="M337" s="173" t="str">
        <f t="shared" si="73"/>
        <v/>
      </c>
      <c r="N337" s="173" t="str">
        <f t="shared" si="73"/>
        <v/>
      </c>
      <c r="O337" s="173" t="str">
        <f t="shared" si="73"/>
        <v/>
      </c>
      <c r="P337" s="174" t="str">
        <f t="shared" si="73"/>
        <v/>
      </c>
      <c r="Q337" s="174" t="str">
        <f t="shared" si="73"/>
        <v>x</v>
      </c>
      <c r="R337" s="174" t="str">
        <f t="shared" si="73"/>
        <v>BS</v>
      </c>
      <c r="S337" s="174" t="str">
        <f t="shared" si="73"/>
        <v>all</v>
      </c>
      <c r="T337" s="173" t="str">
        <f t="shared" si="73"/>
        <v/>
      </c>
      <c r="U337" s="173" t="str">
        <f t="shared" si="73"/>
        <v/>
      </c>
      <c r="V337" s="173" t="str">
        <f t="shared" si="73"/>
        <v/>
      </c>
      <c r="W337" s="173" t="str">
        <f t="shared" si="73"/>
        <v/>
      </c>
      <c r="X337" s="173" t="str">
        <f t="shared" si="73"/>
        <v/>
      </c>
      <c r="Y337" s="173" t="str">
        <f t="shared" si="73"/>
        <v/>
      </c>
    </row>
    <row r="338" spans="1:25" x14ac:dyDescent="0.3">
      <c r="A338" s="172">
        <f t="shared" si="69"/>
        <v>336</v>
      </c>
      <c r="B338" s="173" t="str">
        <f t="shared" si="72"/>
        <v/>
      </c>
      <c r="C338" s="173" t="str">
        <f t="shared" si="72"/>
        <v/>
      </c>
      <c r="D338" s="173" t="str">
        <f t="shared" si="72"/>
        <v/>
      </c>
      <c r="E338" s="173" t="str">
        <f t="shared" si="72"/>
        <v/>
      </c>
      <c r="F338" s="173" t="str">
        <f t="shared" si="72"/>
        <v/>
      </c>
      <c r="G338" s="173" t="str">
        <f t="shared" si="72"/>
        <v/>
      </c>
      <c r="H338" s="173" t="str">
        <f t="shared" si="72"/>
        <v/>
      </c>
      <c r="I338" s="173" t="str">
        <f t="shared" si="72"/>
        <v/>
      </c>
      <c r="J338" s="173" t="str">
        <f t="shared" si="72"/>
        <v/>
      </c>
      <c r="K338" s="173" t="str">
        <f t="shared" si="72"/>
        <v/>
      </c>
      <c r="L338" s="173" t="str">
        <f t="shared" si="73"/>
        <v>info</v>
      </c>
      <c r="M338" s="173" t="str">
        <f t="shared" si="73"/>
        <v/>
      </c>
      <c r="N338" s="173" t="str">
        <f t="shared" si="73"/>
        <v/>
      </c>
      <c r="O338" s="173" t="str">
        <f t="shared" si="73"/>
        <v/>
      </c>
      <c r="P338" s="174" t="str">
        <f t="shared" si="73"/>
        <v/>
      </c>
      <c r="Q338" s="174" t="str">
        <f t="shared" si="73"/>
        <v>x</v>
      </c>
      <c r="R338" s="174" t="str">
        <f t="shared" si="73"/>
        <v>BS</v>
      </c>
      <c r="S338" s="174" t="str">
        <f t="shared" si="73"/>
        <v>all</v>
      </c>
      <c r="T338" s="173" t="str">
        <f t="shared" si="73"/>
        <v/>
      </c>
      <c r="U338" s="173" t="str">
        <f t="shared" si="73"/>
        <v/>
      </c>
      <c r="V338" s="173" t="str">
        <f t="shared" si="73"/>
        <v/>
      </c>
      <c r="W338" s="173" t="str">
        <f t="shared" si="73"/>
        <v/>
      </c>
      <c r="X338" s="173" t="str">
        <f t="shared" si="73"/>
        <v/>
      </c>
      <c r="Y338" s="173" t="str">
        <f t="shared" si="73"/>
        <v/>
      </c>
    </row>
    <row r="339" spans="1:25" x14ac:dyDescent="0.3">
      <c r="A339" s="172">
        <f t="shared" si="69"/>
        <v>337</v>
      </c>
      <c r="B339" s="173" t="str">
        <f t="shared" si="72"/>
        <v/>
      </c>
      <c r="C339" s="173" t="str">
        <f t="shared" si="72"/>
        <v/>
      </c>
      <c r="D339" s="173" t="str">
        <f t="shared" si="72"/>
        <v/>
      </c>
      <c r="E339" s="173" t="str">
        <f t="shared" si="72"/>
        <v/>
      </c>
      <c r="F339" s="173" t="str">
        <f t="shared" si="72"/>
        <v/>
      </c>
      <c r="G339" s="173" t="str">
        <f t="shared" si="72"/>
        <v/>
      </c>
      <c r="H339" s="173" t="str">
        <f t="shared" si="72"/>
        <v/>
      </c>
      <c r="I339" s="173" t="str">
        <f t="shared" si="72"/>
        <v/>
      </c>
      <c r="J339" s="173" t="str">
        <f t="shared" si="72"/>
        <v/>
      </c>
      <c r="K339" s="173" t="str">
        <f t="shared" si="72"/>
        <v/>
      </c>
      <c r="L339" s="173" t="str">
        <f t="shared" si="73"/>
        <v>info</v>
      </c>
      <c r="M339" s="173" t="str">
        <f t="shared" si="73"/>
        <v/>
      </c>
      <c r="N339" s="173" t="str">
        <f t="shared" si="73"/>
        <v/>
      </c>
      <c r="O339" s="173" t="str">
        <f t="shared" si="73"/>
        <v/>
      </c>
      <c r="P339" s="174" t="str">
        <f t="shared" si="73"/>
        <v/>
      </c>
      <c r="Q339" s="174" t="str">
        <f t="shared" si="73"/>
        <v>x</v>
      </c>
      <c r="R339" s="174" t="str">
        <f t="shared" si="73"/>
        <v>BS</v>
      </c>
      <c r="S339" s="174" t="str">
        <f t="shared" si="73"/>
        <v>all</v>
      </c>
      <c r="T339" s="173" t="str">
        <f t="shared" si="73"/>
        <v/>
      </c>
      <c r="U339" s="173" t="str">
        <f t="shared" si="73"/>
        <v/>
      </c>
      <c r="V339" s="173" t="str">
        <f t="shared" si="73"/>
        <v/>
      </c>
      <c r="W339" s="173" t="str">
        <f t="shared" si="73"/>
        <v/>
      </c>
      <c r="X339" s="173" t="str">
        <f t="shared" si="73"/>
        <v/>
      </c>
      <c r="Y339" s="173" t="str">
        <f t="shared" si="73"/>
        <v/>
      </c>
    </row>
    <row r="340" spans="1:25" x14ac:dyDescent="0.3">
      <c r="A340" s="172">
        <f t="shared" si="69"/>
        <v>338</v>
      </c>
      <c r="B340" s="173" t="str">
        <f t="shared" si="72"/>
        <v/>
      </c>
      <c r="C340" s="173" t="str">
        <f t="shared" si="72"/>
        <v/>
      </c>
      <c r="D340" s="173" t="str">
        <f t="shared" si="72"/>
        <v/>
      </c>
      <c r="E340" s="173" t="str">
        <f t="shared" si="72"/>
        <v/>
      </c>
      <c r="F340" s="173" t="str">
        <f t="shared" si="72"/>
        <v/>
      </c>
      <c r="G340" s="173" t="str">
        <f t="shared" si="72"/>
        <v/>
      </c>
      <c r="H340" s="173" t="str">
        <f t="shared" si="72"/>
        <v/>
      </c>
      <c r="I340" s="173" t="str">
        <f t="shared" si="72"/>
        <v/>
      </c>
      <c r="J340" s="173" t="str">
        <f t="shared" si="72"/>
        <v/>
      </c>
      <c r="K340" s="173" t="str">
        <f t="shared" si="72"/>
        <v/>
      </c>
      <c r="L340" s="173" t="str">
        <f t="shared" si="73"/>
        <v>info</v>
      </c>
      <c r="M340" s="173" t="str">
        <f t="shared" si="73"/>
        <v/>
      </c>
      <c r="N340" s="173" t="str">
        <f t="shared" si="73"/>
        <v/>
      </c>
      <c r="O340" s="173" t="str">
        <f t="shared" si="73"/>
        <v/>
      </c>
      <c r="P340" s="174" t="str">
        <f t="shared" si="73"/>
        <v/>
      </c>
      <c r="Q340" s="174" t="str">
        <f t="shared" si="73"/>
        <v>x</v>
      </c>
      <c r="R340" s="174" t="str">
        <f t="shared" si="73"/>
        <v>BS</v>
      </c>
      <c r="S340" s="174" t="str">
        <f t="shared" si="73"/>
        <v>all</v>
      </c>
      <c r="T340" s="173" t="str">
        <f t="shared" si="73"/>
        <v/>
      </c>
      <c r="U340" s="173" t="str">
        <f t="shared" si="73"/>
        <v/>
      </c>
      <c r="V340" s="173" t="str">
        <f t="shared" si="73"/>
        <v/>
      </c>
      <c r="W340" s="173" t="str">
        <f t="shared" si="73"/>
        <v/>
      </c>
      <c r="X340" s="173" t="str">
        <f t="shared" si="73"/>
        <v/>
      </c>
      <c r="Y340" s="173" t="str">
        <f t="shared" si="73"/>
        <v/>
      </c>
    </row>
    <row r="341" spans="1:25" x14ac:dyDescent="0.3">
      <c r="A341" s="172">
        <f t="shared" si="69"/>
        <v>339</v>
      </c>
      <c r="B341" s="173" t="str">
        <f t="shared" si="72"/>
        <v/>
      </c>
      <c r="C341" s="173" t="str">
        <f t="shared" si="72"/>
        <v/>
      </c>
      <c r="D341" s="173" t="str">
        <f t="shared" si="72"/>
        <v/>
      </c>
      <c r="E341" s="173" t="str">
        <f t="shared" si="72"/>
        <v/>
      </c>
      <c r="F341" s="173" t="str">
        <f t="shared" si="72"/>
        <v/>
      </c>
      <c r="G341" s="173" t="str">
        <f t="shared" si="72"/>
        <v/>
      </c>
      <c r="H341" s="173" t="str">
        <f t="shared" si="72"/>
        <v/>
      </c>
      <c r="I341" s="173" t="str">
        <f t="shared" si="72"/>
        <v/>
      </c>
      <c r="J341" s="173" t="str">
        <f t="shared" si="72"/>
        <v/>
      </c>
      <c r="K341" s="173" t="str">
        <f t="shared" si="72"/>
        <v/>
      </c>
      <c r="L341" s="173" t="str">
        <f t="shared" si="73"/>
        <v>info</v>
      </c>
      <c r="M341" s="173" t="str">
        <f t="shared" si="73"/>
        <v/>
      </c>
      <c r="N341" s="173" t="str">
        <f t="shared" si="73"/>
        <v/>
      </c>
      <c r="O341" s="173" t="str">
        <f t="shared" si="73"/>
        <v/>
      </c>
      <c r="P341" s="174" t="str">
        <f t="shared" si="73"/>
        <v/>
      </c>
      <c r="Q341" s="174" t="str">
        <f t="shared" si="73"/>
        <v>x</v>
      </c>
      <c r="R341" s="174" t="str">
        <f t="shared" si="73"/>
        <v>BS</v>
      </c>
      <c r="S341" s="174" t="str">
        <f t="shared" si="73"/>
        <v>all</v>
      </c>
      <c r="T341" s="173" t="str">
        <f t="shared" si="73"/>
        <v/>
      </c>
      <c r="U341" s="173" t="str">
        <f t="shared" si="73"/>
        <v/>
      </c>
      <c r="V341" s="173" t="str">
        <f t="shared" si="73"/>
        <v/>
      </c>
      <c r="W341" s="173" t="str">
        <f t="shared" si="73"/>
        <v/>
      </c>
      <c r="X341" s="173" t="str">
        <f t="shared" si="73"/>
        <v/>
      </c>
      <c r="Y341" s="173" t="str">
        <f t="shared" si="73"/>
        <v/>
      </c>
    </row>
    <row r="342" spans="1:25" x14ac:dyDescent="0.3">
      <c r="A342" s="172">
        <f t="shared" si="69"/>
        <v>340</v>
      </c>
      <c r="B342" s="173" t="str">
        <f t="shared" si="72"/>
        <v/>
      </c>
      <c r="C342" s="173" t="str">
        <f t="shared" si="72"/>
        <v/>
      </c>
      <c r="D342" s="173" t="str">
        <f t="shared" si="72"/>
        <v/>
      </c>
      <c r="E342" s="173" t="str">
        <f t="shared" si="72"/>
        <v/>
      </c>
      <c r="F342" s="173" t="str">
        <f t="shared" si="72"/>
        <v/>
      </c>
      <c r="G342" s="173" t="str">
        <f t="shared" si="72"/>
        <v/>
      </c>
      <c r="H342" s="173" t="str">
        <f t="shared" si="72"/>
        <v/>
      </c>
      <c r="I342" s="173" t="str">
        <f t="shared" si="72"/>
        <v/>
      </c>
      <c r="J342" s="173" t="str">
        <f t="shared" si="72"/>
        <v/>
      </c>
      <c r="K342" s="173" t="str">
        <f t="shared" si="72"/>
        <v/>
      </c>
      <c r="L342" s="173" t="str">
        <f t="shared" si="73"/>
        <v>info</v>
      </c>
      <c r="M342" s="173" t="str">
        <f t="shared" si="73"/>
        <v/>
      </c>
      <c r="N342" s="173" t="str">
        <f t="shared" si="73"/>
        <v/>
      </c>
      <c r="O342" s="173" t="str">
        <f t="shared" si="73"/>
        <v/>
      </c>
      <c r="P342" s="174" t="str">
        <f t="shared" si="73"/>
        <v/>
      </c>
      <c r="Q342" s="174" t="str">
        <f t="shared" si="73"/>
        <v>x</v>
      </c>
      <c r="R342" s="174" t="str">
        <f t="shared" si="73"/>
        <v>BS</v>
      </c>
      <c r="S342" s="174" t="str">
        <f t="shared" si="73"/>
        <v>all</v>
      </c>
      <c r="T342" s="173" t="str">
        <f t="shared" si="73"/>
        <v/>
      </c>
      <c r="U342" s="173" t="str">
        <f t="shared" si="73"/>
        <v/>
      </c>
      <c r="V342" s="173" t="str">
        <f t="shared" si="73"/>
        <v/>
      </c>
      <c r="W342" s="173" t="str">
        <f t="shared" si="73"/>
        <v/>
      </c>
      <c r="X342" s="173" t="str">
        <f t="shared" si="73"/>
        <v/>
      </c>
      <c r="Y342" s="173" t="str">
        <f t="shared" si="73"/>
        <v/>
      </c>
    </row>
    <row r="343" spans="1:25" x14ac:dyDescent="0.3">
      <c r="A343" s="172">
        <f t="shared" si="69"/>
        <v>341</v>
      </c>
      <c r="B343" s="173" t="str">
        <f t="shared" ref="B343:K352" si="74">IF(ISNONTEXT(B$2),IF(B$2="","",IF(INDEX(IMPORT,$A343,B$2)=0,"",IFERROR(VLOOKUP(INDEX(IMPORT,$A343,B$2),ImportTranslation,2,0),INDEX(IMPORT,$A343,B$2)))),B$2)</f>
        <v/>
      </c>
      <c r="C343" s="173" t="str">
        <f t="shared" si="74"/>
        <v/>
      </c>
      <c r="D343" s="173" t="str">
        <f t="shared" si="74"/>
        <v/>
      </c>
      <c r="E343" s="173" t="str">
        <f t="shared" si="74"/>
        <v/>
      </c>
      <c r="F343" s="173" t="str">
        <f t="shared" si="74"/>
        <v/>
      </c>
      <c r="G343" s="173" t="str">
        <f t="shared" si="74"/>
        <v/>
      </c>
      <c r="H343" s="173" t="str">
        <f t="shared" si="74"/>
        <v/>
      </c>
      <c r="I343" s="173" t="str">
        <f t="shared" si="74"/>
        <v/>
      </c>
      <c r="J343" s="173" t="str">
        <f t="shared" si="74"/>
        <v/>
      </c>
      <c r="K343" s="173" t="str">
        <f t="shared" si="74"/>
        <v/>
      </c>
      <c r="L343" s="173" t="str">
        <f t="shared" ref="L343:Y352" si="75">IF(ISNONTEXT(L$2),IF(L$2="","",IF(INDEX(IMPORT,$A343,L$2)=0,"",IFERROR(VLOOKUP(INDEX(IMPORT,$A343,L$2),ImportTranslation,2,0),INDEX(IMPORT,$A343,L$2)))),L$2)</f>
        <v>info</v>
      </c>
      <c r="M343" s="173" t="str">
        <f t="shared" si="75"/>
        <v/>
      </c>
      <c r="N343" s="173" t="str">
        <f t="shared" si="75"/>
        <v/>
      </c>
      <c r="O343" s="173" t="str">
        <f t="shared" si="75"/>
        <v/>
      </c>
      <c r="P343" s="174" t="str">
        <f t="shared" si="75"/>
        <v/>
      </c>
      <c r="Q343" s="174" t="str">
        <f t="shared" si="75"/>
        <v>x</v>
      </c>
      <c r="R343" s="174" t="str">
        <f t="shared" si="75"/>
        <v>BS</v>
      </c>
      <c r="S343" s="174" t="str">
        <f t="shared" si="75"/>
        <v>all</v>
      </c>
      <c r="T343" s="173" t="str">
        <f t="shared" si="75"/>
        <v/>
      </c>
      <c r="U343" s="173" t="str">
        <f t="shared" si="75"/>
        <v/>
      </c>
      <c r="V343" s="173" t="str">
        <f t="shared" si="75"/>
        <v/>
      </c>
      <c r="W343" s="173" t="str">
        <f t="shared" si="75"/>
        <v/>
      </c>
      <c r="X343" s="173" t="str">
        <f t="shared" si="75"/>
        <v/>
      </c>
      <c r="Y343" s="173" t="str">
        <f t="shared" si="75"/>
        <v/>
      </c>
    </row>
    <row r="344" spans="1:25" x14ac:dyDescent="0.3">
      <c r="A344" s="172">
        <f t="shared" si="69"/>
        <v>342</v>
      </c>
      <c r="B344" s="173" t="str">
        <f t="shared" si="74"/>
        <v/>
      </c>
      <c r="C344" s="173" t="str">
        <f t="shared" si="74"/>
        <v/>
      </c>
      <c r="D344" s="173" t="str">
        <f t="shared" si="74"/>
        <v/>
      </c>
      <c r="E344" s="173" t="str">
        <f t="shared" si="74"/>
        <v/>
      </c>
      <c r="F344" s="173" t="str">
        <f t="shared" si="74"/>
        <v/>
      </c>
      <c r="G344" s="173" t="str">
        <f t="shared" si="74"/>
        <v/>
      </c>
      <c r="H344" s="173" t="str">
        <f t="shared" si="74"/>
        <v/>
      </c>
      <c r="I344" s="173" t="str">
        <f t="shared" si="74"/>
        <v/>
      </c>
      <c r="J344" s="173" t="str">
        <f t="shared" si="74"/>
        <v/>
      </c>
      <c r="K344" s="173" t="str">
        <f t="shared" si="74"/>
        <v/>
      </c>
      <c r="L344" s="173" t="str">
        <f t="shared" si="75"/>
        <v>info</v>
      </c>
      <c r="M344" s="173" t="str">
        <f t="shared" si="75"/>
        <v/>
      </c>
      <c r="N344" s="173" t="str">
        <f t="shared" si="75"/>
        <v/>
      </c>
      <c r="O344" s="173" t="str">
        <f t="shared" si="75"/>
        <v/>
      </c>
      <c r="P344" s="174" t="str">
        <f t="shared" si="75"/>
        <v/>
      </c>
      <c r="Q344" s="174" t="str">
        <f t="shared" si="75"/>
        <v>x</v>
      </c>
      <c r="R344" s="174" t="str">
        <f t="shared" si="75"/>
        <v>BS</v>
      </c>
      <c r="S344" s="174" t="str">
        <f t="shared" si="75"/>
        <v>all</v>
      </c>
      <c r="T344" s="173" t="str">
        <f t="shared" si="75"/>
        <v/>
      </c>
      <c r="U344" s="173" t="str">
        <f t="shared" si="75"/>
        <v/>
      </c>
      <c r="V344" s="173" t="str">
        <f t="shared" si="75"/>
        <v/>
      </c>
      <c r="W344" s="173" t="str">
        <f t="shared" si="75"/>
        <v/>
      </c>
      <c r="X344" s="173" t="str">
        <f t="shared" si="75"/>
        <v/>
      </c>
      <c r="Y344" s="173" t="str">
        <f t="shared" si="75"/>
        <v/>
      </c>
    </row>
    <row r="345" spans="1:25" x14ac:dyDescent="0.3">
      <c r="A345" s="172">
        <f t="shared" si="69"/>
        <v>343</v>
      </c>
      <c r="B345" s="173" t="str">
        <f t="shared" si="74"/>
        <v/>
      </c>
      <c r="C345" s="173" t="str">
        <f t="shared" si="74"/>
        <v/>
      </c>
      <c r="D345" s="173" t="str">
        <f t="shared" si="74"/>
        <v/>
      </c>
      <c r="E345" s="173" t="str">
        <f t="shared" si="74"/>
        <v/>
      </c>
      <c r="F345" s="173" t="str">
        <f t="shared" si="74"/>
        <v/>
      </c>
      <c r="G345" s="173" t="str">
        <f t="shared" si="74"/>
        <v/>
      </c>
      <c r="H345" s="173" t="str">
        <f t="shared" si="74"/>
        <v/>
      </c>
      <c r="I345" s="173" t="str">
        <f t="shared" si="74"/>
        <v/>
      </c>
      <c r="J345" s="173" t="str">
        <f t="shared" si="74"/>
        <v/>
      </c>
      <c r="K345" s="173" t="str">
        <f t="shared" si="74"/>
        <v/>
      </c>
      <c r="L345" s="173" t="str">
        <f t="shared" si="75"/>
        <v>info</v>
      </c>
      <c r="M345" s="173" t="str">
        <f t="shared" si="75"/>
        <v/>
      </c>
      <c r="N345" s="173" t="str">
        <f t="shared" si="75"/>
        <v/>
      </c>
      <c r="O345" s="173" t="str">
        <f t="shared" si="75"/>
        <v/>
      </c>
      <c r="P345" s="174" t="str">
        <f t="shared" si="75"/>
        <v/>
      </c>
      <c r="Q345" s="174" t="str">
        <f t="shared" si="75"/>
        <v>x</v>
      </c>
      <c r="R345" s="174" t="str">
        <f t="shared" si="75"/>
        <v>BS</v>
      </c>
      <c r="S345" s="174" t="str">
        <f t="shared" si="75"/>
        <v>all</v>
      </c>
      <c r="T345" s="173" t="str">
        <f t="shared" si="75"/>
        <v/>
      </c>
      <c r="U345" s="173" t="str">
        <f t="shared" si="75"/>
        <v/>
      </c>
      <c r="V345" s="173" t="str">
        <f t="shared" si="75"/>
        <v/>
      </c>
      <c r="W345" s="173" t="str">
        <f t="shared" si="75"/>
        <v/>
      </c>
      <c r="X345" s="173" t="str">
        <f t="shared" si="75"/>
        <v/>
      </c>
      <c r="Y345" s="173" t="str">
        <f t="shared" si="75"/>
        <v/>
      </c>
    </row>
    <row r="346" spans="1:25" x14ac:dyDescent="0.3">
      <c r="A346" s="172">
        <f t="shared" si="69"/>
        <v>344</v>
      </c>
      <c r="B346" s="173" t="str">
        <f t="shared" si="74"/>
        <v/>
      </c>
      <c r="C346" s="173" t="str">
        <f t="shared" si="74"/>
        <v/>
      </c>
      <c r="D346" s="173" t="str">
        <f t="shared" si="74"/>
        <v/>
      </c>
      <c r="E346" s="173" t="str">
        <f t="shared" si="74"/>
        <v/>
      </c>
      <c r="F346" s="173" t="str">
        <f t="shared" si="74"/>
        <v/>
      </c>
      <c r="G346" s="173" t="str">
        <f t="shared" si="74"/>
        <v/>
      </c>
      <c r="H346" s="173" t="str">
        <f t="shared" si="74"/>
        <v/>
      </c>
      <c r="I346" s="173" t="str">
        <f t="shared" si="74"/>
        <v/>
      </c>
      <c r="J346" s="173" t="str">
        <f t="shared" si="74"/>
        <v/>
      </c>
      <c r="K346" s="173" t="str">
        <f t="shared" si="74"/>
        <v/>
      </c>
      <c r="L346" s="173" t="str">
        <f t="shared" si="75"/>
        <v>info</v>
      </c>
      <c r="M346" s="173" t="str">
        <f t="shared" si="75"/>
        <v/>
      </c>
      <c r="N346" s="173" t="str">
        <f t="shared" si="75"/>
        <v/>
      </c>
      <c r="O346" s="173" t="str">
        <f t="shared" si="75"/>
        <v/>
      </c>
      <c r="P346" s="174" t="str">
        <f t="shared" si="75"/>
        <v/>
      </c>
      <c r="Q346" s="174" t="str">
        <f t="shared" si="75"/>
        <v>x</v>
      </c>
      <c r="R346" s="174" t="str">
        <f t="shared" si="75"/>
        <v>BS</v>
      </c>
      <c r="S346" s="174" t="str">
        <f t="shared" si="75"/>
        <v>all</v>
      </c>
      <c r="T346" s="173" t="str">
        <f t="shared" si="75"/>
        <v/>
      </c>
      <c r="U346" s="173" t="str">
        <f t="shared" si="75"/>
        <v/>
      </c>
      <c r="V346" s="173" t="str">
        <f t="shared" si="75"/>
        <v/>
      </c>
      <c r="W346" s="173" t="str">
        <f t="shared" si="75"/>
        <v/>
      </c>
      <c r="X346" s="173" t="str">
        <f t="shared" si="75"/>
        <v/>
      </c>
      <c r="Y346" s="173" t="str">
        <f t="shared" si="75"/>
        <v/>
      </c>
    </row>
    <row r="347" spans="1:25" x14ac:dyDescent="0.3">
      <c r="A347" s="172">
        <f t="shared" si="69"/>
        <v>345</v>
      </c>
      <c r="B347" s="173" t="str">
        <f t="shared" si="74"/>
        <v/>
      </c>
      <c r="C347" s="173" t="str">
        <f t="shared" si="74"/>
        <v/>
      </c>
      <c r="D347" s="173" t="str">
        <f t="shared" si="74"/>
        <v/>
      </c>
      <c r="E347" s="173" t="str">
        <f t="shared" si="74"/>
        <v/>
      </c>
      <c r="F347" s="173" t="str">
        <f t="shared" si="74"/>
        <v/>
      </c>
      <c r="G347" s="173" t="str">
        <f t="shared" si="74"/>
        <v/>
      </c>
      <c r="H347" s="173" t="str">
        <f t="shared" si="74"/>
        <v/>
      </c>
      <c r="I347" s="173" t="str">
        <f t="shared" si="74"/>
        <v/>
      </c>
      <c r="J347" s="173" t="str">
        <f t="shared" si="74"/>
        <v/>
      </c>
      <c r="K347" s="173" t="str">
        <f t="shared" si="74"/>
        <v/>
      </c>
      <c r="L347" s="173" t="str">
        <f t="shared" si="75"/>
        <v>info</v>
      </c>
      <c r="M347" s="173" t="str">
        <f t="shared" si="75"/>
        <v/>
      </c>
      <c r="N347" s="173" t="str">
        <f t="shared" si="75"/>
        <v/>
      </c>
      <c r="O347" s="173" t="str">
        <f t="shared" si="75"/>
        <v/>
      </c>
      <c r="P347" s="174" t="str">
        <f t="shared" si="75"/>
        <v/>
      </c>
      <c r="Q347" s="174" t="str">
        <f t="shared" si="75"/>
        <v>x</v>
      </c>
      <c r="R347" s="174" t="str">
        <f t="shared" si="75"/>
        <v>BS</v>
      </c>
      <c r="S347" s="174" t="str">
        <f t="shared" si="75"/>
        <v>all</v>
      </c>
      <c r="T347" s="173" t="str">
        <f t="shared" si="75"/>
        <v/>
      </c>
      <c r="U347" s="173" t="str">
        <f t="shared" si="75"/>
        <v/>
      </c>
      <c r="V347" s="173" t="str">
        <f t="shared" si="75"/>
        <v/>
      </c>
      <c r="W347" s="173" t="str">
        <f t="shared" si="75"/>
        <v/>
      </c>
      <c r="X347" s="173" t="str">
        <f t="shared" si="75"/>
        <v/>
      </c>
      <c r="Y347" s="173" t="str">
        <f t="shared" si="75"/>
        <v/>
      </c>
    </row>
    <row r="348" spans="1:25" x14ac:dyDescent="0.3">
      <c r="A348" s="172">
        <f t="shared" si="69"/>
        <v>346</v>
      </c>
      <c r="B348" s="173" t="str">
        <f t="shared" si="74"/>
        <v/>
      </c>
      <c r="C348" s="173" t="str">
        <f t="shared" si="74"/>
        <v/>
      </c>
      <c r="D348" s="173" t="str">
        <f t="shared" si="74"/>
        <v/>
      </c>
      <c r="E348" s="173" t="str">
        <f t="shared" si="74"/>
        <v/>
      </c>
      <c r="F348" s="173" t="str">
        <f t="shared" si="74"/>
        <v/>
      </c>
      <c r="G348" s="173" t="str">
        <f t="shared" si="74"/>
        <v/>
      </c>
      <c r="H348" s="173" t="str">
        <f t="shared" si="74"/>
        <v/>
      </c>
      <c r="I348" s="173" t="str">
        <f t="shared" si="74"/>
        <v/>
      </c>
      <c r="J348" s="173" t="str">
        <f t="shared" si="74"/>
        <v/>
      </c>
      <c r="K348" s="173" t="str">
        <f t="shared" si="74"/>
        <v/>
      </c>
      <c r="L348" s="173" t="str">
        <f t="shared" si="75"/>
        <v>info</v>
      </c>
      <c r="M348" s="173" t="str">
        <f t="shared" si="75"/>
        <v/>
      </c>
      <c r="N348" s="173" t="str">
        <f t="shared" si="75"/>
        <v/>
      </c>
      <c r="O348" s="173" t="str">
        <f t="shared" si="75"/>
        <v/>
      </c>
      <c r="P348" s="174" t="str">
        <f t="shared" si="75"/>
        <v/>
      </c>
      <c r="Q348" s="174" t="str">
        <f t="shared" si="75"/>
        <v>x</v>
      </c>
      <c r="R348" s="174" t="str">
        <f t="shared" si="75"/>
        <v>BS</v>
      </c>
      <c r="S348" s="174" t="str">
        <f t="shared" si="75"/>
        <v>all</v>
      </c>
      <c r="T348" s="173" t="str">
        <f t="shared" si="75"/>
        <v/>
      </c>
      <c r="U348" s="173" t="str">
        <f t="shared" si="75"/>
        <v/>
      </c>
      <c r="V348" s="173" t="str">
        <f t="shared" si="75"/>
        <v/>
      </c>
      <c r="W348" s="173" t="str">
        <f t="shared" si="75"/>
        <v/>
      </c>
      <c r="X348" s="173" t="str">
        <f t="shared" si="75"/>
        <v/>
      </c>
      <c r="Y348" s="173" t="str">
        <f t="shared" si="75"/>
        <v/>
      </c>
    </row>
    <row r="349" spans="1:25" x14ac:dyDescent="0.3">
      <c r="A349" s="172">
        <f t="shared" si="69"/>
        <v>347</v>
      </c>
      <c r="B349" s="173" t="str">
        <f t="shared" si="74"/>
        <v/>
      </c>
      <c r="C349" s="173" t="str">
        <f t="shared" si="74"/>
        <v/>
      </c>
      <c r="D349" s="173" t="str">
        <f t="shared" si="74"/>
        <v/>
      </c>
      <c r="E349" s="173" t="str">
        <f t="shared" si="74"/>
        <v/>
      </c>
      <c r="F349" s="173" t="str">
        <f t="shared" si="74"/>
        <v/>
      </c>
      <c r="G349" s="173" t="str">
        <f t="shared" si="74"/>
        <v/>
      </c>
      <c r="H349" s="173" t="str">
        <f t="shared" si="74"/>
        <v/>
      </c>
      <c r="I349" s="173" t="str">
        <f t="shared" si="74"/>
        <v/>
      </c>
      <c r="J349" s="173" t="str">
        <f t="shared" si="74"/>
        <v/>
      </c>
      <c r="K349" s="173" t="str">
        <f t="shared" si="74"/>
        <v/>
      </c>
      <c r="L349" s="173" t="str">
        <f t="shared" si="75"/>
        <v>info</v>
      </c>
      <c r="M349" s="173" t="str">
        <f t="shared" si="75"/>
        <v/>
      </c>
      <c r="N349" s="173" t="str">
        <f t="shared" si="75"/>
        <v/>
      </c>
      <c r="O349" s="173" t="str">
        <f t="shared" si="75"/>
        <v/>
      </c>
      <c r="P349" s="174" t="str">
        <f t="shared" si="75"/>
        <v/>
      </c>
      <c r="Q349" s="174" t="str">
        <f t="shared" si="75"/>
        <v>x</v>
      </c>
      <c r="R349" s="174" t="str">
        <f t="shared" si="75"/>
        <v>BS</v>
      </c>
      <c r="S349" s="174" t="str">
        <f t="shared" si="75"/>
        <v>all</v>
      </c>
      <c r="T349" s="173" t="str">
        <f t="shared" si="75"/>
        <v/>
      </c>
      <c r="U349" s="173" t="str">
        <f t="shared" si="75"/>
        <v/>
      </c>
      <c r="V349" s="173" t="str">
        <f t="shared" si="75"/>
        <v/>
      </c>
      <c r="W349" s="173" t="str">
        <f t="shared" si="75"/>
        <v/>
      </c>
      <c r="X349" s="173" t="str">
        <f t="shared" si="75"/>
        <v/>
      </c>
      <c r="Y349" s="173" t="str">
        <f t="shared" si="75"/>
        <v/>
      </c>
    </row>
    <row r="350" spans="1:25" x14ac:dyDescent="0.3">
      <c r="A350" s="172">
        <f t="shared" si="69"/>
        <v>348</v>
      </c>
      <c r="B350" s="173" t="str">
        <f t="shared" si="74"/>
        <v/>
      </c>
      <c r="C350" s="173" t="str">
        <f t="shared" si="74"/>
        <v/>
      </c>
      <c r="D350" s="173" t="str">
        <f t="shared" si="74"/>
        <v/>
      </c>
      <c r="E350" s="173" t="str">
        <f t="shared" si="74"/>
        <v/>
      </c>
      <c r="F350" s="173" t="str">
        <f t="shared" si="74"/>
        <v/>
      </c>
      <c r="G350" s="173" t="str">
        <f t="shared" si="74"/>
        <v/>
      </c>
      <c r="H350" s="173" t="str">
        <f t="shared" si="74"/>
        <v/>
      </c>
      <c r="I350" s="173" t="str">
        <f t="shared" si="74"/>
        <v/>
      </c>
      <c r="J350" s="173" t="str">
        <f t="shared" si="74"/>
        <v/>
      </c>
      <c r="K350" s="173" t="str">
        <f t="shared" si="74"/>
        <v/>
      </c>
      <c r="L350" s="173" t="str">
        <f t="shared" si="75"/>
        <v>info</v>
      </c>
      <c r="M350" s="173" t="str">
        <f t="shared" si="75"/>
        <v/>
      </c>
      <c r="N350" s="173" t="str">
        <f t="shared" si="75"/>
        <v/>
      </c>
      <c r="O350" s="173" t="str">
        <f t="shared" si="75"/>
        <v/>
      </c>
      <c r="P350" s="174" t="str">
        <f t="shared" si="75"/>
        <v/>
      </c>
      <c r="Q350" s="174" t="str">
        <f t="shared" si="75"/>
        <v>x</v>
      </c>
      <c r="R350" s="174" t="str">
        <f t="shared" si="75"/>
        <v>BS</v>
      </c>
      <c r="S350" s="174" t="str">
        <f t="shared" si="75"/>
        <v>all</v>
      </c>
      <c r="T350" s="173" t="str">
        <f t="shared" si="75"/>
        <v/>
      </c>
      <c r="U350" s="173" t="str">
        <f t="shared" si="75"/>
        <v/>
      </c>
      <c r="V350" s="173" t="str">
        <f t="shared" si="75"/>
        <v/>
      </c>
      <c r="W350" s="173" t="str">
        <f t="shared" si="75"/>
        <v/>
      </c>
      <c r="X350" s="173" t="str">
        <f t="shared" si="75"/>
        <v/>
      </c>
      <c r="Y350" s="173" t="str">
        <f t="shared" si="75"/>
        <v/>
      </c>
    </row>
    <row r="351" spans="1:25" x14ac:dyDescent="0.3">
      <c r="A351" s="172">
        <f t="shared" si="69"/>
        <v>349</v>
      </c>
      <c r="B351" s="173" t="str">
        <f t="shared" si="74"/>
        <v/>
      </c>
      <c r="C351" s="173" t="str">
        <f t="shared" si="74"/>
        <v/>
      </c>
      <c r="D351" s="173" t="str">
        <f t="shared" si="74"/>
        <v/>
      </c>
      <c r="E351" s="173" t="str">
        <f t="shared" si="74"/>
        <v/>
      </c>
      <c r="F351" s="173" t="str">
        <f t="shared" si="74"/>
        <v/>
      </c>
      <c r="G351" s="173" t="str">
        <f t="shared" si="74"/>
        <v/>
      </c>
      <c r="H351" s="173" t="str">
        <f t="shared" si="74"/>
        <v/>
      </c>
      <c r="I351" s="173" t="str">
        <f t="shared" si="74"/>
        <v/>
      </c>
      <c r="J351" s="173" t="str">
        <f t="shared" si="74"/>
        <v/>
      </c>
      <c r="K351" s="173" t="str">
        <f t="shared" si="74"/>
        <v/>
      </c>
      <c r="L351" s="173" t="str">
        <f t="shared" si="75"/>
        <v>info</v>
      </c>
      <c r="M351" s="173" t="str">
        <f t="shared" si="75"/>
        <v/>
      </c>
      <c r="N351" s="173" t="str">
        <f t="shared" si="75"/>
        <v/>
      </c>
      <c r="O351" s="173" t="str">
        <f t="shared" si="75"/>
        <v/>
      </c>
      <c r="P351" s="174" t="str">
        <f t="shared" si="75"/>
        <v/>
      </c>
      <c r="Q351" s="174" t="str">
        <f t="shared" si="75"/>
        <v>x</v>
      </c>
      <c r="R351" s="174" t="str">
        <f t="shared" si="75"/>
        <v>BS</v>
      </c>
      <c r="S351" s="174" t="str">
        <f t="shared" si="75"/>
        <v>all</v>
      </c>
      <c r="T351" s="173" t="str">
        <f t="shared" si="75"/>
        <v/>
      </c>
      <c r="U351" s="173" t="str">
        <f t="shared" si="75"/>
        <v/>
      </c>
      <c r="V351" s="173" t="str">
        <f t="shared" si="75"/>
        <v/>
      </c>
      <c r="W351" s="173" t="str">
        <f t="shared" si="75"/>
        <v/>
      </c>
      <c r="X351" s="173" t="str">
        <f t="shared" si="75"/>
        <v/>
      </c>
      <c r="Y351" s="173" t="str">
        <f t="shared" si="75"/>
        <v/>
      </c>
    </row>
    <row r="352" spans="1:25" x14ac:dyDescent="0.3">
      <c r="A352" s="172">
        <f t="shared" si="69"/>
        <v>350</v>
      </c>
      <c r="B352" s="173" t="str">
        <f t="shared" si="74"/>
        <v/>
      </c>
      <c r="C352" s="173" t="str">
        <f t="shared" si="74"/>
        <v/>
      </c>
      <c r="D352" s="173" t="str">
        <f t="shared" si="74"/>
        <v/>
      </c>
      <c r="E352" s="173" t="str">
        <f t="shared" si="74"/>
        <v/>
      </c>
      <c r="F352" s="173" t="str">
        <f t="shared" si="74"/>
        <v/>
      </c>
      <c r="G352" s="173" t="str">
        <f t="shared" si="74"/>
        <v/>
      </c>
      <c r="H352" s="173" t="str">
        <f t="shared" si="74"/>
        <v/>
      </c>
      <c r="I352" s="173" t="str">
        <f t="shared" si="74"/>
        <v/>
      </c>
      <c r="J352" s="173" t="str">
        <f t="shared" si="74"/>
        <v/>
      </c>
      <c r="K352" s="173" t="str">
        <f t="shared" si="74"/>
        <v/>
      </c>
      <c r="L352" s="173" t="str">
        <f t="shared" si="75"/>
        <v>info</v>
      </c>
      <c r="M352" s="173" t="str">
        <f t="shared" si="75"/>
        <v/>
      </c>
      <c r="N352" s="173" t="str">
        <f t="shared" si="75"/>
        <v/>
      </c>
      <c r="O352" s="173" t="str">
        <f t="shared" si="75"/>
        <v/>
      </c>
      <c r="P352" s="174" t="str">
        <f t="shared" si="75"/>
        <v/>
      </c>
      <c r="Q352" s="174" t="str">
        <f t="shared" si="75"/>
        <v>x</v>
      </c>
      <c r="R352" s="174" t="str">
        <f t="shared" si="75"/>
        <v>BS</v>
      </c>
      <c r="S352" s="174" t="str">
        <f t="shared" si="75"/>
        <v>all</v>
      </c>
      <c r="T352" s="173" t="str">
        <f t="shared" si="75"/>
        <v/>
      </c>
      <c r="U352" s="173" t="str">
        <f t="shared" si="75"/>
        <v/>
      </c>
      <c r="V352" s="173" t="str">
        <f t="shared" si="75"/>
        <v/>
      </c>
      <c r="W352" s="173" t="str">
        <f t="shared" si="75"/>
        <v/>
      </c>
      <c r="X352" s="173" t="str">
        <f t="shared" si="75"/>
        <v/>
      </c>
      <c r="Y352" s="173" t="str">
        <f t="shared" si="75"/>
        <v/>
      </c>
    </row>
    <row r="353" spans="1:25" x14ac:dyDescent="0.3">
      <c r="A353" s="172">
        <f t="shared" si="69"/>
        <v>351</v>
      </c>
      <c r="B353" s="173" t="str">
        <f t="shared" ref="B353:K362" si="76">IF(ISNONTEXT(B$2),IF(B$2="","",IF(INDEX(IMPORT,$A353,B$2)=0,"",IFERROR(VLOOKUP(INDEX(IMPORT,$A353,B$2),ImportTranslation,2,0),INDEX(IMPORT,$A353,B$2)))),B$2)</f>
        <v/>
      </c>
      <c r="C353" s="173" t="str">
        <f t="shared" si="76"/>
        <v/>
      </c>
      <c r="D353" s="173" t="str">
        <f t="shared" si="76"/>
        <v/>
      </c>
      <c r="E353" s="173" t="str">
        <f t="shared" si="76"/>
        <v/>
      </c>
      <c r="F353" s="173" t="str">
        <f t="shared" si="76"/>
        <v/>
      </c>
      <c r="G353" s="173" t="str">
        <f t="shared" si="76"/>
        <v/>
      </c>
      <c r="H353" s="173" t="str">
        <f t="shared" si="76"/>
        <v/>
      </c>
      <c r="I353" s="173" t="str">
        <f t="shared" si="76"/>
        <v/>
      </c>
      <c r="J353" s="173" t="str">
        <f t="shared" si="76"/>
        <v/>
      </c>
      <c r="K353" s="173" t="str">
        <f t="shared" si="76"/>
        <v/>
      </c>
      <c r="L353" s="173" t="str">
        <f t="shared" ref="L353:Y362" si="77">IF(ISNONTEXT(L$2),IF(L$2="","",IF(INDEX(IMPORT,$A353,L$2)=0,"",IFERROR(VLOOKUP(INDEX(IMPORT,$A353,L$2),ImportTranslation,2,0),INDEX(IMPORT,$A353,L$2)))),L$2)</f>
        <v>info</v>
      </c>
      <c r="M353" s="173" t="str">
        <f t="shared" si="77"/>
        <v/>
      </c>
      <c r="N353" s="173" t="str">
        <f t="shared" si="77"/>
        <v/>
      </c>
      <c r="O353" s="173" t="str">
        <f t="shared" si="77"/>
        <v/>
      </c>
      <c r="P353" s="174" t="str">
        <f t="shared" si="77"/>
        <v/>
      </c>
      <c r="Q353" s="174" t="str">
        <f t="shared" si="77"/>
        <v>x</v>
      </c>
      <c r="R353" s="174" t="str">
        <f t="shared" si="77"/>
        <v>BS</v>
      </c>
      <c r="S353" s="174" t="str">
        <f t="shared" si="77"/>
        <v>all</v>
      </c>
      <c r="T353" s="173" t="str">
        <f t="shared" si="77"/>
        <v/>
      </c>
      <c r="U353" s="173" t="str">
        <f t="shared" si="77"/>
        <v/>
      </c>
      <c r="V353" s="173" t="str">
        <f t="shared" si="77"/>
        <v/>
      </c>
      <c r="W353" s="173" t="str">
        <f t="shared" si="77"/>
        <v/>
      </c>
      <c r="X353" s="173" t="str">
        <f t="shared" si="77"/>
        <v/>
      </c>
      <c r="Y353" s="173" t="str">
        <f t="shared" si="77"/>
        <v/>
      </c>
    </row>
    <row r="354" spans="1:25" x14ac:dyDescent="0.3">
      <c r="A354" s="172">
        <f t="shared" si="69"/>
        <v>352</v>
      </c>
      <c r="B354" s="173" t="str">
        <f t="shared" si="76"/>
        <v/>
      </c>
      <c r="C354" s="173" t="str">
        <f t="shared" si="76"/>
        <v/>
      </c>
      <c r="D354" s="173" t="str">
        <f t="shared" si="76"/>
        <v/>
      </c>
      <c r="E354" s="173" t="str">
        <f t="shared" si="76"/>
        <v/>
      </c>
      <c r="F354" s="173" t="str">
        <f t="shared" si="76"/>
        <v/>
      </c>
      <c r="G354" s="173" t="str">
        <f t="shared" si="76"/>
        <v/>
      </c>
      <c r="H354" s="173" t="str">
        <f t="shared" si="76"/>
        <v/>
      </c>
      <c r="I354" s="173" t="str">
        <f t="shared" si="76"/>
        <v/>
      </c>
      <c r="J354" s="173" t="str">
        <f t="shared" si="76"/>
        <v/>
      </c>
      <c r="K354" s="173" t="str">
        <f t="shared" si="76"/>
        <v/>
      </c>
      <c r="L354" s="173" t="str">
        <f t="shared" si="77"/>
        <v>info</v>
      </c>
      <c r="M354" s="173" t="str">
        <f t="shared" si="77"/>
        <v/>
      </c>
      <c r="N354" s="173" t="str">
        <f t="shared" si="77"/>
        <v/>
      </c>
      <c r="O354" s="173" t="str">
        <f t="shared" si="77"/>
        <v/>
      </c>
      <c r="P354" s="174" t="str">
        <f t="shared" si="77"/>
        <v/>
      </c>
      <c r="Q354" s="174" t="str">
        <f t="shared" si="77"/>
        <v>x</v>
      </c>
      <c r="R354" s="174" t="str">
        <f t="shared" si="77"/>
        <v>BS</v>
      </c>
      <c r="S354" s="174" t="str">
        <f t="shared" si="77"/>
        <v>all</v>
      </c>
      <c r="T354" s="173" t="str">
        <f t="shared" si="77"/>
        <v/>
      </c>
      <c r="U354" s="173" t="str">
        <f t="shared" si="77"/>
        <v/>
      </c>
      <c r="V354" s="173" t="str">
        <f t="shared" si="77"/>
        <v/>
      </c>
      <c r="W354" s="173" t="str">
        <f t="shared" si="77"/>
        <v/>
      </c>
      <c r="X354" s="173" t="str">
        <f t="shared" si="77"/>
        <v/>
      </c>
      <c r="Y354" s="173" t="str">
        <f t="shared" si="77"/>
        <v/>
      </c>
    </row>
    <row r="355" spans="1:25" x14ac:dyDescent="0.3">
      <c r="A355" s="172">
        <f t="shared" si="69"/>
        <v>353</v>
      </c>
      <c r="B355" s="173" t="str">
        <f t="shared" si="76"/>
        <v/>
      </c>
      <c r="C355" s="173" t="str">
        <f t="shared" si="76"/>
        <v/>
      </c>
      <c r="D355" s="173" t="str">
        <f t="shared" si="76"/>
        <v/>
      </c>
      <c r="E355" s="173" t="str">
        <f t="shared" si="76"/>
        <v/>
      </c>
      <c r="F355" s="173" t="str">
        <f t="shared" si="76"/>
        <v/>
      </c>
      <c r="G355" s="173" t="str">
        <f t="shared" si="76"/>
        <v/>
      </c>
      <c r="H355" s="173" t="str">
        <f t="shared" si="76"/>
        <v/>
      </c>
      <c r="I355" s="173" t="str">
        <f t="shared" si="76"/>
        <v/>
      </c>
      <c r="J355" s="173" t="str">
        <f t="shared" si="76"/>
        <v/>
      </c>
      <c r="K355" s="173" t="str">
        <f t="shared" si="76"/>
        <v/>
      </c>
      <c r="L355" s="173" t="str">
        <f t="shared" si="77"/>
        <v>info</v>
      </c>
      <c r="M355" s="173" t="str">
        <f t="shared" si="77"/>
        <v/>
      </c>
      <c r="N355" s="173" t="str">
        <f t="shared" si="77"/>
        <v/>
      </c>
      <c r="O355" s="173" t="str">
        <f t="shared" si="77"/>
        <v/>
      </c>
      <c r="P355" s="174" t="str">
        <f t="shared" si="77"/>
        <v/>
      </c>
      <c r="Q355" s="174" t="str">
        <f t="shared" si="77"/>
        <v>x</v>
      </c>
      <c r="R355" s="174" t="str">
        <f t="shared" si="77"/>
        <v>BS</v>
      </c>
      <c r="S355" s="174" t="str">
        <f t="shared" si="77"/>
        <v>all</v>
      </c>
      <c r="T355" s="173" t="str">
        <f t="shared" si="77"/>
        <v/>
      </c>
      <c r="U355" s="173" t="str">
        <f t="shared" si="77"/>
        <v/>
      </c>
      <c r="V355" s="173" t="str">
        <f t="shared" si="77"/>
        <v/>
      </c>
      <c r="W355" s="173" t="str">
        <f t="shared" si="77"/>
        <v/>
      </c>
      <c r="X355" s="173" t="str">
        <f t="shared" si="77"/>
        <v/>
      </c>
      <c r="Y355" s="173" t="str">
        <f t="shared" si="77"/>
        <v/>
      </c>
    </row>
    <row r="356" spans="1:25" x14ac:dyDescent="0.3">
      <c r="A356" s="172">
        <f t="shared" si="69"/>
        <v>354</v>
      </c>
      <c r="B356" s="173" t="str">
        <f t="shared" si="76"/>
        <v/>
      </c>
      <c r="C356" s="173" t="str">
        <f t="shared" si="76"/>
        <v/>
      </c>
      <c r="D356" s="173" t="str">
        <f t="shared" si="76"/>
        <v/>
      </c>
      <c r="E356" s="173" t="str">
        <f t="shared" si="76"/>
        <v/>
      </c>
      <c r="F356" s="173" t="str">
        <f t="shared" si="76"/>
        <v/>
      </c>
      <c r="G356" s="173" t="str">
        <f t="shared" si="76"/>
        <v/>
      </c>
      <c r="H356" s="173" t="str">
        <f t="shared" si="76"/>
        <v/>
      </c>
      <c r="I356" s="173" t="str">
        <f t="shared" si="76"/>
        <v/>
      </c>
      <c r="J356" s="173" t="str">
        <f t="shared" si="76"/>
        <v/>
      </c>
      <c r="K356" s="173" t="str">
        <f t="shared" si="76"/>
        <v/>
      </c>
      <c r="L356" s="173" t="str">
        <f t="shared" si="77"/>
        <v>info</v>
      </c>
      <c r="M356" s="173" t="str">
        <f t="shared" si="77"/>
        <v/>
      </c>
      <c r="N356" s="173" t="str">
        <f t="shared" si="77"/>
        <v/>
      </c>
      <c r="O356" s="173" t="str">
        <f t="shared" si="77"/>
        <v/>
      </c>
      <c r="P356" s="174" t="str">
        <f t="shared" si="77"/>
        <v/>
      </c>
      <c r="Q356" s="174" t="str">
        <f t="shared" si="77"/>
        <v>x</v>
      </c>
      <c r="R356" s="174" t="str">
        <f t="shared" si="77"/>
        <v>BS</v>
      </c>
      <c r="S356" s="174" t="str">
        <f t="shared" si="77"/>
        <v>all</v>
      </c>
      <c r="T356" s="173" t="str">
        <f t="shared" si="77"/>
        <v/>
      </c>
      <c r="U356" s="173" t="str">
        <f t="shared" si="77"/>
        <v/>
      </c>
      <c r="V356" s="173" t="str">
        <f t="shared" si="77"/>
        <v/>
      </c>
      <c r="W356" s="173" t="str">
        <f t="shared" si="77"/>
        <v/>
      </c>
      <c r="X356" s="173" t="str">
        <f t="shared" si="77"/>
        <v/>
      </c>
      <c r="Y356" s="173" t="str">
        <f t="shared" si="77"/>
        <v/>
      </c>
    </row>
    <row r="357" spans="1:25" x14ac:dyDescent="0.3">
      <c r="A357" s="172">
        <f t="shared" si="69"/>
        <v>355</v>
      </c>
      <c r="B357" s="173" t="str">
        <f t="shared" si="76"/>
        <v/>
      </c>
      <c r="C357" s="173" t="str">
        <f t="shared" si="76"/>
        <v/>
      </c>
      <c r="D357" s="173" t="str">
        <f t="shared" si="76"/>
        <v/>
      </c>
      <c r="E357" s="173" t="str">
        <f t="shared" si="76"/>
        <v/>
      </c>
      <c r="F357" s="173" t="str">
        <f t="shared" si="76"/>
        <v/>
      </c>
      <c r="G357" s="173" t="str">
        <f t="shared" si="76"/>
        <v/>
      </c>
      <c r="H357" s="173" t="str">
        <f t="shared" si="76"/>
        <v/>
      </c>
      <c r="I357" s="173" t="str">
        <f t="shared" si="76"/>
        <v/>
      </c>
      <c r="J357" s="173" t="str">
        <f t="shared" si="76"/>
        <v/>
      </c>
      <c r="K357" s="173" t="str">
        <f t="shared" si="76"/>
        <v/>
      </c>
      <c r="L357" s="173" t="str">
        <f t="shared" si="77"/>
        <v>info</v>
      </c>
      <c r="M357" s="173" t="str">
        <f t="shared" si="77"/>
        <v/>
      </c>
      <c r="N357" s="173" t="str">
        <f t="shared" si="77"/>
        <v/>
      </c>
      <c r="O357" s="173" t="str">
        <f t="shared" si="77"/>
        <v/>
      </c>
      <c r="P357" s="174" t="str">
        <f t="shared" si="77"/>
        <v/>
      </c>
      <c r="Q357" s="174" t="str">
        <f t="shared" si="77"/>
        <v>x</v>
      </c>
      <c r="R357" s="174" t="str">
        <f t="shared" si="77"/>
        <v>BS</v>
      </c>
      <c r="S357" s="174" t="str">
        <f t="shared" si="77"/>
        <v>all</v>
      </c>
      <c r="T357" s="173" t="str">
        <f t="shared" si="77"/>
        <v/>
      </c>
      <c r="U357" s="173" t="str">
        <f t="shared" si="77"/>
        <v/>
      </c>
      <c r="V357" s="173" t="str">
        <f t="shared" si="77"/>
        <v/>
      </c>
      <c r="W357" s="173" t="str">
        <f t="shared" si="77"/>
        <v/>
      </c>
      <c r="X357" s="173" t="str">
        <f t="shared" si="77"/>
        <v/>
      </c>
      <c r="Y357" s="173" t="str">
        <f t="shared" si="77"/>
        <v/>
      </c>
    </row>
    <row r="358" spans="1:25" x14ac:dyDescent="0.3">
      <c r="A358" s="172">
        <f t="shared" si="69"/>
        <v>356</v>
      </c>
      <c r="B358" s="173" t="str">
        <f t="shared" si="76"/>
        <v/>
      </c>
      <c r="C358" s="173" t="str">
        <f t="shared" si="76"/>
        <v/>
      </c>
      <c r="D358" s="173" t="str">
        <f t="shared" si="76"/>
        <v/>
      </c>
      <c r="E358" s="173" t="str">
        <f t="shared" si="76"/>
        <v/>
      </c>
      <c r="F358" s="173" t="str">
        <f t="shared" si="76"/>
        <v/>
      </c>
      <c r="G358" s="173" t="str">
        <f t="shared" si="76"/>
        <v/>
      </c>
      <c r="H358" s="173" t="str">
        <f t="shared" si="76"/>
        <v/>
      </c>
      <c r="I358" s="173" t="str">
        <f t="shared" si="76"/>
        <v/>
      </c>
      <c r="J358" s="173" t="str">
        <f t="shared" si="76"/>
        <v/>
      </c>
      <c r="K358" s="173" t="str">
        <f t="shared" si="76"/>
        <v/>
      </c>
      <c r="L358" s="173" t="str">
        <f t="shared" si="77"/>
        <v>info</v>
      </c>
      <c r="M358" s="173" t="str">
        <f t="shared" si="77"/>
        <v/>
      </c>
      <c r="N358" s="173" t="str">
        <f t="shared" si="77"/>
        <v/>
      </c>
      <c r="O358" s="173" t="str">
        <f t="shared" si="77"/>
        <v/>
      </c>
      <c r="P358" s="174" t="str">
        <f t="shared" si="77"/>
        <v/>
      </c>
      <c r="Q358" s="174" t="str">
        <f t="shared" si="77"/>
        <v>x</v>
      </c>
      <c r="R358" s="174" t="str">
        <f t="shared" si="77"/>
        <v>BS</v>
      </c>
      <c r="S358" s="174" t="str">
        <f t="shared" si="77"/>
        <v>all</v>
      </c>
      <c r="T358" s="173" t="str">
        <f t="shared" si="77"/>
        <v/>
      </c>
      <c r="U358" s="173" t="str">
        <f t="shared" si="77"/>
        <v/>
      </c>
      <c r="V358" s="173" t="str">
        <f t="shared" si="77"/>
        <v/>
      </c>
      <c r="W358" s="173" t="str">
        <f t="shared" si="77"/>
        <v/>
      </c>
      <c r="X358" s="173" t="str">
        <f t="shared" si="77"/>
        <v/>
      </c>
      <c r="Y358" s="173" t="str">
        <f t="shared" si="77"/>
        <v/>
      </c>
    </row>
    <row r="359" spans="1:25" x14ac:dyDescent="0.3">
      <c r="A359" s="172">
        <f t="shared" si="69"/>
        <v>357</v>
      </c>
      <c r="B359" s="173" t="str">
        <f t="shared" si="76"/>
        <v/>
      </c>
      <c r="C359" s="173" t="str">
        <f t="shared" si="76"/>
        <v/>
      </c>
      <c r="D359" s="173" t="str">
        <f t="shared" si="76"/>
        <v/>
      </c>
      <c r="E359" s="173" t="str">
        <f t="shared" si="76"/>
        <v/>
      </c>
      <c r="F359" s="173" t="str">
        <f t="shared" si="76"/>
        <v/>
      </c>
      <c r="G359" s="173" t="str">
        <f t="shared" si="76"/>
        <v/>
      </c>
      <c r="H359" s="173" t="str">
        <f t="shared" si="76"/>
        <v/>
      </c>
      <c r="I359" s="173" t="str">
        <f t="shared" si="76"/>
        <v/>
      </c>
      <c r="J359" s="173" t="str">
        <f t="shared" si="76"/>
        <v/>
      </c>
      <c r="K359" s="173" t="str">
        <f t="shared" si="76"/>
        <v/>
      </c>
      <c r="L359" s="173" t="str">
        <f t="shared" si="77"/>
        <v>info</v>
      </c>
      <c r="M359" s="173" t="str">
        <f t="shared" si="77"/>
        <v/>
      </c>
      <c r="N359" s="173" t="str">
        <f t="shared" si="77"/>
        <v/>
      </c>
      <c r="O359" s="173" t="str">
        <f t="shared" si="77"/>
        <v/>
      </c>
      <c r="P359" s="174" t="str">
        <f t="shared" si="77"/>
        <v/>
      </c>
      <c r="Q359" s="174" t="str">
        <f t="shared" si="77"/>
        <v>x</v>
      </c>
      <c r="R359" s="174" t="str">
        <f t="shared" si="77"/>
        <v>BS</v>
      </c>
      <c r="S359" s="174" t="str">
        <f t="shared" si="77"/>
        <v>all</v>
      </c>
      <c r="T359" s="173" t="str">
        <f t="shared" si="77"/>
        <v/>
      </c>
      <c r="U359" s="173" t="str">
        <f t="shared" si="77"/>
        <v/>
      </c>
      <c r="V359" s="173" t="str">
        <f t="shared" si="77"/>
        <v/>
      </c>
      <c r="W359" s="173" t="str">
        <f t="shared" si="77"/>
        <v/>
      </c>
      <c r="X359" s="173" t="str">
        <f t="shared" si="77"/>
        <v/>
      </c>
      <c r="Y359" s="173" t="str">
        <f t="shared" si="77"/>
        <v/>
      </c>
    </row>
    <row r="360" spans="1:25" x14ac:dyDescent="0.3">
      <c r="A360" s="172">
        <f t="shared" si="69"/>
        <v>358</v>
      </c>
      <c r="B360" s="173" t="str">
        <f t="shared" si="76"/>
        <v/>
      </c>
      <c r="C360" s="173" t="str">
        <f t="shared" si="76"/>
        <v/>
      </c>
      <c r="D360" s="173" t="str">
        <f t="shared" si="76"/>
        <v/>
      </c>
      <c r="E360" s="173" t="str">
        <f t="shared" si="76"/>
        <v/>
      </c>
      <c r="F360" s="173" t="str">
        <f t="shared" si="76"/>
        <v/>
      </c>
      <c r="G360" s="173" t="str">
        <f t="shared" si="76"/>
        <v/>
      </c>
      <c r="H360" s="173" t="str">
        <f t="shared" si="76"/>
        <v/>
      </c>
      <c r="I360" s="173" t="str">
        <f t="shared" si="76"/>
        <v/>
      </c>
      <c r="J360" s="173" t="str">
        <f t="shared" si="76"/>
        <v/>
      </c>
      <c r="K360" s="173" t="str">
        <f t="shared" si="76"/>
        <v/>
      </c>
      <c r="L360" s="173" t="str">
        <f t="shared" si="77"/>
        <v>info</v>
      </c>
      <c r="M360" s="173" t="str">
        <f t="shared" si="77"/>
        <v/>
      </c>
      <c r="N360" s="173" t="str">
        <f t="shared" si="77"/>
        <v/>
      </c>
      <c r="O360" s="173" t="str">
        <f t="shared" si="77"/>
        <v/>
      </c>
      <c r="P360" s="174" t="str">
        <f t="shared" si="77"/>
        <v/>
      </c>
      <c r="Q360" s="174" t="str">
        <f t="shared" si="77"/>
        <v>x</v>
      </c>
      <c r="R360" s="174" t="str">
        <f t="shared" si="77"/>
        <v>BS</v>
      </c>
      <c r="S360" s="174" t="str">
        <f t="shared" si="77"/>
        <v>all</v>
      </c>
      <c r="T360" s="173" t="str">
        <f t="shared" si="77"/>
        <v/>
      </c>
      <c r="U360" s="173" t="str">
        <f t="shared" si="77"/>
        <v/>
      </c>
      <c r="V360" s="173" t="str">
        <f t="shared" si="77"/>
        <v/>
      </c>
      <c r="W360" s="173" t="str">
        <f t="shared" si="77"/>
        <v/>
      </c>
      <c r="X360" s="173" t="str">
        <f t="shared" si="77"/>
        <v/>
      </c>
      <c r="Y360" s="173" t="str">
        <f t="shared" si="77"/>
        <v/>
      </c>
    </row>
    <row r="361" spans="1:25" x14ac:dyDescent="0.3">
      <c r="A361" s="172">
        <f t="shared" si="69"/>
        <v>359</v>
      </c>
      <c r="B361" s="173" t="str">
        <f t="shared" si="76"/>
        <v/>
      </c>
      <c r="C361" s="173" t="str">
        <f t="shared" si="76"/>
        <v/>
      </c>
      <c r="D361" s="173" t="str">
        <f t="shared" si="76"/>
        <v/>
      </c>
      <c r="E361" s="173" t="str">
        <f t="shared" si="76"/>
        <v/>
      </c>
      <c r="F361" s="173" t="str">
        <f t="shared" si="76"/>
        <v/>
      </c>
      <c r="G361" s="173" t="str">
        <f t="shared" si="76"/>
        <v/>
      </c>
      <c r="H361" s="173" t="str">
        <f t="shared" si="76"/>
        <v/>
      </c>
      <c r="I361" s="173" t="str">
        <f t="shared" si="76"/>
        <v/>
      </c>
      <c r="J361" s="173" t="str">
        <f t="shared" si="76"/>
        <v/>
      </c>
      <c r="K361" s="173" t="str">
        <f t="shared" si="76"/>
        <v/>
      </c>
      <c r="L361" s="173" t="str">
        <f t="shared" si="77"/>
        <v>info</v>
      </c>
      <c r="M361" s="173" t="str">
        <f t="shared" si="77"/>
        <v/>
      </c>
      <c r="N361" s="173" t="str">
        <f t="shared" si="77"/>
        <v/>
      </c>
      <c r="O361" s="173" t="str">
        <f t="shared" si="77"/>
        <v/>
      </c>
      <c r="P361" s="174" t="str">
        <f t="shared" si="77"/>
        <v/>
      </c>
      <c r="Q361" s="174" t="str">
        <f t="shared" si="77"/>
        <v>x</v>
      </c>
      <c r="R361" s="174" t="str">
        <f t="shared" si="77"/>
        <v>BS</v>
      </c>
      <c r="S361" s="174" t="str">
        <f t="shared" si="77"/>
        <v>all</v>
      </c>
      <c r="T361" s="173" t="str">
        <f t="shared" si="77"/>
        <v/>
      </c>
      <c r="U361" s="173" t="str">
        <f t="shared" si="77"/>
        <v/>
      </c>
      <c r="V361" s="173" t="str">
        <f t="shared" si="77"/>
        <v/>
      </c>
      <c r="W361" s="173" t="str">
        <f t="shared" si="77"/>
        <v/>
      </c>
      <c r="X361" s="173" t="str">
        <f t="shared" si="77"/>
        <v/>
      </c>
      <c r="Y361" s="173" t="str">
        <f t="shared" si="77"/>
        <v/>
      </c>
    </row>
    <row r="362" spans="1:25" x14ac:dyDescent="0.3">
      <c r="A362" s="172">
        <f t="shared" si="69"/>
        <v>360</v>
      </c>
      <c r="B362" s="173" t="str">
        <f t="shared" si="76"/>
        <v/>
      </c>
      <c r="C362" s="173" t="str">
        <f t="shared" si="76"/>
        <v/>
      </c>
      <c r="D362" s="173" t="str">
        <f t="shared" si="76"/>
        <v/>
      </c>
      <c r="E362" s="173" t="str">
        <f t="shared" si="76"/>
        <v/>
      </c>
      <c r="F362" s="173" t="str">
        <f t="shared" si="76"/>
        <v/>
      </c>
      <c r="G362" s="173" t="str">
        <f t="shared" si="76"/>
        <v/>
      </c>
      <c r="H362" s="173" t="str">
        <f t="shared" si="76"/>
        <v/>
      </c>
      <c r="I362" s="173" t="str">
        <f t="shared" si="76"/>
        <v/>
      </c>
      <c r="J362" s="173" t="str">
        <f t="shared" si="76"/>
        <v/>
      </c>
      <c r="K362" s="173" t="str">
        <f t="shared" si="76"/>
        <v/>
      </c>
      <c r="L362" s="173" t="str">
        <f t="shared" si="77"/>
        <v>info</v>
      </c>
      <c r="M362" s="173" t="str">
        <f t="shared" si="77"/>
        <v/>
      </c>
      <c r="N362" s="173" t="str">
        <f t="shared" si="77"/>
        <v/>
      </c>
      <c r="O362" s="173" t="str">
        <f t="shared" si="77"/>
        <v/>
      </c>
      <c r="P362" s="174" t="str">
        <f t="shared" si="77"/>
        <v/>
      </c>
      <c r="Q362" s="174" t="str">
        <f t="shared" si="77"/>
        <v>x</v>
      </c>
      <c r="R362" s="174" t="str">
        <f t="shared" si="77"/>
        <v>BS</v>
      </c>
      <c r="S362" s="174" t="str">
        <f t="shared" si="77"/>
        <v>all</v>
      </c>
      <c r="T362" s="173" t="str">
        <f t="shared" si="77"/>
        <v/>
      </c>
      <c r="U362" s="173" t="str">
        <f t="shared" si="77"/>
        <v/>
      </c>
      <c r="V362" s="173" t="str">
        <f t="shared" si="77"/>
        <v/>
      </c>
      <c r="W362" s="173" t="str">
        <f t="shared" si="77"/>
        <v/>
      </c>
      <c r="X362" s="173" t="str">
        <f t="shared" si="77"/>
        <v/>
      </c>
      <c r="Y362" s="173" t="str">
        <f t="shared" si="77"/>
        <v/>
      </c>
    </row>
    <row r="363" spans="1:25" x14ac:dyDescent="0.3">
      <c r="A363" s="172">
        <f t="shared" si="69"/>
        <v>361</v>
      </c>
      <c r="B363" s="173" t="str">
        <f t="shared" ref="B363:K372" si="78">IF(ISNONTEXT(B$2),IF(B$2="","",IF(INDEX(IMPORT,$A363,B$2)=0,"",IFERROR(VLOOKUP(INDEX(IMPORT,$A363,B$2),ImportTranslation,2,0),INDEX(IMPORT,$A363,B$2)))),B$2)</f>
        <v/>
      </c>
      <c r="C363" s="173" t="str">
        <f t="shared" si="78"/>
        <v/>
      </c>
      <c r="D363" s="173" t="str">
        <f t="shared" si="78"/>
        <v/>
      </c>
      <c r="E363" s="173" t="str">
        <f t="shared" si="78"/>
        <v/>
      </c>
      <c r="F363" s="173" t="str">
        <f t="shared" si="78"/>
        <v/>
      </c>
      <c r="G363" s="173" t="str">
        <f t="shared" si="78"/>
        <v/>
      </c>
      <c r="H363" s="173" t="str">
        <f t="shared" si="78"/>
        <v/>
      </c>
      <c r="I363" s="173" t="str">
        <f t="shared" si="78"/>
        <v/>
      </c>
      <c r="J363" s="173" t="str">
        <f t="shared" si="78"/>
        <v/>
      </c>
      <c r="K363" s="173" t="str">
        <f t="shared" si="78"/>
        <v/>
      </c>
      <c r="L363" s="173" t="str">
        <f t="shared" ref="L363:Y372" si="79">IF(ISNONTEXT(L$2),IF(L$2="","",IF(INDEX(IMPORT,$A363,L$2)=0,"",IFERROR(VLOOKUP(INDEX(IMPORT,$A363,L$2),ImportTranslation,2,0),INDEX(IMPORT,$A363,L$2)))),L$2)</f>
        <v>info</v>
      </c>
      <c r="M363" s="173" t="str">
        <f t="shared" si="79"/>
        <v/>
      </c>
      <c r="N363" s="173" t="str">
        <f t="shared" si="79"/>
        <v/>
      </c>
      <c r="O363" s="173" t="str">
        <f t="shared" si="79"/>
        <v/>
      </c>
      <c r="P363" s="174" t="str">
        <f t="shared" si="79"/>
        <v/>
      </c>
      <c r="Q363" s="174" t="str">
        <f t="shared" si="79"/>
        <v>x</v>
      </c>
      <c r="R363" s="174" t="str">
        <f t="shared" si="79"/>
        <v>BS</v>
      </c>
      <c r="S363" s="174" t="str">
        <f t="shared" si="79"/>
        <v>all</v>
      </c>
      <c r="T363" s="173" t="str">
        <f t="shared" si="79"/>
        <v/>
      </c>
      <c r="U363" s="173" t="str">
        <f t="shared" si="79"/>
        <v/>
      </c>
      <c r="V363" s="173" t="str">
        <f t="shared" si="79"/>
        <v/>
      </c>
      <c r="W363" s="173" t="str">
        <f t="shared" si="79"/>
        <v/>
      </c>
      <c r="X363" s="173" t="str">
        <f t="shared" si="79"/>
        <v/>
      </c>
      <c r="Y363" s="173" t="str">
        <f t="shared" si="79"/>
        <v/>
      </c>
    </row>
    <row r="364" spans="1:25" x14ac:dyDescent="0.3">
      <c r="A364" s="172">
        <f t="shared" si="69"/>
        <v>362</v>
      </c>
      <c r="B364" s="173" t="str">
        <f t="shared" si="78"/>
        <v/>
      </c>
      <c r="C364" s="173" t="str">
        <f t="shared" si="78"/>
        <v/>
      </c>
      <c r="D364" s="173" t="str">
        <f t="shared" si="78"/>
        <v/>
      </c>
      <c r="E364" s="173" t="str">
        <f t="shared" si="78"/>
        <v/>
      </c>
      <c r="F364" s="173" t="str">
        <f t="shared" si="78"/>
        <v/>
      </c>
      <c r="G364" s="173" t="str">
        <f t="shared" si="78"/>
        <v/>
      </c>
      <c r="H364" s="173" t="str">
        <f t="shared" si="78"/>
        <v/>
      </c>
      <c r="I364" s="173" t="str">
        <f t="shared" si="78"/>
        <v/>
      </c>
      <c r="J364" s="173" t="str">
        <f t="shared" si="78"/>
        <v/>
      </c>
      <c r="K364" s="173" t="str">
        <f t="shared" si="78"/>
        <v/>
      </c>
      <c r="L364" s="173" t="str">
        <f t="shared" si="79"/>
        <v>info</v>
      </c>
      <c r="M364" s="173" t="str">
        <f t="shared" si="79"/>
        <v/>
      </c>
      <c r="N364" s="173" t="str">
        <f t="shared" si="79"/>
        <v/>
      </c>
      <c r="O364" s="173" t="str">
        <f t="shared" si="79"/>
        <v/>
      </c>
      <c r="P364" s="174" t="str">
        <f t="shared" si="79"/>
        <v/>
      </c>
      <c r="Q364" s="174" t="str">
        <f t="shared" si="79"/>
        <v>x</v>
      </c>
      <c r="R364" s="174" t="str">
        <f t="shared" si="79"/>
        <v>BS</v>
      </c>
      <c r="S364" s="174" t="str">
        <f t="shared" si="79"/>
        <v>all</v>
      </c>
      <c r="T364" s="173" t="str">
        <f t="shared" si="79"/>
        <v/>
      </c>
      <c r="U364" s="173" t="str">
        <f t="shared" si="79"/>
        <v/>
      </c>
      <c r="V364" s="173" t="str">
        <f t="shared" si="79"/>
        <v/>
      </c>
      <c r="W364" s="173" t="str">
        <f t="shared" si="79"/>
        <v/>
      </c>
      <c r="X364" s="173" t="str">
        <f t="shared" si="79"/>
        <v/>
      </c>
      <c r="Y364" s="173" t="str">
        <f t="shared" si="79"/>
        <v/>
      </c>
    </row>
    <row r="365" spans="1:25" x14ac:dyDescent="0.3">
      <c r="A365" s="172">
        <f t="shared" si="69"/>
        <v>363</v>
      </c>
      <c r="B365" s="173" t="str">
        <f t="shared" si="78"/>
        <v/>
      </c>
      <c r="C365" s="173" t="str">
        <f t="shared" si="78"/>
        <v/>
      </c>
      <c r="D365" s="173" t="str">
        <f t="shared" si="78"/>
        <v/>
      </c>
      <c r="E365" s="173" t="str">
        <f t="shared" si="78"/>
        <v/>
      </c>
      <c r="F365" s="173" t="str">
        <f t="shared" si="78"/>
        <v/>
      </c>
      <c r="G365" s="173" t="str">
        <f t="shared" si="78"/>
        <v/>
      </c>
      <c r="H365" s="173" t="str">
        <f t="shared" si="78"/>
        <v/>
      </c>
      <c r="I365" s="173" t="str">
        <f t="shared" si="78"/>
        <v/>
      </c>
      <c r="J365" s="173" t="str">
        <f t="shared" si="78"/>
        <v/>
      </c>
      <c r="K365" s="173" t="str">
        <f t="shared" si="78"/>
        <v/>
      </c>
      <c r="L365" s="173" t="str">
        <f t="shared" si="79"/>
        <v>info</v>
      </c>
      <c r="M365" s="173" t="str">
        <f t="shared" si="79"/>
        <v/>
      </c>
      <c r="N365" s="173" t="str">
        <f t="shared" si="79"/>
        <v/>
      </c>
      <c r="O365" s="173" t="str">
        <f t="shared" si="79"/>
        <v/>
      </c>
      <c r="P365" s="174" t="str">
        <f t="shared" si="79"/>
        <v/>
      </c>
      <c r="Q365" s="174" t="str">
        <f t="shared" si="79"/>
        <v>x</v>
      </c>
      <c r="R365" s="174" t="str">
        <f t="shared" si="79"/>
        <v>BS</v>
      </c>
      <c r="S365" s="174" t="str">
        <f t="shared" si="79"/>
        <v>all</v>
      </c>
      <c r="T365" s="173" t="str">
        <f t="shared" si="79"/>
        <v/>
      </c>
      <c r="U365" s="173" t="str">
        <f t="shared" si="79"/>
        <v/>
      </c>
      <c r="V365" s="173" t="str">
        <f t="shared" si="79"/>
        <v/>
      </c>
      <c r="W365" s="173" t="str">
        <f t="shared" si="79"/>
        <v/>
      </c>
      <c r="X365" s="173" t="str">
        <f t="shared" si="79"/>
        <v/>
      </c>
      <c r="Y365" s="173" t="str">
        <f t="shared" si="79"/>
        <v/>
      </c>
    </row>
    <row r="366" spans="1:25" x14ac:dyDescent="0.3">
      <c r="A366" s="172">
        <f t="shared" si="69"/>
        <v>364</v>
      </c>
      <c r="B366" s="173" t="str">
        <f t="shared" si="78"/>
        <v/>
      </c>
      <c r="C366" s="173" t="str">
        <f t="shared" si="78"/>
        <v/>
      </c>
      <c r="D366" s="173" t="str">
        <f t="shared" si="78"/>
        <v/>
      </c>
      <c r="E366" s="173" t="str">
        <f t="shared" si="78"/>
        <v/>
      </c>
      <c r="F366" s="173" t="str">
        <f t="shared" si="78"/>
        <v/>
      </c>
      <c r="G366" s="173" t="str">
        <f t="shared" si="78"/>
        <v/>
      </c>
      <c r="H366" s="173" t="str">
        <f t="shared" si="78"/>
        <v/>
      </c>
      <c r="I366" s="173" t="str">
        <f t="shared" si="78"/>
        <v/>
      </c>
      <c r="J366" s="173" t="str">
        <f t="shared" si="78"/>
        <v/>
      </c>
      <c r="K366" s="173" t="str">
        <f t="shared" si="78"/>
        <v/>
      </c>
      <c r="L366" s="173" t="str">
        <f t="shared" si="79"/>
        <v>info</v>
      </c>
      <c r="M366" s="173" t="str">
        <f t="shared" si="79"/>
        <v/>
      </c>
      <c r="N366" s="173" t="str">
        <f t="shared" si="79"/>
        <v/>
      </c>
      <c r="O366" s="173" t="str">
        <f t="shared" si="79"/>
        <v/>
      </c>
      <c r="P366" s="174" t="str">
        <f t="shared" si="79"/>
        <v/>
      </c>
      <c r="Q366" s="174" t="str">
        <f t="shared" si="79"/>
        <v>x</v>
      </c>
      <c r="R366" s="174" t="str">
        <f t="shared" si="79"/>
        <v>BS</v>
      </c>
      <c r="S366" s="174" t="str">
        <f t="shared" si="79"/>
        <v>all</v>
      </c>
      <c r="T366" s="173" t="str">
        <f t="shared" si="79"/>
        <v/>
      </c>
      <c r="U366" s="173" t="str">
        <f t="shared" si="79"/>
        <v/>
      </c>
      <c r="V366" s="173" t="str">
        <f t="shared" si="79"/>
        <v/>
      </c>
      <c r="W366" s="173" t="str">
        <f t="shared" si="79"/>
        <v/>
      </c>
      <c r="X366" s="173" t="str">
        <f t="shared" si="79"/>
        <v/>
      </c>
      <c r="Y366" s="173" t="str">
        <f t="shared" si="79"/>
        <v/>
      </c>
    </row>
    <row r="367" spans="1:25" x14ac:dyDescent="0.3">
      <c r="A367" s="172">
        <f t="shared" si="69"/>
        <v>365</v>
      </c>
      <c r="B367" s="173" t="str">
        <f t="shared" si="78"/>
        <v/>
      </c>
      <c r="C367" s="173" t="str">
        <f t="shared" si="78"/>
        <v/>
      </c>
      <c r="D367" s="173" t="str">
        <f t="shared" si="78"/>
        <v/>
      </c>
      <c r="E367" s="173" t="str">
        <f t="shared" si="78"/>
        <v/>
      </c>
      <c r="F367" s="173" t="str">
        <f t="shared" si="78"/>
        <v/>
      </c>
      <c r="G367" s="173" t="str">
        <f t="shared" si="78"/>
        <v/>
      </c>
      <c r="H367" s="173" t="str">
        <f t="shared" si="78"/>
        <v/>
      </c>
      <c r="I367" s="173" t="str">
        <f t="shared" si="78"/>
        <v/>
      </c>
      <c r="J367" s="173" t="str">
        <f t="shared" si="78"/>
        <v/>
      </c>
      <c r="K367" s="173" t="str">
        <f t="shared" si="78"/>
        <v/>
      </c>
      <c r="L367" s="173" t="str">
        <f t="shared" si="79"/>
        <v>info</v>
      </c>
      <c r="M367" s="173" t="str">
        <f t="shared" si="79"/>
        <v/>
      </c>
      <c r="N367" s="173" t="str">
        <f t="shared" si="79"/>
        <v/>
      </c>
      <c r="O367" s="173" t="str">
        <f t="shared" si="79"/>
        <v/>
      </c>
      <c r="P367" s="174" t="str">
        <f t="shared" si="79"/>
        <v/>
      </c>
      <c r="Q367" s="174" t="str">
        <f t="shared" si="79"/>
        <v>x</v>
      </c>
      <c r="R367" s="174" t="str">
        <f t="shared" si="79"/>
        <v>BS</v>
      </c>
      <c r="S367" s="174" t="str">
        <f t="shared" si="79"/>
        <v>all</v>
      </c>
      <c r="T367" s="173" t="str">
        <f t="shared" si="79"/>
        <v/>
      </c>
      <c r="U367" s="173" t="str">
        <f t="shared" si="79"/>
        <v/>
      </c>
      <c r="V367" s="173" t="str">
        <f t="shared" si="79"/>
        <v/>
      </c>
      <c r="W367" s="173" t="str">
        <f t="shared" si="79"/>
        <v/>
      </c>
      <c r="X367" s="173" t="str">
        <f t="shared" si="79"/>
        <v/>
      </c>
      <c r="Y367" s="173" t="str">
        <f t="shared" si="79"/>
        <v/>
      </c>
    </row>
    <row r="368" spans="1:25" x14ac:dyDescent="0.3">
      <c r="A368" s="172">
        <f t="shared" si="69"/>
        <v>366</v>
      </c>
      <c r="B368" s="173" t="str">
        <f t="shared" si="78"/>
        <v/>
      </c>
      <c r="C368" s="173" t="str">
        <f t="shared" si="78"/>
        <v/>
      </c>
      <c r="D368" s="173" t="str">
        <f t="shared" si="78"/>
        <v/>
      </c>
      <c r="E368" s="173" t="str">
        <f t="shared" si="78"/>
        <v/>
      </c>
      <c r="F368" s="173" t="str">
        <f t="shared" si="78"/>
        <v/>
      </c>
      <c r="G368" s="173" t="str">
        <f t="shared" si="78"/>
        <v/>
      </c>
      <c r="H368" s="173" t="str">
        <f t="shared" si="78"/>
        <v/>
      </c>
      <c r="I368" s="173" t="str">
        <f t="shared" si="78"/>
        <v/>
      </c>
      <c r="J368" s="173" t="str">
        <f t="shared" si="78"/>
        <v/>
      </c>
      <c r="K368" s="173" t="str">
        <f t="shared" si="78"/>
        <v/>
      </c>
      <c r="L368" s="173" t="str">
        <f t="shared" si="79"/>
        <v>info</v>
      </c>
      <c r="M368" s="173" t="str">
        <f t="shared" si="79"/>
        <v/>
      </c>
      <c r="N368" s="173" t="str">
        <f t="shared" si="79"/>
        <v/>
      </c>
      <c r="O368" s="173" t="str">
        <f t="shared" si="79"/>
        <v/>
      </c>
      <c r="P368" s="174" t="str">
        <f t="shared" si="79"/>
        <v/>
      </c>
      <c r="Q368" s="174" t="str">
        <f t="shared" si="79"/>
        <v>x</v>
      </c>
      <c r="R368" s="174" t="str">
        <f t="shared" si="79"/>
        <v>BS</v>
      </c>
      <c r="S368" s="174" t="str">
        <f t="shared" si="79"/>
        <v>all</v>
      </c>
      <c r="T368" s="173" t="str">
        <f t="shared" si="79"/>
        <v/>
      </c>
      <c r="U368" s="173" t="str">
        <f t="shared" si="79"/>
        <v/>
      </c>
      <c r="V368" s="173" t="str">
        <f t="shared" si="79"/>
        <v/>
      </c>
      <c r="W368" s="173" t="str">
        <f t="shared" si="79"/>
        <v/>
      </c>
      <c r="X368" s="173" t="str">
        <f t="shared" si="79"/>
        <v/>
      </c>
      <c r="Y368" s="173" t="str">
        <f t="shared" si="79"/>
        <v/>
      </c>
    </row>
    <row r="369" spans="1:25" x14ac:dyDescent="0.3">
      <c r="A369" s="172">
        <f t="shared" si="69"/>
        <v>367</v>
      </c>
      <c r="B369" s="173" t="str">
        <f t="shared" si="78"/>
        <v/>
      </c>
      <c r="C369" s="173" t="str">
        <f t="shared" si="78"/>
        <v/>
      </c>
      <c r="D369" s="173" t="str">
        <f t="shared" si="78"/>
        <v/>
      </c>
      <c r="E369" s="173" t="str">
        <f t="shared" si="78"/>
        <v/>
      </c>
      <c r="F369" s="173" t="str">
        <f t="shared" si="78"/>
        <v/>
      </c>
      <c r="G369" s="173" t="str">
        <f t="shared" si="78"/>
        <v/>
      </c>
      <c r="H369" s="173" t="str">
        <f t="shared" si="78"/>
        <v/>
      </c>
      <c r="I369" s="173" t="str">
        <f t="shared" si="78"/>
        <v/>
      </c>
      <c r="J369" s="173" t="str">
        <f t="shared" si="78"/>
        <v/>
      </c>
      <c r="K369" s="173" t="str">
        <f t="shared" si="78"/>
        <v/>
      </c>
      <c r="L369" s="173" t="str">
        <f t="shared" si="79"/>
        <v>info</v>
      </c>
      <c r="M369" s="173" t="str">
        <f t="shared" si="79"/>
        <v/>
      </c>
      <c r="N369" s="173" t="str">
        <f t="shared" si="79"/>
        <v/>
      </c>
      <c r="O369" s="173" t="str">
        <f t="shared" si="79"/>
        <v/>
      </c>
      <c r="P369" s="174" t="str">
        <f t="shared" si="79"/>
        <v/>
      </c>
      <c r="Q369" s="174" t="str">
        <f t="shared" si="79"/>
        <v>x</v>
      </c>
      <c r="R369" s="174" t="str">
        <f t="shared" si="79"/>
        <v>BS</v>
      </c>
      <c r="S369" s="174" t="str">
        <f t="shared" si="79"/>
        <v>all</v>
      </c>
      <c r="T369" s="173" t="str">
        <f t="shared" si="79"/>
        <v/>
      </c>
      <c r="U369" s="173" t="str">
        <f t="shared" si="79"/>
        <v/>
      </c>
      <c r="V369" s="173" t="str">
        <f t="shared" si="79"/>
        <v/>
      </c>
      <c r="W369" s="173" t="str">
        <f t="shared" si="79"/>
        <v/>
      </c>
      <c r="X369" s="173" t="str">
        <f t="shared" si="79"/>
        <v/>
      </c>
      <c r="Y369" s="173" t="str">
        <f t="shared" si="79"/>
        <v/>
      </c>
    </row>
    <row r="370" spans="1:25" x14ac:dyDescent="0.3">
      <c r="A370" s="172">
        <f t="shared" si="69"/>
        <v>368</v>
      </c>
      <c r="B370" s="173" t="str">
        <f t="shared" si="78"/>
        <v/>
      </c>
      <c r="C370" s="173" t="str">
        <f t="shared" si="78"/>
        <v/>
      </c>
      <c r="D370" s="173" t="str">
        <f t="shared" si="78"/>
        <v/>
      </c>
      <c r="E370" s="173" t="str">
        <f t="shared" si="78"/>
        <v/>
      </c>
      <c r="F370" s="173" t="str">
        <f t="shared" si="78"/>
        <v/>
      </c>
      <c r="G370" s="173" t="str">
        <f t="shared" si="78"/>
        <v/>
      </c>
      <c r="H370" s="173" t="str">
        <f t="shared" si="78"/>
        <v/>
      </c>
      <c r="I370" s="173" t="str">
        <f t="shared" si="78"/>
        <v/>
      </c>
      <c r="J370" s="173" t="str">
        <f t="shared" si="78"/>
        <v/>
      </c>
      <c r="K370" s="173" t="str">
        <f t="shared" si="78"/>
        <v/>
      </c>
      <c r="L370" s="173" t="str">
        <f t="shared" si="79"/>
        <v>info</v>
      </c>
      <c r="M370" s="173" t="str">
        <f t="shared" si="79"/>
        <v/>
      </c>
      <c r="N370" s="173" t="str">
        <f t="shared" si="79"/>
        <v/>
      </c>
      <c r="O370" s="173" t="str">
        <f t="shared" si="79"/>
        <v/>
      </c>
      <c r="P370" s="174" t="str">
        <f t="shared" si="79"/>
        <v/>
      </c>
      <c r="Q370" s="174" t="str">
        <f t="shared" si="79"/>
        <v>x</v>
      </c>
      <c r="R370" s="174" t="str">
        <f t="shared" si="79"/>
        <v>BS</v>
      </c>
      <c r="S370" s="174" t="str">
        <f t="shared" si="79"/>
        <v>all</v>
      </c>
      <c r="T370" s="173" t="str">
        <f t="shared" si="79"/>
        <v/>
      </c>
      <c r="U370" s="173" t="str">
        <f t="shared" si="79"/>
        <v/>
      </c>
      <c r="V370" s="173" t="str">
        <f t="shared" si="79"/>
        <v/>
      </c>
      <c r="W370" s="173" t="str">
        <f t="shared" si="79"/>
        <v/>
      </c>
      <c r="X370" s="173" t="str">
        <f t="shared" si="79"/>
        <v/>
      </c>
      <c r="Y370" s="173" t="str">
        <f t="shared" si="79"/>
        <v/>
      </c>
    </row>
    <row r="371" spans="1:25" x14ac:dyDescent="0.3">
      <c r="A371" s="172">
        <f t="shared" si="69"/>
        <v>369</v>
      </c>
      <c r="B371" s="173" t="str">
        <f t="shared" si="78"/>
        <v/>
      </c>
      <c r="C371" s="173" t="str">
        <f t="shared" si="78"/>
        <v/>
      </c>
      <c r="D371" s="173" t="str">
        <f t="shared" si="78"/>
        <v/>
      </c>
      <c r="E371" s="173" t="str">
        <f t="shared" si="78"/>
        <v/>
      </c>
      <c r="F371" s="173" t="str">
        <f t="shared" si="78"/>
        <v/>
      </c>
      <c r="G371" s="173" t="str">
        <f t="shared" si="78"/>
        <v/>
      </c>
      <c r="H371" s="173" t="str">
        <f t="shared" si="78"/>
        <v/>
      </c>
      <c r="I371" s="173" t="str">
        <f t="shared" si="78"/>
        <v/>
      </c>
      <c r="J371" s="173" t="str">
        <f t="shared" si="78"/>
        <v/>
      </c>
      <c r="K371" s="173" t="str">
        <f t="shared" si="78"/>
        <v/>
      </c>
      <c r="L371" s="173" t="str">
        <f t="shared" si="79"/>
        <v>info</v>
      </c>
      <c r="M371" s="173" t="str">
        <f t="shared" si="79"/>
        <v/>
      </c>
      <c r="N371" s="173" t="str">
        <f t="shared" si="79"/>
        <v/>
      </c>
      <c r="O371" s="173" t="str">
        <f t="shared" si="79"/>
        <v/>
      </c>
      <c r="P371" s="174" t="str">
        <f t="shared" si="79"/>
        <v/>
      </c>
      <c r="Q371" s="174" t="str">
        <f t="shared" si="79"/>
        <v>x</v>
      </c>
      <c r="R371" s="174" t="str">
        <f t="shared" si="79"/>
        <v>BS</v>
      </c>
      <c r="S371" s="174" t="str">
        <f t="shared" si="79"/>
        <v>all</v>
      </c>
      <c r="T371" s="173" t="str">
        <f t="shared" si="79"/>
        <v/>
      </c>
      <c r="U371" s="173" t="str">
        <f t="shared" si="79"/>
        <v/>
      </c>
      <c r="V371" s="173" t="str">
        <f t="shared" si="79"/>
        <v/>
      </c>
      <c r="W371" s="173" t="str">
        <f t="shared" si="79"/>
        <v/>
      </c>
      <c r="X371" s="173" t="str">
        <f t="shared" si="79"/>
        <v/>
      </c>
      <c r="Y371" s="173" t="str">
        <f t="shared" si="79"/>
        <v/>
      </c>
    </row>
    <row r="372" spans="1:25" x14ac:dyDescent="0.3">
      <c r="A372" s="172">
        <f t="shared" si="69"/>
        <v>370</v>
      </c>
      <c r="B372" s="173" t="str">
        <f t="shared" si="78"/>
        <v/>
      </c>
      <c r="C372" s="173" t="str">
        <f t="shared" si="78"/>
        <v/>
      </c>
      <c r="D372" s="173" t="str">
        <f t="shared" si="78"/>
        <v/>
      </c>
      <c r="E372" s="173" t="str">
        <f t="shared" si="78"/>
        <v/>
      </c>
      <c r="F372" s="173" t="str">
        <f t="shared" si="78"/>
        <v/>
      </c>
      <c r="G372" s="173" t="str">
        <f t="shared" si="78"/>
        <v/>
      </c>
      <c r="H372" s="173" t="str">
        <f t="shared" si="78"/>
        <v/>
      </c>
      <c r="I372" s="173" t="str">
        <f t="shared" si="78"/>
        <v/>
      </c>
      <c r="J372" s="173" t="str">
        <f t="shared" si="78"/>
        <v/>
      </c>
      <c r="K372" s="173" t="str">
        <f t="shared" si="78"/>
        <v/>
      </c>
      <c r="L372" s="173" t="str">
        <f t="shared" si="79"/>
        <v>info</v>
      </c>
      <c r="M372" s="173" t="str">
        <f t="shared" si="79"/>
        <v/>
      </c>
      <c r="N372" s="173" t="str">
        <f t="shared" si="79"/>
        <v/>
      </c>
      <c r="O372" s="173" t="str">
        <f t="shared" si="79"/>
        <v/>
      </c>
      <c r="P372" s="174" t="str">
        <f t="shared" si="79"/>
        <v/>
      </c>
      <c r="Q372" s="174" t="str">
        <f t="shared" si="79"/>
        <v>x</v>
      </c>
      <c r="R372" s="174" t="str">
        <f t="shared" si="79"/>
        <v>BS</v>
      </c>
      <c r="S372" s="174" t="str">
        <f t="shared" si="79"/>
        <v>all</v>
      </c>
      <c r="T372" s="173" t="str">
        <f t="shared" si="79"/>
        <v/>
      </c>
      <c r="U372" s="173" t="str">
        <f t="shared" si="79"/>
        <v/>
      </c>
      <c r="V372" s="173" t="str">
        <f t="shared" si="79"/>
        <v/>
      </c>
      <c r="W372" s="173" t="str">
        <f t="shared" si="79"/>
        <v/>
      </c>
      <c r="X372" s="173" t="str">
        <f t="shared" si="79"/>
        <v/>
      </c>
      <c r="Y372" s="173" t="str">
        <f t="shared" si="79"/>
        <v/>
      </c>
    </row>
    <row r="373" spans="1:25" x14ac:dyDescent="0.3">
      <c r="A373" s="172">
        <f t="shared" si="69"/>
        <v>371</v>
      </c>
      <c r="B373" s="173" t="str">
        <f t="shared" ref="B373:K382" si="80">IF(ISNONTEXT(B$2),IF(B$2="","",IF(INDEX(IMPORT,$A373,B$2)=0,"",IFERROR(VLOOKUP(INDEX(IMPORT,$A373,B$2),ImportTranslation,2,0),INDEX(IMPORT,$A373,B$2)))),B$2)</f>
        <v/>
      </c>
      <c r="C373" s="173" t="str">
        <f t="shared" si="80"/>
        <v/>
      </c>
      <c r="D373" s="173" t="str">
        <f t="shared" si="80"/>
        <v/>
      </c>
      <c r="E373" s="173" t="str">
        <f t="shared" si="80"/>
        <v/>
      </c>
      <c r="F373" s="173" t="str">
        <f t="shared" si="80"/>
        <v/>
      </c>
      <c r="G373" s="173" t="str">
        <f t="shared" si="80"/>
        <v/>
      </c>
      <c r="H373" s="173" t="str">
        <f t="shared" si="80"/>
        <v/>
      </c>
      <c r="I373" s="173" t="str">
        <f t="shared" si="80"/>
        <v/>
      </c>
      <c r="J373" s="173" t="str">
        <f t="shared" si="80"/>
        <v/>
      </c>
      <c r="K373" s="173" t="str">
        <f t="shared" si="80"/>
        <v/>
      </c>
      <c r="L373" s="173" t="str">
        <f t="shared" ref="L373:Y382" si="81">IF(ISNONTEXT(L$2),IF(L$2="","",IF(INDEX(IMPORT,$A373,L$2)=0,"",IFERROR(VLOOKUP(INDEX(IMPORT,$A373,L$2),ImportTranslation,2,0),INDEX(IMPORT,$A373,L$2)))),L$2)</f>
        <v>info</v>
      </c>
      <c r="M373" s="173" t="str">
        <f t="shared" si="81"/>
        <v/>
      </c>
      <c r="N373" s="173" t="str">
        <f t="shared" si="81"/>
        <v/>
      </c>
      <c r="O373" s="173" t="str">
        <f t="shared" si="81"/>
        <v/>
      </c>
      <c r="P373" s="174" t="str">
        <f t="shared" si="81"/>
        <v/>
      </c>
      <c r="Q373" s="174" t="str">
        <f t="shared" si="81"/>
        <v>x</v>
      </c>
      <c r="R373" s="174" t="str">
        <f t="shared" si="81"/>
        <v>BS</v>
      </c>
      <c r="S373" s="174" t="str">
        <f t="shared" si="81"/>
        <v>all</v>
      </c>
      <c r="T373" s="173" t="str">
        <f t="shared" si="81"/>
        <v/>
      </c>
      <c r="U373" s="173" t="str">
        <f t="shared" si="81"/>
        <v/>
      </c>
      <c r="V373" s="173" t="str">
        <f t="shared" si="81"/>
        <v/>
      </c>
      <c r="W373" s="173" t="str">
        <f t="shared" si="81"/>
        <v/>
      </c>
      <c r="X373" s="173" t="str">
        <f t="shared" si="81"/>
        <v/>
      </c>
      <c r="Y373" s="173" t="str">
        <f t="shared" si="81"/>
        <v/>
      </c>
    </row>
    <row r="374" spans="1:25" x14ac:dyDescent="0.3">
      <c r="A374" s="172">
        <f t="shared" si="69"/>
        <v>372</v>
      </c>
      <c r="B374" s="173" t="str">
        <f t="shared" si="80"/>
        <v/>
      </c>
      <c r="C374" s="173" t="str">
        <f t="shared" si="80"/>
        <v/>
      </c>
      <c r="D374" s="173" t="str">
        <f t="shared" si="80"/>
        <v/>
      </c>
      <c r="E374" s="173" t="str">
        <f t="shared" si="80"/>
        <v/>
      </c>
      <c r="F374" s="173" t="str">
        <f t="shared" si="80"/>
        <v/>
      </c>
      <c r="G374" s="173" t="str">
        <f t="shared" si="80"/>
        <v/>
      </c>
      <c r="H374" s="173" t="str">
        <f t="shared" si="80"/>
        <v/>
      </c>
      <c r="I374" s="173" t="str">
        <f t="shared" si="80"/>
        <v/>
      </c>
      <c r="J374" s="173" t="str">
        <f t="shared" si="80"/>
        <v/>
      </c>
      <c r="K374" s="173" t="str">
        <f t="shared" si="80"/>
        <v/>
      </c>
      <c r="L374" s="173" t="str">
        <f t="shared" si="81"/>
        <v>info</v>
      </c>
      <c r="M374" s="173" t="str">
        <f t="shared" si="81"/>
        <v/>
      </c>
      <c r="N374" s="173" t="str">
        <f t="shared" si="81"/>
        <v/>
      </c>
      <c r="O374" s="173" t="str">
        <f t="shared" si="81"/>
        <v/>
      </c>
      <c r="P374" s="174" t="str">
        <f t="shared" si="81"/>
        <v/>
      </c>
      <c r="Q374" s="174" t="str">
        <f t="shared" si="81"/>
        <v>x</v>
      </c>
      <c r="R374" s="174" t="str">
        <f t="shared" si="81"/>
        <v>BS</v>
      </c>
      <c r="S374" s="174" t="str">
        <f t="shared" si="81"/>
        <v>all</v>
      </c>
      <c r="T374" s="173" t="str">
        <f t="shared" si="81"/>
        <v/>
      </c>
      <c r="U374" s="173" t="str">
        <f t="shared" si="81"/>
        <v/>
      </c>
      <c r="V374" s="173" t="str">
        <f t="shared" si="81"/>
        <v/>
      </c>
      <c r="W374" s="173" t="str">
        <f t="shared" si="81"/>
        <v/>
      </c>
      <c r="X374" s="173" t="str">
        <f t="shared" si="81"/>
        <v/>
      </c>
      <c r="Y374" s="173" t="str">
        <f t="shared" si="81"/>
        <v/>
      </c>
    </row>
    <row r="375" spans="1:25" x14ac:dyDescent="0.3">
      <c r="A375" s="172">
        <f t="shared" si="69"/>
        <v>373</v>
      </c>
      <c r="B375" s="173" t="str">
        <f t="shared" si="80"/>
        <v/>
      </c>
      <c r="C375" s="173" t="str">
        <f t="shared" si="80"/>
        <v/>
      </c>
      <c r="D375" s="173" t="str">
        <f t="shared" si="80"/>
        <v/>
      </c>
      <c r="E375" s="173" t="str">
        <f t="shared" si="80"/>
        <v/>
      </c>
      <c r="F375" s="173" t="str">
        <f t="shared" si="80"/>
        <v/>
      </c>
      <c r="G375" s="173" t="str">
        <f t="shared" si="80"/>
        <v/>
      </c>
      <c r="H375" s="173" t="str">
        <f t="shared" si="80"/>
        <v/>
      </c>
      <c r="I375" s="173" t="str">
        <f t="shared" si="80"/>
        <v/>
      </c>
      <c r="J375" s="173" t="str">
        <f t="shared" si="80"/>
        <v/>
      </c>
      <c r="K375" s="173" t="str">
        <f t="shared" si="80"/>
        <v/>
      </c>
      <c r="L375" s="173" t="str">
        <f t="shared" si="81"/>
        <v>info</v>
      </c>
      <c r="M375" s="173" t="str">
        <f t="shared" si="81"/>
        <v/>
      </c>
      <c r="N375" s="173" t="str">
        <f t="shared" si="81"/>
        <v/>
      </c>
      <c r="O375" s="173" t="str">
        <f t="shared" si="81"/>
        <v/>
      </c>
      <c r="P375" s="174" t="str">
        <f t="shared" si="81"/>
        <v/>
      </c>
      <c r="Q375" s="174" t="str">
        <f t="shared" si="81"/>
        <v>x</v>
      </c>
      <c r="R375" s="174" t="str">
        <f t="shared" si="81"/>
        <v>BS</v>
      </c>
      <c r="S375" s="174" t="str">
        <f t="shared" si="81"/>
        <v>all</v>
      </c>
      <c r="T375" s="173" t="str">
        <f t="shared" si="81"/>
        <v/>
      </c>
      <c r="U375" s="173" t="str">
        <f t="shared" si="81"/>
        <v/>
      </c>
      <c r="V375" s="173" t="str">
        <f t="shared" si="81"/>
        <v/>
      </c>
      <c r="W375" s="173" t="str">
        <f t="shared" si="81"/>
        <v/>
      </c>
      <c r="X375" s="173" t="str">
        <f t="shared" si="81"/>
        <v/>
      </c>
      <c r="Y375" s="173" t="str">
        <f t="shared" si="81"/>
        <v/>
      </c>
    </row>
    <row r="376" spans="1:25" x14ac:dyDescent="0.3">
      <c r="A376" s="172">
        <f t="shared" si="69"/>
        <v>374</v>
      </c>
      <c r="B376" s="173" t="str">
        <f t="shared" si="80"/>
        <v/>
      </c>
      <c r="C376" s="173" t="str">
        <f t="shared" si="80"/>
        <v/>
      </c>
      <c r="D376" s="173" t="str">
        <f t="shared" si="80"/>
        <v/>
      </c>
      <c r="E376" s="173" t="str">
        <f t="shared" si="80"/>
        <v/>
      </c>
      <c r="F376" s="173" t="str">
        <f t="shared" si="80"/>
        <v/>
      </c>
      <c r="G376" s="173" t="str">
        <f t="shared" si="80"/>
        <v/>
      </c>
      <c r="H376" s="173" t="str">
        <f t="shared" si="80"/>
        <v/>
      </c>
      <c r="I376" s="173" t="str">
        <f t="shared" si="80"/>
        <v/>
      </c>
      <c r="J376" s="173" t="str">
        <f t="shared" si="80"/>
        <v/>
      </c>
      <c r="K376" s="173" t="str">
        <f t="shared" si="80"/>
        <v/>
      </c>
      <c r="L376" s="173" t="str">
        <f t="shared" si="81"/>
        <v>info</v>
      </c>
      <c r="M376" s="173" t="str">
        <f t="shared" si="81"/>
        <v/>
      </c>
      <c r="N376" s="173" t="str">
        <f t="shared" si="81"/>
        <v/>
      </c>
      <c r="O376" s="173" t="str">
        <f t="shared" si="81"/>
        <v/>
      </c>
      <c r="P376" s="174" t="str">
        <f t="shared" si="81"/>
        <v/>
      </c>
      <c r="Q376" s="174" t="str">
        <f t="shared" si="81"/>
        <v>x</v>
      </c>
      <c r="R376" s="174" t="str">
        <f t="shared" si="81"/>
        <v>BS</v>
      </c>
      <c r="S376" s="174" t="str">
        <f t="shared" si="81"/>
        <v>all</v>
      </c>
      <c r="T376" s="173" t="str">
        <f t="shared" si="81"/>
        <v/>
      </c>
      <c r="U376" s="173" t="str">
        <f t="shared" si="81"/>
        <v/>
      </c>
      <c r="V376" s="173" t="str">
        <f t="shared" si="81"/>
        <v/>
      </c>
      <c r="W376" s="173" t="str">
        <f t="shared" si="81"/>
        <v/>
      </c>
      <c r="X376" s="173" t="str">
        <f t="shared" si="81"/>
        <v/>
      </c>
      <c r="Y376" s="173" t="str">
        <f t="shared" si="81"/>
        <v/>
      </c>
    </row>
    <row r="377" spans="1:25" x14ac:dyDescent="0.3">
      <c r="A377" s="172">
        <f t="shared" si="69"/>
        <v>375</v>
      </c>
      <c r="B377" s="173" t="str">
        <f t="shared" si="80"/>
        <v/>
      </c>
      <c r="C377" s="173" t="str">
        <f t="shared" si="80"/>
        <v/>
      </c>
      <c r="D377" s="173" t="str">
        <f t="shared" si="80"/>
        <v/>
      </c>
      <c r="E377" s="173" t="str">
        <f t="shared" si="80"/>
        <v/>
      </c>
      <c r="F377" s="173" t="str">
        <f t="shared" si="80"/>
        <v/>
      </c>
      <c r="G377" s="173" t="str">
        <f t="shared" si="80"/>
        <v/>
      </c>
      <c r="H377" s="173" t="str">
        <f t="shared" si="80"/>
        <v/>
      </c>
      <c r="I377" s="173" t="str">
        <f t="shared" si="80"/>
        <v/>
      </c>
      <c r="J377" s="173" t="str">
        <f t="shared" si="80"/>
        <v/>
      </c>
      <c r="K377" s="173" t="str">
        <f t="shared" si="80"/>
        <v/>
      </c>
      <c r="L377" s="173" t="str">
        <f t="shared" si="81"/>
        <v>info</v>
      </c>
      <c r="M377" s="173" t="str">
        <f t="shared" si="81"/>
        <v/>
      </c>
      <c r="N377" s="173" t="str">
        <f t="shared" si="81"/>
        <v/>
      </c>
      <c r="O377" s="173" t="str">
        <f t="shared" si="81"/>
        <v/>
      </c>
      <c r="P377" s="174" t="str">
        <f t="shared" si="81"/>
        <v/>
      </c>
      <c r="Q377" s="174" t="str">
        <f t="shared" si="81"/>
        <v>x</v>
      </c>
      <c r="R377" s="174" t="str">
        <f t="shared" si="81"/>
        <v>BS</v>
      </c>
      <c r="S377" s="174" t="str">
        <f t="shared" si="81"/>
        <v>all</v>
      </c>
      <c r="T377" s="173" t="str">
        <f t="shared" si="81"/>
        <v/>
      </c>
      <c r="U377" s="173" t="str">
        <f t="shared" si="81"/>
        <v/>
      </c>
      <c r="V377" s="173" t="str">
        <f t="shared" si="81"/>
        <v/>
      </c>
      <c r="W377" s="173" t="str">
        <f t="shared" si="81"/>
        <v/>
      </c>
      <c r="X377" s="173" t="str">
        <f t="shared" si="81"/>
        <v/>
      </c>
      <c r="Y377" s="173" t="str">
        <f t="shared" si="81"/>
        <v/>
      </c>
    </row>
    <row r="378" spans="1:25" x14ac:dyDescent="0.3">
      <c r="A378" s="172">
        <f t="shared" si="69"/>
        <v>376</v>
      </c>
      <c r="B378" s="173" t="str">
        <f t="shared" si="80"/>
        <v/>
      </c>
      <c r="C378" s="173" t="str">
        <f t="shared" si="80"/>
        <v/>
      </c>
      <c r="D378" s="173" t="str">
        <f t="shared" si="80"/>
        <v/>
      </c>
      <c r="E378" s="173" t="str">
        <f t="shared" si="80"/>
        <v/>
      </c>
      <c r="F378" s="173" t="str">
        <f t="shared" si="80"/>
        <v/>
      </c>
      <c r="G378" s="173" t="str">
        <f t="shared" si="80"/>
        <v/>
      </c>
      <c r="H378" s="173" t="str">
        <f t="shared" si="80"/>
        <v/>
      </c>
      <c r="I378" s="173" t="str">
        <f t="shared" si="80"/>
        <v/>
      </c>
      <c r="J378" s="173" t="str">
        <f t="shared" si="80"/>
        <v/>
      </c>
      <c r="K378" s="173" t="str">
        <f t="shared" si="80"/>
        <v/>
      </c>
      <c r="L378" s="173" t="str">
        <f t="shared" si="81"/>
        <v>info</v>
      </c>
      <c r="M378" s="173" t="str">
        <f t="shared" si="81"/>
        <v/>
      </c>
      <c r="N378" s="173" t="str">
        <f t="shared" si="81"/>
        <v/>
      </c>
      <c r="O378" s="173" t="str">
        <f t="shared" si="81"/>
        <v/>
      </c>
      <c r="P378" s="174" t="str">
        <f t="shared" si="81"/>
        <v/>
      </c>
      <c r="Q378" s="174" t="str">
        <f t="shared" si="81"/>
        <v>x</v>
      </c>
      <c r="R378" s="174" t="str">
        <f t="shared" si="81"/>
        <v>BS</v>
      </c>
      <c r="S378" s="174" t="str">
        <f t="shared" si="81"/>
        <v>all</v>
      </c>
      <c r="T378" s="173" t="str">
        <f t="shared" si="81"/>
        <v/>
      </c>
      <c r="U378" s="173" t="str">
        <f t="shared" si="81"/>
        <v/>
      </c>
      <c r="V378" s="173" t="str">
        <f t="shared" si="81"/>
        <v/>
      </c>
      <c r="W378" s="173" t="str">
        <f t="shared" si="81"/>
        <v/>
      </c>
      <c r="X378" s="173" t="str">
        <f t="shared" si="81"/>
        <v/>
      </c>
      <c r="Y378" s="173" t="str">
        <f t="shared" si="81"/>
        <v/>
      </c>
    </row>
    <row r="379" spans="1:25" x14ac:dyDescent="0.3">
      <c r="A379" s="172">
        <f t="shared" si="69"/>
        <v>377</v>
      </c>
      <c r="B379" s="173" t="str">
        <f t="shared" si="80"/>
        <v/>
      </c>
      <c r="C379" s="173" t="str">
        <f t="shared" si="80"/>
        <v/>
      </c>
      <c r="D379" s="173" t="str">
        <f t="shared" si="80"/>
        <v/>
      </c>
      <c r="E379" s="173" t="str">
        <f t="shared" si="80"/>
        <v/>
      </c>
      <c r="F379" s="173" t="str">
        <f t="shared" si="80"/>
        <v/>
      </c>
      <c r="G379" s="173" t="str">
        <f t="shared" si="80"/>
        <v/>
      </c>
      <c r="H379" s="173" t="str">
        <f t="shared" si="80"/>
        <v/>
      </c>
      <c r="I379" s="173" t="str">
        <f t="shared" si="80"/>
        <v/>
      </c>
      <c r="J379" s="173" t="str">
        <f t="shared" si="80"/>
        <v/>
      </c>
      <c r="K379" s="173" t="str">
        <f t="shared" si="80"/>
        <v/>
      </c>
      <c r="L379" s="173" t="str">
        <f t="shared" si="81"/>
        <v>info</v>
      </c>
      <c r="M379" s="173" t="str">
        <f t="shared" si="81"/>
        <v/>
      </c>
      <c r="N379" s="173" t="str">
        <f t="shared" si="81"/>
        <v/>
      </c>
      <c r="O379" s="173" t="str">
        <f t="shared" si="81"/>
        <v/>
      </c>
      <c r="P379" s="174" t="str">
        <f t="shared" si="81"/>
        <v/>
      </c>
      <c r="Q379" s="174" t="str">
        <f t="shared" si="81"/>
        <v>x</v>
      </c>
      <c r="R379" s="174" t="str">
        <f t="shared" si="81"/>
        <v>BS</v>
      </c>
      <c r="S379" s="174" t="str">
        <f t="shared" si="81"/>
        <v>all</v>
      </c>
      <c r="T379" s="173" t="str">
        <f t="shared" si="81"/>
        <v/>
      </c>
      <c r="U379" s="173" t="str">
        <f t="shared" si="81"/>
        <v/>
      </c>
      <c r="V379" s="173" t="str">
        <f t="shared" si="81"/>
        <v/>
      </c>
      <c r="W379" s="173" t="str">
        <f t="shared" si="81"/>
        <v/>
      </c>
      <c r="X379" s="173" t="str">
        <f t="shared" si="81"/>
        <v/>
      </c>
      <c r="Y379" s="173" t="str">
        <f t="shared" si="81"/>
        <v/>
      </c>
    </row>
    <row r="380" spans="1:25" x14ac:dyDescent="0.3">
      <c r="A380" s="172">
        <f t="shared" si="69"/>
        <v>378</v>
      </c>
      <c r="B380" s="173" t="str">
        <f t="shared" si="80"/>
        <v/>
      </c>
      <c r="C380" s="173" t="str">
        <f t="shared" si="80"/>
        <v/>
      </c>
      <c r="D380" s="173" t="str">
        <f t="shared" si="80"/>
        <v/>
      </c>
      <c r="E380" s="173" t="str">
        <f t="shared" si="80"/>
        <v/>
      </c>
      <c r="F380" s="173" t="str">
        <f t="shared" si="80"/>
        <v/>
      </c>
      <c r="G380" s="173" t="str">
        <f t="shared" si="80"/>
        <v/>
      </c>
      <c r="H380" s="173" t="str">
        <f t="shared" si="80"/>
        <v/>
      </c>
      <c r="I380" s="173" t="str">
        <f t="shared" si="80"/>
        <v/>
      </c>
      <c r="J380" s="173" t="str">
        <f t="shared" si="80"/>
        <v/>
      </c>
      <c r="K380" s="173" t="str">
        <f t="shared" si="80"/>
        <v/>
      </c>
      <c r="L380" s="173" t="str">
        <f t="shared" si="81"/>
        <v>info</v>
      </c>
      <c r="M380" s="173" t="str">
        <f t="shared" si="81"/>
        <v/>
      </c>
      <c r="N380" s="173" t="str">
        <f t="shared" si="81"/>
        <v/>
      </c>
      <c r="O380" s="173" t="str">
        <f t="shared" si="81"/>
        <v/>
      </c>
      <c r="P380" s="174" t="str">
        <f t="shared" si="81"/>
        <v/>
      </c>
      <c r="Q380" s="174" t="str">
        <f t="shared" si="81"/>
        <v>x</v>
      </c>
      <c r="R380" s="174" t="str">
        <f t="shared" si="81"/>
        <v>BS</v>
      </c>
      <c r="S380" s="174" t="str">
        <f t="shared" si="81"/>
        <v>all</v>
      </c>
      <c r="T380" s="173" t="str">
        <f t="shared" si="81"/>
        <v/>
      </c>
      <c r="U380" s="173" t="str">
        <f t="shared" si="81"/>
        <v/>
      </c>
      <c r="V380" s="173" t="str">
        <f t="shared" si="81"/>
        <v/>
      </c>
      <c r="W380" s="173" t="str">
        <f t="shared" si="81"/>
        <v/>
      </c>
      <c r="X380" s="173" t="str">
        <f t="shared" si="81"/>
        <v/>
      </c>
      <c r="Y380" s="173" t="str">
        <f t="shared" si="81"/>
        <v/>
      </c>
    </row>
    <row r="381" spans="1:25" x14ac:dyDescent="0.3">
      <c r="A381" s="172">
        <f t="shared" si="69"/>
        <v>379</v>
      </c>
      <c r="B381" s="173" t="str">
        <f t="shared" si="80"/>
        <v/>
      </c>
      <c r="C381" s="173" t="str">
        <f t="shared" si="80"/>
        <v/>
      </c>
      <c r="D381" s="173" t="str">
        <f t="shared" si="80"/>
        <v/>
      </c>
      <c r="E381" s="173" t="str">
        <f t="shared" si="80"/>
        <v/>
      </c>
      <c r="F381" s="173" t="str">
        <f t="shared" si="80"/>
        <v/>
      </c>
      <c r="G381" s="173" t="str">
        <f t="shared" si="80"/>
        <v/>
      </c>
      <c r="H381" s="173" t="str">
        <f t="shared" si="80"/>
        <v/>
      </c>
      <c r="I381" s="173" t="str">
        <f t="shared" si="80"/>
        <v/>
      </c>
      <c r="J381" s="173" t="str">
        <f t="shared" si="80"/>
        <v/>
      </c>
      <c r="K381" s="173" t="str">
        <f t="shared" si="80"/>
        <v/>
      </c>
      <c r="L381" s="173" t="str">
        <f t="shared" si="81"/>
        <v>info</v>
      </c>
      <c r="M381" s="173" t="str">
        <f t="shared" si="81"/>
        <v/>
      </c>
      <c r="N381" s="173" t="str">
        <f t="shared" si="81"/>
        <v/>
      </c>
      <c r="O381" s="173" t="str">
        <f t="shared" si="81"/>
        <v/>
      </c>
      <c r="P381" s="174" t="str">
        <f t="shared" si="81"/>
        <v/>
      </c>
      <c r="Q381" s="174" t="str">
        <f t="shared" si="81"/>
        <v>x</v>
      </c>
      <c r="R381" s="174" t="str">
        <f t="shared" si="81"/>
        <v>BS</v>
      </c>
      <c r="S381" s="174" t="str">
        <f t="shared" si="81"/>
        <v>all</v>
      </c>
      <c r="T381" s="173" t="str">
        <f t="shared" si="81"/>
        <v/>
      </c>
      <c r="U381" s="173" t="str">
        <f t="shared" si="81"/>
        <v/>
      </c>
      <c r="V381" s="173" t="str">
        <f t="shared" si="81"/>
        <v/>
      </c>
      <c r="W381" s="173" t="str">
        <f t="shared" si="81"/>
        <v/>
      </c>
      <c r="X381" s="173" t="str">
        <f t="shared" si="81"/>
        <v/>
      </c>
      <c r="Y381" s="173" t="str">
        <f t="shared" si="81"/>
        <v/>
      </c>
    </row>
    <row r="382" spans="1:25" x14ac:dyDescent="0.3">
      <c r="A382" s="172">
        <f t="shared" si="69"/>
        <v>380</v>
      </c>
      <c r="B382" s="173" t="str">
        <f t="shared" si="80"/>
        <v/>
      </c>
      <c r="C382" s="173" t="str">
        <f t="shared" si="80"/>
        <v/>
      </c>
      <c r="D382" s="173" t="str">
        <f t="shared" si="80"/>
        <v/>
      </c>
      <c r="E382" s="173" t="str">
        <f t="shared" si="80"/>
        <v/>
      </c>
      <c r="F382" s="173" t="str">
        <f t="shared" si="80"/>
        <v/>
      </c>
      <c r="G382" s="173" t="str">
        <f t="shared" si="80"/>
        <v/>
      </c>
      <c r="H382" s="173" t="str">
        <f t="shared" si="80"/>
        <v/>
      </c>
      <c r="I382" s="173" t="str">
        <f t="shared" si="80"/>
        <v/>
      </c>
      <c r="J382" s="173" t="str">
        <f t="shared" si="80"/>
        <v/>
      </c>
      <c r="K382" s="173" t="str">
        <f t="shared" si="80"/>
        <v/>
      </c>
      <c r="L382" s="173" t="str">
        <f t="shared" si="81"/>
        <v>info</v>
      </c>
      <c r="M382" s="173" t="str">
        <f t="shared" si="81"/>
        <v/>
      </c>
      <c r="N382" s="173" t="str">
        <f t="shared" si="81"/>
        <v/>
      </c>
      <c r="O382" s="173" t="str">
        <f t="shared" si="81"/>
        <v/>
      </c>
      <c r="P382" s="174" t="str">
        <f t="shared" si="81"/>
        <v/>
      </c>
      <c r="Q382" s="174" t="str">
        <f t="shared" si="81"/>
        <v>x</v>
      </c>
      <c r="R382" s="174" t="str">
        <f t="shared" si="81"/>
        <v>BS</v>
      </c>
      <c r="S382" s="174" t="str">
        <f t="shared" si="81"/>
        <v>all</v>
      </c>
      <c r="T382" s="173" t="str">
        <f t="shared" si="81"/>
        <v/>
      </c>
      <c r="U382" s="173" t="str">
        <f t="shared" si="81"/>
        <v/>
      </c>
      <c r="V382" s="173" t="str">
        <f t="shared" si="81"/>
        <v/>
      </c>
      <c r="W382" s="173" t="str">
        <f t="shared" si="81"/>
        <v/>
      </c>
      <c r="X382" s="173" t="str">
        <f t="shared" si="81"/>
        <v/>
      </c>
      <c r="Y382" s="173" t="str">
        <f t="shared" si="81"/>
        <v/>
      </c>
    </row>
    <row r="383" spans="1:25" x14ac:dyDescent="0.3">
      <c r="A383" s="172">
        <f t="shared" si="69"/>
        <v>381</v>
      </c>
      <c r="B383" s="173" t="str">
        <f t="shared" ref="B383:K392" si="82">IF(ISNONTEXT(B$2),IF(B$2="","",IF(INDEX(IMPORT,$A383,B$2)=0,"",IFERROR(VLOOKUP(INDEX(IMPORT,$A383,B$2),ImportTranslation,2,0),INDEX(IMPORT,$A383,B$2)))),B$2)</f>
        <v/>
      </c>
      <c r="C383" s="173" t="str">
        <f t="shared" si="82"/>
        <v/>
      </c>
      <c r="D383" s="173" t="str">
        <f t="shared" si="82"/>
        <v/>
      </c>
      <c r="E383" s="173" t="str">
        <f t="shared" si="82"/>
        <v/>
      </c>
      <c r="F383" s="173" t="str">
        <f t="shared" si="82"/>
        <v/>
      </c>
      <c r="G383" s="173" t="str">
        <f t="shared" si="82"/>
        <v/>
      </c>
      <c r="H383" s="173" t="str">
        <f t="shared" si="82"/>
        <v/>
      </c>
      <c r="I383" s="173" t="str">
        <f t="shared" si="82"/>
        <v/>
      </c>
      <c r="J383" s="173" t="str">
        <f t="shared" si="82"/>
        <v/>
      </c>
      <c r="K383" s="173" t="str">
        <f t="shared" si="82"/>
        <v/>
      </c>
      <c r="L383" s="173" t="str">
        <f t="shared" ref="L383:Y392" si="83">IF(ISNONTEXT(L$2),IF(L$2="","",IF(INDEX(IMPORT,$A383,L$2)=0,"",IFERROR(VLOOKUP(INDEX(IMPORT,$A383,L$2),ImportTranslation,2,0),INDEX(IMPORT,$A383,L$2)))),L$2)</f>
        <v>info</v>
      </c>
      <c r="M383" s="173" t="str">
        <f t="shared" si="83"/>
        <v/>
      </c>
      <c r="N383" s="173" t="str">
        <f t="shared" si="83"/>
        <v/>
      </c>
      <c r="O383" s="173" t="str">
        <f t="shared" si="83"/>
        <v/>
      </c>
      <c r="P383" s="174" t="str">
        <f t="shared" si="83"/>
        <v/>
      </c>
      <c r="Q383" s="174" t="str">
        <f t="shared" si="83"/>
        <v>x</v>
      </c>
      <c r="R383" s="174" t="str">
        <f t="shared" si="83"/>
        <v>BS</v>
      </c>
      <c r="S383" s="174" t="str">
        <f t="shared" si="83"/>
        <v>all</v>
      </c>
      <c r="T383" s="173" t="str">
        <f t="shared" si="83"/>
        <v/>
      </c>
      <c r="U383" s="173" t="str">
        <f t="shared" si="83"/>
        <v/>
      </c>
      <c r="V383" s="173" t="str">
        <f t="shared" si="83"/>
        <v/>
      </c>
      <c r="W383" s="173" t="str">
        <f t="shared" si="83"/>
        <v/>
      </c>
      <c r="X383" s="173" t="str">
        <f t="shared" si="83"/>
        <v/>
      </c>
      <c r="Y383" s="173" t="str">
        <f t="shared" si="83"/>
        <v/>
      </c>
    </row>
    <row r="384" spans="1:25" x14ac:dyDescent="0.3">
      <c r="A384" s="172">
        <f t="shared" si="69"/>
        <v>382</v>
      </c>
      <c r="B384" s="173" t="str">
        <f t="shared" si="82"/>
        <v/>
      </c>
      <c r="C384" s="173" t="str">
        <f t="shared" si="82"/>
        <v/>
      </c>
      <c r="D384" s="173" t="str">
        <f t="shared" si="82"/>
        <v/>
      </c>
      <c r="E384" s="173" t="str">
        <f t="shared" si="82"/>
        <v/>
      </c>
      <c r="F384" s="173" t="str">
        <f t="shared" si="82"/>
        <v/>
      </c>
      <c r="G384" s="173" t="str">
        <f t="shared" si="82"/>
        <v/>
      </c>
      <c r="H384" s="173" t="str">
        <f t="shared" si="82"/>
        <v/>
      </c>
      <c r="I384" s="173" t="str">
        <f t="shared" si="82"/>
        <v/>
      </c>
      <c r="J384" s="173" t="str">
        <f t="shared" si="82"/>
        <v/>
      </c>
      <c r="K384" s="173" t="str">
        <f t="shared" si="82"/>
        <v/>
      </c>
      <c r="L384" s="173" t="str">
        <f t="shared" si="83"/>
        <v>info</v>
      </c>
      <c r="M384" s="173" t="str">
        <f t="shared" si="83"/>
        <v/>
      </c>
      <c r="N384" s="173" t="str">
        <f t="shared" si="83"/>
        <v/>
      </c>
      <c r="O384" s="173" t="str">
        <f t="shared" si="83"/>
        <v/>
      </c>
      <c r="P384" s="174" t="str">
        <f t="shared" si="83"/>
        <v/>
      </c>
      <c r="Q384" s="174" t="str">
        <f t="shared" si="83"/>
        <v>x</v>
      </c>
      <c r="R384" s="174" t="str">
        <f t="shared" si="83"/>
        <v>BS</v>
      </c>
      <c r="S384" s="174" t="str">
        <f t="shared" si="83"/>
        <v>all</v>
      </c>
      <c r="T384" s="173" t="str">
        <f t="shared" si="83"/>
        <v/>
      </c>
      <c r="U384" s="173" t="str">
        <f t="shared" si="83"/>
        <v/>
      </c>
      <c r="V384" s="173" t="str">
        <f t="shared" si="83"/>
        <v/>
      </c>
      <c r="W384" s="173" t="str">
        <f t="shared" si="83"/>
        <v/>
      </c>
      <c r="X384" s="173" t="str">
        <f t="shared" si="83"/>
        <v/>
      </c>
      <c r="Y384" s="173" t="str">
        <f t="shared" si="83"/>
        <v/>
      </c>
    </row>
    <row r="385" spans="1:25" x14ac:dyDescent="0.3">
      <c r="A385" s="172">
        <f t="shared" si="69"/>
        <v>383</v>
      </c>
      <c r="B385" s="173" t="str">
        <f t="shared" si="82"/>
        <v/>
      </c>
      <c r="C385" s="173" t="str">
        <f t="shared" si="82"/>
        <v/>
      </c>
      <c r="D385" s="173" t="str">
        <f t="shared" si="82"/>
        <v/>
      </c>
      <c r="E385" s="173" t="str">
        <f t="shared" si="82"/>
        <v/>
      </c>
      <c r="F385" s="173" t="str">
        <f t="shared" si="82"/>
        <v/>
      </c>
      <c r="G385" s="173" t="str">
        <f t="shared" si="82"/>
        <v/>
      </c>
      <c r="H385" s="173" t="str">
        <f t="shared" si="82"/>
        <v/>
      </c>
      <c r="I385" s="173" t="str">
        <f t="shared" si="82"/>
        <v/>
      </c>
      <c r="J385" s="173" t="str">
        <f t="shared" si="82"/>
        <v/>
      </c>
      <c r="K385" s="173" t="str">
        <f t="shared" si="82"/>
        <v/>
      </c>
      <c r="L385" s="173" t="str">
        <f t="shared" si="83"/>
        <v>info</v>
      </c>
      <c r="M385" s="173" t="str">
        <f t="shared" si="83"/>
        <v/>
      </c>
      <c r="N385" s="173" t="str">
        <f t="shared" si="83"/>
        <v/>
      </c>
      <c r="O385" s="173" t="str">
        <f t="shared" si="83"/>
        <v/>
      </c>
      <c r="P385" s="174" t="str">
        <f t="shared" si="83"/>
        <v/>
      </c>
      <c r="Q385" s="174" t="str">
        <f t="shared" si="83"/>
        <v>x</v>
      </c>
      <c r="R385" s="174" t="str">
        <f t="shared" si="83"/>
        <v>BS</v>
      </c>
      <c r="S385" s="174" t="str">
        <f t="shared" si="83"/>
        <v>all</v>
      </c>
      <c r="T385" s="173" t="str">
        <f t="shared" si="83"/>
        <v/>
      </c>
      <c r="U385" s="173" t="str">
        <f t="shared" si="83"/>
        <v/>
      </c>
      <c r="V385" s="173" t="str">
        <f t="shared" si="83"/>
        <v/>
      </c>
      <c r="W385" s="173" t="str">
        <f t="shared" si="83"/>
        <v/>
      </c>
      <c r="X385" s="173" t="str">
        <f t="shared" si="83"/>
        <v/>
      </c>
      <c r="Y385" s="173" t="str">
        <f t="shared" si="83"/>
        <v/>
      </c>
    </row>
    <row r="386" spans="1:25" x14ac:dyDescent="0.3">
      <c r="A386" s="172">
        <f t="shared" si="69"/>
        <v>384</v>
      </c>
      <c r="B386" s="173" t="str">
        <f t="shared" si="82"/>
        <v/>
      </c>
      <c r="C386" s="173" t="str">
        <f t="shared" si="82"/>
        <v/>
      </c>
      <c r="D386" s="173" t="str">
        <f t="shared" si="82"/>
        <v/>
      </c>
      <c r="E386" s="173" t="str">
        <f t="shared" si="82"/>
        <v/>
      </c>
      <c r="F386" s="173" t="str">
        <f t="shared" si="82"/>
        <v/>
      </c>
      <c r="G386" s="173" t="str">
        <f t="shared" si="82"/>
        <v/>
      </c>
      <c r="H386" s="173" t="str">
        <f t="shared" si="82"/>
        <v/>
      </c>
      <c r="I386" s="173" t="str">
        <f t="shared" si="82"/>
        <v/>
      </c>
      <c r="J386" s="173" t="str">
        <f t="shared" si="82"/>
        <v/>
      </c>
      <c r="K386" s="173" t="str">
        <f t="shared" si="82"/>
        <v/>
      </c>
      <c r="L386" s="173" t="str">
        <f t="shared" si="83"/>
        <v>info</v>
      </c>
      <c r="M386" s="173" t="str">
        <f t="shared" si="83"/>
        <v/>
      </c>
      <c r="N386" s="173" t="str">
        <f t="shared" si="83"/>
        <v/>
      </c>
      <c r="O386" s="173" t="str">
        <f t="shared" si="83"/>
        <v/>
      </c>
      <c r="P386" s="174" t="str">
        <f t="shared" si="83"/>
        <v/>
      </c>
      <c r="Q386" s="174" t="str">
        <f t="shared" si="83"/>
        <v>x</v>
      </c>
      <c r="R386" s="174" t="str">
        <f t="shared" si="83"/>
        <v>BS</v>
      </c>
      <c r="S386" s="174" t="str">
        <f t="shared" si="83"/>
        <v>all</v>
      </c>
      <c r="T386" s="173" t="str">
        <f t="shared" si="83"/>
        <v/>
      </c>
      <c r="U386" s="173" t="str">
        <f t="shared" si="83"/>
        <v/>
      </c>
      <c r="V386" s="173" t="str">
        <f t="shared" si="83"/>
        <v/>
      </c>
      <c r="W386" s="173" t="str">
        <f t="shared" si="83"/>
        <v/>
      </c>
      <c r="X386" s="173" t="str">
        <f t="shared" si="83"/>
        <v/>
      </c>
      <c r="Y386" s="173" t="str">
        <f t="shared" si="83"/>
        <v/>
      </c>
    </row>
    <row r="387" spans="1:25" x14ac:dyDescent="0.3">
      <c r="A387" s="172">
        <f t="shared" ref="A387:A450" si="84">ROW()-ROW($A$2)</f>
        <v>385</v>
      </c>
      <c r="B387" s="173" t="str">
        <f t="shared" si="82"/>
        <v/>
      </c>
      <c r="C387" s="173" t="str">
        <f t="shared" si="82"/>
        <v/>
      </c>
      <c r="D387" s="173" t="str">
        <f t="shared" si="82"/>
        <v/>
      </c>
      <c r="E387" s="173" t="str">
        <f t="shared" si="82"/>
        <v/>
      </c>
      <c r="F387" s="173" t="str">
        <f t="shared" si="82"/>
        <v/>
      </c>
      <c r="G387" s="173" t="str">
        <f t="shared" si="82"/>
        <v/>
      </c>
      <c r="H387" s="173" t="str">
        <f t="shared" si="82"/>
        <v/>
      </c>
      <c r="I387" s="173" t="str">
        <f t="shared" si="82"/>
        <v/>
      </c>
      <c r="J387" s="173" t="str">
        <f t="shared" si="82"/>
        <v/>
      </c>
      <c r="K387" s="173" t="str">
        <f t="shared" si="82"/>
        <v/>
      </c>
      <c r="L387" s="173" t="str">
        <f t="shared" si="83"/>
        <v>info</v>
      </c>
      <c r="M387" s="173" t="str">
        <f t="shared" si="83"/>
        <v/>
      </c>
      <c r="N387" s="173" t="str">
        <f t="shared" si="83"/>
        <v/>
      </c>
      <c r="O387" s="173" t="str">
        <f t="shared" si="83"/>
        <v/>
      </c>
      <c r="P387" s="174" t="str">
        <f t="shared" si="83"/>
        <v/>
      </c>
      <c r="Q387" s="174" t="str">
        <f t="shared" si="83"/>
        <v>x</v>
      </c>
      <c r="R387" s="174" t="str">
        <f t="shared" si="83"/>
        <v>BS</v>
      </c>
      <c r="S387" s="174" t="str">
        <f t="shared" si="83"/>
        <v>all</v>
      </c>
      <c r="T387" s="173" t="str">
        <f t="shared" si="83"/>
        <v/>
      </c>
      <c r="U387" s="173" t="str">
        <f t="shared" si="83"/>
        <v/>
      </c>
      <c r="V387" s="173" t="str">
        <f t="shared" si="83"/>
        <v/>
      </c>
      <c r="W387" s="173" t="str">
        <f t="shared" si="83"/>
        <v/>
      </c>
      <c r="X387" s="173" t="str">
        <f t="shared" si="83"/>
        <v/>
      </c>
      <c r="Y387" s="173" t="str">
        <f t="shared" si="83"/>
        <v/>
      </c>
    </row>
    <row r="388" spans="1:25" x14ac:dyDescent="0.3">
      <c r="A388" s="172">
        <f t="shared" si="84"/>
        <v>386</v>
      </c>
      <c r="B388" s="173" t="str">
        <f t="shared" si="82"/>
        <v/>
      </c>
      <c r="C388" s="173" t="str">
        <f t="shared" si="82"/>
        <v/>
      </c>
      <c r="D388" s="173" t="str">
        <f t="shared" si="82"/>
        <v/>
      </c>
      <c r="E388" s="173" t="str">
        <f t="shared" si="82"/>
        <v/>
      </c>
      <c r="F388" s="173" t="str">
        <f t="shared" si="82"/>
        <v/>
      </c>
      <c r="G388" s="173" t="str">
        <f t="shared" si="82"/>
        <v/>
      </c>
      <c r="H388" s="173" t="str">
        <f t="shared" si="82"/>
        <v/>
      </c>
      <c r="I388" s="173" t="str">
        <f t="shared" si="82"/>
        <v/>
      </c>
      <c r="J388" s="173" t="str">
        <f t="shared" si="82"/>
        <v/>
      </c>
      <c r="K388" s="173" t="str">
        <f t="shared" si="82"/>
        <v/>
      </c>
      <c r="L388" s="173" t="str">
        <f t="shared" si="83"/>
        <v>info</v>
      </c>
      <c r="M388" s="173" t="str">
        <f t="shared" si="83"/>
        <v/>
      </c>
      <c r="N388" s="173" t="str">
        <f t="shared" si="83"/>
        <v/>
      </c>
      <c r="O388" s="173" t="str">
        <f t="shared" si="83"/>
        <v/>
      </c>
      <c r="P388" s="174" t="str">
        <f t="shared" si="83"/>
        <v/>
      </c>
      <c r="Q388" s="174" t="str">
        <f t="shared" si="83"/>
        <v>x</v>
      </c>
      <c r="R388" s="174" t="str">
        <f t="shared" si="83"/>
        <v>BS</v>
      </c>
      <c r="S388" s="174" t="str">
        <f t="shared" si="83"/>
        <v>all</v>
      </c>
      <c r="T388" s="173" t="str">
        <f t="shared" si="83"/>
        <v/>
      </c>
      <c r="U388" s="173" t="str">
        <f t="shared" si="83"/>
        <v/>
      </c>
      <c r="V388" s="173" t="str">
        <f t="shared" si="83"/>
        <v/>
      </c>
      <c r="W388" s="173" t="str">
        <f t="shared" si="83"/>
        <v/>
      </c>
      <c r="X388" s="173" t="str">
        <f t="shared" si="83"/>
        <v/>
      </c>
      <c r="Y388" s="173" t="str">
        <f t="shared" si="83"/>
        <v/>
      </c>
    </row>
    <row r="389" spans="1:25" x14ac:dyDescent="0.3">
      <c r="A389" s="172">
        <f t="shared" si="84"/>
        <v>387</v>
      </c>
      <c r="B389" s="173" t="str">
        <f t="shared" si="82"/>
        <v/>
      </c>
      <c r="C389" s="173" t="str">
        <f t="shared" si="82"/>
        <v/>
      </c>
      <c r="D389" s="173" t="str">
        <f t="shared" si="82"/>
        <v/>
      </c>
      <c r="E389" s="173" t="str">
        <f t="shared" si="82"/>
        <v/>
      </c>
      <c r="F389" s="173" t="str">
        <f t="shared" si="82"/>
        <v/>
      </c>
      <c r="G389" s="173" t="str">
        <f t="shared" si="82"/>
        <v/>
      </c>
      <c r="H389" s="173" t="str">
        <f t="shared" si="82"/>
        <v/>
      </c>
      <c r="I389" s="173" t="str">
        <f t="shared" si="82"/>
        <v/>
      </c>
      <c r="J389" s="173" t="str">
        <f t="shared" si="82"/>
        <v/>
      </c>
      <c r="K389" s="173" t="str">
        <f t="shared" si="82"/>
        <v/>
      </c>
      <c r="L389" s="173" t="str">
        <f t="shared" si="83"/>
        <v>info</v>
      </c>
      <c r="M389" s="173" t="str">
        <f t="shared" si="83"/>
        <v/>
      </c>
      <c r="N389" s="173" t="str">
        <f t="shared" si="83"/>
        <v/>
      </c>
      <c r="O389" s="173" t="str">
        <f t="shared" si="83"/>
        <v/>
      </c>
      <c r="P389" s="174" t="str">
        <f t="shared" si="83"/>
        <v/>
      </c>
      <c r="Q389" s="174" t="str">
        <f t="shared" si="83"/>
        <v>x</v>
      </c>
      <c r="R389" s="174" t="str">
        <f t="shared" si="83"/>
        <v>BS</v>
      </c>
      <c r="S389" s="174" t="str">
        <f t="shared" si="83"/>
        <v>all</v>
      </c>
      <c r="T389" s="173" t="str">
        <f t="shared" si="83"/>
        <v/>
      </c>
      <c r="U389" s="173" t="str">
        <f t="shared" si="83"/>
        <v/>
      </c>
      <c r="V389" s="173" t="str">
        <f t="shared" si="83"/>
        <v/>
      </c>
      <c r="W389" s="173" t="str">
        <f t="shared" si="83"/>
        <v/>
      </c>
      <c r="X389" s="173" t="str">
        <f t="shared" si="83"/>
        <v/>
      </c>
      <c r="Y389" s="173" t="str">
        <f t="shared" si="83"/>
        <v/>
      </c>
    </row>
    <row r="390" spans="1:25" x14ac:dyDescent="0.3">
      <c r="A390" s="172">
        <f t="shared" si="84"/>
        <v>388</v>
      </c>
      <c r="B390" s="173" t="str">
        <f t="shared" si="82"/>
        <v/>
      </c>
      <c r="C390" s="173" t="str">
        <f t="shared" si="82"/>
        <v/>
      </c>
      <c r="D390" s="173" t="str">
        <f t="shared" si="82"/>
        <v/>
      </c>
      <c r="E390" s="173" t="str">
        <f t="shared" si="82"/>
        <v/>
      </c>
      <c r="F390" s="173" t="str">
        <f t="shared" si="82"/>
        <v/>
      </c>
      <c r="G390" s="173" t="str">
        <f t="shared" si="82"/>
        <v/>
      </c>
      <c r="H390" s="173" t="str">
        <f t="shared" si="82"/>
        <v/>
      </c>
      <c r="I390" s="173" t="str">
        <f t="shared" si="82"/>
        <v/>
      </c>
      <c r="J390" s="173" t="str">
        <f t="shared" si="82"/>
        <v/>
      </c>
      <c r="K390" s="173" t="str">
        <f t="shared" si="82"/>
        <v/>
      </c>
      <c r="L390" s="173" t="str">
        <f t="shared" si="83"/>
        <v>info</v>
      </c>
      <c r="M390" s="173" t="str">
        <f t="shared" si="83"/>
        <v/>
      </c>
      <c r="N390" s="173" t="str">
        <f t="shared" si="83"/>
        <v/>
      </c>
      <c r="O390" s="173" t="str">
        <f t="shared" si="83"/>
        <v/>
      </c>
      <c r="P390" s="174" t="str">
        <f t="shared" si="83"/>
        <v/>
      </c>
      <c r="Q390" s="174" t="str">
        <f t="shared" si="83"/>
        <v>x</v>
      </c>
      <c r="R390" s="174" t="str">
        <f t="shared" si="83"/>
        <v>BS</v>
      </c>
      <c r="S390" s="174" t="str">
        <f t="shared" si="83"/>
        <v>all</v>
      </c>
      <c r="T390" s="173" t="str">
        <f t="shared" si="83"/>
        <v/>
      </c>
      <c r="U390" s="173" t="str">
        <f t="shared" si="83"/>
        <v/>
      </c>
      <c r="V390" s="173" t="str">
        <f t="shared" si="83"/>
        <v/>
      </c>
      <c r="W390" s="173" t="str">
        <f t="shared" si="83"/>
        <v/>
      </c>
      <c r="X390" s="173" t="str">
        <f t="shared" si="83"/>
        <v/>
      </c>
      <c r="Y390" s="173" t="str">
        <f t="shared" si="83"/>
        <v/>
      </c>
    </row>
    <row r="391" spans="1:25" x14ac:dyDescent="0.3">
      <c r="A391" s="172">
        <f t="shared" si="84"/>
        <v>389</v>
      </c>
      <c r="B391" s="173" t="str">
        <f t="shared" si="82"/>
        <v/>
      </c>
      <c r="C391" s="173" t="str">
        <f t="shared" si="82"/>
        <v/>
      </c>
      <c r="D391" s="173" t="str">
        <f t="shared" si="82"/>
        <v/>
      </c>
      <c r="E391" s="173" t="str">
        <f t="shared" si="82"/>
        <v/>
      </c>
      <c r="F391" s="173" t="str">
        <f t="shared" si="82"/>
        <v/>
      </c>
      <c r="G391" s="173" t="str">
        <f t="shared" si="82"/>
        <v/>
      </c>
      <c r="H391" s="173" t="str">
        <f t="shared" si="82"/>
        <v/>
      </c>
      <c r="I391" s="173" t="str">
        <f t="shared" si="82"/>
        <v/>
      </c>
      <c r="J391" s="173" t="str">
        <f t="shared" si="82"/>
        <v/>
      </c>
      <c r="K391" s="173" t="str">
        <f t="shared" si="82"/>
        <v/>
      </c>
      <c r="L391" s="173" t="str">
        <f t="shared" si="83"/>
        <v>info</v>
      </c>
      <c r="M391" s="173" t="str">
        <f t="shared" si="83"/>
        <v/>
      </c>
      <c r="N391" s="173" t="str">
        <f t="shared" si="83"/>
        <v/>
      </c>
      <c r="O391" s="173" t="str">
        <f t="shared" si="83"/>
        <v/>
      </c>
      <c r="P391" s="174" t="str">
        <f t="shared" si="83"/>
        <v/>
      </c>
      <c r="Q391" s="174" t="str">
        <f t="shared" si="83"/>
        <v>x</v>
      </c>
      <c r="R391" s="174" t="str">
        <f t="shared" si="83"/>
        <v>BS</v>
      </c>
      <c r="S391" s="174" t="str">
        <f t="shared" si="83"/>
        <v>all</v>
      </c>
      <c r="T391" s="173" t="str">
        <f t="shared" si="83"/>
        <v/>
      </c>
      <c r="U391" s="173" t="str">
        <f t="shared" si="83"/>
        <v/>
      </c>
      <c r="V391" s="173" t="str">
        <f t="shared" si="83"/>
        <v/>
      </c>
      <c r="W391" s="173" t="str">
        <f t="shared" si="83"/>
        <v/>
      </c>
      <c r="X391" s="173" t="str">
        <f t="shared" si="83"/>
        <v/>
      </c>
      <c r="Y391" s="173" t="str">
        <f t="shared" si="83"/>
        <v/>
      </c>
    </row>
    <row r="392" spans="1:25" x14ac:dyDescent="0.3">
      <c r="A392" s="172">
        <f t="shared" si="84"/>
        <v>390</v>
      </c>
      <c r="B392" s="173" t="str">
        <f t="shared" si="82"/>
        <v/>
      </c>
      <c r="C392" s="173" t="str">
        <f t="shared" si="82"/>
        <v/>
      </c>
      <c r="D392" s="173" t="str">
        <f t="shared" si="82"/>
        <v/>
      </c>
      <c r="E392" s="173" t="str">
        <f t="shared" si="82"/>
        <v/>
      </c>
      <c r="F392" s="173" t="str">
        <f t="shared" si="82"/>
        <v/>
      </c>
      <c r="G392" s="173" t="str">
        <f t="shared" si="82"/>
        <v/>
      </c>
      <c r="H392" s="173" t="str">
        <f t="shared" si="82"/>
        <v/>
      </c>
      <c r="I392" s="173" t="str">
        <f t="shared" si="82"/>
        <v/>
      </c>
      <c r="J392" s="173" t="str">
        <f t="shared" si="82"/>
        <v/>
      </c>
      <c r="K392" s="173" t="str">
        <f t="shared" si="82"/>
        <v/>
      </c>
      <c r="L392" s="173" t="str">
        <f t="shared" si="83"/>
        <v>info</v>
      </c>
      <c r="M392" s="173" t="str">
        <f t="shared" si="83"/>
        <v/>
      </c>
      <c r="N392" s="173" t="str">
        <f t="shared" si="83"/>
        <v/>
      </c>
      <c r="O392" s="173" t="str">
        <f t="shared" si="83"/>
        <v/>
      </c>
      <c r="P392" s="174" t="str">
        <f t="shared" si="83"/>
        <v/>
      </c>
      <c r="Q392" s="174" t="str">
        <f t="shared" si="83"/>
        <v>x</v>
      </c>
      <c r="R392" s="174" t="str">
        <f t="shared" si="83"/>
        <v>BS</v>
      </c>
      <c r="S392" s="174" t="str">
        <f t="shared" si="83"/>
        <v>all</v>
      </c>
      <c r="T392" s="173" t="str">
        <f t="shared" si="83"/>
        <v/>
      </c>
      <c r="U392" s="173" t="str">
        <f t="shared" si="83"/>
        <v/>
      </c>
      <c r="V392" s="173" t="str">
        <f t="shared" si="83"/>
        <v/>
      </c>
      <c r="W392" s="173" t="str">
        <f t="shared" si="83"/>
        <v/>
      </c>
      <c r="X392" s="173" t="str">
        <f t="shared" si="83"/>
        <v/>
      </c>
      <c r="Y392" s="173" t="str">
        <f t="shared" si="83"/>
        <v/>
      </c>
    </row>
    <row r="393" spans="1:25" x14ac:dyDescent="0.3">
      <c r="A393" s="172">
        <f t="shared" si="84"/>
        <v>391</v>
      </c>
      <c r="B393" s="173" t="str">
        <f t="shared" ref="B393:K402" si="85">IF(ISNONTEXT(B$2),IF(B$2="","",IF(INDEX(IMPORT,$A393,B$2)=0,"",IFERROR(VLOOKUP(INDEX(IMPORT,$A393,B$2),ImportTranslation,2,0),INDEX(IMPORT,$A393,B$2)))),B$2)</f>
        <v/>
      </c>
      <c r="C393" s="173" t="str">
        <f t="shared" si="85"/>
        <v/>
      </c>
      <c r="D393" s="173" t="str">
        <f t="shared" si="85"/>
        <v/>
      </c>
      <c r="E393" s="173" t="str">
        <f t="shared" si="85"/>
        <v/>
      </c>
      <c r="F393" s="173" t="str">
        <f t="shared" si="85"/>
        <v/>
      </c>
      <c r="G393" s="173" t="str">
        <f t="shared" si="85"/>
        <v/>
      </c>
      <c r="H393" s="173" t="str">
        <f t="shared" si="85"/>
        <v/>
      </c>
      <c r="I393" s="173" t="str">
        <f t="shared" si="85"/>
        <v/>
      </c>
      <c r="J393" s="173" t="str">
        <f t="shared" si="85"/>
        <v/>
      </c>
      <c r="K393" s="173" t="str">
        <f t="shared" si="85"/>
        <v/>
      </c>
      <c r="L393" s="173" t="str">
        <f t="shared" ref="L393:Y402" si="86">IF(ISNONTEXT(L$2),IF(L$2="","",IF(INDEX(IMPORT,$A393,L$2)=0,"",IFERROR(VLOOKUP(INDEX(IMPORT,$A393,L$2),ImportTranslation,2,0),INDEX(IMPORT,$A393,L$2)))),L$2)</f>
        <v>info</v>
      </c>
      <c r="M393" s="173" t="str">
        <f t="shared" si="86"/>
        <v/>
      </c>
      <c r="N393" s="173" t="str">
        <f t="shared" si="86"/>
        <v/>
      </c>
      <c r="O393" s="173" t="str">
        <f t="shared" si="86"/>
        <v/>
      </c>
      <c r="P393" s="174" t="str">
        <f t="shared" si="86"/>
        <v/>
      </c>
      <c r="Q393" s="174" t="str">
        <f t="shared" si="86"/>
        <v>x</v>
      </c>
      <c r="R393" s="174" t="str">
        <f t="shared" si="86"/>
        <v>BS</v>
      </c>
      <c r="S393" s="174" t="str">
        <f t="shared" si="86"/>
        <v>all</v>
      </c>
      <c r="T393" s="173" t="str">
        <f t="shared" si="86"/>
        <v/>
      </c>
      <c r="U393" s="173" t="str">
        <f t="shared" si="86"/>
        <v/>
      </c>
      <c r="V393" s="173" t="str">
        <f t="shared" si="86"/>
        <v/>
      </c>
      <c r="W393" s="173" t="str">
        <f t="shared" si="86"/>
        <v/>
      </c>
      <c r="X393" s="173" t="str">
        <f t="shared" si="86"/>
        <v/>
      </c>
      <c r="Y393" s="173" t="str">
        <f t="shared" si="86"/>
        <v/>
      </c>
    </row>
    <row r="394" spans="1:25" x14ac:dyDescent="0.3">
      <c r="A394" s="172">
        <f t="shared" si="84"/>
        <v>392</v>
      </c>
      <c r="B394" s="173" t="str">
        <f t="shared" si="85"/>
        <v/>
      </c>
      <c r="C394" s="173" t="str">
        <f t="shared" si="85"/>
        <v/>
      </c>
      <c r="D394" s="173" t="str">
        <f t="shared" si="85"/>
        <v/>
      </c>
      <c r="E394" s="173" t="str">
        <f t="shared" si="85"/>
        <v/>
      </c>
      <c r="F394" s="173" t="str">
        <f t="shared" si="85"/>
        <v/>
      </c>
      <c r="G394" s="173" t="str">
        <f t="shared" si="85"/>
        <v/>
      </c>
      <c r="H394" s="173" t="str">
        <f t="shared" si="85"/>
        <v/>
      </c>
      <c r="I394" s="173" t="str">
        <f t="shared" si="85"/>
        <v/>
      </c>
      <c r="J394" s="173" t="str">
        <f t="shared" si="85"/>
        <v/>
      </c>
      <c r="K394" s="173" t="str">
        <f t="shared" si="85"/>
        <v/>
      </c>
      <c r="L394" s="173" t="str">
        <f t="shared" si="86"/>
        <v>info</v>
      </c>
      <c r="M394" s="173" t="str">
        <f t="shared" si="86"/>
        <v/>
      </c>
      <c r="N394" s="173" t="str">
        <f t="shared" si="86"/>
        <v/>
      </c>
      <c r="O394" s="173" t="str">
        <f t="shared" si="86"/>
        <v/>
      </c>
      <c r="P394" s="174" t="str">
        <f t="shared" si="86"/>
        <v/>
      </c>
      <c r="Q394" s="174" t="str">
        <f t="shared" si="86"/>
        <v>x</v>
      </c>
      <c r="R394" s="174" t="str">
        <f t="shared" si="86"/>
        <v>BS</v>
      </c>
      <c r="S394" s="174" t="str">
        <f t="shared" si="86"/>
        <v>all</v>
      </c>
      <c r="T394" s="173" t="str">
        <f t="shared" si="86"/>
        <v/>
      </c>
      <c r="U394" s="173" t="str">
        <f t="shared" si="86"/>
        <v/>
      </c>
      <c r="V394" s="173" t="str">
        <f t="shared" si="86"/>
        <v/>
      </c>
      <c r="W394" s="173" t="str">
        <f t="shared" si="86"/>
        <v/>
      </c>
      <c r="X394" s="173" t="str">
        <f t="shared" si="86"/>
        <v/>
      </c>
      <c r="Y394" s="173" t="str">
        <f t="shared" si="86"/>
        <v/>
      </c>
    </row>
    <row r="395" spans="1:25" x14ac:dyDescent="0.3">
      <c r="A395" s="172">
        <f t="shared" si="84"/>
        <v>393</v>
      </c>
      <c r="B395" s="173" t="str">
        <f t="shared" si="85"/>
        <v/>
      </c>
      <c r="C395" s="173" t="str">
        <f t="shared" si="85"/>
        <v/>
      </c>
      <c r="D395" s="173" t="str">
        <f t="shared" si="85"/>
        <v/>
      </c>
      <c r="E395" s="173" t="str">
        <f t="shared" si="85"/>
        <v/>
      </c>
      <c r="F395" s="173" t="str">
        <f t="shared" si="85"/>
        <v/>
      </c>
      <c r="G395" s="173" t="str">
        <f t="shared" si="85"/>
        <v/>
      </c>
      <c r="H395" s="173" t="str">
        <f t="shared" si="85"/>
        <v/>
      </c>
      <c r="I395" s="173" t="str">
        <f t="shared" si="85"/>
        <v/>
      </c>
      <c r="J395" s="173" t="str">
        <f t="shared" si="85"/>
        <v/>
      </c>
      <c r="K395" s="173" t="str">
        <f t="shared" si="85"/>
        <v/>
      </c>
      <c r="L395" s="173" t="str">
        <f t="shared" si="86"/>
        <v>info</v>
      </c>
      <c r="M395" s="173" t="str">
        <f t="shared" si="86"/>
        <v/>
      </c>
      <c r="N395" s="173" t="str">
        <f t="shared" si="86"/>
        <v/>
      </c>
      <c r="O395" s="173" t="str">
        <f t="shared" si="86"/>
        <v/>
      </c>
      <c r="P395" s="174" t="str">
        <f t="shared" si="86"/>
        <v/>
      </c>
      <c r="Q395" s="174" t="str">
        <f t="shared" si="86"/>
        <v>x</v>
      </c>
      <c r="R395" s="174" t="str">
        <f t="shared" si="86"/>
        <v>BS</v>
      </c>
      <c r="S395" s="174" t="str">
        <f t="shared" si="86"/>
        <v>all</v>
      </c>
      <c r="T395" s="173" t="str">
        <f t="shared" si="86"/>
        <v/>
      </c>
      <c r="U395" s="173" t="str">
        <f t="shared" si="86"/>
        <v/>
      </c>
      <c r="V395" s="173" t="str">
        <f t="shared" si="86"/>
        <v/>
      </c>
      <c r="W395" s="173" t="str">
        <f t="shared" si="86"/>
        <v/>
      </c>
      <c r="X395" s="173" t="str">
        <f t="shared" si="86"/>
        <v/>
      </c>
      <c r="Y395" s="173" t="str">
        <f t="shared" si="86"/>
        <v/>
      </c>
    </row>
    <row r="396" spans="1:25" x14ac:dyDescent="0.3">
      <c r="A396" s="172">
        <f t="shared" si="84"/>
        <v>394</v>
      </c>
      <c r="B396" s="173" t="str">
        <f t="shared" si="85"/>
        <v/>
      </c>
      <c r="C396" s="173" t="str">
        <f t="shared" si="85"/>
        <v/>
      </c>
      <c r="D396" s="173" t="str">
        <f t="shared" si="85"/>
        <v/>
      </c>
      <c r="E396" s="173" t="str">
        <f t="shared" si="85"/>
        <v/>
      </c>
      <c r="F396" s="173" t="str">
        <f t="shared" si="85"/>
        <v/>
      </c>
      <c r="G396" s="173" t="str">
        <f t="shared" si="85"/>
        <v/>
      </c>
      <c r="H396" s="173" t="str">
        <f t="shared" si="85"/>
        <v/>
      </c>
      <c r="I396" s="173" t="str">
        <f t="shared" si="85"/>
        <v/>
      </c>
      <c r="J396" s="173" t="str">
        <f t="shared" si="85"/>
        <v/>
      </c>
      <c r="K396" s="173" t="str">
        <f t="shared" si="85"/>
        <v/>
      </c>
      <c r="L396" s="173" t="str">
        <f t="shared" si="86"/>
        <v>info</v>
      </c>
      <c r="M396" s="173" t="str">
        <f t="shared" si="86"/>
        <v/>
      </c>
      <c r="N396" s="173" t="str">
        <f t="shared" si="86"/>
        <v/>
      </c>
      <c r="O396" s="173" t="str">
        <f t="shared" si="86"/>
        <v/>
      </c>
      <c r="P396" s="174" t="str">
        <f t="shared" si="86"/>
        <v/>
      </c>
      <c r="Q396" s="174" t="str">
        <f t="shared" si="86"/>
        <v>x</v>
      </c>
      <c r="R396" s="174" t="str">
        <f t="shared" si="86"/>
        <v>BS</v>
      </c>
      <c r="S396" s="174" t="str">
        <f t="shared" si="86"/>
        <v>all</v>
      </c>
      <c r="T396" s="173" t="str">
        <f t="shared" si="86"/>
        <v/>
      </c>
      <c r="U396" s="173" t="str">
        <f t="shared" si="86"/>
        <v/>
      </c>
      <c r="V396" s="173" t="str">
        <f t="shared" si="86"/>
        <v/>
      </c>
      <c r="W396" s="173" t="str">
        <f t="shared" si="86"/>
        <v/>
      </c>
      <c r="X396" s="173" t="str">
        <f t="shared" si="86"/>
        <v/>
      </c>
      <c r="Y396" s="173" t="str">
        <f t="shared" si="86"/>
        <v/>
      </c>
    </row>
    <row r="397" spans="1:25" x14ac:dyDescent="0.3">
      <c r="A397" s="172">
        <f t="shared" si="84"/>
        <v>395</v>
      </c>
      <c r="B397" s="173" t="str">
        <f t="shared" si="85"/>
        <v/>
      </c>
      <c r="C397" s="173" t="str">
        <f t="shared" si="85"/>
        <v/>
      </c>
      <c r="D397" s="173" t="str">
        <f t="shared" si="85"/>
        <v/>
      </c>
      <c r="E397" s="173" t="str">
        <f t="shared" si="85"/>
        <v/>
      </c>
      <c r="F397" s="173" t="str">
        <f t="shared" si="85"/>
        <v/>
      </c>
      <c r="G397" s="173" t="str">
        <f t="shared" si="85"/>
        <v/>
      </c>
      <c r="H397" s="173" t="str">
        <f t="shared" si="85"/>
        <v/>
      </c>
      <c r="I397" s="173" t="str">
        <f t="shared" si="85"/>
        <v/>
      </c>
      <c r="J397" s="173" t="str">
        <f t="shared" si="85"/>
        <v/>
      </c>
      <c r="K397" s="173" t="str">
        <f t="shared" si="85"/>
        <v/>
      </c>
      <c r="L397" s="173" t="str">
        <f t="shared" si="86"/>
        <v>info</v>
      </c>
      <c r="M397" s="173" t="str">
        <f t="shared" si="86"/>
        <v/>
      </c>
      <c r="N397" s="173" t="str">
        <f t="shared" si="86"/>
        <v/>
      </c>
      <c r="O397" s="173" t="str">
        <f t="shared" si="86"/>
        <v/>
      </c>
      <c r="P397" s="174" t="str">
        <f t="shared" si="86"/>
        <v/>
      </c>
      <c r="Q397" s="174" t="str">
        <f t="shared" si="86"/>
        <v>x</v>
      </c>
      <c r="R397" s="174" t="str">
        <f t="shared" si="86"/>
        <v>BS</v>
      </c>
      <c r="S397" s="174" t="str">
        <f t="shared" si="86"/>
        <v>all</v>
      </c>
      <c r="T397" s="173" t="str">
        <f t="shared" si="86"/>
        <v/>
      </c>
      <c r="U397" s="173" t="str">
        <f t="shared" si="86"/>
        <v/>
      </c>
      <c r="V397" s="173" t="str">
        <f t="shared" si="86"/>
        <v/>
      </c>
      <c r="W397" s="173" t="str">
        <f t="shared" si="86"/>
        <v/>
      </c>
      <c r="X397" s="173" t="str">
        <f t="shared" si="86"/>
        <v/>
      </c>
      <c r="Y397" s="173" t="str">
        <f t="shared" si="86"/>
        <v/>
      </c>
    </row>
    <row r="398" spans="1:25" x14ac:dyDescent="0.3">
      <c r="A398" s="172">
        <f t="shared" si="84"/>
        <v>396</v>
      </c>
      <c r="B398" s="173" t="str">
        <f t="shared" si="85"/>
        <v/>
      </c>
      <c r="C398" s="173" t="str">
        <f t="shared" si="85"/>
        <v/>
      </c>
      <c r="D398" s="173" t="str">
        <f t="shared" si="85"/>
        <v/>
      </c>
      <c r="E398" s="173" t="str">
        <f t="shared" si="85"/>
        <v/>
      </c>
      <c r="F398" s="173" t="str">
        <f t="shared" si="85"/>
        <v/>
      </c>
      <c r="G398" s="173" t="str">
        <f t="shared" si="85"/>
        <v/>
      </c>
      <c r="H398" s="173" t="str">
        <f t="shared" si="85"/>
        <v/>
      </c>
      <c r="I398" s="173" t="str">
        <f t="shared" si="85"/>
        <v/>
      </c>
      <c r="J398" s="173" t="str">
        <f t="shared" si="85"/>
        <v/>
      </c>
      <c r="K398" s="173" t="str">
        <f t="shared" si="85"/>
        <v/>
      </c>
      <c r="L398" s="173" t="str">
        <f t="shared" si="86"/>
        <v>info</v>
      </c>
      <c r="M398" s="173" t="str">
        <f t="shared" si="86"/>
        <v/>
      </c>
      <c r="N398" s="173" t="str">
        <f t="shared" si="86"/>
        <v/>
      </c>
      <c r="O398" s="173" t="str">
        <f t="shared" si="86"/>
        <v/>
      </c>
      <c r="P398" s="174" t="str">
        <f t="shared" si="86"/>
        <v/>
      </c>
      <c r="Q398" s="174" t="str">
        <f t="shared" si="86"/>
        <v>x</v>
      </c>
      <c r="R398" s="174" t="str">
        <f t="shared" si="86"/>
        <v>BS</v>
      </c>
      <c r="S398" s="174" t="str">
        <f t="shared" si="86"/>
        <v>all</v>
      </c>
      <c r="T398" s="173" t="str">
        <f t="shared" si="86"/>
        <v/>
      </c>
      <c r="U398" s="173" t="str">
        <f t="shared" si="86"/>
        <v/>
      </c>
      <c r="V398" s="173" t="str">
        <f t="shared" si="86"/>
        <v/>
      </c>
      <c r="W398" s="173" t="str">
        <f t="shared" si="86"/>
        <v/>
      </c>
      <c r="X398" s="173" t="str">
        <f t="shared" si="86"/>
        <v/>
      </c>
      <c r="Y398" s="173" t="str">
        <f t="shared" si="86"/>
        <v/>
      </c>
    </row>
    <row r="399" spans="1:25" x14ac:dyDescent="0.3">
      <c r="A399" s="172">
        <f t="shared" si="84"/>
        <v>397</v>
      </c>
      <c r="B399" s="173" t="str">
        <f t="shared" si="85"/>
        <v/>
      </c>
      <c r="C399" s="173" t="str">
        <f t="shared" si="85"/>
        <v/>
      </c>
      <c r="D399" s="173" t="str">
        <f t="shared" si="85"/>
        <v/>
      </c>
      <c r="E399" s="173" t="str">
        <f t="shared" si="85"/>
        <v/>
      </c>
      <c r="F399" s="173" t="str">
        <f t="shared" si="85"/>
        <v/>
      </c>
      <c r="G399" s="173" t="str">
        <f t="shared" si="85"/>
        <v/>
      </c>
      <c r="H399" s="173" t="str">
        <f t="shared" si="85"/>
        <v/>
      </c>
      <c r="I399" s="173" t="str">
        <f t="shared" si="85"/>
        <v/>
      </c>
      <c r="J399" s="173" t="str">
        <f t="shared" si="85"/>
        <v/>
      </c>
      <c r="K399" s="173" t="str">
        <f t="shared" si="85"/>
        <v/>
      </c>
      <c r="L399" s="173" t="str">
        <f t="shared" si="86"/>
        <v>info</v>
      </c>
      <c r="M399" s="173" t="str">
        <f t="shared" si="86"/>
        <v/>
      </c>
      <c r="N399" s="173" t="str">
        <f t="shared" si="86"/>
        <v/>
      </c>
      <c r="O399" s="173" t="str">
        <f t="shared" si="86"/>
        <v/>
      </c>
      <c r="P399" s="174" t="str">
        <f t="shared" si="86"/>
        <v/>
      </c>
      <c r="Q399" s="174" t="str">
        <f t="shared" si="86"/>
        <v>x</v>
      </c>
      <c r="R399" s="174" t="str">
        <f t="shared" si="86"/>
        <v>BS</v>
      </c>
      <c r="S399" s="174" t="str">
        <f t="shared" si="86"/>
        <v>all</v>
      </c>
      <c r="T399" s="173" t="str">
        <f t="shared" si="86"/>
        <v/>
      </c>
      <c r="U399" s="173" t="str">
        <f t="shared" si="86"/>
        <v/>
      </c>
      <c r="V399" s="173" t="str">
        <f t="shared" si="86"/>
        <v/>
      </c>
      <c r="W399" s="173" t="str">
        <f t="shared" si="86"/>
        <v/>
      </c>
      <c r="X399" s="173" t="str">
        <f t="shared" si="86"/>
        <v/>
      </c>
      <c r="Y399" s="173" t="str">
        <f t="shared" si="86"/>
        <v/>
      </c>
    </row>
    <row r="400" spans="1:25" x14ac:dyDescent="0.3">
      <c r="A400" s="172">
        <f t="shared" si="84"/>
        <v>398</v>
      </c>
      <c r="B400" s="173" t="str">
        <f t="shared" si="85"/>
        <v/>
      </c>
      <c r="C400" s="173" t="str">
        <f t="shared" si="85"/>
        <v/>
      </c>
      <c r="D400" s="173" t="str">
        <f t="shared" si="85"/>
        <v/>
      </c>
      <c r="E400" s="173" t="str">
        <f t="shared" si="85"/>
        <v/>
      </c>
      <c r="F400" s="173" t="str">
        <f t="shared" si="85"/>
        <v/>
      </c>
      <c r="G400" s="173" t="str">
        <f t="shared" si="85"/>
        <v/>
      </c>
      <c r="H400" s="173" t="str">
        <f t="shared" si="85"/>
        <v/>
      </c>
      <c r="I400" s="173" t="str">
        <f t="shared" si="85"/>
        <v/>
      </c>
      <c r="J400" s="173" t="str">
        <f t="shared" si="85"/>
        <v/>
      </c>
      <c r="K400" s="173" t="str">
        <f t="shared" si="85"/>
        <v/>
      </c>
      <c r="L400" s="173" t="str">
        <f t="shared" si="86"/>
        <v>info</v>
      </c>
      <c r="M400" s="173" t="str">
        <f t="shared" si="86"/>
        <v/>
      </c>
      <c r="N400" s="173" t="str">
        <f t="shared" si="86"/>
        <v/>
      </c>
      <c r="O400" s="173" t="str">
        <f t="shared" si="86"/>
        <v/>
      </c>
      <c r="P400" s="174" t="str">
        <f t="shared" si="86"/>
        <v/>
      </c>
      <c r="Q400" s="174" t="str">
        <f t="shared" si="86"/>
        <v>x</v>
      </c>
      <c r="R400" s="174" t="str">
        <f t="shared" si="86"/>
        <v>BS</v>
      </c>
      <c r="S400" s="174" t="str">
        <f t="shared" si="86"/>
        <v>all</v>
      </c>
      <c r="T400" s="173" t="str">
        <f t="shared" si="86"/>
        <v/>
      </c>
      <c r="U400" s="173" t="str">
        <f t="shared" si="86"/>
        <v/>
      </c>
      <c r="V400" s="173" t="str">
        <f t="shared" si="86"/>
        <v/>
      </c>
      <c r="W400" s="173" t="str">
        <f t="shared" si="86"/>
        <v/>
      </c>
      <c r="X400" s="173" t="str">
        <f t="shared" si="86"/>
        <v/>
      </c>
      <c r="Y400" s="173" t="str">
        <f t="shared" si="86"/>
        <v/>
      </c>
    </row>
    <row r="401" spans="1:25" x14ac:dyDescent="0.3">
      <c r="A401" s="172">
        <f t="shared" si="84"/>
        <v>399</v>
      </c>
      <c r="B401" s="173" t="str">
        <f t="shared" si="85"/>
        <v/>
      </c>
      <c r="C401" s="173" t="str">
        <f t="shared" si="85"/>
        <v/>
      </c>
      <c r="D401" s="173" t="str">
        <f t="shared" si="85"/>
        <v/>
      </c>
      <c r="E401" s="173" t="str">
        <f t="shared" si="85"/>
        <v/>
      </c>
      <c r="F401" s="173" t="str">
        <f t="shared" si="85"/>
        <v/>
      </c>
      <c r="G401" s="173" t="str">
        <f t="shared" si="85"/>
        <v/>
      </c>
      <c r="H401" s="173" t="str">
        <f t="shared" si="85"/>
        <v/>
      </c>
      <c r="I401" s="173" t="str">
        <f t="shared" si="85"/>
        <v/>
      </c>
      <c r="J401" s="173" t="str">
        <f t="shared" si="85"/>
        <v/>
      </c>
      <c r="K401" s="173" t="str">
        <f t="shared" si="85"/>
        <v/>
      </c>
      <c r="L401" s="173" t="str">
        <f t="shared" si="86"/>
        <v>info</v>
      </c>
      <c r="M401" s="173" t="str">
        <f t="shared" si="86"/>
        <v/>
      </c>
      <c r="N401" s="173" t="str">
        <f t="shared" si="86"/>
        <v/>
      </c>
      <c r="O401" s="173" t="str">
        <f t="shared" si="86"/>
        <v/>
      </c>
      <c r="P401" s="174" t="str">
        <f t="shared" si="86"/>
        <v/>
      </c>
      <c r="Q401" s="174" t="str">
        <f t="shared" si="86"/>
        <v>x</v>
      </c>
      <c r="R401" s="174" t="str">
        <f t="shared" si="86"/>
        <v>BS</v>
      </c>
      <c r="S401" s="174" t="str">
        <f t="shared" si="86"/>
        <v>all</v>
      </c>
      <c r="T401" s="173" t="str">
        <f t="shared" si="86"/>
        <v/>
      </c>
      <c r="U401" s="173" t="str">
        <f t="shared" si="86"/>
        <v/>
      </c>
      <c r="V401" s="173" t="str">
        <f t="shared" si="86"/>
        <v/>
      </c>
      <c r="W401" s="173" t="str">
        <f t="shared" si="86"/>
        <v/>
      </c>
      <c r="X401" s="173" t="str">
        <f t="shared" si="86"/>
        <v/>
      </c>
      <c r="Y401" s="173" t="str">
        <f t="shared" si="86"/>
        <v/>
      </c>
    </row>
    <row r="402" spans="1:25" x14ac:dyDescent="0.3">
      <c r="A402" s="172">
        <f t="shared" si="84"/>
        <v>400</v>
      </c>
      <c r="B402" s="173" t="str">
        <f t="shared" si="85"/>
        <v/>
      </c>
      <c r="C402" s="173" t="str">
        <f t="shared" si="85"/>
        <v/>
      </c>
      <c r="D402" s="173" t="str">
        <f t="shared" si="85"/>
        <v/>
      </c>
      <c r="E402" s="173" t="str">
        <f t="shared" si="85"/>
        <v/>
      </c>
      <c r="F402" s="173" t="str">
        <f t="shared" si="85"/>
        <v/>
      </c>
      <c r="G402" s="173" t="str">
        <f t="shared" si="85"/>
        <v/>
      </c>
      <c r="H402" s="173" t="str">
        <f t="shared" si="85"/>
        <v/>
      </c>
      <c r="I402" s="173" t="str">
        <f t="shared" si="85"/>
        <v/>
      </c>
      <c r="J402" s="173" t="str">
        <f t="shared" si="85"/>
        <v/>
      </c>
      <c r="K402" s="173" t="str">
        <f t="shared" si="85"/>
        <v/>
      </c>
      <c r="L402" s="173" t="str">
        <f t="shared" si="86"/>
        <v>info</v>
      </c>
      <c r="M402" s="173" t="str">
        <f t="shared" si="86"/>
        <v/>
      </c>
      <c r="N402" s="173" t="str">
        <f t="shared" si="86"/>
        <v/>
      </c>
      <c r="O402" s="173" t="str">
        <f t="shared" si="86"/>
        <v/>
      </c>
      <c r="P402" s="174" t="str">
        <f t="shared" si="86"/>
        <v/>
      </c>
      <c r="Q402" s="174" t="str">
        <f t="shared" si="86"/>
        <v>x</v>
      </c>
      <c r="R402" s="174" t="str">
        <f t="shared" si="86"/>
        <v>BS</v>
      </c>
      <c r="S402" s="174" t="str">
        <f t="shared" si="86"/>
        <v>all</v>
      </c>
      <c r="T402" s="173" t="str">
        <f t="shared" si="86"/>
        <v/>
      </c>
      <c r="U402" s="173" t="str">
        <f t="shared" si="86"/>
        <v/>
      </c>
      <c r="V402" s="173" t="str">
        <f t="shared" si="86"/>
        <v/>
      </c>
      <c r="W402" s="173" t="str">
        <f t="shared" si="86"/>
        <v/>
      </c>
      <c r="X402" s="173" t="str">
        <f t="shared" si="86"/>
        <v/>
      </c>
      <c r="Y402" s="173" t="str">
        <f t="shared" si="86"/>
        <v/>
      </c>
    </row>
    <row r="403" spans="1:25" x14ac:dyDescent="0.3">
      <c r="A403" s="172">
        <f t="shared" si="84"/>
        <v>401</v>
      </c>
      <c r="B403" s="173" t="str">
        <f t="shared" ref="B403:K412" si="87">IF(ISNONTEXT(B$2),IF(B$2="","",IF(INDEX(IMPORT,$A403,B$2)=0,"",IFERROR(VLOOKUP(INDEX(IMPORT,$A403,B$2),ImportTranslation,2,0),INDEX(IMPORT,$A403,B$2)))),B$2)</f>
        <v/>
      </c>
      <c r="C403" s="173" t="str">
        <f t="shared" si="87"/>
        <v/>
      </c>
      <c r="D403" s="173" t="str">
        <f t="shared" si="87"/>
        <v/>
      </c>
      <c r="E403" s="173" t="str">
        <f t="shared" si="87"/>
        <v/>
      </c>
      <c r="F403" s="173" t="str">
        <f t="shared" si="87"/>
        <v/>
      </c>
      <c r="G403" s="173" t="str">
        <f t="shared" si="87"/>
        <v/>
      </c>
      <c r="H403" s="173" t="str">
        <f t="shared" si="87"/>
        <v/>
      </c>
      <c r="I403" s="173" t="str">
        <f t="shared" si="87"/>
        <v/>
      </c>
      <c r="J403" s="173" t="str">
        <f t="shared" si="87"/>
        <v/>
      </c>
      <c r="K403" s="173" t="str">
        <f t="shared" si="87"/>
        <v/>
      </c>
      <c r="L403" s="173" t="str">
        <f t="shared" ref="L403:Y412" si="88">IF(ISNONTEXT(L$2),IF(L$2="","",IF(INDEX(IMPORT,$A403,L$2)=0,"",IFERROR(VLOOKUP(INDEX(IMPORT,$A403,L$2),ImportTranslation,2,0),INDEX(IMPORT,$A403,L$2)))),L$2)</f>
        <v>info</v>
      </c>
      <c r="M403" s="173" t="str">
        <f t="shared" si="88"/>
        <v/>
      </c>
      <c r="N403" s="173" t="str">
        <f t="shared" si="88"/>
        <v/>
      </c>
      <c r="O403" s="173" t="str">
        <f t="shared" si="88"/>
        <v/>
      </c>
      <c r="P403" s="174" t="str">
        <f t="shared" si="88"/>
        <v/>
      </c>
      <c r="Q403" s="174" t="str">
        <f t="shared" si="88"/>
        <v>x</v>
      </c>
      <c r="R403" s="174" t="str">
        <f t="shared" si="88"/>
        <v>BS</v>
      </c>
      <c r="S403" s="174" t="str">
        <f t="shared" si="88"/>
        <v>all</v>
      </c>
      <c r="T403" s="173" t="str">
        <f t="shared" si="88"/>
        <v/>
      </c>
      <c r="U403" s="173" t="str">
        <f t="shared" si="88"/>
        <v/>
      </c>
      <c r="V403" s="173" t="str">
        <f t="shared" si="88"/>
        <v/>
      </c>
      <c r="W403" s="173" t="str">
        <f t="shared" si="88"/>
        <v/>
      </c>
      <c r="X403" s="173" t="str">
        <f t="shared" si="88"/>
        <v/>
      </c>
      <c r="Y403" s="173" t="str">
        <f t="shared" si="88"/>
        <v/>
      </c>
    </row>
    <row r="404" spans="1:25" x14ac:dyDescent="0.3">
      <c r="A404" s="172">
        <f t="shared" si="84"/>
        <v>402</v>
      </c>
      <c r="B404" s="173" t="str">
        <f t="shared" si="87"/>
        <v/>
      </c>
      <c r="C404" s="173" t="str">
        <f t="shared" si="87"/>
        <v/>
      </c>
      <c r="D404" s="173" t="str">
        <f t="shared" si="87"/>
        <v/>
      </c>
      <c r="E404" s="173" t="str">
        <f t="shared" si="87"/>
        <v/>
      </c>
      <c r="F404" s="173" t="str">
        <f t="shared" si="87"/>
        <v/>
      </c>
      <c r="G404" s="173" t="str">
        <f t="shared" si="87"/>
        <v/>
      </c>
      <c r="H404" s="173" t="str">
        <f t="shared" si="87"/>
        <v/>
      </c>
      <c r="I404" s="173" t="str">
        <f t="shared" si="87"/>
        <v/>
      </c>
      <c r="J404" s="173" t="str">
        <f t="shared" si="87"/>
        <v/>
      </c>
      <c r="K404" s="173" t="str">
        <f t="shared" si="87"/>
        <v/>
      </c>
      <c r="L404" s="173" t="str">
        <f t="shared" si="88"/>
        <v>info</v>
      </c>
      <c r="M404" s="173" t="str">
        <f t="shared" si="88"/>
        <v/>
      </c>
      <c r="N404" s="173" t="str">
        <f t="shared" si="88"/>
        <v/>
      </c>
      <c r="O404" s="173" t="str">
        <f t="shared" si="88"/>
        <v/>
      </c>
      <c r="P404" s="174" t="str">
        <f t="shared" si="88"/>
        <v/>
      </c>
      <c r="Q404" s="174" t="str">
        <f t="shared" si="88"/>
        <v>x</v>
      </c>
      <c r="R404" s="174" t="str">
        <f t="shared" si="88"/>
        <v>BS</v>
      </c>
      <c r="S404" s="174" t="str">
        <f t="shared" si="88"/>
        <v>all</v>
      </c>
      <c r="T404" s="173" t="str">
        <f t="shared" si="88"/>
        <v/>
      </c>
      <c r="U404" s="173" t="str">
        <f t="shared" si="88"/>
        <v/>
      </c>
      <c r="V404" s="173" t="str">
        <f t="shared" si="88"/>
        <v/>
      </c>
      <c r="W404" s="173" t="str">
        <f t="shared" si="88"/>
        <v/>
      </c>
      <c r="X404" s="173" t="str">
        <f t="shared" si="88"/>
        <v/>
      </c>
      <c r="Y404" s="173" t="str">
        <f t="shared" si="88"/>
        <v/>
      </c>
    </row>
    <row r="405" spans="1:25" x14ac:dyDescent="0.3">
      <c r="A405" s="172">
        <f t="shared" si="84"/>
        <v>403</v>
      </c>
      <c r="B405" s="173" t="str">
        <f t="shared" si="87"/>
        <v/>
      </c>
      <c r="C405" s="173" t="str">
        <f t="shared" si="87"/>
        <v/>
      </c>
      <c r="D405" s="173" t="str">
        <f t="shared" si="87"/>
        <v/>
      </c>
      <c r="E405" s="173" t="str">
        <f t="shared" si="87"/>
        <v/>
      </c>
      <c r="F405" s="173" t="str">
        <f t="shared" si="87"/>
        <v/>
      </c>
      <c r="G405" s="173" t="str">
        <f t="shared" si="87"/>
        <v/>
      </c>
      <c r="H405" s="173" t="str">
        <f t="shared" si="87"/>
        <v/>
      </c>
      <c r="I405" s="173" t="str">
        <f t="shared" si="87"/>
        <v/>
      </c>
      <c r="J405" s="173" t="str">
        <f t="shared" si="87"/>
        <v/>
      </c>
      <c r="K405" s="173" t="str">
        <f t="shared" si="87"/>
        <v/>
      </c>
      <c r="L405" s="173" t="str">
        <f t="shared" si="88"/>
        <v>info</v>
      </c>
      <c r="M405" s="173" t="str">
        <f t="shared" si="88"/>
        <v/>
      </c>
      <c r="N405" s="173" t="str">
        <f t="shared" si="88"/>
        <v/>
      </c>
      <c r="O405" s="173" t="str">
        <f t="shared" si="88"/>
        <v/>
      </c>
      <c r="P405" s="174" t="str">
        <f t="shared" si="88"/>
        <v/>
      </c>
      <c r="Q405" s="174" t="str">
        <f t="shared" si="88"/>
        <v>x</v>
      </c>
      <c r="R405" s="174" t="str">
        <f t="shared" si="88"/>
        <v>BS</v>
      </c>
      <c r="S405" s="174" t="str">
        <f t="shared" si="88"/>
        <v>all</v>
      </c>
      <c r="T405" s="173" t="str">
        <f t="shared" si="88"/>
        <v/>
      </c>
      <c r="U405" s="173" t="str">
        <f t="shared" si="88"/>
        <v/>
      </c>
      <c r="V405" s="173" t="str">
        <f t="shared" si="88"/>
        <v/>
      </c>
      <c r="W405" s="173" t="str">
        <f t="shared" si="88"/>
        <v/>
      </c>
      <c r="X405" s="173" t="str">
        <f t="shared" si="88"/>
        <v/>
      </c>
      <c r="Y405" s="173" t="str">
        <f t="shared" si="88"/>
        <v/>
      </c>
    </row>
    <row r="406" spans="1:25" x14ac:dyDescent="0.3">
      <c r="A406" s="172">
        <f t="shared" si="84"/>
        <v>404</v>
      </c>
      <c r="B406" s="173" t="str">
        <f t="shared" si="87"/>
        <v/>
      </c>
      <c r="C406" s="173" t="str">
        <f t="shared" si="87"/>
        <v/>
      </c>
      <c r="D406" s="173" t="str">
        <f t="shared" si="87"/>
        <v/>
      </c>
      <c r="E406" s="173" t="str">
        <f t="shared" si="87"/>
        <v/>
      </c>
      <c r="F406" s="173" t="str">
        <f t="shared" si="87"/>
        <v/>
      </c>
      <c r="G406" s="173" t="str">
        <f t="shared" si="87"/>
        <v/>
      </c>
      <c r="H406" s="173" t="str">
        <f t="shared" si="87"/>
        <v/>
      </c>
      <c r="I406" s="173" t="str">
        <f t="shared" si="87"/>
        <v/>
      </c>
      <c r="J406" s="173" t="str">
        <f t="shared" si="87"/>
        <v/>
      </c>
      <c r="K406" s="173" t="str">
        <f t="shared" si="87"/>
        <v/>
      </c>
      <c r="L406" s="173" t="str">
        <f t="shared" si="88"/>
        <v>info</v>
      </c>
      <c r="M406" s="173" t="str">
        <f t="shared" si="88"/>
        <v/>
      </c>
      <c r="N406" s="173" t="str">
        <f t="shared" si="88"/>
        <v/>
      </c>
      <c r="O406" s="173" t="str">
        <f t="shared" si="88"/>
        <v/>
      </c>
      <c r="P406" s="174" t="str">
        <f t="shared" si="88"/>
        <v/>
      </c>
      <c r="Q406" s="174" t="str">
        <f t="shared" si="88"/>
        <v>x</v>
      </c>
      <c r="R406" s="174" t="str">
        <f t="shared" si="88"/>
        <v>BS</v>
      </c>
      <c r="S406" s="174" t="str">
        <f t="shared" si="88"/>
        <v>all</v>
      </c>
      <c r="T406" s="173" t="str">
        <f t="shared" si="88"/>
        <v/>
      </c>
      <c r="U406" s="173" t="str">
        <f t="shared" si="88"/>
        <v/>
      </c>
      <c r="V406" s="173" t="str">
        <f t="shared" si="88"/>
        <v/>
      </c>
      <c r="W406" s="173" t="str">
        <f t="shared" si="88"/>
        <v/>
      </c>
      <c r="X406" s="173" t="str">
        <f t="shared" si="88"/>
        <v/>
      </c>
      <c r="Y406" s="173" t="str">
        <f t="shared" si="88"/>
        <v/>
      </c>
    </row>
    <row r="407" spans="1:25" x14ac:dyDescent="0.3">
      <c r="A407" s="172">
        <f t="shared" si="84"/>
        <v>405</v>
      </c>
      <c r="B407" s="173" t="str">
        <f t="shared" si="87"/>
        <v/>
      </c>
      <c r="C407" s="173" t="str">
        <f t="shared" si="87"/>
        <v/>
      </c>
      <c r="D407" s="173" t="str">
        <f t="shared" si="87"/>
        <v/>
      </c>
      <c r="E407" s="173" t="str">
        <f t="shared" si="87"/>
        <v/>
      </c>
      <c r="F407" s="173" t="str">
        <f t="shared" si="87"/>
        <v/>
      </c>
      <c r="G407" s="173" t="str">
        <f t="shared" si="87"/>
        <v/>
      </c>
      <c r="H407" s="173" t="str">
        <f t="shared" si="87"/>
        <v/>
      </c>
      <c r="I407" s="173" t="str">
        <f t="shared" si="87"/>
        <v/>
      </c>
      <c r="J407" s="173" t="str">
        <f t="shared" si="87"/>
        <v/>
      </c>
      <c r="K407" s="173" t="str">
        <f t="shared" si="87"/>
        <v/>
      </c>
      <c r="L407" s="173" t="str">
        <f t="shared" si="88"/>
        <v>info</v>
      </c>
      <c r="M407" s="173" t="str">
        <f t="shared" si="88"/>
        <v/>
      </c>
      <c r="N407" s="173" t="str">
        <f t="shared" si="88"/>
        <v/>
      </c>
      <c r="O407" s="173" t="str">
        <f t="shared" si="88"/>
        <v/>
      </c>
      <c r="P407" s="174" t="str">
        <f t="shared" si="88"/>
        <v/>
      </c>
      <c r="Q407" s="174" t="str">
        <f t="shared" si="88"/>
        <v>x</v>
      </c>
      <c r="R407" s="174" t="str">
        <f t="shared" si="88"/>
        <v>BS</v>
      </c>
      <c r="S407" s="174" t="str">
        <f t="shared" si="88"/>
        <v>all</v>
      </c>
      <c r="T407" s="173" t="str">
        <f t="shared" si="88"/>
        <v/>
      </c>
      <c r="U407" s="173" t="str">
        <f t="shared" si="88"/>
        <v/>
      </c>
      <c r="V407" s="173" t="str">
        <f t="shared" si="88"/>
        <v/>
      </c>
      <c r="W407" s="173" t="str">
        <f t="shared" si="88"/>
        <v/>
      </c>
      <c r="X407" s="173" t="str">
        <f t="shared" si="88"/>
        <v/>
      </c>
      <c r="Y407" s="173" t="str">
        <f t="shared" si="88"/>
        <v/>
      </c>
    </row>
    <row r="408" spans="1:25" x14ac:dyDescent="0.3">
      <c r="A408" s="172">
        <f t="shared" si="84"/>
        <v>406</v>
      </c>
      <c r="B408" s="173" t="str">
        <f t="shared" si="87"/>
        <v/>
      </c>
      <c r="C408" s="173" t="str">
        <f t="shared" si="87"/>
        <v/>
      </c>
      <c r="D408" s="173" t="str">
        <f t="shared" si="87"/>
        <v/>
      </c>
      <c r="E408" s="173" t="str">
        <f t="shared" si="87"/>
        <v/>
      </c>
      <c r="F408" s="173" t="str">
        <f t="shared" si="87"/>
        <v/>
      </c>
      <c r="G408" s="173" t="str">
        <f t="shared" si="87"/>
        <v/>
      </c>
      <c r="H408" s="173" t="str">
        <f t="shared" si="87"/>
        <v/>
      </c>
      <c r="I408" s="173" t="str">
        <f t="shared" si="87"/>
        <v/>
      </c>
      <c r="J408" s="173" t="str">
        <f t="shared" si="87"/>
        <v/>
      </c>
      <c r="K408" s="173" t="str">
        <f t="shared" si="87"/>
        <v/>
      </c>
      <c r="L408" s="173" t="str">
        <f t="shared" si="88"/>
        <v>info</v>
      </c>
      <c r="M408" s="173" t="str">
        <f t="shared" si="88"/>
        <v/>
      </c>
      <c r="N408" s="173" t="str">
        <f t="shared" si="88"/>
        <v/>
      </c>
      <c r="O408" s="173" t="str">
        <f t="shared" si="88"/>
        <v/>
      </c>
      <c r="P408" s="174" t="str">
        <f t="shared" si="88"/>
        <v/>
      </c>
      <c r="Q408" s="174" t="str">
        <f t="shared" si="88"/>
        <v>x</v>
      </c>
      <c r="R408" s="174" t="str">
        <f t="shared" si="88"/>
        <v>BS</v>
      </c>
      <c r="S408" s="174" t="str">
        <f t="shared" si="88"/>
        <v>all</v>
      </c>
      <c r="T408" s="173" t="str">
        <f t="shared" si="88"/>
        <v/>
      </c>
      <c r="U408" s="173" t="str">
        <f t="shared" si="88"/>
        <v/>
      </c>
      <c r="V408" s="173" t="str">
        <f t="shared" si="88"/>
        <v/>
      </c>
      <c r="W408" s="173" t="str">
        <f t="shared" si="88"/>
        <v/>
      </c>
      <c r="X408" s="173" t="str">
        <f t="shared" si="88"/>
        <v/>
      </c>
      <c r="Y408" s="173" t="str">
        <f t="shared" si="88"/>
        <v/>
      </c>
    </row>
    <row r="409" spans="1:25" x14ac:dyDescent="0.3">
      <c r="A409" s="172">
        <f t="shared" si="84"/>
        <v>407</v>
      </c>
      <c r="B409" s="173" t="str">
        <f t="shared" si="87"/>
        <v/>
      </c>
      <c r="C409" s="173" t="str">
        <f t="shared" si="87"/>
        <v/>
      </c>
      <c r="D409" s="173" t="str">
        <f t="shared" si="87"/>
        <v/>
      </c>
      <c r="E409" s="173" t="str">
        <f t="shared" si="87"/>
        <v/>
      </c>
      <c r="F409" s="173" t="str">
        <f t="shared" si="87"/>
        <v/>
      </c>
      <c r="G409" s="173" t="str">
        <f t="shared" si="87"/>
        <v/>
      </c>
      <c r="H409" s="173" t="str">
        <f t="shared" si="87"/>
        <v/>
      </c>
      <c r="I409" s="173" t="str">
        <f t="shared" si="87"/>
        <v/>
      </c>
      <c r="J409" s="173" t="str">
        <f t="shared" si="87"/>
        <v/>
      </c>
      <c r="K409" s="173" t="str">
        <f t="shared" si="87"/>
        <v/>
      </c>
      <c r="L409" s="173" t="str">
        <f t="shared" si="88"/>
        <v>info</v>
      </c>
      <c r="M409" s="173" t="str">
        <f t="shared" si="88"/>
        <v/>
      </c>
      <c r="N409" s="173" t="str">
        <f t="shared" si="88"/>
        <v/>
      </c>
      <c r="O409" s="173" t="str">
        <f t="shared" si="88"/>
        <v/>
      </c>
      <c r="P409" s="174" t="str">
        <f t="shared" si="88"/>
        <v/>
      </c>
      <c r="Q409" s="174" t="str">
        <f t="shared" si="88"/>
        <v>x</v>
      </c>
      <c r="R409" s="174" t="str">
        <f t="shared" si="88"/>
        <v>BS</v>
      </c>
      <c r="S409" s="174" t="str">
        <f t="shared" si="88"/>
        <v>all</v>
      </c>
      <c r="T409" s="173" t="str">
        <f t="shared" si="88"/>
        <v/>
      </c>
      <c r="U409" s="173" t="str">
        <f t="shared" si="88"/>
        <v/>
      </c>
      <c r="V409" s="173" t="str">
        <f t="shared" si="88"/>
        <v/>
      </c>
      <c r="W409" s="173" t="str">
        <f t="shared" si="88"/>
        <v/>
      </c>
      <c r="X409" s="173" t="str">
        <f t="shared" si="88"/>
        <v/>
      </c>
      <c r="Y409" s="173" t="str">
        <f t="shared" si="88"/>
        <v/>
      </c>
    </row>
    <row r="410" spans="1:25" x14ac:dyDescent="0.3">
      <c r="A410" s="172">
        <f t="shared" si="84"/>
        <v>408</v>
      </c>
      <c r="B410" s="173" t="str">
        <f t="shared" si="87"/>
        <v/>
      </c>
      <c r="C410" s="173" t="str">
        <f t="shared" si="87"/>
        <v/>
      </c>
      <c r="D410" s="173" t="str">
        <f t="shared" si="87"/>
        <v/>
      </c>
      <c r="E410" s="173" t="str">
        <f t="shared" si="87"/>
        <v/>
      </c>
      <c r="F410" s="173" t="str">
        <f t="shared" si="87"/>
        <v/>
      </c>
      <c r="G410" s="173" t="str">
        <f t="shared" si="87"/>
        <v/>
      </c>
      <c r="H410" s="173" t="str">
        <f t="shared" si="87"/>
        <v/>
      </c>
      <c r="I410" s="173" t="str">
        <f t="shared" si="87"/>
        <v/>
      </c>
      <c r="J410" s="173" t="str">
        <f t="shared" si="87"/>
        <v/>
      </c>
      <c r="K410" s="173" t="str">
        <f t="shared" si="87"/>
        <v/>
      </c>
      <c r="L410" s="173" t="str">
        <f t="shared" si="88"/>
        <v>info</v>
      </c>
      <c r="M410" s="173" t="str">
        <f t="shared" si="88"/>
        <v/>
      </c>
      <c r="N410" s="173" t="str">
        <f t="shared" si="88"/>
        <v/>
      </c>
      <c r="O410" s="173" t="str">
        <f t="shared" si="88"/>
        <v/>
      </c>
      <c r="P410" s="174" t="str">
        <f t="shared" si="88"/>
        <v/>
      </c>
      <c r="Q410" s="174" t="str">
        <f t="shared" si="88"/>
        <v>x</v>
      </c>
      <c r="R410" s="174" t="str">
        <f t="shared" si="88"/>
        <v>BS</v>
      </c>
      <c r="S410" s="174" t="str">
        <f t="shared" si="88"/>
        <v>all</v>
      </c>
      <c r="T410" s="173" t="str">
        <f t="shared" si="88"/>
        <v/>
      </c>
      <c r="U410" s="173" t="str">
        <f t="shared" si="88"/>
        <v/>
      </c>
      <c r="V410" s="173" t="str">
        <f t="shared" si="88"/>
        <v/>
      </c>
      <c r="W410" s="173" t="str">
        <f t="shared" si="88"/>
        <v/>
      </c>
      <c r="X410" s="173" t="str">
        <f t="shared" si="88"/>
        <v/>
      </c>
      <c r="Y410" s="173" t="str">
        <f t="shared" si="88"/>
        <v/>
      </c>
    </row>
    <row r="411" spans="1:25" x14ac:dyDescent="0.3">
      <c r="A411" s="172">
        <f t="shared" si="84"/>
        <v>409</v>
      </c>
      <c r="B411" s="173" t="str">
        <f t="shared" si="87"/>
        <v/>
      </c>
      <c r="C411" s="173" t="str">
        <f t="shared" si="87"/>
        <v/>
      </c>
      <c r="D411" s="173" t="str">
        <f t="shared" si="87"/>
        <v/>
      </c>
      <c r="E411" s="173" t="str">
        <f t="shared" si="87"/>
        <v/>
      </c>
      <c r="F411" s="173" t="str">
        <f t="shared" si="87"/>
        <v/>
      </c>
      <c r="G411" s="173" t="str">
        <f t="shared" si="87"/>
        <v/>
      </c>
      <c r="H411" s="173" t="str">
        <f t="shared" si="87"/>
        <v/>
      </c>
      <c r="I411" s="173" t="str">
        <f t="shared" si="87"/>
        <v/>
      </c>
      <c r="J411" s="173" t="str">
        <f t="shared" si="87"/>
        <v/>
      </c>
      <c r="K411" s="173" t="str">
        <f t="shared" si="87"/>
        <v/>
      </c>
      <c r="L411" s="173" t="str">
        <f t="shared" si="88"/>
        <v>info</v>
      </c>
      <c r="M411" s="173" t="str">
        <f t="shared" si="88"/>
        <v/>
      </c>
      <c r="N411" s="173" t="str">
        <f t="shared" si="88"/>
        <v/>
      </c>
      <c r="O411" s="173" t="str">
        <f t="shared" si="88"/>
        <v/>
      </c>
      <c r="P411" s="174" t="str">
        <f t="shared" si="88"/>
        <v/>
      </c>
      <c r="Q411" s="174" t="str">
        <f t="shared" si="88"/>
        <v>x</v>
      </c>
      <c r="R411" s="174" t="str">
        <f t="shared" si="88"/>
        <v>BS</v>
      </c>
      <c r="S411" s="174" t="str">
        <f t="shared" si="88"/>
        <v>all</v>
      </c>
      <c r="T411" s="173" t="str">
        <f t="shared" si="88"/>
        <v/>
      </c>
      <c r="U411" s="173" t="str">
        <f t="shared" si="88"/>
        <v/>
      </c>
      <c r="V411" s="173" t="str">
        <f t="shared" si="88"/>
        <v/>
      </c>
      <c r="W411" s="173" t="str">
        <f t="shared" si="88"/>
        <v/>
      </c>
      <c r="X411" s="173" t="str">
        <f t="shared" si="88"/>
        <v/>
      </c>
      <c r="Y411" s="173" t="str">
        <f t="shared" si="88"/>
        <v/>
      </c>
    </row>
    <row r="412" spans="1:25" x14ac:dyDescent="0.3">
      <c r="A412" s="172">
        <f t="shared" si="84"/>
        <v>410</v>
      </c>
      <c r="B412" s="173" t="str">
        <f t="shared" si="87"/>
        <v/>
      </c>
      <c r="C412" s="173" t="str">
        <f t="shared" si="87"/>
        <v/>
      </c>
      <c r="D412" s="173" t="str">
        <f t="shared" si="87"/>
        <v/>
      </c>
      <c r="E412" s="173" t="str">
        <f t="shared" si="87"/>
        <v/>
      </c>
      <c r="F412" s="173" t="str">
        <f t="shared" si="87"/>
        <v/>
      </c>
      <c r="G412" s="173" t="str">
        <f t="shared" si="87"/>
        <v/>
      </c>
      <c r="H412" s="173" t="str">
        <f t="shared" si="87"/>
        <v/>
      </c>
      <c r="I412" s="173" t="str">
        <f t="shared" si="87"/>
        <v/>
      </c>
      <c r="J412" s="173" t="str">
        <f t="shared" si="87"/>
        <v/>
      </c>
      <c r="K412" s="173" t="str">
        <f t="shared" si="87"/>
        <v/>
      </c>
      <c r="L412" s="173" t="str">
        <f t="shared" si="88"/>
        <v>info</v>
      </c>
      <c r="M412" s="173" t="str">
        <f t="shared" si="88"/>
        <v/>
      </c>
      <c r="N412" s="173" t="str">
        <f t="shared" si="88"/>
        <v/>
      </c>
      <c r="O412" s="173" t="str">
        <f t="shared" si="88"/>
        <v/>
      </c>
      <c r="P412" s="174" t="str">
        <f t="shared" si="88"/>
        <v/>
      </c>
      <c r="Q412" s="174" t="str">
        <f t="shared" si="88"/>
        <v>x</v>
      </c>
      <c r="R412" s="174" t="str">
        <f t="shared" si="88"/>
        <v>BS</v>
      </c>
      <c r="S412" s="174" t="str">
        <f t="shared" si="88"/>
        <v>all</v>
      </c>
      <c r="T412" s="173" t="str">
        <f t="shared" si="88"/>
        <v/>
      </c>
      <c r="U412" s="173" t="str">
        <f t="shared" si="88"/>
        <v/>
      </c>
      <c r="V412" s="173" t="str">
        <f t="shared" si="88"/>
        <v/>
      </c>
      <c r="W412" s="173" t="str">
        <f t="shared" si="88"/>
        <v/>
      </c>
      <c r="X412" s="173" t="str">
        <f t="shared" si="88"/>
        <v/>
      </c>
      <c r="Y412" s="173" t="str">
        <f t="shared" si="88"/>
        <v/>
      </c>
    </row>
    <row r="413" spans="1:25" x14ac:dyDescent="0.3">
      <c r="A413" s="172">
        <f t="shared" si="84"/>
        <v>411</v>
      </c>
      <c r="B413" s="173" t="str">
        <f t="shared" ref="B413:K422" si="89">IF(ISNONTEXT(B$2),IF(B$2="","",IF(INDEX(IMPORT,$A413,B$2)=0,"",IFERROR(VLOOKUP(INDEX(IMPORT,$A413,B$2),ImportTranslation,2,0),INDEX(IMPORT,$A413,B$2)))),B$2)</f>
        <v/>
      </c>
      <c r="C413" s="173" t="str">
        <f t="shared" si="89"/>
        <v/>
      </c>
      <c r="D413" s="173" t="str">
        <f t="shared" si="89"/>
        <v/>
      </c>
      <c r="E413" s="173" t="str">
        <f t="shared" si="89"/>
        <v/>
      </c>
      <c r="F413" s="173" t="str">
        <f t="shared" si="89"/>
        <v/>
      </c>
      <c r="G413" s="173" t="str">
        <f t="shared" si="89"/>
        <v/>
      </c>
      <c r="H413" s="173" t="str">
        <f t="shared" si="89"/>
        <v/>
      </c>
      <c r="I413" s="173" t="str">
        <f t="shared" si="89"/>
        <v/>
      </c>
      <c r="J413" s="173" t="str">
        <f t="shared" si="89"/>
        <v/>
      </c>
      <c r="K413" s="173" t="str">
        <f t="shared" si="89"/>
        <v/>
      </c>
      <c r="L413" s="173" t="str">
        <f t="shared" ref="L413:Y422" si="90">IF(ISNONTEXT(L$2),IF(L$2="","",IF(INDEX(IMPORT,$A413,L$2)=0,"",IFERROR(VLOOKUP(INDEX(IMPORT,$A413,L$2),ImportTranslation,2,0),INDEX(IMPORT,$A413,L$2)))),L$2)</f>
        <v>info</v>
      </c>
      <c r="M413" s="173" t="str">
        <f t="shared" si="90"/>
        <v/>
      </c>
      <c r="N413" s="173" t="str">
        <f t="shared" si="90"/>
        <v/>
      </c>
      <c r="O413" s="173" t="str">
        <f t="shared" si="90"/>
        <v/>
      </c>
      <c r="P413" s="174" t="str">
        <f t="shared" si="90"/>
        <v/>
      </c>
      <c r="Q413" s="174" t="str">
        <f t="shared" si="90"/>
        <v>x</v>
      </c>
      <c r="R413" s="174" t="str">
        <f t="shared" si="90"/>
        <v>BS</v>
      </c>
      <c r="S413" s="174" t="str">
        <f t="shared" si="90"/>
        <v>all</v>
      </c>
      <c r="T413" s="173" t="str">
        <f t="shared" si="90"/>
        <v/>
      </c>
      <c r="U413" s="173" t="str">
        <f t="shared" si="90"/>
        <v/>
      </c>
      <c r="V413" s="173" t="str">
        <f t="shared" si="90"/>
        <v/>
      </c>
      <c r="W413" s="173" t="str">
        <f t="shared" si="90"/>
        <v/>
      </c>
      <c r="X413" s="173" t="str">
        <f t="shared" si="90"/>
        <v/>
      </c>
      <c r="Y413" s="173" t="str">
        <f t="shared" si="90"/>
        <v/>
      </c>
    </row>
    <row r="414" spans="1:25" x14ac:dyDescent="0.3">
      <c r="A414" s="172">
        <f t="shared" si="84"/>
        <v>412</v>
      </c>
      <c r="B414" s="173" t="str">
        <f t="shared" si="89"/>
        <v/>
      </c>
      <c r="C414" s="173" t="str">
        <f t="shared" si="89"/>
        <v/>
      </c>
      <c r="D414" s="173" t="str">
        <f t="shared" si="89"/>
        <v/>
      </c>
      <c r="E414" s="173" t="str">
        <f t="shared" si="89"/>
        <v/>
      </c>
      <c r="F414" s="173" t="str">
        <f t="shared" si="89"/>
        <v/>
      </c>
      <c r="G414" s="173" t="str">
        <f t="shared" si="89"/>
        <v/>
      </c>
      <c r="H414" s="173" t="str">
        <f t="shared" si="89"/>
        <v/>
      </c>
      <c r="I414" s="173" t="str">
        <f t="shared" si="89"/>
        <v/>
      </c>
      <c r="J414" s="173" t="str">
        <f t="shared" si="89"/>
        <v/>
      </c>
      <c r="K414" s="173" t="str">
        <f t="shared" si="89"/>
        <v/>
      </c>
      <c r="L414" s="173" t="str">
        <f t="shared" si="90"/>
        <v>info</v>
      </c>
      <c r="M414" s="173" t="str">
        <f t="shared" si="90"/>
        <v/>
      </c>
      <c r="N414" s="173" t="str">
        <f t="shared" si="90"/>
        <v/>
      </c>
      <c r="O414" s="173" t="str">
        <f t="shared" si="90"/>
        <v/>
      </c>
      <c r="P414" s="174" t="str">
        <f t="shared" si="90"/>
        <v/>
      </c>
      <c r="Q414" s="174" t="str">
        <f t="shared" si="90"/>
        <v>x</v>
      </c>
      <c r="R414" s="174" t="str">
        <f t="shared" si="90"/>
        <v>BS</v>
      </c>
      <c r="S414" s="174" t="str">
        <f t="shared" si="90"/>
        <v>all</v>
      </c>
      <c r="T414" s="173" t="str">
        <f t="shared" si="90"/>
        <v/>
      </c>
      <c r="U414" s="173" t="str">
        <f t="shared" si="90"/>
        <v/>
      </c>
      <c r="V414" s="173" t="str">
        <f t="shared" si="90"/>
        <v/>
      </c>
      <c r="W414" s="173" t="str">
        <f t="shared" si="90"/>
        <v/>
      </c>
      <c r="X414" s="173" t="str">
        <f t="shared" si="90"/>
        <v/>
      </c>
      <c r="Y414" s="173" t="str">
        <f t="shared" si="90"/>
        <v/>
      </c>
    </row>
    <row r="415" spans="1:25" x14ac:dyDescent="0.3">
      <c r="A415" s="172">
        <f t="shared" si="84"/>
        <v>413</v>
      </c>
      <c r="B415" s="173" t="str">
        <f t="shared" si="89"/>
        <v/>
      </c>
      <c r="C415" s="173" t="str">
        <f t="shared" si="89"/>
        <v/>
      </c>
      <c r="D415" s="173" t="str">
        <f t="shared" si="89"/>
        <v/>
      </c>
      <c r="E415" s="173" t="str">
        <f t="shared" si="89"/>
        <v/>
      </c>
      <c r="F415" s="173" t="str">
        <f t="shared" si="89"/>
        <v/>
      </c>
      <c r="G415" s="173" t="str">
        <f t="shared" si="89"/>
        <v/>
      </c>
      <c r="H415" s="173" t="str">
        <f t="shared" si="89"/>
        <v/>
      </c>
      <c r="I415" s="173" t="str">
        <f t="shared" si="89"/>
        <v/>
      </c>
      <c r="J415" s="173" t="str">
        <f t="shared" si="89"/>
        <v/>
      </c>
      <c r="K415" s="173" t="str">
        <f t="shared" si="89"/>
        <v/>
      </c>
      <c r="L415" s="173" t="str">
        <f t="shared" si="90"/>
        <v>info</v>
      </c>
      <c r="M415" s="173" t="str">
        <f t="shared" si="90"/>
        <v/>
      </c>
      <c r="N415" s="173" t="str">
        <f t="shared" si="90"/>
        <v/>
      </c>
      <c r="O415" s="173" t="str">
        <f t="shared" si="90"/>
        <v/>
      </c>
      <c r="P415" s="174" t="str">
        <f t="shared" si="90"/>
        <v/>
      </c>
      <c r="Q415" s="174" t="str">
        <f t="shared" si="90"/>
        <v>x</v>
      </c>
      <c r="R415" s="174" t="str">
        <f t="shared" si="90"/>
        <v>BS</v>
      </c>
      <c r="S415" s="174" t="str">
        <f t="shared" si="90"/>
        <v>all</v>
      </c>
      <c r="T415" s="173" t="str">
        <f t="shared" si="90"/>
        <v/>
      </c>
      <c r="U415" s="173" t="str">
        <f t="shared" si="90"/>
        <v/>
      </c>
      <c r="V415" s="173" t="str">
        <f t="shared" si="90"/>
        <v/>
      </c>
      <c r="W415" s="173" t="str">
        <f t="shared" si="90"/>
        <v/>
      </c>
      <c r="X415" s="173" t="str">
        <f t="shared" si="90"/>
        <v/>
      </c>
      <c r="Y415" s="173" t="str">
        <f t="shared" si="90"/>
        <v/>
      </c>
    </row>
    <row r="416" spans="1:25" x14ac:dyDescent="0.3">
      <c r="A416" s="172">
        <f t="shared" si="84"/>
        <v>414</v>
      </c>
      <c r="B416" s="173" t="str">
        <f t="shared" si="89"/>
        <v/>
      </c>
      <c r="C416" s="173" t="str">
        <f t="shared" si="89"/>
        <v/>
      </c>
      <c r="D416" s="173" t="str">
        <f t="shared" si="89"/>
        <v/>
      </c>
      <c r="E416" s="173" t="str">
        <f t="shared" si="89"/>
        <v/>
      </c>
      <c r="F416" s="173" t="str">
        <f t="shared" si="89"/>
        <v/>
      </c>
      <c r="G416" s="173" t="str">
        <f t="shared" si="89"/>
        <v/>
      </c>
      <c r="H416" s="173" t="str">
        <f t="shared" si="89"/>
        <v/>
      </c>
      <c r="I416" s="173" t="str">
        <f t="shared" si="89"/>
        <v/>
      </c>
      <c r="J416" s="173" t="str">
        <f t="shared" si="89"/>
        <v/>
      </c>
      <c r="K416" s="173" t="str">
        <f t="shared" si="89"/>
        <v/>
      </c>
      <c r="L416" s="173" t="str">
        <f t="shared" si="90"/>
        <v>info</v>
      </c>
      <c r="M416" s="173" t="str">
        <f t="shared" si="90"/>
        <v/>
      </c>
      <c r="N416" s="173" t="str">
        <f t="shared" si="90"/>
        <v/>
      </c>
      <c r="O416" s="173" t="str">
        <f t="shared" si="90"/>
        <v/>
      </c>
      <c r="P416" s="174" t="str">
        <f t="shared" si="90"/>
        <v/>
      </c>
      <c r="Q416" s="174" t="str">
        <f t="shared" si="90"/>
        <v>x</v>
      </c>
      <c r="R416" s="174" t="str">
        <f t="shared" si="90"/>
        <v>BS</v>
      </c>
      <c r="S416" s="174" t="str">
        <f t="shared" si="90"/>
        <v>all</v>
      </c>
      <c r="T416" s="173" t="str">
        <f t="shared" si="90"/>
        <v/>
      </c>
      <c r="U416" s="173" t="str">
        <f t="shared" si="90"/>
        <v/>
      </c>
      <c r="V416" s="173" t="str">
        <f t="shared" si="90"/>
        <v/>
      </c>
      <c r="W416" s="173" t="str">
        <f t="shared" si="90"/>
        <v/>
      </c>
      <c r="X416" s="173" t="str">
        <f t="shared" si="90"/>
        <v/>
      </c>
      <c r="Y416" s="173" t="str">
        <f t="shared" si="90"/>
        <v/>
      </c>
    </row>
    <row r="417" spans="1:25" x14ac:dyDescent="0.3">
      <c r="A417" s="172">
        <f t="shared" si="84"/>
        <v>415</v>
      </c>
      <c r="B417" s="173" t="str">
        <f t="shared" si="89"/>
        <v/>
      </c>
      <c r="C417" s="173" t="str">
        <f t="shared" si="89"/>
        <v/>
      </c>
      <c r="D417" s="173" t="str">
        <f t="shared" si="89"/>
        <v/>
      </c>
      <c r="E417" s="173" t="str">
        <f t="shared" si="89"/>
        <v/>
      </c>
      <c r="F417" s="173" t="str">
        <f t="shared" si="89"/>
        <v/>
      </c>
      <c r="G417" s="173" t="str">
        <f t="shared" si="89"/>
        <v/>
      </c>
      <c r="H417" s="173" t="str">
        <f t="shared" si="89"/>
        <v/>
      </c>
      <c r="I417" s="173" t="str">
        <f t="shared" si="89"/>
        <v/>
      </c>
      <c r="J417" s="173" t="str">
        <f t="shared" si="89"/>
        <v/>
      </c>
      <c r="K417" s="173" t="str">
        <f t="shared" si="89"/>
        <v/>
      </c>
      <c r="L417" s="173" t="str">
        <f t="shared" si="90"/>
        <v>info</v>
      </c>
      <c r="M417" s="173" t="str">
        <f t="shared" si="90"/>
        <v/>
      </c>
      <c r="N417" s="173" t="str">
        <f t="shared" si="90"/>
        <v/>
      </c>
      <c r="O417" s="173" t="str">
        <f t="shared" si="90"/>
        <v/>
      </c>
      <c r="P417" s="174" t="str">
        <f t="shared" si="90"/>
        <v/>
      </c>
      <c r="Q417" s="174" t="str">
        <f t="shared" si="90"/>
        <v>x</v>
      </c>
      <c r="R417" s="174" t="str">
        <f t="shared" si="90"/>
        <v>BS</v>
      </c>
      <c r="S417" s="174" t="str">
        <f t="shared" si="90"/>
        <v>all</v>
      </c>
      <c r="T417" s="173" t="str">
        <f t="shared" si="90"/>
        <v/>
      </c>
      <c r="U417" s="173" t="str">
        <f t="shared" si="90"/>
        <v/>
      </c>
      <c r="V417" s="173" t="str">
        <f t="shared" si="90"/>
        <v/>
      </c>
      <c r="W417" s="173" t="str">
        <f t="shared" si="90"/>
        <v/>
      </c>
      <c r="X417" s="173" t="str">
        <f t="shared" si="90"/>
        <v/>
      </c>
      <c r="Y417" s="173" t="str">
        <f t="shared" si="90"/>
        <v/>
      </c>
    </row>
    <row r="418" spans="1:25" x14ac:dyDescent="0.3">
      <c r="A418" s="172">
        <f t="shared" si="84"/>
        <v>416</v>
      </c>
      <c r="B418" s="173" t="str">
        <f t="shared" si="89"/>
        <v/>
      </c>
      <c r="C418" s="173" t="str">
        <f t="shared" si="89"/>
        <v/>
      </c>
      <c r="D418" s="173" t="str">
        <f t="shared" si="89"/>
        <v/>
      </c>
      <c r="E418" s="173" t="str">
        <f t="shared" si="89"/>
        <v/>
      </c>
      <c r="F418" s="173" t="str">
        <f t="shared" si="89"/>
        <v/>
      </c>
      <c r="G418" s="173" t="str">
        <f t="shared" si="89"/>
        <v/>
      </c>
      <c r="H418" s="173" t="str">
        <f t="shared" si="89"/>
        <v/>
      </c>
      <c r="I418" s="173" t="str">
        <f t="shared" si="89"/>
        <v/>
      </c>
      <c r="J418" s="173" t="str">
        <f t="shared" si="89"/>
        <v/>
      </c>
      <c r="K418" s="173" t="str">
        <f t="shared" si="89"/>
        <v/>
      </c>
      <c r="L418" s="173" t="str">
        <f t="shared" si="90"/>
        <v>info</v>
      </c>
      <c r="M418" s="173" t="str">
        <f t="shared" si="90"/>
        <v/>
      </c>
      <c r="N418" s="173" t="str">
        <f t="shared" si="90"/>
        <v/>
      </c>
      <c r="O418" s="173" t="str">
        <f t="shared" si="90"/>
        <v/>
      </c>
      <c r="P418" s="174" t="str">
        <f t="shared" si="90"/>
        <v/>
      </c>
      <c r="Q418" s="174" t="str">
        <f t="shared" si="90"/>
        <v>x</v>
      </c>
      <c r="R418" s="174" t="str">
        <f t="shared" si="90"/>
        <v>BS</v>
      </c>
      <c r="S418" s="174" t="str">
        <f t="shared" si="90"/>
        <v>all</v>
      </c>
      <c r="T418" s="173" t="str">
        <f t="shared" si="90"/>
        <v/>
      </c>
      <c r="U418" s="173" t="str">
        <f t="shared" si="90"/>
        <v/>
      </c>
      <c r="V418" s="173" t="str">
        <f t="shared" si="90"/>
        <v/>
      </c>
      <c r="W418" s="173" t="str">
        <f t="shared" si="90"/>
        <v/>
      </c>
      <c r="X418" s="173" t="str">
        <f t="shared" si="90"/>
        <v/>
      </c>
      <c r="Y418" s="173" t="str">
        <f t="shared" si="90"/>
        <v/>
      </c>
    </row>
    <row r="419" spans="1:25" x14ac:dyDescent="0.3">
      <c r="A419" s="172">
        <f t="shared" si="84"/>
        <v>417</v>
      </c>
      <c r="B419" s="173" t="str">
        <f t="shared" si="89"/>
        <v/>
      </c>
      <c r="C419" s="173" t="str">
        <f t="shared" si="89"/>
        <v/>
      </c>
      <c r="D419" s="173" t="str">
        <f t="shared" si="89"/>
        <v/>
      </c>
      <c r="E419" s="173" t="str">
        <f t="shared" si="89"/>
        <v/>
      </c>
      <c r="F419" s="173" t="str">
        <f t="shared" si="89"/>
        <v/>
      </c>
      <c r="G419" s="173" t="str">
        <f t="shared" si="89"/>
        <v/>
      </c>
      <c r="H419" s="173" t="str">
        <f t="shared" si="89"/>
        <v/>
      </c>
      <c r="I419" s="173" t="str">
        <f t="shared" si="89"/>
        <v/>
      </c>
      <c r="J419" s="173" t="str">
        <f t="shared" si="89"/>
        <v/>
      </c>
      <c r="K419" s="173" t="str">
        <f t="shared" si="89"/>
        <v/>
      </c>
      <c r="L419" s="173" t="str">
        <f t="shared" si="90"/>
        <v>info</v>
      </c>
      <c r="M419" s="173" t="str">
        <f t="shared" si="90"/>
        <v/>
      </c>
      <c r="N419" s="173" t="str">
        <f t="shared" si="90"/>
        <v/>
      </c>
      <c r="O419" s="173" t="str">
        <f t="shared" si="90"/>
        <v/>
      </c>
      <c r="P419" s="174" t="str">
        <f t="shared" si="90"/>
        <v/>
      </c>
      <c r="Q419" s="174" t="str">
        <f t="shared" si="90"/>
        <v>x</v>
      </c>
      <c r="R419" s="174" t="str">
        <f t="shared" si="90"/>
        <v>BS</v>
      </c>
      <c r="S419" s="174" t="str">
        <f t="shared" si="90"/>
        <v>all</v>
      </c>
      <c r="T419" s="173" t="str">
        <f t="shared" si="90"/>
        <v/>
      </c>
      <c r="U419" s="173" t="str">
        <f t="shared" si="90"/>
        <v/>
      </c>
      <c r="V419" s="173" t="str">
        <f t="shared" si="90"/>
        <v/>
      </c>
      <c r="W419" s="173" t="str">
        <f t="shared" si="90"/>
        <v/>
      </c>
      <c r="X419" s="173" t="str">
        <f t="shared" si="90"/>
        <v/>
      </c>
      <c r="Y419" s="173" t="str">
        <f t="shared" si="90"/>
        <v/>
      </c>
    </row>
    <row r="420" spans="1:25" x14ac:dyDescent="0.3">
      <c r="A420" s="172">
        <f t="shared" si="84"/>
        <v>418</v>
      </c>
      <c r="B420" s="173" t="str">
        <f t="shared" si="89"/>
        <v/>
      </c>
      <c r="C420" s="173" t="str">
        <f t="shared" si="89"/>
        <v/>
      </c>
      <c r="D420" s="173" t="str">
        <f t="shared" si="89"/>
        <v/>
      </c>
      <c r="E420" s="173" t="str">
        <f t="shared" si="89"/>
        <v/>
      </c>
      <c r="F420" s="173" t="str">
        <f t="shared" si="89"/>
        <v/>
      </c>
      <c r="G420" s="173" t="str">
        <f t="shared" si="89"/>
        <v/>
      </c>
      <c r="H420" s="173" t="str">
        <f t="shared" si="89"/>
        <v/>
      </c>
      <c r="I420" s="173" t="str">
        <f t="shared" si="89"/>
        <v/>
      </c>
      <c r="J420" s="173" t="str">
        <f t="shared" si="89"/>
        <v/>
      </c>
      <c r="K420" s="173" t="str">
        <f t="shared" si="89"/>
        <v/>
      </c>
      <c r="L420" s="173" t="str">
        <f t="shared" si="90"/>
        <v>info</v>
      </c>
      <c r="M420" s="173" t="str">
        <f t="shared" si="90"/>
        <v/>
      </c>
      <c r="N420" s="173" t="str">
        <f t="shared" si="90"/>
        <v/>
      </c>
      <c r="O420" s="173" t="str">
        <f t="shared" si="90"/>
        <v/>
      </c>
      <c r="P420" s="174" t="str">
        <f t="shared" si="90"/>
        <v/>
      </c>
      <c r="Q420" s="174" t="str">
        <f t="shared" si="90"/>
        <v>x</v>
      </c>
      <c r="R420" s="174" t="str">
        <f t="shared" si="90"/>
        <v>BS</v>
      </c>
      <c r="S420" s="174" t="str">
        <f t="shared" si="90"/>
        <v>all</v>
      </c>
      <c r="T420" s="173" t="str">
        <f t="shared" si="90"/>
        <v/>
      </c>
      <c r="U420" s="173" t="str">
        <f t="shared" si="90"/>
        <v/>
      </c>
      <c r="V420" s="173" t="str">
        <f t="shared" si="90"/>
        <v/>
      </c>
      <c r="W420" s="173" t="str">
        <f t="shared" si="90"/>
        <v/>
      </c>
      <c r="X420" s="173" t="str">
        <f t="shared" si="90"/>
        <v/>
      </c>
      <c r="Y420" s="173" t="str">
        <f t="shared" si="90"/>
        <v/>
      </c>
    </row>
    <row r="421" spans="1:25" x14ac:dyDescent="0.3">
      <c r="A421" s="172">
        <f t="shared" si="84"/>
        <v>419</v>
      </c>
      <c r="B421" s="173" t="str">
        <f t="shared" si="89"/>
        <v/>
      </c>
      <c r="C421" s="173" t="str">
        <f t="shared" si="89"/>
        <v/>
      </c>
      <c r="D421" s="173" t="str">
        <f t="shared" si="89"/>
        <v/>
      </c>
      <c r="E421" s="173" t="str">
        <f t="shared" si="89"/>
        <v/>
      </c>
      <c r="F421" s="173" t="str">
        <f t="shared" si="89"/>
        <v/>
      </c>
      <c r="G421" s="173" t="str">
        <f t="shared" si="89"/>
        <v/>
      </c>
      <c r="H421" s="173" t="str">
        <f t="shared" si="89"/>
        <v/>
      </c>
      <c r="I421" s="173" t="str">
        <f t="shared" si="89"/>
        <v/>
      </c>
      <c r="J421" s="173" t="str">
        <f t="shared" si="89"/>
        <v/>
      </c>
      <c r="K421" s="173" t="str">
        <f t="shared" si="89"/>
        <v/>
      </c>
      <c r="L421" s="173" t="str">
        <f t="shared" si="90"/>
        <v>info</v>
      </c>
      <c r="M421" s="173" t="str">
        <f t="shared" si="90"/>
        <v/>
      </c>
      <c r="N421" s="173" t="str">
        <f t="shared" si="90"/>
        <v/>
      </c>
      <c r="O421" s="173" t="str">
        <f t="shared" si="90"/>
        <v/>
      </c>
      <c r="P421" s="174" t="str">
        <f t="shared" si="90"/>
        <v/>
      </c>
      <c r="Q421" s="174" t="str">
        <f t="shared" si="90"/>
        <v>x</v>
      </c>
      <c r="R421" s="174" t="str">
        <f t="shared" si="90"/>
        <v>BS</v>
      </c>
      <c r="S421" s="174" t="str">
        <f t="shared" si="90"/>
        <v>all</v>
      </c>
      <c r="T421" s="173" t="str">
        <f t="shared" si="90"/>
        <v/>
      </c>
      <c r="U421" s="173" t="str">
        <f t="shared" si="90"/>
        <v/>
      </c>
      <c r="V421" s="173" t="str">
        <f t="shared" si="90"/>
        <v/>
      </c>
      <c r="W421" s="173" t="str">
        <f t="shared" si="90"/>
        <v/>
      </c>
      <c r="X421" s="173" t="str">
        <f t="shared" si="90"/>
        <v/>
      </c>
      <c r="Y421" s="173" t="str">
        <f t="shared" si="90"/>
        <v/>
      </c>
    </row>
    <row r="422" spans="1:25" x14ac:dyDescent="0.3">
      <c r="A422" s="172">
        <f t="shared" si="84"/>
        <v>420</v>
      </c>
      <c r="B422" s="173" t="str">
        <f t="shared" si="89"/>
        <v/>
      </c>
      <c r="C422" s="173" t="str">
        <f t="shared" si="89"/>
        <v/>
      </c>
      <c r="D422" s="173" t="str">
        <f t="shared" si="89"/>
        <v/>
      </c>
      <c r="E422" s="173" t="str">
        <f t="shared" si="89"/>
        <v/>
      </c>
      <c r="F422" s="173" t="str">
        <f t="shared" si="89"/>
        <v/>
      </c>
      <c r="G422" s="173" t="str">
        <f t="shared" si="89"/>
        <v/>
      </c>
      <c r="H422" s="173" t="str">
        <f t="shared" si="89"/>
        <v/>
      </c>
      <c r="I422" s="173" t="str">
        <f t="shared" si="89"/>
        <v/>
      </c>
      <c r="J422" s="173" t="str">
        <f t="shared" si="89"/>
        <v/>
      </c>
      <c r="K422" s="173" t="str">
        <f t="shared" si="89"/>
        <v/>
      </c>
      <c r="L422" s="173" t="str">
        <f t="shared" si="90"/>
        <v>info</v>
      </c>
      <c r="M422" s="173" t="str">
        <f t="shared" si="90"/>
        <v/>
      </c>
      <c r="N422" s="173" t="str">
        <f t="shared" si="90"/>
        <v/>
      </c>
      <c r="O422" s="173" t="str">
        <f t="shared" si="90"/>
        <v/>
      </c>
      <c r="P422" s="174" t="str">
        <f t="shared" si="90"/>
        <v/>
      </c>
      <c r="Q422" s="174" t="str">
        <f t="shared" si="90"/>
        <v>x</v>
      </c>
      <c r="R422" s="174" t="str">
        <f t="shared" si="90"/>
        <v>BS</v>
      </c>
      <c r="S422" s="174" t="str">
        <f t="shared" si="90"/>
        <v>all</v>
      </c>
      <c r="T422" s="173" t="str">
        <f t="shared" si="90"/>
        <v/>
      </c>
      <c r="U422" s="173" t="str">
        <f t="shared" si="90"/>
        <v/>
      </c>
      <c r="V422" s="173" t="str">
        <f t="shared" si="90"/>
        <v/>
      </c>
      <c r="W422" s="173" t="str">
        <f t="shared" si="90"/>
        <v/>
      </c>
      <c r="X422" s="173" t="str">
        <f t="shared" si="90"/>
        <v/>
      </c>
      <c r="Y422" s="173" t="str">
        <f t="shared" si="90"/>
        <v/>
      </c>
    </row>
    <row r="423" spans="1:25" x14ac:dyDescent="0.3">
      <c r="A423" s="172">
        <f t="shared" si="84"/>
        <v>421</v>
      </c>
      <c r="B423" s="173" t="str">
        <f t="shared" ref="B423:K432" si="91">IF(ISNONTEXT(B$2),IF(B$2="","",IF(INDEX(IMPORT,$A423,B$2)=0,"",IFERROR(VLOOKUP(INDEX(IMPORT,$A423,B$2),ImportTranslation,2,0),INDEX(IMPORT,$A423,B$2)))),B$2)</f>
        <v/>
      </c>
      <c r="C423" s="173" t="str">
        <f t="shared" si="91"/>
        <v/>
      </c>
      <c r="D423" s="173" t="str">
        <f t="shared" si="91"/>
        <v/>
      </c>
      <c r="E423" s="173" t="str">
        <f t="shared" si="91"/>
        <v/>
      </c>
      <c r="F423" s="173" t="str">
        <f t="shared" si="91"/>
        <v/>
      </c>
      <c r="G423" s="173" t="str">
        <f t="shared" si="91"/>
        <v/>
      </c>
      <c r="H423" s="173" t="str">
        <f t="shared" si="91"/>
        <v/>
      </c>
      <c r="I423" s="173" t="str">
        <f t="shared" si="91"/>
        <v/>
      </c>
      <c r="J423" s="173" t="str">
        <f t="shared" si="91"/>
        <v/>
      </c>
      <c r="K423" s="173" t="str">
        <f t="shared" si="91"/>
        <v/>
      </c>
      <c r="L423" s="173" t="str">
        <f t="shared" ref="L423:Y432" si="92">IF(ISNONTEXT(L$2),IF(L$2="","",IF(INDEX(IMPORT,$A423,L$2)=0,"",IFERROR(VLOOKUP(INDEX(IMPORT,$A423,L$2),ImportTranslation,2,0),INDEX(IMPORT,$A423,L$2)))),L$2)</f>
        <v>info</v>
      </c>
      <c r="M423" s="173" t="str">
        <f t="shared" si="92"/>
        <v/>
      </c>
      <c r="N423" s="173" t="str">
        <f t="shared" si="92"/>
        <v/>
      </c>
      <c r="O423" s="173" t="str">
        <f t="shared" si="92"/>
        <v/>
      </c>
      <c r="P423" s="174" t="str">
        <f t="shared" si="92"/>
        <v/>
      </c>
      <c r="Q423" s="174" t="str">
        <f t="shared" si="92"/>
        <v>x</v>
      </c>
      <c r="R423" s="174" t="str">
        <f t="shared" si="92"/>
        <v>BS</v>
      </c>
      <c r="S423" s="174" t="str">
        <f t="shared" si="92"/>
        <v>all</v>
      </c>
      <c r="T423" s="173" t="str">
        <f t="shared" si="92"/>
        <v/>
      </c>
      <c r="U423" s="173" t="str">
        <f t="shared" si="92"/>
        <v/>
      </c>
      <c r="V423" s="173" t="str">
        <f t="shared" si="92"/>
        <v/>
      </c>
      <c r="W423" s="173" t="str">
        <f t="shared" si="92"/>
        <v/>
      </c>
      <c r="X423" s="173" t="str">
        <f t="shared" si="92"/>
        <v/>
      </c>
      <c r="Y423" s="173" t="str">
        <f t="shared" si="92"/>
        <v/>
      </c>
    </row>
    <row r="424" spans="1:25" x14ac:dyDescent="0.3">
      <c r="A424" s="172">
        <f t="shared" si="84"/>
        <v>422</v>
      </c>
      <c r="B424" s="173" t="str">
        <f t="shared" si="91"/>
        <v/>
      </c>
      <c r="C424" s="173" t="str">
        <f t="shared" si="91"/>
        <v/>
      </c>
      <c r="D424" s="173" t="str">
        <f t="shared" si="91"/>
        <v/>
      </c>
      <c r="E424" s="173" t="str">
        <f t="shared" si="91"/>
        <v/>
      </c>
      <c r="F424" s="173" t="str">
        <f t="shared" si="91"/>
        <v/>
      </c>
      <c r="G424" s="173" t="str">
        <f t="shared" si="91"/>
        <v/>
      </c>
      <c r="H424" s="173" t="str">
        <f t="shared" si="91"/>
        <v/>
      </c>
      <c r="I424" s="173" t="str">
        <f t="shared" si="91"/>
        <v/>
      </c>
      <c r="J424" s="173" t="str">
        <f t="shared" si="91"/>
        <v/>
      </c>
      <c r="K424" s="173" t="str">
        <f t="shared" si="91"/>
        <v/>
      </c>
      <c r="L424" s="173" t="str">
        <f t="shared" si="92"/>
        <v>info</v>
      </c>
      <c r="M424" s="173" t="str">
        <f t="shared" si="92"/>
        <v/>
      </c>
      <c r="N424" s="173" t="str">
        <f t="shared" si="92"/>
        <v/>
      </c>
      <c r="O424" s="173" t="str">
        <f t="shared" si="92"/>
        <v/>
      </c>
      <c r="P424" s="174" t="str">
        <f t="shared" si="92"/>
        <v/>
      </c>
      <c r="Q424" s="174" t="str">
        <f t="shared" si="92"/>
        <v>x</v>
      </c>
      <c r="R424" s="174" t="str">
        <f t="shared" si="92"/>
        <v>BS</v>
      </c>
      <c r="S424" s="174" t="str">
        <f t="shared" si="92"/>
        <v>all</v>
      </c>
      <c r="T424" s="173" t="str">
        <f t="shared" si="92"/>
        <v/>
      </c>
      <c r="U424" s="173" t="str">
        <f t="shared" si="92"/>
        <v/>
      </c>
      <c r="V424" s="173" t="str">
        <f t="shared" si="92"/>
        <v/>
      </c>
      <c r="W424" s="173" t="str">
        <f t="shared" si="92"/>
        <v/>
      </c>
      <c r="X424" s="173" t="str">
        <f t="shared" si="92"/>
        <v/>
      </c>
      <c r="Y424" s="173" t="str">
        <f t="shared" si="92"/>
        <v/>
      </c>
    </row>
    <row r="425" spans="1:25" x14ac:dyDescent="0.3">
      <c r="A425" s="172">
        <f t="shared" si="84"/>
        <v>423</v>
      </c>
      <c r="B425" s="173" t="str">
        <f t="shared" si="91"/>
        <v/>
      </c>
      <c r="C425" s="173" t="str">
        <f t="shared" si="91"/>
        <v/>
      </c>
      <c r="D425" s="173" t="str">
        <f t="shared" si="91"/>
        <v/>
      </c>
      <c r="E425" s="173" t="str">
        <f t="shared" si="91"/>
        <v/>
      </c>
      <c r="F425" s="173" t="str">
        <f t="shared" si="91"/>
        <v/>
      </c>
      <c r="G425" s="173" t="str">
        <f t="shared" si="91"/>
        <v/>
      </c>
      <c r="H425" s="173" t="str">
        <f t="shared" si="91"/>
        <v/>
      </c>
      <c r="I425" s="173" t="str">
        <f t="shared" si="91"/>
        <v/>
      </c>
      <c r="J425" s="173" t="str">
        <f t="shared" si="91"/>
        <v/>
      </c>
      <c r="K425" s="173" t="str">
        <f t="shared" si="91"/>
        <v/>
      </c>
      <c r="L425" s="173" t="str">
        <f t="shared" si="92"/>
        <v>info</v>
      </c>
      <c r="M425" s="173" t="str">
        <f t="shared" si="92"/>
        <v/>
      </c>
      <c r="N425" s="173" t="str">
        <f t="shared" si="92"/>
        <v/>
      </c>
      <c r="O425" s="173" t="str">
        <f t="shared" si="92"/>
        <v/>
      </c>
      <c r="P425" s="174" t="str">
        <f t="shared" si="92"/>
        <v/>
      </c>
      <c r="Q425" s="174" t="str">
        <f t="shared" si="92"/>
        <v>x</v>
      </c>
      <c r="R425" s="174" t="str">
        <f t="shared" si="92"/>
        <v>BS</v>
      </c>
      <c r="S425" s="174" t="str">
        <f t="shared" si="92"/>
        <v>all</v>
      </c>
      <c r="T425" s="173" t="str">
        <f t="shared" si="92"/>
        <v/>
      </c>
      <c r="U425" s="173" t="str">
        <f t="shared" si="92"/>
        <v/>
      </c>
      <c r="V425" s="173" t="str">
        <f t="shared" si="92"/>
        <v/>
      </c>
      <c r="W425" s="173" t="str">
        <f t="shared" si="92"/>
        <v/>
      </c>
      <c r="X425" s="173" t="str">
        <f t="shared" si="92"/>
        <v/>
      </c>
      <c r="Y425" s="173" t="str">
        <f t="shared" si="92"/>
        <v/>
      </c>
    </row>
    <row r="426" spans="1:25" x14ac:dyDescent="0.3">
      <c r="A426" s="172">
        <f t="shared" si="84"/>
        <v>424</v>
      </c>
      <c r="B426" s="173" t="str">
        <f t="shared" si="91"/>
        <v/>
      </c>
      <c r="C426" s="173" t="str">
        <f t="shared" si="91"/>
        <v/>
      </c>
      <c r="D426" s="173" t="str">
        <f t="shared" si="91"/>
        <v/>
      </c>
      <c r="E426" s="173" t="str">
        <f t="shared" si="91"/>
        <v/>
      </c>
      <c r="F426" s="173" t="str">
        <f t="shared" si="91"/>
        <v/>
      </c>
      <c r="G426" s="173" t="str">
        <f t="shared" si="91"/>
        <v/>
      </c>
      <c r="H426" s="173" t="str">
        <f t="shared" si="91"/>
        <v/>
      </c>
      <c r="I426" s="173" t="str">
        <f t="shared" si="91"/>
        <v/>
      </c>
      <c r="J426" s="173" t="str">
        <f t="shared" si="91"/>
        <v/>
      </c>
      <c r="K426" s="173" t="str">
        <f t="shared" si="91"/>
        <v/>
      </c>
      <c r="L426" s="173" t="str">
        <f t="shared" si="92"/>
        <v>info</v>
      </c>
      <c r="M426" s="173" t="str">
        <f t="shared" si="92"/>
        <v/>
      </c>
      <c r="N426" s="173" t="str">
        <f t="shared" si="92"/>
        <v/>
      </c>
      <c r="O426" s="173" t="str">
        <f t="shared" si="92"/>
        <v/>
      </c>
      <c r="P426" s="174" t="str">
        <f t="shared" si="92"/>
        <v/>
      </c>
      <c r="Q426" s="174" t="str">
        <f t="shared" si="92"/>
        <v>x</v>
      </c>
      <c r="R426" s="174" t="str">
        <f t="shared" si="92"/>
        <v>BS</v>
      </c>
      <c r="S426" s="174" t="str">
        <f t="shared" si="92"/>
        <v>all</v>
      </c>
      <c r="T426" s="173" t="str">
        <f t="shared" si="92"/>
        <v/>
      </c>
      <c r="U426" s="173" t="str">
        <f t="shared" si="92"/>
        <v/>
      </c>
      <c r="V426" s="173" t="str">
        <f t="shared" si="92"/>
        <v/>
      </c>
      <c r="W426" s="173" t="str">
        <f t="shared" si="92"/>
        <v/>
      </c>
      <c r="X426" s="173" t="str">
        <f t="shared" si="92"/>
        <v/>
      </c>
      <c r="Y426" s="173" t="str">
        <f t="shared" si="92"/>
        <v/>
      </c>
    </row>
    <row r="427" spans="1:25" x14ac:dyDescent="0.3">
      <c r="A427" s="172">
        <f t="shared" si="84"/>
        <v>425</v>
      </c>
      <c r="B427" s="173" t="str">
        <f t="shared" si="91"/>
        <v/>
      </c>
      <c r="C427" s="173" t="str">
        <f t="shared" si="91"/>
        <v/>
      </c>
      <c r="D427" s="173" t="str">
        <f t="shared" si="91"/>
        <v/>
      </c>
      <c r="E427" s="173" t="str">
        <f t="shared" si="91"/>
        <v/>
      </c>
      <c r="F427" s="173" t="str">
        <f t="shared" si="91"/>
        <v/>
      </c>
      <c r="G427" s="173" t="str">
        <f t="shared" si="91"/>
        <v/>
      </c>
      <c r="H427" s="173" t="str">
        <f t="shared" si="91"/>
        <v/>
      </c>
      <c r="I427" s="173" t="str">
        <f t="shared" si="91"/>
        <v/>
      </c>
      <c r="J427" s="173" t="str">
        <f t="shared" si="91"/>
        <v/>
      </c>
      <c r="K427" s="173" t="str">
        <f t="shared" si="91"/>
        <v/>
      </c>
      <c r="L427" s="173" t="str">
        <f t="shared" si="92"/>
        <v>info</v>
      </c>
      <c r="M427" s="173" t="str">
        <f t="shared" si="92"/>
        <v/>
      </c>
      <c r="N427" s="173" t="str">
        <f t="shared" si="92"/>
        <v/>
      </c>
      <c r="O427" s="173" t="str">
        <f t="shared" si="92"/>
        <v/>
      </c>
      <c r="P427" s="174" t="str">
        <f t="shared" si="92"/>
        <v/>
      </c>
      <c r="Q427" s="174" t="str">
        <f t="shared" si="92"/>
        <v>x</v>
      </c>
      <c r="R427" s="174" t="str">
        <f t="shared" si="92"/>
        <v>BS</v>
      </c>
      <c r="S427" s="174" t="str">
        <f t="shared" si="92"/>
        <v>all</v>
      </c>
      <c r="T427" s="173" t="str">
        <f t="shared" si="92"/>
        <v/>
      </c>
      <c r="U427" s="173" t="str">
        <f t="shared" si="92"/>
        <v/>
      </c>
      <c r="V427" s="173" t="str">
        <f t="shared" si="92"/>
        <v/>
      </c>
      <c r="W427" s="173" t="str">
        <f t="shared" si="92"/>
        <v/>
      </c>
      <c r="X427" s="173" t="str">
        <f t="shared" si="92"/>
        <v/>
      </c>
      <c r="Y427" s="173" t="str">
        <f t="shared" si="92"/>
        <v/>
      </c>
    </row>
    <row r="428" spans="1:25" x14ac:dyDescent="0.3">
      <c r="A428" s="172">
        <f t="shared" si="84"/>
        <v>426</v>
      </c>
      <c r="B428" s="173" t="str">
        <f t="shared" si="91"/>
        <v/>
      </c>
      <c r="C428" s="173" t="str">
        <f t="shared" si="91"/>
        <v/>
      </c>
      <c r="D428" s="173" t="str">
        <f t="shared" si="91"/>
        <v/>
      </c>
      <c r="E428" s="173" t="str">
        <f t="shared" si="91"/>
        <v/>
      </c>
      <c r="F428" s="173" t="str">
        <f t="shared" si="91"/>
        <v/>
      </c>
      <c r="G428" s="173" t="str">
        <f t="shared" si="91"/>
        <v/>
      </c>
      <c r="H428" s="173" t="str">
        <f t="shared" si="91"/>
        <v/>
      </c>
      <c r="I428" s="173" t="str">
        <f t="shared" si="91"/>
        <v/>
      </c>
      <c r="J428" s="173" t="str">
        <f t="shared" si="91"/>
        <v/>
      </c>
      <c r="K428" s="173" t="str">
        <f t="shared" si="91"/>
        <v/>
      </c>
      <c r="L428" s="173" t="str">
        <f t="shared" si="92"/>
        <v>info</v>
      </c>
      <c r="M428" s="173" t="str">
        <f t="shared" si="92"/>
        <v/>
      </c>
      <c r="N428" s="173" t="str">
        <f t="shared" si="92"/>
        <v/>
      </c>
      <c r="O428" s="173" t="str">
        <f t="shared" si="92"/>
        <v/>
      </c>
      <c r="P428" s="174" t="str">
        <f t="shared" si="92"/>
        <v/>
      </c>
      <c r="Q428" s="174" t="str">
        <f t="shared" si="92"/>
        <v>x</v>
      </c>
      <c r="R428" s="174" t="str">
        <f t="shared" si="92"/>
        <v>BS</v>
      </c>
      <c r="S428" s="174" t="str">
        <f t="shared" si="92"/>
        <v>all</v>
      </c>
      <c r="T428" s="173" t="str">
        <f t="shared" si="92"/>
        <v/>
      </c>
      <c r="U428" s="173" t="str">
        <f t="shared" si="92"/>
        <v/>
      </c>
      <c r="V428" s="173" t="str">
        <f t="shared" si="92"/>
        <v/>
      </c>
      <c r="W428" s="173" t="str">
        <f t="shared" si="92"/>
        <v/>
      </c>
      <c r="X428" s="173" t="str">
        <f t="shared" si="92"/>
        <v/>
      </c>
      <c r="Y428" s="173" t="str">
        <f t="shared" si="92"/>
        <v/>
      </c>
    </row>
    <row r="429" spans="1:25" x14ac:dyDescent="0.3">
      <c r="A429" s="172">
        <f t="shared" si="84"/>
        <v>427</v>
      </c>
      <c r="B429" s="173" t="str">
        <f t="shared" si="91"/>
        <v/>
      </c>
      <c r="C429" s="173" t="str">
        <f t="shared" si="91"/>
        <v/>
      </c>
      <c r="D429" s="173" t="str">
        <f t="shared" si="91"/>
        <v/>
      </c>
      <c r="E429" s="173" t="str">
        <f t="shared" si="91"/>
        <v/>
      </c>
      <c r="F429" s="173" t="str">
        <f t="shared" si="91"/>
        <v/>
      </c>
      <c r="G429" s="173" t="str">
        <f t="shared" si="91"/>
        <v/>
      </c>
      <c r="H429" s="173" t="str">
        <f t="shared" si="91"/>
        <v/>
      </c>
      <c r="I429" s="173" t="str">
        <f t="shared" si="91"/>
        <v/>
      </c>
      <c r="J429" s="173" t="str">
        <f t="shared" si="91"/>
        <v/>
      </c>
      <c r="K429" s="173" t="str">
        <f t="shared" si="91"/>
        <v/>
      </c>
      <c r="L429" s="173" t="str">
        <f t="shared" si="92"/>
        <v>info</v>
      </c>
      <c r="M429" s="173" t="str">
        <f t="shared" si="92"/>
        <v/>
      </c>
      <c r="N429" s="173" t="str">
        <f t="shared" si="92"/>
        <v/>
      </c>
      <c r="O429" s="173" t="str">
        <f t="shared" si="92"/>
        <v/>
      </c>
      <c r="P429" s="174" t="str">
        <f t="shared" si="92"/>
        <v/>
      </c>
      <c r="Q429" s="174" t="str">
        <f t="shared" si="92"/>
        <v>x</v>
      </c>
      <c r="R429" s="174" t="str">
        <f t="shared" si="92"/>
        <v>BS</v>
      </c>
      <c r="S429" s="174" t="str">
        <f t="shared" si="92"/>
        <v>all</v>
      </c>
      <c r="T429" s="173" t="str">
        <f t="shared" si="92"/>
        <v/>
      </c>
      <c r="U429" s="173" t="str">
        <f t="shared" si="92"/>
        <v/>
      </c>
      <c r="V429" s="173" t="str">
        <f t="shared" si="92"/>
        <v/>
      </c>
      <c r="W429" s="173" t="str">
        <f t="shared" si="92"/>
        <v/>
      </c>
      <c r="X429" s="173" t="str">
        <f t="shared" si="92"/>
        <v/>
      </c>
      <c r="Y429" s="173" t="str">
        <f t="shared" si="92"/>
        <v/>
      </c>
    </row>
    <row r="430" spans="1:25" x14ac:dyDescent="0.3">
      <c r="A430" s="172">
        <f t="shared" si="84"/>
        <v>428</v>
      </c>
      <c r="B430" s="173" t="str">
        <f t="shared" si="91"/>
        <v/>
      </c>
      <c r="C430" s="173" t="str">
        <f t="shared" si="91"/>
        <v/>
      </c>
      <c r="D430" s="173" t="str">
        <f t="shared" si="91"/>
        <v/>
      </c>
      <c r="E430" s="173" t="str">
        <f t="shared" si="91"/>
        <v/>
      </c>
      <c r="F430" s="173" t="str">
        <f t="shared" si="91"/>
        <v/>
      </c>
      <c r="G430" s="173" t="str">
        <f t="shared" si="91"/>
        <v/>
      </c>
      <c r="H430" s="173" t="str">
        <f t="shared" si="91"/>
        <v/>
      </c>
      <c r="I430" s="173" t="str">
        <f t="shared" si="91"/>
        <v/>
      </c>
      <c r="J430" s="173" t="str">
        <f t="shared" si="91"/>
        <v/>
      </c>
      <c r="K430" s="173" t="str">
        <f t="shared" si="91"/>
        <v/>
      </c>
      <c r="L430" s="173" t="str">
        <f t="shared" si="92"/>
        <v>info</v>
      </c>
      <c r="M430" s="173" t="str">
        <f t="shared" si="92"/>
        <v/>
      </c>
      <c r="N430" s="173" t="str">
        <f t="shared" si="92"/>
        <v/>
      </c>
      <c r="O430" s="173" t="str">
        <f t="shared" si="92"/>
        <v/>
      </c>
      <c r="P430" s="174" t="str">
        <f t="shared" si="92"/>
        <v/>
      </c>
      <c r="Q430" s="174" t="str">
        <f t="shared" si="92"/>
        <v>x</v>
      </c>
      <c r="R430" s="174" t="str">
        <f t="shared" si="92"/>
        <v>BS</v>
      </c>
      <c r="S430" s="174" t="str">
        <f t="shared" si="92"/>
        <v>all</v>
      </c>
      <c r="T430" s="173" t="str">
        <f t="shared" si="92"/>
        <v/>
      </c>
      <c r="U430" s="173" t="str">
        <f t="shared" si="92"/>
        <v/>
      </c>
      <c r="V430" s="173" t="str">
        <f t="shared" si="92"/>
        <v/>
      </c>
      <c r="W430" s="173" t="str">
        <f t="shared" si="92"/>
        <v/>
      </c>
      <c r="X430" s="173" t="str">
        <f t="shared" si="92"/>
        <v/>
      </c>
      <c r="Y430" s="173" t="str">
        <f t="shared" si="92"/>
        <v/>
      </c>
    </row>
    <row r="431" spans="1:25" x14ac:dyDescent="0.3">
      <c r="A431" s="172">
        <f t="shared" si="84"/>
        <v>429</v>
      </c>
      <c r="B431" s="173" t="str">
        <f t="shared" si="91"/>
        <v/>
      </c>
      <c r="C431" s="173" t="str">
        <f t="shared" si="91"/>
        <v/>
      </c>
      <c r="D431" s="173" t="str">
        <f t="shared" si="91"/>
        <v/>
      </c>
      <c r="E431" s="173" t="str">
        <f t="shared" si="91"/>
        <v/>
      </c>
      <c r="F431" s="173" t="str">
        <f t="shared" si="91"/>
        <v/>
      </c>
      <c r="G431" s="173" t="str">
        <f t="shared" si="91"/>
        <v/>
      </c>
      <c r="H431" s="173" t="str">
        <f t="shared" si="91"/>
        <v/>
      </c>
      <c r="I431" s="173" t="str">
        <f t="shared" si="91"/>
        <v/>
      </c>
      <c r="J431" s="173" t="str">
        <f t="shared" si="91"/>
        <v/>
      </c>
      <c r="K431" s="173" t="str">
        <f t="shared" si="91"/>
        <v/>
      </c>
      <c r="L431" s="173" t="str">
        <f t="shared" si="92"/>
        <v>info</v>
      </c>
      <c r="M431" s="173" t="str">
        <f t="shared" si="92"/>
        <v/>
      </c>
      <c r="N431" s="173" t="str">
        <f t="shared" si="92"/>
        <v/>
      </c>
      <c r="O431" s="173" t="str">
        <f t="shared" si="92"/>
        <v/>
      </c>
      <c r="P431" s="174" t="str">
        <f t="shared" si="92"/>
        <v/>
      </c>
      <c r="Q431" s="174" t="str">
        <f t="shared" si="92"/>
        <v>x</v>
      </c>
      <c r="R431" s="174" t="str">
        <f t="shared" si="92"/>
        <v>BS</v>
      </c>
      <c r="S431" s="174" t="str">
        <f t="shared" si="92"/>
        <v>all</v>
      </c>
      <c r="T431" s="173" t="str">
        <f t="shared" si="92"/>
        <v/>
      </c>
      <c r="U431" s="173" t="str">
        <f t="shared" si="92"/>
        <v/>
      </c>
      <c r="V431" s="173" t="str">
        <f t="shared" si="92"/>
        <v/>
      </c>
      <c r="W431" s="173" t="str">
        <f t="shared" si="92"/>
        <v/>
      </c>
      <c r="X431" s="173" t="str">
        <f t="shared" si="92"/>
        <v/>
      </c>
      <c r="Y431" s="173" t="str">
        <f t="shared" si="92"/>
        <v/>
      </c>
    </row>
    <row r="432" spans="1:25" x14ac:dyDescent="0.3">
      <c r="A432" s="172">
        <f t="shared" si="84"/>
        <v>430</v>
      </c>
      <c r="B432" s="173" t="str">
        <f t="shared" si="91"/>
        <v/>
      </c>
      <c r="C432" s="173" t="str">
        <f t="shared" si="91"/>
        <v/>
      </c>
      <c r="D432" s="173" t="str">
        <f t="shared" si="91"/>
        <v/>
      </c>
      <c r="E432" s="173" t="str">
        <f t="shared" si="91"/>
        <v/>
      </c>
      <c r="F432" s="173" t="str">
        <f t="shared" si="91"/>
        <v/>
      </c>
      <c r="G432" s="173" t="str">
        <f t="shared" si="91"/>
        <v/>
      </c>
      <c r="H432" s="173" t="str">
        <f t="shared" si="91"/>
        <v/>
      </c>
      <c r="I432" s="173" t="str">
        <f t="shared" si="91"/>
        <v/>
      </c>
      <c r="J432" s="173" t="str">
        <f t="shared" si="91"/>
        <v/>
      </c>
      <c r="K432" s="173" t="str">
        <f t="shared" si="91"/>
        <v/>
      </c>
      <c r="L432" s="173" t="str">
        <f t="shared" si="92"/>
        <v>info</v>
      </c>
      <c r="M432" s="173" t="str">
        <f t="shared" si="92"/>
        <v/>
      </c>
      <c r="N432" s="173" t="str">
        <f t="shared" si="92"/>
        <v/>
      </c>
      <c r="O432" s="173" t="str">
        <f t="shared" si="92"/>
        <v/>
      </c>
      <c r="P432" s="174" t="str">
        <f t="shared" si="92"/>
        <v/>
      </c>
      <c r="Q432" s="174" t="str">
        <f t="shared" si="92"/>
        <v>x</v>
      </c>
      <c r="R432" s="174" t="str">
        <f t="shared" si="92"/>
        <v>BS</v>
      </c>
      <c r="S432" s="174" t="str">
        <f t="shared" si="92"/>
        <v>all</v>
      </c>
      <c r="T432" s="173" t="str">
        <f t="shared" si="92"/>
        <v/>
      </c>
      <c r="U432" s="173" t="str">
        <f t="shared" si="92"/>
        <v/>
      </c>
      <c r="V432" s="173" t="str">
        <f t="shared" si="92"/>
        <v/>
      </c>
      <c r="W432" s="173" t="str">
        <f t="shared" si="92"/>
        <v/>
      </c>
      <c r="X432" s="173" t="str">
        <f t="shared" si="92"/>
        <v/>
      </c>
      <c r="Y432" s="173" t="str">
        <f t="shared" si="92"/>
        <v/>
      </c>
    </row>
    <row r="433" spans="1:25" x14ac:dyDescent="0.3">
      <c r="A433" s="172">
        <f t="shared" si="84"/>
        <v>431</v>
      </c>
      <c r="B433" s="173" t="str">
        <f t="shared" ref="B433:K442" si="93">IF(ISNONTEXT(B$2),IF(B$2="","",IF(INDEX(IMPORT,$A433,B$2)=0,"",IFERROR(VLOOKUP(INDEX(IMPORT,$A433,B$2),ImportTranslation,2,0),INDEX(IMPORT,$A433,B$2)))),B$2)</f>
        <v/>
      </c>
      <c r="C433" s="173" t="str">
        <f t="shared" si="93"/>
        <v/>
      </c>
      <c r="D433" s="173" t="str">
        <f t="shared" si="93"/>
        <v/>
      </c>
      <c r="E433" s="173" t="str">
        <f t="shared" si="93"/>
        <v/>
      </c>
      <c r="F433" s="173" t="str">
        <f t="shared" si="93"/>
        <v/>
      </c>
      <c r="G433" s="173" t="str">
        <f t="shared" si="93"/>
        <v/>
      </c>
      <c r="H433" s="173" t="str">
        <f t="shared" si="93"/>
        <v/>
      </c>
      <c r="I433" s="173" t="str">
        <f t="shared" si="93"/>
        <v/>
      </c>
      <c r="J433" s="173" t="str">
        <f t="shared" si="93"/>
        <v/>
      </c>
      <c r="K433" s="173" t="str">
        <f t="shared" si="93"/>
        <v/>
      </c>
      <c r="L433" s="173" t="str">
        <f t="shared" ref="L433:Y442" si="94">IF(ISNONTEXT(L$2),IF(L$2="","",IF(INDEX(IMPORT,$A433,L$2)=0,"",IFERROR(VLOOKUP(INDEX(IMPORT,$A433,L$2),ImportTranslation,2,0),INDEX(IMPORT,$A433,L$2)))),L$2)</f>
        <v>info</v>
      </c>
      <c r="M433" s="173" t="str">
        <f t="shared" si="94"/>
        <v/>
      </c>
      <c r="N433" s="173" t="str">
        <f t="shared" si="94"/>
        <v/>
      </c>
      <c r="O433" s="173" t="str">
        <f t="shared" si="94"/>
        <v/>
      </c>
      <c r="P433" s="174" t="str">
        <f t="shared" si="94"/>
        <v/>
      </c>
      <c r="Q433" s="174" t="str">
        <f t="shared" si="94"/>
        <v>x</v>
      </c>
      <c r="R433" s="174" t="str">
        <f t="shared" si="94"/>
        <v>BS</v>
      </c>
      <c r="S433" s="174" t="str">
        <f t="shared" si="94"/>
        <v>all</v>
      </c>
      <c r="T433" s="173" t="str">
        <f t="shared" si="94"/>
        <v/>
      </c>
      <c r="U433" s="173" t="str">
        <f t="shared" si="94"/>
        <v/>
      </c>
      <c r="V433" s="173" t="str">
        <f t="shared" si="94"/>
        <v/>
      </c>
      <c r="W433" s="173" t="str">
        <f t="shared" si="94"/>
        <v/>
      </c>
      <c r="X433" s="173" t="str">
        <f t="shared" si="94"/>
        <v/>
      </c>
      <c r="Y433" s="173" t="str">
        <f t="shared" si="94"/>
        <v/>
      </c>
    </row>
    <row r="434" spans="1:25" x14ac:dyDescent="0.3">
      <c r="A434" s="172">
        <f t="shared" si="84"/>
        <v>432</v>
      </c>
      <c r="B434" s="173" t="str">
        <f t="shared" si="93"/>
        <v/>
      </c>
      <c r="C434" s="173" t="str">
        <f t="shared" si="93"/>
        <v/>
      </c>
      <c r="D434" s="173" t="str">
        <f t="shared" si="93"/>
        <v/>
      </c>
      <c r="E434" s="173" t="str">
        <f t="shared" si="93"/>
        <v/>
      </c>
      <c r="F434" s="173" t="str">
        <f t="shared" si="93"/>
        <v/>
      </c>
      <c r="G434" s="173" t="str">
        <f t="shared" si="93"/>
        <v/>
      </c>
      <c r="H434" s="173" t="str">
        <f t="shared" si="93"/>
        <v/>
      </c>
      <c r="I434" s="173" t="str">
        <f t="shared" si="93"/>
        <v/>
      </c>
      <c r="J434" s="173" t="str">
        <f t="shared" si="93"/>
        <v/>
      </c>
      <c r="K434" s="173" t="str">
        <f t="shared" si="93"/>
        <v/>
      </c>
      <c r="L434" s="173" t="str">
        <f t="shared" si="94"/>
        <v>info</v>
      </c>
      <c r="M434" s="173" t="str">
        <f t="shared" si="94"/>
        <v/>
      </c>
      <c r="N434" s="173" t="str">
        <f t="shared" si="94"/>
        <v/>
      </c>
      <c r="O434" s="173" t="str">
        <f t="shared" si="94"/>
        <v/>
      </c>
      <c r="P434" s="174" t="str">
        <f t="shared" si="94"/>
        <v/>
      </c>
      <c r="Q434" s="174" t="str">
        <f t="shared" si="94"/>
        <v>x</v>
      </c>
      <c r="R434" s="174" t="str">
        <f t="shared" si="94"/>
        <v>BS</v>
      </c>
      <c r="S434" s="174" t="str">
        <f t="shared" si="94"/>
        <v>all</v>
      </c>
      <c r="T434" s="173" t="str">
        <f t="shared" si="94"/>
        <v/>
      </c>
      <c r="U434" s="173" t="str">
        <f t="shared" si="94"/>
        <v/>
      </c>
      <c r="V434" s="173" t="str">
        <f t="shared" si="94"/>
        <v/>
      </c>
      <c r="W434" s="173" t="str">
        <f t="shared" si="94"/>
        <v/>
      </c>
      <c r="X434" s="173" t="str">
        <f t="shared" si="94"/>
        <v/>
      </c>
      <c r="Y434" s="173" t="str">
        <f t="shared" si="94"/>
        <v/>
      </c>
    </row>
    <row r="435" spans="1:25" x14ac:dyDescent="0.3">
      <c r="A435" s="172">
        <f t="shared" si="84"/>
        <v>433</v>
      </c>
      <c r="B435" s="173" t="str">
        <f t="shared" si="93"/>
        <v/>
      </c>
      <c r="C435" s="173" t="str">
        <f t="shared" si="93"/>
        <v/>
      </c>
      <c r="D435" s="173" t="str">
        <f t="shared" si="93"/>
        <v/>
      </c>
      <c r="E435" s="173" t="str">
        <f t="shared" si="93"/>
        <v/>
      </c>
      <c r="F435" s="173" t="str">
        <f t="shared" si="93"/>
        <v/>
      </c>
      <c r="G435" s="173" t="str">
        <f t="shared" si="93"/>
        <v/>
      </c>
      <c r="H435" s="173" t="str">
        <f t="shared" si="93"/>
        <v/>
      </c>
      <c r="I435" s="173" t="str">
        <f t="shared" si="93"/>
        <v/>
      </c>
      <c r="J435" s="173" t="str">
        <f t="shared" si="93"/>
        <v/>
      </c>
      <c r="K435" s="173" t="str">
        <f t="shared" si="93"/>
        <v/>
      </c>
      <c r="L435" s="173" t="str">
        <f t="shared" si="94"/>
        <v>info</v>
      </c>
      <c r="M435" s="173" t="str">
        <f t="shared" si="94"/>
        <v/>
      </c>
      <c r="N435" s="173" t="str">
        <f t="shared" si="94"/>
        <v/>
      </c>
      <c r="O435" s="173" t="str">
        <f t="shared" si="94"/>
        <v/>
      </c>
      <c r="P435" s="174" t="str">
        <f t="shared" si="94"/>
        <v/>
      </c>
      <c r="Q435" s="174" t="str">
        <f t="shared" si="94"/>
        <v>x</v>
      </c>
      <c r="R435" s="174" t="str">
        <f t="shared" si="94"/>
        <v>BS</v>
      </c>
      <c r="S435" s="174" t="str">
        <f t="shared" si="94"/>
        <v>all</v>
      </c>
      <c r="T435" s="173" t="str">
        <f t="shared" si="94"/>
        <v/>
      </c>
      <c r="U435" s="173" t="str">
        <f t="shared" si="94"/>
        <v/>
      </c>
      <c r="V435" s="173" t="str">
        <f t="shared" si="94"/>
        <v/>
      </c>
      <c r="W435" s="173" t="str">
        <f t="shared" si="94"/>
        <v/>
      </c>
      <c r="X435" s="173" t="str">
        <f t="shared" si="94"/>
        <v/>
      </c>
      <c r="Y435" s="173" t="str">
        <f t="shared" si="94"/>
        <v/>
      </c>
    </row>
    <row r="436" spans="1:25" x14ac:dyDescent="0.3">
      <c r="A436" s="172">
        <f t="shared" si="84"/>
        <v>434</v>
      </c>
      <c r="B436" s="173" t="str">
        <f t="shared" si="93"/>
        <v/>
      </c>
      <c r="C436" s="173" t="str">
        <f t="shared" si="93"/>
        <v/>
      </c>
      <c r="D436" s="173" t="str">
        <f t="shared" si="93"/>
        <v/>
      </c>
      <c r="E436" s="173" t="str">
        <f t="shared" si="93"/>
        <v/>
      </c>
      <c r="F436" s="173" t="str">
        <f t="shared" si="93"/>
        <v/>
      </c>
      <c r="G436" s="173" t="str">
        <f t="shared" si="93"/>
        <v/>
      </c>
      <c r="H436" s="173" t="str">
        <f t="shared" si="93"/>
        <v/>
      </c>
      <c r="I436" s="173" t="str">
        <f t="shared" si="93"/>
        <v/>
      </c>
      <c r="J436" s="173" t="str">
        <f t="shared" si="93"/>
        <v/>
      </c>
      <c r="K436" s="173" t="str">
        <f t="shared" si="93"/>
        <v/>
      </c>
      <c r="L436" s="173" t="str">
        <f t="shared" si="94"/>
        <v>info</v>
      </c>
      <c r="M436" s="173" t="str">
        <f t="shared" si="94"/>
        <v/>
      </c>
      <c r="N436" s="173" t="str">
        <f t="shared" si="94"/>
        <v/>
      </c>
      <c r="O436" s="173" t="str">
        <f t="shared" si="94"/>
        <v/>
      </c>
      <c r="P436" s="174" t="str">
        <f t="shared" si="94"/>
        <v/>
      </c>
      <c r="Q436" s="174" t="str">
        <f t="shared" si="94"/>
        <v>x</v>
      </c>
      <c r="R436" s="174" t="str">
        <f t="shared" si="94"/>
        <v>BS</v>
      </c>
      <c r="S436" s="174" t="str">
        <f t="shared" si="94"/>
        <v>all</v>
      </c>
      <c r="T436" s="173" t="str">
        <f t="shared" si="94"/>
        <v/>
      </c>
      <c r="U436" s="173" t="str">
        <f t="shared" si="94"/>
        <v/>
      </c>
      <c r="V436" s="173" t="str">
        <f t="shared" si="94"/>
        <v/>
      </c>
      <c r="W436" s="173" t="str">
        <f t="shared" si="94"/>
        <v/>
      </c>
      <c r="X436" s="173" t="str">
        <f t="shared" si="94"/>
        <v/>
      </c>
      <c r="Y436" s="173" t="str">
        <f t="shared" si="94"/>
        <v/>
      </c>
    </row>
    <row r="437" spans="1:25" x14ac:dyDescent="0.3">
      <c r="A437" s="172">
        <f t="shared" si="84"/>
        <v>435</v>
      </c>
      <c r="B437" s="173" t="str">
        <f t="shared" si="93"/>
        <v/>
      </c>
      <c r="C437" s="173" t="str">
        <f t="shared" si="93"/>
        <v/>
      </c>
      <c r="D437" s="173" t="str">
        <f t="shared" si="93"/>
        <v/>
      </c>
      <c r="E437" s="173" t="str">
        <f t="shared" si="93"/>
        <v/>
      </c>
      <c r="F437" s="173" t="str">
        <f t="shared" si="93"/>
        <v/>
      </c>
      <c r="G437" s="173" t="str">
        <f t="shared" si="93"/>
        <v/>
      </c>
      <c r="H437" s="173" t="str">
        <f t="shared" si="93"/>
        <v/>
      </c>
      <c r="I437" s="173" t="str">
        <f t="shared" si="93"/>
        <v/>
      </c>
      <c r="J437" s="173" t="str">
        <f t="shared" si="93"/>
        <v/>
      </c>
      <c r="K437" s="173" t="str">
        <f t="shared" si="93"/>
        <v/>
      </c>
      <c r="L437" s="173" t="str">
        <f t="shared" si="94"/>
        <v>info</v>
      </c>
      <c r="M437" s="173" t="str">
        <f t="shared" si="94"/>
        <v/>
      </c>
      <c r="N437" s="173" t="str">
        <f t="shared" si="94"/>
        <v/>
      </c>
      <c r="O437" s="173" t="str">
        <f t="shared" si="94"/>
        <v/>
      </c>
      <c r="P437" s="174" t="str">
        <f t="shared" si="94"/>
        <v/>
      </c>
      <c r="Q437" s="174" t="str">
        <f t="shared" si="94"/>
        <v>x</v>
      </c>
      <c r="R437" s="174" t="str">
        <f t="shared" si="94"/>
        <v>BS</v>
      </c>
      <c r="S437" s="174" t="str">
        <f t="shared" si="94"/>
        <v>all</v>
      </c>
      <c r="T437" s="173" t="str">
        <f t="shared" si="94"/>
        <v/>
      </c>
      <c r="U437" s="173" t="str">
        <f t="shared" si="94"/>
        <v/>
      </c>
      <c r="V437" s="173" t="str">
        <f t="shared" si="94"/>
        <v/>
      </c>
      <c r="W437" s="173" t="str">
        <f t="shared" si="94"/>
        <v/>
      </c>
      <c r="X437" s="173" t="str">
        <f t="shared" si="94"/>
        <v/>
      </c>
      <c r="Y437" s="173" t="str">
        <f t="shared" si="94"/>
        <v/>
      </c>
    </row>
    <row r="438" spans="1:25" x14ac:dyDescent="0.3">
      <c r="A438" s="172">
        <f t="shared" si="84"/>
        <v>436</v>
      </c>
      <c r="B438" s="173" t="str">
        <f t="shared" si="93"/>
        <v/>
      </c>
      <c r="C438" s="173" t="str">
        <f t="shared" si="93"/>
        <v/>
      </c>
      <c r="D438" s="173" t="str">
        <f t="shared" si="93"/>
        <v/>
      </c>
      <c r="E438" s="173" t="str">
        <f t="shared" si="93"/>
        <v/>
      </c>
      <c r="F438" s="173" t="str">
        <f t="shared" si="93"/>
        <v/>
      </c>
      <c r="G438" s="173" t="str">
        <f t="shared" si="93"/>
        <v/>
      </c>
      <c r="H438" s="173" t="str">
        <f t="shared" si="93"/>
        <v/>
      </c>
      <c r="I438" s="173" t="str">
        <f t="shared" si="93"/>
        <v/>
      </c>
      <c r="J438" s="173" t="str">
        <f t="shared" si="93"/>
        <v/>
      </c>
      <c r="K438" s="173" t="str">
        <f t="shared" si="93"/>
        <v/>
      </c>
      <c r="L438" s="173" t="str">
        <f t="shared" si="94"/>
        <v>info</v>
      </c>
      <c r="M438" s="173" t="str">
        <f t="shared" si="94"/>
        <v/>
      </c>
      <c r="N438" s="173" t="str">
        <f t="shared" si="94"/>
        <v/>
      </c>
      <c r="O438" s="173" t="str">
        <f t="shared" si="94"/>
        <v/>
      </c>
      <c r="P438" s="174" t="str">
        <f t="shared" si="94"/>
        <v/>
      </c>
      <c r="Q438" s="174" t="str">
        <f t="shared" si="94"/>
        <v>x</v>
      </c>
      <c r="R438" s="174" t="str">
        <f t="shared" si="94"/>
        <v>BS</v>
      </c>
      <c r="S438" s="174" t="str">
        <f t="shared" si="94"/>
        <v>all</v>
      </c>
      <c r="T438" s="173" t="str">
        <f t="shared" si="94"/>
        <v/>
      </c>
      <c r="U438" s="173" t="str">
        <f t="shared" si="94"/>
        <v/>
      </c>
      <c r="V438" s="173" t="str">
        <f t="shared" si="94"/>
        <v/>
      </c>
      <c r="W438" s="173" t="str">
        <f t="shared" si="94"/>
        <v/>
      </c>
      <c r="X438" s="173" t="str">
        <f t="shared" si="94"/>
        <v/>
      </c>
      <c r="Y438" s="173" t="str">
        <f t="shared" si="94"/>
        <v/>
      </c>
    </row>
    <row r="439" spans="1:25" x14ac:dyDescent="0.3">
      <c r="A439" s="172">
        <f t="shared" si="84"/>
        <v>437</v>
      </c>
      <c r="B439" s="173" t="str">
        <f t="shared" si="93"/>
        <v/>
      </c>
      <c r="C439" s="173" t="str">
        <f t="shared" si="93"/>
        <v/>
      </c>
      <c r="D439" s="173" t="str">
        <f t="shared" si="93"/>
        <v/>
      </c>
      <c r="E439" s="173" t="str">
        <f t="shared" si="93"/>
        <v/>
      </c>
      <c r="F439" s="173" t="str">
        <f t="shared" si="93"/>
        <v/>
      </c>
      <c r="G439" s="173" t="str">
        <f t="shared" si="93"/>
        <v/>
      </c>
      <c r="H439" s="173" t="str">
        <f t="shared" si="93"/>
        <v/>
      </c>
      <c r="I439" s="173" t="str">
        <f t="shared" si="93"/>
        <v/>
      </c>
      <c r="J439" s="173" t="str">
        <f t="shared" si="93"/>
        <v/>
      </c>
      <c r="K439" s="173" t="str">
        <f t="shared" si="93"/>
        <v/>
      </c>
      <c r="L439" s="173" t="str">
        <f t="shared" si="94"/>
        <v>info</v>
      </c>
      <c r="M439" s="173" t="str">
        <f t="shared" si="94"/>
        <v/>
      </c>
      <c r="N439" s="173" t="str">
        <f t="shared" si="94"/>
        <v/>
      </c>
      <c r="O439" s="173" t="str">
        <f t="shared" si="94"/>
        <v/>
      </c>
      <c r="P439" s="174" t="str">
        <f t="shared" si="94"/>
        <v/>
      </c>
      <c r="Q439" s="174" t="str">
        <f t="shared" si="94"/>
        <v>x</v>
      </c>
      <c r="R439" s="174" t="str">
        <f t="shared" si="94"/>
        <v>BS</v>
      </c>
      <c r="S439" s="174" t="str">
        <f t="shared" si="94"/>
        <v>all</v>
      </c>
      <c r="T439" s="173" t="str">
        <f t="shared" si="94"/>
        <v/>
      </c>
      <c r="U439" s="173" t="str">
        <f t="shared" si="94"/>
        <v/>
      </c>
      <c r="V439" s="173" t="str">
        <f t="shared" si="94"/>
        <v/>
      </c>
      <c r="W439" s="173" t="str">
        <f t="shared" si="94"/>
        <v/>
      </c>
      <c r="X439" s="173" t="str">
        <f t="shared" si="94"/>
        <v/>
      </c>
      <c r="Y439" s="173" t="str">
        <f t="shared" si="94"/>
        <v/>
      </c>
    </row>
    <row r="440" spans="1:25" x14ac:dyDescent="0.3">
      <c r="A440" s="172">
        <f t="shared" si="84"/>
        <v>438</v>
      </c>
      <c r="B440" s="173" t="str">
        <f t="shared" si="93"/>
        <v/>
      </c>
      <c r="C440" s="173" t="str">
        <f t="shared" si="93"/>
        <v/>
      </c>
      <c r="D440" s="173" t="str">
        <f t="shared" si="93"/>
        <v/>
      </c>
      <c r="E440" s="173" t="str">
        <f t="shared" si="93"/>
        <v/>
      </c>
      <c r="F440" s="173" t="str">
        <f t="shared" si="93"/>
        <v/>
      </c>
      <c r="G440" s="173" t="str">
        <f t="shared" si="93"/>
        <v/>
      </c>
      <c r="H440" s="173" t="str">
        <f t="shared" si="93"/>
        <v/>
      </c>
      <c r="I440" s="173" t="str">
        <f t="shared" si="93"/>
        <v/>
      </c>
      <c r="J440" s="173" t="str">
        <f t="shared" si="93"/>
        <v/>
      </c>
      <c r="K440" s="173" t="str">
        <f t="shared" si="93"/>
        <v/>
      </c>
      <c r="L440" s="173" t="str">
        <f t="shared" si="94"/>
        <v>info</v>
      </c>
      <c r="M440" s="173" t="str">
        <f t="shared" si="94"/>
        <v/>
      </c>
      <c r="N440" s="173" t="str">
        <f t="shared" si="94"/>
        <v/>
      </c>
      <c r="O440" s="173" t="str">
        <f t="shared" si="94"/>
        <v/>
      </c>
      <c r="P440" s="174" t="str">
        <f t="shared" si="94"/>
        <v/>
      </c>
      <c r="Q440" s="174" t="str">
        <f t="shared" si="94"/>
        <v>x</v>
      </c>
      <c r="R440" s="174" t="str">
        <f t="shared" si="94"/>
        <v>BS</v>
      </c>
      <c r="S440" s="174" t="str">
        <f t="shared" si="94"/>
        <v>all</v>
      </c>
      <c r="T440" s="173" t="str">
        <f t="shared" si="94"/>
        <v/>
      </c>
      <c r="U440" s="173" t="str">
        <f t="shared" si="94"/>
        <v/>
      </c>
      <c r="V440" s="173" t="str">
        <f t="shared" si="94"/>
        <v/>
      </c>
      <c r="W440" s="173" t="str">
        <f t="shared" si="94"/>
        <v/>
      </c>
      <c r="X440" s="173" t="str">
        <f t="shared" si="94"/>
        <v/>
      </c>
      <c r="Y440" s="173" t="str">
        <f t="shared" si="94"/>
        <v/>
      </c>
    </row>
    <row r="441" spans="1:25" x14ac:dyDescent="0.3">
      <c r="A441" s="172">
        <f t="shared" si="84"/>
        <v>439</v>
      </c>
      <c r="B441" s="173" t="str">
        <f t="shared" si="93"/>
        <v/>
      </c>
      <c r="C441" s="173" t="str">
        <f t="shared" si="93"/>
        <v/>
      </c>
      <c r="D441" s="173" t="str">
        <f t="shared" si="93"/>
        <v/>
      </c>
      <c r="E441" s="173" t="str">
        <f t="shared" si="93"/>
        <v/>
      </c>
      <c r="F441" s="173" t="str">
        <f t="shared" si="93"/>
        <v/>
      </c>
      <c r="G441" s="173" t="str">
        <f t="shared" si="93"/>
        <v/>
      </c>
      <c r="H441" s="173" t="str">
        <f t="shared" si="93"/>
        <v/>
      </c>
      <c r="I441" s="173" t="str">
        <f t="shared" si="93"/>
        <v/>
      </c>
      <c r="J441" s="173" t="str">
        <f t="shared" si="93"/>
        <v/>
      </c>
      <c r="K441" s="173" t="str">
        <f t="shared" si="93"/>
        <v/>
      </c>
      <c r="L441" s="173" t="str">
        <f t="shared" si="94"/>
        <v>info</v>
      </c>
      <c r="M441" s="173" t="str">
        <f t="shared" si="94"/>
        <v/>
      </c>
      <c r="N441" s="173" t="str">
        <f t="shared" si="94"/>
        <v/>
      </c>
      <c r="O441" s="173" t="str">
        <f t="shared" si="94"/>
        <v/>
      </c>
      <c r="P441" s="174" t="str">
        <f t="shared" si="94"/>
        <v/>
      </c>
      <c r="Q441" s="174" t="str">
        <f t="shared" si="94"/>
        <v>x</v>
      </c>
      <c r="R441" s="174" t="str">
        <f t="shared" si="94"/>
        <v>BS</v>
      </c>
      <c r="S441" s="174" t="str">
        <f t="shared" si="94"/>
        <v>all</v>
      </c>
      <c r="T441" s="173" t="str">
        <f t="shared" si="94"/>
        <v/>
      </c>
      <c r="U441" s="173" t="str">
        <f t="shared" si="94"/>
        <v/>
      </c>
      <c r="V441" s="173" t="str">
        <f t="shared" si="94"/>
        <v/>
      </c>
      <c r="W441" s="173" t="str">
        <f t="shared" si="94"/>
        <v/>
      </c>
      <c r="X441" s="173" t="str">
        <f t="shared" si="94"/>
        <v/>
      </c>
      <c r="Y441" s="173" t="str">
        <f t="shared" si="94"/>
        <v/>
      </c>
    </row>
    <row r="442" spans="1:25" x14ac:dyDescent="0.3">
      <c r="A442" s="172">
        <f t="shared" si="84"/>
        <v>440</v>
      </c>
      <c r="B442" s="173" t="str">
        <f t="shared" si="93"/>
        <v/>
      </c>
      <c r="C442" s="173" t="str">
        <f t="shared" si="93"/>
        <v/>
      </c>
      <c r="D442" s="173" t="str">
        <f t="shared" si="93"/>
        <v/>
      </c>
      <c r="E442" s="173" t="str">
        <f t="shared" si="93"/>
        <v/>
      </c>
      <c r="F442" s="173" t="str">
        <f t="shared" si="93"/>
        <v/>
      </c>
      <c r="G442" s="173" t="str">
        <f t="shared" si="93"/>
        <v/>
      </c>
      <c r="H442" s="173" t="str">
        <f t="shared" si="93"/>
        <v/>
      </c>
      <c r="I442" s="173" t="str">
        <f t="shared" si="93"/>
        <v/>
      </c>
      <c r="J442" s="173" t="str">
        <f t="shared" si="93"/>
        <v/>
      </c>
      <c r="K442" s="173" t="str">
        <f t="shared" si="93"/>
        <v/>
      </c>
      <c r="L442" s="173" t="str">
        <f t="shared" si="94"/>
        <v>info</v>
      </c>
      <c r="M442" s="173" t="str">
        <f t="shared" si="94"/>
        <v/>
      </c>
      <c r="N442" s="173" t="str">
        <f t="shared" si="94"/>
        <v/>
      </c>
      <c r="O442" s="173" t="str">
        <f t="shared" si="94"/>
        <v/>
      </c>
      <c r="P442" s="174" t="str">
        <f t="shared" si="94"/>
        <v/>
      </c>
      <c r="Q442" s="174" t="str">
        <f t="shared" si="94"/>
        <v>x</v>
      </c>
      <c r="R442" s="174" t="str">
        <f t="shared" si="94"/>
        <v>BS</v>
      </c>
      <c r="S442" s="174" t="str">
        <f t="shared" si="94"/>
        <v>all</v>
      </c>
      <c r="T442" s="173" t="str">
        <f t="shared" si="94"/>
        <v/>
      </c>
      <c r="U442" s="173" t="str">
        <f t="shared" si="94"/>
        <v/>
      </c>
      <c r="V442" s="173" t="str">
        <f t="shared" si="94"/>
        <v/>
      </c>
      <c r="W442" s="173" t="str">
        <f t="shared" si="94"/>
        <v/>
      </c>
      <c r="X442" s="173" t="str">
        <f t="shared" si="94"/>
        <v/>
      </c>
      <c r="Y442" s="173" t="str">
        <f t="shared" si="94"/>
        <v/>
      </c>
    </row>
    <row r="443" spans="1:25" x14ac:dyDescent="0.3">
      <c r="A443" s="172">
        <f t="shared" si="84"/>
        <v>441</v>
      </c>
      <c r="B443" s="173" t="str">
        <f t="shared" ref="B443:K452" si="95">IF(ISNONTEXT(B$2),IF(B$2="","",IF(INDEX(IMPORT,$A443,B$2)=0,"",IFERROR(VLOOKUP(INDEX(IMPORT,$A443,B$2),ImportTranslation,2,0),INDEX(IMPORT,$A443,B$2)))),B$2)</f>
        <v/>
      </c>
      <c r="C443" s="173" t="str">
        <f t="shared" si="95"/>
        <v/>
      </c>
      <c r="D443" s="173" t="str">
        <f t="shared" si="95"/>
        <v/>
      </c>
      <c r="E443" s="173" t="str">
        <f t="shared" si="95"/>
        <v/>
      </c>
      <c r="F443" s="173" t="str">
        <f t="shared" si="95"/>
        <v/>
      </c>
      <c r="G443" s="173" t="str">
        <f t="shared" si="95"/>
        <v/>
      </c>
      <c r="H443" s="173" t="str">
        <f t="shared" si="95"/>
        <v/>
      </c>
      <c r="I443" s="173" t="str">
        <f t="shared" si="95"/>
        <v/>
      </c>
      <c r="J443" s="173" t="str">
        <f t="shared" si="95"/>
        <v/>
      </c>
      <c r="K443" s="173" t="str">
        <f t="shared" si="95"/>
        <v/>
      </c>
      <c r="L443" s="173" t="str">
        <f t="shared" ref="L443:Y452" si="96">IF(ISNONTEXT(L$2),IF(L$2="","",IF(INDEX(IMPORT,$A443,L$2)=0,"",IFERROR(VLOOKUP(INDEX(IMPORT,$A443,L$2),ImportTranslation,2,0),INDEX(IMPORT,$A443,L$2)))),L$2)</f>
        <v>info</v>
      </c>
      <c r="M443" s="173" t="str">
        <f t="shared" si="96"/>
        <v/>
      </c>
      <c r="N443" s="173" t="str">
        <f t="shared" si="96"/>
        <v/>
      </c>
      <c r="O443" s="173" t="str">
        <f t="shared" si="96"/>
        <v/>
      </c>
      <c r="P443" s="174" t="str">
        <f t="shared" si="96"/>
        <v/>
      </c>
      <c r="Q443" s="174" t="str">
        <f t="shared" si="96"/>
        <v>x</v>
      </c>
      <c r="R443" s="174" t="str">
        <f t="shared" si="96"/>
        <v>BS</v>
      </c>
      <c r="S443" s="174" t="str">
        <f t="shared" si="96"/>
        <v>all</v>
      </c>
      <c r="T443" s="173" t="str">
        <f t="shared" si="96"/>
        <v/>
      </c>
      <c r="U443" s="173" t="str">
        <f t="shared" si="96"/>
        <v/>
      </c>
      <c r="V443" s="173" t="str">
        <f t="shared" si="96"/>
        <v/>
      </c>
      <c r="W443" s="173" t="str">
        <f t="shared" si="96"/>
        <v/>
      </c>
      <c r="X443" s="173" t="str">
        <f t="shared" si="96"/>
        <v/>
      </c>
      <c r="Y443" s="173" t="str">
        <f t="shared" si="96"/>
        <v/>
      </c>
    </row>
    <row r="444" spans="1:25" x14ac:dyDescent="0.3">
      <c r="A444" s="172">
        <f t="shared" si="84"/>
        <v>442</v>
      </c>
      <c r="B444" s="173" t="str">
        <f t="shared" si="95"/>
        <v/>
      </c>
      <c r="C444" s="173" t="str">
        <f t="shared" si="95"/>
        <v/>
      </c>
      <c r="D444" s="173" t="str">
        <f t="shared" si="95"/>
        <v/>
      </c>
      <c r="E444" s="173" t="str">
        <f t="shared" si="95"/>
        <v/>
      </c>
      <c r="F444" s="173" t="str">
        <f t="shared" si="95"/>
        <v/>
      </c>
      <c r="G444" s="173" t="str">
        <f t="shared" si="95"/>
        <v/>
      </c>
      <c r="H444" s="173" t="str">
        <f t="shared" si="95"/>
        <v/>
      </c>
      <c r="I444" s="173" t="str">
        <f t="shared" si="95"/>
        <v/>
      </c>
      <c r="J444" s="173" t="str">
        <f t="shared" si="95"/>
        <v/>
      </c>
      <c r="K444" s="173" t="str">
        <f t="shared" si="95"/>
        <v/>
      </c>
      <c r="L444" s="173" t="str">
        <f t="shared" si="96"/>
        <v>info</v>
      </c>
      <c r="M444" s="173" t="str">
        <f t="shared" si="96"/>
        <v/>
      </c>
      <c r="N444" s="173" t="str">
        <f t="shared" si="96"/>
        <v/>
      </c>
      <c r="O444" s="173" t="str">
        <f t="shared" si="96"/>
        <v/>
      </c>
      <c r="P444" s="174" t="str">
        <f t="shared" si="96"/>
        <v/>
      </c>
      <c r="Q444" s="174" t="str">
        <f t="shared" si="96"/>
        <v>x</v>
      </c>
      <c r="R444" s="174" t="str">
        <f t="shared" si="96"/>
        <v>BS</v>
      </c>
      <c r="S444" s="174" t="str">
        <f t="shared" si="96"/>
        <v>all</v>
      </c>
      <c r="T444" s="173" t="str">
        <f t="shared" si="96"/>
        <v/>
      </c>
      <c r="U444" s="173" t="str">
        <f t="shared" si="96"/>
        <v/>
      </c>
      <c r="V444" s="173" t="str">
        <f t="shared" si="96"/>
        <v/>
      </c>
      <c r="W444" s="173" t="str">
        <f t="shared" si="96"/>
        <v/>
      </c>
      <c r="X444" s="173" t="str">
        <f t="shared" si="96"/>
        <v/>
      </c>
      <c r="Y444" s="173" t="str">
        <f t="shared" si="96"/>
        <v/>
      </c>
    </row>
    <row r="445" spans="1:25" x14ac:dyDescent="0.3">
      <c r="A445" s="172">
        <f t="shared" si="84"/>
        <v>443</v>
      </c>
      <c r="B445" s="173" t="str">
        <f t="shared" si="95"/>
        <v/>
      </c>
      <c r="C445" s="173" t="str">
        <f t="shared" si="95"/>
        <v/>
      </c>
      <c r="D445" s="173" t="str">
        <f t="shared" si="95"/>
        <v/>
      </c>
      <c r="E445" s="173" t="str">
        <f t="shared" si="95"/>
        <v/>
      </c>
      <c r="F445" s="173" t="str">
        <f t="shared" si="95"/>
        <v/>
      </c>
      <c r="G445" s="173" t="str">
        <f t="shared" si="95"/>
        <v/>
      </c>
      <c r="H445" s="173" t="str">
        <f t="shared" si="95"/>
        <v/>
      </c>
      <c r="I445" s="173" t="str">
        <f t="shared" si="95"/>
        <v/>
      </c>
      <c r="J445" s="173" t="str">
        <f t="shared" si="95"/>
        <v/>
      </c>
      <c r="K445" s="173" t="str">
        <f t="shared" si="95"/>
        <v/>
      </c>
      <c r="L445" s="173" t="str">
        <f t="shared" si="96"/>
        <v>info</v>
      </c>
      <c r="M445" s="173" t="str">
        <f t="shared" si="96"/>
        <v/>
      </c>
      <c r="N445" s="173" t="str">
        <f t="shared" si="96"/>
        <v/>
      </c>
      <c r="O445" s="173" t="str">
        <f t="shared" si="96"/>
        <v/>
      </c>
      <c r="P445" s="174" t="str">
        <f t="shared" si="96"/>
        <v/>
      </c>
      <c r="Q445" s="174" t="str">
        <f t="shared" si="96"/>
        <v>x</v>
      </c>
      <c r="R445" s="174" t="str">
        <f t="shared" si="96"/>
        <v>BS</v>
      </c>
      <c r="S445" s="174" t="str">
        <f t="shared" si="96"/>
        <v>all</v>
      </c>
      <c r="T445" s="173" t="str">
        <f t="shared" si="96"/>
        <v/>
      </c>
      <c r="U445" s="173" t="str">
        <f t="shared" si="96"/>
        <v/>
      </c>
      <c r="V445" s="173" t="str">
        <f t="shared" si="96"/>
        <v/>
      </c>
      <c r="W445" s="173" t="str">
        <f t="shared" si="96"/>
        <v/>
      </c>
      <c r="X445" s="173" t="str">
        <f t="shared" si="96"/>
        <v/>
      </c>
      <c r="Y445" s="173" t="str">
        <f t="shared" si="96"/>
        <v/>
      </c>
    </row>
    <row r="446" spans="1:25" x14ac:dyDescent="0.3">
      <c r="A446" s="172">
        <f t="shared" si="84"/>
        <v>444</v>
      </c>
      <c r="B446" s="173" t="str">
        <f t="shared" si="95"/>
        <v/>
      </c>
      <c r="C446" s="173" t="str">
        <f t="shared" si="95"/>
        <v/>
      </c>
      <c r="D446" s="173" t="str">
        <f t="shared" si="95"/>
        <v/>
      </c>
      <c r="E446" s="173" t="str">
        <f t="shared" si="95"/>
        <v/>
      </c>
      <c r="F446" s="173" t="str">
        <f t="shared" si="95"/>
        <v/>
      </c>
      <c r="G446" s="173" t="str">
        <f t="shared" si="95"/>
        <v/>
      </c>
      <c r="H446" s="173" t="str">
        <f t="shared" si="95"/>
        <v/>
      </c>
      <c r="I446" s="173" t="str">
        <f t="shared" si="95"/>
        <v/>
      </c>
      <c r="J446" s="173" t="str">
        <f t="shared" si="95"/>
        <v/>
      </c>
      <c r="K446" s="173" t="str">
        <f t="shared" si="95"/>
        <v/>
      </c>
      <c r="L446" s="173" t="str">
        <f t="shared" si="96"/>
        <v>info</v>
      </c>
      <c r="M446" s="173" t="str">
        <f t="shared" si="96"/>
        <v/>
      </c>
      <c r="N446" s="173" t="str">
        <f t="shared" si="96"/>
        <v/>
      </c>
      <c r="O446" s="173" t="str">
        <f t="shared" si="96"/>
        <v/>
      </c>
      <c r="P446" s="174" t="str">
        <f t="shared" si="96"/>
        <v/>
      </c>
      <c r="Q446" s="174" t="str">
        <f t="shared" si="96"/>
        <v>x</v>
      </c>
      <c r="R446" s="174" t="str">
        <f t="shared" si="96"/>
        <v>BS</v>
      </c>
      <c r="S446" s="174" t="str">
        <f t="shared" si="96"/>
        <v>all</v>
      </c>
      <c r="T446" s="173" t="str">
        <f t="shared" si="96"/>
        <v/>
      </c>
      <c r="U446" s="173" t="str">
        <f t="shared" si="96"/>
        <v/>
      </c>
      <c r="V446" s="173" t="str">
        <f t="shared" si="96"/>
        <v/>
      </c>
      <c r="W446" s="173" t="str">
        <f t="shared" si="96"/>
        <v/>
      </c>
      <c r="X446" s="173" t="str">
        <f t="shared" si="96"/>
        <v/>
      </c>
      <c r="Y446" s="173" t="str">
        <f t="shared" si="96"/>
        <v/>
      </c>
    </row>
    <row r="447" spans="1:25" x14ac:dyDescent="0.3">
      <c r="A447" s="172">
        <f t="shared" si="84"/>
        <v>445</v>
      </c>
      <c r="B447" s="173" t="str">
        <f t="shared" si="95"/>
        <v/>
      </c>
      <c r="C447" s="173" t="str">
        <f t="shared" si="95"/>
        <v/>
      </c>
      <c r="D447" s="173" t="str">
        <f t="shared" si="95"/>
        <v/>
      </c>
      <c r="E447" s="173" t="str">
        <f t="shared" si="95"/>
        <v/>
      </c>
      <c r="F447" s="173" t="str">
        <f t="shared" si="95"/>
        <v/>
      </c>
      <c r="G447" s="173" t="str">
        <f t="shared" si="95"/>
        <v/>
      </c>
      <c r="H447" s="173" t="str">
        <f t="shared" si="95"/>
        <v/>
      </c>
      <c r="I447" s="173" t="str">
        <f t="shared" si="95"/>
        <v/>
      </c>
      <c r="J447" s="173" t="str">
        <f t="shared" si="95"/>
        <v/>
      </c>
      <c r="K447" s="173" t="str">
        <f t="shared" si="95"/>
        <v/>
      </c>
      <c r="L447" s="173" t="str">
        <f t="shared" si="96"/>
        <v>info</v>
      </c>
      <c r="M447" s="173" t="str">
        <f t="shared" si="96"/>
        <v/>
      </c>
      <c r="N447" s="173" t="str">
        <f t="shared" si="96"/>
        <v/>
      </c>
      <c r="O447" s="173" t="str">
        <f t="shared" si="96"/>
        <v/>
      </c>
      <c r="P447" s="174" t="str">
        <f t="shared" si="96"/>
        <v/>
      </c>
      <c r="Q447" s="174" t="str">
        <f t="shared" si="96"/>
        <v>x</v>
      </c>
      <c r="R447" s="174" t="str">
        <f t="shared" si="96"/>
        <v>BS</v>
      </c>
      <c r="S447" s="174" t="str">
        <f t="shared" si="96"/>
        <v>all</v>
      </c>
      <c r="T447" s="173" t="str">
        <f t="shared" si="96"/>
        <v/>
      </c>
      <c r="U447" s="173" t="str">
        <f t="shared" si="96"/>
        <v/>
      </c>
      <c r="V447" s="173" t="str">
        <f t="shared" si="96"/>
        <v/>
      </c>
      <c r="W447" s="173" t="str">
        <f t="shared" si="96"/>
        <v/>
      </c>
      <c r="X447" s="173" t="str">
        <f t="shared" si="96"/>
        <v/>
      </c>
      <c r="Y447" s="173" t="str">
        <f t="shared" si="96"/>
        <v/>
      </c>
    </row>
    <row r="448" spans="1:25" x14ac:dyDescent="0.3">
      <c r="A448" s="172">
        <f t="shared" si="84"/>
        <v>446</v>
      </c>
      <c r="B448" s="173" t="str">
        <f t="shared" si="95"/>
        <v/>
      </c>
      <c r="C448" s="173" t="str">
        <f t="shared" si="95"/>
        <v/>
      </c>
      <c r="D448" s="173" t="str">
        <f t="shared" si="95"/>
        <v/>
      </c>
      <c r="E448" s="173" t="str">
        <f t="shared" si="95"/>
        <v/>
      </c>
      <c r="F448" s="173" t="str">
        <f t="shared" si="95"/>
        <v/>
      </c>
      <c r="G448" s="173" t="str">
        <f t="shared" si="95"/>
        <v/>
      </c>
      <c r="H448" s="173" t="str">
        <f t="shared" si="95"/>
        <v/>
      </c>
      <c r="I448" s="173" t="str">
        <f t="shared" si="95"/>
        <v/>
      </c>
      <c r="J448" s="173" t="str">
        <f t="shared" si="95"/>
        <v/>
      </c>
      <c r="K448" s="173" t="str">
        <f t="shared" si="95"/>
        <v/>
      </c>
      <c r="L448" s="173" t="str">
        <f t="shared" si="96"/>
        <v>info</v>
      </c>
      <c r="M448" s="173" t="str">
        <f t="shared" si="96"/>
        <v/>
      </c>
      <c r="N448" s="173" t="str">
        <f t="shared" si="96"/>
        <v/>
      </c>
      <c r="O448" s="173" t="str">
        <f t="shared" si="96"/>
        <v/>
      </c>
      <c r="P448" s="174" t="str">
        <f t="shared" si="96"/>
        <v/>
      </c>
      <c r="Q448" s="174" t="str">
        <f t="shared" si="96"/>
        <v>x</v>
      </c>
      <c r="R448" s="174" t="str">
        <f t="shared" si="96"/>
        <v>BS</v>
      </c>
      <c r="S448" s="174" t="str">
        <f t="shared" si="96"/>
        <v>all</v>
      </c>
      <c r="T448" s="173" t="str">
        <f t="shared" si="96"/>
        <v/>
      </c>
      <c r="U448" s="173" t="str">
        <f t="shared" si="96"/>
        <v/>
      </c>
      <c r="V448" s="173" t="str">
        <f t="shared" si="96"/>
        <v/>
      </c>
      <c r="W448" s="173" t="str">
        <f t="shared" si="96"/>
        <v/>
      </c>
      <c r="X448" s="173" t="str">
        <f t="shared" si="96"/>
        <v/>
      </c>
      <c r="Y448" s="173" t="str">
        <f t="shared" si="96"/>
        <v/>
      </c>
    </row>
    <row r="449" spans="1:25" x14ac:dyDescent="0.3">
      <c r="A449" s="172">
        <f t="shared" si="84"/>
        <v>447</v>
      </c>
      <c r="B449" s="173" t="str">
        <f t="shared" si="95"/>
        <v/>
      </c>
      <c r="C449" s="173" t="str">
        <f t="shared" si="95"/>
        <v/>
      </c>
      <c r="D449" s="173" t="str">
        <f t="shared" si="95"/>
        <v/>
      </c>
      <c r="E449" s="173" t="str">
        <f t="shared" si="95"/>
        <v/>
      </c>
      <c r="F449" s="173" t="str">
        <f t="shared" si="95"/>
        <v/>
      </c>
      <c r="G449" s="173" t="str">
        <f t="shared" si="95"/>
        <v/>
      </c>
      <c r="H449" s="173" t="str">
        <f t="shared" si="95"/>
        <v/>
      </c>
      <c r="I449" s="173" t="str">
        <f t="shared" si="95"/>
        <v/>
      </c>
      <c r="J449" s="173" t="str">
        <f t="shared" si="95"/>
        <v/>
      </c>
      <c r="K449" s="173" t="str">
        <f t="shared" si="95"/>
        <v/>
      </c>
      <c r="L449" s="173" t="str">
        <f t="shared" si="96"/>
        <v>info</v>
      </c>
      <c r="M449" s="173" t="str">
        <f t="shared" si="96"/>
        <v/>
      </c>
      <c r="N449" s="173" t="str">
        <f t="shared" si="96"/>
        <v/>
      </c>
      <c r="O449" s="173" t="str">
        <f t="shared" si="96"/>
        <v/>
      </c>
      <c r="P449" s="174" t="str">
        <f t="shared" si="96"/>
        <v/>
      </c>
      <c r="Q449" s="174" t="str">
        <f t="shared" si="96"/>
        <v>x</v>
      </c>
      <c r="R449" s="174" t="str">
        <f t="shared" si="96"/>
        <v>BS</v>
      </c>
      <c r="S449" s="174" t="str">
        <f t="shared" si="96"/>
        <v>all</v>
      </c>
      <c r="T449" s="173" t="str">
        <f t="shared" si="96"/>
        <v/>
      </c>
      <c r="U449" s="173" t="str">
        <f t="shared" si="96"/>
        <v/>
      </c>
      <c r="V449" s="173" t="str">
        <f t="shared" si="96"/>
        <v/>
      </c>
      <c r="W449" s="173" t="str">
        <f t="shared" si="96"/>
        <v/>
      </c>
      <c r="X449" s="173" t="str">
        <f t="shared" si="96"/>
        <v/>
      </c>
      <c r="Y449" s="173" t="str">
        <f t="shared" si="96"/>
        <v/>
      </c>
    </row>
    <row r="450" spans="1:25" x14ac:dyDescent="0.3">
      <c r="A450" s="172">
        <f t="shared" si="84"/>
        <v>448</v>
      </c>
      <c r="B450" s="173" t="e">
        <f t="shared" si="95"/>
        <v>#REF!</v>
      </c>
      <c r="C450" s="173" t="e">
        <f t="shared" si="95"/>
        <v>#REF!</v>
      </c>
      <c r="D450" s="173" t="str">
        <f t="shared" si="95"/>
        <v/>
      </c>
      <c r="E450" s="173" t="str">
        <f t="shared" si="95"/>
        <v/>
      </c>
      <c r="F450" s="173" t="str">
        <f t="shared" si="95"/>
        <v/>
      </c>
      <c r="G450" s="173" t="str">
        <f t="shared" si="95"/>
        <v/>
      </c>
      <c r="H450" s="173" t="str">
        <f t="shared" si="95"/>
        <v/>
      </c>
      <c r="I450" s="173" t="str">
        <f t="shared" si="95"/>
        <v/>
      </c>
      <c r="J450" s="173" t="str">
        <f t="shared" si="95"/>
        <v/>
      </c>
      <c r="K450" s="173" t="e">
        <f t="shared" si="95"/>
        <v>#REF!</v>
      </c>
      <c r="L450" s="173" t="str">
        <f t="shared" si="96"/>
        <v>info</v>
      </c>
      <c r="M450" s="173" t="e">
        <f t="shared" si="96"/>
        <v>#REF!</v>
      </c>
      <c r="N450" s="173" t="str">
        <f t="shared" si="96"/>
        <v/>
      </c>
      <c r="O450" s="173" t="e">
        <f t="shared" si="96"/>
        <v>#REF!</v>
      </c>
      <c r="P450" s="174" t="e">
        <f t="shared" si="96"/>
        <v>#REF!</v>
      </c>
      <c r="Q450" s="174" t="str">
        <f t="shared" si="96"/>
        <v>x</v>
      </c>
      <c r="R450" s="174" t="str">
        <f t="shared" si="96"/>
        <v>BS</v>
      </c>
      <c r="S450" s="174" t="str">
        <f t="shared" si="96"/>
        <v>all</v>
      </c>
      <c r="T450" s="173" t="e">
        <f t="shared" si="96"/>
        <v>#REF!</v>
      </c>
      <c r="U450" s="173" t="e">
        <f t="shared" si="96"/>
        <v>#REF!</v>
      </c>
      <c r="V450" s="173" t="e">
        <f t="shared" si="96"/>
        <v>#REF!</v>
      </c>
      <c r="W450" s="173" t="str">
        <f t="shared" si="96"/>
        <v/>
      </c>
      <c r="X450" s="173" t="str">
        <f t="shared" si="96"/>
        <v/>
      </c>
      <c r="Y450" s="173" t="e">
        <f t="shared" si="96"/>
        <v>#REF!</v>
      </c>
    </row>
    <row r="451" spans="1:25" x14ac:dyDescent="0.3">
      <c r="A451" s="172">
        <f>ROW()-ROW($A$2)</f>
        <v>449</v>
      </c>
      <c r="B451" s="173" t="e">
        <f t="shared" si="95"/>
        <v>#REF!</v>
      </c>
      <c r="C451" s="173" t="e">
        <f t="shared" si="95"/>
        <v>#REF!</v>
      </c>
      <c r="D451" s="173" t="str">
        <f t="shared" si="95"/>
        <v/>
      </c>
      <c r="E451" s="173" t="str">
        <f t="shared" si="95"/>
        <v/>
      </c>
      <c r="F451" s="173" t="str">
        <f t="shared" si="95"/>
        <v/>
      </c>
      <c r="G451" s="173" t="str">
        <f t="shared" si="95"/>
        <v/>
      </c>
      <c r="H451" s="173" t="str">
        <f t="shared" si="95"/>
        <v/>
      </c>
      <c r="I451" s="173" t="str">
        <f t="shared" si="95"/>
        <v/>
      </c>
      <c r="J451" s="173" t="str">
        <f t="shared" si="95"/>
        <v/>
      </c>
      <c r="K451" s="173" t="e">
        <f t="shared" si="95"/>
        <v>#REF!</v>
      </c>
      <c r="L451" s="173" t="str">
        <f t="shared" si="96"/>
        <v>info</v>
      </c>
      <c r="M451" s="173" t="e">
        <f t="shared" si="96"/>
        <v>#REF!</v>
      </c>
      <c r="N451" s="173" t="str">
        <f t="shared" si="96"/>
        <v/>
      </c>
      <c r="O451" s="173" t="e">
        <f t="shared" si="96"/>
        <v>#REF!</v>
      </c>
      <c r="P451" s="174" t="e">
        <f t="shared" si="96"/>
        <v>#REF!</v>
      </c>
      <c r="Q451" s="174" t="str">
        <f t="shared" si="96"/>
        <v>x</v>
      </c>
      <c r="R451" s="174" t="str">
        <f t="shared" si="96"/>
        <v>BS</v>
      </c>
      <c r="S451" s="174" t="str">
        <f t="shared" si="96"/>
        <v>all</v>
      </c>
      <c r="T451" s="173" t="e">
        <f t="shared" si="96"/>
        <v>#REF!</v>
      </c>
      <c r="U451" s="173" t="e">
        <f t="shared" si="96"/>
        <v>#REF!</v>
      </c>
      <c r="V451" s="173" t="e">
        <f t="shared" si="96"/>
        <v>#REF!</v>
      </c>
      <c r="W451" s="173" t="str">
        <f t="shared" si="96"/>
        <v/>
      </c>
      <c r="X451" s="173" t="str">
        <f t="shared" si="96"/>
        <v/>
      </c>
      <c r="Y451" s="173" t="e">
        <f t="shared" si="96"/>
        <v>#REF!</v>
      </c>
    </row>
    <row r="452" spans="1:25" x14ac:dyDescent="0.3">
      <c r="A452" s="172">
        <f>ROW()-ROW($A$2)</f>
        <v>450</v>
      </c>
      <c r="B452" s="173" t="e">
        <f t="shared" si="95"/>
        <v>#REF!</v>
      </c>
      <c r="C452" s="173" t="e">
        <f t="shared" si="95"/>
        <v>#REF!</v>
      </c>
      <c r="D452" s="173" t="str">
        <f t="shared" si="95"/>
        <v/>
      </c>
      <c r="E452" s="173" t="str">
        <f t="shared" si="95"/>
        <v/>
      </c>
      <c r="F452" s="173" t="str">
        <f t="shared" si="95"/>
        <v/>
      </c>
      <c r="G452" s="173" t="str">
        <f t="shared" si="95"/>
        <v/>
      </c>
      <c r="H452" s="173" t="str">
        <f t="shared" si="95"/>
        <v/>
      </c>
      <c r="I452" s="173" t="str">
        <f t="shared" si="95"/>
        <v/>
      </c>
      <c r="J452" s="173" t="str">
        <f t="shared" si="95"/>
        <v/>
      </c>
      <c r="K452" s="173" t="e">
        <f t="shared" si="95"/>
        <v>#REF!</v>
      </c>
      <c r="L452" s="173" t="str">
        <f t="shared" si="96"/>
        <v>info</v>
      </c>
      <c r="M452" s="173" t="e">
        <f t="shared" si="96"/>
        <v>#REF!</v>
      </c>
      <c r="N452" s="173" t="str">
        <f t="shared" si="96"/>
        <v/>
      </c>
      <c r="O452" s="173" t="e">
        <f t="shared" si="96"/>
        <v>#REF!</v>
      </c>
      <c r="P452" s="174" t="e">
        <f t="shared" si="96"/>
        <v>#REF!</v>
      </c>
      <c r="Q452" s="174" t="str">
        <f t="shared" si="96"/>
        <v>x</v>
      </c>
      <c r="R452" s="174" t="str">
        <f t="shared" si="96"/>
        <v>BS</v>
      </c>
      <c r="S452" s="174" t="str">
        <f t="shared" si="96"/>
        <v>all</v>
      </c>
      <c r="T452" s="173" t="e">
        <f t="shared" si="96"/>
        <v>#REF!</v>
      </c>
      <c r="U452" s="173" t="e">
        <f t="shared" si="96"/>
        <v>#REF!</v>
      </c>
      <c r="V452" s="173" t="e">
        <f t="shared" si="96"/>
        <v>#REF!</v>
      </c>
      <c r="W452" s="173" t="str">
        <f t="shared" si="96"/>
        <v/>
      </c>
      <c r="X452" s="173" t="str">
        <f t="shared" si="96"/>
        <v/>
      </c>
      <c r="Y452" s="173" t="e">
        <f t="shared" si="96"/>
        <v>#REF!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M854"/>
  <sheetViews>
    <sheetView workbookViewId="0">
      <selection activeCell="L2" sqref="L2"/>
    </sheetView>
  </sheetViews>
  <sheetFormatPr baseColWidth="10" defaultColWidth="11.5546875" defaultRowHeight="14.4" x14ac:dyDescent="0.3"/>
  <cols>
    <col min="1" max="5" width="3.44140625" style="107" customWidth="1"/>
    <col min="6" max="6" width="14.109375" customWidth="1"/>
    <col min="7" max="7" width="10" customWidth="1"/>
    <col min="8" max="8" width="31" customWidth="1"/>
    <col min="9" max="9" width="51.5546875" customWidth="1"/>
    <col min="10" max="10" width="16.6640625" customWidth="1"/>
    <col min="11" max="11" width="3.44140625" customWidth="1"/>
    <col min="12" max="12" width="32" style="168" bestFit="1" customWidth="1"/>
    <col min="257" max="257" width="3.44140625" customWidth="1"/>
    <col min="258" max="258" width="7" customWidth="1"/>
    <col min="259" max="259" width="5" customWidth="1"/>
    <col min="260" max="260" width="5.44140625" customWidth="1"/>
    <col min="261" max="261" width="7" customWidth="1"/>
    <col min="262" max="262" width="14.109375" customWidth="1"/>
    <col min="263" max="263" width="10" customWidth="1"/>
    <col min="264" max="264" width="31" customWidth="1"/>
    <col min="265" max="265" width="32.109375" customWidth="1"/>
    <col min="266" max="266" width="33.109375" customWidth="1"/>
    <col min="513" max="513" width="3.44140625" customWidth="1"/>
    <col min="514" max="514" width="7" customWidth="1"/>
    <col min="515" max="515" width="5" customWidth="1"/>
    <col min="516" max="516" width="5.44140625" customWidth="1"/>
    <col min="517" max="517" width="7" customWidth="1"/>
    <col min="518" max="518" width="14.109375" customWidth="1"/>
    <col min="519" max="519" width="10" customWidth="1"/>
    <col min="520" max="520" width="31" customWidth="1"/>
    <col min="521" max="521" width="32.109375" customWidth="1"/>
    <col min="522" max="522" width="33.109375" customWidth="1"/>
    <col min="769" max="769" width="3.44140625" customWidth="1"/>
    <col min="770" max="770" width="7" customWidth="1"/>
    <col min="771" max="771" width="5" customWidth="1"/>
    <col min="772" max="772" width="5.44140625" customWidth="1"/>
    <col min="773" max="773" width="7" customWidth="1"/>
    <col min="774" max="774" width="14.109375" customWidth="1"/>
    <col min="775" max="775" width="10" customWidth="1"/>
    <col min="776" max="776" width="31" customWidth="1"/>
    <col min="777" max="777" width="32.109375" customWidth="1"/>
    <col min="778" max="778" width="33.109375" customWidth="1"/>
    <col min="1025" max="1025" width="3.44140625" customWidth="1"/>
    <col min="1026" max="1026" width="7" customWidth="1"/>
    <col min="1027" max="1027" width="5" customWidth="1"/>
    <col min="1028" max="1028" width="5.44140625" customWidth="1"/>
    <col min="1029" max="1029" width="7" customWidth="1"/>
    <col min="1030" max="1030" width="14.109375" customWidth="1"/>
    <col min="1031" max="1031" width="10" customWidth="1"/>
    <col min="1032" max="1032" width="31" customWidth="1"/>
    <col min="1033" max="1033" width="32.109375" customWidth="1"/>
    <col min="1034" max="1034" width="33.109375" customWidth="1"/>
    <col min="1281" max="1281" width="3.44140625" customWidth="1"/>
    <col min="1282" max="1282" width="7" customWidth="1"/>
    <col min="1283" max="1283" width="5" customWidth="1"/>
    <col min="1284" max="1284" width="5.44140625" customWidth="1"/>
    <col min="1285" max="1285" width="7" customWidth="1"/>
    <col min="1286" max="1286" width="14.109375" customWidth="1"/>
    <col min="1287" max="1287" width="10" customWidth="1"/>
    <col min="1288" max="1288" width="31" customWidth="1"/>
    <col min="1289" max="1289" width="32.109375" customWidth="1"/>
    <col min="1290" max="1290" width="33.109375" customWidth="1"/>
    <col min="1537" max="1537" width="3.44140625" customWidth="1"/>
    <col min="1538" max="1538" width="7" customWidth="1"/>
    <col min="1539" max="1539" width="5" customWidth="1"/>
    <col min="1540" max="1540" width="5.44140625" customWidth="1"/>
    <col min="1541" max="1541" width="7" customWidth="1"/>
    <col min="1542" max="1542" width="14.109375" customWidth="1"/>
    <col min="1543" max="1543" width="10" customWidth="1"/>
    <col min="1544" max="1544" width="31" customWidth="1"/>
    <col min="1545" max="1545" width="32.109375" customWidth="1"/>
    <col min="1546" max="1546" width="33.109375" customWidth="1"/>
    <col min="1793" max="1793" width="3.44140625" customWidth="1"/>
    <col min="1794" max="1794" width="7" customWidth="1"/>
    <col min="1795" max="1795" width="5" customWidth="1"/>
    <col min="1796" max="1796" width="5.44140625" customWidth="1"/>
    <col min="1797" max="1797" width="7" customWidth="1"/>
    <col min="1798" max="1798" width="14.109375" customWidth="1"/>
    <col min="1799" max="1799" width="10" customWidth="1"/>
    <col min="1800" max="1800" width="31" customWidth="1"/>
    <col min="1801" max="1801" width="32.109375" customWidth="1"/>
    <col min="1802" max="1802" width="33.109375" customWidth="1"/>
    <col min="2049" max="2049" width="3.44140625" customWidth="1"/>
    <col min="2050" max="2050" width="7" customWidth="1"/>
    <col min="2051" max="2051" width="5" customWidth="1"/>
    <col min="2052" max="2052" width="5.44140625" customWidth="1"/>
    <col min="2053" max="2053" width="7" customWidth="1"/>
    <col min="2054" max="2054" width="14.109375" customWidth="1"/>
    <col min="2055" max="2055" width="10" customWidth="1"/>
    <col min="2056" max="2056" width="31" customWidth="1"/>
    <col min="2057" max="2057" width="32.109375" customWidth="1"/>
    <col min="2058" max="2058" width="33.109375" customWidth="1"/>
    <col min="2305" max="2305" width="3.44140625" customWidth="1"/>
    <col min="2306" max="2306" width="7" customWidth="1"/>
    <col min="2307" max="2307" width="5" customWidth="1"/>
    <col min="2308" max="2308" width="5.44140625" customWidth="1"/>
    <col min="2309" max="2309" width="7" customWidth="1"/>
    <col min="2310" max="2310" width="14.109375" customWidth="1"/>
    <col min="2311" max="2311" width="10" customWidth="1"/>
    <col min="2312" max="2312" width="31" customWidth="1"/>
    <col min="2313" max="2313" width="32.109375" customWidth="1"/>
    <col min="2314" max="2314" width="33.109375" customWidth="1"/>
    <col min="2561" max="2561" width="3.44140625" customWidth="1"/>
    <col min="2562" max="2562" width="7" customWidth="1"/>
    <col min="2563" max="2563" width="5" customWidth="1"/>
    <col min="2564" max="2564" width="5.44140625" customWidth="1"/>
    <col min="2565" max="2565" width="7" customWidth="1"/>
    <col min="2566" max="2566" width="14.109375" customWidth="1"/>
    <col min="2567" max="2567" width="10" customWidth="1"/>
    <col min="2568" max="2568" width="31" customWidth="1"/>
    <col min="2569" max="2569" width="32.109375" customWidth="1"/>
    <col min="2570" max="2570" width="33.109375" customWidth="1"/>
    <col min="2817" max="2817" width="3.44140625" customWidth="1"/>
    <col min="2818" max="2818" width="7" customWidth="1"/>
    <col min="2819" max="2819" width="5" customWidth="1"/>
    <col min="2820" max="2820" width="5.44140625" customWidth="1"/>
    <col min="2821" max="2821" width="7" customWidth="1"/>
    <col min="2822" max="2822" width="14.109375" customWidth="1"/>
    <col min="2823" max="2823" width="10" customWidth="1"/>
    <col min="2824" max="2824" width="31" customWidth="1"/>
    <col min="2825" max="2825" width="32.109375" customWidth="1"/>
    <col min="2826" max="2826" width="33.109375" customWidth="1"/>
    <col min="3073" max="3073" width="3.44140625" customWidth="1"/>
    <col min="3074" max="3074" width="7" customWidth="1"/>
    <col min="3075" max="3075" width="5" customWidth="1"/>
    <col min="3076" max="3076" width="5.44140625" customWidth="1"/>
    <col min="3077" max="3077" width="7" customWidth="1"/>
    <col min="3078" max="3078" width="14.109375" customWidth="1"/>
    <col min="3079" max="3079" width="10" customWidth="1"/>
    <col min="3080" max="3080" width="31" customWidth="1"/>
    <col min="3081" max="3081" width="32.109375" customWidth="1"/>
    <col min="3082" max="3082" width="33.109375" customWidth="1"/>
    <col min="3329" max="3329" width="3.44140625" customWidth="1"/>
    <col min="3330" max="3330" width="7" customWidth="1"/>
    <col min="3331" max="3331" width="5" customWidth="1"/>
    <col min="3332" max="3332" width="5.44140625" customWidth="1"/>
    <col min="3333" max="3333" width="7" customWidth="1"/>
    <col min="3334" max="3334" width="14.109375" customWidth="1"/>
    <col min="3335" max="3335" width="10" customWidth="1"/>
    <col min="3336" max="3336" width="31" customWidth="1"/>
    <col min="3337" max="3337" width="32.109375" customWidth="1"/>
    <col min="3338" max="3338" width="33.109375" customWidth="1"/>
    <col min="3585" max="3585" width="3.44140625" customWidth="1"/>
    <col min="3586" max="3586" width="7" customWidth="1"/>
    <col min="3587" max="3587" width="5" customWidth="1"/>
    <col min="3588" max="3588" width="5.44140625" customWidth="1"/>
    <col min="3589" max="3589" width="7" customWidth="1"/>
    <col min="3590" max="3590" width="14.109375" customWidth="1"/>
    <col min="3591" max="3591" width="10" customWidth="1"/>
    <col min="3592" max="3592" width="31" customWidth="1"/>
    <col min="3593" max="3593" width="32.109375" customWidth="1"/>
    <col min="3594" max="3594" width="33.109375" customWidth="1"/>
    <col min="3841" max="3841" width="3.44140625" customWidth="1"/>
    <col min="3842" max="3842" width="7" customWidth="1"/>
    <col min="3843" max="3843" width="5" customWidth="1"/>
    <col min="3844" max="3844" width="5.44140625" customWidth="1"/>
    <col min="3845" max="3845" width="7" customWidth="1"/>
    <col min="3846" max="3846" width="14.109375" customWidth="1"/>
    <col min="3847" max="3847" width="10" customWidth="1"/>
    <col min="3848" max="3848" width="31" customWidth="1"/>
    <col min="3849" max="3849" width="32.109375" customWidth="1"/>
    <col min="3850" max="3850" width="33.109375" customWidth="1"/>
    <col min="4097" max="4097" width="3.44140625" customWidth="1"/>
    <col min="4098" max="4098" width="7" customWidth="1"/>
    <col min="4099" max="4099" width="5" customWidth="1"/>
    <col min="4100" max="4100" width="5.44140625" customWidth="1"/>
    <col min="4101" max="4101" width="7" customWidth="1"/>
    <col min="4102" max="4102" width="14.109375" customWidth="1"/>
    <col min="4103" max="4103" width="10" customWidth="1"/>
    <col min="4104" max="4104" width="31" customWidth="1"/>
    <col min="4105" max="4105" width="32.109375" customWidth="1"/>
    <col min="4106" max="4106" width="33.109375" customWidth="1"/>
    <col min="4353" max="4353" width="3.44140625" customWidth="1"/>
    <col min="4354" max="4354" width="7" customWidth="1"/>
    <col min="4355" max="4355" width="5" customWidth="1"/>
    <col min="4356" max="4356" width="5.44140625" customWidth="1"/>
    <col min="4357" max="4357" width="7" customWidth="1"/>
    <col min="4358" max="4358" width="14.109375" customWidth="1"/>
    <col min="4359" max="4359" width="10" customWidth="1"/>
    <col min="4360" max="4360" width="31" customWidth="1"/>
    <col min="4361" max="4361" width="32.109375" customWidth="1"/>
    <col min="4362" max="4362" width="33.109375" customWidth="1"/>
    <col min="4609" max="4609" width="3.44140625" customWidth="1"/>
    <col min="4610" max="4610" width="7" customWidth="1"/>
    <col min="4611" max="4611" width="5" customWidth="1"/>
    <col min="4612" max="4612" width="5.44140625" customWidth="1"/>
    <col min="4613" max="4613" width="7" customWidth="1"/>
    <col min="4614" max="4614" width="14.109375" customWidth="1"/>
    <col min="4615" max="4615" width="10" customWidth="1"/>
    <col min="4616" max="4616" width="31" customWidth="1"/>
    <col min="4617" max="4617" width="32.109375" customWidth="1"/>
    <col min="4618" max="4618" width="33.109375" customWidth="1"/>
    <col min="4865" max="4865" width="3.44140625" customWidth="1"/>
    <col min="4866" max="4866" width="7" customWidth="1"/>
    <col min="4867" max="4867" width="5" customWidth="1"/>
    <col min="4868" max="4868" width="5.44140625" customWidth="1"/>
    <col min="4869" max="4869" width="7" customWidth="1"/>
    <col min="4870" max="4870" width="14.109375" customWidth="1"/>
    <col min="4871" max="4871" width="10" customWidth="1"/>
    <col min="4872" max="4872" width="31" customWidth="1"/>
    <col min="4873" max="4873" width="32.109375" customWidth="1"/>
    <col min="4874" max="4874" width="33.109375" customWidth="1"/>
    <col min="5121" max="5121" width="3.44140625" customWidth="1"/>
    <col min="5122" max="5122" width="7" customWidth="1"/>
    <col min="5123" max="5123" width="5" customWidth="1"/>
    <col min="5124" max="5124" width="5.44140625" customWidth="1"/>
    <col min="5125" max="5125" width="7" customWidth="1"/>
    <col min="5126" max="5126" width="14.109375" customWidth="1"/>
    <col min="5127" max="5127" width="10" customWidth="1"/>
    <col min="5128" max="5128" width="31" customWidth="1"/>
    <col min="5129" max="5129" width="32.109375" customWidth="1"/>
    <col min="5130" max="5130" width="33.109375" customWidth="1"/>
    <col min="5377" max="5377" width="3.44140625" customWidth="1"/>
    <col min="5378" max="5378" width="7" customWidth="1"/>
    <col min="5379" max="5379" width="5" customWidth="1"/>
    <col min="5380" max="5380" width="5.44140625" customWidth="1"/>
    <col min="5381" max="5381" width="7" customWidth="1"/>
    <col min="5382" max="5382" width="14.109375" customWidth="1"/>
    <col min="5383" max="5383" width="10" customWidth="1"/>
    <col min="5384" max="5384" width="31" customWidth="1"/>
    <col min="5385" max="5385" width="32.109375" customWidth="1"/>
    <col min="5386" max="5386" width="33.109375" customWidth="1"/>
    <col min="5633" max="5633" width="3.44140625" customWidth="1"/>
    <col min="5634" max="5634" width="7" customWidth="1"/>
    <col min="5635" max="5635" width="5" customWidth="1"/>
    <col min="5636" max="5636" width="5.44140625" customWidth="1"/>
    <col min="5637" max="5637" width="7" customWidth="1"/>
    <col min="5638" max="5638" width="14.109375" customWidth="1"/>
    <col min="5639" max="5639" width="10" customWidth="1"/>
    <col min="5640" max="5640" width="31" customWidth="1"/>
    <col min="5641" max="5641" width="32.109375" customWidth="1"/>
    <col min="5642" max="5642" width="33.109375" customWidth="1"/>
    <col min="5889" max="5889" width="3.44140625" customWidth="1"/>
    <col min="5890" max="5890" width="7" customWidth="1"/>
    <col min="5891" max="5891" width="5" customWidth="1"/>
    <col min="5892" max="5892" width="5.44140625" customWidth="1"/>
    <col min="5893" max="5893" width="7" customWidth="1"/>
    <col min="5894" max="5894" width="14.109375" customWidth="1"/>
    <col min="5895" max="5895" width="10" customWidth="1"/>
    <col min="5896" max="5896" width="31" customWidth="1"/>
    <col min="5897" max="5897" width="32.109375" customWidth="1"/>
    <col min="5898" max="5898" width="33.109375" customWidth="1"/>
    <col min="6145" max="6145" width="3.44140625" customWidth="1"/>
    <col min="6146" max="6146" width="7" customWidth="1"/>
    <col min="6147" max="6147" width="5" customWidth="1"/>
    <col min="6148" max="6148" width="5.44140625" customWidth="1"/>
    <col min="6149" max="6149" width="7" customWidth="1"/>
    <col min="6150" max="6150" width="14.109375" customWidth="1"/>
    <col min="6151" max="6151" width="10" customWidth="1"/>
    <col min="6152" max="6152" width="31" customWidth="1"/>
    <col min="6153" max="6153" width="32.109375" customWidth="1"/>
    <col min="6154" max="6154" width="33.109375" customWidth="1"/>
    <col min="6401" max="6401" width="3.44140625" customWidth="1"/>
    <col min="6402" max="6402" width="7" customWidth="1"/>
    <col min="6403" max="6403" width="5" customWidth="1"/>
    <col min="6404" max="6404" width="5.44140625" customWidth="1"/>
    <col min="6405" max="6405" width="7" customWidth="1"/>
    <col min="6406" max="6406" width="14.109375" customWidth="1"/>
    <col min="6407" max="6407" width="10" customWidth="1"/>
    <col min="6408" max="6408" width="31" customWidth="1"/>
    <col min="6409" max="6409" width="32.109375" customWidth="1"/>
    <col min="6410" max="6410" width="33.109375" customWidth="1"/>
    <col min="6657" max="6657" width="3.44140625" customWidth="1"/>
    <col min="6658" max="6658" width="7" customWidth="1"/>
    <col min="6659" max="6659" width="5" customWidth="1"/>
    <col min="6660" max="6660" width="5.44140625" customWidth="1"/>
    <col min="6661" max="6661" width="7" customWidth="1"/>
    <col min="6662" max="6662" width="14.109375" customWidth="1"/>
    <col min="6663" max="6663" width="10" customWidth="1"/>
    <col min="6664" max="6664" width="31" customWidth="1"/>
    <col min="6665" max="6665" width="32.109375" customWidth="1"/>
    <col min="6666" max="6666" width="33.109375" customWidth="1"/>
    <col min="6913" max="6913" width="3.44140625" customWidth="1"/>
    <col min="6914" max="6914" width="7" customWidth="1"/>
    <col min="6915" max="6915" width="5" customWidth="1"/>
    <col min="6916" max="6916" width="5.44140625" customWidth="1"/>
    <col min="6917" max="6917" width="7" customWidth="1"/>
    <col min="6918" max="6918" width="14.109375" customWidth="1"/>
    <col min="6919" max="6919" width="10" customWidth="1"/>
    <col min="6920" max="6920" width="31" customWidth="1"/>
    <col min="6921" max="6921" width="32.109375" customWidth="1"/>
    <col min="6922" max="6922" width="33.109375" customWidth="1"/>
    <col min="7169" max="7169" width="3.44140625" customWidth="1"/>
    <col min="7170" max="7170" width="7" customWidth="1"/>
    <col min="7171" max="7171" width="5" customWidth="1"/>
    <col min="7172" max="7172" width="5.44140625" customWidth="1"/>
    <col min="7173" max="7173" width="7" customWidth="1"/>
    <col min="7174" max="7174" width="14.109375" customWidth="1"/>
    <col min="7175" max="7175" width="10" customWidth="1"/>
    <col min="7176" max="7176" width="31" customWidth="1"/>
    <col min="7177" max="7177" width="32.109375" customWidth="1"/>
    <col min="7178" max="7178" width="33.109375" customWidth="1"/>
    <col min="7425" max="7425" width="3.44140625" customWidth="1"/>
    <col min="7426" max="7426" width="7" customWidth="1"/>
    <col min="7427" max="7427" width="5" customWidth="1"/>
    <col min="7428" max="7428" width="5.44140625" customWidth="1"/>
    <col min="7429" max="7429" width="7" customWidth="1"/>
    <col min="7430" max="7430" width="14.109375" customWidth="1"/>
    <col min="7431" max="7431" width="10" customWidth="1"/>
    <col min="7432" max="7432" width="31" customWidth="1"/>
    <col min="7433" max="7433" width="32.109375" customWidth="1"/>
    <col min="7434" max="7434" width="33.109375" customWidth="1"/>
    <col min="7681" max="7681" width="3.44140625" customWidth="1"/>
    <col min="7682" max="7682" width="7" customWidth="1"/>
    <col min="7683" max="7683" width="5" customWidth="1"/>
    <col min="7684" max="7684" width="5.44140625" customWidth="1"/>
    <col min="7685" max="7685" width="7" customWidth="1"/>
    <col min="7686" max="7686" width="14.109375" customWidth="1"/>
    <col min="7687" max="7687" width="10" customWidth="1"/>
    <col min="7688" max="7688" width="31" customWidth="1"/>
    <col min="7689" max="7689" width="32.109375" customWidth="1"/>
    <col min="7690" max="7690" width="33.109375" customWidth="1"/>
    <col min="7937" max="7937" width="3.44140625" customWidth="1"/>
    <col min="7938" max="7938" width="7" customWidth="1"/>
    <col min="7939" max="7939" width="5" customWidth="1"/>
    <col min="7940" max="7940" width="5.44140625" customWidth="1"/>
    <col min="7941" max="7941" width="7" customWidth="1"/>
    <col min="7942" max="7942" width="14.109375" customWidth="1"/>
    <col min="7943" max="7943" width="10" customWidth="1"/>
    <col min="7944" max="7944" width="31" customWidth="1"/>
    <col min="7945" max="7945" width="32.109375" customWidth="1"/>
    <col min="7946" max="7946" width="33.109375" customWidth="1"/>
    <col min="8193" max="8193" width="3.44140625" customWidth="1"/>
    <col min="8194" max="8194" width="7" customWidth="1"/>
    <col min="8195" max="8195" width="5" customWidth="1"/>
    <col min="8196" max="8196" width="5.44140625" customWidth="1"/>
    <col min="8197" max="8197" width="7" customWidth="1"/>
    <col min="8198" max="8198" width="14.109375" customWidth="1"/>
    <col min="8199" max="8199" width="10" customWidth="1"/>
    <col min="8200" max="8200" width="31" customWidth="1"/>
    <col min="8201" max="8201" width="32.109375" customWidth="1"/>
    <col min="8202" max="8202" width="33.109375" customWidth="1"/>
    <col min="8449" max="8449" width="3.44140625" customWidth="1"/>
    <col min="8450" max="8450" width="7" customWidth="1"/>
    <col min="8451" max="8451" width="5" customWidth="1"/>
    <col min="8452" max="8452" width="5.44140625" customWidth="1"/>
    <col min="8453" max="8453" width="7" customWidth="1"/>
    <col min="8454" max="8454" width="14.109375" customWidth="1"/>
    <col min="8455" max="8455" width="10" customWidth="1"/>
    <col min="8456" max="8456" width="31" customWidth="1"/>
    <col min="8457" max="8457" width="32.109375" customWidth="1"/>
    <col min="8458" max="8458" width="33.109375" customWidth="1"/>
    <col min="8705" max="8705" width="3.44140625" customWidth="1"/>
    <col min="8706" max="8706" width="7" customWidth="1"/>
    <col min="8707" max="8707" width="5" customWidth="1"/>
    <col min="8708" max="8708" width="5.44140625" customWidth="1"/>
    <col min="8709" max="8709" width="7" customWidth="1"/>
    <col min="8710" max="8710" width="14.109375" customWidth="1"/>
    <col min="8711" max="8711" width="10" customWidth="1"/>
    <col min="8712" max="8712" width="31" customWidth="1"/>
    <col min="8713" max="8713" width="32.109375" customWidth="1"/>
    <col min="8714" max="8714" width="33.109375" customWidth="1"/>
    <col min="8961" max="8961" width="3.44140625" customWidth="1"/>
    <col min="8962" max="8962" width="7" customWidth="1"/>
    <col min="8963" max="8963" width="5" customWidth="1"/>
    <col min="8964" max="8964" width="5.44140625" customWidth="1"/>
    <col min="8965" max="8965" width="7" customWidth="1"/>
    <col min="8966" max="8966" width="14.109375" customWidth="1"/>
    <col min="8967" max="8967" width="10" customWidth="1"/>
    <col min="8968" max="8968" width="31" customWidth="1"/>
    <col min="8969" max="8969" width="32.109375" customWidth="1"/>
    <col min="8970" max="8970" width="33.109375" customWidth="1"/>
    <col min="9217" max="9217" width="3.44140625" customWidth="1"/>
    <col min="9218" max="9218" width="7" customWidth="1"/>
    <col min="9219" max="9219" width="5" customWidth="1"/>
    <col min="9220" max="9220" width="5.44140625" customWidth="1"/>
    <col min="9221" max="9221" width="7" customWidth="1"/>
    <col min="9222" max="9222" width="14.109375" customWidth="1"/>
    <col min="9223" max="9223" width="10" customWidth="1"/>
    <col min="9224" max="9224" width="31" customWidth="1"/>
    <col min="9225" max="9225" width="32.109375" customWidth="1"/>
    <col min="9226" max="9226" width="33.109375" customWidth="1"/>
    <col min="9473" max="9473" width="3.44140625" customWidth="1"/>
    <col min="9474" max="9474" width="7" customWidth="1"/>
    <col min="9475" max="9475" width="5" customWidth="1"/>
    <col min="9476" max="9476" width="5.44140625" customWidth="1"/>
    <col min="9477" max="9477" width="7" customWidth="1"/>
    <col min="9478" max="9478" width="14.109375" customWidth="1"/>
    <col min="9479" max="9479" width="10" customWidth="1"/>
    <col min="9480" max="9480" width="31" customWidth="1"/>
    <col min="9481" max="9481" width="32.109375" customWidth="1"/>
    <col min="9482" max="9482" width="33.109375" customWidth="1"/>
    <col min="9729" max="9729" width="3.44140625" customWidth="1"/>
    <col min="9730" max="9730" width="7" customWidth="1"/>
    <col min="9731" max="9731" width="5" customWidth="1"/>
    <col min="9732" max="9732" width="5.44140625" customWidth="1"/>
    <col min="9733" max="9733" width="7" customWidth="1"/>
    <col min="9734" max="9734" width="14.109375" customWidth="1"/>
    <col min="9735" max="9735" width="10" customWidth="1"/>
    <col min="9736" max="9736" width="31" customWidth="1"/>
    <col min="9737" max="9737" width="32.109375" customWidth="1"/>
    <col min="9738" max="9738" width="33.109375" customWidth="1"/>
    <col min="9985" max="9985" width="3.44140625" customWidth="1"/>
    <col min="9986" max="9986" width="7" customWidth="1"/>
    <col min="9987" max="9987" width="5" customWidth="1"/>
    <col min="9988" max="9988" width="5.44140625" customWidth="1"/>
    <col min="9989" max="9989" width="7" customWidth="1"/>
    <col min="9990" max="9990" width="14.109375" customWidth="1"/>
    <col min="9991" max="9991" width="10" customWidth="1"/>
    <col min="9992" max="9992" width="31" customWidth="1"/>
    <col min="9993" max="9993" width="32.109375" customWidth="1"/>
    <col min="9994" max="9994" width="33.109375" customWidth="1"/>
    <col min="10241" max="10241" width="3.44140625" customWidth="1"/>
    <col min="10242" max="10242" width="7" customWidth="1"/>
    <col min="10243" max="10243" width="5" customWidth="1"/>
    <col min="10244" max="10244" width="5.44140625" customWidth="1"/>
    <col min="10245" max="10245" width="7" customWidth="1"/>
    <col min="10246" max="10246" width="14.109375" customWidth="1"/>
    <col min="10247" max="10247" width="10" customWidth="1"/>
    <col min="10248" max="10248" width="31" customWidth="1"/>
    <col min="10249" max="10249" width="32.109375" customWidth="1"/>
    <col min="10250" max="10250" width="33.109375" customWidth="1"/>
    <col min="10497" max="10497" width="3.44140625" customWidth="1"/>
    <col min="10498" max="10498" width="7" customWidth="1"/>
    <col min="10499" max="10499" width="5" customWidth="1"/>
    <col min="10500" max="10500" width="5.44140625" customWidth="1"/>
    <col min="10501" max="10501" width="7" customWidth="1"/>
    <col min="10502" max="10502" width="14.109375" customWidth="1"/>
    <col min="10503" max="10503" width="10" customWidth="1"/>
    <col min="10504" max="10504" width="31" customWidth="1"/>
    <col min="10505" max="10505" width="32.109375" customWidth="1"/>
    <col min="10506" max="10506" width="33.109375" customWidth="1"/>
    <col min="10753" max="10753" width="3.44140625" customWidth="1"/>
    <col min="10754" max="10754" width="7" customWidth="1"/>
    <col min="10755" max="10755" width="5" customWidth="1"/>
    <col min="10756" max="10756" width="5.44140625" customWidth="1"/>
    <col min="10757" max="10757" width="7" customWidth="1"/>
    <col min="10758" max="10758" width="14.109375" customWidth="1"/>
    <col min="10759" max="10759" width="10" customWidth="1"/>
    <col min="10760" max="10760" width="31" customWidth="1"/>
    <col min="10761" max="10761" width="32.109375" customWidth="1"/>
    <col min="10762" max="10762" width="33.109375" customWidth="1"/>
    <col min="11009" max="11009" width="3.44140625" customWidth="1"/>
    <col min="11010" max="11010" width="7" customWidth="1"/>
    <col min="11011" max="11011" width="5" customWidth="1"/>
    <col min="11012" max="11012" width="5.44140625" customWidth="1"/>
    <col min="11013" max="11013" width="7" customWidth="1"/>
    <col min="11014" max="11014" width="14.109375" customWidth="1"/>
    <col min="11015" max="11015" width="10" customWidth="1"/>
    <col min="11016" max="11016" width="31" customWidth="1"/>
    <col min="11017" max="11017" width="32.109375" customWidth="1"/>
    <col min="11018" max="11018" width="33.109375" customWidth="1"/>
    <col min="11265" max="11265" width="3.44140625" customWidth="1"/>
    <col min="11266" max="11266" width="7" customWidth="1"/>
    <col min="11267" max="11267" width="5" customWidth="1"/>
    <col min="11268" max="11268" width="5.44140625" customWidth="1"/>
    <col min="11269" max="11269" width="7" customWidth="1"/>
    <col min="11270" max="11270" width="14.109375" customWidth="1"/>
    <col min="11271" max="11271" width="10" customWidth="1"/>
    <col min="11272" max="11272" width="31" customWidth="1"/>
    <col min="11273" max="11273" width="32.109375" customWidth="1"/>
    <col min="11274" max="11274" width="33.109375" customWidth="1"/>
    <col min="11521" max="11521" width="3.44140625" customWidth="1"/>
    <col min="11522" max="11522" width="7" customWidth="1"/>
    <col min="11523" max="11523" width="5" customWidth="1"/>
    <col min="11524" max="11524" width="5.44140625" customWidth="1"/>
    <col min="11525" max="11525" width="7" customWidth="1"/>
    <col min="11526" max="11526" width="14.109375" customWidth="1"/>
    <col min="11527" max="11527" width="10" customWidth="1"/>
    <col min="11528" max="11528" width="31" customWidth="1"/>
    <col min="11529" max="11529" width="32.109375" customWidth="1"/>
    <col min="11530" max="11530" width="33.109375" customWidth="1"/>
    <col min="11777" max="11777" width="3.44140625" customWidth="1"/>
    <col min="11778" max="11778" width="7" customWidth="1"/>
    <col min="11779" max="11779" width="5" customWidth="1"/>
    <col min="11780" max="11780" width="5.44140625" customWidth="1"/>
    <col min="11781" max="11781" width="7" customWidth="1"/>
    <col min="11782" max="11782" width="14.109375" customWidth="1"/>
    <col min="11783" max="11783" width="10" customWidth="1"/>
    <col min="11784" max="11784" width="31" customWidth="1"/>
    <col min="11785" max="11785" width="32.109375" customWidth="1"/>
    <col min="11786" max="11786" width="33.109375" customWidth="1"/>
    <col min="12033" max="12033" width="3.44140625" customWidth="1"/>
    <col min="12034" max="12034" width="7" customWidth="1"/>
    <col min="12035" max="12035" width="5" customWidth="1"/>
    <col min="12036" max="12036" width="5.44140625" customWidth="1"/>
    <col min="12037" max="12037" width="7" customWidth="1"/>
    <col min="12038" max="12038" width="14.109375" customWidth="1"/>
    <col min="12039" max="12039" width="10" customWidth="1"/>
    <col min="12040" max="12040" width="31" customWidth="1"/>
    <col min="12041" max="12041" width="32.109375" customWidth="1"/>
    <col min="12042" max="12042" width="33.109375" customWidth="1"/>
    <col min="12289" max="12289" width="3.44140625" customWidth="1"/>
    <col min="12290" max="12290" width="7" customWidth="1"/>
    <col min="12291" max="12291" width="5" customWidth="1"/>
    <col min="12292" max="12292" width="5.44140625" customWidth="1"/>
    <col min="12293" max="12293" width="7" customWidth="1"/>
    <col min="12294" max="12294" width="14.109375" customWidth="1"/>
    <col min="12295" max="12295" width="10" customWidth="1"/>
    <col min="12296" max="12296" width="31" customWidth="1"/>
    <col min="12297" max="12297" width="32.109375" customWidth="1"/>
    <col min="12298" max="12298" width="33.109375" customWidth="1"/>
    <col min="12545" max="12545" width="3.44140625" customWidth="1"/>
    <col min="12546" max="12546" width="7" customWidth="1"/>
    <col min="12547" max="12547" width="5" customWidth="1"/>
    <col min="12548" max="12548" width="5.44140625" customWidth="1"/>
    <col min="12549" max="12549" width="7" customWidth="1"/>
    <col min="12550" max="12550" width="14.109375" customWidth="1"/>
    <col min="12551" max="12551" width="10" customWidth="1"/>
    <col min="12552" max="12552" width="31" customWidth="1"/>
    <col min="12553" max="12553" width="32.109375" customWidth="1"/>
    <col min="12554" max="12554" width="33.109375" customWidth="1"/>
    <col min="12801" max="12801" width="3.44140625" customWidth="1"/>
    <col min="12802" max="12802" width="7" customWidth="1"/>
    <col min="12803" max="12803" width="5" customWidth="1"/>
    <col min="12804" max="12804" width="5.44140625" customWidth="1"/>
    <col min="12805" max="12805" width="7" customWidth="1"/>
    <col min="12806" max="12806" width="14.109375" customWidth="1"/>
    <col min="12807" max="12807" width="10" customWidth="1"/>
    <col min="12808" max="12808" width="31" customWidth="1"/>
    <col min="12809" max="12809" width="32.109375" customWidth="1"/>
    <col min="12810" max="12810" width="33.109375" customWidth="1"/>
    <col min="13057" max="13057" width="3.44140625" customWidth="1"/>
    <col min="13058" max="13058" width="7" customWidth="1"/>
    <col min="13059" max="13059" width="5" customWidth="1"/>
    <col min="13060" max="13060" width="5.44140625" customWidth="1"/>
    <col min="13061" max="13061" width="7" customWidth="1"/>
    <col min="13062" max="13062" width="14.109375" customWidth="1"/>
    <col min="13063" max="13063" width="10" customWidth="1"/>
    <col min="13064" max="13064" width="31" customWidth="1"/>
    <col min="13065" max="13065" width="32.109375" customWidth="1"/>
    <col min="13066" max="13066" width="33.109375" customWidth="1"/>
    <col min="13313" max="13313" width="3.44140625" customWidth="1"/>
    <col min="13314" max="13314" width="7" customWidth="1"/>
    <col min="13315" max="13315" width="5" customWidth="1"/>
    <col min="13316" max="13316" width="5.44140625" customWidth="1"/>
    <col min="13317" max="13317" width="7" customWidth="1"/>
    <col min="13318" max="13318" width="14.109375" customWidth="1"/>
    <col min="13319" max="13319" width="10" customWidth="1"/>
    <col min="13320" max="13320" width="31" customWidth="1"/>
    <col min="13321" max="13321" width="32.109375" customWidth="1"/>
    <col min="13322" max="13322" width="33.109375" customWidth="1"/>
    <col min="13569" max="13569" width="3.44140625" customWidth="1"/>
    <col min="13570" max="13570" width="7" customWidth="1"/>
    <col min="13571" max="13571" width="5" customWidth="1"/>
    <col min="13572" max="13572" width="5.44140625" customWidth="1"/>
    <col min="13573" max="13573" width="7" customWidth="1"/>
    <col min="13574" max="13574" width="14.109375" customWidth="1"/>
    <col min="13575" max="13575" width="10" customWidth="1"/>
    <col min="13576" max="13576" width="31" customWidth="1"/>
    <col min="13577" max="13577" width="32.109375" customWidth="1"/>
    <col min="13578" max="13578" width="33.109375" customWidth="1"/>
    <col min="13825" max="13825" width="3.44140625" customWidth="1"/>
    <col min="13826" max="13826" width="7" customWidth="1"/>
    <col min="13827" max="13827" width="5" customWidth="1"/>
    <col min="13828" max="13828" width="5.44140625" customWidth="1"/>
    <col min="13829" max="13829" width="7" customWidth="1"/>
    <col min="13830" max="13830" width="14.109375" customWidth="1"/>
    <col min="13831" max="13831" width="10" customWidth="1"/>
    <col min="13832" max="13832" width="31" customWidth="1"/>
    <col min="13833" max="13833" width="32.109375" customWidth="1"/>
    <col min="13834" max="13834" width="33.109375" customWidth="1"/>
    <col min="14081" max="14081" width="3.44140625" customWidth="1"/>
    <col min="14082" max="14082" width="7" customWidth="1"/>
    <col min="14083" max="14083" width="5" customWidth="1"/>
    <col min="14084" max="14084" width="5.44140625" customWidth="1"/>
    <col min="14085" max="14085" width="7" customWidth="1"/>
    <col min="14086" max="14086" width="14.109375" customWidth="1"/>
    <col min="14087" max="14087" width="10" customWidth="1"/>
    <col min="14088" max="14088" width="31" customWidth="1"/>
    <col min="14089" max="14089" width="32.109375" customWidth="1"/>
    <col min="14090" max="14090" width="33.109375" customWidth="1"/>
    <col min="14337" max="14337" width="3.44140625" customWidth="1"/>
    <col min="14338" max="14338" width="7" customWidth="1"/>
    <col min="14339" max="14339" width="5" customWidth="1"/>
    <col min="14340" max="14340" width="5.44140625" customWidth="1"/>
    <col min="14341" max="14341" width="7" customWidth="1"/>
    <col min="14342" max="14342" width="14.109375" customWidth="1"/>
    <col min="14343" max="14343" width="10" customWidth="1"/>
    <col min="14344" max="14344" width="31" customWidth="1"/>
    <col min="14345" max="14345" width="32.109375" customWidth="1"/>
    <col min="14346" max="14346" width="33.109375" customWidth="1"/>
    <col min="14593" max="14593" width="3.44140625" customWidth="1"/>
    <col min="14594" max="14594" width="7" customWidth="1"/>
    <col min="14595" max="14595" width="5" customWidth="1"/>
    <col min="14596" max="14596" width="5.44140625" customWidth="1"/>
    <col min="14597" max="14597" width="7" customWidth="1"/>
    <col min="14598" max="14598" width="14.109375" customWidth="1"/>
    <col min="14599" max="14599" width="10" customWidth="1"/>
    <col min="14600" max="14600" width="31" customWidth="1"/>
    <col min="14601" max="14601" width="32.109375" customWidth="1"/>
    <col min="14602" max="14602" width="33.109375" customWidth="1"/>
    <col min="14849" max="14849" width="3.44140625" customWidth="1"/>
    <col min="14850" max="14850" width="7" customWidth="1"/>
    <col min="14851" max="14851" width="5" customWidth="1"/>
    <col min="14852" max="14852" width="5.44140625" customWidth="1"/>
    <col min="14853" max="14853" width="7" customWidth="1"/>
    <col min="14854" max="14854" width="14.109375" customWidth="1"/>
    <col min="14855" max="14855" width="10" customWidth="1"/>
    <col min="14856" max="14856" width="31" customWidth="1"/>
    <col min="14857" max="14857" width="32.109375" customWidth="1"/>
    <col min="14858" max="14858" width="33.109375" customWidth="1"/>
    <col min="15105" max="15105" width="3.44140625" customWidth="1"/>
    <col min="15106" max="15106" width="7" customWidth="1"/>
    <col min="15107" max="15107" width="5" customWidth="1"/>
    <col min="15108" max="15108" width="5.44140625" customWidth="1"/>
    <col min="15109" max="15109" width="7" customWidth="1"/>
    <col min="15110" max="15110" width="14.109375" customWidth="1"/>
    <col min="15111" max="15111" width="10" customWidth="1"/>
    <col min="15112" max="15112" width="31" customWidth="1"/>
    <col min="15113" max="15113" width="32.109375" customWidth="1"/>
    <col min="15114" max="15114" width="33.109375" customWidth="1"/>
    <col min="15361" max="15361" width="3.44140625" customWidth="1"/>
    <col min="15362" max="15362" width="7" customWidth="1"/>
    <col min="15363" max="15363" width="5" customWidth="1"/>
    <col min="15364" max="15364" width="5.44140625" customWidth="1"/>
    <col min="15365" max="15365" width="7" customWidth="1"/>
    <col min="15366" max="15366" width="14.109375" customWidth="1"/>
    <col min="15367" max="15367" width="10" customWidth="1"/>
    <col min="15368" max="15368" width="31" customWidth="1"/>
    <col min="15369" max="15369" width="32.109375" customWidth="1"/>
    <col min="15370" max="15370" width="33.109375" customWidth="1"/>
    <col min="15617" max="15617" width="3.44140625" customWidth="1"/>
    <col min="15618" max="15618" width="7" customWidth="1"/>
    <col min="15619" max="15619" width="5" customWidth="1"/>
    <col min="15620" max="15620" width="5.44140625" customWidth="1"/>
    <col min="15621" max="15621" width="7" customWidth="1"/>
    <col min="15622" max="15622" width="14.109375" customWidth="1"/>
    <col min="15623" max="15623" width="10" customWidth="1"/>
    <col min="15624" max="15624" width="31" customWidth="1"/>
    <col min="15625" max="15625" width="32.109375" customWidth="1"/>
    <col min="15626" max="15626" width="33.109375" customWidth="1"/>
    <col min="15873" max="15873" width="3.44140625" customWidth="1"/>
    <col min="15874" max="15874" width="7" customWidth="1"/>
    <col min="15875" max="15875" width="5" customWidth="1"/>
    <col min="15876" max="15876" width="5.44140625" customWidth="1"/>
    <col min="15877" max="15877" width="7" customWidth="1"/>
    <col min="15878" max="15878" width="14.109375" customWidth="1"/>
    <col min="15879" max="15879" width="10" customWidth="1"/>
    <col min="15880" max="15880" width="31" customWidth="1"/>
    <col min="15881" max="15881" width="32.109375" customWidth="1"/>
    <col min="15882" max="15882" width="33.109375" customWidth="1"/>
    <col min="16129" max="16129" width="3.44140625" customWidth="1"/>
    <col min="16130" max="16130" width="7" customWidth="1"/>
    <col min="16131" max="16131" width="5" customWidth="1"/>
    <col min="16132" max="16132" width="5.44140625" customWidth="1"/>
    <col min="16133" max="16133" width="7" customWidth="1"/>
    <col min="16134" max="16134" width="14.109375" customWidth="1"/>
    <col min="16135" max="16135" width="10" customWidth="1"/>
    <col min="16136" max="16136" width="31" customWidth="1"/>
    <col min="16137" max="16137" width="32.109375" customWidth="1"/>
    <col min="16138" max="16138" width="33.109375" customWidth="1"/>
  </cols>
  <sheetData>
    <row r="1" spans="1:13" s="95" customFormat="1" ht="40.799999999999997" x14ac:dyDescent="0.3">
      <c r="A1" s="166" t="s">
        <v>68</v>
      </c>
      <c r="B1" s="166" t="s">
        <v>69</v>
      </c>
      <c r="C1" s="166" t="s">
        <v>70</v>
      </c>
      <c r="D1" s="166" t="s">
        <v>71</v>
      </c>
      <c r="E1" s="166" t="s">
        <v>72</v>
      </c>
      <c r="F1" s="95" t="s">
        <v>11</v>
      </c>
      <c r="G1" s="95" t="s">
        <v>12</v>
      </c>
      <c r="H1" s="95" t="s">
        <v>1034</v>
      </c>
      <c r="I1" s="95" t="s">
        <v>1035</v>
      </c>
      <c r="J1" s="95" t="s">
        <v>1036</v>
      </c>
      <c r="L1" s="167" t="s">
        <v>1037</v>
      </c>
    </row>
    <row r="2" spans="1:13" x14ac:dyDescent="0.3">
      <c r="A2" t="s">
        <v>9</v>
      </c>
      <c r="B2"/>
      <c r="C2"/>
      <c r="D2"/>
      <c r="E2"/>
      <c r="F2" t="s">
        <v>24</v>
      </c>
      <c r="G2" t="s">
        <v>27</v>
      </c>
      <c r="H2" t="s">
        <v>86</v>
      </c>
      <c r="I2" t="s">
        <v>92</v>
      </c>
      <c r="J2">
        <v>2.5099999999999998</v>
      </c>
      <c r="L2" s="168" t="str">
        <f>IFERROR(VLOOKUP($H2,PARAMETERS!$M$3:$M$524,1,0),"---")</f>
        <v>A</v>
      </c>
      <c r="M2" s="168"/>
    </row>
    <row r="3" spans="1:13" x14ac:dyDescent="0.3">
      <c r="A3" t="s">
        <v>9</v>
      </c>
      <c r="B3"/>
      <c r="C3"/>
      <c r="D3"/>
      <c r="E3"/>
      <c r="F3" t="s">
        <v>24</v>
      </c>
      <c r="G3" t="s">
        <v>27</v>
      </c>
      <c r="H3" t="s">
        <v>48</v>
      </c>
      <c r="I3" t="s">
        <v>93</v>
      </c>
      <c r="J3">
        <v>2.5099999999999998</v>
      </c>
      <c r="L3" s="168" t="str">
        <f>IFERROR(VLOOKUP($H3,PARAMETERS!$M$3:$M$524,1,0),"---")</f>
        <v>B</v>
      </c>
    </row>
    <row r="4" spans="1:13" x14ac:dyDescent="0.3">
      <c r="A4"/>
      <c r="B4"/>
      <c r="C4"/>
      <c r="D4"/>
      <c r="E4"/>
      <c r="L4" s="168" t="str">
        <f>IFERROR(VLOOKUP($H4,PARAMETERS!$M$3:$M$524,1,0),"---")</f>
        <v>---</v>
      </c>
    </row>
    <row r="5" spans="1:13" x14ac:dyDescent="0.3">
      <c r="A5"/>
      <c r="B5"/>
      <c r="C5"/>
      <c r="D5"/>
      <c r="E5"/>
      <c r="L5" s="168" t="str">
        <f>IFERROR(VLOOKUP($H5,PARAMETERS!$M$3:$M$524,1,0),"---")</f>
        <v>---</v>
      </c>
    </row>
    <row r="6" spans="1:13" x14ac:dyDescent="0.3">
      <c r="A6"/>
      <c r="B6"/>
      <c r="C6"/>
      <c r="D6"/>
      <c r="E6"/>
      <c r="L6" s="168" t="str">
        <f>IFERROR(VLOOKUP($H6,PARAMETERS!$M$3:$M$524,1,0),"---")</f>
        <v>---</v>
      </c>
    </row>
    <row r="7" spans="1:13" x14ac:dyDescent="0.3">
      <c r="A7"/>
      <c r="B7"/>
      <c r="C7"/>
      <c r="D7"/>
      <c r="E7"/>
      <c r="L7" s="168" t="str">
        <f>IFERROR(VLOOKUP($H7,PARAMETERS!$M$3:$M$524,1,0),"---")</f>
        <v>---</v>
      </c>
    </row>
    <row r="8" spans="1:13" x14ac:dyDescent="0.3">
      <c r="A8"/>
      <c r="B8"/>
      <c r="C8"/>
      <c r="D8"/>
      <c r="E8"/>
      <c r="L8" s="168" t="str">
        <f>IFERROR(VLOOKUP($H8,PARAMETERS!$M$3:$M$524,1,0),"---")</f>
        <v>---</v>
      </c>
    </row>
    <row r="9" spans="1:13" x14ac:dyDescent="0.3">
      <c r="A9"/>
      <c r="B9"/>
      <c r="C9"/>
      <c r="D9"/>
      <c r="E9"/>
      <c r="L9" s="168" t="str">
        <f>IFERROR(VLOOKUP($H9,PARAMETERS!$M$3:$M$524,1,0),"---")</f>
        <v>---</v>
      </c>
    </row>
    <row r="10" spans="1:13" x14ac:dyDescent="0.3">
      <c r="A10"/>
      <c r="B10"/>
      <c r="C10"/>
      <c r="D10"/>
      <c r="E10"/>
      <c r="L10" s="168" t="str">
        <f>IFERROR(VLOOKUP($H10,PARAMETERS!$M$3:$M$524,1,0),"---")</f>
        <v>---</v>
      </c>
    </row>
    <row r="11" spans="1:13" x14ac:dyDescent="0.3">
      <c r="A11"/>
      <c r="B11"/>
      <c r="C11"/>
      <c r="D11"/>
      <c r="E11"/>
      <c r="L11" s="168" t="str">
        <f>IFERROR(VLOOKUP($H11,PARAMETERS!$M$3:$M$524,1,0),"---")</f>
        <v>---</v>
      </c>
    </row>
    <row r="12" spans="1:13" x14ac:dyDescent="0.3">
      <c r="A12"/>
      <c r="B12"/>
      <c r="C12"/>
      <c r="D12"/>
      <c r="E12"/>
      <c r="L12" s="168" t="str">
        <f>IFERROR(VLOOKUP($H12,PARAMETERS!$M$3:$M$524,1,0),"---")</f>
        <v>---</v>
      </c>
    </row>
    <row r="13" spans="1:13" x14ac:dyDescent="0.3">
      <c r="A13"/>
      <c r="B13"/>
      <c r="C13"/>
      <c r="D13"/>
      <c r="E13"/>
      <c r="L13" s="168" t="str">
        <f>IFERROR(VLOOKUP($H13,PARAMETERS!$M$3:$M$524,1,0),"---")</f>
        <v>---</v>
      </c>
    </row>
    <row r="14" spans="1:13" x14ac:dyDescent="0.3">
      <c r="A14"/>
      <c r="B14"/>
      <c r="C14"/>
      <c r="D14"/>
      <c r="E14"/>
      <c r="L14" s="168" t="str">
        <f>IFERROR(VLOOKUP($H14,PARAMETERS!$M$3:$M$524,1,0),"---")</f>
        <v>---</v>
      </c>
    </row>
    <row r="15" spans="1:13" x14ac:dyDescent="0.3">
      <c r="A15"/>
      <c r="B15"/>
      <c r="C15"/>
      <c r="D15"/>
      <c r="E15"/>
      <c r="L15" s="168" t="str">
        <f>IFERROR(VLOOKUP($H15,PARAMETERS!$M$3:$M$524,1,0),"---")</f>
        <v>---</v>
      </c>
    </row>
    <row r="16" spans="1:13" x14ac:dyDescent="0.3">
      <c r="A16"/>
      <c r="B16"/>
      <c r="C16"/>
      <c r="D16"/>
      <c r="E16"/>
      <c r="L16" s="168" t="str">
        <f>IFERROR(VLOOKUP($H16,PARAMETERS!$M$3:$M$524,1,0),"---")</f>
        <v>---</v>
      </c>
    </row>
    <row r="17" spans="1:12" x14ac:dyDescent="0.3">
      <c r="A17"/>
      <c r="B17"/>
      <c r="C17"/>
      <c r="D17"/>
      <c r="E17"/>
      <c r="L17" s="168" t="str">
        <f>IFERROR(VLOOKUP($H17,PARAMETERS!$M$3:$M$524,1,0),"---")</f>
        <v>---</v>
      </c>
    </row>
    <row r="18" spans="1:12" x14ac:dyDescent="0.3">
      <c r="A18"/>
      <c r="B18"/>
      <c r="C18"/>
      <c r="D18"/>
      <c r="E18"/>
      <c r="L18" s="168" t="str">
        <f>IFERROR(VLOOKUP($H18,PARAMETERS!$M$3:$M$524,1,0),"---")</f>
        <v>---</v>
      </c>
    </row>
    <row r="19" spans="1:12" x14ac:dyDescent="0.3">
      <c r="A19"/>
      <c r="B19"/>
      <c r="C19"/>
      <c r="D19"/>
      <c r="E19"/>
      <c r="L19" s="168" t="str">
        <f>IFERROR(VLOOKUP($H19,PARAMETERS!$M$3:$M$524,1,0),"---")</f>
        <v>---</v>
      </c>
    </row>
    <row r="20" spans="1:12" x14ac:dyDescent="0.3">
      <c r="A20"/>
      <c r="B20"/>
      <c r="C20"/>
      <c r="D20"/>
      <c r="E20"/>
      <c r="L20" s="168" t="str">
        <f>IFERROR(VLOOKUP($H20,PARAMETERS!$M$3:$M$524,1,0),"---")</f>
        <v>---</v>
      </c>
    </row>
    <row r="21" spans="1:12" x14ac:dyDescent="0.3">
      <c r="A21"/>
      <c r="B21"/>
      <c r="C21"/>
      <c r="D21"/>
      <c r="E21"/>
      <c r="L21" s="168" t="str">
        <f>IFERROR(VLOOKUP($H21,PARAMETERS!$M$3:$M$524,1,0),"---")</f>
        <v>---</v>
      </c>
    </row>
    <row r="22" spans="1:12" x14ac:dyDescent="0.3">
      <c r="A22"/>
      <c r="B22"/>
      <c r="C22"/>
      <c r="D22"/>
      <c r="E22"/>
      <c r="L22" s="168" t="str">
        <f>IFERROR(VLOOKUP($H22,PARAMETERS!$M$3:$M$524,1,0),"---")</f>
        <v>---</v>
      </c>
    </row>
    <row r="23" spans="1:12" x14ac:dyDescent="0.3">
      <c r="A23"/>
      <c r="B23"/>
      <c r="C23"/>
      <c r="D23"/>
      <c r="E23"/>
      <c r="L23" s="168" t="str">
        <f>IFERROR(VLOOKUP($H23,PARAMETERS!$M$3:$M$524,1,0),"---")</f>
        <v>---</v>
      </c>
    </row>
    <row r="24" spans="1:12" x14ac:dyDescent="0.3">
      <c r="A24"/>
      <c r="B24"/>
      <c r="C24"/>
      <c r="D24"/>
      <c r="E24"/>
      <c r="L24" s="168" t="str">
        <f>IFERROR(VLOOKUP($H24,PARAMETERS!$M$3:$M$524,1,0),"---")</f>
        <v>---</v>
      </c>
    </row>
    <row r="25" spans="1:12" x14ac:dyDescent="0.3">
      <c r="A25"/>
      <c r="B25"/>
      <c r="C25"/>
      <c r="D25"/>
      <c r="E25"/>
      <c r="L25" s="168" t="str">
        <f>IFERROR(VLOOKUP($H25,PARAMETERS!$M$3:$M$524,1,0),"---")</f>
        <v>---</v>
      </c>
    </row>
    <row r="26" spans="1:12" x14ac:dyDescent="0.3">
      <c r="A26"/>
      <c r="B26"/>
      <c r="C26"/>
      <c r="D26"/>
      <c r="E26"/>
      <c r="L26" s="168" t="str">
        <f>IFERROR(VLOOKUP($H26,PARAMETERS!$M$3:$M$524,1,0),"---")</f>
        <v>---</v>
      </c>
    </row>
    <row r="27" spans="1:12" x14ac:dyDescent="0.3">
      <c r="A27"/>
      <c r="B27"/>
      <c r="C27"/>
      <c r="D27"/>
      <c r="E27"/>
      <c r="L27" s="168" t="str">
        <f>IFERROR(VLOOKUP($H27,PARAMETERS!$M$3:$M$524,1,0),"---")</f>
        <v>---</v>
      </c>
    </row>
    <row r="28" spans="1:12" x14ac:dyDescent="0.3">
      <c r="A28"/>
      <c r="B28"/>
      <c r="C28"/>
      <c r="D28"/>
      <c r="E28"/>
      <c r="L28" s="168" t="str">
        <f>IFERROR(VLOOKUP($H28,PARAMETERS!$M$3:$M$524,1,0),"---")</f>
        <v>---</v>
      </c>
    </row>
    <row r="29" spans="1:12" x14ac:dyDescent="0.3">
      <c r="A29"/>
      <c r="B29"/>
      <c r="C29"/>
      <c r="D29"/>
      <c r="E29"/>
      <c r="L29" s="168" t="str">
        <f>IFERROR(VLOOKUP($H29,PARAMETERS!$M$3:$M$524,1,0),"---")</f>
        <v>---</v>
      </c>
    </row>
    <row r="30" spans="1:12" x14ac:dyDescent="0.3">
      <c r="A30"/>
      <c r="B30"/>
      <c r="C30"/>
      <c r="D30"/>
      <c r="E30"/>
      <c r="L30" s="168" t="str">
        <f>IFERROR(VLOOKUP($H30,PARAMETERS!$M$3:$M$524,1,0),"---")</f>
        <v>---</v>
      </c>
    </row>
    <row r="31" spans="1:12" x14ac:dyDescent="0.3">
      <c r="A31"/>
      <c r="B31"/>
      <c r="C31"/>
      <c r="D31"/>
      <c r="E31"/>
      <c r="L31" s="168" t="str">
        <f>IFERROR(VLOOKUP($H31,PARAMETERS!$M$3:$M$524,1,0),"---")</f>
        <v>---</v>
      </c>
    </row>
    <row r="32" spans="1:12" x14ac:dyDescent="0.3">
      <c r="A32"/>
      <c r="B32"/>
      <c r="C32"/>
      <c r="D32"/>
      <c r="E32"/>
      <c r="L32" s="168" t="str">
        <f>IFERROR(VLOOKUP($H32,PARAMETERS!$M$3:$M$524,1,0),"---")</f>
        <v>---</v>
      </c>
    </row>
    <row r="33" spans="1:12" x14ac:dyDescent="0.3">
      <c r="A33"/>
      <c r="B33"/>
      <c r="C33"/>
      <c r="D33"/>
      <c r="E33"/>
      <c r="L33" s="168" t="str">
        <f>IFERROR(VLOOKUP($H33,PARAMETERS!$M$3:$M$524,1,0),"---")</f>
        <v>---</v>
      </c>
    </row>
    <row r="34" spans="1:12" x14ac:dyDescent="0.3">
      <c r="A34"/>
      <c r="B34"/>
      <c r="C34"/>
      <c r="D34"/>
      <c r="E34"/>
      <c r="L34" s="168" t="str">
        <f>IFERROR(VLOOKUP($H34,PARAMETERS!$M$3:$M$524,1,0),"---")</f>
        <v>---</v>
      </c>
    </row>
    <row r="35" spans="1:12" x14ac:dyDescent="0.3">
      <c r="A35"/>
      <c r="B35"/>
      <c r="C35"/>
      <c r="D35"/>
      <c r="E35"/>
      <c r="L35" s="168" t="str">
        <f>IFERROR(VLOOKUP($H35,PARAMETERS!$M$3:$M$524,1,0),"---")</f>
        <v>---</v>
      </c>
    </row>
    <row r="36" spans="1:12" x14ac:dyDescent="0.3">
      <c r="A36"/>
      <c r="B36"/>
      <c r="C36"/>
      <c r="D36"/>
      <c r="E36"/>
      <c r="L36" s="168" t="str">
        <f>IFERROR(VLOOKUP($H36,PARAMETERS!$M$3:$M$524,1,0),"---")</f>
        <v>---</v>
      </c>
    </row>
    <row r="37" spans="1:12" x14ac:dyDescent="0.3">
      <c r="A37"/>
      <c r="B37"/>
      <c r="C37"/>
      <c r="D37"/>
      <c r="E37"/>
      <c r="L37" s="168" t="str">
        <f>IFERROR(VLOOKUP($H37,PARAMETERS!$M$3:$M$524,1,0),"---")</f>
        <v>---</v>
      </c>
    </row>
    <row r="38" spans="1:12" x14ac:dyDescent="0.3">
      <c r="A38"/>
      <c r="B38"/>
      <c r="C38"/>
      <c r="D38"/>
      <c r="E38"/>
      <c r="L38" s="168" t="str">
        <f>IFERROR(VLOOKUP($H38,PARAMETERS!$M$3:$M$524,1,0),"---")</f>
        <v>---</v>
      </c>
    </row>
    <row r="39" spans="1:12" x14ac:dyDescent="0.3">
      <c r="A39"/>
      <c r="B39"/>
      <c r="C39"/>
      <c r="D39"/>
      <c r="E39"/>
      <c r="L39" s="168" t="str">
        <f>IFERROR(VLOOKUP($H39,PARAMETERS!$M$3:$M$524,1,0),"---")</f>
        <v>---</v>
      </c>
    </row>
    <row r="40" spans="1:12" x14ac:dyDescent="0.3">
      <c r="A40"/>
      <c r="B40"/>
      <c r="C40"/>
      <c r="D40"/>
      <c r="E40"/>
      <c r="L40" s="168" t="str">
        <f>IFERROR(VLOOKUP($H40,PARAMETERS!$M$3:$M$524,1,0),"---")</f>
        <v>---</v>
      </c>
    </row>
    <row r="41" spans="1:12" x14ac:dyDescent="0.3">
      <c r="A41"/>
      <c r="B41"/>
      <c r="C41"/>
      <c r="D41"/>
      <c r="E41"/>
      <c r="L41" s="168" t="str">
        <f>IFERROR(VLOOKUP($H41,PARAMETERS!$M$3:$M$524,1,0),"---")</f>
        <v>---</v>
      </c>
    </row>
    <row r="42" spans="1:12" x14ac:dyDescent="0.3">
      <c r="A42"/>
      <c r="B42"/>
      <c r="C42"/>
      <c r="D42"/>
      <c r="E42"/>
      <c r="L42" s="168" t="str">
        <f>IFERROR(VLOOKUP($H42,PARAMETERS!$M$3:$M$524,1,0),"---")</f>
        <v>---</v>
      </c>
    </row>
    <row r="43" spans="1:12" x14ac:dyDescent="0.3">
      <c r="A43"/>
      <c r="B43"/>
      <c r="C43"/>
      <c r="D43"/>
      <c r="E43"/>
      <c r="L43" s="168" t="str">
        <f>IFERROR(VLOOKUP($H43,PARAMETERS!$M$3:$M$524,1,0),"---")</f>
        <v>---</v>
      </c>
    </row>
    <row r="44" spans="1:12" x14ac:dyDescent="0.3">
      <c r="A44"/>
      <c r="B44"/>
      <c r="C44"/>
      <c r="D44"/>
      <c r="E44"/>
      <c r="L44" s="168" t="str">
        <f>IFERROR(VLOOKUP($H44,PARAMETERS!$M$3:$M$524,1,0),"---")</f>
        <v>---</v>
      </c>
    </row>
    <row r="45" spans="1:12" x14ac:dyDescent="0.3">
      <c r="A45"/>
      <c r="B45"/>
      <c r="C45"/>
      <c r="D45"/>
      <c r="E45"/>
      <c r="L45" s="168" t="str">
        <f>IFERROR(VLOOKUP($H45,PARAMETERS!$M$3:$M$524,1,0),"---")</f>
        <v>---</v>
      </c>
    </row>
    <row r="46" spans="1:12" x14ac:dyDescent="0.3">
      <c r="A46"/>
      <c r="B46"/>
      <c r="C46"/>
      <c r="D46"/>
      <c r="E46"/>
      <c r="L46" s="168" t="str">
        <f>IFERROR(VLOOKUP($H46,PARAMETERS!$M$3:$M$524,1,0),"---")</f>
        <v>---</v>
      </c>
    </row>
    <row r="47" spans="1:12" x14ac:dyDescent="0.3">
      <c r="A47"/>
      <c r="B47"/>
      <c r="C47"/>
      <c r="D47"/>
      <c r="E47"/>
      <c r="L47" s="168" t="str">
        <f>IFERROR(VLOOKUP($H47,PARAMETERS!$M$3:$M$524,1,0),"---")</f>
        <v>---</v>
      </c>
    </row>
    <row r="48" spans="1:12" x14ac:dyDescent="0.3">
      <c r="A48"/>
      <c r="B48"/>
      <c r="C48"/>
      <c r="D48"/>
      <c r="E48"/>
      <c r="L48" s="168" t="str">
        <f>IFERROR(VLOOKUP($H48,PARAMETERS!$M$3:$M$524,1,0),"---")</f>
        <v>---</v>
      </c>
    </row>
    <row r="49" spans="1:12" x14ac:dyDescent="0.3">
      <c r="A49"/>
      <c r="B49"/>
      <c r="C49"/>
      <c r="D49"/>
      <c r="E49"/>
      <c r="L49" s="168" t="str">
        <f>IFERROR(VLOOKUP($H49,PARAMETERS!$M$3:$M$524,1,0),"---")</f>
        <v>---</v>
      </c>
    </row>
    <row r="50" spans="1:12" x14ac:dyDescent="0.3">
      <c r="A50"/>
      <c r="B50"/>
      <c r="C50"/>
      <c r="D50"/>
      <c r="E50"/>
      <c r="L50" s="168" t="str">
        <f>IFERROR(VLOOKUP($H50,PARAMETERS!$M$3:$M$524,1,0),"---")</f>
        <v>---</v>
      </c>
    </row>
    <row r="51" spans="1:12" x14ac:dyDescent="0.3">
      <c r="A51"/>
      <c r="B51"/>
      <c r="C51"/>
      <c r="D51"/>
      <c r="E51"/>
      <c r="L51" s="168" t="str">
        <f>IFERROR(VLOOKUP($H51,PARAMETERS!$M$3:$M$524,1,0),"---")</f>
        <v>---</v>
      </c>
    </row>
    <row r="52" spans="1:12" x14ac:dyDescent="0.3">
      <c r="A52"/>
      <c r="B52"/>
      <c r="C52"/>
      <c r="D52"/>
      <c r="E52"/>
      <c r="L52" s="168" t="str">
        <f>IFERROR(VLOOKUP($H52,PARAMETERS!$M$3:$M$524,1,0),"---")</f>
        <v>---</v>
      </c>
    </row>
    <row r="53" spans="1:12" x14ac:dyDescent="0.3">
      <c r="A53"/>
      <c r="B53"/>
      <c r="C53"/>
      <c r="D53"/>
      <c r="E53"/>
      <c r="L53" s="168" t="str">
        <f>IFERROR(VLOOKUP($H53,PARAMETERS!$M$3:$M$524,1,0),"---")</f>
        <v>---</v>
      </c>
    </row>
    <row r="54" spans="1:12" x14ac:dyDescent="0.3">
      <c r="A54"/>
      <c r="B54"/>
      <c r="C54"/>
      <c r="D54"/>
      <c r="E54"/>
      <c r="L54" s="168" t="str">
        <f>IFERROR(VLOOKUP($H54,PARAMETERS!$M$3:$M$524,1,0),"---")</f>
        <v>---</v>
      </c>
    </row>
    <row r="55" spans="1:12" x14ac:dyDescent="0.3">
      <c r="A55"/>
      <c r="B55"/>
      <c r="C55"/>
      <c r="D55"/>
      <c r="E55"/>
      <c r="L55" s="168" t="str">
        <f>IFERROR(VLOOKUP($H55,PARAMETERS!$M$3:$M$524,1,0),"---")</f>
        <v>---</v>
      </c>
    </row>
    <row r="56" spans="1:12" x14ac:dyDescent="0.3">
      <c r="A56"/>
      <c r="B56"/>
      <c r="C56"/>
      <c r="D56"/>
      <c r="E56"/>
      <c r="L56" s="168" t="str">
        <f>IFERROR(VLOOKUP($H56,PARAMETERS!$M$3:$M$524,1,0),"---")</f>
        <v>---</v>
      </c>
    </row>
    <row r="57" spans="1:12" x14ac:dyDescent="0.3">
      <c r="A57"/>
      <c r="B57"/>
      <c r="C57"/>
      <c r="D57"/>
      <c r="E57"/>
      <c r="L57" s="168" t="str">
        <f>IFERROR(VLOOKUP($H57,PARAMETERS!$M$3:$M$524,1,0),"---")</f>
        <v>---</v>
      </c>
    </row>
    <row r="58" spans="1:12" x14ac:dyDescent="0.3">
      <c r="A58"/>
      <c r="B58"/>
      <c r="C58"/>
      <c r="D58"/>
      <c r="E58"/>
      <c r="L58" s="168" t="str">
        <f>IFERROR(VLOOKUP($H58,PARAMETERS!$M$3:$M$524,1,0),"---")</f>
        <v>---</v>
      </c>
    </row>
    <row r="59" spans="1:12" x14ac:dyDescent="0.3">
      <c r="A59"/>
      <c r="B59"/>
      <c r="C59"/>
      <c r="D59"/>
      <c r="E59"/>
      <c r="L59" s="168" t="str">
        <f>IFERROR(VLOOKUP($H59,PARAMETERS!$M$3:$M$524,1,0),"---")</f>
        <v>---</v>
      </c>
    </row>
    <row r="60" spans="1:12" x14ac:dyDescent="0.3">
      <c r="A60"/>
      <c r="B60"/>
      <c r="C60"/>
      <c r="D60"/>
      <c r="E60"/>
      <c r="L60" s="168" t="str">
        <f>IFERROR(VLOOKUP($H60,PARAMETERS!$M$3:$M$524,1,0),"---")</f>
        <v>---</v>
      </c>
    </row>
    <row r="61" spans="1:12" x14ac:dyDescent="0.3">
      <c r="A61"/>
      <c r="B61"/>
      <c r="C61"/>
      <c r="D61"/>
      <c r="E61"/>
      <c r="L61" s="168" t="str">
        <f>IFERROR(VLOOKUP($H61,PARAMETERS!$M$3:$M$524,1,0),"---")</f>
        <v>---</v>
      </c>
    </row>
    <row r="62" spans="1:12" x14ac:dyDescent="0.3">
      <c r="A62"/>
      <c r="B62"/>
      <c r="C62"/>
      <c r="D62"/>
      <c r="E62"/>
      <c r="L62" s="168" t="str">
        <f>IFERROR(VLOOKUP($H62,PARAMETERS!$M$3:$M$524,1,0),"---")</f>
        <v>---</v>
      </c>
    </row>
    <row r="63" spans="1:12" x14ac:dyDescent="0.3">
      <c r="A63"/>
      <c r="B63"/>
      <c r="C63"/>
      <c r="D63"/>
      <c r="E63"/>
      <c r="L63" s="168" t="str">
        <f>IFERROR(VLOOKUP($H63,PARAMETERS!$M$3:$M$524,1,0),"---")</f>
        <v>---</v>
      </c>
    </row>
    <row r="64" spans="1:12" x14ac:dyDescent="0.3">
      <c r="A64"/>
      <c r="B64"/>
      <c r="C64"/>
      <c r="D64"/>
      <c r="E64"/>
      <c r="L64" s="168" t="str">
        <f>IFERROR(VLOOKUP($H64,PARAMETERS!$M$3:$M$524,1,0),"---")</f>
        <v>---</v>
      </c>
    </row>
    <row r="65" spans="1:12" x14ac:dyDescent="0.3">
      <c r="A65"/>
      <c r="B65"/>
      <c r="C65"/>
      <c r="D65"/>
      <c r="E65"/>
      <c r="L65" s="168" t="str">
        <f>IFERROR(VLOOKUP($H65,PARAMETERS!$M$3:$M$524,1,0),"---")</f>
        <v>---</v>
      </c>
    </row>
    <row r="66" spans="1:12" x14ac:dyDescent="0.3">
      <c r="A66"/>
      <c r="B66"/>
      <c r="C66"/>
      <c r="D66"/>
      <c r="E66"/>
      <c r="L66" s="168" t="str">
        <f>IFERROR(VLOOKUP($H66,PARAMETERS!$M$3:$M$524,1,0),"---")</f>
        <v>---</v>
      </c>
    </row>
    <row r="67" spans="1:12" x14ac:dyDescent="0.3">
      <c r="A67"/>
      <c r="B67"/>
      <c r="C67"/>
      <c r="D67"/>
      <c r="E67"/>
      <c r="L67" s="168" t="str">
        <f>IFERROR(VLOOKUP($H67,PARAMETERS!$M$3:$M$524,1,0),"---")</f>
        <v>---</v>
      </c>
    </row>
    <row r="68" spans="1:12" x14ac:dyDescent="0.3">
      <c r="A68"/>
      <c r="B68"/>
      <c r="C68"/>
      <c r="D68"/>
      <c r="E68"/>
      <c r="L68" s="168" t="str">
        <f>IFERROR(VLOOKUP($H68,PARAMETERS!$M$3:$M$524,1,0),"---")</f>
        <v>---</v>
      </c>
    </row>
    <row r="69" spans="1:12" x14ac:dyDescent="0.3">
      <c r="A69"/>
      <c r="B69"/>
      <c r="C69"/>
      <c r="D69"/>
      <c r="E69"/>
      <c r="L69" s="168" t="str">
        <f>IFERROR(VLOOKUP($H69,PARAMETERS!$M$3:$M$524,1,0),"---")</f>
        <v>---</v>
      </c>
    </row>
    <row r="70" spans="1:12" x14ac:dyDescent="0.3">
      <c r="A70"/>
      <c r="B70"/>
      <c r="C70"/>
      <c r="D70"/>
      <c r="E70"/>
      <c r="L70" s="168" t="str">
        <f>IFERROR(VLOOKUP($H70,PARAMETERS!$M$3:$M$524,1,0),"---")</f>
        <v>---</v>
      </c>
    </row>
    <row r="71" spans="1:12" x14ac:dyDescent="0.3">
      <c r="A71"/>
      <c r="B71"/>
      <c r="C71"/>
      <c r="D71"/>
      <c r="E71"/>
      <c r="L71" s="168" t="str">
        <f>IFERROR(VLOOKUP($H71,PARAMETERS!$M$3:$M$524,1,0),"---")</f>
        <v>---</v>
      </c>
    </row>
    <row r="72" spans="1:12" x14ac:dyDescent="0.3">
      <c r="A72"/>
      <c r="B72"/>
      <c r="C72"/>
      <c r="D72"/>
      <c r="E72"/>
      <c r="L72" s="168" t="str">
        <f>IFERROR(VLOOKUP($H72,PARAMETERS!$M$3:$M$524,1,0),"---")</f>
        <v>---</v>
      </c>
    </row>
    <row r="73" spans="1:12" x14ac:dyDescent="0.3">
      <c r="A73"/>
      <c r="B73"/>
      <c r="C73"/>
      <c r="D73"/>
      <c r="E73"/>
      <c r="L73" s="168" t="str">
        <f>IFERROR(VLOOKUP($H73,PARAMETERS!$M$3:$M$524,1,0),"---")</f>
        <v>---</v>
      </c>
    </row>
    <row r="74" spans="1:12" x14ac:dyDescent="0.3">
      <c r="A74"/>
      <c r="B74"/>
      <c r="C74"/>
      <c r="D74"/>
      <c r="E74"/>
      <c r="L74" s="168" t="str">
        <f>IFERROR(VLOOKUP($H74,PARAMETERS!$M$3:$M$524,1,0),"---")</f>
        <v>---</v>
      </c>
    </row>
    <row r="75" spans="1:12" x14ac:dyDescent="0.3">
      <c r="A75"/>
      <c r="B75"/>
      <c r="C75"/>
      <c r="D75"/>
      <c r="E75"/>
      <c r="L75" s="168" t="str">
        <f>IFERROR(VLOOKUP($H75,PARAMETERS!$M$3:$M$524,1,0),"---")</f>
        <v>---</v>
      </c>
    </row>
    <row r="76" spans="1:12" x14ac:dyDescent="0.3">
      <c r="A76"/>
      <c r="B76"/>
      <c r="C76"/>
      <c r="D76"/>
      <c r="E76"/>
      <c r="L76" s="168" t="str">
        <f>IFERROR(VLOOKUP($H76,PARAMETERS!$M$3:$M$524,1,0),"---")</f>
        <v>---</v>
      </c>
    </row>
    <row r="77" spans="1:12" x14ac:dyDescent="0.3">
      <c r="A77"/>
      <c r="B77"/>
      <c r="C77"/>
      <c r="D77"/>
      <c r="E77"/>
      <c r="L77" s="168" t="str">
        <f>IFERROR(VLOOKUP($H77,PARAMETERS!$M$3:$M$524,1,0),"---")</f>
        <v>---</v>
      </c>
    </row>
    <row r="78" spans="1:12" x14ac:dyDescent="0.3">
      <c r="A78"/>
      <c r="B78"/>
      <c r="C78"/>
      <c r="D78"/>
      <c r="E78"/>
      <c r="L78" s="168" t="str">
        <f>IFERROR(VLOOKUP($H78,PARAMETERS!$M$3:$M$524,1,0),"---")</f>
        <v>---</v>
      </c>
    </row>
    <row r="79" spans="1:12" x14ac:dyDescent="0.3">
      <c r="A79"/>
      <c r="B79"/>
      <c r="C79"/>
      <c r="D79"/>
      <c r="E79"/>
      <c r="L79" s="168" t="str">
        <f>IFERROR(VLOOKUP($H79,PARAMETERS!$M$3:$M$524,1,0),"---")</f>
        <v>---</v>
      </c>
    </row>
    <row r="80" spans="1:12" x14ac:dyDescent="0.3">
      <c r="A80"/>
      <c r="B80"/>
      <c r="C80"/>
      <c r="D80"/>
      <c r="E80"/>
      <c r="L80" s="168" t="str">
        <f>IFERROR(VLOOKUP($H80,PARAMETERS!$M$3:$M$524,1,0),"---")</f>
        <v>---</v>
      </c>
    </row>
    <row r="81" spans="1:12" x14ac:dyDescent="0.3">
      <c r="A81"/>
      <c r="B81"/>
      <c r="C81"/>
      <c r="D81"/>
      <c r="E81"/>
      <c r="L81" s="168" t="str">
        <f>IFERROR(VLOOKUP($H81,PARAMETERS!$M$3:$M$524,1,0),"---")</f>
        <v>---</v>
      </c>
    </row>
    <row r="82" spans="1:12" x14ac:dyDescent="0.3">
      <c r="A82"/>
      <c r="B82"/>
      <c r="C82"/>
      <c r="D82"/>
      <c r="E82"/>
      <c r="L82" s="168" t="str">
        <f>IFERROR(VLOOKUP($H82,PARAMETERS!$M$3:$M$524,1,0),"---")</f>
        <v>---</v>
      </c>
    </row>
    <row r="83" spans="1:12" x14ac:dyDescent="0.3">
      <c r="A83"/>
      <c r="B83"/>
      <c r="C83"/>
      <c r="D83"/>
      <c r="E83"/>
      <c r="L83" s="168" t="str">
        <f>IFERROR(VLOOKUP($H83,PARAMETERS!$M$3:$M$524,1,0),"---")</f>
        <v>---</v>
      </c>
    </row>
    <row r="84" spans="1:12" x14ac:dyDescent="0.3">
      <c r="A84"/>
      <c r="B84"/>
      <c r="C84"/>
      <c r="D84"/>
      <c r="E84"/>
      <c r="L84" s="168" t="str">
        <f>IFERROR(VLOOKUP($H84,PARAMETERS!$M$3:$M$524,1,0),"---")</f>
        <v>---</v>
      </c>
    </row>
    <row r="85" spans="1:12" x14ac:dyDescent="0.3">
      <c r="A85"/>
      <c r="B85"/>
      <c r="C85"/>
      <c r="D85"/>
      <c r="E85"/>
      <c r="L85" s="168" t="str">
        <f>IFERROR(VLOOKUP($H85,PARAMETERS!$M$3:$M$524,1,0),"---")</f>
        <v>---</v>
      </c>
    </row>
    <row r="86" spans="1:12" x14ac:dyDescent="0.3">
      <c r="A86"/>
      <c r="B86"/>
      <c r="C86"/>
      <c r="D86"/>
      <c r="E86"/>
      <c r="L86" s="168" t="str">
        <f>IFERROR(VLOOKUP($H86,PARAMETERS!$M$3:$M$524,1,0),"---")</f>
        <v>---</v>
      </c>
    </row>
    <row r="87" spans="1:12" x14ac:dyDescent="0.3">
      <c r="A87"/>
      <c r="B87"/>
      <c r="C87"/>
      <c r="D87"/>
      <c r="E87"/>
      <c r="L87" s="168" t="str">
        <f>IFERROR(VLOOKUP($H87,PARAMETERS!$M$3:$M$524,1,0),"---")</f>
        <v>---</v>
      </c>
    </row>
    <row r="88" spans="1:12" x14ac:dyDescent="0.3">
      <c r="A88"/>
      <c r="B88"/>
      <c r="C88"/>
      <c r="D88"/>
      <c r="E88"/>
      <c r="L88" s="168" t="str">
        <f>IFERROR(VLOOKUP($H88,PARAMETERS!$M$3:$M$524,1,0),"---")</f>
        <v>---</v>
      </c>
    </row>
    <row r="89" spans="1:12" x14ac:dyDescent="0.3">
      <c r="A89"/>
      <c r="B89"/>
      <c r="C89"/>
      <c r="D89"/>
      <c r="E89"/>
      <c r="L89" s="168" t="str">
        <f>IFERROR(VLOOKUP($H89,PARAMETERS!$M$3:$M$524,1,0),"---")</f>
        <v>---</v>
      </c>
    </row>
    <row r="90" spans="1:12" x14ac:dyDescent="0.3">
      <c r="A90"/>
      <c r="B90"/>
      <c r="C90"/>
      <c r="D90"/>
      <c r="E90"/>
      <c r="L90" s="168" t="str">
        <f>IFERROR(VLOOKUP($H90,PARAMETERS!$M$3:$M$524,1,0),"---")</f>
        <v>---</v>
      </c>
    </row>
    <row r="91" spans="1:12" x14ac:dyDescent="0.3">
      <c r="A91"/>
      <c r="B91"/>
      <c r="C91"/>
      <c r="D91"/>
      <c r="E91"/>
      <c r="L91" s="168" t="str">
        <f>IFERROR(VLOOKUP($H91,PARAMETERS!$M$3:$M$524,1,0),"---")</f>
        <v>---</v>
      </c>
    </row>
    <row r="92" spans="1:12" x14ac:dyDescent="0.3">
      <c r="A92"/>
      <c r="B92"/>
      <c r="C92"/>
      <c r="D92"/>
      <c r="E92"/>
      <c r="L92" s="168" t="str">
        <f>IFERROR(VLOOKUP($H92,PARAMETERS!$M$3:$M$524,1,0),"---")</f>
        <v>---</v>
      </c>
    </row>
    <row r="93" spans="1:12" x14ac:dyDescent="0.3">
      <c r="A93"/>
      <c r="B93"/>
      <c r="C93"/>
      <c r="D93"/>
      <c r="E93"/>
      <c r="L93" s="168" t="str">
        <f>IFERROR(VLOOKUP($H93,PARAMETERS!$M$3:$M$524,1,0),"---")</f>
        <v>---</v>
      </c>
    </row>
    <row r="94" spans="1:12" x14ac:dyDescent="0.3">
      <c r="A94"/>
      <c r="B94"/>
      <c r="C94"/>
      <c r="D94"/>
      <c r="E94"/>
      <c r="L94" s="168" t="str">
        <f>IFERROR(VLOOKUP($H94,PARAMETERS!$M$3:$M$524,1,0),"---")</f>
        <v>---</v>
      </c>
    </row>
    <row r="95" spans="1:12" x14ac:dyDescent="0.3">
      <c r="A95"/>
      <c r="B95"/>
      <c r="C95"/>
      <c r="D95"/>
      <c r="E95"/>
      <c r="L95" s="168" t="str">
        <f>IFERROR(VLOOKUP($H95,PARAMETERS!$M$3:$M$524,1,0),"---")</f>
        <v>---</v>
      </c>
    </row>
    <row r="96" spans="1:12" x14ac:dyDescent="0.3">
      <c r="A96"/>
      <c r="B96"/>
      <c r="C96"/>
      <c r="D96"/>
      <c r="E96"/>
      <c r="L96" s="168" t="str">
        <f>IFERROR(VLOOKUP($H96,PARAMETERS!$M$3:$M$524,1,0),"---")</f>
        <v>---</v>
      </c>
    </row>
    <row r="97" spans="1:12" x14ac:dyDescent="0.3">
      <c r="A97"/>
      <c r="B97"/>
      <c r="C97"/>
      <c r="D97"/>
      <c r="E97"/>
      <c r="L97" s="168" t="str">
        <f>IFERROR(VLOOKUP($H97,PARAMETERS!$M$3:$M$524,1,0),"---")</f>
        <v>---</v>
      </c>
    </row>
    <row r="98" spans="1:12" x14ac:dyDescent="0.3">
      <c r="A98"/>
      <c r="B98"/>
      <c r="C98"/>
      <c r="D98"/>
      <c r="E98"/>
      <c r="L98" s="168" t="str">
        <f>IFERROR(VLOOKUP($H98,PARAMETERS!$M$3:$M$524,1,0),"---")</f>
        <v>---</v>
      </c>
    </row>
    <row r="99" spans="1:12" x14ac:dyDescent="0.3">
      <c r="A99"/>
      <c r="B99"/>
      <c r="C99"/>
      <c r="D99"/>
      <c r="E99"/>
      <c r="L99" s="168" t="str">
        <f>IFERROR(VLOOKUP($H99,PARAMETERS!$M$3:$M$524,1,0),"---")</f>
        <v>---</v>
      </c>
    </row>
    <row r="100" spans="1:12" x14ac:dyDescent="0.3">
      <c r="A100"/>
      <c r="B100"/>
      <c r="C100"/>
      <c r="D100"/>
      <c r="E100"/>
      <c r="L100" s="168" t="str">
        <f>IFERROR(VLOOKUP($H100,PARAMETERS!$M$3:$M$524,1,0),"---")</f>
        <v>---</v>
      </c>
    </row>
    <row r="101" spans="1:12" x14ac:dyDescent="0.3">
      <c r="A101"/>
      <c r="B101"/>
      <c r="C101"/>
      <c r="D101"/>
      <c r="E101"/>
      <c r="L101" s="168" t="str">
        <f>IFERROR(VLOOKUP($H101,PARAMETERS!$M$3:$M$524,1,0),"---")</f>
        <v>---</v>
      </c>
    </row>
    <row r="102" spans="1:12" x14ac:dyDescent="0.3">
      <c r="A102"/>
      <c r="B102"/>
      <c r="C102"/>
      <c r="D102"/>
      <c r="E102"/>
      <c r="L102" s="168" t="str">
        <f>IFERROR(VLOOKUP($H102,PARAMETERS!$M$3:$M$524,1,0),"---")</f>
        <v>---</v>
      </c>
    </row>
    <row r="103" spans="1:12" x14ac:dyDescent="0.3">
      <c r="A103"/>
      <c r="B103"/>
      <c r="C103"/>
      <c r="D103"/>
      <c r="E103"/>
      <c r="L103" s="168" t="str">
        <f>IFERROR(VLOOKUP($H103,PARAMETERS!$M$3:$M$524,1,0),"---")</f>
        <v>---</v>
      </c>
    </row>
    <row r="104" spans="1:12" x14ac:dyDescent="0.3">
      <c r="A104"/>
      <c r="B104"/>
      <c r="C104"/>
      <c r="D104"/>
      <c r="E104"/>
      <c r="L104" s="168" t="str">
        <f>IFERROR(VLOOKUP($H104,PARAMETERS!$M$3:$M$524,1,0),"---")</f>
        <v>---</v>
      </c>
    </row>
    <row r="105" spans="1:12" x14ac:dyDescent="0.3">
      <c r="A105"/>
      <c r="B105"/>
      <c r="C105"/>
      <c r="D105"/>
      <c r="E105"/>
      <c r="L105" s="168" t="str">
        <f>IFERROR(VLOOKUP($H105,PARAMETERS!$M$3:$M$524,1,0),"---")</f>
        <v>---</v>
      </c>
    </row>
    <row r="106" spans="1:12" x14ac:dyDescent="0.3">
      <c r="A106"/>
      <c r="B106"/>
      <c r="C106"/>
      <c r="D106"/>
      <c r="E106"/>
      <c r="L106" s="168" t="str">
        <f>IFERROR(VLOOKUP($H106,PARAMETERS!$M$3:$M$524,1,0),"---")</f>
        <v>---</v>
      </c>
    </row>
    <row r="107" spans="1:12" x14ac:dyDescent="0.3">
      <c r="A107"/>
      <c r="B107"/>
      <c r="C107"/>
      <c r="D107"/>
      <c r="E107"/>
      <c r="L107" s="168" t="str">
        <f>IFERROR(VLOOKUP($H107,PARAMETERS!$M$3:$M$524,1,0),"---")</f>
        <v>---</v>
      </c>
    </row>
    <row r="108" spans="1:12" x14ac:dyDescent="0.3">
      <c r="A108"/>
      <c r="B108"/>
      <c r="C108"/>
      <c r="D108"/>
      <c r="E108"/>
      <c r="L108" s="168" t="str">
        <f>IFERROR(VLOOKUP($H108,PARAMETERS!$M$3:$M$524,1,0),"---")</f>
        <v>---</v>
      </c>
    </row>
    <row r="109" spans="1:12" x14ac:dyDescent="0.3">
      <c r="A109"/>
      <c r="B109"/>
      <c r="C109"/>
      <c r="D109"/>
      <c r="E109"/>
      <c r="L109" s="168" t="str">
        <f>IFERROR(VLOOKUP($H109,PARAMETERS!$M$3:$M$524,1,0),"---")</f>
        <v>---</v>
      </c>
    </row>
    <row r="110" spans="1:12" x14ac:dyDescent="0.3">
      <c r="A110"/>
      <c r="B110"/>
      <c r="C110"/>
      <c r="D110"/>
      <c r="E110"/>
      <c r="L110" s="168" t="str">
        <f>IFERROR(VLOOKUP($H110,PARAMETERS!$M$3:$M$524,1,0),"---")</f>
        <v>---</v>
      </c>
    </row>
    <row r="111" spans="1:12" x14ac:dyDescent="0.3">
      <c r="A111"/>
      <c r="B111"/>
      <c r="C111"/>
      <c r="D111"/>
      <c r="E111"/>
      <c r="L111" s="168" t="str">
        <f>IFERROR(VLOOKUP($H111,PARAMETERS!$M$3:$M$524,1,0),"---")</f>
        <v>---</v>
      </c>
    </row>
    <row r="112" spans="1:12" x14ac:dyDescent="0.3">
      <c r="A112"/>
      <c r="B112"/>
      <c r="C112"/>
      <c r="D112"/>
      <c r="E112"/>
      <c r="L112" s="168" t="str">
        <f>IFERROR(VLOOKUP($H112,PARAMETERS!$M$3:$M$524,1,0),"---")</f>
        <v>---</v>
      </c>
    </row>
    <row r="113" spans="1:12" x14ac:dyDescent="0.3">
      <c r="A113"/>
      <c r="B113"/>
      <c r="C113"/>
      <c r="D113"/>
      <c r="E113"/>
      <c r="L113" s="168" t="str">
        <f>IFERROR(VLOOKUP($H113,PARAMETERS!$M$3:$M$524,1,0),"---")</f>
        <v>---</v>
      </c>
    </row>
    <row r="114" spans="1:12" x14ac:dyDescent="0.3">
      <c r="A114"/>
      <c r="B114"/>
      <c r="C114"/>
      <c r="D114"/>
      <c r="E114"/>
      <c r="L114" s="168" t="str">
        <f>IFERROR(VLOOKUP($H114,PARAMETERS!$M$3:$M$524,1,0),"---")</f>
        <v>---</v>
      </c>
    </row>
    <row r="115" spans="1:12" x14ac:dyDescent="0.3">
      <c r="A115"/>
      <c r="B115"/>
      <c r="C115"/>
      <c r="D115"/>
      <c r="E115"/>
      <c r="L115" s="168" t="str">
        <f>IFERROR(VLOOKUP($H115,PARAMETERS!$M$3:$M$524,1,0),"---")</f>
        <v>---</v>
      </c>
    </row>
    <row r="116" spans="1:12" x14ac:dyDescent="0.3">
      <c r="A116"/>
      <c r="B116"/>
      <c r="C116"/>
      <c r="D116"/>
      <c r="E116"/>
      <c r="L116" s="168" t="str">
        <f>IFERROR(VLOOKUP($H116,PARAMETERS!$M$3:$M$524,1,0),"---")</f>
        <v>---</v>
      </c>
    </row>
    <row r="117" spans="1:12" x14ac:dyDescent="0.3">
      <c r="A117"/>
      <c r="B117"/>
      <c r="C117"/>
      <c r="D117"/>
      <c r="E117"/>
      <c r="L117" s="168" t="str">
        <f>IFERROR(VLOOKUP($H117,PARAMETERS!$M$3:$M$524,1,0),"---")</f>
        <v>---</v>
      </c>
    </row>
    <row r="118" spans="1:12" x14ac:dyDescent="0.3">
      <c r="A118"/>
      <c r="B118"/>
      <c r="C118"/>
      <c r="D118"/>
      <c r="E118"/>
      <c r="L118" s="168" t="str">
        <f>IFERROR(VLOOKUP($H118,PARAMETERS!$M$3:$M$524,1,0),"---")</f>
        <v>---</v>
      </c>
    </row>
    <row r="119" spans="1:12" x14ac:dyDescent="0.3">
      <c r="A119"/>
      <c r="B119"/>
      <c r="C119"/>
      <c r="D119"/>
      <c r="E119"/>
      <c r="L119" s="168" t="str">
        <f>IFERROR(VLOOKUP($H119,PARAMETERS!$M$3:$M$524,1,0),"---")</f>
        <v>---</v>
      </c>
    </row>
    <row r="120" spans="1:12" x14ac:dyDescent="0.3">
      <c r="A120"/>
      <c r="B120"/>
      <c r="C120"/>
      <c r="D120"/>
      <c r="E120"/>
      <c r="L120" s="168" t="str">
        <f>IFERROR(VLOOKUP($H120,PARAMETERS!$M$3:$M$524,1,0),"---")</f>
        <v>---</v>
      </c>
    </row>
    <row r="121" spans="1:12" x14ac:dyDescent="0.3">
      <c r="A121"/>
      <c r="B121"/>
      <c r="C121"/>
      <c r="D121"/>
      <c r="E121"/>
      <c r="L121" s="168" t="str">
        <f>IFERROR(VLOOKUP($H121,PARAMETERS!$M$3:$M$524,1,0),"---")</f>
        <v>---</v>
      </c>
    </row>
    <row r="122" spans="1:12" x14ac:dyDescent="0.3">
      <c r="A122"/>
      <c r="B122"/>
      <c r="C122"/>
      <c r="D122"/>
      <c r="E122"/>
      <c r="L122" s="168" t="str">
        <f>IFERROR(VLOOKUP($H122,PARAMETERS!$M$3:$M$524,1,0),"---")</f>
        <v>---</v>
      </c>
    </row>
    <row r="123" spans="1:12" x14ac:dyDescent="0.3">
      <c r="A123"/>
      <c r="B123"/>
      <c r="C123"/>
      <c r="D123"/>
      <c r="E123"/>
      <c r="L123" s="168" t="str">
        <f>IFERROR(VLOOKUP($H123,PARAMETERS!$M$3:$M$524,1,0),"---")</f>
        <v>---</v>
      </c>
    </row>
    <row r="124" spans="1:12" x14ac:dyDescent="0.3">
      <c r="A124"/>
      <c r="B124"/>
      <c r="C124"/>
      <c r="D124"/>
      <c r="E124"/>
      <c r="L124" s="168" t="str">
        <f>IFERROR(VLOOKUP($H124,PARAMETERS!$M$3:$M$524,1,0),"---")</f>
        <v>---</v>
      </c>
    </row>
    <row r="125" spans="1:12" x14ac:dyDescent="0.3">
      <c r="A125"/>
      <c r="B125"/>
      <c r="C125"/>
      <c r="D125"/>
      <c r="E125"/>
      <c r="L125" s="168" t="str">
        <f>IFERROR(VLOOKUP($H125,PARAMETERS!$M$3:$M$524,1,0),"---")</f>
        <v>---</v>
      </c>
    </row>
    <row r="126" spans="1:12" x14ac:dyDescent="0.3">
      <c r="A126"/>
      <c r="B126"/>
      <c r="C126"/>
      <c r="D126"/>
      <c r="E126"/>
      <c r="L126" s="168" t="str">
        <f>IFERROR(VLOOKUP($H126,PARAMETERS!$M$3:$M$524,1,0),"---")</f>
        <v>---</v>
      </c>
    </row>
    <row r="127" spans="1:12" x14ac:dyDescent="0.3">
      <c r="A127"/>
      <c r="B127"/>
      <c r="C127"/>
      <c r="D127"/>
      <c r="E127"/>
      <c r="L127" s="168" t="str">
        <f>IFERROR(VLOOKUP($H127,PARAMETERS!$M$3:$M$524,1,0),"---")</f>
        <v>---</v>
      </c>
    </row>
    <row r="128" spans="1:12" x14ac:dyDescent="0.3">
      <c r="A128"/>
      <c r="B128"/>
      <c r="C128"/>
      <c r="D128"/>
      <c r="E128"/>
      <c r="L128" s="168" t="str">
        <f>IFERROR(VLOOKUP($H128,PARAMETERS!$M$3:$M$524,1,0),"---")</f>
        <v>---</v>
      </c>
    </row>
    <row r="129" spans="1:12" x14ac:dyDescent="0.3">
      <c r="A129"/>
      <c r="B129"/>
      <c r="C129"/>
      <c r="D129"/>
      <c r="E129"/>
      <c r="L129" s="168" t="str">
        <f>IFERROR(VLOOKUP($H129,PARAMETERS!$M$3:$M$524,1,0),"---")</f>
        <v>---</v>
      </c>
    </row>
    <row r="130" spans="1:12" x14ac:dyDescent="0.3">
      <c r="A130"/>
      <c r="B130"/>
      <c r="C130"/>
      <c r="D130"/>
      <c r="E130"/>
      <c r="L130" s="168" t="str">
        <f>IFERROR(VLOOKUP($H130,PARAMETERS!$M$3:$M$524,1,0),"---")</f>
        <v>---</v>
      </c>
    </row>
    <row r="131" spans="1:12" x14ac:dyDescent="0.3">
      <c r="A131"/>
      <c r="B131"/>
      <c r="C131"/>
      <c r="D131"/>
      <c r="E131"/>
      <c r="L131" s="168" t="str">
        <f>IFERROR(VLOOKUP($H131,PARAMETERS!$M$3:$M$524,1,0),"---")</f>
        <v>---</v>
      </c>
    </row>
    <row r="132" spans="1:12" x14ac:dyDescent="0.3">
      <c r="A132"/>
      <c r="B132"/>
      <c r="C132"/>
      <c r="D132"/>
      <c r="E132"/>
      <c r="L132" s="168" t="str">
        <f>IFERROR(VLOOKUP($H132,PARAMETERS!$M$3:$M$524,1,0),"---")</f>
        <v>---</v>
      </c>
    </row>
    <row r="133" spans="1:12" x14ac:dyDescent="0.3">
      <c r="A133"/>
      <c r="B133"/>
      <c r="C133"/>
      <c r="D133"/>
      <c r="E133"/>
      <c r="L133" s="168" t="str">
        <f>IFERROR(VLOOKUP($H133,PARAMETERS!$M$3:$M$524,1,0),"---")</f>
        <v>---</v>
      </c>
    </row>
    <row r="134" spans="1:12" x14ac:dyDescent="0.3">
      <c r="A134"/>
      <c r="B134"/>
      <c r="C134"/>
      <c r="D134"/>
      <c r="E134"/>
      <c r="L134" s="168" t="str">
        <f>IFERROR(VLOOKUP($H134,PARAMETERS!$M$3:$M$524,1,0),"---")</f>
        <v>---</v>
      </c>
    </row>
    <row r="135" spans="1:12" x14ac:dyDescent="0.3">
      <c r="A135"/>
      <c r="B135"/>
      <c r="C135"/>
      <c r="D135"/>
      <c r="E135"/>
      <c r="L135" s="168" t="str">
        <f>IFERROR(VLOOKUP($H135,PARAMETERS!$M$3:$M$524,1,0),"---")</f>
        <v>---</v>
      </c>
    </row>
    <row r="136" spans="1:12" x14ac:dyDescent="0.3">
      <c r="A136"/>
      <c r="B136"/>
      <c r="C136"/>
      <c r="D136"/>
      <c r="E136"/>
      <c r="L136" s="168" t="str">
        <f>IFERROR(VLOOKUP($H136,PARAMETERS!$M$3:$M$524,1,0),"---")</f>
        <v>---</v>
      </c>
    </row>
    <row r="137" spans="1:12" x14ac:dyDescent="0.3">
      <c r="A137"/>
      <c r="B137"/>
      <c r="C137"/>
      <c r="D137"/>
      <c r="E137"/>
      <c r="L137" s="168" t="str">
        <f>IFERROR(VLOOKUP($H137,PARAMETERS!$M$3:$M$524,1,0),"---")</f>
        <v>---</v>
      </c>
    </row>
    <row r="138" spans="1:12" x14ac:dyDescent="0.3">
      <c r="A138"/>
      <c r="B138"/>
      <c r="C138"/>
      <c r="D138"/>
      <c r="E138"/>
      <c r="L138" s="168" t="str">
        <f>IFERROR(VLOOKUP($H138,PARAMETERS!$M$3:$M$524,1,0),"---")</f>
        <v>---</v>
      </c>
    </row>
    <row r="139" spans="1:12" x14ac:dyDescent="0.3">
      <c r="A139"/>
      <c r="B139"/>
      <c r="C139"/>
      <c r="D139"/>
      <c r="E139"/>
      <c r="L139" s="168" t="str">
        <f>IFERROR(VLOOKUP($H139,PARAMETERS!$M$3:$M$524,1,0),"---")</f>
        <v>---</v>
      </c>
    </row>
    <row r="140" spans="1:12" x14ac:dyDescent="0.3">
      <c r="A140"/>
      <c r="B140"/>
      <c r="C140"/>
      <c r="D140"/>
      <c r="E140"/>
      <c r="L140" s="168" t="str">
        <f>IFERROR(VLOOKUP($H140,PARAMETERS!$M$3:$M$524,1,0),"---")</f>
        <v>---</v>
      </c>
    </row>
    <row r="141" spans="1:12" x14ac:dyDescent="0.3">
      <c r="A141"/>
      <c r="B141"/>
      <c r="C141"/>
      <c r="D141"/>
      <c r="E141"/>
      <c r="L141" s="168" t="str">
        <f>IFERROR(VLOOKUP($H141,PARAMETERS!$M$3:$M$524,1,0),"---")</f>
        <v>---</v>
      </c>
    </row>
    <row r="142" spans="1:12" x14ac:dyDescent="0.3">
      <c r="A142"/>
      <c r="B142"/>
      <c r="C142"/>
      <c r="D142"/>
      <c r="E142"/>
      <c r="L142" s="168" t="str">
        <f>IFERROR(VLOOKUP($H142,PARAMETERS!$M$3:$M$524,1,0),"---")</f>
        <v>---</v>
      </c>
    </row>
    <row r="143" spans="1:12" x14ac:dyDescent="0.3">
      <c r="A143"/>
      <c r="B143"/>
      <c r="C143"/>
      <c r="D143"/>
      <c r="E143"/>
      <c r="L143" s="168" t="str">
        <f>IFERROR(VLOOKUP($H143,PARAMETERS!$M$3:$M$524,1,0),"---")</f>
        <v>---</v>
      </c>
    </row>
    <row r="144" spans="1:12" x14ac:dyDescent="0.3">
      <c r="A144"/>
      <c r="B144"/>
      <c r="C144"/>
      <c r="D144"/>
      <c r="E144"/>
      <c r="L144" s="168" t="str">
        <f>IFERROR(VLOOKUP($H144,PARAMETERS!$M$3:$M$524,1,0),"---")</f>
        <v>---</v>
      </c>
    </row>
    <row r="145" spans="1:12" x14ac:dyDescent="0.3">
      <c r="A145"/>
      <c r="B145"/>
      <c r="C145"/>
      <c r="D145"/>
      <c r="E145"/>
      <c r="L145" s="168" t="str">
        <f>IFERROR(VLOOKUP($H145,PARAMETERS!$M$3:$M$524,1,0),"---")</f>
        <v>---</v>
      </c>
    </row>
    <row r="146" spans="1:12" x14ac:dyDescent="0.3">
      <c r="A146"/>
      <c r="B146"/>
      <c r="C146"/>
      <c r="D146"/>
      <c r="E146"/>
      <c r="L146" s="168" t="str">
        <f>IFERROR(VLOOKUP($H146,PARAMETERS!$M$3:$M$524,1,0),"---")</f>
        <v>---</v>
      </c>
    </row>
    <row r="147" spans="1:12" x14ac:dyDescent="0.3">
      <c r="A147"/>
      <c r="B147"/>
      <c r="C147"/>
      <c r="D147"/>
      <c r="E147"/>
      <c r="L147" s="168" t="str">
        <f>IFERROR(VLOOKUP($H147,PARAMETERS!$M$3:$M$524,1,0),"---")</f>
        <v>---</v>
      </c>
    </row>
    <row r="148" spans="1:12" x14ac:dyDescent="0.3">
      <c r="A148"/>
      <c r="B148"/>
      <c r="C148"/>
      <c r="D148"/>
      <c r="E148"/>
      <c r="L148" s="168" t="str">
        <f>IFERROR(VLOOKUP($H148,PARAMETERS!$M$3:$M$524,1,0),"---")</f>
        <v>---</v>
      </c>
    </row>
    <row r="149" spans="1:12" x14ac:dyDescent="0.3">
      <c r="A149"/>
      <c r="B149"/>
      <c r="C149"/>
      <c r="D149"/>
      <c r="E149"/>
      <c r="L149" s="168" t="str">
        <f>IFERROR(VLOOKUP($H149,PARAMETERS!$M$3:$M$524,1,0),"---")</f>
        <v>---</v>
      </c>
    </row>
    <row r="150" spans="1:12" x14ac:dyDescent="0.3">
      <c r="A150"/>
      <c r="B150"/>
      <c r="C150"/>
      <c r="D150"/>
      <c r="E150"/>
      <c r="L150" s="168" t="str">
        <f>IFERROR(VLOOKUP($H150,PARAMETERS!$M$3:$M$524,1,0),"---")</f>
        <v>---</v>
      </c>
    </row>
    <row r="151" spans="1:12" x14ac:dyDescent="0.3">
      <c r="A151"/>
      <c r="B151"/>
      <c r="C151"/>
      <c r="D151"/>
      <c r="E151"/>
      <c r="L151" s="168" t="str">
        <f>IFERROR(VLOOKUP($H151,PARAMETERS!$M$3:$M$524,1,0),"---")</f>
        <v>---</v>
      </c>
    </row>
    <row r="152" spans="1:12" x14ac:dyDescent="0.3">
      <c r="A152"/>
      <c r="B152"/>
      <c r="C152"/>
      <c r="D152"/>
      <c r="E152"/>
      <c r="L152" s="168" t="str">
        <f>IFERROR(VLOOKUP($H152,PARAMETERS!$M$3:$M$524,1,0),"---")</f>
        <v>---</v>
      </c>
    </row>
    <row r="153" spans="1:12" x14ac:dyDescent="0.3">
      <c r="A153"/>
      <c r="B153"/>
      <c r="C153"/>
      <c r="D153"/>
      <c r="E153"/>
      <c r="L153" s="168" t="str">
        <f>IFERROR(VLOOKUP($H153,PARAMETERS!$M$3:$M$524,1,0),"---")</f>
        <v>---</v>
      </c>
    </row>
    <row r="154" spans="1:12" x14ac:dyDescent="0.3">
      <c r="A154"/>
      <c r="B154"/>
      <c r="C154"/>
      <c r="D154"/>
      <c r="E154"/>
      <c r="L154" s="168" t="str">
        <f>IFERROR(VLOOKUP($H154,PARAMETERS!$M$3:$M$524,1,0),"---")</f>
        <v>---</v>
      </c>
    </row>
    <row r="155" spans="1:12" x14ac:dyDescent="0.3">
      <c r="A155"/>
      <c r="B155"/>
      <c r="C155"/>
      <c r="D155"/>
      <c r="E155"/>
      <c r="L155" s="168" t="str">
        <f>IFERROR(VLOOKUP($H155,PARAMETERS!$M$3:$M$524,1,0),"---")</f>
        <v>---</v>
      </c>
    </row>
    <row r="156" spans="1:12" x14ac:dyDescent="0.3">
      <c r="A156"/>
      <c r="B156"/>
      <c r="C156"/>
      <c r="D156"/>
      <c r="E156"/>
      <c r="L156" s="168" t="str">
        <f>IFERROR(VLOOKUP($H156,PARAMETERS!$M$3:$M$524,1,0),"---")</f>
        <v>---</v>
      </c>
    </row>
    <row r="157" spans="1:12" x14ac:dyDescent="0.3">
      <c r="A157"/>
      <c r="B157"/>
      <c r="C157"/>
      <c r="D157"/>
      <c r="E157"/>
      <c r="L157" s="168" t="str">
        <f>IFERROR(VLOOKUP($H157,PARAMETERS!$M$3:$M$524,1,0),"---")</f>
        <v>---</v>
      </c>
    </row>
    <row r="158" spans="1:12" x14ac:dyDescent="0.3">
      <c r="A158"/>
      <c r="B158"/>
      <c r="C158"/>
      <c r="D158"/>
      <c r="E158"/>
      <c r="L158" s="168" t="str">
        <f>IFERROR(VLOOKUP($H158,PARAMETERS!$M$3:$M$524,1,0),"---")</f>
        <v>---</v>
      </c>
    </row>
    <row r="159" spans="1:12" x14ac:dyDescent="0.3">
      <c r="A159"/>
      <c r="B159"/>
      <c r="C159"/>
      <c r="D159"/>
      <c r="E159"/>
      <c r="L159" s="168" t="str">
        <f>IFERROR(VLOOKUP($H159,PARAMETERS!$M$3:$M$524,1,0),"---")</f>
        <v>---</v>
      </c>
    </row>
    <row r="160" spans="1:12" x14ac:dyDescent="0.3">
      <c r="A160"/>
      <c r="B160"/>
      <c r="C160"/>
      <c r="D160"/>
      <c r="E160"/>
      <c r="L160" s="168" t="str">
        <f>IFERROR(VLOOKUP($H160,PARAMETERS!$M$3:$M$524,1,0),"---")</f>
        <v>---</v>
      </c>
    </row>
    <row r="161" spans="1:12" x14ac:dyDescent="0.3">
      <c r="A161"/>
      <c r="B161"/>
      <c r="C161"/>
      <c r="D161"/>
      <c r="E161"/>
      <c r="L161" s="168" t="str">
        <f>IFERROR(VLOOKUP($H161,PARAMETERS!$M$3:$M$524,1,0),"---")</f>
        <v>---</v>
      </c>
    </row>
    <row r="162" spans="1:12" x14ac:dyDescent="0.3">
      <c r="A162"/>
      <c r="B162"/>
      <c r="C162"/>
      <c r="D162"/>
      <c r="E162"/>
      <c r="L162" s="168" t="str">
        <f>IFERROR(VLOOKUP($H162,PARAMETERS!$M$3:$M$524,1,0),"---")</f>
        <v>---</v>
      </c>
    </row>
    <row r="163" spans="1:12" x14ac:dyDescent="0.3">
      <c r="A163"/>
      <c r="B163"/>
      <c r="C163"/>
      <c r="D163"/>
      <c r="E163"/>
      <c r="L163" s="168" t="str">
        <f>IFERROR(VLOOKUP($H163,PARAMETERS!$M$3:$M$524,1,0),"---")</f>
        <v>---</v>
      </c>
    </row>
    <row r="164" spans="1:12" x14ac:dyDescent="0.3">
      <c r="A164"/>
      <c r="B164"/>
      <c r="C164"/>
      <c r="D164"/>
      <c r="E164"/>
      <c r="L164" s="168" t="str">
        <f>IFERROR(VLOOKUP($H164,PARAMETERS!$M$3:$M$524,1,0),"---")</f>
        <v>---</v>
      </c>
    </row>
    <row r="165" spans="1:12" x14ac:dyDescent="0.3">
      <c r="A165"/>
      <c r="B165"/>
      <c r="C165"/>
      <c r="D165"/>
      <c r="E165"/>
      <c r="L165" s="168" t="str">
        <f>IFERROR(VLOOKUP($H165,PARAMETERS!$M$3:$M$524,1,0),"---")</f>
        <v>---</v>
      </c>
    </row>
    <row r="166" spans="1:12" x14ac:dyDescent="0.3">
      <c r="A166"/>
      <c r="B166"/>
      <c r="C166"/>
      <c r="D166"/>
      <c r="E166"/>
      <c r="L166" s="168" t="str">
        <f>IFERROR(VLOOKUP($H166,PARAMETERS!$M$3:$M$524,1,0),"---")</f>
        <v>---</v>
      </c>
    </row>
    <row r="167" spans="1:12" x14ac:dyDescent="0.3">
      <c r="A167"/>
      <c r="B167"/>
      <c r="C167"/>
      <c r="D167"/>
      <c r="E167"/>
      <c r="L167" s="168" t="str">
        <f>IFERROR(VLOOKUP($H167,PARAMETERS!$M$3:$M$524,1,0),"---")</f>
        <v>---</v>
      </c>
    </row>
    <row r="168" spans="1:12" x14ac:dyDescent="0.3">
      <c r="A168"/>
      <c r="B168"/>
      <c r="C168"/>
      <c r="D168"/>
      <c r="E168"/>
      <c r="L168" s="168" t="str">
        <f>IFERROR(VLOOKUP($H168,PARAMETERS!$M$3:$M$524,1,0),"---")</f>
        <v>---</v>
      </c>
    </row>
    <row r="169" spans="1:12" x14ac:dyDescent="0.3">
      <c r="A169"/>
      <c r="B169"/>
      <c r="C169"/>
      <c r="D169"/>
      <c r="E169"/>
      <c r="L169" s="168" t="str">
        <f>IFERROR(VLOOKUP($H169,PARAMETERS!$M$3:$M$524,1,0),"---")</f>
        <v>---</v>
      </c>
    </row>
    <row r="170" spans="1:12" x14ac:dyDescent="0.3">
      <c r="A170"/>
      <c r="B170"/>
      <c r="C170"/>
      <c r="D170"/>
      <c r="E170"/>
      <c r="L170" s="168" t="str">
        <f>IFERROR(VLOOKUP($H170,PARAMETERS!$M$3:$M$524,1,0),"---")</f>
        <v>---</v>
      </c>
    </row>
    <row r="171" spans="1:12" x14ac:dyDescent="0.3">
      <c r="A171"/>
      <c r="B171"/>
      <c r="C171"/>
      <c r="D171"/>
      <c r="E171"/>
      <c r="L171" s="168" t="str">
        <f>IFERROR(VLOOKUP($H171,PARAMETERS!$M$3:$M$524,1,0),"---")</f>
        <v>---</v>
      </c>
    </row>
    <row r="172" spans="1:12" x14ac:dyDescent="0.3">
      <c r="A172"/>
      <c r="B172"/>
      <c r="C172"/>
      <c r="D172"/>
      <c r="E172"/>
      <c r="L172" s="168" t="str">
        <f>IFERROR(VLOOKUP($H172,PARAMETERS!$M$3:$M$524,1,0),"---")</f>
        <v>---</v>
      </c>
    </row>
    <row r="173" spans="1:12" x14ac:dyDescent="0.3">
      <c r="A173"/>
      <c r="B173"/>
      <c r="C173"/>
      <c r="D173"/>
      <c r="E173"/>
      <c r="L173" s="168" t="str">
        <f>IFERROR(VLOOKUP($H173,PARAMETERS!$M$3:$M$524,1,0),"---")</f>
        <v>---</v>
      </c>
    </row>
    <row r="174" spans="1:12" x14ac:dyDescent="0.3">
      <c r="A174"/>
      <c r="B174"/>
      <c r="C174"/>
      <c r="D174"/>
      <c r="E174"/>
      <c r="L174" s="168" t="str">
        <f>IFERROR(VLOOKUP($H174,PARAMETERS!$M$3:$M$524,1,0),"---")</f>
        <v>---</v>
      </c>
    </row>
    <row r="175" spans="1:12" x14ac:dyDescent="0.3">
      <c r="A175"/>
      <c r="B175"/>
      <c r="C175"/>
      <c r="D175"/>
      <c r="E175"/>
      <c r="L175" s="168" t="str">
        <f>IFERROR(VLOOKUP($H175,PARAMETERS!$M$3:$M$524,1,0),"---")</f>
        <v>---</v>
      </c>
    </row>
    <row r="176" spans="1:12" x14ac:dyDescent="0.3">
      <c r="A176"/>
      <c r="B176"/>
      <c r="C176"/>
      <c r="D176"/>
      <c r="E176"/>
      <c r="L176" s="168" t="str">
        <f>IFERROR(VLOOKUP($H176,PARAMETERS!$M$3:$M$524,1,0),"---")</f>
        <v>---</v>
      </c>
    </row>
    <row r="177" spans="1:12" x14ac:dyDescent="0.3">
      <c r="A177"/>
      <c r="B177"/>
      <c r="C177"/>
      <c r="D177"/>
      <c r="E177"/>
      <c r="L177" s="168" t="str">
        <f>IFERROR(VLOOKUP($H177,PARAMETERS!$M$3:$M$524,1,0),"---")</f>
        <v>---</v>
      </c>
    </row>
    <row r="178" spans="1:12" x14ac:dyDescent="0.3">
      <c r="A178"/>
      <c r="B178"/>
      <c r="C178"/>
      <c r="D178"/>
      <c r="E178"/>
      <c r="L178" s="168" t="str">
        <f>IFERROR(VLOOKUP($H178,PARAMETERS!$M$3:$M$524,1,0),"---")</f>
        <v>---</v>
      </c>
    </row>
    <row r="179" spans="1:12" x14ac:dyDescent="0.3">
      <c r="A179"/>
      <c r="B179"/>
      <c r="C179"/>
      <c r="D179"/>
      <c r="E179"/>
      <c r="L179" s="168" t="str">
        <f>IFERROR(VLOOKUP($H179,PARAMETERS!$M$3:$M$524,1,0),"---")</f>
        <v>---</v>
      </c>
    </row>
    <row r="180" spans="1:12" x14ac:dyDescent="0.3">
      <c r="A180"/>
      <c r="B180"/>
      <c r="C180"/>
      <c r="D180"/>
      <c r="E180"/>
      <c r="L180" s="168" t="str">
        <f>IFERROR(VLOOKUP($H180,PARAMETERS!$M$3:$M$524,1,0),"---")</f>
        <v>---</v>
      </c>
    </row>
    <row r="181" spans="1:12" x14ac:dyDescent="0.3">
      <c r="A181"/>
      <c r="B181"/>
      <c r="C181"/>
      <c r="D181"/>
      <c r="E181"/>
      <c r="L181" s="168" t="str">
        <f>IFERROR(VLOOKUP($H181,PARAMETERS!$M$3:$M$524,1,0),"---")</f>
        <v>---</v>
      </c>
    </row>
    <row r="182" spans="1:12" x14ac:dyDescent="0.3">
      <c r="A182"/>
      <c r="B182"/>
      <c r="C182"/>
      <c r="D182"/>
      <c r="E182"/>
      <c r="L182" s="168" t="str">
        <f>IFERROR(VLOOKUP($H182,PARAMETERS!$M$3:$M$524,1,0),"---")</f>
        <v>---</v>
      </c>
    </row>
    <row r="183" spans="1:12" x14ac:dyDescent="0.3">
      <c r="A183"/>
      <c r="B183"/>
      <c r="C183"/>
      <c r="D183"/>
      <c r="E183"/>
      <c r="L183" s="168" t="str">
        <f>IFERROR(VLOOKUP($H183,PARAMETERS!$M$3:$M$524,1,0),"---")</f>
        <v>---</v>
      </c>
    </row>
    <row r="184" spans="1:12" x14ac:dyDescent="0.3">
      <c r="A184"/>
      <c r="B184"/>
      <c r="C184"/>
      <c r="D184"/>
      <c r="E184"/>
      <c r="L184" s="168" t="str">
        <f>IFERROR(VLOOKUP($H184,PARAMETERS!$M$3:$M$524,1,0),"---")</f>
        <v>---</v>
      </c>
    </row>
    <row r="185" spans="1:12" x14ac:dyDescent="0.3">
      <c r="A185"/>
      <c r="B185"/>
      <c r="C185"/>
      <c r="D185"/>
      <c r="E185"/>
      <c r="L185" s="168" t="str">
        <f>IFERROR(VLOOKUP($H185,PARAMETERS!$M$3:$M$524,1,0),"---")</f>
        <v>---</v>
      </c>
    </row>
    <row r="186" spans="1:12" x14ac:dyDescent="0.3">
      <c r="A186"/>
      <c r="B186"/>
      <c r="C186"/>
      <c r="D186"/>
      <c r="E186"/>
      <c r="L186" s="168" t="str">
        <f>IFERROR(VLOOKUP($H186,PARAMETERS!$M$3:$M$524,1,0),"---")</f>
        <v>---</v>
      </c>
    </row>
    <row r="187" spans="1:12" x14ac:dyDescent="0.3">
      <c r="A187"/>
      <c r="B187"/>
      <c r="C187"/>
      <c r="D187"/>
      <c r="E187"/>
      <c r="L187" s="168" t="str">
        <f>IFERROR(VLOOKUP($H187,PARAMETERS!$M$3:$M$524,1,0),"---")</f>
        <v>---</v>
      </c>
    </row>
    <row r="188" spans="1:12" x14ac:dyDescent="0.3">
      <c r="A188"/>
      <c r="B188"/>
      <c r="C188"/>
      <c r="D188"/>
      <c r="E188"/>
      <c r="L188" s="168" t="str">
        <f>IFERROR(VLOOKUP($H188,PARAMETERS!$M$3:$M$524,1,0),"---")</f>
        <v>---</v>
      </c>
    </row>
    <row r="189" spans="1:12" x14ac:dyDescent="0.3">
      <c r="A189"/>
      <c r="B189"/>
      <c r="C189"/>
      <c r="D189"/>
      <c r="E189"/>
      <c r="L189" s="168" t="str">
        <f>IFERROR(VLOOKUP($H189,PARAMETERS!$M$3:$M$524,1,0),"---")</f>
        <v>---</v>
      </c>
    </row>
    <row r="190" spans="1:12" x14ac:dyDescent="0.3">
      <c r="A190"/>
      <c r="B190"/>
      <c r="C190"/>
      <c r="D190"/>
      <c r="E190"/>
      <c r="L190" s="168" t="str">
        <f>IFERROR(VLOOKUP($H190,PARAMETERS!$M$3:$M$524,1,0),"---")</f>
        <v>---</v>
      </c>
    </row>
    <row r="191" spans="1:12" x14ac:dyDescent="0.3">
      <c r="A191"/>
      <c r="B191"/>
      <c r="C191"/>
      <c r="D191"/>
      <c r="E191"/>
      <c r="L191" s="168" t="str">
        <f>IFERROR(VLOOKUP($H191,PARAMETERS!$M$3:$M$524,1,0),"---")</f>
        <v>---</v>
      </c>
    </row>
    <row r="192" spans="1:12" x14ac:dyDescent="0.3">
      <c r="A192"/>
      <c r="B192"/>
      <c r="C192"/>
      <c r="D192"/>
      <c r="E192"/>
      <c r="L192" s="168" t="str">
        <f>IFERROR(VLOOKUP($H192,PARAMETERS!$M$3:$M$524,1,0),"---")</f>
        <v>---</v>
      </c>
    </row>
    <row r="193" spans="1:12" x14ac:dyDescent="0.3">
      <c r="A193"/>
      <c r="B193"/>
      <c r="C193"/>
      <c r="D193"/>
      <c r="E193"/>
      <c r="L193" s="168" t="str">
        <f>IFERROR(VLOOKUP($H193,PARAMETERS!$M$3:$M$524,1,0),"---")</f>
        <v>---</v>
      </c>
    </row>
    <row r="194" spans="1:12" x14ac:dyDescent="0.3">
      <c r="A194"/>
      <c r="B194"/>
      <c r="C194"/>
      <c r="D194"/>
      <c r="E194"/>
      <c r="L194" s="168" t="str">
        <f>IFERROR(VLOOKUP($H194,PARAMETERS!$M$3:$M$524,1,0),"---")</f>
        <v>---</v>
      </c>
    </row>
    <row r="195" spans="1:12" x14ac:dyDescent="0.3">
      <c r="A195"/>
      <c r="B195"/>
      <c r="C195"/>
      <c r="D195"/>
      <c r="E195"/>
      <c r="L195" s="168" t="str">
        <f>IFERROR(VLOOKUP($H195,PARAMETERS!$M$3:$M$524,1,0),"---")</f>
        <v>---</v>
      </c>
    </row>
    <row r="196" spans="1:12" x14ac:dyDescent="0.3">
      <c r="A196"/>
      <c r="B196"/>
      <c r="C196"/>
      <c r="D196"/>
      <c r="E196"/>
      <c r="L196" s="168" t="str">
        <f>IFERROR(VLOOKUP($H196,PARAMETERS!$M$3:$M$524,1,0),"---")</f>
        <v>---</v>
      </c>
    </row>
    <row r="197" spans="1:12" x14ac:dyDescent="0.3">
      <c r="A197"/>
      <c r="B197"/>
      <c r="C197"/>
      <c r="D197"/>
      <c r="E197"/>
      <c r="L197" s="168" t="str">
        <f>IFERROR(VLOOKUP($H197,PARAMETERS!$M$3:$M$524,1,0),"---")</f>
        <v>---</v>
      </c>
    </row>
    <row r="198" spans="1:12" x14ac:dyDescent="0.3">
      <c r="A198"/>
      <c r="B198"/>
      <c r="C198"/>
      <c r="D198"/>
      <c r="E198"/>
      <c r="L198" s="168" t="str">
        <f>IFERROR(VLOOKUP($H198,PARAMETERS!$M$3:$M$524,1,0),"---")</f>
        <v>---</v>
      </c>
    </row>
    <row r="199" spans="1:12" x14ac:dyDescent="0.3">
      <c r="A199"/>
      <c r="B199"/>
      <c r="C199"/>
      <c r="D199"/>
      <c r="E199"/>
      <c r="L199" s="168" t="str">
        <f>IFERROR(VLOOKUP($H199,PARAMETERS!$M$3:$M$524,1,0),"---")</f>
        <v>---</v>
      </c>
    </row>
    <row r="200" spans="1:12" x14ac:dyDescent="0.3">
      <c r="A200"/>
      <c r="B200"/>
      <c r="C200"/>
      <c r="D200"/>
      <c r="E200"/>
      <c r="L200" s="168" t="str">
        <f>IFERROR(VLOOKUP($H200,PARAMETERS!$M$3:$M$524,1,0),"---")</f>
        <v>---</v>
      </c>
    </row>
    <row r="201" spans="1:12" x14ac:dyDescent="0.3">
      <c r="A201"/>
      <c r="B201"/>
      <c r="C201"/>
      <c r="D201"/>
      <c r="E201"/>
      <c r="L201" s="168" t="str">
        <f>IFERROR(VLOOKUP($H201,PARAMETERS!$M$3:$M$524,1,0),"---")</f>
        <v>---</v>
      </c>
    </row>
    <row r="202" spans="1:12" x14ac:dyDescent="0.3">
      <c r="A202"/>
      <c r="B202"/>
      <c r="C202"/>
      <c r="D202"/>
      <c r="E202"/>
      <c r="L202" s="168" t="str">
        <f>IFERROR(VLOOKUP($H202,PARAMETERS!$M$3:$M$524,1,0),"---")</f>
        <v>---</v>
      </c>
    </row>
    <row r="203" spans="1:12" x14ac:dyDescent="0.3">
      <c r="A203"/>
      <c r="B203"/>
      <c r="C203"/>
      <c r="D203"/>
      <c r="E203"/>
      <c r="L203" s="168" t="str">
        <f>IFERROR(VLOOKUP($H203,PARAMETERS!$M$3:$M$524,1,0),"---")</f>
        <v>---</v>
      </c>
    </row>
    <row r="204" spans="1:12" x14ac:dyDescent="0.3">
      <c r="A204"/>
      <c r="B204"/>
      <c r="C204"/>
      <c r="D204"/>
      <c r="E204"/>
      <c r="L204" s="168" t="str">
        <f>IFERROR(VLOOKUP($H204,PARAMETERS!$M$3:$M$524,1,0),"---")</f>
        <v>---</v>
      </c>
    </row>
    <row r="205" spans="1:12" x14ac:dyDescent="0.3">
      <c r="A205"/>
      <c r="B205"/>
      <c r="C205"/>
      <c r="D205"/>
      <c r="E205"/>
      <c r="L205" s="168" t="str">
        <f>IFERROR(VLOOKUP($H205,PARAMETERS!$M$3:$M$524,1,0),"---")</f>
        <v>---</v>
      </c>
    </row>
    <row r="206" spans="1:12" x14ac:dyDescent="0.3">
      <c r="A206"/>
      <c r="B206"/>
      <c r="C206"/>
      <c r="D206"/>
      <c r="E206"/>
      <c r="L206" s="168" t="str">
        <f>IFERROR(VLOOKUP($H206,PARAMETERS!$M$3:$M$524,1,0),"---")</f>
        <v>---</v>
      </c>
    </row>
    <row r="207" spans="1:12" x14ac:dyDescent="0.3">
      <c r="A207"/>
      <c r="B207"/>
      <c r="C207"/>
      <c r="D207"/>
      <c r="E207"/>
      <c r="L207" s="168" t="str">
        <f>IFERROR(VLOOKUP($H207,PARAMETERS!$M$3:$M$524,1,0),"---")</f>
        <v>---</v>
      </c>
    </row>
    <row r="208" spans="1:12" x14ac:dyDescent="0.3">
      <c r="A208"/>
      <c r="B208"/>
      <c r="C208"/>
      <c r="D208"/>
      <c r="E208"/>
      <c r="L208" s="168" t="str">
        <f>IFERROR(VLOOKUP($H208,PARAMETERS!$M$3:$M$524,1,0),"---")</f>
        <v>---</v>
      </c>
    </row>
    <row r="209" spans="1:12" x14ac:dyDescent="0.3">
      <c r="A209"/>
      <c r="B209"/>
      <c r="C209"/>
      <c r="D209"/>
      <c r="E209"/>
      <c r="L209" s="168" t="str">
        <f>IFERROR(VLOOKUP($H209,PARAMETERS!$M$3:$M$524,1,0),"---")</f>
        <v>---</v>
      </c>
    </row>
    <row r="210" spans="1:12" x14ac:dyDescent="0.3">
      <c r="A210"/>
      <c r="B210"/>
      <c r="C210"/>
      <c r="D210"/>
      <c r="E210"/>
      <c r="L210" s="168" t="str">
        <f>IFERROR(VLOOKUP($H210,PARAMETERS!$M$3:$M$524,1,0),"---")</f>
        <v>---</v>
      </c>
    </row>
    <row r="211" spans="1:12" x14ac:dyDescent="0.3">
      <c r="A211"/>
      <c r="B211"/>
      <c r="C211"/>
      <c r="D211"/>
      <c r="E211"/>
      <c r="L211" s="168" t="str">
        <f>IFERROR(VLOOKUP($H211,PARAMETERS!$M$3:$M$524,1,0),"---")</f>
        <v>---</v>
      </c>
    </row>
    <row r="212" spans="1:12" x14ac:dyDescent="0.3">
      <c r="A212"/>
      <c r="B212"/>
      <c r="C212"/>
      <c r="D212"/>
      <c r="E212"/>
      <c r="L212" s="168" t="str">
        <f>IFERROR(VLOOKUP($H212,PARAMETERS!$M$3:$M$524,1,0),"---")</f>
        <v>---</v>
      </c>
    </row>
    <row r="213" spans="1:12" x14ac:dyDescent="0.3">
      <c r="A213"/>
      <c r="B213"/>
      <c r="C213"/>
      <c r="D213"/>
      <c r="E213"/>
      <c r="L213" s="168" t="str">
        <f>IFERROR(VLOOKUP($H213,PARAMETERS!$M$3:$M$524,1,0),"---")</f>
        <v>---</v>
      </c>
    </row>
    <row r="214" spans="1:12" x14ac:dyDescent="0.3">
      <c r="A214"/>
      <c r="B214"/>
      <c r="C214"/>
      <c r="D214"/>
      <c r="E214"/>
      <c r="L214" s="168" t="str">
        <f>IFERROR(VLOOKUP($H214,PARAMETERS!$M$3:$M$524,1,0),"---")</f>
        <v>---</v>
      </c>
    </row>
    <row r="215" spans="1:12" x14ac:dyDescent="0.3">
      <c r="A215"/>
      <c r="B215"/>
      <c r="C215"/>
      <c r="D215"/>
      <c r="E215"/>
      <c r="L215" s="168" t="str">
        <f>IFERROR(VLOOKUP($H215,PARAMETERS!$M$3:$M$524,1,0),"---")</f>
        <v>---</v>
      </c>
    </row>
    <row r="216" spans="1:12" x14ac:dyDescent="0.3">
      <c r="A216"/>
      <c r="B216"/>
      <c r="C216"/>
      <c r="D216"/>
      <c r="E216"/>
      <c r="L216" s="168" t="str">
        <f>IFERROR(VLOOKUP($H216,PARAMETERS!$M$3:$M$524,1,0),"---")</f>
        <v>---</v>
      </c>
    </row>
    <row r="217" spans="1:12" x14ac:dyDescent="0.3">
      <c r="A217"/>
      <c r="B217"/>
      <c r="C217"/>
      <c r="D217"/>
      <c r="E217"/>
      <c r="L217" s="168" t="str">
        <f>IFERROR(VLOOKUP($H217,PARAMETERS!$M$3:$M$524,1,0),"---")</f>
        <v>---</v>
      </c>
    </row>
    <row r="218" spans="1:12" x14ac:dyDescent="0.3">
      <c r="A218"/>
      <c r="B218"/>
      <c r="C218"/>
      <c r="D218"/>
      <c r="E218"/>
      <c r="L218" s="168" t="str">
        <f>IFERROR(VLOOKUP($H218,PARAMETERS!$M$3:$M$524,1,0),"---")</f>
        <v>---</v>
      </c>
    </row>
    <row r="219" spans="1:12" x14ac:dyDescent="0.3">
      <c r="A219"/>
      <c r="B219"/>
      <c r="C219"/>
      <c r="D219"/>
      <c r="E219"/>
      <c r="L219" s="168" t="str">
        <f>IFERROR(VLOOKUP($H219,PARAMETERS!$M$3:$M$524,1,0),"---")</f>
        <v>---</v>
      </c>
    </row>
    <row r="220" spans="1:12" x14ac:dyDescent="0.3">
      <c r="A220"/>
      <c r="B220"/>
      <c r="C220"/>
      <c r="D220"/>
      <c r="E220"/>
      <c r="L220" s="168" t="str">
        <f>IFERROR(VLOOKUP($H220,PARAMETERS!$M$3:$M$524,1,0),"---")</f>
        <v>---</v>
      </c>
    </row>
    <row r="221" spans="1:12" x14ac:dyDescent="0.3">
      <c r="A221"/>
      <c r="B221"/>
      <c r="C221"/>
      <c r="D221"/>
      <c r="E221"/>
      <c r="L221" s="168" t="str">
        <f>IFERROR(VLOOKUP($H221,PARAMETERS!$M$3:$M$524,1,0),"---")</f>
        <v>---</v>
      </c>
    </row>
    <row r="222" spans="1:12" x14ac:dyDescent="0.3">
      <c r="A222"/>
      <c r="B222"/>
      <c r="C222"/>
      <c r="D222"/>
      <c r="E222"/>
      <c r="L222" s="168" t="str">
        <f>IFERROR(VLOOKUP($H222,PARAMETERS!$M$3:$M$524,1,0),"---")</f>
        <v>---</v>
      </c>
    </row>
    <row r="223" spans="1:12" x14ac:dyDescent="0.3">
      <c r="A223"/>
      <c r="B223"/>
      <c r="C223"/>
      <c r="D223"/>
      <c r="E223"/>
      <c r="L223" s="168" t="str">
        <f>IFERROR(VLOOKUP($H223,PARAMETERS!$M$3:$M$524,1,0),"---")</f>
        <v>---</v>
      </c>
    </row>
    <row r="224" spans="1:12" x14ac:dyDescent="0.3">
      <c r="A224"/>
      <c r="B224"/>
      <c r="C224"/>
      <c r="D224"/>
      <c r="E224"/>
      <c r="L224" s="168" t="str">
        <f>IFERROR(VLOOKUP($H224,PARAMETERS!$M$3:$M$524,1,0),"---")</f>
        <v>---</v>
      </c>
    </row>
    <row r="225" spans="1:12" x14ac:dyDescent="0.3">
      <c r="A225"/>
      <c r="B225"/>
      <c r="C225"/>
      <c r="D225"/>
      <c r="E225"/>
      <c r="L225" s="168" t="str">
        <f>IFERROR(VLOOKUP($H225,PARAMETERS!$M$3:$M$524,1,0),"---")</f>
        <v>---</v>
      </c>
    </row>
    <row r="226" spans="1:12" x14ac:dyDescent="0.3">
      <c r="A226"/>
      <c r="B226"/>
      <c r="C226"/>
      <c r="D226"/>
      <c r="E226"/>
      <c r="L226" s="168" t="str">
        <f>IFERROR(VLOOKUP($H226,PARAMETERS!$M$3:$M$524,1,0),"---")</f>
        <v>---</v>
      </c>
    </row>
    <row r="227" spans="1:12" x14ac:dyDescent="0.3">
      <c r="A227"/>
      <c r="B227"/>
      <c r="C227"/>
      <c r="D227"/>
      <c r="E227"/>
      <c r="L227" s="168" t="str">
        <f>IFERROR(VLOOKUP($H227,PARAMETERS!$M$3:$M$524,1,0),"---")</f>
        <v>---</v>
      </c>
    </row>
    <row r="228" spans="1:12" x14ac:dyDescent="0.3">
      <c r="A228"/>
      <c r="B228"/>
      <c r="C228"/>
      <c r="D228"/>
      <c r="E228"/>
      <c r="L228" s="168" t="str">
        <f>IFERROR(VLOOKUP($H228,PARAMETERS!$M$3:$M$524,1,0),"---")</f>
        <v>---</v>
      </c>
    </row>
    <row r="229" spans="1:12" x14ac:dyDescent="0.3">
      <c r="A229"/>
      <c r="B229"/>
      <c r="C229"/>
      <c r="D229"/>
      <c r="E229"/>
      <c r="L229" s="168" t="str">
        <f>IFERROR(VLOOKUP($H229,PARAMETERS!$M$3:$M$524,1,0),"---")</f>
        <v>---</v>
      </c>
    </row>
    <row r="230" spans="1:12" x14ac:dyDescent="0.3">
      <c r="A230"/>
      <c r="B230"/>
      <c r="C230"/>
      <c r="D230"/>
      <c r="E230"/>
      <c r="L230" s="168" t="str">
        <f>IFERROR(VLOOKUP($H230,PARAMETERS!$M$3:$M$524,1,0),"---")</f>
        <v>---</v>
      </c>
    </row>
    <row r="231" spans="1:12" x14ac:dyDescent="0.3">
      <c r="A231"/>
      <c r="B231"/>
      <c r="C231"/>
      <c r="D231"/>
      <c r="E231"/>
      <c r="L231" s="168" t="str">
        <f>IFERROR(VLOOKUP($H231,PARAMETERS!$M$3:$M$524,1,0),"---")</f>
        <v>---</v>
      </c>
    </row>
    <row r="232" spans="1:12" x14ac:dyDescent="0.3">
      <c r="A232"/>
      <c r="B232"/>
      <c r="C232"/>
      <c r="D232"/>
      <c r="E232"/>
      <c r="L232" s="168" t="str">
        <f>IFERROR(VLOOKUP($H232,PARAMETERS!$M$3:$M$524,1,0),"---")</f>
        <v>---</v>
      </c>
    </row>
    <row r="233" spans="1:12" x14ac:dyDescent="0.3">
      <c r="A233"/>
      <c r="B233"/>
      <c r="C233"/>
      <c r="D233"/>
      <c r="E233"/>
      <c r="L233" s="168" t="str">
        <f>IFERROR(VLOOKUP($H233,PARAMETERS!$M$3:$M$524,1,0),"---")</f>
        <v>---</v>
      </c>
    </row>
    <row r="234" spans="1:12" x14ac:dyDescent="0.3">
      <c r="A234"/>
      <c r="B234"/>
      <c r="C234"/>
      <c r="D234"/>
      <c r="E234"/>
      <c r="L234" s="168" t="str">
        <f>IFERROR(VLOOKUP($H234,PARAMETERS!$M$3:$M$524,1,0),"---")</f>
        <v>---</v>
      </c>
    </row>
    <row r="235" spans="1:12" x14ac:dyDescent="0.3">
      <c r="A235"/>
      <c r="B235"/>
      <c r="C235"/>
      <c r="D235"/>
      <c r="E235"/>
      <c r="L235" s="168" t="str">
        <f>IFERROR(VLOOKUP($H235,PARAMETERS!$M$3:$M$524,1,0),"---")</f>
        <v>---</v>
      </c>
    </row>
    <row r="236" spans="1:12" x14ac:dyDescent="0.3">
      <c r="A236"/>
      <c r="B236"/>
      <c r="C236"/>
      <c r="D236"/>
      <c r="E236"/>
      <c r="L236" s="168" t="str">
        <f>IFERROR(VLOOKUP($H236,PARAMETERS!$M$3:$M$524,1,0),"---")</f>
        <v>---</v>
      </c>
    </row>
    <row r="237" spans="1:12" x14ac:dyDescent="0.3">
      <c r="A237"/>
      <c r="B237"/>
      <c r="C237"/>
      <c r="D237"/>
      <c r="E237"/>
      <c r="L237" s="168" t="str">
        <f>IFERROR(VLOOKUP($H237,PARAMETERS!$M$3:$M$524,1,0),"---")</f>
        <v>---</v>
      </c>
    </row>
    <row r="238" spans="1:12" x14ac:dyDescent="0.3">
      <c r="A238"/>
      <c r="B238"/>
      <c r="C238"/>
      <c r="D238"/>
      <c r="E238"/>
      <c r="L238" s="168" t="str">
        <f>IFERROR(VLOOKUP($H238,PARAMETERS!$M$3:$M$524,1,0),"---")</f>
        <v>---</v>
      </c>
    </row>
    <row r="239" spans="1:12" x14ac:dyDescent="0.3">
      <c r="A239"/>
      <c r="B239"/>
      <c r="C239"/>
      <c r="D239"/>
      <c r="E239"/>
      <c r="L239" s="168" t="str">
        <f>IFERROR(VLOOKUP($H239,PARAMETERS!$M$3:$M$524,1,0),"---")</f>
        <v>---</v>
      </c>
    </row>
    <row r="240" spans="1:12" x14ac:dyDescent="0.3">
      <c r="A240"/>
      <c r="B240"/>
      <c r="C240"/>
      <c r="D240"/>
      <c r="E240"/>
      <c r="L240" s="168" t="str">
        <f>IFERROR(VLOOKUP($H240,PARAMETERS!$M$3:$M$524,1,0),"---")</f>
        <v>---</v>
      </c>
    </row>
    <row r="241" spans="1:12" x14ac:dyDescent="0.3">
      <c r="A241"/>
      <c r="B241"/>
      <c r="C241"/>
      <c r="D241"/>
      <c r="E241"/>
      <c r="L241" s="168" t="str">
        <f>IFERROR(VLOOKUP($H241,PARAMETERS!$M$3:$M$524,1,0),"---")</f>
        <v>---</v>
      </c>
    </row>
    <row r="242" spans="1:12" x14ac:dyDescent="0.3">
      <c r="A242"/>
      <c r="B242"/>
      <c r="C242"/>
      <c r="D242"/>
      <c r="E242"/>
      <c r="L242" s="168" t="str">
        <f>IFERROR(VLOOKUP($H242,PARAMETERS!$M$3:$M$524,1,0),"---")</f>
        <v>---</v>
      </c>
    </row>
    <row r="243" spans="1:12" x14ac:dyDescent="0.3">
      <c r="A243"/>
      <c r="B243"/>
      <c r="C243"/>
      <c r="D243"/>
      <c r="E243"/>
      <c r="L243" s="168" t="str">
        <f>IFERROR(VLOOKUP($H243,PARAMETERS!$M$3:$M$524,1,0),"---")</f>
        <v>---</v>
      </c>
    </row>
    <row r="244" spans="1:12" x14ac:dyDescent="0.3">
      <c r="A244"/>
      <c r="B244"/>
      <c r="C244"/>
      <c r="D244"/>
      <c r="E244"/>
      <c r="L244" s="168" t="str">
        <f>IFERROR(VLOOKUP($H244,PARAMETERS!$M$3:$M$524,1,0),"---")</f>
        <v>---</v>
      </c>
    </row>
    <row r="245" spans="1:12" x14ac:dyDescent="0.3">
      <c r="A245"/>
      <c r="B245"/>
      <c r="C245"/>
      <c r="D245"/>
      <c r="E245"/>
      <c r="L245" s="168" t="str">
        <f>IFERROR(VLOOKUP($H245,PARAMETERS!$M$3:$M$524,1,0),"---")</f>
        <v>---</v>
      </c>
    </row>
    <row r="246" spans="1:12" x14ac:dyDescent="0.3">
      <c r="A246"/>
      <c r="B246"/>
      <c r="C246"/>
      <c r="D246"/>
      <c r="E246"/>
      <c r="L246" s="168" t="str">
        <f>IFERROR(VLOOKUP($H246,PARAMETERS!$M$3:$M$524,1,0),"---")</f>
        <v>---</v>
      </c>
    </row>
    <row r="247" spans="1:12" x14ac:dyDescent="0.3">
      <c r="A247"/>
      <c r="B247"/>
      <c r="C247"/>
      <c r="D247"/>
      <c r="E247"/>
      <c r="L247" s="168" t="str">
        <f>IFERROR(VLOOKUP($H247,PARAMETERS!$M$3:$M$524,1,0),"---")</f>
        <v>---</v>
      </c>
    </row>
    <row r="248" spans="1:12" x14ac:dyDescent="0.3">
      <c r="A248"/>
      <c r="B248"/>
      <c r="C248"/>
      <c r="D248"/>
      <c r="E248"/>
      <c r="L248" s="168" t="str">
        <f>IFERROR(VLOOKUP($H248,PARAMETERS!$M$3:$M$524,1,0),"---")</f>
        <v>---</v>
      </c>
    </row>
    <row r="249" spans="1:12" x14ac:dyDescent="0.3">
      <c r="A249"/>
      <c r="B249"/>
      <c r="C249"/>
      <c r="D249"/>
      <c r="E249"/>
      <c r="L249" s="168" t="str">
        <f>IFERROR(VLOOKUP($H249,PARAMETERS!$M$3:$M$524,1,0),"---")</f>
        <v>---</v>
      </c>
    </row>
    <row r="250" spans="1:12" x14ac:dyDescent="0.3">
      <c r="A250"/>
      <c r="B250"/>
      <c r="C250"/>
      <c r="D250"/>
      <c r="E250"/>
      <c r="L250" s="168" t="str">
        <f>IFERROR(VLOOKUP($H250,PARAMETERS!$M$3:$M$524,1,0),"---")</f>
        <v>---</v>
      </c>
    </row>
    <row r="251" spans="1:12" x14ac:dyDescent="0.3">
      <c r="A251"/>
      <c r="B251"/>
      <c r="C251"/>
      <c r="D251"/>
      <c r="E251"/>
      <c r="L251" s="168" t="str">
        <f>IFERROR(VLOOKUP($H251,PARAMETERS!$M$3:$M$524,1,0),"---")</f>
        <v>---</v>
      </c>
    </row>
    <row r="252" spans="1:12" x14ac:dyDescent="0.3">
      <c r="A252"/>
      <c r="B252"/>
      <c r="C252"/>
      <c r="D252"/>
      <c r="E252"/>
      <c r="L252" s="168" t="str">
        <f>IFERROR(VLOOKUP($H252,PARAMETERS!$M$3:$M$524,1,0),"---")</f>
        <v>---</v>
      </c>
    </row>
    <row r="253" spans="1:12" x14ac:dyDescent="0.3">
      <c r="A253"/>
      <c r="B253"/>
      <c r="C253"/>
      <c r="D253"/>
      <c r="E253"/>
      <c r="L253" s="168" t="str">
        <f>IFERROR(VLOOKUP($H253,PARAMETERS!$M$3:$M$524,1,0),"---")</f>
        <v>---</v>
      </c>
    </row>
    <row r="254" spans="1:12" x14ac:dyDescent="0.3">
      <c r="A254"/>
      <c r="B254"/>
      <c r="C254"/>
      <c r="D254"/>
      <c r="E254"/>
      <c r="L254" s="168" t="str">
        <f>IFERROR(VLOOKUP($H254,PARAMETERS!$M$3:$M$524,1,0),"---")</f>
        <v>---</v>
      </c>
    </row>
    <row r="255" spans="1:12" x14ac:dyDescent="0.3">
      <c r="A255"/>
      <c r="B255"/>
      <c r="C255"/>
      <c r="D255"/>
      <c r="E255"/>
      <c r="L255" s="168" t="str">
        <f>IFERROR(VLOOKUP($H255,PARAMETERS!$M$3:$M$524,1,0),"---")</f>
        <v>---</v>
      </c>
    </row>
    <row r="256" spans="1:12" x14ac:dyDescent="0.3">
      <c r="A256"/>
      <c r="B256"/>
      <c r="C256"/>
      <c r="D256"/>
      <c r="E256"/>
      <c r="L256" s="168" t="str">
        <f>IFERROR(VLOOKUP($H256,PARAMETERS!$M$3:$M$524,1,0),"---")</f>
        <v>---</v>
      </c>
    </row>
    <row r="257" spans="1:12" x14ac:dyDescent="0.3">
      <c r="A257"/>
      <c r="B257"/>
      <c r="C257"/>
      <c r="D257"/>
      <c r="E257"/>
      <c r="L257" s="168" t="str">
        <f>IFERROR(VLOOKUP($H257,PARAMETERS!$M$3:$M$524,1,0),"---")</f>
        <v>---</v>
      </c>
    </row>
    <row r="258" spans="1:12" x14ac:dyDescent="0.3">
      <c r="A258"/>
      <c r="B258"/>
      <c r="C258"/>
      <c r="D258"/>
      <c r="E258"/>
      <c r="L258" s="168" t="str">
        <f>IFERROR(VLOOKUP($H258,PARAMETERS!$M$3:$M$524,1,0),"---")</f>
        <v>---</v>
      </c>
    </row>
    <row r="259" spans="1:12" x14ac:dyDescent="0.3">
      <c r="A259"/>
      <c r="B259"/>
      <c r="C259"/>
      <c r="D259"/>
      <c r="E259"/>
      <c r="L259" s="168" t="str">
        <f>IFERROR(VLOOKUP($H259,PARAMETERS!$M$3:$M$524,1,0),"---")</f>
        <v>---</v>
      </c>
    </row>
    <row r="260" spans="1:12" x14ac:dyDescent="0.3">
      <c r="A260"/>
      <c r="B260"/>
      <c r="C260"/>
      <c r="D260"/>
      <c r="E260"/>
      <c r="L260" s="168" t="str">
        <f>IFERROR(VLOOKUP($H260,PARAMETERS!$M$3:$M$524,1,0),"---")</f>
        <v>---</v>
      </c>
    </row>
    <row r="261" spans="1:12" x14ac:dyDescent="0.3">
      <c r="A261"/>
      <c r="B261"/>
      <c r="C261"/>
      <c r="D261"/>
      <c r="E261"/>
      <c r="L261" s="168" t="str">
        <f>IFERROR(VLOOKUP($H261,PARAMETERS!$M$3:$M$524,1,0),"---")</f>
        <v>---</v>
      </c>
    </row>
    <row r="262" spans="1:12" x14ac:dyDescent="0.3">
      <c r="A262"/>
      <c r="B262"/>
      <c r="C262"/>
      <c r="D262"/>
      <c r="E262"/>
      <c r="L262" s="168" t="str">
        <f>IFERROR(VLOOKUP($H262,PARAMETERS!$M$3:$M$524,1,0),"---")</f>
        <v>---</v>
      </c>
    </row>
    <row r="263" spans="1:12" x14ac:dyDescent="0.3">
      <c r="A263"/>
      <c r="B263"/>
      <c r="C263"/>
      <c r="D263"/>
      <c r="E263"/>
      <c r="L263" s="168" t="str">
        <f>IFERROR(VLOOKUP($H263,PARAMETERS!$M$3:$M$524,1,0),"---")</f>
        <v>---</v>
      </c>
    </row>
    <row r="264" spans="1:12" x14ac:dyDescent="0.3">
      <c r="A264"/>
      <c r="B264"/>
      <c r="C264"/>
      <c r="D264"/>
      <c r="E264"/>
      <c r="L264" s="168" t="str">
        <f>IFERROR(VLOOKUP($H264,PARAMETERS!$M$3:$M$524,1,0),"---")</f>
        <v>---</v>
      </c>
    </row>
    <row r="265" spans="1:12" x14ac:dyDescent="0.3">
      <c r="A265"/>
      <c r="B265"/>
      <c r="C265"/>
      <c r="D265"/>
      <c r="E265"/>
      <c r="L265" s="168" t="str">
        <f>IFERROR(VLOOKUP($H265,PARAMETERS!$M$3:$M$524,1,0),"---")</f>
        <v>---</v>
      </c>
    </row>
    <row r="266" spans="1:12" x14ac:dyDescent="0.3">
      <c r="A266"/>
      <c r="B266"/>
      <c r="C266"/>
      <c r="D266"/>
      <c r="E266"/>
      <c r="L266" s="168" t="str">
        <f>IFERROR(VLOOKUP($H266,PARAMETERS!$M$3:$M$524,1,0),"---")</f>
        <v>---</v>
      </c>
    </row>
    <row r="267" spans="1:12" x14ac:dyDescent="0.3">
      <c r="A267"/>
      <c r="B267"/>
      <c r="C267"/>
      <c r="D267"/>
      <c r="E267"/>
      <c r="L267" s="168" t="str">
        <f>IFERROR(VLOOKUP($H267,PARAMETERS!$M$3:$M$524,1,0),"---")</f>
        <v>---</v>
      </c>
    </row>
    <row r="268" spans="1:12" x14ac:dyDescent="0.3">
      <c r="A268"/>
      <c r="B268"/>
      <c r="C268"/>
      <c r="D268"/>
      <c r="E268"/>
      <c r="L268" s="168" t="str">
        <f>IFERROR(VLOOKUP($H268,PARAMETERS!$M$3:$M$524,1,0),"---")</f>
        <v>---</v>
      </c>
    </row>
    <row r="269" spans="1:12" x14ac:dyDescent="0.3">
      <c r="A269"/>
      <c r="B269"/>
      <c r="C269"/>
      <c r="D269"/>
      <c r="E269"/>
      <c r="L269" s="168" t="str">
        <f>IFERROR(VLOOKUP($H269,PARAMETERS!$M$3:$M$524,1,0),"---")</f>
        <v>---</v>
      </c>
    </row>
    <row r="270" spans="1:12" x14ac:dyDescent="0.3">
      <c r="A270"/>
      <c r="B270"/>
      <c r="C270"/>
      <c r="D270"/>
      <c r="E270"/>
      <c r="L270" s="168" t="str">
        <f>IFERROR(VLOOKUP($H270,PARAMETERS!$M$3:$M$524,1,0),"---")</f>
        <v>---</v>
      </c>
    </row>
    <row r="271" spans="1:12" x14ac:dyDescent="0.3">
      <c r="A271"/>
      <c r="B271"/>
      <c r="C271"/>
      <c r="D271"/>
      <c r="E271"/>
      <c r="L271" s="168" t="str">
        <f>IFERROR(VLOOKUP($H271,PARAMETERS!$M$3:$M$524,1,0),"---")</f>
        <v>---</v>
      </c>
    </row>
    <row r="272" spans="1:12" x14ac:dyDescent="0.3">
      <c r="A272"/>
      <c r="B272"/>
      <c r="C272"/>
      <c r="D272"/>
      <c r="E272"/>
      <c r="L272" s="168" t="str">
        <f>IFERROR(VLOOKUP($H272,PARAMETERS!$M$3:$M$524,1,0),"---")</f>
        <v>---</v>
      </c>
    </row>
    <row r="273" spans="1:12" x14ac:dyDescent="0.3">
      <c r="A273"/>
      <c r="B273"/>
      <c r="C273"/>
      <c r="D273"/>
      <c r="E273"/>
      <c r="L273" s="168" t="str">
        <f>IFERROR(VLOOKUP($H273,PARAMETERS!$M$3:$M$524,1,0),"---")</f>
        <v>---</v>
      </c>
    </row>
    <row r="274" spans="1:12" x14ac:dyDescent="0.3">
      <c r="A274"/>
      <c r="B274"/>
      <c r="C274"/>
      <c r="D274"/>
      <c r="E274"/>
      <c r="L274" s="168" t="str">
        <f>IFERROR(VLOOKUP($H274,PARAMETERS!$M$3:$M$524,1,0),"---")</f>
        <v>---</v>
      </c>
    </row>
    <row r="275" spans="1:12" x14ac:dyDescent="0.3">
      <c r="A275"/>
      <c r="B275"/>
      <c r="C275"/>
      <c r="D275"/>
      <c r="E275"/>
      <c r="L275" s="168" t="str">
        <f>IFERROR(VLOOKUP($H275,PARAMETERS!$M$3:$M$524,1,0),"---")</f>
        <v>---</v>
      </c>
    </row>
    <row r="276" spans="1:12" x14ac:dyDescent="0.3">
      <c r="A276"/>
      <c r="B276"/>
      <c r="C276"/>
      <c r="D276"/>
      <c r="E276"/>
      <c r="L276" s="168" t="str">
        <f>IFERROR(VLOOKUP($H276,PARAMETERS!$M$3:$M$524,1,0),"---")</f>
        <v>---</v>
      </c>
    </row>
    <row r="277" spans="1:12" x14ac:dyDescent="0.3">
      <c r="A277"/>
      <c r="B277"/>
      <c r="C277"/>
      <c r="D277"/>
      <c r="E277"/>
      <c r="L277" s="168" t="str">
        <f>IFERROR(VLOOKUP($H277,PARAMETERS!$M$3:$M$524,1,0),"---")</f>
        <v>---</v>
      </c>
    </row>
    <row r="278" spans="1:12" x14ac:dyDescent="0.3">
      <c r="A278"/>
      <c r="B278"/>
      <c r="C278"/>
      <c r="D278"/>
      <c r="E278"/>
      <c r="L278" s="168" t="str">
        <f>IFERROR(VLOOKUP($H278,PARAMETERS!$M$3:$M$524,1,0),"---")</f>
        <v>---</v>
      </c>
    </row>
    <row r="279" spans="1:12" x14ac:dyDescent="0.3">
      <c r="A279"/>
      <c r="B279"/>
      <c r="C279"/>
      <c r="D279"/>
      <c r="E279"/>
      <c r="L279" s="168" t="str">
        <f>IFERROR(VLOOKUP($H279,PARAMETERS!$M$3:$M$524,1,0),"---")</f>
        <v>---</v>
      </c>
    </row>
    <row r="280" spans="1:12" x14ac:dyDescent="0.3">
      <c r="A280"/>
      <c r="B280"/>
      <c r="C280"/>
      <c r="D280"/>
      <c r="E280"/>
      <c r="L280" s="168" t="str">
        <f>IFERROR(VLOOKUP($H280,PARAMETERS!$M$3:$M$524,1,0),"---")</f>
        <v>---</v>
      </c>
    </row>
    <row r="281" spans="1:12" x14ac:dyDescent="0.3">
      <c r="A281"/>
      <c r="B281"/>
      <c r="C281"/>
      <c r="D281"/>
      <c r="E281"/>
      <c r="L281" s="168" t="str">
        <f>IFERROR(VLOOKUP($H281,PARAMETERS!$M$3:$M$524,1,0),"---")</f>
        <v>---</v>
      </c>
    </row>
    <row r="282" spans="1:12" x14ac:dyDescent="0.3">
      <c r="A282"/>
      <c r="B282"/>
      <c r="C282"/>
      <c r="D282"/>
      <c r="E282"/>
      <c r="L282" s="168" t="str">
        <f>IFERROR(VLOOKUP($H282,PARAMETERS!$M$3:$M$524,1,0),"---")</f>
        <v>---</v>
      </c>
    </row>
    <row r="283" spans="1:12" x14ac:dyDescent="0.3">
      <c r="A283"/>
      <c r="B283"/>
      <c r="C283"/>
      <c r="D283"/>
      <c r="E283"/>
      <c r="L283" s="168" t="str">
        <f>IFERROR(VLOOKUP($H283,PARAMETERS!$M$3:$M$524,1,0),"---")</f>
        <v>---</v>
      </c>
    </row>
    <row r="284" spans="1:12" x14ac:dyDescent="0.3">
      <c r="A284"/>
      <c r="B284"/>
      <c r="C284"/>
      <c r="D284"/>
      <c r="E284"/>
      <c r="L284" s="168" t="str">
        <f>IFERROR(VLOOKUP($H284,PARAMETERS!$M$3:$M$524,1,0),"---")</f>
        <v>---</v>
      </c>
    </row>
    <row r="285" spans="1:12" x14ac:dyDescent="0.3">
      <c r="A285"/>
      <c r="B285"/>
      <c r="C285"/>
      <c r="D285"/>
      <c r="E285"/>
      <c r="L285" s="168" t="str">
        <f>IFERROR(VLOOKUP($H285,PARAMETERS!$M$3:$M$524,1,0),"---")</f>
        <v>---</v>
      </c>
    </row>
    <row r="286" spans="1:12" x14ac:dyDescent="0.3">
      <c r="A286"/>
      <c r="B286"/>
      <c r="C286"/>
      <c r="D286"/>
      <c r="E286"/>
      <c r="L286" s="168" t="str">
        <f>IFERROR(VLOOKUP($H286,PARAMETERS!$M$3:$M$524,1,0),"---")</f>
        <v>---</v>
      </c>
    </row>
    <row r="287" spans="1:12" x14ac:dyDescent="0.3">
      <c r="A287"/>
      <c r="B287"/>
      <c r="C287"/>
      <c r="D287"/>
      <c r="E287"/>
      <c r="L287" s="168" t="str">
        <f>IFERROR(VLOOKUP($H287,PARAMETERS!$M$3:$M$524,1,0),"---")</f>
        <v>---</v>
      </c>
    </row>
    <row r="288" spans="1:12" x14ac:dyDescent="0.3">
      <c r="A288"/>
      <c r="B288"/>
      <c r="C288"/>
      <c r="D288"/>
      <c r="E288"/>
      <c r="L288" s="168" t="str">
        <f>IFERROR(VLOOKUP($H288,PARAMETERS!$M$3:$M$524,1,0),"---")</f>
        <v>---</v>
      </c>
    </row>
    <row r="289" spans="1:12" x14ac:dyDescent="0.3">
      <c r="A289"/>
      <c r="B289"/>
      <c r="C289"/>
      <c r="D289"/>
      <c r="E289"/>
      <c r="L289" s="168" t="str">
        <f>IFERROR(VLOOKUP($H289,PARAMETERS!$M$3:$M$524,1,0),"---")</f>
        <v>---</v>
      </c>
    </row>
    <row r="290" spans="1:12" x14ac:dyDescent="0.3">
      <c r="A290"/>
      <c r="B290"/>
      <c r="C290"/>
      <c r="D290"/>
      <c r="E290"/>
      <c r="L290" s="168" t="str">
        <f>IFERROR(VLOOKUP($H290,PARAMETERS!$M$3:$M$524,1,0),"---")</f>
        <v>---</v>
      </c>
    </row>
    <row r="291" spans="1:12" x14ac:dyDescent="0.3">
      <c r="A291"/>
      <c r="B291"/>
      <c r="C291"/>
      <c r="D291"/>
      <c r="E291"/>
      <c r="L291" s="168" t="str">
        <f>IFERROR(VLOOKUP($H291,PARAMETERS!$M$3:$M$524,1,0),"---")</f>
        <v>---</v>
      </c>
    </row>
    <row r="292" spans="1:12" x14ac:dyDescent="0.3">
      <c r="A292"/>
      <c r="B292"/>
      <c r="C292"/>
      <c r="D292"/>
      <c r="E292"/>
      <c r="L292" s="168" t="str">
        <f>IFERROR(VLOOKUP($H292,PARAMETERS!$M$3:$M$524,1,0),"---")</f>
        <v>---</v>
      </c>
    </row>
    <row r="293" spans="1:12" x14ac:dyDescent="0.3">
      <c r="A293"/>
      <c r="B293"/>
      <c r="C293"/>
      <c r="D293"/>
      <c r="E293"/>
      <c r="L293" s="168" t="str">
        <f>IFERROR(VLOOKUP($H293,PARAMETERS!$M$3:$M$524,1,0),"---")</f>
        <v>---</v>
      </c>
    </row>
    <row r="294" spans="1:12" x14ac:dyDescent="0.3">
      <c r="A294"/>
      <c r="B294"/>
      <c r="C294"/>
      <c r="D294"/>
      <c r="E294"/>
      <c r="L294" s="168" t="str">
        <f>IFERROR(VLOOKUP($H294,PARAMETERS!$M$3:$M$524,1,0),"---")</f>
        <v>---</v>
      </c>
    </row>
    <row r="295" spans="1:12" x14ac:dyDescent="0.3">
      <c r="A295"/>
      <c r="B295"/>
      <c r="C295"/>
      <c r="D295"/>
      <c r="E295"/>
      <c r="L295" s="168" t="str">
        <f>IFERROR(VLOOKUP($H295,PARAMETERS!$M$3:$M$524,1,0),"---")</f>
        <v>---</v>
      </c>
    </row>
    <row r="296" spans="1:12" x14ac:dyDescent="0.3">
      <c r="A296"/>
      <c r="B296"/>
      <c r="C296"/>
      <c r="D296"/>
      <c r="E296"/>
      <c r="L296" s="168" t="str">
        <f>IFERROR(VLOOKUP($H296,PARAMETERS!$M$3:$M$524,1,0),"---")</f>
        <v>---</v>
      </c>
    </row>
    <row r="297" spans="1:12" x14ac:dyDescent="0.3">
      <c r="A297"/>
      <c r="B297"/>
      <c r="C297"/>
      <c r="D297"/>
      <c r="E297"/>
      <c r="L297" s="168" t="str">
        <f>IFERROR(VLOOKUP($H297,PARAMETERS!$M$3:$M$524,1,0),"---")</f>
        <v>---</v>
      </c>
    </row>
    <row r="298" spans="1:12" x14ac:dyDescent="0.3">
      <c r="A298"/>
      <c r="B298"/>
      <c r="C298"/>
      <c r="D298"/>
      <c r="E298"/>
      <c r="L298" s="168" t="str">
        <f>IFERROR(VLOOKUP($H298,PARAMETERS!$M$3:$M$524,1,0),"---")</f>
        <v>---</v>
      </c>
    </row>
    <row r="299" spans="1:12" x14ac:dyDescent="0.3">
      <c r="A299"/>
      <c r="B299"/>
      <c r="C299"/>
      <c r="D299"/>
      <c r="E299"/>
      <c r="L299" s="168" t="str">
        <f>IFERROR(VLOOKUP($H299,PARAMETERS!$M$3:$M$524,1,0),"---")</f>
        <v>---</v>
      </c>
    </row>
    <row r="300" spans="1:12" x14ac:dyDescent="0.3">
      <c r="A300"/>
      <c r="B300"/>
      <c r="C300"/>
      <c r="D300"/>
      <c r="E300"/>
      <c r="L300" s="168" t="str">
        <f>IFERROR(VLOOKUP($H300,PARAMETERS!$M$3:$M$524,1,0),"---")</f>
        <v>---</v>
      </c>
    </row>
    <row r="301" spans="1:12" x14ac:dyDescent="0.3">
      <c r="A301"/>
      <c r="B301"/>
      <c r="C301"/>
      <c r="D301"/>
      <c r="E301"/>
      <c r="L301" s="168" t="str">
        <f>IFERROR(VLOOKUP($H301,PARAMETERS!$M$3:$M$524,1,0),"---")</f>
        <v>---</v>
      </c>
    </row>
    <row r="302" spans="1:12" x14ac:dyDescent="0.3">
      <c r="A302"/>
      <c r="B302"/>
      <c r="C302"/>
      <c r="D302"/>
      <c r="E302"/>
      <c r="L302" s="168" t="str">
        <f>IFERROR(VLOOKUP($H302,PARAMETERS!$M$3:$M$524,1,0),"---")</f>
        <v>---</v>
      </c>
    </row>
    <row r="303" spans="1:12" x14ac:dyDescent="0.3">
      <c r="A303"/>
      <c r="B303"/>
      <c r="C303"/>
      <c r="D303"/>
      <c r="E303"/>
      <c r="L303" s="168" t="str">
        <f>IFERROR(VLOOKUP($H303,PARAMETERS!$M$3:$M$524,1,0),"---")</f>
        <v>---</v>
      </c>
    </row>
    <row r="304" spans="1:12" x14ac:dyDescent="0.3">
      <c r="A304"/>
      <c r="B304"/>
      <c r="C304"/>
      <c r="D304"/>
      <c r="E304"/>
      <c r="L304" s="168" t="str">
        <f>IFERROR(VLOOKUP($H304,PARAMETERS!$M$3:$M$524,1,0),"---")</f>
        <v>---</v>
      </c>
    </row>
    <row r="305" spans="1:12" x14ac:dyDescent="0.3">
      <c r="A305"/>
      <c r="B305"/>
      <c r="C305"/>
      <c r="D305"/>
      <c r="E305"/>
      <c r="L305" s="168" t="str">
        <f>IFERROR(VLOOKUP($H305,PARAMETERS!$M$3:$M$524,1,0),"---")</f>
        <v>---</v>
      </c>
    </row>
    <row r="306" spans="1:12" x14ac:dyDescent="0.3">
      <c r="A306"/>
      <c r="B306"/>
      <c r="C306"/>
      <c r="D306"/>
      <c r="E306"/>
      <c r="L306" s="168" t="str">
        <f>IFERROR(VLOOKUP($H306,PARAMETERS!$M$3:$M$524,1,0),"---")</f>
        <v>---</v>
      </c>
    </row>
    <row r="307" spans="1:12" x14ac:dyDescent="0.3">
      <c r="A307"/>
      <c r="B307"/>
      <c r="C307"/>
      <c r="D307"/>
      <c r="E307"/>
      <c r="L307" s="168" t="str">
        <f>IFERROR(VLOOKUP($H307,PARAMETERS!$M$3:$M$524,1,0),"---")</f>
        <v>---</v>
      </c>
    </row>
    <row r="308" spans="1:12" x14ac:dyDescent="0.3">
      <c r="A308"/>
      <c r="B308"/>
      <c r="C308"/>
      <c r="D308"/>
      <c r="E308"/>
      <c r="L308" s="168" t="str">
        <f>IFERROR(VLOOKUP($H308,PARAMETERS!$M$3:$M$524,1,0),"---")</f>
        <v>---</v>
      </c>
    </row>
    <row r="309" spans="1:12" x14ac:dyDescent="0.3">
      <c r="A309"/>
      <c r="B309"/>
      <c r="C309"/>
      <c r="D309"/>
      <c r="E309"/>
      <c r="L309" s="168" t="str">
        <f>IFERROR(VLOOKUP($H309,PARAMETERS!$M$3:$M$524,1,0),"---")</f>
        <v>---</v>
      </c>
    </row>
    <row r="310" spans="1:12" x14ac:dyDescent="0.3">
      <c r="A310"/>
      <c r="B310"/>
      <c r="C310"/>
      <c r="D310"/>
      <c r="E310"/>
      <c r="L310" s="168" t="str">
        <f>IFERROR(VLOOKUP($H310,PARAMETERS!$M$3:$M$524,1,0),"---")</f>
        <v>---</v>
      </c>
    </row>
    <row r="311" spans="1:12" x14ac:dyDescent="0.3">
      <c r="A311"/>
      <c r="B311"/>
      <c r="C311"/>
      <c r="D311"/>
      <c r="E311"/>
      <c r="L311" s="168" t="str">
        <f>IFERROR(VLOOKUP($H311,PARAMETERS!$M$3:$M$524,1,0),"---")</f>
        <v>---</v>
      </c>
    </row>
    <row r="312" spans="1:12" x14ac:dyDescent="0.3">
      <c r="A312"/>
      <c r="B312"/>
      <c r="C312"/>
      <c r="D312"/>
      <c r="E312"/>
      <c r="L312" s="168" t="str">
        <f>IFERROR(VLOOKUP($H312,PARAMETERS!$M$3:$M$524,1,0),"---")</f>
        <v>---</v>
      </c>
    </row>
    <row r="313" spans="1:12" x14ac:dyDescent="0.3">
      <c r="A313"/>
      <c r="B313"/>
      <c r="C313"/>
      <c r="D313"/>
      <c r="E313"/>
      <c r="L313" s="168" t="str">
        <f>IFERROR(VLOOKUP($H313,PARAMETERS!$M$3:$M$524,1,0),"---")</f>
        <v>---</v>
      </c>
    </row>
    <row r="314" spans="1:12" x14ac:dyDescent="0.3">
      <c r="A314"/>
      <c r="B314"/>
      <c r="C314"/>
      <c r="D314"/>
      <c r="E314"/>
      <c r="L314" s="168" t="str">
        <f>IFERROR(VLOOKUP($H314,PARAMETERS!$M$3:$M$524,1,0),"---")</f>
        <v>---</v>
      </c>
    </row>
    <row r="315" spans="1:12" x14ac:dyDescent="0.3">
      <c r="A315"/>
      <c r="B315"/>
      <c r="C315"/>
      <c r="D315"/>
      <c r="E315"/>
      <c r="L315" s="168" t="str">
        <f>IFERROR(VLOOKUP($H315,PARAMETERS!$M$3:$M$524,1,0),"---")</f>
        <v>---</v>
      </c>
    </row>
    <row r="316" spans="1:12" x14ac:dyDescent="0.3">
      <c r="A316"/>
      <c r="B316"/>
      <c r="C316"/>
      <c r="D316"/>
      <c r="E316"/>
      <c r="L316" s="168" t="str">
        <f>IFERROR(VLOOKUP($H316,PARAMETERS!$M$3:$M$524,1,0),"---")</f>
        <v>---</v>
      </c>
    </row>
    <row r="317" spans="1:12" s="91" customFormat="1" x14ac:dyDescent="0.3">
      <c r="A317"/>
      <c r="B317"/>
      <c r="C317"/>
      <c r="D317"/>
      <c r="E317"/>
      <c r="F317"/>
      <c r="G317"/>
      <c r="H317"/>
      <c r="I317"/>
      <c r="J317"/>
      <c r="L317" s="169" t="str">
        <f>IFERROR(VLOOKUP($H317,PARAMETERS!$M$3:$M$524,1,0),"---")</f>
        <v>---</v>
      </c>
    </row>
    <row r="318" spans="1:12" x14ac:dyDescent="0.3">
      <c r="A318"/>
      <c r="B318"/>
      <c r="C318"/>
      <c r="D318"/>
      <c r="E318"/>
      <c r="L318" s="168" t="str">
        <f>IFERROR(VLOOKUP($H318,PARAMETERS!$M$3:$M$524,1,0),"---")</f>
        <v>---</v>
      </c>
    </row>
    <row r="319" spans="1:12" x14ac:dyDescent="0.3">
      <c r="A319"/>
      <c r="B319"/>
      <c r="C319"/>
      <c r="D319"/>
      <c r="E319"/>
      <c r="L319" s="168" t="str">
        <f>IFERROR(VLOOKUP($H319,PARAMETERS!$M$3:$M$524,1,0),"---")</f>
        <v>---</v>
      </c>
    </row>
    <row r="320" spans="1:12" x14ac:dyDescent="0.3">
      <c r="A320"/>
      <c r="B320"/>
      <c r="C320"/>
      <c r="D320"/>
      <c r="E320"/>
      <c r="L320" s="168" t="str">
        <f>IFERROR(VLOOKUP($H320,PARAMETERS!$M$3:$M$524,1,0),"---")</f>
        <v>---</v>
      </c>
    </row>
    <row r="321" spans="1:12" x14ac:dyDescent="0.3">
      <c r="A321"/>
      <c r="B321"/>
      <c r="C321"/>
      <c r="D321"/>
      <c r="E321"/>
      <c r="L321" s="168" t="str">
        <f>IFERROR(VLOOKUP($H321,PARAMETERS!$M$3:$M$524,1,0),"---")</f>
        <v>---</v>
      </c>
    </row>
    <row r="322" spans="1:12" x14ac:dyDescent="0.3">
      <c r="A322"/>
      <c r="B322"/>
      <c r="C322"/>
      <c r="D322"/>
      <c r="E322"/>
      <c r="L322" s="168" t="str">
        <f>IFERROR(VLOOKUP($H322,PARAMETERS!$M$3:$M$524,1,0),"---")</f>
        <v>---</v>
      </c>
    </row>
    <row r="323" spans="1:12" x14ac:dyDescent="0.3">
      <c r="A323"/>
      <c r="B323"/>
      <c r="C323"/>
      <c r="D323"/>
      <c r="E323"/>
      <c r="L323" s="168" t="str">
        <f>IFERROR(VLOOKUP($H323,PARAMETERS!$M$3:$M$524,1,0),"---")</f>
        <v>---</v>
      </c>
    </row>
    <row r="324" spans="1:12" x14ac:dyDescent="0.3">
      <c r="A324"/>
      <c r="B324"/>
      <c r="C324"/>
      <c r="D324"/>
      <c r="E324"/>
      <c r="L324" s="168" t="str">
        <f>IFERROR(VLOOKUP($H324,PARAMETERS!$M$3:$M$524,1,0),"---")</f>
        <v>---</v>
      </c>
    </row>
    <row r="325" spans="1:12" x14ac:dyDescent="0.3">
      <c r="A325"/>
      <c r="B325"/>
      <c r="C325"/>
      <c r="D325"/>
      <c r="E325"/>
      <c r="L325" s="168" t="str">
        <f>IFERROR(VLOOKUP($H325,PARAMETERS!$M$3:$M$524,1,0),"---")</f>
        <v>---</v>
      </c>
    </row>
    <row r="326" spans="1:12" x14ac:dyDescent="0.3">
      <c r="A326"/>
      <c r="B326"/>
      <c r="C326"/>
      <c r="D326"/>
      <c r="E326"/>
      <c r="L326" s="168" t="str">
        <f>IFERROR(VLOOKUP($H326,PARAMETERS!$M$3:$M$524,1,0),"---")</f>
        <v>---</v>
      </c>
    </row>
    <row r="327" spans="1:12" x14ac:dyDescent="0.3">
      <c r="A327"/>
      <c r="B327"/>
      <c r="C327"/>
      <c r="D327"/>
      <c r="E327"/>
      <c r="L327" s="168" t="str">
        <f>IFERROR(VLOOKUP($H327,PARAMETERS!$M$3:$M$524,1,0),"---")</f>
        <v>---</v>
      </c>
    </row>
    <row r="328" spans="1:12" x14ac:dyDescent="0.3">
      <c r="A328"/>
      <c r="B328"/>
      <c r="C328"/>
      <c r="D328"/>
      <c r="E328"/>
      <c r="L328" s="168" t="str">
        <f>IFERROR(VLOOKUP($H328,PARAMETERS!$M$3:$M$524,1,0),"---")</f>
        <v>---</v>
      </c>
    </row>
    <row r="329" spans="1:12" x14ac:dyDescent="0.3">
      <c r="A329"/>
      <c r="B329"/>
      <c r="C329"/>
      <c r="D329"/>
      <c r="E329"/>
      <c r="L329" s="168" t="str">
        <f>IFERROR(VLOOKUP($H329,PARAMETERS!$M$3:$M$524,1,0),"---")</f>
        <v>---</v>
      </c>
    </row>
    <row r="330" spans="1:12" x14ac:dyDescent="0.3">
      <c r="A330"/>
      <c r="B330"/>
      <c r="C330"/>
      <c r="D330"/>
      <c r="E330"/>
      <c r="L330" s="168" t="str">
        <f>IFERROR(VLOOKUP($H330,PARAMETERS!$M$3:$M$524,1,0),"---")</f>
        <v>---</v>
      </c>
    </row>
    <row r="331" spans="1:12" x14ac:dyDescent="0.3">
      <c r="A331"/>
      <c r="B331"/>
      <c r="C331"/>
      <c r="D331"/>
      <c r="E331"/>
      <c r="L331" s="168" t="str">
        <f>IFERROR(VLOOKUP($H331,PARAMETERS!$M$3:$M$524,1,0),"---")</f>
        <v>---</v>
      </c>
    </row>
    <row r="332" spans="1:12" x14ac:dyDescent="0.3">
      <c r="A332"/>
      <c r="B332"/>
      <c r="C332"/>
      <c r="D332"/>
      <c r="E332"/>
      <c r="L332" s="168" t="str">
        <f>IFERROR(VLOOKUP($H332,PARAMETERS!$M$3:$M$524,1,0),"---")</f>
        <v>---</v>
      </c>
    </row>
    <row r="333" spans="1:12" x14ac:dyDescent="0.3">
      <c r="A333"/>
      <c r="B333"/>
      <c r="C333"/>
      <c r="D333"/>
      <c r="E333"/>
      <c r="L333" s="168" t="str">
        <f>IFERROR(VLOOKUP($H333,PARAMETERS!$M$3:$M$524,1,0),"---")</f>
        <v>---</v>
      </c>
    </row>
    <row r="334" spans="1:12" x14ac:dyDescent="0.3">
      <c r="A334"/>
      <c r="B334"/>
      <c r="C334"/>
      <c r="D334"/>
      <c r="E334"/>
      <c r="L334" s="168" t="str">
        <f>IFERROR(VLOOKUP($H334,PARAMETERS!$M$3:$M$524,1,0),"---")</f>
        <v>---</v>
      </c>
    </row>
    <row r="335" spans="1:12" x14ac:dyDescent="0.3">
      <c r="A335"/>
      <c r="B335"/>
      <c r="C335"/>
      <c r="D335"/>
      <c r="E335"/>
      <c r="L335" s="168" t="str">
        <f>IFERROR(VLOOKUP($H335,PARAMETERS!$M$3:$M$524,1,0),"---")</f>
        <v>---</v>
      </c>
    </row>
    <row r="336" spans="1:12" x14ac:dyDescent="0.3">
      <c r="A336"/>
      <c r="B336"/>
      <c r="C336"/>
      <c r="D336"/>
      <c r="E336"/>
      <c r="L336" s="168" t="str">
        <f>IFERROR(VLOOKUP($H336,PARAMETERS!$M$3:$M$524,1,0),"---")</f>
        <v>---</v>
      </c>
    </row>
    <row r="337" spans="1:12" x14ac:dyDescent="0.3">
      <c r="A337"/>
      <c r="B337"/>
      <c r="C337"/>
      <c r="D337"/>
      <c r="E337"/>
      <c r="L337" s="168" t="str">
        <f>IFERROR(VLOOKUP($H337,PARAMETERS!$M$3:$M$524,1,0),"---")</f>
        <v>---</v>
      </c>
    </row>
    <row r="338" spans="1:12" x14ac:dyDescent="0.3">
      <c r="A338"/>
      <c r="B338"/>
      <c r="C338"/>
      <c r="D338"/>
      <c r="E338"/>
      <c r="L338" s="168" t="str">
        <f>IFERROR(VLOOKUP($H338,PARAMETERS!$M$3:$M$524,1,0),"---")</f>
        <v>---</v>
      </c>
    </row>
    <row r="339" spans="1:12" x14ac:dyDescent="0.3">
      <c r="A339"/>
      <c r="B339"/>
      <c r="C339"/>
      <c r="D339"/>
      <c r="E339"/>
      <c r="L339" s="168" t="str">
        <f>IFERROR(VLOOKUP($H339,PARAMETERS!$M$3:$M$524,1,0),"---")</f>
        <v>---</v>
      </c>
    </row>
    <row r="340" spans="1:12" x14ac:dyDescent="0.3">
      <c r="A340"/>
      <c r="B340"/>
      <c r="C340"/>
      <c r="D340"/>
      <c r="E340"/>
      <c r="L340" s="168" t="str">
        <f>IFERROR(VLOOKUP($H340,PARAMETERS!$M$3:$M$524,1,0),"---")</f>
        <v>---</v>
      </c>
    </row>
    <row r="341" spans="1:12" x14ac:dyDescent="0.3">
      <c r="A341"/>
      <c r="B341"/>
      <c r="C341"/>
      <c r="D341"/>
      <c r="E341"/>
      <c r="L341" s="168" t="str">
        <f>IFERROR(VLOOKUP($H341,PARAMETERS!$M$3:$M$524,1,0),"---")</f>
        <v>---</v>
      </c>
    </row>
    <row r="342" spans="1:12" x14ac:dyDescent="0.3">
      <c r="A342"/>
      <c r="B342"/>
      <c r="C342"/>
      <c r="D342"/>
      <c r="E342"/>
      <c r="L342" s="168" t="str">
        <f>IFERROR(VLOOKUP($H342,PARAMETERS!$M$3:$M$524,1,0),"---")</f>
        <v>---</v>
      </c>
    </row>
    <row r="343" spans="1:12" x14ac:dyDescent="0.3">
      <c r="A343"/>
      <c r="B343"/>
      <c r="C343"/>
      <c r="D343"/>
      <c r="E343"/>
      <c r="L343" s="168" t="str">
        <f>IFERROR(VLOOKUP($H343,PARAMETERS!$M$3:$M$524,1,0),"---")</f>
        <v>---</v>
      </c>
    </row>
    <row r="344" spans="1:12" x14ac:dyDescent="0.3">
      <c r="A344"/>
      <c r="B344"/>
      <c r="C344"/>
      <c r="D344"/>
      <c r="E344"/>
      <c r="L344" s="168" t="str">
        <f>IFERROR(VLOOKUP($H344,PARAMETERS!$M$3:$M$524,1,0),"---")</f>
        <v>---</v>
      </c>
    </row>
    <row r="345" spans="1:12" x14ac:dyDescent="0.3">
      <c r="A345"/>
      <c r="B345"/>
      <c r="C345"/>
      <c r="D345"/>
      <c r="E345"/>
      <c r="L345" s="168" t="str">
        <f>IFERROR(VLOOKUP($H345,PARAMETERS!$M$3:$M$524,1,0),"---")</f>
        <v>---</v>
      </c>
    </row>
    <row r="346" spans="1:12" x14ac:dyDescent="0.3">
      <c r="A346"/>
      <c r="B346"/>
      <c r="C346"/>
      <c r="D346"/>
      <c r="E346"/>
      <c r="L346" s="168" t="str">
        <f>IFERROR(VLOOKUP($H346,PARAMETERS!$M$3:$M$524,1,0),"---")</f>
        <v>---</v>
      </c>
    </row>
    <row r="347" spans="1:12" x14ac:dyDescent="0.3">
      <c r="A347"/>
      <c r="B347"/>
      <c r="C347"/>
      <c r="D347"/>
      <c r="E347"/>
      <c r="L347" s="168" t="str">
        <f>IFERROR(VLOOKUP($H347,PARAMETERS!$M$3:$M$524,1,0),"---")</f>
        <v>---</v>
      </c>
    </row>
    <row r="348" spans="1:12" x14ac:dyDescent="0.3">
      <c r="A348"/>
      <c r="B348"/>
      <c r="C348"/>
      <c r="D348"/>
      <c r="E348"/>
      <c r="L348" s="168" t="str">
        <f>IFERROR(VLOOKUP($H348,PARAMETERS!$M$3:$M$524,1,0),"---")</f>
        <v>---</v>
      </c>
    </row>
    <row r="349" spans="1:12" x14ac:dyDescent="0.3">
      <c r="A349"/>
      <c r="B349"/>
      <c r="C349"/>
      <c r="D349"/>
      <c r="E349"/>
      <c r="L349" s="168" t="str">
        <f>IFERROR(VLOOKUP($H349,PARAMETERS!$M$3:$M$524,1,0),"---")</f>
        <v>---</v>
      </c>
    </row>
    <row r="350" spans="1:12" x14ac:dyDescent="0.3">
      <c r="A350"/>
      <c r="B350"/>
      <c r="C350"/>
      <c r="D350"/>
      <c r="E350"/>
      <c r="L350" s="168" t="str">
        <f>IFERROR(VLOOKUP($H350,PARAMETERS!$M$3:$M$524,1,0),"---")</f>
        <v>---</v>
      </c>
    </row>
    <row r="351" spans="1:12" x14ac:dyDescent="0.3">
      <c r="A351"/>
      <c r="B351"/>
      <c r="C351"/>
      <c r="D351"/>
      <c r="E351"/>
      <c r="L351" s="168" t="str">
        <f>IFERROR(VLOOKUP($H351,PARAMETERS!$M$3:$M$524,1,0),"---")</f>
        <v>---</v>
      </c>
    </row>
    <row r="352" spans="1:12" x14ac:dyDescent="0.3">
      <c r="A352"/>
      <c r="B352"/>
      <c r="C352"/>
      <c r="D352"/>
      <c r="E352"/>
      <c r="L352" s="168" t="str">
        <f>IFERROR(VLOOKUP($H352,PARAMETERS!$M$3:$M$524,1,0),"---")</f>
        <v>---</v>
      </c>
    </row>
    <row r="353" spans="1:12" x14ac:dyDescent="0.3">
      <c r="A353"/>
      <c r="B353"/>
      <c r="C353"/>
      <c r="D353"/>
      <c r="E353"/>
      <c r="L353" s="168" t="str">
        <f>IFERROR(VLOOKUP($H353,PARAMETERS!$M$3:$M$524,1,0),"---")</f>
        <v>---</v>
      </c>
    </row>
    <row r="354" spans="1:12" x14ac:dyDescent="0.3">
      <c r="A354"/>
      <c r="B354"/>
      <c r="C354"/>
      <c r="D354"/>
      <c r="E354"/>
      <c r="L354" s="168" t="str">
        <f>IFERROR(VLOOKUP($H354,PARAMETERS!$M$3:$M$524,1,0),"---")</f>
        <v>---</v>
      </c>
    </row>
    <row r="355" spans="1:12" x14ac:dyDescent="0.3">
      <c r="A355"/>
      <c r="B355"/>
      <c r="C355"/>
      <c r="D355"/>
      <c r="E355"/>
      <c r="L355" s="168" t="str">
        <f>IFERROR(VLOOKUP($H355,PARAMETERS!$M$3:$M$524,1,0),"---")</f>
        <v>---</v>
      </c>
    </row>
    <row r="356" spans="1:12" x14ac:dyDescent="0.3">
      <c r="A356"/>
      <c r="B356"/>
      <c r="C356"/>
      <c r="D356"/>
      <c r="E356"/>
      <c r="L356" s="168" t="str">
        <f>IFERROR(VLOOKUP($H356,PARAMETERS!$M$3:$M$524,1,0),"---")</f>
        <v>---</v>
      </c>
    </row>
    <row r="357" spans="1:12" x14ac:dyDescent="0.3">
      <c r="A357"/>
      <c r="B357"/>
      <c r="C357"/>
      <c r="D357"/>
      <c r="E357"/>
      <c r="L357" s="168" t="str">
        <f>IFERROR(VLOOKUP($H357,PARAMETERS!$M$3:$M$524,1,0),"---")</f>
        <v>---</v>
      </c>
    </row>
    <row r="358" spans="1:12" x14ac:dyDescent="0.3">
      <c r="A358"/>
      <c r="B358"/>
      <c r="C358"/>
      <c r="D358"/>
      <c r="E358"/>
      <c r="L358" s="168" t="str">
        <f>IFERROR(VLOOKUP($H358,PARAMETERS!$M$3:$M$524,1,0),"---")</f>
        <v>---</v>
      </c>
    </row>
    <row r="359" spans="1:12" x14ac:dyDescent="0.3">
      <c r="A359"/>
      <c r="B359"/>
      <c r="C359"/>
      <c r="D359"/>
      <c r="E359"/>
      <c r="L359" s="168" t="str">
        <f>IFERROR(VLOOKUP($H359,PARAMETERS!$M$3:$M$524,1,0),"---")</f>
        <v>---</v>
      </c>
    </row>
    <row r="360" spans="1:12" x14ac:dyDescent="0.3">
      <c r="A360"/>
      <c r="B360"/>
      <c r="C360"/>
      <c r="D360"/>
      <c r="E360"/>
      <c r="L360" s="168" t="str">
        <f>IFERROR(VLOOKUP($H360,PARAMETERS!$M$3:$M$524,1,0),"---")</f>
        <v>---</v>
      </c>
    </row>
    <row r="361" spans="1:12" x14ac:dyDescent="0.3">
      <c r="A361"/>
      <c r="B361"/>
      <c r="C361"/>
      <c r="D361"/>
      <c r="E361"/>
      <c r="L361" s="168" t="str">
        <f>IFERROR(VLOOKUP($H361,PARAMETERS!$M$3:$M$524,1,0),"---")</f>
        <v>---</v>
      </c>
    </row>
    <row r="362" spans="1:12" x14ac:dyDescent="0.3">
      <c r="A362"/>
      <c r="B362"/>
      <c r="C362"/>
      <c r="D362"/>
      <c r="E362"/>
      <c r="L362" s="168" t="str">
        <f>IFERROR(VLOOKUP($H362,PARAMETERS!$M$3:$M$524,1,0),"---")</f>
        <v>---</v>
      </c>
    </row>
    <row r="363" spans="1:12" x14ac:dyDescent="0.3">
      <c r="A363"/>
      <c r="B363"/>
      <c r="C363"/>
      <c r="D363"/>
      <c r="E363"/>
      <c r="L363" s="168" t="str">
        <f>IFERROR(VLOOKUP($H363,PARAMETERS!$M$3:$M$524,1,0),"---")</f>
        <v>---</v>
      </c>
    </row>
    <row r="364" spans="1:12" x14ac:dyDescent="0.3">
      <c r="A364"/>
      <c r="B364"/>
      <c r="C364"/>
      <c r="D364"/>
      <c r="E364"/>
      <c r="L364" s="168" t="str">
        <f>IFERROR(VLOOKUP($H364,PARAMETERS!$M$3:$M$524,1,0),"---")</f>
        <v>---</v>
      </c>
    </row>
    <row r="365" spans="1:12" x14ac:dyDescent="0.3">
      <c r="A365"/>
      <c r="B365"/>
      <c r="C365"/>
      <c r="D365"/>
      <c r="E365"/>
      <c r="L365" s="168" t="str">
        <f>IFERROR(VLOOKUP($H365,PARAMETERS!$M$3:$M$524,1,0),"---")</f>
        <v>---</v>
      </c>
    </row>
    <row r="366" spans="1:12" x14ac:dyDescent="0.3">
      <c r="A366"/>
      <c r="B366"/>
      <c r="C366"/>
      <c r="D366"/>
      <c r="E366"/>
      <c r="L366" s="168" t="str">
        <f>IFERROR(VLOOKUP($H366,PARAMETERS!$M$3:$M$524,1,0),"---")</f>
        <v>---</v>
      </c>
    </row>
    <row r="367" spans="1:12" x14ac:dyDescent="0.3">
      <c r="A367"/>
      <c r="B367"/>
      <c r="C367"/>
      <c r="D367"/>
      <c r="E367"/>
      <c r="L367" s="168" t="str">
        <f>IFERROR(VLOOKUP($H367,PARAMETERS!$M$3:$M$524,1,0),"---")</f>
        <v>---</v>
      </c>
    </row>
    <row r="368" spans="1:12" x14ac:dyDescent="0.3">
      <c r="A368"/>
      <c r="B368"/>
      <c r="C368"/>
      <c r="D368"/>
      <c r="E368"/>
      <c r="L368" s="168" t="str">
        <f>IFERROR(VLOOKUP($H368,PARAMETERS!$M$3:$M$524,1,0),"---")</f>
        <v>---</v>
      </c>
    </row>
    <row r="369" spans="1:12" x14ac:dyDescent="0.3">
      <c r="A369"/>
      <c r="B369"/>
      <c r="C369"/>
      <c r="D369"/>
      <c r="E369"/>
      <c r="L369" s="168" t="str">
        <f>IFERROR(VLOOKUP($H369,PARAMETERS!$M$3:$M$524,1,0),"---")</f>
        <v>---</v>
      </c>
    </row>
    <row r="370" spans="1:12" x14ac:dyDescent="0.3">
      <c r="A370"/>
      <c r="B370"/>
      <c r="C370"/>
      <c r="D370"/>
      <c r="E370"/>
      <c r="L370" s="168" t="str">
        <f>IFERROR(VLOOKUP($H370,PARAMETERS!$M$3:$M$524,1,0),"---")</f>
        <v>---</v>
      </c>
    </row>
    <row r="371" spans="1:12" x14ac:dyDescent="0.3">
      <c r="A371"/>
      <c r="B371"/>
      <c r="C371"/>
      <c r="D371"/>
      <c r="E371"/>
      <c r="L371" s="168" t="str">
        <f>IFERROR(VLOOKUP($H371,PARAMETERS!$M$3:$M$524,1,0),"---")</f>
        <v>---</v>
      </c>
    </row>
    <row r="372" spans="1:12" x14ac:dyDescent="0.3">
      <c r="A372"/>
      <c r="B372"/>
      <c r="C372"/>
      <c r="D372"/>
      <c r="E372"/>
      <c r="L372" s="168" t="str">
        <f>IFERROR(VLOOKUP($H372,PARAMETERS!$M$3:$M$524,1,0),"---")</f>
        <v>---</v>
      </c>
    </row>
    <row r="373" spans="1:12" x14ac:dyDescent="0.3">
      <c r="A373"/>
      <c r="B373"/>
      <c r="C373"/>
      <c r="D373"/>
      <c r="E373"/>
      <c r="L373" s="168" t="str">
        <f>IFERROR(VLOOKUP($H373,PARAMETERS!$M$3:$M$524,1,0),"---")</f>
        <v>---</v>
      </c>
    </row>
    <row r="374" spans="1:12" x14ac:dyDescent="0.3">
      <c r="A374"/>
      <c r="B374"/>
      <c r="C374"/>
      <c r="D374"/>
      <c r="E374"/>
      <c r="L374" s="168" t="str">
        <f>IFERROR(VLOOKUP($H374,PARAMETERS!$M$3:$M$524,1,0),"---")</f>
        <v>---</v>
      </c>
    </row>
    <row r="375" spans="1:12" s="91" customFormat="1" x14ac:dyDescent="0.3">
      <c r="A375"/>
      <c r="B375"/>
      <c r="C375"/>
      <c r="D375"/>
      <c r="E375"/>
      <c r="F375"/>
      <c r="G375"/>
      <c r="H375"/>
      <c r="I375"/>
      <c r="J375"/>
      <c r="L375" s="169" t="str">
        <f>IFERROR(VLOOKUP($H375,PARAMETERS!$M$3:$M$524,1,0),"---")</f>
        <v>---</v>
      </c>
    </row>
    <row r="376" spans="1:12" x14ac:dyDescent="0.3">
      <c r="A376"/>
      <c r="B376"/>
      <c r="C376"/>
      <c r="D376"/>
      <c r="E376"/>
      <c r="L376" s="168" t="str">
        <f>IFERROR(VLOOKUP($H376,PARAMETERS!$M$3:$M$524,1,0),"---")</f>
        <v>---</v>
      </c>
    </row>
    <row r="377" spans="1:12" x14ac:dyDescent="0.3">
      <c r="A377"/>
      <c r="B377"/>
      <c r="C377"/>
      <c r="D377"/>
      <c r="E377"/>
      <c r="L377" s="168" t="str">
        <f>IFERROR(VLOOKUP($H377,PARAMETERS!$M$3:$M$524,1,0),"---")</f>
        <v>---</v>
      </c>
    </row>
    <row r="378" spans="1:12" x14ac:dyDescent="0.3">
      <c r="A378"/>
      <c r="B378"/>
      <c r="C378"/>
      <c r="D378"/>
      <c r="E378"/>
      <c r="L378" s="168" t="str">
        <f>IFERROR(VLOOKUP($H378,PARAMETERS!$M$3:$M$524,1,0),"---")</f>
        <v>---</v>
      </c>
    </row>
    <row r="379" spans="1:12" x14ac:dyDescent="0.3">
      <c r="A379"/>
      <c r="B379"/>
      <c r="C379"/>
      <c r="D379"/>
      <c r="E379"/>
      <c r="L379" s="168" t="str">
        <f>IFERROR(VLOOKUP($H379,PARAMETERS!$M$3:$M$524,1,0),"---")</f>
        <v>---</v>
      </c>
    </row>
    <row r="380" spans="1:12" x14ac:dyDescent="0.3">
      <c r="A380"/>
      <c r="B380"/>
      <c r="C380"/>
      <c r="D380"/>
      <c r="E380"/>
      <c r="L380" s="168" t="str">
        <f>IFERROR(VLOOKUP($H380,PARAMETERS!$M$3:$M$524,1,0),"---")</f>
        <v>---</v>
      </c>
    </row>
    <row r="381" spans="1:12" x14ac:dyDescent="0.3">
      <c r="A381"/>
      <c r="B381"/>
      <c r="C381"/>
      <c r="D381"/>
      <c r="E381"/>
      <c r="L381" s="168" t="str">
        <f>IFERROR(VLOOKUP($H381,PARAMETERS!$M$3:$M$524,1,0),"---")</f>
        <v>---</v>
      </c>
    </row>
    <row r="382" spans="1:12" x14ac:dyDescent="0.3">
      <c r="A382"/>
      <c r="B382"/>
      <c r="C382"/>
      <c r="D382"/>
      <c r="E382"/>
      <c r="L382" s="168" t="str">
        <f>IFERROR(VLOOKUP($H382,PARAMETERS!$M$3:$M$524,1,0),"---")</f>
        <v>---</v>
      </c>
    </row>
    <row r="383" spans="1:12" x14ac:dyDescent="0.3">
      <c r="A383"/>
      <c r="B383"/>
      <c r="C383"/>
      <c r="D383"/>
      <c r="E383"/>
      <c r="L383" s="168" t="str">
        <f>IFERROR(VLOOKUP($H383,PARAMETERS!$M$3:$M$524,1,0),"---")</f>
        <v>---</v>
      </c>
    </row>
    <row r="384" spans="1:12" x14ac:dyDescent="0.3">
      <c r="A384"/>
      <c r="B384"/>
      <c r="C384"/>
      <c r="D384"/>
      <c r="E384"/>
      <c r="L384" s="168" t="str">
        <f>IFERROR(VLOOKUP($H384,PARAMETERS!$M$3:$M$524,1,0),"---")</f>
        <v>---</v>
      </c>
    </row>
    <row r="385" spans="1:12" x14ac:dyDescent="0.3">
      <c r="A385"/>
      <c r="B385"/>
      <c r="C385"/>
      <c r="D385"/>
      <c r="E385"/>
      <c r="L385" s="168" t="str">
        <f>IFERROR(VLOOKUP($H385,PARAMETERS!$M$3:$M$524,1,0),"---")</f>
        <v>---</v>
      </c>
    </row>
    <row r="386" spans="1:12" x14ac:dyDescent="0.3">
      <c r="A386"/>
      <c r="B386"/>
      <c r="C386"/>
      <c r="D386"/>
      <c r="E386"/>
      <c r="L386" s="168" t="str">
        <f>IFERROR(VLOOKUP($H386,PARAMETERS!$M$3:$M$524,1,0),"---")</f>
        <v>---</v>
      </c>
    </row>
    <row r="387" spans="1:12" x14ac:dyDescent="0.3">
      <c r="A387"/>
      <c r="B387"/>
      <c r="C387"/>
      <c r="D387"/>
      <c r="E387"/>
      <c r="L387" s="168" t="str">
        <f>IFERROR(VLOOKUP($H387,PARAMETERS!$M$3:$M$524,1,0),"---")</f>
        <v>---</v>
      </c>
    </row>
    <row r="388" spans="1:12" x14ac:dyDescent="0.3">
      <c r="A388"/>
      <c r="B388"/>
      <c r="C388"/>
      <c r="D388"/>
      <c r="E388"/>
      <c r="L388" s="168" t="str">
        <f>IFERROR(VLOOKUP($H388,PARAMETERS!$M$3:$M$524,1,0),"---")</f>
        <v>---</v>
      </c>
    </row>
    <row r="389" spans="1:12" x14ac:dyDescent="0.3">
      <c r="A389"/>
      <c r="B389"/>
      <c r="C389"/>
      <c r="D389"/>
      <c r="E389"/>
      <c r="L389" s="168" t="str">
        <f>IFERROR(VLOOKUP($H389,PARAMETERS!$M$3:$M$524,1,0),"---")</f>
        <v>---</v>
      </c>
    </row>
    <row r="390" spans="1:12" x14ac:dyDescent="0.3">
      <c r="A390"/>
      <c r="B390"/>
      <c r="C390"/>
      <c r="D390"/>
      <c r="E390"/>
      <c r="L390" s="168" t="str">
        <f>IFERROR(VLOOKUP($H390,PARAMETERS!$M$3:$M$524,1,0),"---")</f>
        <v>---</v>
      </c>
    </row>
    <row r="391" spans="1:12" x14ac:dyDescent="0.3">
      <c r="A391"/>
      <c r="B391"/>
      <c r="C391"/>
      <c r="D391"/>
      <c r="E391"/>
      <c r="L391" s="168" t="str">
        <f>IFERROR(VLOOKUP($H391,PARAMETERS!$M$3:$M$524,1,0),"---")</f>
        <v>---</v>
      </c>
    </row>
    <row r="392" spans="1:12" x14ac:dyDescent="0.3">
      <c r="A392"/>
      <c r="B392"/>
      <c r="C392"/>
      <c r="D392"/>
      <c r="E392"/>
      <c r="L392" s="168" t="str">
        <f>IFERROR(VLOOKUP($H392,PARAMETERS!$M$3:$M$524,1,0),"---")</f>
        <v>---</v>
      </c>
    </row>
    <row r="393" spans="1:12" x14ac:dyDescent="0.3">
      <c r="A393"/>
      <c r="B393"/>
      <c r="C393"/>
      <c r="D393"/>
      <c r="E393"/>
      <c r="L393" s="168" t="str">
        <f>IFERROR(VLOOKUP($H393,PARAMETERS!$M$3:$M$524,1,0),"---")</f>
        <v>---</v>
      </c>
    </row>
    <row r="394" spans="1:12" x14ac:dyDescent="0.3">
      <c r="A394"/>
      <c r="B394"/>
      <c r="C394"/>
      <c r="D394"/>
      <c r="E394"/>
      <c r="L394" s="168" t="str">
        <f>IFERROR(VLOOKUP($H394,PARAMETERS!$M$3:$M$524,1,0),"---")</f>
        <v>---</v>
      </c>
    </row>
    <row r="395" spans="1:12" x14ac:dyDescent="0.3">
      <c r="A395"/>
      <c r="B395"/>
      <c r="C395"/>
      <c r="D395"/>
      <c r="E395"/>
      <c r="L395" s="168" t="str">
        <f>IFERROR(VLOOKUP($H395,PARAMETERS!$M$3:$M$524,1,0),"---")</f>
        <v>---</v>
      </c>
    </row>
    <row r="396" spans="1:12" x14ac:dyDescent="0.3">
      <c r="A396"/>
      <c r="B396"/>
      <c r="C396"/>
      <c r="D396"/>
      <c r="E396"/>
      <c r="L396" s="168" t="str">
        <f>IFERROR(VLOOKUP($H396,PARAMETERS!$M$3:$M$524,1,0),"---")</f>
        <v>---</v>
      </c>
    </row>
    <row r="397" spans="1:12" x14ac:dyDescent="0.3">
      <c r="A397"/>
      <c r="B397"/>
      <c r="C397"/>
      <c r="D397"/>
      <c r="E397"/>
      <c r="L397" s="168" t="str">
        <f>IFERROR(VLOOKUP($H397,PARAMETERS!$M$3:$M$524,1,0),"---")</f>
        <v>---</v>
      </c>
    </row>
    <row r="398" spans="1:12" x14ac:dyDescent="0.3">
      <c r="A398"/>
      <c r="B398"/>
      <c r="C398"/>
      <c r="D398"/>
      <c r="E398"/>
      <c r="L398" s="168" t="str">
        <f>IFERROR(VLOOKUP($H398,PARAMETERS!$M$3:$M$524,1,0),"---")</f>
        <v>---</v>
      </c>
    </row>
    <row r="399" spans="1:12" x14ac:dyDescent="0.3">
      <c r="A399"/>
      <c r="B399"/>
      <c r="C399"/>
      <c r="D399"/>
      <c r="E399"/>
      <c r="L399" s="168" t="str">
        <f>IFERROR(VLOOKUP($H399,PARAMETERS!$M$3:$M$524,1,0),"---")</f>
        <v>---</v>
      </c>
    </row>
    <row r="400" spans="1:12" x14ac:dyDescent="0.3">
      <c r="A400"/>
      <c r="B400"/>
      <c r="C400"/>
      <c r="D400"/>
      <c r="E400"/>
      <c r="L400" s="168" t="str">
        <f>IFERROR(VLOOKUP($H400,PARAMETERS!$M$3:$M$524,1,0),"---")</f>
        <v>---</v>
      </c>
    </row>
    <row r="401" spans="1:12" x14ac:dyDescent="0.3">
      <c r="A401"/>
      <c r="B401"/>
      <c r="C401"/>
      <c r="D401"/>
      <c r="E401"/>
      <c r="L401" s="168" t="str">
        <f>IFERROR(VLOOKUP($H401,PARAMETERS!$M$3:$M$524,1,0),"---")</f>
        <v>---</v>
      </c>
    </row>
    <row r="402" spans="1:12" x14ac:dyDescent="0.3">
      <c r="A402"/>
      <c r="B402"/>
      <c r="C402"/>
      <c r="D402"/>
      <c r="E402"/>
      <c r="L402" s="168" t="str">
        <f>IFERROR(VLOOKUP($H402,PARAMETERS!$M$3:$M$524,1,0),"---")</f>
        <v>---</v>
      </c>
    </row>
    <row r="403" spans="1:12" x14ac:dyDescent="0.3">
      <c r="A403"/>
      <c r="B403"/>
      <c r="C403"/>
      <c r="D403"/>
      <c r="E403"/>
      <c r="L403" s="168" t="str">
        <f>IFERROR(VLOOKUP($H403,PARAMETERS!$M$3:$M$524,1,0),"---")</f>
        <v>---</v>
      </c>
    </row>
    <row r="404" spans="1:12" x14ac:dyDescent="0.3">
      <c r="A404"/>
      <c r="B404"/>
      <c r="C404"/>
      <c r="D404"/>
      <c r="E404"/>
      <c r="L404" s="168" t="str">
        <f>IFERROR(VLOOKUP($H404,PARAMETERS!$M$3:$M$524,1,0),"---")</f>
        <v>---</v>
      </c>
    </row>
    <row r="405" spans="1:12" x14ac:dyDescent="0.3">
      <c r="A405"/>
      <c r="B405"/>
      <c r="C405"/>
      <c r="D405"/>
      <c r="E405"/>
      <c r="L405" s="168" t="str">
        <f>IFERROR(VLOOKUP($H405,PARAMETERS!$M$3:$M$524,1,0),"---")</f>
        <v>---</v>
      </c>
    </row>
    <row r="406" spans="1:12" x14ac:dyDescent="0.3">
      <c r="A406"/>
      <c r="B406"/>
      <c r="C406"/>
      <c r="D406"/>
      <c r="E406"/>
      <c r="L406" s="168" t="str">
        <f>IFERROR(VLOOKUP($H406,PARAMETERS!$M$3:$M$524,1,0),"---")</f>
        <v>---</v>
      </c>
    </row>
    <row r="407" spans="1:12" x14ac:dyDescent="0.3">
      <c r="A407"/>
      <c r="B407"/>
      <c r="C407"/>
      <c r="D407"/>
      <c r="E407"/>
      <c r="L407" s="168" t="str">
        <f>IFERROR(VLOOKUP($H407,PARAMETERS!$M$3:$M$524,1,0),"---")</f>
        <v>---</v>
      </c>
    </row>
    <row r="408" spans="1:12" x14ac:dyDescent="0.3">
      <c r="A408"/>
      <c r="B408"/>
      <c r="C408"/>
      <c r="D408"/>
      <c r="E408"/>
      <c r="L408" s="168" t="str">
        <f>IFERROR(VLOOKUP($H408,PARAMETERS!$M$3:$M$524,1,0),"---")</f>
        <v>---</v>
      </c>
    </row>
    <row r="409" spans="1:12" x14ac:dyDescent="0.3">
      <c r="A409"/>
      <c r="B409"/>
      <c r="C409"/>
      <c r="D409"/>
      <c r="E409"/>
      <c r="L409" s="168" t="str">
        <f>IFERROR(VLOOKUP($H409,PARAMETERS!$M$3:$M$524,1,0),"---")</f>
        <v>---</v>
      </c>
    </row>
    <row r="410" spans="1:12" x14ac:dyDescent="0.3">
      <c r="A410"/>
      <c r="B410"/>
      <c r="C410"/>
      <c r="D410"/>
      <c r="E410"/>
      <c r="L410" s="168" t="str">
        <f>IFERROR(VLOOKUP($H410,PARAMETERS!$M$3:$M$524,1,0),"---")</f>
        <v>---</v>
      </c>
    </row>
    <row r="411" spans="1:12" x14ac:dyDescent="0.3">
      <c r="A411"/>
      <c r="B411"/>
      <c r="C411"/>
      <c r="D411"/>
      <c r="E411"/>
      <c r="L411" s="168" t="str">
        <f>IFERROR(VLOOKUP($H411,PARAMETERS!$M$3:$M$524,1,0),"---")</f>
        <v>---</v>
      </c>
    </row>
    <row r="412" spans="1:12" x14ac:dyDescent="0.3">
      <c r="A412"/>
      <c r="B412"/>
      <c r="C412"/>
      <c r="D412"/>
      <c r="E412"/>
      <c r="L412" s="168" t="str">
        <f>IFERROR(VLOOKUP($H412,PARAMETERS!$M$3:$M$524,1,0),"---")</f>
        <v>---</v>
      </c>
    </row>
    <row r="413" spans="1:12" x14ac:dyDescent="0.3">
      <c r="A413"/>
      <c r="B413"/>
      <c r="C413"/>
      <c r="D413"/>
      <c r="E413"/>
      <c r="L413" s="168" t="str">
        <f>IFERROR(VLOOKUP($H413,PARAMETERS!$M$3:$M$524,1,0),"---")</f>
        <v>---</v>
      </c>
    </row>
    <row r="414" spans="1:12" x14ac:dyDescent="0.3">
      <c r="A414"/>
      <c r="B414"/>
      <c r="C414"/>
      <c r="D414"/>
      <c r="E414"/>
      <c r="L414" s="168" t="str">
        <f>IFERROR(VLOOKUP($H414,PARAMETERS!$M$3:$M$524,1,0),"---")</f>
        <v>---</v>
      </c>
    </row>
    <row r="415" spans="1:12" x14ac:dyDescent="0.3">
      <c r="A415"/>
      <c r="B415"/>
      <c r="C415"/>
      <c r="D415"/>
      <c r="E415"/>
      <c r="L415" s="168" t="str">
        <f>IFERROR(VLOOKUP($H415,PARAMETERS!$M$3:$M$524,1,0),"---")</f>
        <v>---</v>
      </c>
    </row>
    <row r="416" spans="1:12" x14ac:dyDescent="0.3">
      <c r="A416"/>
      <c r="B416"/>
      <c r="C416"/>
      <c r="D416"/>
      <c r="E416"/>
      <c r="L416" s="168" t="str">
        <f>IFERROR(VLOOKUP($H416,PARAMETERS!$M$3:$M$524,1,0),"---")</f>
        <v>---</v>
      </c>
    </row>
    <row r="417" spans="1:12" x14ac:dyDescent="0.3">
      <c r="A417"/>
      <c r="B417"/>
      <c r="C417"/>
      <c r="D417"/>
      <c r="E417"/>
      <c r="L417" s="168" t="str">
        <f>IFERROR(VLOOKUP($H417,PARAMETERS!$M$3:$M$524,1,0),"---")</f>
        <v>---</v>
      </c>
    </row>
    <row r="418" spans="1:12" x14ac:dyDescent="0.3">
      <c r="A418"/>
      <c r="B418"/>
      <c r="C418"/>
      <c r="D418"/>
      <c r="E418"/>
      <c r="L418" s="168" t="str">
        <f>IFERROR(VLOOKUP($H418,PARAMETERS!$M$3:$M$524,1,0),"---")</f>
        <v>---</v>
      </c>
    </row>
    <row r="419" spans="1:12" x14ac:dyDescent="0.3">
      <c r="A419"/>
      <c r="B419"/>
      <c r="C419"/>
      <c r="D419"/>
      <c r="E419"/>
      <c r="L419" s="168" t="str">
        <f>IFERROR(VLOOKUP($H419,PARAMETERS!$M$3:$M$524,1,0),"---")</f>
        <v>---</v>
      </c>
    </row>
    <row r="420" spans="1:12" x14ac:dyDescent="0.3">
      <c r="A420"/>
      <c r="B420"/>
      <c r="C420"/>
      <c r="D420"/>
      <c r="E420"/>
      <c r="L420" s="168" t="str">
        <f>IFERROR(VLOOKUP($H420,PARAMETERS!$M$3:$M$524,1,0),"---")</f>
        <v>---</v>
      </c>
    </row>
    <row r="421" spans="1:12" x14ac:dyDescent="0.3">
      <c r="A421"/>
      <c r="B421"/>
      <c r="C421"/>
      <c r="D421"/>
      <c r="E421"/>
      <c r="L421" s="168" t="str">
        <f>IFERROR(VLOOKUP($H421,PARAMETERS!$M$3:$M$524,1,0),"---")</f>
        <v>---</v>
      </c>
    </row>
    <row r="422" spans="1:12" x14ac:dyDescent="0.3">
      <c r="A422"/>
      <c r="B422"/>
      <c r="C422"/>
      <c r="D422"/>
      <c r="E422"/>
      <c r="L422" s="168" t="str">
        <f>IFERROR(VLOOKUP($H422,PARAMETERS!$M$3:$M$524,1,0),"---")</f>
        <v>---</v>
      </c>
    </row>
    <row r="423" spans="1:12" x14ac:dyDescent="0.3">
      <c r="A423"/>
      <c r="B423"/>
      <c r="C423"/>
      <c r="D423"/>
      <c r="E423"/>
      <c r="L423" s="168" t="str">
        <f>IFERROR(VLOOKUP($H423,PARAMETERS!$M$3:$M$524,1,0),"---")</f>
        <v>---</v>
      </c>
    </row>
    <row r="424" spans="1:12" x14ac:dyDescent="0.3">
      <c r="A424"/>
      <c r="B424"/>
      <c r="C424"/>
      <c r="D424"/>
      <c r="E424"/>
      <c r="L424" s="168" t="str">
        <f>IFERROR(VLOOKUP($H424,PARAMETERS!$M$3:$M$524,1,0),"---")</f>
        <v>---</v>
      </c>
    </row>
    <row r="425" spans="1:12" x14ac:dyDescent="0.3">
      <c r="A425"/>
      <c r="B425"/>
      <c r="C425"/>
      <c r="D425"/>
      <c r="E425"/>
      <c r="L425" s="168" t="str">
        <f>IFERROR(VLOOKUP($H425,PARAMETERS!$M$3:$M$524,1,0),"---")</f>
        <v>---</v>
      </c>
    </row>
    <row r="426" spans="1:12" x14ac:dyDescent="0.3">
      <c r="A426"/>
      <c r="B426"/>
      <c r="C426"/>
      <c r="D426"/>
      <c r="E426"/>
      <c r="L426" s="168" t="str">
        <f>IFERROR(VLOOKUP($H426,PARAMETERS!$M$3:$M$524,1,0),"---")</f>
        <v>---</v>
      </c>
    </row>
    <row r="427" spans="1:12" x14ac:dyDescent="0.3">
      <c r="A427"/>
      <c r="B427"/>
      <c r="C427"/>
      <c r="D427"/>
      <c r="E427"/>
      <c r="L427" s="168" t="str">
        <f>IFERROR(VLOOKUP($H427,PARAMETERS!$M$3:$M$524,1,0),"---")</f>
        <v>---</v>
      </c>
    </row>
    <row r="428" spans="1:12" x14ac:dyDescent="0.3">
      <c r="A428"/>
      <c r="B428"/>
      <c r="C428"/>
      <c r="D428"/>
      <c r="E428"/>
      <c r="L428" s="168" t="str">
        <f>IFERROR(VLOOKUP($H428,PARAMETERS!$M$3:$M$524,1,0),"---")</f>
        <v>---</v>
      </c>
    </row>
    <row r="429" spans="1:12" x14ac:dyDescent="0.3">
      <c r="A429"/>
      <c r="B429"/>
      <c r="C429"/>
      <c r="D429"/>
      <c r="E429"/>
      <c r="L429" s="168" t="str">
        <f>IFERROR(VLOOKUP($H429,PARAMETERS!$M$3:$M$524,1,0),"---")</f>
        <v>---</v>
      </c>
    </row>
    <row r="430" spans="1:12" x14ac:dyDescent="0.3">
      <c r="A430"/>
      <c r="B430"/>
      <c r="C430"/>
      <c r="D430"/>
      <c r="E430"/>
      <c r="L430" s="168" t="str">
        <f>IFERROR(VLOOKUP($H430,PARAMETERS!$M$3:$M$524,1,0),"---")</f>
        <v>---</v>
      </c>
    </row>
    <row r="431" spans="1:12" x14ac:dyDescent="0.3">
      <c r="A431"/>
      <c r="B431"/>
      <c r="C431"/>
      <c r="D431"/>
      <c r="E431"/>
      <c r="L431" s="168" t="str">
        <f>IFERROR(VLOOKUP($H431,PARAMETERS!$M$3:$M$524,1,0),"---")</f>
        <v>---</v>
      </c>
    </row>
    <row r="432" spans="1:12" x14ac:dyDescent="0.3">
      <c r="A432"/>
      <c r="B432"/>
      <c r="C432"/>
      <c r="D432"/>
      <c r="E432"/>
      <c r="L432" s="168" t="str">
        <f>IFERROR(VLOOKUP($H432,PARAMETERS!$M$3:$M$524,1,0),"---")</f>
        <v>---</v>
      </c>
    </row>
    <row r="433" spans="1:12" x14ac:dyDescent="0.3">
      <c r="A433"/>
      <c r="B433"/>
      <c r="C433"/>
      <c r="D433"/>
      <c r="E433"/>
      <c r="L433" s="168" t="str">
        <f>IFERROR(VLOOKUP($H433,PARAMETERS!$M$3:$M$524,1,0),"---")</f>
        <v>---</v>
      </c>
    </row>
    <row r="434" spans="1:12" x14ac:dyDescent="0.3">
      <c r="A434"/>
      <c r="B434"/>
      <c r="C434"/>
      <c r="D434"/>
      <c r="E434"/>
      <c r="L434" s="168" t="str">
        <f>IFERROR(VLOOKUP($H434,PARAMETERS!$M$3:$M$524,1,0),"---")</f>
        <v>---</v>
      </c>
    </row>
    <row r="435" spans="1:12" x14ac:dyDescent="0.3">
      <c r="A435"/>
      <c r="B435"/>
      <c r="C435"/>
      <c r="D435"/>
      <c r="E435"/>
      <c r="L435" s="168" t="str">
        <f>IFERROR(VLOOKUP($H435,PARAMETERS!$M$3:$M$524,1,0),"---")</f>
        <v>---</v>
      </c>
    </row>
    <row r="436" spans="1:12" x14ac:dyDescent="0.3">
      <c r="A436"/>
      <c r="B436"/>
      <c r="C436"/>
      <c r="D436"/>
      <c r="E436"/>
      <c r="L436" s="168" t="str">
        <f>IFERROR(VLOOKUP($H436,PARAMETERS!$M$3:$M$524,1,0),"---")</f>
        <v>---</v>
      </c>
    </row>
    <row r="437" spans="1:12" x14ac:dyDescent="0.3">
      <c r="A437"/>
      <c r="B437"/>
      <c r="C437"/>
      <c r="D437"/>
      <c r="E437"/>
      <c r="L437" s="168" t="str">
        <f>IFERROR(VLOOKUP($H437,PARAMETERS!$M$3:$M$524,1,0),"---")</f>
        <v>---</v>
      </c>
    </row>
    <row r="438" spans="1:12" x14ac:dyDescent="0.3">
      <c r="A438"/>
      <c r="B438"/>
      <c r="C438"/>
      <c r="D438"/>
      <c r="E438"/>
      <c r="L438" s="168" t="str">
        <f>IFERROR(VLOOKUP($H438,PARAMETERS!$M$3:$M$524,1,0),"---")</f>
        <v>---</v>
      </c>
    </row>
    <row r="439" spans="1:12" x14ac:dyDescent="0.3">
      <c r="A439"/>
      <c r="B439"/>
      <c r="C439"/>
      <c r="D439"/>
      <c r="E439"/>
      <c r="L439" s="168" t="str">
        <f>IFERROR(VLOOKUP($H439,PARAMETERS!$M$3:$M$524,1,0),"---")</f>
        <v>---</v>
      </c>
    </row>
    <row r="440" spans="1:12" x14ac:dyDescent="0.3">
      <c r="A440"/>
      <c r="B440"/>
      <c r="C440"/>
      <c r="D440"/>
      <c r="E440"/>
      <c r="L440" s="168" t="str">
        <f>IFERROR(VLOOKUP($H440,PARAMETERS!$M$3:$M$524,1,0),"---")</f>
        <v>---</v>
      </c>
    </row>
    <row r="441" spans="1:12" x14ac:dyDescent="0.3">
      <c r="A441"/>
      <c r="B441"/>
      <c r="C441"/>
      <c r="D441"/>
      <c r="E441"/>
      <c r="L441" s="168" t="str">
        <f>IFERROR(VLOOKUP($H441,PARAMETERS!$M$3:$M$524,1,0),"---")</f>
        <v>---</v>
      </c>
    </row>
    <row r="442" spans="1:12" x14ac:dyDescent="0.3">
      <c r="A442"/>
      <c r="B442"/>
      <c r="C442"/>
      <c r="D442"/>
      <c r="E442"/>
      <c r="L442" s="168" t="str">
        <f>IFERROR(VLOOKUP($H442,PARAMETERS!$M$3:$M$524,1,0),"---")</f>
        <v>---</v>
      </c>
    </row>
    <row r="443" spans="1:12" x14ac:dyDescent="0.3">
      <c r="A443"/>
      <c r="B443"/>
      <c r="C443"/>
      <c r="D443"/>
      <c r="E443"/>
      <c r="L443" s="168" t="str">
        <f>IFERROR(VLOOKUP($H443,PARAMETERS!$M$3:$M$524,1,0),"---")</f>
        <v>---</v>
      </c>
    </row>
    <row r="444" spans="1:12" x14ac:dyDescent="0.3">
      <c r="A444"/>
      <c r="B444"/>
      <c r="C444"/>
      <c r="D444"/>
      <c r="E444"/>
      <c r="L444" s="168" t="str">
        <f>IFERROR(VLOOKUP($H444,PARAMETERS!$M$3:$M$524,1,0),"---")</f>
        <v>---</v>
      </c>
    </row>
    <row r="445" spans="1:12" x14ac:dyDescent="0.3">
      <c r="A445"/>
      <c r="B445"/>
      <c r="C445"/>
      <c r="D445"/>
      <c r="E445"/>
      <c r="L445" s="168" t="str">
        <f>IFERROR(VLOOKUP($H445,PARAMETERS!$M$3:$M$524,1,0),"---")</f>
        <v>---</v>
      </c>
    </row>
    <row r="446" spans="1:12" x14ac:dyDescent="0.3">
      <c r="A446"/>
      <c r="B446"/>
      <c r="C446"/>
      <c r="D446"/>
      <c r="E446"/>
      <c r="L446" s="168" t="str">
        <f>IFERROR(VLOOKUP($H446,PARAMETERS!$M$3:$M$524,1,0),"---")</f>
        <v>---</v>
      </c>
    </row>
    <row r="447" spans="1:12" x14ac:dyDescent="0.3">
      <c r="A447"/>
      <c r="B447"/>
      <c r="C447"/>
      <c r="D447"/>
      <c r="E447"/>
      <c r="L447" s="168" t="str">
        <f>IFERROR(VLOOKUP($H447,PARAMETERS!$M$3:$M$524,1,0),"---")</f>
        <v>---</v>
      </c>
    </row>
    <row r="448" spans="1:12" x14ac:dyDescent="0.3">
      <c r="A448"/>
      <c r="B448"/>
      <c r="C448"/>
      <c r="D448"/>
      <c r="E448"/>
      <c r="L448" s="168" t="str">
        <f>IFERROR(VLOOKUP($H448,PARAMETERS!$M$3:$M$524,1,0),"---")</f>
        <v>---</v>
      </c>
    </row>
    <row r="449" spans="1:12" x14ac:dyDescent="0.3">
      <c r="A449"/>
      <c r="B449"/>
      <c r="C449"/>
      <c r="D449"/>
      <c r="E449"/>
      <c r="L449" s="168" t="str">
        <f>IFERROR(VLOOKUP($H449,PARAMETERS!$M$3:$M$524,1,0),"---")</f>
        <v>---</v>
      </c>
    </row>
    <row r="450" spans="1:12" x14ac:dyDescent="0.3">
      <c r="A450"/>
      <c r="B450"/>
      <c r="C450"/>
      <c r="D450"/>
      <c r="E450"/>
      <c r="L450" s="168" t="str">
        <f>IFERROR(VLOOKUP($H450,PARAMETERS!$M$3:$M$524,1,0),"---")</f>
        <v>---</v>
      </c>
    </row>
    <row r="451" spans="1:12" x14ac:dyDescent="0.3">
      <c r="A451"/>
      <c r="B451"/>
      <c r="C451"/>
      <c r="D451"/>
      <c r="E451"/>
      <c r="L451" s="168" t="str">
        <f>IFERROR(VLOOKUP($H451,PARAMETERS!$M$3:$M$524,1,0),"---")</f>
        <v>---</v>
      </c>
    </row>
    <row r="452" spans="1:12" x14ac:dyDescent="0.3">
      <c r="A452"/>
      <c r="B452"/>
      <c r="C452"/>
      <c r="D452"/>
      <c r="E452"/>
      <c r="L452" s="168" t="str">
        <f>IFERROR(VLOOKUP($H452,PARAMETERS!$M$3:$M$524,1,0),"---")</f>
        <v>---</v>
      </c>
    </row>
    <row r="453" spans="1:12" x14ac:dyDescent="0.3">
      <c r="A453"/>
      <c r="B453"/>
      <c r="C453"/>
      <c r="D453"/>
      <c r="E453"/>
      <c r="L453" s="168" t="str">
        <f>IFERROR(VLOOKUP($H453,PARAMETERS!$M$3:$M$524,1,0),"---")</f>
        <v>---</v>
      </c>
    </row>
    <row r="454" spans="1:12" x14ac:dyDescent="0.3">
      <c r="A454"/>
      <c r="B454"/>
      <c r="C454"/>
      <c r="D454"/>
      <c r="E454"/>
      <c r="L454" s="168" t="str">
        <f>IFERROR(VLOOKUP($H454,PARAMETERS!$M$3:$M$524,1,0),"---")</f>
        <v>---</v>
      </c>
    </row>
    <row r="455" spans="1:12" x14ac:dyDescent="0.3">
      <c r="A455"/>
      <c r="B455"/>
      <c r="C455"/>
      <c r="D455"/>
      <c r="E455"/>
      <c r="L455" s="168" t="str">
        <f>IFERROR(VLOOKUP($H455,PARAMETERS!$M$3:$M$524,1,0),"---")</f>
        <v>---</v>
      </c>
    </row>
    <row r="456" spans="1:12" x14ac:dyDescent="0.3">
      <c r="A456"/>
      <c r="B456"/>
      <c r="C456"/>
      <c r="D456"/>
      <c r="E456"/>
      <c r="L456" s="168" t="str">
        <f>IFERROR(VLOOKUP($H456,PARAMETERS!$M$3:$M$524,1,0),"---")</f>
        <v>---</v>
      </c>
    </row>
    <row r="457" spans="1:12" x14ac:dyDescent="0.3">
      <c r="A457"/>
      <c r="B457"/>
      <c r="C457"/>
      <c r="D457"/>
      <c r="E457"/>
      <c r="L457" s="168" t="str">
        <f>IFERROR(VLOOKUP($H457,PARAMETERS!$M$3:$M$524,1,0),"---")</f>
        <v>---</v>
      </c>
    </row>
    <row r="458" spans="1:12" x14ac:dyDescent="0.3">
      <c r="A458"/>
      <c r="B458"/>
      <c r="C458"/>
      <c r="D458"/>
      <c r="E458"/>
      <c r="L458" s="168" t="str">
        <f>IFERROR(VLOOKUP($H458,PARAMETERS!$M$3:$M$524,1,0),"---")</f>
        <v>---</v>
      </c>
    </row>
    <row r="459" spans="1:12" x14ac:dyDescent="0.3">
      <c r="A459"/>
      <c r="B459"/>
      <c r="C459"/>
      <c r="D459"/>
      <c r="E459"/>
      <c r="L459" s="168" t="str">
        <f>IFERROR(VLOOKUP($H459,PARAMETERS!$M$3:$M$524,1,0),"---")</f>
        <v>---</v>
      </c>
    </row>
    <row r="460" spans="1:12" x14ac:dyDescent="0.3">
      <c r="A460"/>
      <c r="B460"/>
      <c r="C460"/>
      <c r="D460"/>
      <c r="E460"/>
      <c r="L460" s="168" t="str">
        <f>IFERROR(VLOOKUP($H460,PARAMETERS!$M$3:$M$524,1,0),"---")</f>
        <v>---</v>
      </c>
    </row>
    <row r="461" spans="1:12" x14ac:dyDescent="0.3">
      <c r="A461"/>
      <c r="B461"/>
      <c r="C461"/>
      <c r="D461"/>
      <c r="E461"/>
      <c r="L461" s="168" t="str">
        <f>IFERROR(VLOOKUP($H461,PARAMETERS!$M$3:$M$524,1,0),"---")</f>
        <v>---</v>
      </c>
    </row>
    <row r="462" spans="1:12" x14ac:dyDescent="0.3">
      <c r="A462"/>
      <c r="B462"/>
      <c r="C462"/>
      <c r="D462"/>
      <c r="E462"/>
      <c r="L462" s="168" t="str">
        <f>IFERROR(VLOOKUP($H462,PARAMETERS!$M$3:$M$524,1,0),"---")</f>
        <v>---</v>
      </c>
    </row>
    <row r="463" spans="1:12" x14ac:dyDescent="0.3">
      <c r="A463"/>
      <c r="B463"/>
      <c r="C463"/>
      <c r="D463"/>
      <c r="E463"/>
      <c r="L463" s="168" t="str">
        <f>IFERROR(VLOOKUP($H463,PARAMETERS!$M$3:$M$524,1,0),"---")</f>
        <v>---</v>
      </c>
    </row>
    <row r="464" spans="1:12" x14ac:dyDescent="0.3">
      <c r="A464"/>
      <c r="B464"/>
      <c r="C464"/>
      <c r="D464"/>
      <c r="E464"/>
      <c r="L464" s="168" t="str">
        <f>IFERROR(VLOOKUP($H464,PARAMETERS!$M$3:$M$524,1,0),"---")</f>
        <v>---</v>
      </c>
    </row>
    <row r="465" spans="1:12" x14ac:dyDescent="0.3">
      <c r="A465"/>
      <c r="B465"/>
      <c r="C465"/>
      <c r="D465"/>
      <c r="E465"/>
      <c r="L465" s="168" t="str">
        <f>IFERROR(VLOOKUP($H465,PARAMETERS!$M$3:$M$524,1,0),"---")</f>
        <v>---</v>
      </c>
    </row>
    <row r="466" spans="1:12" x14ac:dyDescent="0.3">
      <c r="A466"/>
      <c r="B466"/>
      <c r="C466"/>
      <c r="D466"/>
      <c r="E466"/>
      <c r="L466" s="168" t="str">
        <f>IFERROR(VLOOKUP($H466,PARAMETERS!$M$3:$M$524,1,0),"---")</f>
        <v>---</v>
      </c>
    </row>
    <row r="467" spans="1:12" x14ac:dyDescent="0.3">
      <c r="A467"/>
      <c r="B467"/>
      <c r="C467"/>
      <c r="D467"/>
      <c r="E467"/>
      <c r="L467" s="168" t="str">
        <f>IFERROR(VLOOKUP($H467,PARAMETERS!$M$3:$M$524,1,0),"---")</f>
        <v>---</v>
      </c>
    </row>
    <row r="468" spans="1:12" x14ac:dyDescent="0.3">
      <c r="A468"/>
      <c r="B468"/>
      <c r="C468"/>
      <c r="D468"/>
      <c r="E468"/>
      <c r="L468" s="168" t="str">
        <f>IFERROR(VLOOKUP($H468,PARAMETERS!$M$3:$M$524,1,0),"---")</f>
        <v>---</v>
      </c>
    </row>
    <row r="469" spans="1:12" x14ac:dyDescent="0.3">
      <c r="A469"/>
      <c r="B469"/>
      <c r="C469"/>
      <c r="D469"/>
      <c r="E469"/>
      <c r="L469" s="168" t="str">
        <f>IFERROR(VLOOKUP($H469,PARAMETERS!$M$3:$M$524,1,0),"---")</f>
        <v>---</v>
      </c>
    </row>
    <row r="470" spans="1:12" x14ac:dyDescent="0.3">
      <c r="A470"/>
      <c r="B470"/>
      <c r="C470"/>
      <c r="D470"/>
      <c r="E470"/>
      <c r="L470" s="168" t="str">
        <f>IFERROR(VLOOKUP($H470,PARAMETERS!$M$3:$M$524,1,0),"---")</f>
        <v>---</v>
      </c>
    </row>
    <row r="471" spans="1:12" x14ac:dyDescent="0.3">
      <c r="A471"/>
      <c r="B471"/>
      <c r="C471"/>
      <c r="D471"/>
      <c r="E471"/>
      <c r="L471" s="168" t="str">
        <f>IFERROR(VLOOKUP($H471,PARAMETERS!$M$3:$M$524,1,0),"---")</f>
        <v>---</v>
      </c>
    </row>
    <row r="472" spans="1:12" x14ac:dyDescent="0.3">
      <c r="A472"/>
      <c r="B472"/>
      <c r="C472"/>
      <c r="D472"/>
      <c r="E472"/>
      <c r="L472" s="168" t="str">
        <f>IFERROR(VLOOKUP($H472,PARAMETERS!$M$3:$M$524,1,0),"---")</f>
        <v>---</v>
      </c>
    </row>
    <row r="473" spans="1:12" x14ac:dyDescent="0.3">
      <c r="A473"/>
      <c r="B473"/>
      <c r="C473"/>
      <c r="D473"/>
      <c r="E473"/>
      <c r="L473" s="168" t="str">
        <f>IFERROR(VLOOKUP($H473,PARAMETERS!$M$3:$M$524,1,0),"---")</f>
        <v>---</v>
      </c>
    </row>
    <row r="474" spans="1:12" x14ac:dyDescent="0.3">
      <c r="A474"/>
      <c r="B474"/>
      <c r="C474"/>
      <c r="D474"/>
      <c r="E474"/>
      <c r="L474" s="168" t="str">
        <f>IFERROR(VLOOKUP($H474,PARAMETERS!$M$3:$M$524,1,0),"---")</f>
        <v>---</v>
      </c>
    </row>
    <row r="475" spans="1:12" x14ac:dyDescent="0.3">
      <c r="A475"/>
      <c r="B475"/>
      <c r="C475"/>
      <c r="D475"/>
      <c r="E475"/>
      <c r="L475" s="168" t="str">
        <f>IFERROR(VLOOKUP($H475,PARAMETERS!$M$3:$M$524,1,0),"---")</f>
        <v>---</v>
      </c>
    </row>
    <row r="476" spans="1:12" x14ac:dyDescent="0.3">
      <c r="A476"/>
      <c r="B476"/>
      <c r="C476"/>
      <c r="D476"/>
      <c r="E476"/>
      <c r="L476" s="168" t="str">
        <f>IFERROR(VLOOKUP($H476,PARAMETERS!$M$3:$M$524,1,0),"---")</f>
        <v>---</v>
      </c>
    </row>
    <row r="477" spans="1:12" x14ac:dyDescent="0.3">
      <c r="A477"/>
      <c r="B477"/>
      <c r="C477"/>
      <c r="D477"/>
      <c r="E477"/>
      <c r="L477" s="168" t="str">
        <f>IFERROR(VLOOKUP($H477,PARAMETERS!$M$3:$M$524,1,0),"---")</f>
        <v>---</v>
      </c>
    </row>
    <row r="478" spans="1:12" x14ac:dyDescent="0.3">
      <c r="A478"/>
      <c r="B478"/>
      <c r="C478"/>
      <c r="D478"/>
      <c r="E478"/>
      <c r="L478" s="168" t="str">
        <f>IFERROR(VLOOKUP($H478,PARAMETERS!$M$3:$M$524,1,0),"---")</f>
        <v>---</v>
      </c>
    </row>
    <row r="479" spans="1:12" x14ac:dyDescent="0.3">
      <c r="A479"/>
      <c r="B479"/>
      <c r="C479"/>
      <c r="D479"/>
      <c r="E479"/>
      <c r="L479" s="168" t="str">
        <f>IFERROR(VLOOKUP($H479,PARAMETERS!$M$3:$M$524,1,0),"---")</f>
        <v>---</v>
      </c>
    </row>
    <row r="480" spans="1:12" x14ac:dyDescent="0.3">
      <c r="A480"/>
      <c r="B480"/>
      <c r="C480"/>
      <c r="D480"/>
      <c r="E480"/>
      <c r="L480" s="168" t="str">
        <f>IFERROR(VLOOKUP($H480,PARAMETERS!$M$3:$M$524,1,0),"---")</f>
        <v>---</v>
      </c>
    </row>
    <row r="481" spans="1:12" x14ac:dyDescent="0.3">
      <c r="A481"/>
      <c r="B481"/>
      <c r="C481"/>
      <c r="D481"/>
      <c r="E481"/>
      <c r="L481" s="168" t="str">
        <f>IFERROR(VLOOKUP($H481,PARAMETERS!$M$3:$M$524,1,0),"---")</f>
        <v>---</v>
      </c>
    </row>
    <row r="482" spans="1:12" x14ac:dyDescent="0.3">
      <c r="A482"/>
      <c r="B482"/>
      <c r="C482"/>
      <c r="D482"/>
      <c r="E482"/>
      <c r="L482" s="168" t="str">
        <f>IFERROR(VLOOKUP($H482,PARAMETERS!$M$3:$M$524,1,0),"---")</f>
        <v>---</v>
      </c>
    </row>
    <row r="483" spans="1:12" x14ac:dyDescent="0.3">
      <c r="A483"/>
      <c r="B483"/>
      <c r="C483"/>
      <c r="D483"/>
      <c r="E483"/>
      <c r="L483" s="168" t="str">
        <f>IFERROR(VLOOKUP($H483,PARAMETERS!$M$3:$M$524,1,0),"---")</f>
        <v>---</v>
      </c>
    </row>
    <row r="484" spans="1:12" x14ac:dyDescent="0.3">
      <c r="A484"/>
      <c r="B484"/>
      <c r="C484"/>
      <c r="D484"/>
      <c r="E484"/>
      <c r="L484" s="168" t="str">
        <f>IFERROR(VLOOKUP($H484,PARAMETERS!$M$3:$M$524,1,0),"---")</f>
        <v>---</v>
      </c>
    </row>
    <row r="485" spans="1:12" x14ac:dyDescent="0.3">
      <c r="A485"/>
      <c r="B485"/>
      <c r="C485"/>
      <c r="D485"/>
      <c r="E485"/>
      <c r="L485" s="168" t="str">
        <f>IFERROR(VLOOKUP($H485,PARAMETERS!$M$3:$M$524,1,0),"---")</f>
        <v>---</v>
      </c>
    </row>
    <row r="486" spans="1:12" x14ac:dyDescent="0.3">
      <c r="A486"/>
      <c r="B486"/>
      <c r="C486"/>
      <c r="D486"/>
      <c r="E486"/>
      <c r="L486" s="168" t="str">
        <f>IFERROR(VLOOKUP($H486,PARAMETERS!$M$3:$M$524,1,0),"---")</f>
        <v>---</v>
      </c>
    </row>
    <row r="487" spans="1:12" x14ac:dyDescent="0.3">
      <c r="A487"/>
      <c r="B487"/>
      <c r="C487"/>
      <c r="D487"/>
      <c r="E487"/>
      <c r="L487" s="168" t="str">
        <f>IFERROR(VLOOKUP($H487,PARAMETERS!$M$3:$M$524,1,0),"---")</f>
        <v>---</v>
      </c>
    </row>
    <row r="488" spans="1:12" x14ac:dyDescent="0.3">
      <c r="A488"/>
      <c r="B488"/>
      <c r="C488"/>
      <c r="D488"/>
      <c r="E488"/>
      <c r="L488" s="168" t="str">
        <f>IFERROR(VLOOKUP($H488,PARAMETERS!$M$3:$M$524,1,0),"---")</f>
        <v>---</v>
      </c>
    </row>
    <row r="489" spans="1:12" x14ac:dyDescent="0.3">
      <c r="A489"/>
      <c r="B489"/>
      <c r="C489"/>
      <c r="D489"/>
      <c r="E489"/>
      <c r="L489" s="168" t="str">
        <f>IFERROR(VLOOKUP($H489,PARAMETERS!$M$3:$M$524,1,0),"---")</f>
        <v>---</v>
      </c>
    </row>
    <row r="490" spans="1:12" x14ac:dyDescent="0.3">
      <c r="A490"/>
      <c r="B490"/>
      <c r="C490"/>
      <c r="D490"/>
      <c r="E490"/>
      <c r="L490" s="168" t="str">
        <f>IFERROR(VLOOKUP($H490,PARAMETERS!$M$3:$M$524,1,0),"---")</f>
        <v>---</v>
      </c>
    </row>
    <row r="491" spans="1:12" x14ac:dyDescent="0.3">
      <c r="A491"/>
      <c r="B491"/>
      <c r="C491"/>
      <c r="D491"/>
      <c r="E491"/>
      <c r="L491" s="168" t="str">
        <f>IFERROR(VLOOKUP($H491,PARAMETERS!$M$3:$M$524,1,0),"---")</f>
        <v>---</v>
      </c>
    </row>
    <row r="492" spans="1:12" x14ac:dyDescent="0.3">
      <c r="A492"/>
      <c r="B492"/>
      <c r="C492"/>
      <c r="D492"/>
      <c r="E492"/>
      <c r="L492" s="168" t="str">
        <f>IFERROR(VLOOKUP($H492,PARAMETERS!$M$3:$M$524,1,0),"---")</f>
        <v>---</v>
      </c>
    </row>
    <row r="493" spans="1:12" x14ac:dyDescent="0.3">
      <c r="A493"/>
      <c r="B493"/>
      <c r="C493"/>
      <c r="D493"/>
      <c r="E493"/>
      <c r="L493" s="168" t="str">
        <f>IFERROR(VLOOKUP($H493,PARAMETERS!$M$3:$M$524,1,0),"---")</f>
        <v>---</v>
      </c>
    </row>
    <row r="494" spans="1:12" x14ac:dyDescent="0.3">
      <c r="A494"/>
      <c r="B494"/>
      <c r="C494"/>
      <c r="D494"/>
      <c r="E494"/>
      <c r="L494" s="168" t="str">
        <f>IFERROR(VLOOKUP($H494,PARAMETERS!$M$3:$M$524,1,0),"---")</f>
        <v>---</v>
      </c>
    </row>
    <row r="495" spans="1:12" x14ac:dyDescent="0.3">
      <c r="A495"/>
      <c r="B495"/>
      <c r="C495"/>
      <c r="D495"/>
      <c r="E495"/>
      <c r="L495" s="168" t="str">
        <f>IFERROR(VLOOKUP($H495,PARAMETERS!$M$3:$M$524,1,0),"---")</f>
        <v>---</v>
      </c>
    </row>
    <row r="496" spans="1:12" x14ac:dyDescent="0.3">
      <c r="A496"/>
      <c r="B496"/>
      <c r="C496"/>
      <c r="D496"/>
      <c r="E496"/>
      <c r="L496" s="168" t="str">
        <f>IFERROR(VLOOKUP($H496,PARAMETERS!$M$3:$M$524,1,0),"---")</f>
        <v>---</v>
      </c>
    </row>
    <row r="497" spans="1:12" x14ac:dyDescent="0.3">
      <c r="A497"/>
      <c r="B497"/>
      <c r="C497"/>
      <c r="D497"/>
      <c r="E497"/>
      <c r="L497" s="168" t="str">
        <f>IFERROR(VLOOKUP($H497,PARAMETERS!$M$3:$M$524,1,0),"---")</f>
        <v>---</v>
      </c>
    </row>
    <row r="498" spans="1:12" x14ac:dyDescent="0.3">
      <c r="A498"/>
      <c r="B498"/>
      <c r="C498"/>
      <c r="D498"/>
      <c r="E498"/>
      <c r="L498" s="168" t="str">
        <f>IFERROR(VLOOKUP($H498,PARAMETERS!$M$3:$M$524,1,0),"---")</f>
        <v>---</v>
      </c>
    </row>
    <row r="499" spans="1:12" x14ac:dyDescent="0.3">
      <c r="A499"/>
      <c r="B499"/>
      <c r="C499"/>
      <c r="D499"/>
      <c r="E499"/>
      <c r="L499" s="168" t="str">
        <f>IFERROR(VLOOKUP($H499,PARAMETERS!$M$3:$M$524,1,0),"---")</f>
        <v>---</v>
      </c>
    </row>
    <row r="500" spans="1:12" x14ac:dyDescent="0.3">
      <c r="A500"/>
      <c r="B500"/>
      <c r="C500"/>
      <c r="D500"/>
      <c r="E500"/>
      <c r="L500" s="168" t="str">
        <f>IFERROR(VLOOKUP($H500,PARAMETERS!$M$3:$M$524,1,0),"---")</f>
        <v>---</v>
      </c>
    </row>
    <row r="501" spans="1:12" x14ac:dyDescent="0.3">
      <c r="A501"/>
      <c r="B501"/>
      <c r="C501"/>
      <c r="D501"/>
      <c r="E501"/>
      <c r="L501" s="168" t="str">
        <f>IFERROR(VLOOKUP($H501,PARAMETERS!$M$3:$M$524,1,0),"---")</f>
        <v>---</v>
      </c>
    </row>
    <row r="502" spans="1:12" x14ac:dyDescent="0.3">
      <c r="A502"/>
      <c r="B502"/>
      <c r="C502"/>
      <c r="D502"/>
      <c r="E502"/>
      <c r="L502" s="168" t="str">
        <f>IFERROR(VLOOKUP($H502,PARAMETERS!$M$3:$M$524,1,0),"---")</f>
        <v>---</v>
      </c>
    </row>
    <row r="503" spans="1:12" x14ac:dyDescent="0.3">
      <c r="A503"/>
      <c r="B503"/>
      <c r="C503"/>
      <c r="D503"/>
      <c r="E503"/>
      <c r="L503" s="168" t="str">
        <f>IFERROR(VLOOKUP($H503,PARAMETERS!$M$3:$M$524,1,0),"---")</f>
        <v>---</v>
      </c>
    </row>
    <row r="504" spans="1:12" x14ac:dyDescent="0.3">
      <c r="A504"/>
      <c r="B504"/>
      <c r="C504"/>
      <c r="D504"/>
      <c r="E504"/>
      <c r="L504" s="168" t="str">
        <f>IFERROR(VLOOKUP($H504,PARAMETERS!$M$3:$M$524,1,0),"---")</f>
        <v>---</v>
      </c>
    </row>
    <row r="505" spans="1:12" x14ac:dyDescent="0.3">
      <c r="A505"/>
      <c r="B505"/>
      <c r="C505"/>
      <c r="D505"/>
      <c r="E505"/>
      <c r="L505" s="168" t="str">
        <f>IFERROR(VLOOKUP($H505,PARAMETERS!$M$3:$M$524,1,0),"---")</f>
        <v>---</v>
      </c>
    </row>
    <row r="506" spans="1:12" x14ac:dyDescent="0.3">
      <c r="A506"/>
      <c r="B506"/>
      <c r="C506"/>
      <c r="D506"/>
      <c r="E506"/>
      <c r="L506" s="168" t="str">
        <f>IFERROR(VLOOKUP($H506,PARAMETERS!$M$3:$M$524,1,0),"---")</f>
        <v>---</v>
      </c>
    </row>
    <row r="507" spans="1:12" x14ac:dyDescent="0.3">
      <c r="A507"/>
      <c r="B507"/>
      <c r="C507"/>
      <c r="D507"/>
      <c r="E507"/>
      <c r="L507" s="168" t="str">
        <f>IFERROR(VLOOKUP($H507,PARAMETERS!$M$3:$M$524,1,0),"---")</f>
        <v>---</v>
      </c>
    </row>
    <row r="508" spans="1:12" x14ac:dyDescent="0.3">
      <c r="A508"/>
      <c r="B508"/>
      <c r="C508"/>
      <c r="D508"/>
      <c r="E508"/>
      <c r="L508" s="168" t="str">
        <f>IFERROR(VLOOKUP($H508,PARAMETERS!$M$3:$M$524,1,0),"---")</f>
        <v>---</v>
      </c>
    </row>
    <row r="509" spans="1:12" x14ac:dyDescent="0.3">
      <c r="A509"/>
      <c r="B509"/>
      <c r="C509"/>
      <c r="D509"/>
      <c r="E509"/>
      <c r="L509" s="168" t="str">
        <f>IFERROR(VLOOKUP($H509,PARAMETERS!$M$3:$M$524,1,0),"---")</f>
        <v>---</v>
      </c>
    </row>
    <row r="510" spans="1:12" x14ac:dyDescent="0.3">
      <c r="A510"/>
      <c r="B510"/>
      <c r="C510"/>
      <c r="D510"/>
      <c r="E510"/>
      <c r="L510" s="168" t="str">
        <f>IFERROR(VLOOKUP($H510,PARAMETERS!$M$3:$M$524,1,0),"---")</f>
        <v>---</v>
      </c>
    </row>
    <row r="511" spans="1:12" x14ac:dyDescent="0.3">
      <c r="A511"/>
      <c r="B511"/>
      <c r="C511"/>
      <c r="D511"/>
      <c r="E511"/>
      <c r="L511" s="168" t="str">
        <f>IFERROR(VLOOKUP($H511,PARAMETERS!$M$3:$M$524,1,0),"---")</f>
        <v>---</v>
      </c>
    </row>
    <row r="512" spans="1:12" x14ac:dyDescent="0.3">
      <c r="A512"/>
      <c r="B512"/>
      <c r="C512"/>
      <c r="D512"/>
      <c r="E512"/>
      <c r="L512" s="168" t="str">
        <f>IFERROR(VLOOKUP($H512,PARAMETERS!$M$3:$M$524,1,0),"---")</f>
        <v>---</v>
      </c>
    </row>
    <row r="513" spans="1:12" x14ac:dyDescent="0.3">
      <c r="A513"/>
      <c r="B513"/>
      <c r="C513"/>
      <c r="D513"/>
      <c r="E513"/>
      <c r="L513" s="168" t="str">
        <f>IFERROR(VLOOKUP($H513,PARAMETERS!$M$3:$M$524,1,0),"---")</f>
        <v>---</v>
      </c>
    </row>
    <row r="514" spans="1:12" x14ac:dyDescent="0.3">
      <c r="A514"/>
      <c r="B514"/>
      <c r="C514"/>
      <c r="D514"/>
      <c r="E514"/>
      <c r="L514" s="168" t="str">
        <f>IFERROR(VLOOKUP($H514,PARAMETERS!$M$3:$M$524,1,0),"---")</f>
        <v>---</v>
      </c>
    </row>
    <row r="515" spans="1:12" x14ac:dyDescent="0.3">
      <c r="A515"/>
      <c r="B515"/>
      <c r="C515"/>
      <c r="D515"/>
      <c r="E515"/>
      <c r="L515" s="168" t="str">
        <f>IFERROR(VLOOKUP($H515,PARAMETERS!$M$3:$M$524,1,0),"---")</f>
        <v>---</v>
      </c>
    </row>
    <row r="516" spans="1:12" x14ac:dyDescent="0.3">
      <c r="A516"/>
      <c r="B516"/>
      <c r="C516"/>
      <c r="D516"/>
      <c r="E516"/>
      <c r="L516" s="168" t="str">
        <f>IFERROR(VLOOKUP($H516,PARAMETERS!$M$3:$M$524,1,0),"---")</f>
        <v>---</v>
      </c>
    </row>
    <row r="517" spans="1:12" x14ac:dyDescent="0.3">
      <c r="A517"/>
      <c r="B517"/>
      <c r="C517"/>
      <c r="D517"/>
      <c r="E517"/>
      <c r="L517" s="168" t="str">
        <f>IFERROR(VLOOKUP($H517,PARAMETERS!$M$3:$M$524,1,0),"---")</f>
        <v>---</v>
      </c>
    </row>
    <row r="518" spans="1:12" x14ac:dyDescent="0.3">
      <c r="A518"/>
      <c r="B518"/>
      <c r="C518"/>
      <c r="D518"/>
      <c r="E518"/>
      <c r="L518" s="168" t="str">
        <f>IFERROR(VLOOKUP($H518,PARAMETERS!$M$3:$M$524,1,0),"---")</f>
        <v>---</v>
      </c>
    </row>
    <row r="519" spans="1:12" x14ac:dyDescent="0.3">
      <c r="A519"/>
      <c r="B519"/>
      <c r="C519"/>
      <c r="D519"/>
      <c r="E519"/>
      <c r="L519" s="168" t="str">
        <f>IFERROR(VLOOKUP($H519,PARAMETERS!$M$3:$M$524,1,0),"---")</f>
        <v>---</v>
      </c>
    </row>
    <row r="520" spans="1:12" x14ac:dyDescent="0.3">
      <c r="A520"/>
      <c r="B520"/>
      <c r="C520"/>
      <c r="D520"/>
      <c r="E520"/>
      <c r="L520" s="168" t="str">
        <f>IFERROR(VLOOKUP($H520,PARAMETERS!$M$3:$M$524,1,0),"---")</f>
        <v>---</v>
      </c>
    </row>
    <row r="521" spans="1:12" x14ac:dyDescent="0.3">
      <c r="A521"/>
      <c r="B521"/>
      <c r="C521"/>
      <c r="D521"/>
      <c r="E521"/>
      <c r="L521" s="168" t="str">
        <f>IFERROR(VLOOKUP($H521,PARAMETERS!$M$3:$M$524,1,0),"---")</f>
        <v>---</v>
      </c>
    </row>
    <row r="522" spans="1:12" x14ac:dyDescent="0.3">
      <c r="A522"/>
      <c r="B522"/>
      <c r="C522"/>
      <c r="D522"/>
      <c r="E522"/>
      <c r="L522" s="168" t="str">
        <f>IFERROR(VLOOKUP($H522,PARAMETERS!$M$3:$M$524,1,0),"---")</f>
        <v>---</v>
      </c>
    </row>
    <row r="523" spans="1:12" x14ac:dyDescent="0.3">
      <c r="A523"/>
      <c r="B523"/>
      <c r="C523"/>
      <c r="D523"/>
      <c r="E523"/>
      <c r="L523" s="168" t="str">
        <f>IFERROR(VLOOKUP($H523,PARAMETERS!$M$3:$M$524,1,0),"---")</f>
        <v>---</v>
      </c>
    </row>
    <row r="524" spans="1:12" x14ac:dyDescent="0.3">
      <c r="A524"/>
      <c r="B524"/>
      <c r="C524"/>
      <c r="D524"/>
      <c r="E524"/>
      <c r="L524" s="168" t="str">
        <f>IFERROR(VLOOKUP($H524,PARAMETERS!$M$3:$M$524,1,0),"---")</f>
        <v>---</v>
      </c>
    </row>
    <row r="525" spans="1:12" x14ac:dyDescent="0.3">
      <c r="A525"/>
      <c r="B525"/>
      <c r="C525"/>
      <c r="D525"/>
      <c r="E525"/>
      <c r="L525" s="168" t="str">
        <f>IFERROR(VLOOKUP($H525,PARAMETERS!$M$3:$M$524,1,0),"---")</f>
        <v>---</v>
      </c>
    </row>
    <row r="526" spans="1:12" x14ac:dyDescent="0.3">
      <c r="A526"/>
      <c r="B526"/>
      <c r="C526"/>
      <c r="D526"/>
      <c r="E526"/>
      <c r="L526" s="168" t="str">
        <f>IFERROR(VLOOKUP($H526,PARAMETERS!$M$3:$M$524,1,0),"---")</f>
        <v>---</v>
      </c>
    </row>
    <row r="527" spans="1:12" x14ac:dyDescent="0.3">
      <c r="A527"/>
      <c r="B527"/>
      <c r="C527"/>
      <c r="D527"/>
      <c r="E527"/>
      <c r="L527" s="168" t="str">
        <f>IFERROR(VLOOKUP($H527,PARAMETERS!$M$3:$M$524,1,0),"---")</f>
        <v>---</v>
      </c>
    </row>
    <row r="528" spans="1:12" x14ac:dyDescent="0.3">
      <c r="A528"/>
      <c r="B528"/>
      <c r="C528"/>
      <c r="D528"/>
      <c r="E528"/>
      <c r="L528" s="168" t="str">
        <f>IFERROR(VLOOKUP($H528,PARAMETERS!$M$3:$M$524,1,0),"---")</f>
        <v>---</v>
      </c>
    </row>
    <row r="529" spans="1:12" x14ac:dyDescent="0.3">
      <c r="A529"/>
      <c r="B529"/>
      <c r="C529"/>
      <c r="D529"/>
      <c r="E529"/>
      <c r="L529" s="168" t="str">
        <f>IFERROR(VLOOKUP($H529,PARAMETERS!$M$3:$M$524,1,0),"---")</f>
        <v>---</v>
      </c>
    </row>
    <row r="530" spans="1:12" x14ac:dyDescent="0.3">
      <c r="A530"/>
      <c r="B530"/>
      <c r="C530"/>
      <c r="D530"/>
      <c r="E530"/>
      <c r="L530" s="168" t="str">
        <f>IFERROR(VLOOKUP($H530,PARAMETERS!$M$3:$M$524,1,0),"---")</f>
        <v>---</v>
      </c>
    </row>
    <row r="531" spans="1:12" x14ac:dyDescent="0.3">
      <c r="A531"/>
      <c r="B531"/>
      <c r="C531"/>
      <c r="D531"/>
      <c r="E531"/>
      <c r="L531" s="168" t="str">
        <f>IFERROR(VLOOKUP($H531,PARAMETERS!$M$3:$M$524,1,0),"---")</f>
        <v>---</v>
      </c>
    </row>
    <row r="532" spans="1:12" x14ac:dyDescent="0.3">
      <c r="A532"/>
      <c r="B532"/>
      <c r="C532"/>
      <c r="D532"/>
      <c r="E532"/>
      <c r="L532" s="168" t="str">
        <f>IFERROR(VLOOKUP($H532,PARAMETERS!$M$3:$M$524,1,0),"---")</f>
        <v>---</v>
      </c>
    </row>
    <row r="533" spans="1:12" x14ac:dyDescent="0.3">
      <c r="A533"/>
      <c r="B533"/>
      <c r="C533"/>
      <c r="D533"/>
      <c r="E533"/>
      <c r="L533" s="168" t="str">
        <f>IFERROR(VLOOKUP($H533,PARAMETERS!$M$3:$M$524,1,0),"---")</f>
        <v>---</v>
      </c>
    </row>
    <row r="534" spans="1:12" x14ac:dyDescent="0.3">
      <c r="A534"/>
      <c r="B534"/>
      <c r="C534"/>
      <c r="D534"/>
      <c r="E534"/>
      <c r="L534" s="168" t="str">
        <f>IFERROR(VLOOKUP($H534,PARAMETERS!$M$3:$M$524,1,0),"---")</f>
        <v>---</v>
      </c>
    </row>
    <row r="535" spans="1:12" x14ac:dyDescent="0.3">
      <c r="A535"/>
      <c r="B535"/>
      <c r="C535"/>
      <c r="D535"/>
      <c r="E535"/>
      <c r="L535" s="168" t="str">
        <f>IFERROR(VLOOKUP($H535,PARAMETERS!$M$3:$M$524,1,0),"---")</f>
        <v>---</v>
      </c>
    </row>
    <row r="536" spans="1:12" x14ac:dyDescent="0.3">
      <c r="A536"/>
      <c r="B536"/>
      <c r="C536"/>
      <c r="D536"/>
      <c r="E536"/>
      <c r="L536" s="168" t="str">
        <f>IFERROR(VLOOKUP($H536,PARAMETERS!$M$3:$M$524,1,0),"---")</f>
        <v>---</v>
      </c>
    </row>
    <row r="537" spans="1:12" x14ac:dyDescent="0.3">
      <c r="A537"/>
      <c r="B537"/>
      <c r="C537"/>
      <c r="D537"/>
      <c r="E537"/>
      <c r="L537" s="168" t="str">
        <f>IFERROR(VLOOKUP($H537,PARAMETERS!$M$3:$M$524,1,0),"---")</f>
        <v>---</v>
      </c>
    </row>
    <row r="538" spans="1:12" x14ac:dyDescent="0.3">
      <c r="A538"/>
      <c r="B538"/>
      <c r="C538"/>
      <c r="D538"/>
      <c r="E538"/>
      <c r="L538" s="168" t="str">
        <f>IFERROR(VLOOKUP($H538,PARAMETERS!$M$3:$M$524,1,0),"---")</f>
        <v>---</v>
      </c>
    </row>
    <row r="539" spans="1:12" x14ac:dyDescent="0.3">
      <c r="A539"/>
      <c r="B539"/>
      <c r="C539"/>
      <c r="D539"/>
      <c r="E539"/>
      <c r="L539" s="168" t="str">
        <f>IFERROR(VLOOKUP($H539,PARAMETERS!$M$3:$M$524,1,0),"---")</f>
        <v>---</v>
      </c>
    </row>
    <row r="540" spans="1:12" x14ac:dyDescent="0.3">
      <c r="A540"/>
      <c r="B540"/>
      <c r="C540"/>
      <c r="D540"/>
      <c r="E540"/>
      <c r="L540" s="168" t="str">
        <f>IFERROR(VLOOKUP($H540,PARAMETERS!$M$3:$M$524,1,0),"---")</f>
        <v>---</v>
      </c>
    </row>
    <row r="541" spans="1:12" x14ac:dyDescent="0.3">
      <c r="A541"/>
      <c r="B541"/>
      <c r="C541"/>
      <c r="D541"/>
      <c r="E541"/>
      <c r="L541" s="168" t="str">
        <f>IFERROR(VLOOKUP($H541,PARAMETERS!$M$3:$M$524,1,0),"---")</f>
        <v>---</v>
      </c>
    </row>
    <row r="542" spans="1:12" x14ac:dyDescent="0.3">
      <c r="A542"/>
      <c r="B542"/>
      <c r="C542"/>
      <c r="D542"/>
      <c r="E542"/>
      <c r="L542" s="168" t="str">
        <f>IFERROR(VLOOKUP($H542,PARAMETERS!$M$3:$M$524,1,0),"---")</f>
        <v>---</v>
      </c>
    </row>
    <row r="543" spans="1:12" x14ac:dyDescent="0.3">
      <c r="A543"/>
      <c r="B543"/>
      <c r="C543"/>
      <c r="D543"/>
      <c r="E543"/>
      <c r="L543" s="168" t="str">
        <f>IFERROR(VLOOKUP($H543,PARAMETERS!$M$3:$M$524,1,0),"---")</f>
        <v>---</v>
      </c>
    </row>
    <row r="544" spans="1:12" x14ac:dyDescent="0.3">
      <c r="A544"/>
      <c r="B544"/>
      <c r="C544"/>
      <c r="D544"/>
      <c r="E544"/>
      <c r="L544" s="168" t="str">
        <f>IFERROR(VLOOKUP($H544,PARAMETERS!$M$3:$M$524,1,0),"---")</f>
        <v>---</v>
      </c>
    </row>
    <row r="545" spans="1:12" x14ac:dyDescent="0.3">
      <c r="A545"/>
      <c r="B545"/>
      <c r="C545"/>
      <c r="D545"/>
      <c r="E545"/>
      <c r="L545" s="168" t="str">
        <f>IFERROR(VLOOKUP($H545,PARAMETERS!$M$3:$M$524,1,0),"---")</f>
        <v>---</v>
      </c>
    </row>
    <row r="546" spans="1:12" x14ac:dyDescent="0.3">
      <c r="A546"/>
      <c r="B546"/>
      <c r="C546"/>
      <c r="D546"/>
      <c r="E546"/>
      <c r="L546" s="168" t="str">
        <f>IFERROR(VLOOKUP($H546,PARAMETERS!$M$3:$M$524,1,0),"---")</f>
        <v>---</v>
      </c>
    </row>
    <row r="547" spans="1:12" x14ac:dyDescent="0.3">
      <c r="A547"/>
      <c r="B547"/>
      <c r="C547"/>
      <c r="D547"/>
      <c r="E547"/>
      <c r="L547" s="168" t="str">
        <f>IFERROR(VLOOKUP($H547,PARAMETERS!$M$3:$M$524,1,0),"---")</f>
        <v>---</v>
      </c>
    </row>
    <row r="548" spans="1:12" x14ac:dyDescent="0.3">
      <c r="A548"/>
      <c r="B548"/>
      <c r="C548"/>
      <c r="D548"/>
      <c r="E548"/>
      <c r="L548" s="168" t="str">
        <f>IFERROR(VLOOKUP($H548,PARAMETERS!$M$3:$M$524,1,0),"---")</f>
        <v>---</v>
      </c>
    </row>
    <row r="549" spans="1:12" x14ac:dyDescent="0.3">
      <c r="A549"/>
      <c r="B549"/>
      <c r="C549"/>
      <c r="D549"/>
      <c r="E549"/>
      <c r="L549" s="168" t="str">
        <f>IFERROR(VLOOKUP($H549,PARAMETERS!$M$3:$M$524,1,0),"---")</f>
        <v>---</v>
      </c>
    </row>
    <row r="550" spans="1:12" x14ac:dyDescent="0.3">
      <c r="A550"/>
      <c r="B550"/>
      <c r="C550"/>
      <c r="D550"/>
      <c r="E550"/>
      <c r="L550" s="168" t="str">
        <f>IFERROR(VLOOKUP($H550,PARAMETERS!$M$3:$M$524,1,0),"---")</f>
        <v>---</v>
      </c>
    </row>
    <row r="551" spans="1:12" x14ac:dyDescent="0.3">
      <c r="A551"/>
      <c r="B551"/>
      <c r="C551"/>
      <c r="D551"/>
      <c r="E551"/>
      <c r="L551" s="168" t="str">
        <f>IFERROR(VLOOKUP($H551,PARAMETERS!$M$3:$M$524,1,0),"---")</f>
        <v>---</v>
      </c>
    </row>
    <row r="552" spans="1:12" x14ac:dyDescent="0.3">
      <c r="A552"/>
      <c r="B552"/>
      <c r="C552"/>
      <c r="D552"/>
      <c r="E552"/>
      <c r="L552" s="168" t="str">
        <f>IFERROR(VLOOKUP($H552,PARAMETERS!$M$3:$M$524,1,0),"---")</f>
        <v>---</v>
      </c>
    </row>
    <row r="553" spans="1:12" x14ac:dyDescent="0.3">
      <c r="A553"/>
      <c r="B553"/>
      <c r="C553"/>
      <c r="D553"/>
      <c r="E553"/>
      <c r="L553" s="168" t="str">
        <f>IFERROR(VLOOKUP($H553,PARAMETERS!$M$3:$M$524,1,0),"---")</f>
        <v>---</v>
      </c>
    </row>
    <row r="554" spans="1:12" x14ac:dyDescent="0.3">
      <c r="A554"/>
      <c r="B554"/>
      <c r="C554"/>
      <c r="D554"/>
      <c r="E554"/>
      <c r="L554" s="168" t="str">
        <f>IFERROR(VLOOKUP($H554,PARAMETERS!$M$3:$M$524,1,0),"---")</f>
        <v>---</v>
      </c>
    </row>
    <row r="555" spans="1:12" x14ac:dyDescent="0.3">
      <c r="A555"/>
      <c r="B555"/>
      <c r="C555"/>
      <c r="D555"/>
      <c r="E555"/>
      <c r="L555" s="168" t="str">
        <f>IFERROR(VLOOKUP($H555,PARAMETERS!$M$3:$M$524,1,0),"---")</f>
        <v>---</v>
      </c>
    </row>
    <row r="556" spans="1:12" x14ac:dyDescent="0.3">
      <c r="A556"/>
      <c r="B556"/>
      <c r="C556"/>
      <c r="D556"/>
      <c r="E556"/>
      <c r="L556" s="168" t="str">
        <f>IFERROR(VLOOKUP($H556,PARAMETERS!$M$3:$M$524,1,0),"---")</f>
        <v>---</v>
      </c>
    </row>
    <row r="557" spans="1:12" x14ac:dyDescent="0.3">
      <c r="A557"/>
      <c r="B557"/>
      <c r="C557"/>
      <c r="D557"/>
      <c r="E557"/>
      <c r="L557" s="168" t="str">
        <f>IFERROR(VLOOKUP($H557,PARAMETERS!$M$3:$M$524,1,0),"---")</f>
        <v>---</v>
      </c>
    </row>
    <row r="558" spans="1:12" x14ac:dyDescent="0.3">
      <c r="A558"/>
      <c r="B558"/>
      <c r="C558"/>
      <c r="D558"/>
      <c r="E558"/>
      <c r="L558" s="168" t="str">
        <f>IFERROR(VLOOKUP($H558,PARAMETERS!$M$3:$M$524,1,0),"---")</f>
        <v>---</v>
      </c>
    </row>
    <row r="559" spans="1:12" x14ac:dyDescent="0.3">
      <c r="A559"/>
      <c r="B559"/>
      <c r="C559"/>
      <c r="D559"/>
      <c r="E559"/>
      <c r="L559" s="168" t="str">
        <f>IFERROR(VLOOKUP($H559,PARAMETERS!$M$3:$M$524,1,0),"---")</f>
        <v>---</v>
      </c>
    </row>
    <row r="560" spans="1:12" x14ac:dyDescent="0.3">
      <c r="A560"/>
      <c r="B560"/>
      <c r="C560"/>
      <c r="D560"/>
      <c r="E560"/>
      <c r="L560" s="168" t="str">
        <f>IFERROR(VLOOKUP($H560,PARAMETERS!$M$3:$M$524,1,0),"---")</f>
        <v>---</v>
      </c>
    </row>
    <row r="561" spans="1:12" x14ac:dyDescent="0.3">
      <c r="A561"/>
      <c r="B561"/>
      <c r="C561"/>
      <c r="D561"/>
      <c r="E561"/>
      <c r="L561" s="168" t="str">
        <f>IFERROR(VLOOKUP($H561,PARAMETERS!$M$3:$M$524,1,0),"---")</f>
        <v>---</v>
      </c>
    </row>
    <row r="562" spans="1:12" x14ac:dyDescent="0.3">
      <c r="A562"/>
      <c r="B562"/>
      <c r="C562"/>
      <c r="D562"/>
      <c r="E562"/>
      <c r="L562" s="168" t="str">
        <f>IFERROR(VLOOKUP($H562,PARAMETERS!$M$3:$M$524,1,0),"---")</f>
        <v>---</v>
      </c>
    </row>
    <row r="563" spans="1:12" x14ac:dyDescent="0.3">
      <c r="A563"/>
      <c r="B563"/>
      <c r="C563"/>
      <c r="D563"/>
      <c r="E563"/>
      <c r="L563" s="168" t="str">
        <f>IFERROR(VLOOKUP($H563,PARAMETERS!$M$3:$M$524,1,0),"---")</f>
        <v>---</v>
      </c>
    </row>
    <row r="564" spans="1:12" x14ac:dyDescent="0.3">
      <c r="A564"/>
      <c r="B564"/>
      <c r="C564"/>
      <c r="D564"/>
      <c r="E564"/>
      <c r="L564" s="168" t="str">
        <f>IFERROR(VLOOKUP($H564,PARAMETERS!$M$3:$M$524,1,0),"---")</f>
        <v>---</v>
      </c>
    </row>
    <row r="565" spans="1:12" x14ac:dyDescent="0.3">
      <c r="A565"/>
      <c r="B565"/>
      <c r="C565"/>
      <c r="D565"/>
      <c r="E565"/>
      <c r="L565" s="168" t="str">
        <f>IFERROR(VLOOKUP($H565,PARAMETERS!$M$3:$M$524,1,0),"---")</f>
        <v>---</v>
      </c>
    </row>
    <row r="566" spans="1:12" x14ac:dyDescent="0.3">
      <c r="A566"/>
      <c r="B566"/>
      <c r="C566"/>
      <c r="D566"/>
      <c r="E566"/>
      <c r="L566" s="168" t="str">
        <f>IFERROR(VLOOKUP($H566,PARAMETERS!$M$3:$M$524,1,0),"---")</f>
        <v>---</v>
      </c>
    </row>
    <row r="567" spans="1:12" x14ac:dyDescent="0.3">
      <c r="A567"/>
      <c r="B567"/>
      <c r="C567"/>
      <c r="D567"/>
      <c r="E567"/>
      <c r="L567" s="168" t="str">
        <f>IFERROR(VLOOKUP($H567,PARAMETERS!$M$3:$M$524,1,0),"---")</f>
        <v>---</v>
      </c>
    </row>
    <row r="568" spans="1:12" x14ac:dyDescent="0.3">
      <c r="A568"/>
      <c r="B568"/>
      <c r="C568"/>
      <c r="D568"/>
      <c r="E568"/>
      <c r="L568" s="168" t="str">
        <f>IFERROR(VLOOKUP($H568,PARAMETERS!$M$3:$M$524,1,0),"---")</f>
        <v>---</v>
      </c>
    </row>
    <row r="569" spans="1:12" x14ac:dyDescent="0.3">
      <c r="A569"/>
      <c r="B569"/>
      <c r="C569"/>
      <c r="D569"/>
      <c r="E569"/>
      <c r="L569" s="168" t="str">
        <f>IFERROR(VLOOKUP($H569,PARAMETERS!$M$3:$M$524,1,0),"---")</f>
        <v>---</v>
      </c>
    </row>
    <row r="570" spans="1:12" x14ac:dyDescent="0.3">
      <c r="A570"/>
      <c r="B570"/>
      <c r="C570"/>
      <c r="D570"/>
      <c r="E570"/>
      <c r="L570" s="168" t="str">
        <f>IFERROR(VLOOKUP($H570,PARAMETERS!$M$3:$M$524,1,0),"---")</f>
        <v>---</v>
      </c>
    </row>
    <row r="571" spans="1:12" s="91" customFormat="1" x14ac:dyDescent="0.3">
      <c r="A571"/>
      <c r="B571"/>
      <c r="C571"/>
      <c r="D571"/>
      <c r="E571"/>
      <c r="F571"/>
      <c r="G571"/>
      <c r="H571"/>
      <c r="I571"/>
      <c r="J571"/>
      <c r="L571" s="169" t="str">
        <f>IFERROR(VLOOKUP($H571,PARAMETERS!$M$3:$M$524,1,0),"---")</f>
        <v>---</v>
      </c>
    </row>
    <row r="572" spans="1:12" x14ac:dyDescent="0.3">
      <c r="A572"/>
      <c r="B572"/>
      <c r="C572"/>
      <c r="D572"/>
      <c r="E572"/>
      <c r="L572" s="168" t="str">
        <f>IFERROR(VLOOKUP($H572,PARAMETERS!$M$3:$M$524,1,0),"---")</f>
        <v>---</v>
      </c>
    </row>
    <row r="573" spans="1:12" x14ac:dyDescent="0.3">
      <c r="A573"/>
      <c r="B573"/>
      <c r="C573"/>
      <c r="D573"/>
      <c r="E573"/>
      <c r="L573" s="168" t="str">
        <f>IFERROR(VLOOKUP($H573,PARAMETERS!$M$3:$M$524,1,0),"---")</f>
        <v>---</v>
      </c>
    </row>
    <row r="574" spans="1:12" x14ac:dyDescent="0.3">
      <c r="A574"/>
      <c r="B574"/>
      <c r="C574"/>
      <c r="D574"/>
      <c r="E574"/>
      <c r="L574" s="168" t="str">
        <f>IFERROR(VLOOKUP($H574,PARAMETERS!$M$3:$M$524,1,0),"---")</f>
        <v>---</v>
      </c>
    </row>
    <row r="575" spans="1:12" x14ac:dyDescent="0.3">
      <c r="A575"/>
      <c r="B575"/>
      <c r="C575"/>
      <c r="D575"/>
      <c r="E575"/>
      <c r="L575" s="168" t="str">
        <f>IFERROR(VLOOKUP($H575,PARAMETERS!$M$3:$M$524,1,0),"---")</f>
        <v>---</v>
      </c>
    </row>
    <row r="576" spans="1:12" x14ac:dyDescent="0.3">
      <c r="A576"/>
      <c r="B576"/>
      <c r="C576"/>
      <c r="D576"/>
      <c r="E576"/>
      <c r="L576" s="168" t="str">
        <f>IFERROR(VLOOKUP($H576,PARAMETERS!$M$3:$M$524,1,0),"---")</f>
        <v>---</v>
      </c>
    </row>
    <row r="577" spans="1:12" x14ac:dyDescent="0.3">
      <c r="A577"/>
      <c r="B577"/>
      <c r="C577"/>
      <c r="D577"/>
      <c r="E577"/>
      <c r="L577" s="168" t="str">
        <f>IFERROR(VLOOKUP($H577,PARAMETERS!$M$3:$M$524,1,0),"---")</f>
        <v>---</v>
      </c>
    </row>
    <row r="578" spans="1:12" x14ac:dyDescent="0.3">
      <c r="A578"/>
      <c r="B578"/>
      <c r="C578"/>
      <c r="D578"/>
      <c r="E578"/>
      <c r="L578" s="168" t="str">
        <f>IFERROR(VLOOKUP($H578,PARAMETERS!$M$3:$M$524,1,0),"---")</f>
        <v>---</v>
      </c>
    </row>
    <row r="579" spans="1:12" x14ac:dyDescent="0.3">
      <c r="A579"/>
      <c r="B579"/>
      <c r="C579"/>
      <c r="D579"/>
      <c r="E579"/>
      <c r="L579" s="168" t="str">
        <f>IFERROR(VLOOKUP($H579,PARAMETERS!$M$3:$M$524,1,0),"---")</f>
        <v>---</v>
      </c>
    </row>
    <row r="580" spans="1:12" x14ac:dyDescent="0.3">
      <c r="A580"/>
      <c r="B580"/>
      <c r="C580"/>
      <c r="D580"/>
      <c r="E580"/>
      <c r="L580" s="168" t="str">
        <f>IFERROR(VLOOKUP($H580,PARAMETERS!$M$3:$M$524,1,0),"---")</f>
        <v>---</v>
      </c>
    </row>
    <row r="581" spans="1:12" x14ac:dyDescent="0.3">
      <c r="A581"/>
      <c r="B581"/>
      <c r="C581"/>
      <c r="D581"/>
      <c r="E581"/>
      <c r="L581" s="168" t="str">
        <f>IFERROR(VLOOKUP($H581,PARAMETERS!$M$3:$M$524,1,0),"---")</f>
        <v>---</v>
      </c>
    </row>
    <row r="582" spans="1:12" x14ac:dyDescent="0.3">
      <c r="A582"/>
      <c r="B582"/>
      <c r="C582"/>
      <c r="D582"/>
      <c r="E582"/>
      <c r="L582" s="168" t="str">
        <f>IFERROR(VLOOKUP($H582,PARAMETERS!$M$3:$M$524,1,0),"---")</f>
        <v>---</v>
      </c>
    </row>
    <row r="583" spans="1:12" x14ac:dyDescent="0.3">
      <c r="A583"/>
      <c r="B583"/>
      <c r="C583"/>
      <c r="D583"/>
      <c r="E583"/>
      <c r="L583" s="168" t="str">
        <f>IFERROR(VLOOKUP($H583,PARAMETERS!$M$3:$M$524,1,0),"---")</f>
        <v>---</v>
      </c>
    </row>
    <row r="584" spans="1:12" x14ac:dyDescent="0.3">
      <c r="A584"/>
      <c r="B584"/>
      <c r="C584"/>
      <c r="D584"/>
      <c r="E584"/>
      <c r="L584" s="168" t="str">
        <f>IFERROR(VLOOKUP($H584,PARAMETERS!$M$3:$M$524,1,0),"---")</f>
        <v>---</v>
      </c>
    </row>
    <row r="585" spans="1:12" x14ac:dyDescent="0.3">
      <c r="A585"/>
      <c r="B585"/>
      <c r="C585"/>
      <c r="D585"/>
      <c r="E585"/>
      <c r="L585" s="168" t="str">
        <f>IFERROR(VLOOKUP($H585,PARAMETERS!$M$3:$M$524,1,0),"---")</f>
        <v>---</v>
      </c>
    </row>
    <row r="586" spans="1:12" x14ac:dyDescent="0.3">
      <c r="A586"/>
      <c r="B586"/>
      <c r="C586"/>
      <c r="D586"/>
      <c r="E586"/>
      <c r="L586" s="168" t="str">
        <f>IFERROR(VLOOKUP($H586,PARAMETERS!$M$3:$M$524,1,0),"---")</f>
        <v>---</v>
      </c>
    </row>
    <row r="587" spans="1:12" x14ac:dyDescent="0.3">
      <c r="A587"/>
      <c r="B587"/>
      <c r="C587"/>
      <c r="D587"/>
      <c r="E587"/>
      <c r="L587" s="168" t="str">
        <f>IFERROR(VLOOKUP($H587,PARAMETERS!$M$3:$M$524,1,0),"---")</f>
        <v>---</v>
      </c>
    </row>
    <row r="588" spans="1:12" x14ac:dyDescent="0.3">
      <c r="A588"/>
      <c r="B588"/>
      <c r="C588"/>
      <c r="D588"/>
      <c r="E588"/>
      <c r="L588" s="168" t="str">
        <f>IFERROR(VLOOKUP($H588,PARAMETERS!$M$3:$M$524,1,0),"---")</f>
        <v>---</v>
      </c>
    </row>
    <row r="589" spans="1:12" x14ac:dyDescent="0.3">
      <c r="A589"/>
      <c r="B589"/>
      <c r="C589"/>
      <c r="D589"/>
      <c r="E589"/>
      <c r="L589" s="168" t="str">
        <f>IFERROR(VLOOKUP($H589,PARAMETERS!$M$3:$M$524,1,0),"---")</f>
        <v>---</v>
      </c>
    </row>
    <row r="590" spans="1:12" x14ac:dyDescent="0.3">
      <c r="A590"/>
      <c r="B590"/>
      <c r="C590"/>
      <c r="D590"/>
      <c r="E590"/>
      <c r="L590" s="168" t="str">
        <f>IFERROR(VLOOKUP($H590,PARAMETERS!$M$3:$M$524,1,0),"---")</f>
        <v>---</v>
      </c>
    </row>
    <row r="591" spans="1:12" x14ac:dyDescent="0.3">
      <c r="A591"/>
      <c r="B591"/>
      <c r="C591"/>
      <c r="D591"/>
      <c r="E591"/>
      <c r="L591" s="168" t="str">
        <f>IFERROR(VLOOKUP($H591,PARAMETERS!$M$3:$M$524,1,0),"---")</f>
        <v>---</v>
      </c>
    </row>
    <row r="592" spans="1:12" x14ac:dyDescent="0.3">
      <c r="A592"/>
      <c r="B592"/>
      <c r="C592"/>
      <c r="D592"/>
      <c r="E592"/>
      <c r="L592" s="168" t="str">
        <f>IFERROR(VLOOKUP($H592,PARAMETERS!$M$3:$M$524,1,0),"---")</f>
        <v>---</v>
      </c>
    </row>
    <row r="593" spans="1:12" x14ac:dyDescent="0.3">
      <c r="A593"/>
      <c r="B593"/>
      <c r="C593"/>
      <c r="D593"/>
      <c r="E593"/>
      <c r="L593" s="168" t="str">
        <f>IFERROR(VLOOKUP($H593,PARAMETERS!$M$3:$M$524,1,0),"---")</f>
        <v>---</v>
      </c>
    </row>
    <row r="594" spans="1:12" x14ac:dyDescent="0.3">
      <c r="A594"/>
      <c r="B594"/>
      <c r="C594"/>
      <c r="D594"/>
      <c r="E594"/>
      <c r="L594" s="168" t="str">
        <f>IFERROR(VLOOKUP($H594,PARAMETERS!$M$3:$M$524,1,0),"---")</f>
        <v>---</v>
      </c>
    </row>
    <row r="595" spans="1:12" x14ac:dyDescent="0.3">
      <c r="A595"/>
      <c r="B595"/>
      <c r="C595"/>
      <c r="D595"/>
      <c r="E595"/>
      <c r="L595" s="168" t="str">
        <f>IFERROR(VLOOKUP($H595,PARAMETERS!$M$3:$M$524,1,0),"---")</f>
        <v>---</v>
      </c>
    </row>
    <row r="596" spans="1:12" x14ac:dyDescent="0.3">
      <c r="A596"/>
      <c r="B596"/>
      <c r="C596"/>
      <c r="D596"/>
      <c r="E596"/>
      <c r="L596" s="168" t="str">
        <f>IFERROR(VLOOKUP($H596,PARAMETERS!$M$3:$M$524,1,0),"---")</f>
        <v>---</v>
      </c>
    </row>
    <row r="597" spans="1:12" x14ac:dyDescent="0.3">
      <c r="A597"/>
      <c r="B597"/>
      <c r="C597"/>
      <c r="D597"/>
      <c r="E597"/>
      <c r="L597" s="168" t="str">
        <f>IFERROR(VLOOKUP($H597,PARAMETERS!$M$3:$M$524,1,0),"---")</f>
        <v>---</v>
      </c>
    </row>
    <row r="598" spans="1:12" x14ac:dyDescent="0.3">
      <c r="A598"/>
      <c r="B598"/>
      <c r="C598"/>
      <c r="D598"/>
      <c r="E598"/>
      <c r="L598" s="168" t="str">
        <f>IFERROR(VLOOKUP($H598,PARAMETERS!$M$3:$M$524,1,0),"---")</f>
        <v>---</v>
      </c>
    </row>
    <row r="599" spans="1:12" x14ac:dyDescent="0.3">
      <c r="A599"/>
      <c r="B599"/>
      <c r="C599"/>
      <c r="D599"/>
      <c r="E599"/>
      <c r="L599" s="168" t="str">
        <f>IFERROR(VLOOKUP($H599,PARAMETERS!$M$3:$M$524,1,0),"---")</f>
        <v>---</v>
      </c>
    </row>
    <row r="600" spans="1:12" x14ac:dyDescent="0.3">
      <c r="A600"/>
      <c r="B600"/>
      <c r="C600"/>
      <c r="D600"/>
      <c r="E600"/>
      <c r="L600" s="168" t="str">
        <f>IFERROR(VLOOKUP($H600,PARAMETERS!$M$3:$M$524,1,0),"---")</f>
        <v>---</v>
      </c>
    </row>
    <row r="601" spans="1:12" x14ac:dyDescent="0.3">
      <c r="A601"/>
      <c r="B601"/>
      <c r="C601"/>
      <c r="D601"/>
      <c r="E601"/>
      <c r="L601" s="168" t="str">
        <f>IFERROR(VLOOKUP($H601,PARAMETERS!$M$3:$M$524,1,0),"---")</f>
        <v>---</v>
      </c>
    </row>
    <row r="602" spans="1:12" x14ac:dyDescent="0.3">
      <c r="A602"/>
      <c r="B602"/>
      <c r="C602"/>
      <c r="D602"/>
      <c r="E602"/>
      <c r="L602" s="168" t="str">
        <f>IFERROR(VLOOKUP($H602,PARAMETERS!$M$3:$M$524,1,0),"---")</f>
        <v>---</v>
      </c>
    </row>
    <row r="603" spans="1:12" x14ac:dyDescent="0.3">
      <c r="A603"/>
      <c r="B603"/>
      <c r="C603"/>
      <c r="D603"/>
      <c r="E603"/>
      <c r="L603" s="168" t="str">
        <f>IFERROR(VLOOKUP($H603,PARAMETERS!$M$3:$M$524,1,0),"---")</f>
        <v>---</v>
      </c>
    </row>
    <row r="604" spans="1:12" x14ac:dyDescent="0.3">
      <c r="A604"/>
      <c r="B604"/>
      <c r="C604"/>
      <c r="D604"/>
      <c r="E604"/>
      <c r="L604" s="168" t="str">
        <f>IFERROR(VLOOKUP($H604,PARAMETERS!$M$3:$M$524,1,0),"---")</f>
        <v>---</v>
      </c>
    </row>
    <row r="605" spans="1:12" x14ac:dyDescent="0.3">
      <c r="A605"/>
      <c r="B605"/>
      <c r="C605"/>
      <c r="D605"/>
      <c r="E605"/>
      <c r="L605" s="168" t="str">
        <f>IFERROR(VLOOKUP($H605,PARAMETERS!$M$3:$M$524,1,0),"---")</f>
        <v>---</v>
      </c>
    </row>
    <row r="606" spans="1:12" x14ac:dyDescent="0.3">
      <c r="A606"/>
      <c r="B606"/>
      <c r="C606"/>
      <c r="D606"/>
      <c r="E606"/>
      <c r="L606" s="168" t="str">
        <f>IFERROR(VLOOKUP($H606,PARAMETERS!$M$3:$M$524,1,0),"---")</f>
        <v>---</v>
      </c>
    </row>
    <row r="607" spans="1:12" x14ac:dyDescent="0.3">
      <c r="A607"/>
      <c r="B607"/>
      <c r="C607"/>
      <c r="D607"/>
      <c r="E607"/>
      <c r="L607" s="168" t="str">
        <f>IFERROR(VLOOKUP($H607,PARAMETERS!$M$3:$M$524,1,0),"---")</f>
        <v>---</v>
      </c>
    </row>
    <row r="608" spans="1:12" x14ac:dyDescent="0.3">
      <c r="A608"/>
      <c r="B608"/>
      <c r="C608"/>
      <c r="D608"/>
      <c r="E608"/>
      <c r="L608" s="168" t="str">
        <f>IFERROR(VLOOKUP($H608,PARAMETERS!$M$3:$M$524,1,0),"---")</f>
        <v>---</v>
      </c>
    </row>
    <row r="609" spans="1:12" x14ac:dyDescent="0.3">
      <c r="A609"/>
      <c r="B609"/>
      <c r="C609"/>
      <c r="D609"/>
      <c r="E609"/>
      <c r="L609" s="168" t="str">
        <f>IFERROR(VLOOKUP($H609,PARAMETERS!$M$3:$M$524,1,0),"---")</f>
        <v>---</v>
      </c>
    </row>
    <row r="610" spans="1:12" x14ac:dyDescent="0.3">
      <c r="A610"/>
      <c r="B610"/>
      <c r="C610"/>
      <c r="D610"/>
      <c r="E610"/>
      <c r="L610" s="168" t="str">
        <f>IFERROR(VLOOKUP($H610,PARAMETERS!$M$3:$M$524,1,0),"---")</f>
        <v>---</v>
      </c>
    </row>
    <row r="611" spans="1:12" x14ac:dyDescent="0.3">
      <c r="A611"/>
      <c r="B611"/>
      <c r="C611"/>
      <c r="D611"/>
      <c r="E611"/>
      <c r="L611" s="168" t="str">
        <f>IFERROR(VLOOKUP($H611,PARAMETERS!$M$3:$M$524,1,0),"---")</f>
        <v>---</v>
      </c>
    </row>
    <row r="612" spans="1:12" x14ac:dyDescent="0.3">
      <c r="A612"/>
      <c r="B612"/>
      <c r="C612"/>
      <c r="D612"/>
      <c r="E612"/>
      <c r="L612" s="168" t="str">
        <f>IFERROR(VLOOKUP($H612,PARAMETERS!$M$3:$M$524,1,0),"---")</f>
        <v>---</v>
      </c>
    </row>
    <row r="613" spans="1:12" x14ac:dyDescent="0.3">
      <c r="A613"/>
      <c r="B613"/>
      <c r="C613"/>
      <c r="D613"/>
      <c r="E613"/>
      <c r="L613" s="168" t="str">
        <f>IFERROR(VLOOKUP($H613,PARAMETERS!$M$3:$M$524,1,0),"---")</f>
        <v>---</v>
      </c>
    </row>
    <row r="614" spans="1:12" x14ac:dyDescent="0.3">
      <c r="A614"/>
      <c r="B614"/>
      <c r="C614"/>
      <c r="D614"/>
      <c r="E614"/>
      <c r="L614" s="168" t="str">
        <f>IFERROR(VLOOKUP($H614,PARAMETERS!$M$3:$M$524,1,0),"---")</f>
        <v>---</v>
      </c>
    </row>
    <row r="615" spans="1:12" x14ac:dyDescent="0.3">
      <c r="A615"/>
      <c r="B615"/>
      <c r="C615"/>
      <c r="D615"/>
      <c r="E615"/>
      <c r="L615" s="168" t="str">
        <f>IFERROR(VLOOKUP($H615,PARAMETERS!$M$3:$M$524,1,0),"---")</f>
        <v>---</v>
      </c>
    </row>
    <row r="616" spans="1:12" x14ac:dyDescent="0.3">
      <c r="A616"/>
      <c r="B616"/>
      <c r="C616"/>
      <c r="D616"/>
      <c r="E616"/>
      <c r="L616" s="168" t="str">
        <f>IFERROR(VLOOKUP($H616,PARAMETERS!$M$3:$M$524,1,0),"---")</f>
        <v>---</v>
      </c>
    </row>
    <row r="617" spans="1:12" x14ac:dyDescent="0.3">
      <c r="A617"/>
      <c r="B617"/>
      <c r="C617"/>
      <c r="D617"/>
      <c r="E617"/>
      <c r="L617" s="168" t="str">
        <f>IFERROR(VLOOKUP($H617,PARAMETERS!$M$3:$M$524,1,0),"---")</f>
        <v>---</v>
      </c>
    </row>
    <row r="618" spans="1:12" x14ac:dyDescent="0.3">
      <c r="A618"/>
      <c r="B618"/>
      <c r="C618"/>
      <c r="D618"/>
      <c r="E618"/>
      <c r="L618" s="168" t="str">
        <f>IFERROR(VLOOKUP($H618,PARAMETERS!$M$3:$M$524,1,0),"---")</f>
        <v>---</v>
      </c>
    </row>
    <row r="619" spans="1:12" x14ac:dyDescent="0.3">
      <c r="A619"/>
      <c r="B619"/>
      <c r="C619"/>
      <c r="D619"/>
      <c r="E619"/>
      <c r="L619" s="168" t="str">
        <f>IFERROR(VLOOKUP($H619,PARAMETERS!$M$3:$M$524,1,0),"---")</f>
        <v>---</v>
      </c>
    </row>
    <row r="620" spans="1:12" x14ac:dyDescent="0.3">
      <c r="A620"/>
      <c r="B620"/>
      <c r="C620"/>
      <c r="D620"/>
      <c r="E620"/>
      <c r="L620" s="168" t="str">
        <f>IFERROR(VLOOKUP($H620,PARAMETERS!$M$3:$M$524,1,0),"---")</f>
        <v>---</v>
      </c>
    </row>
    <row r="621" spans="1:12" x14ac:dyDescent="0.3">
      <c r="A621"/>
      <c r="B621"/>
      <c r="C621"/>
      <c r="D621"/>
      <c r="E621"/>
      <c r="L621" s="168" t="str">
        <f>IFERROR(VLOOKUP($H621,PARAMETERS!$M$3:$M$524,1,0),"---")</f>
        <v>---</v>
      </c>
    </row>
    <row r="622" spans="1:12" x14ac:dyDescent="0.3">
      <c r="A622"/>
      <c r="B622"/>
      <c r="C622"/>
      <c r="D622"/>
      <c r="E622"/>
      <c r="L622" s="168" t="str">
        <f>IFERROR(VLOOKUP($H622,PARAMETERS!$M$3:$M$524,1,0),"---")</f>
        <v>---</v>
      </c>
    </row>
    <row r="623" spans="1:12" x14ac:dyDescent="0.3">
      <c r="A623"/>
      <c r="B623"/>
      <c r="C623"/>
      <c r="D623"/>
      <c r="E623"/>
      <c r="L623" s="168" t="str">
        <f>IFERROR(VLOOKUP($H623,PARAMETERS!$M$3:$M$524,1,0),"---")</f>
        <v>---</v>
      </c>
    </row>
    <row r="624" spans="1:12" x14ac:dyDescent="0.3">
      <c r="A624"/>
      <c r="B624"/>
      <c r="C624"/>
      <c r="D624"/>
      <c r="E624"/>
      <c r="L624" s="168" t="str">
        <f>IFERROR(VLOOKUP($H624,PARAMETERS!$M$3:$M$524,1,0),"---")</f>
        <v>---</v>
      </c>
    </row>
    <row r="625" spans="1:12" x14ac:dyDescent="0.3">
      <c r="A625"/>
      <c r="B625"/>
      <c r="C625"/>
      <c r="D625"/>
      <c r="E625"/>
      <c r="L625" s="168" t="str">
        <f>IFERROR(VLOOKUP($H625,PARAMETERS!$M$3:$M$524,1,0),"---")</f>
        <v>---</v>
      </c>
    </row>
    <row r="626" spans="1:12" x14ac:dyDescent="0.3">
      <c r="A626"/>
      <c r="B626"/>
      <c r="C626"/>
      <c r="D626"/>
      <c r="E626"/>
      <c r="L626" s="168" t="str">
        <f>IFERROR(VLOOKUP($H626,PARAMETERS!$M$3:$M$524,1,0),"---")</f>
        <v>---</v>
      </c>
    </row>
    <row r="627" spans="1:12" x14ac:dyDescent="0.3">
      <c r="A627"/>
      <c r="B627"/>
      <c r="C627"/>
      <c r="D627"/>
      <c r="E627"/>
      <c r="L627" s="168" t="str">
        <f>IFERROR(VLOOKUP($H627,PARAMETERS!$M$3:$M$524,1,0),"---")</f>
        <v>---</v>
      </c>
    </row>
    <row r="628" spans="1:12" x14ac:dyDescent="0.3">
      <c r="A628"/>
      <c r="B628"/>
      <c r="C628"/>
      <c r="D628"/>
      <c r="E628"/>
      <c r="L628" s="168" t="str">
        <f>IFERROR(VLOOKUP($H628,PARAMETERS!$M$3:$M$524,1,0),"---")</f>
        <v>---</v>
      </c>
    </row>
    <row r="629" spans="1:12" x14ac:dyDescent="0.3">
      <c r="A629"/>
      <c r="B629"/>
      <c r="C629"/>
      <c r="D629"/>
      <c r="E629"/>
      <c r="L629" s="168" t="str">
        <f>IFERROR(VLOOKUP($H629,PARAMETERS!$M$3:$M$524,1,0),"---")</f>
        <v>---</v>
      </c>
    </row>
    <row r="630" spans="1:12" x14ac:dyDescent="0.3">
      <c r="A630"/>
      <c r="B630"/>
      <c r="C630"/>
      <c r="D630"/>
      <c r="E630"/>
      <c r="L630" s="168" t="str">
        <f>IFERROR(VLOOKUP($H630,PARAMETERS!$M$3:$M$524,1,0),"---")</f>
        <v>---</v>
      </c>
    </row>
    <row r="631" spans="1:12" x14ac:dyDescent="0.3">
      <c r="A631"/>
      <c r="B631"/>
      <c r="C631"/>
      <c r="D631"/>
      <c r="E631"/>
      <c r="L631" s="168" t="str">
        <f>IFERROR(VLOOKUP($H631,PARAMETERS!$M$3:$M$524,1,0),"---")</f>
        <v>---</v>
      </c>
    </row>
    <row r="632" spans="1:12" x14ac:dyDescent="0.3">
      <c r="A632"/>
      <c r="B632"/>
      <c r="C632"/>
      <c r="D632"/>
      <c r="E632"/>
      <c r="L632" s="168" t="str">
        <f>IFERROR(VLOOKUP($H632,PARAMETERS!$M$3:$M$524,1,0),"---")</f>
        <v>---</v>
      </c>
    </row>
    <row r="633" spans="1:12" x14ac:dyDescent="0.3">
      <c r="A633"/>
      <c r="B633"/>
      <c r="C633"/>
      <c r="D633"/>
      <c r="E633"/>
      <c r="L633" s="168" t="str">
        <f>IFERROR(VLOOKUP($H633,PARAMETERS!$M$3:$M$524,1,0),"---")</f>
        <v>---</v>
      </c>
    </row>
    <row r="634" spans="1:12" x14ac:dyDescent="0.3">
      <c r="A634"/>
      <c r="B634"/>
      <c r="C634"/>
      <c r="D634"/>
      <c r="E634"/>
      <c r="L634" s="168" t="str">
        <f>IFERROR(VLOOKUP($H634,PARAMETERS!$M$3:$M$524,1,0),"---")</f>
        <v>---</v>
      </c>
    </row>
    <row r="635" spans="1:12" x14ac:dyDescent="0.3">
      <c r="A635"/>
      <c r="B635"/>
      <c r="C635"/>
      <c r="D635"/>
      <c r="E635"/>
      <c r="L635" s="168" t="str">
        <f>IFERROR(VLOOKUP($H635,PARAMETERS!$M$3:$M$524,1,0),"---")</f>
        <v>---</v>
      </c>
    </row>
    <row r="636" spans="1:12" x14ac:dyDescent="0.3">
      <c r="A636"/>
      <c r="B636"/>
      <c r="C636"/>
      <c r="D636"/>
      <c r="E636"/>
      <c r="L636" s="168" t="str">
        <f>IFERROR(VLOOKUP($H636,PARAMETERS!$M$3:$M$524,1,0),"---")</f>
        <v>---</v>
      </c>
    </row>
    <row r="637" spans="1:12" x14ac:dyDescent="0.3">
      <c r="A637"/>
      <c r="B637"/>
      <c r="C637"/>
      <c r="D637"/>
      <c r="E637"/>
      <c r="L637" s="168" t="str">
        <f>IFERROR(VLOOKUP($H637,PARAMETERS!$M$3:$M$524,1,0),"---")</f>
        <v>---</v>
      </c>
    </row>
    <row r="638" spans="1:12" x14ac:dyDescent="0.3">
      <c r="A638"/>
      <c r="B638"/>
      <c r="C638"/>
      <c r="D638"/>
      <c r="E638"/>
      <c r="L638" s="168" t="str">
        <f>IFERROR(VLOOKUP($H638,PARAMETERS!$M$3:$M$524,1,0),"---")</f>
        <v>---</v>
      </c>
    </row>
    <row r="639" spans="1:12" x14ac:dyDescent="0.3">
      <c r="A639"/>
      <c r="B639"/>
      <c r="C639"/>
      <c r="D639"/>
      <c r="E639"/>
      <c r="L639" s="168" t="str">
        <f>IFERROR(VLOOKUP($H639,PARAMETERS!$M$3:$M$524,1,0),"---")</f>
        <v>---</v>
      </c>
    </row>
    <row r="640" spans="1:12" x14ac:dyDescent="0.3">
      <c r="A640"/>
      <c r="B640"/>
      <c r="C640"/>
      <c r="D640"/>
      <c r="E640"/>
      <c r="L640" s="168" t="str">
        <f>IFERROR(VLOOKUP($H640,PARAMETERS!$M$3:$M$524,1,0),"---")</f>
        <v>---</v>
      </c>
    </row>
    <row r="641" spans="1:12" x14ac:dyDescent="0.3">
      <c r="A641"/>
      <c r="B641"/>
      <c r="C641"/>
      <c r="D641"/>
      <c r="E641"/>
      <c r="L641" s="168" t="str">
        <f>IFERROR(VLOOKUP($H641,PARAMETERS!$M$3:$M$524,1,0),"---")</f>
        <v>---</v>
      </c>
    </row>
    <row r="642" spans="1:12" x14ac:dyDescent="0.3">
      <c r="A642"/>
      <c r="B642"/>
      <c r="C642"/>
      <c r="D642"/>
      <c r="E642"/>
      <c r="L642" s="168" t="str">
        <f>IFERROR(VLOOKUP($H642,PARAMETERS!$M$3:$M$524,1,0),"---")</f>
        <v>---</v>
      </c>
    </row>
    <row r="643" spans="1:12" x14ac:dyDescent="0.3">
      <c r="A643"/>
      <c r="B643"/>
      <c r="C643"/>
      <c r="D643"/>
      <c r="E643"/>
      <c r="L643" s="168" t="str">
        <f>IFERROR(VLOOKUP($H643,PARAMETERS!$M$3:$M$524,1,0),"---")</f>
        <v>---</v>
      </c>
    </row>
    <row r="644" spans="1:12" x14ac:dyDescent="0.3">
      <c r="A644"/>
      <c r="B644"/>
      <c r="C644"/>
      <c r="D644"/>
      <c r="E644"/>
      <c r="L644" s="168" t="str">
        <f>IFERROR(VLOOKUP($H644,PARAMETERS!$M$3:$M$524,1,0),"---")</f>
        <v>---</v>
      </c>
    </row>
    <row r="645" spans="1:12" x14ac:dyDescent="0.3">
      <c r="A645"/>
      <c r="B645"/>
      <c r="C645"/>
      <c r="D645"/>
      <c r="E645"/>
      <c r="L645" s="168" t="str">
        <f>IFERROR(VLOOKUP($H645,PARAMETERS!$M$3:$M$524,1,0),"---")</f>
        <v>---</v>
      </c>
    </row>
    <row r="646" spans="1:12" x14ac:dyDescent="0.3">
      <c r="A646"/>
      <c r="B646"/>
      <c r="C646"/>
      <c r="D646"/>
      <c r="E646"/>
      <c r="L646" s="168" t="str">
        <f>IFERROR(VLOOKUP($H646,PARAMETERS!$M$3:$M$524,1,0),"---")</f>
        <v>---</v>
      </c>
    </row>
    <row r="647" spans="1:12" x14ac:dyDescent="0.3">
      <c r="A647"/>
      <c r="B647"/>
      <c r="C647"/>
      <c r="D647"/>
      <c r="E647"/>
      <c r="L647" s="168" t="str">
        <f>IFERROR(VLOOKUP($H647,PARAMETERS!$M$3:$M$524,1,0),"---")</f>
        <v>---</v>
      </c>
    </row>
    <row r="648" spans="1:12" x14ac:dyDescent="0.3">
      <c r="A648"/>
      <c r="B648"/>
      <c r="C648"/>
      <c r="D648"/>
      <c r="E648"/>
      <c r="L648" s="168" t="str">
        <f>IFERROR(VLOOKUP($H648,PARAMETERS!$M$3:$M$524,1,0),"---")</f>
        <v>---</v>
      </c>
    </row>
    <row r="649" spans="1:12" x14ac:dyDescent="0.3">
      <c r="A649"/>
      <c r="B649"/>
      <c r="C649"/>
      <c r="D649"/>
      <c r="E649"/>
      <c r="L649" s="168" t="str">
        <f>IFERROR(VLOOKUP($H649,PARAMETERS!$M$3:$M$524,1,0),"---")</f>
        <v>---</v>
      </c>
    </row>
    <row r="650" spans="1:12" x14ac:dyDescent="0.3">
      <c r="A650"/>
      <c r="B650"/>
      <c r="C650"/>
      <c r="D650"/>
      <c r="E650"/>
      <c r="L650" s="168" t="str">
        <f>IFERROR(VLOOKUP($H650,PARAMETERS!$M$3:$M$524,1,0),"---")</f>
        <v>---</v>
      </c>
    </row>
    <row r="651" spans="1:12" x14ac:dyDescent="0.3">
      <c r="A651"/>
      <c r="B651"/>
      <c r="C651"/>
      <c r="D651"/>
      <c r="E651"/>
      <c r="L651" s="168" t="str">
        <f>IFERROR(VLOOKUP($H651,PARAMETERS!$M$3:$M$524,1,0),"---")</f>
        <v>---</v>
      </c>
    </row>
    <row r="652" spans="1:12" x14ac:dyDescent="0.3">
      <c r="A652"/>
      <c r="B652"/>
      <c r="C652"/>
      <c r="D652"/>
      <c r="E652"/>
      <c r="L652" s="168" t="str">
        <f>IFERROR(VLOOKUP($H652,PARAMETERS!$M$3:$M$524,1,0),"---")</f>
        <v>---</v>
      </c>
    </row>
    <row r="653" spans="1:12" x14ac:dyDescent="0.3">
      <c r="A653"/>
      <c r="B653"/>
      <c r="C653"/>
      <c r="D653"/>
      <c r="E653"/>
      <c r="L653" s="168" t="str">
        <f>IFERROR(VLOOKUP($H653,PARAMETERS!$M$3:$M$524,1,0),"---")</f>
        <v>---</v>
      </c>
    </row>
    <row r="654" spans="1:12" x14ac:dyDescent="0.3">
      <c r="A654"/>
      <c r="B654"/>
      <c r="C654"/>
      <c r="D654"/>
      <c r="E654"/>
      <c r="L654" s="168" t="str">
        <f>IFERROR(VLOOKUP($H654,PARAMETERS!$M$3:$M$524,1,0),"---")</f>
        <v>---</v>
      </c>
    </row>
    <row r="655" spans="1:12" x14ac:dyDescent="0.3">
      <c r="A655"/>
      <c r="B655"/>
      <c r="C655"/>
      <c r="D655"/>
      <c r="E655"/>
      <c r="L655" s="168" t="str">
        <f>IFERROR(VLOOKUP($H655,PARAMETERS!$M$3:$M$524,1,0),"---")</f>
        <v>---</v>
      </c>
    </row>
    <row r="656" spans="1:12" x14ac:dyDescent="0.3">
      <c r="A656"/>
      <c r="B656"/>
      <c r="C656"/>
      <c r="D656"/>
      <c r="E656"/>
      <c r="L656" s="168" t="str">
        <f>IFERROR(VLOOKUP($H656,PARAMETERS!$M$3:$M$524,1,0),"---")</f>
        <v>---</v>
      </c>
    </row>
    <row r="657" spans="1:12" x14ac:dyDescent="0.3">
      <c r="A657"/>
      <c r="B657"/>
      <c r="C657"/>
      <c r="D657"/>
      <c r="E657"/>
      <c r="L657" s="168" t="str">
        <f>IFERROR(VLOOKUP($H657,PARAMETERS!$M$3:$M$524,1,0),"---")</f>
        <v>---</v>
      </c>
    </row>
    <row r="658" spans="1:12" x14ac:dyDescent="0.3">
      <c r="A658"/>
      <c r="B658"/>
      <c r="C658"/>
      <c r="D658"/>
      <c r="E658"/>
      <c r="L658" s="168" t="str">
        <f>IFERROR(VLOOKUP($H658,PARAMETERS!$M$3:$M$524,1,0),"---")</f>
        <v>---</v>
      </c>
    </row>
    <row r="659" spans="1:12" x14ac:dyDescent="0.3">
      <c r="A659"/>
      <c r="B659"/>
      <c r="C659"/>
      <c r="D659"/>
      <c r="E659"/>
      <c r="L659" s="168" t="str">
        <f>IFERROR(VLOOKUP($H659,PARAMETERS!$M$3:$M$524,1,0),"---")</f>
        <v>---</v>
      </c>
    </row>
    <row r="660" spans="1:12" x14ac:dyDescent="0.3">
      <c r="A660"/>
      <c r="B660"/>
      <c r="C660"/>
      <c r="D660"/>
      <c r="E660"/>
      <c r="L660" s="168" t="str">
        <f>IFERROR(VLOOKUP($H660,PARAMETERS!$M$3:$M$524,1,0),"---")</f>
        <v>---</v>
      </c>
    </row>
    <row r="661" spans="1:12" x14ac:dyDescent="0.3">
      <c r="A661"/>
      <c r="B661"/>
      <c r="C661"/>
      <c r="D661"/>
      <c r="E661"/>
      <c r="L661" s="168" t="str">
        <f>IFERROR(VLOOKUP($H661,PARAMETERS!$M$3:$M$524,1,0),"---")</f>
        <v>---</v>
      </c>
    </row>
    <row r="662" spans="1:12" x14ac:dyDescent="0.3">
      <c r="A662"/>
      <c r="B662"/>
      <c r="C662"/>
      <c r="D662"/>
      <c r="E662"/>
      <c r="L662" s="168" t="str">
        <f>IFERROR(VLOOKUP($H662,PARAMETERS!$M$3:$M$524,1,0),"---")</f>
        <v>---</v>
      </c>
    </row>
    <row r="663" spans="1:12" x14ac:dyDescent="0.3">
      <c r="A663"/>
      <c r="B663"/>
      <c r="C663"/>
      <c r="D663"/>
      <c r="E663"/>
      <c r="L663" s="168" t="str">
        <f>IFERROR(VLOOKUP($H663,PARAMETERS!$M$3:$M$524,1,0),"---")</f>
        <v>---</v>
      </c>
    </row>
    <row r="664" spans="1:12" x14ac:dyDescent="0.3">
      <c r="A664"/>
      <c r="B664"/>
      <c r="C664"/>
      <c r="D664"/>
      <c r="E664"/>
      <c r="L664" s="168" t="str">
        <f>IFERROR(VLOOKUP($H664,PARAMETERS!$M$3:$M$524,1,0),"---")</f>
        <v>---</v>
      </c>
    </row>
    <row r="665" spans="1:12" x14ac:dyDescent="0.3">
      <c r="A665"/>
      <c r="B665"/>
      <c r="C665"/>
      <c r="D665"/>
      <c r="E665"/>
      <c r="L665" s="168" t="str">
        <f>IFERROR(VLOOKUP($H665,PARAMETERS!$M$3:$M$524,1,0),"---")</f>
        <v>---</v>
      </c>
    </row>
    <row r="666" spans="1:12" x14ac:dyDescent="0.3">
      <c r="A666"/>
      <c r="B666"/>
      <c r="C666"/>
      <c r="D666"/>
      <c r="E666"/>
      <c r="L666" s="168" t="str">
        <f>IFERROR(VLOOKUP($H666,PARAMETERS!$M$3:$M$524,1,0),"---")</f>
        <v>---</v>
      </c>
    </row>
    <row r="667" spans="1:12" x14ac:dyDescent="0.3">
      <c r="A667"/>
      <c r="B667"/>
      <c r="C667"/>
      <c r="D667"/>
      <c r="E667"/>
      <c r="L667" s="168" t="str">
        <f>IFERROR(VLOOKUP($H667,PARAMETERS!$M$3:$M$524,1,0),"---")</f>
        <v>---</v>
      </c>
    </row>
    <row r="668" spans="1:12" x14ac:dyDescent="0.3">
      <c r="A668"/>
      <c r="B668"/>
      <c r="C668"/>
      <c r="D668"/>
      <c r="E668"/>
      <c r="L668" s="168" t="str">
        <f>IFERROR(VLOOKUP($H668,PARAMETERS!$M$3:$M$524,1,0),"---")</f>
        <v>---</v>
      </c>
    </row>
    <row r="669" spans="1:12" x14ac:dyDescent="0.3">
      <c r="A669"/>
      <c r="B669"/>
      <c r="C669"/>
      <c r="D669"/>
      <c r="E669"/>
      <c r="L669" s="168" t="str">
        <f>IFERROR(VLOOKUP($H669,PARAMETERS!$M$3:$M$524,1,0),"---")</f>
        <v>---</v>
      </c>
    </row>
    <row r="670" spans="1:12" x14ac:dyDescent="0.3">
      <c r="A670"/>
      <c r="B670"/>
      <c r="C670"/>
      <c r="D670"/>
      <c r="E670"/>
      <c r="L670" s="168" t="str">
        <f>IFERROR(VLOOKUP($H670,PARAMETERS!$M$3:$M$524,1,0),"---")</f>
        <v>---</v>
      </c>
    </row>
    <row r="671" spans="1:12" x14ac:dyDescent="0.3">
      <c r="A671"/>
      <c r="B671"/>
      <c r="C671"/>
      <c r="D671"/>
      <c r="E671"/>
      <c r="L671" s="168" t="str">
        <f>IFERROR(VLOOKUP($H671,PARAMETERS!$M$3:$M$524,1,0),"---")</f>
        <v>---</v>
      </c>
    </row>
    <row r="672" spans="1:12" x14ac:dyDescent="0.3">
      <c r="L672" s="168" t="str">
        <f>IFERROR(VLOOKUP($H672,PARAMETERS!$M$3:$M$524,1,0),"---")</f>
        <v>---</v>
      </c>
    </row>
    <row r="673" spans="12:12" x14ac:dyDescent="0.3">
      <c r="L673" s="168" t="str">
        <f>IFERROR(VLOOKUP($H673,PARAMETERS!$M$3:$M$524,1,0),"---")</f>
        <v>---</v>
      </c>
    </row>
    <row r="674" spans="12:12" x14ac:dyDescent="0.3">
      <c r="L674" s="168" t="str">
        <f>IFERROR(VLOOKUP($H674,PARAMETERS!$M$3:$M$524,1,0),"---")</f>
        <v>---</v>
      </c>
    </row>
    <row r="675" spans="12:12" x14ac:dyDescent="0.3">
      <c r="L675" s="168" t="str">
        <f>IFERROR(VLOOKUP($H675,PARAMETERS!$M$3:$M$524,1,0),"---")</f>
        <v>---</v>
      </c>
    </row>
    <row r="676" spans="12:12" x14ac:dyDescent="0.3">
      <c r="L676" s="168" t="str">
        <f>IFERROR(VLOOKUP($H676,PARAMETERS!$M$3:$M$524,1,0),"---")</f>
        <v>---</v>
      </c>
    </row>
    <row r="677" spans="12:12" x14ac:dyDescent="0.3">
      <c r="L677" s="168" t="str">
        <f>IFERROR(VLOOKUP($H677,PARAMETERS!$M$3:$M$524,1,0),"---")</f>
        <v>---</v>
      </c>
    </row>
    <row r="678" spans="12:12" x14ac:dyDescent="0.3">
      <c r="L678" s="168" t="str">
        <f>IFERROR(VLOOKUP($H678,PARAMETERS!$M$3:$M$524,1,0),"---")</f>
        <v>---</v>
      </c>
    </row>
    <row r="679" spans="12:12" x14ac:dyDescent="0.3">
      <c r="L679" s="168" t="str">
        <f>IFERROR(VLOOKUP($H679,PARAMETERS!$M$3:$M$524,1,0),"---")</f>
        <v>---</v>
      </c>
    </row>
    <row r="680" spans="12:12" x14ac:dyDescent="0.3">
      <c r="L680" s="168" t="str">
        <f>IFERROR(VLOOKUP($H680,PARAMETERS!$M$3:$M$524,1,0),"---")</f>
        <v>---</v>
      </c>
    </row>
    <row r="681" spans="12:12" x14ac:dyDescent="0.3">
      <c r="L681" s="168" t="str">
        <f>IFERROR(VLOOKUP($H681,PARAMETERS!$M$3:$M$524,1,0),"---")</f>
        <v>---</v>
      </c>
    </row>
    <row r="682" spans="12:12" x14ac:dyDescent="0.3">
      <c r="L682" s="168" t="str">
        <f>IFERROR(VLOOKUP($H682,PARAMETERS!$M$3:$M$524,1,0),"---")</f>
        <v>---</v>
      </c>
    </row>
    <row r="683" spans="12:12" x14ac:dyDescent="0.3">
      <c r="L683" s="168" t="str">
        <f>IFERROR(VLOOKUP($H683,PARAMETERS!$M$3:$M$524,1,0),"---")</f>
        <v>---</v>
      </c>
    </row>
    <row r="684" spans="12:12" x14ac:dyDescent="0.3">
      <c r="L684" s="168" t="str">
        <f>IFERROR(VLOOKUP($H684,PARAMETERS!$M$3:$M$524,1,0),"---")</f>
        <v>---</v>
      </c>
    </row>
    <row r="685" spans="12:12" x14ac:dyDescent="0.3">
      <c r="L685" s="168" t="str">
        <f>IFERROR(VLOOKUP($H685,PARAMETERS!$M$3:$M$524,1,0),"---")</f>
        <v>---</v>
      </c>
    </row>
    <row r="686" spans="12:12" x14ac:dyDescent="0.3">
      <c r="L686" s="168" t="str">
        <f>IFERROR(VLOOKUP($H686,PARAMETERS!$M$3:$M$524,1,0),"---")</f>
        <v>---</v>
      </c>
    </row>
    <row r="687" spans="12:12" x14ac:dyDescent="0.3">
      <c r="L687" s="168" t="str">
        <f>IFERROR(VLOOKUP($H687,PARAMETERS!$M$3:$M$524,1,0),"---")</f>
        <v>---</v>
      </c>
    </row>
    <row r="688" spans="12:12" x14ac:dyDescent="0.3">
      <c r="L688" s="168" t="str">
        <f>IFERROR(VLOOKUP($H688,PARAMETERS!$M$3:$M$524,1,0),"---")</f>
        <v>---</v>
      </c>
    </row>
    <row r="689" spans="12:12" x14ac:dyDescent="0.3">
      <c r="L689" s="168" t="str">
        <f>IFERROR(VLOOKUP($H689,PARAMETERS!$M$3:$M$524,1,0),"---")</f>
        <v>---</v>
      </c>
    </row>
    <row r="690" spans="12:12" x14ac:dyDescent="0.3">
      <c r="L690" s="168" t="str">
        <f>IFERROR(VLOOKUP($H690,PARAMETERS!$M$3:$M$524,1,0),"---")</f>
        <v>---</v>
      </c>
    </row>
    <row r="691" spans="12:12" x14ac:dyDescent="0.3">
      <c r="L691" s="168" t="str">
        <f>IFERROR(VLOOKUP($H691,PARAMETERS!$M$3:$M$524,1,0),"---")</f>
        <v>---</v>
      </c>
    </row>
    <row r="692" spans="12:12" x14ac:dyDescent="0.3">
      <c r="L692" s="168" t="str">
        <f>IFERROR(VLOOKUP($H692,PARAMETERS!$M$3:$M$524,1,0),"---")</f>
        <v>---</v>
      </c>
    </row>
    <row r="693" spans="12:12" x14ac:dyDescent="0.3">
      <c r="L693" s="168" t="str">
        <f>IFERROR(VLOOKUP($H693,PARAMETERS!$M$3:$M$524,1,0),"---")</f>
        <v>---</v>
      </c>
    </row>
    <row r="694" spans="12:12" x14ac:dyDescent="0.3">
      <c r="L694" s="168" t="str">
        <f>IFERROR(VLOOKUP($H694,PARAMETERS!$M$3:$M$524,1,0),"---")</f>
        <v>---</v>
      </c>
    </row>
    <row r="695" spans="12:12" x14ac:dyDescent="0.3">
      <c r="L695" s="168" t="str">
        <f>IFERROR(VLOOKUP($H695,PARAMETERS!$M$3:$M$524,1,0),"---")</f>
        <v>---</v>
      </c>
    </row>
    <row r="696" spans="12:12" x14ac:dyDescent="0.3">
      <c r="L696" s="168" t="str">
        <f>IFERROR(VLOOKUP($H696,PARAMETERS!$M$3:$M$524,1,0),"---")</f>
        <v>---</v>
      </c>
    </row>
    <row r="697" spans="12:12" x14ac:dyDescent="0.3">
      <c r="L697" s="168" t="str">
        <f>IFERROR(VLOOKUP($H697,PARAMETERS!$M$3:$M$524,1,0),"---")</f>
        <v>---</v>
      </c>
    </row>
    <row r="698" spans="12:12" x14ac:dyDescent="0.3">
      <c r="L698" s="168" t="str">
        <f>IFERROR(VLOOKUP($H698,PARAMETERS!$M$3:$M$524,1,0),"---")</f>
        <v>---</v>
      </c>
    </row>
    <row r="699" spans="12:12" x14ac:dyDescent="0.3">
      <c r="L699" s="168" t="str">
        <f>IFERROR(VLOOKUP($H699,PARAMETERS!$M$3:$M$524,1,0),"---")</f>
        <v>---</v>
      </c>
    </row>
    <row r="700" spans="12:12" x14ac:dyDescent="0.3">
      <c r="L700" s="168" t="str">
        <f>IFERROR(VLOOKUP($H700,PARAMETERS!$M$3:$M$524,1,0),"---")</f>
        <v>---</v>
      </c>
    </row>
    <row r="701" spans="12:12" x14ac:dyDescent="0.3">
      <c r="L701" s="168" t="str">
        <f>IFERROR(VLOOKUP($H701,PARAMETERS!$M$3:$M$524,1,0),"---")</f>
        <v>---</v>
      </c>
    </row>
    <row r="702" spans="12:12" x14ac:dyDescent="0.3">
      <c r="L702" s="168" t="str">
        <f>IFERROR(VLOOKUP($H702,PARAMETERS!$M$3:$M$524,1,0),"---")</f>
        <v>---</v>
      </c>
    </row>
    <row r="703" spans="12:12" x14ac:dyDescent="0.3">
      <c r="L703" s="168" t="str">
        <f>IFERROR(VLOOKUP($H703,PARAMETERS!$M$3:$M$524,1,0),"---")</f>
        <v>---</v>
      </c>
    </row>
    <row r="704" spans="12:12" x14ac:dyDescent="0.3">
      <c r="L704" s="168" t="str">
        <f>IFERROR(VLOOKUP($H704,PARAMETERS!$M$3:$M$524,1,0),"---")</f>
        <v>---</v>
      </c>
    </row>
    <row r="705" spans="12:12" x14ac:dyDescent="0.3">
      <c r="L705" s="168" t="str">
        <f>IFERROR(VLOOKUP($H705,PARAMETERS!$M$3:$M$524,1,0),"---")</f>
        <v>---</v>
      </c>
    </row>
    <row r="706" spans="12:12" x14ac:dyDescent="0.3">
      <c r="L706" s="168" t="str">
        <f>IFERROR(VLOOKUP($H706,PARAMETERS!$M$3:$M$524,1,0),"---")</f>
        <v>---</v>
      </c>
    </row>
    <row r="707" spans="12:12" x14ac:dyDescent="0.3">
      <c r="L707" s="168" t="str">
        <f>IFERROR(VLOOKUP($H707,PARAMETERS!$M$3:$M$524,1,0),"---")</f>
        <v>---</v>
      </c>
    </row>
    <row r="708" spans="12:12" x14ac:dyDescent="0.3">
      <c r="L708" s="168" t="str">
        <f>IFERROR(VLOOKUP($H708,PARAMETERS!$M$3:$M$524,1,0),"---")</f>
        <v>---</v>
      </c>
    </row>
    <row r="709" spans="12:12" x14ac:dyDescent="0.3">
      <c r="L709" s="168" t="str">
        <f>IFERROR(VLOOKUP($H709,PARAMETERS!$M$3:$M$524,1,0),"---")</f>
        <v>---</v>
      </c>
    </row>
    <row r="710" spans="12:12" x14ac:dyDescent="0.3">
      <c r="L710" s="168" t="str">
        <f>IFERROR(VLOOKUP($H710,PARAMETERS!$M$3:$M$524,1,0),"---")</f>
        <v>---</v>
      </c>
    </row>
    <row r="711" spans="12:12" x14ac:dyDescent="0.3">
      <c r="L711" s="168" t="str">
        <f>IFERROR(VLOOKUP($H711,PARAMETERS!$M$3:$M$524,1,0),"---")</f>
        <v>---</v>
      </c>
    </row>
    <row r="712" spans="12:12" x14ac:dyDescent="0.3">
      <c r="L712" s="168" t="str">
        <f>IFERROR(VLOOKUP($H712,PARAMETERS!$M$3:$M$524,1,0),"---")</f>
        <v>---</v>
      </c>
    </row>
    <row r="713" spans="12:12" x14ac:dyDescent="0.3">
      <c r="L713" s="168" t="str">
        <f>IFERROR(VLOOKUP($H713,PARAMETERS!$M$3:$M$524,1,0),"---")</f>
        <v>---</v>
      </c>
    </row>
    <row r="714" spans="12:12" x14ac:dyDescent="0.3">
      <c r="L714" s="168" t="str">
        <f>IFERROR(VLOOKUP($H714,PARAMETERS!$M$3:$M$524,1,0),"---")</f>
        <v>---</v>
      </c>
    </row>
    <row r="715" spans="12:12" x14ac:dyDescent="0.3">
      <c r="L715" s="168" t="str">
        <f>IFERROR(VLOOKUP($H715,PARAMETERS!$M$3:$M$524,1,0),"---")</f>
        <v>---</v>
      </c>
    </row>
    <row r="716" spans="12:12" x14ac:dyDescent="0.3">
      <c r="L716" s="168" t="str">
        <f>IFERROR(VLOOKUP($H716,PARAMETERS!$M$3:$M$524,1,0),"---")</f>
        <v>---</v>
      </c>
    </row>
    <row r="717" spans="12:12" x14ac:dyDescent="0.3">
      <c r="L717" s="168" t="str">
        <f>IFERROR(VLOOKUP($H717,PARAMETERS!$M$3:$M$524,1,0),"---")</f>
        <v>---</v>
      </c>
    </row>
    <row r="718" spans="12:12" x14ac:dyDescent="0.3">
      <c r="L718" s="168" t="str">
        <f>IFERROR(VLOOKUP($H718,PARAMETERS!$M$3:$M$524,1,0),"---")</f>
        <v>---</v>
      </c>
    </row>
    <row r="719" spans="12:12" x14ac:dyDescent="0.3">
      <c r="L719" s="168" t="str">
        <f>IFERROR(VLOOKUP($H719,PARAMETERS!$M$3:$M$524,1,0),"---")</f>
        <v>---</v>
      </c>
    </row>
    <row r="720" spans="12:12" x14ac:dyDescent="0.3">
      <c r="L720" s="168" t="str">
        <f>IFERROR(VLOOKUP($H720,PARAMETERS!$M$3:$M$524,1,0),"---")</f>
        <v>---</v>
      </c>
    </row>
    <row r="721" spans="12:12" x14ac:dyDescent="0.3">
      <c r="L721" s="168" t="str">
        <f>IFERROR(VLOOKUP($H721,PARAMETERS!$M$3:$M$524,1,0),"---")</f>
        <v>---</v>
      </c>
    </row>
    <row r="722" spans="12:12" x14ac:dyDescent="0.3">
      <c r="L722" s="168" t="str">
        <f>IFERROR(VLOOKUP($H722,PARAMETERS!$M$3:$M$524,1,0),"---")</f>
        <v>---</v>
      </c>
    </row>
    <row r="723" spans="12:12" x14ac:dyDescent="0.3">
      <c r="L723" s="168" t="str">
        <f>IFERROR(VLOOKUP($H723,PARAMETERS!$M$3:$M$524,1,0),"---")</f>
        <v>---</v>
      </c>
    </row>
    <row r="724" spans="12:12" x14ac:dyDescent="0.3">
      <c r="L724" s="168" t="str">
        <f>IFERROR(VLOOKUP($H724,PARAMETERS!$M$3:$M$524,1,0),"---")</f>
        <v>---</v>
      </c>
    </row>
    <row r="725" spans="12:12" x14ac:dyDescent="0.3">
      <c r="L725" s="168" t="str">
        <f>IFERROR(VLOOKUP($H725,PARAMETERS!$M$3:$M$524,1,0),"---")</f>
        <v>---</v>
      </c>
    </row>
    <row r="726" spans="12:12" x14ac:dyDescent="0.3">
      <c r="L726" s="168" t="str">
        <f>IFERROR(VLOOKUP($H726,PARAMETERS!$M$3:$M$524,1,0),"---")</f>
        <v>---</v>
      </c>
    </row>
    <row r="727" spans="12:12" x14ac:dyDescent="0.3">
      <c r="L727" s="168" t="str">
        <f>IFERROR(VLOOKUP($H727,PARAMETERS!$M$3:$M$524,1,0),"---")</f>
        <v>---</v>
      </c>
    </row>
    <row r="728" spans="12:12" x14ac:dyDescent="0.3">
      <c r="L728" s="168" t="str">
        <f>IFERROR(VLOOKUP($H728,PARAMETERS!$M$3:$M$524,1,0),"---")</f>
        <v>---</v>
      </c>
    </row>
    <row r="729" spans="12:12" x14ac:dyDescent="0.3">
      <c r="L729" s="168" t="str">
        <f>IFERROR(VLOOKUP($H729,PARAMETERS!$M$3:$M$524,1,0),"---")</f>
        <v>---</v>
      </c>
    </row>
    <row r="730" spans="12:12" x14ac:dyDescent="0.3">
      <c r="L730" s="168" t="str">
        <f>IFERROR(VLOOKUP($H730,PARAMETERS!$M$3:$M$524,1,0),"---")</f>
        <v>---</v>
      </c>
    </row>
    <row r="731" spans="12:12" x14ac:dyDescent="0.3">
      <c r="L731" s="168" t="str">
        <f>IFERROR(VLOOKUP($H731,PARAMETERS!$M$3:$M$524,1,0),"---")</f>
        <v>---</v>
      </c>
    </row>
    <row r="732" spans="12:12" x14ac:dyDescent="0.3">
      <c r="L732" s="168" t="str">
        <f>IFERROR(VLOOKUP($H732,PARAMETERS!$M$3:$M$524,1,0),"---")</f>
        <v>---</v>
      </c>
    </row>
    <row r="733" spans="12:12" x14ac:dyDescent="0.3">
      <c r="L733" s="168" t="str">
        <f>IFERROR(VLOOKUP($H733,PARAMETERS!$M$3:$M$524,1,0),"---")</f>
        <v>---</v>
      </c>
    </row>
    <row r="734" spans="12:12" x14ac:dyDescent="0.3">
      <c r="L734" s="168" t="str">
        <f>IFERROR(VLOOKUP($H734,PARAMETERS!$M$3:$M$524,1,0),"---")</f>
        <v>---</v>
      </c>
    </row>
    <row r="735" spans="12:12" x14ac:dyDescent="0.3">
      <c r="L735" s="168" t="str">
        <f>IFERROR(VLOOKUP($H735,PARAMETERS!$M$3:$M$524,1,0),"---")</f>
        <v>---</v>
      </c>
    </row>
    <row r="736" spans="12:12" x14ac:dyDescent="0.3">
      <c r="L736" s="168" t="str">
        <f>IFERROR(VLOOKUP($H736,PARAMETERS!$M$3:$M$524,1,0),"---")</f>
        <v>---</v>
      </c>
    </row>
    <row r="737" spans="12:12" x14ac:dyDescent="0.3">
      <c r="L737" s="168" t="str">
        <f>IFERROR(VLOOKUP($H737,PARAMETERS!$M$3:$M$524,1,0),"---")</f>
        <v>---</v>
      </c>
    </row>
    <row r="738" spans="12:12" x14ac:dyDescent="0.3">
      <c r="L738" s="168" t="str">
        <f>IFERROR(VLOOKUP($H738,PARAMETERS!$M$3:$M$524,1,0),"---")</f>
        <v>---</v>
      </c>
    </row>
    <row r="739" spans="12:12" x14ac:dyDescent="0.3">
      <c r="L739" s="168" t="str">
        <f>IFERROR(VLOOKUP($H739,PARAMETERS!$M$3:$M$524,1,0),"---")</f>
        <v>---</v>
      </c>
    </row>
    <row r="740" spans="12:12" x14ac:dyDescent="0.3">
      <c r="L740" s="168" t="str">
        <f>IFERROR(VLOOKUP($H740,PARAMETERS!$M$3:$M$524,1,0),"---")</f>
        <v>---</v>
      </c>
    </row>
    <row r="741" spans="12:12" x14ac:dyDescent="0.3">
      <c r="L741" s="168" t="str">
        <f>IFERROR(VLOOKUP($H741,PARAMETERS!$M$3:$M$524,1,0),"---")</f>
        <v>---</v>
      </c>
    </row>
    <row r="742" spans="12:12" x14ac:dyDescent="0.3">
      <c r="L742" s="168" t="str">
        <f>IFERROR(VLOOKUP($H742,PARAMETERS!$M$3:$M$524,1,0),"---")</f>
        <v>---</v>
      </c>
    </row>
    <row r="743" spans="12:12" x14ac:dyDescent="0.3">
      <c r="L743" s="168" t="str">
        <f>IFERROR(VLOOKUP($H743,PARAMETERS!$M$3:$M$524,1,0),"---")</f>
        <v>---</v>
      </c>
    </row>
    <row r="744" spans="12:12" x14ac:dyDescent="0.3">
      <c r="L744" s="168" t="str">
        <f>IFERROR(VLOOKUP($H744,PARAMETERS!$M$3:$M$524,1,0),"---")</f>
        <v>---</v>
      </c>
    </row>
    <row r="745" spans="12:12" x14ac:dyDescent="0.3">
      <c r="L745" s="168" t="str">
        <f>IFERROR(VLOOKUP($H745,PARAMETERS!$M$3:$M$524,1,0),"---")</f>
        <v>---</v>
      </c>
    </row>
    <row r="746" spans="12:12" x14ac:dyDescent="0.3">
      <c r="L746" s="168" t="str">
        <f>IFERROR(VLOOKUP($H746,PARAMETERS!$M$3:$M$524,1,0),"---")</f>
        <v>---</v>
      </c>
    </row>
    <row r="747" spans="12:12" x14ac:dyDescent="0.3">
      <c r="L747" s="168" t="str">
        <f>IFERROR(VLOOKUP($H747,PARAMETERS!$M$3:$M$524,1,0),"---")</f>
        <v>---</v>
      </c>
    </row>
    <row r="748" spans="12:12" x14ac:dyDescent="0.3">
      <c r="L748" s="168" t="str">
        <f>IFERROR(VLOOKUP($H748,PARAMETERS!$M$3:$M$524,1,0),"---")</f>
        <v>---</v>
      </c>
    </row>
    <row r="749" spans="12:12" x14ac:dyDescent="0.3">
      <c r="L749" s="168" t="str">
        <f>IFERROR(VLOOKUP($H749,PARAMETERS!$M$3:$M$524,1,0),"---")</f>
        <v>---</v>
      </c>
    </row>
    <row r="750" spans="12:12" x14ac:dyDescent="0.3">
      <c r="L750" s="168" t="str">
        <f>IFERROR(VLOOKUP($H750,PARAMETERS!$M$3:$M$524,1,0),"---")</f>
        <v>---</v>
      </c>
    </row>
    <row r="751" spans="12:12" x14ac:dyDescent="0.3">
      <c r="L751" s="168" t="str">
        <f>IFERROR(VLOOKUP($H751,PARAMETERS!$M$3:$M$524,1,0),"---")</f>
        <v>---</v>
      </c>
    </row>
    <row r="752" spans="12:12" x14ac:dyDescent="0.3">
      <c r="L752" s="168" t="str">
        <f>IFERROR(VLOOKUP($H752,PARAMETERS!$M$3:$M$524,1,0),"---")</f>
        <v>---</v>
      </c>
    </row>
    <row r="753" spans="12:12" x14ac:dyDescent="0.3">
      <c r="L753" s="168" t="str">
        <f>IFERROR(VLOOKUP($H753,PARAMETERS!$M$3:$M$524,1,0),"---")</f>
        <v>---</v>
      </c>
    </row>
    <row r="754" spans="12:12" x14ac:dyDescent="0.3">
      <c r="L754" s="168" t="str">
        <f>IFERROR(VLOOKUP($H754,PARAMETERS!$M$3:$M$524,1,0),"---")</f>
        <v>---</v>
      </c>
    </row>
    <row r="755" spans="12:12" x14ac:dyDescent="0.3">
      <c r="L755" s="168" t="str">
        <f>IFERROR(VLOOKUP($H755,PARAMETERS!$M$3:$M$524,1,0),"---")</f>
        <v>---</v>
      </c>
    </row>
    <row r="756" spans="12:12" x14ac:dyDescent="0.3">
      <c r="L756" s="168" t="str">
        <f>IFERROR(VLOOKUP($H756,PARAMETERS!$M$3:$M$524,1,0),"---")</f>
        <v>---</v>
      </c>
    </row>
    <row r="757" spans="12:12" x14ac:dyDescent="0.3">
      <c r="L757" s="168" t="str">
        <f>IFERROR(VLOOKUP($H757,PARAMETERS!$M$3:$M$524,1,0),"---")</f>
        <v>---</v>
      </c>
    </row>
    <row r="758" spans="12:12" x14ac:dyDescent="0.3">
      <c r="L758" s="168" t="str">
        <f>IFERROR(VLOOKUP($H758,PARAMETERS!$M$3:$M$524,1,0),"---")</f>
        <v>---</v>
      </c>
    </row>
    <row r="759" spans="12:12" x14ac:dyDescent="0.3">
      <c r="L759" s="168" t="str">
        <f>IFERROR(VLOOKUP($H759,PARAMETERS!$M$3:$M$524,1,0),"---")</f>
        <v>---</v>
      </c>
    </row>
    <row r="760" spans="12:12" x14ac:dyDescent="0.3">
      <c r="L760" s="168" t="str">
        <f>IFERROR(VLOOKUP($H760,PARAMETERS!$M$3:$M$524,1,0),"---")</f>
        <v>---</v>
      </c>
    </row>
    <row r="761" spans="12:12" x14ac:dyDescent="0.3">
      <c r="L761" s="168" t="str">
        <f>IFERROR(VLOOKUP($H761,PARAMETERS!$M$3:$M$524,1,0),"---")</f>
        <v>---</v>
      </c>
    </row>
    <row r="762" spans="12:12" x14ac:dyDescent="0.3">
      <c r="L762" s="168" t="str">
        <f>IFERROR(VLOOKUP($H762,PARAMETERS!$M$3:$M$524,1,0),"---")</f>
        <v>---</v>
      </c>
    </row>
    <row r="763" spans="12:12" x14ac:dyDescent="0.3">
      <c r="L763" s="168" t="str">
        <f>IFERROR(VLOOKUP($H763,PARAMETERS!$M$3:$M$524,1,0),"---")</f>
        <v>---</v>
      </c>
    </row>
    <row r="764" spans="12:12" x14ac:dyDescent="0.3">
      <c r="L764" s="168" t="str">
        <f>IFERROR(VLOOKUP($H764,PARAMETERS!$M$3:$M$524,1,0),"---")</f>
        <v>---</v>
      </c>
    </row>
    <row r="765" spans="12:12" x14ac:dyDescent="0.3">
      <c r="L765" s="168" t="str">
        <f>IFERROR(VLOOKUP($H765,PARAMETERS!$M$3:$M$524,1,0),"---")</f>
        <v>---</v>
      </c>
    </row>
    <row r="766" spans="12:12" x14ac:dyDescent="0.3">
      <c r="L766" s="168" t="str">
        <f>IFERROR(VLOOKUP($H766,PARAMETERS!$M$3:$M$524,1,0),"---")</f>
        <v>---</v>
      </c>
    </row>
    <row r="767" spans="12:12" x14ac:dyDescent="0.3">
      <c r="L767" s="168" t="str">
        <f>IFERROR(VLOOKUP($H767,PARAMETERS!$M$3:$M$524,1,0),"---")</f>
        <v>---</v>
      </c>
    </row>
    <row r="768" spans="12:12" x14ac:dyDescent="0.3">
      <c r="L768" s="168" t="str">
        <f>IFERROR(VLOOKUP($H768,PARAMETERS!$M$3:$M$524,1,0),"---")</f>
        <v>---</v>
      </c>
    </row>
    <row r="769" spans="12:12" x14ac:dyDescent="0.3">
      <c r="L769" s="168" t="str">
        <f>IFERROR(VLOOKUP($H769,PARAMETERS!$M$3:$M$524,1,0),"---")</f>
        <v>---</v>
      </c>
    </row>
    <row r="770" spans="12:12" x14ac:dyDescent="0.3">
      <c r="L770" s="168" t="str">
        <f>IFERROR(VLOOKUP($H770,PARAMETERS!$M$3:$M$524,1,0),"---")</f>
        <v>---</v>
      </c>
    </row>
    <row r="771" spans="12:12" x14ac:dyDescent="0.3">
      <c r="L771" s="168" t="str">
        <f>IFERROR(VLOOKUP($H771,PARAMETERS!$M$3:$M$524,1,0),"---")</f>
        <v>---</v>
      </c>
    </row>
    <row r="772" spans="12:12" x14ac:dyDescent="0.3">
      <c r="L772" s="168" t="str">
        <f>IFERROR(VLOOKUP($H772,PARAMETERS!$M$3:$M$524,1,0),"---")</f>
        <v>---</v>
      </c>
    </row>
    <row r="773" spans="12:12" x14ac:dyDescent="0.3">
      <c r="L773" s="168" t="str">
        <f>IFERROR(VLOOKUP($H773,PARAMETERS!$M$3:$M$524,1,0),"---")</f>
        <v>---</v>
      </c>
    </row>
    <row r="774" spans="12:12" x14ac:dyDescent="0.3">
      <c r="L774" s="168" t="str">
        <f>IFERROR(VLOOKUP($H774,PARAMETERS!$M$3:$M$524,1,0),"---")</f>
        <v>---</v>
      </c>
    </row>
    <row r="775" spans="12:12" x14ac:dyDescent="0.3">
      <c r="L775" s="168" t="str">
        <f>IFERROR(VLOOKUP($H775,PARAMETERS!$M$3:$M$524,1,0),"---")</f>
        <v>---</v>
      </c>
    </row>
    <row r="776" spans="12:12" x14ac:dyDescent="0.3">
      <c r="L776" s="168" t="str">
        <f>IFERROR(VLOOKUP($H776,PARAMETERS!$M$3:$M$524,1,0),"---")</f>
        <v>---</v>
      </c>
    </row>
    <row r="777" spans="12:12" x14ac:dyDescent="0.3">
      <c r="L777" s="168" t="str">
        <f>IFERROR(VLOOKUP($H777,PARAMETERS!$M$3:$M$524,1,0),"---")</f>
        <v>---</v>
      </c>
    </row>
    <row r="778" spans="12:12" x14ac:dyDescent="0.3">
      <c r="L778" s="168" t="str">
        <f>IFERROR(VLOOKUP($H778,PARAMETERS!$M$3:$M$524,1,0),"---")</f>
        <v>---</v>
      </c>
    </row>
    <row r="779" spans="12:12" x14ac:dyDescent="0.3">
      <c r="L779" s="168" t="str">
        <f>IFERROR(VLOOKUP($H779,PARAMETERS!$M$3:$M$524,1,0),"---")</f>
        <v>---</v>
      </c>
    </row>
    <row r="780" spans="12:12" x14ac:dyDescent="0.3">
      <c r="L780" s="168" t="str">
        <f>IFERROR(VLOOKUP($H780,PARAMETERS!$M$3:$M$524,1,0),"---")</f>
        <v>---</v>
      </c>
    </row>
    <row r="781" spans="12:12" x14ac:dyDescent="0.3">
      <c r="L781" s="168" t="str">
        <f>IFERROR(VLOOKUP($H781,PARAMETERS!$M$3:$M$524,1,0),"---")</f>
        <v>---</v>
      </c>
    </row>
    <row r="782" spans="12:12" x14ac:dyDescent="0.3">
      <c r="L782" s="168" t="str">
        <f>IFERROR(VLOOKUP($H782,PARAMETERS!$M$3:$M$524,1,0),"---")</f>
        <v>---</v>
      </c>
    </row>
    <row r="783" spans="12:12" x14ac:dyDescent="0.3">
      <c r="L783" s="168" t="str">
        <f>IFERROR(VLOOKUP($H783,PARAMETERS!$M$3:$M$524,1,0),"---")</f>
        <v>---</v>
      </c>
    </row>
    <row r="784" spans="12:12" x14ac:dyDescent="0.3">
      <c r="L784" s="168" t="str">
        <f>IFERROR(VLOOKUP($H784,PARAMETERS!$M$3:$M$524,1,0),"---")</f>
        <v>---</v>
      </c>
    </row>
    <row r="785" spans="12:12" x14ac:dyDescent="0.3">
      <c r="L785" s="168" t="str">
        <f>IFERROR(VLOOKUP($H785,PARAMETERS!$M$3:$M$524,1,0),"---")</f>
        <v>---</v>
      </c>
    </row>
    <row r="786" spans="12:12" x14ac:dyDescent="0.3">
      <c r="L786" s="168" t="str">
        <f>IFERROR(VLOOKUP($H786,PARAMETERS!$M$3:$M$524,1,0),"---")</f>
        <v>---</v>
      </c>
    </row>
    <row r="787" spans="12:12" x14ac:dyDescent="0.3">
      <c r="L787" s="168" t="str">
        <f>IFERROR(VLOOKUP($H787,PARAMETERS!$M$3:$M$524,1,0),"---")</f>
        <v>---</v>
      </c>
    </row>
    <row r="788" spans="12:12" x14ac:dyDescent="0.3">
      <c r="L788" s="168" t="str">
        <f>IFERROR(VLOOKUP($H788,PARAMETERS!$M$3:$M$524,1,0),"---")</f>
        <v>---</v>
      </c>
    </row>
    <row r="789" spans="12:12" x14ac:dyDescent="0.3">
      <c r="L789" s="168" t="str">
        <f>IFERROR(VLOOKUP($H789,PARAMETERS!$M$3:$M$524,1,0),"---")</f>
        <v>---</v>
      </c>
    </row>
    <row r="790" spans="12:12" x14ac:dyDescent="0.3">
      <c r="L790" s="168" t="str">
        <f>IFERROR(VLOOKUP($H790,PARAMETERS!$M$3:$M$524,1,0),"---")</f>
        <v>---</v>
      </c>
    </row>
    <row r="791" spans="12:12" x14ac:dyDescent="0.3">
      <c r="L791" s="168" t="str">
        <f>IFERROR(VLOOKUP($H791,PARAMETERS!$M$3:$M$524,1,0),"---")</f>
        <v>---</v>
      </c>
    </row>
    <row r="792" spans="12:12" x14ac:dyDescent="0.3">
      <c r="L792" s="168" t="str">
        <f>IFERROR(VLOOKUP($H792,PARAMETERS!$M$3:$M$524,1,0),"---")</f>
        <v>---</v>
      </c>
    </row>
    <row r="793" spans="12:12" x14ac:dyDescent="0.3">
      <c r="L793" s="168" t="str">
        <f>IFERROR(VLOOKUP($H793,PARAMETERS!$M$3:$M$524,1,0),"---")</f>
        <v>---</v>
      </c>
    </row>
    <row r="794" spans="12:12" x14ac:dyDescent="0.3">
      <c r="L794" s="168" t="str">
        <f>IFERROR(VLOOKUP($H794,PARAMETERS!$M$3:$M$524,1,0),"---")</f>
        <v>---</v>
      </c>
    </row>
    <row r="795" spans="12:12" x14ac:dyDescent="0.3">
      <c r="L795" s="168" t="str">
        <f>IFERROR(VLOOKUP($H795,PARAMETERS!$M$3:$M$524,1,0),"---")</f>
        <v>---</v>
      </c>
    </row>
    <row r="796" spans="12:12" x14ac:dyDescent="0.3">
      <c r="L796" s="168" t="str">
        <f>IFERROR(VLOOKUP($H796,PARAMETERS!$M$3:$M$524,1,0),"---")</f>
        <v>---</v>
      </c>
    </row>
    <row r="797" spans="12:12" x14ac:dyDescent="0.3">
      <c r="L797" s="168" t="str">
        <f>IFERROR(VLOOKUP($H797,PARAMETERS!$M$3:$M$524,1,0),"---")</f>
        <v>---</v>
      </c>
    </row>
    <row r="798" spans="12:12" x14ac:dyDescent="0.3">
      <c r="L798" s="168" t="str">
        <f>IFERROR(VLOOKUP($H798,PARAMETERS!$M$3:$M$524,1,0),"---")</f>
        <v>---</v>
      </c>
    </row>
    <row r="799" spans="12:12" x14ac:dyDescent="0.3">
      <c r="L799" s="168" t="str">
        <f>IFERROR(VLOOKUP($H799,PARAMETERS!$M$3:$M$524,1,0),"---")</f>
        <v>---</v>
      </c>
    </row>
    <row r="800" spans="12:12" x14ac:dyDescent="0.3">
      <c r="L800" s="168" t="str">
        <f>IFERROR(VLOOKUP($H800,PARAMETERS!$M$3:$M$524,1,0),"---")</f>
        <v>---</v>
      </c>
    </row>
    <row r="801" spans="12:12" x14ac:dyDescent="0.3">
      <c r="L801" s="168" t="str">
        <f>IFERROR(VLOOKUP($H801,PARAMETERS!$M$3:$M$524,1,0),"---")</f>
        <v>---</v>
      </c>
    </row>
    <row r="802" spans="12:12" x14ac:dyDescent="0.3">
      <c r="L802" s="168" t="str">
        <f>IFERROR(VLOOKUP($H802,PARAMETERS!$M$3:$M$524,1,0),"---")</f>
        <v>---</v>
      </c>
    </row>
    <row r="803" spans="12:12" x14ac:dyDescent="0.3">
      <c r="L803" s="168" t="str">
        <f>IFERROR(VLOOKUP($H803,PARAMETERS!$M$3:$M$524,1,0),"---")</f>
        <v>---</v>
      </c>
    </row>
    <row r="804" spans="12:12" x14ac:dyDescent="0.3">
      <c r="L804" s="168" t="str">
        <f>IFERROR(VLOOKUP($H804,PARAMETERS!$M$3:$M$524,1,0),"---")</f>
        <v>---</v>
      </c>
    </row>
    <row r="805" spans="12:12" x14ac:dyDescent="0.3">
      <c r="L805" s="168" t="str">
        <f>IFERROR(VLOOKUP($H805,PARAMETERS!$M$3:$M$524,1,0),"---")</f>
        <v>---</v>
      </c>
    </row>
    <row r="806" spans="12:12" x14ac:dyDescent="0.3">
      <c r="L806" s="168" t="str">
        <f>IFERROR(VLOOKUP($H806,PARAMETERS!$M$3:$M$524,1,0),"---")</f>
        <v>---</v>
      </c>
    </row>
    <row r="807" spans="12:12" x14ac:dyDescent="0.3">
      <c r="L807" s="168" t="str">
        <f>IFERROR(VLOOKUP($H807,PARAMETERS!$M$3:$M$524,1,0),"---")</f>
        <v>---</v>
      </c>
    </row>
    <row r="808" spans="12:12" x14ac:dyDescent="0.3">
      <c r="L808" s="168" t="str">
        <f>IFERROR(VLOOKUP($H808,PARAMETERS!$M$3:$M$524,1,0),"---")</f>
        <v>---</v>
      </c>
    </row>
    <row r="809" spans="12:12" x14ac:dyDescent="0.3">
      <c r="L809" s="168" t="str">
        <f>IFERROR(VLOOKUP($H809,PARAMETERS!$M$3:$M$524,1,0),"---")</f>
        <v>---</v>
      </c>
    </row>
    <row r="810" spans="12:12" x14ac:dyDescent="0.3">
      <c r="L810" s="168" t="str">
        <f>IFERROR(VLOOKUP($H810,PARAMETERS!$M$3:$M$524,1,0),"---")</f>
        <v>---</v>
      </c>
    </row>
    <row r="811" spans="12:12" x14ac:dyDescent="0.3">
      <c r="L811" s="168" t="str">
        <f>IFERROR(VLOOKUP($H811,PARAMETERS!$M$3:$M$524,1,0),"---")</f>
        <v>---</v>
      </c>
    </row>
    <row r="812" spans="12:12" x14ac:dyDescent="0.3">
      <c r="L812" s="168" t="str">
        <f>IFERROR(VLOOKUP($H812,PARAMETERS!$M$3:$M$524,1,0),"---")</f>
        <v>---</v>
      </c>
    </row>
    <row r="813" spans="12:12" x14ac:dyDescent="0.3">
      <c r="L813" s="168" t="str">
        <f>IFERROR(VLOOKUP($H813,PARAMETERS!$M$3:$M$524,1,0),"---")</f>
        <v>---</v>
      </c>
    </row>
    <row r="814" spans="12:12" x14ac:dyDescent="0.3">
      <c r="L814" s="168" t="str">
        <f>IFERROR(VLOOKUP($H814,PARAMETERS!$M$3:$M$524,1,0),"---")</f>
        <v>---</v>
      </c>
    </row>
    <row r="815" spans="12:12" x14ac:dyDescent="0.3">
      <c r="L815" s="168" t="str">
        <f>IFERROR(VLOOKUP($H815,PARAMETERS!$M$3:$M$524,1,0),"---")</f>
        <v>---</v>
      </c>
    </row>
    <row r="816" spans="12:12" x14ac:dyDescent="0.3">
      <c r="L816" s="168" t="str">
        <f>IFERROR(VLOOKUP($H816,PARAMETERS!$M$3:$M$524,1,0),"---")</f>
        <v>---</v>
      </c>
    </row>
    <row r="817" spans="12:12" x14ac:dyDescent="0.3">
      <c r="L817" s="168" t="str">
        <f>IFERROR(VLOOKUP($H817,PARAMETERS!$M$3:$M$524,1,0),"---")</f>
        <v>---</v>
      </c>
    </row>
    <row r="818" spans="12:12" x14ac:dyDescent="0.3">
      <c r="L818" s="168" t="str">
        <f>IFERROR(VLOOKUP($H818,PARAMETERS!$M$3:$M$524,1,0),"---")</f>
        <v>---</v>
      </c>
    </row>
    <row r="819" spans="12:12" x14ac:dyDescent="0.3">
      <c r="L819" s="168" t="str">
        <f>IFERROR(VLOOKUP($H819,PARAMETERS!$M$3:$M$524,1,0),"---")</f>
        <v>---</v>
      </c>
    </row>
    <row r="820" spans="12:12" x14ac:dyDescent="0.3">
      <c r="L820" s="168" t="str">
        <f>IFERROR(VLOOKUP($H820,PARAMETERS!$M$3:$M$524,1,0),"---")</f>
        <v>---</v>
      </c>
    </row>
    <row r="821" spans="12:12" x14ac:dyDescent="0.3">
      <c r="L821" s="168" t="str">
        <f>IFERROR(VLOOKUP($H821,PARAMETERS!$M$3:$M$524,1,0),"---")</f>
        <v>---</v>
      </c>
    </row>
    <row r="822" spans="12:12" x14ac:dyDescent="0.3">
      <c r="L822" s="168" t="str">
        <f>IFERROR(VLOOKUP($H822,PARAMETERS!$M$3:$M$524,1,0),"---")</f>
        <v>---</v>
      </c>
    </row>
    <row r="823" spans="12:12" x14ac:dyDescent="0.3">
      <c r="L823" s="168" t="str">
        <f>IFERROR(VLOOKUP($H823,PARAMETERS!$M$3:$M$524,1,0),"---")</f>
        <v>---</v>
      </c>
    </row>
    <row r="824" spans="12:12" x14ac:dyDescent="0.3">
      <c r="L824" s="168" t="str">
        <f>IFERROR(VLOOKUP($H824,PARAMETERS!$M$3:$M$524,1,0),"---")</f>
        <v>---</v>
      </c>
    </row>
    <row r="825" spans="12:12" x14ac:dyDescent="0.3">
      <c r="L825" s="168" t="str">
        <f>IFERROR(VLOOKUP($H825,PARAMETERS!$M$3:$M$524,1,0),"---")</f>
        <v>---</v>
      </c>
    </row>
    <row r="826" spans="12:12" x14ac:dyDescent="0.3">
      <c r="L826" s="168" t="str">
        <f>IFERROR(VLOOKUP($H826,PARAMETERS!$M$3:$M$524,1,0),"---")</f>
        <v>---</v>
      </c>
    </row>
    <row r="827" spans="12:12" x14ac:dyDescent="0.3">
      <c r="L827" s="168" t="str">
        <f>IFERROR(VLOOKUP($H827,PARAMETERS!$M$3:$M$524,1,0),"---")</f>
        <v>---</v>
      </c>
    </row>
    <row r="828" spans="12:12" x14ac:dyDescent="0.3">
      <c r="L828" s="168" t="str">
        <f>IFERROR(VLOOKUP($H828,PARAMETERS!$M$3:$M$524,1,0),"---")</f>
        <v>---</v>
      </c>
    </row>
    <row r="829" spans="12:12" x14ac:dyDescent="0.3">
      <c r="L829" s="168" t="str">
        <f>IFERROR(VLOOKUP($H829,PARAMETERS!$M$3:$M$524,1,0),"---")</f>
        <v>---</v>
      </c>
    </row>
    <row r="830" spans="12:12" x14ac:dyDescent="0.3">
      <c r="L830" s="168" t="str">
        <f>IFERROR(VLOOKUP($H830,PARAMETERS!$M$3:$M$524,1,0),"---")</f>
        <v>---</v>
      </c>
    </row>
    <row r="831" spans="12:12" x14ac:dyDescent="0.3">
      <c r="L831" s="168" t="str">
        <f>IFERROR(VLOOKUP($H831,PARAMETERS!$M$3:$M$524,1,0),"---")</f>
        <v>---</v>
      </c>
    </row>
    <row r="832" spans="12:12" x14ac:dyDescent="0.3">
      <c r="L832" s="168" t="str">
        <f>IFERROR(VLOOKUP($H832,PARAMETERS!$M$3:$M$524,1,0),"---")</f>
        <v>---</v>
      </c>
    </row>
    <row r="833" spans="12:12" x14ac:dyDescent="0.3">
      <c r="L833" s="168" t="str">
        <f>IFERROR(VLOOKUP($H833,PARAMETERS!$M$3:$M$524,1,0),"---")</f>
        <v>---</v>
      </c>
    </row>
    <row r="834" spans="12:12" x14ac:dyDescent="0.3">
      <c r="L834" s="168" t="str">
        <f>IFERROR(VLOOKUP($H834,PARAMETERS!$M$3:$M$524,1,0),"---")</f>
        <v>---</v>
      </c>
    </row>
    <row r="835" spans="12:12" x14ac:dyDescent="0.3">
      <c r="L835" s="168" t="str">
        <f>IFERROR(VLOOKUP($H835,PARAMETERS!$M$3:$M$524,1,0),"---")</f>
        <v>---</v>
      </c>
    </row>
    <row r="836" spans="12:12" x14ac:dyDescent="0.3">
      <c r="L836" s="168" t="str">
        <f>IFERROR(VLOOKUP($H836,PARAMETERS!$M$3:$M$524,1,0),"---")</f>
        <v>---</v>
      </c>
    </row>
    <row r="837" spans="12:12" x14ac:dyDescent="0.3">
      <c r="L837" s="168" t="str">
        <f>IFERROR(VLOOKUP($H837,PARAMETERS!$M$3:$M$524,1,0),"---")</f>
        <v>---</v>
      </c>
    </row>
    <row r="838" spans="12:12" x14ac:dyDescent="0.3">
      <c r="L838" s="168" t="str">
        <f>IFERROR(VLOOKUP($H838,PARAMETERS!$M$3:$M$524,1,0),"---")</f>
        <v>---</v>
      </c>
    </row>
    <row r="839" spans="12:12" x14ac:dyDescent="0.3">
      <c r="L839" s="168" t="str">
        <f>IFERROR(VLOOKUP($H839,PARAMETERS!$M$3:$M$524,1,0),"---")</f>
        <v>---</v>
      </c>
    </row>
    <row r="840" spans="12:12" x14ac:dyDescent="0.3">
      <c r="L840" s="168" t="str">
        <f>IFERROR(VLOOKUP($H840,PARAMETERS!$M$3:$M$524,1,0),"---")</f>
        <v>---</v>
      </c>
    </row>
    <row r="841" spans="12:12" x14ac:dyDescent="0.3">
      <c r="L841" s="168" t="str">
        <f>IFERROR(VLOOKUP($H841,PARAMETERS!$M$3:$M$524,1,0),"---")</f>
        <v>---</v>
      </c>
    </row>
    <row r="842" spans="12:12" x14ac:dyDescent="0.3">
      <c r="L842" s="168" t="str">
        <f>IFERROR(VLOOKUP($H842,PARAMETERS!$M$3:$M$524,1,0),"---")</f>
        <v>---</v>
      </c>
    </row>
    <row r="843" spans="12:12" x14ac:dyDescent="0.3">
      <c r="L843" s="168" t="str">
        <f>IFERROR(VLOOKUP($H843,PARAMETERS!$M$3:$M$524,1,0),"---")</f>
        <v>---</v>
      </c>
    </row>
    <row r="844" spans="12:12" x14ac:dyDescent="0.3">
      <c r="L844" s="168" t="str">
        <f>IFERROR(VLOOKUP($H844,PARAMETERS!$M$3:$M$524,1,0),"---")</f>
        <v>---</v>
      </c>
    </row>
    <row r="845" spans="12:12" x14ac:dyDescent="0.3">
      <c r="L845" s="168" t="str">
        <f>IFERROR(VLOOKUP($H845,PARAMETERS!$M$3:$M$524,1,0),"---")</f>
        <v>---</v>
      </c>
    </row>
    <row r="846" spans="12:12" x14ac:dyDescent="0.3">
      <c r="L846" s="168" t="str">
        <f>IFERROR(VLOOKUP($H846,PARAMETERS!$M$3:$M$524,1,0),"---")</f>
        <v>---</v>
      </c>
    </row>
    <row r="847" spans="12:12" x14ac:dyDescent="0.3">
      <c r="L847" s="168" t="str">
        <f>IFERROR(VLOOKUP($H847,PARAMETERS!$M$3:$M$524,1,0),"---")</f>
        <v>---</v>
      </c>
    </row>
    <row r="848" spans="12:12" x14ac:dyDescent="0.3">
      <c r="L848" s="168" t="str">
        <f>IFERROR(VLOOKUP($H848,PARAMETERS!$M$3:$M$524,1,0),"---")</f>
        <v>---</v>
      </c>
    </row>
    <row r="849" spans="12:12" x14ac:dyDescent="0.3">
      <c r="L849" s="168" t="str">
        <f>IFERROR(VLOOKUP($H849,PARAMETERS!$M$3:$M$524,1,0),"---")</f>
        <v>---</v>
      </c>
    </row>
    <row r="850" spans="12:12" x14ac:dyDescent="0.3">
      <c r="L850" s="168" t="str">
        <f>IFERROR(VLOOKUP($H850,PARAMETERS!$M$3:$M$524,1,0),"---")</f>
        <v>---</v>
      </c>
    </row>
    <row r="851" spans="12:12" x14ac:dyDescent="0.3">
      <c r="L851" s="168" t="str">
        <f>IFERROR(VLOOKUP($H851,PARAMETERS!$M$3:$M$524,1,0),"---")</f>
        <v>---</v>
      </c>
    </row>
    <row r="852" spans="12:12" x14ac:dyDescent="0.3">
      <c r="L852" s="168" t="str">
        <f>IFERROR(VLOOKUP($H852,PARAMETERS!$M$3:$M$524,1,0),"---")</f>
        <v>---</v>
      </c>
    </row>
    <row r="853" spans="12:12" x14ac:dyDescent="0.3">
      <c r="L853" s="168" t="str">
        <f>IFERROR(VLOOKUP($H853,PARAMETERS!$M$3:$M$524,1,0),"---")</f>
        <v>---</v>
      </c>
    </row>
    <row r="854" spans="12:12" x14ac:dyDescent="0.3">
      <c r="L854" s="168" t="str">
        <f>IFERROR(VLOOKUP($H854,PARAMETERS!$M$3:$M$524,1,0),"---")</f>
        <v>---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44</vt:i4>
      </vt:variant>
    </vt:vector>
  </HeadingPairs>
  <TitlesOfParts>
    <vt:vector size="55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IMPORT SCHLIESSERDATEN</vt:lpstr>
      <vt:lpstr>UPDATECHECK</vt:lpstr>
      <vt:lpstr>IMPORT AUFBEREITET</vt:lpstr>
      <vt:lpstr>COMPARE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prodIndexOffset</vt:lpstr>
      <vt:lpstr>prodRowOffset</vt:lpstr>
      <vt:lpstr>PRODUKTE</vt:lpstr>
      <vt:lpstr>PRODUKTINDIZES</vt:lpstr>
      <vt:lpstr>read_write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VALUES</vt:lpstr>
      <vt:lpstr>VALUES1dim</vt:lpstr>
      <vt:lpstr>VALUESdim</vt:lpstr>
      <vt:lpstr>VALUESLIST</vt:lpstr>
      <vt:lpstr>VALUESnames</vt:lpstr>
      <vt:lpstr>VALUESval</vt:lpstr>
      <vt:lpstr>zeilenindizes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cp:lastPrinted>2017-11-13T16:28:35Z</cp:lastPrinted>
  <dcterms:created xsi:type="dcterms:W3CDTF">2016-09-21T11:06:10Z</dcterms:created>
  <dcterms:modified xsi:type="dcterms:W3CDTF">2025-10-01T09:47:05Z</dcterms:modified>
</cp:coreProperties>
</file>